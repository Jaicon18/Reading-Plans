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Partition Takeoff" sheetId="2" state="visible" r:id="rId4"/>
    <sheet name="Material Summary" sheetId="3" state="visible" r:id="rId5"/>
    <sheet name="Pending Items" sheetId="4" state="visible" r:id="rId6"/>
    <sheet name="Review Items" sheetId="5" state="visible" r:id="rId7"/>
    <sheet name="Scope Checklist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<sst xmlns="http://schemas.openxmlformats.org/spreadsheetml/2006/main" count="1239" uniqueCount="859">
  <si>
    <t xml:space="preserve">Bank of America - Broomfield, CO (CO1-111)   |   METAL FRAMING &amp; DRYWALL TAKEOFF</t>
  </si>
  <si>
    <t xml:space="preserve">Bid set: 2025.08.26_CO1-111_Broomfield_PERMIT SET_BID SET.pdf   ·   2026-10-18   ·   Edit ONLY the yellow cells.</t>
  </si>
  <si>
    <t xml:space="preserve">PARAMETER</t>
  </si>
  <si>
    <t xml:space="preserve">VALUE</t>
  </si>
  <si>
    <t xml:space="preserve">NOTE / SOURCE</t>
  </si>
  <si>
    <t xml:space="preserve">Waste - ALL METAL, any type</t>
  </si>
  <si>
    <t xml:space="preserve">Estimator standing rule: 15% on everything that is metal.</t>
  </si>
  <si>
    <t xml:space="preserve">Waste - EVERYTHING THAT IS NOT METAL</t>
  </si>
  <si>
    <t xml:space="preserve">Estimator standing rule: same figure as board.</t>
  </si>
  <si>
    <t xml:space="preserve">Board sheet width (ft)</t>
  </si>
  <si>
    <t xml:space="preserve">Sheet size is a parameter; buy the size that wastes least.</t>
  </si>
  <si>
    <t xml:space="preserve">Board sheet length (ft)</t>
  </si>
  <si>
    <t xml:space="preserve">Change it and every sheet count re-rounds.</t>
  </si>
  <si>
    <t xml:space="preserve">SF per board sheet</t>
  </si>
  <si>
    <t xml:space="preserve">Width x length.</t>
  </si>
  <si>
    <t xml:space="preserve">Stud stock length (ft)</t>
  </si>
  <si>
    <t xml:space="preserve">Stud, header, framed opening and stud blocking: sticks.</t>
  </si>
  <si>
    <t xml:space="preserve">Track stock length (ft)</t>
  </si>
  <si>
    <t xml:space="preserve">Track, sill track and purlin: runs.</t>
  </si>
  <si>
    <t xml:space="preserve">Floor plan scale (pt/ft)</t>
  </si>
  <si>
    <t xml:space="preserve">Project value (canon constants).</t>
  </si>
  <si>
    <t xml:space="preserve">B.O. Deck (ft)</t>
  </si>
  <si>
    <t xml:space="preserve">T.O. Parapet (ft)</t>
  </si>
  <si>
    <t xml:space="preserve">Sealant coverage (LF per tube)</t>
  </si>
  <si>
    <t xml:space="preserve">Sealant yield per tube - set your supplier's figure.</t>
  </si>
  <si>
    <t xml:space="preserve">C.R. channel stock length (ft)</t>
  </si>
  <si>
    <t xml:space="preserve">1-1/2" cold-rolled channel (bracing, carrying channel).</t>
  </si>
  <si>
    <t xml:space="preserve">Hat / furring channel stock (ft)</t>
  </si>
  <si>
    <t xml:space="preserve">7/8" hat furring channel.</t>
  </si>
  <si>
    <t xml:space="preserve">Trim stick length (ft)</t>
  </si>
  <si>
    <t xml:space="preserve">Corner bead, casing bead, shadow molding, PVC trim.</t>
  </si>
  <si>
    <t xml:space="preserve">Hanger wire purchase</t>
  </si>
  <si>
    <t xml:space="preserve">continuous coil (LF)</t>
  </si>
  <si>
    <t xml:space="preserve">Bought by LF from a continuous coil; the hanger count goes on its own PCS row.</t>
  </si>
  <si>
    <t xml:space="preserve">Drywall screws per SF of board</t>
  </si>
  <si>
    <t xml:space="preserve">YIELD (GA-216 field / perimeter spacing).</t>
  </si>
  <si>
    <t xml:space="preserve">Framing screws per stud piece</t>
  </si>
  <si>
    <t xml:space="preserve">YIELD: 2 per stud-to-track connection, each end.</t>
  </si>
  <si>
    <t xml:space="preserve">Power-driven pin spacing (ft)</t>
  </si>
  <si>
    <t xml:space="preserve">YIELD: bottom track on slab, interior walls.</t>
  </si>
  <si>
    <t xml:space="preserve">Joint compound (lb per SF)</t>
  </si>
  <si>
    <t xml:space="preserve">YIELD: 72 lb per 1,000 SF, level 4 (estimator criterion).</t>
  </si>
  <si>
    <t xml:space="preserve">Joint tape (LF per SF)</t>
  </si>
  <si>
    <t xml:space="preserve">YIELD: 370 LF per 1,000 SF.</t>
  </si>
  <si>
    <t xml:space="preserve">Expansion anchor spacing (ft)</t>
  </si>
  <si>
    <t xml:space="preserve">YIELD: exterior bottom track on slab.</t>
  </si>
  <si>
    <t xml:space="preserve">ORGANIZED PARTITION TAKEOFF - Bank of America - Broomfield, CO (CO1-111)</t>
  </si>
  <si>
    <t xml:space="preserve">Grouped by partition type. Every row cites its DETAIL/SHEET and its status.</t>
  </si>
  <si>
    <t xml:space="preserve">Partition / Scope</t>
  </si>
  <si>
    <t xml:space="preserve">Wall #</t>
  </si>
  <si>
    <t xml:space="preserve">Length (LF)</t>
  </si>
  <si>
    <t xml:space="preserve">Height (FT)</t>
  </si>
  <si>
    <t xml:space="preserve">Layers</t>
  </si>
  <si>
    <t xml:space="preserve">Stud Size</t>
  </si>
  <si>
    <t xml:space="preserve">Stud O.C. (in)</t>
  </si>
  <si>
    <t xml:space="preserve">Board (SF)</t>
  </si>
  <si>
    <t xml:space="preserve">Location</t>
  </si>
  <si>
    <t xml:space="preserve">Source (DETAIL/SHEET)</t>
  </si>
  <si>
    <t xml:space="preserve">Status</t>
  </si>
  <si>
    <t xml:space="preserve">TYPE A1</t>
  </si>
  <si>
    <t xml:space="preserve">A1  #A-A1-01  -  Calling Cubes 122 north wall (Waiting 104 GB field to the north), grid 5-6 between E and D; west end free at MW01 alcove, east end at the A5 east wall</t>
  </si>
  <si>
    <t xml:space="preserve">A-A1-01</t>
  </si>
  <si>
    <t xml:space="preserve">3-5/8"</t>
  </si>
  <si>
    <t xml:space="preserve">Calling Cubes 122 north wall (Waiting 104 GB field to the north), grid 5-6 between E and D; west end free at MW01 alcove, east end at the A5 east wall</t>
  </si>
  <si>
    <t xml:space="preserve">3/A12.01</t>
  </si>
  <si>
    <t xml:space="preserve">[DERIVED]</t>
  </si>
  <si>
    <t xml:space="preserve">A1  #A-A1-02  -  MW01 printer alcove east wall (inside Calling Cubes 122 NW corner)</t>
  </si>
  <si>
    <t xml:space="preserve">A-A1-02</t>
  </si>
  <si>
    <t xml:space="preserve">MW01 printer alcove east wall (inside Calling Cubes 122 NW corner)</t>
  </si>
  <si>
    <t xml:space="preserve">A1  #A-A1-03  -  MW01 printer alcove south wall</t>
  </si>
  <si>
    <t xml:space="preserve">A-A1-03</t>
  </si>
  <si>
    <t xml:space="preserve">MW01 printer alcove south wall</t>
  </si>
  <si>
    <t xml:space="preserve">[CONFIRMED]</t>
  </si>
  <si>
    <t xml:space="preserve">A1  #A-A1-04  -  Corridor 111 north wall with door 111 (between restroom east wall and the CC west wall)</t>
  </si>
  <si>
    <t xml:space="preserve">A-A1-04</t>
  </si>
  <si>
    <t xml:space="preserve">Corridor 111 north wall with door 111 (between restroom east wall and the CC west wall)</t>
  </si>
  <si>
    <t xml:space="preserve">A1  #A-A1-05  -  Calling Cubes 122 south wall (Break Room 118 / MW21 to the south)</t>
  </si>
  <si>
    <t xml:space="preserve">A-A1-05</t>
  </si>
  <si>
    <t xml:space="preserve">Calling Cubes 122 south wall (Break Room 118 / MW21 to the south)</t>
  </si>
  <si>
    <t xml:space="preserve">A1  #A-A1-06  -  Corridor 111 east wall from the CC south wall to the south exterior wall (door 118B; Electrical 120 and NER 121 west walls)</t>
  </si>
  <si>
    <t xml:space="preserve">A-A1-06</t>
  </si>
  <si>
    <t xml:space="preserve">Corridor 111 east wall from the CC south wall to the south exterior wall (door 118B; Electrical 120 and NER 121 west walls)</t>
  </si>
  <si>
    <t xml:space="preserve">A1  #A-A1-07  -  Short wall south of the CC east wall (east end of MW21), same east face line as A-A5-02</t>
  </si>
  <si>
    <t xml:space="preserve">A-A1-07</t>
  </si>
  <si>
    <t xml:space="preserve">Short wall south of the CC east wall (east end of MW21), same east face line as A-A5-02</t>
  </si>
  <si>
    <t xml:space="preserve">A1  #A-A1-08  -  Stub west of door 118A (customer alcove / Break Room 118)</t>
  </si>
  <si>
    <t xml:space="preserve">A-A1-08</t>
  </si>
  <si>
    <t xml:space="preserve">Stub west of door 118A (customer alcove / Break Room 118)</t>
  </si>
  <si>
    <t xml:space="preserve">A1  #A-A1-09  -  Work Room 119 north wall with door 119 (Cash Window 116 to the north), from the B2 wall to the east exterior wall</t>
  </si>
  <si>
    <t xml:space="preserve">A-A1-09</t>
  </si>
  <si>
    <t xml:space="preserve">Work Room 119 north wall with door 119 (Cash Window 116 to the north), from the B2 wall to the east exterior wall</t>
  </si>
  <si>
    <t xml:space="preserve">A1  #A-A1-10  -  Drinking-fountain alcove back wall (west), between Women's 114 / restroom chase end / Men's 113 and the corridor alcove; owns both alcove corners</t>
  </si>
  <si>
    <t xml:space="preserve">A-A1-10</t>
  </si>
  <si>
    <t xml:space="preserve">Drinking-fountain alcove back wall (west), between Women's 114 / restroom chase end / Men's 113 and the corridor alcove; owns both alcove corners</t>
  </si>
  <si>
    <t xml:space="preserve">A1  #A-A1-11  -  Drinking-fountain alcove north return, from the alcove back wall east face to the B2 wall west face (recessed item on the Women's 114 side, x 1099.68-1116.12)</t>
  </si>
  <si>
    <t xml:space="preserve">A-A1-11</t>
  </si>
  <si>
    <t xml:space="preserve">Drinking-fountain alcove north return, from the alcove back wall east face to the B2 wall west face (recessed item on the Women's 114 side, x 1099.68-1116.12)</t>
  </si>
  <si>
    <t xml:space="preserve">A1  #A-A1-12  -  Drinking-fountain alcove south return, from the alcove back wall east face to the B2 wall west face (recessed item on the Men's 113 side, x 1097.4-1115.76)</t>
  </si>
  <si>
    <t xml:space="preserve">A-A1-12</t>
  </si>
  <si>
    <t xml:space="preserve">Drinking-fountain alcove south return, from the alcove back wall east face to the B2 wall west face (recessed item on the Men's 113 side, x 1097.4-1115.76)</t>
  </si>
  <si>
    <t xml:space="preserve">TYPE A5</t>
  </si>
  <si>
    <t xml:space="preserve">A5  #A-A5-01+A-A5-02  -  Calling Cubes 122 east wall, north piece (HI deck) from the CC north wall corner to grid B + Calling Cubes 122 east wall, south piece (LOW deck) from grid B to the south face of the CC south wall (wall continues south as A1 A-A1-08)</t>
  </si>
  <si>
    <t xml:space="preserve">A-A5-01+A-A5-02</t>
  </si>
  <si>
    <t xml:space="preserve">6"</t>
  </si>
  <si>
    <t xml:space="preserve">Calling Cubes 122 east wall, north piece (HI deck) from the CC north wall corner to grid B + Calling Cubes 122 east wall, south piece (LOW deck) from grid B to the south face of the CC south wall (wall continues south as A1 A-A1-08)</t>
  </si>
  <si>
    <t xml:space="preserve">A5  #A-A5-03  -  Calling Cubes 122 west wall, north of corridor 111 (FEC-1 recessed in west face)</t>
  </si>
  <si>
    <t xml:space="preserve">A-A5-03</t>
  </si>
  <si>
    <t xml:space="preserve">Calling Cubes 122 west wall, north of corridor 111 (FEC-1 recessed in west face)</t>
  </si>
  <si>
    <t xml:space="preserve">A5  #A-A5-04+A-A5-05  -  Calling Cubes 122 west wall at door 122, north piece (HI) - offset one thickness east of A-A5-03 + Calling Cubes 122 west wall with door 122, south piece (LOW)</t>
  </si>
  <si>
    <t xml:space="preserve">A-A5-04+A-A5-05</t>
  </si>
  <si>
    <t xml:space="preserve">Calling Cubes 122 west wall at door 122, north piece (HI) - offset one thickness east of A-A5-03 + Calling Cubes 122 west wall with door 122, south piece (LOW)</t>
  </si>
  <si>
    <t xml:space="preserve">A5  #A-A5-06  -  Wall between 118A vestibule and Cash Window 116, from the A1K south wall to door 116</t>
  </si>
  <si>
    <t xml:space="preserve">A-A5-06</t>
  </si>
  <si>
    <t xml:space="preserve">Wall between 118A vestibule and Cash Window 116, from the A1K south wall to door 116</t>
  </si>
  <si>
    <t xml:space="preserve">TYPE A1K</t>
  </si>
  <si>
    <t xml:space="preserve">A1K  #A-A1K-01  -  North end wall of the CSR teller line (Cash Window 116), south of the office 108 G wall</t>
  </si>
  <si>
    <t xml:space="preserve">A-A1K-01</t>
  </si>
  <si>
    <t xml:space="preserve">North end wall of the CSR teller line (Cash Window 116), south of the office 108 G wall</t>
  </si>
  <si>
    <t xml:space="preserve">4/A12.01</t>
  </si>
  <si>
    <t xml:space="preserve">A1K  #A-A1K-02  -  South end wall of the CSR teller line (Cash Window 116), north of the C1 box</t>
  </si>
  <si>
    <t xml:space="preserve">A-A1K-02</t>
  </si>
  <si>
    <t xml:space="preserve">South end wall of the CSR teller line (Cash Window 116), north of the C1 box</t>
  </si>
  <si>
    <t xml:space="preserve">A1K  #A-A1K-03  -  Kevlar wall south of the customer alcove, offset 10.56 pt (7") south of A-A1K-02 by a jog at x 1653.96-1661.76</t>
  </si>
  <si>
    <t xml:space="preserve">A-A1K-03</t>
  </si>
  <si>
    <t xml:space="preserve">Kevlar wall south of the customer alcove, offset 10.56 pt (7") south of A-A1K-02 by a jog at x 1653.96-1661.76</t>
  </si>
  <si>
    <t xml:space="preserve">TYPE B</t>
  </si>
  <si>
    <t xml:space="preserve">B  #A-B-01  -  Electrical 120 north wall (Break Room 118 side), grids 4-5 south of B</t>
  </si>
  <si>
    <t xml:space="preserve">A-B-01</t>
  </si>
  <si>
    <t xml:space="preserve">Electrical 120 north wall (Break Room 118 side), grids 4-5 south of B</t>
  </si>
  <si>
    <t xml:space="preserve">1/A12.01</t>
  </si>
  <si>
    <t xml:space="preserve">B  #A-B-02  -  Electrical 120 / NER 121 separator</t>
  </si>
  <si>
    <t xml:space="preserve">A-B-02</t>
  </si>
  <si>
    <t xml:space="preserve">Electrical 120 / NER 121 separator</t>
  </si>
  <si>
    <t xml:space="preserve">B  #A-B-03  -  Electrical 120 / NER 121 east wall (Break Room 118), doors 120 and 121</t>
  </si>
  <si>
    <t xml:space="preserve">A-B-03</t>
  </si>
  <si>
    <t xml:space="preserve">Electrical 120 / NER 121 east wall (Break Room 118), doors 120 and 121</t>
  </si>
  <si>
    <t xml:space="preserve">B  #A-B-04  -  Men's Restroom 113 south wall / Janitor 112 + Storage 117 north wall, door 112</t>
  </si>
  <si>
    <t xml:space="preserve">A-B-04</t>
  </si>
  <si>
    <t xml:space="preserve">Men's Restroom 113 south wall / Janitor 112 + Storage 117 north wall, door 112</t>
  </si>
  <si>
    <t xml:space="preserve">B  #A-B-05  -  Janitor 112 + Storage 117 south wall / Wellness 115 north wall (two tags, one straight run)</t>
  </si>
  <si>
    <t xml:space="preserve">A-B-05</t>
  </si>
  <si>
    <t xml:space="preserve">Janitor 112 + Storage 117 south wall / Wellness 115 north wall (two tags, one straight run)</t>
  </si>
  <si>
    <t xml:space="preserve">B  #A-B-06  -  Janitor 112 / Storage 117 separator (between MW06A and MW05), from A-B-04 south face to A-B-05 north face</t>
  </si>
  <si>
    <t xml:space="preserve">A-B-06</t>
  </si>
  <si>
    <t xml:space="preserve">Janitor 112 / Storage 117 separator (between MW06A and MW05), from A-B-04 south face to A-B-05 north face</t>
  </si>
  <si>
    <t xml:space="preserve">TYPE B2</t>
  </si>
  <si>
    <t xml:space="preserve">B2  #A-B2-01  -  ATM Room 102 east wall, door 102, between C1 grille jamb box and G wall</t>
  </si>
  <si>
    <t xml:space="preserve">A-B2-01</t>
  </si>
  <si>
    <t xml:space="preserve">ATM Room 102 east wall, door 102, between C1 grille jamb box and G wall</t>
  </si>
  <si>
    <t xml:space="preserve">B2  #A-B2-02a+A-B2-02b  -  Women's Restroom 114 east wall, stub north of door 114 (HI zone, north of grid B) + Women's Restroom 114 east wall, door 114, to drinking-fountain alcove return</t>
  </si>
  <si>
    <t xml:space="preserve">A-B2-02a+A-B2-02b</t>
  </si>
  <si>
    <t xml:space="preserve">Women's Restroom 114 east wall, stub north of door 114 (HI zone, north of grid B) + Women's Restroom 114 east wall, door 114, to drinking-fountain alcove return</t>
  </si>
  <si>
    <t xml:space="preserve">B2  #A-B2-03  -  Men's 113 / Storage 117 / Wellness 115 east wall to exterior, doors 113, 117, 115</t>
  </si>
  <si>
    <t xml:space="preserve">A-B2-03</t>
  </si>
  <si>
    <t xml:space="preserve">Men's 113 / Storage 117 / Wellness 115 east wall to exterior, doors 113, 117, 115</t>
  </si>
  <si>
    <t xml:space="preserve">B2  #A-B2-04  -  Break Room 118 / Work Room 119, from door 116 jamb to exterior</t>
  </si>
  <si>
    <t xml:space="preserve">A-B2-04</t>
  </si>
  <si>
    <t xml:space="preserve">Break Room 118 / Work Room 119, from door 116 jamb to exterior</t>
  </si>
  <si>
    <t xml:space="preserve">TYPE B2K</t>
  </si>
  <si>
    <t xml:space="preserve">B2K  #A-B2K-01  -  Teller line west end, north of Waiting 104 / south of Office 108 front, west of A1K teller wall</t>
  </si>
  <si>
    <t xml:space="preserve">A-B2K-01</t>
  </si>
  <si>
    <t xml:space="preserve">Teller line west end, north of Waiting 104 / south of Office 108 front, west of A1K teller wall</t>
  </si>
  <si>
    <t xml:space="preserve">1/A12.01+4/A12.01</t>
  </si>
  <si>
    <t xml:space="preserve">TYPE C1</t>
  </si>
  <si>
    <t xml:space="preserve">C1  #A-C1-01  -  Restroom plumbing chase, north face (Women's 114), exterior wall to drinking-fountain alcove wall</t>
  </si>
  <si>
    <t xml:space="preserve">A-C1-01</t>
  </si>
  <si>
    <t xml:space="preserve">Restroom plumbing chase, north face (Women's 114), exterior wall to drinking-fountain alcove wall</t>
  </si>
  <si>
    <t xml:space="preserve">6/A12.01</t>
  </si>
  <si>
    <t xml:space="preserve">C1  #A-C1-02  -  Restroom plumbing chase, south face (Men's 113)</t>
  </si>
  <si>
    <t xml:space="preserve">A-C1-02</t>
  </si>
  <si>
    <t xml:space="preserve">Restroom plumbing chase, south face (Men's 113)</t>
  </si>
  <si>
    <t xml:space="preserve">C1  #A-C1-03+A-C1-03a+A-C1-03b  -  Furred bump-out for 85" display monitor (key note 7) on Calling Cubes 122 north A1 wall, Waiting 104 side + Monitor bump-out west return (jog &lt;= 1'-0", PT3: LF adds to A-C1-03) + Monitor bump-out east return (jog &lt;= 1'-0", PT3: LF adds to A-C1-03) (incl. jog A-C1-03a 0.313 LF) (incl. jog A-C1-03b 0.313 LF)</t>
  </si>
  <si>
    <t xml:space="preserve">A-C1-03+A-C1-03a+A-C1-03b</t>
  </si>
  <si>
    <t xml:space="preserve">Furred bump-out for 85" display monitor (key note 7) on Calling Cubes 122 north A1 wall, Waiting 104 side + Monitor bump-out west return (jog &lt;= 1'-0", PT3: LF adds to A-C1-03) + Monitor bump-out east return (jog &lt;= 1'-0", PT3: LF adds to A-C1-03) (incl. jog A-C1-03a 0.313 LF) (incl. jog A-C1-03b 0.313 LF)</t>
  </si>
  <si>
    <t xml:space="preserve">C1  #A-C1-08+A-C1-08R  -  Lining on south face of A1K teller south wall at FUTURE FCAM + Return of the C1 lining at FUTURE FCAM to the A1K wall face (incl. jog A-C1-08R 0.227 LF)</t>
  </si>
  <si>
    <t xml:space="preserve">A-C1-08+A-C1-08R</t>
  </si>
  <si>
    <t xml:space="preserve">Lining on south face of A1K teller south wall at FUTURE FCAM + Return of the C1 lining at FUTURE FCAM to the A1K wall face (incl. jog A-C1-08R 0.227 LF)</t>
  </si>
  <si>
    <t xml:space="preserve">C1  #A-C1-04  -  C1 box around HSS post at grid 4, south jamb of coiling grille 103, end of F wall / top of B2 A-B2-01</t>
  </si>
  <si>
    <t xml:space="preserve">A-C1-04</t>
  </si>
  <si>
    <t xml:space="preserve">C1 box around HSS post at grid 4, south jamb of coiling grille 103, end of F wall / top of B2 A-B2-01</t>
  </si>
  <si>
    <t xml:space="preserve">C1  #A-C1-05  -  C1 box 1'-0" x 1'-0" around HSS post at grid 4, north jamb of coiling grille 103 / corner of vestibule storefronts</t>
  </si>
  <si>
    <t xml:space="preserve">A-C1-05</t>
  </si>
  <si>
    <t xml:space="preserve">C1 box 1'-0" x 1'-0" around HSS post at grid 4, north jamb of coiling grille 103 / corner of vestibule storefronts</t>
  </si>
  <si>
    <t xml:space="preserve">C1  #A-C1-06  -  C1 box at grid G/4, NE corner of Vestibule 100 (encloses two HSS posts), protrudes north of the storefront line</t>
  </si>
  <si>
    <t xml:space="preserve">A-C1-06</t>
  </si>
  <si>
    <t xml:space="preserve">C1 box at grid G/4, NE corner of Vestibule 100 (encloses two HSS posts), protrudes north of the storefront line</t>
  </si>
  <si>
    <t xml:space="preserve">C1  #A-C1-07  -  C1 box at grid G/2, NW corner of Vestibule 100 (HSS post + Knox box key note 2)</t>
  </si>
  <si>
    <t xml:space="preserve">A-C1-07</t>
  </si>
  <si>
    <t xml:space="preserve">C1 box at grid G/2, NW corner of Vestibule 100 (HSS post + Knox box key note 2)</t>
  </si>
  <si>
    <t xml:space="preserve">TYPE F</t>
  </si>
  <si>
    <t xml:space="preserve">F  #A-F-01  -  24 HR Vestibule 101 / ATM Room 102 diagonal partition with walk-up ATM</t>
  </si>
  <si>
    <t xml:space="preserve">A-F-01</t>
  </si>
  <si>
    <t xml:space="preserve">24 HR Vestibule 101 / ATM Room 102 diagonal partition with walk-up ATM</t>
  </si>
  <si>
    <t xml:space="preserve">12/A12.01</t>
  </si>
  <si>
    <t xml:space="preserve">TYPE G</t>
  </si>
  <si>
    <t xml:space="preserve">G  #A-G-01  -  East office front (grid 7), stub between north exterior wall and office 105 front opening; UNTAGGED, typed G by measured thickness 9.24 pt = 6.16" (G 6 1/8", 55.4)</t>
  </si>
  <si>
    <t xml:space="preserve">A-G-01</t>
  </si>
  <si>
    <t xml:space="preserve">1-5/8"</t>
  </si>
  <si>
    <t xml:space="preserve">East office front (grid 7), stub between north exterior wall and office 105 front opening; UNTAGGED, typed G by measured thickness 9.24 pt = 6.16" (G 6 1/8", 55.4)</t>
  </si>
  <si>
    <t xml:space="preserve">5/A12.01</t>
  </si>
  <si>
    <t xml:space="preserve">G  #A-G-02  -  East office front (grid 7), stub between office 105 door and office 106 DFC-1A (incl. 4" return north of the 105/106 G1)</t>
  </si>
  <si>
    <t xml:space="preserve">A-G-02</t>
  </si>
  <si>
    <t xml:space="preserve">East office front (grid 7), stub between office 105 door and office 106 DFC-1A (incl. 4" return north of the 105/106 G1)</t>
  </si>
  <si>
    <t xml:space="preserve">G  #A-G-03  -  East office front (grid 7), stub between office 106 door and office 107 DFC-1A (incl. 4" return)</t>
  </si>
  <si>
    <t xml:space="preserve">A-G-03</t>
  </si>
  <si>
    <t xml:space="preserve">East office front (grid 7), stub between office 106 door and office 107 DFC-1A (incl. 4" return)</t>
  </si>
  <si>
    <t xml:space="preserve">G  #A-G-04  -  East office front (grid 7), stub between office 107 door and office 108 DFC-1A (incl. 4" return)</t>
  </si>
  <si>
    <t xml:space="preserve">A-G-04</t>
  </si>
  <si>
    <t xml:space="preserve">East office front (grid 7), stub between office 107 door and office 108 DFC-1A (incl. 4" return)</t>
  </si>
  <si>
    <t xml:space="preserve">G  #A-G-06  -  Office 106 / Office 107 demising wall, front stub (A-G-03) to east exterior wall (just north of grid E)</t>
  </si>
  <si>
    <t xml:space="preserve">A-G-06</t>
  </si>
  <si>
    <t xml:space="preserve">Office 106 / Office 107 demising wall, front stub (A-G-03) to east exterior wall (just north of grid E)</t>
  </si>
  <si>
    <t xml:space="preserve">G  #A-G-07  -  Office 107 / Office 108 demising wall, front stub (A-G-04) to east exterior wall</t>
  </si>
  <si>
    <t xml:space="preserve">A-G-07</t>
  </si>
  <si>
    <t xml:space="preserve">Office 107 / Office 108 demising wall, front stub (A-G-04) to east exterior wall</t>
  </si>
  <si>
    <t xml:space="preserve">G  #A-G-08  -  Office 108 south wall / Cash Window 116, from the end of the B2K ballistic wall (x 1661.76) to east exterior wall</t>
  </si>
  <si>
    <t xml:space="preserve">A-G-08</t>
  </si>
  <si>
    <t xml:space="preserve">Office 108 south wall / Cash Window 116, from the end of the B2K ballistic wall (x 1661.76) to east exterior wall</t>
  </si>
  <si>
    <t xml:space="preserve">G  #A-G-09  -  ATM Room 102 / Office 109 wall, west exterior wall to office front (grid 4); east end = 4" return at the 109 door jamb (end of this wall, PROTOCOL 7)</t>
  </si>
  <si>
    <t xml:space="preserve">A-G-09</t>
  </si>
  <si>
    <t xml:space="preserve">ATM Room 102 / Office 109 wall, west exterior wall to office front (grid 4); east end = 4" return at the 109 door jamb (end of this wall, PROTOCOL 7)</t>
  </si>
  <si>
    <t xml:space="preserve">G  #A-G-10  -  Office 109 / Office 110 demising wall, west exterior wall (column furring) to front stub A-G1-11</t>
  </si>
  <si>
    <t xml:space="preserve">A-G-10</t>
  </si>
  <si>
    <t xml:space="preserve">Office 109 / Office 110 demising wall, west exterior wall (column furring) to front stub A-G1-11</t>
  </si>
  <si>
    <t xml:space="preserve">G  #A-G-12  -  Office 110 / Women's Restroom 114 wall, west exterior wall to office front corner stub A-G1-13</t>
  </si>
  <si>
    <t xml:space="preserve">A-G-12</t>
  </si>
  <si>
    <t xml:space="preserve">Office 110 / Women's Restroom 114 wall, west exterior wall to office front corner stub A-G1-13</t>
  </si>
  <si>
    <t xml:space="preserve">TYPE G1</t>
  </si>
  <si>
    <t xml:space="preserve">G1  #A-G1-05  -  Office 105 / Office 106 demising wall, front stub (A-G-02) to east exterior wall</t>
  </si>
  <si>
    <t xml:space="preserve">A-G1-05</t>
  </si>
  <si>
    <t xml:space="preserve">Office 105 / Office 106 demising wall, front stub (A-G-02) to east exterior wall</t>
  </si>
  <si>
    <t xml:space="preserve">G1  #A-G1-11+A-G1-14  -  West office front (grid 4), stub between office 109 DFC-1A and office 110 door (incl. 4" return south of the 109/110 G) + West office front line, north end at Office 109 / ATM 102 corner (corner + 4" return to the DFC-1A jamb), untagged (incl. jog A-G1-14 0.847 LF)</t>
  </si>
  <si>
    <t xml:space="preserve">A-G1-11+A-G1-14</t>
  </si>
  <si>
    <t xml:space="preserve">West office front (grid 4), stub between office 109 DFC-1A and office 110 door (incl. 4" return south of the 109/110 G) + West office front line, north end at Office 109 / ATM 102 corner (corner + 4" return to the DFC-1A jamb), untagged (incl. jog A-G1-14 0.847 LF)</t>
  </si>
  <si>
    <t xml:space="preserve">G1  #A-G1-13  -  West office front (grid 4), SW corner stub of office 110 (office 110 DFC-1A south jamb to the 110/114 G wall corner); UNTAGGED, typed G1 by thickness 12.72 pt = 8.48" (same as tagged G1 stub PT0049, 55.4)</t>
  </si>
  <si>
    <t xml:space="preserve">A-G1-13</t>
  </si>
  <si>
    <t xml:space="preserve">West office front (grid 4), SW corner stub of office 110 (office 110 DFC-1A south jamb to the 110/114 G wall corner); UNTAGGED, typed G1 by thickness 12.72 pt = 8.48" (same as tagged G1 stub PT0049, 55.4)</t>
  </si>
  <si>
    <t xml:space="preserve">TYPE BULKHEAD-G</t>
  </si>
  <si>
    <t xml:space="preserve">BULKHEAD-G  #A-BH-E1+A-BH-E2+A-BH-E3+A-BH-E4  -  Office bulkhead over vendor office front of Office 105 (DFC-1A + door, note E/A02.01: front by vendor, bulkhead ours), east front grid 7 + Office bulkhead over vendor office front of Office 106 (DFC-1A + door, note E/A02.01: front by vendor, bulkhead ours), east front grid 7 + Office bulkhead over vendor office front of Office 107 (DFC-1A + door, note E/A02.01: front by vendor, bulkhead ours), east front grid 7 + Office bulkhead over vendor office front of Office 108 (DFC-1A + door, note E/A02.01: front by vendor, bulkhead ours), east front grid 7</t>
  </si>
  <si>
    <t xml:space="preserve">A-BH-E1+A-BH-E2+A-BH-E3+A-BH-E4</t>
  </si>
  <si>
    <t xml:space="preserve">Office bulkhead over vendor office front of Office 105 (DFC-1A + door, note E/A02.01: front by vendor, bulkhead ours), east front grid 7 + Office bulkhead over vendor office front of Office 106 (DFC-1A + door, note E/A02.01: front by vendor, bulkhead ours), east front grid 7 + Office bulkhead over vendor office front of Office 107 (DFC-1A + door, note E/A02.01: front by vendor, bulkhead ours), east front grid 7 + Office bulkhead over vendor office front of Office 108 (DFC-1A + door, note E/A02.01: front by vendor, bulkhead ours), east front grid 7</t>
  </si>
  <si>
    <t xml:space="preserve">BULKHEAD-G  #A-BH-W1+A-BH-W2  -  Office bulkhead over vendor office front of Office 109 (DFC-1A + door, vendor), west front grid 4 + Office bulkhead over vendor office front of Office 110 (DFC-1A + door, vendor), west front grid 4</t>
  </si>
  <si>
    <t xml:space="preserve">A-BH-W1+A-BH-W2</t>
  </si>
  <si>
    <t xml:space="preserve">Office bulkhead over vendor office front of Office 109 (DFC-1A + door, vendor), west front grid 4 + Office bulkhead over vendor office front of Office 110 (DFC-1A + door, vendor), west front grid 4</t>
  </si>
  <si>
    <t xml:space="preserve">TYPE EXT-6CFMF</t>
  </si>
  <si>
    <t xml:space="preserve">EXT-6CFMF  #A-EXT-01  -  24 HR Vestibule 101 / ATM Room 102</t>
  </si>
  <si>
    <t xml:space="preserve">A-EXT-01</t>
  </si>
  <si>
    <t xml:space="preserve">24 HR Vestibule 101 / ATM Room 102</t>
  </si>
  <si>
    <t xml:space="preserve">C/A09.21</t>
  </si>
  <si>
    <t xml:space="preserve">EXT-6CFMF  #A-EXT-02  -  ATM Room 102</t>
  </si>
  <si>
    <t xml:space="preserve">A-EXT-02</t>
  </si>
  <si>
    <t xml:space="preserve">ATM Room 102</t>
  </si>
  <si>
    <t xml:space="preserve">EXT-6CFMF  #A-EXT-04a+A-EXT-04b  -  Office 5 CB 109 / Office 6 CB 110 / corridor-restroom + Women 114 / Men 113 / Janitor 112 / Wellness 115</t>
  </si>
  <si>
    <t xml:space="preserve">A-EXT-04a+A-EXT-04b</t>
  </si>
  <si>
    <t xml:space="preserve">Office 5 CB 109 / Office 6 CB 110 / corridor-restroom + Women 114 / Men 113 / Janitor 112 / Wellness 115</t>
  </si>
  <si>
    <t xml:space="preserve">EXT-6CFMF  #A-EXT-05a+A-EXT-05b  -  Wellness 115 / Corridor 123 vestibule / NER 121 / Break Room 118 + Work Room 119</t>
  </si>
  <si>
    <t xml:space="preserve">A-EXT-05a+A-EXT-05b</t>
  </si>
  <si>
    <t xml:space="preserve">Wellness 115 / Corridor 123 vestibule / NER 121 / Break Room 118 + Work Room 119</t>
  </si>
  <si>
    <t xml:space="preserve">EXT-6CFMF  #A-EXT-06a+A-EXT-06b  -  Offices 105/106/107/108 / Cash Window 116 + Cash Window 116 / Work Room 119</t>
  </si>
  <si>
    <t xml:space="preserve">A-EXT-06a+A-EXT-06b</t>
  </si>
  <si>
    <t xml:space="preserve">Offices 105/106/107/108 / Cash Window 116 + Cash Window 116 / Work Room 119</t>
  </si>
  <si>
    <t xml:space="preserve">EXT-6CFMF  #A-EXT-07  -  Office 1 ME 105</t>
  </si>
  <si>
    <t xml:space="preserve">A-EXT-07</t>
  </si>
  <si>
    <t xml:space="preserve">Office 1 ME 105</t>
  </si>
  <si>
    <t xml:space="preserve">EXT-6CFMF  #A-EXT-P1  -  A-EXT-P1</t>
  </si>
  <si>
    <t xml:space="preserve">A-EXT-P1</t>
  </si>
  <si>
    <t xml:space="preserve">1/A09.25; A02.01; S2.20</t>
  </si>
  <si>
    <t xml:space="preserve">EXT-6CFMF  #A-EXT-P2  -  A-EXT-P2</t>
  </si>
  <si>
    <t xml:space="preserve">A-EXT-P2</t>
  </si>
  <si>
    <t xml:space="preserve">2/A09.25; A02.01; S2.20</t>
  </si>
  <si>
    <t xml:space="preserve">TYPE EXT-PARAPET</t>
  </si>
  <si>
    <t xml:space="preserve">EXT-PARAPET  #A-PAR-2  -  Tower parapet (T.O. PARAPET 2) on grid 2, G to D (A09.01 West elev.; A09.23 Section J)</t>
  </si>
  <si>
    <t xml:space="preserve">A-PAR-2</t>
  </si>
  <si>
    <t xml:space="preserve">6" parapet</t>
  </si>
  <si>
    <t xml:space="preserve">Tower parapet (T.O. PARAPET 2) on grid 2, G to D (A09.01 West elev.; A09.23 Section J)</t>
  </si>
  <si>
    <t xml:space="preserve">11/S5.10; 4/A09.26; A02.02</t>
  </si>
  <si>
    <t xml:space="preserve">EXT-PARAPET  #A-PAR-G  -  Tower parapet on grid G, cols 2-4 over vestibule bump-out (A09.21 Sections A, B; A09.01 'South' elev. = north face)</t>
  </si>
  <si>
    <t xml:space="preserve">A-PAR-G</t>
  </si>
  <si>
    <t xml:space="preserve">Tower parapet on grid G, cols 2-4 over vestibule bump-out (A09.21 Sections A, B; A09.01 'South' elev. = north face)</t>
  </si>
  <si>
    <t xml:space="preserve">EXT-PARAPET  #A-PAR-4R  -  Tower east return at col 4, from G south past F to free end (key note 10 ACM COPING, A02.02)</t>
  </si>
  <si>
    <t xml:space="preserve">A-PAR-4R</t>
  </si>
  <si>
    <t xml:space="preserve">Tower east return at col 4, from G south past F to free end (key note 10 ACM COPING, A02.02)</t>
  </si>
  <si>
    <t xml:space="preserve">EXT-PARAPET  #A-PAR-D  -  Tower south end on grid D, cols 2-3 (jog of the west wall)</t>
  </si>
  <si>
    <t xml:space="preserve">A-PAR-D</t>
  </si>
  <si>
    <t xml:space="preserve">Tower south end on grid D, cols 2-3 (jog of the west wall)</t>
  </si>
  <si>
    <t xml:space="preserve">EXT-PARAPET  #A-PAR-F  -  Parapet grid F cols 4-8 (T.O. PARAPET 1), tees into tower return at col 4</t>
  </si>
  <si>
    <t xml:space="preserve">A-PAR-F</t>
  </si>
  <si>
    <t xml:space="preserve">Parapet grid F cols 4-8 (T.O. PARAPET 1), tees into tower return at col 4</t>
  </si>
  <si>
    <t xml:space="preserve">EXT-PARAPET  #A-PAR-8N+A-PAR-8S  -  Parapet grid 8, F to B (HI roof) + Parapet grid 8, B to A (LOW sloped roof; same straight run as A-PAR-8N, split at deck break B, D9)</t>
  </si>
  <si>
    <t xml:space="preserve">A-PAR-8N+A-PAR-8S</t>
  </si>
  <si>
    <t xml:space="preserve">Parapet grid 8, F to B (HI roof) + Parapet grid 8, B to A (LOW sloped roof; same straight run as A-PAR-8N, split at deck break B, D9)</t>
  </si>
  <si>
    <t xml:space="preserve">EXT-PARAPET  #A-PAR-A  -  Parapet grid A, cols 3-8 (LOW roof low edge)</t>
  </si>
  <si>
    <t xml:space="preserve">A-PAR-A</t>
  </si>
  <si>
    <t xml:space="preserve">Parapet grid A, cols 3-8 (LOW roof low edge)</t>
  </si>
  <si>
    <t xml:space="preserve">EXT-PARAPET  #A-PAR-3N+A-PAR-3S  -  Parapet grid 3, D to B (HI roof; drive-up canopy outside) + Parapet grid 3, B to A (LOW roof; same run as A-PAR-3N, split at deck break B)</t>
  </si>
  <si>
    <t xml:space="preserve">A-PAR-3N+A-PAR-3S</t>
  </si>
  <si>
    <t xml:space="preserve">Parapet grid 3, D to B (HI roof; drive-up canopy outside) + Parapet grid 3, B to A (LOW roof; same run as A-PAR-3N, split at deck break B)</t>
  </si>
  <si>
    <t xml:space="preserve">TYPE CANOPY-COL</t>
  </si>
  <si>
    <t xml:space="preserve">CANOPY-COL  #A-CW-1  -  Drive-up canopy column 1 at grid 1 (bubble 5/A09.25)</t>
  </si>
  <si>
    <t xml:space="preserve">A-CW-1</t>
  </si>
  <si>
    <t xml:space="preserve">Drive-up canopy column 1 at grid 1 (bubble 5/A09.25)</t>
  </si>
  <si>
    <t xml:space="preserve">5/A09.25; A02.01</t>
  </si>
  <si>
    <t xml:space="preserve">CANOPY-COL  #A-CW-2  -  Drive-up canopy column 2 at grid 1 (bubble 5/A09.25)</t>
  </si>
  <si>
    <t xml:space="preserve">A-CW-2</t>
  </si>
  <si>
    <t xml:space="preserve">Drive-up canopy column 2 at grid 1 (bubble 5/A09.25)</t>
  </si>
  <si>
    <t xml:space="preserve">CANOPY-COL  #A-CW-3  -  Drive-up canopy column 3 at grid 1 (bubble 5/A09.25)</t>
  </si>
  <si>
    <t xml:space="preserve">A-CW-3</t>
  </si>
  <si>
    <t xml:space="preserve">Drive-up canopy column 3 at grid 1 (bubble 5/A09.25)</t>
  </si>
  <si>
    <t xml:space="preserve">CANOPY-COL  #A-CW-4  -  Drive-up canopy column 4 at grid 1 (bubble 5/A09.25 SIM)</t>
  </si>
  <si>
    <t xml:space="preserve">A-CW-4</t>
  </si>
  <si>
    <t xml:space="preserve">Drive-up canopy column 4 at grid 1 (bubble 5/A09.25 SIM)</t>
  </si>
  <si>
    <t xml:space="preserve">TOTAL - PARTITIONS</t>
  </si>
  <si>
    <t xml:space="preserve">TYPE OTHER FRAMING (NOT A PARTITION)</t>
  </si>
  <si>
    <t xml:space="preserve">ceiling_bulkhead  #A-CSR-WN  -  CSR soffit over teller line, CSR-W drop</t>
  </si>
  <si>
    <t xml:space="preserve">A-CSR-WN</t>
  </si>
  <si>
    <t xml:space="preserve">CSR soffit over teller line, CSR-W drop</t>
  </si>
  <si>
    <t xml:space="preserve">10/A09.33</t>
  </si>
  <si>
    <t xml:space="preserve">ceiling_bulkhead  #A-CSR-WS  -  CSR soffit over teller line, CSR-W drop</t>
  </si>
  <si>
    <t xml:space="preserve">A-CSR-WS</t>
  </si>
  <si>
    <t xml:space="preserve">ceiling_bulkhead  #A-CSR-EN  -  CSR soffit over teller line, CSR-E drop</t>
  </si>
  <si>
    <t xml:space="preserve">A-CSR-EN</t>
  </si>
  <si>
    <t xml:space="preserve">CSR soffit over teller line, CSR-E drop</t>
  </si>
  <si>
    <t xml:space="preserve">ceiling_bulkhead  #A-CSR-ES  -  CSR soffit over teller line, CSR-E drop</t>
  </si>
  <si>
    <t xml:space="preserve">A-CSR-ES</t>
  </si>
  <si>
    <t xml:space="preserve">ceiling_transition  #A-TR104-N  -  104 WAITING N edge</t>
  </si>
  <si>
    <t xml:space="preserve">A-TR104-N</t>
  </si>
  <si>
    <t xml:space="preserve">104 WAITING N edge</t>
  </si>
  <si>
    <t xml:space="preserve">8/A09.33</t>
  </si>
  <si>
    <t xml:space="preserve">ceiling_transition  #A-TR104-W  -  104 WAITING W edge</t>
  </si>
  <si>
    <t xml:space="preserve">A-TR104-W</t>
  </si>
  <si>
    <t xml:space="preserve">104 WAITING W edge</t>
  </si>
  <si>
    <t xml:space="preserve">ceiling_transition  #A-TR104-E  -  104 WAITING E edge</t>
  </si>
  <si>
    <t xml:space="preserve">A-TR104-E</t>
  </si>
  <si>
    <t xml:space="preserve">104 WAITING E edge</t>
  </si>
  <si>
    <t xml:space="preserve">ceiling_transition  #A-TRCZ-N  -  103 CENTRAL ZONE ACT-4 9'-0" customer area (west of CSR) N edge</t>
  </si>
  <si>
    <t xml:space="preserve">A-TRCZ-N</t>
  </si>
  <si>
    <t xml:space="preserve">103 CENTRAL ZONE ACT-4 9'-0" customer area (west of CSR) N edge</t>
  </si>
  <si>
    <t xml:space="preserve">vestibule_head  #A-VH-S  -  Over interior storefront between Vestibule 100 and 24 HR Vestibule 101 (doors 101), grids 2-4</t>
  </si>
  <si>
    <t xml:space="preserve">A-VH-S</t>
  </si>
  <si>
    <t xml:space="preserve">Over interior storefront between Vestibule 100 and 24 HR Vestibule 101 (doors 101), grids 2-4</t>
  </si>
  <si>
    <t xml:space="preserve">A02.01; 1/A12.10; 4/A12.10; 5/A12.10; S2.20; A04.01</t>
  </si>
  <si>
    <t xml:space="preserve">vestibule_head  #A-VH-E  -  Over interior storefront between Vestibule 100 and Central Zone 103 (door 100A), grid 4 between F and E.4</t>
  </si>
  <si>
    <t xml:space="preserve">A-VH-E</t>
  </si>
  <si>
    <t xml:space="preserve">Over interior storefront between Vestibule 100 and Central Zone 103 (door 100A), grid 4 between F and E.4</t>
  </si>
  <si>
    <t xml:space="preserve">6/A12.10</t>
  </si>
  <si>
    <t xml:space="preserve">grille_head  #A-GH-103  -  Coiling grille door 103 head, grid 4 between E.4 and E (24 HR Vestibule 101 / Central Zone 103)</t>
  </si>
  <si>
    <t xml:space="preserve">A-GH-103</t>
  </si>
  <si>
    <t xml:space="preserve">2-1/2"</t>
  </si>
  <si>
    <t xml:space="preserve">Coiling grille door 103 head, grid 4 between E.4 and E (24 HR Vestibule 101 / Central Zone 103)</t>
  </si>
  <si>
    <t xml:space="preserve">4/A08.21</t>
  </si>
  <si>
    <t xml:space="preserve">storefront_cripples  #A-EXT-CR1  -  Central Zone 103 / Waiting 104</t>
  </si>
  <si>
    <t xml:space="preserve">A-EXT-CR1</t>
  </si>
  <si>
    <t xml:space="preserve">Central Zone 103 / Waiting 104</t>
  </si>
  <si>
    <t xml:space="preserve">storefront_cripples  #A-EXT-CR2  -  Vestibule 100</t>
  </si>
  <si>
    <t xml:space="preserve">A-EXT-CR2</t>
  </si>
  <si>
    <t xml:space="preserve">Vestibule 100</t>
  </si>
  <si>
    <t xml:space="preserve">storefront_cripples  #A-EXT-CR3  -  Vestibule 100</t>
  </si>
  <si>
    <t xml:space="preserve">A-EXT-CR3</t>
  </si>
  <si>
    <t xml:space="preserve">roof_step  #A-RS-1  -  Roof step at grid B, cols 3-8: upper exterior row (nailbase face, LOW roof deck to 2X FRT blocking)</t>
  </si>
  <si>
    <t xml:space="preserve">A-RS-1</t>
  </si>
  <si>
    <t xml:space="preserve">Roof step at grid B, cols 3-8: upper exterior row (nailbase face, LOW roof deck to 2X FRT blocking)</t>
  </si>
  <si>
    <t xml:space="preserve">4/A02.02; A02.02</t>
  </si>
  <si>
    <t xml:space="preserve">roof_step  #A-RS-2  -  Roof step at grid B, cols 3-8: interior row under HI deck (5/8" gyp, to bottom of box)</t>
  </si>
  <si>
    <t xml:space="preserve">A-RS-2</t>
  </si>
  <si>
    <t xml:space="preserve">Roof step at grid B, cols 3-8: interior row under HI deck (5/8" gyp, to bottom of box)</t>
  </si>
  <si>
    <t xml:space="preserve">4/A02.02</t>
  </si>
  <si>
    <t xml:space="preserve">roof_step  #A-RS-3  -  Roof step at grid B, cols 3-8: lower row under LOW deck (5/8" gyp, to bottom of box)</t>
  </si>
  <si>
    <t xml:space="preserve">A-RS-3</t>
  </si>
  <si>
    <t xml:space="preserve">Roof step at grid B, cols 3-8: lower row under LOW deck (5/8" gyp, to bottom of box)</t>
  </si>
  <si>
    <t xml:space="preserve">fascia_box  #A-FB-N  -  Canopy fascia, north edge, full width (drive-up NW corner to NE corner)</t>
  </si>
  <si>
    <t xml:space="preserve">A-FB-N</t>
  </si>
  <si>
    <t xml:space="preserve">Canopy fascia, north edge, full width (drive-up NW corner to NE corner)</t>
  </si>
  <si>
    <t xml:space="preserve">3/A09.26; A04.01</t>
  </si>
  <si>
    <t xml:space="preserve">fascia_box  #A-FB-W1  -  Drive-up canopy fascia, west edge (outboard of col 1)</t>
  </si>
  <si>
    <t xml:space="preserve">A-FB-W1</t>
  </si>
  <si>
    <t xml:space="preserve">Drive-up canopy fascia, west edge (outboard of col 1)</t>
  </si>
  <si>
    <t xml:space="preserve">16/A09.27; A04.01</t>
  </si>
  <si>
    <t xml:space="preserve">fascia_box  #A-FB-W2  -  Drive-up canopy fascia, south edge (grid B) to col 3 wall</t>
  </si>
  <si>
    <t xml:space="preserve">A-FB-W2</t>
  </si>
  <si>
    <t xml:space="preserve">Drive-up canopy fascia, south edge (grid B) to col 3 wall</t>
  </si>
  <si>
    <t xml:space="preserve">fascia_box  #A-FB-E1  -  Side canopy fascia, east edge (grid 8 + 3'-0")</t>
  </si>
  <si>
    <t xml:space="preserve">A-FB-E1</t>
  </si>
  <si>
    <t xml:space="preserve">Side canopy fascia, east edge (grid 8 + 3'-0")</t>
  </si>
  <si>
    <t xml:space="preserve">7/A09.26; A04.01</t>
  </si>
  <si>
    <t xml:space="preserve">fascia_box  #A-FB-E2  -  Side canopy fascia, south end of east canopy (near B.2) to grid 8 wall</t>
  </si>
  <si>
    <t xml:space="preserve">A-FB-E2</t>
  </si>
  <si>
    <t xml:space="preserve">Side canopy fascia, south end of east canopy (near B.2) to grid 8 wall</t>
  </si>
  <si>
    <t xml:space="preserve">fascia_box  #A-FB-S1  -  South canopy fascia at grid A, cols 3-4 (A09.22 Section F)</t>
  </si>
  <si>
    <t xml:space="preserve">A-FB-S1</t>
  </si>
  <si>
    <t xml:space="preserve">South canopy fascia at grid A, cols 3-4 (A09.22 Section F)</t>
  </si>
  <si>
    <t xml:space="preserve">fascia_box  #A-FB-S2  -  South canopy fascia, west return to grid A wall</t>
  </si>
  <si>
    <t xml:space="preserve">A-FB-S2</t>
  </si>
  <si>
    <t xml:space="preserve">South canopy fascia, west return to grid A wall</t>
  </si>
  <si>
    <t xml:space="preserve">fascia_box  #A-FB-S3  -  South canopy fascia, east return to grid A wall</t>
  </si>
  <si>
    <t xml:space="preserve">A-FB-S3</t>
  </si>
  <si>
    <t xml:space="preserve">South canopy fascia, east return to grid A wall</t>
  </si>
  <si>
    <t xml:space="preserve">MATERIAL SUMMARY - NET / WASTE / PURCHASE</t>
  </si>
  <si>
    <t xml:space="preserve">Waste lives HERE, in its own column, applied ONCE: Pieces = ROUNDUP(Net x (1 + waste) / stock). Every stock length, coverage and yield is an Inputs cell.</t>
  </si>
  <si>
    <t xml:space="preserve">Material</t>
  </si>
  <si>
    <t xml:space="preserve">Unit</t>
  </si>
  <si>
    <t xml:space="preserve">Net</t>
  </si>
  <si>
    <t xml:space="preserve">Waste %</t>
  </si>
  <si>
    <t xml:space="preserve">Waste</t>
  </si>
  <si>
    <t xml:space="preserve">Purchase</t>
  </si>
  <si>
    <t xml:space="preserve">Selling unit</t>
  </si>
  <si>
    <t xml:space="preserve">Pieces to buy</t>
  </si>
  <si>
    <t xml:space="preserve">Where it comes from</t>
  </si>
  <si>
    <t xml:space="preserve">Yield check (live formula)</t>
  </si>
  <si>
    <t xml:space="preserve">6" metal stud - exterior CFMF 600S162-54 (S1.11 n.5) and interior 6" types A5/B2/B2K</t>
  </si>
  <si>
    <t xml:space="preserve">LF</t>
  </si>
  <si>
    <t xml:space="preserve">stick 20 ft</t>
  </si>
  <si>
    <t xml:space="preserve">familias_out.json '6" stud (all gauges)'; 7/S5.20; S1.11</t>
  </si>
  <si>
    <t xml:space="preserve">3-5/8" metal stud 362S137-33 (interior, soffits, canopy, transitions)</t>
  </si>
  <si>
    <t xml:space="preserve">familias_out.json '3-5/8" stud (all gauges)'; 7/S5.20; 3/A12.01</t>
  </si>
  <si>
    <t xml:space="preserve">1-5/8" metal stud - G / G1 double row (gauge per RFI-A-K-7)</t>
  </si>
  <si>
    <t xml:space="preserve">familias_out.json '1-5/8" stud'; 5/A12.01</t>
  </si>
  <si>
    <t xml:space="preserve">6" parapet stud 600S162-54 @ 16" infill between HSS posts</t>
  </si>
  <si>
    <t xml:space="preserve">familias_out.json '6" parapet stud'; 11/S5.10</t>
  </si>
  <si>
    <t xml:space="preserve">Bottom track - all sizes (600T125-33 exterior; 3-5/8" / 1-5/8" / 6" interior)</t>
  </si>
  <si>
    <t xml:space="preserve">run 10 ft</t>
  </si>
  <si>
    <t xml:space="preserve">familias_out.json 'bottom track (all)'; 7/S5.20</t>
  </si>
  <si>
    <t xml:space="preserve">Top / deflection track - all sizes (600T200-97 exterior deflection; continuous slip track interior)</t>
  </si>
  <si>
    <t xml:space="preserve">familias_out.json 'top / deflection track (all)'; 7/S5.20; 10/S5.10</t>
  </si>
  <si>
    <t xml:space="preserve">Ceiling / soffit track 3-5/8" (ceilings, soffits, canopy, transitions)</t>
  </si>
  <si>
    <t xml:space="preserve">familias_out.json 'ceiling / soffit track'; 7/A09.33; 7/A09.26</t>
  </si>
  <si>
    <t xml:space="preserve">Purlin 1x1x1 16 ga across min. (2) flutes - track to deck parallel to flute</t>
  </si>
  <si>
    <t xml:space="preserve">familias_out.json 'purlin (track to deck)'; 10/A09.33</t>
  </si>
  <si>
    <t xml:space="preserve">Header / box beam - by pieces (R.O. + 1'-4") x pieces</t>
  </si>
  <si>
    <t xml:space="preserve">familias_out.json 'header / box beam'; 7/S5.20; 11/A09.27</t>
  </si>
  <si>
    <t xml:space="preserve">Sill track - (R.O. + 1'-4") x pieces, double over 4'-0"</t>
  </si>
  <si>
    <t xml:space="preserve">familias_out.json 'sill track'; 2/S5.20</t>
  </si>
  <si>
    <t xml:space="preserve">Bracing 1-1/2" C.R. channel @ 48" O.C.</t>
  </si>
  <si>
    <t xml:space="preserve">C.R. channel 16 ft</t>
  </si>
  <si>
    <t xml:space="preserve">familias_out.json 'bracing C.R. channel'; F/1/S5.20</t>
  </si>
  <si>
    <t xml:space="preserve">Furring channel 7/8" hat @ 16" O.C. (GWB ceilings)</t>
  </si>
  <si>
    <t xml:space="preserve">hat channel 12 ft</t>
  </si>
  <si>
    <t xml:space="preserve">familias_out.json 'furring channel'; 8/A09.33</t>
  </si>
  <si>
    <t xml:space="preserve">Carrying channel 1-1/2" C.R. @ 48" O.C. (GWB ceilings)</t>
  </si>
  <si>
    <t xml:space="preserve">familias_out.json 'carrying channel'; 8/A09.33</t>
  </si>
  <si>
    <t xml:space="preserve">Hanger wire 12 ga - LF = hangers x height per room</t>
  </si>
  <si>
    <t xml:space="preserve">familias_out.json 'hanger wire'; 8/A09.33; S2.20</t>
  </si>
  <si>
    <t xml:space="preserve">5/8" gypsum board, regular (walls + ceilings)</t>
  </si>
  <si>
    <t xml:space="preserve">SF</t>
  </si>
  <si>
    <t xml:space="preserve">4x12 sheet</t>
  </si>
  <si>
    <t xml:space="preserve">familias_out.json '5/8" gyp board regular (walls + ceilings)'; 3/A12.01; 5/A12.01</t>
  </si>
  <si>
    <t xml:space="preserve">5/8" gypsum board, moisture resistant (behind toilet and lavatory)</t>
  </si>
  <si>
    <t xml:space="preserve">familias_out.json '5/8" gyp MOISTURE RESISTANT'; F/A08.01; 6/A12.01</t>
  </si>
  <si>
    <t xml:space="preserve">Ballistic panel UL752 level 2 fiberglass (A1K / B2K customer face)</t>
  </si>
  <si>
    <t xml:space="preserve">4x8 sheet</t>
  </si>
  <si>
    <t xml:space="preserve">familias_out.json 'ballistic panel'; 4/A12.01</t>
  </si>
  <si>
    <t xml:space="preserve">3/8" gyp board over the ballistic panel</t>
  </si>
  <si>
    <t xml:space="preserve">familias_out.json '3/8" gyp board'; 4/A12.01</t>
  </si>
  <si>
    <t xml:space="preserve">5/8" glass mat sheathing (base strip and canopy band)</t>
  </si>
  <si>
    <t xml:space="preserve">familias_out.json '5/8" glass mat sheathing'; 5/A09.26; 7/A09.26</t>
  </si>
  <si>
    <t xml:space="preserve">5/8" exterior gyp sheathing - parapet roof side</t>
  </si>
  <si>
    <t xml:space="preserve">familias_out.json '5/8" EXTERIOR gyp sheathing'; 4/A09.26</t>
  </si>
  <si>
    <t xml:space="preserve">FRT blocking - 2X / plywood plies where labeled FRT</t>
  </si>
  <si>
    <t xml:space="preserve">8 ft</t>
  </si>
  <si>
    <t xml:space="preserve">familias_out.json 'FRT blocking'; 4/A09.26; 8/A12.01</t>
  </si>
  <si>
    <t xml:space="preserve">Metal stud blocking 362CR22 (STUD BLOCKING)</t>
  </si>
  <si>
    <t xml:space="preserve">familias_out.json 'metal stud blocking (362CR / STUD BLOCKING)'; 4/S5.20</t>
  </si>
  <si>
    <t xml:space="preserve">Metal trim - corner bead, casing bead, shadow molding</t>
  </si>
  <si>
    <t xml:space="preserve">trim stick 10 ft</t>
  </si>
  <si>
    <t xml:space="preserve">familias_out.json 'metal trim (corner bead, casing, shadow molding)'; 7/A09.33; 8/A12.01</t>
  </si>
  <si>
    <t xml:space="preserve">Cement board under tile cove base</t>
  </si>
  <si>
    <t xml:space="preserve">3x5 sheet</t>
  </si>
  <si>
    <t xml:space="preserve">familias_out.json 'cement board'; 3/A08.01</t>
  </si>
  <si>
    <t xml:space="preserve">FRP panels 5'-0" A.F.F. at restrooms + mop sink</t>
  </si>
  <si>
    <t xml:space="preserve">familias_out.json 'FRP'; A/A08.01</t>
  </si>
  <si>
    <t xml:space="preserve">Acoustical sealant</t>
  </si>
  <si>
    <t xml:space="preserve">tube (25 LF per tube)</t>
  </si>
  <si>
    <t xml:space="preserve">familias_out.json 'acoustical sealant'; 3/A12.01</t>
  </si>
  <si>
    <t xml:space="preserve">Framed openings MEP - recessed fixtures and air devices in framed ceilings / soffits</t>
  </si>
  <si>
    <t xml:space="preserve">framed_openings_out.json 'framed openings MEP'; E00.01; E02.01; M01.01</t>
  </si>
  <si>
    <t xml:space="preserve">5/8" exterior grade FRT plywood (canopy soffits, fascia, column wraps)</t>
  </si>
  <si>
    <t xml:space="preserve">4x12 ft sheet (Inputs)</t>
  </si>
  <si>
    <t xml:space="preserve">familias_out.json FRT plywood by material; canon rows</t>
  </si>
  <si>
    <t xml:space="preserve">5/8" FRT plywood bonded to 2-1/2" polyiso (exterior sheathing / nailbase)</t>
  </si>
  <si>
    <t xml:space="preserve">3/4" FRT plywood</t>
  </si>
  <si>
    <t xml:space="preserve">Sealant at base of gypsum (exterior, not acoustical)</t>
  </si>
  <si>
    <t xml:space="preserve">familias_out.json acoustical sealant rows 'base of gypsum (exterior)'</t>
  </si>
  <si>
    <t xml:space="preserve">Hanger wire 12 ga - hanger count (one per hanger, height per room)</t>
  </si>
  <si>
    <t xml:space="preserve">PCS</t>
  </si>
  <si>
    <t xml:space="preserve">familias_out.json hanger_pcs.total_pcs; wire bought on the LF row</t>
  </si>
  <si>
    <t xml:space="preserve">Additional head track at openings over 4'-0" wide</t>
  </si>
  <si>
    <t xml:space="preserve">accesorios.py [CRITERION]: HEAD TRACK @ NON LOAD BRG: ADD FULL LENGTH ADDL HEAD TRACK @ OPNG &gt; 4'-0"; Estimator user decision #1: R.O. + 1'-4" (8" bearing each side)</t>
  </si>
  <si>
    <t xml:space="preserve">Stud reinforcement at MEP penetrations</t>
  </si>
  <si>
    <t xml:space="preserve">each</t>
  </si>
  <si>
    <t xml:space="preserve">accesorios.py [CRITERION]: 6/S5.20; M01.01 registered to A02.01 (dx -571.9, dy +21.8 pt); duct edge lines at 1822.82 / 1834.82 pt -&gt; width 8.0" (pair spacing / 1.5 pt per in); 6/S5.20; 6/S5.20; M01.01 registered to A02.01 (dx -571.9, dy +21.8 pt); duct edge lines at </t>
  </si>
  <si>
    <t xml:space="preserve">Extra framing - sistered stud and furring at the ATM recess</t>
  </si>
  <si>
    <t xml:space="preserve">accesorios.py [CRITERION]: 6/A08.11; 5/A08.11</t>
  </si>
  <si>
    <t xml:space="preserve">2-1/2" CFMF @ 16" O.C. at coiling grille head (4/A08.21)</t>
  </si>
  <si>
    <t xml:space="preserve">accesorios.py [DERIVED]: 4/A08.21</t>
  </si>
  <si>
    <t xml:space="preserve">Gypsum board jamb return at openings</t>
  </si>
  <si>
    <t xml:space="preserve">accesorios.py [CRITERION]: Estimator criterion (return width = 6" stud depth, not dimensioned; RFI with delta at 0.20 ft)</t>
  </si>
  <si>
    <t xml:space="preserve">PVC trim - edge trim molding and inside corner molding at the FRP</t>
  </si>
  <si>
    <t xml:space="preserve">accesorios.py [DERIVED]: A,B,C,D/A08.01 '5'-0" TO TOP OF FRP' (WC-3), measured above the cove base (53.9); 1/A08.01 vector polygon: 6 vertices, 1 reflex at the lav-alcove jog (TA-14 wall); key note 6/A05.01 'FRP FROM FLOOR TO 4'-0" AFF, WIDTH TO MATCH WIDTH OF MOP </t>
  </si>
  <si>
    <t xml:space="preserve">Power-driven fasteners and duct sleeves</t>
  </si>
  <si>
    <t xml:space="preserve">accesorios.py [DERIVED]: Parapet infill: PAFs SPACED AT 12" O.C. MAX to the steel beam; M01.01 'R-2 14x14 FD (TYP. 2)' with FD symbol at wall (registered dx -571.9, dy +21.8); 6/S5.20 plate; E12 not framed; M01.01 'R-2 14x14 FD' with FD symbol at wall (registered d</t>
  </si>
  <si>
    <t xml:space="preserve">Access panel 2'x2'</t>
  </si>
  <si>
    <t xml:space="preserve">accesorios.py [CONFIRMED]: A04.01 key note 4 '2' X 2' LOCKING ACCESS PANEL, KEYED TO MATCH MAIN ENTRY' in GB 10'-0" ceiling of 100; M00.01 note 16 / P00.01 note 15 (access panels where required): no other equipment or damper above GWB found on M01.01 (M01.01 general </t>
  </si>
  <si>
    <t xml:space="preserve">Drywall screws 1-1/4" bugle head</t>
  </si>
  <si>
    <t xml:space="preserve">accesorios.py [DERIVED]: Inputs!B20 (Drywall screws per SF of board = 1.2) x 17804.4 SF of board</t>
  </si>
  <si>
    <t xml:space="preserve">Framing screws, pan head self-drilling</t>
  </si>
  <si>
    <t xml:space="preserve">accesorios.py [DERIVED]: Inputs!B21 (Framing screws per stud piece = 4) x 1761 stud pieces</t>
  </si>
  <si>
    <t xml:space="preserve">Power-driven fasteners, slab pins for the bottom track</t>
  </si>
  <si>
    <t xml:space="preserve">accesorios.py [DERIVED]: 503.52 LF of interior bottom track on slab / Inputs!B22 (Power-driven pin spacing (ft) = 1)</t>
  </si>
  <si>
    <t xml:space="preserve">Expansion anchors Hilti 1/4" Kwik Bolt II, exterior bottom track @ 8" O.C.</t>
  </si>
  <si>
    <t xml:space="preserve">accesorios.py [DERIVED]: 218.21 LF of exterior bottom track on slab / Inputs!B25 (Expansion anchor spacing (ft) = 0.6667)</t>
  </si>
  <si>
    <t xml:space="preserve">Joint compound, all purpose</t>
  </si>
  <si>
    <t xml:space="preserve">LB</t>
  </si>
  <si>
    <t xml:space="preserve">lb</t>
  </si>
  <si>
    <t xml:space="preserve">accesorios.py [DERIVED]: Inputs!B23 (Joint compound (lb per SF) = 0.072) x 17804.4 SF of board</t>
  </si>
  <si>
    <t xml:space="preserve">Joint tape, paper</t>
  </si>
  <si>
    <t xml:space="preserve">accesorios.py [DERIVED]: Inputs!B24 (Joint tape (LF per SF) = 0.37) x 17804.4 SF of board</t>
  </si>
  <si>
    <t xml:space="preserve">Level 5 finish</t>
  </si>
  <si>
    <t xml:space="preserve">accesorios.py [DERIVED]: A11.04 WC-18 wall, printed 11-9 1/4" V.I.F.; h = office ceiling 9'-0" ACT-4 (A04.01), elevation 324 pt / 36 = 9.0 ft; A00.40 WC-18 'WALL SURFACE TO BE LEVEL 5'; 4/A11.01 WC-18 wall, printed 11-9 1/4" V.I.F.; h = office ceiling 9'-0" ACT-4 (</t>
  </si>
  <si>
    <t xml:space="preserve">RFI</t>
  </si>
  <si>
    <t xml:space="preserve">Question / condition</t>
  </si>
  <si>
    <t xml:space="preserve">Delta of each alternative</t>
  </si>
  <si>
    <t xml:space="preserve">RFI-ACC-additional-head-track</t>
  </si>
  <si>
    <t xml:space="preserve">additional head track: openings with their own box (openings_extra) &gt; 4'-0": do they also take the additional head track of 2/S5.20?</t>
  </si>
  <si>
    <t xml:space="preserve">100.54 lf</t>
  </si>
  <si>
    <t xml:space="preserve">RFI-ACC-extra-framing-atm</t>
  </si>
  <si>
    <t xml:space="preserve">extra framing ATM: ATM 102: ATM recess not fully dimensioned (width CONFIRMED, sistered height DERIVED, furring rows DERIVED)</t>
  </si>
  <si>
    <t xml:space="preserve">8.18 lf</t>
  </si>
  <si>
    <t xml:space="preserve">RFI-ACC-gypsum-board-jamb-return</t>
  </si>
  <si>
    <t xml:space="preserve">gypsum board jamb return: jamb return width not dimensioned</t>
  </si>
  <si>
    <t xml:space="preserve">-54.69 sf</t>
  </si>
  <si>
    <t xml:space="preserve">RFI-ACC-slab-pins</t>
  </si>
  <si>
    <t xml:space="preserve">slab pins: pin spacing: 12" (interior anchorage) vs 16" (fastener schedule) vs 24" (type K box)</t>
  </si>
  <si>
    <t xml:space="preserve">16in: -125.88 pcs; 24in: -251.76 pcs</t>
  </si>
  <si>
    <t xml:space="preserve">RFI-ACC-stud-reinforcement-mep</t>
  </si>
  <si>
    <t xml:space="preserve">stud reinforcement MEP: duct widths from registered vector spacing; wall assignment ('?') pending the orchestrator; E02.02 conduits assumed &lt;= 1" through knockouts</t>
  </si>
  <si>
    <t xml:space="preserve">+/-1 plate per crossing if a duct &gt;= 16" or a conduit &gt; 1" is found</t>
  </si>
  <si>
    <t xml:space="preserve">RFI-ACC-level-5-finish</t>
  </si>
  <si>
    <t xml:space="preserve">Level 5 finish: WC-20 (key note 9/A05.01) not in the A00.40 legend</t>
  </si>
  <si>
    <t xml:space="preserve">-146.4 SF if no WC-20</t>
  </si>
  <si>
    <t xml:space="preserve">RFI-ACC-pvc-trim-at-frp</t>
  </si>
  <si>
    <t xml:space="preserve">PVC trim at FRP: mop sink width not printed (model TSH-24 = 24"; plan 2'-0")</t>
  </si>
  <si>
    <t xml:space="preserve">+/-2 x 0.5 ft x per 6" change</t>
  </si>
  <si>
    <t xml:space="preserve">RFI-A-C-1</t>
  </si>
  <si>
    <t xml:space="preserve">GWB ceiling carrying channel direction: No GWB ceiling framing plan/detail gives the carrying channel direction. Confirm direction. Assumed: carrying N-S, furring/joists E-W (constants.carrying_direction)</t>
  </si>
  <si>
    <t xml:space="preserve">carrying E-W: furring channel -24.4 LF, carrying +6.2 LF, 3-5/8" joists (104) +11.4 LF (canon run of this fragment)</t>
  </si>
  <si>
    <t xml:space="preserve">RFI-A-C-2</t>
  </si>
  <si>
    <t xml:space="preserve">104 WAITING GWB ceiling system: No RCP bubble. 8/A09.33 (GWB lower than ACT, the 104 condition) and 6/A09.33 (trimless R-11 in GWB) draw 3 5/8" metal stud framing @ 16" O.C. in the GWB ceiling. Confirm stud joists vs furring channel. Assumed: stud_joist (joist_source 8/A09.33, 6/A09.33) with carrying + hangers</t>
  </si>
  <si>
    <t xml:space="preserve">furring channel (E14 default): -408.65 LF 3-5/8" stud, +408.65 LF furring channel (same carrying/hangers)</t>
  </si>
  <si>
    <t xml:space="preserve">RFI-A-C-3</t>
  </si>
  <si>
    <t xml:space="preserve">CSR soffit drop lines: 9/A12.08 and 4/A12.08 show the 3'-5" CSR soffit with ACT-4 9'-0" on BOTH long sides (two stud drops). Typical 10/A09.33 shows a scheduled partition on one side. Which governs? Assumed: 2 drop lines (9/A12.08 called detail; RCP edges both face a ceiling)</t>
  </si>
  <si>
    <t xml:space="preserve">1 drop line (10/A09.33): -69.5 LF 3-5/8" stud, -24.0 LF ceiling/soffit track, -18.0 SF board on drop face, less bracing on those drops</t>
  </si>
  <si>
    <t xml:space="preserve">RFI-A-C-4</t>
  </si>
  <si>
    <t xml:space="preserve">Restroom 113/114 deck zone: Restroom 114 straddles grid B by 0.45 ft (deck break). Hanger height taken from LOW zone. Assumed: LOW B.O.D. 13.052 - 8.5 = 4.552 ft hanger drop for 113 and 114</t>
  </si>
  <si>
    <t xml:space="preserve">HI B.O.D. for 114: +2.323 ft x 12 hangers = +27.9 LF hanger wire</t>
  </si>
  <si>
    <t xml:space="preserve">RFI-A-C-5</t>
  </si>
  <si>
    <t xml:space="preserve">R-11 linear slot framed opening width: E00.01 (Focal Point FSM2L) prints no width; width measured in 6/A09.33 (2.89"). Provide cutsheet. Assumed: 2.89" (6/A09.33 board gap)</t>
  </si>
  <si>
    <t xml:space="preserve">4" opening: +1.1 LF framed openings (6 fixtures)</t>
  </si>
  <si>
    <t xml:space="preserve">RFI-A-C-6</t>
  </si>
  <si>
    <t xml:space="preserve">Slot diffuser (TBDI-10) opening size: M00.03 SD/SDR TITUS TBDI-10 (2) 1" slots, size SEE DRAWING. Opening taken as the drawn face frame (4.32" x 4'-0" / 4.24" x 2'-0"). Assumed: face frame per section (16 sections)</t>
  </si>
  <si>
    <t xml:space="preserve">outer plenum rectangle (7.7" x 4.29' / 7.8" x 2.29'): +18.3 LF framed openings</t>
  </si>
  <si>
    <t xml:space="preserve">RFI-A-C-7</t>
  </si>
  <si>
    <t xml:space="preserve">R-11C / R-11CE length: E00.01 description 12' vs catalog -20'-0". E02.01 and A04.01 draw 12'-0". Assumed: 12'-0" (description = drawn, 60.9)</t>
  </si>
  <si>
    <t xml:space="preserve">20'-0": +64.0 LF framed openings (4 fixtures)</t>
  </si>
  <si>
    <t xml:space="preserve">RFI-A-C-8</t>
  </si>
  <si>
    <t xml:space="preserve">Transition trim at 104 (8/A09.33): A-K transition_trim_per_lf = 4 is from 7/A09.33 (2 corner bead + 2 shadow molding). The 104 GWB/ACT edge follows 8/A09.33, which draws 1 corner L bead + 1 shadow molding. Assumed: A-K constant 4 applied to all transitions (not changed here)</t>
  </si>
  <si>
    <t xml:space="preserve">2 per LF on the 77.03 LF of 104 edges: -154.1 LF metal trim</t>
  </si>
  <si>
    <t xml:space="preserve">RFI-A-C2-1</t>
  </si>
  <si>
    <t xml:space="preserve">UU1-UU6 canopy linear slot framed opening width: E00.01 Coronet LSR-WET-2.5 (UU1-UU6) prints no housing width. 7/A09.26 and 15/16 A09.27 draw a ~4.1" plywood gap. Provide cutsheet rough-in width. Assumed: 4.09 in (7/A09.26 plywood gap)</t>
  </si>
  <si>
    <t xml:space="preserve">2.5 in (catalog token LSR-WET-2.5 read as aperture): -5.57 LF framed openings (42 ends x 1.59 in); 4.5 in rough-in: +1.44 LF framed openings</t>
  </si>
  <si>
    <t xml:space="preserve">RFI-A-C2-2</t>
  </si>
  <si>
    <t xml:space="preserve">UU6 length: E00.01 UU6 = 16' (description and catalog). E02.01 draws 16.33 ft (294 pt / 18). Confirm 16'-0". Assumed: 16.0 ft (schedule, rule 54.1)</t>
  </si>
  <si>
    <t xml:space="preserve">16.33 ft as drawn: +0.67 LF framed openings</t>
  </si>
  <si>
    <t xml:space="preserve">RFI-A-C2-3</t>
  </si>
  <si>
    <t xml:space="preserve">SA-4 screen vent opening in drive-up canopy soffit: A04.01 key note 12 SA-4 SCREEN VENT (3 runs between columns) and 16/A09.27 show a 4" gap in the FRT plywood / plaster soffit. No length printed and no SA-4 spec in the drawings. Confirm continuous 4" x 14'-0" runs and that the opening is framed by the soffit framer. Assumed: framed opening 3 x (2 x 14.04 + 2 x 0.333) = 86.24 LF</t>
  </si>
  <si>
    <t xml:space="preserve">vent by plaster sub in plywood cut only (no framing): -86.24 LF framed openings; individual vents (size unknown): [PENDING]</t>
  </si>
  <si>
    <t xml:space="preserve">RFI-A-K-1</t>
  </si>
  <si>
    <t xml:space="preserve">GWB ceiling framing spacing: A09.33 / A04.01 print no furring channel, carrying channel or hanger spacing for suspended GWB ceilings/soffits. Confirm furring O.C., carrying O.C. and hanger spacing. Assumed: furring 16" O.C., carrying 48" O.C., hangers 48" O.C. (canon criterion)</t>
  </si>
  <si>
    <t xml:space="preserve">furring 24" O.C.: furring LF x 0.667 (-33%); carrying 36" O.C.: carrying rows ROUNDUP((w-1)/3)+1 vs /4: about +33% LF; hangers 36" O.C.: hanger PCS about +33%</t>
  </si>
  <si>
    <t xml:space="preserve">RFI-A-K-2</t>
  </si>
  <si>
    <t xml:space="preserve">Board sheet length for joint blocking: Sheet length not printed (4/S5.20 only 'PROVIDE BLOCKING AT THE EDGE OF GYPBOARD'). Confirm board length. Assumed: 12 ft (4x12 stock): faces &gt; 12 ft get stud blocking (HI zone 15'-4 1/2" and LOW zone 13'-0 5/8" to-deck faces)</t>
  </si>
  <si>
    <t xml:space="preserve">10 ft: adds walls with faces 10-12 ft (none at to-deck heights here; LOW and HI faces already &gt; 12 ft): ~0 LF; 8 ft: adds every wall with a face &gt; 8 ft (ceiling + 6" faces at 9.0 ft): + sum L x rows of those walls</t>
  </si>
  <si>
    <t xml:space="preserve">RFI-A-K-3</t>
  </si>
  <si>
    <t xml:space="preserve">Exterior stud gauge/spacing: 7/S5.20 lists 600S137-33 @ 16" O.C. for EXTERIOR WALLS; S1.11 LIGHT GAUGE n.5 requires 600S162-54 @ 16" O.C. and @ 12" O.C. within 6 ft of building corners. Which governs? Assumed: S1.11 n.5 (600S162-54, @ 12" within 6 ft of building corners, @ 16" elsewhere)</t>
  </si>
  <si>
    <t xml:space="preserve">7/S5.20 600S137-33 @ 16" everywhere: corner zones: -(ROUNDUP(6/1)-ROUNDUP(6/1.333)) = -1 to -2 studs per corner side per 6 ft; gauge 33 mil vs 54 mil (same LF)</t>
  </si>
  <si>
    <t xml:space="preserve">RFI-A-K-4</t>
  </si>
  <si>
    <t xml:space="preserve">K-wall studs (A1K/A5K/B2K): 4/A12.01 '14 GA. METAL STUDS @ 24" O.C. MAX' vs 7/S5.20 interior 362S137-33 @ 16" O.C. Confirm gauge and spacing. Assumed: 14 GA @ 16" O.C. (heavier gauge of the detail, tighter spacing of S5.20)</t>
  </si>
  <si>
    <t xml:space="preserve">14 GA @ 24" O.C.: field studs x 0.67 on K walls; 362S137-33 @ 16": same count, lighter gauge</t>
  </si>
  <si>
    <t xml:space="preserve">RFI-A-K-5</t>
  </si>
  <si>
    <t xml:space="preserve">B2K not in schedule: Tag B2K appears on A02.01 (teller line north wall) but A12.01 has no B2K row/detail. Confirm composition. Assumed: B2 (1/A12.01) + K panel (4/A12.01): 6" stud, 5/8" both faces to deck, 3/8" fiberglass to 8'-0" + 3/8" gyp to deck on customer face; thickness 7 5/8" (= A5K; measured 7.68")</t>
  </si>
  <si>
    <t xml:space="preserve">A5K: 0 (identical composition); B2 without kevlar: ballistic -L x 8.0 SF, 3/8" gyp -L x (B.O.D.-8.0) SF</t>
  </si>
  <si>
    <t xml:space="preserve">RFI-A-K-6</t>
  </si>
  <si>
    <t xml:space="preserve">C1 height: 6/A12.01 shows a break line at top with no structure/ceiling label. Confirm C1 stud/board height. Assumed: studs and one 5/8" layer to deck (60.11 / 53.3)</t>
  </si>
  <si>
    <t xml:space="preserve">to ceiling + 6": board -L x (B.O.D. - ceiling - 0.5) SF; studs shorter by same</t>
  </si>
  <si>
    <t xml:space="preserve">RFI-A-K-7</t>
  </si>
  <si>
    <t xml:space="preserve">G/G1 1-5/8" studs: 1 5/8" stud gauge and spacing not printed (5/A12.01, 7/S5.20). Top of 5/A12.01 unlabeled. Assumed: 2 rows 1 5/8" @ 16" O.C. to underside of deck (8,9/A12.01 notes)</t>
  </si>
  <si>
    <t xml:space="preserve">@ 24" O.C.: G studs x 0.67</t>
  </si>
  <si>
    <t xml:space="preserve">RFI-A-K-8</t>
  </si>
  <si>
    <t xml:space="preserve">6" interior studs: A5/B2/A8/A5K/B2K 6" studs: 7/S5.20 lists 600S137-33 only as EXTERIOR WALLS. Confirm interior 6" profile. Assumed: 600S137-33 @ 16" O.C.</t>
  </si>
  <si>
    <t xml:space="preserve">other gauge: 0 LF; material grade only</t>
  </si>
  <si>
    <t xml:space="preserve">RFI-A-K-9</t>
  </si>
  <si>
    <t xml:space="preserve">Interior track anchorage spacing: 3/S5.20 PAF @ 16" O.C. (levels 1-3) vs 7/S5.20 Hilti DNI @ 12" O.C. vs 4/A12.01 @ 24" O.C. alternating (K walls). Assumed: 12" O.C. (closest, A13)</t>
  </si>
  <si>
    <t xml:space="preserve">16" O.C.: slab pins x 0.75; 24" O.C. on K walls: K-wall pins x 0.5</t>
  </si>
  <si>
    <t xml:space="preserve">RFI-A-K-10</t>
  </si>
  <si>
    <t xml:space="preserve">Exterior non-load-bearing headers: 7/S5.20 header schedule has rows only for LOAD BEARING (interior and exterior) and NON LOAD BRG INTERIOR. Exterior CFMF walls are non-load-bearing (S1.11 n.2). Which row for exterior openings without HSS lintel? Assumed: exterior openings with HSS/steel lintel (S2.20 HSS9x5x5/8 LLV) = steel by others (E16); others: 'BELOW ROOF STRUCTURE' rows 2-60CSJ18/16/14 (2 pieces)</t>
  </si>
  <si>
    <t xml:space="preserve">non-load-bearing interior rows: same pieces (1-2), lighter members; LF (R.O.+1'-4") x 1 instead of x 2 for R.O. &lt;= 3'-4"</t>
  </si>
  <si>
    <t xml:space="preserve">RFI-A-K-11</t>
  </si>
  <si>
    <t xml:space="preserve">LOW zone slope height: LOW zone slopes 13'-0 5/8" (B) to 12'-6 3/8" (A). REFERENCIA 'HEIGHT DE DECK' says use the high end for the zone; 59.13 says interpolate per wall at its high end. Assumed: deck_zones.LOW = 13.052 ft (high end); per-wall formula given in deck_zones.LOW.source</t>
  </si>
  <si>
    <t xml:space="preserve">per-wall interpolation: studs/board -0.0206 ft per ft south of B (up to -0.521 ft at grid A) per stud / per SF</t>
  </si>
  <si>
    <t xml:space="preserve">RFI-A-K-12</t>
  </si>
  <si>
    <t xml:space="preserve">Canopy B.O.D. typo: S2.20 prints 'B.O.D. EL. 111' - 9" TYP. @ CANOPY'. Read as 11'-9" (A09.23 T/STEEL 11'-9"). Assumed: 11'-9"</t>
  </si>
  <si>
    <t xml:space="preserve">as printed: not buildable; 0 for interior partitions</t>
  </si>
  <si>
    <t xml:space="preserve">RFI-A-K-14</t>
  </si>
  <si>
    <t xml:space="preserve">G wall top sealant: 5/A12.01 draws no top bead; 8/9/A12.01 (same G construction) draw SEALANT at underside of structure both faces. Assumed: G top_faces 0 (59.12, per type detail)</t>
  </si>
  <si>
    <t xml:space="preserve">top beads both faces: + L x 2 LF acoustical sealant on G walls</t>
  </si>
  <si>
    <t xml:space="preserve">RFI-A-M-1</t>
  </si>
  <si>
    <t xml:space="preserve">Blocking piece length / rows not dimensioned: Wall stops, small wall-mounted equipment, toilet accessories other than grab bars, ladder brackets and grille jambs: blocking length/rows are not dimensioned. Confirm. Assumed: one 16" O.C. stud-bay piece (1.333 ft) per item narrower than a bay; printed width otherwise; one row</t>
  </si>
  <si>
    <t xml:space="preserve">24" piece per item: +0.667 ft per bay-size item (about +40 LF in total); 2 rows per item: x2 on the bay-size items (about +60 LF)</t>
  </si>
  <si>
    <t xml:space="preserve">RFI-A-M-2</t>
  </si>
  <si>
    <t xml:space="preserve">Material of equipment / wall stop / locker / ladder blocking: Note C/A02.01, note D/A00.30, key notes 5/A02.01 and 9/A04.01 say PROVIDE BLOCKING without material. Assumed: metal stud blocking 362CR22 (4/S5.20, 58.6)</t>
  </si>
  <si>
    <t xml:space="preserve">FRT wood (as toilet rooms note E/A08.01): same LF moves from metal to FRT blocking</t>
  </si>
  <si>
    <t xml:space="preserve">RFI-A-M-3</t>
  </si>
  <si>
    <t xml:space="preserve">Millwork blocking rows and material: Note D/A12.03-A12.06 says FRTW blocking at all millwork cleats; 3/A12.04 and 10/A12.06 say PRESSURE TREATED blocking for shelving units. Rows per unit not drawn. Assumed: FRTW; 2 rows for full-height / base + upper units, 1 row for counters</t>
  </si>
  <si>
    <t xml:space="preserve">1 row everywhere: about -63 LF FRT blocking; pressure treated at shelving units: material only, 0 LF</t>
  </si>
  <si>
    <t xml:space="preserve">RFI-A-M-4</t>
  </si>
  <si>
    <t xml:space="preserve">WC-20 Level 5 at 24 HR Vestibule: Key note 9/A05.01 asks Level 5 for wallcovering WC-20 at the 24 HR Vestibule F wall, but WC-20 is not in the A00.40 finish legend and the face is tagged P-24. Confirm WC-20 and its extent. Assumed: Level 5 on the full F-wall vestibule face (15.21 ft x (10.0 - 0.375))</t>
  </si>
  <si>
    <t xml:space="preserve">no WC-20 (paint P-24 only): -146.4 SF Level 5</t>
  </si>
  <si>
    <t xml:space="preserve">RFI-A-M-5</t>
  </si>
  <si>
    <t xml:space="preserve">Monitor blocking height: 13/A12.02 draws 3/4" FRT plywood blocking 11" high; key note 24/A03.01 says 18" high. Assumed: one piece 3.687 ft long (LF unchanged)</t>
  </si>
  <si>
    <t xml:space="preserve">18" high: 0 LF; wider board</t>
  </si>
  <si>
    <t xml:space="preserve">RFI-A-M-6</t>
  </si>
  <si>
    <t xml:space="preserve">Restroom width 11'-7 1/2" (A08.01) vs 11'-8" (A02.01): Confirm restroom width; tile base / FRP use the enlarged plan dimension. Assumed: 11'-7 1/2" (1/A08.01)</t>
  </si>
  <si>
    <t xml:space="preserve">11'-8": +0.083 ft perimeter per room; FRP +0.83 SF per room</t>
  </si>
  <si>
    <t xml:space="preserve">RFI-A-M-7</t>
  </si>
  <si>
    <t xml:space="preserve">Duct sizes from vector: Duct widths in walls taken from the registered edge spacing on M01.01, not from labels; ducts above ceiling cross A1 studs that run to structure. Assumed: vector widths (8"-14"), 1 stud cut each at 16" O.C.</t>
  </si>
  <si>
    <t xml:space="preserve">ducts above A1 board line not counted: -1 plate per A1 crossing</t>
  </si>
  <si>
    <t xml:space="preserve">RFI-A-O-1</t>
  </si>
  <si>
    <t xml:space="preserve">Vestibule box headers size: 4-7/A12.10 say 'METAL STUD FRAMING &amp; BOX HEADER AS NEEDED' without member size. Confirm box header member (3 5/8" or 6") and whether required at both storefront lines. Assumed: box header counted (E11), 4 pieces 3 5/8", vestibule S 15'-7 3/4" and vestibule E 6'-5"</t>
  </si>
  <si>
    <t xml:space="preserve">no box header (storefront self-supporting): -(15.646+1.333)x4 - (6.417+1.333)x4 = -98.9 LF header; 6" box: same LF, 6" members</t>
  </si>
  <si>
    <t xml:space="preserve">RFI-A-O-2</t>
  </si>
  <si>
    <t xml:space="preserve">Vestibule head stud size: Stud size/gauge over vestibule storefronts not printed (4-7/A12.10). Confirm. Assumed: 3 5/8" 362S137-33 @ 16" (7/S5.20 interior, 53.3)</t>
  </si>
  <si>
    <t xml:space="preserve">6" studs: same LF moved to 6" family (A-VH-S 13 studs x 5.375, A-VH-E 6 x 4.383)</t>
  </si>
  <si>
    <t xml:space="preserve">RFI-A-O-3</t>
  </si>
  <si>
    <t xml:space="preserve">CSR teller opening 116 head: 12'-0 1/4" R.O. HOLD (1/A12.08) between A1K stubs: is there a wall above the CSR soffit to deck needing a header? Assumed: no header; head = CSR framed soffit 9/A12.08</t>
  </si>
  <si>
    <t xml:space="preserve">box header 4 pc: +(12.021+1.333)x4 = +53.4 LF header + cripples above</t>
  </si>
  <si>
    <t xml:space="preserve">RFI-A-O-4</t>
  </si>
  <si>
    <t xml:space="preserve">Vestibule east head height under W12x14: Grid 4 storefront head sits under W12x14 (S2.20). Confirm studs stop under beam vs deck. Assumed: stop under beam: 4.383 ft (E26)</t>
  </si>
  <si>
    <t xml:space="preserve">to deck 5.375 ft: +0.992 ft x 6 studs = +5.95 LF 3 5/8"</t>
  </si>
  <si>
    <t xml:space="preserve">RFI-A-O-5</t>
  </si>
  <si>
    <t xml:space="preserve">Drive-up ATM R.O. width: 7/A08.11 plan R.O. 2'-2 1/2" vs 5/A08.11 elevation 2'-2 1/8" (26.4"). Confirm. Assumed: 2'-2 1/2" (larger)</t>
  </si>
  <si>
    <t xml:space="preserve">2'-2 1/8": -0.031 ft x 4 pc header = -0.13 LF; sill -0.06 LF</t>
  </si>
  <si>
    <t xml:space="preserve">RFI-A-W1-1</t>
  </si>
  <si>
    <t xml:space="preserve">A1K customer side (4/A12.01 CUSTOMER SIDE fiberglass): A02.01 / 1/A12.08 do not mark which face of the CSR-line kevlar end walls is the customer side. Confirm the face that gets the 3/8" UL752 fiberglass panel. Assumed: face toward the CSR teller pod / customer alcove (A-A1K-01 south, A-A1K-02 north, A-A1K-03 north) with the two customer-side jogs at x 1653.96 pt; contour 10.241 ft (B2K face added by W2)</t>
  </si>
  <si>
    <t xml:space="preserve">outer faces (away from the pod: A-A1K-01 north, A-A1K-02/03 south, jog at x 1661.76): ballistic/3/8 SF ~0 (same lengths; jog 0.58 ft either way); north jog of 0.58 ft moves to the B2K side</t>
  </si>
  <si>
    <t xml:space="preserve">RFI-A-W1-2</t>
  </si>
  <si>
    <t xml:space="preserve">A-A1K-01 non-customer face in a 3" cavity: A-A1K-01 runs 3.3" south of the office 108 G wall (cavity y 1115.76-1120.68 pt closed at both ends). 4/A12.01 calls 5/8" both faces; the cavity face cannot be finished. Confirm board on that face. Assumed: 5/8" on both faces per 4/A12.01 (more material, 53.3)</t>
  </si>
  <si>
    <t xml:space="preserve">omit cavity face: -3.417 x 15.375 = -52.5 SF 5/8" regular</t>
  </si>
  <si>
    <t xml:space="preserve">RFI-A-W1-3</t>
  </si>
  <si>
    <t xml:space="preserve">Walls under S2.20 beams (E26): A-A5-01/-04 (grid 6/5, W14x30 HI) and A-A5-02/-05, A-A1-06, A-A1-07, A-A5-06 (W14x22 LOW) lie under beam lines (vigas_sobre_walls.py). 3/A12.01 says studs to 'UNDERSIDE OF STRUCTURE'. Confirm studs stop under the beam. Assumed: stops_under_beam: HI 15.375 - 1.15 = 14.225; LOW 13.052 - 1.142 = 11.910 (E26)</t>
  </si>
  <si>
    <t xml:space="preserve">studs to B.O.D. beside the beam: +1.15 ft per stud on A-A5-01/-04, +1.142 ft per stud on the LOW walls; board faces of A-A1-06 in 120/121 +1.142 x 13.94 ft = +15.9 SF</t>
  </si>
  <si>
    <t xml:space="preserve">RFI-A-W2-1</t>
  </si>
  <si>
    <t xml:space="preserve">C1 column boxes at grid G (exterior faces): C1 boxes at G/2 and G/4 (PT0031, PT0030) protrude north of the vestibule storefront; 6/A12.01 shows board on one face only and no exterior finish. Confirm finish of the exterior faces. Assumed: studs on the full box perimeter; 5/8" board only on vestibule (interior) faces; exterior faces by cladding trade</t>
  </si>
  <si>
    <t xml:space="preserve">5/8" board / exterior sheathing on exterior faces: +5.261 + 5.801 = 11.06 LF x 15.375 ft = +170 SF</t>
  </si>
  <si>
    <t xml:space="preserve">RFI-A-W2-2</t>
  </si>
  <si>
    <t xml:space="preserve">B2K extent at A1K corner: B2K (PA0011) hatched band runs from x 1622.04 to the G end cap 1661.76 (2.207 ft); the A1K teller west wall face is at 1653.96. Confirm where B2K ends. Assumed: 1.773 ft (to A1K face, 59.3)</t>
  </si>
  <si>
    <t xml:space="preserve">2.207 ft (to G end cap): +0.434 LF B2K (studs/track/board both faces x 15.375, ballistic +0.434 x 8 SF)</t>
  </si>
  <si>
    <t xml:space="preserve">RFI-A-W2-4</t>
  </si>
  <si>
    <t xml:space="preserve">B walls under roof-hatch beams: S2.20 roof-hatch framing (W8x10 at A y~1510, W14x22 at A y~1586, ~6'-0 1/2" long) sits over the west 5.29 ft of A-B-04 and A-B-05. Do those studs stop under the beams? Assumed: full wall at B.O.D. 13.052 ft</t>
  </si>
  <si>
    <t xml:space="preserve">stop under beams over 5.287 ft: A-B-04: studs -(ROUNDUP(5.287/1.333)+1) x 0.658 ft = -3.3 LF, board -5.287 x 0.658 x 2 = -7.0 SF; A-B-05: -5 x 1.142 = -5.7 LF stud, -12.1 SF board</t>
  </si>
  <si>
    <t xml:space="preserve">RFI-A-W2-3</t>
  </si>
  <si>
    <t xml:space="preserve">Customer side of B2K: Which face of B2K (between Office 108 front and Waiting 104) receives the ballistic panel? Assumed: Waiting 104 (south) face = customer side</t>
  </si>
  <si>
    <t xml:space="preserve">Office 108 face: 0 SF (same length), face swap only</t>
  </si>
  <si>
    <t xml:space="preserve">RFI-A-W3-1</t>
  </si>
  <si>
    <t xml:space="preserve">Office front CONT. BOX BEAM run length: 8,9/A12.01 call a CONT. BOX BEAM over the vendor office fronts; no run length is printed. Does the box beam run continuous from the first to the last office front jamb of each front (across the G/G1 stubs), only over the 7'-6" clear openings, or one box per opening? Assumed: One continuous run per front (user decision #22), first jamb to last jamb: east (105-108) 39.973 ft, west (109-110) 18.507 ft; 4 pieces; header LF = (run + 1'-4") x 4 = east 165.23 / west 79.36. FRT plywood blocking under the box carried only where the bulkhead soffit exists (30.0 / 15.0 LF).</t>
  </si>
  <si>
    <t xml:space="preserve">continuous run = sum of openings only (4 x 7'-6" / 2 x 7'-6"): header east (30.0 + 1.333) x 4 = 125.33 (-39.89 LF); west (15.0 + 1.333) x 4 = 65.33 (-14.03 LF); one box per opening: header east 4 x (7.5 + 1.333) x 4 = 141.33 (-23.89 LF); west 2 x 8.833 x 4 = 70.67 (-8.69 LF); plywood blocking along the full box run: FRT blocking +9.97 LF east, +3.51 LF west</t>
  </si>
  <si>
    <t xml:space="preserve">RFI-A-W3-2</t>
  </si>
  <si>
    <t xml:space="preserve">Office front walls under S2.20 beams (E26): S2.20: W12x14 on grid 7 (zone F-E) lies on the east front axis; W14x30 (zone E-B) is drawn ~3.8" east of grid 7, so its flange covers only the east stud row of the 6 1/8" front; W8x10 members cover part of three demising walls. Confirm where the G/G1 studs and 2 layers stop. Assumed: vigas_sobre_walls.py coverage &gt;= 50% -&gt; stops_under_beam: W12x14 (14.383 ft) A-G-01, A-G-02, A-BH-E1, A-BH-E2; W14x30 (14.225 ft) A-G-03 (55%), A-G-04, A-BH-E3, A-BH-E4. Coverage &lt; 50% kept to deck 15.375 ft: A-G1-05 (W8x10, 3.35 ft of 11.77), A-G-09 (W8x10, 3.82 ft), A-G-10 (W8x10, 3.36 ft).</t>
  </si>
  <si>
    <t xml:space="preserve">W14x30 offset: west stud row and lobby face run to deck (only east row stops under the flange): approx +1.15 ft x west-row studs (A-G-03 4, A-G-04 4, A-BH-E3 7, A-BH-E4 7 = 22 studs -&gt; +25.3 LF 1-5/8") and +L x 1.15 x 2 layers on the lobby face (+49.5 SF 5/8"); portions under W8x10 stop under the beam (d 7.89"): about -0.657 ft x the studs under the beam (approx 6-8 per wall, -12 LF 1-5/8" total) and -covered L x 0.657 x 2 layers x 2 faces (-27.6 SF)</t>
  </si>
  <si>
    <t xml:space="preserve">RFI-A-W3-3</t>
  </si>
  <si>
    <t xml:space="preserve">Office bulkhead stud length: 8,9/A12.01 do not dimension the CONT. BOX BEAM depth or the bulkhead studs; the studs sit on the box beam (drawn about 5" deep + 3/4" plywood). Assumed: Studs = full band from HOLD 8'-0 1/2" to deck/beam (53.3, more material): 7.333 / 6.342 / 6.183 ft</t>
  </si>
  <si>
    <t xml:space="preserve">studs = band - box depth (~5" scaled, not printed) - 3/4" plywood: about -0.47 ft x 84 bulkhead studs (6 bulkheads x 7 per row x 2 rows) = -39.5 LF 1-5/8" stud; board unchanged (faces wrap the box)</t>
  </si>
  <si>
    <t xml:space="preserve">RFI-A-W3-4</t>
  </si>
  <si>
    <t xml:space="preserve">Office bulkhead shadow molding, office side: 8,9/A12.01 label SHADOW MOLDING - AS SPECIFIED at the Central Zone (lobby) ceiling; the same profile is drawn without label at the office ceiling. Is it shadow molding by drywall on both faces? Assumed: Both faces (drawn): 2 x 30.0 LF east + 2 x 15.0 LF west = 90.0 LF</t>
  </si>
  <si>
    <t xml:space="preserve">lobby side only: -45.0 LF metal trim</t>
  </si>
  <si>
    <t xml:space="preserve">RFI-A-W3-5</t>
  </si>
  <si>
    <t xml:space="preserve">Untagged office front stubs: Two stubs on the office front lines have no partition tag: east front north end (A-G-01, 2.42 ft, between the north exterior wall and office 105 front) and the office 110 SW corner stub (A-G1-13, 3.18 ft). Note A/A02.01 says untagged partitions are A1. Assumed: Typed by measured thickness (55.4): A-G-01 = G (9.24 pt = 6.16"), A-G1-13 = G1 (12.72 pt = 8.48", same as tagged G1 stub PT0049); both carry the 10/A12.01 jamb.</t>
  </si>
  <si>
    <t xml:space="preserve">A1 (note A): per stub: 1 row 3-5/8" instead of 2 rows 1-5/8" (A-G-01: -3 studs x 14.38 ft 1-5/8" net of +3 x 15.375 3-5/8"; A-G1-13: similar), board 1 layer per face to ceiling + 6" instead of 2 layers to deck: about -87 SF (A-G-01) and -127 SF (A-G1-13)</t>
  </si>
  <si>
    <t xml:space="preserve">RFI-A-X1a-1</t>
  </si>
  <si>
    <t xml:space="preserve">Studs of A-EXT-01 under the col-2 HSS lintel: S2.20 shows HSS9x5x5/8 (LLV) B.O.S. 8'-7 1/2" along grid 2 from G to E, over the 24 HR Vestibule 101 wall part (y 454-732 pt). Do the 6" studs run full height to the W12x19 (HI) deflection track, or stop under the HSS with cripples above? Assumed: continuous studs to the W12x19 (HI): 14.358 ft (more material, 53.3)</t>
  </si>
  <si>
    <t xml:space="preserve">studs split at the HSS (8'-7 1/2" below + 9'-4 1/2" to beam above): about -0.75 ft per stud on ~(15.6 ft / 1.333 + 1) = 13 studs = ~-10 LF 6" stud; +2 x 15.6 LF track</t>
  </si>
  <si>
    <t xml:space="preserve">RFI-A-X1a-2</t>
  </si>
  <si>
    <t xml:space="preserve">ATM 102 sill datum: 6/A08.11 dimensions the R.O. sill 2'-8 1/8" above the FINISHED DRIVE-LANE, not T/SLAB. Confirm interior slab vs drive-lane offset. Assumed: sill_ft 2.677 / head_ft 5.281 above the reference used for the wall (no offset)</t>
  </si>
  <si>
    <t xml:space="preserve">slab 6" above drive lane: cripples below the R.O.: 1 x -0.5 ft; above: +0.5 ft (net 0 LF)</t>
  </si>
  <si>
    <t xml:space="preserve">RFI-A-X1a-3</t>
  </si>
  <si>
    <t xml:space="preserve">Storefront pier 6" CFMF stud count: 1/A09.25 and 2/A09.25 draw the 6" CFMF exterior L of each pier without stud count or spacing. Confirm studs per pier. Assumed: 2 x 6" studs per pier (members pointed by the '6" CFMF' leaders) x 14.358 ft</t>
  </si>
  <si>
    <t xml:space="preserve">studs @ 16" on each leg + corners (~4 per pier): +2 studs x 14.358 = +28.7 LF per pier (+57.4 LF total)</t>
  </si>
  <si>
    <t xml:space="preserve">RFI-A-X1a-4</t>
  </si>
  <si>
    <t xml:space="preserve">Exterior storefront head over SF-1 / SF-2 / SF-3: Only 2/A09.26 (at grid 2) details the storefront head; SF-1 (line F cols 4-7) has no own head callout. Confirm 2/A09.26 (steel header + 6" studs above) applies to SF-1. Assumed: 2/A09.26 for all three storefronts (HSS lintels on S2.20 at G cols 2-4, F cols 4-7, col 2 G-E): steel by others, 6" cripples above</t>
  </si>
  <si>
    <t xml:space="preserve">11/A09.27 metal stud box beam: header + (26.25 + 1.333) x 4 = +110.3 LF on SF-1</t>
  </si>
  <si>
    <t xml:space="preserve">RFI-A-X1b-1</t>
  </si>
  <si>
    <t xml:space="preserve">Parapet height on LOW sloped roof: LOW roof slopes 13'-0 5/8" (B) to 12'-6 3/8" (A). Parapet infill / roof-side sheathing height on grids 3 and 8 south of B: average of the segment (55.3) or high/low end? Assumed: average B.O.D. per segment: h = 4.624 ft on 3S and 8S; grid A 4.885 ft</t>
  </si>
  <si>
    <t xml:space="preserve">low end of deck (B.O.D. 12'-6 3/8"): +0.261 ft x 2 runs x 25.16 ft (studs and ext. gyp); high end (B.O.D. 13'-0 5/8"): -0.260 ft on the same runs</t>
  </si>
  <si>
    <t xml:space="preserve">RFI-A-X1b-2</t>
  </si>
  <si>
    <t xml:space="preserve">3/4" FRT plywood width at exterior openings: 2/A09.26, 11/A09.27, 10/A09.27, 14/A09.27, 3/A09.25, 4/A09.25 show 3/4" FRT PLYWOOD at heads, sills and jambs without width. Confirm width. Assumed: 6" (stud depth)</t>
  </si>
  <si>
    <t xml:space="preserve">9" (stud + polyiso/nailbase depth): +50% SF of the strips</t>
  </si>
  <si>
    <t xml:space="preserve">RFI-A-X1b-3</t>
  </si>
  <si>
    <t xml:space="preserve">Drive-up canopy soffit joist direction: 16/A09.27 does not show the joist direction of the drive-up canopy soffit (cols 1-3). Joists E-W (wall to fascia) or N-S between steel beams? Assumed: E-W (perpendicular to the wall, like 7/A09.26)</t>
  </si>
  <si>
    <t xml:space="preserve">N-S: joists ROUNDUP(21.0/1.333)+1 = 17 x 49.4 ft mean vs 43 x 18.66 ft: about +36 LF 3-5/8"</t>
  </si>
  <si>
    <t xml:space="preserve">RFI-A-X1b-4</t>
  </si>
  <si>
    <t xml:space="preserve">Glass mat band behind drive-up canopy: 15/A09.27 (drive-up canopy at wall) draws the same layer that 7/A09.26 / 3/A09.26 label '5/8" GLASS-MAT SHEATHING' but without label. Confirm glass mat at grids 2/3 behind the canopy. Assumed: glass mat band included (W1 + W2)</t>
  </si>
  <si>
    <t xml:space="preserve">nailbase continuous: -117.5 SF glass mat, + same SF nailbase</t>
  </si>
  <si>
    <t xml:space="preserve">RFI-A-X1b-5</t>
  </si>
  <si>
    <t xml:space="preserve">Canopy band height: 7/A09.26 prints B/STUD 10'-8 5/8" (fascia) and 10'-7 1/4" (soffit). Band at the wall taken T/STUD 12'-7" - 10'-7 1/4". Assumed: 1.979 ft</t>
  </si>
  <si>
    <t xml:space="preserve">12'-7" - 10'-8 5/8" = 1.865 ft: -0.115 ft x band LF (glass mat -, nailbase +)</t>
  </si>
  <si>
    <t xml:space="preserve">RFI-A-X1b-6</t>
  </si>
  <si>
    <t xml:space="preserve">Tower return at col 4: A02.02 draws a parapet return on col 4 from G to 3'-7" south of F (key note 10 ACM COPING). Confirm it is full T.O. PARAPET 2 height. Assumed: T/STUD HP 19'-8" over its full length</t>
  </si>
  <si>
    <t xml:space="preserve">LP 17'-5": -2.25 ft x 3.95 ft parapet studs and roof-side sheathing</t>
  </si>
  <si>
    <t xml:space="preserve">RFI-A-X1b-7</t>
  </si>
  <si>
    <t xml:space="preserve">Cladding substrates (60.4): ACM panels EPS-1/EPS-3, formed metal wall panel EPS-5 on 7/8" hat channel, stucco PT-3 / PT-4 and their lath/screeds are by the cladding installer. Confirm exclusion. Assumed: EXCLUDED</t>
  </si>
  <si>
    <t xml:space="preserve">included: 7/8" hat channel LF over EPS-5 areas (N2/E/S, about 16" O.C. horizontal) - not quantified</t>
  </si>
  <si>
    <t xml:space="preserve">RFI-A-X1b-8</t>
  </si>
  <si>
    <t xml:space="preserve">Exterior opening sizes: Storefront / window / ATM widths are not dimensioned on the elevations; taken from A02.01 vectors (N1, N2) and scaled elevations (W1, W2, E, S). Assumed: as listed in facades[].openings_detail</t>
  </si>
  <si>
    <t xml:space="preserve">door / window schedule sizes: +/- (dW x H) SF nailbase per opening</t>
  </si>
  <si>
    <t xml:space="preserve">RFI-ORQ-1</t>
  </si>
  <si>
    <t xml:space="preserve">East office front: a 4" G piece under bulkhead E4, on top of the B2K wall, was taken by neither reading. Is it framed (G double row)?</t>
  </si>
  <si>
    <t xml:space="preserve">+0.333 LF G wall (2 rows): +0.67 LF 1-5/8" bottom and top track, +2 studs</t>
  </si>
  <si>
    <t xml:space="preserve">RFI-ORQ-2</t>
  </si>
  <si>
    <t xml:space="preserve">Office bulkhead bottom corner bead: only under the 7'-6" openings (Σ bulkheads 30.0 east / 15.0 west, loaded) or along the full front (41.0 / 21.0)?</t>
  </si>
  <si>
    <t xml:space="preserve">+34.0 LF corner bead if it runs the full front</t>
  </si>
  <si>
    <t xml:space="preserve">RFI-ORQ-3</t>
  </si>
  <si>
    <t xml:space="preserve">West perimeter: S2.20 draws W12x19 (HI) and W16x26 (CANOPY) side by side. Studs of A-EXT-01 / A-EXT-04a stop under the roof beam W12x19 (loaded).</t>
  </si>
  <si>
    <t xml:space="preserve">-0.29 ft per stud on A-EXT-01 and A-EXT-04a if they stop under the W16x26</t>
  </si>
  <si>
    <t xml:space="preserve">RFI-ORQ-4</t>
  </si>
  <si>
    <t xml:space="preserve">A12.01 partition schedule: FIRE RATING '--' and U.L. NUMBER '--' for every type, but M01.01 shows 4 fire dampers in walls. Confirm no rated partition (no Type X board, no rated joints).</t>
  </si>
  <si>
    <t xml:space="preserve">n/a: if rated, board type changes to Type X on the affected walls (SF unchanged) and fire-rated joint sealant is added</t>
  </si>
  <si>
    <t xml:space="preserve">RFI-ORQ-5</t>
  </si>
  <si>
    <t xml:space="preserve">Partition grouping in the Partition Takeoff sheet: particion.py MODO_DEFAULT (straight-segment mode) used (protocol). A message from another session asked for mode 'run'; not applied without the estimator's order.</t>
  </si>
  <si>
    <t xml:space="preserve">n/a: grouping of rows only; LF and materials unchanged</t>
  </si>
  <si>
    <t xml:space="preserve">RFI-ORQ-6</t>
  </si>
  <si>
    <t xml:space="preserve">CSR soffit '5/8" FIRE TREATED PLYWOOD BLOCKING' (9/A12.08) drawn across the soffit underside: loaded as FRT blocking 12.013 LF (labeled blocking, D5). Confirm it is not a full plywood panel.</t>
  </si>
  <si>
    <t xml:space="preserve">+41.0 SF 5/8" FRT plywood if a full panel (12.013 x 3.413) instead of 12.013 LF of blocking</t>
  </si>
  <si>
    <t xml:space="preserve">RFI-ORQ-7</t>
  </si>
  <si>
    <t xml:space="preserve">MW01 printer alcove (A02.01, 3'-1 1/2" front; B3/A12.03 'REFER TO DEPTH OF DRYWALL ON PLAN'): is there a gypsum bulkhead over the alcove opening? Not loaded (cabinet top height not printed).</t>
  </si>
  <si>
    <t xml:space="preserve">+~36 SF 5/8" gyp board (3.127 x (4.0 + 7.375)) + ~3.1 LF header/track + ~6 studs (3-5/8") if a bulkhead is built</t>
  </si>
  <si>
    <t xml:space="preserve">RFI-ORQ-8</t>
  </si>
  <si>
    <t xml:space="preserve">TA-13 hand dryer recess kit measures 15.1" (A08.01 vector) &gt; 14 5/8" stud bay: framed with header + sill track (58.4) or a standard recess between studs? Not loaded: rule 60.5 'recessed accessories are not header'.</t>
  </si>
  <si>
    <t xml:space="preserve">+5.2 LF header + 5.2 LF sill track (2 units x (1.26 + 1.333))</t>
  </si>
  <si>
    <t xml:space="preserve">RFI-ORQ-9</t>
  </si>
  <si>
    <t xml:space="preserve">Fascia box (7/A09.26, 3/A09.26): does the 5/8" ext. grade FRT plywood wrap the fascia top and inner face above the canopy roof? Only the outer face is loaded.</t>
  </si>
  <si>
    <t xml:space="preserve">+119 to +238 SF 5/8" ext. grade FRT plywood</t>
  </si>
  <si>
    <t xml:space="preserve">RFI-ORQ-10</t>
  </si>
  <si>
    <t xml:space="preserve">ATM 102 recess (6/A08.11): 'FIBER CEMENT PANEL ON FURRING ON 5/8" FRT PLYWOOD' lining; plywood not loaded (fiber cement is Div 07; plinth is GC rough carpentry).</t>
  </si>
  <si>
    <t xml:space="preserve">+7.4 to +13 SF 5/8" FRT plywood</t>
  </si>
  <si>
    <t xml:space="preserve">RFI-ORQ-11</t>
  </si>
  <si>
    <t xml:space="preserve">Wall-hung bi-level drinking fountain (P00.01): no carrier / backing called; blocking not loaded.</t>
  </si>
  <si>
    <t xml:space="preserve">+2.7 LF metal stud blocking (2 rows x 1.333)</t>
  </si>
  <si>
    <t xml:space="preserve">#</t>
  </si>
  <si>
    <t xml:space="preserve">Item</t>
  </si>
  <si>
    <t xml:space="preserve">Sheet + detail</t>
  </si>
  <si>
    <t xml:space="preserve">Image</t>
  </si>
  <si>
    <t xml:space="preserve">Inventory (Stage 1): 49 partition tags on A02.01 (A1 10, A1K 3, A5 4, B 6, B2 6, C1 8, F 1, G 9, G1 2) + B2K (not in schedule). Every tag ends in a wall of the reconciled canon. List and circled crops: 1_inventario/inventario.md.</t>
  </si>
  <si>
    <t xml:space="preserve">A02.01; A12.01</t>
  </si>
  <si>
    <t xml:space="preserve">Back-check/inventario/OVERVIEW_A02.01_p24.png</t>
  </si>
  <si>
    <t xml:space="preserve">Double reading A/B: 45 match, 17 differ, 6 only A, 5 only B, 22 alerts; all resolved with image (resolucion.md). 15 alerts were an artifact (reading B wrote page 23, 0-based).</t>
  </si>
  <si>
    <t xml:space="preserve">A02.01</t>
  </si>
  <si>
    <t xml:space="preserve">Back-check/revision/revision.md</t>
  </si>
  <si>
    <t xml:space="preserve">4" G piece at the east office front (RFI-ORQ-1).</t>
  </si>
  <si>
    <t xml:space="preserve">10/A12.01</t>
  </si>
  <si>
    <t xml:space="preserve">Back-check/resolucion/R2_PT4_east_bulkheads.png</t>
  </si>
  <si>
    <t xml:space="preserve">Bulkhead bottom corner bead extent (RFI-ORQ-2).</t>
  </si>
  <si>
    <t xml:space="preserve">8/A12.01; 9/A12.01</t>
  </si>
  <si>
    <t xml:space="preserve">Exterior stud profile: 7/S5.20 600S137-33 vs S1.11 n.5 600S162-54 @ 12" within 6 ft of corners (RFI-A-K-3). Heavier one loaded (56.2).</t>
  </si>
  <si>
    <t xml:space="preserve">7/S5.20; S1.11</t>
  </si>
  <si>
    <t xml:space="preserve">Back-check/A-K/</t>
  </si>
  <si>
    <t xml:space="preserve">Ceiling suspension spacing (furring 16", carrying 48", hangers 48") not printed: criterion + RFI-A-K-1.</t>
  </si>
  <si>
    <t xml:space="preserve">Back-check/A-C/</t>
  </si>
  <si>
    <t xml:space="preserve">Waiting 104 ceiling system: stud_joist per 8/A09.33 and 6/A09.33 (RFI-A-C-2; furring alternative).</t>
  </si>
  <si>
    <t xml:space="preserve">8/A09.33; 6/A09.33</t>
  </si>
  <si>
    <t xml:space="preserve">Partition grouping kept as particion.py MODO_DEFAULT, straight-segment mode (RFI-ORQ-5; review note 03 of the test folder).</t>
  </si>
  <si>
    <t xml:space="preserve">particion.py</t>
  </si>
  <si>
    <t xml:space="preserve">-</t>
  </si>
  <si>
    <t xml:space="preserve">Scope ID</t>
  </si>
  <si>
    <t xml:space="preserve">Scope</t>
  </si>
  <si>
    <t xml:space="preserve">Note (quantity, NOT APPLICABLE + sheet, or RFI)</t>
  </si>
  <si>
    <t xml:space="preserve">ALC-01</t>
  </si>
  <si>
    <t xml:space="preserve">Interior partition framing (studs + tracks)</t>
  </si>
  <si>
    <t xml:space="preserve">QUANTIFIED</t>
  </si>
  <si>
    <t xml:space="preserve">Partition Takeoff; studs_nodos via canon.py; A12.01 types</t>
  </si>
  <si>
    <t xml:space="preserve">ALC-02</t>
  </si>
  <si>
    <t xml:space="preserve">Exterior wall framing (CFMF)</t>
  </si>
  <si>
    <t xml:space="preserve">EXT-6CFMF walls, C/A09.21, 10/S5.10</t>
  </si>
  <si>
    <t xml:space="preserve">ALC-03</t>
  </si>
  <si>
    <t xml:space="preserve">Parapet framing</t>
  </si>
  <si>
    <t xml:space="preserve">EXT-PARAPET by bay (E3), 11/S5.10</t>
  </si>
  <si>
    <t xml:space="preserve">ALC-04</t>
  </si>
  <si>
    <t xml:space="preserve">Top / deflection and bottom track</t>
  </si>
  <si>
    <t xml:space="preserve">corridas.py, 7/S5.20</t>
  </si>
  <si>
    <t xml:space="preserve">ALC-05</t>
  </si>
  <si>
    <t xml:space="preserve">Headers, sills and jambs at openings</t>
  </si>
  <si>
    <t xml:space="preserve">headers.py by pieces, 7/S5.20, 2/S5.20</t>
  </si>
  <si>
    <t xml:space="preserve">ALC-06</t>
  </si>
  <si>
    <t xml:space="preserve">Bracing / bridging</t>
  </si>
  <si>
    <t xml:space="preserve">F/1/S5.20 1-1/2" C.R. channel @ 48"</t>
  </si>
  <si>
    <t xml:space="preserve">ALC-07</t>
  </si>
  <si>
    <t xml:space="preserve">Gypsum board on walls (layers per type)</t>
  </si>
  <si>
    <t xml:space="preserve">board_caras.py face by face</t>
  </si>
  <si>
    <t xml:space="preserve">ALC-08</t>
  </si>
  <si>
    <t xml:space="preserve">Moisture / abuse / special board at wet zones</t>
  </si>
  <si>
    <t xml:space="preserve">MR behind toilet and lavatory, F/A08.01</t>
  </si>
  <si>
    <t xml:space="preserve">ALC-09</t>
  </si>
  <si>
    <t xml:space="preserve">Exterior gypsum / glass mat sheathing</t>
  </si>
  <si>
    <t xml:space="preserve">glass mat 5/A09.26, 7/A09.26; exterior gyp 4/A09.26</t>
  </si>
  <si>
    <t xml:space="preserve">ALC-10</t>
  </si>
  <si>
    <t xml:space="preserve">FRT plywood sheathing / substrate</t>
  </si>
  <si>
    <t xml:space="preserve">nailbase, canopy, backboards, openings, F wall (12/A12.01)</t>
  </si>
  <si>
    <t xml:space="preserve">ALC-11</t>
  </si>
  <si>
    <t xml:space="preserve">Gypsum board ceilings</t>
  </si>
  <si>
    <t xml:space="preserve">A04.01 GB ceilings 100, 101, 104, 113, 114, CSR soffit</t>
  </si>
  <si>
    <t xml:space="preserve">ALC-12</t>
  </si>
  <si>
    <t xml:space="preserve">Ceiling suspension (furring / carrying channel / hanger wire / ceiling track)</t>
  </si>
  <si>
    <t xml:space="preserve">canon.py ceilings: furring, carrying, hanger wire, ceiling track</t>
  </si>
  <si>
    <t xml:space="preserve">ALC-13</t>
  </si>
  <si>
    <t xml:space="preserve">Soffits and bulkheads (framing + board)</t>
  </si>
  <si>
    <t xml:space="preserve">CSR soffit 9/A12.08, 10/A09.33; office bulkheads 8,9/A12.01; transitions 7/A09.33</t>
  </si>
  <si>
    <t xml:space="preserve">ALC-14</t>
  </si>
  <si>
    <t xml:space="preserve">Canopy / marquee framing and sheathing</t>
  </si>
  <si>
    <t xml:space="preserve">7/A09.26, D/A09.22: canopy joists, fascia box, FRT plywood</t>
  </si>
  <si>
    <t xml:space="preserve">ALC-15</t>
  </si>
  <si>
    <t xml:space="preserve">Column furring / wraps</t>
  </si>
  <si>
    <t xml:space="preserve">CANOPY-COL 5/A09.25 (4 columns, FOS chain)</t>
  </si>
  <si>
    <t xml:space="preserve">ALC-16</t>
  </si>
  <si>
    <t xml:space="preserve">Blocking (FRT wood / metal) for millwork and accessories</t>
  </si>
  <si>
    <t xml:space="preserve">blocking_items by schedule (44.1), 4/S5.20 edge blocking</t>
  </si>
  <si>
    <t xml:space="preserve">ALC-17</t>
  </si>
  <si>
    <t xml:space="preserve">Framed openings (MEP, access panels, diffusers)</t>
  </si>
  <si>
    <t xml:space="preserve">framed_openings.py, E00.01 / E02.01 / M01.01</t>
  </si>
  <si>
    <t xml:space="preserve">ALC-18</t>
  </si>
  <si>
    <t xml:space="preserve">Trim: corner bead, casing bead, control joints, reveals</t>
  </si>
  <si>
    <t xml:space="preserve">trim_items + jamb returns + transitions; control joints EXCLUDED (not in set)</t>
  </si>
  <si>
    <t xml:space="preserve">ALC-19</t>
  </si>
  <si>
    <t xml:space="preserve">Acoustical sealant / sound attenuation</t>
  </si>
  <si>
    <t xml:space="preserve">per type detail beads A12.01</t>
  </si>
  <si>
    <t xml:space="preserve">ALC-20</t>
  </si>
  <si>
    <t xml:space="preserve">FRP / cement board / tile backer</t>
  </si>
  <si>
    <t xml:space="preserve">A08.01 FRP 5'-0", cement board at tile cove base</t>
  </si>
  <si>
    <t xml:space="preserve">ALC-21</t>
  </si>
  <si>
    <t xml:space="preserve">Shaft walls / area separation walls</t>
  </si>
  <si>
    <t xml:space="preserve">NOT APPLICABLE</t>
  </si>
  <si>
    <t xml:space="preserve">A12.01: no shaft wall or area separation type in the partition schedule; A02.01 no shafts; text scan found no hit</t>
  </si>
  <si>
    <t xml:space="preserve">ALC-22</t>
  </si>
  <si>
    <t xml:space="preserve">Rated assemblies (UL designs) and their board type</t>
  </si>
  <si>
    <t xml:space="preserve">A12.01 schedule FIRE RATING '--' and U.L. NUMBER '--' for all types; A02.01 key note 6 'FIRE RATED 3/4" PLYWOOD BACKBOARD' = FRT plywood (loaded); A05.01, M00.01, M00.03, E00.01, E02.02, E04.02 are generic penetration / backboard notes; RFI-ORQ-4 for the fire dampers</t>
  </si>
  <si>
    <t xml:space="preserve">ALC-23</t>
  </si>
  <si>
    <t xml:space="preserve">Special panels (ballistic, lead-lined, abuse)</t>
  </si>
  <si>
    <t xml:space="preserve">ballistic panel 4/A12.01 (A1K, B2K)</t>
  </si>
  <si>
    <t xml:space="preserve">ALC-24</t>
  </si>
  <si>
    <t xml:space="preserve">Finish level (Level 4 / Level 5)</t>
  </si>
  <si>
    <t xml:space="preserve">Level 5 tags WC-18 / WC-20 / WC-22 (A00.40, A05.01)</t>
  </si>
  <si>
    <t xml:space="preserve">ALC-X25</t>
  </si>
  <si>
    <t xml:space="preserve">batt insulation</t>
  </si>
  <si>
    <t xml:space="preserve">EXCLUDED (estimator criterion: no insulation)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</si>
</sst>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  <fill>
      <patternFill patternType="solid">
        <fgColor rgb="FFDDEBF7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22"/>
    <col collapsed="false" customWidth="true" hidden="false" outlineLevel="0" max="3" min="3" style="0" width="6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4" customFormat="false" ht="15" hidden="false" customHeight="false" outlineLevel="0" collapsed="false">
      <c r="A4" s="2" t="s">
        <v>2</v>
      </c>
      <c r="B4" s="2" t="s">
        <v>3</v>
      </c>
      <c r="C4" s="2" t="s">
        <v>4</v>
      </c>
    </row>
    <row r="5" customFormat="false" ht="15" hidden="false" customHeight="false" outlineLevel="0" collapsed="false">
      <c r="A5" s="0" t="s">
        <v>5</v>
      </c>
      <c r="B5" s="3" t="n">
        <v>0.15</v>
      </c>
      <c r="C5" s="4" t="s">
        <v>6</v>
      </c>
    </row>
    <row r="6" customFormat="false" ht="15" hidden="false" customHeight="false" outlineLevel="0" collapsed="false">
      <c r="A6" s="0" t="s">
        <v>7</v>
      </c>
      <c r="B6" s="3" t="n">
        <v>0.06</v>
      </c>
      <c r="C6" s="4" t="s">
        <v>8</v>
      </c>
    </row>
    <row r="7" customFormat="false" ht="15" hidden="false" customHeight="false" outlineLevel="0" collapsed="false">
      <c r="A7" s="0" t="s">
        <v>9</v>
      </c>
      <c r="B7" s="3" t="n">
        <v>4</v>
      </c>
      <c r="C7" s="4" t="s">
        <v>10</v>
      </c>
    </row>
    <row r="8" customFormat="false" ht="15" hidden="false" customHeight="false" outlineLevel="0" collapsed="false">
      <c r="A8" s="0" t="s">
        <v>11</v>
      </c>
      <c r="B8" s="3" t="n">
        <v>12</v>
      </c>
      <c r="C8" s="4" t="s">
        <v>12</v>
      </c>
    </row>
    <row r="9" customFormat="false" ht="15" hidden="false" customHeight="false" outlineLevel="0" collapsed="false">
      <c r="A9" s="0" t="s">
        <v>13</v>
      </c>
      <c r="B9" s="0" t="n">
        <f aca="false">B7*B8</f>
        <v>48</v>
      </c>
      <c r="C9" s="0" t="s">
        <v>14</v>
      </c>
    </row>
    <row r="10" customFormat="false" ht="15" hidden="false" customHeight="false" outlineLevel="0" collapsed="false">
      <c r="A10" s="0" t="s">
        <v>15</v>
      </c>
      <c r="B10" s="3" t="n">
        <v>20</v>
      </c>
      <c r="C10" s="4" t="s">
        <v>16</v>
      </c>
    </row>
    <row r="11" customFormat="false" ht="15" hidden="false" customHeight="false" outlineLevel="0" collapsed="false">
      <c r="A11" s="0" t="s">
        <v>17</v>
      </c>
      <c r="B11" s="3" t="n">
        <v>10</v>
      </c>
      <c r="C11" s="4" t="s">
        <v>18</v>
      </c>
    </row>
    <row r="12" customFormat="false" ht="15" hidden="false" customHeight="false" outlineLevel="0" collapsed="false">
      <c r="A12" s="0" t="s">
        <v>19</v>
      </c>
      <c r="B12" s="3" t="n">
        <v>18</v>
      </c>
      <c r="C12" s="4" t="s">
        <v>20</v>
      </c>
    </row>
    <row r="13" customFormat="false" ht="15" hidden="false" customHeight="false" outlineLevel="0" collapsed="false">
      <c r="A13" s="0" t="s">
        <v>21</v>
      </c>
      <c r="B13" s="3" t="n">
        <v>15.375</v>
      </c>
      <c r="C13" s="4" t="s">
        <v>20</v>
      </c>
    </row>
    <row r="14" customFormat="false" ht="15" hidden="false" customHeight="false" outlineLevel="0" collapsed="false">
      <c r="A14" s="0" t="s">
        <v>22</v>
      </c>
      <c r="B14" s="3" t="n">
        <v>17.75</v>
      </c>
      <c r="C14" s="4" t="s">
        <v>20</v>
      </c>
    </row>
    <row r="15" customFormat="false" ht="15" hidden="false" customHeight="false" outlineLevel="0" collapsed="false">
      <c r="A15" s="0" t="s">
        <v>23</v>
      </c>
      <c r="B15" s="3" t="n">
        <v>25</v>
      </c>
      <c r="C15" s="4" t="s">
        <v>24</v>
      </c>
    </row>
    <row r="16" customFormat="false" ht="15" hidden="false" customHeight="false" outlineLevel="0" collapsed="false">
      <c r="A16" s="0" t="s">
        <v>25</v>
      </c>
      <c r="B16" s="3" t="n">
        <v>16</v>
      </c>
      <c r="C16" s="4" t="s">
        <v>26</v>
      </c>
    </row>
    <row r="17" customFormat="false" ht="15" hidden="false" customHeight="false" outlineLevel="0" collapsed="false">
      <c r="A17" s="0" t="s">
        <v>27</v>
      </c>
      <c r="B17" s="3" t="n">
        <v>12</v>
      </c>
      <c r="C17" s="4" t="s">
        <v>28</v>
      </c>
    </row>
    <row r="18" customFormat="false" ht="15" hidden="false" customHeight="false" outlineLevel="0" collapsed="false">
      <c r="A18" s="0" t="s">
        <v>29</v>
      </c>
      <c r="B18" s="3" t="n">
        <v>10</v>
      </c>
      <c r="C18" s="4" t="s">
        <v>30</v>
      </c>
    </row>
    <row r="19" customFormat="false" ht="15" hidden="false" customHeight="false" outlineLevel="0" collapsed="false">
      <c r="A19" s="0" t="s">
        <v>31</v>
      </c>
      <c r="B19" s="3" t="s">
        <v>32</v>
      </c>
      <c r="C19" s="4" t="s">
        <v>33</v>
      </c>
    </row>
    <row r="20" customFormat="false" ht="15" hidden="false" customHeight="false" outlineLevel="0" collapsed="false">
      <c r="A20" s="0" t="s">
        <v>34</v>
      </c>
      <c r="B20" s="3" t="n">
        <v>1.2</v>
      </c>
      <c r="C20" s="4" t="s">
        <v>35</v>
      </c>
    </row>
    <row r="21" customFormat="false" ht="15" hidden="false" customHeight="false" outlineLevel="0" collapsed="false">
      <c r="A21" s="0" t="s">
        <v>36</v>
      </c>
      <c r="B21" s="3" t="n">
        <v>4</v>
      </c>
      <c r="C21" s="4" t="s">
        <v>37</v>
      </c>
    </row>
    <row r="22" customFormat="false" ht="15" hidden="false" customHeight="false" outlineLevel="0" collapsed="false">
      <c r="A22" s="0" t="s">
        <v>38</v>
      </c>
      <c r="B22" s="3" t="n">
        <v>1</v>
      </c>
      <c r="C22" s="4" t="s">
        <v>39</v>
      </c>
    </row>
    <row r="23" customFormat="false" ht="15" hidden="false" customHeight="false" outlineLevel="0" collapsed="false">
      <c r="A23" s="0" t="s">
        <v>40</v>
      </c>
      <c r="B23" s="3" t="n">
        <v>0.072</v>
      </c>
      <c r="C23" s="4" t="s">
        <v>41</v>
      </c>
    </row>
    <row r="24" customFormat="false" ht="15" hidden="false" customHeight="false" outlineLevel="0" collapsed="false">
      <c r="A24" s="0" t="s">
        <v>42</v>
      </c>
      <c r="B24" s="3" t="n">
        <v>0.37</v>
      </c>
      <c r="C24" s="4" t="s">
        <v>43</v>
      </c>
    </row>
    <row r="25" customFormat="false" ht="15" hidden="false" customHeight="false" outlineLevel="0" collapsed="false">
      <c r="A25" s="0" t="s">
        <v>44</v>
      </c>
      <c r="B25" s="3" t="n">
        <v>0.6667</v>
      </c>
      <c r="C25" s="4" t="s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33"/>
    <col collapsed="false" customWidth="true" hidden="false" outlineLevel="0" max="3" min="3" style="0" width="14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60"/>
    <col collapsed="false" customWidth="true" hidden="false" outlineLevel="0" max="10" min="10" style="0" width="53"/>
    <col collapsed="false" customWidth="true" hidden="false" outlineLevel="0" max="11" min="11" style="0" width="13"/>
  </cols>
  <sheetData>
    <row r="1" customFormat="false" ht="16.15" hidden="false" customHeight="false" outlineLevel="0" collapsed="false">
      <c r="A1" s="1" t="s">
        <v>46</v>
      </c>
    </row>
    <row r="2" customFormat="false" ht="15" hidden="false" customHeight="false" outlineLevel="0" collapsed="false">
      <c r="A2" s="0" t="s">
        <v>47</v>
      </c>
    </row>
    <row r="4" customFormat="false" ht="15" hidden="false" customHeight="false" outlineLevel="0" collapsed="false">
      <c r="A4" s="2" t="s">
        <v>48</v>
      </c>
      <c r="B4" s="2" t="s">
        <v>49</v>
      </c>
      <c r="C4" s="2" t="s">
        <v>50</v>
      </c>
      <c r="D4" s="2" t="s">
        <v>51</v>
      </c>
      <c r="E4" s="2" t="s">
        <v>52</v>
      </c>
      <c r="F4" s="2" t="s">
        <v>53</v>
      </c>
      <c r="G4" s="2" t="s">
        <v>54</v>
      </c>
      <c r="H4" s="2" t="s">
        <v>55</v>
      </c>
      <c r="I4" s="2" t="s">
        <v>56</v>
      </c>
      <c r="J4" s="2" t="s">
        <v>57</v>
      </c>
      <c r="K4" s="2" t="s">
        <v>58</v>
      </c>
    </row>
    <row r="5" customFormat="false" ht="15" hidden="false" customHeight="false" outlineLevel="0" collapsed="false">
      <c r="A5" s="5" t="s">
        <v>59</v>
      </c>
    </row>
    <row r="6" customFormat="false" ht="15" hidden="false" customHeight="false" outlineLevel="0" collapsed="false">
      <c r="A6" s="0" t="s">
        <v>60</v>
      </c>
      <c r="B6" s="0" t="s">
        <v>61</v>
      </c>
      <c r="C6" s="0" t="n">
        <v>17.02</v>
      </c>
      <c r="D6" s="0" t="n">
        <v>15.375</v>
      </c>
      <c r="E6" s="0" t="n">
        <v>4</v>
      </c>
      <c r="F6" s="0" t="s">
        <v>62</v>
      </c>
      <c r="G6" s="0" t="n">
        <v>16</v>
      </c>
      <c r="H6" s="0" t="n">
        <v>360.26</v>
      </c>
      <c r="I6" s="0" t="s">
        <v>63</v>
      </c>
      <c r="J6" s="0" t="s">
        <v>64</v>
      </c>
      <c r="K6" s="0" t="s">
        <v>65</v>
      </c>
    </row>
    <row r="7" customFormat="false" ht="15" hidden="false" customHeight="false" outlineLevel="0" collapsed="false">
      <c r="A7" s="0" t="s">
        <v>66</v>
      </c>
      <c r="B7" s="0" t="s">
        <v>67</v>
      </c>
      <c r="C7" s="0" t="n">
        <v>3.533</v>
      </c>
      <c r="D7" s="0" t="n">
        <v>15.375</v>
      </c>
      <c r="E7" s="0" t="n">
        <v>2</v>
      </c>
      <c r="F7" s="0" t="s">
        <v>62</v>
      </c>
      <c r="G7" s="0" t="n">
        <v>16</v>
      </c>
      <c r="H7" s="0" t="n">
        <v>86.12</v>
      </c>
      <c r="I7" s="0" t="s">
        <v>68</v>
      </c>
      <c r="J7" s="0" t="s">
        <v>64</v>
      </c>
      <c r="K7" s="0" t="s">
        <v>65</v>
      </c>
    </row>
    <row r="8" customFormat="false" ht="15" hidden="false" customHeight="false" outlineLevel="0" collapsed="false">
      <c r="A8" s="0" t="s">
        <v>69</v>
      </c>
      <c r="B8" s="0" t="s">
        <v>70</v>
      </c>
      <c r="C8" s="0" t="n">
        <v>2.625</v>
      </c>
      <c r="D8" s="0" t="n">
        <v>15.375</v>
      </c>
      <c r="E8" s="0" t="n">
        <v>2</v>
      </c>
      <c r="F8" s="0" t="s">
        <v>62</v>
      </c>
      <c r="G8" s="0" t="n">
        <v>16</v>
      </c>
      <c r="H8" s="0" t="n">
        <v>63.98</v>
      </c>
      <c r="I8" s="0" t="s">
        <v>71</v>
      </c>
      <c r="J8" s="0" t="s">
        <v>64</v>
      </c>
      <c r="K8" s="0" t="s">
        <v>72</v>
      </c>
    </row>
    <row r="9" customFormat="false" ht="15" hidden="false" customHeight="false" outlineLevel="0" collapsed="false">
      <c r="A9" s="0" t="s">
        <v>73</v>
      </c>
      <c r="B9" s="0" t="s">
        <v>74</v>
      </c>
      <c r="C9" s="0" t="n">
        <v>5.587</v>
      </c>
      <c r="D9" s="0" t="n">
        <v>15.375</v>
      </c>
      <c r="E9" s="0" t="n">
        <v>2</v>
      </c>
      <c r="F9" s="0" t="s">
        <v>62</v>
      </c>
      <c r="G9" s="0" t="n">
        <v>16</v>
      </c>
      <c r="H9" s="0" t="n">
        <v>62.88</v>
      </c>
      <c r="I9" s="0" t="s">
        <v>75</v>
      </c>
      <c r="J9" s="0" t="s">
        <v>64</v>
      </c>
      <c r="K9" s="0" t="s">
        <v>65</v>
      </c>
    </row>
    <row r="10" customFormat="false" ht="15" hidden="false" customHeight="false" outlineLevel="0" collapsed="false">
      <c r="A10" s="0" t="s">
        <v>76</v>
      </c>
      <c r="B10" s="0" t="s">
        <v>77</v>
      </c>
      <c r="C10" s="0" t="n">
        <v>15.833</v>
      </c>
      <c r="D10" s="0" t="n">
        <v>13.052</v>
      </c>
      <c r="E10" s="0" t="n">
        <v>2</v>
      </c>
      <c r="F10" s="0" t="s">
        <v>62</v>
      </c>
      <c r="G10" s="0" t="n">
        <v>16</v>
      </c>
      <c r="H10" s="0" t="n">
        <v>285</v>
      </c>
      <c r="I10" s="0" t="s">
        <v>78</v>
      </c>
      <c r="J10" s="0" t="s">
        <v>64</v>
      </c>
      <c r="K10" s="0" t="s">
        <v>65</v>
      </c>
    </row>
    <row r="11" customFormat="false" ht="15" hidden="false" customHeight="false" outlineLevel="0" collapsed="false">
      <c r="A11" s="0" t="s">
        <v>79</v>
      </c>
      <c r="B11" s="0" t="s">
        <v>80</v>
      </c>
      <c r="C11" s="0" t="n">
        <v>20.52</v>
      </c>
      <c r="D11" s="0" t="n">
        <v>11.91</v>
      </c>
      <c r="E11" s="0" t="n">
        <v>4</v>
      </c>
      <c r="F11" s="0" t="s">
        <v>62</v>
      </c>
      <c r="G11" s="0" t="n">
        <v>16</v>
      </c>
      <c r="H11" s="0" t="n">
        <v>362.15</v>
      </c>
      <c r="I11" s="0" t="s">
        <v>81</v>
      </c>
      <c r="J11" s="0" t="s">
        <v>64</v>
      </c>
      <c r="K11" s="0" t="s">
        <v>65</v>
      </c>
    </row>
    <row r="12" customFormat="false" ht="15" hidden="false" customHeight="false" outlineLevel="0" collapsed="false">
      <c r="A12" s="0" t="s">
        <v>82</v>
      </c>
      <c r="B12" s="0" t="s">
        <v>83</v>
      </c>
      <c r="C12" s="0" t="n">
        <v>2.14</v>
      </c>
      <c r="D12" s="0" t="n">
        <v>11.91</v>
      </c>
      <c r="E12" s="0" t="n">
        <v>2</v>
      </c>
      <c r="F12" s="0" t="s">
        <v>62</v>
      </c>
      <c r="G12" s="0" t="n">
        <v>16</v>
      </c>
      <c r="H12" s="0" t="n">
        <v>39.59</v>
      </c>
      <c r="I12" s="0" t="s">
        <v>84</v>
      </c>
      <c r="J12" s="0" t="s">
        <v>64</v>
      </c>
      <c r="K12" s="0" t="s">
        <v>65</v>
      </c>
    </row>
    <row r="13" customFormat="false" ht="15" hidden="false" customHeight="false" outlineLevel="0" collapsed="false">
      <c r="A13" s="0" t="s">
        <v>85</v>
      </c>
      <c r="B13" s="0" t="s">
        <v>86</v>
      </c>
      <c r="C13" s="0" t="n">
        <v>1.3</v>
      </c>
      <c r="D13" s="0" t="n">
        <v>13.052</v>
      </c>
      <c r="E13" s="0" t="n">
        <v>2</v>
      </c>
      <c r="F13" s="0" t="s">
        <v>62</v>
      </c>
      <c r="G13" s="0" t="n">
        <v>16</v>
      </c>
      <c r="H13" s="0" t="n">
        <v>24.05</v>
      </c>
      <c r="I13" s="0" t="s">
        <v>87</v>
      </c>
      <c r="J13" s="0" t="s">
        <v>64</v>
      </c>
      <c r="K13" s="0" t="s">
        <v>65</v>
      </c>
    </row>
    <row r="14" customFormat="false" ht="15" hidden="false" customHeight="false" outlineLevel="0" collapsed="false">
      <c r="A14" s="0" t="s">
        <v>88</v>
      </c>
      <c r="B14" s="0" t="s">
        <v>89</v>
      </c>
      <c r="C14" s="0" t="n">
        <v>11.667</v>
      </c>
      <c r="D14" s="0" t="n">
        <v>13.052</v>
      </c>
      <c r="E14" s="0" t="n">
        <v>2</v>
      </c>
      <c r="F14" s="0" t="s">
        <v>62</v>
      </c>
      <c r="G14" s="0" t="n">
        <v>16</v>
      </c>
      <c r="H14" s="0" t="n">
        <v>168.06</v>
      </c>
      <c r="I14" s="0" t="s">
        <v>90</v>
      </c>
      <c r="J14" s="0" t="s">
        <v>64</v>
      </c>
      <c r="K14" s="0" t="s">
        <v>72</v>
      </c>
    </row>
    <row r="15" customFormat="false" ht="15" hidden="false" customHeight="false" outlineLevel="0" collapsed="false">
      <c r="A15" s="0" t="s">
        <v>91</v>
      </c>
      <c r="B15" s="0" t="s">
        <v>92</v>
      </c>
      <c r="C15" s="0" t="n">
        <v>4.887</v>
      </c>
      <c r="D15" s="0" t="n">
        <v>11.91</v>
      </c>
      <c r="E15" s="0" t="n">
        <v>5</v>
      </c>
      <c r="F15" s="0" t="s">
        <v>62</v>
      </c>
      <c r="G15" s="0" t="n">
        <v>16</v>
      </c>
      <c r="H15" s="0" t="n">
        <v>63.6</v>
      </c>
      <c r="I15" s="0" t="s">
        <v>93</v>
      </c>
      <c r="J15" s="0" t="s">
        <v>64</v>
      </c>
      <c r="K15" s="0" t="s">
        <v>65</v>
      </c>
    </row>
    <row r="16" customFormat="false" ht="15" hidden="false" customHeight="false" outlineLevel="0" collapsed="false">
      <c r="A16" s="0" t="s">
        <v>94</v>
      </c>
      <c r="B16" s="0" t="s">
        <v>95</v>
      </c>
      <c r="C16" s="0" t="n">
        <v>1.3</v>
      </c>
      <c r="D16" s="0" t="n">
        <v>13.052</v>
      </c>
      <c r="E16" s="0" t="n">
        <v>2</v>
      </c>
      <c r="F16" s="0" t="s">
        <v>62</v>
      </c>
      <c r="G16" s="0" t="n">
        <v>16</v>
      </c>
      <c r="H16" s="0" t="n">
        <v>23.4</v>
      </c>
      <c r="I16" s="0" t="s">
        <v>96</v>
      </c>
      <c r="J16" s="0" t="s">
        <v>64</v>
      </c>
      <c r="K16" s="0" t="s">
        <v>65</v>
      </c>
    </row>
    <row r="17" customFormat="false" ht="15" hidden="false" customHeight="false" outlineLevel="0" collapsed="false">
      <c r="A17" s="0" t="s">
        <v>97</v>
      </c>
      <c r="B17" s="0" t="s">
        <v>98</v>
      </c>
      <c r="C17" s="0" t="n">
        <v>1.3</v>
      </c>
      <c r="D17" s="0" t="n">
        <v>13.052</v>
      </c>
      <c r="E17" s="0" t="n">
        <v>2</v>
      </c>
      <c r="F17" s="0" t="s">
        <v>62</v>
      </c>
      <c r="G17" s="0" t="n">
        <v>16</v>
      </c>
      <c r="H17" s="0" t="n">
        <v>23.4</v>
      </c>
      <c r="I17" s="0" t="s">
        <v>99</v>
      </c>
      <c r="J17" s="0" t="s">
        <v>64</v>
      </c>
      <c r="K17" s="0" t="s">
        <v>65</v>
      </c>
    </row>
    <row r="18" customFormat="false" ht="15" hidden="false" customHeight="false" outlineLevel="0" collapsed="false">
      <c r="A18" s="5" t="s">
        <v>100</v>
      </c>
    </row>
    <row r="19" customFormat="false" ht="15" hidden="false" customHeight="false" outlineLevel="0" collapsed="false">
      <c r="A19" s="0" t="s">
        <v>101</v>
      </c>
      <c r="B19" s="0" t="s">
        <v>102</v>
      </c>
      <c r="C19" s="0" t="n">
        <v>19.407</v>
      </c>
      <c r="D19" s="0" t="n">
        <v>13.697</v>
      </c>
      <c r="E19" s="0" t="n">
        <v>3</v>
      </c>
      <c r="F19" s="0" t="s">
        <v>103</v>
      </c>
      <c r="G19" s="0" t="n">
        <v>16</v>
      </c>
      <c r="H19" s="0" t="n">
        <v>378.93</v>
      </c>
      <c r="I19" s="0" t="s">
        <v>104</v>
      </c>
      <c r="J19" s="0" t="s">
        <v>64</v>
      </c>
      <c r="K19" s="0" t="s">
        <v>65</v>
      </c>
    </row>
    <row r="20" customFormat="false" ht="15" hidden="false" customHeight="false" outlineLevel="0" collapsed="false">
      <c r="A20" s="0" t="s">
        <v>105</v>
      </c>
      <c r="B20" s="0" t="s">
        <v>106</v>
      </c>
      <c r="C20" s="0" t="n">
        <v>10.593</v>
      </c>
      <c r="D20" s="0" t="n">
        <v>15.375</v>
      </c>
      <c r="E20" s="0" t="n">
        <v>2</v>
      </c>
      <c r="F20" s="0" t="s">
        <v>103</v>
      </c>
      <c r="G20" s="0" t="n">
        <v>16</v>
      </c>
      <c r="H20" s="0" t="n">
        <v>222.46</v>
      </c>
      <c r="I20" s="0" t="s">
        <v>107</v>
      </c>
      <c r="J20" s="0" t="s">
        <v>64</v>
      </c>
      <c r="K20" s="0" t="s">
        <v>65</v>
      </c>
    </row>
    <row r="21" customFormat="false" ht="15" hidden="false" customHeight="false" outlineLevel="0" collapsed="false">
      <c r="A21" s="0" t="s">
        <v>108</v>
      </c>
      <c r="B21" s="0" t="s">
        <v>109</v>
      </c>
      <c r="C21" s="0" t="n">
        <v>4.873</v>
      </c>
      <c r="D21" s="0" t="n">
        <v>12.315</v>
      </c>
      <c r="E21" s="0" t="n">
        <v>2</v>
      </c>
      <c r="F21" s="0" t="s">
        <v>103</v>
      </c>
      <c r="G21" s="0" t="n">
        <v>16</v>
      </c>
      <c r="H21" s="0" t="n">
        <v>39.94</v>
      </c>
      <c r="I21" s="0" t="s">
        <v>110</v>
      </c>
      <c r="J21" s="0" t="s">
        <v>64</v>
      </c>
      <c r="K21" s="0" t="s">
        <v>65</v>
      </c>
    </row>
    <row r="22" customFormat="false" ht="15" hidden="false" customHeight="false" outlineLevel="0" collapsed="false">
      <c r="A22" s="0" t="s">
        <v>111</v>
      </c>
      <c r="B22" s="0" t="s">
        <v>112</v>
      </c>
      <c r="C22" s="0" t="n">
        <v>3.28</v>
      </c>
      <c r="D22" s="0" t="n">
        <v>11.91</v>
      </c>
      <c r="E22" s="0" t="n">
        <v>2</v>
      </c>
      <c r="F22" s="0" t="s">
        <v>103</v>
      </c>
      <c r="G22" s="0" t="n">
        <v>16</v>
      </c>
      <c r="H22" s="0" t="n">
        <v>60.68</v>
      </c>
      <c r="I22" s="0" t="s">
        <v>113</v>
      </c>
      <c r="J22" s="0" t="s">
        <v>64</v>
      </c>
      <c r="K22" s="0" t="s">
        <v>65</v>
      </c>
    </row>
    <row r="23" customFormat="false" ht="15" hidden="false" customHeight="false" outlineLevel="0" collapsed="false">
      <c r="A23" s="5" t="s">
        <v>114</v>
      </c>
    </row>
    <row r="24" customFormat="false" ht="15" hidden="false" customHeight="false" outlineLevel="0" collapsed="false">
      <c r="A24" s="0" t="s">
        <v>115</v>
      </c>
      <c r="B24" s="0" t="s">
        <v>116</v>
      </c>
      <c r="C24" s="0" t="n">
        <v>3.417</v>
      </c>
      <c r="D24" s="0" t="n">
        <v>15.375</v>
      </c>
      <c r="E24" s="0" t="n">
        <v>2</v>
      </c>
      <c r="F24" s="0" t="s">
        <v>62</v>
      </c>
      <c r="G24" s="0" t="n">
        <v>16</v>
      </c>
      <c r="H24" s="0" t="n">
        <v>105.08</v>
      </c>
      <c r="I24" s="0" t="s">
        <v>117</v>
      </c>
      <c r="J24" s="0" t="s">
        <v>118</v>
      </c>
      <c r="K24" s="0" t="s">
        <v>72</v>
      </c>
    </row>
    <row r="25" customFormat="false" ht="15" hidden="false" customHeight="false" outlineLevel="0" collapsed="false">
      <c r="A25" s="0" t="s">
        <v>119</v>
      </c>
      <c r="B25" s="0" t="s">
        <v>120</v>
      </c>
      <c r="C25" s="0" t="n">
        <v>3.417</v>
      </c>
      <c r="D25" s="0" t="n">
        <v>13.052</v>
      </c>
      <c r="E25" s="0" t="n">
        <v>2</v>
      </c>
      <c r="F25" s="0" t="s">
        <v>62</v>
      </c>
      <c r="G25" s="0" t="n">
        <v>16</v>
      </c>
      <c r="H25" s="0" t="n">
        <v>89.2</v>
      </c>
      <c r="I25" s="0" t="s">
        <v>121</v>
      </c>
      <c r="J25" s="0" t="s">
        <v>118</v>
      </c>
      <c r="K25" s="0" t="s">
        <v>72</v>
      </c>
    </row>
    <row r="26" customFormat="false" ht="15" hidden="false" customHeight="false" outlineLevel="0" collapsed="false">
      <c r="A26" s="0" t="s">
        <v>122</v>
      </c>
      <c r="B26" s="0" t="s">
        <v>123</v>
      </c>
      <c r="C26" s="0" t="n">
        <v>2.24</v>
      </c>
      <c r="D26" s="0" t="n">
        <v>13.052</v>
      </c>
      <c r="E26" s="0" t="n">
        <v>2</v>
      </c>
      <c r="F26" s="0" t="s">
        <v>62</v>
      </c>
      <c r="G26" s="0" t="n">
        <v>16</v>
      </c>
      <c r="H26" s="0" t="n">
        <v>58.48</v>
      </c>
      <c r="I26" s="0" t="s">
        <v>124</v>
      </c>
      <c r="J26" s="0" t="s">
        <v>118</v>
      </c>
      <c r="K26" s="0" t="s">
        <v>65</v>
      </c>
    </row>
    <row r="27" customFormat="false" ht="15" hidden="false" customHeight="false" outlineLevel="0" collapsed="false">
      <c r="A27" s="5" t="s">
        <v>125</v>
      </c>
    </row>
    <row r="28" customFormat="false" ht="15" hidden="false" customHeight="false" outlineLevel="0" collapsed="false">
      <c r="A28" s="0" t="s">
        <v>126</v>
      </c>
      <c r="B28" s="0" t="s">
        <v>127</v>
      </c>
      <c r="C28" s="0" t="n">
        <v>9.583</v>
      </c>
      <c r="D28" s="0" t="n">
        <v>13.052</v>
      </c>
      <c r="E28" s="0" t="n">
        <v>2</v>
      </c>
      <c r="F28" s="0" t="s">
        <v>62</v>
      </c>
      <c r="G28" s="0" t="n">
        <v>16</v>
      </c>
      <c r="H28" s="0" t="n">
        <v>250.16</v>
      </c>
      <c r="I28" s="0" t="s">
        <v>128</v>
      </c>
      <c r="J28" s="0" t="s">
        <v>129</v>
      </c>
      <c r="K28" s="0" t="s">
        <v>72</v>
      </c>
    </row>
    <row r="29" customFormat="false" ht="15" hidden="false" customHeight="false" outlineLevel="0" collapsed="false">
      <c r="A29" s="0" t="s">
        <v>130</v>
      </c>
      <c r="B29" s="0" t="s">
        <v>131</v>
      </c>
      <c r="C29" s="0" t="n">
        <v>9.58</v>
      </c>
      <c r="D29" s="0" t="n">
        <v>13.052</v>
      </c>
      <c r="E29" s="0" t="n">
        <v>2</v>
      </c>
      <c r="F29" s="0" t="s">
        <v>62</v>
      </c>
      <c r="G29" s="0" t="n">
        <v>16</v>
      </c>
      <c r="H29" s="0" t="n">
        <v>250.08</v>
      </c>
      <c r="I29" s="0" t="s">
        <v>132</v>
      </c>
      <c r="J29" s="0" t="s">
        <v>129</v>
      </c>
      <c r="K29" s="0" t="s">
        <v>65</v>
      </c>
    </row>
    <row r="30" customFormat="false" ht="15" hidden="false" customHeight="false" outlineLevel="0" collapsed="false">
      <c r="A30" s="0" t="s">
        <v>133</v>
      </c>
      <c r="B30" s="0" t="s">
        <v>134</v>
      </c>
      <c r="C30" s="0" t="n">
        <v>14.147</v>
      </c>
      <c r="D30" s="0" t="n">
        <v>13.052</v>
      </c>
      <c r="E30" s="0" t="n">
        <v>2</v>
      </c>
      <c r="F30" s="0" t="s">
        <v>62</v>
      </c>
      <c r="G30" s="0" t="n">
        <v>16</v>
      </c>
      <c r="H30" s="0" t="n">
        <v>273.74</v>
      </c>
      <c r="I30" s="0" t="s">
        <v>135</v>
      </c>
      <c r="J30" s="0" t="s">
        <v>129</v>
      </c>
      <c r="K30" s="0" t="s">
        <v>65</v>
      </c>
    </row>
    <row r="31" customFormat="false" ht="15" hidden="false" customHeight="false" outlineLevel="0" collapsed="false">
      <c r="A31" s="0" t="s">
        <v>136</v>
      </c>
      <c r="B31" s="0" t="s">
        <v>137</v>
      </c>
      <c r="C31" s="0" t="n">
        <v>11.733</v>
      </c>
      <c r="D31" s="0" t="n">
        <v>13.052</v>
      </c>
      <c r="E31" s="0" t="n">
        <v>2</v>
      </c>
      <c r="F31" s="0" t="s">
        <v>62</v>
      </c>
      <c r="G31" s="0" t="n">
        <v>16</v>
      </c>
      <c r="H31" s="0" t="n">
        <v>258.5</v>
      </c>
      <c r="I31" s="0" t="s">
        <v>138</v>
      </c>
      <c r="J31" s="0" t="s">
        <v>129</v>
      </c>
      <c r="K31" s="0" t="s">
        <v>65</v>
      </c>
    </row>
    <row r="32" customFormat="false" ht="15" hidden="false" customHeight="false" outlineLevel="0" collapsed="false">
      <c r="A32" s="0" t="s">
        <v>139</v>
      </c>
      <c r="B32" s="0" t="s">
        <v>140</v>
      </c>
      <c r="C32" s="0" t="n">
        <v>11.733</v>
      </c>
      <c r="D32" s="0" t="n">
        <v>13.052</v>
      </c>
      <c r="E32" s="0" t="n">
        <v>2</v>
      </c>
      <c r="F32" s="0" t="s">
        <v>62</v>
      </c>
      <c r="G32" s="0" t="n">
        <v>16</v>
      </c>
      <c r="H32" s="0" t="n">
        <v>306.28</v>
      </c>
      <c r="I32" s="0" t="s">
        <v>141</v>
      </c>
      <c r="J32" s="0" t="s">
        <v>129</v>
      </c>
      <c r="K32" s="0" t="s">
        <v>65</v>
      </c>
    </row>
    <row r="33" customFormat="false" ht="15" hidden="false" customHeight="false" outlineLevel="0" collapsed="false">
      <c r="A33" s="0" t="s">
        <v>142</v>
      </c>
      <c r="B33" s="0" t="s">
        <v>143</v>
      </c>
      <c r="C33" s="0" t="n">
        <v>3.5</v>
      </c>
      <c r="D33" s="0" t="n">
        <v>13.052</v>
      </c>
      <c r="E33" s="0" t="n">
        <v>2</v>
      </c>
      <c r="F33" s="0" t="s">
        <v>62</v>
      </c>
      <c r="G33" s="0" t="n">
        <v>16</v>
      </c>
      <c r="H33" s="0" t="n">
        <v>91.36</v>
      </c>
      <c r="I33" s="0" t="s">
        <v>144</v>
      </c>
      <c r="J33" s="0" t="s">
        <v>129</v>
      </c>
      <c r="K33" s="0" t="s">
        <v>65</v>
      </c>
    </row>
    <row r="34" customFormat="false" ht="15" hidden="false" customHeight="false" outlineLevel="0" collapsed="false">
      <c r="A34" s="5" t="s">
        <v>145</v>
      </c>
    </row>
    <row r="35" customFormat="false" ht="15" hidden="false" customHeight="false" outlineLevel="0" collapsed="false">
      <c r="A35" s="0" t="s">
        <v>146</v>
      </c>
      <c r="B35" s="0" t="s">
        <v>147</v>
      </c>
      <c r="C35" s="0" t="n">
        <v>5.667</v>
      </c>
      <c r="D35" s="0" t="n">
        <v>15.375</v>
      </c>
      <c r="E35" s="0" t="n">
        <v>2</v>
      </c>
      <c r="F35" s="0" t="s">
        <v>103</v>
      </c>
      <c r="G35" s="0" t="n">
        <v>16</v>
      </c>
      <c r="H35" s="0" t="n">
        <v>111.66</v>
      </c>
      <c r="I35" s="0" t="s">
        <v>148</v>
      </c>
      <c r="J35" s="0" t="s">
        <v>129</v>
      </c>
      <c r="K35" s="0" t="s">
        <v>72</v>
      </c>
    </row>
    <row r="36" customFormat="false" ht="15" hidden="false" customHeight="false" outlineLevel="0" collapsed="false">
      <c r="A36" s="0" t="s">
        <v>149</v>
      </c>
      <c r="B36" s="0" t="s">
        <v>150</v>
      </c>
      <c r="C36" s="0" t="n">
        <v>5.533</v>
      </c>
      <c r="D36" s="0" t="n">
        <v>13.212</v>
      </c>
      <c r="E36" s="0" t="n">
        <v>2</v>
      </c>
      <c r="F36" s="0" t="s">
        <v>103</v>
      </c>
      <c r="G36" s="0" t="n">
        <v>16</v>
      </c>
      <c r="H36" s="0" t="n">
        <v>98.42</v>
      </c>
      <c r="I36" s="0" t="s">
        <v>151</v>
      </c>
      <c r="J36" s="0" t="s">
        <v>129</v>
      </c>
      <c r="K36" s="0" t="s">
        <v>65</v>
      </c>
    </row>
    <row r="37" customFormat="false" ht="15" hidden="false" customHeight="false" outlineLevel="0" collapsed="false">
      <c r="A37" s="0" t="s">
        <v>152</v>
      </c>
      <c r="B37" s="0" t="s">
        <v>153</v>
      </c>
      <c r="C37" s="0" t="n">
        <v>15.787</v>
      </c>
      <c r="D37" s="0" t="n">
        <v>13.052</v>
      </c>
      <c r="E37" s="0" t="n">
        <v>2</v>
      </c>
      <c r="F37" s="0" t="s">
        <v>103</v>
      </c>
      <c r="G37" s="0" t="n">
        <v>16</v>
      </c>
      <c r="H37" s="0" t="n">
        <v>268.78</v>
      </c>
      <c r="I37" s="0" t="s">
        <v>154</v>
      </c>
      <c r="J37" s="0" t="s">
        <v>129</v>
      </c>
      <c r="K37" s="0" t="s">
        <v>65</v>
      </c>
    </row>
    <row r="38" customFormat="false" ht="15" hidden="false" customHeight="false" outlineLevel="0" collapsed="false">
      <c r="A38" s="0" t="s">
        <v>155</v>
      </c>
      <c r="B38" s="0" t="s">
        <v>156</v>
      </c>
      <c r="C38" s="0" t="n">
        <v>11.74</v>
      </c>
      <c r="D38" s="0" t="n">
        <v>11.91</v>
      </c>
      <c r="E38" s="0" t="n">
        <v>2</v>
      </c>
      <c r="F38" s="0" t="s">
        <v>103</v>
      </c>
      <c r="G38" s="0" t="n">
        <v>16</v>
      </c>
      <c r="H38" s="0" t="n">
        <v>279.64</v>
      </c>
      <c r="I38" s="0" t="s">
        <v>157</v>
      </c>
      <c r="J38" s="0" t="s">
        <v>129</v>
      </c>
      <c r="K38" s="0" t="s">
        <v>65</v>
      </c>
    </row>
    <row r="39" customFormat="false" ht="15" hidden="false" customHeight="false" outlineLevel="0" collapsed="false">
      <c r="A39" s="5" t="s">
        <v>158</v>
      </c>
    </row>
    <row r="40" customFormat="false" ht="15" hidden="false" customHeight="false" outlineLevel="0" collapsed="false">
      <c r="A40" s="0" t="s">
        <v>159</v>
      </c>
      <c r="B40" s="0" t="s">
        <v>160</v>
      </c>
      <c r="C40" s="0" t="n">
        <v>1.773</v>
      </c>
      <c r="D40" s="0" t="n">
        <v>15.375</v>
      </c>
      <c r="E40" s="0" t="n">
        <v>2</v>
      </c>
      <c r="F40" s="0" t="s">
        <v>103</v>
      </c>
      <c r="G40" s="0" t="n">
        <v>16</v>
      </c>
      <c r="H40" s="0" t="n">
        <v>54.52</v>
      </c>
      <c r="I40" s="0" t="s">
        <v>161</v>
      </c>
      <c r="J40" s="0" t="s">
        <v>162</v>
      </c>
      <c r="K40" s="0" t="s">
        <v>65</v>
      </c>
    </row>
    <row r="41" customFormat="false" ht="15" hidden="false" customHeight="false" outlineLevel="0" collapsed="false">
      <c r="A41" s="5" t="s">
        <v>163</v>
      </c>
    </row>
    <row r="42" customFormat="false" ht="15" hidden="false" customHeight="false" outlineLevel="0" collapsed="false">
      <c r="A42" s="0" t="s">
        <v>164</v>
      </c>
      <c r="B42" s="0" t="s">
        <v>165</v>
      </c>
      <c r="C42" s="0" t="n">
        <v>10.027</v>
      </c>
      <c r="D42" s="0" t="n">
        <v>13.052</v>
      </c>
      <c r="E42" s="0" t="n">
        <v>1</v>
      </c>
      <c r="F42" s="0" t="s">
        <v>62</v>
      </c>
      <c r="G42" s="0" t="n">
        <v>16</v>
      </c>
      <c r="H42" s="0" t="n">
        <v>130.87</v>
      </c>
      <c r="I42" s="0" t="s">
        <v>166</v>
      </c>
      <c r="J42" s="0" t="s">
        <v>167</v>
      </c>
      <c r="K42" s="0" t="s">
        <v>65</v>
      </c>
    </row>
    <row r="43" customFormat="false" ht="15" hidden="false" customHeight="false" outlineLevel="0" collapsed="false">
      <c r="A43" s="0" t="s">
        <v>168</v>
      </c>
      <c r="B43" s="0" t="s">
        <v>169</v>
      </c>
      <c r="C43" s="0" t="n">
        <v>10.027</v>
      </c>
      <c r="D43" s="0" t="n">
        <v>13.052</v>
      </c>
      <c r="E43" s="0" t="n">
        <v>1</v>
      </c>
      <c r="F43" s="0" t="s">
        <v>62</v>
      </c>
      <c r="G43" s="0" t="n">
        <v>16</v>
      </c>
      <c r="H43" s="0" t="n">
        <v>130.87</v>
      </c>
      <c r="I43" s="0" t="s">
        <v>170</v>
      </c>
      <c r="J43" s="0" t="s">
        <v>167</v>
      </c>
      <c r="K43" s="0" t="s">
        <v>65</v>
      </c>
    </row>
    <row r="44" customFormat="false" ht="15" hidden="false" customHeight="false" outlineLevel="0" collapsed="false">
      <c r="A44" s="0" t="s">
        <v>171</v>
      </c>
      <c r="B44" s="0" t="s">
        <v>172</v>
      </c>
      <c r="C44" s="0" t="n">
        <v>10.626</v>
      </c>
      <c r="D44" s="0" t="n">
        <v>15.375</v>
      </c>
      <c r="E44" s="0" t="n">
        <v>1</v>
      </c>
      <c r="F44" s="0" t="s">
        <v>62</v>
      </c>
      <c r="G44" s="0" t="n">
        <v>16</v>
      </c>
      <c r="H44" s="0" t="n">
        <v>163.37</v>
      </c>
      <c r="I44" s="0" t="s">
        <v>173</v>
      </c>
      <c r="J44" s="0" t="s">
        <v>167</v>
      </c>
      <c r="K44" s="0" t="s">
        <v>65</v>
      </c>
    </row>
    <row r="45" customFormat="false" ht="15" hidden="false" customHeight="false" outlineLevel="0" collapsed="false">
      <c r="A45" s="0" t="s">
        <v>174</v>
      </c>
      <c r="B45" s="0" t="s">
        <v>175</v>
      </c>
      <c r="C45" s="0" t="n">
        <v>3.207</v>
      </c>
      <c r="D45" s="0" t="n">
        <v>13.052</v>
      </c>
      <c r="E45" s="0" t="n">
        <v>1</v>
      </c>
      <c r="F45" s="0" t="s">
        <v>62</v>
      </c>
      <c r="G45" s="0" t="n">
        <v>16</v>
      </c>
      <c r="H45" s="0" t="n">
        <v>41.86</v>
      </c>
      <c r="I45" s="0" t="s">
        <v>176</v>
      </c>
      <c r="J45" s="0" t="s">
        <v>167</v>
      </c>
      <c r="K45" s="0" t="s">
        <v>65</v>
      </c>
    </row>
    <row r="46" customFormat="false" ht="15" hidden="false" customHeight="false" outlineLevel="0" collapsed="false">
      <c r="A46" s="0" t="s">
        <v>177</v>
      </c>
      <c r="B46" s="0" t="s">
        <v>178</v>
      </c>
      <c r="C46" s="0" t="n">
        <v>2.887</v>
      </c>
      <c r="D46" s="0" t="n">
        <v>15.375</v>
      </c>
      <c r="E46" s="0" t="n">
        <v>5</v>
      </c>
      <c r="F46" s="0" t="s">
        <v>62</v>
      </c>
      <c r="G46" s="0" t="n">
        <v>16</v>
      </c>
      <c r="H46" s="0" t="n">
        <v>44.39</v>
      </c>
      <c r="I46" s="0" t="s">
        <v>179</v>
      </c>
      <c r="J46" s="0" t="s">
        <v>167</v>
      </c>
      <c r="K46" s="0" t="s">
        <v>65</v>
      </c>
    </row>
    <row r="47" customFormat="false" ht="15" hidden="false" customHeight="false" outlineLevel="0" collapsed="false">
      <c r="A47" s="0" t="s">
        <v>180</v>
      </c>
      <c r="B47" s="0" t="s">
        <v>181</v>
      </c>
      <c r="C47" s="0" t="n">
        <v>3.445</v>
      </c>
      <c r="D47" s="0" t="n">
        <v>15.375</v>
      </c>
      <c r="E47" s="0" t="n">
        <v>10</v>
      </c>
      <c r="F47" s="0" t="s">
        <v>62</v>
      </c>
      <c r="G47" s="0" t="n">
        <v>16</v>
      </c>
      <c r="H47" s="0" t="n">
        <v>52.97</v>
      </c>
      <c r="I47" s="0" t="s">
        <v>182</v>
      </c>
      <c r="J47" s="0" t="s">
        <v>167</v>
      </c>
      <c r="K47" s="0" t="s">
        <v>65</v>
      </c>
    </row>
    <row r="48" customFormat="false" ht="15" hidden="false" customHeight="false" outlineLevel="0" collapsed="false">
      <c r="A48" s="0" t="s">
        <v>183</v>
      </c>
      <c r="B48" s="0" t="s">
        <v>184</v>
      </c>
      <c r="C48" s="0" t="n">
        <v>2.966</v>
      </c>
      <c r="D48" s="0" t="n">
        <v>15.375</v>
      </c>
      <c r="E48" s="0" t="n">
        <v>2</v>
      </c>
      <c r="F48" s="0" t="s">
        <v>62</v>
      </c>
      <c r="G48" s="0" t="n">
        <v>16</v>
      </c>
      <c r="H48" s="0" t="n">
        <v>45.6</v>
      </c>
      <c r="I48" s="0" t="s">
        <v>185</v>
      </c>
      <c r="J48" s="0" t="s">
        <v>167</v>
      </c>
      <c r="K48" s="0" t="s">
        <v>65</v>
      </c>
    </row>
    <row r="49" customFormat="false" ht="15" hidden="false" customHeight="false" outlineLevel="0" collapsed="false">
      <c r="A49" s="0" t="s">
        <v>186</v>
      </c>
      <c r="B49" s="0" t="s">
        <v>187</v>
      </c>
      <c r="C49" s="0" t="n">
        <v>3.266</v>
      </c>
      <c r="D49" s="0" t="n">
        <v>15.375</v>
      </c>
      <c r="E49" s="0" t="n">
        <v>2</v>
      </c>
      <c r="F49" s="0" t="s">
        <v>62</v>
      </c>
      <c r="G49" s="0" t="n">
        <v>16</v>
      </c>
      <c r="H49" s="0" t="n">
        <v>50.21</v>
      </c>
      <c r="I49" s="0" t="s">
        <v>188</v>
      </c>
      <c r="J49" s="0" t="s">
        <v>167</v>
      </c>
      <c r="K49" s="0" t="s">
        <v>65</v>
      </c>
    </row>
    <row r="50" customFormat="false" ht="15" hidden="false" customHeight="false" outlineLevel="0" collapsed="false">
      <c r="A50" s="5" t="s">
        <v>189</v>
      </c>
    </row>
    <row r="51" customFormat="false" ht="15" hidden="false" customHeight="false" outlineLevel="0" collapsed="false">
      <c r="A51" s="0" t="s">
        <v>190</v>
      </c>
      <c r="B51" s="0" t="s">
        <v>191</v>
      </c>
      <c r="C51" s="0" t="n">
        <v>17.762</v>
      </c>
      <c r="D51" s="0" t="n">
        <v>15.375</v>
      </c>
      <c r="E51" s="0" t="n">
        <v>2</v>
      </c>
      <c r="F51" s="0" t="s">
        <v>62</v>
      </c>
      <c r="G51" s="0" t="n">
        <v>16</v>
      </c>
      <c r="H51" s="0" t="n">
        <v>325.38</v>
      </c>
      <c r="I51" s="0" t="s">
        <v>192</v>
      </c>
      <c r="J51" s="0" t="s">
        <v>193</v>
      </c>
      <c r="K51" s="0" t="s">
        <v>65</v>
      </c>
    </row>
    <row r="52" customFormat="false" ht="15" hidden="false" customHeight="false" outlineLevel="0" collapsed="false">
      <c r="A52" s="5" t="s">
        <v>194</v>
      </c>
    </row>
    <row r="53" customFormat="false" ht="15" hidden="false" customHeight="false" outlineLevel="0" collapsed="false">
      <c r="A53" s="0" t="s">
        <v>195</v>
      </c>
      <c r="B53" s="0" t="s">
        <v>196</v>
      </c>
      <c r="C53" s="0" t="n">
        <v>2.42</v>
      </c>
      <c r="D53" s="0" t="n">
        <v>14.383</v>
      </c>
      <c r="E53" s="0" t="n">
        <v>4</v>
      </c>
      <c r="F53" s="0" t="s">
        <v>197</v>
      </c>
      <c r="G53" s="0" t="n">
        <v>16</v>
      </c>
      <c r="H53" s="0" t="n">
        <v>139.24</v>
      </c>
      <c r="I53" s="0" t="s">
        <v>198</v>
      </c>
      <c r="J53" s="0" t="s">
        <v>199</v>
      </c>
      <c r="K53" s="0" t="s">
        <v>65</v>
      </c>
    </row>
    <row r="54" customFormat="false" ht="15" hidden="false" customHeight="false" outlineLevel="0" collapsed="false">
      <c r="A54" s="0" t="s">
        <v>200</v>
      </c>
      <c r="B54" s="0" t="s">
        <v>201</v>
      </c>
      <c r="C54" s="0" t="n">
        <v>3.467</v>
      </c>
      <c r="D54" s="0" t="n">
        <v>14.383</v>
      </c>
      <c r="E54" s="0" t="n">
        <v>4</v>
      </c>
      <c r="F54" s="0" t="s">
        <v>197</v>
      </c>
      <c r="G54" s="0" t="n">
        <v>16</v>
      </c>
      <c r="H54" s="0" t="n">
        <v>199.46</v>
      </c>
      <c r="I54" s="0" t="s">
        <v>202</v>
      </c>
      <c r="J54" s="0" t="s">
        <v>199</v>
      </c>
      <c r="K54" s="0" t="s">
        <v>65</v>
      </c>
    </row>
    <row r="55" customFormat="false" ht="15" hidden="false" customHeight="false" outlineLevel="0" collapsed="false">
      <c r="A55" s="0" t="s">
        <v>203</v>
      </c>
      <c r="B55" s="0" t="s">
        <v>204</v>
      </c>
      <c r="C55" s="0" t="n">
        <v>3.253</v>
      </c>
      <c r="D55" s="0" t="n">
        <v>14.225</v>
      </c>
      <c r="E55" s="0" t="n">
        <v>4</v>
      </c>
      <c r="F55" s="0" t="s">
        <v>197</v>
      </c>
      <c r="G55" s="0" t="n">
        <v>16</v>
      </c>
      <c r="H55" s="0" t="n">
        <v>185.12</v>
      </c>
      <c r="I55" s="0" t="s">
        <v>205</v>
      </c>
      <c r="J55" s="0" t="s">
        <v>199</v>
      </c>
      <c r="K55" s="0" t="s">
        <v>65</v>
      </c>
    </row>
    <row r="56" customFormat="false" ht="15" hidden="false" customHeight="false" outlineLevel="0" collapsed="false">
      <c r="A56" s="0" t="s">
        <v>206</v>
      </c>
      <c r="B56" s="0" t="s">
        <v>207</v>
      </c>
      <c r="C56" s="0" t="n">
        <v>3.253</v>
      </c>
      <c r="D56" s="0" t="n">
        <v>14.225</v>
      </c>
      <c r="E56" s="0" t="n">
        <v>4</v>
      </c>
      <c r="F56" s="0" t="s">
        <v>197</v>
      </c>
      <c r="G56" s="0" t="n">
        <v>16</v>
      </c>
      <c r="H56" s="0" t="n">
        <v>185.12</v>
      </c>
      <c r="I56" s="0" t="s">
        <v>208</v>
      </c>
      <c r="J56" s="0" t="s">
        <v>199</v>
      </c>
      <c r="K56" s="0" t="s">
        <v>65</v>
      </c>
    </row>
    <row r="57" customFormat="false" ht="15" hidden="false" customHeight="false" outlineLevel="0" collapsed="false">
      <c r="A57" s="0" t="s">
        <v>209</v>
      </c>
      <c r="B57" s="0" t="s">
        <v>210</v>
      </c>
      <c r="C57" s="0" t="n">
        <v>11.771</v>
      </c>
      <c r="D57" s="0" t="n">
        <v>15.375</v>
      </c>
      <c r="E57" s="0" t="n">
        <v>4</v>
      </c>
      <c r="F57" s="0" t="s">
        <v>197</v>
      </c>
      <c r="G57" s="0" t="n">
        <v>16</v>
      </c>
      <c r="H57" s="0" t="n">
        <v>723.9</v>
      </c>
      <c r="I57" s="0" t="s">
        <v>211</v>
      </c>
      <c r="J57" s="0" t="s">
        <v>199</v>
      </c>
      <c r="K57" s="0" t="s">
        <v>72</v>
      </c>
    </row>
    <row r="58" customFormat="false" ht="15" hidden="false" customHeight="false" outlineLevel="0" collapsed="false">
      <c r="A58" s="0" t="s">
        <v>212</v>
      </c>
      <c r="B58" s="0" t="s">
        <v>213</v>
      </c>
      <c r="C58" s="0" t="n">
        <v>11.771</v>
      </c>
      <c r="D58" s="0" t="n">
        <v>15.375</v>
      </c>
      <c r="E58" s="0" t="n">
        <v>4</v>
      </c>
      <c r="F58" s="0" t="s">
        <v>197</v>
      </c>
      <c r="G58" s="0" t="n">
        <v>16</v>
      </c>
      <c r="H58" s="0" t="n">
        <v>723.9</v>
      </c>
      <c r="I58" s="0" t="s">
        <v>214</v>
      </c>
      <c r="J58" s="0" t="s">
        <v>199</v>
      </c>
      <c r="K58" s="0" t="s">
        <v>72</v>
      </c>
    </row>
    <row r="59" customFormat="false" ht="15" hidden="false" customHeight="false" outlineLevel="0" collapsed="false">
      <c r="A59" s="0" t="s">
        <v>215</v>
      </c>
      <c r="B59" s="0" t="s">
        <v>216</v>
      </c>
      <c r="C59" s="0" t="n">
        <v>10.073</v>
      </c>
      <c r="D59" s="0" t="n">
        <v>15.375</v>
      </c>
      <c r="E59" s="0" t="n">
        <v>4</v>
      </c>
      <c r="F59" s="0" t="s">
        <v>197</v>
      </c>
      <c r="G59" s="0" t="n">
        <v>16</v>
      </c>
      <c r="H59" s="0" t="n">
        <v>619.5</v>
      </c>
      <c r="I59" s="0" t="s">
        <v>217</v>
      </c>
      <c r="J59" s="0" t="s">
        <v>199</v>
      </c>
      <c r="K59" s="0" t="s">
        <v>65</v>
      </c>
    </row>
    <row r="60" customFormat="false" ht="15" hidden="false" customHeight="false" outlineLevel="0" collapsed="false">
      <c r="A60" s="0" t="s">
        <v>218</v>
      </c>
      <c r="B60" s="0" t="s">
        <v>219</v>
      </c>
      <c r="C60" s="0" t="n">
        <v>11.625</v>
      </c>
      <c r="D60" s="0" t="n">
        <v>15.375</v>
      </c>
      <c r="E60" s="0" t="n">
        <v>4</v>
      </c>
      <c r="F60" s="0" t="s">
        <v>197</v>
      </c>
      <c r="G60" s="0" t="n">
        <v>16</v>
      </c>
      <c r="H60" s="0" t="n">
        <v>714.94</v>
      </c>
      <c r="I60" s="0" t="s">
        <v>220</v>
      </c>
      <c r="J60" s="0" t="s">
        <v>199</v>
      </c>
      <c r="K60" s="0" t="s">
        <v>72</v>
      </c>
    </row>
    <row r="61" customFormat="false" ht="15" hidden="false" customHeight="false" outlineLevel="0" collapsed="false">
      <c r="A61" s="0" t="s">
        <v>221</v>
      </c>
      <c r="B61" s="0" t="s">
        <v>222</v>
      </c>
      <c r="C61" s="0" t="n">
        <v>11.625</v>
      </c>
      <c r="D61" s="0" t="n">
        <v>15.375</v>
      </c>
      <c r="E61" s="0" t="n">
        <v>4</v>
      </c>
      <c r="F61" s="0" t="s">
        <v>197</v>
      </c>
      <c r="G61" s="0" t="n">
        <v>16</v>
      </c>
      <c r="H61" s="0" t="n">
        <v>714.94</v>
      </c>
      <c r="I61" s="0" t="s">
        <v>223</v>
      </c>
      <c r="J61" s="0" t="s">
        <v>199</v>
      </c>
      <c r="K61" s="0" t="s">
        <v>72</v>
      </c>
    </row>
    <row r="62" customFormat="false" ht="15" hidden="false" customHeight="false" outlineLevel="0" collapsed="false">
      <c r="A62" s="0" t="s">
        <v>224</v>
      </c>
      <c r="B62" s="0" t="s">
        <v>225</v>
      </c>
      <c r="C62" s="0" t="n">
        <v>11.625</v>
      </c>
      <c r="D62" s="0" t="n">
        <v>15.375</v>
      </c>
      <c r="E62" s="0" t="n">
        <v>4</v>
      </c>
      <c r="F62" s="0" t="s">
        <v>197</v>
      </c>
      <c r="G62" s="0" t="n">
        <v>16</v>
      </c>
      <c r="H62" s="0" t="n">
        <v>714.94</v>
      </c>
      <c r="I62" s="0" t="s">
        <v>226</v>
      </c>
      <c r="J62" s="0" t="s">
        <v>199</v>
      </c>
      <c r="K62" s="0" t="s">
        <v>72</v>
      </c>
    </row>
    <row r="63" customFormat="false" ht="15" hidden="false" customHeight="false" outlineLevel="0" collapsed="false">
      <c r="A63" s="5" t="s">
        <v>227</v>
      </c>
    </row>
    <row r="64" customFormat="false" ht="15" hidden="false" customHeight="false" outlineLevel="0" collapsed="false">
      <c r="A64" s="0" t="s">
        <v>228</v>
      </c>
      <c r="B64" s="0" t="s">
        <v>229</v>
      </c>
      <c r="C64" s="0" t="n">
        <v>11.771</v>
      </c>
      <c r="D64" s="0" t="n">
        <v>15.375</v>
      </c>
      <c r="E64" s="0" t="n">
        <v>4</v>
      </c>
      <c r="F64" s="0" t="s">
        <v>197</v>
      </c>
      <c r="G64" s="0" t="n">
        <v>16</v>
      </c>
      <c r="H64" s="0" t="n">
        <v>723.9</v>
      </c>
      <c r="I64" s="0" t="s">
        <v>230</v>
      </c>
      <c r="J64" s="0" t="s">
        <v>199</v>
      </c>
      <c r="K64" s="0" t="s">
        <v>72</v>
      </c>
    </row>
    <row r="65" customFormat="false" ht="15" hidden="false" customHeight="false" outlineLevel="0" collapsed="false">
      <c r="A65" s="0" t="s">
        <v>231</v>
      </c>
      <c r="B65" s="0" t="s">
        <v>232</v>
      </c>
      <c r="C65" s="0" t="n">
        <v>4.353</v>
      </c>
      <c r="D65" s="0" t="n">
        <v>15.375</v>
      </c>
      <c r="E65" s="0" t="n">
        <v>4</v>
      </c>
      <c r="F65" s="0" t="s">
        <v>197</v>
      </c>
      <c r="G65" s="0" t="n">
        <v>16</v>
      </c>
      <c r="H65" s="0" t="n">
        <v>267.74</v>
      </c>
      <c r="I65" s="0" t="s">
        <v>233</v>
      </c>
      <c r="J65" s="0" t="s">
        <v>199</v>
      </c>
      <c r="K65" s="0" t="s">
        <v>65</v>
      </c>
    </row>
    <row r="66" customFormat="false" ht="15" hidden="false" customHeight="false" outlineLevel="0" collapsed="false">
      <c r="A66" s="0" t="s">
        <v>234</v>
      </c>
      <c r="B66" s="0" t="s">
        <v>235</v>
      </c>
      <c r="C66" s="0" t="n">
        <v>3.18</v>
      </c>
      <c r="D66" s="0" t="n">
        <v>15.375</v>
      </c>
      <c r="E66" s="0" t="n">
        <v>4</v>
      </c>
      <c r="F66" s="0" t="s">
        <v>197</v>
      </c>
      <c r="G66" s="0" t="n">
        <v>16</v>
      </c>
      <c r="H66" s="0" t="n">
        <v>195.58</v>
      </c>
      <c r="I66" s="0" t="s">
        <v>236</v>
      </c>
      <c r="J66" s="0" t="s">
        <v>199</v>
      </c>
      <c r="K66" s="0" t="s">
        <v>65</v>
      </c>
    </row>
    <row r="67" customFormat="false" ht="15" hidden="false" customHeight="false" outlineLevel="0" collapsed="false">
      <c r="A67" s="5" t="s">
        <v>237</v>
      </c>
    </row>
    <row r="68" customFormat="false" ht="15" hidden="false" customHeight="false" outlineLevel="0" collapsed="false">
      <c r="A68" s="0" t="s">
        <v>238</v>
      </c>
      <c r="B68" s="0" t="s">
        <v>239</v>
      </c>
      <c r="C68" s="0" t="n">
        <v>30</v>
      </c>
      <c r="D68" s="0" t="n">
        <v>6.262</v>
      </c>
      <c r="E68" s="0" t="n">
        <v>5</v>
      </c>
      <c r="F68" s="0" t="s">
        <v>197</v>
      </c>
      <c r="G68" s="0" t="n">
        <v>16</v>
      </c>
      <c r="H68" s="0" t="n">
        <v>766.8</v>
      </c>
      <c r="I68" s="0" t="s">
        <v>240</v>
      </c>
      <c r="J68" s="0" t="s">
        <v>199</v>
      </c>
      <c r="K68" s="0" t="s">
        <v>72</v>
      </c>
    </row>
    <row r="69" customFormat="false" ht="15" hidden="false" customHeight="false" outlineLevel="0" collapsed="false">
      <c r="A69" s="0" t="s">
        <v>241</v>
      </c>
      <c r="B69" s="0" t="s">
        <v>242</v>
      </c>
      <c r="C69" s="0" t="n">
        <v>15</v>
      </c>
      <c r="D69" s="0" t="n">
        <v>7.333</v>
      </c>
      <c r="E69" s="0" t="n">
        <v>5</v>
      </c>
      <c r="F69" s="0" t="s">
        <v>197</v>
      </c>
      <c r="G69" s="0" t="n">
        <v>16</v>
      </c>
      <c r="H69" s="0" t="n">
        <v>447.66</v>
      </c>
      <c r="I69" s="0" t="s">
        <v>243</v>
      </c>
      <c r="J69" s="0" t="s">
        <v>199</v>
      </c>
      <c r="K69" s="0" t="s">
        <v>72</v>
      </c>
    </row>
    <row r="70" customFormat="false" ht="15" hidden="false" customHeight="false" outlineLevel="0" collapsed="false">
      <c r="A70" s="5" t="s">
        <v>244</v>
      </c>
    </row>
    <row r="71" customFormat="false" ht="15" hidden="false" customHeight="false" outlineLevel="0" collapsed="false">
      <c r="A71" s="0" t="s">
        <v>245</v>
      </c>
      <c r="B71" s="0" t="s">
        <v>246</v>
      </c>
      <c r="C71" s="0" t="n">
        <v>20.907</v>
      </c>
      <c r="D71" s="0" t="n">
        <v>14.358</v>
      </c>
      <c r="E71" s="0" t="n">
        <v>1</v>
      </c>
      <c r="F71" s="0" t="s">
        <v>103</v>
      </c>
      <c r="G71" s="0" t="n">
        <v>16</v>
      </c>
      <c r="H71" s="0" t="n">
        <v>315.78</v>
      </c>
      <c r="I71" s="0" t="s">
        <v>247</v>
      </c>
      <c r="J71" s="0" t="s">
        <v>248</v>
      </c>
      <c r="K71" s="0" t="s">
        <v>65</v>
      </c>
    </row>
    <row r="72" customFormat="false" ht="15" hidden="false" customHeight="false" outlineLevel="0" collapsed="false">
      <c r="A72" s="0" t="s">
        <v>249</v>
      </c>
      <c r="B72" s="0" t="s">
        <v>250</v>
      </c>
      <c r="C72" s="0" t="n">
        <v>3.907</v>
      </c>
      <c r="D72" s="0" t="n">
        <v>14.358</v>
      </c>
      <c r="E72" s="0" t="n">
        <v>1</v>
      </c>
      <c r="F72" s="0" t="s">
        <v>103</v>
      </c>
      <c r="G72" s="0" t="n">
        <v>16</v>
      </c>
      <c r="H72" s="0" t="n">
        <v>60.07</v>
      </c>
      <c r="I72" s="0" t="s">
        <v>251</v>
      </c>
      <c r="J72" s="0" t="s">
        <v>248</v>
      </c>
      <c r="K72" s="0" t="s">
        <v>65</v>
      </c>
    </row>
    <row r="73" customFormat="false" ht="15" hidden="false" customHeight="false" outlineLevel="0" collapsed="false">
      <c r="A73" s="0" t="s">
        <v>252</v>
      </c>
      <c r="B73" s="0" t="s">
        <v>253</v>
      </c>
      <c r="C73" s="0" t="n">
        <v>47.414</v>
      </c>
      <c r="D73" s="0" t="n">
        <v>13.07</v>
      </c>
      <c r="E73" s="0" t="n">
        <v>1</v>
      </c>
      <c r="F73" s="0" t="s">
        <v>103</v>
      </c>
      <c r="G73" s="0" t="n">
        <v>16</v>
      </c>
      <c r="H73" s="0" t="n">
        <v>639.04</v>
      </c>
      <c r="I73" s="0" t="s">
        <v>254</v>
      </c>
      <c r="J73" s="0" t="s">
        <v>248</v>
      </c>
      <c r="K73" s="0" t="s">
        <v>65</v>
      </c>
    </row>
    <row r="74" customFormat="false" ht="15" hidden="false" customHeight="false" outlineLevel="0" collapsed="false">
      <c r="A74" s="0" t="s">
        <v>255</v>
      </c>
      <c r="B74" s="0" t="s">
        <v>256</v>
      </c>
      <c r="C74" s="0" t="n">
        <v>51.734</v>
      </c>
      <c r="D74" s="0" t="n">
        <v>11.17</v>
      </c>
      <c r="E74" s="0" t="n">
        <v>1</v>
      </c>
      <c r="F74" s="0" t="s">
        <v>103</v>
      </c>
      <c r="G74" s="0" t="n">
        <v>16</v>
      </c>
      <c r="H74" s="0" t="n">
        <v>621.07</v>
      </c>
      <c r="I74" s="0" t="s">
        <v>257</v>
      </c>
      <c r="J74" s="0" t="s">
        <v>248</v>
      </c>
      <c r="K74" s="0" t="s">
        <v>65</v>
      </c>
    </row>
    <row r="75" customFormat="false" ht="15" hidden="false" customHeight="false" outlineLevel="0" collapsed="false">
      <c r="A75" s="0" t="s">
        <v>258</v>
      </c>
      <c r="B75" s="0" t="s">
        <v>259</v>
      </c>
      <c r="C75" s="0" t="n">
        <v>75.334</v>
      </c>
      <c r="D75" s="0" t="n">
        <v>13.548</v>
      </c>
      <c r="E75" s="0" t="n">
        <v>1</v>
      </c>
      <c r="F75" s="0" t="s">
        <v>103</v>
      </c>
      <c r="G75" s="0" t="n">
        <v>16</v>
      </c>
      <c r="H75" s="0" t="n">
        <v>1036.31</v>
      </c>
      <c r="I75" s="0" t="s">
        <v>260</v>
      </c>
      <c r="J75" s="0" t="s">
        <v>248</v>
      </c>
      <c r="K75" s="0" t="s">
        <v>65</v>
      </c>
    </row>
    <row r="76" customFormat="false" ht="15" hidden="false" customHeight="false" outlineLevel="0" collapsed="false">
      <c r="A76" s="0" t="s">
        <v>261</v>
      </c>
      <c r="B76" s="0" t="s">
        <v>262</v>
      </c>
      <c r="C76" s="0" t="n">
        <v>12.64</v>
      </c>
      <c r="D76" s="0" t="n">
        <v>14.358</v>
      </c>
      <c r="E76" s="0" t="n">
        <v>1</v>
      </c>
      <c r="F76" s="0" t="s">
        <v>103</v>
      </c>
      <c r="G76" s="0" t="n">
        <v>16</v>
      </c>
      <c r="H76" s="0" t="n">
        <v>194.34</v>
      </c>
      <c r="I76" s="0" t="s">
        <v>263</v>
      </c>
      <c r="J76" s="0" t="s">
        <v>248</v>
      </c>
      <c r="K76" s="0" t="s">
        <v>65</v>
      </c>
    </row>
    <row r="77" customFormat="false" ht="15" hidden="false" customHeight="false" outlineLevel="0" collapsed="false">
      <c r="A77" s="0" t="s">
        <v>264</v>
      </c>
      <c r="B77" s="0" t="s">
        <v>265</v>
      </c>
      <c r="C77" s="0" t="n">
        <v>3.375</v>
      </c>
      <c r="D77" s="0" t="n">
        <v>14.358</v>
      </c>
      <c r="E77" s="0" t="n">
        <v>0</v>
      </c>
      <c r="F77" s="0" t="s">
        <v>103</v>
      </c>
      <c r="G77" s="0" t="n">
        <v>16</v>
      </c>
      <c r="H77" s="0" t="n">
        <v>0</v>
      </c>
      <c r="I77" s="0" t="s">
        <v>265</v>
      </c>
      <c r="J77" s="0" t="s">
        <v>266</v>
      </c>
      <c r="K77" s="0" t="s">
        <v>72</v>
      </c>
    </row>
    <row r="78" customFormat="false" ht="15" hidden="false" customHeight="false" outlineLevel="0" collapsed="false">
      <c r="A78" s="0" t="s">
        <v>267</v>
      </c>
      <c r="B78" s="0" t="s">
        <v>268</v>
      </c>
      <c r="C78" s="0" t="n">
        <v>2.896</v>
      </c>
      <c r="D78" s="0" t="n">
        <v>14.358</v>
      </c>
      <c r="E78" s="0" t="n">
        <v>0</v>
      </c>
      <c r="F78" s="0" t="s">
        <v>103</v>
      </c>
      <c r="G78" s="0" t="n">
        <v>16</v>
      </c>
      <c r="H78" s="0" t="n">
        <v>0</v>
      </c>
      <c r="I78" s="0" t="s">
        <v>268</v>
      </c>
      <c r="J78" s="0" t="s">
        <v>269</v>
      </c>
      <c r="K78" s="0" t="s">
        <v>72</v>
      </c>
    </row>
    <row r="79" customFormat="false" ht="15" hidden="false" customHeight="false" outlineLevel="0" collapsed="false">
      <c r="A79" s="5" t="s">
        <v>270</v>
      </c>
    </row>
    <row r="80" customFormat="false" ht="15" hidden="false" customHeight="false" outlineLevel="0" collapsed="false">
      <c r="A80" s="0" t="s">
        <v>271</v>
      </c>
      <c r="B80" s="0" t="s">
        <v>272</v>
      </c>
      <c r="C80" s="0" t="n">
        <v>29.033</v>
      </c>
      <c r="D80" s="0" t="n">
        <v>4.292</v>
      </c>
      <c r="E80" s="0" t="n">
        <v>0</v>
      </c>
      <c r="F80" s="0" t="s">
        <v>273</v>
      </c>
      <c r="G80" s="0" t="n">
        <v>16</v>
      </c>
      <c r="H80" s="0" t="n">
        <v>0</v>
      </c>
      <c r="I80" s="0" t="s">
        <v>274</v>
      </c>
      <c r="J80" s="0" t="s">
        <v>275</v>
      </c>
      <c r="K80" s="0" t="s">
        <v>65</v>
      </c>
    </row>
    <row r="81" customFormat="false" ht="15" hidden="false" customHeight="false" outlineLevel="0" collapsed="false">
      <c r="A81" s="0" t="s">
        <v>276</v>
      </c>
      <c r="B81" s="0" t="s">
        <v>277</v>
      </c>
      <c r="C81" s="0" t="n">
        <v>16.393</v>
      </c>
      <c r="D81" s="0" t="n">
        <v>4.292</v>
      </c>
      <c r="E81" s="0" t="n">
        <v>0</v>
      </c>
      <c r="F81" s="0" t="s">
        <v>273</v>
      </c>
      <c r="G81" s="0" t="n">
        <v>16</v>
      </c>
      <c r="H81" s="0" t="n">
        <v>0</v>
      </c>
      <c r="I81" s="0" t="s">
        <v>278</v>
      </c>
      <c r="J81" s="0" t="s">
        <v>275</v>
      </c>
      <c r="K81" s="0" t="s">
        <v>65</v>
      </c>
    </row>
    <row r="82" customFormat="false" ht="15" hidden="false" customHeight="false" outlineLevel="0" collapsed="false">
      <c r="A82" s="0" t="s">
        <v>279</v>
      </c>
      <c r="B82" s="0" t="s">
        <v>280</v>
      </c>
      <c r="C82" s="0" t="n">
        <v>3.947</v>
      </c>
      <c r="D82" s="0" t="n">
        <v>4.292</v>
      </c>
      <c r="E82" s="0" t="n">
        <v>0</v>
      </c>
      <c r="F82" s="0" t="s">
        <v>273</v>
      </c>
      <c r="G82" s="0" t="n">
        <v>16</v>
      </c>
      <c r="H82" s="0" t="n">
        <v>0</v>
      </c>
      <c r="I82" s="0" t="s">
        <v>281</v>
      </c>
      <c r="J82" s="0" t="s">
        <v>275</v>
      </c>
      <c r="K82" s="0" t="s">
        <v>65</v>
      </c>
    </row>
    <row r="83" customFormat="false" ht="15" hidden="false" customHeight="false" outlineLevel="0" collapsed="false">
      <c r="A83" s="0" t="s">
        <v>282</v>
      </c>
      <c r="B83" s="0" t="s">
        <v>283</v>
      </c>
      <c r="C83" s="0" t="n">
        <v>3.907</v>
      </c>
      <c r="D83" s="0" t="n">
        <v>4.292</v>
      </c>
      <c r="E83" s="0" t="n">
        <v>0</v>
      </c>
      <c r="F83" s="0" t="s">
        <v>273</v>
      </c>
      <c r="G83" s="0" t="n">
        <v>16</v>
      </c>
      <c r="H83" s="0" t="n">
        <v>0</v>
      </c>
      <c r="I83" s="0" t="s">
        <v>284</v>
      </c>
      <c r="J83" s="0" t="s">
        <v>275</v>
      </c>
      <c r="K83" s="0" t="s">
        <v>65</v>
      </c>
    </row>
    <row r="84" customFormat="false" ht="15" hidden="false" customHeight="false" outlineLevel="0" collapsed="false">
      <c r="A84" s="0" t="s">
        <v>285</v>
      </c>
      <c r="B84" s="0" t="s">
        <v>286</v>
      </c>
      <c r="C84" s="0" t="n">
        <v>39.61</v>
      </c>
      <c r="D84" s="0" t="n">
        <v>2.042</v>
      </c>
      <c r="E84" s="0" t="n">
        <v>0</v>
      </c>
      <c r="F84" s="0" t="s">
        <v>273</v>
      </c>
      <c r="G84" s="0" t="n">
        <v>16</v>
      </c>
      <c r="H84" s="0" t="n">
        <v>0</v>
      </c>
      <c r="I84" s="0" t="s">
        <v>287</v>
      </c>
      <c r="J84" s="0" t="s">
        <v>275</v>
      </c>
      <c r="K84" s="0" t="s">
        <v>65</v>
      </c>
    </row>
    <row r="85" customFormat="false" ht="15" hidden="false" customHeight="false" outlineLevel="0" collapsed="false">
      <c r="A85" s="0" t="s">
        <v>288</v>
      </c>
      <c r="B85" s="0" t="s">
        <v>289</v>
      </c>
      <c r="C85" s="0" t="n">
        <v>75.96</v>
      </c>
      <c r="D85" s="0" t="n">
        <v>2.897</v>
      </c>
      <c r="E85" s="0" t="n">
        <v>0</v>
      </c>
      <c r="F85" s="0" t="s">
        <v>273</v>
      </c>
      <c r="G85" s="0" t="n">
        <v>16</v>
      </c>
      <c r="H85" s="0" t="n">
        <v>0</v>
      </c>
      <c r="I85" s="0" t="s">
        <v>290</v>
      </c>
      <c r="J85" s="0" t="s">
        <v>275</v>
      </c>
      <c r="K85" s="0" t="s">
        <v>65</v>
      </c>
    </row>
    <row r="86" customFormat="false" ht="15" hidden="false" customHeight="false" outlineLevel="0" collapsed="false">
      <c r="A86" s="0" t="s">
        <v>291</v>
      </c>
      <c r="B86" s="0" t="s">
        <v>292</v>
      </c>
      <c r="C86" s="0" t="n">
        <v>52.347</v>
      </c>
      <c r="D86" s="0" t="n">
        <v>4.885</v>
      </c>
      <c r="E86" s="0" t="n">
        <v>0</v>
      </c>
      <c r="F86" s="0" t="s">
        <v>273</v>
      </c>
      <c r="G86" s="0" t="n">
        <v>16</v>
      </c>
      <c r="H86" s="0" t="n">
        <v>0</v>
      </c>
      <c r="I86" s="0" t="s">
        <v>293</v>
      </c>
      <c r="J86" s="0" t="s">
        <v>275</v>
      </c>
      <c r="K86" s="0" t="s">
        <v>65</v>
      </c>
    </row>
    <row r="87" customFormat="false" ht="15" hidden="false" customHeight="false" outlineLevel="0" collapsed="false">
      <c r="A87" s="0" t="s">
        <v>294</v>
      </c>
      <c r="B87" s="0" t="s">
        <v>295</v>
      </c>
      <c r="C87" s="0" t="n">
        <v>47.927</v>
      </c>
      <c r="D87" s="0" t="n">
        <v>3.397</v>
      </c>
      <c r="E87" s="0" t="n">
        <v>0</v>
      </c>
      <c r="F87" s="0" t="s">
        <v>273</v>
      </c>
      <c r="G87" s="0" t="n">
        <v>16</v>
      </c>
      <c r="H87" s="0" t="n">
        <v>0</v>
      </c>
      <c r="I87" s="0" t="s">
        <v>296</v>
      </c>
      <c r="J87" s="0" t="s">
        <v>275</v>
      </c>
      <c r="K87" s="0" t="s">
        <v>65</v>
      </c>
    </row>
    <row r="88" customFormat="false" ht="15" hidden="false" customHeight="false" outlineLevel="0" collapsed="false">
      <c r="A88" s="5" t="s">
        <v>297</v>
      </c>
    </row>
    <row r="89" customFormat="false" ht="15" hidden="false" customHeight="false" outlineLevel="0" collapsed="false">
      <c r="A89" s="0" t="s">
        <v>298</v>
      </c>
      <c r="B89" s="0" t="s">
        <v>299</v>
      </c>
      <c r="C89" s="0" t="n">
        <v>5.667</v>
      </c>
      <c r="D89" s="0" t="n">
        <v>10.604</v>
      </c>
      <c r="E89" s="0" t="n">
        <v>0</v>
      </c>
      <c r="F89" s="0" t="s">
        <v>62</v>
      </c>
      <c r="G89" s="0" t="n">
        <v>16</v>
      </c>
      <c r="H89" s="0" t="n">
        <v>0</v>
      </c>
      <c r="I89" s="0" t="s">
        <v>300</v>
      </c>
      <c r="J89" s="0" t="s">
        <v>301</v>
      </c>
      <c r="K89" s="0" t="s">
        <v>65</v>
      </c>
    </row>
    <row r="90" customFormat="false" ht="15" hidden="false" customHeight="false" outlineLevel="0" collapsed="false">
      <c r="A90" s="0" t="s">
        <v>302</v>
      </c>
      <c r="B90" s="0" t="s">
        <v>303</v>
      </c>
      <c r="C90" s="0" t="n">
        <v>5.667</v>
      </c>
      <c r="D90" s="0" t="n">
        <v>10.604</v>
      </c>
      <c r="E90" s="0" t="n">
        <v>0</v>
      </c>
      <c r="F90" s="0" t="s">
        <v>62</v>
      </c>
      <c r="G90" s="0" t="n">
        <v>16</v>
      </c>
      <c r="H90" s="0" t="n">
        <v>0</v>
      </c>
      <c r="I90" s="0" t="s">
        <v>304</v>
      </c>
      <c r="J90" s="0" t="s">
        <v>301</v>
      </c>
      <c r="K90" s="0" t="s">
        <v>65</v>
      </c>
    </row>
    <row r="91" customFormat="false" ht="15" hidden="false" customHeight="false" outlineLevel="0" collapsed="false">
      <c r="A91" s="0" t="s">
        <v>305</v>
      </c>
      <c r="B91" s="0" t="s">
        <v>306</v>
      </c>
      <c r="C91" s="0" t="n">
        <v>5.667</v>
      </c>
      <c r="D91" s="0" t="n">
        <v>10.604</v>
      </c>
      <c r="E91" s="0" t="n">
        <v>0</v>
      </c>
      <c r="F91" s="0" t="s">
        <v>62</v>
      </c>
      <c r="G91" s="0" t="n">
        <v>16</v>
      </c>
      <c r="H91" s="0" t="n">
        <v>0</v>
      </c>
      <c r="I91" s="0" t="s">
        <v>307</v>
      </c>
      <c r="J91" s="0" t="s">
        <v>301</v>
      </c>
      <c r="K91" s="0" t="s">
        <v>65</v>
      </c>
    </row>
    <row r="92" customFormat="false" ht="15" hidden="false" customHeight="false" outlineLevel="0" collapsed="false">
      <c r="A92" s="0" t="s">
        <v>308</v>
      </c>
      <c r="B92" s="0" t="s">
        <v>309</v>
      </c>
      <c r="C92" s="0" t="n">
        <v>5.667</v>
      </c>
      <c r="D92" s="0" t="n">
        <v>10.604</v>
      </c>
      <c r="E92" s="0" t="n">
        <v>0</v>
      </c>
      <c r="F92" s="0" t="s">
        <v>62</v>
      </c>
      <c r="G92" s="0" t="n">
        <v>16</v>
      </c>
      <c r="H92" s="0" t="n">
        <v>0</v>
      </c>
      <c r="I92" s="0" t="s">
        <v>310</v>
      </c>
      <c r="J92" s="0" t="s">
        <v>301</v>
      </c>
      <c r="K92" s="0" t="s">
        <v>65</v>
      </c>
    </row>
    <row r="93" customFormat="false" ht="15" hidden="false" customHeight="false" outlineLevel="0" collapsed="false">
      <c r="B93" s="6" t="s">
        <v>311</v>
      </c>
      <c r="C93" s="4" t="n">
        <f aca="false">SUM(C5:C92)</f>
        <v>955.114</v>
      </c>
      <c r="H93" s="4" t="n">
        <f aca="false">SUM(H5:H92)</f>
        <v>15935.27</v>
      </c>
    </row>
    <row r="95" customFormat="false" ht="15" hidden="false" customHeight="false" outlineLevel="0" collapsed="false">
      <c r="A95" s="5" t="s">
        <v>312</v>
      </c>
    </row>
    <row r="96" customFormat="false" ht="15" hidden="false" customHeight="false" outlineLevel="0" collapsed="false">
      <c r="A96" s="0" t="s">
        <v>313</v>
      </c>
      <c r="B96" s="0" t="s">
        <v>314</v>
      </c>
      <c r="C96" s="0" t="n">
        <v>6.44</v>
      </c>
      <c r="D96" s="0" t="n">
        <v>7.375</v>
      </c>
      <c r="E96" s="0" t="n">
        <v>1</v>
      </c>
      <c r="F96" s="0" t="s">
        <v>62</v>
      </c>
      <c r="G96" s="0" t="n">
        <v>16</v>
      </c>
      <c r="H96" s="0" t="n">
        <v>9.66</v>
      </c>
      <c r="I96" s="0" t="s">
        <v>315</v>
      </c>
      <c r="J96" s="0" t="s">
        <v>316</v>
      </c>
      <c r="K96" s="0" t="s">
        <v>65</v>
      </c>
    </row>
    <row r="97" customFormat="false" ht="15" hidden="false" customHeight="false" outlineLevel="0" collapsed="false">
      <c r="A97" s="0" t="s">
        <v>317</v>
      </c>
      <c r="B97" s="0" t="s">
        <v>318</v>
      </c>
      <c r="C97" s="0" t="n">
        <v>5.573</v>
      </c>
      <c r="D97" s="0" t="n">
        <v>5.052</v>
      </c>
      <c r="E97" s="0" t="n">
        <v>1</v>
      </c>
      <c r="F97" s="0" t="s">
        <v>62</v>
      </c>
      <c r="G97" s="0" t="n">
        <v>16</v>
      </c>
      <c r="H97" s="0" t="n">
        <v>8.36</v>
      </c>
      <c r="I97" s="0" t="s">
        <v>315</v>
      </c>
      <c r="J97" s="0" t="s">
        <v>316</v>
      </c>
      <c r="K97" s="0" t="s">
        <v>65</v>
      </c>
    </row>
    <row r="98" customFormat="false" ht="15" hidden="false" customHeight="false" outlineLevel="0" collapsed="false">
      <c r="A98" s="0" t="s">
        <v>319</v>
      </c>
      <c r="B98" s="0" t="s">
        <v>320</v>
      </c>
      <c r="C98" s="0" t="n">
        <v>6.44</v>
      </c>
      <c r="D98" s="0" t="n">
        <v>7.375</v>
      </c>
      <c r="E98" s="0" t="n">
        <v>1</v>
      </c>
      <c r="F98" s="0" t="s">
        <v>62</v>
      </c>
      <c r="G98" s="0" t="n">
        <v>16</v>
      </c>
      <c r="H98" s="0" t="n">
        <v>9.66</v>
      </c>
      <c r="I98" s="0" t="s">
        <v>321</v>
      </c>
      <c r="J98" s="0" t="s">
        <v>316</v>
      </c>
      <c r="K98" s="0" t="s">
        <v>65</v>
      </c>
    </row>
    <row r="99" customFormat="false" ht="15" hidden="false" customHeight="false" outlineLevel="0" collapsed="false">
      <c r="A99" s="0" t="s">
        <v>322</v>
      </c>
      <c r="B99" s="0" t="s">
        <v>323</v>
      </c>
      <c r="C99" s="0" t="n">
        <v>5.573</v>
      </c>
      <c r="D99" s="0" t="n">
        <v>5.052</v>
      </c>
      <c r="E99" s="0" t="n">
        <v>1</v>
      </c>
      <c r="F99" s="0" t="s">
        <v>62</v>
      </c>
      <c r="G99" s="0" t="n">
        <v>16</v>
      </c>
      <c r="H99" s="0" t="n">
        <v>8.36</v>
      </c>
      <c r="I99" s="0" t="s">
        <v>321</v>
      </c>
      <c r="J99" s="0" t="s">
        <v>316</v>
      </c>
      <c r="K99" s="0" t="s">
        <v>65</v>
      </c>
    </row>
    <row r="100" customFormat="false" ht="15" hidden="false" customHeight="false" outlineLevel="0" collapsed="false">
      <c r="A100" s="0" t="s">
        <v>324</v>
      </c>
      <c r="B100" s="0" t="s">
        <v>325</v>
      </c>
      <c r="C100" s="0" t="n">
        <v>17.027</v>
      </c>
      <c r="D100" s="0" t="n">
        <v>4.375</v>
      </c>
      <c r="E100" s="0" t="n">
        <v>1</v>
      </c>
      <c r="F100" s="0" t="s">
        <v>62</v>
      </c>
      <c r="G100" s="0" t="n">
        <v>16</v>
      </c>
      <c r="H100" s="0" t="n">
        <v>17.03</v>
      </c>
      <c r="I100" s="0" t="s">
        <v>326</v>
      </c>
      <c r="J100" s="0" t="s">
        <v>327</v>
      </c>
      <c r="K100" s="0" t="s">
        <v>65</v>
      </c>
    </row>
    <row r="101" customFormat="false" ht="15" hidden="false" customHeight="false" outlineLevel="0" collapsed="false">
      <c r="A101" s="0" t="s">
        <v>328</v>
      </c>
      <c r="B101" s="0" t="s">
        <v>329</v>
      </c>
      <c r="C101" s="0" t="n">
        <v>30</v>
      </c>
      <c r="D101" s="0" t="n">
        <v>4.375</v>
      </c>
      <c r="E101" s="0" t="n">
        <v>1</v>
      </c>
      <c r="F101" s="0" t="s">
        <v>62</v>
      </c>
      <c r="G101" s="0" t="n">
        <v>16</v>
      </c>
      <c r="H101" s="0" t="n">
        <v>30</v>
      </c>
      <c r="I101" s="0" t="s">
        <v>330</v>
      </c>
      <c r="J101" s="0" t="s">
        <v>327</v>
      </c>
      <c r="K101" s="0" t="s">
        <v>65</v>
      </c>
    </row>
    <row r="102" customFormat="false" ht="15" hidden="false" customHeight="false" outlineLevel="0" collapsed="false">
      <c r="A102" s="0" t="s">
        <v>331</v>
      </c>
      <c r="B102" s="0" t="s">
        <v>332</v>
      </c>
      <c r="C102" s="0" t="n">
        <v>30</v>
      </c>
      <c r="D102" s="0" t="n">
        <v>4.375</v>
      </c>
      <c r="E102" s="0" t="n">
        <v>1</v>
      </c>
      <c r="F102" s="0" t="s">
        <v>62</v>
      </c>
      <c r="G102" s="0" t="n">
        <v>16</v>
      </c>
      <c r="H102" s="0" t="n">
        <v>30</v>
      </c>
      <c r="I102" s="0" t="s">
        <v>333</v>
      </c>
      <c r="J102" s="0" t="s">
        <v>327</v>
      </c>
      <c r="K102" s="0" t="s">
        <v>65</v>
      </c>
    </row>
    <row r="103" customFormat="false" ht="15" hidden="false" customHeight="false" outlineLevel="0" collapsed="false">
      <c r="A103" s="0" t="s">
        <v>334</v>
      </c>
      <c r="B103" s="0" t="s">
        <v>335</v>
      </c>
      <c r="C103" s="0" t="n">
        <v>5.093</v>
      </c>
      <c r="D103" s="0" t="n">
        <v>6.375</v>
      </c>
      <c r="E103" s="0" t="n">
        <v>1</v>
      </c>
      <c r="F103" s="0" t="s">
        <v>62</v>
      </c>
      <c r="G103" s="0" t="n">
        <v>16</v>
      </c>
      <c r="H103" s="0" t="n">
        <v>15.28</v>
      </c>
      <c r="I103" s="0" t="s">
        <v>336</v>
      </c>
      <c r="J103" s="0" t="s">
        <v>327</v>
      </c>
      <c r="K103" s="0" t="s">
        <v>65</v>
      </c>
    </row>
    <row r="104" customFormat="false" ht="15" hidden="false" customHeight="false" outlineLevel="0" collapsed="false">
      <c r="A104" s="0" t="s">
        <v>337</v>
      </c>
      <c r="B104" s="0" t="s">
        <v>338</v>
      </c>
      <c r="C104" s="0" t="n">
        <v>15.646</v>
      </c>
      <c r="D104" s="0" t="n">
        <v>5.375</v>
      </c>
      <c r="E104" s="0" t="n">
        <v>0</v>
      </c>
      <c r="F104" s="0" t="s">
        <v>62</v>
      </c>
      <c r="G104" s="0" t="n">
        <v>16</v>
      </c>
      <c r="H104" s="0" t="n">
        <v>0</v>
      </c>
      <c r="I104" s="0" t="s">
        <v>339</v>
      </c>
      <c r="J104" s="0" t="s">
        <v>340</v>
      </c>
      <c r="K104" s="0" t="s">
        <v>72</v>
      </c>
    </row>
    <row r="105" customFormat="false" ht="15" hidden="false" customHeight="false" outlineLevel="0" collapsed="false">
      <c r="A105" s="0" t="s">
        <v>341</v>
      </c>
      <c r="B105" s="0" t="s">
        <v>342</v>
      </c>
      <c r="C105" s="0" t="n">
        <v>6.417</v>
      </c>
      <c r="D105" s="0" t="n">
        <v>4.383</v>
      </c>
      <c r="E105" s="0" t="n">
        <v>1</v>
      </c>
      <c r="F105" s="0" t="s">
        <v>62</v>
      </c>
      <c r="G105" s="0" t="n">
        <v>16</v>
      </c>
      <c r="H105" s="0" t="n">
        <v>9.63</v>
      </c>
      <c r="I105" s="0" t="s">
        <v>343</v>
      </c>
      <c r="J105" s="0" t="s">
        <v>344</v>
      </c>
      <c r="K105" s="0" t="s">
        <v>72</v>
      </c>
    </row>
    <row r="106" customFormat="false" ht="15" hidden="false" customHeight="false" outlineLevel="0" collapsed="false">
      <c r="A106" s="0" t="s">
        <v>345</v>
      </c>
      <c r="B106" s="0" t="s">
        <v>346</v>
      </c>
      <c r="C106" s="0" t="n">
        <v>13.333</v>
      </c>
      <c r="D106" s="0" t="n">
        <v>2</v>
      </c>
      <c r="E106" s="0" t="n">
        <v>3</v>
      </c>
      <c r="F106" s="0" t="s">
        <v>347</v>
      </c>
      <c r="G106" s="0" t="n">
        <v>16</v>
      </c>
      <c r="H106" s="0" t="n">
        <v>37.22</v>
      </c>
      <c r="I106" s="0" t="s">
        <v>348</v>
      </c>
      <c r="J106" s="0" t="s">
        <v>349</v>
      </c>
      <c r="K106" s="0" t="s">
        <v>72</v>
      </c>
    </row>
    <row r="107" customFormat="false" ht="15" hidden="false" customHeight="false" outlineLevel="0" collapsed="false">
      <c r="A107" s="0" t="s">
        <v>350</v>
      </c>
      <c r="B107" s="0" t="s">
        <v>351</v>
      </c>
      <c r="C107" s="0" t="n">
        <v>26.25</v>
      </c>
      <c r="D107" s="0" t="n">
        <v>4.525</v>
      </c>
      <c r="E107" s="0" t="n">
        <v>1</v>
      </c>
      <c r="F107" s="0" t="s">
        <v>103</v>
      </c>
      <c r="G107" s="0" t="n">
        <v>16</v>
      </c>
      <c r="H107" s="0" t="n">
        <v>180.47</v>
      </c>
      <c r="I107" s="0" t="s">
        <v>352</v>
      </c>
      <c r="J107" s="0" t="s">
        <v>248</v>
      </c>
      <c r="K107" s="0" t="s">
        <v>72</v>
      </c>
    </row>
    <row r="108" customFormat="false" ht="15" hidden="false" customHeight="false" outlineLevel="0" collapsed="false">
      <c r="A108" s="0" t="s">
        <v>353</v>
      </c>
      <c r="B108" s="0" t="s">
        <v>354</v>
      </c>
      <c r="C108" s="0" t="n">
        <v>12.562</v>
      </c>
      <c r="D108" s="0" t="n">
        <v>4.983</v>
      </c>
      <c r="E108" s="0" t="n">
        <v>1</v>
      </c>
      <c r="F108" s="0" t="s">
        <v>103</v>
      </c>
      <c r="G108" s="0" t="n">
        <v>16</v>
      </c>
      <c r="H108" s="0" t="n">
        <v>86.37</v>
      </c>
      <c r="I108" s="0" t="s">
        <v>355</v>
      </c>
      <c r="J108" s="0" t="s">
        <v>248</v>
      </c>
      <c r="K108" s="0" t="s">
        <v>72</v>
      </c>
    </row>
    <row r="109" customFormat="false" ht="15" hidden="false" customHeight="false" outlineLevel="0" collapsed="false">
      <c r="A109" s="0" t="s">
        <v>356</v>
      </c>
      <c r="B109" s="0" t="s">
        <v>357</v>
      </c>
      <c r="C109" s="0" t="n">
        <v>6.5</v>
      </c>
      <c r="D109" s="0" t="n">
        <v>4.983</v>
      </c>
      <c r="E109" s="0" t="n">
        <v>1</v>
      </c>
      <c r="F109" s="0" t="s">
        <v>103</v>
      </c>
      <c r="G109" s="0" t="n">
        <v>16</v>
      </c>
      <c r="H109" s="0" t="n">
        <v>44.69</v>
      </c>
      <c r="I109" s="0" t="s">
        <v>355</v>
      </c>
      <c r="J109" s="0" t="s">
        <v>248</v>
      </c>
      <c r="K109" s="0" t="s">
        <v>72</v>
      </c>
    </row>
    <row r="110" customFormat="false" ht="15" hidden="false" customHeight="false" outlineLevel="0" collapsed="false">
      <c r="A110" s="0" t="s">
        <v>358</v>
      </c>
      <c r="B110" s="0" t="s">
        <v>359</v>
      </c>
      <c r="C110" s="0" t="n">
        <v>51.593</v>
      </c>
      <c r="D110" s="0" t="n">
        <v>3.113</v>
      </c>
      <c r="E110" s="0" t="n">
        <v>0</v>
      </c>
      <c r="F110" s="0" t="s">
        <v>62</v>
      </c>
      <c r="G110" s="0" t="n">
        <v>16</v>
      </c>
      <c r="H110" s="0" t="n">
        <v>0</v>
      </c>
      <c r="I110" s="0" t="s">
        <v>360</v>
      </c>
      <c r="J110" s="0" t="s">
        <v>361</v>
      </c>
      <c r="K110" s="0" t="s">
        <v>65</v>
      </c>
    </row>
    <row r="111" customFormat="false" ht="15" hidden="false" customHeight="false" outlineLevel="0" collapsed="false">
      <c r="A111" s="0" t="s">
        <v>362</v>
      </c>
      <c r="B111" s="0" t="s">
        <v>363</v>
      </c>
      <c r="C111" s="0" t="n">
        <v>51.593</v>
      </c>
      <c r="D111" s="0" t="n">
        <v>3.46</v>
      </c>
      <c r="E111" s="0" t="n">
        <v>1</v>
      </c>
      <c r="F111" s="0" t="s">
        <v>62</v>
      </c>
      <c r="G111" s="0" t="n">
        <v>16</v>
      </c>
      <c r="H111" s="0" t="n">
        <v>178.51</v>
      </c>
      <c r="I111" s="0" t="s">
        <v>364</v>
      </c>
      <c r="J111" s="0" t="s">
        <v>365</v>
      </c>
      <c r="K111" s="0" t="s">
        <v>65</v>
      </c>
    </row>
    <row r="112" customFormat="false" ht="15" hidden="false" customHeight="false" outlineLevel="0" collapsed="false">
      <c r="A112" s="0" t="s">
        <v>366</v>
      </c>
      <c r="B112" s="0" t="s">
        <v>367</v>
      </c>
      <c r="C112" s="0" t="n">
        <v>51.593</v>
      </c>
      <c r="D112" s="0" t="n">
        <v>1.131</v>
      </c>
      <c r="E112" s="0" t="n">
        <v>2</v>
      </c>
      <c r="F112" s="0" t="s">
        <v>62</v>
      </c>
      <c r="G112" s="0" t="n">
        <v>16</v>
      </c>
      <c r="H112" s="0" t="n">
        <v>125.52</v>
      </c>
      <c r="I112" s="0" t="s">
        <v>368</v>
      </c>
      <c r="J112" s="0" t="s">
        <v>365</v>
      </c>
      <c r="K112" s="0" t="s">
        <v>65</v>
      </c>
    </row>
    <row r="113" customFormat="false" ht="15" hidden="false" customHeight="false" outlineLevel="0" collapsed="false">
      <c r="A113" s="0" t="s">
        <v>369</v>
      </c>
      <c r="B113" s="0" t="s">
        <v>370</v>
      </c>
      <c r="C113" s="0" t="n">
        <v>77.66</v>
      </c>
      <c r="D113" s="0" t="n">
        <v>1.865</v>
      </c>
      <c r="E113" s="0" t="n">
        <v>0</v>
      </c>
      <c r="F113" s="0" t="s">
        <v>62</v>
      </c>
      <c r="G113" s="0" t="n">
        <v>16</v>
      </c>
      <c r="H113" s="0" t="n">
        <v>0</v>
      </c>
      <c r="I113" s="0" t="s">
        <v>371</v>
      </c>
      <c r="J113" s="0" t="s">
        <v>372</v>
      </c>
      <c r="K113" s="0" t="s">
        <v>65</v>
      </c>
    </row>
    <row r="114" customFormat="false" ht="15" hidden="false" customHeight="false" outlineLevel="0" collapsed="false">
      <c r="A114" s="0" t="s">
        <v>373</v>
      </c>
      <c r="B114" s="0" t="s">
        <v>374</v>
      </c>
      <c r="C114" s="0" t="n">
        <v>56.02</v>
      </c>
      <c r="D114" s="0" t="n">
        <v>1.865</v>
      </c>
      <c r="E114" s="0" t="n">
        <v>0</v>
      </c>
      <c r="F114" s="0" t="s">
        <v>62</v>
      </c>
      <c r="G114" s="0" t="n">
        <v>16</v>
      </c>
      <c r="H114" s="0" t="n">
        <v>0</v>
      </c>
      <c r="I114" s="0" t="s">
        <v>375</v>
      </c>
      <c r="J114" s="0" t="s">
        <v>376</v>
      </c>
      <c r="K114" s="0" t="s">
        <v>65</v>
      </c>
    </row>
    <row r="115" customFormat="false" ht="15" hidden="false" customHeight="false" outlineLevel="0" collapsed="false">
      <c r="A115" s="0" t="s">
        <v>377</v>
      </c>
      <c r="B115" s="0" t="s">
        <v>378</v>
      </c>
      <c r="C115" s="0" t="n">
        <v>21.25</v>
      </c>
      <c r="D115" s="0" t="n">
        <v>1.865</v>
      </c>
      <c r="E115" s="0" t="n">
        <v>0</v>
      </c>
      <c r="F115" s="0" t="s">
        <v>62</v>
      </c>
      <c r="G115" s="0" t="n">
        <v>16</v>
      </c>
      <c r="H115" s="0" t="n">
        <v>0</v>
      </c>
      <c r="I115" s="0" t="s">
        <v>379</v>
      </c>
      <c r="J115" s="0" t="s">
        <v>376</v>
      </c>
      <c r="K115" s="0" t="s">
        <v>65</v>
      </c>
    </row>
    <row r="116" customFormat="false" ht="15" hidden="false" customHeight="false" outlineLevel="0" collapsed="false">
      <c r="A116" s="0" t="s">
        <v>380</v>
      </c>
      <c r="B116" s="0" t="s">
        <v>381</v>
      </c>
      <c r="C116" s="0" t="n">
        <v>52.08</v>
      </c>
      <c r="D116" s="0" t="n">
        <v>1.865</v>
      </c>
      <c r="E116" s="0" t="n">
        <v>0</v>
      </c>
      <c r="F116" s="0" t="s">
        <v>62</v>
      </c>
      <c r="G116" s="0" t="n">
        <v>16</v>
      </c>
      <c r="H116" s="0" t="n">
        <v>0</v>
      </c>
      <c r="I116" s="0" t="s">
        <v>382</v>
      </c>
      <c r="J116" s="0" t="s">
        <v>383</v>
      </c>
      <c r="K116" s="0" t="s">
        <v>65</v>
      </c>
    </row>
    <row r="117" customFormat="false" ht="15" hidden="false" customHeight="false" outlineLevel="0" collapsed="false">
      <c r="A117" s="0" t="s">
        <v>384</v>
      </c>
      <c r="B117" s="0" t="s">
        <v>385</v>
      </c>
      <c r="C117" s="0" t="n">
        <v>2.743</v>
      </c>
      <c r="D117" s="0" t="n">
        <v>1.865</v>
      </c>
      <c r="E117" s="0" t="n">
        <v>0</v>
      </c>
      <c r="F117" s="0" t="s">
        <v>62</v>
      </c>
      <c r="G117" s="0" t="n">
        <v>16</v>
      </c>
      <c r="H117" s="0" t="n">
        <v>0</v>
      </c>
      <c r="I117" s="0" t="s">
        <v>386</v>
      </c>
      <c r="J117" s="0" t="s">
        <v>383</v>
      </c>
      <c r="K117" s="0" t="s">
        <v>65</v>
      </c>
    </row>
    <row r="118" customFormat="false" ht="15" hidden="false" customHeight="false" outlineLevel="0" collapsed="false">
      <c r="A118" s="0" t="s">
        <v>387</v>
      </c>
      <c r="B118" s="0" t="s">
        <v>388</v>
      </c>
      <c r="C118" s="0" t="n">
        <v>22.5</v>
      </c>
      <c r="D118" s="0" t="n">
        <v>1.865</v>
      </c>
      <c r="E118" s="0" t="n">
        <v>0</v>
      </c>
      <c r="F118" s="0" t="s">
        <v>62</v>
      </c>
      <c r="G118" s="0" t="n">
        <v>16</v>
      </c>
      <c r="H118" s="0" t="n">
        <v>0</v>
      </c>
      <c r="I118" s="0" t="s">
        <v>389</v>
      </c>
      <c r="J118" s="0" t="s">
        <v>383</v>
      </c>
      <c r="K118" s="0" t="s">
        <v>65</v>
      </c>
    </row>
    <row r="119" customFormat="false" ht="15" hidden="false" customHeight="false" outlineLevel="0" collapsed="false">
      <c r="A119" s="0" t="s">
        <v>390</v>
      </c>
      <c r="B119" s="0" t="s">
        <v>391</v>
      </c>
      <c r="C119" s="0" t="n">
        <v>2.743</v>
      </c>
      <c r="D119" s="0" t="n">
        <v>1.865</v>
      </c>
      <c r="E119" s="0" t="n">
        <v>0</v>
      </c>
      <c r="F119" s="0" t="s">
        <v>62</v>
      </c>
      <c r="G119" s="0" t="n">
        <v>16</v>
      </c>
      <c r="H119" s="0" t="n">
        <v>0</v>
      </c>
      <c r="I119" s="0" t="s">
        <v>392</v>
      </c>
      <c r="J119" s="0" t="s">
        <v>383</v>
      </c>
      <c r="K119" s="0" t="s">
        <v>65</v>
      </c>
    </row>
    <row r="120" customFormat="false" ht="15" hidden="false" customHeight="false" outlineLevel="0" collapsed="false">
      <c r="A120" s="0" t="s">
        <v>393</v>
      </c>
      <c r="B120" s="0" t="s">
        <v>394</v>
      </c>
      <c r="C120" s="0" t="n">
        <v>2.743</v>
      </c>
      <c r="D120" s="0" t="n">
        <v>1.865</v>
      </c>
      <c r="E120" s="0" t="n">
        <v>0</v>
      </c>
      <c r="F120" s="0" t="s">
        <v>62</v>
      </c>
      <c r="G120" s="0" t="n">
        <v>16</v>
      </c>
      <c r="H120" s="0" t="n">
        <v>0</v>
      </c>
      <c r="I120" s="0" t="s">
        <v>395</v>
      </c>
      <c r="J120" s="0" t="s">
        <v>383</v>
      </c>
      <c r="K120" s="0" t="s">
        <v>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3" min="2" style="0" width="10"/>
    <col collapsed="false" customWidth="true" hidden="false" outlineLevel="0" max="4" min="4" style="0" width="14"/>
    <col collapsed="false" customWidth="true" hidden="false" outlineLevel="0" max="6" min="5" style="0" width="10"/>
    <col collapsed="false" customWidth="true" hidden="false" outlineLevel="0" max="7" min="7" style="0" width="24"/>
    <col collapsed="false" customWidth="true" hidden="false" outlineLevel="0" max="8" min="8" style="0" width="30"/>
    <col collapsed="false" customWidth="true" hidden="false" outlineLevel="0" max="9" min="9" style="0" width="60"/>
    <col collapsed="false" customWidth="true" hidden="false" outlineLevel="0" max="10" min="10" style="0" width="28"/>
  </cols>
  <sheetData>
    <row r="1" customFormat="false" ht="16.15" hidden="false" customHeight="false" outlineLevel="0" collapsed="false">
      <c r="A1" s="1" t="s">
        <v>396</v>
      </c>
    </row>
    <row r="2" customFormat="false" ht="15" hidden="false" customHeight="false" outlineLevel="0" collapsed="false">
      <c r="A2" s="0" t="s">
        <v>397</v>
      </c>
    </row>
    <row r="3" customFormat="false" ht="15" hidden="false" customHeight="false" outlineLevel="0" collapsed="false">
      <c r="A3" s="2" t="s">
        <v>398</v>
      </c>
      <c r="B3" s="2" t="s">
        <v>399</v>
      </c>
      <c r="C3" s="2" t="s">
        <v>400</v>
      </c>
      <c r="D3" s="2" t="s">
        <v>401</v>
      </c>
      <c r="E3" s="2" t="s">
        <v>402</v>
      </c>
      <c r="F3" s="2" t="s">
        <v>403</v>
      </c>
      <c r="G3" s="2" t="s">
        <v>404</v>
      </c>
      <c r="H3" s="2" t="s">
        <v>405</v>
      </c>
      <c r="I3" s="2" t="s">
        <v>406</v>
      </c>
      <c r="J3" s="2" t="s">
        <v>407</v>
      </c>
    </row>
    <row r="4" customFormat="false" ht="15" hidden="false" customHeight="false" outlineLevel="0" collapsed="false">
      <c r="A4" s="0" t="s">
        <v>408</v>
      </c>
      <c r="B4" s="0" t="s">
        <v>409</v>
      </c>
      <c r="C4" s="0" t="n">
        <v>4515.4</v>
      </c>
      <c r="D4" s="0" t="n">
        <f aca="false">Inputs!$B$5</f>
        <v>0.15</v>
      </c>
      <c r="E4" s="0" t="n">
        <f aca="false">C4*D4</f>
        <v>677.31</v>
      </c>
      <c r="F4" s="0" t="n">
        <f aca="false">C4+E4</f>
        <v>5192.71</v>
      </c>
      <c r="G4" s="0" t="s">
        <v>410</v>
      </c>
      <c r="H4" s="0" t="n">
        <f aca="false">ROUNDUP(F4/Inputs!$B$10,0)</f>
        <v>260</v>
      </c>
      <c r="I4" s="0" t="s">
        <v>411</v>
      </c>
    </row>
    <row r="5" customFormat="false" ht="15" hidden="false" customHeight="false" outlineLevel="0" collapsed="false">
      <c r="A5" s="0" t="s">
        <v>412</v>
      </c>
      <c r="B5" s="0" t="s">
        <v>409</v>
      </c>
      <c r="C5" s="0" t="n">
        <v>7217.92</v>
      </c>
      <c r="D5" s="0" t="n">
        <f aca="false">Inputs!$B$5</f>
        <v>0.15</v>
      </c>
      <c r="E5" s="0" t="n">
        <f aca="false">C5*D5</f>
        <v>1082.688</v>
      </c>
      <c r="F5" s="0" t="n">
        <f aca="false">C5+E5</f>
        <v>8300.608</v>
      </c>
      <c r="G5" s="0" t="s">
        <v>410</v>
      </c>
      <c r="H5" s="0" t="n">
        <f aca="false">ROUNDUP(F5/Inputs!$B$10,0)</f>
        <v>416</v>
      </c>
      <c r="I5" s="0" t="s">
        <v>413</v>
      </c>
    </row>
    <row r="6" customFormat="false" ht="15" hidden="false" customHeight="false" outlineLevel="0" collapsed="false">
      <c r="A6" s="0" t="s">
        <v>414</v>
      </c>
      <c r="B6" s="0" t="s">
        <v>409</v>
      </c>
      <c r="C6" s="0" t="n">
        <v>3850.57</v>
      </c>
      <c r="D6" s="0" t="n">
        <f aca="false">Inputs!$B$5</f>
        <v>0.15</v>
      </c>
      <c r="E6" s="0" t="n">
        <f aca="false">C6*D6</f>
        <v>577.5855</v>
      </c>
      <c r="F6" s="0" t="n">
        <f aca="false">C6+E6</f>
        <v>4428.1555</v>
      </c>
      <c r="G6" s="0" t="s">
        <v>410</v>
      </c>
      <c r="H6" s="0" t="n">
        <f aca="false">ROUNDUP(F6/Inputs!$B$10,0)</f>
        <v>222</v>
      </c>
      <c r="I6" s="0" t="s">
        <v>415</v>
      </c>
    </row>
    <row r="7" customFormat="false" ht="15" hidden="false" customHeight="false" outlineLevel="0" collapsed="false">
      <c r="A7" s="0" t="s">
        <v>416</v>
      </c>
      <c r="B7" s="0" t="s">
        <v>409</v>
      </c>
      <c r="C7" s="0" t="n">
        <v>1000.94</v>
      </c>
      <c r="D7" s="0" t="n">
        <f aca="false">Inputs!$B$5</f>
        <v>0.15</v>
      </c>
      <c r="E7" s="0" t="n">
        <f aca="false">C7*D7</f>
        <v>150.141</v>
      </c>
      <c r="F7" s="0" t="n">
        <f aca="false">C7+E7</f>
        <v>1151.081</v>
      </c>
      <c r="G7" s="0" t="s">
        <v>410</v>
      </c>
      <c r="H7" s="0" t="n">
        <f aca="false">ROUNDUP(F7/Inputs!$B$10,0)</f>
        <v>58</v>
      </c>
      <c r="I7" s="0" t="s">
        <v>417</v>
      </c>
    </row>
    <row r="8" customFormat="false" ht="15" hidden="false" customHeight="false" outlineLevel="0" collapsed="false">
      <c r="A8" s="0" t="s">
        <v>418</v>
      </c>
      <c r="B8" s="0" t="s">
        <v>409</v>
      </c>
      <c r="C8" s="0" t="n">
        <v>1343.06</v>
      </c>
      <c r="D8" s="0" t="n">
        <f aca="false">Inputs!$B$5</f>
        <v>0.15</v>
      </c>
      <c r="E8" s="0" t="n">
        <f aca="false">C8*D8</f>
        <v>201.459</v>
      </c>
      <c r="F8" s="0" t="n">
        <f aca="false">C8+E8</f>
        <v>1544.519</v>
      </c>
      <c r="G8" s="0" t="s">
        <v>419</v>
      </c>
      <c r="H8" s="0" t="n">
        <f aca="false">ROUNDUP(F8/Inputs!$B$11,0)</f>
        <v>155</v>
      </c>
      <c r="I8" s="0" t="s">
        <v>420</v>
      </c>
    </row>
    <row r="9" customFormat="false" ht="15" hidden="false" customHeight="false" outlineLevel="0" collapsed="false">
      <c r="A9" s="0" t="s">
        <v>421</v>
      </c>
      <c r="B9" s="0" t="s">
        <v>409</v>
      </c>
      <c r="C9" s="0" t="n">
        <v>1343.06</v>
      </c>
      <c r="D9" s="0" t="n">
        <f aca="false">Inputs!$B$5</f>
        <v>0.15</v>
      </c>
      <c r="E9" s="0" t="n">
        <f aca="false">C9*D9</f>
        <v>201.459</v>
      </c>
      <c r="F9" s="0" t="n">
        <f aca="false">C9+E9</f>
        <v>1544.519</v>
      </c>
      <c r="G9" s="0" t="s">
        <v>419</v>
      </c>
      <c r="H9" s="0" t="n">
        <f aca="false">ROUNDUP(F9/Inputs!$B$11,0)</f>
        <v>155</v>
      </c>
      <c r="I9" s="0" t="s">
        <v>422</v>
      </c>
    </row>
    <row r="10" customFormat="false" ht="15" hidden="false" customHeight="false" outlineLevel="0" collapsed="false">
      <c r="A10" s="0" t="s">
        <v>423</v>
      </c>
      <c r="B10" s="0" t="s">
        <v>409</v>
      </c>
      <c r="C10" s="0" t="n">
        <v>1380.02</v>
      </c>
      <c r="D10" s="0" t="n">
        <f aca="false">Inputs!$B$5</f>
        <v>0.15</v>
      </c>
      <c r="E10" s="0" t="n">
        <f aca="false">C10*D10</f>
        <v>207.003</v>
      </c>
      <c r="F10" s="0" t="n">
        <f aca="false">C10+E10</f>
        <v>1587.023</v>
      </c>
      <c r="G10" s="0" t="s">
        <v>419</v>
      </c>
      <c r="H10" s="0" t="n">
        <f aca="false">ROUNDUP(F10/Inputs!$B$11,0)</f>
        <v>159</v>
      </c>
      <c r="I10" s="0" t="s">
        <v>424</v>
      </c>
    </row>
    <row r="11" customFormat="false" ht="15" hidden="false" customHeight="false" outlineLevel="0" collapsed="false">
      <c r="A11" s="0" t="s">
        <v>425</v>
      </c>
      <c r="B11" s="0" t="s">
        <v>409</v>
      </c>
      <c r="C11" s="0" t="n">
        <v>234.57</v>
      </c>
      <c r="D11" s="0" t="n">
        <f aca="false">Inputs!$B$5</f>
        <v>0.15</v>
      </c>
      <c r="E11" s="0" t="n">
        <f aca="false">C11*D11</f>
        <v>35.1855</v>
      </c>
      <c r="F11" s="0" t="n">
        <f aca="false">C11+E11</f>
        <v>269.7555</v>
      </c>
      <c r="G11" s="0" t="s">
        <v>419</v>
      </c>
      <c r="H11" s="0" t="n">
        <f aca="false">ROUNDUP(F11/Inputs!$B$11,0)</f>
        <v>27</v>
      </c>
      <c r="I11" s="0" t="s">
        <v>426</v>
      </c>
    </row>
    <row r="12" customFormat="false" ht="15" hidden="false" customHeight="false" outlineLevel="0" collapsed="false">
      <c r="A12" s="0" t="s">
        <v>427</v>
      </c>
      <c r="B12" s="0" t="s">
        <v>409</v>
      </c>
      <c r="C12" s="0" t="n">
        <v>792.12</v>
      </c>
      <c r="D12" s="0" t="n">
        <f aca="false">Inputs!$B$5</f>
        <v>0.15</v>
      </c>
      <c r="E12" s="0" t="n">
        <f aca="false">C12*D12</f>
        <v>118.818</v>
      </c>
      <c r="F12" s="0" t="n">
        <f aca="false">C12+E12</f>
        <v>910.938</v>
      </c>
      <c r="G12" s="0" t="s">
        <v>410</v>
      </c>
      <c r="H12" s="0" t="n">
        <f aca="false">ROUNDUP(F12/Inputs!$B$10,0)</f>
        <v>46</v>
      </c>
      <c r="I12" s="0" t="s">
        <v>428</v>
      </c>
    </row>
    <row r="13" customFormat="false" ht="15" hidden="false" customHeight="false" outlineLevel="0" collapsed="false">
      <c r="A13" s="0" t="s">
        <v>429</v>
      </c>
      <c r="B13" s="0" t="s">
        <v>409</v>
      </c>
      <c r="C13" s="0" t="n">
        <v>119.09</v>
      </c>
      <c r="D13" s="0" t="n">
        <f aca="false">Inputs!$B$5</f>
        <v>0.15</v>
      </c>
      <c r="E13" s="0" t="n">
        <f aca="false">C13*D13</f>
        <v>17.8635</v>
      </c>
      <c r="F13" s="0" t="n">
        <f aca="false">C13+E13</f>
        <v>136.9535</v>
      </c>
      <c r="G13" s="0" t="s">
        <v>419</v>
      </c>
      <c r="H13" s="0" t="n">
        <f aca="false">ROUNDUP(F13/Inputs!$B$11,0)</f>
        <v>14</v>
      </c>
      <c r="I13" s="0" t="s">
        <v>430</v>
      </c>
    </row>
    <row r="14" customFormat="false" ht="15" hidden="false" customHeight="false" outlineLevel="0" collapsed="false">
      <c r="A14" s="0" t="s">
        <v>431</v>
      </c>
      <c r="B14" s="0" t="s">
        <v>409</v>
      </c>
      <c r="C14" s="0" t="n">
        <v>2469.51</v>
      </c>
      <c r="D14" s="0" t="n">
        <f aca="false">Inputs!$B$5</f>
        <v>0.15</v>
      </c>
      <c r="E14" s="0" t="n">
        <f aca="false">C14*D14</f>
        <v>370.4265</v>
      </c>
      <c r="F14" s="0" t="n">
        <f aca="false">C14+E14</f>
        <v>2839.9365</v>
      </c>
      <c r="G14" s="0" t="s">
        <v>432</v>
      </c>
      <c r="H14" s="0" t="n">
        <f aca="false">ROUNDUP(F14/Inputs!$B$16,0)</f>
        <v>178</v>
      </c>
      <c r="I14" s="0" t="s">
        <v>433</v>
      </c>
    </row>
    <row r="15" customFormat="false" ht="15" hidden="false" customHeight="false" outlineLevel="0" collapsed="false">
      <c r="A15" s="0" t="s">
        <v>434</v>
      </c>
      <c r="B15" s="0" t="s">
        <v>409</v>
      </c>
      <c r="C15" s="0" t="n">
        <v>398.26</v>
      </c>
      <c r="D15" s="0" t="n">
        <f aca="false">Inputs!$B$5</f>
        <v>0.15</v>
      </c>
      <c r="E15" s="0" t="n">
        <f aca="false">C15*D15</f>
        <v>59.739</v>
      </c>
      <c r="F15" s="0" t="n">
        <f aca="false">C15+E15</f>
        <v>457.999</v>
      </c>
      <c r="G15" s="0" t="s">
        <v>435</v>
      </c>
      <c r="H15" s="0" t="n">
        <f aca="false">ROUNDUP(F15/Inputs!$B$17,0)</f>
        <v>39</v>
      </c>
      <c r="I15" s="0" t="s">
        <v>436</v>
      </c>
    </row>
    <row r="16" customFormat="false" ht="15" hidden="false" customHeight="false" outlineLevel="0" collapsed="false">
      <c r="A16" s="0" t="s">
        <v>437</v>
      </c>
      <c r="B16" s="0" t="s">
        <v>409</v>
      </c>
      <c r="C16" s="0" t="n">
        <v>318.94</v>
      </c>
      <c r="D16" s="0" t="n">
        <f aca="false">Inputs!$B$5</f>
        <v>0.15</v>
      </c>
      <c r="E16" s="0" t="n">
        <f aca="false">C16*D16</f>
        <v>47.841</v>
      </c>
      <c r="F16" s="0" t="n">
        <f aca="false">C16+E16</f>
        <v>366.781</v>
      </c>
      <c r="G16" s="0" t="s">
        <v>432</v>
      </c>
      <c r="H16" s="0" t="n">
        <f aca="false">ROUNDUP(F16/Inputs!$B$16,0)</f>
        <v>23</v>
      </c>
      <c r="I16" s="0" t="s">
        <v>438</v>
      </c>
    </row>
    <row r="17" customFormat="false" ht="15" hidden="false" customHeight="false" outlineLevel="0" collapsed="false">
      <c r="A17" s="0" t="s">
        <v>439</v>
      </c>
      <c r="B17" s="0" t="s">
        <v>409</v>
      </c>
      <c r="C17" s="0" t="n">
        <v>533.62</v>
      </c>
      <c r="D17" s="0" t="n">
        <f aca="false">Inputs!$B$5</f>
        <v>0.15</v>
      </c>
      <c r="E17" s="0" t="n">
        <f aca="false">C17*D17</f>
        <v>80.043</v>
      </c>
      <c r="F17" s="0" t="n">
        <f aca="false">C17+E17</f>
        <v>613.663</v>
      </c>
      <c r="G17" s="0" t="s">
        <v>32</v>
      </c>
      <c r="H17" s="0" t="n">
        <f aca="false">ROUNDUP(F17,0)</f>
        <v>614</v>
      </c>
      <c r="I17" s="0" t="s">
        <v>440</v>
      </c>
    </row>
    <row r="18" customFormat="false" ht="15" hidden="false" customHeight="false" outlineLevel="0" collapsed="false">
      <c r="A18" s="0" t="s">
        <v>441</v>
      </c>
      <c r="B18" s="0" t="s">
        <v>442</v>
      </c>
      <c r="C18" s="0" t="n">
        <v>17468.58</v>
      </c>
      <c r="D18" s="0" t="n">
        <f aca="false">Inputs!$B$6</f>
        <v>0.06</v>
      </c>
      <c r="E18" s="0" t="n">
        <f aca="false">C18*D18</f>
        <v>1048.1148</v>
      </c>
      <c r="F18" s="0" t="n">
        <f aca="false">C18+E18</f>
        <v>18516.6948</v>
      </c>
      <c r="G18" s="0" t="s">
        <v>443</v>
      </c>
      <c r="H18" s="0" t="n">
        <f aca="false">ROUNDUP(F18/Inputs!$B$9,0)</f>
        <v>386</v>
      </c>
      <c r="I18" s="0" t="s">
        <v>444</v>
      </c>
    </row>
    <row r="19" customFormat="false" ht="15" hidden="false" customHeight="false" outlineLevel="0" collapsed="false">
      <c r="A19" s="0" t="s">
        <v>445</v>
      </c>
      <c r="B19" s="0" t="s">
        <v>442</v>
      </c>
      <c r="C19" s="0" t="n">
        <v>261.75</v>
      </c>
      <c r="D19" s="0" t="n">
        <f aca="false">Inputs!$B$6</f>
        <v>0.06</v>
      </c>
      <c r="E19" s="0" t="n">
        <f aca="false">C19*D19</f>
        <v>15.705</v>
      </c>
      <c r="F19" s="0" t="n">
        <f aca="false">C19+E19</f>
        <v>277.455</v>
      </c>
      <c r="G19" s="0" t="s">
        <v>443</v>
      </c>
      <c r="H19" s="0" t="n">
        <f aca="false">ROUNDUP(F19/Inputs!$B$9,0)</f>
        <v>6</v>
      </c>
      <c r="I19" s="0" t="s">
        <v>446</v>
      </c>
    </row>
    <row r="20" customFormat="false" ht="15" hidden="false" customHeight="false" outlineLevel="0" collapsed="false">
      <c r="A20" s="0" t="s">
        <v>447</v>
      </c>
      <c r="B20" s="0" t="s">
        <v>442</v>
      </c>
      <c r="C20" s="0" t="n">
        <v>96.12</v>
      </c>
      <c r="D20" s="0" t="n">
        <f aca="false">Inputs!$B$6</f>
        <v>0.06</v>
      </c>
      <c r="E20" s="0" t="n">
        <f aca="false">C20*D20</f>
        <v>5.7672</v>
      </c>
      <c r="F20" s="0" t="n">
        <f aca="false">C20+E20</f>
        <v>101.8872</v>
      </c>
      <c r="G20" s="0" t="s">
        <v>448</v>
      </c>
      <c r="H20" s="0" t="n">
        <f aca="false">ROUNDUP(F20/32,0)</f>
        <v>4</v>
      </c>
      <c r="I20" s="0" t="s">
        <v>449</v>
      </c>
    </row>
    <row r="21" customFormat="false" ht="15" hidden="false" customHeight="false" outlineLevel="0" collapsed="false">
      <c r="A21" s="0" t="s">
        <v>450</v>
      </c>
      <c r="B21" s="0" t="s">
        <v>442</v>
      </c>
      <c r="C21" s="0" t="n">
        <v>74.1</v>
      </c>
      <c r="D21" s="0" t="n">
        <f aca="false">Inputs!$B$6</f>
        <v>0.06</v>
      </c>
      <c r="E21" s="0" t="n">
        <f aca="false">C21*D21</f>
        <v>4.446</v>
      </c>
      <c r="F21" s="0" t="n">
        <f aca="false">C21+E21</f>
        <v>78.546</v>
      </c>
      <c r="G21" s="0" t="s">
        <v>448</v>
      </c>
      <c r="H21" s="0" t="n">
        <f aca="false">ROUNDUP(F21/32,0)</f>
        <v>3</v>
      </c>
      <c r="I21" s="0" t="s">
        <v>451</v>
      </c>
    </row>
    <row r="22" customFormat="false" ht="15" hidden="false" customHeight="false" outlineLevel="0" collapsed="false">
      <c r="A22" s="0" t="s">
        <v>452</v>
      </c>
      <c r="B22" s="0" t="s">
        <v>442</v>
      </c>
      <c r="C22" s="0" t="n">
        <v>482.13</v>
      </c>
      <c r="D22" s="0" t="n">
        <f aca="false">Inputs!$B$6</f>
        <v>0.06</v>
      </c>
      <c r="E22" s="0" t="n">
        <f aca="false">C22*D22</f>
        <v>28.9278</v>
      </c>
      <c r="F22" s="0" t="n">
        <f aca="false">C22+E22</f>
        <v>511.0578</v>
      </c>
      <c r="G22" s="0" t="s">
        <v>448</v>
      </c>
      <c r="H22" s="0" t="n">
        <f aca="false">ROUNDUP(F22/32,0)</f>
        <v>16</v>
      </c>
      <c r="I22" s="0" t="s">
        <v>453</v>
      </c>
    </row>
    <row r="23" customFormat="false" ht="15" hidden="false" customHeight="false" outlineLevel="0" collapsed="false">
      <c r="A23" s="0" t="s">
        <v>454</v>
      </c>
      <c r="B23" s="0" t="s">
        <v>442</v>
      </c>
      <c r="C23" s="0" t="n">
        <v>944.57</v>
      </c>
      <c r="D23" s="0" t="n">
        <f aca="false">Inputs!$B$6</f>
        <v>0.06</v>
      </c>
      <c r="E23" s="0" t="n">
        <f aca="false">C23*D23</f>
        <v>56.6742</v>
      </c>
      <c r="F23" s="0" t="n">
        <f aca="false">C23+E23</f>
        <v>1001.2442</v>
      </c>
      <c r="G23" s="0" t="s">
        <v>448</v>
      </c>
      <c r="H23" s="0" t="n">
        <f aca="false">ROUNDUP(F23/32,0)</f>
        <v>32</v>
      </c>
      <c r="I23" s="0" t="s">
        <v>455</v>
      </c>
    </row>
    <row r="24" customFormat="false" ht="15" hidden="false" customHeight="false" outlineLevel="0" collapsed="false">
      <c r="A24" s="0" t="s">
        <v>456</v>
      </c>
      <c r="B24" s="0" t="s">
        <v>409</v>
      </c>
      <c r="C24" s="0" t="n">
        <v>934.54</v>
      </c>
      <c r="D24" s="0" t="n">
        <f aca="false">Inputs!$B$6</f>
        <v>0.06</v>
      </c>
      <c r="E24" s="0" t="n">
        <f aca="false">C24*D24</f>
        <v>56.0724</v>
      </c>
      <c r="F24" s="0" t="n">
        <f aca="false">C24+E24</f>
        <v>990.6124</v>
      </c>
      <c r="G24" s="0" t="s">
        <v>457</v>
      </c>
      <c r="H24" s="0" t="n">
        <f aca="false">ROUNDUP(F24/8,0)</f>
        <v>124</v>
      </c>
      <c r="I24" s="0" t="s">
        <v>458</v>
      </c>
    </row>
    <row r="25" customFormat="false" ht="15" hidden="false" customHeight="false" outlineLevel="0" collapsed="false">
      <c r="A25" s="0" t="s">
        <v>459</v>
      </c>
      <c r="B25" s="0" t="s">
        <v>409</v>
      </c>
      <c r="C25" s="0" t="n">
        <v>657.31</v>
      </c>
      <c r="D25" s="0" t="n">
        <f aca="false">Inputs!$B$5</f>
        <v>0.15</v>
      </c>
      <c r="E25" s="0" t="n">
        <f aca="false">C25*D25</f>
        <v>98.5965</v>
      </c>
      <c r="F25" s="0" t="n">
        <f aca="false">C25+E25</f>
        <v>755.9065</v>
      </c>
      <c r="G25" s="0" t="s">
        <v>410</v>
      </c>
      <c r="H25" s="0" t="n">
        <f aca="false">ROUNDUP(F25/Inputs!$B$10,0)</f>
        <v>38</v>
      </c>
      <c r="I25" s="0" t="s">
        <v>460</v>
      </c>
    </row>
    <row r="26" customFormat="false" ht="15" hidden="false" customHeight="false" outlineLevel="0" collapsed="false">
      <c r="A26" s="0" t="s">
        <v>461</v>
      </c>
      <c r="B26" s="0" t="s">
        <v>409</v>
      </c>
      <c r="C26" s="0" t="n">
        <v>1499.98</v>
      </c>
      <c r="D26" s="0" t="n">
        <f aca="false">Inputs!$B$5</f>
        <v>0.15</v>
      </c>
      <c r="E26" s="0" t="n">
        <f aca="false">C26*D26</f>
        <v>224.997</v>
      </c>
      <c r="F26" s="0" t="n">
        <f aca="false">C26+E26</f>
        <v>1724.977</v>
      </c>
      <c r="G26" s="0" t="s">
        <v>462</v>
      </c>
      <c r="H26" s="0" t="n">
        <f aca="false">ROUNDUP(F26/Inputs!$B$18,0)</f>
        <v>173</v>
      </c>
      <c r="I26" s="0" t="s">
        <v>463</v>
      </c>
    </row>
    <row r="27" customFormat="false" ht="15" hidden="false" customHeight="false" outlineLevel="0" collapsed="false">
      <c r="A27" s="0" t="s">
        <v>464</v>
      </c>
      <c r="B27" s="0" t="s">
        <v>442</v>
      </c>
      <c r="C27" s="0" t="n">
        <v>31.38</v>
      </c>
      <c r="D27" s="0" t="n">
        <f aca="false">Inputs!$B$6</f>
        <v>0.06</v>
      </c>
      <c r="E27" s="0" t="n">
        <f aca="false">C27*D27</f>
        <v>1.8828</v>
      </c>
      <c r="F27" s="0" t="n">
        <f aca="false">C27+E27</f>
        <v>33.2628</v>
      </c>
      <c r="G27" s="0" t="s">
        <v>465</v>
      </c>
      <c r="H27" s="0" t="n">
        <f aca="false">ROUNDUP(F27/15,0)</f>
        <v>3</v>
      </c>
      <c r="I27" s="0" t="s">
        <v>466</v>
      </c>
    </row>
    <row r="28" customFormat="false" ht="15" hidden="false" customHeight="false" outlineLevel="0" collapsed="false">
      <c r="A28" s="0" t="s">
        <v>467</v>
      </c>
      <c r="B28" s="0" t="s">
        <v>442</v>
      </c>
      <c r="C28" s="0" t="n">
        <v>329.75</v>
      </c>
      <c r="D28" s="0" t="n">
        <f aca="false">Inputs!$B$6</f>
        <v>0.06</v>
      </c>
      <c r="E28" s="0" t="n">
        <f aca="false">C28*D28</f>
        <v>19.785</v>
      </c>
      <c r="F28" s="0" t="n">
        <f aca="false">C28+E28</f>
        <v>349.535</v>
      </c>
      <c r="G28" s="0" t="s">
        <v>448</v>
      </c>
      <c r="H28" s="0" t="n">
        <f aca="false">ROUNDUP(F28/32,0)</f>
        <v>11</v>
      </c>
      <c r="I28" s="0" t="s">
        <v>468</v>
      </c>
    </row>
    <row r="29" customFormat="false" ht="15" hidden="false" customHeight="false" outlineLevel="0" collapsed="false">
      <c r="A29" s="0" t="s">
        <v>469</v>
      </c>
      <c r="B29" s="0" t="s">
        <v>409</v>
      </c>
      <c r="C29" s="0" t="n">
        <v>1200.18</v>
      </c>
      <c r="D29" s="0" t="n">
        <f aca="false">Inputs!$B$6</f>
        <v>0.06</v>
      </c>
      <c r="E29" s="0" t="n">
        <f aca="false">C29*D29</f>
        <v>72.0108</v>
      </c>
      <c r="F29" s="0" t="n">
        <f aca="false">C29+E29</f>
        <v>1272.1908</v>
      </c>
      <c r="G29" s="0" t="s">
        <v>470</v>
      </c>
      <c r="H29" s="0" t="n">
        <f aca="false">ROUNDUP(F29/Inputs!$B$15,0)</f>
        <v>51</v>
      </c>
      <c r="I29" s="0" t="s">
        <v>471</v>
      </c>
    </row>
    <row r="30" customFormat="false" ht="15" hidden="false" customHeight="false" outlineLevel="0" collapsed="false">
      <c r="A30" s="0" t="s">
        <v>472</v>
      </c>
      <c r="B30" s="0" t="s">
        <v>409</v>
      </c>
      <c r="C30" s="0" t="n">
        <v>1024.91</v>
      </c>
      <c r="D30" s="0" t="n">
        <f aca="false">Inputs!$B$5</f>
        <v>0.15</v>
      </c>
      <c r="E30" s="0" t="n">
        <f aca="false">C30*D30</f>
        <v>153.7365</v>
      </c>
      <c r="F30" s="0" t="n">
        <f aca="false">C30+E30</f>
        <v>1178.6465</v>
      </c>
      <c r="G30" s="0" t="s">
        <v>410</v>
      </c>
      <c r="H30" s="0" t="n">
        <f aca="false">ROUNDUP(F30/Inputs!$B$10,0)</f>
        <v>59</v>
      </c>
      <c r="I30" s="0" t="s">
        <v>473</v>
      </c>
    </row>
    <row r="31" customFormat="false" ht="15" hidden="false" customHeight="false" outlineLevel="0" collapsed="false">
      <c r="A31" s="0" t="s">
        <v>474</v>
      </c>
      <c r="B31" s="0" t="s">
        <v>442</v>
      </c>
      <c r="C31" s="0" t="n">
        <v>2159.98</v>
      </c>
      <c r="D31" s="0" t="n">
        <f aca="false">Inputs!$B$6</f>
        <v>0.06</v>
      </c>
      <c r="E31" s="0" t="n">
        <f aca="false">C31*D31</f>
        <v>129.5988</v>
      </c>
      <c r="F31" s="0" t="n">
        <f aca="false">C31+E31</f>
        <v>2289.5788</v>
      </c>
      <c r="G31" s="0" t="s">
        <v>475</v>
      </c>
      <c r="H31" s="0" t="n">
        <f aca="false">ROUNDUP(F31/Inputs!$B$9,0)</f>
        <v>48</v>
      </c>
      <c r="I31" s="0" t="s">
        <v>476</v>
      </c>
    </row>
    <row r="32" customFormat="false" ht="15" hidden="false" customHeight="false" outlineLevel="0" collapsed="false">
      <c r="A32" s="0" t="s">
        <v>477</v>
      </c>
      <c r="B32" s="0" t="s">
        <v>442</v>
      </c>
      <c r="C32" s="0" t="n">
        <v>3973.01</v>
      </c>
      <c r="D32" s="0" t="n">
        <f aca="false">Inputs!$B$6</f>
        <v>0.06</v>
      </c>
      <c r="E32" s="0" t="n">
        <f aca="false">C32*D32</f>
        <v>238.3806</v>
      </c>
      <c r="F32" s="0" t="n">
        <f aca="false">C32+E32</f>
        <v>4211.3906</v>
      </c>
      <c r="G32" s="0" t="s">
        <v>475</v>
      </c>
      <c r="H32" s="0" t="n">
        <f aca="false">ROUNDUP(F32/Inputs!$B$9,0)</f>
        <v>88</v>
      </c>
      <c r="I32" s="0" t="s">
        <v>476</v>
      </c>
    </row>
    <row r="33" customFormat="false" ht="15" hidden="false" customHeight="false" outlineLevel="0" collapsed="false">
      <c r="A33" s="0" t="s">
        <v>478</v>
      </c>
      <c r="B33" s="0" t="s">
        <v>442</v>
      </c>
      <c r="C33" s="0" t="n">
        <v>638.48</v>
      </c>
      <c r="D33" s="0" t="n">
        <f aca="false">Inputs!$B$6</f>
        <v>0.06</v>
      </c>
      <c r="E33" s="0" t="n">
        <f aca="false">C33*D33</f>
        <v>38.3088</v>
      </c>
      <c r="F33" s="0" t="n">
        <f aca="false">C33+E33</f>
        <v>676.7888</v>
      </c>
      <c r="G33" s="0" t="s">
        <v>475</v>
      </c>
      <c r="H33" s="0" t="n">
        <f aca="false">ROUNDUP(F33/Inputs!$B$9,0)</f>
        <v>15</v>
      </c>
      <c r="I33" s="0" t="s">
        <v>476</v>
      </c>
    </row>
    <row r="34" customFormat="false" ht="15" hidden="false" customHeight="false" outlineLevel="0" collapsed="false">
      <c r="A34" s="0" t="s">
        <v>479</v>
      </c>
      <c r="B34" s="0" t="s">
        <v>409</v>
      </c>
      <c r="C34" s="0" t="n">
        <v>222.54</v>
      </c>
      <c r="D34" s="0" t="n">
        <f aca="false">Inputs!$B$6</f>
        <v>0.06</v>
      </c>
      <c r="E34" s="0" t="n">
        <f aca="false">C34*D34</f>
        <v>13.3524</v>
      </c>
      <c r="F34" s="0" t="n">
        <f aca="false">C34+E34</f>
        <v>235.8924</v>
      </c>
      <c r="G34" s="0" t="s">
        <v>470</v>
      </c>
      <c r="H34" s="0" t="n">
        <f aca="false">ROUNDUP(F34/Inputs!$B$15,0)</f>
        <v>10</v>
      </c>
      <c r="I34" s="0" t="s">
        <v>480</v>
      </c>
    </row>
    <row r="35" customFormat="false" ht="15" hidden="false" customHeight="false" outlineLevel="0" collapsed="false">
      <c r="A35" s="0" t="s">
        <v>481</v>
      </c>
      <c r="B35" s="0" t="s">
        <v>482</v>
      </c>
      <c r="C35" s="0" t="n">
        <v>113</v>
      </c>
      <c r="D35" s="0" t="n">
        <v>0</v>
      </c>
      <c r="E35" s="0" t="n">
        <f aca="false">C35*D35</f>
        <v>0</v>
      </c>
      <c r="F35" s="0" t="n">
        <f aca="false">C35+E35</f>
        <v>113</v>
      </c>
      <c r="H35" s="0" t="n">
        <f aca="false">ROUNDUP(F35,0)</f>
        <v>113</v>
      </c>
      <c r="I35" s="0" t="s">
        <v>483</v>
      </c>
    </row>
    <row r="36" customFormat="false" ht="15" hidden="false" customHeight="false" outlineLevel="0" collapsed="false">
      <c r="A36" s="0" t="s">
        <v>484</v>
      </c>
      <c r="B36" s="0" t="s">
        <v>409</v>
      </c>
      <c r="C36" s="0" t="n">
        <v>56</v>
      </c>
      <c r="D36" s="0" t="n">
        <f aca="false">Inputs!$B$5</f>
        <v>0.15</v>
      </c>
      <c r="E36" s="0" t="n">
        <f aca="false">C36*D36</f>
        <v>8.4</v>
      </c>
      <c r="F36" s="0" t="n">
        <f aca="false">C36+E36</f>
        <v>64.4</v>
      </c>
      <c r="G36" s="0" t="s">
        <v>419</v>
      </c>
      <c r="H36" s="0" t="n">
        <f aca="false">ROUNDUP(F36/Inputs!$B$11,0)</f>
        <v>7</v>
      </c>
      <c r="I36" s="0" t="s">
        <v>485</v>
      </c>
    </row>
    <row r="37" customFormat="false" ht="15" hidden="false" customHeight="false" outlineLevel="0" collapsed="false">
      <c r="A37" s="0" t="s">
        <v>486</v>
      </c>
      <c r="B37" s="0" t="s">
        <v>482</v>
      </c>
      <c r="C37" s="0" t="n">
        <v>31</v>
      </c>
      <c r="D37" s="0" t="n">
        <v>0</v>
      </c>
      <c r="E37" s="0" t="n">
        <f aca="false">C37*D37</f>
        <v>0</v>
      </c>
      <c r="F37" s="0" t="n">
        <f aca="false">C37+E37</f>
        <v>31</v>
      </c>
      <c r="G37" s="0" t="s">
        <v>487</v>
      </c>
      <c r="H37" s="0" t="n">
        <f aca="false">ROUNDUP(F37,0)</f>
        <v>31</v>
      </c>
      <c r="I37" s="0" t="s">
        <v>488</v>
      </c>
    </row>
    <row r="38" customFormat="false" ht="15" hidden="false" customHeight="false" outlineLevel="0" collapsed="false">
      <c r="A38" s="0" t="s">
        <v>489</v>
      </c>
      <c r="B38" s="0" t="s">
        <v>409</v>
      </c>
      <c r="C38" s="0" t="n">
        <v>22.35</v>
      </c>
      <c r="D38" s="0" t="n">
        <f aca="false">Inputs!$B$5</f>
        <v>0.15</v>
      </c>
      <c r="E38" s="0" t="n">
        <f aca="false">C38*D38</f>
        <v>3.3525</v>
      </c>
      <c r="F38" s="0" t="n">
        <f aca="false">C38+E38</f>
        <v>25.7025</v>
      </c>
      <c r="G38" s="0" t="s">
        <v>410</v>
      </c>
      <c r="H38" s="0" t="n">
        <f aca="false">ROUNDUP(F38/Inputs!$B$10,0)</f>
        <v>2</v>
      </c>
      <c r="I38" s="0" t="s">
        <v>490</v>
      </c>
    </row>
    <row r="39" customFormat="false" ht="15" hidden="false" customHeight="false" outlineLevel="0" collapsed="false">
      <c r="A39" s="0" t="s">
        <v>491</v>
      </c>
      <c r="B39" s="0" t="s">
        <v>409</v>
      </c>
      <c r="C39" s="0" t="n">
        <v>10.43</v>
      </c>
      <c r="D39" s="0" t="n">
        <f aca="false">Inputs!$B$5</f>
        <v>0.15</v>
      </c>
      <c r="E39" s="0" t="n">
        <f aca="false">C39*D39</f>
        <v>1.5645</v>
      </c>
      <c r="F39" s="0" t="n">
        <f aca="false">C39+E39</f>
        <v>11.9945</v>
      </c>
      <c r="G39" s="0" t="s">
        <v>410</v>
      </c>
      <c r="H39" s="0" t="n">
        <f aca="false">ROUNDUP(F39/Inputs!$B$10,0)</f>
        <v>1</v>
      </c>
      <c r="I39" s="0" t="s">
        <v>492</v>
      </c>
    </row>
    <row r="40" customFormat="false" ht="15" hidden="false" customHeight="false" outlineLevel="0" collapsed="false">
      <c r="A40" s="0" t="s">
        <v>493</v>
      </c>
      <c r="B40" s="0" t="s">
        <v>442</v>
      </c>
      <c r="C40" s="0" t="n">
        <v>91.16</v>
      </c>
      <c r="D40" s="0" t="n">
        <f aca="false">Inputs!$B$6</f>
        <v>0.06</v>
      </c>
      <c r="E40" s="0" t="n">
        <f aca="false">C40*D40</f>
        <v>5.4696</v>
      </c>
      <c r="F40" s="0" t="n">
        <f aca="false">C40+E40</f>
        <v>96.6296</v>
      </c>
      <c r="G40" s="0" t="s">
        <v>475</v>
      </c>
      <c r="H40" s="0" t="n">
        <f aca="false">ROUNDUP(F40/Inputs!$B$9,0)</f>
        <v>3</v>
      </c>
      <c r="I40" s="0" t="s">
        <v>494</v>
      </c>
    </row>
    <row r="41" customFormat="false" ht="15" hidden="false" customHeight="false" outlineLevel="0" collapsed="false">
      <c r="A41" s="0" t="s">
        <v>495</v>
      </c>
      <c r="B41" s="0" t="s">
        <v>409</v>
      </c>
      <c r="C41" s="0" t="n">
        <v>221.5</v>
      </c>
      <c r="D41" s="0" t="n">
        <f aca="false">Inputs!$B$6</f>
        <v>0.06</v>
      </c>
      <c r="E41" s="0" t="n">
        <f aca="false">C41*D41</f>
        <v>13.29</v>
      </c>
      <c r="F41" s="0" t="n">
        <f aca="false">C41+E41</f>
        <v>234.79</v>
      </c>
      <c r="G41" s="0" t="s">
        <v>462</v>
      </c>
      <c r="H41" s="0" t="n">
        <f aca="false">ROUNDUP(F41/Inputs!$B$18,0)</f>
        <v>24</v>
      </c>
      <c r="I41" s="0" t="s">
        <v>496</v>
      </c>
    </row>
    <row r="42" customFormat="false" ht="15" hidden="false" customHeight="false" outlineLevel="0" collapsed="false">
      <c r="A42" s="0" t="s">
        <v>497</v>
      </c>
      <c r="B42" s="0" t="s">
        <v>482</v>
      </c>
      <c r="C42" s="0" t="n">
        <v>300</v>
      </c>
      <c r="D42" s="0" t="n">
        <v>0</v>
      </c>
      <c r="E42" s="0" t="n">
        <f aca="false">C42*D42</f>
        <v>0</v>
      </c>
      <c r="F42" s="0" t="n">
        <f aca="false">C42+E42</f>
        <v>300</v>
      </c>
      <c r="G42" s="0" t="s">
        <v>487</v>
      </c>
      <c r="H42" s="0" t="n">
        <f aca="false">ROUNDUP(F42,0)</f>
        <v>300</v>
      </c>
      <c r="I42" s="0" t="s">
        <v>498</v>
      </c>
    </row>
    <row r="43" customFormat="false" ht="15" hidden="false" customHeight="false" outlineLevel="0" collapsed="false">
      <c r="A43" s="0" t="s">
        <v>499</v>
      </c>
      <c r="B43" s="0" t="s">
        <v>482</v>
      </c>
      <c r="C43" s="0" t="n">
        <v>1</v>
      </c>
      <c r="D43" s="0" t="n">
        <v>0</v>
      </c>
      <c r="E43" s="0" t="n">
        <f aca="false">C43*D43</f>
        <v>0</v>
      </c>
      <c r="F43" s="0" t="n">
        <f aca="false">C43+E43</f>
        <v>1</v>
      </c>
      <c r="G43" s="0" t="s">
        <v>487</v>
      </c>
      <c r="H43" s="0" t="n">
        <f aca="false">ROUNDUP(F43,0)</f>
        <v>1</v>
      </c>
      <c r="I43" s="0" t="s">
        <v>500</v>
      </c>
    </row>
    <row r="44" customFormat="false" ht="15" hidden="false" customHeight="false" outlineLevel="0" collapsed="false">
      <c r="A44" s="0" t="s">
        <v>501</v>
      </c>
      <c r="B44" s="0" t="s">
        <v>482</v>
      </c>
      <c r="C44" s="0" t="n">
        <v>21365.32</v>
      </c>
      <c r="D44" s="0" t="n">
        <v>0</v>
      </c>
      <c r="E44" s="0" t="n">
        <f aca="false">C44*D44</f>
        <v>0</v>
      </c>
      <c r="F44" s="0" t="n">
        <f aca="false">C44+E44</f>
        <v>21365.32</v>
      </c>
      <c r="G44" s="0" t="s">
        <v>487</v>
      </c>
      <c r="H44" s="0" t="n">
        <f aca="false">ROUNDUP(F44,0)</f>
        <v>21366</v>
      </c>
      <c r="I44" s="0" t="s">
        <v>502</v>
      </c>
      <c r="J44" s="0" t="n">
        <f aca="false">Inputs!$B$20*17804.4</f>
        <v>21365.28</v>
      </c>
    </row>
    <row r="45" customFormat="false" ht="15" hidden="false" customHeight="false" outlineLevel="0" collapsed="false">
      <c r="A45" s="0" t="s">
        <v>503</v>
      </c>
      <c r="B45" s="0" t="s">
        <v>482</v>
      </c>
      <c r="C45" s="0" t="n">
        <v>7044</v>
      </c>
      <c r="D45" s="0" t="n">
        <v>0</v>
      </c>
      <c r="E45" s="0" t="n">
        <f aca="false">C45*D45</f>
        <v>0</v>
      </c>
      <c r="F45" s="0" t="n">
        <f aca="false">C45+E45</f>
        <v>7044</v>
      </c>
      <c r="G45" s="0" t="s">
        <v>487</v>
      </c>
      <c r="H45" s="0" t="n">
        <f aca="false">ROUNDUP(F45,0)</f>
        <v>7044</v>
      </c>
      <c r="I45" s="0" t="s">
        <v>504</v>
      </c>
      <c r="J45" s="0" t="n">
        <f aca="false">Inputs!$B$21*1761</f>
        <v>7044</v>
      </c>
    </row>
    <row r="46" customFormat="false" ht="15" hidden="false" customHeight="false" outlineLevel="0" collapsed="false">
      <c r="A46" s="0" t="s">
        <v>505</v>
      </c>
      <c r="B46" s="0" t="s">
        <v>482</v>
      </c>
      <c r="C46" s="0" t="n">
        <v>503.52</v>
      </c>
      <c r="D46" s="0" t="n">
        <v>0</v>
      </c>
      <c r="E46" s="0" t="n">
        <f aca="false">C46*D46</f>
        <v>0</v>
      </c>
      <c r="F46" s="0" t="n">
        <f aca="false">C46+E46</f>
        <v>503.52</v>
      </c>
      <c r="G46" s="0" t="s">
        <v>487</v>
      </c>
      <c r="H46" s="0" t="n">
        <f aca="false">ROUNDUP(F46,0)</f>
        <v>504</v>
      </c>
      <c r="I46" s="0" t="s">
        <v>506</v>
      </c>
      <c r="J46" s="0" t="n">
        <f aca="false">503.52/Inputs!$B$22</f>
        <v>503.52</v>
      </c>
    </row>
    <row r="47" customFormat="false" ht="15" hidden="false" customHeight="false" outlineLevel="0" collapsed="false">
      <c r="A47" s="0" t="s">
        <v>507</v>
      </c>
      <c r="B47" s="0" t="s">
        <v>482</v>
      </c>
      <c r="C47" s="0" t="n">
        <v>327.31</v>
      </c>
      <c r="D47" s="0" t="n">
        <v>0</v>
      </c>
      <c r="E47" s="0" t="n">
        <f aca="false">C47*D47</f>
        <v>0</v>
      </c>
      <c r="F47" s="0" t="n">
        <f aca="false">C47+E47</f>
        <v>327.31</v>
      </c>
      <c r="G47" s="0" t="s">
        <v>487</v>
      </c>
      <c r="H47" s="0" t="n">
        <f aca="false">ROUNDUP(F47,0)</f>
        <v>328</v>
      </c>
      <c r="I47" s="0" t="s">
        <v>508</v>
      </c>
      <c r="J47" s="0" t="n">
        <f aca="false">218.21/Inputs!$B$25</f>
        <v>327.298635068247</v>
      </c>
    </row>
    <row r="48" customFormat="false" ht="15" hidden="false" customHeight="false" outlineLevel="0" collapsed="false">
      <c r="A48" s="0" t="s">
        <v>509</v>
      </c>
      <c r="B48" s="0" t="s">
        <v>510</v>
      </c>
      <c r="C48" s="0" t="n">
        <v>1281.92</v>
      </c>
      <c r="D48" s="0" t="n">
        <v>0</v>
      </c>
      <c r="E48" s="0" t="n">
        <f aca="false">C48*D48</f>
        <v>0</v>
      </c>
      <c r="F48" s="0" t="n">
        <f aca="false">C48+E48</f>
        <v>1281.92</v>
      </c>
      <c r="G48" s="0" t="s">
        <v>511</v>
      </c>
      <c r="H48" s="0" t="n">
        <f aca="false">ROUNDUP(F48,0)</f>
        <v>1282</v>
      </c>
      <c r="I48" s="0" t="s">
        <v>512</v>
      </c>
      <c r="J48" s="0" t="n">
        <f aca="false">Inputs!$B$23*17804.4</f>
        <v>1281.9168</v>
      </c>
    </row>
    <row r="49" customFormat="false" ht="15" hidden="false" customHeight="false" outlineLevel="0" collapsed="false">
      <c r="A49" s="0" t="s">
        <v>513</v>
      </c>
      <c r="B49" s="0" t="s">
        <v>409</v>
      </c>
      <c r="C49" s="0" t="n">
        <v>6587.64</v>
      </c>
      <c r="D49" s="0" t="n">
        <v>0</v>
      </c>
      <c r="E49" s="0" t="n">
        <f aca="false">C49*D49</f>
        <v>0</v>
      </c>
      <c r="F49" s="0" t="n">
        <f aca="false">C49+E49</f>
        <v>6587.64</v>
      </c>
      <c r="G49" s="0" t="s">
        <v>409</v>
      </c>
      <c r="H49" s="0" t="n">
        <f aca="false">ROUNDUP(F49,0)</f>
        <v>6588</v>
      </c>
      <c r="I49" s="0" t="s">
        <v>514</v>
      </c>
      <c r="J49" s="0" t="n">
        <f aca="false">Inputs!$B$24*17804.4</f>
        <v>6587.628</v>
      </c>
    </row>
    <row r="50" customFormat="false" ht="15" hidden="false" customHeight="false" outlineLevel="0" collapsed="false">
      <c r="A50" s="0" t="s">
        <v>515</v>
      </c>
      <c r="B50" s="0" t="s">
        <v>442</v>
      </c>
      <c r="C50" s="0" t="n">
        <v>859.18</v>
      </c>
      <c r="D50" s="0" t="n">
        <f aca="false">Inputs!$B$6</f>
        <v>0.06</v>
      </c>
      <c r="E50" s="0" t="n">
        <f aca="false">C50*D50</f>
        <v>51.5508</v>
      </c>
      <c r="F50" s="0" t="n">
        <f aca="false">C50+E50</f>
        <v>910.7308</v>
      </c>
      <c r="G50" s="0" t="s">
        <v>442</v>
      </c>
      <c r="H50" s="0" t="n">
        <f aca="false">ROUNDUP(F50,0)</f>
        <v>911</v>
      </c>
      <c r="I50" s="0" t="s">
        <v>516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60"/>
  </cols>
  <sheetData>
    <row r="1" customFormat="false" ht="15" hidden="false" customHeight="false" outlineLevel="0" collapsed="false">
      <c r="A1" s="2" t="s">
        <v>517</v>
      </c>
      <c r="B1" s="2" t="s">
        <v>518</v>
      </c>
      <c r="C1" s="2" t="s">
        <v>519</v>
      </c>
    </row>
    <row r="2" customFormat="false" ht="15" hidden="false" customHeight="false" outlineLevel="0" collapsed="false">
      <c r="A2" s="0" t="s">
        <v>520</v>
      </c>
      <c r="B2" s="0" t="s">
        <v>521</v>
      </c>
      <c r="C2" s="0" t="s">
        <v>522</v>
      </c>
    </row>
    <row r="3" customFormat="false" ht="15" hidden="false" customHeight="false" outlineLevel="0" collapsed="false">
      <c r="A3" s="0" t="s">
        <v>523</v>
      </c>
      <c r="B3" s="0" t="s">
        <v>524</v>
      </c>
      <c r="C3" s="0" t="s">
        <v>525</v>
      </c>
    </row>
    <row r="4" customFormat="false" ht="15" hidden="false" customHeight="false" outlineLevel="0" collapsed="false">
      <c r="A4" s="0" t="s">
        <v>526</v>
      </c>
      <c r="B4" s="0" t="s">
        <v>527</v>
      </c>
      <c r="C4" s="0" t="s">
        <v>528</v>
      </c>
    </row>
    <row r="5" customFormat="false" ht="15" hidden="false" customHeight="false" outlineLevel="0" collapsed="false">
      <c r="A5" s="0" t="s">
        <v>529</v>
      </c>
      <c r="B5" s="0" t="s">
        <v>530</v>
      </c>
      <c r="C5" s="0" t="s">
        <v>531</v>
      </c>
    </row>
    <row r="6" customFormat="false" ht="15" hidden="false" customHeight="false" outlineLevel="0" collapsed="false">
      <c r="A6" s="0" t="s">
        <v>532</v>
      </c>
      <c r="B6" s="0" t="s">
        <v>533</v>
      </c>
      <c r="C6" s="0" t="s">
        <v>534</v>
      </c>
    </row>
    <row r="7" customFormat="false" ht="15" hidden="false" customHeight="false" outlineLevel="0" collapsed="false">
      <c r="A7" s="0" t="s">
        <v>535</v>
      </c>
      <c r="B7" s="0" t="s">
        <v>536</v>
      </c>
      <c r="C7" s="0" t="s">
        <v>537</v>
      </c>
    </row>
    <row r="8" customFormat="false" ht="15" hidden="false" customHeight="false" outlineLevel="0" collapsed="false">
      <c r="A8" s="0" t="s">
        <v>538</v>
      </c>
      <c r="B8" s="0" t="s">
        <v>539</v>
      </c>
      <c r="C8" s="0" t="s">
        <v>540</v>
      </c>
    </row>
    <row r="9" customFormat="false" ht="15" hidden="false" customHeight="false" outlineLevel="0" collapsed="false">
      <c r="A9" s="0" t="s">
        <v>541</v>
      </c>
      <c r="B9" s="0" t="s">
        <v>542</v>
      </c>
      <c r="C9" s="0" t="s">
        <v>543</v>
      </c>
    </row>
    <row r="10" customFormat="false" ht="15" hidden="false" customHeight="false" outlineLevel="0" collapsed="false">
      <c r="A10" s="0" t="s">
        <v>544</v>
      </c>
      <c r="B10" s="0" t="s">
        <v>545</v>
      </c>
      <c r="C10" s="0" t="s">
        <v>546</v>
      </c>
    </row>
    <row r="11" customFormat="false" ht="15" hidden="false" customHeight="false" outlineLevel="0" collapsed="false">
      <c r="A11" s="0" t="s">
        <v>547</v>
      </c>
      <c r="B11" s="0" t="s">
        <v>548</v>
      </c>
      <c r="C11" s="0" t="s">
        <v>549</v>
      </c>
    </row>
    <row r="12" customFormat="false" ht="15" hidden="false" customHeight="false" outlineLevel="0" collapsed="false">
      <c r="A12" s="0" t="s">
        <v>550</v>
      </c>
      <c r="B12" s="0" t="s">
        <v>551</v>
      </c>
      <c r="C12" s="0" t="s">
        <v>552</v>
      </c>
    </row>
    <row r="13" customFormat="false" ht="15" hidden="false" customHeight="false" outlineLevel="0" collapsed="false">
      <c r="A13" s="0" t="s">
        <v>553</v>
      </c>
      <c r="B13" s="0" t="s">
        <v>554</v>
      </c>
      <c r="C13" s="0" t="s">
        <v>555</v>
      </c>
    </row>
    <row r="14" customFormat="false" ht="15" hidden="false" customHeight="false" outlineLevel="0" collapsed="false">
      <c r="A14" s="0" t="s">
        <v>556</v>
      </c>
      <c r="B14" s="0" t="s">
        <v>557</v>
      </c>
      <c r="C14" s="0" t="s">
        <v>558</v>
      </c>
    </row>
    <row r="15" customFormat="false" ht="15" hidden="false" customHeight="false" outlineLevel="0" collapsed="false">
      <c r="A15" s="0" t="s">
        <v>559</v>
      </c>
      <c r="B15" s="0" t="s">
        <v>560</v>
      </c>
      <c r="C15" s="0" t="s">
        <v>561</v>
      </c>
    </row>
    <row r="16" customFormat="false" ht="15" hidden="false" customHeight="false" outlineLevel="0" collapsed="false">
      <c r="A16" s="0" t="s">
        <v>562</v>
      </c>
      <c r="B16" s="0" t="s">
        <v>563</v>
      </c>
      <c r="C16" s="0" t="s">
        <v>564</v>
      </c>
    </row>
    <row r="17" customFormat="false" ht="15" hidden="false" customHeight="false" outlineLevel="0" collapsed="false">
      <c r="A17" s="0" t="s">
        <v>565</v>
      </c>
      <c r="B17" s="0" t="s">
        <v>566</v>
      </c>
      <c r="C17" s="0" t="s">
        <v>567</v>
      </c>
    </row>
    <row r="18" customFormat="false" ht="15" hidden="false" customHeight="false" outlineLevel="0" collapsed="false">
      <c r="A18" s="0" t="s">
        <v>568</v>
      </c>
      <c r="B18" s="0" t="s">
        <v>569</v>
      </c>
      <c r="C18" s="0" t="s">
        <v>570</v>
      </c>
    </row>
    <row r="19" customFormat="false" ht="15" hidden="false" customHeight="false" outlineLevel="0" collapsed="false">
      <c r="A19" s="0" t="s">
        <v>571</v>
      </c>
      <c r="B19" s="0" t="s">
        <v>572</v>
      </c>
      <c r="C19" s="0" t="s">
        <v>573</v>
      </c>
    </row>
    <row r="20" customFormat="false" ht="15" hidden="false" customHeight="false" outlineLevel="0" collapsed="false">
      <c r="A20" s="0" t="s">
        <v>574</v>
      </c>
      <c r="B20" s="0" t="s">
        <v>575</v>
      </c>
      <c r="C20" s="0" t="s">
        <v>576</v>
      </c>
    </row>
    <row r="21" customFormat="false" ht="15" hidden="false" customHeight="false" outlineLevel="0" collapsed="false">
      <c r="A21" s="0" t="s">
        <v>577</v>
      </c>
      <c r="B21" s="0" t="s">
        <v>578</v>
      </c>
      <c r="C21" s="0" t="s">
        <v>579</v>
      </c>
    </row>
    <row r="22" customFormat="false" ht="15" hidden="false" customHeight="false" outlineLevel="0" collapsed="false">
      <c r="A22" s="0" t="s">
        <v>580</v>
      </c>
      <c r="B22" s="0" t="s">
        <v>581</v>
      </c>
      <c r="C22" s="0" t="s">
        <v>582</v>
      </c>
    </row>
    <row r="23" customFormat="false" ht="15" hidden="false" customHeight="false" outlineLevel="0" collapsed="false">
      <c r="A23" s="0" t="s">
        <v>583</v>
      </c>
      <c r="B23" s="0" t="s">
        <v>584</v>
      </c>
      <c r="C23" s="0" t="s">
        <v>585</v>
      </c>
    </row>
    <row r="24" customFormat="false" ht="15" hidden="false" customHeight="false" outlineLevel="0" collapsed="false">
      <c r="A24" s="0" t="s">
        <v>586</v>
      </c>
      <c r="B24" s="0" t="s">
        <v>587</v>
      </c>
      <c r="C24" s="0" t="s">
        <v>588</v>
      </c>
    </row>
    <row r="25" customFormat="false" ht="15" hidden="false" customHeight="false" outlineLevel="0" collapsed="false">
      <c r="A25" s="0" t="s">
        <v>589</v>
      </c>
      <c r="B25" s="0" t="s">
        <v>590</v>
      </c>
      <c r="C25" s="0" t="s">
        <v>591</v>
      </c>
    </row>
    <row r="26" customFormat="false" ht="15" hidden="false" customHeight="false" outlineLevel="0" collapsed="false">
      <c r="A26" s="0" t="s">
        <v>592</v>
      </c>
      <c r="B26" s="0" t="s">
        <v>593</v>
      </c>
      <c r="C26" s="0" t="s">
        <v>594</v>
      </c>
    </row>
    <row r="27" customFormat="false" ht="15" hidden="false" customHeight="false" outlineLevel="0" collapsed="false">
      <c r="A27" s="0" t="s">
        <v>595</v>
      </c>
      <c r="B27" s="0" t="s">
        <v>596</v>
      </c>
      <c r="C27" s="0" t="s">
        <v>597</v>
      </c>
    </row>
    <row r="28" customFormat="false" ht="15" hidden="false" customHeight="false" outlineLevel="0" collapsed="false">
      <c r="A28" s="0" t="s">
        <v>598</v>
      </c>
      <c r="B28" s="0" t="s">
        <v>599</v>
      </c>
      <c r="C28" s="0" t="s">
        <v>600</v>
      </c>
    </row>
    <row r="29" customFormat="false" ht="15" hidden="false" customHeight="false" outlineLevel="0" collapsed="false">
      <c r="A29" s="0" t="s">
        <v>601</v>
      </c>
      <c r="B29" s="0" t="s">
        <v>602</v>
      </c>
      <c r="C29" s="0" t="s">
        <v>603</v>
      </c>
    </row>
    <row r="30" customFormat="false" ht="15" hidden="false" customHeight="false" outlineLevel="0" collapsed="false">
      <c r="A30" s="0" t="s">
        <v>604</v>
      </c>
      <c r="B30" s="0" t="s">
        <v>605</v>
      </c>
      <c r="C30" s="0" t="s">
        <v>606</v>
      </c>
    </row>
    <row r="31" customFormat="false" ht="15" hidden="false" customHeight="false" outlineLevel="0" collapsed="false">
      <c r="A31" s="0" t="s">
        <v>607</v>
      </c>
      <c r="B31" s="0" t="s">
        <v>608</v>
      </c>
      <c r="C31" s="0" t="s">
        <v>609</v>
      </c>
    </row>
    <row r="32" customFormat="false" ht="15" hidden="false" customHeight="false" outlineLevel="0" collapsed="false">
      <c r="A32" s="0" t="s">
        <v>610</v>
      </c>
      <c r="B32" s="0" t="s">
        <v>611</v>
      </c>
      <c r="C32" s="0" t="s">
        <v>612</v>
      </c>
    </row>
    <row r="33" customFormat="false" ht="15" hidden="false" customHeight="false" outlineLevel="0" collapsed="false">
      <c r="A33" s="0" t="s">
        <v>613</v>
      </c>
      <c r="B33" s="0" t="s">
        <v>614</v>
      </c>
      <c r="C33" s="0" t="s">
        <v>615</v>
      </c>
    </row>
    <row r="34" customFormat="false" ht="15" hidden="false" customHeight="false" outlineLevel="0" collapsed="false">
      <c r="A34" s="0" t="s">
        <v>616</v>
      </c>
      <c r="B34" s="0" t="s">
        <v>617</v>
      </c>
      <c r="C34" s="0" t="s">
        <v>618</v>
      </c>
    </row>
    <row r="35" customFormat="false" ht="15" hidden="false" customHeight="false" outlineLevel="0" collapsed="false">
      <c r="A35" s="0" t="s">
        <v>619</v>
      </c>
      <c r="B35" s="0" t="s">
        <v>620</v>
      </c>
      <c r="C35" s="0" t="s">
        <v>621</v>
      </c>
    </row>
    <row r="36" customFormat="false" ht="15" hidden="false" customHeight="false" outlineLevel="0" collapsed="false">
      <c r="A36" s="0" t="s">
        <v>622</v>
      </c>
      <c r="B36" s="0" t="s">
        <v>623</v>
      </c>
      <c r="C36" s="0" t="s">
        <v>624</v>
      </c>
    </row>
    <row r="37" customFormat="false" ht="15" hidden="false" customHeight="false" outlineLevel="0" collapsed="false">
      <c r="A37" s="0" t="s">
        <v>625</v>
      </c>
      <c r="B37" s="0" t="s">
        <v>626</v>
      </c>
      <c r="C37" s="0" t="s">
        <v>627</v>
      </c>
    </row>
    <row r="38" customFormat="false" ht="15" hidden="false" customHeight="false" outlineLevel="0" collapsed="false">
      <c r="A38" s="0" t="s">
        <v>628</v>
      </c>
      <c r="B38" s="0" t="s">
        <v>629</v>
      </c>
      <c r="C38" s="0" t="s">
        <v>630</v>
      </c>
    </row>
    <row r="39" customFormat="false" ht="15" hidden="false" customHeight="false" outlineLevel="0" collapsed="false">
      <c r="A39" s="0" t="s">
        <v>631</v>
      </c>
      <c r="B39" s="0" t="s">
        <v>632</v>
      </c>
      <c r="C39" s="0" t="s">
        <v>633</v>
      </c>
    </row>
    <row r="40" customFormat="false" ht="15" hidden="false" customHeight="false" outlineLevel="0" collapsed="false">
      <c r="A40" s="0" t="s">
        <v>634</v>
      </c>
      <c r="B40" s="0" t="s">
        <v>635</v>
      </c>
      <c r="C40" s="0" t="s">
        <v>636</v>
      </c>
    </row>
    <row r="41" customFormat="false" ht="15" hidden="false" customHeight="false" outlineLevel="0" collapsed="false">
      <c r="A41" s="0" t="s">
        <v>637</v>
      </c>
      <c r="B41" s="0" t="s">
        <v>638</v>
      </c>
      <c r="C41" s="0" t="s">
        <v>639</v>
      </c>
    </row>
    <row r="42" customFormat="false" ht="15" hidden="false" customHeight="false" outlineLevel="0" collapsed="false">
      <c r="A42" s="0" t="s">
        <v>640</v>
      </c>
      <c r="B42" s="0" t="s">
        <v>641</v>
      </c>
      <c r="C42" s="0" t="s">
        <v>642</v>
      </c>
    </row>
    <row r="43" customFormat="false" ht="15" hidden="false" customHeight="false" outlineLevel="0" collapsed="false">
      <c r="A43" s="0" t="s">
        <v>643</v>
      </c>
      <c r="B43" s="0" t="s">
        <v>644</v>
      </c>
      <c r="C43" s="0" t="s">
        <v>645</v>
      </c>
    </row>
    <row r="44" customFormat="false" ht="15" hidden="false" customHeight="false" outlineLevel="0" collapsed="false">
      <c r="A44" s="0" t="s">
        <v>646</v>
      </c>
      <c r="B44" s="0" t="s">
        <v>647</v>
      </c>
      <c r="C44" s="0" t="s">
        <v>648</v>
      </c>
    </row>
    <row r="45" customFormat="false" ht="15" hidden="false" customHeight="false" outlineLevel="0" collapsed="false">
      <c r="A45" s="0" t="s">
        <v>649</v>
      </c>
      <c r="B45" s="0" t="s">
        <v>650</v>
      </c>
      <c r="C45" s="0" t="s">
        <v>651</v>
      </c>
    </row>
    <row r="46" customFormat="false" ht="15" hidden="false" customHeight="false" outlineLevel="0" collapsed="false">
      <c r="A46" s="0" t="s">
        <v>652</v>
      </c>
      <c r="B46" s="0" t="s">
        <v>653</v>
      </c>
      <c r="C46" s="0" t="s">
        <v>654</v>
      </c>
    </row>
    <row r="47" customFormat="false" ht="15" hidden="false" customHeight="false" outlineLevel="0" collapsed="false">
      <c r="A47" s="0" t="s">
        <v>655</v>
      </c>
      <c r="B47" s="0" t="s">
        <v>656</v>
      </c>
      <c r="C47" s="0" t="s">
        <v>657</v>
      </c>
    </row>
    <row r="48" customFormat="false" ht="15" hidden="false" customHeight="false" outlineLevel="0" collapsed="false">
      <c r="A48" s="0" t="s">
        <v>658</v>
      </c>
      <c r="B48" s="0" t="s">
        <v>659</v>
      </c>
      <c r="C48" s="0" t="s">
        <v>660</v>
      </c>
    </row>
    <row r="49" customFormat="false" ht="15" hidden="false" customHeight="false" outlineLevel="0" collapsed="false">
      <c r="A49" s="0" t="s">
        <v>661</v>
      </c>
      <c r="B49" s="0" t="s">
        <v>662</v>
      </c>
      <c r="C49" s="0" t="s">
        <v>663</v>
      </c>
    </row>
    <row r="50" customFormat="false" ht="15" hidden="false" customHeight="false" outlineLevel="0" collapsed="false">
      <c r="A50" s="0" t="s">
        <v>664</v>
      </c>
      <c r="B50" s="0" t="s">
        <v>665</v>
      </c>
      <c r="C50" s="0" t="s">
        <v>666</v>
      </c>
    </row>
    <row r="51" customFormat="false" ht="15" hidden="false" customHeight="false" outlineLevel="0" collapsed="false">
      <c r="A51" s="0" t="s">
        <v>667</v>
      </c>
      <c r="B51" s="0" t="s">
        <v>668</v>
      </c>
      <c r="C51" s="0" t="s">
        <v>669</v>
      </c>
    </row>
    <row r="52" customFormat="false" ht="15" hidden="false" customHeight="false" outlineLevel="0" collapsed="false">
      <c r="A52" s="0" t="s">
        <v>670</v>
      </c>
      <c r="B52" s="0" t="s">
        <v>671</v>
      </c>
      <c r="C52" s="0" t="s">
        <v>672</v>
      </c>
    </row>
    <row r="53" customFormat="false" ht="15" hidden="false" customHeight="false" outlineLevel="0" collapsed="false">
      <c r="A53" s="0" t="s">
        <v>673</v>
      </c>
      <c r="B53" s="0" t="s">
        <v>674</v>
      </c>
      <c r="C53" s="0" t="s">
        <v>675</v>
      </c>
    </row>
    <row r="54" customFormat="false" ht="15" hidden="false" customHeight="false" outlineLevel="0" collapsed="false">
      <c r="A54" s="0" t="s">
        <v>676</v>
      </c>
      <c r="B54" s="0" t="s">
        <v>677</v>
      </c>
      <c r="C54" s="0" t="s">
        <v>678</v>
      </c>
    </row>
    <row r="55" customFormat="false" ht="15" hidden="false" customHeight="false" outlineLevel="0" collapsed="false">
      <c r="A55" s="0" t="s">
        <v>679</v>
      </c>
      <c r="B55" s="0" t="s">
        <v>680</v>
      </c>
      <c r="C55" s="0" t="s">
        <v>681</v>
      </c>
    </row>
    <row r="56" customFormat="false" ht="15" hidden="false" customHeight="false" outlineLevel="0" collapsed="false">
      <c r="A56" s="0" t="s">
        <v>682</v>
      </c>
      <c r="B56" s="0" t="s">
        <v>683</v>
      </c>
      <c r="C56" s="0" t="s">
        <v>684</v>
      </c>
    </row>
    <row r="57" customFormat="false" ht="15" hidden="false" customHeight="false" outlineLevel="0" collapsed="false">
      <c r="A57" s="0" t="s">
        <v>685</v>
      </c>
      <c r="B57" s="0" t="s">
        <v>686</v>
      </c>
      <c r="C57" s="0" t="s">
        <v>687</v>
      </c>
    </row>
    <row r="58" customFormat="false" ht="15" hidden="false" customHeight="false" outlineLevel="0" collapsed="false">
      <c r="A58" s="0" t="s">
        <v>688</v>
      </c>
      <c r="B58" s="0" t="s">
        <v>689</v>
      </c>
      <c r="C58" s="0" t="s">
        <v>690</v>
      </c>
    </row>
    <row r="59" customFormat="false" ht="15" hidden="false" customHeight="false" outlineLevel="0" collapsed="false">
      <c r="A59" s="0" t="s">
        <v>691</v>
      </c>
      <c r="B59" s="0" t="s">
        <v>692</v>
      </c>
      <c r="C59" s="0" t="s">
        <v>693</v>
      </c>
    </row>
    <row r="60" customFormat="false" ht="15" hidden="false" customHeight="false" outlineLevel="0" collapsed="false">
      <c r="A60" s="0" t="s">
        <v>694</v>
      </c>
      <c r="B60" s="0" t="s">
        <v>695</v>
      </c>
      <c r="C60" s="0" t="s">
        <v>696</v>
      </c>
    </row>
    <row r="61" customFormat="false" ht="15" hidden="false" customHeight="false" outlineLevel="0" collapsed="false">
      <c r="A61" s="0" t="s">
        <v>697</v>
      </c>
      <c r="B61" s="0" t="s">
        <v>698</v>
      </c>
      <c r="C61" s="0" t="s">
        <v>699</v>
      </c>
    </row>
    <row r="62" customFormat="false" ht="15" hidden="false" customHeight="false" outlineLevel="0" collapsed="false">
      <c r="A62" s="0" t="s">
        <v>700</v>
      </c>
      <c r="B62" s="0" t="s">
        <v>701</v>
      </c>
      <c r="C62" s="0" t="s">
        <v>702</v>
      </c>
    </row>
    <row r="63" customFormat="false" ht="15" hidden="false" customHeight="false" outlineLevel="0" collapsed="false">
      <c r="A63" s="0" t="s">
        <v>703</v>
      </c>
      <c r="B63" s="0" t="s">
        <v>704</v>
      </c>
      <c r="C63" s="0" t="s">
        <v>705</v>
      </c>
    </row>
    <row r="64" customFormat="false" ht="15" hidden="false" customHeight="false" outlineLevel="0" collapsed="false">
      <c r="A64" s="0" t="s">
        <v>706</v>
      </c>
      <c r="B64" s="0" t="s">
        <v>707</v>
      </c>
      <c r="C64" s="0" t="s">
        <v>708</v>
      </c>
    </row>
    <row r="65" customFormat="false" ht="15" hidden="false" customHeight="false" outlineLevel="0" collapsed="false">
      <c r="A65" s="0" t="s">
        <v>709</v>
      </c>
      <c r="B65" s="0" t="s">
        <v>710</v>
      </c>
      <c r="C65" s="0" t="s">
        <v>711</v>
      </c>
    </row>
    <row r="66" customFormat="false" ht="15" hidden="false" customHeight="false" outlineLevel="0" collapsed="false">
      <c r="A66" s="0" t="s">
        <v>712</v>
      </c>
      <c r="B66" s="0" t="s">
        <v>713</v>
      </c>
      <c r="C66" s="0" t="s">
        <v>714</v>
      </c>
    </row>
    <row r="67" customFormat="false" ht="15" hidden="false" customHeight="false" outlineLevel="0" collapsed="false">
      <c r="A67" s="0" t="s">
        <v>715</v>
      </c>
      <c r="B67" s="0" t="s">
        <v>716</v>
      </c>
      <c r="C67" s="0" t="s">
        <v>717</v>
      </c>
    </row>
    <row r="68" customFormat="false" ht="15" hidden="false" customHeight="false" outlineLevel="0" collapsed="false">
      <c r="A68" s="0" t="s">
        <v>718</v>
      </c>
      <c r="B68" s="0" t="s">
        <v>719</v>
      </c>
      <c r="C68" s="0" t="s">
        <v>720</v>
      </c>
    </row>
    <row r="69" customFormat="false" ht="15" hidden="false" customHeight="false" outlineLevel="0" collapsed="false">
      <c r="A69" s="0" t="s">
        <v>721</v>
      </c>
      <c r="B69" s="0" t="s">
        <v>722</v>
      </c>
      <c r="C69" s="0" t="s">
        <v>723</v>
      </c>
    </row>
    <row r="70" customFormat="false" ht="15" hidden="false" customHeight="false" outlineLevel="0" collapsed="false">
      <c r="A70" s="0" t="s">
        <v>724</v>
      </c>
      <c r="B70" s="0" t="s">
        <v>725</v>
      </c>
      <c r="C70" s="0" t="s">
        <v>726</v>
      </c>
    </row>
    <row r="71" customFormat="false" ht="15" hidden="false" customHeight="false" outlineLevel="0" collapsed="false">
      <c r="A71" s="0" t="s">
        <v>727</v>
      </c>
      <c r="B71" s="0" t="s">
        <v>728</v>
      </c>
      <c r="C71" s="0" t="s">
        <v>729</v>
      </c>
    </row>
    <row r="72" customFormat="false" ht="15" hidden="false" customHeight="false" outlineLevel="0" collapsed="false">
      <c r="A72" s="0" t="s">
        <v>730</v>
      </c>
      <c r="B72" s="0" t="s">
        <v>731</v>
      </c>
      <c r="C72" s="0" t="s">
        <v>732</v>
      </c>
    </row>
    <row r="73" customFormat="false" ht="15" hidden="false" customHeight="false" outlineLevel="0" collapsed="false">
      <c r="A73" s="0" t="s">
        <v>733</v>
      </c>
      <c r="B73" s="0" t="s">
        <v>734</v>
      </c>
      <c r="C73" s="0" t="s">
        <v>735</v>
      </c>
    </row>
    <row r="74" customFormat="false" ht="15" hidden="false" customHeight="false" outlineLevel="0" collapsed="false">
      <c r="A74" s="0" t="s">
        <v>736</v>
      </c>
      <c r="B74" s="0" t="s">
        <v>737</v>
      </c>
      <c r="C74" s="0" t="s">
        <v>738</v>
      </c>
    </row>
    <row r="75" customFormat="false" ht="15" hidden="false" customHeight="false" outlineLevel="0" collapsed="false">
      <c r="A75" s="0" t="s">
        <v>739</v>
      </c>
      <c r="B75" s="0" t="s">
        <v>740</v>
      </c>
      <c r="C75" s="0" t="s">
        <v>741</v>
      </c>
    </row>
    <row r="76" customFormat="false" ht="15" hidden="false" customHeight="false" outlineLevel="0" collapsed="false">
      <c r="A76" s="0" t="s">
        <v>742</v>
      </c>
      <c r="B76" s="0" t="s">
        <v>743</v>
      </c>
      <c r="C76" s="0" t="s">
        <v>744</v>
      </c>
    </row>
    <row r="77" customFormat="false" ht="15" hidden="false" customHeight="false" outlineLevel="0" collapsed="false">
      <c r="A77" s="0" t="s">
        <v>745</v>
      </c>
      <c r="B77" s="0" t="s">
        <v>746</v>
      </c>
      <c r="C77" s="0" t="s">
        <v>747</v>
      </c>
    </row>
    <row r="78" customFormat="false" ht="15" hidden="false" customHeight="false" outlineLevel="0" collapsed="false">
      <c r="A78" s="0" t="s">
        <v>748</v>
      </c>
      <c r="B78" s="0" t="s">
        <v>749</v>
      </c>
      <c r="C78" s="0" t="s">
        <v>750</v>
      </c>
    </row>
    <row r="79" customFormat="false" ht="15" hidden="false" customHeight="false" outlineLevel="0" collapsed="false">
      <c r="A79" s="0" t="s">
        <v>751</v>
      </c>
      <c r="B79" s="0" t="s">
        <v>752</v>
      </c>
      <c r="C79" s="0" t="s">
        <v>753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0"/>
    <col collapsed="false" customWidth="true" hidden="false" outlineLevel="0" max="3" min="3" style="0" width="20"/>
    <col collapsed="false" customWidth="true" hidden="false" outlineLevel="0" max="4" min="4" style="0" width="49"/>
  </cols>
  <sheetData>
    <row r="1" customFormat="false" ht="15" hidden="false" customHeight="false" outlineLevel="0" collapsed="false">
      <c r="A1" s="0" t="s">
        <v>754</v>
      </c>
      <c r="B1" s="0" t="s">
        <v>755</v>
      </c>
      <c r="C1" s="0" t="s">
        <v>756</v>
      </c>
      <c r="D1" s="0" t="s">
        <v>757</v>
      </c>
    </row>
    <row r="2" customFormat="false" ht="15" hidden="false" customHeight="false" outlineLevel="0" collapsed="false">
      <c r="A2" s="0" t="n">
        <v>1</v>
      </c>
      <c r="B2" s="0" t="s">
        <v>758</v>
      </c>
      <c r="C2" s="0" t="s">
        <v>759</v>
      </c>
      <c r="D2" s="0" t="s">
        <v>760</v>
      </c>
    </row>
    <row r="3" customFormat="false" ht="15" hidden="false" customHeight="false" outlineLevel="0" collapsed="false">
      <c r="A3" s="0" t="n">
        <v>2</v>
      </c>
      <c r="B3" s="0" t="s">
        <v>761</v>
      </c>
      <c r="C3" s="0" t="s">
        <v>762</v>
      </c>
      <c r="D3" s="0" t="s">
        <v>763</v>
      </c>
    </row>
    <row r="4" customFormat="false" ht="15" hidden="false" customHeight="false" outlineLevel="0" collapsed="false">
      <c r="A4" s="0" t="n">
        <v>3</v>
      </c>
      <c r="B4" s="0" t="s">
        <v>764</v>
      </c>
      <c r="C4" s="0" t="s">
        <v>765</v>
      </c>
      <c r="D4" s="0" t="s">
        <v>766</v>
      </c>
    </row>
    <row r="5" customFormat="false" ht="15" hidden="false" customHeight="false" outlineLevel="0" collapsed="false">
      <c r="A5" s="0" t="n">
        <v>4</v>
      </c>
      <c r="B5" s="0" t="s">
        <v>767</v>
      </c>
      <c r="C5" s="0" t="s">
        <v>768</v>
      </c>
      <c r="D5" s="0" t="s">
        <v>766</v>
      </c>
    </row>
    <row r="6" customFormat="false" ht="15" hidden="false" customHeight="false" outlineLevel="0" collapsed="false">
      <c r="A6" s="0" t="n">
        <v>5</v>
      </c>
      <c r="B6" s="0" t="s">
        <v>769</v>
      </c>
      <c r="C6" s="0" t="s">
        <v>770</v>
      </c>
      <c r="D6" s="0" t="s">
        <v>771</v>
      </c>
    </row>
    <row r="7" customFormat="false" ht="15" hidden="false" customHeight="false" outlineLevel="0" collapsed="false">
      <c r="A7" s="0" t="n">
        <v>6</v>
      </c>
      <c r="B7" s="0" t="s">
        <v>772</v>
      </c>
      <c r="C7" s="0" t="s">
        <v>327</v>
      </c>
      <c r="D7" s="0" t="s">
        <v>773</v>
      </c>
    </row>
    <row r="8" customFormat="false" ht="15" hidden="false" customHeight="false" outlineLevel="0" collapsed="false">
      <c r="A8" s="0" t="n">
        <v>7</v>
      </c>
      <c r="B8" s="0" t="s">
        <v>774</v>
      </c>
      <c r="C8" s="0" t="s">
        <v>775</v>
      </c>
      <c r="D8" s="0" t="s">
        <v>773</v>
      </c>
    </row>
    <row r="9" customFormat="false" ht="15" hidden="false" customHeight="false" outlineLevel="0" collapsed="false">
      <c r="A9" s="0" t="n">
        <v>8</v>
      </c>
      <c r="B9" s="0" t="s">
        <v>776</v>
      </c>
      <c r="C9" s="0" t="s">
        <v>777</v>
      </c>
      <c r="D9" s="0" t="s">
        <v>778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0"/>
    <col collapsed="false" customWidth="true" hidden="false" outlineLevel="0" max="3" min="3" style="0" width="16"/>
    <col collapsed="false" customWidth="true" hidden="false" outlineLevel="0" max="4" min="4" style="0" width="60"/>
  </cols>
  <sheetData>
    <row r="1" customFormat="false" ht="15" hidden="false" customHeight="false" outlineLevel="0" collapsed="false">
      <c r="A1" s="0" t="s">
        <v>779</v>
      </c>
      <c r="B1" s="0" t="s">
        <v>780</v>
      </c>
      <c r="C1" s="0" t="s">
        <v>58</v>
      </c>
      <c r="D1" s="0" t="s">
        <v>781</v>
      </c>
    </row>
    <row r="2" customFormat="false" ht="15" hidden="false" customHeight="false" outlineLevel="0" collapsed="false">
      <c r="A2" s="0" t="s">
        <v>782</v>
      </c>
      <c r="B2" s="0" t="s">
        <v>783</v>
      </c>
      <c r="C2" s="0" t="s">
        <v>784</v>
      </c>
      <c r="D2" s="0" t="s">
        <v>785</v>
      </c>
    </row>
    <row r="3" customFormat="false" ht="15" hidden="false" customHeight="false" outlineLevel="0" collapsed="false">
      <c r="A3" s="0" t="s">
        <v>786</v>
      </c>
      <c r="B3" s="0" t="s">
        <v>787</v>
      </c>
      <c r="C3" s="0" t="s">
        <v>784</v>
      </c>
      <c r="D3" s="0" t="s">
        <v>788</v>
      </c>
    </row>
    <row r="4" customFormat="false" ht="15" hidden="false" customHeight="false" outlineLevel="0" collapsed="false">
      <c r="A4" s="0" t="s">
        <v>789</v>
      </c>
      <c r="B4" s="0" t="s">
        <v>790</v>
      </c>
      <c r="C4" s="0" t="s">
        <v>784</v>
      </c>
      <c r="D4" s="0" t="s">
        <v>791</v>
      </c>
    </row>
    <row r="5" customFormat="false" ht="15" hidden="false" customHeight="false" outlineLevel="0" collapsed="false">
      <c r="A5" s="0" t="s">
        <v>792</v>
      </c>
      <c r="B5" s="0" t="s">
        <v>793</v>
      </c>
      <c r="C5" s="0" t="s">
        <v>784</v>
      </c>
      <c r="D5" s="0" t="s">
        <v>794</v>
      </c>
    </row>
    <row r="6" customFormat="false" ht="15" hidden="false" customHeight="false" outlineLevel="0" collapsed="false">
      <c r="A6" s="0" t="s">
        <v>795</v>
      </c>
      <c r="B6" s="0" t="s">
        <v>796</v>
      </c>
      <c r="C6" s="0" t="s">
        <v>784</v>
      </c>
      <c r="D6" s="0" t="s">
        <v>797</v>
      </c>
    </row>
    <row r="7" customFormat="false" ht="15" hidden="false" customHeight="false" outlineLevel="0" collapsed="false">
      <c r="A7" s="0" t="s">
        <v>798</v>
      </c>
      <c r="B7" s="0" t="s">
        <v>799</v>
      </c>
      <c r="C7" s="0" t="s">
        <v>784</v>
      </c>
      <c r="D7" s="0" t="s">
        <v>800</v>
      </c>
    </row>
    <row r="8" customFormat="false" ht="15" hidden="false" customHeight="false" outlineLevel="0" collapsed="false">
      <c r="A8" s="0" t="s">
        <v>801</v>
      </c>
      <c r="B8" s="0" t="s">
        <v>802</v>
      </c>
      <c r="C8" s="0" t="s">
        <v>784</v>
      </c>
      <c r="D8" s="0" t="s">
        <v>803</v>
      </c>
    </row>
    <row r="9" customFormat="false" ht="15" hidden="false" customHeight="false" outlineLevel="0" collapsed="false">
      <c r="A9" s="0" t="s">
        <v>804</v>
      </c>
      <c r="B9" s="0" t="s">
        <v>805</v>
      </c>
      <c r="C9" s="0" t="s">
        <v>784</v>
      </c>
      <c r="D9" s="0" t="s">
        <v>806</v>
      </c>
    </row>
    <row r="10" customFormat="false" ht="15" hidden="false" customHeight="false" outlineLevel="0" collapsed="false">
      <c r="A10" s="0" t="s">
        <v>807</v>
      </c>
      <c r="B10" s="0" t="s">
        <v>808</v>
      </c>
      <c r="C10" s="0" t="s">
        <v>784</v>
      </c>
      <c r="D10" s="0" t="s">
        <v>809</v>
      </c>
    </row>
    <row r="11" customFormat="false" ht="15" hidden="false" customHeight="false" outlineLevel="0" collapsed="false">
      <c r="A11" s="0" t="s">
        <v>810</v>
      </c>
      <c r="B11" s="0" t="s">
        <v>811</v>
      </c>
      <c r="C11" s="0" t="s">
        <v>784</v>
      </c>
      <c r="D11" s="0" t="s">
        <v>812</v>
      </c>
    </row>
    <row r="12" customFormat="false" ht="15" hidden="false" customHeight="false" outlineLevel="0" collapsed="false">
      <c r="A12" s="0" t="s">
        <v>813</v>
      </c>
      <c r="B12" s="0" t="s">
        <v>814</v>
      </c>
      <c r="C12" s="0" t="s">
        <v>784</v>
      </c>
      <c r="D12" s="0" t="s">
        <v>815</v>
      </c>
    </row>
    <row r="13" customFormat="false" ht="15" hidden="false" customHeight="false" outlineLevel="0" collapsed="false">
      <c r="A13" s="0" t="s">
        <v>816</v>
      </c>
      <c r="B13" s="0" t="s">
        <v>817</v>
      </c>
      <c r="C13" s="0" t="s">
        <v>784</v>
      </c>
      <c r="D13" s="0" t="s">
        <v>818</v>
      </c>
    </row>
    <row r="14" customFormat="false" ht="15" hidden="false" customHeight="false" outlineLevel="0" collapsed="false">
      <c r="A14" s="0" t="s">
        <v>819</v>
      </c>
      <c r="B14" s="0" t="s">
        <v>820</v>
      </c>
      <c r="C14" s="0" t="s">
        <v>784</v>
      </c>
      <c r="D14" s="0" t="s">
        <v>821</v>
      </c>
    </row>
    <row r="15" customFormat="false" ht="15" hidden="false" customHeight="false" outlineLevel="0" collapsed="false">
      <c r="A15" s="0" t="s">
        <v>822</v>
      </c>
      <c r="B15" s="0" t="s">
        <v>823</v>
      </c>
      <c r="C15" s="0" t="s">
        <v>784</v>
      </c>
      <c r="D15" s="0" t="s">
        <v>824</v>
      </c>
    </row>
    <row r="16" customFormat="false" ht="15" hidden="false" customHeight="false" outlineLevel="0" collapsed="false">
      <c r="A16" s="0" t="s">
        <v>825</v>
      </c>
      <c r="B16" s="0" t="s">
        <v>826</v>
      </c>
      <c r="C16" s="0" t="s">
        <v>784</v>
      </c>
      <c r="D16" s="0" t="s">
        <v>827</v>
      </c>
    </row>
    <row r="17" customFormat="false" ht="15" hidden="false" customHeight="false" outlineLevel="0" collapsed="false">
      <c r="A17" s="0" t="s">
        <v>828</v>
      </c>
      <c r="B17" s="0" t="s">
        <v>829</v>
      </c>
      <c r="C17" s="0" t="s">
        <v>784</v>
      </c>
      <c r="D17" s="0" t="s">
        <v>830</v>
      </c>
    </row>
    <row r="18" customFormat="false" ht="15" hidden="false" customHeight="false" outlineLevel="0" collapsed="false">
      <c r="A18" s="0" t="s">
        <v>831</v>
      </c>
      <c r="B18" s="0" t="s">
        <v>832</v>
      </c>
      <c r="C18" s="0" t="s">
        <v>784</v>
      </c>
      <c r="D18" s="0" t="s">
        <v>833</v>
      </c>
    </row>
    <row r="19" customFormat="false" ht="15" hidden="false" customHeight="false" outlineLevel="0" collapsed="false">
      <c r="A19" s="0" t="s">
        <v>834</v>
      </c>
      <c r="B19" s="0" t="s">
        <v>835</v>
      </c>
      <c r="C19" s="0" t="s">
        <v>784</v>
      </c>
      <c r="D19" s="0" t="s">
        <v>836</v>
      </c>
    </row>
    <row r="20" customFormat="false" ht="15" hidden="false" customHeight="false" outlineLevel="0" collapsed="false">
      <c r="A20" s="0" t="s">
        <v>837</v>
      </c>
      <c r="B20" s="0" t="s">
        <v>838</v>
      </c>
      <c r="C20" s="0" t="s">
        <v>784</v>
      </c>
      <c r="D20" s="0" t="s">
        <v>839</v>
      </c>
    </row>
    <row r="21" customFormat="false" ht="15" hidden="false" customHeight="false" outlineLevel="0" collapsed="false">
      <c r="A21" s="0" t="s">
        <v>840</v>
      </c>
      <c r="B21" s="0" t="s">
        <v>841</v>
      </c>
      <c r="C21" s="0" t="s">
        <v>784</v>
      </c>
      <c r="D21" s="0" t="s">
        <v>842</v>
      </c>
    </row>
    <row r="22" customFormat="false" ht="15" hidden="false" customHeight="false" outlineLevel="0" collapsed="false">
      <c r="A22" s="0" t="s">
        <v>843</v>
      </c>
      <c r="B22" s="0" t="s">
        <v>844</v>
      </c>
      <c r="C22" s="0" t="s">
        <v>845</v>
      </c>
      <c r="D22" s="0" t="s">
        <v>846</v>
      </c>
    </row>
    <row r="23" customFormat="false" ht="15" hidden="false" customHeight="false" outlineLevel="0" collapsed="false">
      <c r="A23" s="0" t="s">
        <v>847</v>
      </c>
      <c r="B23" s="0" t="s">
        <v>848</v>
      </c>
      <c r="C23" s="0" t="s">
        <v>845</v>
      </c>
      <c r="D23" s="0" t="s">
        <v>849</v>
      </c>
    </row>
    <row r="24" customFormat="false" ht="15" hidden="false" customHeight="false" outlineLevel="0" collapsed="false">
      <c r="A24" s="0" t="s">
        <v>850</v>
      </c>
      <c r="B24" s="0" t="s">
        <v>851</v>
      </c>
      <c r="C24" s="0" t="s">
        <v>784</v>
      </c>
      <c r="D24" s="0" t="s">
        <v>852</v>
      </c>
    </row>
    <row r="25" customFormat="false" ht="15" hidden="false" customHeight="false" outlineLevel="0" collapsed="false">
      <c r="A25" s="0" t="s">
        <v>853</v>
      </c>
      <c r="B25" s="0" t="s">
        <v>854</v>
      </c>
      <c r="C25" s="0" t="s">
        <v>784</v>
      </c>
      <c r="D25" s="0" t="s">
        <v>855</v>
      </c>
    </row>
    <row r="26" customFormat="false" ht="15" hidden="false" customHeight="false" outlineLevel="0" collapsed="false">
      <c r="A26" s="0" t="s">
        <v>856</v>
      </c>
      <c r="B26" s="0" t="s">
        <v>857</v>
      </c>
      <c r="C26" s="0" t="s">
        <v>845</v>
      </c>
      <c r="D26" s="0" t="s">
        <v>858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2026-10-18T02:22:19Z</dcterms:created>
  <dc:creator>openpyxl</dc:creator>
  <dc:description/>
  <dc:language>en-US</dc:language>
  <cp:lastModifiedBy/>
  <dcterms:modified xsi:type="dcterms:W3CDTF">2026-10-18T02:22:19Z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