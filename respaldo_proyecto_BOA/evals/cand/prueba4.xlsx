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<sst xmlns="http://schemas.openxmlformats.org/spreadsheetml/2006/main" count="1016" uniqueCount="637">
  <si>
    <t xml:space="preserve">Bank of America - Broomfield, CO (CO1-111)   |   METAL FRAMING &amp; DRYWALL TAKEOFF</t>
  </si>
  <si>
    <t xml:space="preserve">Bid set: 2025.08.26_CO1-111_Broomfield_PERMIT SET_BID SET.pdf   ·   2026-10-14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</si>
  <si>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</si>
  <si>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</si>
  <si>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</si>
  <si>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</si>
  <si>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</si>
  <si>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</si>
  <si>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</si>
  <si>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</si>
  <si>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</si>
  <si>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</si>
  <si>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</si>
  <si>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</si>
  <si>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</si>
  <si>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</si>
  <si>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</si>
  <si>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</si>
  <si>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</si>
  <si>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</si>
  <si>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</si>
  <si>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</si>
  <si>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</si>
  <si>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</si>
  <si>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</si>
  <si>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</si>
  <si>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</si>
  <si>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</si>
  <si>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</si>
  <si>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#A1-01  -  Calling Cubes 122 north wall (incl. MW01 alcove)</t>
  </si>
  <si>
    <t xml:space="preserve">A1-01</t>
  </si>
  <si>
    <t xml:space="preserve">3-5/8"</t>
  </si>
  <si>
    <t xml:space="preserve">Calling Cubes 122 north wall (incl. MW01 alcove)</t>
  </si>
  <si>
    <t xml:space="preserve">A02.01 tag A1 -&gt; 3/A12.01 -&gt; 7/S5.20 (362S137-33 @ 16") -&gt; 1/A04.01 ceilings -&gt; S2.20 B.O.D. 15.375</t>
  </si>
  <si>
    <t xml:space="preserve">[DERIVADO]</t>
  </si>
  <si>
    <t xml:space="preserve">A1  #A1-02  -  MW01 east side</t>
  </si>
  <si>
    <t xml:space="preserve">A1-02</t>
  </si>
  <si>
    <t xml:space="preserve">MW01 east side</t>
  </si>
  <si>
    <t xml:space="preserve">A1  #A1-03  -  below MW01</t>
  </si>
  <si>
    <t xml:space="preserve">A1-03</t>
  </si>
  <si>
    <t xml:space="preserve">below MW01</t>
  </si>
  <si>
    <t xml:space="preserve">A1  #A1-04  -  Calling Cubes 122 south wall</t>
  </si>
  <si>
    <t xml:space="preserve">A1-04</t>
  </si>
  <si>
    <t xml:space="preserve">Calling Cubes 122 south wall</t>
  </si>
  <si>
    <t xml:space="preserve">A02.01 tag A1 -&gt; 3/A12.01 -&gt; 7/S5.20 (362S137-33 @ 16") -&gt; 1/A04.01 ceilings -&gt; S2.20 B.O.D. 13.052</t>
  </si>
  <si>
    <t xml:space="preserve">A1  #A1-05  -  at door 118A, north return</t>
  </si>
  <si>
    <t xml:space="preserve">A1-05</t>
  </si>
  <si>
    <t xml:space="preserve">at door 118A, north return</t>
  </si>
  <si>
    <t xml:space="preserve">A1  #A1-06  -  118A north wall incl. door 118A</t>
  </si>
  <si>
    <t xml:space="preserve">A1-06</t>
  </si>
  <si>
    <t xml:space="preserve">118A north wall incl. door 118A</t>
  </si>
  <si>
    <t xml:space="preserve">A02.01 tag A1 -&gt; 3/A12.01 -&gt; 7/S5.20 (362S137-33 @ 16") -&gt; 1/A04.01 ceilings -&gt; S2.20 B.O.D. 13.052 -&gt; 10/A12.02 head, 11/A12.02 jamb (A00.30)</t>
  </si>
  <si>
    <t xml:space="preserve">A1  #A1-07  -  Corridor 111 east wall incl. door 118B</t>
  </si>
  <si>
    <t xml:space="preserve">A1-07</t>
  </si>
  <si>
    <t xml:space="preserve">Corridor 111 east wall incl. door 118B</t>
  </si>
  <si>
    <t xml:space="preserve">A1  #A1-08  -  Corridor 111 north end incl. door 111</t>
  </si>
  <si>
    <t xml:space="preserve">A1-08</t>
  </si>
  <si>
    <t xml:space="preserve">Corridor 111 north end incl. door 111</t>
  </si>
  <si>
    <t xml:space="preserve">A02.01 tag A1 -&gt; 3/A12.01 -&gt; 7/S5.20 (362S137-33 @ 16") -&gt; 1/A04.01 ceilings -&gt; S2.20 B.O.D. 15.375 -&gt; 10/A12.02 head, 11/A12.02 jamb (A00.30)</t>
  </si>
  <si>
    <t xml:space="preserve">A1  #A1-09  -  Work Room 119 north wall incl. door 119</t>
  </si>
  <si>
    <t xml:space="preserve">A1-09</t>
  </si>
  <si>
    <t xml:space="preserve">Work Room 119 north wall incl. door 119</t>
  </si>
  <si>
    <t xml:space="preserve">A1  #A1-10  -  Lavatory back wall (untagged = A1 per note A A02.01)</t>
  </si>
  <si>
    <t xml:space="preserve">A1-10</t>
  </si>
  <si>
    <t xml:space="preserve">Lavatory back wall (untagged = A1 per note A A02.01)</t>
  </si>
  <si>
    <t xml:space="preserve">TYPE A5</t>
  </si>
  <si>
    <t xml:space="preserve">A5  #A5-01N  -  Calling Cubes east wall, north of grid B</t>
  </si>
  <si>
    <t xml:space="preserve">A5-01N</t>
  </si>
  <si>
    <t xml:space="preserve">6"</t>
  </si>
  <si>
    <t xml:space="preserve">Calling Cubes east wall, north of grid B</t>
  </si>
  <si>
    <t xml:space="preserve">A02.01 tag A5 -&gt; 3/A12.01 -&gt; 7/S5.20 (600S137-33 @ 16") -&gt; 1/A04.01 ceilings -&gt; S2.20 B.O.D. 15.375</t>
  </si>
  <si>
    <t xml:space="preserve">A5  #A5-01S  -  Calling Cubes east wall, south of grid B</t>
  </si>
  <si>
    <t xml:space="preserve">A5-01S</t>
  </si>
  <si>
    <t xml:space="preserve">Calling Cubes east wall, south of grid B</t>
  </si>
  <si>
    <t xml:space="preserve">A02.01 tag A5 -&gt; 3/A12.01 -&gt; 7/S5.20 (600S137-33 @ 16") -&gt; 1/A04.01 ceilings -&gt; S2.20 B.O.D. 13.052</t>
  </si>
  <si>
    <t xml:space="preserve">A5  #A5-02  -  MW07 west wall</t>
  </si>
  <si>
    <t xml:space="preserve">A5-02</t>
  </si>
  <si>
    <t xml:space="preserve">MW07 west wall</t>
  </si>
  <si>
    <t xml:space="preserve">A5  #A5-03  -  Calling Cubes SW incl. door 122</t>
  </si>
  <si>
    <t xml:space="preserve">A5-03</t>
  </si>
  <si>
    <t xml:space="preserve">Calling Cubes SW incl. door 122</t>
  </si>
  <si>
    <t xml:space="preserve">A02.01 tag A5 -&gt; 3/A12.01 -&gt; 7/S5.20 (600S137-33 @ 16") -&gt; 1/A04.01 ceilings -&gt; S2.20 B.O.D. 13.052 -&gt; 10/A12.02 head, 11/A12.02 jamb (A00.30)</t>
  </si>
  <si>
    <t xml:space="preserve">A5  #A5-04  -  118A east wall</t>
  </si>
  <si>
    <t xml:space="preserve">A5-04</t>
  </si>
  <si>
    <t xml:space="preserve">118A east wall</t>
  </si>
  <si>
    <t xml:space="preserve">TYPE B</t>
  </si>
  <si>
    <t xml:space="preserve">B  #B-01  -  Men 113 south / Janitor 112 north incl. door 112</t>
  </si>
  <si>
    <t xml:space="preserve">B-01</t>
  </si>
  <si>
    <t xml:space="preserve">Men 113 south / Janitor 112 north incl. door 112</t>
  </si>
  <si>
    <t xml:space="preserve">A02.01 tag B -&gt; 1/A12.01 -&gt; 7/S5.20 (362S137-33 @ 16") -&gt; 1/A04.01 ceilings -&gt; S2.20 B.O.D. 13.052 -&gt; 10/A12.02 head, 11/A12.02 jamb (A00.30)</t>
  </si>
  <si>
    <t xml:space="preserve">B  #B-02  -  Janitor/Storage divider</t>
  </si>
  <si>
    <t xml:space="preserve">B-02</t>
  </si>
  <si>
    <t xml:space="preserve">Janitor/Storage divider</t>
  </si>
  <si>
    <t xml:space="preserve">A02.01 tag B -&gt; 1/A12.01 -&gt; 7/S5.20 (362S137-33 @ 16") -&gt; 1/A04.01 ceilings -&gt; S2.20 B.O.D. 13.052</t>
  </si>
  <si>
    <t xml:space="preserve">B  #B-03  -  Wellness 115 north wall</t>
  </si>
  <si>
    <t xml:space="preserve">B-03</t>
  </si>
  <si>
    <t xml:space="preserve">Wellness 115 north wall</t>
  </si>
  <si>
    <t xml:space="preserve">B  #B-04  -  Electrical 120 north wall</t>
  </si>
  <si>
    <t xml:space="preserve">B-04</t>
  </si>
  <si>
    <t xml:space="preserve">Electrical 120 north wall</t>
  </si>
  <si>
    <t xml:space="preserve">B  #B-05  -  Electrical/NER divider</t>
  </si>
  <si>
    <t xml:space="preserve">B-05</t>
  </si>
  <si>
    <t xml:space="preserve">Electrical/NER divider</t>
  </si>
  <si>
    <t xml:space="preserve">B  #B-06  -  Electrical + NER east wall incl. doors 120, 121</t>
  </si>
  <si>
    <t xml:space="preserve">B-06</t>
  </si>
  <si>
    <t xml:space="preserve">Electrical + NER east wall incl. doors 120, 121</t>
  </si>
  <si>
    <t xml:space="preserve">TYPE B2</t>
  </si>
  <si>
    <t xml:space="preserve">B2  #B2-01  -  ATM Room east incl. door 102</t>
  </si>
  <si>
    <t xml:space="preserve">B2-01</t>
  </si>
  <si>
    <t xml:space="preserve">ATM Room east incl. door 102</t>
  </si>
  <si>
    <t xml:space="preserve">A02.01 tag B2 -&gt; 1/A12.01 -&gt; 7/S5.20 (600S137-33 @ 16") -&gt; 1/A04.01 ceilings -&gt; S2.20 B.O.D. 15.375 -&gt; 10/A12.02 head, 11/A12.02 jamb (A00.30)</t>
  </si>
  <si>
    <t xml:space="preserve">B2  #B2-02  -  Women 114 east incl. door 114</t>
  </si>
  <si>
    <t xml:space="preserve">B2-02</t>
  </si>
  <si>
    <t xml:space="preserve">Women 114 east incl. door 114</t>
  </si>
  <si>
    <t xml:space="preserve">A02.01 tag B2 -&gt; 1/A12.01 -&gt; 7/S5.20 (600S137-33 @ 16") -&gt; 1/A04.01 ceilings -&gt; S2.20 B.O.D. 13.052 -&gt; 10/A12.02 head, 11/A12.02 jamb (A00.30)</t>
  </si>
  <si>
    <t xml:space="preserve">B2  #B2-03  -  Men 113 east incl. door 113</t>
  </si>
  <si>
    <t xml:space="preserve">B2-03</t>
  </si>
  <si>
    <t xml:space="preserve">Men 113 east incl. door 113</t>
  </si>
  <si>
    <t xml:space="preserve">B2  #B2-04  -  Storage 117 + Wellness 115 east incl. doors 117, 115</t>
  </si>
  <si>
    <t xml:space="preserve">B2-04</t>
  </si>
  <si>
    <t xml:space="preserve">Storage 117 + Wellness 115 east incl. doors 117, 115</t>
  </si>
  <si>
    <t xml:space="preserve">B2  #B2-05  -  Break/Work Room divider incl. door 116</t>
  </si>
  <si>
    <t xml:space="preserve">B2-05</t>
  </si>
  <si>
    <t xml:space="preserve">Break/Work Room divider incl. door 116</t>
  </si>
  <si>
    <t xml:space="preserve">TYPE G</t>
  </si>
  <si>
    <t xml:space="preserve">G  #G-01  -  ATM Room / Office 109 (printed 11'-7 1/2" A02.01)</t>
  </si>
  <si>
    <t xml:space="preserve">G-01</t>
  </si>
  <si>
    <t xml:space="preserve">1-5/8"</t>
  </si>
  <si>
    <t xml:space="preserve">ATM Room / Office 109 (printed 11'-7 1/2" A02.01)</t>
  </si>
  <si>
    <t xml:space="preserve">A02.01 tag G -&gt; 5/A12.01 -&gt; 7/S5.20 (162S125-33 @ 16") -&gt; 1/A04.01 ceilings -&gt; S2.20 B.O.D. 15.375 -&gt; 8/A12.01, 9/A12.01 (2 layers to deck)</t>
  </si>
  <si>
    <t xml:space="preserve">G  #G-02  -  Office 109 / 110 (printed 11'-7 1/2" A02.01)</t>
  </si>
  <si>
    <t xml:space="preserve">G-02</t>
  </si>
  <si>
    <t xml:space="preserve">Office 109 / 110 (printed 11'-7 1/2" A02.01)</t>
  </si>
  <si>
    <t xml:space="preserve">G  #G-03  -  Office 110 / Women 114 (printed 11'-7 1/2" A02.01)</t>
  </si>
  <si>
    <t xml:space="preserve">G-03</t>
  </si>
  <si>
    <t xml:space="preserve">Office 110 / Women 114 (printed 11'-7 1/2" A02.01)</t>
  </si>
  <si>
    <t xml:space="preserve">G  #G-04  -  Office 106 / 107 (printed 11'-9 1/4" A02.01)</t>
  </si>
  <si>
    <t xml:space="preserve">G-04</t>
  </si>
  <si>
    <t xml:space="preserve">Office 106 / 107 (printed 11'-9 1/4" A02.01)</t>
  </si>
  <si>
    <t xml:space="preserve">G  #G-05  -  Office 107 / 108 (printed 11'-9 1/4" A02.01)</t>
  </si>
  <si>
    <t xml:space="preserve">G-05</t>
  </si>
  <si>
    <t xml:space="preserve">Office 107 / 108 (printed 11'-9 1/4" A02.01)</t>
  </si>
  <si>
    <t xml:space="preserve">G  #G-06  -  Office 108 / Cash Window (printed 11'-9 1/4" A02.01)</t>
  </si>
  <si>
    <t xml:space="preserve">G-06</t>
  </si>
  <si>
    <t xml:space="preserve">Office 108 / Cash Window (printed 11'-9 1/4" A02.01)</t>
  </si>
  <si>
    <t xml:space="preserve">G  #G-07  -  office front stub 106 (north)</t>
  </si>
  <si>
    <t xml:space="preserve">G-07</t>
  </si>
  <si>
    <t xml:space="preserve">office front stub 106 (north)</t>
  </si>
  <si>
    <t xml:space="preserve">G  #G-08  -  office front stub 107</t>
  </si>
  <si>
    <t xml:space="preserve">G-08</t>
  </si>
  <si>
    <t xml:space="preserve">office front stub 107</t>
  </si>
  <si>
    <t xml:space="preserve">G  #G-09  -  office front stub 108</t>
  </si>
  <si>
    <t xml:space="preserve">G-09</t>
  </si>
  <si>
    <t xml:space="preserve">office front stub 108</t>
  </si>
  <si>
    <t xml:space="preserve">G  #G-10  -  office front stub 105 (no tag, G by drawn thickness)</t>
  </si>
  <si>
    <t xml:space="preserve">G-10</t>
  </si>
  <si>
    <t xml:space="preserve">office front stub 105 (no tag, G by drawn thickness)</t>
  </si>
  <si>
    <t xml:space="preserve">G  #G-11  -  office front stub 108 south (no tag, G by drawn thickness)</t>
  </si>
  <si>
    <t xml:space="preserve">G-11</t>
  </si>
  <si>
    <t xml:space="preserve">office front stub 108 south (no tag, G by drawn thickness)</t>
  </si>
  <si>
    <t xml:space="preserve">TYPE G1</t>
  </si>
  <si>
    <t xml:space="preserve">G1  #G1-01  -  Office 105 / 106 (printed 11'-9 1/4" A02.01)</t>
  </si>
  <si>
    <t xml:space="preserve">G1-01</t>
  </si>
  <si>
    <t xml:space="preserve">Office 105 / 106 (printed 11'-9 1/4" A02.01)</t>
  </si>
  <si>
    <t xml:space="preserve">A02.01 tag G1 -&gt; 5/A12.01 -&gt; 7/S5.20 (162S125-33 @ 16") -&gt; 1/A04.01 ceilings -&gt; S2.20 B.O.D. 15.375 -&gt; 8/A12.01, 9/A12.01 (2 layers to deck)</t>
  </si>
  <si>
    <t xml:space="preserve">G1  #G1-02  -  office front stub 109/110</t>
  </si>
  <si>
    <t xml:space="preserve">G1-02</t>
  </si>
  <si>
    <t xml:space="preserve">office front stub 109/110</t>
  </si>
  <si>
    <t xml:space="preserve">G1  #G1-03  -  office front stub 110 (no tag, G1 by drawn thickness)</t>
  </si>
  <si>
    <t xml:space="preserve">G1-03</t>
  </si>
  <si>
    <t xml:space="preserve">office front stub 110 (no tag, G1 by drawn thickness)</t>
  </si>
  <si>
    <t xml:space="preserve">TYPE A1K</t>
  </si>
  <si>
    <t xml:space="preserve">A1K  #A1K-01  -  Cash Window north teller wall</t>
  </si>
  <si>
    <t xml:space="preserve">A1K-01</t>
  </si>
  <si>
    <t xml:space="preserve">Cash Window north teller wall</t>
  </si>
  <si>
    <t xml:space="preserve">A02.01 tag A1K -&gt; 4/A12.01 -&gt; 7/S5.20 (362S137-68 14 GA @ 24") -&gt; 1/A04.01 ceilings -&gt; S2.20 B.O.D. 15.375</t>
  </si>
  <si>
    <t xml:space="preserve">A1K  #A1K-02  -  Cash Window south teller wall (stepped, 2 tags)</t>
  </si>
  <si>
    <t xml:space="preserve">A1K-02</t>
  </si>
  <si>
    <t xml:space="preserve">Cash Window south teller wall (stepped, 2 tags)</t>
  </si>
  <si>
    <t xml:space="preserve">A02.01 tag A1K -&gt; 4/A12.01 -&gt; 7/S5.20 (362S137-68 14 GA @ 24") -&gt; 1/A04.01 ceilings -&gt; S2.20 B.O.D. 13.052</t>
  </si>
  <si>
    <t xml:space="preserve">TYPE B2K</t>
  </si>
  <si>
    <t xml:space="preserve">B2K  #B2K-01  -  Cash Window NW corner (tag B2K, no schedule row)</t>
  </si>
  <si>
    <t xml:space="preserve">B2K-01</t>
  </si>
  <si>
    <t xml:space="preserve">Cash Window NW corner (tag B2K, no schedule row)</t>
  </si>
  <si>
    <t xml:space="preserve">A02.01 tag B2K -&gt; 4/A12.01 -&gt; 7/S5.20 (600S137-68 14 GA @ 24") -&gt; 1/A04.01 ceilings -&gt; S2.20 B.O.D. 15.375</t>
  </si>
  <si>
    <t xml:space="preserve">TYPE F</t>
  </si>
  <si>
    <t xml:space="preserve">F  #F-01  -  24 HR Vestibule / ATM Room diagonal wall (ATM opening R.O. PENDING)</t>
  </si>
  <si>
    <t xml:space="preserve">F-01</t>
  </si>
  <si>
    <t xml:space="preserve">24 HR Vestibule / ATM Room diagonal wall (ATM opening R.O. PENDING)</t>
  </si>
  <si>
    <t xml:space="preserve">A02.01 tag F -&gt; 12/A12.01 -&gt; 7/S5.20 (362S137-33 @ 16") -&gt; 1/A04.01 ceilings -&gt; S2.20 B.O.D. 15.375 -&gt; 1/A08.11 (ATM)</t>
  </si>
  <si>
    <t xml:space="preserve">TYPE C1</t>
  </si>
  <si>
    <t xml:space="preserve">C1  #C1-01  -  85" monitor box at Calling Cubes north (key note 7)</t>
  </si>
  <si>
    <t xml:space="preserve">C1-01</t>
  </si>
  <si>
    <t xml:space="preserve">85" monitor box at Calling Cubes north (key note 7)</t>
  </si>
  <si>
    <t xml:space="preserve">A02.01 tag C1 -&gt; 6/A12.01 -&gt; 7/S5.20 (362S137-33 @ 16") -&gt; 1/A04.01 ceilings -&gt; S2.20 B.O.D. 15.375</t>
  </si>
  <si>
    <t xml:space="preserve">C1  #C1-02  -  plumbing chase, Women 114 face</t>
  </si>
  <si>
    <t xml:space="preserve">C1-02</t>
  </si>
  <si>
    <t xml:space="preserve">plumbing chase, Women 114 face</t>
  </si>
  <si>
    <t xml:space="preserve">A02.01 tag C1 -&gt; 6/A12.01 -&gt; 7/S5.20 (362S137-33 @ 16") -&gt; 1/A04.01 ceilings -&gt; S2.20 B.O.D. 13.052</t>
  </si>
  <si>
    <t xml:space="preserve">C1  #C1-03  -  plumbing chase, Men 113 face</t>
  </si>
  <si>
    <t xml:space="preserve">C1-03</t>
  </si>
  <si>
    <t xml:space="preserve">plumbing chase, Men 113 face</t>
  </si>
  <si>
    <t xml:space="preserve">C1  #C1-04  -  Future FCAM recess box</t>
  </si>
  <si>
    <t xml:space="preserve">C1-04</t>
  </si>
  <si>
    <t xml:space="preserve">Future FCAM recess box</t>
  </si>
  <si>
    <t xml:space="preserve">C1  #C1-05  -  4 column enclosures at vestibules (exposed perimeter, DERIVADO)</t>
  </si>
  <si>
    <t xml:space="preserve">C1-05</t>
  </si>
  <si>
    <t xml:space="preserve">4 column enclosures at vestibules (exposed perimeter, DERIVADO)</t>
  </si>
  <si>
    <t xml:space="preserve">TYPE BULKHEAD</t>
  </si>
  <si>
    <t xml:space="preserve">BULKHEAD  #BH-01  -  Office 105 office front (DFC-1A, Div 08) - bulkhead above</t>
  </si>
  <si>
    <t xml:space="preserve">BH-01</t>
  </si>
  <si>
    <t xml:space="preserve">Office 105 office front (DFC-1A, Div 08) - bulkhead above</t>
  </si>
  <si>
    <t xml:space="preserve">A02.01 office front DFC-1A -&gt; 9/A12.01, 8/A12.01 (CONT. BOX BEAM, 2 LAYERS TO UNDERSIDE OF DECK) -&gt; 2/A11.04 elevation (office front 8'-0") -&gt; S2.20 B.O.D.</t>
  </si>
  <si>
    <t xml:space="preserve">BULKHEAD  #BH-02  -  Office 106 office front (DFC-1A, Div 08) - bulkhead above</t>
  </si>
  <si>
    <t xml:space="preserve">BH-02</t>
  </si>
  <si>
    <t xml:space="preserve">Office 106 office front (DFC-1A, Div 08) - bulkhead above</t>
  </si>
  <si>
    <t xml:space="preserve">BULKHEAD  #BH-03  -  Office 107 office front (DFC-1A, Div 08) - bulkhead above</t>
  </si>
  <si>
    <t xml:space="preserve">BH-03</t>
  </si>
  <si>
    <t xml:space="preserve">Office 107 office front (DFC-1A, Div 08) - bulkhead above</t>
  </si>
  <si>
    <t xml:space="preserve">BULKHEAD  #BH-04  -  Office 108 office front (DFC-1A, Div 08) - bulkhead above</t>
  </si>
  <si>
    <t xml:space="preserve">BH-04</t>
  </si>
  <si>
    <t xml:space="preserve">Office 108 office front (DFC-1A, Div 08) - bulkhead above</t>
  </si>
  <si>
    <t xml:space="preserve">BULKHEAD  #BH-05  -  Office 109 office front (DFC-1A, Div 08) - bulkhead above</t>
  </si>
  <si>
    <t xml:space="preserve">BH-05</t>
  </si>
  <si>
    <t xml:space="preserve">Office 109 office front (DFC-1A, Div 08) - bulkhead above</t>
  </si>
  <si>
    <t xml:space="preserve">BULKHEAD  #BH-06  -  Office 110 office front (DFC-1A, Div 08) - bulkhead above</t>
  </si>
  <si>
    <t xml:space="preserve">BH-06</t>
  </si>
  <si>
    <t xml:space="preserve">Office 110 office front (DFC-1A, Div 08) - bulkhead above</t>
  </si>
  <si>
    <t xml:space="preserve">BULKHEAD  #BH-07  -  24 HR Vestibule storefront 103 (13'-4" R.O., 13'-6" high) - framing above</t>
  </si>
  <si>
    <t xml:space="preserve">BH-07</t>
  </si>
  <si>
    <t xml:space="preserve">24 HR Vestibule storefront 103 (13'-4" R.O., 13'-6" high) - framing above</t>
  </si>
  <si>
    <t xml:space="preserve">A02.01 13'-4" R.O. -&gt; A00.30 door 103 (13'-6") -&gt; 7/S5.20 header schedule -&gt; S2.20 B.O.D.</t>
  </si>
  <si>
    <t xml:space="preserve">TYPE EXTERIOR</t>
  </si>
  <si>
    <t xml:space="preserve">EXTERIOR  #N-1  -  NORTH (plan top; sheet label "SOUTH ELEVATION" 1/A09.01) - vestibule 100 piers 2 x 2'-6 3/4"</t>
  </si>
  <si>
    <t xml:space="preserve">N-1</t>
  </si>
  <si>
    <t xml:space="preserve">NORTH (plan top; sheet label "SOUTH ELEVATION" 1/A09.01) - vestibule 100 piers 2 x 2'-6 3/4"</t>
  </si>
  <si>
    <t xml:space="preserve">A02.01 -&gt; C/A09.21 (T/STUD 19.667) -&gt; 5/A09.26, 7/A09.26, 4/A09.26, 2/A09.26 -&gt; 11/S5.10 parapet infill -&gt; 7/S5.20 600S137-33 @16" -&gt; S2.20 B.O.D. 15.375</t>
  </si>
  <si>
    <t xml:space="preserve">EXTERIOR  #N-2  -  NORTH - over vestibule storefront 12'-6 3/4" (Div 08), from T/GLAZING 8'-6"</t>
  </si>
  <si>
    <t xml:space="preserve">N-2</t>
  </si>
  <si>
    <t xml:space="preserve">NORTH - over vestibule storefront 12'-6 3/4" (Div 08), from T/GLAZING 8'-6"</t>
  </si>
  <si>
    <t xml:space="preserve">EXTERIOR  #N-3  -  NORTH - over central zone storefront 26'-3" (Div 08), from T/GLAZING 8'-6"</t>
  </si>
  <si>
    <t xml:space="preserve">N-3</t>
  </si>
  <si>
    <t xml:space="preserve">NORTH - over central zone storefront 26'-3" (Div 08), from T/GLAZING 8'-6"</t>
  </si>
  <si>
    <t xml:space="preserve">A02.01 -&gt; C/A09.21 (T/STUD 17.417) -&gt; 5/A09.26, 7/A09.26, 4/A09.26, 2/A09.26 -&gt; 11/S5.10 parapet infill -&gt; 7/S5.20 600S137-33 @16" -&gt; S2.20 B.O.D. 15.375</t>
  </si>
  <si>
    <t xml:space="preserve">EXTERIOR  #N-4  -  NORTH - Office 105 north wall</t>
  </si>
  <si>
    <t xml:space="preserve">N-4</t>
  </si>
  <si>
    <t xml:space="preserve">NORTH - Office 105 north wall</t>
  </si>
  <si>
    <t xml:space="preserve">EXTERIOR  #E-1N  -  EAST - grid F to grid B (offices 105-108, cash window)</t>
  </si>
  <si>
    <t xml:space="preserve">E-1N</t>
  </si>
  <si>
    <t xml:space="preserve">EAST - grid F to grid B (offices 105-108, cash window)</t>
  </si>
  <si>
    <t xml:space="preserve">EXTERIOR  #E-1S  -  EAST - grid B to grid A (cash window, work room)</t>
  </si>
  <si>
    <t xml:space="preserve">E-1S</t>
  </si>
  <si>
    <t xml:space="preserve">EAST - grid B to grid A (cash window, work room)</t>
  </si>
  <si>
    <t xml:space="preserve">A02.01 -&gt; C/A09.21 (T/STUD 17.417) -&gt; 5/A09.26, 7/A09.26, 4/A09.26, 2/A09.26 -&gt; 11/S5.10 parapet infill -&gt; 7/S5.20 600S137-33 @16" -&gt; S2.20 B.O.D. 13.052</t>
  </si>
  <si>
    <t xml:space="preserve">EXTERIOR  #S-1  -  SOUTH (plan bottom; sheet label "NORTH ELEVATION" 2/A09.02) - grid 2 to grid 8 incl. door 123</t>
  </si>
  <si>
    <t xml:space="preserve">S-1</t>
  </si>
  <si>
    <t xml:space="preserve">SOUTH (plan bottom; sheet label "NORTH ELEVATION" 2/A09.02) - grid 2 to grid 8 incl. door 123</t>
  </si>
  <si>
    <t xml:space="preserve">A02.01 -&gt; C/A09.21 (T/STUD 17.417) -&gt; 5/A09.26, 7/A09.26, 4/A09.26, 2/A09.26 -&gt; 11/S5.10 parapet infill -&gt; 7/S5.20 600S137-33 @16" -&gt; S2.20 B.O.D. 12.531</t>
  </si>
  <si>
    <t xml:space="preserve">EXTERIOR  #W-1  -  WEST - over vestibule 100 west storefront (Div 08), from T/GLAZING 8'-6"</t>
  </si>
  <si>
    <t xml:space="preserve">W-1</t>
  </si>
  <si>
    <t xml:space="preserve">WEST - over vestibule 100 west storefront (Div 08), from T/GLAZING 8'-6"</t>
  </si>
  <si>
    <t xml:space="preserve">EXTERIOR  #W-2  -  WEST - 24 HR vestibule 101 + ATM room 102 west (DAY 1 ATM opening R.O. PENDING)</t>
  </si>
  <si>
    <t xml:space="preserve">W-2</t>
  </si>
  <si>
    <t xml:space="preserve">WEST - 24 HR vestibule 101 + ATM room 102 west (DAY 1 ATM opening R.O. PENDING)</t>
  </si>
  <si>
    <t xml:space="preserve">EXTERIOR  #W-3  -  WEST - Offices 109/110 west</t>
  </si>
  <si>
    <t xml:space="preserve">W-3</t>
  </si>
  <si>
    <t xml:space="preserve">WEST - Offices 109/110 west</t>
  </si>
  <si>
    <t xml:space="preserve">EXTERIOR  #W-4  -  WEST - Restrooms / Janitor / Wellness west</t>
  </si>
  <si>
    <t xml:space="preserve">W-4</t>
  </si>
  <si>
    <t xml:space="preserve">WEST - Restrooms / Janitor / Wellness west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</si>
  <si>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</si>
  <si>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</si>
  <si>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</si>
  <si>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</si>
  <si>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</si>
  <si>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</si>
  <si>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</si>
  <si>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</si>
  <si>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</si>
  <si>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</si>
  <si>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</si>
  <si>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</si>
  <si>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1-5/8" bottom track 162T125-33</t>
  </si>
  <si>
    <t xml:space="preserve">LF</t>
  </si>
  <si>
    <t xml:space="preserve">stick 10 ft</t>
  </si>
  <si>
    <t xml:space="preserve">5/A12.01; 9/A12.01 || G-01=23.26 | G-02=23.26 | G-03=23.26 | G-04=23.54 | G-05=23.54 | G-06=23.54 | G-07=6.94 | G-08=6.5 | G-09=6.5 | G-10=4.84 | G-11=1.94 | G1-01=23.54 | G1-02=5.34 | G1-03=5.34 | BH 105 2 rows on box beam=15.0 | BH 106 2 rows on box beam=15.0 | BH 107 2 rows on box beam=15.0 | BH 108 2 rows on box beam=15.0 | BH 109 2 rows on box beam=15.0 | BH 110 2 rows on box beam=15.0</t>
  </si>
  <si>
    <t xml:space="preserve">1-5/8" metal stud 162S125-33</t>
  </si>
  <si>
    <t xml:space="preserve">stick 20 ft</t>
  </si>
  <si>
    <t xml:space="preserve">5/A12.01; 9/A12.01 || G-01: (20 field+4 ends+0 jamb) x 15.375 + cripples 0=369.0 | G-02: (20 field+4 ends+0 jamb) x 15.375 + cripples 0=369.0 | G-03: (20 field+4 ends+0 jamb) x 15.375 + cripples 0=369.0 | G-04: (20 field+4 ends+0 jamb) x 15.375 + cripples 0=369.0 | G-05: (20 field+4 ends+0 jamb) x 15.375 + cripples 0=369.0 | G-06: (20 field+4 ends+0 jamb) x 15.375 + cripples 0=369.0 | G-07: (8 field+4 ends+0 jamb) x 15.375 + cripples 0=184.5 | G-08: (8 field+4 ends+0 jamb) x 15.375 + cripples 0=184.5 | G-09: (8 field+4 ends+0 jamb) x 15.375 + cripples 0=184.5 | G-10: (6 field+4 ends+0 jamb) x 15.375 + cripples 0=153.75 | G-11: (4 field+4 ends+0 jamb) x 15.375 + cripples 0=123.0 | G1-01: (20 field+4 ends+0 jamb) x 15.375 + cripples 0=369.0 | G1-02: (8 field+4 ends+0 jamb) x 15.375 + cripples 0=184.5 | G1-03: (8 field+4 ends+0 jamb) x 15.375 + cripples 0=184.5 | BH office 105: 14 studs (2 rows) x 7.375=103.25 | BH office 106: 14 studs (2 rows) x 7.375=103.25 | BH office 107: 14 studs (2 rows) x 7.375=103.25 | BH office 108: 14 studs (2 rows) x 7.375=103.25 | BH office 109: 14 studs (2 rows) x 7.375=103.25 | BH office 110: 14 studs (2 rows) x 7.375=103.25</t>
  </si>
  <si>
    <t xml:space="preserve">1-5/8" top slip / deflection track 162T125-33 (designation not scheduled - RFI-02)</t>
  </si>
  <si>
    <t xml:space="preserve">5/A12.01; 9/A12.01 || G-01=23.26 | G-02=23.26 | G-03=23.26 | G-04=23.54 | G-05=23.54 | G-06=23.54 | G-07=6.94 | G-08=6.5 | G-09=6.5 | G-10=4.84 | G-11=1.94 | G1-01=23.54 | G1-02=5.34 | G1-03=5.34 | BH 105 CONT. SLIP TRACK 2 rows=15.0 | BH 106 CONT. SLIP TRACK 2 rows=15.0 | BH 107 CONT. SLIP TRACK 2 rows=15.0 | BH 108 CONT. SLIP TRACK 2 rows=15.0 | BH 109 CONT. SLIP TRACK 2 rows=15.0 | BH 110 CONT. SLIP TRACK 2 rows=15.0</t>
  </si>
  <si>
    <t xml:space="preserve">3-5/8" bottom track 362T125-33</t>
  </si>
  <si>
    <t xml:space="preserve">1/A12.01; 12/A12.01; 3/A12.01; 6/A12.01; A00.30 || A1-01=17.02 | A1-02=3.53 | A1-03=4.6 | A1-04=15.62 | A1-05=2.14 | A1-06=1.54 | A1-07=17.19 | A1-08=1.67 | A1-09=8.34 | A1-10=4.89 | B-01=8.4 | B-02=3.5 | B-03=11.73 | B-04=9.99 | B-05=9.58 | B-06=7.48 | F-01=18.48 | C1-01=11.33 | C1-02=10.03 | C1-03=10.03 | C1-04=3.41 | C1-05=18.6 | BH-07 on header=13.33</t>
  </si>
  <si>
    <t xml:space="preserve">3-5/8" bottom track 362T125-33 (14 GA: 68 mil per 4/A12.01)</t>
  </si>
  <si>
    <t xml:space="preserve">4/A12.01 || A1K-01=3.41 | A1K-02=5.18</t>
  </si>
  <si>
    <t xml:space="preserve">3-5/8" canopy fascia track 362T125-33 (top + bottom, soffit)</t>
  </si>
  <si>
    <t xml:space="preserve">7/A09.26 || 2 x fascia=480.82</t>
  </si>
  <si>
    <t xml:space="preserve">3-5/8" metal stud 362S137-33</t>
  </si>
  <si>
    <t xml:space="preserve">1/A12.01; 10/A09.33; 12/A12.01; 3/A12.01; 6/A12.01; 7/A09.33; A00.30 || A1-01: (14 field+2 ends+0 jamb) x 15.375 + cripples 0=246.0 | A1-02: (4 field+2 ends+0 jamb) x 15.375 + cripples 0=92.25 | A1-03: (5 field+2 ends+0 jamb) x 15.375 + cripples 0=107.62 | A1-04: (13 field+2 ends+0 jamb) x 13.052 + cripples 0=195.78 | A1-05: (3 field+2 ends+0 jamb) x 13.052 + cripples 0=65.26 | A1-06: (5 field+2 ends+4 jamb) x 13.052 + cripples 13.16=156.73 | A1-07: (17 field+2 ends+4 jamb) x 13.052 + cripples 16.16=316.35 | A1-08: (5 field+2 ends+4 jamb) x 15.375 + cripples 20.12=189.25 | A1-09: (10 field+2 ends+4 jamb) x 13.052 + cripples 16.16=224.99 | A1-10: (5 field+2 ends+0 jamb) x 13.052 + cripples 0=91.36 | B-01: (10 field+2 ends+4 jamb) x 13.052 + cripples 16.16=224.99 | B-02: (4 field+2 ends+0 jamb) x 13.052 + cripples 0=78.31 | B-03: (10 field+2 ends+0 jamb) x 13.052 + cripples 0=156.62 | B-04: (9 field+2 ends+0 jamb) x 13.052 + cripples 0=143.57 | B-05: (9 field+2 ends+0 jamb) x 13.052 + cripples 0=143.57 | B-06: (12 field+2 ends+8 jamb) x 13.052 + cripples 32.31=319.46 | F-01: (15 field+2 ends+0 jamb) x 15.375 + cripples 0=261.38 | C1-01: (10 field+2 ends+0 jamb) x 15.375 + cripples 0=184.5 | C1-02: (9 field+2 ends+0 jamb) x 13.052 + cripples 0=143.57 | C1-03: (9 field+2 ends+0 jamb) x 13.052 + cripples 0=143.57 | C1-04: (4 field+2 ends+0 jamb) x 13.052 + cripples 0=78.31 | C1-05: (15 field+2 ends+0 jamb) x 15.375 + cripples 0=261.38 | BH-07: 11 cripples x 1.875 + 4 jamb x 15.375</t>
  </si>
  <si>
    <t xml:space="preserve">3-5/8" metal stud 362S137-33 - canopy fascia framing</t>
  </si>
  <si>
    <t xml:space="preserve">7/A09.26 || 190 studs x (12'-7" - 10'-7 1/4")=376.04</t>
  </si>
  <si>
    <t xml:space="preserve">3-5/8" metal stud 362S137-33 - canopy soffit framing @ 16" O.C.</t>
  </si>
  <si>
    <t xml:space="preserve">5/A09.33 || CAN-1 1038.5x0.75=778.88 | CAN-2 232.7x0.75=174.52 | CAN-3 117.5x0.75=88.12 | CAN-4 54.5x0.75=40.88</t>
  </si>
  <si>
    <t xml:space="preserve">3-5/8" metal stud 362S137-68 14 GA</t>
  </si>
  <si>
    <t xml:space="preserve">4/A12.01 || A1K-01: (3 field+2 ends+0 jamb) x 15.375 + cripples 0=76.88 | A1K-02: (4 field+2 ends+0 jamb) x 13.052 + cripples 0=78.31</t>
  </si>
  <si>
    <t xml:space="preserve">3-5/8" top slip / deflection track 362T125-33 (14 GA: 68 mil per 4/A12.01) (designation not scheduled - RFI-02)</t>
  </si>
  <si>
    <t xml:space="preserve">3-5/8" top slip / deflection track 362T125-33 (designation not scheduled - RFI-02)</t>
  </si>
  <si>
    <t xml:space="preserve">1/A12.01; 3/A12.01; A00.30 || A1-01=17.02 | A1-02=3.53 | A1-03=4.6 | A1-04=15.62 | A1-05=2.14 | A1-06=4.87 | A1-07=20.52 | A1-08=5.0 | A1-09=11.67 | A1-10=4.89 | B-01=11.73 | B-02=3.5 | B-03=11.73 | B-04=9.99 | B-05=9.58 | B-06=14.15 | BH-07=13.33</t>
  </si>
  <si>
    <t xml:space="preserve">3-5/8" top track 362T125-33 (secured to structure)</t>
  </si>
  <si>
    <t xml:space="preserve">12/A12.01; 6/A12.01 || F-01=18.48 | C1-01=11.33 | C1-02=10.03 | C1-03=10.03 | C1-04=3.41 | C1-05=18.6</t>
  </si>
  <si>
    <t xml:space="preserve">3/4" FRT plywood (partition F public side, to deck)</t>
  </si>
  <si>
    <t xml:space="preserve">SF</t>
  </si>
  <si>
    <t xml:space="preserve">4x12 ft sheet (Inputs)</t>
  </si>
  <si>
    <t xml:space="preserve">12/A12.01 || F-01 18.48x15.375=284.13</t>
  </si>
  <si>
    <t xml:space="preserve">3/4" FRT plywood backboard (Electrical 120 + NER 121, key note 6)</t>
  </si>
  <si>
    <t xml:space="preserve">A02.01 || 6 sheets 4x8 allowance - RFI-11=192</t>
  </si>
  <si>
    <t xml:space="preserve">3/8" UL752 Level-2 ballistic fiberglass panel (NIJ II) to 8'-0"</t>
  </si>
  <si>
    <t xml:space="preserve">4/A12.01 || A1K-01 3.41x8.0=27.28 | A1K-02 5.18x8.0=41.44 | B2K-01 2.2x8.0=17.6</t>
  </si>
  <si>
    <t xml:space="preserve">3/8" gyp board above ballistic panel (8'-0" to structure)</t>
  </si>
  <si>
    <t xml:space="preserve">4/A12.01 || A1K-01 3.41x7.375=25.15 | A1K-02 5.18x5.052=26.17 | B2K-01 2.2x7.375=16.23</t>
  </si>
  <si>
    <t xml:space="preserve">5/8" FRT plywood bonded to 2-1/2" polyiso (exterior sheathing/insulation system)</t>
  </si>
  <si>
    <t xml:space="preserve">C/A09.21 || EXT N-1 slab to T/STUD minus canopy band=100.5 | EXT N-2 slab to T/STUD minus canopy band=140.25 | EXT N-3 slab to T/STUD minus canopy band=234.06 | EXT N-4 slab to T/STUD minus canopy band=237.04 | EXT E-1N slab to T/STUD minus canopy band=831.91 | EXT E-1S slab to T/STUD minus canopy band=449.7 | EXT S-1 slab to T/STUD minus canopy band=910.75 | EXT W-1 slab to T/STUD minus canopy band=72.58 | EXT W-2 slab to T/STUD minus canopy band=412.02 | EXT W-3 slab to T/STUD minus canopy band=369.63 | EXT W-4 slab to T/STUD minus canopy band=433.15</t>
  </si>
  <si>
    <t xml:space="preserve">5/8" ext. grade FRT plywood - canopy fascia</t>
  </si>
  <si>
    <t xml:space="preserve">7/A09.26 || 240.41 x 2.0=480.82</t>
  </si>
  <si>
    <t xml:space="preserve">5/8" ext. grade FRT plywood - canopy soffit (PT-4 plaster not in this scope)</t>
  </si>
  <si>
    <t xml:space="preserve">7/A09.26 || CAN-1 Drive-up canopy (grids 1-2) soffit=1038.5 | CAN-2 North canopy strip soffit=232.7 | CAN-3 East canopy strip soffit=117.5 | CAN-4 South canopy at door 123 soffit=54.5</t>
  </si>
  <si>
    <t xml:space="preserve">5/8" exterior gypsum sheathing - parapet roof side</t>
  </si>
  <si>
    <t xml:space="preserve">C/A09.21 || EXT N-1 5.11 x (T.O. parapet - deck)=23.63 | EXT N-2 12.56 x (T.O. parapet - deck)=58.09 | EXT N-3 26.25 x (T.O. parapet - deck)=62.34 | EXT N-4 13.61 x (T.O. parapet - deck)=32.32 | EXT E-1N 51.44 x (T.O. parapet - deck)=122.17 | EXT E-1S 25.82 x (T.O. parapet - deck)=121.3 | EXT S-1 53.67 x (T.O. parapet - deck)=280.1 | EXT W-1 6.5 x (T.O. parapet - deck)=30.06 | EXT W-2 20.95 x (T.O. parapet - deck)=96.89 | EXT W-3 23.06 x (T.O. parapet - deck)=54.77 | EXT W-4 24.87 x (T.O. parapet - deck)=116.84</t>
  </si>
  <si>
    <t xml:space="preserve">5/8" glass mat sheathing on exterior face of studs (slab to B.O.D.)</t>
  </si>
  <si>
    <t xml:space="preserve">7/A09.26 || EXT N-1 canopy band=78.57 | EXT N-2 canopy band=86.35 | EXT N-3 canopy band=180.47 | EXT N-4 canopy band=209.25 | EXT E-1N canopy band=790.89 | EXT E-1S canopy band=337.0 | EXT S-1 canopy band=672.54 | EXT W-1 canopy band=44.69 | EXT W-2 canopy band=322.11 | EXT W-3 canopy band=354.55 | EXT W-4 canopy band=324.6</t>
  </si>
  <si>
    <t xml:space="preserve">5/8" gyp board - ceilings &amp; soffits</t>
  </si>
  <si>
    <t xml:space="preserve">1/A04.01; 10/A09.33; 7/A09.33 || C-01 Vestibule 100 128.1 SF=128.1 | C-02 24 HR Vestibule 101 149.5 SF=149.5 | C-03 Waiting 104 510.6 SF=510.6 | C-04 Women 114 82.4 SF=82.4 | C-05 Men 113 82.4 SF=82.4 | C-03 transition 77.02 LF x 0.5=38.51 | SOF-01 CSR soffit bottom 3.42x12.67 + 2 faces x 1.5=81.34</t>
  </si>
  <si>
    <t xml:space="preserve">5/8" gyp board regular - walls</t>
  </si>
  <si>
    <t xml:space="preserve">1/A12.01; 12/A12.01; 2/A09.26; 3/A12.01; 4/A12.01; 5/A12.01; 6/A12.01; 9/A12.01; C/A09.21 || A1-01 [Central Zone 103] 17.02x12.0x1=204.24 | A1-01 [Calling Cubes 122] 17.02x9.0x1=153.18 | A1-02 [MW01 alcove / Central Zone] 3.53x12.0x1=42.36 | A1-02 [Calling Cubes 122] 3.53x9.0x1=31.77 | A1-03 [Central Zone 103] 4.6x12.0x1=55.2 | A1-03 [Calling Cubes / MW07] 4.6x9.0x1=41.4 | A1-04 [Calling Cubes 122] 15.62x9.0x1=140.58 | A1-04 [Break Room 118] 15.62x9.0x1=140.58 | A1-05 [Break Room 118] 2.14x9.0x1=19.26 | A1-05 [Vestibule 118A] 2.14x9.5x1=20.33 | A1-06 [Central side] 4.87x9.5x1=19.6 | A1-06 [Vestibule 118A] 4.87x9.5x1=19.6 | A1-07 [Corridor 111] 20.52x9.0x1=161.35 | A1-07 [Break Rm 3.33ft / Electrical 120 + NER 121 (open to structure)] 20.52x13.052x1=210.87 | A1-08 [Corridor 111] 5.0x9.0x1=18.33 | A1-08 [Central Zone 103] 5.0x12.0x1=33.33 | A1-09 [Work Room 119] 11.67x9.0x1=81.7 | A1-09 [Cash Window 116 area] 11.67x9.5x1=87.53 | A5-01N [Calling Cubes 122] 15.48x9.0x1=139.32 | A5-01N [Central Zone 103] 15.48x12.0x1=185.76 | A5-01S [Calling Cubes 122] 3.93x9.0x1=35.37 | A5-01S [Vestibule 118A] 3.93x9.5x1=37.34 | A5-02 [Central Zone 103] 10.59x12.0x1=127.08 | A5-02 [Calling Cubes / MW07] 10.59x9.0x1=95.31 | A5-03 [Corridor 111] 4.47x9.0x1=16.9 | A5-03 [Calling Cubes 122] 4.47x9.0x1=16.9 | A5-04 [Vestibule 118A] 3.71x9.5x1=35.24 | A5-04 [Future FCAM] 3.71x9.5x1=35.24 | B-01 [Men 113 / Janitor 112] 11.73x13.052x1=129.77 | B-01 [Janitor 112 / Storage 117] 11.73x13.052x1=129.77 | B-02</t>
  </si>
  <si>
    <t xml:space="preserve">5/8" moisture resistant gyp board - wet walls</t>
  </si>
  <si>
    <t xml:space="preserve">F/A08.01 || A1-10 [Restrooms 113/114 (MR)] 4.89x9.0x1=44.01 | A1-10 [Lavatory alcove (MR)] 4.89x9.0x1=44.01 | C1-02 [Women 114 (MR)] 10.03x9.0x1=90.27 | C1-03 [Men 113 (MR)] 10.03x9.0x1=90.27</t>
  </si>
  <si>
    <t xml:space="preserve">6" bottom track 600T125-33</t>
  </si>
  <si>
    <t xml:space="preserve">1/A12.01; 3/A12.01; 7/S5.20 || A5-01N=15.48 | A5-01S=3.93 | A5-02=10.59 | A5-03=1.14 | A5-04=3.71 | B2-01=1.83 | B2-02=2.2 | B2-03=2.18 | B2-04=3.98 | B2-05=11.74 | EXT N-1=5.11 | EXT N-2=12.56 | EXT N-3=26.25 | EXT N-4=13.61 | EXT E-1N=51.44 | EXT E-1S=25.82 | EXT S-1=50.34 | EXT W-1=6.5 | EXT W-2=20.95 | EXT W-3=23.06 | EXT W-4=24.87</t>
  </si>
  <si>
    <t xml:space="preserve">6" bottom track 600T125-33 (14 GA: 68 mil per 4/A12.01)</t>
  </si>
  <si>
    <t xml:space="preserve">4/A12.01 || B2K-01=2.2</t>
  </si>
  <si>
    <t xml:space="preserve">6" metal stud 600S137-33</t>
  </si>
  <si>
    <t xml:space="preserve">1/A12.01; 3/A12.01; 7/S5.20 || A5-01N: (13 field+2 ends+0 jamb) x 15.375 + cripples 0=230.62 | A5-01S: (4 field+2 ends+0 jamb) x 13.052 + cripples 0=78.31 | A5-02: (9 field+2 ends+0 jamb) x 15.375 + cripples 0=169.12 | A5-03: (5 field+2 ends+4 jamb) x 13.052 + cripples 16.16=159.73 | A5-04: (4 field+2 ends+0 jamb) x 13.052 + cripples 0=78.31 | B2-01: (6 field+2 ends+4 jamb) x 15.375 + cripples 20.12=204.62 | B2-02: (6 field+2 ends+4 jamb) x 13.052 + cripples 16.16=172.78 | B2-03: (6 field+2 ends+4 jamb) x 13.052 + cripples 16.16=172.78 | B2-04: (9 field+2 ends+8 jamb) x 13.052 + cripples 32.31=280.3 | B2-05: (13 field+2 ends+4 jamb) x 13.052 + cripples 16.16=264.14 | EXT N-1 (NORTH): 7 studs to deck 15.375 (+cripples)=107.63 | EXT N-2 (NORTH): 13 studs to deck 15.375 (+cripples)=82.88 | EXT N-3 (NORTH): 23 studs to deck 15.375 (+cripples)=146.62 | EXT N-4 (NORTH): 14 studs to deck 15.375 (+cripples)=215.25 | EXT E-1N (EAST): 58 studs to deck 15.375 (+cripples)=1252.25 | EXT E-1S (EAST): 23 studs to deck 13.052 (+cripples)=300.2 | EXT S-1 (SOUTH): 48 studs to deck 12.531 (+cripples)=613.58 | EXT W-1 (WEST): 8 studs to deck 15.375 (+cripples)=51.0 | EXT W-2 (WEST): 19 studs to deck 15.375 (+cripples)=292.12 | EXT W-3 (WEST): 29 studs to deck 15.375 (+cripples)=626.12 | EXT W-4 (WEST): 22 studs to deck 13.052 (+cripples)=287.14</t>
  </si>
  <si>
    <t xml:space="preserve">6" metal stud 600S137-68 14 GA</t>
  </si>
  <si>
    <t xml:space="preserve">4/A12.01 || B2K-01: (3 field+2 ends+0 jamb) x 15.375 + cripples 0=76.88</t>
  </si>
  <si>
    <t xml:space="preserve">6" parapet infill track 600T125-54 (top &amp; bottom)</t>
  </si>
  <si>
    <t xml:space="preserve">11/S5.10 || EXT N-1 2 x 5.11=10.22 | EXT N-2 2 x 12.56=25.12 | EXT N-3 2 x 26.25=52.5 | EXT N-4 2 x 13.61=27.22 | EXT E-1N 2 x 51.44=102.88 | EXT E-1S 2 x 25.82=51.64 | EXT S-1 2 x 53.67=107.34 | EXT W-1 2 x 6.5=13.0 | EXT W-2 2 x 20.95=41.9 | EXT W-3 2 x 23.06=46.12 | EXT W-4 2 x 24.87=49.74</t>
  </si>
  <si>
    <t xml:space="preserve">6" parapet stud 600S162-54 @ 16" (parapet infill, deck to T/STUD)</t>
  </si>
  <si>
    <t xml:space="preserve">11/S5.10 || EXT N-1: 7 x (19.667-15.375)=30.04 | EXT N-2: 13 x (19.667-15.375)=55.79 | EXT N-3: 23 x (17.417-15.375)=46.96 | EXT N-4: 14 x (17.417-15.375)=28.58 | EXT E-1N: 42 x (17.417-15.375)=85.75 | EXT E-1S: 23 x (17.417-13.052)=100.39 | EXT S-1: 44 x (17.417-12.531)=214.97 | EXT W-1: 8 x (19.667-15.375)=34.33 | EXT W-2: 19 x (19.667-15.375)=81.54 | EXT W-3: 21 x (17.417-15.375)=42.88 | EXT W-4: 22 x (17.417-13.052)=96.02</t>
  </si>
  <si>
    <t xml:space="preserve">6" top deflection track 600T200-97 at B.O.D. (exterior, per schedule)</t>
  </si>
  <si>
    <t xml:space="preserve">7/S5.20 || EXT N-1 (6/S5.10 deflection at beam)=5.11 | EXT N-2 (6/S5.10 deflection at beam)=12.56 | EXT N-3 (6/S5.10 deflection at beam)=26.25 | EXT N-4 (6/S5.10 deflection at beam)=13.61 | EXT E-1N (6/S5.10 deflection at beam)=51.44 | EXT E-1S (6/S5.10 deflection at beam)=25.82 | EXT S-1 (6/S5.10 deflection at beam)=53.67 | EXT W-1 (6/S5.10 deflection at beam)=6.5 | EXT W-2 (6/S5.10 deflection at beam)=20.95 | EXT W-3 (6/S5.10 deflection at beam)=23.06 | EXT W-4 (6/S5.10 deflection at beam)=24.87</t>
  </si>
  <si>
    <t xml:space="preserve">6" top slip / deflection track 600T125-33 (14 GA: 68 mil per 4/A12.01) (designation not scheduled - RFI-02)</t>
  </si>
  <si>
    <t xml:space="preserve">6" top slip / deflection track 600T125-33 (designation not scheduled - RFI-02)</t>
  </si>
  <si>
    <t xml:space="preserve">1/A12.01; 3/A12.01 || A5-01N=15.48 | A5-01S=3.93 | A5-02=10.59 | A5-03=4.47 | A5-04=3.71 | B2-01=5.66 | B2-02=5.53 | B2-03=5.51 | B2-04=10.65 | B2-05=15.07</t>
  </si>
  <si>
    <t xml:space="preserve">FRP panel WC-3 at janitor mop sink (allowance)</t>
  </si>
  <si>
    <t xml:space="preserve">5/A08.01 || 2 walls x 3.0 x 4.0 - RFI-16=24.0</t>
  </si>
  <si>
    <t xml:space="preserve">FRP panel WC-3 restrooms (5'-0" above 6" base)</t>
  </si>
  <si>
    <t xml:space="preserve">3/A08.01 || 2 restrooms x 34.5 LF x 5.0=345.0</t>
  </si>
  <si>
    <t xml:space="preserve">FRT blocking 3/4" plywood (FRTW for future, CSR soffit)</t>
  </si>
  <si>
    <t xml:space="preserve">10/A09.33 || SOF-01=12.67</t>
  </si>
  <si>
    <t xml:space="preserve">FRT blocking 3/4" plywood - 85" monitor</t>
  </si>
  <si>
    <t xml:space="preserve">13/A12.02 || 2 runs x 6.0=12.0</t>
  </si>
  <si>
    <t xml:space="preserve">FRT blocking 3/4" plywood - door wall stops</t>
  </si>
  <si>
    <t xml:space="preserve">A00.30 || 14 doors x 2'-0" (sheet note D)=28.0</t>
  </si>
  <si>
    <t xml:space="preserve">FRT blocking 3/4" plywood - millwork</t>
  </si>
  <si>
    <t xml:space="preserve">A12.03 || MW01 3.1 x 2 runs=6.2 | MW07 7.2 x 2 runs=14.4 | MW21 10.0 x 2 runs=20.0 | MW12 11.0 x 2 runs=22.0 | MW13 11.67 x 2 runs=23.34 | MW08 7.7 x 2 runs=15.4 | MW11 9.11 x 2 runs=18.22 | MW05 3.4 x 2 runs=6.8 | MW06A (x2) 6.8 x 2 runs=13.6 | MW18 4.0 x 2 runs=8.0</t>
  </si>
  <si>
    <t xml:space="preserve">FRT blocking 3/4" plywood - roof hatch ladder</t>
  </si>
  <si>
    <t xml:space="preserve">1/A04.01 || key note 9=4.0</t>
  </si>
  <si>
    <t xml:space="preserve">FRT blocking 3/4" plywood - toilet accessories</t>
  </si>
  <si>
    <t xml:space="preserve">E/A08.01 || 2 restrooms x 19.5 (TA-3 42", TA-4 36", TA-5 18", lav, mirror, dispensers)=39.0</t>
  </si>
  <si>
    <t xml:space="preserve">FRT blocking 3/4" plywood at parapet top</t>
  </si>
  <si>
    <t xml:space="preserve">6/A09.26 || EXT N-1=5.11 | EXT N-2=12.56 | EXT N-3=26.25 | EXT N-4=13.61 | EXT E-1N=51.44 | EXT E-1S=25.82 | EXT S-1=53.67 | EXT W-1=6.5 | EXT W-2=20.95 | EXT W-3=23.06 | EXT W-4=24.87</t>
  </si>
  <si>
    <t xml:space="preserve">FRT blocking 3/4" plywood under box beam</t>
  </si>
  <si>
    <t xml:space="preserve">9/A12.01 || BH 105=7.5 | BH 106=7.5 | BH 107=7.5 | BH 108=7.5 | BH 109=7.5 | BH 110=7.5</t>
  </si>
  <si>
    <t xml:space="preserve">Level 5 finish at WC-18 wall covering walls (SF)</t>
  </si>
  <si>
    <t xml:space="preserve">A00.40 || offices south walls 4x11.77 + 2x11.63 x 9.0=633.06</t>
  </si>
  <si>
    <t xml:space="preserve">acoustical sealant (per partition detail)</t>
  </si>
  <si>
    <t xml:space="preserve">1/A12.01; 3/A12.01; 4/A12.01; 5/A12.01; 9/A12.01 || A1-01 17.02x runs=34.04 | A1-02 3.53x runs=7.06 | A1-03 4.6x runs=9.2 | A1-04 15.62x runs=31.24 | A1-05 2.14x runs=4.28 | A1-06 4.87x runs=9.74 | A1-07 20.52x runs=41.04 | A1-08 5.0x runs=10.0 | A1-09 11.67x runs=23.34 | A1-10 4.89x runs=9.78 | A5-01N 15.48x runs=30.96 | A5-01S 3.93x runs=7.86 | A5-02 10.59x runs=21.18 | A5-03 4.47x runs=8.94 | A5-04 3.71x runs=7.42 | B-01 11.73x runs=46.92 | B-02 3.5x runs=14.0 | B-03 11.73x runs=46.92 | B-04 9.99x runs=39.96 | B-05 9.58x runs=38.32 | B-06 14.15x runs=56.6 | B2-01 5.66x runs=22.64 | B2-02 5.53x runs=22.12 | B2-03 5.51x runs=22.04 | B2-04 10.65x runs=42.6 | B2-05 15.07x runs=60.28 | G-01 11.63x runs=23.26 | G-02 11.63x runs=23.26 | G-03 11.63x runs=23.26 | G-04 11.77x runs=23.54 | G-05 11.77x runs=23.54 | G-06 11.77x runs=23.54 | G-07 3.47x runs=6.94 | G-08 3.25x runs=6.5 | G-09 3.25x runs=6.5 | G-10 2.42x runs=4.84 | G-11 0.97x runs=1.94 | G1-01 11.77x runs=23.54 | G1-02 2.67x runs=5.34 | G1-03 2.67x runs=5.34 | A1K-01 3.41x runs=13.64 | A1K-02 5.18x runs=20.72 | B2K-01 2.2x runs=8.8 | BH 105 top both sides=15.0 | BH 106 top both sides=15.0 | BH 107 top both sides=15.0 | BH 108 top both sides=15.0 | BH 109 top both sides=15.0 | BH 110 top both sides=15.0</t>
  </si>
  <si>
    <t xml:space="preserve">bracing 1-1/2" C.R. channel @ 48" O.C.</t>
  </si>
  <si>
    <t xml:space="preserve">16 ft length</t>
  </si>
  <si>
    <t xml:space="preserve">7/S5.20 || A1-01: 3 rows x 17.02=51.06 | A1-02: 3 rows x 3.53=10.59 | A1-03: 3 rows x 4.6=13.8 | A1-04: 3 rows x 15.62=46.86 | A1-05: 3 rows x 2.14=6.42 | A1-06: 3 rows x 4.87=14.61 | A1-07: 3 rows x 20.52=61.56 | A1-08: 3 rows x 5.0=15.0 | A1-09: 3 rows x 11.67=35.01 | A1-10: 3 rows x 4.89=14.67 | A5-01N: 3 rows x 15.48=46.44 | A5-01S: 3 rows x 3.93=11.79 | A5-02: 3 rows x 10.59=31.77 | A5-03: 3 rows x 4.47=13.41 | A5-04: 3 rows x 3.71=11.13 | B-01: 3 rows x 11.73=35.19 | B-02: 3 rows x 3.5=10.5 | B-03: 3 rows x 11.73=35.19 | B-04: 3 rows x 9.99=29.97 | B-05: 3 rows x 9.58=28.74 | B-06: 3 rows x 14.15=42.45 | B2-01: 3 rows x 5.66=16.98 | B2-02: 3 rows x 5.53=16.59 | B2-03: 3 rows x 5.51=16.53 | B2-04: 3 rows x 10.65=31.95 | B2-05: 3 rows x 15.07=45.21 | G-01: 3 rows x 11.63=69.78 | G-02: 3 rows x 11.63=69.78 | G-03: 3 rows x 11.63=69.78 | G-04: 3 rows x 11.77=70.62 | G-05: 3 rows x 11.77=70.62 | G-06: 3 rows x 11.77=70.62 | G-07: 3 rows x 3.47=20.82 | G-08: 3 rows x 3.25=19.5 | G-09: 3 rows x 3.25=19.5 | G-10: 3 rows x 2.42=14.52 | G-11: 3 rows x 0.97=5.82 | G1-01: 3 rows x 11.77=70.62 | G1-02: 3 rows x 2.67=16.02 | G1-03: 3 rows x 2.67=16.02 | A1K-01: 3 rows x 3.41=10.23 | A1K-02: 3 rows x 5.18=15.54 | B2K-01: 3 rows x 2.2=6.6 | F-01: 3 rows x 18.48=55.44 | C1-01: 3 rows x 11.33=33.99 | C1-02: 3 rows x 10.03=30.09 | C1-03: 3 rows x 10.03=30.09 | C1-04: 3 rows x 3.41=10.23 | C1-05: 3 rows x 18.6=55.8 | BH 105=15.0 | BH 106=15.0 | BH 107=15.0 | BH 108=15.0 | BH 109=15.0 | BH </t>
  </si>
  <si>
    <t xml:space="preserve">canopy soffit track (fascia + wall side)</t>
  </si>
  <si>
    <t xml:space="preserve">7/A09.26 || 2 x 240.41=480.82</t>
  </si>
  <si>
    <t xml:space="preserve">carrying channel 1-1/2" @ 48" O.C. (GB ceilings)</t>
  </si>
  <si>
    <t xml:space="preserve">1/A04.01 || C-01 128.1/4=32.02 | C-02 149.5/4=37.38 | C-03 510.6/4=127.65 | C-04 82.4/4=20.6 | C-05 82.4/4=20.6</t>
  </si>
  <si>
    <t xml:space="preserve">ceiling track - perimeter of GB ceilings</t>
  </si>
  <si>
    <t xml:space="preserve">1/A04.01 || C-01 perimeter=48.1 | C-02 perimeter=53.15 | C-03 perimeter=94.04 | C-04 perimeter=37.5 | C-05 perimeter=37.5</t>
  </si>
  <si>
    <t xml:space="preserve">framed opening for 2'x2' access panel (key note 4)</t>
  </si>
  <si>
    <t xml:space="preserve">1/A04.01 || C-01 vestibule 100=8.0</t>
  </si>
  <si>
    <t xml:space="preserve">framed opening for recessed canopy linear light</t>
  </si>
  <si>
    <t xml:space="preserve">4/A09.33; 5/A09.33 || drive-up canopy 4 runs x 49.2 x 2 sides=393.6 | north canopy strip 14 fixtures (A04.01 vector count) x 2 sides x 3.0=84.0</t>
  </si>
  <si>
    <t xml:space="preserve">framed opening for recessed fixture R-11 (12') in GB ceiling</t>
  </si>
  <si>
    <t xml:space="preserve">6/A09.33 || C-03 4 fixtures x 2 sides x 12=96.0</t>
  </si>
  <si>
    <t xml:space="preserve">framed opening for recessed toilet accessories (TA-2, TA-13, TA-14)</t>
  </si>
  <si>
    <t xml:space="preserve">1/A08.01 || 6 recessed units x 7 LF=42.0</t>
  </si>
  <si>
    <t xml:space="preserve">furring channel 7/8" @ 16" O.C. (GB ceilings)</t>
  </si>
  <si>
    <t xml:space="preserve">12 ft length</t>
  </si>
  <si>
    <t xml:space="preserve">1/A04.01 || C-01 128.1x0.75=96.07 | C-02 149.5x0.75=112.12 | C-03 510.6x0.75=382.95 | C-04 82.4x0.75=61.8 | C-05 82.4x0.75=61.8</t>
  </si>
  <si>
    <t xml:space="preserve">hanger wire 12 ga @ 48" x 48" (GB ceilings)</t>
  </si>
  <si>
    <t xml:space="preserve">LF (roll)</t>
  </si>
  <si>
    <t xml:space="preserve">3/A09.33 || C-01 8.0 hangers x 6.375=51.04 | C-02 9.3 hangers x 6.375=59.57 | C-03 31.9 hangers x 5.375=171.53 | C-04 5.2 hangers x 5.552=28.59 | C-05 5.2 hangers x 5.552=28.59</t>
  </si>
  <si>
    <t xml:space="preserve">header / box beam at exterior windows and door 123 (R.O. + 1'-4")</t>
  </si>
  <si>
    <t xml:space="preserve">7/S5.20 || EXT E-1N=38.0 | EXT S-1=4.67 | EXT W-3=19.0</t>
  </si>
  <si>
    <t xml:space="preserve">header / box beam at interior door openings (R.O. + 1'-4")</t>
  </si>
  <si>
    <t xml:space="preserve">10/A12.02 || A1-06 doors ['118A']=4.67 | A1-07 doors ['118B']=4.67 | A1-08 doors ['111']=4.67 | A1-09 doors ['119']=4.67 | A5-03 doors ['122']=4.67 | B-01 doors ['112']=4.67 | B-06 doors ['120', '121']=9.33 | B2-01 doors ['102']=5.17 | B2-02 doors ['114']=4.67 | B2-03 doors ['113']=4.67 | B2-04 doors ['117', '115']=9.33 | B2-05 doors ['116']=4.67</t>
  </si>
  <si>
    <t xml:space="preserve">header / box beam at office fronts (CONT. BOX BEAM, R.O. + 1'-4")</t>
  </si>
  <si>
    <t xml:space="preserve">9/A12.01 || BH 105 7.5+1.333=8.83 | BH 106 7.5+1.333=8.83 | BH 107 7.5+1.333=8.83 | BH 108 7.5+1.333=8.83 | BH 109 7.5+1.333=8.83 | BH 110 7.5+1.333=8.83</t>
  </si>
  <si>
    <t xml:space="preserve">header / box beam at storefront 103 (13'-4" R.O. + 1'-4"; span &gt; S5.20 schedule - RFI-08)</t>
  </si>
  <si>
    <t xml:space="preserve">7/S5.20 || BH-07=14.67</t>
  </si>
  <si>
    <t xml:space="preserve">metal trim - L-bead / J-bead (casing) at storefront head &amp; jamb returns</t>
  </si>
  <si>
    <t xml:space="preserve">10 ft length</t>
  </si>
  <si>
    <t xml:space="preserve">2/A09.26 || N-3 26.25 + N-2 12.56 + W-1 6.5 heads + 6 jambs x 8.5=96.31</t>
  </si>
  <si>
    <t xml:space="preserve">metal trim - L-bead / J-bead (casing) at window returns</t>
  </si>
  <si>
    <t xml:space="preserve">2/A09.26 || 6 windows x 20 LF=120</t>
  </si>
  <si>
    <t xml:space="preserve">metal trim - casing bead at ballistic wall ends (4/A12.01)</t>
  </si>
  <si>
    <t xml:space="preserve">4/A12.01 || A1K-01, A1K-02, B2K-01 2 ends each=87.6</t>
  </si>
  <si>
    <t xml:space="preserve">metal trim - corner bead</t>
  </si>
  <si>
    <t xml:space="preserve">10/A09.33; 6/A12.01; 7/A09.33; 9/A12.01 || BH 105 bottom edges=15.0 | BH 106 bottom edges=15.0 | BH 107 bottom edges=15.0 | BH 108 bottom edges=15.0 | BH 109 bottom edges=15.0 | BH 110 bottom edges=15.0 | C-03 transition edge=77.02 | SOF-01=25.34 | C1-01 monitor box 2 x 12 + C1-05 4 column boxes x 3 corners x 10.5=150.0</t>
  </si>
  <si>
    <t xml:space="preserve">metal trim - gypsum edge trim at light slots</t>
  </si>
  <si>
    <t xml:space="preserve">6/A09.33 || C-03=96.0</t>
  </si>
  <si>
    <t xml:space="preserve">metal trim - shadow molding at scheduled ceiling</t>
  </si>
  <si>
    <t xml:space="preserve">7/A09.33; 9/A12.01 || BH 105=15.0 | BH 106=15.0 | BH 107=15.0 | BH 108=15.0 | BH 109=15.0 | BH 110=15.0 | C-03=77.02</t>
  </si>
  <si>
    <t xml:space="preserve">purlin 1x1x1 16 ga across min. (2) flutes at top track parallel to deck flutes</t>
  </si>
  <si>
    <t xml:space="preserve">A09.33 || 0.75 x 422.54 LF of E-W top track (flutes E-W, VIF - RFI-17)=316.9</t>
  </si>
  <si>
    <t xml:space="preserve">sealant at base of exterior gypsum (own row, not acoustical)</t>
  </si>
  <si>
    <t xml:space="preserve">5/A09.26 || EXT N-1=5.11 | EXT N-4=13.61 | EXT E-1N=51.44 | EXT E-1S=25.82 | EXT S-1=53.67 | EXT W-2=20.95 | EXT W-3=23.06 | EXT W-4=24.87</t>
  </si>
  <si>
    <t xml:space="preserve">sill track at exterior windows (R.O. + 1'-4")</t>
  </si>
  <si>
    <t xml:space="preserve">7/S5.20 || EXT E-1N 53.7=38.0 | EXT W-3 53.7=19.0</t>
  </si>
  <si>
    <t xml:space="preserve">soffit track - CONT. TRACK at deck and soffit bottom</t>
  </si>
  <si>
    <t xml:space="preserve">10/A09.33 || SOF-01 4 x 12.67=50.68</t>
  </si>
  <si>
    <t xml:space="preserve">sound batt insulation in partitions (SF)</t>
  </si>
  <si>
    <t xml:space="preserve">1/A12.01; 12/A12.01; 3/A12.01; 4/A12.01; 5/A12.01 || A1-01 17.02x15.375=261.68 | A1-02 3.53x15.375=54.27 | A1-03 4.6x15.375=70.72 | A1-04 15.62x13.052=203.87 | A1-05 2.14x13.052=27.93 | A1-06 4.87x13.052=63.56 | A1-07 20.52x13.052=267.83 | A1-08 5.0x15.375=76.88 | A1-09 11.67x13.052=152.32 | A1-10 4.89x13.052=63.82 | A5-01N 15.48x15.375=238.0 | A5-01S 3.93x13.052=51.29 | A5-02 10.59x15.375=162.82 | A5-03 4.47x13.052=58.34 | A5-04 3.71x13.052=48.42 | B-01 11.73x13.052=153.1 | B-02 3.5x13.052=45.68 | B-03 11.73x13.052=153.1 | B-04 9.99x13.052=130.39 | B-05 9.58x13.052=125.04 | B-06 14.15x13.052=184.69 | B2-01 5.66x15.375=87.02 | B2-02 5.53x13.052=72.18 | B2-03 5.51x13.052=71.92 | B2-04 10.65x13.052=139.0 | B2-05 15.07x13.052=196.69 | G-01 11.63x15.375=178.81 | G-02 11.63x15.375=178.81 | G-03 11.63x15.375=178.81 | G-04 11.77x15.375=180.96 | G-05 11.77x15.375=180.96 | G-06 11.77x15.375=180.96 | G-07 3.47x15.375=53.35 | G-08 3.25x15.375=49.97 | G-09 3.25x15.375=49.97 | G-10 2.42x15.375=37.21 | G-11 0.97x15.375=14.91 | G1-01 11.77x15.375=180.96 | G1-02 2.67x15.375=41.05 | G1-03 2.67x15.375=41.05 | A1K-01 3.41x15.375=52.43 | A1K-02 5.18x13.052=67.61 | B2K-01 2.2x15.375=33.83 | F-01 18.48x15.375=284.13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</si>
  <si>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</si>
  <si>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</si>
  <si>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</si>
  <si>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</si>
  <si>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Exterior elevation titles vs plan: 1/A09.01 "SOUTH ELEVATION" draws the plan-NORTH facade (grids 8-&gt;1 left to right, entrance storefront) and 2/A09.02 "NORTH ELEVATION" draws the plan-SOUTH facade (door 123). S2.20 notes BUILDING FOOTPRINT MIRRORED NORTH-SOUTH. Takeoff assigns by grid order + content.</t>
  </si>
  <si>
    <t xml:space="preserve">0 qty (assignment only). Other trades read the same sheets.</t>
  </si>
  <si>
    <t xml:space="preserve">RFI-02</t>
  </si>
  <si>
    <t xml:space="preserve">Interior CONT. SLIP TRACK (1/3/4/9/A12.01) has no profile/gauge in 7/S5.20 (only exterior 600T200-97). Priced as 362T125-33 / 600T125-33 / 162T125-33 [DERIVADO from stud].</t>
  </si>
  <si>
    <t xml:space="preserve">Same LF (443.3 LF + bulkheads); price delta if 2" leg slip track (e.g. 362T200-33) is required.</t>
  </si>
  <si>
    <t xml:space="preserve">RFI-03</t>
  </si>
  <si>
    <t xml:space="preserve">5/A12.01 PARTITION G/G1 does not show where the board stops. Priced 2 layers each face to deck (as 8,9/A12.01 at office fronts).</t>
  </si>
  <si>
    <t xml:space="preserve">If board stops at ceiling + 6" (9.5 ft): -2365.7 SF of 5/8" gyp board.</t>
  </si>
  <si>
    <t xml:space="preserve">RFI-04</t>
  </si>
  <si>
    <t xml:space="preserve">Tag B2K (cash window) has no row in the A12.01 schedule. Derived = B2 with Kevlar per 4/A12.01 (6" 14 GA @ 24", 3/8" UL752 panel to 8'-0", 3/8" gyp above).</t>
  </si>
  <si>
    <t xml:space="preserve">2.20 LF wall; if plain B2: -17.6 SF ballistic panel, studs 20 ga @16".</t>
  </si>
  <si>
    <t xml:space="preserve">RFI-05</t>
  </si>
  <si>
    <t xml:space="preserve">GB ceiling suspension not detailed (A04.01 legend "NEW SUSPENDED GYPSUM WALL BOARD CEILING"; 6/A09.33 shows 3-5/8" studs @16" only at fixtures). Priced 1-1/2" carrying channel @48", 7/8" furring channel @16", 12 ga hanger wire @48".</t>
  </si>
  <si>
    <t xml:space="preserve">Alternate: 3-5/8" studs @16" (+715 LF studs, -715 LF furring channel, -238 LF carrying channel).</t>
  </si>
  <si>
    <t xml:space="preserve">RFI-06</t>
  </si>
  <si>
    <t xml:space="preserve">Canopy soffit sheathing: 7/A09.26 says 5/8" EXT. GRADE FRT PLYWOOD; 4,5/A09.33 say 5/8" EXTERIOR SHEATHING. Priced FRT plywood.</t>
  </si>
  <si>
    <t xml:space="preserve">1,443.2 SF soffit: FRT plywood vs exterior gypsum sheathing (price only).</t>
  </si>
  <si>
    <t xml:space="preserve">RFI-07</t>
  </si>
  <si>
    <t xml:space="preserve">ATM openings (DAY 1 ATM through F wall and through west exterior wall W-2; FUTURE DU ATM) have no R.O. in A02.01. Need A08.11 / vendor R.O. for box beam + sill track.</t>
  </si>
  <si>
    <t xml:space="preserve">PENDING: per opening (R.O. + 1'-4") header + same sill track + 4 jamb studs; board deduction not taken (more material, 53.3).</t>
  </si>
  <si>
    <t xml:space="preserve">RFI-08</t>
  </si>
  <si>
    <t xml:space="preserve">Storefront 103 (13'-4" R.O., 13'-6" high) between 24 HR Vestibule and Central Zone: span exceeds 7/S5.20 header schedule (max 8'-0"). Steel or CFS?</t>
  </si>
  <si>
    <t xml:space="preserve">14.67 LF header priced as CFS box beam; if steel by others: -14.67 LF.</t>
  </si>
  <si>
    <t xml:space="preserve">RFI-09</t>
  </si>
  <si>
    <t xml:space="preserve">Millwork blocking priced 2 runs per MW (uppers assumed) - MW schedule A00.30 / A12.03-A12.06 not reconciled cabinet by cabinet.</t>
  </si>
  <si>
    <t xml:space="preserve">If base-only: -74.0 LF FRT blocking.</t>
  </si>
  <si>
    <t xml:space="preserve">RFI-10</t>
  </si>
  <si>
    <t xml:space="preserve">Wall stop blocking (A00.30 sheet note D) priced for all 14 interior HM doors; hardware groups not reconciled.</t>
  </si>
  <si>
    <t xml:space="preserve">Up to -28.0 LF.</t>
  </si>
  <si>
    <t xml:space="preserve">RFI-11</t>
  </si>
  <si>
    <t xml:space="preserve">3/4" FRT plywood backboard (A02.01 key note 6) extents in Electrical 120 / NER 121 not dimensioned in this pass (see A11.03).</t>
  </si>
  <si>
    <t xml:space="preserve">Allowance 6 sheets = 192 SF; +/- 32 SF per sheet.</t>
  </si>
  <si>
    <t xml:space="preserve">RFI-12</t>
  </si>
  <si>
    <t xml:space="preserve">Canopy soffit framing support to steel (W12x19 canopy beams) and joist direction not detailed; framing priced 0.75 LF/SF.</t>
  </si>
  <si>
    <t xml:space="preserve">+/- 25% of 1,082 LF if spacing/direction differs.</t>
  </si>
  <si>
    <t xml:space="preserve">RFI-13</t>
  </si>
  <si>
    <t xml:space="preserve">MEP penetrations through full-height walls (B, B2, G, exterior) not cross-checked geometrically against M01.01/P01.01 in this run.</t>
  </si>
  <si>
    <t xml:space="preserve">PENDING: framed openings + stud reinforcement per duct.</t>
  </si>
  <si>
    <t xml:space="preserve">RFI-14</t>
  </si>
  <si>
    <t xml:space="preserve">Storefront heads (2/A09.26 "STEEL HEADER FRAMING", 11/A09.27 "METAL STUD BOX BEAM OR STEEL"): header assumed steel by others.</t>
  </si>
  <si>
    <t xml:space="preserve">If CFS box beam: +49.3 LF header (N-2 12.56 + N-3 26.25 + W-1 6.5 + 4.0 bearing).</t>
  </si>
  <si>
    <t xml:space="preserve">RFI-15</t>
  </si>
  <si>
    <t xml:space="preserve">R-14 downlights in GB ceilings (vestibules, restrooms) - framed openings not counted.</t>
  </si>
  <si>
    <t xml:space="preserve">~16 fixtures x 4 LF = 64 LF.</t>
  </si>
  <si>
    <t xml:space="preserve">RFI-16</t>
  </si>
  <si>
    <t xml:space="preserve">Mop sink FRP width (Finish Plan: "FRP from floor to 4'-0" AFF, width to match mop sink at both sides") not dimensioned.</t>
  </si>
  <si>
    <t xml:space="preserve">Priced 24 SF; 28" sink -&gt; 18.7 SF.</t>
  </si>
  <si>
    <t xml:space="preserve">RFI-17</t>
  </si>
  <si>
    <t xml:space="preserve">Purlin 1x1x1 16 ga (A09.33) where track runs parallel to deck flutes: flute direction VIF; assumed E-W (joists N-S on S2.20).</t>
  </si>
  <si>
    <t xml:space="preserve">317 LF priced; if flutes N-S, purlin moves to N-S walls.</t>
  </si>
  <si>
    <t xml:space="preserve">RFI-18</t>
  </si>
  <si>
    <t xml:space="preserve">Gypsum control joints not labeled (CJ only in stucco legend A09.01). EXCLUDED; ASTM C840 asks joints in runs &gt; 30 ft (east exterior 77 ft, south 54 ft).</t>
  </si>
  <si>
    <t xml:space="preserve">Alternate: ~4 joints x 13 ft = 52 LF.</t>
  </si>
  <si>
    <t xml:space="preserve">RFI-19</t>
  </si>
  <si>
    <t xml:space="preserve">Untagged stub walls next to office fronts (G-10, G-11, G1-03) and lavatory back wall (A1-10): type taken from drawn thickness / note A A02.01.</t>
  </si>
  <si>
    <t xml:space="preserve">Small (2.42 + 0.97 + 2.67 + 4.89 LF).</t>
  </si>
  <si>
    <t xml:space="preserve">RFI-20</t>
  </si>
  <si>
    <t xml:space="preserve">Parapet infill 11/S5.10 "one stud each side of each post 5'-0" O.C. max" - HSS post count not resolved; +2 studs per segment allowance.</t>
  </si>
  <si>
    <t xml:space="preserve">~+2 studs per 5 ft of parapet (~105 studs x 3 ft = 315 LF).</t>
  </si>
  <si>
    <t xml:space="preserve">RFI-21</t>
  </si>
  <si>
    <t xml:space="preserve">Break Room 118 has a sink (P01.01) but Finish Plan / A08.01 call no MR board or FRP there. Not priced.</t>
  </si>
  <si>
    <t xml:space="preserve">Alternate MR behind sink: ~8 ft x 4 ft = 32 SF reclassified regular -&gt; MR.</t>
  </si>
  <si>
    <t xml:space="preserve">#</t>
  </si>
  <si>
    <t xml:space="preserve">Punto</t>
  </si>
  <si>
    <t xml:space="preserve">Hoja + detalle</t>
  </si>
  <si>
    <t xml:space="preserve">Imagen</t>
  </si>
  <si>
    <t xml:space="preserve">PUNTO DE REVISION barrido tipo A1: confirmar que la lista de walls esta completa (imagen con cada ubicacion marcada)</t>
  </si>
  <si>
    <t xml:space="preserve">A02.01 + A12.01</t>
  </si>
  <si>
    <t xml:space="preserve">A02.01_type_A1_10walls_89.86LF.jpg</t>
  </si>
  <si>
    <t xml:space="preserve">PUNTO DE REVISION barrido tipo A5: confirmar que la lista de walls esta completa (imagen con cada ubicacion marcada)</t>
  </si>
  <si>
    <t xml:space="preserve">A02.01_type_A5_5walls_38.18LF.jpg</t>
  </si>
  <si>
    <t xml:space="preserve">PUNTO DE REVISION barrido tipo B: confirmar que la lista de walls esta completa (imagen con cada ubicacion marcada)</t>
  </si>
  <si>
    <t xml:space="preserve">A02.01_type_B_6walls_60.68LF.jpg</t>
  </si>
  <si>
    <t xml:space="preserve">PUNTO DE REVISION barrido tipo B2: confirmar que la lista de walls esta completa (imagen con cada ubicacion marcada)</t>
  </si>
  <si>
    <t xml:space="preserve">A02.01_type_B2_5walls_42.42LF.jpg</t>
  </si>
  <si>
    <t xml:space="preserve">PUNTO DE REVISION barrido tipo G: confirmar que la lista de walls esta completa (imagen con cada ubicacion marcada)</t>
  </si>
  <si>
    <t xml:space="preserve">A02.01_type_G_11walls_83.56LF.jpg</t>
  </si>
  <si>
    <t xml:space="preserve">PUNTO DE REVISION barrido tipo G1: confirmar que la lista de walls esta completa (imagen con cada ubicacion marcada)</t>
  </si>
  <si>
    <t xml:space="preserve">A02.01_type_G1_3walls_17.11LF.jpg</t>
  </si>
  <si>
    <t xml:space="preserve">PUNTO DE REVISION barrido tipo K: confirmar que la lista de walls esta completa (imagen con cada ubicacion marcada)</t>
  </si>
  <si>
    <t xml:space="preserve">A02.01_type_A1K-B2K_3walls_10.79LF.jpg</t>
  </si>
  <si>
    <t xml:space="preserve">PUNTO DE REVISION barrido tipo F: confirmar que la lista de walls esta completa (imagen con cada ubicacion marcada)</t>
  </si>
  <si>
    <t xml:space="preserve">A02.01_type_F_1walls_18.48LF.jpg</t>
  </si>
  <si>
    <t xml:space="preserve">PUNTO DE REVISION barrido tipo C1: confirmar que la lista de walls esta completa (imagen con cada ubicacion marcada)</t>
  </si>
  <si>
    <t xml:space="preserve">A02.01_type_C1_5walls_53.4LF.jpg</t>
  </si>
  <si>
    <t xml:space="preserve">Exteriores por fachada (11 segmentos, 263.84 LF) y parapet infill 11/S5.10</t>
  </si>
  <si>
    <t xml:space="preserve">C/A09.21, 11/S5.10</t>
  </si>
  <si>
    <t xml:space="preserve">A02.01_exterior_11seg_263.84LF.jpg</t>
  </si>
  <si>
    <t xml:space="preserve">Bulkheads sobre office fronts (6) y storefront 103: banda = B.O.D. - 8'-0"</t>
  </si>
  <si>
    <t xml:space="preserve">9/A12.01</t>
  </si>
  <si>
    <t xml:space="preserve">A02.01_bulkheads_7_58.33LF.jpg</t>
  </si>
  <si>
    <t xml:space="preserve">GB ceilings (5) + CSR soffit</t>
  </si>
  <si>
    <t xml:space="preserve">1/A04.01, 10/A09.33</t>
  </si>
  <si>
    <t xml:space="preserve">A04.01_GB_ceilings_5_soffit_1.jpg</t>
  </si>
  <si>
    <t xml:space="preserve">Canopy soffits (4) + fascia 240 LF</t>
  </si>
  <si>
    <t xml:space="preserve">7/A09.26</t>
  </si>
  <si>
    <t xml:space="preserve">A04.01_canopy_soffits_4_fascia_240LF.jpg</t>
  </si>
  <si>
    <t xml:space="preserve">Elemento de 1.76" en Men 113 junto a door 112 = toilet partition (Div 10), no se cuantifico</t>
  </si>
  <si>
    <t xml:space="preserve">A02.01</t>
  </si>
  <si>
    <t xml:space="preserve">Enlarged restroom plan 1/A08.01 viene girada 180 grados respecto de A02.01 (janitor arriba)</t>
  </si>
  <si>
    <t xml:space="preserve">1/A08.01</t>
  </si>
  <si>
    <t xml:space="preserve">-</t>
  </si>
  <si>
    <t xml:space="preserve">RFI-01: Exterior elevation titles vs plan: 1/A09.01 "SOUTH ELEVATION" draws the plan-NORTH facade (grids 8-&gt;1 left to right, entrance storefront) and 2/A09.02 "NORTH ELEVATION" draws the p | delta: 0 qty (assignment only). Other trades read the same sheets.</t>
  </si>
  <si>
    <t xml:space="preserve">ver RFI</t>
  </si>
  <si>
    <t xml:space="preserve">RFI-02: Interior CONT. SLIP TRACK (1/3/4/9/A12.01) has no profile/gauge in 7/S5.20 (only exterior 600T200-97). Priced as 362T125-33 / 600T125-33 / 162T125-33 [DERIVADO from stud]. | delta: Same LF (443.3 LF + bulkheads); price delta if 2" leg slip track (e.g. 362T200-33) is required.</t>
  </si>
  <si>
    <t xml:space="preserve">RFI-03: 5/A12.01 PARTITION G/G1 does not show where the board stops. Priced 2 layers each face to deck (as 8,9/A12.01 at office fronts). | delta: If board stops at ceiling + 6" (9.5 ft): -2365.7 SF of 5/8" gyp board.</t>
  </si>
  <si>
    <t xml:space="preserve">RFI-04: Tag B2K (cash window) has no row in the A12.01 schedule. Derived = B2 with Kevlar per 4/A12.01 (6" 14 GA @ 24", 3/8" UL752 panel to 8'-0", 3/8" gyp above). | delta: 2.20 LF wall; if plain B2: -17.6 SF ballistic panel, studs 20 ga @16".</t>
  </si>
  <si>
    <t xml:space="preserve">RFI-05: GB ceiling suspension not detailed (A04.01 legend "NEW SUSPENDED GYPSUM WALL BOARD CEILING"; 6/A09.33 shows 3-5/8" studs @16" only at fixtures). Priced 1-1/2" carrying channel @48" | delta: Alternate: 3-5/8" studs @16" (+715 LF studs, -715 LF furring channel, -238 LF carrying channel).</t>
  </si>
  <si>
    <t xml:space="preserve">RFI-06: Canopy soffit sheathing: 7/A09.26 says 5/8" EXT. GRADE FRT PLYWOOD; 4,5/A09.33 say 5/8" EXTERIOR SHEATHING. Priced FRT plywood. | delta: 1,443.2 SF soffit: FRT plywood vs exterior gypsum sheathing (price only).</t>
  </si>
  <si>
    <t xml:space="preserve">RFI-07: ATM openings (DAY 1 ATM through F wall and through west exterior wall W-2; FUTURE DU ATM) have no R.O. in A02.01. Need A08.11 / vendor R.O. for box beam + sill track. | delta: PENDING: per opening (R.O. + 1'-4") header + same sill track + 4 jamb studs; board deduction not taken (more material, 5</t>
  </si>
  <si>
    <t xml:space="preserve">RFI-08: Storefront 103 (13'-4" R.O., 13'-6" high) between 24 HR Vestibule and Central Zone: span exceeds 7/S5.20 header schedule (max 8'-0"). Steel or CFS? | delta: 14.67 LF header priced as CFS box beam; if steel by others: -14.67 LF.</t>
  </si>
  <si>
    <t xml:space="preserve">RFI-09: Millwork blocking priced 2 runs per MW (uppers assumed) - MW schedule A00.30 / A12.03-A12.06 not reconciled cabinet by cabinet. | delta: If base-only: -74.0 LF FRT blocking.</t>
  </si>
  <si>
    <t xml:space="preserve">RFI-10: Wall stop blocking (A00.30 sheet note D) priced for all 14 interior HM doors; hardware groups not reconciled. | delta: Up to -28.0 LF.</t>
  </si>
  <si>
    <t xml:space="preserve">RFI-11: 3/4" FRT plywood backboard (A02.01 key note 6) extents in Electrical 120 / NER 121 not dimensioned in this pass (see A11.03). | delta: Allowance 6 sheets = 192 SF; +/- 32 SF per sheet.</t>
  </si>
  <si>
    <t xml:space="preserve">RFI-12: Canopy soffit framing support to steel (W12x19 canopy beams) and joist direction not detailed; framing priced 0.75 LF/SF. | delta: +/- 25% of 1,082 LF if spacing/direction differs.</t>
  </si>
  <si>
    <t xml:space="preserve">RFI-13: MEP penetrations through full-height walls (B, B2, G, exterior) not cross-checked geometrically against M01.01/P01.01 in this run. | delta: PENDING: framed openings + stud reinforcement per duct.</t>
  </si>
  <si>
    <t xml:space="preserve">RFI-14: Storefront heads (2/A09.26 "STEEL HEADER FRAMING", 11/A09.27 "METAL STUD BOX BEAM OR STEEL"): header assumed steel by others. | delta: If CFS box beam: +49.3 LF header (N-2 12.56 + N-3 26.25 + W-1 6.5 + 4.0 bearing).</t>
  </si>
  <si>
    <t xml:space="preserve">RFI-15: R-14 downlights in GB ceilings (vestibules, restrooms) - framed openings not counted. | delta: ~16 fixtures x 4 LF = 64 LF.</t>
  </si>
  <si>
    <t xml:space="preserve">RFI-16: Mop sink FRP width (Finish Plan: "FRP from floor to 4'-0" AFF, width to match mop sink at both sides") not dimensioned. | delta: Priced 24 SF; 28" sink -&gt; 18.7 SF.</t>
  </si>
  <si>
    <t xml:space="preserve">RFI-17: Purlin 1x1x1 16 ga (A09.33) where track runs parallel to deck flutes: flute direction VIF; assumed E-W (joists N-S on S2.20). | delta: 317 LF priced; if flutes N-S, purlin moves to N-S walls.</t>
  </si>
  <si>
    <t xml:space="preserve">RFI-18: Gypsum control joints not labeled (CJ only in stucco legend A09.01). EXCLUDED; ASTM C840 asks joints in runs &gt; 30 ft (east exterior 77 ft, south 54 ft). | delta: Alternate: ~4 joints x 13 ft = 52 LF.</t>
  </si>
  <si>
    <t xml:space="preserve">RFI-19: Untagged stub walls next to office fronts (G-10, G-11, G1-03) and lavatory back wall (A1-10): type taken from drawn thickness / note A A02.01. | delta: Small (2.42 + 0.97 + 2.67 + 4.89 LF).</t>
  </si>
  <si>
    <t xml:space="preserve">RFI-20: Parapet infill 11/S5.10 "one stud each side of each post 5'-0" O.C. max" - HSS post count not resolved; +2 studs per segment allowance. | delta: ~+2 studs per 5 ft of parapet (~105 studs x 3 ft = 315 LF).</t>
  </si>
  <si>
    <t xml:space="preserve">RFI-21: Break Room 118 has a sink (P01.01) but Finish Plan / A08.01 call no MR board or FRP there. Not priced. | delta: Alternate MR behind sink: ~8 ft x 4 ft = 32 SF reclassified regular -&gt; MR.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</si>
  <si>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</si>
  <si>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</si>
  <si>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</si>
  <si>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</si>
  <si>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</si>
  <si>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 (studs + tracks)</t>
  </si>
  <si>
    <t xml:space="preserve">CUANTIFICADO</t>
  </si>
  <si>
    <t xml:space="preserve">Partition Takeoff A1/A5/B/B2/G/G1/A1K/B2K/F/C1; 3/A12.01 etc.</t>
  </si>
  <si>
    <t xml:space="preserve">ALC-02</t>
  </si>
  <si>
    <t xml:space="preserve">Exterior wall framing (CFMF)</t>
  </si>
  <si>
    <t xml:space="preserve">EXTERIOR rows, 600S137-33 @16 to B.O.D.; C/A09.21, 7/S5.20</t>
  </si>
  <si>
    <t xml:space="preserve">ALC-03</t>
  </si>
  <si>
    <t xml:space="preserve">Parapet framing</t>
  </si>
  <si>
    <t xml:space="preserve">600S162-54 @16 + 600T125-54 per 11/S5.10</t>
  </si>
  <si>
    <t xml:space="preserve">ALC-04</t>
  </si>
  <si>
    <t xml:space="preserve">Top / deflection and bottom track</t>
  </si>
  <si>
    <t xml:space="preserve">bottom + top/slip/deflection per size</t>
  </si>
  <si>
    <t xml:space="preserve">ALC-05</t>
  </si>
  <si>
    <t xml:space="preserve">Headers, sills and jambs at openings</t>
  </si>
  <si>
    <t xml:space="preserve">doors 10/A12.02, windows, office fronts 9/A12.01; ATM R.O. RFI-07</t>
  </si>
  <si>
    <t xml:space="preserve">ALC-06</t>
  </si>
  <si>
    <t xml:space="preserve">Bracing / bridging</t>
  </si>
  <si>
    <t xml:space="preserve">1-1/2 C.R. channel @48 (7/S5.20), rows per 53.4</t>
  </si>
  <si>
    <t xml:space="preserve">ALC-07</t>
  </si>
  <si>
    <t xml:space="preserve">Gypsum board on walls</t>
  </si>
  <si>
    <t xml:space="preserve">5/8 gyp board regular - walls, face by face</t>
  </si>
  <si>
    <t xml:space="preserve">ALC-08</t>
  </si>
  <si>
    <t xml:space="preserve">Moisture resistant board at wet zones</t>
  </si>
  <si>
    <t xml:space="preserve">F/A08.01 chase + lavatory wall</t>
  </si>
  <si>
    <t xml:space="preserve">ALC-09</t>
  </si>
  <si>
    <t xml:space="preserve">Exterior gypsum / glass mat sheathing</t>
  </si>
  <si>
    <t xml:space="preserve">parapet ext. gyp sheathing C/A09.21; glass mat 5/A09.26, 9/A09.27</t>
  </si>
  <si>
    <t xml:space="preserve">ALC-10</t>
  </si>
  <si>
    <t xml:space="preserve">FRT plywood sheathing / substrate</t>
  </si>
  <si>
    <t xml:space="preserve">exterior FRT ply+polyiso, canopy, F wall, backboards</t>
  </si>
  <si>
    <t xml:space="preserve">ALC-11</t>
  </si>
  <si>
    <t xml:space="preserve">Gypsum board ceilings</t>
  </si>
  <si>
    <t xml:space="preserve">5 GB ceilings 1/A04.01</t>
  </si>
  <si>
    <t xml:space="preserve">ALC-12</t>
  </si>
  <si>
    <t xml:space="preserve">Ceiling suspension</t>
  </si>
  <si>
    <t xml:space="preserve">carrying, furring, hanger wire, ceiling track (RFI-05 on system)</t>
  </si>
  <si>
    <t xml:space="preserve">ALC-13</t>
  </si>
  <si>
    <t xml:space="preserve">Soffits and bulkheads</t>
  </si>
  <si>
    <t xml:space="preserve">SOF-01 10/A09.33; bulkheads 9/A12.01</t>
  </si>
  <si>
    <t xml:space="preserve">ALC-14</t>
  </si>
  <si>
    <t xml:space="preserve">Canopy / marquee framing and sheathing</t>
  </si>
  <si>
    <t xml:space="preserve">canopy fascia + soffit 7/A09.26</t>
  </si>
  <si>
    <t xml:space="preserve">ALC-15</t>
  </si>
  <si>
    <t xml:space="preserve">Column furring / wraps</t>
  </si>
  <si>
    <t xml:space="preserve">C1-05 4 column enclosures (6/A12.01), column furring</t>
  </si>
  <si>
    <t xml:space="preserve">ALC-16</t>
  </si>
  <si>
    <t xml:space="preserve">Blocking</t>
  </si>
  <si>
    <t xml:space="preserve">FRT blocking millwork, accessories, wall stops, monitor, parapet, box beam</t>
  </si>
  <si>
    <t xml:space="preserve">ALC-17</t>
  </si>
  <si>
    <t xml:space="preserve">Framed openings</t>
  </si>
  <si>
    <t xml:space="preserve">access panel, recessed fixtures, recessed accessories</t>
  </si>
  <si>
    <t xml:space="preserve">ALC-18</t>
  </si>
  <si>
    <t xml:space="preserve">Trim</t>
  </si>
  <si>
    <t xml:space="preserve">corner bead, L/J bead, shadow molding, gypsum edge trim; control joints EXCLUDED RFI-18</t>
  </si>
  <si>
    <t xml:space="preserve">ALC-19</t>
  </si>
  <si>
    <t xml:space="preserve">Acoustical sealant</t>
  </si>
  <si>
    <t xml:space="preserve">per partition detail 53.9.2</t>
  </si>
  <si>
    <t xml:space="preserve">ALC-20</t>
  </si>
  <si>
    <t xml:space="preserve">FRP / cement board</t>
  </si>
  <si>
    <t xml:space="preserve">FRP WC-3 3/A08.01; no tile on walls (cement board n/a)</t>
  </si>
  <si>
    <t xml:space="preserve">ALC-21</t>
  </si>
  <si>
    <t xml:space="preserve">Shaft walls</t>
  </si>
  <si>
    <t xml:space="preserve">NO APLICA</t>
  </si>
  <si>
    <t xml:space="preserve">NO APLICA: A12.01 partition schedule has no shaft wall type; single story, no shafts on A02.01</t>
  </si>
  <si>
    <t xml:space="preserve">ALC-22</t>
  </si>
  <si>
    <t xml:space="preserve">Rated assemblies</t>
  </si>
  <si>
    <t xml:space="preserve">NO APLICA: A12.01 schedule FIRE RATING '--' for all types; A12.02 / A11.03 / E00.01 mentions are fire-rated plywood backboard (in ALC-16/10) and electrical notes, not rated partitions</t>
  </si>
  <si>
    <t xml:space="preserve">ALC-23</t>
  </si>
  <si>
    <t xml:space="preserve">Special panels (ballistic)</t>
  </si>
  <si>
    <t xml:space="preserve">3/8 UL752 panel 4/A12.01</t>
  </si>
  <si>
    <t xml:space="preserve">ALC-24</t>
  </si>
  <si>
    <t xml:space="preserve">Finish level</t>
  </si>
  <si>
    <t xml:space="preserve">Level 5 at WC-18 walls (A00.40); rest Level 4 assumed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</si>
</sst>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60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17.02</v>
      </c>
      <c r="D6" s="0" t="n">
        <v>15.375</v>
      </c>
      <c r="E6" s="0" t="n">
        <v>2</v>
      </c>
      <c r="F6" s="0" t="s">
        <v>31</v>
      </c>
      <c r="G6" s="0" t="n">
        <v>16</v>
      </c>
      <c r="H6" s="0" t="n">
        <v>357.42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3.53</v>
      </c>
      <c r="D7" s="0" t="n">
        <v>15.375</v>
      </c>
      <c r="E7" s="0" t="n">
        <v>2</v>
      </c>
      <c r="F7" s="0" t="s">
        <v>31</v>
      </c>
      <c r="G7" s="0" t="n">
        <v>16</v>
      </c>
      <c r="H7" s="0" t="n">
        <v>74.13</v>
      </c>
      <c r="I7" s="0" t="s">
        <v>37</v>
      </c>
      <c r="J7" s="0" t="s">
        <v>33</v>
      </c>
      <c r="K7" s="0" t="s">
        <v>34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v>4.6</v>
      </c>
      <c r="D8" s="0" t="n">
        <v>15.375</v>
      </c>
      <c r="E8" s="0" t="n">
        <v>2</v>
      </c>
      <c r="F8" s="0" t="s">
        <v>31</v>
      </c>
      <c r="G8" s="0" t="n">
        <v>16</v>
      </c>
      <c r="H8" s="0" t="n">
        <v>96.6</v>
      </c>
      <c r="I8" s="0" t="s">
        <v>40</v>
      </c>
      <c r="J8" s="0" t="s">
        <v>33</v>
      </c>
      <c r="K8" s="0" t="s">
        <v>34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n">
        <v>15.62</v>
      </c>
      <c r="D9" s="0" t="n">
        <v>13.052</v>
      </c>
      <c r="E9" s="0" t="n">
        <v>2</v>
      </c>
      <c r="F9" s="0" t="s">
        <v>31</v>
      </c>
      <c r="G9" s="0" t="n">
        <v>16</v>
      </c>
      <c r="H9" s="0" t="n">
        <v>281.16</v>
      </c>
      <c r="I9" s="0" t="s">
        <v>43</v>
      </c>
      <c r="J9" s="0" t="s">
        <v>44</v>
      </c>
      <c r="K9" s="0" t="s">
        <v>34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n">
        <v>2.14</v>
      </c>
      <c r="D10" s="0" t="n">
        <v>13.052</v>
      </c>
      <c r="E10" s="0" t="n">
        <v>2</v>
      </c>
      <c r="F10" s="0" t="s">
        <v>31</v>
      </c>
      <c r="G10" s="0" t="n">
        <v>16</v>
      </c>
      <c r="H10" s="0" t="n">
        <v>39.59</v>
      </c>
      <c r="I10" s="0" t="s">
        <v>47</v>
      </c>
      <c r="J10" s="0" t="s">
        <v>44</v>
      </c>
      <c r="K10" s="0" t="s">
        <v>34</v>
      </c>
    </row>
    <row r="11" customFormat="false" ht="15" hidden="false" customHeight="false" outlineLevel="0" collapsed="false">
      <c r="A11" s="0" t="s">
        <v>48</v>
      </c>
      <c r="B11" s="0" t="s">
        <v>49</v>
      </c>
      <c r="C11" s="0" t="n">
        <v>4.87</v>
      </c>
      <c r="D11" s="0" t="n">
        <v>13.052</v>
      </c>
      <c r="E11" s="0" t="n">
        <v>2</v>
      </c>
      <c r="F11" s="0" t="s">
        <v>31</v>
      </c>
      <c r="G11" s="0" t="n">
        <v>16</v>
      </c>
      <c r="H11" s="0" t="n">
        <v>39.2</v>
      </c>
      <c r="I11" s="0" t="s">
        <v>50</v>
      </c>
      <c r="J11" s="0" t="s">
        <v>51</v>
      </c>
      <c r="K11" s="0" t="s">
        <v>34</v>
      </c>
    </row>
    <row r="12" customFormat="false" ht="15" hidden="false" customHeight="false" outlineLevel="0" collapsed="false">
      <c r="A12" s="0" t="s">
        <v>52</v>
      </c>
      <c r="B12" s="0" t="s">
        <v>53</v>
      </c>
      <c r="C12" s="0" t="n">
        <v>20.52</v>
      </c>
      <c r="D12" s="0" t="n">
        <v>13.052</v>
      </c>
      <c r="E12" s="0" t="n">
        <v>2</v>
      </c>
      <c r="F12" s="0" t="s">
        <v>31</v>
      </c>
      <c r="G12" s="0" t="n">
        <v>16</v>
      </c>
      <c r="H12" s="0" t="n">
        <v>372.22</v>
      </c>
      <c r="I12" s="0" t="s">
        <v>54</v>
      </c>
      <c r="J12" s="0" t="s">
        <v>51</v>
      </c>
      <c r="K12" s="0" t="s">
        <v>34</v>
      </c>
    </row>
    <row r="13" customFormat="false" ht="15" hidden="false" customHeight="false" outlineLevel="0" collapsed="false">
      <c r="A13" s="0" t="s">
        <v>55</v>
      </c>
      <c r="B13" s="0" t="s">
        <v>56</v>
      </c>
      <c r="C13" s="0" t="n">
        <v>5</v>
      </c>
      <c r="D13" s="0" t="n">
        <v>15.375</v>
      </c>
      <c r="E13" s="0" t="n">
        <v>2</v>
      </c>
      <c r="F13" s="0" t="s">
        <v>31</v>
      </c>
      <c r="G13" s="0" t="n">
        <v>16</v>
      </c>
      <c r="H13" s="0" t="n">
        <v>51.67</v>
      </c>
      <c r="I13" s="0" t="s">
        <v>57</v>
      </c>
      <c r="J13" s="0" t="s">
        <v>58</v>
      </c>
      <c r="K13" s="0" t="s">
        <v>34</v>
      </c>
    </row>
    <row r="14" customFormat="false" ht="15" hidden="false" customHeight="false" outlineLevel="0" collapsed="false">
      <c r="A14" s="0" t="s">
        <v>59</v>
      </c>
      <c r="B14" s="0" t="s">
        <v>60</v>
      </c>
      <c r="C14" s="0" t="n">
        <v>11.67</v>
      </c>
      <c r="D14" s="0" t="n">
        <v>13.052</v>
      </c>
      <c r="E14" s="0" t="n">
        <v>2</v>
      </c>
      <c r="F14" s="0" t="s">
        <v>31</v>
      </c>
      <c r="G14" s="0" t="n">
        <v>16</v>
      </c>
      <c r="H14" s="0" t="n">
        <v>169.23</v>
      </c>
      <c r="I14" s="0" t="s">
        <v>61</v>
      </c>
      <c r="J14" s="0" t="s">
        <v>51</v>
      </c>
      <c r="K14" s="0" t="s">
        <v>34</v>
      </c>
    </row>
    <row r="15" customFormat="false" ht="15" hidden="false" customHeight="false" outlineLevel="0" collapsed="false">
      <c r="A15" s="0" t="s">
        <v>62</v>
      </c>
      <c r="B15" s="0" t="s">
        <v>63</v>
      </c>
      <c r="C15" s="0" t="n">
        <v>4.89</v>
      </c>
      <c r="D15" s="0" t="n">
        <v>13.052</v>
      </c>
      <c r="E15" s="0" t="n">
        <v>2</v>
      </c>
      <c r="F15" s="0" t="s">
        <v>31</v>
      </c>
      <c r="G15" s="0" t="n">
        <v>16</v>
      </c>
      <c r="H15" s="0" t="n">
        <v>88.02</v>
      </c>
      <c r="I15" s="0" t="s">
        <v>64</v>
      </c>
      <c r="J15" s="0" t="s">
        <v>44</v>
      </c>
      <c r="K15" s="0" t="s">
        <v>34</v>
      </c>
    </row>
    <row r="16" customFormat="false" ht="15" hidden="false" customHeight="false" outlineLevel="0" collapsed="false">
      <c r="A16" s="5" t="s">
        <v>65</v>
      </c>
    </row>
    <row r="17" customFormat="false" ht="15" hidden="false" customHeight="false" outlineLevel="0" collapsed="false">
      <c r="A17" s="0" t="s">
        <v>66</v>
      </c>
      <c r="B17" s="0" t="s">
        <v>67</v>
      </c>
      <c r="C17" s="0" t="n">
        <v>15.48</v>
      </c>
      <c r="D17" s="0" t="n">
        <v>15.375</v>
      </c>
      <c r="E17" s="0" t="n">
        <v>2</v>
      </c>
      <c r="F17" s="0" t="s">
        <v>68</v>
      </c>
      <c r="G17" s="0" t="n">
        <v>16</v>
      </c>
      <c r="H17" s="0" t="n">
        <v>325.08</v>
      </c>
      <c r="I17" s="0" t="s">
        <v>69</v>
      </c>
      <c r="J17" s="0" t="s">
        <v>70</v>
      </c>
      <c r="K17" s="0" t="s">
        <v>34</v>
      </c>
    </row>
    <row r="18" customFormat="false" ht="15" hidden="false" customHeight="false" outlineLevel="0" collapsed="false">
      <c r="A18" s="0" t="s">
        <v>71</v>
      </c>
      <c r="B18" s="0" t="s">
        <v>72</v>
      </c>
      <c r="C18" s="0" t="n">
        <v>3.93</v>
      </c>
      <c r="D18" s="0" t="n">
        <v>13.052</v>
      </c>
      <c r="E18" s="0" t="n">
        <v>2</v>
      </c>
      <c r="F18" s="0" t="s">
        <v>68</v>
      </c>
      <c r="G18" s="0" t="n">
        <v>16</v>
      </c>
      <c r="H18" s="0" t="n">
        <v>72.71</v>
      </c>
      <c r="I18" s="0" t="s">
        <v>73</v>
      </c>
      <c r="J18" s="0" t="s">
        <v>74</v>
      </c>
      <c r="K18" s="0" t="s">
        <v>34</v>
      </c>
    </row>
    <row r="19" customFormat="false" ht="15" hidden="false" customHeight="false" outlineLevel="0" collapsed="false">
      <c r="A19" s="0" t="s">
        <v>75</v>
      </c>
      <c r="B19" s="0" t="s">
        <v>76</v>
      </c>
      <c r="C19" s="0" t="n">
        <v>10.59</v>
      </c>
      <c r="D19" s="0" t="n">
        <v>15.375</v>
      </c>
      <c r="E19" s="0" t="n">
        <v>2</v>
      </c>
      <c r="F19" s="0" t="s">
        <v>68</v>
      </c>
      <c r="G19" s="0" t="n">
        <v>16</v>
      </c>
      <c r="H19" s="0" t="n">
        <v>222.39</v>
      </c>
      <c r="I19" s="0" t="s">
        <v>77</v>
      </c>
      <c r="J19" s="0" t="s">
        <v>70</v>
      </c>
      <c r="K19" s="0" t="s">
        <v>34</v>
      </c>
    </row>
    <row r="20" customFormat="false" ht="15" hidden="false" customHeight="false" outlineLevel="0" collapsed="false">
      <c r="A20" s="0" t="s">
        <v>78</v>
      </c>
      <c r="B20" s="0" t="s">
        <v>79</v>
      </c>
      <c r="C20" s="0" t="n">
        <v>4.47</v>
      </c>
      <c r="D20" s="0" t="n">
        <v>13.052</v>
      </c>
      <c r="E20" s="0" t="n">
        <v>2</v>
      </c>
      <c r="F20" s="0" t="s">
        <v>68</v>
      </c>
      <c r="G20" s="0" t="n">
        <v>16</v>
      </c>
      <c r="H20" s="0" t="n">
        <v>33.79</v>
      </c>
      <c r="I20" s="0" t="s">
        <v>80</v>
      </c>
      <c r="J20" s="0" t="s">
        <v>81</v>
      </c>
      <c r="K20" s="0" t="s">
        <v>34</v>
      </c>
    </row>
    <row r="21" customFormat="false" ht="15" hidden="false" customHeight="false" outlineLevel="0" collapsed="false">
      <c r="A21" s="0" t="s">
        <v>82</v>
      </c>
      <c r="B21" s="0" t="s">
        <v>83</v>
      </c>
      <c r="C21" s="0" t="n">
        <v>3.71</v>
      </c>
      <c r="D21" s="0" t="n">
        <v>13.052</v>
      </c>
      <c r="E21" s="0" t="n">
        <v>2</v>
      </c>
      <c r="F21" s="0" t="s">
        <v>68</v>
      </c>
      <c r="G21" s="0" t="n">
        <v>16</v>
      </c>
      <c r="H21" s="0" t="n">
        <v>70.49</v>
      </c>
      <c r="I21" s="0" t="s">
        <v>84</v>
      </c>
      <c r="J21" s="0" t="s">
        <v>74</v>
      </c>
      <c r="K21" s="0" t="s">
        <v>34</v>
      </c>
    </row>
    <row r="22" customFormat="false" ht="15" hidden="false" customHeight="false" outlineLevel="0" collapsed="false">
      <c r="A22" s="5" t="s">
        <v>85</v>
      </c>
    </row>
    <row r="23" customFormat="false" ht="15" hidden="false" customHeight="false" outlineLevel="0" collapsed="false">
      <c r="A23" s="0" t="s">
        <v>86</v>
      </c>
      <c r="B23" s="0" t="s">
        <v>87</v>
      </c>
      <c r="C23" s="0" t="n">
        <v>11.73</v>
      </c>
      <c r="D23" s="0" t="n">
        <v>13.052</v>
      </c>
      <c r="E23" s="0" t="n">
        <v>2</v>
      </c>
      <c r="F23" s="0" t="s">
        <v>31</v>
      </c>
      <c r="G23" s="0" t="n">
        <v>16</v>
      </c>
      <c r="H23" s="0" t="n">
        <v>259.53</v>
      </c>
      <c r="I23" s="0" t="s">
        <v>88</v>
      </c>
      <c r="J23" s="0" t="s">
        <v>89</v>
      </c>
      <c r="K23" s="0" t="s">
        <v>34</v>
      </c>
    </row>
    <row r="24" customFormat="false" ht="15" hidden="false" customHeight="false" outlineLevel="0" collapsed="false">
      <c r="A24" s="0" t="s">
        <v>90</v>
      </c>
      <c r="B24" s="0" t="s">
        <v>91</v>
      </c>
      <c r="C24" s="0" t="n">
        <v>3.5</v>
      </c>
      <c r="D24" s="0" t="n">
        <v>13.052</v>
      </c>
      <c r="E24" s="0" t="n">
        <v>2</v>
      </c>
      <c r="F24" s="0" t="s">
        <v>31</v>
      </c>
      <c r="G24" s="0" t="n">
        <v>16</v>
      </c>
      <c r="H24" s="0" t="n">
        <v>91.36</v>
      </c>
      <c r="I24" s="0" t="s">
        <v>92</v>
      </c>
      <c r="J24" s="0" t="s">
        <v>93</v>
      </c>
      <c r="K24" s="0" t="s">
        <v>34</v>
      </c>
    </row>
    <row r="25" customFormat="false" ht="15" hidden="false" customHeight="false" outlineLevel="0" collapsed="false">
      <c r="A25" s="0" t="s">
        <v>94</v>
      </c>
      <c r="B25" s="0" t="s">
        <v>95</v>
      </c>
      <c r="C25" s="0" t="n">
        <v>11.73</v>
      </c>
      <c r="D25" s="0" t="n">
        <v>13.052</v>
      </c>
      <c r="E25" s="0" t="n">
        <v>2</v>
      </c>
      <c r="F25" s="0" t="s">
        <v>31</v>
      </c>
      <c r="G25" s="0" t="n">
        <v>16</v>
      </c>
      <c r="H25" s="0" t="n">
        <v>306.2</v>
      </c>
      <c r="I25" s="0" t="s">
        <v>96</v>
      </c>
      <c r="J25" s="0" t="s">
        <v>93</v>
      </c>
      <c r="K25" s="0" t="s">
        <v>34</v>
      </c>
    </row>
    <row r="26" customFormat="false" ht="15" hidden="false" customHeight="false" outlineLevel="0" collapsed="false">
      <c r="A26" s="0" t="s">
        <v>97</v>
      </c>
      <c r="B26" s="0" t="s">
        <v>98</v>
      </c>
      <c r="C26" s="0" t="n">
        <v>9.99</v>
      </c>
      <c r="D26" s="0" t="n">
        <v>13.052</v>
      </c>
      <c r="E26" s="0" t="n">
        <v>2</v>
      </c>
      <c r="F26" s="0" t="s">
        <v>31</v>
      </c>
      <c r="G26" s="0" t="n">
        <v>16</v>
      </c>
      <c r="H26" s="0" t="n">
        <v>260.78</v>
      </c>
      <c r="I26" s="0" t="s">
        <v>99</v>
      </c>
      <c r="J26" s="0" t="s">
        <v>93</v>
      </c>
      <c r="K26" s="0" t="s">
        <v>34</v>
      </c>
    </row>
    <row r="27" customFormat="false" ht="15" hidden="false" customHeight="false" outlineLevel="0" collapsed="false">
      <c r="A27" s="0" t="s">
        <v>100</v>
      </c>
      <c r="B27" s="0" t="s">
        <v>101</v>
      </c>
      <c r="C27" s="0" t="n">
        <v>9.58</v>
      </c>
      <c r="D27" s="0" t="n">
        <v>13.052</v>
      </c>
      <c r="E27" s="0" t="n">
        <v>2</v>
      </c>
      <c r="F27" s="0" t="s">
        <v>31</v>
      </c>
      <c r="G27" s="0" t="n">
        <v>16</v>
      </c>
      <c r="H27" s="0" t="n">
        <v>250.08</v>
      </c>
      <c r="I27" s="0" t="s">
        <v>102</v>
      </c>
      <c r="J27" s="0" t="s">
        <v>93</v>
      </c>
      <c r="K27" s="0" t="s">
        <v>34</v>
      </c>
    </row>
    <row r="28" customFormat="false" ht="15" hidden="false" customHeight="false" outlineLevel="0" collapsed="false">
      <c r="A28" s="0" t="s">
        <v>103</v>
      </c>
      <c r="B28" s="0" t="s">
        <v>104</v>
      </c>
      <c r="C28" s="0" t="n">
        <v>14.15</v>
      </c>
      <c r="D28" s="0" t="n">
        <v>13.052</v>
      </c>
      <c r="E28" s="0" t="n">
        <v>2</v>
      </c>
      <c r="F28" s="0" t="s">
        <v>31</v>
      </c>
      <c r="G28" s="0" t="n">
        <v>16</v>
      </c>
      <c r="H28" s="0" t="n">
        <v>276.04</v>
      </c>
      <c r="I28" s="0" t="s">
        <v>105</v>
      </c>
      <c r="J28" s="0" t="s">
        <v>89</v>
      </c>
      <c r="K28" s="0" t="s">
        <v>34</v>
      </c>
    </row>
    <row r="29" customFormat="false" ht="15" hidden="false" customHeight="false" outlineLevel="0" collapsed="false">
      <c r="A29" s="5" t="s">
        <v>106</v>
      </c>
    </row>
    <row r="30" customFormat="false" ht="15" hidden="false" customHeight="false" outlineLevel="0" collapsed="false">
      <c r="A30" s="0" t="s">
        <v>107</v>
      </c>
      <c r="B30" s="0" t="s">
        <v>108</v>
      </c>
      <c r="C30" s="0" t="n">
        <v>5.66</v>
      </c>
      <c r="D30" s="0" t="n">
        <v>15.375</v>
      </c>
      <c r="E30" s="0" t="n">
        <v>2</v>
      </c>
      <c r="F30" s="0" t="s">
        <v>68</v>
      </c>
      <c r="G30" s="0" t="n">
        <v>16</v>
      </c>
      <c r="H30" s="0" t="n">
        <v>112.71</v>
      </c>
      <c r="I30" s="0" t="s">
        <v>109</v>
      </c>
      <c r="J30" s="0" t="s">
        <v>110</v>
      </c>
      <c r="K30" s="0" t="s">
        <v>34</v>
      </c>
    </row>
    <row r="31" customFormat="false" ht="15" hidden="false" customHeight="false" outlineLevel="0" collapsed="false">
      <c r="A31" s="0" t="s">
        <v>111</v>
      </c>
      <c r="B31" s="0" t="s">
        <v>112</v>
      </c>
      <c r="C31" s="0" t="n">
        <v>5.53</v>
      </c>
      <c r="D31" s="0" t="n">
        <v>13.052</v>
      </c>
      <c r="E31" s="0" t="n">
        <v>2</v>
      </c>
      <c r="F31" s="0" t="s">
        <v>68</v>
      </c>
      <c r="G31" s="0" t="n">
        <v>16</v>
      </c>
      <c r="H31" s="0" t="n">
        <v>97.69</v>
      </c>
      <c r="I31" s="0" t="s">
        <v>113</v>
      </c>
      <c r="J31" s="0" t="s">
        <v>114</v>
      </c>
      <c r="K31" s="0" t="s">
        <v>34</v>
      </c>
    </row>
    <row r="32" customFormat="false" ht="15" hidden="false" customHeight="false" outlineLevel="0" collapsed="false">
      <c r="A32" s="0" t="s">
        <v>115</v>
      </c>
      <c r="B32" s="0" t="s">
        <v>116</v>
      </c>
      <c r="C32" s="0" t="n">
        <v>5.51</v>
      </c>
      <c r="D32" s="0" t="n">
        <v>13.052</v>
      </c>
      <c r="E32" s="0" t="n">
        <v>2</v>
      </c>
      <c r="F32" s="0" t="s">
        <v>68</v>
      </c>
      <c r="G32" s="0" t="n">
        <v>16</v>
      </c>
      <c r="H32" s="0" t="n">
        <v>97.17</v>
      </c>
      <c r="I32" s="0" t="s">
        <v>117</v>
      </c>
      <c r="J32" s="0" t="s">
        <v>114</v>
      </c>
      <c r="K32" s="0" t="s">
        <v>34</v>
      </c>
    </row>
    <row r="33" customFormat="false" ht="15" hidden="false" customHeight="false" outlineLevel="0" collapsed="false">
      <c r="A33" s="0" t="s">
        <v>118</v>
      </c>
      <c r="B33" s="0" t="s">
        <v>119</v>
      </c>
      <c r="C33" s="0" t="n">
        <v>10.65</v>
      </c>
      <c r="D33" s="0" t="n">
        <v>13.052</v>
      </c>
      <c r="E33" s="0" t="n">
        <v>2</v>
      </c>
      <c r="F33" s="0" t="s">
        <v>68</v>
      </c>
      <c r="G33" s="0" t="n">
        <v>16</v>
      </c>
      <c r="H33" s="0" t="n">
        <v>184.67</v>
      </c>
      <c r="I33" s="0" t="s">
        <v>120</v>
      </c>
      <c r="J33" s="0" t="s">
        <v>114</v>
      </c>
      <c r="K33" s="0" t="s">
        <v>34</v>
      </c>
    </row>
    <row r="34" customFormat="false" ht="15" hidden="false" customHeight="false" outlineLevel="0" collapsed="false">
      <c r="A34" s="0" t="s">
        <v>121</v>
      </c>
      <c r="B34" s="0" t="s">
        <v>122</v>
      </c>
      <c r="C34" s="0" t="n">
        <v>15.07</v>
      </c>
      <c r="D34" s="0" t="n">
        <v>13.052</v>
      </c>
      <c r="E34" s="0" t="n">
        <v>2</v>
      </c>
      <c r="F34" s="0" t="s">
        <v>68</v>
      </c>
      <c r="G34" s="0" t="n">
        <v>16</v>
      </c>
      <c r="H34" s="0" t="n">
        <v>346.72</v>
      </c>
      <c r="I34" s="0" t="s">
        <v>123</v>
      </c>
      <c r="J34" s="0" t="s">
        <v>114</v>
      </c>
      <c r="K34" s="0" t="s">
        <v>34</v>
      </c>
    </row>
    <row r="35" customFormat="false" ht="15" hidden="false" customHeight="false" outlineLevel="0" collapsed="false">
      <c r="A35" s="5" t="s">
        <v>124</v>
      </c>
    </row>
    <row r="36" customFormat="false" ht="15" hidden="false" customHeight="false" outlineLevel="0" collapsed="false">
      <c r="A36" s="0" t="s">
        <v>125</v>
      </c>
      <c r="B36" s="0" t="s">
        <v>126</v>
      </c>
      <c r="C36" s="0" t="n">
        <v>11.63</v>
      </c>
      <c r="D36" s="0" t="n">
        <v>15.375</v>
      </c>
      <c r="E36" s="0" t="n">
        <v>4</v>
      </c>
      <c r="F36" s="0" t="s">
        <v>127</v>
      </c>
      <c r="G36" s="0" t="n">
        <v>16</v>
      </c>
      <c r="H36" s="0" t="n">
        <v>715.25</v>
      </c>
      <c r="I36" s="0" t="s">
        <v>128</v>
      </c>
      <c r="J36" s="0" t="s">
        <v>129</v>
      </c>
      <c r="K36" s="0" t="s">
        <v>34</v>
      </c>
    </row>
    <row r="37" customFormat="false" ht="15" hidden="false" customHeight="false" outlineLevel="0" collapsed="false">
      <c r="A37" s="0" t="s">
        <v>130</v>
      </c>
      <c r="B37" s="0" t="s">
        <v>131</v>
      </c>
      <c r="C37" s="0" t="n">
        <v>11.63</v>
      </c>
      <c r="D37" s="0" t="n">
        <v>15.375</v>
      </c>
      <c r="E37" s="0" t="n">
        <v>4</v>
      </c>
      <c r="F37" s="0" t="s">
        <v>127</v>
      </c>
      <c r="G37" s="0" t="n">
        <v>16</v>
      </c>
      <c r="H37" s="0" t="n">
        <v>715.25</v>
      </c>
      <c r="I37" s="0" t="s">
        <v>132</v>
      </c>
      <c r="J37" s="0" t="s">
        <v>129</v>
      </c>
      <c r="K37" s="0" t="s">
        <v>34</v>
      </c>
    </row>
    <row r="38" customFormat="false" ht="15" hidden="false" customHeight="false" outlineLevel="0" collapsed="false">
      <c r="A38" s="0" t="s">
        <v>133</v>
      </c>
      <c r="B38" s="0" t="s">
        <v>134</v>
      </c>
      <c r="C38" s="0" t="n">
        <v>11.63</v>
      </c>
      <c r="D38" s="0" t="n">
        <v>15.375</v>
      </c>
      <c r="E38" s="0" t="n">
        <v>4</v>
      </c>
      <c r="F38" s="0" t="s">
        <v>127</v>
      </c>
      <c r="G38" s="0" t="n">
        <v>16</v>
      </c>
      <c r="H38" s="0" t="n">
        <v>715.25</v>
      </c>
      <c r="I38" s="0" t="s">
        <v>135</v>
      </c>
      <c r="J38" s="0" t="s">
        <v>129</v>
      </c>
      <c r="K38" s="0" t="s">
        <v>34</v>
      </c>
    </row>
    <row r="39" customFormat="false" ht="15" hidden="false" customHeight="false" outlineLevel="0" collapsed="false">
      <c r="A39" s="0" t="s">
        <v>136</v>
      </c>
      <c r="B39" s="0" t="s">
        <v>137</v>
      </c>
      <c r="C39" s="0" t="n">
        <v>11.77</v>
      </c>
      <c r="D39" s="0" t="n">
        <v>15.375</v>
      </c>
      <c r="E39" s="0" t="n">
        <v>4</v>
      </c>
      <c r="F39" s="0" t="s">
        <v>127</v>
      </c>
      <c r="G39" s="0" t="n">
        <v>16</v>
      </c>
      <c r="H39" s="0" t="n">
        <v>723.86</v>
      </c>
      <c r="I39" s="0" t="s">
        <v>138</v>
      </c>
      <c r="J39" s="0" t="s">
        <v>129</v>
      </c>
      <c r="K39" s="0" t="s">
        <v>34</v>
      </c>
    </row>
    <row r="40" customFormat="false" ht="15" hidden="false" customHeight="false" outlineLevel="0" collapsed="false">
      <c r="A40" s="0" t="s">
        <v>139</v>
      </c>
      <c r="B40" s="0" t="s">
        <v>140</v>
      </c>
      <c r="C40" s="0" t="n">
        <v>11.77</v>
      </c>
      <c r="D40" s="0" t="n">
        <v>15.375</v>
      </c>
      <c r="E40" s="0" t="n">
        <v>4</v>
      </c>
      <c r="F40" s="0" t="s">
        <v>127</v>
      </c>
      <c r="G40" s="0" t="n">
        <v>16</v>
      </c>
      <c r="H40" s="0" t="n">
        <v>723.86</v>
      </c>
      <c r="I40" s="0" t="s">
        <v>141</v>
      </c>
      <c r="J40" s="0" t="s">
        <v>129</v>
      </c>
      <c r="K40" s="0" t="s">
        <v>34</v>
      </c>
    </row>
    <row r="41" customFormat="false" ht="15" hidden="false" customHeight="false" outlineLevel="0" collapsed="false">
      <c r="A41" s="0" t="s">
        <v>142</v>
      </c>
      <c r="B41" s="0" t="s">
        <v>143</v>
      </c>
      <c r="C41" s="0" t="n">
        <v>11.77</v>
      </c>
      <c r="D41" s="0" t="n">
        <v>15.375</v>
      </c>
      <c r="E41" s="0" t="n">
        <v>4</v>
      </c>
      <c r="F41" s="0" t="s">
        <v>127</v>
      </c>
      <c r="G41" s="0" t="n">
        <v>16</v>
      </c>
      <c r="H41" s="0" t="n">
        <v>723.86</v>
      </c>
      <c r="I41" s="0" t="s">
        <v>144</v>
      </c>
      <c r="J41" s="0" t="s">
        <v>129</v>
      </c>
      <c r="K41" s="0" t="s">
        <v>34</v>
      </c>
    </row>
    <row r="42" customFormat="false" ht="15" hidden="false" customHeight="false" outlineLevel="0" collapsed="false">
      <c r="A42" s="0" t="s">
        <v>145</v>
      </c>
      <c r="B42" s="0" t="s">
        <v>146</v>
      </c>
      <c r="C42" s="0" t="n">
        <v>3.47</v>
      </c>
      <c r="D42" s="0" t="n">
        <v>15.375</v>
      </c>
      <c r="E42" s="0" t="n">
        <v>4</v>
      </c>
      <c r="F42" s="0" t="s">
        <v>127</v>
      </c>
      <c r="G42" s="0" t="n">
        <v>16</v>
      </c>
      <c r="H42" s="0" t="n">
        <v>213.41</v>
      </c>
      <c r="I42" s="0" t="s">
        <v>147</v>
      </c>
      <c r="J42" s="0" t="s">
        <v>129</v>
      </c>
      <c r="K42" s="0" t="s">
        <v>34</v>
      </c>
    </row>
    <row r="43" customFormat="false" ht="15" hidden="false" customHeight="false" outlineLevel="0" collapsed="false">
      <c r="A43" s="0" t="s">
        <v>148</v>
      </c>
      <c r="B43" s="0" t="s">
        <v>149</v>
      </c>
      <c r="C43" s="0" t="n">
        <v>3.25</v>
      </c>
      <c r="D43" s="0" t="n">
        <v>15.375</v>
      </c>
      <c r="E43" s="0" t="n">
        <v>4</v>
      </c>
      <c r="F43" s="0" t="s">
        <v>127</v>
      </c>
      <c r="G43" s="0" t="n">
        <v>16</v>
      </c>
      <c r="H43" s="0" t="n">
        <v>199.88</v>
      </c>
      <c r="I43" s="0" t="s">
        <v>150</v>
      </c>
      <c r="J43" s="0" t="s">
        <v>129</v>
      </c>
      <c r="K43" s="0" t="s">
        <v>34</v>
      </c>
    </row>
    <row r="44" customFormat="false" ht="15" hidden="false" customHeight="false" outlineLevel="0" collapsed="false">
      <c r="A44" s="0" t="s">
        <v>151</v>
      </c>
      <c r="B44" s="0" t="s">
        <v>152</v>
      </c>
      <c r="C44" s="0" t="n">
        <v>3.25</v>
      </c>
      <c r="D44" s="0" t="n">
        <v>15.375</v>
      </c>
      <c r="E44" s="0" t="n">
        <v>4</v>
      </c>
      <c r="F44" s="0" t="s">
        <v>127</v>
      </c>
      <c r="G44" s="0" t="n">
        <v>16</v>
      </c>
      <c r="H44" s="0" t="n">
        <v>199.88</v>
      </c>
      <c r="I44" s="0" t="s">
        <v>153</v>
      </c>
      <c r="J44" s="0" t="s">
        <v>129</v>
      </c>
      <c r="K44" s="0" t="s">
        <v>34</v>
      </c>
    </row>
    <row r="45" customFormat="false" ht="15" hidden="false" customHeight="false" outlineLevel="0" collapsed="false">
      <c r="A45" s="0" t="s">
        <v>154</v>
      </c>
      <c r="B45" s="0" t="s">
        <v>155</v>
      </c>
      <c r="C45" s="0" t="n">
        <v>2.42</v>
      </c>
      <c r="D45" s="0" t="n">
        <v>15.375</v>
      </c>
      <c r="E45" s="0" t="n">
        <v>4</v>
      </c>
      <c r="F45" s="0" t="s">
        <v>127</v>
      </c>
      <c r="G45" s="0" t="n">
        <v>16</v>
      </c>
      <c r="H45" s="0" t="n">
        <v>148.83</v>
      </c>
      <c r="I45" s="0" t="s">
        <v>156</v>
      </c>
      <c r="J45" s="0" t="s">
        <v>129</v>
      </c>
      <c r="K45" s="0" t="s">
        <v>34</v>
      </c>
    </row>
    <row r="46" customFormat="false" ht="15" hidden="false" customHeight="false" outlineLevel="0" collapsed="false">
      <c r="A46" s="0" t="s">
        <v>157</v>
      </c>
      <c r="B46" s="0" t="s">
        <v>158</v>
      </c>
      <c r="C46" s="0" t="n">
        <v>0.97</v>
      </c>
      <c r="D46" s="0" t="n">
        <v>15.375</v>
      </c>
      <c r="E46" s="0" t="n">
        <v>4</v>
      </c>
      <c r="F46" s="0" t="s">
        <v>127</v>
      </c>
      <c r="G46" s="0" t="n">
        <v>16</v>
      </c>
      <c r="H46" s="0" t="n">
        <v>59.66</v>
      </c>
      <c r="I46" s="0" t="s">
        <v>159</v>
      </c>
      <c r="J46" s="0" t="s">
        <v>129</v>
      </c>
      <c r="K46" s="0" t="s">
        <v>34</v>
      </c>
    </row>
    <row r="47" customFormat="false" ht="15" hidden="false" customHeight="false" outlineLevel="0" collapsed="false">
      <c r="A47" s="5" t="s">
        <v>160</v>
      </c>
    </row>
    <row r="48" customFormat="false" ht="15" hidden="false" customHeight="false" outlineLevel="0" collapsed="false">
      <c r="A48" s="0" t="s">
        <v>161</v>
      </c>
      <c r="B48" s="0" t="s">
        <v>162</v>
      </c>
      <c r="C48" s="0" t="n">
        <v>11.77</v>
      </c>
      <c r="D48" s="0" t="n">
        <v>15.375</v>
      </c>
      <c r="E48" s="0" t="n">
        <v>4</v>
      </c>
      <c r="F48" s="0" t="s">
        <v>127</v>
      </c>
      <c r="G48" s="0" t="n">
        <v>16</v>
      </c>
      <c r="H48" s="0" t="n">
        <v>723.86</v>
      </c>
      <c r="I48" s="0" t="s">
        <v>163</v>
      </c>
      <c r="J48" s="0" t="s">
        <v>164</v>
      </c>
      <c r="K48" s="0" t="s">
        <v>34</v>
      </c>
    </row>
    <row r="49" customFormat="false" ht="15" hidden="false" customHeight="false" outlineLevel="0" collapsed="false">
      <c r="A49" s="0" t="s">
        <v>165</v>
      </c>
      <c r="B49" s="0" t="s">
        <v>166</v>
      </c>
      <c r="C49" s="0" t="n">
        <v>2.67</v>
      </c>
      <c r="D49" s="0" t="n">
        <v>15.375</v>
      </c>
      <c r="E49" s="0" t="n">
        <v>4</v>
      </c>
      <c r="F49" s="0" t="s">
        <v>127</v>
      </c>
      <c r="G49" s="0" t="n">
        <v>16</v>
      </c>
      <c r="H49" s="0" t="n">
        <v>164.2</v>
      </c>
      <c r="I49" s="0" t="s">
        <v>167</v>
      </c>
      <c r="J49" s="0" t="s">
        <v>164</v>
      </c>
      <c r="K49" s="0" t="s">
        <v>34</v>
      </c>
    </row>
    <row r="50" customFormat="false" ht="15" hidden="false" customHeight="false" outlineLevel="0" collapsed="false">
      <c r="A50" s="0" t="s">
        <v>168</v>
      </c>
      <c r="B50" s="0" t="s">
        <v>169</v>
      </c>
      <c r="C50" s="0" t="n">
        <v>2.67</v>
      </c>
      <c r="D50" s="0" t="n">
        <v>15.375</v>
      </c>
      <c r="E50" s="0" t="n">
        <v>4</v>
      </c>
      <c r="F50" s="0" t="s">
        <v>127</v>
      </c>
      <c r="G50" s="0" t="n">
        <v>16</v>
      </c>
      <c r="H50" s="0" t="n">
        <v>164.2</v>
      </c>
      <c r="I50" s="0" t="s">
        <v>170</v>
      </c>
      <c r="J50" s="0" t="s">
        <v>164</v>
      </c>
      <c r="K50" s="0" t="s">
        <v>34</v>
      </c>
    </row>
    <row r="51" customFormat="false" ht="15" hidden="false" customHeight="false" outlineLevel="0" collapsed="false">
      <c r="A51" s="5" t="s">
        <v>171</v>
      </c>
    </row>
    <row r="52" customFormat="false" ht="15" hidden="false" customHeight="false" outlineLevel="0" collapsed="false">
      <c r="A52" s="0" t="s">
        <v>172</v>
      </c>
      <c r="B52" s="0" t="s">
        <v>173</v>
      </c>
      <c r="C52" s="0" t="n">
        <v>3.41</v>
      </c>
      <c r="D52" s="0" t="n">
        <v>15.375</v>
      </c>
      <c r="E52" s="0" t="n">
        <v>2</v>
      </c>
      <c r="F52" s="0" t="s">
        <v>31</v>
      </c>
      <c r="G52" s="0" t="n">
        <v>24</v>
      </c>
      <c r="H52" s="0" t="n">
        <v>104.86</v>
      </c>
      <c r="I52" s="0" t="s">
        <v>174</v>
      </c>
      <c r="J52" s="0" t="s">
        <v>175</v>
      </c>
      <c r="K52" s="0" t="s">
        <v>34</v>
      </c>
    </row>
    <row r="53" customFormat="false" ht="15" hidden="false" customHeight="false" outlineLevel="0" collapsed="false">
      <c r="A53" s="0" t="s">
        <v>176</v>
      </c>
      <c r="B53" s="0" t="s">
        <v>177</v>
      </c>
      <c r="C53" s="0" t="n">
        <v>5.18</v>
      </c>
      <c r="D53" s="0" t="n">
        <v>13.052</v>
      </c>
      <c r="E53" s="0" t="n">
        <v>2</v>
      </c>
      <c r="F53" s="0" t="s">
        <v>31</v>
      </c>
      <c r="G53" s="0" t="n">
        <v>24</v>
      </c>
      <c r="H53" s="0" t="n">
        <v>135.22</v>
      </c>
      <c r="I53" s="0" t="s">
        <v>178</v>
      </c>
      <c r="J53" s="0" t="s">
        <v>179</v>
      </c>
      <c r="K53" s="0" t="s">
        <v>34</v>
      </c>
    </row>
    <row r="54" customFormat="false" ht="15" hidden="false" customHeight="false" outlineLevel="0" collapsed="false">
      <c r="A54" s="5" t="s">
        <v>180</v>
      </c>
    </row>
    <row r="55" customFormat="false" ht="15" hidden="false" customHeight="false" outlineLevel="0" collapsed="false">
      <c r="A55" s="0" t="s">
        <v>181</v>
      </c>
      <c r="B55" s="0" t="s">
        <v>182</v>
      </c>
      <c r="C55" s="0" t="n">
        <v>2.2</v>
      </c>
      <c r="D55" s="0" t="n">
        <v>15.375</v>
      </c>
      <c r="E55" s="0" t="n">
        <v>2</v>
      </c>
      <c r="F55" s="0" t="s">
        <v>68</v>
      </c>
      <c r="G55" s="0" t="n">
        <v>24</v>
      </c>
      <c r="H55" s="0" t="n">
        <v>67.65</v>
      </c>
      <c r="I55" s="0" t="s">
        <v>183</v>
      </c>
      <c r="J55" s="0" t="s">
        <v>184</v>
      </c>
      <c r="K55" s="0" t="s">
        <v>34</v>
      </c>
    </row>
    <row r="56" customFormat="false" ht="15" hidden="false" customHeight="false" outlineLevel="0" collapsed="false">
      <c r="A56" s="5" t="s">
        <v>185</v>
      </c>
    </row>
    <row r="57" customFormat="false" ht="15" hidden="false" customHeight="false" outlineLevel="0" collapsed="false">
      <c r="A57" s="0" t="s">
        <v>186</v>
      </c>
      <c r="B57" s="0" t="s">
        <v>187</v>
      </c>
      <c r="C57" s="0" t="n">
        <v>18.48</v>
      </c>
      <c r="D57" s="0" t="n">
        <v>15.375</v>
      </c>
      <c r="E57" s="0" t="n">
        <v>2</v>
      </c>
      <c r="F57" s="0" t="s">
        <v>31</v>
      </c>
      <c r="G57" s="0" t="n">
        <v>16</v>
      </c>
      <c r="H57" s="0" t="n">
        <v>351.12</v>
      </c>
      <c r="I57" s="0" t="s">
        <v>188</v>
      </c>
      <c r="J57" s="0" t="s">
        <v>189</v>
      </c>
      <c r="K57" s="0" t="s">
        <v>34</v>
      </c>
    </row>
    <row r="58" customFormat="false" ht="15" hidden="false" customHeight="false" outlineLevel="0" collapsed="false">
      <c r="A58" s="5" t="s">
        <v>190</v>
      </c>
    </row>
    <row r="59" customFormat="false" ht="15" hidden="false" customHeight="false" outlineLevel="0" collapsed="false">
      <c r="A59" s="0" t="s">
        <v>191</v>
      </c>
      <c r="B59" s="0" t="s">
        <v>192</v>
      </c>
      <c r="C59" s="0" t="n">
        <v>11.33</v>
      </c>
      <c r="D59" s="0" t="n">
        <v>15.375</v>
      </c>
      <c r="E59" s="0" t="n">
        <v>1</v>
      </c>
      <c r="F59" s="0" t="s">
        <v>31</v>
      </c>
      <c r="G59" s="0" t="n">
        <v>16</v>
      </c>
      <c r="H59" s="0" t="n">
        <v>135.96</v>
      </c>
      <c r="I59" s="0" t="s">
        <v>193</v>
      </c>
      <c r="J59" s="0" t="s">
        <v>194</v>
      </c>
      <c r="K59" s="0" t="s">
        <v>34</v>
      </c>
    </row>
    <row r="60" customFormat="false" ht="15" hidden="false" customHeight="false" outlineLevel="0" collapsed="false">
      <c r="A60" s="0" t="s">
        <v>195</v>
      </c>
      <c r="B60" s="0" t="s">
        <v>196</v>
      </c>
      <c r="C60" s="0" t="n">
        <v>10.03</v>
      </c>
      <c r="D60" s="0" t="n">
        <v>13.052</v>
      </c>
      <c r="E60" s="0" t="n">
        <v>1</v>
      </c>
      <c r="F60" s="0" t="s">
        <v>31</v>
      </c>
      <c r="G60" s="0" t="n">
        <v>16</v>
      </c>
      <c r="H60" s="0" t="n">
        <v>90.27</v>
      </c>
      <c r="I60" s="0" t="s">
        <v>197</v>
      </c>
      <c r="J60" s="0" t="s">
        <v>198</v>
      </c>
      <c r="K60" s="0" t="s">
        <v>34</v>
      </c>
    </row>
    <row r="61" customFormat="false" ht="15" hidden="false" customHeight="false" outlineLevel="0" collapsed="false">
      <c r="A61" s="0" t="s">
        <v>199</v>
      </c>
      <c r="B61" s="0" t="s">
        <v>200</v>
      </c>
      <c r="C61" s="0" t="n">
        <v>10.03</v>
      </c>
      <c r="D61" s="0" t="n">
        <v>13.052</v>
      </c>
      <c r="E61" s="0" t="n">
        <v>1</v>
      </c>
      <c r="F61" s="0" t="s">
        <v>31</v>
      </c>
      <c r="G61" s="0" t="n">
        <v>16</v>
      </c>
      <c r="H61" s="0" t="n">
        <v>90.27</v>
      </c>
      <c r="I61" s="0" t="s">
        <v>201</v>
      </c>
      <c r="J61" s="0" t="s">
        <v>198</v>
      </c>
      <c r="K61" s="0" t="s">
        <v>34</v>
      </c>
    </row>
    <row r="62" customFormat="false" ht="15" hidden="false" customHeight="false" outlineLevel="0" collapsed="false">
      <c r="A62" s="0" t="s">
        <v>202</v>
      </c>
      <c r="B62" s="0" t="s">
        <v>203</v>
      </c>
      <c r="C62" s="0" t="n">
        <v>3.41</v>
      </c>
      <c r="D62" s="0" t="n">
        <v>13.052</v>
      </c>
      <c r="E62" s="0" t="n">
        <v>1</v>
      </c>
      <c r="F62" s="0" t="s">
        <v>31</v>
      </c>
      <c r="G62" s="0" t="n">
        <v>16</v>
      </c>
      <c r="H62" s="0" t="n">
        <v>32.4</v>
      </c>
      <c r="I62" s="0" t="s">
        <v>204</v>
      </c>
      <c r="J62" s="0" t="s">
        <v>198</v>
      </c>
      <c r="K62" s="0" t="s">
        <v>34</v>
      </c>
    </row>
    <row r="63" customFormat="false" ht="15" hidden="false" customHeight="false" outlineLevel="0" collapsed="false">
      <c r="A63" s="0" t="s">
        <v>205</v>
      </c>
      <c r="B63" s="0" t="s">
        <v>206</v>
      </c>
      <c r="C63" s="0" t="n">
        <v>18.6</v>
      </c>
      <c r="D63" s="0" t="n">
        <v>15.375</v>
      </c>
      <c r="E63" s="0" t="n">
        <v>1</v>
      </c>
      <c r="F63" s="0" t="s">
        <v>31</v>
      </c>
      <c r="G63" s="0" t="n">
        <v>16</v>
      </c>
      <c r="H63" s="0" t="n">
        <v>195.3</v>
      </c>
      <c r="I63" s="0" t="s">
        <v>207</v>
      </c>
      <c r="J63" s="0" t="s">
        <v>194</v>
      </c>
      <c r="K63" s="0" t="s">
        <v>34</v>
      </c>
    </row>
    <row r="64" customFormat="false" ht="15" hidden="false" customHeight="false" outlineLevel="0" collapsed="false">
      <c r="A64" s="5" t="s">
        <v>208</v>
      </c>
    </row>
    <row r="65" customFormat="false" ht="15" hidden="false" customHeight="false" outlineLevel="0" collapsed="false">
      <c r="A65" s="0" t="s">
        <v>209</v>
      </c>
      <c r="B65" s="0" t="s">
        <v>210</v>
      </c>
      <c r="C65" s="0" t="n">
        <v>7.5</v>
      </c>
      <c r="D65" s="0" t="n">
        <v>7.375</v>
      </c>
      <c r="E65" s="0" t="n">
        <v>4</v>
      </c>
      <c r="F65" s="0" t="s">
        <v>127</v>
      </c>
      <c r="G65" s="0" t="n">
        <v>16</v>
      </c>
      <c r="H65" s="0" t="n">
        <v>221.25</v>
      </c>
      <c r="I65" s="0" t="s">
        <v>211</v>
      </c>
      <c r="J65" s="0" t="s">
        <v>212</v>
      </c>
      <c r="K65" s="0" t="s">
        <v>34</v>
      </c>
    </row>
    <row r="66" customFormat="false" ht="15" hidden="false" customHeight="false" outlineLevel="0" collapsed="false">
      <c r="A66" s="0" t="s">
        <v>213</v>
      </c>
      <c r="B66" s="0" t="s">
        <v>214</v>
      </c>
      <c r="C66" s="0" t="n">
        <v>7.5</v>
      </c>
      <c r="D66" s="0" t="n">
        <v>7.375</v>
      </c>
      <c r="E66" s="0" t="n">
        <v>4</v>
      </c>
      <c r="F66" s="0" t="s">
        <v>127</v>
      </c>
      <c r="G66" s="0" t="n">
        <v>16</v>
      </c>
      <c r="H66" s="0" t="n">
        <v>221.25</v>
      </c>
      <c r="I66" s="0" t="s">
        <v>215</v>
      </c>
      <c r="J66" s="0" t="s">
        <v>212</v>
      </c>
      <c r="K66" s="0" t="s">
        <v>34</v>
      </c>
    </row>
    <row r="67" customFormat="false" ht="15" hidden="false" customHeight="false" outlineLevel="0" collapsed="false">
      <c r="A67" s="0" t="s">
        <v>216</v>
      </c>
      <c r="B67" s="0" t="s">
        <v>217</v>
      </c>
      <c r="C67" s="0" t="n">
        <v>7.5</v>
      </c>
      <c r="D67" s="0" t="n">
        <v>7.375</v>
      </c>
      <c r="E67" s="0" t="n">
        <v>4</v>
      </c>
      <c r="F67" s="0" t="s">
        <v>127</v>
      </c>
      <c r="G67" s="0" t="n">
        <v>16</v>
      </c>
      <c r="H67" s="0" t="n">
        <v>221.25</v>
      </c>
      <c r="I67" s="0" t="s">
        <v>218</v>
      </c>
      <c r="J67" s="0" t="s">
        <v>212</v>
      </c>
      <c r="K67" s="0" t="s">
        <v>34</v>
      </c>
    </row>
    <row r="68" customFormat="false" ht="15" hidden="false" customHeight="false" outlineLevel="0" collapsed="false">
      <c r="A68" s="0" t="s">
        <v>219</v>
      </c>
      <c r="B68" s="0" t="s">
        <v>220</v>
      </c>
      <c r="C68" s="0" t="n">
        <v>7.5</v>
      </c>
      <c r="D68" s="0" t="n">
        <v>7.375</v>
      </c>
      <c r="E68" s="0" t="n">
        <v>4</v>
      </c>
      <c r="F68" s="0" t="s">
        <v>127</v>
      </c>
      <c r="G68" s="0" t="n">
        <v>16</v>
      </c>
      <c r="H68" s="0" t="n">
        <v>221.25</v>
      </c>
      <c r="I68" s="0" t="s">
        <v>221</v>
      </c>
      <c r="J68" s="0" t="s">
        <v>212</v>
      </c>
      <c r="K68" s="0" t="s">
        <v>34</v>
      </c>
    </row>
    <row r="69" customFormat="false" ht="15" hidden="false" customHeight="false" outlineLevel="0" collapsed="false">
      <c r="A69" s="0" t="s">
        <v>222</v>
      </c>
      <c r="B69" s="0" t="s">
        <v>223</v>
      </c>
      <c r="C69" s="0" t="n">
        <v>7.5</v>
      </c>
      <c r="D69" s="0" t="n">
        <v>7.375</v>
      </c>
      <c r="E69" s="0" t="n">
        <v>4</v>
      </c>
      <c r="F69" s="0" t="s">
        <v>127</v>
      </c>
      <c r="G69" s="0" t="n">
        <v>16</v>
      </c>
      <c r="H69" s="0" t="n">
        <v>221.25</v>
      </c>
      <c r="I69" s="0" t="s">
        <v>224</v>
      </c>
      <c r="J69" s="0" t="s">
        <v>212</v>
      </c>
      <c r="K69" s="0" t="s">
        <v>34</v>
      </c>
    </row>
    <row r="70" customFormat="false" ht="15" hidden="false" customHeight="false" outlineLevel="0" collapsed="false">
      <c r="A70" s="0" t="s">
        <v>225</v>
      </c>
      <c r="B70" s="0" t="s">
        <v>226</v>
      </c>
      <c r="C70" s="0" t="n">
        <v>7.5</v>
      </c>
      <c r="D70" s="0" t="n">
        <v>7.375</v>
      </c>
      <c r="E70" s="0" t="n">
        <v>4</v>
      </c>
      <c r="F70" s="0" t="s">
        <v>127</v>
      </c>
      <c r="G70" s="0" t="n">
        <v>16</v>
      </c>
      <c r="H70" s="0" t="n">
        <v>221.25</v>
      </c>
      <c r="I70" s="0" t="s">
        <v>227</v>
      </c>
      <c r="J70" s="0" t="s">
        <v>212</v>
      </c>
      <c r="K70" s="0" t="s">
        <v>34</v>
      </c>
    </row>
    <row r="71" customFormat="false" ht="15" hidden="false" customHeight="false" outlineLevel="0" collapsed="false">
      <c r="A71" s="0" t="s">
        <v>228</v>
      </c>
      <c r="B71" s="0" t="s">
        <v>229</v>
      </c>
      <c r="C71" s="0" t="n">
        <v>13.33</v>
      </c>
      <c r="D71" s="0" t="n">
        <v>1.875</v>
      </c>
      <c r="E71" s="0" t="n">
        <v>0</v>
      </c>
      <c r="F71" s="0" t="s">
        <v>31</v>
      </c>
      <c r="G71" s="0" t="n">
        <v>16</v>
      </c>
      <c r="H71" s="0" t="n">
        <v>0</v>
      </c>
      <c r="I71" s="0" t="s">
        <v>230</v>
      </c>
      <c r="J71" s="0" t="s">
        <v>231</v>
      </c>
      <c r="K71" s="0" t="s">
        <v>34</v>
      </c>
    </row>
    <row r="72" customFormat="false" ht="15" hidden="false" customHeight="false" outlineLevel="0" collapsed="false">
      <c r="A72" s="5" t="s">
        <v>232</v>
      </c>
    </row>
    <row r="73" customFormat="false" ht="15" hidden="false" customHeight="false" outlineLevel="0" collapsed="false">
      <c r="A73" s="0" t="s">
        <v>233</v>
      </c>
      <c r="B73" s="0" t="s">
        <v>234</v>
      </c>
      <c r="C73" s="0" t="n">
        <v>5.11</v>
      </c>
      <c r="D73" s="0" t="n">
        <v>15.375</v>
      </c>
      <c r="E73" s="0" t="n">
        <v>1</v>
      </c>
      <c r="F73" s="0" t="s">
        <v>68</v>
      </c>
      <c r="G73" s="0" t="n">
        <v>16</v>
      </c>
      <c r="H73" s="0" t="n">
        <v>78.57</v>
      </c>
      <c r="I73" s="0" t="s">
        <v>235</v>
      </c>
      <c r="J73" s="0" t="s">
        <v>236</v>
      </c>
      <c r="K73" s="0" t="s">
        <v>34</v>
      </c>
    </row>
    <row r="74" customFormat="false" ht="15" hidden="false" customHeight="false" outlineLevel="0" collapsed="false">
      <c r="A74" s="0" t="s">
        <v>237</v>
      </c>
      <c r="B74" s="0" t="s">
        <v>238</v>
      </c>
      <c r="C74" s="0" t="n">
        <v>12.56</v>
      </c>
      <c r="D74" s="0" t="n">
        <v>15.375</v>
      </c>
      <c r="E74" s="0" t="n">
        <v>1</v>
      </c>
      <c r="F74" s="0" t="s">
        <v>68</v>
      </c>
      <c r="G74" s="0" t="n">
        <v>16</v>
      </c>
      <c r="H74" s="0" t="n">
        <v>86.35</v>
      </c>
      <c r="I74" s="0" t="s">
        <v>239</v>
      </c>
      <c r="J74" s="0" t="s">
        <v>236</v>
      </c>
      <c r="K74" s="0" t="s">
        <v>34</v>
      </c>
    </row>
    <row r="75" customFormat="false" ht="15" hidden="false" customHeight="false" outlineLevel="0" collapsed="false">
      <c r="A75" s="0" t="s">
        <v>240</v>
      </c>
      <c r="B75" s="0" t="s">
        <v>241</v>
      </c>
      <c r="C75" s="0" t="n">
        <v>26.25</v>
      </c>
      <c r="D75" s="0" t="n">
        <v>15.375</v>
      </c>
      <c r="E75" s="0" t="n">
        <v>1</v>
      </c>
      <c r="F75" s="0" t="s">
        <v>68</v>
      </c>
      <c r="G75" s="0" t="n">
        <v>16</v>
      </c>
      <c r="H75" s="0" t="n">
        <v>180.47</v>
      </c>
      <c r="I75" s="0" t="s">
        <v>242</v>
      </c>
      <c r="J75" s="0" t="s">
        <v>243</v>
      </c>
      <c r="K75" s="0" t="s">
        <v>34</v>
      </c>
    </row>
    <row r="76" customFormat="false" ht="15" hidden="false" customHeight="false" outlineLevel="0" collapsed="false">
      <c r="A76" s="0" t="s">
        <v>244</v>
      </c>
      <c r="B76" s="0" t="s">
        <v>245</v>
      </c>
      <c r="C76" s="0" t="n">
        <v>13.61</v>
      </c>
      <c r="D76" s="0" t="n">
        <v>15.375</v>
      </c>
      <c r="E76" s="0" t="n">
        <v>1</v>
      </c>
      <c r="F76" s="0" t="s">
        <v>68</v>
      </c>
      <c r="G76" s="0" t="n">
        <v>16</v>
      </c>
      <c r="H76" s="0" t="n">
        <v>209.25</v>
      </c>
      <c r="I76" s="0" t="s">
        <v>246</v>
      </c>
      <c r="J76" s="0" t="s">
        <v>243</v>
      </c>
      <c r="K76" s="0" t="s">
        <v>34</v>
      </c>
    </row>
    <row r="77" customFormat="false" ht="15" hidden="false" customHeight="false" outlineLevel="0" collapsed="false">
      <c r="A77" s="0" t="s">
        <v>247</v>
      </c>
      <c r="B77" s="0" t="s">
        <v>248</v>
      </c>
      <c r="C77" s="0" t="n">
        <v>51.44</v>
      </c>
      <c r="D77" s="0" t="n">
        <v>15.375</v>
      </c>
      <c r="E77" s="0" t="n">
        <v>1</v>
      </c>
      <c r="F77" s="0" t="s">
        <v>68</v>
      </c>
      <c r="G77" s="0" t="n">
        <v>16</v>
      </c>
      <c r="H77" s="0" t="n">
        <v>725.56</v>
      </c>
      <c r="I77" s="0" t="s">
        <v>249</v>
      </c>
      <c r="J77" s="0" t="s">
        <v>243</v>
      </c>
      <c r="K77" s="0" t="s">
        <v>34</v>
      </c>
    </row>
    <row r="78" customFormat="false" ht="15" hidden="false" customHeight="false" outlineLevel="0" collapsed="false">
      <c r="A78" s="0" t="s">
        <v>250</v>
      </c>
      <c r="B78" s="0" t="s">
        <v>251</v>
      </c>
      <c r="C78" s="0" t="n">
        <v>25.82</v>
      </c>
      <c r="D78" s="0" t="n">
        <v>13.052</v>
      </c>
      <c r="E78" s="0" t="n">
        <v>1</v>
      </c>
      <c r="F78" s="0" t="s">
        <v>68</v>
      </c>
      <c r="G78" s="0" t="n">
        <v>16</v>
      </c>
      <c r="H78" s="0" t="n">
        <v>337</v>
      </c>
      <c r="I78" s="0" t="s">
        <v>252</v>
      </c>
      <c r="J78" s="0" t="s">
        <v>253</v>
      </c>
      <c r="K78" s="0" t="s">
        <v>34</v>
      </c>
    </row>
    <row r="79" customFormat="false" ht="15" hidden="false" customHeight="false" outlineLevel="0" collapsed="false">
      <c r="A79" s="0" t="s">
        <v>254</v>
      </c>
      <c r="B79" s="0" t="s">
        <v>255</v>
      </c>
      <c r="C79" s="0" t="n">
        <v>53.67</v>
      </c>
      <c r="D79" s="0" t="n">
        <v>12.531</v>
      </c>
      <c r="E79" s="0" t="n">
        <v>1</v>
      </c>
      <c r="F79" s="0" t="s">
        <v>68</v>
      </c>
      <c r="G79" s="0" t="n">
        <v>16</v>
      </c>
      <c r="H79" s="0" t="n">
        <v>645.87</v>
      </c>
      <c r="I79" s="0" t="s">
        <v>256</v>
      </c>
      <c r="J79" s="0" t="s">
        <v>257</v>
      </c>
      <c r="K79" s="0" t="s">
        <v>34</v>
      </c>
    </row>
    <row r="80" customFormat="false" ht="15" hidden="false" customHeight="false" outlineLevel="0" collapsed="false">
      <c r="A80" s="0" t="s">
        <v>258</v>
      </c>
      <c r="B80" s="0" t="s">
        <v>259</v>
      </c>
      <c r="C80" s="0" t="n">
        <v>6.5</v>
      </c>
      <c r="D80" s="0" t="n">
        <v>15.375</v>
      </c>
      <c r="E80" s="0" t="n">
        <v>1</v>
      </c>
      <c r="F80" s="0" t="s">
        <v>68</v>
      </c>
      <c r="G80" s="0" t="n">
        <v>16</v>
      </c>
      <c r="H80" s="0" t="n">
        <v>44.69</v>
      </c>
      <c r="I80" s="0" t="s">
        <v>260</v>
      </c>
      <c r="J80" s="0" t="s">
        <v>236</v>
      </c>
      <c r="K80" s="0" t="s">
        <v>34</v>
      </c>
    </row>
    <row r="81" customFormat="false" ht="15" hidden="false" customHeight="false" outlineLevel="0" collapsed="false">
      <c r="A81" s="0" t="s">
        <v>261</v>
      </c>
      <c r="B81" s="0" t="s">
        <v>262</v>
      </c>
      <c r="C81" s="0" t="n">
        <v>20.95</v>
      </c>
      <c r="D81" s="0" t="n">
        <v>15.375</v>
      </c>
      <c r="E81" s="0" t="n">
        <v>1</v>
      </c>
      <c r="F81" s="0" t="s">
        <v>68</v>
      </c>
      <c r="G81" s="0" t="n">
        <v>16</v>
      </c>
      <c r="H81" s="0" t="n">
        <v>322.11</v>
      </c>
      <c r="I81" s="0" t="s">
        <v>263</v>
      </c>
      <c r="J81" s="0" t="s">
        <v>236</v>
      </c>
      <c r="K81" s="0" t="s">
        <v>34</v>
      </c>
    </row>
    <row r="82" customFormat="false" ht="15" hidden="false" customHeight="false" outlineLevel="0" collapsed="false">
      <c r="A82" s="0" t="s">
        <v>264</v>
      </c>
      <c r="B82" s="0" t="s">
        <v>265</v>
      </c>
      <c r="C82" s="0" t="n">
        <v>23.06</v>
      </c>
      <c r="D82" s="0" t="n">
        <v>15.375</v>
      </c>
      <c r="E82" s="0" t="n">
        <v>1</v>
      </c>
      <c r="F82" s="0" t="s">
        <v>68</v>
      </c>
      <c r="G82" s="0" t="n">
        <v>16</v>
      </c>
      <c r="H82" s="0" t="n">
        <v>321.88</v>
      </c>
      <c r="I82" s="0" t="s">
        <v>266</v>
      </c>
      <c r="J82" s="0" t="s">
        <v>243</v>
      </c>
      <c r="K82" s="0" t="s">
        <v>34</v>
      </c>
    </row>
    <row r="83" customFormat="false" ht="15" hidden="false" customHeight="false" outlineLevel="0" collapsed="false">
      <c r="A83" s="0" t="s">
        <v>267</v>
      </c>
      <c r="B83" s="0" t="s">
        <v>268</v>
      </c>
      <c r="C83" s="0" t="n">
        <v>24.87</v>
      </c>
      <c r="D83" s="0" t="n">
        <v>13.052</v>
      </c>
      <c r="E83" s="0" t="n">
        <v>1</v>
      </c>
      <c r="F83" s="0" t="s">
        <v>68</v>
      </c>
      <c r="G83" s="0" t="n">
        <v>16</v>
      </c>
      <c r="H83" s="0" t="n">
        <v>324.6</v>
      </c>
      <c r="I83" s="0" t="s">
        <v>269</v>
      </c>
      <c r="J83" s="0" t="s">
        <v>253</v>
      </c>
      <c r="K83" s="0" t="s">
        <v>34</v>
      </c>
    </row>
    <row r="84" customFormat="false" ht="15" hidden="false" customHeight="false" outlineLevel="0" collapsed="false">
      <c r="A84" s="6" t="s">
        <v>270</v>
      </c>
      <c r="C84" s="3" t="n">
        <f aca="false">SUM(C5:C83)</f>
        <v>736.65</v>
      </c>
      <c r="H84" s="3" t="n">
        <f aca="false">SUM(H5:H83)</f>
        <v>16574.8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29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271</v>
      </c>
    </row>
    <row r="2" customFormat="false" ht="15" hidden="false" customHeight="false" outlineLevel="0" collapsed="false">
      <c r="A2" s="0" t="s">
        <v>272</v>
      </c>
    </row>
    <row r="3" customFormat="false" ht="15" hidden="false" customHeight="false" outlineLevel="0" collapsed="false">
      <c r="A3" s="4" t="s">
        <v>273</v>
      </c>
      <c r="B3" s="4" t="s">
        <v>274</v>
      </c>
      <c r="C3" s="4" t="s">
        <v>275</v>
      </c>
      <c r="D3" s="4" t="s">
        <v>276</v>
      </c>
      <c r="E3" s="4" t="s">
        <v>277</v>
      </c>
      <c r="F3" s="4" t="s">
        <v>278</v>
      </c>
      <c r="G3" s="4" t="s">
        <v>279</v>
      </c>
      <c r="H3" s="4" t="s">
        <v>280</v>
      </c>
      <c r="I3" s="4" t="s">
        <v>281</v>
      </c>
    </row>
    <row r="4" customFormat="false" ht="15" hidden="false" customHeight="false" outlineLevel="0" collapsed="false">
      <c r="A4" s="0" t="s">
        <v>282</v>
      </c>
      <c r="B4" s="0" t="s">
        <v>283</v>
      </c>
      <c r="C4" s="0" t="n">
        <v>291.34</v>
      </c>
      <c r="D4" s="0" t="n">
        <f aca="false">Inputs!$B$4</f>
        <v>0.15</v>
      </c>
      <c r="E4" s="0" t="n">
        <f aca="false">C4*D4</f>
        <v>43.701</v>
      </c>
      <c r="F4" s="0" t="n">
        <f aca="false">C4+E4</f>
        <v>335.041</v>
      </c>
      <c r="G4" s="0" t="s">
        <v>284</v>
      </c>
      <c r="H4" s="0" t="n">
        <f aca="false">ROUNDUP(F4/10,0)</f>
        <v>34</v>
      </c>
      <c r="I4" s="0" t="s">
        <v>285</v>
      </c>
    </row>
    <row r="5" customFormat="false" ht="15" hidden="false" customHeight="false" outlineLevel="0" collapsed="false">
      <c r="A5" s="0" t="s">
        <v>286</v>
      </c>
      <c r="B5" s="0" t="s">
        <v>283</v>
      </c>
      <c r="C5" s="0" t="n">
        <v>4401.75</v>
      </c>
      <c r="D5" s="0" t="n">
        <f aca="false">Inputs!$B$4</f>
        <v>0.15</v>
      </c>
      <c r="E5" s="0" t="n">
        <f aca="false">C5*D5</f>
        <v>660.2625</v>
      </c>
      <c r="F5" s="0" t="n">
        <f aca="false">C5+E5</f>
        <v>5062.0125</v>
      </c>
      <c r="G5" s="0" t="s">
        <v>287</v>
      </c>
      <c r="H5" s="0" t="n">
        <f aca="false">ROUNDUP(F5/20,0)</f>
        <v>254</v>
      </c>
      <c r="I5" s="0" t="s">
        <v>288</v>
      </c>
    </row>
    <row r="6" customFormat="false" ht="15" hidden="false" customHeight="false" outlineLevel="0" collapsed="false">
      <c r="A6" s="0" t="s">
        <v>289</v>
      </c>
      <c r="B6" s="0" t="s">
        <v>283</v>
      </c>
      <c r="C6" s="0" t="n">
        <v>291.34</v>
      </c>
      <c r="D6" s="0" t="n">
        <f aca="false">Inputs!$B$4</f>
        <v>0.15</v>
      </c>
      <c r="E6" s="0" t="n">
        <f aca="false">C6*D6</f>
        <v>43.701</v>
      </c>
      <c r="F6" s="0" t="n">
        <f aca="false">C6+E6</f>
        <v>335.041</v>
      </c>
      <c r="G6" s="0" t="s">
        <v>284</v>
      </c>
      <c r="H6" s="0" t="n">
        <f aca="false">ROUNDUP(F6/10,0)</f>
        <v>34</v>
      </c>
      <c r="I6" s="0" t="s">
        <v>290</v>
      </c>
    </row>
    <row r="7" customFormat="false" ht="15" hidden="false" customHeight="false" outlineLevel="0" collapsed="false">
      <c r="A7" s="0" t="s">
        <v>291</v>
      </c>
      <c r="B7" s="0" t="s">
        <v>283</v>
      </c>
      <c r="C7" s="0" t="n">
        <v>212.43</v>
      </c>
      <c r="D7" s="0" t="n">
        <f aca="false">Inputs!$B$4</f>
        <v>0.15</v>
      </c>
      <c r="E7" s="0" t="n">
        <f aca="false">C7*D7</f>
        <v>31.8645</v>
      </c>
      <c r="F7" s="0" t="n">
        <f aca="false">C7+E7</f>
        <v>244.2945</v>
      </c>
      <c r="G7" s="0" t="s">
        <v>284</v>
      </c>
      <c r="H7" s="0" t="n">
        <f aca="false">ROUNDUP(F7/10,0)</f>
        <v>25</v>
      </c>
      <c r="I7" s="0" t="s">
        <v>292</v>
      </c>
    </row>
    <row r="8" customFormat="false" ht="15" hidden="false" customHeight="false" outlineLevel="0" collapsed="false">
      <c r="A8" s="0" t="s">
        <v>293</v>
      </c>
      <c r="B8" s="0" t="s">
        <v>283</v>
      </c>
      <c r="C8" s="0" t="n">
        <v>8.59</v>
      </c>
      <c r="D8" s="0" t="n">
        <f aca="false">Inputs!$B$4</f>
        <v>0.15</v>
      </c>
      <c r="E8" s="0" t="n">
        <f aca="false">C8*D8</f>
        <v>1.2885</v>
      </c>
      <c r="F8" s="0" t="n">
        <f aca="false">C8+E8</f>
        <v>9.8785</v>
      </c>
      <c r="G8" s="0" t="s">
        <v>284</v>
      </c>
      <c r="H8" s="0" t="n">
        <f aca="false">ROUNDUP(F8/10,0)</f>
        <v>1</v>
      </c>
      <c r="I8" s="0" t="s">
        <v>294</v>
      </c>
    </row>
    <row r="9" customFormat="false" ht="15" hidden="false" customHeight="false" outlineLevel="0" collapsed="false">
      <c r="A9" s="0" t="s">
        <v>295</v>
      </c>
      <c r="B9" s="0" t="s">
        <v>283</v>
      </c>
      <c r="C9" s="0" t="n">
        <v>480.82</v>
      </c>
      <c r="D9" s="0" t="n">
        <f aca="false">Inputs!$B$4</f>
        <v>0.15</v>
      </c>
      <c r="E9" s="0" t="n">
        <f aca="false">C9*D9</f>
        <v>72.123</v>
      </c>
      <c r="F9" s="0" t="n">
        <f aca="false">C9+E9</f>
        <v>552.943</v>
      </c>
      <c r="G9" s="0" t="s">
        <v>284</v>
      </c>
      <c r="H9" s="0" t="n">
        <f aca="false">ROUNDUP(F9/10,0)</f>
        <v>56</v>
      </c>
      <c r="I9" s="0" t="s">
        <v>296</v>
      </c>
    </row>
    <row r="10" customFormat="false" ht="15" hidden="false" customHeight="false" outlineLevel="0" collapsed="false">
      <c r="A10" s="0" t="s">
        <v>297</v>
      </c>
      <c r="B10" s="0" t="s">
        <v>283</v>
      </c>
      <c r="C10" s="0" t="n">
        <v>4184.32</v>
      </c>
      <c r="D10" s="0" t="n">
        <f aca="false">Inputs!$B$4</f>
        <v>0.15</v>
      </c>
      <c r="E10" s="0" t="n">
        <f aca="false">C10*D10</f>
        <v>627.648</v>
      </c>
      <c r="F10" s="0" t="n">
        <f aca="false">C10+E10</f>
        <v>4811.968</v>
      </c>
      <c r="G10" s="0" t="s">
        <v>287</v>
      </c>
      <c r="H10" s="0" t="n">
        <f aca="false">ROUNDUP(F10/20,0)</f>
        <v>241</v>
      </c>
      <c r="I10" s="0" t="s">
        <v>298</v>
      </c>
    </row>
    <row r="11" customFormat="false" ht="15" hidden="false" customHeight="false" outlineLevel="0" collapsed="false">
      <c r="A11" s="0" t="s">
        <v>299</v>
      </c>
      <c r="B11" s="0" t="s">
        <v>283</v>
      </c>
      <c r="C11" s="0" t="n">
        <v>376.04</v>
      </c>
      <c r="D11" s="0" t="n">
        <f aca="false">Inputs!$B$4</f>
        <v>0.15</v>
      </c>
      <c r="E11" s="0" t="n">
        <f aca="false">C11*D11</f>
        <v>56.406</v>
      </c>
      <c r="F11" s="0" t="n">
        <f aca="false">C11+E11</f>
        <v>432.446</v>
      </c>
      <c r="G11" s="0" t="s">
        <v>287</v>
      </c>
      <c r="H11" s="0" t="n">
        <f aca="false">ROUNDUP(F11/20,0)</f>
        <v>22</v>
      </c>
      <c r="I11" s="0" t="s">
        <v>300</v>
      </c>
    </row>
    <row r="12" customFormat="false" ht="15" hidden="false" customHeight="false" outlineLevel="0" collapsed="false">
      <c r="A12" s="0" t="s">
        <v>301</v>
      </c>
      <c r="B12" s="0" t="s">
        <v>283</v>
      </c>
      <c r="C12" s="0" t="n">
        <v>1082.4</v>
      </c>
      <c r="D12" s="0" t="n">
        <f aca="false">Inputs!$B$4</f>
        <v>0.15</v>
      </c>
      <c r="E12" s="0" t="n">
        <f aca="false">C12*D12</f>
        <v>162.36</v>
      </c>
      <c r="F12" s="0" t="n">
        <f aca="false">C12+E12</f>
        <v>1244.76</v>
      </c>
      <c r="G12" s="0" t="s">
        <v>287</v>
      </c>
      <c r="H12" s="0" t="n">
        <f aca="false">ROUNDUP(F12/20,0)</f>
        <v>63</v>
      </c>
      <c r="I12" s="0" t="s">
        <v>302</v>
      </c>
    </row>
    <row r="13" customFormat="false" ht="15" hidden="false" customHeight="false" outlineLevel="0" collapsed="false">
      <c r="A13" s="0" t="s">
        <v>303</v>
      </c>
      <c r="B13" s="0" t="s">
        <v>283</v>
      </c>
      <c r="C13" s="0" t="n">
        <v>155.19</v>
      </c>
      <c r="D13" s="0" t="n">
        <f aca="false">Inputs!$B$4</f>
        <v>0.15</v>
      </c>
      <c r="E13" s="0" t="n">
        <f aca="false">C13*D13</f>
        <v>23.2785</v>
      </c>
      <c r="F13" s="0" t="n">
        <f aca="false">C13+E13</f>
        <v>178.4685</v>
      </c>
      <c r="G13" s="0" t="s">
        <v>287</v>
      </c>
      <c r="H13" s="0" t="n">
        <f aca="false">ROUNDUP(F13/20,0)</f>
        <v>9</v>
      </c>
      <c r="I13" s="0" t="s">
        <v>304</v>
      </c>
    </row>
    <row r="14" customFormat="false" ht="15" hidden="false" customHeight="false" outlineLevel="0" collapsed="false">
      <c r="A14" s="0" t="s">
        <v>305</v>
      </c>
      <c r="B14" s="0" t="s">
        <v>283</v>
      </c>
      <c r="C14" s="0" t="n">
        <v>8.59</v>
      </c>
      <c r="D14" s="0" t="n">
        <f aca="false">Inputs!$B$4</f>
        <v>0.15</v>
      </c>
      <c r="E14" s="0" t="n">
        <f aca="false">C14*D14</f>
        <v>1.2885</v>
      </c>
      <c r="F14" s="0" t="n">
        <f aca="false">C14+E14</f>
        <v>9.8785</v>
      </c>
      <c r="G14" s="0" t="s">
        <v>284</v>
      </c>
      <c r="H14" s="0" t="n">
        <f aca="false">ROUNDUP(F14/10,0)</f>
        <v>1</v>
      </c>
      <c r="I14" s="0" t="s">
        <v>294</v>
      </c>
    </row>
    <row r="15" customFormat="false" ht="15" hidden="false" customHeight="false" outlineLevel="0" collapsed="false">
      <c r="A15" s="0" t="s">
        <v>306</v>
      </c>
      <c r="B15" s="0" t="s">
        <v>283</v>
      </c>
      <c r="C15" s="0" t="n">
        <v>163.87</v>
      </c>
      <c r="D15" s="0" t="n">
        <f aca="false">Inputs!$B$4</f>
        <v>0.15</v>
      </c>
      <c r="E15" s="0" t="n">
        <f aca="false">C15*D15</f>
        <v>24.5805</v>
      </c>
      <c r="F15" s="0" t="n">
        <f aca="false">C15+E15</f>
        <v>188.4505</v>
      </c>
      <c r="G15" s="0" t="s">
        <v>284</v>
      </c>
      <c r="H15" s="0" t="n">
        <f aca="false">ROUNDUP(F15/10,0)</f>
        <v>19</v>
      </c>
      <c r="I15" s="0" t="s">
        <v>307</v>
      </c>
    </row>
    <row r="16" customFormat="false" ht="15" hidden="false" customHeight="false" outlineLevel="0" collapsed="false">
      <c r="A16" s="0" t="s">
        <v>308</v>
      </c>
      <c r="B16" s="0" t="s">
        <v>283</v>
      </c>
      <c r="C16" s="0" t="n">
        <v>71.88</v>
      </c>
      <c r="D16" s="0" t="n">
        <f aca="false">Inputs!$B$4</f>
        <v>0.15</v>
      </c>
      <c r="E16" s="0" t="n">
        <f aca="false">C16*D16</f>
        <v>10.782</v>
      </c>
      <c r="F16" s="0" t="n">
        <f aca="false">C16+E16</f>
        <v>82.662</v>
      </c>
      <c r="G16" s="0" t="s">
        <v>284</v>
      </c>
      <c r="H16" s="0" t="n">
        <f aca="false">ROUNDUP(F16/10,0)</f>
        <v>9</v>
      </c>
      <c r="I16" s="0" t="s">
        <v>309</v>
      </c>
    </row>
    <row r="17" customFormat="false" ht="15" hidden="false" customHeight="false" outlineLevel="0" collapsed="false">
      <c r="A17" s="0" t="s">
        <v>310</v>
      </c>
      <c r="B17" s="0" t="s">
        <v>311</v>
      </c>
      <c r="C17" s="0" t="n">
        <v>284.13</v>
      </c>
      <c r="D17" s="0" t="n">
        <f aca="false">Inputs!$B$5</f>
        <v>0.06</v>
      </c>
      <c r="E17" s="0" t="n">
        <f aca="false">C17*D17</f>
        <v>17.0478</v>
      </c>
      <c r="F17" s="0" t="n">
        <f aca="false">C17+E17</f>
        <v>301.1778</v>
      </c>
      <c r="G17" s="0" t="s">
        <v>312</v>
      </c>
      <c r="H17" s="0" t="n">
        <f aca="false">ROUNDUP(F17/Inputs!$B$8,0)</f>
        <v>7</v>
      </c>
      <c r="I17" s="0" t="s">
        <v>313</v>
      </c>
    </row>
    <row r="18" customFormat="false" ht="15" hidden="false" customHeight="false" outlineLevel="0" collapsed="false">
      <c r="A18" s="0" t="s">
        <v>314</v>
      </c>
      <c r="B18" s="0" t="s">
        <v>311</v>
      </c>
      <c r="C18" s="0" t="n">
        <v>192</v>
      </c>
      <c r="D18" s="0" t="n">
        <f aca="false">Inputs!$B$5</f>
        <v>0.06</v>
      </c>
      <c r="E18" s="0" t="n">
        <f aca="false">C18*D18</f>
        <v>11.52</v>
      </c>
      <c r="F18" s="0" t="n">
        <f aca="false">C18+E18</f>
        <v>203.52</v>
      </c>
      <c r="G18" s="0" t="s">
        <v>312</v>
      </c>
      <c r="H18" s="0" t="n">
        <f aca="false">ROUNDUP(F18/Inputs!$B$8,0)</f>
        <v>5</v>
      </c>
      <c r="I18" s="0" t="s">
        <v>315</v>
      </c>
    </row>
    <row r="19" customFormat="false" ht="15" hidden="false" customHeight="false" outlineLevel="0" collapsed="false">
      <c r="A19" s="0" t="s">
        <v>316</v>
      </c>
      <c r="B19" s="0" t="s">
        <v>311</v>
      </c>
      <c r="C19" s="0" t="n">
        <v>86.32</v>
      </c>
      <c r="D19" s="0" t="n">
        <f aca="false">Inputs!$B$5</f>
        <v>0.06</v>
      </c>
      <c r="E19" s="0" t="n">
        <f aca="false">C19*D19</f>
        <v>5.1792</v>
      </c>
      <c r="F19" s="0" t="n">
        <f aca="false">C19+E19</f>
        <v>91.4992</v>
      </c>
      <c r="G19" s="0" t="s">
        <v>312</v>
      </c>
      <c r="H19" s="0" t="n">
        <f aca="false">ROUNDUP(F19/Inputs!$B$8,0)</f>
        <v>2</v>
      </c>
      <c r="I19" s="0" t="s">
        <v>317</v>
      </c>
    </row>
    <row r="20" customFormat="false" ht="15" hidden="false" customHeight="false" outlineLevel="0" collapsed="false">
      <c r="A20" s="0" t="s">
        <v>318</v>
      </c>
      <c r="B20" s="0" t="s">
        <v>311</v>
      </c>
      <c r="C20" s="0" t="n">
        <v>67.55</v>
      </c>
      <c r="D20" s="0" t="n">
        <f aca="false">Inputs!$B$5</f>
        <v>0.06</v>
      </c>
      <c r="E20" s="0" t="n">
        <f aca="false">C20*D20</f>
        <v>4.053</v>
      </c>
      <c r="F20" s="0" t="n">
        <f aca="false">C20+E20</f>
        <v>71.603</v>
      </c>
      <c r="G20" s="0" t="s">
        <v>312</v>
      </c>
      <c r="H20" s="0" t="n">
        <f aca="false">ROUNDUP(F20/Inputs!$B$8,0)</f>
        <v>2</v>
      </c>
      <c r="I20" s="0" t="s">
        <v>319</v>
      </c>
    </row>
    <row r="21" customFormat="false" ht="15" hidden="false" customHeight="false" outlineLevel="0" collapsed="false">
      <c r="A21" s="0" t="s">
        <v>320</v>
      </c>
      <c r="B21" s="0" t="s">
        <v>311</v>
      </c>
      <c r="C21" s="0" t="n">
        <v>4191.59</v>
      </c>
      <c r="D21" s="0" t="n">
        <f aca="false">Inputs!$B$5</f>
        <v>0.06</v>
      </c>
      <c r="E21" s="0" t="n">
        <f aca="false">C21*D21</f>
        <v>251.4954</v>
      </c>
      <c r="F21" s="0" t="n">
        <f aca="false">C21+E21</f>
        <v>4443.0854</v>
      </c>
      <c r="G21" s="0" t="s">
        <v>312</v>
      </c>
      <c r="H21" s="0" t="n">
        <f aca="false">ROUNDUP(F21/Inputs!$B$8,0)</f>
        <v>93</v>
      </c>
      <c r="I21" s="0" t="s">
        <v>321</v>
      </c>
    </row>
    <row r="22" customFormat="false" ht="15" hidden="false" customHeight="false" outlineLevel="0" collapsed="false">
      <c r="A22" s="0" t="s">
        <v>322</v>
      </c>
      <c r="B22" s="0" t="s">
        <v>311</v>
      </c>
      <c r="C22" s="0" t="n">
        <v>480.82</v>
      </c>
      <c r="D22" s="0" t="n">
        <f aca="false">Inputs!$B$5</f>
        <v>0.06</v>
      </c>
      <c r="E22" s="0" t="n">
        <f aca="false">C22*D22</f>
        <v>28.8492</v>
      </c>
      <c r="F22" s="0" t="n">
        <f aca="false">C22+E22</f>
        <v>509.6692</v>
      </c>
      <c r="G22" s="0" t="s">
        <v>312</v>
      </c>
      <c r="H22" s="0" t="n">
        <f aca="false">ROUNDUP(F22/Inputs!$B$8,0)</f>
        <v>11</v>
      </c>
      <c r="I22" s="0" t="s">
        <v>323</v>
      </c>
    </row>
    <row r="23" customFormat="false" ht="15" hidden="false" customHeight="false" outlineLevel="0" collapsed="false">
      <c r="A23" s="0" t="s">
        <v>324</v>
      </c>
      <c r="B23" s="0" t="s">
        <v>311</v>
      </c>
      <c r="C23" s="0" t="n">
        <v>1443.2</v>
      </c>
      <c r="D23" s="0" t="n">
        <f aca="false">Inputs!$B$5</f>
        <v>0.06</v>
      </c>
      <c r="E23" s="0" t="n">
        <f aca="false">C23*D23</f>
        <v>86.592</v>
      </c>
      <c r="F23" s="0" t="n">
        <f aca="false">C23+E23</f>
        <v>1529.792</v>
      </c>
      <c r="G23" s="0" t="s">
        <v>312</v>
      </c>
      <c r="H23" s="0" t="n">
        <f aca="false">ROUNDUP(F23/Inputs!$B$8,0)</f>
        <v>32</v>
      </c>
      <c r="I23" s="0" t="s">
        <v>325</v>
      </c>
    </row>
    <row r="24" customFormat="false" ht="15" hidden="false" customHeight="false" outlineLevel="0" collapsed="false">
      <c r="A24" s="0" t="s">
        <v>326</v>
      </c>
      <c r="B24" s="0" t="s">
        <v>311</v>
      </c>
      <c r="C24" s="0" t="n">
        <v>998.51</v>
      </c>
      <c r="D24" s="0" t="n">
        <f aca="false">Inputs!$B$5</f>
        <v>0.06</v>
      </c>
      <c r="E24" s="0" t="n">
        <f aca="false">C24*D24</f>
        <v>59.9106</v>
      </c>
      <c r="F24" s="0" t="n">
        <f aca="false">C24+E24</f>
        <v>1058.4206</v>
      </c>
      <c r="G24" s="0" t="s">
        <v>312</v>
      </c>
      <c r="H24" s="0" t="n">
        <f aca="false">ROUNDUP(F24/Inputs!$B$8,0)</f>
        <v>23</v>
      </c>
      <c r="I24" s="0" t="s">
        <v>327</v>
      </c>
    </row>
    <row r="25" customFormat="false" ht="15" hidden="false" customHeight="false" outlineLevel="0" collapsed="false">
      <c r="A25" s="0" t="s">
        <v>328</v>
      </c>
      <c r="B25" s="0" t="s">
        <v>311</v>
      </c>
      <c r="C25" s="0" t="n">
        <v>3401.02</v>
      </c>
      <c r="D25" s="0" t="n">
        <f aca="false">Inputs!$B$5</f>
        <v>0.06</v>
      </c>
      <c r="E25" s="0" t="n">
        <f aca="false">C25*D25</f>
        <v>204.0612</v>
      </c>
      <c r="F25" s="0" t="n">
        <f aca="false">C25+E25</f>
        <v>3605.0812</v>
      </c>
      <c r="G25" s="0" t="s">
        <v>312</v>
      </c>
      <c r="H25" s="0" t="n">
        <f aca="false">ROUNDUP(F25/Inputs!$B$8,0)</f>
        <v>76</v>
      </c>
      <c r="I25" s="0" t="s">
        <v>329</v>
      </c>
    </row>
    <row r="26" customFormat="false" ht="15" hidden="false" customHeight="false" outlineLevel="0" collapsed="false">
      <c r="A26" s="0" t="s">
        <v>330</v>
      </c>
      <c r="B26" s="0" t="s">
        <v>311</v>
      </c>
      <c r="C26" s="0" t="n">
        <v>1072.85</v>
      </c>
      <c r="D26" s="0" t="n">
        <f aca="false">Inputs!$B$5</f>
        <v>0.06</v>
      </c>
      <c r="E26" s="0" t="n">
        <f aca="false">C26*D26</f>
        <v>64.371</v>
      </c>
      <c r="F26" s="0" t="n">
        <f aca="false">C26+E26</f>
        <v>1137.221</v>
      </c>
      <c r="G26" s="0" t="s">
        <v>312</v>
      </c>
      <c r="H26" s="0" t="n">
        <f aca="false">ROUNDUP(F26/Inputs!$B$8,0)</f>
        <v>24</v>
      </c>
      <c r="I26" s="0" t="s">
        <v>331</v>
      </c>
    </row>
    <row r="27" customFormat="false" ht="15" hidden="false" customHeight="false" outlineLevel="0" collapsed="false">
      <c r="A27" s="0" t="s">
        <v>332</v>
      </c>
      <c r="B27" s="0" t="s">
        <v>311</v>
      </c>
      <c r="C27" s="0" t="n">
        <v>16396.18</v>
      </c>
      <c r="D27" s="0" t="n">
        <f aca="false">Inputs!$B$5</f>
        <v>0.06</v>
      </c>
      <c r="E27" s="0" t="n">
        <f aca="false">C27*D27</f>
        <v>983.7708</v>
      </c>
      <c r="F27" s="0" t="n">
        <f aca="false">C27+E27</f>
        <v>17379.9508</v>
      </c>
      <c r="G27" s="0" t="s">
        <v>312</v>
      </c>
      <c r="H27" s="0" t="n">
        <f aca="false">ROUNDUP(F27/Inputs!$B$8,0)</f>
        <v>363</v>
      </c>
      <c r="I27" s="0" t="s">
        <v>333</v>
      </c>
    </row>
    <row r="28" customFormat="false" ht="15" hidden="false" customHeight="false" outlineLevel="0" collapsed="false">
      <c r="A28" s="0" t="s">
        <v>334</v>
      </c>
      <c r="B28" s="0" t="s">
        <v>311</v>
      </c>
      <c r="C28" s="0" t="n">
        <v>268.56</v>
      </c>
      <c r="D28" s="0" t="n">
        <f aca="false">Inputs!$B$5</f>
        <v>0.06</v>
      </c>
      <c r="E28" s="0" t="n">
        <f aca="false">C28*D28</f>
        <v>16.1136</v>
      </c>
      <c r="F28" s="0" t="n">
        <f aca="false">C28+E28</f>
        <v>284.6736</v>
      </c>
      <c r="G28" s="0" t="s">
        <v>312</v>
      </c>
      <c r="H28" s="0" t="n">
        <f aca="false">ROUNDUP(F28/Inputs!$B$8,0)</f>
        <v>6</v>
      </c>
      <c r="I28" s="0" t="s">
        <v>335</v>
      </c>
    </row>
    <row r="29" customFormat="false" ht="15" hidden="false" customHeight="false" outlineLevel="0" collapsed="false">
      <c r="A29" s="0" t="s">
        <v>336</v>
      </c>
      <c r="B29" s="0" t="s">
        <v>283</v>
      </c>
      <c r="C29" s="0" t="n">
        <v>317.29</v>
      </c>
      <c r="D29" s="0" t="n">
        <f aca="false">Inputs!$B$4</f>
        <v>0.15</v>
      </c>
      <c r="E29" s="0" t="n">
        <f aca="false">C29*D29</f>
        <v>47.5935</v>
      </c>
      <c r="F29" s="0" t="n">
        <f aca="false">C29+E29</f>
        <v>364.8835</v>
      </c>
      <c r="G29" s="0" t="s">
        <v>284</v>
      </c>
      <c r="H29" s="0" t="n">
        <f aca="false">ROUNDUP(F29/10,0)</f>
        <v>37</v>
      </c>
      <c r="I29" s="0" t="s">
        <v>337</v>
      </c>
    </row>
    <row r="30" customFormat="false" ht="15" hidden="false" customHeight="false" outlineLevel="0" collapsed="false">
      <c r="A30" s="0" t="s">
        <v>338</v>
      </c>
      <c r="B30" s="0" t="s">
        <v>283</v>
      </c>
      <c r="C30" s="0" t="n">
        <v>2.2</v>
      </c>
      <c r="D30" s="0" t="n">
        <f aca="false">Inputs!$B$4</f>
        <v>0.15</v>
      </c>
      <c r="E30" s="0" t="n">
        <f aca="false">C30*D30</f>
        <v>0.33</v>
      </c>
      <c r="F30" s="0" t="n">
        <f aca="false">C30+E30</f>
        <v>2.53</v>
      </c>
      <c r="G30" s="0" t="s">
        <v>284</v>
      </c>
      <c r="H30" s="0" t="n">
        <f aca="false">ROUNDUP(F30/10,0)</f>
        <v>1</v>
      </c>
      <c r="I30" s="0" t="s">
        <v>339</v>
      </c>
    </row>
    <row r="31" customFormat="false" ht="15" hidden="false" customHeight="false" outlineLevel="0" collapsed="false">
      <c r="A31" s="0" t="s">
        <v>340</v>
      </c>
      <c r="B31" s="0" t="s">
        <v>283</v>
      </c>
      <c r="C31" s="0" t="n">
        <v>5785.5</v>
      </c>
      <c r="D31" s="0" t="n">
        <f aca="false">Inputs!$B$4</f>
        <v>0.15</v>
      </c>
      <c r="E31" s="0" t="n">
        <f aca="false">C31*D31</f>
        <v>867.825</v>
      </c>
      <c r="F31" s="0" t="n">
        <f aca="false">C31+E31</f>
        <v>6653.325</v>
      </c>
      <c r="G31" s="0" t="s">
        <v>287</v>
      </c>
      <c r="H31" s="0" t="n">
        <f aca="false">ROUNDUP(F31/20,0)</f>
        <v>333</v>
      </c>
      <c r="I31" s="0" t="s">
        <v>341</v>
      </c>
    </row>
    <row r="32" customFormat="false" ht="15" hidden="false" customHeight="false" outlineLevel="0" collapsed="false">
      <c r="A32" s="0" t="s">
        <v>342</v>
      </c>
      <c r="B32" s="0" t="s">
        <v>283</v>
      </c>
      <c r="C32" s="0" t="n">
        <v>76.88</v>
      </c>
      <c r="D32" s="0" t="n">
        <f aca="false">Inputs!$B$4</f>
        <v>0.15</v>
      </c>
      <c r="E32" s="0" t="n">
        <f aca="false">C32*D32</f>
        <v>11.532</v>
      </c>
      <c r="F32" s="0" t="n">
        <f aca="false">C32+E32</f>
        <v>88.412</v>
      </c>
      <c r="G32" s="0" t="s">
        <v>287</v>
      </c>
      <c r="H32" s="0" t="n">
        <f aca="false">ROUNDUP(F32/20,0)</f>
        <v>5</v>
      </c>
      <c r="I32" s="0" t="s">
        <v>343</v>
      </c>
    </row>
    <row r="33" customFormat="false" ht="15" hidden="false" customHeight="false" outlineLevel="0" collapsed="false">
      <c r="A33" s="0" t="s">
        <v>344</v>
      </c>
      <c r="B33" s="0" t="s">
        <v>283</v>
      </c>
      <c r="C33" s="0" t="n">
        <v>527.68</v>
      </c>
      <c r="D33" s="0" t="n">
        <f aca="false">Inputs!$B$4</f>
        <v>0.15</v>
      </c>
      <c r="E33" s="0" t="n">
        <f aca="false">C33*D33</f>
        <v>79.152</v>
      </c>
      <c r="F33" s="0" t="n">
        <f aca="false">C33+E33</f>
        <v>606.832</v>
      </c>
      <c r="G33" s="0" t="s">
        <v>284</v>
      </c>
      <c r="H33" s="0" t="n">
        <f aca="false">ROUNDUP(F33/10,0)</f>
        <v>61</v>
      </c>
      <c r="I33" s="0" t="s">
        <v>345</v>
      </c>
    </row>
    <row r="34" customFormat="false" ht="15" hidden="false" customHeight="false" outlineLevel="0" collapsed="false">
      <c r="A34" s="0" t="s">
        <v>346</v>
      </c>
      <c r="B34" s="0" t="s">
        <v>283</v>
      </c>
      <c r="C34" s="0" t="n">
        <v>817.25</v>
      </c>
      <c r="D34" s="0" t="n">
        <f aca="false">Inputs!$B$4</f>
        <v>0.15</v>
      </c>
      <c r="E34" s="0" t="n">
        <f aca="false">C34*D34</f>
        <v>122.5875</v>
      </c>
      <c r="F34" s="0" t="n">
        <f aca="false">C34+E34</f>
        <v>939.8375</v>
      </c>
      <c r="G34" s="0" t="s">
        <v>287</v>
      </c>
      <c r="H34" s="0" t="n">
        <f aca="false">ROUNDUP(F34/20,0)</f>
        <v>47</v>
      </c>
      <c r="I34" s="0" t="s">
        <v>347</v>
      </c>
    </row>
    <row r="35" customFormat="false" ht="15" hidden="false" customHeight="false" outlineLevel="0" collapsed="false">
      <c r="A35" s="0" t="s">
        <v>348</v>
      </c>
      <c r="B35" s="0" t="s">
        <v>283</v>
      </c>
      <c r="C35" s="0" t="n">
        <v>263.84</v>
      </c>
      <c r="D35" s="0" t="n">
        <f aca="false">Inputs!$B$4</f>
        <v>0.15</v>
      </c>
      <c r="E35" s="0" t="n">
        <f aca="false">C35*D35</f>
        <v>39.576</v>
      </c>
      <c r="F35" s="0" t="n">
        <f aca="false">C35+E35</f>
        <v>303.416</v>
      </c>
      <c r="G35" s="0" t="s">
        <v>284</v>
      </c>
      <c r="H35" s="0" t="n">
        <f aca="false">ROUNDUP(F35/10,0)</f>
        <v>31</v>
      </c>
      <c r="I35" s="0" t="s">
        <v>349</v>
      </c>
    </row>
    <row r="36" customFormat="false" ht="15" hidden="false" customHeight="false" outlineLevel="0" collapsed="false">
      <c r="A36" s="0" t="s">
        <v>350</v>
      </c>
      <c r="B36" s="0" t="s">
        <v>283</v>
      </c>
      <c r="C36" s="0" t="n">
        <v>2.2</v>
      </c>
      <c r="D36" s="0" t="n">
        <f aca="false">Inputs!$B$4</f>
        <v>0.15</v>
      </c>
      <c r="E36" s="0" t="n">
        <f aca="false">C36*D36</f>
        <v>0.33</v>
      </c>
      <c r="F36" s="0" t="n">
        <f aca="false">C36+E36</f>
        <v>2.53</v>
      </c>
      <c r="G36" s="0" t="s">
        <v>284</v>
      </c>
      <c r="H36" s="0" t="n">
        <f aca="false">ROUNDUP(F36/10,0)</f>
        <v>1</v>
      </c>
      <c r="I36" s="0" t="s">
        <v>339</v>
      </c>
    </row>
    <row r="37" customFormat="false" ht="15" hidden="false" customHeight="false" outlineLevel="0" collapsed="false">
      <c r="A37" s="0" t="s">
        <v>351</v>
      </c>
      <c r="B37" s="0" t="s">
        <v>283</v>
      </c>
      <c r="C37" s="0" t="n">
        <v>80.6</v>
      </c>
      <c r="D37" s="0" t="n">
        <f aca="false">Inputs!$B$4</f>
        <v>0.15</v>
      </c>
      <c r="E37" s="0" t="n">
        <f aca="false">C37*D37</f>
        <v>12.09</v>
      </c>
      <c r="F37" s="0" t="n">
        <f aca="false">C37+E37</f>
        <v>92.69</v>
      </c>
      <c r="G37" s="0" t="s">
        <v>284</v>
      </c>
      <c r="H37" s="0" t="n">
        <f aca="false">ROUNDUP(F37/10,0)</f>
        <v>10</v>
      </c>
      <c r="I37" s="0" t="s">
        <v>352</v>
      </c>
    </row>
    <row r="38" customFormat="false" ht="15" hidden="false" customHeight="false" outlineLevel="0" collapsed="false">
      <c r="A38" s="0" t="s">
        <v>353</v>
      </c>
      <c r="B38" s="0" t="s">
        <v>311</v>
      </c>
      <c r="C38" s="0" t="n">
        <v>24</v>
      </c>
      <c r="D38" s="0" t="n">
        <f aca="false">Inputs!$B$5</f>
        <v>0.06</v>
      </c>
      <c r="E38" s="0" t="n">
        <f aca="false">C38*D38</f>
        <v>1.44</v>
      </c>
      <c r="F38" s="0" t="n">
        <f aca="false">C38+E38</f>
        <v>25.44</v>
      </c>
      <c r="G38" s="0" t="s">
        <v>312</v>
      </c>
      <c r="H38" s="0" t="n">
        <f aca="false">ROUNDUP(F38/Inputs!$B$8,0)</f>
        <v>1</v>
      </c>
      <c r="I38" s="0" t="s">
        <v>354</v>
      </c>
    </row>
    <row r="39" customFormat="false" ht="15" hidden="false" customHeight="false" outlineLevel="0" collapsed="false">
      <c r="A39" s="0" t="s">
        <v>355</v>
      </c>
      <c r="B39" s="0" t="s">
        <v>311</v>
      </c>
      <c r="C39" s="0" t="n">
        <v>345</v>
      </c>
      <c r="D39" s="0" t="n">
        <f aca="false">Inputs!$B$5</f>
        <v>0.06</v>
      </c>
      <c r="E39" s="0" t="n">
        <f aca="false">C39*D39</f>
        <v>20.7</v>
      </c>
      <c r="F39" s="0" t="n">
        <f aca="false">C39+E39</f>
        <v>365.7</v>
      </c>
      <c r="G39" s="0" t="s">
        <v>312</v>
      </c>
      <c r="H39" s="0" t="n">
        <f aca="false">ROUNDUP(F39/Inputs!$B$8,0)</f>
        <v>8</v>
      </c>
      <c r="I39" s="0" t="s">
        <v>356</v>
      </c>
    </row>
    <row r="40" customFormat="false" ht="15" hidden="false" customHeight="false" outlineLevel="0" collapsed="false">
      <c r="A40" s="0" t="s">
        <v>357</v>
      </c>
      <c r="B40" s="0" t="s">
        <v>283</v>
      </c>
      <c r="C40" s="0" t="n">
        <v>12.67</v>
      </c>
      <c r="D40" s="0" t="n">
        <f aca="false">Inputs!$B$5</f>
        <v>0.06</v>
      </c>
      <c r="E40" s="0" t="n">
        <f aca="false">C40*D40</f>
        <v>0.7602</v>
      </c>
      <c r="F40" s="0" t="n">
        <f aca="false">C40+E40</f>
        <v>13.4302</v>
      </c>
      <c r="G40" s="0" t="s">
        <v>283</v>
      </c>
      <c r="H40" s="0" t="n">
        <f aca="false">ROUNDUP(F40,0)</f>
        <v>14</v>
      </c>
      <c r="I40" s="0" t="s">
        <v>358</v>
      </c>
    </row>
    <row r="41" customFormat="false" ht="15" hidden="false" customHeight="false" outlineLevel="0" collapsed="false">
      <c r="A41" s="0" t="s">
        <v>359</v>
      </c>
      <c r="B41" s="0" t="s">
        <v>283</v>
      </c>
      <c r="C41" s="0" t="n">
        <v>12</v>
      </c>
      <c r="D41" s="0" t="n">
        <f aca="false">Inputs!$B$5</f>
        <v>0.06</v>
      </c>
      <c r="E41" s="0" t="n">
        <f aca="false">C41*D41</f>
        <v>0.72</v>
      </c>
      <c r="F41" s="0" t="n">
        <f aca="false">C41+E41</f>
        <v>12.72</v>
      </c>
      <c r="G41" s="0" t="s">
        <v>283</v>
      </c>
      <c r="H41" s="0" t="n">
        <f aca="false">ROUNDUP(F41,0)</f>
        <v>13</v>
      </c>
      <c r="I41" s="0" t="s">
        <v>360</v>
      </c>
    </row>
    <row r="42" customFormat="false" ht="15" hidden="false" customHeight="false" outlineLevel="0" collapsed="false">
      <c r="A42" s="0" t="s">
        <v>361</v>
      </c>
      <c r="B42" s="0" t="s">
        <v>283</v>
      </c>
      <c r="C42" s="0" t="n">
        <v>28</v>
      </c>
      <c r="D42" s="0" t="n">
        <f aca="false">Inputs!$B$5</f>
        <v>0.06</v>
      </c>
      <c r="E42" s="0" t="n">
        <f aca="false">C42*D42</f>
        <v>1.68</v>
      </c>
      <c r="F42" s="0" t="n">
        <f aca="false">C42+E42</f>
        <v>29.68</v>
      </c>
      <c r="G42" s="0" t="s">
        <v>283</v>
      </c>
      <c r="H42" s="0" t="n">
        <f aca="false">ROUNDUP(F42,0)</f>
        <v>30</v>
      </c>
      <c r="I42" s="0" t="s">
        <v>362</v>
      </c>
    </row>
    <row r="43" customFormat="false" ht="15" hidden="false" customHeight="false" outlineLevel="0" collapsed="false">
      <c r="A43" s="0" t="s">
        <v>363</v>
      </c>
      <c r="B43" s="0" t="s">
        <v>283</v>
      </c>
      <c r="C43" s="0" t="n">
        <v>147.96</v>
      </c>
      <c r="D43" s="0" t="n">
        <f aca="false">Inputs!$B$5</f>
        <v>0.06</v>
      </c>
      <c r="E43" s="0" t="n">
        <f aca="false">C43*D43</f>
        <v>8.8776</v>
      </c>
      <c r="F43" s="0" t="n">
        <f aca="false">C43+E43</f>
        <v>156.8376</v>
      </c>
      <c r="G43" s="0" t="s">
        <v>283</v>
      </c>
      <c r="H43" s="0" t="n">
        <f aca="false">ROUNDUP(F43,0)</f>
        <v>157</v>
      </c>
      <c r="I43" s="0" t="s">
        <v>364</v>
      </c>
    </row>
    <row r="44" customFormat="false" ht="15" hidden="false" customHeight="false" outlineLevel="0" collapsed="false">
      <c r="A44" s="0" t="s">
        <v>365</v>
      </c>
      <c r="B44" s="0" t="s">
        <v>283</v>
      </c>
      <c r="C44" s="0" t="n">
        <v>4</v>
      </c>
      <c r="D44" s="0" t="n">
        <f aca="false">Inputs!$B$5</f>
        <v>0.06</v>
      </c>
      <c r="E44" s="0" t="n">
        <f aca="false">C44*D44</f>
        <v>0.24</v>
      </c>
      <c r="F44" s="0" t="n">
        <f aca="false">C44+E44</f>
        <v>4.24</v>
      </c>
      <c r="G44" s="0" t="s">
        <v>283</v>
      </c>
      <c r="H44" s="0" t="n">
        <f aca="false">ROUNDUP(F44,0)</f>
        <v>5</v>
      </c>
      <c r="I44" s="0" t="s">
        <v>366</v>
      </c>
    </row>
    <row r="45" customFormat="false" ht="15" hidden="false" customHeight="false" outlineLevel="0" collapsed="false">
      <c r="A45" s="0" t="s">
        <v>367</v>
      </c>
      <c r="B45" s="0" t="s">
        <v>283</v>
      </c>
      <c r="C45" s="0" t="n">
        <v>39</v>
      </c>
      <c r="D45" s="0" t="n">
        <f aca="false">Inputs!$B$5</f>
        <v>0.06</v>
      </c>
      <c r="E45" s="0" t="n">
        <f aca="false">C45*D45</f>
        <v>2.34</v>
      </c>
      <c r="F45" s="0" t="n">
        <f aca="false">C45+E45</f>
        <v>41.34</v>
      </c>
      <c r="G45" s="0" t="s">
        <v>283</v>
      </c>
      <c r="H45" s="0" t="n">
        <f aca="false">ROUNDUP(F45,0)</f>
        <v>42</v>
      </c>
      <c r="I45" s="0" t="s">
        <v>368</v>
      </c>
    </row>
    <row r="46" customFormat="false" ht="15" hidden="false" customHeight="false" outlineLevel="0" collapsed="false">
      <c r="A46" s="0" t="s">
        <v>369</v>
      </c>
      <c r="B46" s="0" t="s">
        <v>283</v>
      </c>
      <c r="C46" s="0" t="n">
        <v>263.84</v>
      </c>
      <c r="D46" s="0" t="n">
        <f aca="false">Inputs!$B$5</f>
        <v>0.06</v>
      </c>
      <c r="E46" s="0" t="n">
        <f aca="false">C46*D46</f>
        <v>15.8304</v>
      </c>
      <c r="F46" s="0" t="n">
        <f aca="false">C46+E46</f>
        <v>279.6704</v>
      </c>
      <c r="G46" s="0" t="s">
        <v>283</v>
      </c>
      <c r="H46" s="0" t="n">
        <f aca="false">ROUNDUP(F46,0)</f>
        <v>280</v>
      </c>
      <c r="I46" s="0" t="s">
        <v>370</v>
      </c>
    </row>
    <row r="47" customFormat="false" ht="15" hidden="false" customHeight="false" outlineLevel="0" collapsed="false">
      <c r="A47" s="0" t="s">
        <v>371</v>
      </c>
      <c r="B47" s="0" t="s">
        <v>283</v>
      </c>
      <c r="C47" s="0" t="n">
        <v>45</v>
      </c>
      <c r="D47" s="0" t="n">
        <f aca="false">Inputs!$B$5</f>
        <v>0.06</v>
      </c>
      <c r="E47" s="0" t="n">
        <f aca="false">C47*D47</f>
        <v>2.7</v>
      </c>
      <c r="F47" s="0" t="n">
        <f aca="false">C47+E47</f>
        <v>47.7</v>
      </c>
      <c r="G47" s="0" t="s">
        <v>283</v>
      </c>
      <c r="H47" s="0" t="n">
        <f aca="false">ROUNDUP(F47,0)</f>
        <v>48</v>
      </c>
      <c r="I47" s="0" t="s">
        <v>372</v>
      </c>
    </row>
    <row r="48" customFormat="false" ht="15" hidden="false" customHeight="false" outlineLevel="0" collapsed="false">
      <c r="A48" s="0" t="s">
        <v>373</v>
      </c>
      <c r="B48" s="0" t="s">
        <v>311</v>
      </c>
      <c r="C48" s="0" t="n">
        <v>633.06</v>
      </c>
      <c r="D48" s="0" t="n">
        <f aca="false">Inputs!$B$5</f>
        <v>0.06</v>
      </c>
      <c r="E48" s="0" t="n">
        <f aca="false">C48*D48</f>
        <v>37.9836</v>
      </c>
      <c r="F48" s="0" t="n">
        <f aca="false">C48+E48</f>
        <v>671.0436</v>
      </c>
      <c r="G48" s="0" t="s">
        <v>312</v>
      </c>
      <c r="H48" s="0" t="n">
        <f aca="false">ROUNDUP(F48/Inputs!$B$8,0)</f>
        <v>14</v>
      </c>
      <c r="I48" s="0" t="s">
        <v>374</v>
      </c>
    </row>
    <row r="49" customFormat="false" ht="15" hidden="false" customHeight="false" outlineLevel="0" collapsed="false">
      <c r="A49" s="0" t="s">
        <v>375</v>
      </c>
      <c r="B49" s="0" t="s">
        <v>283</v>
      </c>
      <c r="C49" s="0" t="n">
        <v>1002.98</v>
      </c>
      <c r="D49" s="0" t="n">
        <f aca="false">Inputs!$B$5</f>
        <v>0.06</v>
      </c>
      <c r="E49" s="0" t="n">
        <f aca="false">C49*D49</f>
        <v>60.1788</v>
      </c>
      <c r="F49" s="0" t="n">
        <f aca="false">C49+E49</f>
        <v>1063.1588</v>
      </c>
      <c r="G49" s="0" t="s">
        <v>283</v>
      </c>
      <c r="H49" s="0" t="n">
        <f aca="false">ROUNDUP(F49,0)</f>
        <v>1064</v>
      </c>
      <c r="I49" s="0" t="s">
        <v>376</v>
      </c>
    </row>
    <row r="50" customFormat="false" ht="15" hidden="false" customHeight="false" outlineLevel="0" collapsed="false">
      <c r="A50" s="0" t="s">
        <v>377</v>
      </c>
      <c r="B50" s="0" t="s">
        <v>283</v>
      </c>
      <c r="C50" s="0" t="n">
        <v>2336.35</v>
      </c>
      <c r="D50" s="0" t="n">
        <f aca="false">Inputs!$B$4</f>
        <v>0.15</v>
      </c>
      <c r="E50" s="0" t="n">
        <f aca="false">C50*D50</f>
        <v>350.4525</v>
      </c>
      <c r="F50" s="0" t="n">
        <f aca="false">C50+E50</f>
        <v>2686.8025</v>
      </c>
      <c r="G50" s="0" t="s">
        <v>378</v>
      </c>
      <c r="H50" s="0" t="n">
        <f aca="false">ROUNDUP(F50/16,0)</f>
        <v>168</v>
      </c>
      <c r="I50" s="0" t="s">
        <v>379</v>
      </c>
    </row>
    <row r="51" customFormat="false" ht="15" hidden="false" customHeight="false" outlineLevel="0" collapsed="false">
      <c r="A51" s="0" t="s">
        <v>380</v>
      </c>
      <c r="B51" s="0" t="s">
        <v>283</v>
      </c>
      <c r="C51" s="0" t="n">
        <v>480.82</v>
      </c>
      <c r="D51" s="0" t="n">
        <f aca="false">Inputs!$B$4</f>
        <v>0.15</v>
      </c>
      <c r="E51" s="0" t="n">
        <f aca="false">C51*D51</f>
        <v>72.123</v>
      </c>
      <c r="F51" s="0" t="n">
        <f aca="false">C51+E51</f>
        <v>552.943</v>
      </c>
      <c r="G51" s="0" t="s">
        <v>284</v>
      </c>
      <c r="H51" s="0" t="n">
        <f aca="false">ROUNDUP(F51/10,0)</f>
        <v>56</v>
      </c>
      <c r="I51" s="0" t="s">
        <v>381</v>
      </c>
    </row>
    <row r="52" customFormat="false" ht="15" hidden="false" customHeight="false" outlineLevel="0" collapsed="false">
      <c r="A52" s="0" t="s">
        <v>382</v>
      </c>
      <c r="B52" s="0" t="s">
        <v>283</v>
      </c>
      <c r="C52" s="0" t="n">
        <v>238.25</v>
      </c>
      <c r="D52" s="0" t="n">
        <f aca="false">Inputs!$B$4</f>
        <v>0.15</v>
      </c>
      <c r="E52" s="0" t="n">
        <f aca="false">C52*D52</f>
        <v>35.7375</v>
      </c>
      <c r="F52" s="0" t="n">
        <f aca="false">C52+E52</f>
        <v>273.9875</v>
      </c>
      <c r="G52" s="0" t="s">
        <v>378</v>
      </c>
      <c r="H52" s="0" t="n">
        <f aca="false">ROUNDUP(F52/16,0)</f>
        <v>18</v>
      </c>
      <c r="I52" s="0" t="s">
        <v>383</v>
      </c>
    </row>
    <row r="53" customFormat="false" ht="15" hidden="false" customHeight="false" outlineLevel="0" collapsed="false">
      <c r="A53" s="0" t="s">
        <v>384</v>
      </c>
      <c r="B53" s="0" t="s">
        <v>283</v>
      </c>
      <c r="C53" s="0" t="n">
        <v>270.29</v>
      </c>
      <c r="D53" s="0" t="n">
        <f aca="false">Inputs!$B$4</f>
        <v>0.15</v>
      </c>
      <c r="E53" s="0" t="n">
        <f aca="false">C53*D53</f>
        <v>40.5435</v>
      </c>
      <c r="F53" s="0" t="n">
        <f aca="false">C53+E53</f>
        <v>310.8335</v>
      </c>
      <c r="G53" s="0" t="s">
        <v>284</v>
      </c>
      <c r="H53" s="0" t="n">
        <f aca="false">ROUNDUP(F53/10,0)</f>
        <v>32</v>
      </c>
      <c r="I53" s="0" t="s">
        <v>385</v>
      </c>
    </row>
    <row r="54" customFormat="false" ht="15" hidden="false" customHeight="false" outlineLevel="0" collapsed="false">
      <c r="A54" s="0" t="s">
        <v>386</v>
      </c>
      <c r="B54" s="0" t="s">
        <v>283</v>
      </c>
      <c r="C54" s="0" t="n">
        <v>8</v>
      </c>
      <c r="D54" s="0" t="n">
        <f aca="false">Inputs!$B$4</f>
        <v>0.15</v>
      </c>
      <c r="E54" s="0" t="n">
        <f aca="false">C54*D54</f>
        <v>1.2</v>
      </c>
      <c r="F54" s="0" t="n">
        <f aca="false">C54+E54</f>
        <v>9.2</v>
      </c>
      <c r="G54" s="0" t="s">
        <v>283</v>
      </c>
      <c r="H54" s="0" t="n">
        <f aca="false">ROUNDUP(F54,0)</f>
        <v>10</v>
      </c>
      <c r="I54" s="0" t="s">
        <v>387</v>
      </c>
    </row>
    <row r="55" customFormat="false" ht="15" hidden="false" customHeight="false" outlineLevel="0" collapsed="false">
      <c r="A55" s="0" t="s">
        <v>388</v>
      </c>
      <c r="B55" s="0" t="s">
        <v>283</v>
      </c>
      <c r="C55" s="0" t="n">
        <v>477.6</v>
      </c>
      <c r="D55" s="0" t="n">
        <f aca="false">Inputs!$B$4</f>
        <v>0.15</v>
      </c>
      <c r="E55" s="0" t="n">
        <f aca="false">C55*D55</f>
        <v>71.64</v>
      </c>
      <c r="F55" s="0" t="n">
        <f aca="false">C55+E55</f>
        <v>549.24</v>
      </c>
      <c r="G55" s="0" t="s">
        <v>283</v>
      </c>
      <c r="H55" s="0" t="n">
        <f aca="false">ROUNDUP(F55,0)</f>
        <v>550</v>
      </c>
      <c r="I55" s="0" t="s">
        <v>389</v>
      </c>
    </row>
    <row r="56" customFormat="false" ht="15" hidden="false" customHeight="false" outlineLevel="0" collapsed="false">
      <c r="A56" s="0" t="s">
        <v>390</v>
      </c>
      <c r="B56" s="0" t="s">
        <v>283</v>
      </c>
      <c r="C56" s="0" t="n">
        <v>96</v>
      </c>
      <c r="D56" s="0" t="n">
        <f aca="false">Inputs!$B$4</f>
        <v>0.15</v>
      </c>
      <c r="E56" s="0" t="n">
        <f aca="false">C56*D56</f>
        <v>14.4</v>
      </c>
      <c r="F56" s="0" t="n">
        <f aca="false">C56+E56</f>
        <v>110.4</v>
      </c>
      <c r="G56" s="0" t="s">
        <v>283</v>
      </c>
      <c r="H56" s="0" t="n">
        <f aca="false">ROUNDUP(F56,0)</f>
        <v>111</v>
      </c>
      <c r="I56" s="0" t="s">
        <v>391</v>
      </c>
    </row>
    <row r="57" customFormat="false" ht="15" hidden="false" customHeight="false" outlineLevel="0" collapsed="false">
      <c r="A57" s="0" t="s">
        <v>392</v>
      </c>
      <c r="B57" s="0" t="s">
        <v>283</v>
      </c>
      <c r="C57" s="0" t="n">
        <v>42</v>
      </c>
      <c r="D57" s="0" t="n">
        <f aca="false">Inputs!$B$4</f>
        <v>0.15</v>
      </c>
      <c r="E57" s="0" t="n">
        <f aca="false">C57*D57</f>
        <v>6.3</v>
      </c>
      <c r="F57" s="0" t="n">
        <f aca="false">C57+E57</f>
        <v>48.3</v>
      </c>
      <c r="G57" s="0" t="s">
        <v>283</v>
      </c>
      <c r="H57" s="0" t="n">
        <f aca="false">ROUNDUP(F57,0)</f>
        <v>49</v>
      </c>
      <c r="I57" s="0" t="s">
        <v>393</v>
      </c>
    </row>
    <row r="58" customFormat="false" ht="15" hidden="false" customHeight="false" outlineLevel="0" collapsed="false">
      <c r="A58" s="0" t="s">
        <v>394</v>
      </c>
      <c r="B58" s="0" t="s">
        <v>283</v>
      </c>
      <c r="C58" s="0" t="n">
        <v>714.75</v>
      </c>
      <c r="D58" s="0" t="n">
        <f aca="false">Inputs!$B$4</f>
        <v>0.15</v>
      </c>
      <c r="E58" s="0" t="n">
        <f aca="false">C58*D58</f>
        <v>107.2125</v>
      </c>
      <c r="F58" s="0" t="n">
        <f aca="false">C58+E58</f>
        <v>821.9625</v>
      </c>
      <c r="G58" s="0" t="s">
        <v>395</v>
      </c>
      <c r="H58" s="0" t="n">
        <f aca="false">ROUNDUP(F58/12,0)</f>
        <v>69</v>
      </c>
      <c r="I58" s="0" t="s">
        <v>396</v>
      </c>
    </row>
    <row r="59" customFormat="false" ht="15" hidden="false" customHeight="false" outlineLevel="0" collapsed="false">
      <c r="A59" s="0" t="s">
        <v>397</v>
      </c>
      <c r="B59" s="0" t="s">
        <v>283</v>
      </c>
      <c r="C59" s="0" t="n">
        <v>339.32</v>
      </c>
      <c r="D59" s="0" t="n">
        <f aca="false">Inputs!$B$4</f>
        <v>0.15</v>
      </c>
      <c r="E59" s="0" t="n">
        <f aca="false">C59*D59</f>
        <v>50.898</v>
      </c>
      <c r="F59" s="0" t="n">
        <f aca="false">C59+E59</f>
        <v>390.218</v>
      </c>
      <c r="G59" s="0" t="s">
        <v>398</v>
      </c>
      <c r="H59" s="0" t="n">
        <f aca="false">ROUNDUP(F59,0)</f>
        <v>391</v>
      </c>
      <c r="I59" s="0" t="s">
        <v>399</v>
      </c>
    </row>
    <row r="60" customFormat="false" ht="15" hidden="false" customHeight="false" outlineLevel="0" collapsed="false">
      <c r="A60" s="0" t="s">
        <v>400</v>
      </c>
      <c r="B60" s="0" t="s">
        <v>283</v>
      </c>
      <c r="C60" s="0" t="n">
        <v>61.67</v>
      </c>
      <c r="D60" s="0" t="n">
        <f aca="false">Inputs!$B$4</f>
        <v>0.15</v>
      </c>
      <c r="E60" s="0" t="n">
        <f aca="false">C60*D60</f>
        <v>9.2505</v>
      </c>
      <c r="F60" s="0" t="n">
        <f aca="false">C60+E60</f>
        <v>70.9205</v>
      </c>
      <c r="G60" s="0" t="s">
        <v>283</v>
      </c>
      <c r="H60" s="0" t="n">
        <f aca="false">ROUNDUP(F60,0)</f>
        <v>71</v>
      </c>
      <c r="I60" s="0" t="s">
        <v>401</v>
      </c>
    </row>
    <row r="61" customFormat="false" ht="15" hidden="false" customHeight="false" outlineLevel="0" collapsed="false">
      <c r="A61" s="0" t="s">
        <v>402</v>
      </c>
      <c r="B61" s="0" t="s">
        <v>283</v>
      </c>
      <c r="C61" s="0" t="n">
        <v>65.86</v>
      </c>
      <c r="D61" s="0" t="n">
        <f aca="false">Inputs!$B$4</f>
        <v>0.15</v>
      </c>
      <c r="E61" s="0" t="n">
        <f aca="false">C61*D61</f>
        <v>9.879</v>
      </c>
      <c r="F61" s="0" t="n">
        <f aca="false">C61+E61</f>
        <v>75.739</v>
      </c>
      <c r="G61" s="0" t="s">
        <v>283</v>
      </c>
      <c r="H61" s="0" t="n">
        <f aca="false">ROUNDUP(F61,0)</f>
        <v>76</v>
      </c>
      <c r="I61" s="0" t="s">
        <v>403</v>
      </c>
    </row>
    <row r="62" customFormat="false" ht="15" hidden="false" customHeight="false" outlineLevel="0" collapsed="false">
      <c r="A62" s="0" t="s">
        <v>404</v>
      </c>
      <c r="B62" s="0" t="s">
        <v>283</v>
      </c>
      <c r="C62" s="0" t="n">
        <v>53</v>
      </c>
      <c r="D62" s="0" t="n">
        <f aca="false">Inputs!$B$4</f>
        <v>0.15</v>
      </c>
      <c r="E62" s="0" t="n">
        <f aca="false">C62*D62</f>
        <v>7.95</v>
      </c>
      <c r="F62" s="0" t="n">
        <f aca="false">C62+E62</f>
        <v>60.95</v>
      </c>
      <c r="G62" s="0" t="s">
        <v>283</v>
      </c>
      <c r="H62" s="0" t="n">
        <f aca="false">ROUNDUP(F62,0)</f>
        <v>61</v>
      </c>
      <c r="I62" s="0" t="s">
        <v>405</v>
      </c>
    </row>
    <row r="63" customFormat="false" ht="15" hidden="false" customHeight="false" outlineLevel="0" collapsed="false">
      <c r="A63" s="0" t="s">
        <v>406</v>
      </c>
      <c r="B63" s="0" t="s">
        <v>283</v>
      </c>
      <c r="C63" s="0" t="n">
        <v>14.67</v>
      </c>
      <c r="D63" s="0" t="n">
        <f aca="false">Inputs!$B$4</f>
        <v>0.15</v>
      </c>
      <c r="E63" s="0" t="n">
        <f aca="false">C63*D63</f>
        <v>2.2005</v>
      </c>
      <c r="F63" s="0" t="n">
        <f aca="false">C63+E63</f>
        <v>16.8705</v>
      </c>
      <c r="G63" s="0" t="s">
        <v>283</v>
      </c>
      <c r="H63" s="0" t="n">
        <f aca="false">ROUNDUP(F63,0)</f>
        <v>17</v>
      </c>
      <c r="I63" s="0" t="s">
        <v>407</v>
      </c>
    </row>
    <row r="64" customFormat="false" ht="15" hidden="false" customHeight="false" outlineLevel="0" collapsed="false">
      <c r="A64" s="0" t="s">
        <v>408</v>
      </c>
      <c r="B64" s="0" t="s">
        <v>283</v>
      </c>
      <c r="C64" s="0" t="n">
        <v>96.31</v>
      </c>
      <c r="D64" s="0" t="n">
        <f aca="false">Inputs!$B$5</f>
        <v>0.06</v>
      </c>
      <c r="E64" s="0" t="n">
        <f aca="false">C64*D64</f>
        <v>5.7786</v>
      </c>
      <c r="F64" s="0" t="n">
        <f aca="false">C64+E64</f>
        <v>102.0886</v>
      </c>
      <c r="G64" s="0" t="s">
        <v>409</v>
      </c>
      <c r="H64" s="0" t="n">
        <f aca="false">ROUNDUP(F64/10,0)</f>
        <v>11</v>
      </c>
      <c r="I64" s="0" t="s">
        <v>410</v>
      </c>
    </row>
    <row r="65" customFormat="false" ht="15" hidden="false" customHeight="false" outlineLevel="0" collapsed="false">
      <c r="A65" s="0" t="s">
        <v>411</v>
      </c>
      <c r="B65" s="0" t="s">
        <v>283</v>
      </c>
      <c r="C65" s="0" t="n">
        <v>120</v>
      </c>
      <c r="D65" s="0" t="n">
        <f aca="false">Inputs!$B$5</f>
        <v>0.06</v>
      </c>
      <c r="E65" s="0" t="n">
        <f aca="false">C65*D65</f>
        <v>7.2</v>
      </c>
      <c r="F65" s="0" t="n">
        <f aca="false">C65+E65</f>
        <v>127.2</v>
      </c>
      <c r="G65" s="0" t="s">
        <v>409</v>
      </c>
      <c r="H65" s="0" t="n">
        <f aca="false">ROUNDUP(F65/10,0)</f>
        <v>13</v>
      </c>
      <c r="I65" s="0" t="s">
        <v>412</v>
      </c>
    </row>
    <row r="66" customFormat="false" ht="15" hidden="false" customHeight="false" outlineLevel="0" collapsed="false">
      <c r="A66" s="0" t="s">
        <v>413</v>
      </c>
      <c r="B66" s="0" t="s">
        <v>283</v>
      </c>
      <c r="C66" s="0" t="n">
        <v>87.6</v>
      </c>
      <c r="D66" s="0" t="n">
        <f aca="false">Inputs!$B$5</f>
        <v>0.06</v>
      </c>
      <c r="E66" s="0" t="n">
        <f aca="false">C66*D66</f>
        <v>5.256</v>
      </c>
      <c r="F66" s="0" t="n">
        <f aca="false">C66+E66</f>
        <v>92.856</v>
      </c>
      <c r="G66" s="0" t="s">
        <v>409</v>
      </c>
      <c r="H66" s="0" t="n">
        <f aca="false">ROUNDUP(F66/10,0)</f>
        <v>10</v>
      </c>
      <c r="I66" s="0" t="s">
        <v>414</v>
      </c>
    </row>
    <row r="67" customFormat="false" ht="15" hidden="false" customHeight="false" outlineLevel="0" collapsed="false">
      <c r="A67" s="0" t="s">
        <v>415</v>
      </c>
      <c r="B67" s="0" t="s">
        <v>283</v>
      </c>
      <c r="C67" s="0" t="n">
        <v>342.36</v>
      </c>
      <c r="D67" s="0" t="n">
        <f aca="false">Inputs!$B$5</f>
        <v>0.06</v>
      </c>
      <c r="E67" s="0" t="n">
        <f aca="false">C67*D67</f>
        <v>20.5416</v>
      </c>
      <c r="F67" s="0" t="n">
        <f aca="false">C67+E67</f>
        <v>362.9016</v>
      </c>
      <c r="G67" s="0" t="s">
        <v>409</v>
      </c>
      <c r="H67" s="0" t="n">
        <f aca="false">ROUNDUP(F67/10,0)</f>
        <v>37</v>
      </c>
      <c r="I67" s="0" t="s">
        <v>416</v>
      </c>
    </row>
    <row r="68" customFormat="false" ht="15" hidden="false" customHeight="false" outlineLevel="0" collapsed="false">
      <c r="A68" s="0" t="s">
        <v>417</v>
      </c>
      <c r="B68" s="0" t="s">
        <v>283</v>
      </c>
      <c r="C68" s="0" t="n">
        <v>96</v>
      </c>
      <c r="D68" s="0" t="n">
        <f aca="false">Inputs!$B$5</f>
        <v>0.06</v>
      </c>
      <c r="E68" s="0" t="n">
        <f aca="false">C68*D68</f>
        <v>5.76</v>
      </c>
      <c r="F68" s="0" t="n">
        <f aca="false">C68+E68</f>
        <v>101.76</v>
      </c>
      <c r="G68" s="0" t="s">
        <v>409</v>
      </c>
      <c r="H68" s="0" t="n">
        <f aca="false">ROUNDUP(F68/10,0)</f>
        <v>11</v>
      </c>
      <c r="I68" s="0" t="s">
        <v>418</v>
      </c>
    </row>
    <row r="69" customFormat="false" ht="15" hidden="false" customHeight="false" outlineLevel="0" collapsed="false">
      <c r="A69" s="0" t="s">
        <v>419</v>
      </c>
      <c r="B69" s="0" t="s">
        <v>283</v>
      </c>
      <c r="C69" s="0" t="n">
        <v>167.02</v>
      </c>
      <c r="D69" s="0" t="n">
        <f aca="false">Inputs!$B$5</f>
        <v>0.06</v>
      </c>
      <c r="E69" s="0" t="n">
        <f aca="false">C69*D69</f>
        <v>10.0212</v>
      </c>
      <c r="F69" s="0" t="n">
        <f aca="false">C69+E69</f>
        <v>177.0412</v>
      </c>
      <c r="G69" s="0" t="s">
        <v>409</v>
      </c>
      <c r="H69" s="0" t="n">
        <f aca="false">ROUNDUP(F69/10,0)</f>
        <v>18</v>
      </c>
      <c r="I69" s="0" t="s">
        <v>420</v>
      </c>
    </row>
    <row r="70" customFormat="false" ht="15" hidden="false" customHeight="false" outlineLevel="0" collapsed="false">
      <c r="A70" s="0" t="s">
        <v>421</v>
      </c>
      <c r="B70" s="0" t="s">
        <v>283</v>
      </c>
      <c r="C70" s="0" t="n">
        <v>316.9</v>
      </c>
      <c r="D70" s="0" t="n">
        <f aca="false">Inputs!$B$4</f>
        <v>0.15</v>
      </c>
      <c r="E70" s="0" t="n">
        <f aca="false">C70*D70</f>
        <v>47.535</v>
      </c>
      <c r="F70" s="0" t="n">
        <f aca="false">C70+E70</f>
        <v>364.435</v>
      </c>
      <c r="G70" s="0" t="s">
        <v>284</v>
      </c>
      <c r="H70" s="0" t="n">
        <f aca="false">ROUNDUP(F70/10,0)</f>
        <v>37</v>
      </c>
      <c r="I70" s="0" t="s">
        <v>422</v>
      </c>
    </row>
    <row r="71" customFormat="false" ht="15" hidden="false" customHeight="false" outlineLevel="0" collapsed="false">
      <c r="A71" s="0" t="s">
        <v>423</v>
      </c>
      <c r="B71" s="0" t="s">
        <v>283</v>
      </c>
      <c r="C71" s="0" t="n">
        <v>218.53</v>
      </c>
      <c r="D71" s="0" t="n">
        <f aca="false">Inputs!$B$5</f>
        <v>0.06</v>
      </c>
      <c r="E71" s="0" t="n">
        <f aca="false">C71*D71</f>
        <v>13.1118</v>
      </c>
      <c r="F71" s="0" t="n">
        <f aca="false">C71+E71</f>
        <v>231.6418</v>
      </c>
      <c r="G71" s="0" t="s">
        <v>283</v>
      </c>
      <c r="H71" s="0" t="n">
        <f aca="false">ROUNDUP(F71,0)</f>
        <v>232</v>
      </c>
      <c r="I71" s="0" t="s">
        <v>424</v>
      </c>
    </row>
    <row r="72" customFormat="false" ht="15" hidden="false" customHeight="false" outlineLevel="0" collapsed="false">
      <c r="A72" s="0" t="s">
        <v>425</v>
      </c>
      <c r="B72" s="0" t="s">
        <v>283</v>
      </c>
      <c r="C72" s="0" t="n">
        <v>57</v>
      </c>
      <c r="D72" s="0" t="n">
        <f aca="false">Inputs!$B$4</f>
        <v>0.15</v>
      </c>
      <c r="E72" s="0" t="n">
        <f aca="false">C72*D72</f>
        <v>8.55</v>
      </c>
      <c r="F72" s="0" t="n">
        <f aca="false">C72+E72</f>
        <v>65.55</v>
      </c>
      <c r="G72" s="0" t="s">
        <v>284</v>
      </c>
      <c r="H72" s="0" t="n">
        <f aca="false">ROUNDUP(F72/10,0)</f>
        <v>7</v>
      </c>
      <c r="I72" s="0" t="s">
        <v>426</v>
      </c>
    </row>
    <row r="73" customFormat="false" ht="15" hidden="false" customHeight="false" outlineLevel="0" collapsed="false">
      <c r="A73" s="0" t="s">
        <v>427</v>
      </c>
      <c r="B73" s="0" t="s">
        <v>283</v>
      </c>
      <c r="C73" s="0" t="n">
        <v>50.68</v>
      </c>
      <c r="D73" s="0" t="n">
        <f aca="false">Inputs!$B$4</f>
        <v>0.15</v>
      </c>
      <c r="E73" s="0" t="n">
        <f aca="false">C73*D73</f>
        <v>7.602</v>
      </c>
      <c r="F73" s="0" t="n">
        <f aca="false">C73+E73</f>
        <v>58.282</v>
      </c>
      <c r="G73" s="0" t="s">
        <v>284</v>
      </c>
      <c r="H73" s="0" t="n">
        <f aca="false">ROUNDUP(F73/10,0)</f>
        <v>6</v>
      </c>
      <c r="I73" s="0" t="s">
        <v>428</v>
      </c>
    </row>
    <row r="74" customFormat="false" ht="15" hidden="false" customHeight="false" outlineLevel="0" collapsed="false">
      <c r="A74" s="0" t="s">
        <v>429</v>
      </c>
      <c r="B74" s="0" t="s">
        <v>311</v>
      </c>
      <c r="C74" s="0" t="n">
        <v>5146.34</v>
      </c>
      <c r="D74" s="0" t="n">
        <f aca="false">Inputs!$B$5</f>
        <v>0.06</v>
      </c>
      <c r="E74" s="0" t="n">
        <f aca="false">C74*D74</f>
        <v>308.7804</v>
      </c>
      <c r="F74" s="0" t="n">
        <f aca="false">C74+E74</f>
        <v>5455.1204</v>
      </c>
      <c r="G74" s="0" t="s">
        <v>312</v>
      </c>
      <c r="H74" s="0" t="n">
        <f aca="false">ROUNDUP(F74/Inputs!$B$8,0)</f>
        <v>114</v>
      </c>
      <c r="I74" s="0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431</v>
      </c>
      <c r="B1" s="4" t="s">
        <v>432</v>
      </c>
      <c r="C1" s="4" t="s">
        <v>433</v>
      </c>
    </row>
    <row r="2" customFormat="false" ht="15" hidden="false" customHeight="false" outlineLevel="0" collapsed="false">
      <c r="A2" s="0" t="s">
        <v>434</v>
      </c>
      <c r="B2" s="0" t="s">
        <v>435</v>
      </c>
      <c r="C2" s="0" t="s">
        <v>436</v>
      </c>
    </row>
    <row r="3" customFormat="false" ht="15" hidden="false" customHeight="false" outlineLevel="0" collapsed="false">
      <c r="A3" s="0" t="s">
        <v>437</v>
      </c>
      <c r="B3" s="0" t="s">
        <v>438</v>
      </c>
      <c r="C3" s="0" t="s">
        <v>439</v>
      </c>
    </row>
    <row r="4" customFormat="false" ht="15" hidden="false" customHeight="false" outlineLevel="0" collapsed="false">
      <c r="A4" s="0" t="s">
        <v>440</v>
      </c>
      <c r="B4" s="0" t="s">
        <v>441</v>
      </c>
      <c r="C4" s="0" t="s">
        <v>442</v>
      </c>
    </row>
    <row r="5" customFormat="false" ht="15" hidden="false" customHeight="false" outlineLevel="0" collapsed="false">
      <c r="A5" s="0" t="s">
        <v>443</v>
      </c>
      <c r="B5" s="0" t="s">
        <v>444</v>
      </c>
      <c r="C5" s="0" t="s">
        <v>445</v>
      </c>
    </row>
    <row r="6" customFormat="false" ht="15" hidden="false" customHeight="false" outlineLevel="0" collapsed="false">
      <c r="A6" s="0" t="s">
        <v>446</v>
      </c>
      <c r="B6" s="0" t="s">
        <v>447</v>
      </c>
      <c r="C6" s="0" t="s">
        <v>448</v>
      </c>
    </row>
    <row r="7" customFormat="false" ht="15" hidden="false" customHeight="false" outlineLevel="0" collapsed="false">
      <c r="A7" s="0" t="s">
        <v>449</v>
      </c>
      <c r="B7" s="0" t="s">
        <v>450</v>
      </c>
      <c r="C7" s="0" t="s">
        <v>451</v>
      </c>
    </row>
    <row r="8" customFormat="false" ht="15" hidden="false" customHeight="false" outlineLevel="0" collapsed="false">
      <c r="A8" s="0" t="s">
        <v>452</v>
      </c>
      <c r="B8" s="0" t="s">
        <v>453</v>
      </c>
      <c r="C8" s="0" t="s">
        <v>454</v>
      </c>
    </row>
    <row r="9" customFormat="false" ht="15" hidden="false" customHeight="false" outlineLevel="0" collapsed="false">
      <c r="A9" s="0" t="s">
        <v>455</v>
      </c>
      <c r="B9" s="0" t="s">
        <v>456</v>
      </c>
      <c r="C9" s="0" t="s">
        <v>457</v>
      </c>
    </row>
    <row r="10" customFormat="false" ht="15" hidden="false" customHeight="false" outlineLevel="0" collapsed="false">
      <c r="A10" s="0" t="s">
        <v>458</v>
      </c>
      <c r="B10" s="0" t="s">
        <v>459</v>
      </c>
      <c r="C10" s="0" t="s">
        <v>460</v>
      </c>
    </row>
    <row r="11" customFormat="false" ht="15" hidden="false" customHeight="false" outlineLevel="0" collapsed="false">
      <c r="A11" s="0" t="s">
        <v>461</v>
      </c>
      <c r="B11" s="0" t="s">
        <v>462</v>
      </c>
      <c r="C11" s="0" t="s">
        <v>463</v>
      </c>
    </row>
    <row r="12" customFormat="false" ht="15" hidden="false" customHeight="false" outlineLevel="0" collapsed="false">
      <c r="A12" s="0" t="s">
        <v>464</v>
      </c>
      <c r="B12" s="0" t="s">
        <v>465</v>
      </c>
      <c r="C12" s="0" t="s">
        <v>466</v>
      </c>
    </row>
    <row r="13" customFormat="false" ht="15" hidden="false" customHeight="false" outlineLevel="0" collapsed="false">
      <c r="A13" s="0" t="s">
        <v>467</v>
      </c>
      <c r="B13" s="0" t="s">
        <v>468</v>
      </c>
      <c r="C13" s="0" t="s">
        <v>469</v>
      </c>
    </row>
    <row r="14" customFormat="false" ht="15" hidden="false" customHeight="false" outlineLevel="0" collapsed="false">
      <c r="A14" s="0" t="s">
        <v>470</v>
      </c>
      <c r="B14" s="0" t="s">
        <v>471</v>
      </c>
      <c r="C14" s="0" t="s">
        <v>472</v>
      </c>
    </row>
    <row r="15" customFormat="false" ht="15" hidden="false" customHeight="false" outlineLevel="0" collapsed="false">
      <c r="A15" s="0" t="s">
        <v>473</v>
      </c>
      <c r="B15" s="0" t="s">
        <v>474</v>
      </c>
      <c r="C15" s="0" t="s">
        <v>475</v>
      </c>
    </row>
    <row r="16" customFormat="false" ht="15" hidden="false" customHeight="false" outlineLevel="0" collapsed="false">
      <c r="A16" s="0" t="s">
        <v>476</v>
      </c>
      <c r="B16" s="0" t="s">
        <v>477</v>
      </c>
      <c r="C16" s="0" t="s">
        <v>478</v>
      </c>
    </row>
    <row r="17" customFormat="false" ht="15" hidden="false" customHeight="false" outlineLevel="0" collapsed="false">
      <c r="A17" s="0" t="s">
        <v>479</v>
      </c>
      <c r="B17" s="0" t="s">
        <v>480</v>
      </c>
      <c r="C17" s="0" t="s">
        <v>481</v>
      </c>
    </row>
    <row r="18" customFormat="false" ht="15" hidden="false" customHeight="false" outlineLevel="0" collapsed="false">
      <c r="A18" s="0" t="s">
        <v>482</v>
      </c>
      <c r="B18" s="0" t="s">
        <v>483</v>
      </c>
      <c r="C18" s="0" t="s">
        <v>484</v>
      </c>
    </row>
    <row r="19" customFormat="false" ht="15" hidden="false" customHeight="false" outlineLevel="0" collapsed="false">
      <c r="A19" s="0" t="s">
        <v>485</v>
      </c>
      <c r="B19" s="0" t="s">
        <v>486</v>
      </c>
      <c r="C19" s="0" t="s">
        <v>487</v>
      </c>
    </row>
    <row r="20" customFormat="false" ht="15" hidden="false" customHeight="false" outlineLevel="0" collapsed="false">
      <c r="A20" s="0" t="s">
        <v>488</v>
      </c>
      <c r="B20" s="0" t="s">
        <v>489</v>
      </c>
      <c r="C20" s="0" t="s">
        <v>490</v>
      </c>
    </row>
    <row r="21" customFormat="false" ht="15" hidden="false" customHeight="false" outlineLevel="0" collapsed="false">
      <c r="A21" s="0" t="s">
        <v>491</v>
      </c>
      <c r="B21" s="0" t="s">
        <v>492</v>
      </c>
      <c r="C21" s="0" t="s">
        <v>493</v>
      </c>
    </row>
    <row r="22" customFormat="false" ht="15" hidden="false" customHeight="false" outlineLevel="0" collapsed="false">
      <c r="A22" s="0" t="s">
        <v>494</v>
      </c>
      <c r="B22" s="0" t="s">
        <v>495</v>
      </c>
      <c r="C22" s="0" t="s">
        <v>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21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0" t="s">
        <v>497</v>
      </c>
      <c r="B1" s="0" t="s">
        <v>498</v>
      </c>
      <c r="C1" s="0" t="s">
        <v>499</v>
      </c>
      <c r="D1" s="0" t="s">
        <v>500</v>
      </c>
    </row>
    <row r="2" customFormat="false" ht="15" hidden="false" customHeight="false" outlineLevel="0" collapsed="false">
      <c r="A2" s="0" t="n">
        <v>1</v>
      </c>
      <c r="B2" s="0" t="s">
        <v>501</v>
      </c>
      <c r="C2" s="0" t="s">
        <v>502</v>
      </c>
      <c r="D2" s="0" t="s">
        <v>503</v>
      </c>
    </row>
    <row r="3" customFormat="false" ht="15" hidden="false" customHeight="false" outlineLevel="0" collapsed="false">
      <c r="A3" s="0" t="n">
        <v>2</v>
      </c>
      <c r="B3" s="0" t="s">
        <v>504</v>
      </c>
      <c r="C3" s="0" t="s">
        <v>502</v>
      </c>
      <c r="D3" s="0" t="s">
        <v>505</v>
      </c>
    </row>
    <row r="4" customFormat="false" ht="15" hidden="false" customHeight="false" outlineLevel="0" collapsed="false">
      <c r="A4" s="0" t="n">
        <v>3</v>
      </c>
      <c r="B4" s="0" t="s">
        <v>506</v>
      </c>
      <c r="C4" s="0" t="s">
        <v>502</v>
      </c>
      <c r="D4" s="0" t="s">
        <v>507</v>
      </c>
    </row>
    <row r="5" customFormat="false" ht="15" hidden="false" customHeight="false" outlineLevel="0" collapsed="false">
      <c r="A5" s="0" t="n">
        <v>4</v>
      </c>
      <c r="B5" s="0" t="s">
        <v>508</v>
      </c>
      <c r="C5" s="0" t="s">
        <v>502</v>
      </c>
      <c r="D5" s="0" t="s">
        <v>509</v>
      </c>
    </row>
    <row r="6" customFormat="false" ht="15" hidden="false" customHeight="false" outlineLevel="0" collapsed="false">
      <c r="A6" s="0" t="n">
        <v>5</v>
      </c>
      <c r="B6" s="0" t="s">
        <v>510</v>
      </c>
      <c r="C6" s="0" t="s">
        <v>502</v>
      </c>
      <c r="D6" s="0" t="s">
        <v>511</v>
      </c>
    </row>
    <row r="7" customFormat="false" ht="15" hidden="false" customHeight="false" outlineLevel="0" collapsed="false">
      <c r="A7" s="0" t="n">
        <v>6</v>
      </c>
      <c r="B7" s="0" t="s">
        <v>512</v>
      </c>
      <c r="C7" s="0" t="s">
        <v>502</v>
      </c>
      <c r="D7" s="0" t="s">
        <v>513</v>
      </c>
    </row>
    <row r="8" customFormat="false" ht="15" hidden="false" customHeight="false" outlineLevel="0" collapsed="false">
      <c r="A8" s="0" t="n">
        <v>7</v>
      </c>
      <c r="B8" s="0" t="s">
        <v>514</v>
      </c>
      <c r="C8" s="0" t="s">
        <v>502</v>
      </c>
      <c r="D8" s="0" t="s">
        <v>515</v>
      </c>
    </row>
    <row r="9" customFormat="false" ht="15" hidden="false" customHeight="false" outlineLevel="0" collapsed="false">
      <c r="A9" s="0" t="n">
        <v>8</v>
      </c>
      <c r="B9" s="0" t="s">
        <v>516</v>
      </c>
      <c r="C9" s="0" t="s">
        <v>502</v>
      </c>
      <c r="D9" s="0" t="s">
        <v>517</v>
      </c>
    </row>
    <row r="10" customFormat="false" ht="15" hidden="false" customHeight="false" outlineLevel="0" collapsed="false">
      <c r="A10" s="0" t="n">
        <v>9</v>
      </c>
      <c r="B10" s="0" t="s">
        <v>518</v>
      </c>
      <c r="C10" s="0" t="s">
        <v>502</v>
      </c>
      <c r="D10" s="0" t="s">
        <v>519</v>
      </c>
    </row>
    <row r="11" customFormat="false" ht="15" hidden="false" customHeight="false" outlineLevel="0" collapsed="false">
      <c r="A11" s="0" t="n">
        <v>10</v>
      </c>
      <c r="B11" s="0" t="s">
        <v>520</v>
      </c>
      <c r="C11" s="0" t="s">
        <v>521</v>
      </c>
      <c r="D11" s="0" t="s">
        <v>522</v>
      </c>
    </row>
    <row r="12" customFormat="false" ht="15" hidden="false" customHeight="false" outlineLevel="0" collapsed="false">
      <c r="A12" s="0" t="n">
        <v>11</v>
      </c>
      <c r="B12" s="0" t="s">
        <v>523</v>
      </c>
      <c r="C12" s="0" t="s">
        <v>524</v>
      </c>
      <c r="D12" s="0" t="s">
        <v>525</v>
      </c>
    </row>
    <row r="13" customFormat="false" ht="15" hidden="false" customHeight="false" outlineLevel="0" collapsed="false">
      <c r="A13" s="0" t="n">
        <v>12</v>
      </c>
      <c r="B13" s="0" t="s">
        <v>526</v>
      </c>
      <c r="C13" s="0" t="s">
        <v>527</v>
      </c>
      <c r="D13" s="0" t="s">
        <v>528</v>
      </c>
    </row>
    <row r="14" customFormat="false" ht="15" hidden="false" customHeight="false" outlineLevel="0" collapsed="false">
      <c r="A14" s="0" t="n">
        <v>13</v>
      </c>
      <c r="B14" s="0" t="s">
        <v>529</v>
      </c>
      <c r="C14" s="0" t="s">
        <v>530</v>
      </c>
      <c r="D14" s="0" t="s">
        <v>531</v>
      </c>
    </row>
    <row r="15" customFormat="false" ht="15" hidden="false" customHeight="false" outlineLevel="0" collapsed="false">
      <c r="A15" s="0" t="n">
        <v>14</v>
      </c>
      <c r="B15" s="0" t="s">
        <v>532</v>
      </c>
      <c r="C15" s="0" t="s">
        <v>533</v>
      </c>
      <c r="D15" s="0" t="s">
        <v>507</v>
      </c>
    </row>
    <row r="16" customFormat="false" ht="15" hidden="false" customHeight="false" outlineLevel="0" collapsed="false">
      <c r="A16" s="0" t="n">
        <v>15</v>
      </c>
      <c r="B16" s="0" t="s">
        <v>534</v>
      </c>
      <c r="C16" s="0" t="s">
        <v>535</v>
      </c>
      <c r="D16" s="0" t="s">
        <v>536</v>
      </c>
    </row>
    <row r="17" customFormat="false" ht="15" hidden="false" customHeight="false" outlineLevel="0" collapsed="false">
      <c r="A17" s="0" t="n">
        <v>16</v>
      </c>
      <c r="B17" s="0" t="s">
        <v>537</v>
      </c>
      <c r="C17" s="0" t="s">
        <v>538</v>
      </c>
      <c r="D17" s="0" t="s">
        <v>536</v>
      </c>
    </row>
    <row r="18" customFormat="false" ht="15" hidden="false" customHeight="false" outlineLevel="0" collapsed="false">
      <c r="A18" s="0" t="n">
        <v>17</v>
      </c>
      <c r="B18" s="0" t="s">
        <v>539</v>
      </c>
      <c r="C18" s="0" t="s">
        <v>538</v>
      </c>
      <c r="D18" s="0" t="s">
        <v>536</v>
      </c>
    </row>
    <row r="19" customFormat="false" ht="15" hidden="false" customHeight="false" outlineLevel="0" collapsed="false">
      <c r="A19" s="0" t="n">
        <v>18</v>
      </c>
      <c r="B19" s="0" t="s">
        <v>540</v>
      </c>
      <c r="C19" s="0" t="s">
        <v>538</v>
      </c>
      <c r="D19" s="0" t="s">
        <v>536</v>
      </c>
    </row>
    <row r="20" customFormat="false" ht="15" hidden="false" customHeight="false" outlineLevel="0" collapsed="false">
      <c r="A20" s="0" t="n">
        <v>19</v>
      </c>
      <c r="B20" s="0" t="s">
        <v>541</v>
      </c>
      <c r="C20" s="0" t="s">
        <v>538</v>
      </c>
      <c r="D20" s="0" t="s">
        <v>536</v>
      </c>
    </row>
    <row r="21" customFormat="false" ht="15" hidden="false" customHeight="false" outlineLevel="0" collapsed="false">
      <c r="A21" s="0" t="n">
        <v>20</v>
      </c>
      <c r="B21" s="0" t="s">
        <v>542</v>
      </c>
      <c r="C21" s="0" t="s">
        <v>538</v>
      </c>
      <c r="D21" s="0" t="s">
        <v>536</v>
      </c>
    </row>
    <row r="22" customFormat="false" ht="15" hidden="false" customHeight="false" outlineLevel="0" collapsed="false">
      <c r="A22" s="0" t="n">
        <v>21</v>
      </c>
      <c r="B22" s="0" t="s">
        <v>543</v>
      </c>
      <c r="C22" s="0" t="s">
        <v>538</v>
      </c>
      <c r="D22" s="0" t="s">
        <v>536</v>
      </c>
    </row>
    <row r="23" customFormat="false" ht="15" hidden="false" customHeight="false" outlineLevel="0" collapsed="false">
      <c r="A23" s="0" t="n">
        <v>22</v>
      </c>
      <c r="B23" s="0" t="s">
        <v>544</v>
      </c>
      <c r="C23" s="0" t="s">
        <v>538</v>
      </c>
      <c r="D23" s="0" t="s">
        <v>536</v>
      </c>
    </row>
    <row r="24" customFormat="false" ht="15" hidden="false" customHeight="false" outlineLevel="0" collapsed="false">
      <c r="A24" s="0" t="n">
        <v>23</v>
      </c>
      <c r="B24" s="0" t="s">
        <v>545</v>
      </c>
      <c r="C24" s="0" t="s">
        <v>538</v>
      </c>
      <c r="D24" s="0" t="s">
        <v>536</v>
      </c>
    </row>
    <row r="25" customFormat="false" ht="15" hidden="false" customHeight="false" outlineLevel="0" collapsed="false">
      <c r="A25" s="0" t="n">
        <v>24</v>
      </c>
      <c r="B25" s="0" t="s">
        <v>546</v>
      </c>
      <c r="C25" s="0" t="s">
        <v>538</v>
      </c>
      <c r="D25" s="0" t="s">
        <v>536</v>
      </c>
    </row>
    <row r="26" customFormat="false" ht="15" hidden="false" customHeight="false" outlineLevel="0" collapsed="false">
      <c r="A26" s="0" t="n">
        <v>25</v>
      </c>
      <c r="B26" s="0" t="s">
        <v>547</v>
      </c>
      <c r="C26" s="0" t="s">
        <v>538</v>
      </c>
      <c r="D26" s="0" t="s">
        <v>536</v>
      </c>
    </row>
    <row r="27" customFormat="false" ht="15" hidden="false" customHeight="false" outlineLevel="0" collapsed="false">
      <c r="A27" s="0" t="n">
        <v>26</v>
      </c>
      <c r="B27" s="0" t="s">
        <v>548</v>
      </c>
      <c r="C27" s="0" t="s">
        <v>538</v>
      </c>
      <c r="D27" s="0" t="s">
        <v>536</v>
      </c>
    </row>
    <row r="28" customFormat="false" ht="15" hidden="false" customHeight="false" outlineLevel="0" collapsed="false">
      <c r="A28" s="0" t="n">
        <v>27</v>
      </c>
      <c r="B28" s="0" t="s">
        <v>549</v>
      </c>
      <c r="C28" s="0" t="s">
        <v>538</v>
      </c>
      <c r="D28" s="0" t="s">
        <v>536</v>
      </c>
    </row>
    <row r="29" customFormat="false" ht="15" hidden="false" customHeight="false" outlineLevel="0" collapsed="false">
      <c r="A29" s="0" t="n">
        <v>28</v>
      </c>
      <c r="B29" s="0" t="s">
        <v>550</v>
      </c>
      <c r="C29" s="0" t="s">
        <v>538</v>
      </c>
      <c r="D29" s="0" t="s">
        <v>536</v>
      </c>
    </row>
    <row r="30" customFormat="false" ht="15" hidden="false" customHeight="false" outlineLevel="0" collapsed="false">
      <c r="A30" s="0" t="n">
        <v>29</v>
      </c>
      <c r="B30" s="0" t="s">
        <v>551</v>
      </c>
      <c r="C30" s="0" t="s">
        <v>538</v>
      </c>
      <c r="D30" s="0" t="s">
        <v>536</v>
      </c>
    </row>
    <row r="31" customFormat="false" ht="15" hidden="false" customHeight="false" outlineLevel="0" collapsed="false">
      <c r="A31" s="0" t="n">
        <v>30</v>
      </c>
      <c r="B31" s="0" t="s">
        <v>552</v>
      </c>
      <c r="C31" s="0" t="s">
        <v>538</v>
      </c>
      <c r="D31" s="0" t="s">
        <v>536</v>
      </c>
    </row>
    <row r="32" customFormat="false" ht="15" hidden="false" customHeight="false" outlineLevel="0" collapsed="false">
      <c r="A32" s="0" t="n">
        <v>31</v>
      </c>
      <c r="B32" s="0" t="s">
        <v>553</v>
      </c>
      <c r="C32" s="0" t="s">
        <v>538</v>
      </c>
      <c r="D32" s="0" t="s">
        <v>536</v>
      </c>
    </row>
    <row r="33" customFormat="false" ht="15" hidden="false" customHeight="false" outlineLevel="0" collapsed="false">
      <c r="A33" s="0" t="n">
        <v>32</v>
      </c>
      <c r="B33" s="0" t="s">
        <v>554</v>
      </c>
      <c r="C33" s="0" t="s">
        <v>538</v>
      </c>
      <c r="D33" s="0" t="s">
        <v>536</v>
      </c>
    </row>
    <row r="34" customFormat="false" ht="15" hidden="false" customHeight="false" outlineLevel="0" collapsed="false">
      <c r="A34" s="0" t="n">
        <v>33</v>
      </c>
      <c r="B34" s="0" t="s">
        <v>555</v>
      </c>
      <c r="C34" s="0" t="s">
        <v>538</v>
      </c>
      <c r="D34" s="0" t="s">
        <v>536</v>
      </c>
    </row>
    <row r="35" customFormat="false" ht="15" hidden="false" customHeight="false" outlineLevel="0" collapsed="false">
      <c r="A35" s="0" t="n">
        <v>34</v>
      </c>
      <c r="B35" s="0" t="s">
        <v>556</v>
      </c>
      <c r="C35" s="0" t="s">
        <v>538</v>
      </c>
      <c r="D35" s="0" t="s">
        <v>536</v>
      </c>
    </row>
    <row r="36" customFormat="false" ht="15" hidden="false" customHeight="false" outlineLevel="0" collapsed="false">
      <c r="A36" s="0" t="n">
        <v>35</v>
      </c>
      <c r="B36" s="0" t="s">
        <v>557</v>
      </c>
      <c r="C36" s="0" t="s">
        <v>538</v>
      </c>
      <c r="D36" s="0" t="s">
        <v>536</v>
      </c>
    </row>
    <row r="37" customFormat="false" ht="15" hidden="false" customHeight="false" outlineLevel="0" collapsed="false">
      <c r="A37" s="0" t="n">
        <v>36</v>
      </c>
      <c r="B37" s="0" t="s">
        <v>558</v>
      </c>
      <c r="C37" s="0" t="s">
        <v>538</v>
      </c>
      <c r="D37" s="0" t="s">
        <v>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559</v>
      </c>
      <c r="B1" s="0" t="s">
        <v>560</v>
      </c>
      <c r="C1" s="0" t="s">
        <v>561</v>
      </c>
      <c r="D1" s="0" t="s">
        <v>562</v>
      </c>
    </row>
    <row r="2" customFormat="false" ht="15" hidden="false" customHeight="false" outlineLevel="0" collapsed="false">
      <c r="A2" s="0" t="s">
        <v>563</v>
      </c>
      <c r="B2" s="0" t="s">
        <v>564</v>
      </c>
      <c r="C2" s="0" t="s">
        <v>565</v>
      </c>
      <c r="D2" s="0" t="s">
        <v>566</v>
      </c>
    </row>
    <row r="3" customFormat="false" ht="15" hidden="false" customHeight="false" outlineLevel="0" collapsed="false">
      <c r="A3" s="0" t="s">
        <v>567</v>
      </c>
      <c r="B3" s="0" t="s">
        <v>568</v>
      </c>
      <c r="C3" s="0" t="s">
        <v>565</v>
      </c>
      <c r="D3" s="0" t="s">
        <v>569</v>
      </c>
    </row>
    <row r="4" customFormat="false" ht="15" hidden="false" customHeight="false" outlineLevel="0" collapsed="false">
      <c r="A4" s="0" t="s">
        <v>570</v>
      </c>
      <c r="B4" s="0" t="s">
        <v>571</v>
      </c>
      <c r="C4" s="0" t="s">
        <v>565</v>
      </c>
      <c r="D4" s="0" t="s">
        <v>572</v>
      </c>
    </row>
    <row r="5" customFormat="false" ht="15" hidden="false" customHeight="false" outlineLevel="0" collapsed="false">
      <c r="A5" s="0" t="s">
        <v>573</v>
      </c>
      <c r="B5" s="0" t="s">
        <v>574</v>
      </c>
      <c r="C5" s="0" t="s">
        <v>565</v>
      </c>
      <c r="D5" s="0" t="s">
        <v>575</v>
      </c>
    </row>
    <row r="6" customFormat="false" ht="15" hidden="false" customHeight="false" outlineLevel="0" collapsed="false">
      <c r="A6" s="0" t="s">
        <v>576</v>
      </c>
      <c r="B6" s="0" t="s">
        <v>577</v>
      </c>
      <c r="C6" s="0" t="s">
        <v>565</v>
      </c>
      <c r="D6" s="0" t="s">
        <v>578</v>
      </c>
    </row>
    <row r="7" customFormat="false" ht="15" hidden="false" customHeight="false" outlineLevel="0" collapsed="false">
      <c r="A7" s="0" t="s">
        <v>579</v>
      </c>
      <c r="B7" s="0" t="s">
        <v>580</v>
      </c>
      <c r="C7" s="0" t="s">
        <v>565</v>
      </c>
      <c r="D7" s="0" t="s">
        <v>581</v>
      </c>
    </row>
    <row r="8" customFormat="false" ht="15" hidden="false" customHeight="false" outlineLevel="0" collapsed="false">
      <c r="A8" s="0" t="s">
        <v>582</v>
      </c>
      <c r="B8" s="0" t="s">
        <v>583</v>
      </c>
      <c r="C8" s="0" t="s">
        <v>565</v>
      </c>
      <c r="D8" s="0" t="s">
        <v>584</v>
      </c>
    </row>
    <row r="9" customFormat="false" ht="15" hidden="false" customHeight="false" outlineLevel="0" collapsed="false">
      <c r="A9" s="0" t="s">
        <v>585</v>
      </c>
      <c r="B9" s="0" t="s">
        <v>586</v>
      </c>
      <c r="C9" s="0" t="s">
        <v>565</v>
      </c>
      <c r="D9" s="0" t="s">
        <v>587</v>
      </c>
    </row>
    <row r="10" customFormat="false" ht="15" hidden="false" customHeight="false" outlineLevel="0" collapsed="false">
      <c r="A10" s="0" t="s">
        <v>588</v>
      </c>
      <c r="B10" s="0" t="s">
        <v>589</v>
      </c>
      <c r="C10" s="0" t="s">
        <v>565</v>
      </c>
      <c r="D10" s="0" t="s">
        <v>590</v>
      </c>
    </row>
    <row r="11" customFormat="false" ht="15" hidden="false" customHeight="false" outlineLevel="0" collapsed="false">
      <c r="A11" s="0" t="s">
        <v>591</v>
      </c>
      <c r="B11" s="0" t="s">
        <v>592</v>
      </c>
      <c r="C11" s="0" t="s">
        <v>565</v>
      </c>
      <c r="D11" s="0" t="s">
        <v>593</v>
      </c>
    </row>
    <row r="12" customFormat="false" ht="15" hidden="false" customHeight="false" outlineLevel="0" collapsed="false">
      <c r="A12" s="0" t="s">
        <v>594</v>
      </c>
      <c r="B12" s="0" t="s">
        <v>595</v>
      </c>
      <c r="C12" s="0" t="s">
        <v>565</v>
      </c>
      <c r="D12" s="0" t="s">
        <v>596</v>
      </c>
    </row>
    <row r="13" customFormat="false" ht="15" hidden="false" customHeight="false" outlineLevel="0" collapsed="false">
      <c r="A13" s="0" t="s">
        <v>597</v>
      </c>
      <c r="B13" s="0" t="s">
        <v>598</v>
      </c>
      <c r="C13" s="0" t="s">
        <v>565</v>
      </c>
      <c r="D13" s="0" t="s">
        <v>599</v>
      </c>
    </row>
    <row r="14" customFormat="false" ht="15" hidden="false" customHeight="false" outlineLevel="0" collapsed="false">
      <c r="A14" s="0" t="s">
        <v>600</v>
      </c>
      <c r="B14" s="0" t="s">
        <v>601</v>
      </c>
      <c r="C14" s="0" t="s">
        <v>565</v>
      </c>
      <c r="D14" s="0" t="s">
        <v>602</v>
      </c>
    </row>
    <row r="15" customFormat="false" ht="15" hidden="false" customHeight="false" outlineLevel="0" collapsed="false">
      <c r="A15" s="0" t="s">
        <v>603</v>
      </c>
      <c r="B15" s="0" t="s">
        <v>604</v>
      </c>
      <c r="C15" s="0" t="s">
        <v>565</v>
      </c>
      <c r="D15" s="0" t="s">
        <v>605</v>
      </c>
    </row>
    <row r="16" customFormat="false" ht="15" hidden="false" customHeight="false" outlineLevel="0" collapsed="false">
      <c r="A16" s="0" t="s">
        <v>606</v>
      </c>
      <c r="B16" s="0" t="s">
        <v>607</v>
      </c>
      <c r="C16" s="0" t="s">
        <v>565</v>
      </c>
      <c r="D16" s="0" t="s">
        <v>608</v>
      </c>
    </row>
    <row r="17" customFormat="false" ht="15" hidden="false" customHeight="false" outlineLevel="0" collapsed="false">
      <c r="A17" s="0" t="s">
        <v>609</v>
      </c>
      <c r="B17" s="0" t="s">
        <v>610</v>
      </c>
      <c r="C17" s="0" t="s">
        <v>565</v>
      </c>
      <c r="D17" s="0" t="s">
        <v>611</v>
      </c>
    </row>
    <row r="18" customFormat="false" ht="15" hidden="false" customHeight="false" outlineLevel="0" collapsed="false">
      <c r="A18" s="0" t="s">
        <v>612</v>
      </c>
      <c r="B18" s="0" t="s">
        <v>613</v>
      </c>
      <c r="C18" s="0" t="s">
        <v>565</v>
      </c>
      <c r="D18" s="0" t="s">
        <v>614</v>
      </c>
    </row>
    <row r="19" customFormat="false" ht="15" hidden="false" customHeight="false" outlineLevel="0" collapsed="false">
      <c r="A19" s="0" t="s">
        <v>615</v>
      </c>
      <c r="B19" s="0" t="s">
        <v>616</v>
      </c>
      <c r="C19" s="0" t="s">
        <v>565</v>
      </c>
      <c r="D19" s="0" t="s">
        <v>617</v>
      </c>
    </row>
    <row r="20" customFormat="false" ht="15" hidden="false" customHeight="false" outlineLevel="0" collapsed="false">
      <c r="A20" s="0" t="s">
        <v>618</v>
      </c>
      <c r="B20" s="0" t="s">
        <v>619</v>
      </c>
      <c r="C20" s="0" t="s">
        <v>565</v>
      </c>
      <c r="D20" s="0" t="s">
        <v>620</v>
      </c>
    </row>
    <row r="21" customFormat="false" ht="15" hidden="false" customHeight="false" outlineLevel="0" collapsed="false">
      <c r="A21" s="0" t="s">
        <v>621</v>
      </c>
      <c r="B21" s="0" t="s">
        <v>622</v>
      </c>
      <c r="C21" s="0" t="s">
        <v>565</v>
      </c>
      <c r="D21" s="0" t="s">
        <v>623</v>
      </c>
    </row>
    <row r="22" customFormat="false" ht="15" hidden="false" customHeight="false" outlineLevel="0" collapsed="false">
      <c r="A22" s="0" t="s">
        <v>624</v>
      </c>
      <c r="B22" s="0" t="s">
        <v>625</v>
      </c>
      <c r="C22" s="0" t="s">
        <v>626</v>
      </c>
      <c r="D22" s="0" t="s">
        <v>627</v>
      </c>
    </row>
    <row r="23" customFormat="false" ht="15" hidden="false" customHeight="false" outlineLevel="0" collapsed="false">
      <c r="A23" s="0" t="s">
        <v>628</v>
      </c>
      <c r="B23" s="0" t="s">
        <v>629</v>
      </c>
      <c r="C23" s="0" t="s">
        <v>626</v>
      </c>
      <c r="D23" s="0" t="s">
        <v>630</v>
      </c>
    </row>
    <row r="24" customFormat="false" ht="15" hidden="false" customHeight="false" outlineLevel="0" collapsed="false">
      <c r="A24" s="0" t="s">
        <v>631</v>
      </c>
      <c r="B24" s="0" t="s">
        <v>632</v>
      </c>
      <c r="C24" s="0" t="s">
        <v>565</v>
      </c>
      <c r="D24" s="0" t="s">
        <v>633</v>
      </c>
    </row>
    <row r="25" customFormat="false" ht="15" hidden="false" customHeight="false" outlineLevel="0" collapsed="false">
      <c r="A25" s="0" t="s">
        <v>634</v>
      </c>
      <c r="B25" s="0" t="s">
        <v>635</v>
      </c>
      <c r="C25" s="0" t="s">
        <v>565</v>
      </c>
      <c r="D25" s="0" t="s">
        <v>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2026-10-14T20:18:35Z</dcterms:created>
  <dc:creator>openpyxl</dc:creator>
  <dc:description/>
  <dc:language>en-US</dc:language>
  <cp:lastModifiedBy/>
  <dcterms:modified xsi:type="dcterms:W3CDTF">2026-10-14T20:18:35Z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