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Partition Takeoff" sheetId="2" state="visible" r:id="rId4"/>
    <sheet name="Material Summary" sheetId="3" state="visible" r:id="rId5"/>
    <sheet name="Pending Items" sheetId="4" state="visible" r:id="rId6"/>
    <sheet name="Review Items" sheetId="5" state="visible" r:id="rId7"/>
    <sheet name="Scope Checklist" sheetId="6" state="visible" r:id="rId8"/>
    <sheet name="_regla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<sst xmlns="http://schemas.openxmlformats.org/spreadsheetml/2006/main" count="2202" uniqueCount="1487">
  <si>
    <t xml:space="preserve">Bank of America - Broomfield, CO (CO1-111)   |   METAL FRAMING &amp; DRYWALL TAKEOFF</t>
  </si>
  <si>
    <t xml:space="preserve">Bid set: boa_SIN_MARKUPS.pdf   ·   2026-10-21   ·   Edit ONLY the yellow cells.</t>
  </si>
  <si>
    <t xml:space="preserve">PARAMETER</t>
  </si>
  <si>
    <t xml:space="preserve">VALUE</t>
  </si>
  <si>
    <t xml:space="preserve">NOTE / SOURCE</t>
  </si>
  <si>
    <t xml:space="preserve">Waste - ALL METAL, any type</t>
  </si>
  <si>
    <t xml:space="preserve">Estimator standing rule: 15% on everything that is metal.</t>
  </si>
  <si>
    <t xml:space="preserve">Waste - EVERYTHING THAT IS NOT METAL</t>
  </si>
  <si>
    <t xml:space="preserve">Estimator standing rule: same figure as board.</t>
  </si>
  <si>
    <t xml:space="preserve">Board sheet width (ft)</t>
  </si>
  <si>
    <t xml:space="preserve">Sheet size is a parameter; buy the size that wastes least.</t>
  </si>
  <si>
    <t xml:space="preserve">Board sheet length (ft)</t>
  </si>
  <si>
    <t xml:space="preserve">Change it and every sheet count re-rounds.</t>
  </si>
  <si>
    <t xml:space="preserve">SF per board sheet</t>
  </si>
  <si>
    <t xml:space="preserve">Width x length.</t>
  </si>
  <si>
    <t xml:space="preserve">Stud stock length (ft)</t>
  </si>
  <si>
    <t xml:space="preserve">Stud, header, framed opening and stud blocking: sticks.</t>
  </si>
  <si>
    <t xml:space="preserve">Track stock length (ft)</t>
  </si>
  <si>
    <t xml:space="preserve">Track, sill track and purlin: runs.</t>
  </si>
  <si>
    <t xml:space="preserve">Floor plan scale (pt/ft)</t>
  </si>
  <si>
    <t xml:space="preserve">Project value (canon constants).</t>
  </si>
  <si>
    <t xml:space="preserve">B.O. Deck (ft)</t>
  </si>
  <si>
    <t xml:space="preserve">T.O. Parapet (ft)</t>
  </si>
  <si>
    <t xml:space="preserve">Sealant coverage (LF per tube)</t>
  </si>
  <si>
    <t xml:space="preserve">Sealant yield per tube - set your supplier's figure.</t>
  </si>
  <si>
    <t xml:space="preserve">C.R. channel stock length (ft)</t>
  </si>
  <si>
    <t xml:space="preserve">1-1/2" cold-rolled channel (bracing, carrying channel).</t>
  </si>
  <si>
    <t xml:space="preserve">Hat / furring channel stock (ft)</t>
  </si>
  <si>
    <t xml:space="preserve">7/8" hat furring channel.</t>
  </si>
  <si>
    <t xml:space="preserve">Trim stick length (ft)</t>
  </si>
  <si>
    <t xml:space="preserve">Corner bead, casing bead, shadow molding, PVC trim.</t>
  </si>
  <si>
    <t xml:space="preserve">Hanger wire purchase</t>
  </si>
  <si>
    <t xml:space="preserve">continuous coil (LF)</t>
  </si>
  <si>
    <t xml:space="preserve">Bought by LF from a continuous coil; the hanger count goes on its own PCS row.</t>
  </si>
  <si>
    <t xml:space="preserve">Drywall screws per SF of board</t>
  </si>
  <si>
    <t xml:space="preserve">YIELD (GA-216 field / perimeter spacing).</t>
  </si>
  <si>
    <t xml:space="preserve">Framing screws per stud piece</t>
  </si>
  <si>
    <t xml:space="preserve">YIELD: 2 per stud-to-track connection, each end.</t>
  </si>
  <si>
    <t xml:space="preserve">Power-driven pin spacing (ft)</t>
  </si>
  <si>
    <t xml:space="preserve">YIELD: bottom track on slab, interior walls.</t>
  </si>
  <si>
    <t xml:space="preserve">Joint compound (lb per SF)</t>
  </si>
  <si>
    <t xml:space="preserve">YIELD: 72 lb per 1,000 SF, level 4 (estimator criterion).</t>
  </si>
  <si>
    <t xml:space="preserve">Joint tape (LF per SF)</t>
  </si>
  <si>
    <t xml:space="preserve">YIELD: 370 LF per 1,000 SF.</t>
  </si>
  <si>
    <t xml:space="preserve">Expansion anchor spacing (ft)</t>
  </si>
  <si>
    <t xml:space="preserve">YIELD: exterior bottom track on slab.</t>
  </si>
  <si>
    <t xml:space="preserve">ORGANIZED PARTITION TAKEOFF - Bank of America - Broomfield, CO (CO1-111)</t>
  </si>
  <si>
    <t xml:space="preserve">Grouped by partition type. Every row cites its DETAIL/SHEET and its status.</t>
  </si>
  <si>
    <t xml:space="preserve">Partition / Scope</t>
  </si>
  <si>
    <t xml:space="preserve">Wall #</t>
  </si>
  <si>
    <t xml:space="preserve">Length (LF)</t>
  </si>
  <si>
    <t xml:space="preserve">Height (FT)</t>
  </si>
  <si>
    <t xml:space="preserve">Layers</t>
  </si>
  <si>
    <t xml:space="preserve">Stud Size</t>
  </si>
  <si>
    <t xml:space="preserve">Stud O.C. (in)</t>
  </si>
  <si>
    <t xml:space="preserve">Board (SF)</t>
  </si>
  <si>
    <t xml:space="preserve">Location</t>
  </si>
  <si>
    <t xml:space="preserve">Source (DETAIL/SHEET)</t>
  </si>
  <si>
    <t xml:space="preserve">Status</t>
  </si>
  <si>
    <t xml:space="preserve">TYPE EXT-6CFMF</t>
  </si>
  <si>
    <t xml:space="preserve">EXT-6CFMF  #AEXT-N-F78  -  WAITING 104 (open to CENTRAL ZONE 103, behind column at 7/F) / OFFICE 1 ME 105 / corner under the crossing wall (no board)</t>
  </si>
  <si>
    <t xml:space="preserve">AEXT-N-F78</t>
  </si>
  <si>
    <t xml:space="preserve">6"</t>
  </si>
  <si>
    <t xml:space="preserve">WAITING 104 (open to CENTRAL ZONE 103, behind column at 7/F) / OFFICE 1 ME 105 / corner under the crossing wall (no board)</t>
  </si>
  <si>
    <t xml:space="preserve">C/A09.21</t>
  </si>
  <si>
    <t xml:space="preserve">[DERIVED]</t>
  </si>
  <si>
    <t xml:space="preserve">EXT-6CFMF  #AEXT-E-8N+AEXT-E-8S  -  OFFICE 1 ME 105 / OFFICE 2 CL 106 / OFFICE 3 SB 107 / OFFICE 4 CB 108 / CASH WINDOW 116 + CASH WINDOW 116 / WORK ROOM 119</t>
  </si>
  <si>
    <t xml:space="preserve">AEXT-E-8N+AEXT-E-8S</t>
  </si>
  <si>
    <t xml:space="preserve">OFFICE 1 ME 105 / OFFICE 2 CL 106 / OFFICE 3 SB 107 / OFFICE 4 CB 108 / CASH WINDOW 116 + CASH WINDOW 116 / WORK ROOM 119</t>
  </si>
  <si>
    <t xml:space="preserve">D/A09.22; E/A09.22</t>
  </si>
  <si>
    <t xml:space="preserve">EXT-6CFMF  #AEXT-S-A36+AEXT-S-A68  -  WELLNESS 115 / CORRIDOR 111 / NER 121 / BREAK ROOM 118 / corner under the crossing wall (no board) + BREAK ROOM 118 / WORK ROOM 119 / corner under the crossing wall (no board)</t>
  </si>
  <si>
    <t xml:space="preserve">AEXT-S-A36+AEXT-S-A68</t>
  </si>
  <si>
    <t xml:space="preserve">WELLNESS 115 / CORRIDOR 111 / NER 121 / BREAK ROOM 118 / corner under the crossing wall (no board) + BREAK ROOM 118 / WORK ROOM 119 / corner under the crossing wall (no board)</t>
  </si>
  <si>
    <t xml:space="preserve">F/A09.22</t>
  </si>
  <si>
    <t xml:space="preserve">EXT-6CFMF  #AEXT-W-3N+AEXT-W-3S  -  OFFICE 5 CB 109 / OFFICE 6 CB 110 / WOMEN'S RESTROOM 114 + WOMEN'S RESTROOM 114 / MEN'S RESTROOM 113 / JANITOR CLOSET 112 / WELLNESS 115</t>
  </si>
  <si>
    <t xml:space="preserve">AEXT-W-3N+AEXT-W-3S</t>
  </si>
  <si>
    <t xml:space="preserve">OFFICE 5 CB 109 / OFFICE 6 CB 110 / WOMEN'S RESTROOM 114 + WOMEN'S RESTROOM 114 / MEN'S RESTROOM 113 / JANITOR CLOSET 112 / WELLNESS 115</t>
  </si>
  <si>
    <t xml:space="preserve">H/A09.23</t>
  </si>
  <si>
    <t xml:space="preserve">EXT-6CFMF  #AEXT-W-D23  -  ATM ROOM 102</t>
  </si>
  <si>
    <t xml:space="preserve">AEXT-W-D23</t>
  </si>
  <si>
    <t xml:space="preserve">ATM ROOM 102</t>
  </si>
  <si>
    <t xml:space="preserve">[CONFIRMED]</t>
  </si>
  <si>
    <t xml:space="preserve">EXT-6CFMF  #AEXT-W-2N+AEXT-W-2S  -  VESTIBULE 100 / 24 HR VESTIBULE 101 / ATM ROOM 102 + ATM ROOM 102 / corner under the crossing wall (no board)</t>
  </si>
  <si>
    <t xml:space="preserve">AEXT-W-2N+AEXT-W-2S</t>
  </si>
  <si>
    <t xml:space="preserve">VESTIBULE 100 / 24 HR VESTIBULE 101 / ATM ROOM 102 + ATM ROOM 102 / corner under the crossing wall (no board)</t>
  </si>
  <si>
    <t xml:space="preserve">J/A09.23</t>
  </si>
  <si>
    <t xml:space="preserve">TYPE CANOPY-COL</t>
  </si>
  <si>
    <t xml:space="preserve">CANOPY-COL  #AEXT-CW-1G  -  AEXT-CW-1G</t>
  </si>
  <si>
    <t xml:space="preserve">AEXT-CW-1G</t>
  </si>
  <si>
    <t xml:space="preserve">3-5/8"</t>
  </si>
  <si>
    <t xml:space="preserve">5/A09.25</t>
  </si>
  <si>
    <t xml:space="preserve">CANOPY-COL  #AEXT-CW-1E4  -  AEXT-CW-1E4</t>
  </si>
  <si>
    <t xml:space="preserve">AEXT-CW-1E4</t>
  </si>
  <si>
    <t xml:space="preserve">CANOPY-COL  #AEXT-CW-1C5  -  AEXT-CW-1C5</t>
  </si>
  <si>
    <t xml:space="preserve">AEXT-CW-1C5</t>
  </si>
  <si>
    <t xml:space="preserve">CANOPY-COL  #AEXT-CW-1B2  -  AEXT-CW-1B2</t>
  </si>
  <si>
    <t xml:space="preserve">AEXT-CW-1B2</t>
  </si>
  <si>
    <t xml:space="preserve">TYPE EXT-PARAPET</t>
  </si>
  <si>
    <t xml:space="preserve">EXT-PARAPET  #AEXT-PAR-G  -  AEXT-PAR-G</t>
  </si>
  <si>
    <t xml:space="preserve">AEXT-PAR-G</t>
  </si>
  <si>
    <t xml:space="preserve">A/A09.21</t>
  </si>
  <si>
    <t xml:space="preserve">EXT-PARAPET  #AEXT-PAR-4R  -  AEXT-PAR-4R</t>
  </si>
  <si>
    <t xml:space="preserve">AEXT-PAR-4R</t>
  </si>
  <si>
    <t xml:space="preserve">B/A09.21</t>
  </si>
  <si>
    <t xml:space="preserve">EXT-PARAPET  #AEXT-PAR-F  -  AEXT-PAR-F</t>
  </si>
  <si>
    <t xml:space="preserve">AEXT-PAR-F</t>
  </si>
  <si>
    <t xml:space="preserve">EXT-PARAPET  #AEXT-PAR-8N+AEXT-PAR-8S  -  AEXT-PAR-8N + AEXT-PAR-8S</t>
  </si>
  <si>
    <t xml:space="preserve">AEXT-PAR-8N+AEXT-PAR-8S</t>
  </si>
  <si>
    <t xml:space="preserve">AEXT-PAR-8N + AEXT-PAR-8S</t>
  </si>
  <si>
    <t xml:space="preserve">EXT-PARAPET  #AEXT-PAR-A  -  AEXT-PAR-A</t>
  </si>
  <si>
    <t xml:space="preserve">AEXT-PAR-A</t>
  </si>
  <si>
    <t xml:space="preserve">EXT-PARAPET  #AEXT-PAR-3N+AEXT-PAR-3S  -  AEXT-PAR-3N + AEXT-PAR-3S</t>
  </si>
  <si>
    <t xml:space="preserve">AEXT-PAR-3N+AEXT-PAR-3S</t>
  </si>
  <si>
    <t xml:space="preserve">AEXT-PAR-3N + AEXT-PAR-3S</t>
  </si>
  <si>
    <t xml:space="preserve">EXT-PARAPET  #AEXT-PAR-D  -  AEXT-PAR-D</t>
  </si>
  <si>
    <t xml:space="preserve">AEXT-PAR-D</t>
  </si>
  <si>
    <t xml:space="preserve">EXT-PARAPET  #AEXT-PAR-2  -  AEXT-PAR-2</t>
  </si>
  <si>
    <t xml:space="preserve">AEXT-PAR-2</t>
  </si>
  <si>
    <t xml:space="preserve">TYPE BULKHEAD-G</t>
  </si>
  <si>
    <t xml:space="preserve">BULKHEAD-G  #AW1-BH-OFE+R-AW1-BH-OFE-2+R-AW1-BH-OFE-3+R-AW1-BH-OFE-4  -  CENTRAL ZONE 103 / OFFICE 1 ME 105 + CENTRAL ZONE 103 / OFFICE 2 CL 106 + CENTRAL ZONE 103 / OFFICE 3 SB 107 + CENTRAL ZONE 103 / OFFICE 4 CB 108</t>
  </si>
  <si>
    <t xml:space="preserve">AW1-BH-OFE+R-AW1-BH-OFE-2+R-AW1-BH-OFE-3+R-AW1-BH-OFE-4</t>
  </si>
  <si>
    <t xml:space="preserve">1-5/8"</t>
  </si>
  <si>
    <t xml:space="preserve">CENTRAL ZONE 103 / OFFICE 1 ME 105 + CENTRAL ZONE 103 / OFFICE 2 CL 106 + CENTRAL ZONE 103 / OFFICE 3 SB 107 + CENTRAL ZONE 103 / OFFICE 4 CB 108</t>
  </si>
  <si>
    <t xml:space="preserve">9/A12.01</t>
  </si>
  <si>
    <t xml:space="preserve">BULKHEAD-G  #AW1-BH-OFW+R-AW1-BH-OFW-2  -  OFFICE 5 CB 109 / CENTRAL ZONE 103 + OFFICE 6 CB 110 / CENTRAL ZONE 103</t>
  </si>
  <si>
    <t xml:space="preserve">AW1-BH-OFW+R-AW1-BH-OFW-2</t>
  </si>
  <si>
    <t xml:space="preserve">OFFICE 5 CB 109 / CENTRAL ZONE 103 + OFFICE 6 CB 110 / CENTRAL ZONE 103</t>
  </si>
  <si>
    <t xml:space="preserve">TYPE G</t>
  </si>
  <si>
    <t xml:space="preserve">G  #AW1-G-OFE-S12  -  CENTRAL ZONE 103 / OFFICE 1 ME 105 / NO GYP (AW1-G1-D12 abuts) / OFFICE 2 CL 106</t>
  </si>
  <si>
    <t xml:space="preserve">AW1-G-OFE-S12</t>
  </si>
  <si>
    <t xml:space="preserve">CENTRAL ZONE 103 / OFFICE 1 ME 105 / NO GYP (AW1-G1-D12 abuts) / OFFICE 2 CL 106</t>
  </si>
  <si>
    <t xml:space="preserve">5/A12.01</t>
  </si>
  <si>
    <t xml:space="preserve">G  #AW1-G-OFE-S23  -  CENTRAL ZONE 103 / OFFICE 2 CL 106 / NO GYP (AW1-G-D23 abuts) / OFFICE 3 SB 107</t>
  </si>
  <si>
    <t xml:space="preserve">AW1-G-OFE-S23</t>
  </si>
  <si>
    <t xml:space="preserve">CENTRAL ZONE 103 / OFFICE 2 CL 106 / NO GYP (AW1-G-D23 abuts) / OFFICE 3 SB 107</t>
  </si>
  <si>
    <t xml:space="preserve">G  #AW1-G-OFE-S34  -  CENTRAL ZONE 103 / OFFICE 3 SB 107 / NO GYP (AW1-G-D34 abuts) / OFFICE 4 CB 108</t>
  </si>
  <si>
    <t xml:space="preserve">AW1-G-OFE-S34</t>
  </si>
  <si>
    <t xml:space="preserve">CENTRAL ZONE 103 / OFFICE 3 SB 107 / NO GYP (AW1-G-D34 abuts) / OFFICE 4 CB 108</t>
  </si>
  <si>
    <t xml:space="preserve">G  #AW1-G-D23  -  OFFICE 2 CL 106 / OFFICE 3 SB 107</t>
  </si>
  <si>
    <t xml:space="preserve">AW1-G-D23</t>
  </si>
  <si>
    <t xml:space="preserve">OFFICE 2 CL 106 / OFFICE 3 SB 107</t>
  </si>
  <si>
    <t xml:space="preserve">G  #AW1-G-D34  -  OFFICE 3 SB 107 / OFFICE 4 CB 108</t>
  </si>
  <si>
    <t xml:space="preserve">AW1-G-D34</t>
  </si>
  <si>
    <t xml:space="preserve">OFFICE 3 SB 107 / OFFICE 4 CB 108</t>
  </si>
  <si>
    <t xml:space="preserve">G  #AW1-G-S4  -  OFFICE 4 CB 108 / CASH WINDOW 116</t>
  </si>
  <si>
    <t xml:space="preserve">AW1-G-S4</t>
  </si>
  <si>
    <t xml:space="preserve">OFFICE 4 CB 108 / CASH WINDOW 116</t>
  </si>
  <si>
    <t xml:space="preserve">G  #AW1-G-D  -  ATM ROOM 102 / OFFICE 5 CB 109</t>
  </si>
  <si>
    <t xml:space="preserve">AW1-G-D</t>
  </si>
  <si>
    <t xml:space="preserve">ATM ROOM 102 / OFFICE 5 CB 109</t>
  </si>
  <si>
    <t xml:space="preserve">G  #AW1-G-D56  -  OFFICE 5 CB 109 / OFFICE 6 CB 110</t>
  </si>
  <si>
    <t xml:space="preserve">AW1-G-D56</t>
  </si>
  <si>
    <t xml:space="preserve">OFFICE 5 CB 109 / OFFICE 6 CB 110</t>
  </si>
  <si>
    <t xml:space="preserve">G  #AW1-G-S6  -  OFFICE 6 CB 110 / WOMEN'S RESTROOM 114</t>
  </si>
  <si>
    <t xml:space="preserve">AW1-G-S6</t>
  </si>
  <si>
    <t xml:space="preserve">OFFICE 6 CB 110 / WOMEN'S RESTROOM 114</t>
  </si>
  <si>
    <t xml:space="preserve">G  #R-AW1-G-OFE-N  -  CENTRAL ZONE 103 / OFFICE 1 ME 105</t>
  </si>
  <si>
    <t xml:space="preserve">R-AW1-G-OFE-N</t>
  </si>
  <si>
    <t xml:space="preserve">CENTRAL ZONE 103 / OFFICE 1 ME 105</t>
  </si>
  <si>
    <t xml:space="preserve">TYPE G1</t>
  </si>
  <si>
    <t xml:space="preserve">G1  #AW1-G1-D12  -  OFFICE 1 ME 105 / OFFICE 2 CL 106</t>
  </si>
  <si>
    <t xml:space="preserve">AW1-G1-D12</t>
  </si>
  <si>
    <t xml:space="preserve">OFFICE 1 ME 105 / OFFICE 2 CL 106</t>
  </si>
  <si>
    <t xml:space="preserve">G1  #AW1-G1-OFW-S56  -  OFFICE 5 CB 109 / NO GYP (G AW1-G-D56 abuts) / OFFICE 6 CB 110 / CENTRAL ZONE 103</t>
  </si>
  <si>
    <t xml:space="preserve">AW1-G1-OFW-S56</t>
  </si>
  <si>
    <t xml:space="preserve">OFFICE 5 CB 109 / NO GYP (G AW1-G-D56 abuts) / OFFICE 6 CB 110 / CENTRAL ZONE 103</t>
  </si>
  <si>
    <t xml:space="preserve">G1  #R-AW1-G1-OFW-S  -  OFFICE 6 CB 110 / NO GYP (AW1-G-S6 abuts) / CENTRAL ZONE 103 / NO GYP (A1 wall east abuts y 1229.04-1236.36)</t>
  </si>
  <si>
    <t xml:space="preserve">R-AW1-G1-OFW-S</t>
  </si>
  <si>
    <t xml:space="preserve">OFFICE 6 CB 110 / NO GYP (AW1-G-S6 abuts) / CENTRAL ZONE 103 / NO GYP (A1 wall east abuts y 1229.04-1236.36)</t>
  </si>
  <si>
    <t xml:space="preserve">TYPE F</t>
  </si>
  <si>
    <t xml:space="preserve">F  #AW1-F-ATM  -  24 HR VESTIBULE 101 / ATM ROOM 102</t>
  </si>
  <si>
    <t xml:space="preserve">AW1-F-ATM</t>
  </si>
  <si>
    <t xml:space="preserve">24 HR VESTIBULE 101 / ATM ROOM 102</t>
  </si>
  <si>
    <t xml:space="preserve">12/A12.01</t>
  </si>
  <si>
    <t xml:space="preserve">TYPE C1</t>
  </si>
  <si>
    <t xml:space="preserve">C1  #AW1-C1-CHASE/WOMEN'S RESTROOM 114  -  WOMEN'S RESTROOM 114</t>
  </si>
  <si>
    <t xml:space="preserve">AW1-C1-CHASE/WOMEN'S RESTROOM 114</t>
  </si>
  <si>
    <t xml:space="preserve">WOMEN'S RESTROOM 114</t>
  </si>
  <si>
    <t xml:space="preserve">6/A12.01</t>
  </si>
  <si>
    <t xml:space="preserve">C1  #AW1-C1-CHASE/MEN'S RESTROOM 113  -  MEN'S RESTROOM 113</t>
  </si>
  <si>
    <t xml:space="preserve">AW1-C1-CHASE/MEN'S RESTROOM 113</t>
  </si>
  <si>
    <t xml:space="preserve">MEN'S RESTROOM 113</t>
  </si>
  <si>
    <t xml:space="preserve">C1  #AW1-C1-MEDIA+AW1-C1-MEDIA-RW+AW1-C1-MEDIA-RE  -  WAITING 104</t>
  </si>
  <si>
    <t xml:space="preserve">AW1-C1-MEDIA+AW1-C1-MEDIA-RW+AW1-C1-MEDIA-RE</t>
  </si>
  <si>
    <t xml:space="preserve">WAITING 104</t>
  </si>
  <si>
    <t xml:space="preserve">C1  #AW1-C1-FCAM  -  CASH WINDOW 116</t>
  </si>
  <si>
    <t xml:space="preserve">AW1-C1-FCAM</t>
  </si>
  <si>
    <t xml:space="preserve">CASH WINDOW 116</t>
  </si>
  <si>
    <t xml:space="preserve">C1  #AW1-C1-CW-NW  -  VESTIBULE 100</t>
  </si>
  <si>
    <t xml:space="preserve">AW1-C1-CW-NW</t>
  </si>
  <si>
    <t xml:space="preserve">VESTIBULE 100</t>
  </si>
  <si>
    <t xml:space="preserve">C1  #AW1-C1-CW-NE  -  VESTIBULE 100</t>
  </si>
  <si>
    <t xml:space="preserve">AW1-C1-CW-NE</t>
  </si>
  <si>
    <t xml:space="preserve">C1  #AW1-C1-CW-4E4  -  VESTIBULE 100 / CENTRAL ZONE 103 / 24 HR VESTIBULE 101</t>
  </si>
  <si>
    <t xml:space="preserve">AW1-C1-CW-4E4</t>
  </si>
  <si>
    <t xml:space="preserve">VESTIBULE 100 / CENTRAL ZONE 103 / 24 HR VESTIBULE 101</t>
  </si>
  <si>
    <t xml:space="preserve">C1  #AW1-C1-CW-4E  -  24 HR VESTIBULE 101 / CENTRAL ZONE 103</t>
  </si>
  <si>
    <t xml:space="preserve">AW1-C1-CW-4E</t>
  </si>
  <si>
    <t xml:space="preserve">24 HR VESTIBULE 101 / CENTRAL ZONE 103</t>
  </si>
  <si>
    <t xml:space="preserve">TYPE A1</t>
  </si>
  <si>
    <t xml:space="preserve">A1  #AW2-A1-PT0001  -  WAITING 104 / MW01 RECESS (printer cabinet, A04.01 KN1 open to structure) / CALLING CUBES 122</t>
  </si>
  <si>
    <t xml:space="preserve">AW2-A1-PT0001</t>
  </si>
  <si>
    <t xml:space="preserve">WAITING 104 / MW01 RECESS (printer cabinet, A04.01 KN1 open to structure) / CALLING CUBES 122</t>
  </si>
  <si>
    <t xml:space="preserve">3/A12.01</t>
  </si>
  <si>
    <t xml:space="preserve">A1  #AW2-A1-PT0002  -  MW01 RECESS (printer cabinet, A04.01 KN1 open to structure) / CALLING CUBES 122</t>
  </si>
  <si>
    <t xml:space="preserve">AW2-A1-PT0002</t>
  </si>
  <si>
    <t xml:space="preserve">MW01 RECESS (printer cabinet, A04.01 KN1 open to structure) / CALLING CUBES 122</t>
  </si>
  <si>
    <t xml:space="preserve">A1  #AW2-A1-PT0003  -  MW01 RECESS (printer cabinet, A04.01 KN1 open to structure) / CALLING CUBES 122</t>
  </si>
  <si>
    <t xml:space="preserve">AW2-A1-PT0003</t>
  </si>
  <si>
    <t xml:space="preserve">A1  #AW2-A1-PT0004  -  CENTRAL ZONE 103 / CORRIDOR 111</t>
  </si>
  <si>
    <t xml:space="preserve">AW2-A1-PT0004</t>
  </si>
  <si>
    <t xml:space="preserve">CENTRAL ZONE 103 / CORRIDOR 111</t>
  </si>
  <si>
    <t xml:space="preserve">A1  #AW2-A1-PT0005  -  CALLING CUBES 122 / BREAK ROOM 118</t>
  </si>
  <si>
    <t xml:space="preserve">AW2-A1-PT0005</t>
  </si>
  <si>
    <t xml:space="preserve">CALLING CUBES 122 / BREAK ROOM 118</t>
  </si>
  <si>
    <t xml:space="preserve">A1  #AW2-A1-PT0007  -  BREAK ROOM 118 / CENTRAL ZONE 103 (teller strip)</t>
  </si>
  <si>
    <t xml:space="preserve">AW2-A1-PT0007</t>
  </si>
  <si>
    <t xml:space="preserve">BREAK ROOM 118 / CENTRAL ZONE 103 (teller strip)</t>
  </si>
  <si>
    <t xml:space="preserve">A1  #AW2-A1-PT0006  -  CENTRAL ZONE 103 (teller strip) / BREAK ROOM 118</t>
  </si>
  <si>
    <t xml:space="preserve">AW2-A1-PT0006</t>
  </si>
  <si>
    <t xml:space="preserve">CENTRAL ZONE 103 (teller strip) / BREAK ROOM 118</t>
  </si>
  <si>
    <t xml:space="preserve">A1  #AW2-A1-PT0008  -  CORRIDOR 111 / BREAK ROOM 118 / ELECTRICAL 120 / NER 121</t>
  </si>
  <si>
    <t xml:space="preserve">AW2-A1-PT0008</t>
  </si>
  <si>
    <t xml:space="preserve">CORRIDOR 111 / BREAK ROOM 118 / ELECTRICAL 120 / NER 121</t>
  </si>
  <si>
    <t xml:space="preserve">A1  #AW2-A1-PT0009  -  CASH WINDOW 116 / WORK ROOM 119</t>
  </si>
  <si>
    <t xml:space="preserve">AW2-A1-PT0009</t>
  </si>
  <si>
    <t xml:space="preserve">CASH WINDOW 116 / WORK ROOM 119</t>
  </si>
  <si>
    <t xml:space="preserve">TYPE A5</t>
  </si>
  <si>
    <t xml:space="preserve">A5  #AW2-A5-PT0015  -  CENTRAL ZONE 103 / MW01 RECESS (printer cabinet, A04.01 KN1 open to structure) / CALLING CUBES 122</t>
  </si>
  <si>
    <t xml:space="preserve">AW2-A5-PT0015</t>
  </si>
  <si>
    <t xml:space="preserve">CENTRAL ZONE 103 / MW01 RECESS (printer cabinet, A04.01 KN1 open to structure) / CALLING CUBES 122</t>
  </si>
  <si>
    <t xml:space="preserve">A5  #AW2-A5-PT0014-N+AW2-A5-PT0014-S  -  CALLING CUBES 122 / CENTRAL ZONE 103 / CENTRAL ZONE 103 (teller strip) + CALLING CUBES 122 / CENTRAL ZONE 103 (teller strip)</t>
  </si>
  <si>
    <t xml:space="preserve">AW2-A5-PT0014-N+AW2-A5-PT0014-S</t>
  </si>
  <si>
    <t xml:space="preserve">CALLING CUBES 122 / CENTRAL ZONE 103 / CENTRAL ZONE 103 (teller strip) + CALLING CUBES 122 / CENTRAL ZONE 103 (teller strip)</t>
  </si>
  <si>
    <t xml:space="preserve">A5  #AW2-A5-PT0016-N+AW2-A5-PT0016-S  -  CORRIDOR 111 / CALLING CUBES 122</t>
  </si>
  <si>
    <t xml:space="preserve">AW2-A5-PT0016-N+AW2-A5-PT0016-S</t>
  </si>
  <si>
    <t xml:space="preserve">CORRIDOR 111 / CALLING CUBES 122</t>
  </si>
  <si>
    <t xml:space="preserve">A5  #AW2-A5-PT0017  -  BREAK ROOM 118 / CASH WINDOW 116</t>
  </si>
  <si>
    <t xml:space="preserve">AW2-A5-PT0017</t>
  </si>
  <si>
    <t xml:space="preserve">BREAK ROOM 118 / CASH WINDOW 116</t>
  </si>
  <si>
    <t xml:space="preserve">TYPE B2K</t>
  </si>
  <si>
    <t xml:space="preserve">B2K  #AW2-B2K-PC0011  -  OFFICE 4 CB 108 / CENTRAL ZONE 103 (teller queue, customer side)</t>
  </si>
  <si>
    <t xml:space="preserve">AW2-B2K-PC0011</t>
  </si>
  <si>
    <t xml:space="preserve">OFFICE 4 CB 108 / CENTRAL ZONE 103 (teller queue, customer side)</t>
  </si>
  <si>
    <t xml:space="preserve">4/A12.01</t>
  </si>
  <si>
    <t xml:space="preserve">TYPE A1K</t>
  </si>
  <si>
    <t xml:space="preserve">A1K  #AW2-A1K-PT0011  -  CAVITY toward OFFICE 4 CB 108 / G wall (customer side) / CASH WINDOW 116 (CSR units, teller side)</t>
  </si>
  <si>
    <t xml:space="preserve">AW2-A1K-PT0011</t>
  </si>
  <si>
    <t xml:space="preserve">CAVITY toward OFFICE 4 CB 108 / G wall (customer side) / CASH WINDOW 116 (CSR units, teller side)</t>
  </si>
  <si>
    <t xml:space="preserve">A1K  #AW2-A1K-PT0012  -  CASH WINDOW 116 (CSR units, teller side) / CAVITY toward FUTURE FCAM (C1 box) (customer side)</t>
  </si>
  <si>
    <t xml:space="preserve">AW2-A1K-PT0012</t>
  </si>
  <si>
    <t xml:space="preserve">CASH WINDOW 116 (CSR units, teller side) / CAVITY toward FUTURE FCAM (C1 box) (customer side)</t>
  </si>
  <si>
    <t xml:space="preserve">A1K  #AW2-A1K-PT0013  -  CENTRAL ZONE 103 (teller queue, customer side) / FUTURE FCAM / CASH WINDOW 116</t>
  </si>
  <si>
    <t xml:space="preserve">AW2-A1K-PT0013</t>
  </si>
  <si>
    <t xml:space="preserve">CENTRAL ZONE 103 (teller queue, customer side) / FUTURE FCAM / CASH WINDOW 116</t>
  </si>
  <si>
    <t xml:space="preserve">TYPE B</t>
  </si>
  <si>
    <t xml:space="preserve">B  #AW3-B-01  -  BREAK ROOM 118 / ELECTRICAL 120</t>
  </si>
  <si>
    <t xml:space="preserve">AW3-B-01</t>
  </si>
  <si>
    <t xml:space="preserve">BREAK ROOM 118 / ELECTRICAL 120</t>
  </si>
  <si>
    <t xml:space="preserve">1/A12.01</t>
  </si>
  <si>
    <t xml:space="preserve">B  #AW3-B-02  -  ELECTRICAL 120 / NER 121 / BREAK ROOM 118</t>
  </si>
  <si>
    <t xml:space="preserve">AW3-B-02</t>
  </si>
  <si>
    <t xml:space="preserve">ELECTRICAL 120 / NER 121 / BREAK ROOM 118</t>
  </si>
  <si>
    <t xml:space="preserve">B  #AW3-B-03  -  ELECTRICAL 120 / NER 121</t>
  </si>
  <si>
    <t xml:space="preserve">AW3-B-03</t>
  </si>
  <si>
    <t xml:space="preserve">ELECTRICAL 120 / NER 121</t>
  </si>
  <si>
    <t xml:space="preserve">B  #AW3-B-04  -  MEN'S RESTROOM 113 / JANITOR CLOSET 112 / STORAGE 117</t>
  </si>
  <si>
    <t xml:space="preserve">AW3-B-04</t>
  </si>
  <si>
    <t xml:space="preserve">MEN'S RESTROOM 113 / JANITOR CLOSET 112 / STORAGE 117</t>
  </si>
  <si>
    <t xml:space="preserve">B  #AW3-B-05  -  JANITOR CLOSET 112 / STORAGE 117 / WELLNESS 115</t>
  </si>
  <si>
    <t xml:space="preserve">AW3-B-05</t>
  </si>
  <si>
    <t xml:space="preserve">JANITOR CLOSET 112 / STORAGE 117 / WELLNESS 115</t>
  </si>
  <si>
    <t xml:space="preserve">B  #AW3-B-06  -  JANITOR CLOSET 112 / STORAGE 117</t>
  </si>
  <si>
    <t xml:space="preserve">AW3-B-06</t>
  </si>
  <si>
    <t xml:space="preserve">JANITOR CLOSET 112 / STORAGE 117</t>
  </si>
  <si>
    <t xml:space="preserve">TYPE B2</t>
  </si>
  <si>
    <t xml:space="preserve">B2  #AW3-B2-01  -  ATM ROOM 102 / CENTRAL ZONE 103</t>
  </si>
  <si>
    <t xml:space="preserve">AW3-B2-01</t>
  </si>
  <si>
    <t xml:space="preserve">ATM ROOM 102 / CENTRAL ZONE 103</t>
  </si>
  <si>
    <t xml:space="preserve">B2  #AW3-B2-02  -  MEN'S RESTROOM 113 / STORAGE 117 / WELLNESS 115 / CORRIDOR 111</t>
  </si>
  <si>
    <t xml:space="preserve">AW3-B2-02</t>
  </si>
  <si>
    <t xml:space="preserve">MEN'S RESTROOM 113 / STORAGE 117 / WELLNESS 115 / CORRIDOR 111</t>
  </si>
  <si>
    <t xml:space="preserve">B2  #AW3-B2-03  -  WOMEN'S RESTROOM 114 / CORRIDOR 111</t>
  </si>
  <si>
    <t xml:space="preserve">AW3-B2-03</t>
  </si>
  <si>
    <t xml:space="preserve">WOMEN'S RESTROOM 114 / CORRIDOR 111</t>
  </si>
  <si>
    <t xml:space="preserve">B2  #AW3-B2-04  -  BREAK ROOM 118 / WORK ROOM 119 / T of AW2-A1-PT0009 (no board)</t>
  </si>
  <si>
    <t xml:space="preserve">AW3-B2-04</t>
  </si>
  <si>
    <t xml:space="preserve">BREAK ROOM 118 / WORK ROOM 119 / T of AW2-A1-PT0009 (no board)</t>
  </si>
  <si>
    <t xml:space="preserve">TOTAL - PARTITIONS</t>
  </si>
  <si>
    <t xml:space="preserve">TYPE OTHER FRAMING (NOT A PARTITION)</t>
  </si>
  <si>
    <t xml:space="preserve">ceiling_transition  #A5-TR-WN  -  CENTRAL ZONE 103</t>
  </si>
  <si>
    <t xml:space="preserve">A5-TR-WN</t>
  </si>
  <si>
    <t xml:space="preserve">CENTRAL ZONE 103</t>
  </si>
  <si>
    <t xml:space="preserve">8/A09.33</t>
  </si>
  <si>
    <t xml:space="preserve">ceiling_transition  #A5-TR-WW  -  CENTRAL ZONE 103</t>
  </si>
  <si>
    <t xml:space="preserve">A5-TR-WW</t>
  </si>
  <si>
    <t xml:space="preserve">ceiling_transition  #A5-TR-WE  -  CENTRAL ZONE 103</t>
  </si>
  <si>
    <t xml:space="preserve">A5-TR-WE</t>
  </si>
  <si>
    <t xml:space="preserve">ceiling_transition  #A5-TR-C111  -  CENTRAL ZONE 103 / CORRIDOR 111 / bottom of the 7/A09.33 transition box</t>
  </si>
  <si>
    <t xml:space="preserve">A5-TR-C111</t>
  </si>
  <si>
    <t xml:space="preserve">CENTRAL ZONE 103 / CORRIDOR 111 / bottom of the 7/A09.33 transition box</t>
  </si>
  <si>
    <t xml:space="preserve">7/A09.33</t>
  </si>
  <si>
    <t xml:space="preserve">ceiling_transition  #A5-TR-TELLER  -  CENTRAL ZONE 103 / bottom of the 7/A09.33 transition box</t>
  </si>
  <si>
    <t xml:space="preserve">A5-TR-TELLER</t>
  </si>
  <si>
    <t xml:space="preserve">CENTRAL ZONE 103 / bottom of the 7/A09.33 transition box</t>
  </si>
  <si>
    <t xml:space="preserve">soffit_side  #A5-SS-W-N  -  CENTRAL ZONE 103 (teller side)</t>
  </si>
  <si>
    <t xml:space="preserve">A5-SS-W-N</t>
  </si>
  <si>
    <t xml:space="preserve">CENTRAL ZONE 103 (teller side)</t>
  </si>
  <si>
    <t xml:space="preserve">9/A12.08</t>
  </si>
  <si>
    <t xml:space="preserve">soffit_side  #A5-SS-W-S  -  CENTRAL ZONE 103 (teller side)</t>
  </si>
  <si>
    <t xml:space="preserve">A5-SS-W-S</t>
  </si>
  <si>
    <t xml:space="preserve">soffit_side  #A5-SS-E-N  -  CASH WINDOW 116</t>
  </si>
  <si>
    <t xml:space="preserve">A5-SS-E-N</t>
  </si>
  <si>
    <t xml:space="preserve">soffit_side  #A5-SS-E-S  -  CASH WINDOW 116</t>
  </si>
  <si>
    <t xml:space="preserve">A5-SS-E-S</t>
  </si>
  <si>
    <t xml:space="preserve">fascia_box  #ACAN-FB-N  -  ACAN-FB-N</t>
  </si>
  <si>
    <t xml:space="preserve">ACAN-FB-N</t>
  </si>
  <si>
    <t xml:space="preserve">3/A09.26</t>
  </si>
  <si>
    <t xml:space="preserve">fascia_box  #ACAN-FB-W-N  -  ACAN-FB-W-N</t>
  </si>
  <si>
    <t xml:space="preserve">ACAN-FB-W-N</t>
  </si>
  <si>
    <t xml:space="preserve">16/A09.27</t>
  </si>
  <si>
    <t xml:space="preserve">fascia_box  #ACAN-FB-W-W  -  ACAN-FB-W-W</t>
  </si>
  <si>
    <t xml:space="preserve">ACAN-FB-W-W</t>
  </si>
  <si>
    <t xml:space="preserve">fascia_box  #ACAN-FB-W-S  -  ACAN-FB-W-S</t>
  </si>
  <si>
    <t xml:space="preserve">ACAN-FB-W-S</t>
  </si>
  <si>
    <t xml:space="preserve">fascia_box  #ACAN-FB-E-N  -  ACAN-FB-E-N</t>
  </si>
  <si>
    <t xml:space="preserve">ACAN-FB-E-N</t>
  </si>
  <si>
    <t xml:space="preserve">7/A09.26</t>
  </si>
  <si>
    <t xml:space="preserve">fascia_box  #ACAN-FB-E-E  -  ACAN-FB-E-E</t>
  </si>
  <si>
    <t xml:space="preserve">ACAN-FB-E-E</t>
  </si>
  <si>
    <t xml:space="preserve">fascia_box  #ACAN-FB-E-S  -  ACAN-FB-E-S</t>
  </si>
  <si>
    <t xml:space="preserve">ACAN-FB-E-S</t>
  </si>
  <si>
    <t xml:space="preserve">fascia_box  #ACAN-FB-S-S  -  ACAN-FB-S-S</t>
  </si>
  <si>
    <t xml:space="preserve">ACAN-FB-S-S</t>
  </si>
  <si>
    <t xml:space="preserve">fascia_box  #ACAN-FB-S-W  -  ACAN-FB-S-W</t>
  </si>
  <si>
    <t xml:space="preserve">ACAN-FB-S-W</t>
  </si>
  <si>
    <t xml:space="preserve">fascia_box  #ACAN-FB-S-E  -  ACAN-FB-S-E</t>
  </si>
  <si>
    <t xml:space="preserve">ACAN-FB-S-E</t>
  </si>
  <si>
    <t xml:space="preserve">vestibule_head  #ACAN-VH-S1  -  VESTIBULE 100 / 24 HR VESTIBULE 101 (GB ceiling under the box header)</t>
  </si>
  <si>
    <t xml:space="preserve">ACAN-VH-S1</t>
  </si>
  <si>
    <t xml:space="preserve">VESTIBULE 100 / 24 HR VESTIBULE 101 (GB ceiling under the box header)</t>
  </si>
  <si>
    <t xml:space="preserve">6/A12.10</t>
  </si>
  <si>
    <t xml:space="preserve">vestibule_head  #ACAN-VH-E1  -  CENTRAL ZONE 103</t>
  </si>
  <si>
    <t xml:space="preserve">ACAN-VH-E1</t>
  </si>
  <si>
    <t xml:space="preserve">5/A12.10</t>
  </si>
  <si>
    <t xml:space="preserve">grille_head  #ACAN-GH-103  -  CENTRAL ZONE 103 / soffit of the head (underside)</t>
  </si>
  <si>
    <t xml:space="preserve">ACAN-GH-103</t>
  </si>
  <si>
    <t xml:space="preserve">2-1/2"</t>
  </si>
  <si>
    <t xml:space="preserve">CENTRAL ZONE 103 / soffit of the head (underside)</t>
  </si>
  <si>
    <t xml:space="preserve">4/A08.21</t>
  </si>
  <si>
    <t xml:space="preserve">roof_step  #ACAN-RS-1  -  ACAN-RS-1</t>
  </si>
  <si>
    <t xml:space="preserve">ACAN-RS-1</t>
  </si>
  <si>
    <t xml:space="preserve">4/A02.02</t>
  </si>
  <si>
    <t xml:space="preserve">roof_step  #ACAN-RS-2  -  north of grid B above the ceilings (CENTRAL ZONE 103 / OFFICE 6 CB 110 / CALLING CUBES 122 / CASH WINDOW 116)</t>
  </si>
  <si>
    <t xml:space="preserve">ACAN-RS-2</t>
  </si>
  <si>
    <t xml:space="preserve">north of grid B above the ceilings (CENTRAL ZONE 103 / OFFICE 6 CB 110 / CALLING CUBES 122 / CASH WINDOW 116)</t>
  </si>
  <si>
    <t xml:space="preserve">roof_step  #ACAN-RS-3  -  south of grid B above the ceilings (CORRIDOR 111 / BREAK ROOM 118 / WOMEN'S RESTROOM 114 ...) / underside of the roof-step box</t>
  </si>
  <si>
    <t xml:space="preserve">ACAN-RS-3</t>
  </si>
  <si>
    <t xml:space="preserve">south of grid B above the ceilings (CORRIDOR 111 / BREAK ROOM 118 / WOMEN'S RESTROOM 114 ...) / underside of the roof-step box</t>
  </si>
  <si>
    <t xml:space="preserve">storefront_cripples  #AEXT-SFC-S1  -  VESTIBULE 100</t>
  </si>
  <si>
    <t xml:space="preserve">AEXT-SFC-S1</t>
  </si>
  <si>
    <t xml:space="preserve">storefront_cripples  #AEXT-SFC-S2  -  CENTRAL ZONE 103 / WAITING 104 (open plan)</t>
  </si>
  <si>
    <t xml:space="preserve">AEXT-SFC-S2</t>
  </si>
  <si>
    <t xml:space="preserve">CENTRAL ZONE 103 / WAITING 104 (open plan)</t>
  </si>
  <si>
    <t xml:space="preserve">storefront_cripples  #AEXT-SFC-W1  -  VESTIBULE 100</t>
  </si>
  <si>
    <t xml:space="preserve">AEXT-SFC-W1</t>
  </si>
  <si>
    <t xml:space="preserve">pier_part  #AEXT-PIER-2G  -  AEXT-PIER-2G</t>
  </si>
  <si>
    <t xml:space="preserve">AEXT-PIER-2G</t>
  </si>
  <si>
    <t xml:space="preserve">1/A09.25</t>
  </si>
  <si>
    <t xml:space="preserve">pier_part  #AEXT-PIER-4G  -  AEXT-PIER-4G</t>
  </si>
  <si>
    <t xml:space="preserve">AEXT-PIER-4G</t>
  </si>
  <si>
    <t xml:space="preserve">2/A09.25</t>
  </si>
  <si>
    <t xml:space="preserve">alcove  #R-ALC-1+R-ALC-2+R-ALC-3  -  WOMEN'S RESTROOM 114 / CORRIDOR 111 + WOMEN'S RESTROOM 114 / MEN'S RESTROOM 113 / CORRIDOR 111 / end of the C1 chase AW1-C1-CHASE (no board) / corners under the alcove returns R-ALC-1 / R-ALC-3 (no board) + MEN'S RESTROOM 113 / CORRIDOR 111</t>
  </si>
  <si>
    <t xml:space="preserve">R-ALC-1+R-ALC-2+R-ALC-3</t>
  </si>
  <si>
    <t xml:space="preserve">WOMEN'S RESTROOM 114 / CORRIDOR 111 + WOMEN'S RESTROOM 114 / MEN'S RESTROOM 113 / CORRIDOR 111 / end of the C1 chase AW1-C1-CHASE (no board) / corners under the alcove returns R-ALC-1 / R-ALC-3 (no board) + MEN'S RESTROOM 113 / CORRIDOR 111</t>
  </si>
  <si>
    <t xml:space="preserve">MATERIAL SUMMARY - NET / WASTE / PURCHASE</t>
  </si>
  <si>
    <t xml:space="preserve">Waste lives HERE, in its own column, applied ONCE: Pieces = ROUNDUP(Net x (1 + waste) / stock). Every stock length, coverage and yield is an Inputs cell.</t>
  </si>
  <si>
    <t xml:space="preserve">Material</t>
  </si>
  <si>
    <t xml:space="preserve">Unit</t>
  </si>
  <si>
    <t xml:space="preserve">Net</t>
  </si>
  <si>
    <t xml:space="preserve">Waste %</t>
  </si>
  <si>
    <t xml:space="preserve">Waste</t>
  </si>
  <si>
    <t xml:space="preserve">Purchase</t>
  </si>
  <si>
    <t xml:space="preserve">Selling unit</t>
  </si>
  <si>
    <t xml:space="preserve">Pieces to buy</t>
  </si>
  <si>
    <t xml:space="preserve">Where it comes from</t>
  </si>
  <si>
    <t xml:space="preserve">Yield check (live formula)</t>
  </si>
  <si>
    <t xml:space="preserve">6" metal stud (LF of material)</t>
  </si>
  <si>
    <t xml:space="preserve">LF</t>
  </si>
  <si>
    <t xml:space="preserve">stick 20 ft</t>
  </si>
  <si>
    <t xml:space="preserve">familias_out.json '6" stud (all gauges)'</t>
  </si>
  <si>
    <t xml:space="preserve">3-5/8" metal stud (LF of material)</t>
  </si>
  <si>
    <t xml:space="preserve">familias_out.json '3-5/8" stud (all gauges)'</t>
  </si>
  <si>
    <t xml:space="preserve">1-5/8" metal stud (LF of material)</t>
  </si>
  <si>
    <t xml:space="preserve">familias_out.json '1-5/8" stud'</t>
  </si>
  <si>
    <t xml:space="preserve">6" parapet infill stud (LF of material)</t>
  </si>
  <si>
    <t xml:space="preserve">familias_out.json '6" parapet stud'</t>
  </si>
  <si>
    <t xml:space="preserve">Track, ceilings / soffits / canopy</t>
  </si>
  <si>
    <t xml:space="preserve">run 10 ft</t>
  </si>
  <si>
    <t xml:space="preserve">familias_out.json 'ceiling / soffit track'</t>
  </si>
  <si>
    <t xml:space="preserve">Bracing 1-1/2" C.R. channel</t>
  </si>
  <si>
    <t xml:space="preserve">C.R. channel 16 ft</t>
  </si>
  <si>
    <t xml:space="preserve">familias_out.json 'bracing C.R. channel'</t>
  </si>
  <si>
    <t xml:space="preserve">Purlin, top track to deck</t>
  </si>
  <si>
    <t xml:space="preserve">familias_out.json 'purlin (track to deck)'</t>
  </si>
  <si>
    <t xml:space="preserve">Header / metal stud box beam</t>
  </si>
  <si>
    <t xml:space="preserve">familias_out.json 'header / box beam'</t>
  </si>
  <si>
    <t xml:space="preserve">Sill track</t>
  </si>
  <si>
    <t xml:space="preserve">familias_out.json 'sill track'</t>
  </si>
  <si>
    <t xml:space="preserve">Furring channel (ceilings)</t>
  </si>
  <si>
    <t xml:space="preserve">hat channel 12 ft</t>
  </si>
  <si>
    <t xml:space="preserve">familias_out.json 'furring channel'</t>
  </si>
  <si>
    <t xml:space="preserve">Carrying channel (ceilings)</t>
  </si>
  <si>
    <t xml:space="preserve">familias_out.json 'carrying channel'</t>
  </si>
  <si>
    <t xml:space="preserve">Hanger wire</t>
  </si>
  <si>
    <t xml:space="preserve">familias_out.json 'hanger wire'</t>
  </si>
  <si>
    <t xml:space="preserve">5/8" gypsum board, regular</t>
  </si>
  <si>
    <t xml:space="preserve">SF</t>
  </si>
  <si>
    <t xml:space="preserve">4x12 sheet</t>
  </si>
  <si>
    <t xml:space="preserve">familias_out.json '5/8" gyp board regular (walls + ceilings)'</t>
  </si>
  <si>
    <t xml:space="preserve">5/8" gypsum board, MOISTURE RESISTANT</t>
  </si>
  <si>
    <t xml:space="preserve">familias_out.json '5/8" gyp MOISTURE RESISTANT'</t>
  </si>
  <si>
    <t xml:space="preserve">Ballistic panel 3/8" UL752</t>
  </si>
  <si>
    <t xml:space="preserve">4x12 ft sheet (Inputs)</t>
  </si>
  <si>
    <t xml:space="preserve">familias_out.json 'ballistic panel'</t>
  </si>
  <si>
    <t xml:space="preserve">3/8" gypsum board</t>
  </si>
  <si>
    <t xml:space="preserve">familias_out.json '3/8" gyp board'</t>
  </si>
  <si>
    <t xml:space="preserve">5/8" glass mat sheathing (exterior face of the stud)</t>
  </si>
  <si>
    <t xml:space="preserve">familias_out.json '5/8" glass mat sheathing'</t>
  </si>
  <si>
    <t xml:space="preserve">5/8" EXTERIOR gypsum sheathing</t>
  </si>
  <si>
    <t xml:space="preserve">familias_out.json '5/8" EXTERIOR gyp sheathing'</t>
  </si>
  <si>
    <t xml:space="preserve">Blocking FRT / 2X FRT wood</t>
  </si>
  <si>
    <t xml:space="preserve">familias_out.json 'FRT blocking'</t>
  </si>
  <si>
    <t xml:space="preserve">Stud blocking at edge of gypboard (structural detail)</t>
  </si>
  <si>
    <t xml:space="preserve">familias_out.json metal_blocking_by_origin 'metal stud blocking (362CR / STUD BLOCKING)' (edge)</t>
  </si>
  <si>
    <t xml:space="preserve">Metal stud blocking at wall-mounted items (notes)</t>
  </si>
  <si>
    <t xml:space="preserve">familias_out.json metal_blocking_by_origin 'metal stud blocking (362CR / STUD BLOCKING)' (items)</t>
  </si>
  <si>
    <t xml:space="preserve">METAL trim - corner bead, casing bead, shadow molding, gypsum edge trim</t>
  </si>
  <si>
    <t xml:space="preserve">trim stick 10 ft</t>
  </si>
  <si>
    <t xml:space="preserve">familias_out.json 'metal trim (corner bead, casing, shadow molding)'</t>
  </si>
  <si>
    <t xml:space="preserve">Cement board (substrate under the FRP cove base band)</t>
  </si>
  <si>
    <t xml:space="preserve">familias_out.json 'cement board'</t>
  </si>
  <si>
    <t xml:space="preserve">FRP panels</t>
  </si>
  <si>
    <t xml:space="preserve">familias_out.json 'FRP'</t>
  </si>
  <si>
    <t xml:space="preserve">Sealant at base of gypsum (exterior, not acoustical)</t>
  </si>
  <si>
    <t xml:space="preserve">tube (25 LF per tube)</t>
  </si>
  <si>
    <t xml:space="preserve">familias_out.json 'sealant at base of gypsum (exterior)'</t>
  </si>
  <si>
    <t xml:space="preserve">Framed openings - MEP, light slots and diffusers</t>
  </si>
  <si>
    <t xml:space="preserve">framed_openings_out.json 'framed openings MEP'</t>
  </si>
  <si>
    <t xml:space="preserve">Bottom track - roof step and heads (vestibule / bulkhead)</t>
  </si>
  <si>
    <t xml:space="preserve">familias_out.json track_by_element 'bottom track (all)' (R73.3)</t>
  </si>
  <si>
    <t xml:space="preserve">Bottom track - other framing (not a partition type, see source)</t>
  </si>
  <si>
    <t xml:space="preserve">Bottom track 6"</t>
  </si>
  <si>
    <t xml:space="preserve">Bottom track 3-5/8"</t>
  </si>
  <si>
    <t xml:space="preserve">Parapet bottom track</t>
  </si>
  <si>
    <t xml:space="preserve">Bottom track 1-5/8"</t>
  </si>
  <si>
    <t xml:space="preserve">Top track - roof step and heads (vestibule / bulkhead)</t>
  </si>
  <si>
    <t xml:space="preserve">familias_out.json track_by_element 'top / deflection track (all)' (R73.3)</t>
  </si>
  <si>
    <t xml:space="preserve">Top / deflection track - other framing (not a partition type, see source)</t>
  </si>
  <si>
    <t xml:space="preserve">Top / deflection track 6"</t>
  </si>
  <si>
    <t xml:space="preserve">Top / deflection track 3-5/8"</t>
  </si>
  <si>
    <t xml:space="preserve">Parapet top track</t>
  </si>
  <si>
    <t xml:space="preserve">Top / deflection track 1-5/8"</t>
  </si>
  <si>
    <t xml:space="preserve">3-5/8" stud, framed soffit 9/A12.08 (LF)</t>
  </si>
  <si>
    <t xml:space="preserve">familias_out.json stud_by_element '3-5/8" stud (all gauges)' (v76)</t>
  </si>
  <si>
    <t xml:space="preserve">Blocking 2X wood (not labeled FRT)</t>
  </si>
  <si>
    <t xml:space="preserve">familias_out.json wood_blocking_lf 'FRT blocking' (v76)</t>
  </si>
  <si>
    <t xml:space="preserve">5/8" FRT plywood sheathing (canopy and soffits)</t>
  </si>
  <si>
    <t xml:space="preserve">familias_out.json FRT plywood by material; canon rows</t>
  </si>
  <si>
    <t xml:space="preserve">Exterior sheathing 5/8" FRT plywood bonded to 2-1/2" polyiso</t>
  </si>
  <si>
    <t xml:space="preserve">3/4" FRT plywood at storefront piers</t>
  </si>
  <si>
    <t xml:space="preserve">FRT plywood substrate (3/4 in.)</t>
  </si>
  <si>
    <t xml:space="preserve">5/8" FRT plywood at canopy column wraps</t>
  </si>
  <si>
    <t xml:space="preserve">Hanger wire 12 ga - hanger count (one per hanger, height per room)</t>
  </si>
  <si>
    <t xml:space="preserve">PCS</t>
  </si>
  <si>
    <t xml:space="preserve">familias_out.json hanger_pcs.total_pcs; wire bought on the LF row</t>
  </si>
  <si>
    <t xml:space="preserve">Additional head track at openings over 4'-0" wide</t>
  </si>
  <si>
    <t xml:space="preserve">accesorios.py [CRITERION]: HEAD TRACK @ NON LOAD BRG: ADD FULL LENGTH ADDL HEAD TRACK @ OPNG &gt; 4'-0"; Estimator user decision #1: R.O. + 1'-4" (8" bearing each side)</t>
  </si>
  <si>
    <t xml:space="preserve">Stud reinforcement at MEP penetrations</t>
  </si>
  <si>
    <t xml:space="preserve">each</t>
  </si>
  <si>
    <t xml:space="preserve">accesorios.py [CRITERION]: 6/S5.20; M01.01</t>
  </si>
  <si>
    <t xml:space="preserve">Extra framing - ATM recess (0: the recess framing is in the wall that contains it)</t>
  </si>
  <si>
    <t xml:space="preserve">accesorios.py [DERIVED]: 6/A08.11; J/A09.23; 4/A08.11; 12/A12.01</t>
  </si>
  <si>
    <t xml:space="preserve">2-1/2" CFMF @ 16" O.C. at coiling grille head (4/A08.21)</t>
  </si>
  <si>
    <t xml:space="preserve">accesorios.py [DERIVED]: 4/A08.21</t>
  </si>
  <si>
    <t xml:space="preserve">Gypsum board jamb return at openings</t>
  </si>
  <si>
    <t xml:space="preserve">accesorios.py [CRITERION]: Estimator criterion (return width = 6" stud depth, not dimensioned; RFI with delta at 0.20 ft)</t>
  </si>
  <si>
    <t xml:space="preserve">PVC trim - edge trim molding and inside corner molding at the FRP</t>
  </si>
  <si>
    <t xml:space="preserve">accesorios.py [DERIVED]: A08.01; A02.01; 6/A12.04</t>
  </si>
  <si>
    <t xml:space="preserve">Power-driven fasteners and duct sleeves</t>
  </si>
  <si>
    <t xml:space="preserve">accesorios.py [DERIVED]: Parapet infill: PAFs SPACED AT 12" O.C. MAX to the steel beam; M01.01</t>
  </si>
  <si>
    <t xml:space="preserve">Access panel 24" x 24"</t>
  </si>
  <si>
    <t xml:space="preserve">accesorios.py [CONFIRMED]: A04.01</t>
  </si>
  <si>
    <t xml:space="preserve">Drywall screws 1-1/4" bugle head</t>
  </si>
  <si>
    <t xml:space="preserve">accesorios.py [DERIVED]: Inputs!B20 (Drywall screws per SF of board = 1.2) x 17616.2 SF of board</t>
  </si>
  <si>
    <t xml:space="preserve">Framing screws, pan head self-drilling</t>
  </si>
  <si>
    <t xml:space="preserve">accesorios.py [DERIVED]: Inputs!B21 (Framing screws per stud piece = 4) x 1775 stud pieces</t>
  </si>
  <si>
    <t xml:space="preserve">Power-driven fasteners, slab pins for the bottom track</t>
  </si>
  <si>
    <t xml:space="preserve">accesorios.py [DERIVED]: 532.6 LF of interior bottom track on slab / Inputs!B22 (Power-driven pin spacing (ft) = 1)</t>
  </si>
  <si>
    <t xml:space="preserve">Expansion anchors Hilti 1/4" Kwik Bolt II, exterior bottom track @ 8" O.C.</t>
  </si>
  <si>
    <t xml:space="preserve">accesorios.py [DERIVED]: 214.34 LF of exterior bottom track on slab / Inputs!B25 (Expansion anchor spacing (ft) = 0.6667)</t>
  </si>
  <si>
    <t xml:space="preserve">Joint compound, all purpose</t>
  </si>
  <si>
    <t xml:space="preserve">LB</t>
  </si>
  <si>
    <t xml:space="preserve">lb</t>
  </si>
  <si>
    <t xml:space="preserve">accesorios.py [DERIVED]: Inputs!B23 (Joint compound (lb per SF) = 0.072) x 17616.2 SF of board</t>
  </si>
  <si>
    <t xml:space="preserve">Joint tape, paper</t>
  </si>
  <si>
    <t xml:space="preserve">accesorios.py [DERIVED]: Inputs!B24 (Joint tape (LF per SF) = 0.37) x 17616.2 SF of board</t>
  </si>
  <si>
    <t xml:space="preserve">Level 5 finish</t>
  </si>
  <si>
    <t xml:space="preserve">accesorios.py [DERIVED]: A05.01; 1/A11.01</t>
  </si>
  <si>
    <t xml:space="preserve">Deflection clips at non-load-bearing walls to structure</t>
  </si>
  <si>
    <t xml:space="preserve">accesorios.py [CRITERION]: 2/S1.11; 1/A12.01</t>
  </si>
  <si>
    <t xml:space="preserve">RFI</t>
  </si>
  <si>
    <t xml:space="preserve">Question / condition</t>
  </si>
  <si>
    <t xml:space="preserve">Delta of each alternative</t>
  </si>
  <si>
    <t xml:space="preserve">RFI-ACC-additional-head-track</t>
  </si>
  <si>
    <t xml:space="preserve">additional head track: openings with their own box (openings_extra) &gt; 4'-0": do they also take the additional head track of 2/S5.20?</t>
  </si>
  <si>
    <t xml:space="preserve">100.55 lf</t>
  </si>
  <si>
    <t xml:space="preserve">RFI-ACC-stud-reinforcement-mep</t>
  </si>
  <si>
    <t xml:space="preserve">stud reinforcement MEP: plates at double-row stud walls: one per cut row (R72.9) vs one per crossing</t>
  </si>
  <si>
    <t xml:space="preserve">-9 pcs</t>
  </si>
  <si>
    <t xml:space="preserve">RFI-ACC-stud-reinforcement-mep-2</t>
  </si>
  <si>
    <t xml:space="preserve">stud reinforcement MEP: crossings read by hand (not found by mep.cruces): confirm each one on the M / P sheets (R73.5)</t>
  </si>
  <si>
    <t xml:space="preserve">15 pcs</t>
  </si>
  <si>
    <t xml:space="preserve">RFI-ACC-extra-framing-atm</t>
  </si>
  <si>
    <t xml:space="preserve">extra framing ATM: ATM-DU: extra framing printed at the recess (U1)</t>
  </si>
  <si>
    <t xml:space="preserve">12 lf</t>
  </si>
  <si>
    <t xml:space="preserve">RFI-ACC-gypsum-board-jamb-return</t>
  </si>
  <si>
    <t xml:space="preserve">gypsum board jamb return: jamb return width not dimensioned</t>
  </si>
  <si>
    <t xml:space="preserve">-40.74 sf</t>
  </si>
  <si>
    <t xml:space="preserve">RFI-ACC-expansion-anchors</t>
  </si>
  <si>
    <t xml:space="preserve">expansion anchors: untagged parts of piers / boxes (AEXT-PIER-2G, AEXT-PIER-4G) without anchorage in the schedule (R72.8)</t>
  </si>
  <si>
    <t xml:space="preserve">9.54 pcs</t>
  </si>
  <si>
    <t xml:space="preserve">RFI-ACC-slab-pins</t>
  </si>
  <si>
    <t xml:space="preserve">slab pins: pin spacing: 12" (interior anchorage) vs 16" (fastener schedule) vs 24" (type K box)</t>
  </si>
  <si>
    <t xml:space="preserve">16in: -133.15 pcs; 24in: -266.3 pcs</t>
  </si>
  <si>
    <t xml:space="preserve">RFI-ACC-deflection-clips</t>
  </si>
  <si>
    <t xml:space="preserve">deflection clips: deflection clips: the general note asks for them at non-load-bearing walls and the partition details draw a slip / deflection track (R73.6)</t>
  </si>
  <si>
    <t xml:space="preserve">604 pcs</t>
  </si>
  <si>
    <t xml:space="preserve">RFI-ACC-stud-reinforcement-mep-3</t>
  </si>
  <si>
    <t xml:space="preserve">stud reinforcement MEP: manual crossings (6 ducts) + 6 FD/register terminations of the A0 list + unregistered P sheets are not counted (R73.5); see A6-RFI-MEP-01..12, A6-RFI-PIPE</t>
  </si>
  <si>
    <t xml:space="preserve">value: 21; unit: pcs; op: manual 15 + pipes ~6</t>
  </si>
  <si>
    <t xml:space="preserve">RFI-ACC-deflection-clips-2</t>
  </si>
  <si>
    <t xml:space="preserve">deflection clips: slip track drawn in the types (1/A12.01) vs clip note 2/S1.11: 0 clips carried (R73.6)</t>
  </si>
  <si>
    <t xml:space="preserve">value: 445.0; unit: pcs; op: see A6-RFI-CLIPS</t>
  </si>
  <si>
    <t xml:space="preserve">A0-RFI-01</t>
  </si>
  <si>
    <t xml:space="preserve">Coiling grille 103: door schedule HEIGHT column reads 13'-6 1/2" while A02.01 / 1/A08.21 print 13'-4" R.O. / CLEAR OPENING (width) Options: R.O. 13'-4" (A02.01 + 1/A08.21, used) / 13'-6 1/2" (A00.30 row 103).</t>
  </si>
  <si>
    <t xml:space="preserve">1.67 LF header (2 box beams x 4 pcs) ((13.5417 - 13.3333) x 4 x 2 = 1.67)</t>
  </si>
  <si>
    <t xml:space="preserve">A0-RFI-02</t>
  </si>
  <si>
    <t xml:space="preserve">Office front head: 7/A11.01 prints 8'-0 1/2" HOLD TYP. FROM SLAB, 8/A11.01 prints 8'-0" CLEAR FINISHED OPENING Options: OF-E 8'-0 1/2" (7/A11.01), OF-W 8'-0" (8/A11.01) as printed (used) / 8'-0 1/2" both / 8'-0" both.</t>
  </si>
  <si>
    <t xml:space="preserve">0.04 ft head height (1/2") (8.0417 - 8.0 = 0.04)</t>
  </si>
  <si>
    <t xml:space="preserve">A0-RFI-03</t>
  </si>
  <si>
    <t xml:space="preserve">7/S5.20 row limits vs 9/S5.20: R.O. 3'-4" sits exactly on the SINGLE TRACK limit (3'-4"); 9/S5.20 says DOUBLE TRACK only @ OPNG &gt; 4'-0" (door 102 R.O. 3'-10" is DOUBLE by the schedule, single by 9/S5.20) Options: schedule rows as printed (used: 3'-4" single, 3'-10" double) / all 3'-4" doors double (if span read as R.O. + clearance) / 102 single per 9/S5.20 (not allowed: E21).</t>
  </si>
  <si>
    <t xml:space="preserve">65.33 LF track; 5.17 LF track</t>
  </si>
  <si>
    <t xml:space="preserve">A0-RFI-04</t>
  </si>
  <si>
    <t xml:space="preserve">Vestibule 'BOX HEADER AS NEEDED' (A12.10): box size / gauge not printed (E11 counts it as BOX 4 pcs) Options: BOX 4 pcs x (R.O. + 1'-4") (used) / no header (glass top rail hung from bulkhead track only).</t>
  </si>
  <si>
    <t xml:space="preserve">98.92 LF ((15.6458 + 1.3333) x 4 + (6.4167 + 1.3333) x 4 = 98.92)</t>
  </si>
  <si>
    <t xml:space="preserve">A0-RFI-05</t>
  </si>
  <si>
    <t xml:space="preserve">Storefront jamb return: 2/A09.26 head prints 'GYPSUM BOARD JAMB RETURN BEYOND', but the pier jambs 1/A09.25 and 2/A09.25 show 3/4" FRT plywood + metal panel (no board return). Declared jamb_return true with jambs abuts pier (pier jambs add nothing, D10); only the head (and wall-end jambs) carry the return. Options: head + wall jambs only (used) / head + all jambs / no return (pier/frame finish).</t>
  </si>
  <si>
    <t xml:space="preserve">34.0 LF of jamb edge (SF-S1 two pier jambs x 8'-6") (2 x 8.5 x 2 = 34.0 (SF-S1 2 jambs + SF-S2/SF-W1 1 pier jamb each))</t>
  </si>
  <si>
    <t xml:space="preserve">A0-RFI-06</t>
  </si>
  <si>
    <t xml:space="preserve">DU ATM R.O. width: 7/A08.11 '2'-2 1/2" R.O.' vs 5/A08.11 '2'-2 1/8" (26.4") R.O.' Options: 2'-2 1/2" (7/A08.11, used) / 2'-2 1/8" (5/A08.11).</t>
  </si>
  <si>
    <t xml:space="preserve">0.125 LF box header ((2.2083 - 2.1771) x 4 = 0.125)</t>
  </si>
  <si>
    <t xml:space="preserve">A0-RFI-07</t>
  </si>
  <si>
    <t xml:space="preserve">DU ATM framing: (a) 6/A08.11 prints '2 1/2" METAL STUD SISTERED TO 6" METAL STUD' = explicit extra framing (U1 extra_printed, RFI only); (b) the 31.3" R.O. sill (2'-8 1/8" above finished drive lane) is formed in the 2 1/2" layer, the 6" wall is open slab-&gt;box beam 6'-0"; (c) 5/8" FRT plywood behind fiber cement not taken as opening strip Options: extra 0 + no sill in the 6" wall (used) / extra 12 LF 2 1/2" stud (2 jambs x 6'-0") / add sill track (R.O. + 1'-4") 3.54 LF single.</t>
  </si>
  <si>
    <t xml:space="preserve">12.0 LF 2 1/2" stud; 3.54 LF sill track</t>
  </si>
  <si>
    <t xml:space="preserve">A0-RFI-08</t>
  </si>
  <si>
    <t xml:space="preserve">CSR line R.O. 12'-0 1/4" HOLD: no header printed; 7/S5.20 NON LOAD BRG rows stop at 8'-0" (note b: 'USE THE BEAM SIZES SHOWN ON PLANS') Options: 2-362CSJ20 (largest row, 2 pcs) / BOX 4 pcs / steel by others.</t>
  </si>
  <si>
    <t xml:space="preserve">26.71 LF; 53.42 LF</t>
  </si>
  <si>
    <t xml:space="preserve">RFI-A5-01</t>
  </si>
  <si>
    <t xml:space="preserve">carrying channel direction not printed Options: N-S (used) / E-W.</t>
  </si>
  <si>
    <t xml:space="preserve">6.93 LF (carrying channel LF N-S 316.81 vs E-W 323.74 (canon formula ROUNDUP((run-1)/4)+1 x span) over the 5 furring ceilings)</t>
  </si>
  <si>
    <t xml:space="preserve">RFI-A5-02</t>
  </si>
  <si>
    <t xml:space="preserve">GYP/ACT and ACT/ACT ceiling steps are not bubbled on A04.01 Options: WAITING 104 edges per 8/A09.33 TYPICAL BULKHEAD (used, 2 trim/LF) and ACT/ACT steps per 7/A09.33 (used) / all steps per 7/A09.33 TYPICAL CEILING TRANSITION (4 trim/LF).</t>
  </si>
  <si>
    <t xml:space="preserve">154.05 LF (77.03 LF x (4 - 2) = 154.05 LF trim (corner bead + shadow molding))</t>
  </si>
  <si>
    <t xml:space="preserve">RFI-A5-03</t>
  </si>
  <si>
    <t xml:space="preserve">CSR soffit: 10/A09.33 draws one side as a scheduled partition; 9/A12.08 and 4/A12.08 draw both sides as drops with ACT-4 9'-0" Options: 2 drop lines (used, 4/A12.08) / 1 drop line + partition (10/A09.33).</t>
  </si>
  <si>
    <t xml:space="preserve">12.02 LF (soffit_side LF 12.02 (one side) x 1 row)</t>
  </si>
  <si>
    <t xml:space="preserve">RFI-A5-04</t>
  </si>
  <si>
    <t xml:space="preserve">R-11C / R-11CE length: E00.01 description 12' vs catalog WH-20'-0" Options: 12'-0" (description = drawn on A04.01, used) / 20'-0" (catalog).</t>
  </si>
  <si>
    <t xml:space="preserve">64.0 LF (framed openings 2 x (20 - 12) x 4 fixtures = 64 LF)</t>
  </si>
  <si>
    <t xml:space="preserve">RFI-A5-06</t>
  </si>
  <si>
    <t xml:space="preserve">WC-22 width: 1/A11.01 panel 10'-0" (vector) vs A05.01 tag arrows / box 9.29 ft Options: 10.0 ft (elevation, used) / 9.29 ft (plan box 1293.6-&gt;1460.9).</t>
  </si>
  <si>
    <t xml:space="preserve">7.5 SF (0.71 ft x 10.625 ft = 7.5 SF Level 5)</t>
  </si>
  <si>
    <t xml:space="preserve">RFI-A5-07</t>
  </si>
  <si>
    <t xml:space="preserve">Restroom air devices: M01.01 draws 2.29' x 0.64' slot diffusers; A04.01 draws small square diffuser/grille symbols Options: M01.01 slots (used) / 2'x2' diffuser/grille per A04.01 legend.</t>
  </si>
  <si>
    <t xml:space="preserve">8.48 LF (framed openings 4 x (8.0 - 5.88) LF)</t>
  </si>
  <si>
    <t xml:space="preserve">RFI-A5-08</t>
  </si>
  <si>
    <t xml:space="preserve">Access panels: M00.01 note 16 / P00.01 require access panels for equipment, dampers and valves; none located in a GWB ceiling except RCP key note 4 Options: 1 panel (AP-1, used) / additional panels at FD/valves above GWB ceilings (none drawn).</t>
  </si>
  <si>
    <t xml:space="preserve">0</t>
  </si>
  <si>
    <t xml:space="preserve">ACAN-RFI-01</t>
  </si>
  <si>
    <t xml:space="preserve">Elevation titles vs north arrow: 1/A09.01 'SOUTH ELEVATION' draws the grid F/G face (storefronts) and 2/A09.02 'NORTH ELEVATION' draws the grid A face (door 123), but the A02.01 north arrow points up (F/G = north). WEST/EAST titles agree with the arrow. Options: facades named by the A02.01 north arrow (used): F/G face = N, grid A face = S / facades named by the elevation titles: swap N and S.</t>
  </si>
  <si>
    <t xml:space="preserve">0 SF (naming only; quantities follow the face, not the name)</t>
  </si>
  <si>
    <t xml:space="preserve">ACAN-RFI-02</t>
  </si>
  <si>
    <t xml:space="preserve">Band / fascia B/STUD: 3/A09.26, 7/A09.26 and 16/A09.27 print two B/STUD tags (10'-8 5/8" and 10'-7 1/4") under T/STUD 12'-7" Options: B/STUD 10'-7 1/4" -&gt; band 1.979 ft (used) / B/STUD 10'-8 5/8" -&gt; band 1.865 ft.</t>
  </si>
  <si>
    <t xml:space="preserve">21.37 SF glass mat (and the same SF of nailbase the other way) ((1.9792 - 1.8646) x Σ band_lf 186.504)</t>
  </si>
  <si>
    <t xml:space="preserve">ACAN-RFI-03</t>
  </si>
  <si>
    <t xml:space="preserve">W (drive-up) canopy band: 15/A09.27 draws only SPRAY FOAM INSULATION where the canopy meets the wall (no '5/8" GLASS-MAT SHEATHING' label, unlike 3/ and 7/A09.26); the nailbase stops at the canopy roof and resumes under the soffit Options: band declared with glass mat as at the other canopies (used: the nailbase is absent there and canon requires a band for a facade with canopy) / no glass mat at the W band (only spray foam): band area without sheathing.</t>
  </si>
  <si>
    <t xml:space="preserve">-77.8 SF 5/8" glass mat (V1-H3: W band -104.87 + 34.74 = -70.13 and S jog -7.67 = -77.80)</t>
  </si>
  <si>
    <t xml:space="preserve">ACAN-RFI-04</t>
  </si>
  <si>
    <t xml:space="preserve">High-parapet block (vestibule + ATM, grid 2-4 / G-D): its east face along grid 4 and south face along D above the LP roof (key note 7 'EXTERIOR PROTECTION BOARD TO MATCH ACM PANEL FINISH', 1/A09.02 and 2/A09.02 'beyond') are roof-side faces, not part of the four facades; left to the parapet task Options: not in facades (used; parapets / AEXT task) / add as nailbase / exterior board in the facades.</t>
  </si>
  <si>
    <t xml:space="preserve">272.4 SF (approx., LP roof surface taken ~13'-6") ((30.36 + 13.8133) x (19.6667 - 13.5))</t>
  </si>
  <si>
    <t xml:space="preserve">ACAN-RFI-05</t>
  </si>
  <si>
    <t xml:space="preserve">Vestibule head VEST-E1: 5/A12.10 draws the gyp board on the CENTRAL ZONE face up past the ACT 11'-6" to the break line (not dimensioned); box header size and stud size not printed ('AS NEEDED', A0-RFI-04) Options: board to the ACT 11'-6" = 1.5 ft (used) / board to deck 15'-4 1/2" = 5.375 ft / board to ACT + 6" = 2.0 ft.</t>
  </si>
  <si>
    <t xml:space="preserve">24.86 SF gyp board ((5.375 - 1.5) x 6.4167)</t>
  </si>
  <si>
    <t xml:space="preserve">ACAN-RFI-06</t>
  </si>
  <si>
    <t xml:space="preserve">Canopy fascia box stud spacing / gauge not printed (3/A09.26, 7/A09.26, 16/A09.27 say only 3 5/8" METAL STUD FRAMING) Options: 16" O.C. as the canopy soffit framing 4/5 A09.33 (used) / 12" O.C. / 24" O.C..</t>
  </si>
  <si>
    <t xml:space="preserve">117.7 LF studs (16" vs 12") (Σ fascia LF x (1/1.0 - 1/1.333) x 1.979)</t>
  </si>
  <si>
    <t xml:space="preserve">ACAN-RFI-07</t>
  </si>
  <si>
    <t xml:space="preserve">Grille 103 head: board only on the CENTRAL ZONE face + underside; the 24 HR VESTIBULE 101 side is above its GB 10'-0" ceiling (coil zone) and 4/A08.21 does not label board there Options: east face + underside (used) / both faces 1'-6".</t>
  </si>
  <si>
    <t xml:space="preserve">20.0 SF gyp board (13.3333 x 1.5)</t>
  </si>
  <si>
    <t xml:space="preserve">ACAN-RFI-08</t>
  </si>
  <si>
    <t xml:space="preserve">Roof step 4/A02.02: 3 stud rows drawn (exterior row above the low roof + two rows enclosing the step beam below the decks); length between the exterior walls measured on A02.02 (no printed dimension) Options: 3 rows x 51.593 LF (used) / 1 row (exterior step wall only) / length grid 3-&gt;8 52'-4" - wall offsets 0.6 = 51.73.</t>
  </si>
  <si>
    <t xml:space="preserve">103.19 LF of stud row (2 rows less) (2 x 51.5933)</t>
  </si>
  <si>
    <t xml:space="preserve">ACAN-RFI-09</t>
  </si>
  <si>
    <t xml:space="preserve">ATM-DU in the W facade: A0 opening 2.2083 x 6.0 from slab (sill 0) vs R.O. sill 2'-8 1/8" above the drive lane (A0-RFI-07) Options: opening from T/BASE to 6.0 and no base strip at the ATM (used) / opening from 2'-8 1/8" to 6'-0" (nailbase + base strip continue below).</t>
  </si>
  <si>
    <t xml:space="preserve">4.81 SF nailbase (+2.21 LF base strip) (2.2083 x (2.6771 - 0.5))</t>
  </si>
  <si>
    <t xml:space="preserve">AEXT-RFI-01</t>
  </si>
  <si>
    <t xml:space="preserve">Elevation titles vs north arrow: A02.01 callout 1/A09.01 (top of plan, storefront facade) is titled 'SOUTH ELEVATION' and 2/A9.02 (bottom, door 123) 'NORTH ELEVATION', but the A02.01 NORTH arrow and S2.20 PLAN NORTH / NORTH point up (plan top = north). E/W titles agree with the arrow. S2.20 note: 'BUILDING FOOTPRINT MIRRORED NORTH-SOUTH'. Options: arrow governs (used): plan top = facade N, plan bottom = facade S / titles govern: swap N and S facade ids.</t>
  </si>
  <si>
    <t xml:space="preserve">0 LF (facade naming only; quantities unchanged) (labels only)</t>
  </si>
  <si>
    <t xml:space="preserve">AEXT-RFI-02</t>
  </si>
  <si>
    <t xml:space="preserve">Exterior stud gauge: S1.11 note 5 '600S162-54 @ 16" (12" within 6 ft of corners)' vs 7/S5.20 METAL STUD PROPERTIES '600S137-33 EXTERIOR WALLS @ 16" O.C.' Options: 600S162-54 (16 ga) per S1.11 (used) / 600S137-33 (20 ga) per 7/S5.20.</t>
  </si>
  <si>
    <t xml:space="preserve">0 LF (gauge / weight only) (same LF, gauge 54 mil vs 33 mil)</t>
  </si>
  <si>
    <t xml:space="preserve">AEXT-RFI-03</t>
  </si>
  <si>
    <t xml:space="preserve">S1.11 'STUDS WITHIN 6 FT OF BUILDING CORNERS @ 12"': applied at the 4 outside corners (NE, SE, SW, D/2) only; reentrant corners (D/3, 4/F) not treated as building corners Options: outside corners only (used) / also reentrant corner D/3 (AEXT-W-3N first 6 ft @ 12").</t>
  </si>
  <si>
    <t xml:space="preserve">28.72 LF 6" stud ((ROUNDUP(6/1)+0) - ROUNDUP(6/1.333) = 6 - 4 = 2 studs x 14.3583 = 28.72)</t>
  </si>
  <si>
    <t xml:space="preserve">AEXT-RFI-04</t>
  </si>
  <si>
    <t xml:space="preserve">Canopy beams (W12x19 / W16x26 / HSS10x3 (CANOPY)) drawn inside the 6" stud cavity at T/CANOPY (C/A09.21, D/A09.22, H/A09.23, J/A09.23): wall carried continuous slab -&gt; roof beam (canopy_beam_split false) Options: continuous (used) / split at the canopy beam: +2 tracks x L, - studs x d (inventario rfi_split).</t>
  </si>
  <si>
    <t xml:space="preserve">0 LF (see inventario rfi_split for the split alternative) (computed by inventario._rfi_split)</t>
  </si>
  <si>
    <t xml:space="preserve">AEXT-RFI-05</t>
  </si>
  <si>
    <t xml:space="preserve">S2.20 grid 2 G-E: 'HSS9x5x5/8 (LLV) B.O.S. EL. - 8'-7 1/2"' spans the storefront SF-W1 AND the solid wall 453 -&gt; 732 pt (AEXT-W-2N): HSS in the stud cavity Options: wall continuous slab -&gt; roof beam (used) / studs stop under HSS (8'-7 1/2") + cripples above HSS (9'-4 1/2" -&gt; 14.36).</t>
  </si>
  <si>
    <t xml:space="preserve">-9.75 LF 6" stud (studs ROUNDUP(15.49/1.333)+1 = 13 x 0.75 ft (HSS depth 9") = 9.75 LF less + 2 x 15.49 LF track more)</t>
  </si>
  <si>
    <t xml:space="preserve">AEXT-RFI-06</t>
  </si>
  <si>
    <t xml:space="preserve">Parapet roof-side height: A/A09.21 3'-8 3/4" vs B/A09.21 3'-11 3/4" on the same G line (used 3'-11 3/4"); not printed on C/A09.21 (F), D/A09.22 (8 north), H/A09.23 (3) -&gt; derived 1.3333 ft (T/STUD LP - T/STEEL - build-up 0.7083 from J/A09.23); grid 3 low roof SIM E/A09.22 4'-2 1/4" Options: values used (see parapets[].roofside_source) / G at 3'-8 3/4" / LP high roof = stud height 2.0417 (gyp from T/STEEL).</t>
  </si>
  <si>
    <t xml:space="preserve">74.9 SF 5/8" exterior gyp (G: 23.2 x 0.25 = 5.8 SF; LP high roof (39.86 + 50.69 + 22.68) x (2.0417 - 1.3333) = 80.2 SF; take max |delta| ~ 80 SF (row shows conservative 74.9 when only F/8N))</t>
  </si>
  <si>
    <t xml:space="preserve">AEXT-RFI-07</t>
  </si>
  <si>
    <t xml:space="preserve">Storefront pier jamb strips: 1/A09.25 and 2/A09.25 draw two 3/4" layers (2 x 6.72 pt at 108 pt/ft) at each storefront jamb, label reads '3/4" FRT PLYWOOD' (one ply) Options: 1 ply per label (used) / 2 plies as drawn.</t>
  </si>
  <si>
    <t xml:space="preserve">18.86 SF 3/4" FRT plywood ((0.7589 x 17 + 0.7589 x 8.5 + 0.5 x 8.5) = 23.6 SF x 1 extra ply ... strips: 2G 0.7589x17=12.90; 4G 0.7589x8.5=6.45 + 0.5x8.5=4.25 -&gt; extra ply on 2G+4G(SF-S1) only if double = 12.90 + 6.45 - 0.49 = 18.86)</t>
  </si>
  <si>
    <t xml:space="preserve">AEXT-RFI-09</t>
  </si>
  <si>
    <t xml:space="preserve">Canopy column wrap height: A09.01 B/ CANOPY 10'-6" (used) vs canopy steel T/STEEL 11'-9" (J/A09.23) - wrap may run to the canopy beam Options: 10'-6" (used) / to underside of canopy beam W10x12 at 11'-9" (11.75 - 9.87/12 = 10.93).</t>
  </si>
  <si>
    <t xml:space="preserve">20.64 LF 3 5/8" stud (4 wraps x 12 studs x (10.9275 - 10.5) = 20.52 (+ sheathing 4 x 5.6667 x 0.4275 = 9.7 SF))</t>
  </si>
  <si>
    <t xml:space="preserve">AEXT-RFI-10</t>
  </si>
  <si>
    <t xml:space="preserve">Storefront cripples run from HSS T.O.S. 9'-4 1/2" to the underside of the roof (HI) beam; the canopy beam crosses them in the cavity (continuous, like the walls) Options: HSS top -&gt; roof beam (used) / HSS top -&gt; canopy beam only (split).</t>
  </si>
  <si>
    <t xml:space="preserve">0 LF (follows AEXT-RFI-04) (same as canopy split alternative)</t>
  </si>
  <si>
    <t xml:space="preserve">AW1-RFI-01</t>
  </si>
  <si>
    <t xml:space="preserve">Office-front G/G1 stubs: stop under the CONT. BOX BEAM (head) or run to structure Options: stubs to the head (box beam continuous jamb to jamb over the stubs, 9/A12.01 + R77.2) - used; bulkhead above is continuous / stubs to structure (10/A12.01 'METAL STUDS ATTACH TO STRUCTURE ABOVE'); box beam interrupted at each stub.</t>
  </si>
  <si>
    <t xml:space="preserve">+208.6656 LF 1-5/8" studs (stubs full height) and board unchanged if the bulkhead deduct is increased by the same 352.3144 SF</t>
  </si>
  <si>
    <t xml:space="preserve">AW1-RFI-02</t>
  </si>
  <si>
    <t xml:space="preserve">OF-E bulkhead under two beams: W12x14 (grid 7, F-E, centred) and W14x30 (E-B, axis 3.8" east of the front centre) Options: one height under W12x14 for the whole front (used, 14.3833) / E-B part (20.08 ft) under W14x30: 15.375 - 13.8/12 = 14.225.</t>
  </si>
  <si>
    <t xml:space="preserve">-5.3833 LF 1-5/8" studs and -12.7201 SF board (2 faces x 2 layers) if the E-B part stops under W14x30</t>
  </si>
  <si>
    <t xml:space="preserve">AW1-RFI-03</t>
  </si>
  <si>
    <t xml:space="preserve">AW1-G-D (grid D) partially under W12x19 (HI) 3.05 ft and W8x10 3.82 ft, free 5.47 ft Options: whole wall stops under W12x19 (used, E26 one mark per line) / to deck 15.375 except under the beams / to deck everywhere.</t>
  </si>
  <si>
    <t xml:space="preserve">+22.3667 LF 1-5/8" studs and +50.1554 SF board if the whole wall goes to deck</t>
  </si>
  <si>
    <t xml:space="preserve">AW1-RFI-04</t>
  </si>
  <si>
    <t xml:space="preserve">Short W8x10 / W16x26 beside or partly over G walls (AW1-G1-D12 east 3.36 ft, AW1-G-D56 west 3.36 ft, AW1-G-D23 along grid E) Options: studs to deck (used, beam_override / outside tol) / stop under W8x10 over the 3.36 ft portions (B.O.D. - 7.89").</t>
  </si>
  <si>
    <t xml:space="preserve">-5.26 LF 1-5/8" studs (two 3.36 ft portions, one row each) if stopped under W8x10</t>
  </si>
  <si>
    <t xml:space="preserve">AW1-RFI-05</t>
  </si>
  <si>
    <t xml:space="preserve">C1 height: 6/A12.01 draws studs/board to an unlabeled top line (taken as structure) vs ceiling + 6" Options: C1 studs and board to deck (used) / board to scheduled ceiling + 6" (restrooms GB 8'-6", WAITING GB 11'-0", CASH WINDOW ACT 9'-0", vestibules GB 10'-0").</t>
  </si>
  <si>
    <t xml:space="preserve">-195.6571 SF board (C1 faces) if board stops at ceiling + 6"</t>
  </si>
  <si>
    <t xml:space="preserve">AW1-RFI-06</t>
  </si>
  <si>
    <t xml:space="preserve">G1 measured 8.48" (12.72 pt) on the plan vs 8" in the A12.01 schedule (east G1 demising and west G1 front) Options: G1 per tag (used) / different gap between rows.</t>
  </si>
  <si>
    <t xml:space="preserve">0 LF (type unchanged; thickness only)</t>
  </si>
  <si>
    <t xml:space="preserve">AW1-RFI-08</t>
  </si>
  <si>
    <t xml:space="preserve">Gauge of the 1 5/8" studs of G / G1 / office bulkheads not printed (S5.20 lists only 362S137-33 interior) Options: 20 ga (33 mil) like the interior schedule / 25 ga.</t>
  </si>
  <si>
    <t xml:space="preserve">0 LF (gauge only)</t>
  </si>
  <si>
    <t xml:space="preserve">AW1-RFI-09</t>
  </si>
  <si>
    <t xml:space="preserve">Storefront piers 2/F-G and 4/F-G: C1 interior face lengths from the plan vector vs the dims of the (vertically flipped) 1/A09.25 and 2/A09.25 Options: vector faces (used): NW 2.0133 + 1.2533, NE 2.5667 + 1.2533 / 2/A09.25 '1'-8 1/2" + 8 1/4"' = 2.3958 for the NE south face.</t>
  </si>
  <si>
    <t xml:space="preserve">-0.1709 LF of C1 face (NE south face) and -2.63 SF board</t>
  </si>
  <si>
    <t xml:space="preserve">AW1-RFI-10</t>
  </si>
  <si>
    <t xml:space="preserve">Vestibule heads 'METAL STUD FRAMING &amp; BOX HEADER AS NEEDED' (7/A12.10): stud size not printed Options: 3 5/8" (S5.20 interior) - used / 6".</t>
  </si>
  <si>
    <t xml:space="preserve">0 LF (family 3-5/8" vs 6": 22.06 ft of head track and its studs move family)</t>
  </si>
  <si>
    <t xml:space="preserve">AW2-RFI-01</t>
  </si>
  <si>
    <t xml:space="preserve">B2K is drawn on A02.01 but the A12.01 schedule has no B2K row. Taken as the A5K build of 4/A12.01 (B2 6" base + K delta), measured 7.68" = A5K 7 5/8". Options: A5K build per 4/A12.01 (6" 14 GA @16", 5/8" both faces to structure, 3/8" panel to 8'-0" + 3/8" gyp above on the customer face) / B2 per 1/A12.01 (6" 33 mil) + ballistic panel by bank vendor.</t>
  </si>
  <si>
    <t xml:space="preserve">0 LF framing (1.5 LF either way); gauge 14 GA vs 33 mil on 1.5 LF; ballistic 1.5 x 8 = 12 SF in or out</t>
  </si>
  <si>
    <t xml:space="preserve">AW2-RFI-03</t>
  </si>
  <si>
    <t xml:space="preserve">C1 furring (6/A12.01, PT0034, key note 7 85" media monitor) is built against the north face of A1 PT0001 for x 1293.60-1460.88. Board kept on the A1 face (3/A12.01 draws both faces). Options: keep A1 north face board behind the C1 furring / omit A1 north face board behind C1.</t>
  </si>
  <si>
    <t xml:space="preserve">9.293 ft x 11.5 ft = 106.9 SF 5/8" regular</t>
  </si>
  <si>
    <t xml:space="preserve">AW2-RFI-04</t>
  </si>
  <si>
    <t xml:space="preserve">Customer side of each K wall not labelled on plan; taken the faces that make one continuous contour with the CSR front: B2K south, A1K-PT0011 north (cavity / office 4 side), A1K-PT0012 south (cavity / FCAM side), A1K-PT0013 north (central zone queue). Options: as taken / returns PT0011/PT0012 with the panel on the CSR (teller-unit) face.</t>
  </si>
  <si>
    <t xml:space="preserve">0 SF ballistic (same lengths); only the room of the face changes</t>
  </si>
  <si>
    <t xml:space="preserve">AW2-RFI-05</t>
  </si>
  <si>
    <t xml:space="preserve">S5.20 schedule lists 362S137-33 for INTERIOR WALLS and 600S137-33 for EXTERIOR WALLS only; 6" interior (A5) gauge not printed. Taken 33 mil. Options: 600S137-33 (33 mil) / 600S137-43 / heavier per height (A5 to 15'-4 1/2" deck).</t>
  </si>
  <si>
    <t xml:space="preserve">gauge only on 79.4 LF of A5 (0 LF)</t>
  </si>
  <si>
    <t xml:space="preserve">AW2-RFI-06</t>
  </si>
  <si>
    <t xml:space="preserve">Grid-7 line x 1622.16-1633.08: A5 tag PT0017 above door 116, B2 tag PT0027 below the T with A1 PT0009 (same 7 1/4" thickness). Door 116 kept in the A5 wall; type change at the PT0009 T. Options: door 116 in AW2-A5-PT0017 (A5 1363.08-1488.12) / A5 ends at the door (1422.12) and door 116 in the B2 wall.</t>
  </si>
  <si>
    <t xml:space="preserve">3.33 LF A5 &lt;-&gt; B2 (6.95 vs 3.33 LF A5)</t>
  </si>
  <si>
    <t xml:space="preserve">AW2-RFI-07</t>
  </si>
  <si>
    <t xml:space="preserve">A0 declares CSR-1 (12'-0 1/4" HOLD) as wall_opening in 'partition x~1656'; A02.01 / 1/A12.08 show no partition on that line: the CSR units (vendor millwork) fill the hold between the A1K returns AW2-A1K-PT0011 and AW2-A1K-PT0012. Not placed in any AW2 wall. Options: CSR-1 to openings_extra / none (head framing = CSR soffit A5) / a wall on x 1653.96 (none drawn).</t>
  </si>
  <si>
    <t xml:space="preserve">0 LF wall; header of 12.02 ft (A0-RFI-08) only if a wall existed</t>
  </si>
  <si>
    <t xml:space="preserve">AW3-RFI-01</t>
  </si>
  <si>
    <t xml:space="preserve">6" interior stud (B2) gauge not scheduled: 7/S5.20 lists 362S137-33 INTERIOR WALLS @16" and 600S137-33 EXTERIOR WALLS @16" only Options: 600S137-33 (33 mil) @ 16" O.C. for B2 (used, same member as the 6" row) / heavier 6" interior stud per supplier engineering (S1.11 LGS note 3/4).</t>
  </si>
  <si>
    <t xml:space="preserve">gauge only on 42.35 LF of B2 wall (AW3-B2-01..04), 0 LF</t>
  </si>
  <si>
    <t xml:space="preserve">AW3-RFI-02</t>
  </si>
  <si>
    <t xml:space="preserve">door 116 sits between the A5-tagged segment (north) and the B2 segment (south) of the grid-7 line Options: door 116 inside B2 wall AW3-B2-04 (used, 15.07 ft) / door 116 inside the A5 wall (AW3-B2-04 = 11.74 ft).</t>
  </si>
  <si>
    <t xml:space="preserve">3.33 LF of wall moves between types B2 and A5 (same 6" stud)</t>
  </si>
  <si>
    <t xml:space="preserve">AW3-RFI-03</t>
  </si>
  <si>
    <t xml:space="preserve">grid-7 B2 wall runs under the edge of a N-S W14x22 (S2.20, CL ~3.5" east of the wall CL) Options: to deck B.O.D. (used, avg 12.69 ft) / stop under the W14x22 (B.O.D. - 13.74" = avg 11.55 ft).</t>
  </si>
  <si>
    <t xml:space="preserve">1.145 ft x 15.07 LF x 2 faces = 34.5 SF board; 15.07 LF x 1.145 ft of stud length</t>
  </si>
  <si>
    <t xml:space="preserve">AW3-RFI-04</t>
  </si>
  <si>
    <t xml:space="preserve">west bay roof framing (S2.20 W8x10 at ycoord~1510 over AW3-B-04, W14x22 edge at ycoord~1587 along AW3-B-05) over the west 5.3 ft of both walls Options: to deck B.O.D. full length (used) / stop under W8x10 (d 7.89") on AW3-B-04 x 911.9-1008.3.</t>
  </si>
  <si>
    <t xml:space="preserve">0.66 ft x 5.29 LF x 2 faces = 7.0 SF on AW3-B-04</t>
  </si>
  <si>
    <t xml:space="preserve">AW3-RFI-05</t>
  </si>
  <si>
    <t xml:space="preserve">mop sink FRP second side: 5/A08.01 and A05.01 KN6 'AT BOTH SIDES' (2 sides used); the side wall is the west exterior wall behind MW06A shelving Options: 2 sides x 2.0 x 4.0 (used, 16 SF) / 1 side (back) only (8 SF).</t>
  </si>
  <si>
    <t xml:space="preserve">8 SF FRP</t>
  </si>
  <si>
    <t xml:space="preserve">AW3-RFI-06</t>
  </si>
  <si>
    <t xml:space="preserve">PA0034 small-symbol 'B' at the janitor / storage partition Options: type B (used, tag + leader) / untagged -&gt; A1 by note A (same 4 7/8" and 3 5/8" stud).</t>
  </si>
  <si>
    <t xml:space="preserve">0 LF (same stud and thickness; both rooms open to structure)</t>
  </si>
  <si>
    <t xml:space="preserve">AW3-RFI-07</t>
  </si>
  <si>
    <t xml:space="preserve">restroom width 11'-8" (A02.01, WOMEN'S 114) vs 11'-7 1/2" (1/A08.01) Options: 11'-8" (used, A02.01) / 11'-7 1/2" (A08.01).</t>
  </si>
  <si>
    <t xml:space="preserve">2 x 0.0417 ft = 0.083 LF tile base / 0.42 SF FRP per room</t>
  </si>
  <si>
    <t xml:space="preserve">A6-RFI-MEP-01</t>
  </si>
  <si>
    <t xml:space="preserve">MEP duct at AW1-G-S4 [1761.0, 1111.14]: 10"ø drop from VVT-3-2 into CASH WINDOW 116 (elbow labeled 10"ø); method manual -&gt; not counted in stud reinforcement (R73.5) Options: 0 plates (manual crossing, R73.5) / count it: MAX(1, ROUNDUP(10/16)) x rows = 2 pcs.</t>
  </si>
  <si>
    <t xml:space="preserve">2 pcs stud reinforcement (MAX(1, ROUNDUP(10 / 16)) x 2 rows = 2)</t>
  </si>
  <si>
    <t xml:space="preserve">A6-RFI-MEP-02</t>
  </si>
  <si>
    <t xml:space="preserve">MEP duct at AW1-BH-OFW [1127.5, 1016.7]: 8"ø from VVT-1-1 east across office front OF-W; method manual -&gt; not counted in stud reinforcement (R73.5) Options: 0 plates (manual crossing, R73.5) / count it: MAX(1, ROUNDUP(8/16)) x rows = 2 pcs.</t>
  </si>
  <si>
    <t xml:space="preserve">2 pcs stud reinforcement (MAX(1, ROUNDUP(8 / 16)) x 2 rows = 2)</t>
  </si>
  <si>
    <t xml:space="preserve">A6-RFI-MEP-03</t>
  </si>
  <si>
    <t xml:space="preserve">MEP duct at AW1-BH-OFW [1127.5, 1108.0]: 12"ø (VVT-1-2 inlet) elbow across OF-W bulkhead; method manual -&gt; not counted in stud reinforcement (R73.5) Options: 0 plates (manual crossing, R73.5) / count it: MAX(1, ROUNDUP(12/16)) x rows = 2 pcs.</t>
  </si>
  <si>
    <t xml:space="preserve">2 pcs stud reinforcement (MAX(1, ROUNDUP(12 / 16)) x 2 rows = 2)</t>
  </si>
  <si>
    <t xml:space="preserve">A6-RFI-MEP-04</t>
  </si>
  <si>
    <t xml:space="preserve">MEP duct at AW2-A1-PT0005 [1374.0, 1320.4]: 14"x14" vertical run down to 16"x16"; method manual -&gt; not counted in stud reinforcement (R73.5) Options: 0 plates (manual crossing, R73.5) / count it: MAX(1, ROUNDUP(14/16)) x rows = 1 pcs.</t>
  </si>
  <si>
    <t xml:space="preserve">1 pcs stud reinforcement (MAX(1, ROUNDUP(14 / 16)) x 1 rows = 1)</t>
  </si>
  <si>
    <t xml:space="preserve">A6-RFI-MEP-05</t>
  </si>
  <si>
    <t xml:space="preserve">MEP duct at AW3-B2-03 [1128.5, 1290.0]: 14"x14" horizontal (WOMEN'S RESTROOM side to corridor); method manual -&gt; not counted in stud reinforcement (R73.5) Options: 0 plates (manual crossing, R73.5) / count it: MAX(1, ROUNDUP(14/16)) x rows = 1 pcs.</t>
  </si>
  <si>
    <t xml:space="preserve">A6-RFI-MEP-06</t>
  </si>
  <si>
    <t xml:space="preserve">MEP duct at AW2-A1-PT0006 [1608.0, 1358.0]: 16"x14" vertical into 14"x16" box below; method manual -&gt; not counted in stud reinforcement (R73.5) Options: 0 plates (manual crossing, R73.5) / count it: MAX(1, ROUNDUP(16/16)) x rows = 1 pcs.</t>
  </si>
  <si>
    <t xml:space="preserve">1 pcs stud reinforcement (MAX(1, ROUNDUP(16 / 16)) x 1 rows = 1)</t>
  </si>
  <si>
    <t xml:space="preserve">A6-RFI-MEP-07</t>
  </si>
  <si>
    <t xml:space="preserve">MEP fire_damper at AW3-B-01 [1256.0, 1444.0]: R-2 14x14 return grille with FD (A0 ref "FD R-2 14x14 @ ELECTRICAL 120 W"); method manual -&gt; not counted in stud reinforcement (R73.5) Options: 0 plates (manual crossing, R73.5) / count it: MAX(1, ROUNDUP(14/16)) x rows = 1 pcs.</t>
  </si>
  <si>
    <t xml:space="preserve">A6-RFI-MEP-08</t>
  </si>
  <si>
    <t xml:space="preserve">MEP fire_damper at AW3-B-03 [1256.0, 1554.0]: R-2 14x14 (TYP. 2) return grille with FD (A0 ref "FD R-2 14x14 @ NER 121 W"); method manual -&gt; not counted in stud reinforcement (R73.5) Options: 0 plates (manual crossing, R73.5) / count it: MAX(1, ROUNDUP(14/16)) x rows = 1 pcs.</t>
  </si>
  <si>
    <t xml:space="preserve">A6-RFI-MEP-09</t>
  </si>
  <si>
    <t xml:space="preserve">MEP fire_damper at AW3-B-02 [1418.0, 1500.0]: S-2 12x8 200 CFM sidewall supply with FD; method manual -&gt; not counted in stud reinforcement (R73.5) Options: 0 plates (manual crossing, R73.5) / count it: MAX(1, ROUNDUP(12/16)) x rows = 1 pcs.</t>
  </si>
  <si>
    <t xml:space="preserve">1 pcs stud reinforcement (MAX(1, ROUNDUP(12 / 16)) x 1 rows = 1)</t>
  </si>
  <si>
    <t xml:space="preserve">A6-RFI-MEP-10</t>
  </si>
  <si>
    <t xml:space="preserve">MEP fire_damper at AW3-B-02 [1418.0, 1626.0]: S-2 12x12 600 CFM sidewall supply with FD; method manual -&gt; not counted in stud reinforcement (R73.5) Options: 0 plates (manual crossing, R73.5) / count it: MAX(1, ROUNDUP(12/16)) x rows = 1 pcs.</t>
  </si>
  <si>
    <t xml:space="preserve">A6-RFI-MEP-11</t>
  </si>
  <si>
    <t xml:space="preserve">MEP duct at AW3-B-04 [1000.0, 1510.0]: S-2, 6x6 35 CFM sidewall supply at JANITOR CLOSET 112; method manual -&gt; not counted in stud reinforcement (R73.5) Options: 0 plates (manual crossing, R73.5) / count it: MAX(1, ROUNDUP(6/16)) x rows = 1 pcs.</t>
  </si>
  <si>
    <t xml:space="preserve">1 pcs stud reinforcement (MAX(1, ROUNDUP(6 / 16)) x 1 rows = 1)</t>
  </si>
  <si>
    <t xml:space="preserve">A6-RFI-MEP-12</t>
  </si>
  <si>
    <t xml:space="preserve">MEP duct at AW3-B2-02 [1128.0, 1522.0]: S-2, 6x6 35 CFM sidewall supply at STORAGE 117; method manual -&gt; not counted in stud reinforcement (R73.5) Options: 0 plates (manual crossing, R73.5) / count it: MAX(1, ROUNDUP(6/16)) x rows = 1 pcs.</t>
  </si>
  <si>
    <t xml:space="preserve">A6-RFI-PIPE</t>
  </si>
  <si>
    <t xml:space="preserve">Plumbing sheets P01.01/P01.02 do not register (matches 1/3 &lt; 25): pipe crossings &gt; 1" (1-1/2" CW at restrooms 113/114 / janitor 112, 2" vents above ceiling) not swept geometrically; pipes &lt;= 1" = 0 (R73.5) Options: 0 plates (no registered P sweep) / 1 plate per row at each 1-1/2" CW / vent crossing of a to-deck wall (visual: about 4 crossings around restrooms 113/114 and janitor 112, rows 1-2).</t>
  </si>
  <si>
    <t xml:space="preserve">6 pcs stud reinforcement (~4 crossings x 1 plate x rows (two on the C1 chase rows 2) = 6 (visual estimate, P01.02))</t>
  </si>
  <si>
    <t xml:space="preserve">A6-RFI-MEP-DUP</t>
  </si>
  <si>
    <t xml:space="preserve">canon_A carries the vestibule heads twice (ACAN-VH-S1 / AW1-VH-S1 same band; ACAN-VH-E1 to_deck true vs AW1-VH-E1 to_deck false). Crossings put once on ACAN-VH-* Options: keep ACAN-VH-* (used) / move the 5 crossings to AW1-VH-* (AW1-VH-E1 is not to deck -&gt; its 10"x12" crossing would drop).</t>
  </si>
  <si>
    <t xml:space="preserve">1 pcs (10"x12" at VH-E1) (MAX(1, ROUNDUP(10/16)) x 1 = 1)</t>
  </si>
  <si>
    <t xml:space="preserve">A6-RFI-MEP-RR</t>
  </si>
  <si>
    <t xml:space="preserve">Duct 10"x10" at (1106, 1372) crosses the line between restrooms 113 / 114 east of AW1-C1-CHASE end (x 1092.36); canon_A has no wall there Options: 0 (no wall in canon_A) / 1 plate x 2 rows if the chase continues to grid 4.</t>
  </si>
  <si>
    <t xml:space="preserve">2 pcs (MAX(1, ROUNDUP(10/16)) x 2 rows = 2)</t>
  </si>
  <si>
    <t xml:space="preserve">A6-RFI-MEP-NOLABEL</t>
  </si>
  <si>
    <t xml:space="preserve">Duct crossings without a size label at the crossing (branch runouts): width taken from the plan width at 1/4" scale (1.5 pt/in), DERIVED Options: plan width (used) / nominal 8"ø for every unlabeled runout.</t>
  </si>
  <si>
    <t xml:space="preserve">0 pcs (all widths &lt;= 16" -&gt; MAX(1, ROUNDUP(w/16)) = 1 either way)</t>
  </si>
  <si>
    <t xml:space="preserve">A6-RFI-CLIPS</t>
  </si>
  <si>
    <t xml:space="preserve">Deflection: S1.11 note 2 asks for vertical deflection clips at non-load-bearing walls while the partition types draw a continuous slip track to structure Options: slip track only, 0 clips (used, R73.6) / one clip per full stud of every to-deck wall.</t>
  </si>
  <si>
    <t xml:space="preserve">445.0 pcs clips (sum over canon_A to-deck walls (wall/chase/column_wrap/door_bulkhead) of (ROUNDUP(L / 1.333) + 1) x rows = 445)</t>
  </si>
  <si>
    <t xml:space="preserve">A6-RFI-REC</t>
  </si>
  <si>
    <t xml:space="preserve">Recessed accessories TA-2 (2), TA-13 (2), TA-14 (2), FEC-1 (1): no rough-in width printed (A08.01 / A00.40 refer to specs); 0 framing carried (R71.6) Options: 0 (used) / framed recess each: 2 jamb studs + head/sill track 2 x 2 LF.</t>
  </si>
  <si>
    <t xml:space="preserve">28.0 LF track (+14 jamb studs) (7 recesses x (2 x 2.0 LF track) = 28.0 LF; + 7 x 2 = 14 studs)</t>
  </si>
  <si>
    <t xml:space="preserve">A6-RFI-BLK-01</t>
  </si>
  <si>
    <t xml:space="preserve">Wall-stop blocking: A00.30 note D gives no material and no length; metal 2'-0" per stop (criterion) Options: metal 362CR 2.0 LF x 9 (used) / FRT 2x 2.0 LF x 9 / 4.0 LF per stop.</t>
  </si>
  <si>
    <t xml:space="preserve">18.0 LF (9 x (4.0 - 2.0) = 18.0 LF more, or 18 LF moved metal -&gt; FRT)</t>
  </si>
  <si>
    <t xml:space="preserve">A6-RFI-BLK-02</t>
  </si>
  <si>
    <t xml:space="preserve">Frameless glass wall terminations 8/A12.10: count of terminations at gypsum (VEST-S1 west, VEST-E1 at pier) and height (glass head 10'-0") Options: 2 x 10.0 (used) / 4 x 10.0 (column ends wrapped C1 also take the channel).</t>
  </si>
  <si>
    <t xml:space="preserve">20.0 LF FRT (2 x 10.0)</t>
  </si>
  <si>
    <t xml:space="preserve">A6-RFI-BLK-03</t>
  </si>
  <si>
    <t xml:space="preserve">CSR soffit 5/8" fire treated plywood blocking: width not dimensioned (drawn across the soffit bottom) Options: blocking item 12.02 LF (used) / plywood strip 12.02 LF x soffit width.</t>
  </si>
  <si>
    <t xml:space="preserve">12.021 LF FRT (or SF if strip) (12.021 x 1)</t>
  </si>
  <si>
    <t xml:space="preserve">A6-RFI-BLK-04</t>
  </si>
  <si>
    <t xml:space="preserve">85" monitor FRT plywood blocking size not dimensioned (9/A12.02): measured 44" x 27" against the display Options: 3.667 LF (used) / full monitor width 74.5" = 6.21 LF.</t>
  </si>
  <si>
    <t xml:space="preserve">2.54 LF FRT (6.208 - 3.667 = 2.54)</t>
  </si>
  <si>
    <t xml:space="preserve">A6-RFI-BLK-05</t>
  </si>
  <si>
    <t xml:space="preserve">Millwork blocking: FRTW (note D) vs "PRESSURE TREATED BLOCKING" in 3/A12.04 and "ADDITIONAL BLOCKING" in 10, 4, 3/A12.06; runs per piece are criterion; MW05 label (2) STANDARDS PER SECTION = 4 vs 3 drawn Options: FRT per note D, runs by criterion (used, 165.69 LF) / pressure-treated wood (not FRT) for MW08/MW18/MW13 sections / MW05 4 standards (+7.0 LF).</t>
  </si>
  <si>
    <t xml:space="preserve">7.0 LF FRT (MW05 (4 - 3) x 7.0 = 7.0; material swap moves up to 165.69 LF FRT -&gt; wood)</t>
  </si>
  <si>
    <t xml:space="preserve">A6-RFI-BLK-06</t>
  </si>
  <si>
    <t xml:space="preserve">Toilet accessories: item widths not printed (2'-0" per item criterion); one of each per room assumed (plan + elevation tags) Options: 34.0 LF (used) / by product width (spec) ~1'-0" each.</t>
  </si>
  <si>
    <t xml:space="preserve">17.0 LF FRT (about half of 34.0 if each item is 1'-0")</t>
  </si>
  <si>
    <t xml:space="preserve">A6-RFI-BLK-07</t>
  </si>
  <si>
    <t xml:space="preserve">Coat hooks: A00.40 #3 says 2 bars / 6 hooks in total, elevations show 2 bars break room + 1 bar wellness Options: 3 bars 4.5 LF (used) / 2 bars 3.0 LF.</t>
  </si>
  <si>
    <t xml:space="preserve">1.5 LF (4.5 - 3.0)</t>
  </si>
  <si>
    <t xml:space="preserve">A6-RFI-BLK-08</t>
  </si>
  <si>
    <t xml:space="preserve">Equipment blocking under A02.01 note C / key notes 3, 5: no material printed -&gt; metal 362CR (58.6); lengths by drawn width or 2'-0" criterion; small devices (phones, card readers, clocks, sanitizers, lights) taken as anchored to studs (no blocking) Options: metal, 63.15 LF (used) / FRT 2x for the same items / add 2.0 LF per small device (~12 devices).</t>
  </si>
  <si>
    <t xml:space="preserve">24.0 LF (12 small devices x 2.0 = 24.0 LF more (or 63.15 LF moved metal -&gt; FRT))</t>
  </si>
  <si>
    <t xml:space="preserve">A6-RFI-EDGE</t>
  </si>
  <si>
    <t xml:space="preserve">Stud blocking at the edge of gypboard (4/S5.20, NTS, no location): 56.8 / 59.14 two figures. Board sheet length not printed: 12 ft used Options: (b) every face with board &gt; 12 ft, per stud row = 722.02 LF (used, canon computes it from sheet_len_ft) / (a) exteriors + double-layer G/G1 walls = 404.64 LF / (b) with 10 ft sheets = 743.0 LF / (b) with 8 ft sheets = 831.49 LF.</t>
  </si>
  <si>
    <t xml:space="preserve">-317.38 LF ((a) - (b))</t>
  </si>
  <si>
    <t xml:space="preserve">INT-RFI-01</t>
  </si>
  <si>
    <t xml:space="preserve">2/A09.26 storefront head draws a second 3/4" FRT plywood layer under the stud (5.08" wide) while the label is singular ('3/4" FRT PLYWOOD'); carried: one strip 9.09" wide Options: one layer (carried) / add the second layer under the stud at the storefront heads.</t>
  </si>
  <si>
    <t xml:space="preserve">19.18 SF frt_3_4 (head R.O. 45.3125 LF x 5.08/12 = 19.18)</t>
  </si>
  <si>
    <t xml:space="preserve">INT-RFI-03</t>
  </si>
  <si>
    <t xml:space="preserve">Grid 7 beam mark: the reading took W12x14 (S2.20 mark north of the column) for these walls; vigas_sobre_walls.py and 1/S2.20 show W14X30 south of the column over them (used). Options: W14X30 d 13.8" (used, vigas_out) / W12X14 d 11.9" (reading).</t>
  </si>
  <si>
    <t xml:space="preserve">0.1583 ft stud / board height per wall ((13.8 - 11.9)/12 = 0.1583 ft on 4 walls)</t>
  </si>
  <si>
    <t xml:space="preserve">INT-RFI-02</t>
  </si>
  <si>
    <t xml:space="preserve">Vestibule box header depth not printed ('BOX HEADER AS NEEDED', 5,6/A12.10): 6" nominal used; vector measure at 3"=1'-0" gives 110.76 pt / 18 = 6.15" Options: 6" nominal (used) / 6.15" as drawn.</t>
  </si>
  <si>
    <t xml:space="preserve">0.0125 ft head stud height (each head) ((6.15 - 6.0)/12)</t>
  </si>
  <si>
    <t xml:space="preserve">INT-RFI-04</t>
  </si>
  <si>
    <t xml:space="preserve">Face B taken 11.2033 ft (tramos sum to L: 11'-0" WORK ROOM 119 + 7.32 pt T node of AW2-A1-PT0009 - 0.2034 zero-board tramo) vs printed 11'-0" Options: 11.2033 ft (used) / 11.0 ft printed.</t>
  </si>
  <si>
    <t xml:space="preserve">-2.57 SF 5/8" board ((11.0 - 11.2033) x 12.6551 x 1)</t>
  </si>
  <si>
    <t xml:space="preserve">ADV-RFI-29</t>
  </si>
  <si>
    <t xml:space="preserve">Office front bulkheads framed as the band above the CONT. BOX BEAM (head + measured 5" box + 3/4" plywood + 5/8" GWB). Alternative: band without subtracting the box stack. Options: band = structure - head - 0.5313 (used, 9/A12.01 vector) / band = structure - head.</t>
  </si>
  <si>
    <t xml:space="preserve">51.0 LF 1-5/8" stud (-770.7 - (-821.7) = +51.0)</t>
  </si>
  <si>
    <t xml:space="preserve">ADV-RFI-25</t>
  </si>
  <si>
    <t xml:space="preserve">Coiling grille 103 jamb FRT blocking height not dimensioned in plan: 10.0 ft (grille head) used. Options: 10.0 ft (used) / 11'-6" ACT of CENTRAL ZONE 103.</t>
  </si>
  <si>
    <t xml:space="preserve">7.5 LF FRT blocking (5 x (11.5 - 10.0))</t>
  </si>
  <si>
    <t xml:space="preserve">ADV-RFI-26</t>
  </si>
  <si>
    <t xml:space="preserve">Blocking for wall-mounted phones, wall clock and hand sanitizers (A02.01 note C): material not printed, 2'-0" per item. Options: metal 362CR (used) / FRT wood.</t>
  </si>
  <si>
    <t xml:space="preserve">14.0 LF metal -&gt; FRT (material swap, same LF)</t>
  </si>
  <si>
    <t xml:space="preserve">ADV-RFI-27</t>
  </si>
  <si>
    <t xml:space="preserve">3/P00.01 labels '2X BLOCKING' (no FRT) for the WH-1 platform in a Type II-B building. Options: 2X wood (used, as labelled) / 2X FRT.</t>
  </si>
  <si>
    <t xml:space="preserve">6.0 LF wood -&gt; FRT (material swap, same LF)</t>
  </si>
  <si>
    <t xml:space="preserve">ADV-RFI-28</t>
  </si>
  <si>
    <t xml:space="preserve">Drinking fountain PF-06 blocking: 2 pieces x 2'-0" (criterion); drawn bowls width 2.39 ft. Options: 2 x 2.0 = 4.0 (used) / 2 x 2.39 = 4.78.</t>
  </si>
  <si>
    <t xml:space="preserve">0.78 LF metal blocking (4.78 - 4.0)</t>
  </si>
  <si>
    <t xml:space="preserve">ADV-RFI-30</t>
  </si>
  <si>
    <t xml:space="preserve">K walls framed @ 24" O.C. (4/A12.01 '14 GA. METAL STUDS @ 24" O.C. MAX'); alternative 16". Options: 24" O.C. (used, 4/A12.01) / 16" O.C. (S5.20 interior row).</t>
  </si>
  <si>
    <t xml:space="preserve">56.61 LF stud (41.23 3-5/8" + 15.38 6") (V4-H2 studs_nodos)</t>
  </si>
  <si>
    <t xml:space="preserve">ADV-RFI-01</t>
  </si>
  <si>
    <t xml:space="preserve">Exterior interior-face board runs behind the partitions that tee into exterior walls (15 Ts measured). Convention: continuous behind a T, or stop at each partition face. Options: as carried / per the suspicion.</t>
  </si>
  <si>
    <t xml:space="preserve">-121.9 SF 5/8" regular (V1-S1 (5_adversarial))</t>
  </si>
  <si>
    <t xml:space="preserve">ADV-RFI-02</t>
  </si>
  <si>
    <t xml:space="preserve">Parapet E3 height on sloped runs (PAR-8S, PAR-3S): high side T/STUD LP 17.4167 - 12.5313 = 4.8854 instead of the average. Options: as carried / per the suspicion.</t>
  </si>
  <si>
    <t xml:space="preserve">13.8 LF 6" parapet stud (V1-S2 (5_adversarial))</t>
  </si>
  <si>
    <t xml:space="preserve">ADV-RFI-03</t>
  </si>
  <si>
    <t xml:space="preserve">S1.11 note 5 corner zone (@12" within 6 ft of building corners) at the re-entrant corner D/3 (AEXT-W-3N). Options: as carried / per the suspicion.</t>
  </si>
  <si>
    <t xml:space="preserve">14.36 LF 6" stud (V1-S4 / V4-S3 (5_adversarial))</t>
  </si>
  <si>
    <t xml:space="preserve">ADV-RFI-04</t>
  </si>
  <si>
    <t xml:space="preserve">ACAN-VH-E1 face B (CENTRAL ZONE side) 1.5 ft: 5/A12.10 draws the board past the ACT without a dimension; with the 8/A09.33 '6" MIN' criterion it is 2.0 ft. Options: as carried / per the suspicion.</t>
  </si>
  <si>
    <t xml:space="preserve">3.2 SF 5/8" regular (V2-S1 (5_adversarial))</t>
  </si>
  <si>
    <t xml:space="preserve">ADV-RFI-05</t>
  </si>
  <si>
    <t xml:space="preserve">Perimeter ceiling track at the V100 S edge and V101 N edge where the GWB runs continuous under the vestibule head (6, 7/A12.10). Options: as carried / per the suspicion.</t>
  </si>
  <si>
    <t xml:space="preserve">-31.6 LF track (V2-S2 (5_adversarial))</t>
  </si>
  <si>
    <t xml:space="preserve">ADV-RFI-06</t>
  </si>
  <si>
    <t xml:space="preserve">UU linear fixture openings printed 'FIXTURE LENGTH + 1/4"' (5/A09.33); the tool uses L. Options: as carried / per the suspicion.</t>
  </si>
  <si>
    <t xml:space="preserve">0.88 LF framed openings (V2-S3 (5_adversarial))</t>
  </si>
  <si>
    <t xml:space="preserve">ADV-RFI-07</t>
  </si>
  <si>
    <t xml:space="preserve">Slot diffuser end width 7.68" measured on M01.01; M00.03 '(2) 1" SLOTS, SEE DRAWING' (TITUS TBDI-10 cutsheet). Options: as carried / per the suspicion.</t>
  </si>
  <si>
    <t xml:space="preserve">-3.5 LF framed openings (V2-S4 (5_adversarial))</t>
  </si>
  <si>
    <t xml:space="preserve">ADV-RFI-08</t>
  </si>
  <si>
    <t xml:space="preserve">4/5 A09.33 label '5/8" EXTERIOR SHEATHING' at the canopy soffits; canon uses FRT plywood per the sections (3, 7/A09.26, 16/A09.27). Options: as carried / per the suspicion.</t>
  </si>
  <si>
    <t xml:space="preserve">0.0 SF (material only) (V2-S7 (5_adversarial))</t>
  </si>
  <si>
    <t xml:space="preserve">ADV-RFI-09</t>
  </si>
  <si>
    <t xml:space="preserve">MW08 blocking material: sheet note D 'FRTW' vs 3/A12.04 'PRESSURE TREATED'; possible second (shelving) run. Options: as carried / per the suspicion.</t>
  </si>
  <si>
    <t xml:space="preserve">7.58 LF blocking (V3-S1 (5_adversarial))</t>
  </si>
  <si>
    <t xml:space="preserve">ADV-RFI-10</t>
  </si>
  <si>
    <t xml:space="preserve">Office front door bulkheads: the +1 stud per vendor_end may duplicate the jamb stud of the adjacent G stub (10/A12.01). Options: as carried / per the suspicion.</t>
  </si>
  <si>
    <t xml:space="preserve">-1.0 stud per vendor end x band height (12 ends) (V3-S2 (5_adversarial))</t>
  </si>
  <si>
    <t xml:space="preserve">ADV-RFI-11</t>
  </si>
  <si>
    <t xml:space="preserve">Exterior wall-mount fixture at the back egress door (elevation key note 8) and BANK OF AMERICA sign: does A02.01 note C apply to exterior walls? Options: as carried / per the suspicion.</t>
  </si>
  <si>
    <t xml:space="preserve">4.0 LF metal blocking (2 x 2'-0") (V3-S3 (5_adversarial))</t>
  </si>
  <si>
    <t xml:space="preserve">ADV-RFI-12</t>
  </si>
  <si>
    <t xml:space="preserve">WHS-FC wellness hand sanitizer x2 (A06.01): wall or floor mounted. Options: as carried / per the suspicion.</t>
  </si>
  <si>
    <t xml:space="preserve">4.0 LF metal blocking (V3-S4 (5_adversarial))</t>
  </si>
  <si>
    <t xml:space="preserve">ADV-RFI-13</t>
  </si>
  <si>
    <t xml:space="preserve">Window top cripples: 'METAL STUD BOX BEAM OR STEEL FRAMING AS REQUIRED' (11/A09.27, no size) not subtracted. Options: as carried / per the suspicion.</t>
  </si>
  <si>
    <t xml:space="preserve">-12.0 LF 6" stud (V3-S5 (5_adversarial))</t>
  </si>
  <si>
    <t xml:space="preserve">ADV-RFI-14</t>
  </si>
  <si>
    <t xml:space="preserve">MW01 printer cabinet: starts at the floor or on a base / knee (lower band, R77.9). Options: as carried / per the suspicion.</t>
  </si>
  <si>
    <t xml:space="preserve">0.0 LF (unknown until 6/A12.03 confirmed) (V3-S6 (5_adversarial))</t>
  </si>
  <si>
    <t xml:space="preserve">ADV-RFI-15</t>
  </si>
  <si>
    <t xml:space="preserve">4" segment at the N end of the west office front (ycoord 840.0-846.0): owner G-D or jamb cap. Options: as carried / per the suspicion.</t>
  </si>
  <si>
    <t xml:space="preserve">0.33 LF G (2 rows 1-5/8") (V4-S1 (5_adversarial))</t>
  </si>
  <si>
    <t xml:space="preserve">ADV-RFI-16</t>
  </si>
  <si>
    <t xml:space="preserve">Interior faces of AEXT-E-8N run to the partition CL behind 4 office partitions. Options: as carried / per the suspicion.</t>
  </si>
  <si>
    <t xml:space="preserve">-34.5 SF 5/8" regular (V4-S2 (5_adversarial))</t>
  </si>
  <si>
    <t xml:space="preserve">ADV-RFI-17</t>
  </si>
  <si>
    <t xml:space="preserve">8/S5.20 MECH. CHASE FRAMING IN WALL (toe-to-toe stud posts) at plumbing risers in single walls (PF-04, PF-06, janitor, IMB-1); P sheets do not register. Options: as carried / per the suspicion.</t>
  </si>
  <si>
    <t xml:space="preserve">9.0 studs (+8 to +10 x wall height) (V5-S1 (5_adversarial))</t>
  </si>
  <si>
    <t xml:space="preserve">ADV-RFI-18</t>
  </si>
  <si>
    <t xml:space="preserve">7/A12.04 'SCHED. PARTITION REINFORCED TO ACCOMODATE SHELF LOADING' (MW05, MW06): how. Options: as carried / per the suspicion.</t>
  </si>
  <si>
    <t xml:space="preserve">9.0 studs (standards of MW05 / MW06A) (V5-S2 (5_adversarial))</t>
  </si>
  <si>
    <t xml:space="preserve">ADV-RFI-19</t>
  </si>
  <si>
    <t xml:space="preserve">CHIEF PAC527L in-wall box 14.25 x 22 in the media wall: fits a 16" bay or framed opening. Options: as carried / per the suspicion.</t>
  </si>
  <si>
    <t xml:space="preserve">2.67 LF track (head + foot) (V5-S3 (5_adversarial))</t>
  </si>
  <si>
    <t xml:space="preserve">ADV-RFI-20</t>
  </si>
  <si>
    <t xml:space="preserve">EUH-1 unit heater (JANITOR 112) mounting: wall bracket needs blocking. Options: as carried / per the suspicion.</t>
  </si>
  <si>
    <t xml:space="preserve">2.0 LF blocking (V5-S4 (5_adversarial))</t>
  </si>
  <si>
    <t xml:space="preserve">ADV-RFI-21</t>
  </si>
  <si>
    <t xml:space="preserve">CSR soffit blocking: 10/A09.33 'PROVIDE FRTW BLOCKING FOR FUTURE' (4 pieces) vs 9/A12.08 single run. Options: as carried / per the suspicion.</t>
  </si>
  <si>
    <t xml:space="preserve">36.06 LF FRTW (48.08 - 12.02) (V5-S5 (5_adversarial))</t>
  </si>
  <si>
    <t xml:space="preserve">ADV-RFI-22</t>
  </si>
  <si>
    <t xml:space="preserve">Column E/7 (S2.20) inside the G stub AW1-G-OFE-S23: furring around the HSS or normal G. Options: as carried / per the suspicion.</t>
  </si>
  <si>
    <t xml:space="preserve">0.0 LF (stub is the wrap) (V5-S6 (5_adversarial))</t>
  </si>
  <si>
    <t xml:space="preserve">ADV-RFI-23</t>
  </si>
  <si>
    <t xml:space="preserve">7/S5.11 roof section @ F and 9/S5.10 roof step @ B heights vs AEXT-PAR-F, AEXT-N-F78, ACAN-RS-1..3. Options: as carried / per the suspicion.</t>
  </si>
  <si>
    <t xml:space="preserve">0.0 LF (probably none) (V5-S7 (5_adversarial))</t>
  </si>
  <si>
    <t xml:space="preserve">ADV-RFI-24</t>
  </si>
  <si>
    <t xml:space="preserve">Sheets referenced but not in the set: A08.12 (A00.60 KN 13) and A00.31 (A05.01 notes A, B). Options: as carried / per the suspicion.</t>
  </si>
  <si>
    <t xml:space="preserve">0.0 set only (V5 review (5_adversarial))</t>
  </si>
  <si>
    <t xml:space="preserve">DOC-RFI-01</t>
  </si>
  <si>
    <t xml:space="preserve">A08.01 key note 8 'PROVIDE FRP AROUND THE MIRROR'S HOUSING': mirror TA-7 tops out about 6'-4" AFF, above the FRP top; extent of FRP around the mirror housing is not dimensioned. Confirm size.</t>
  </si>
  <si>
    <t xml:space="preserve">+ approx. 2 restrooms x (mirror width + 2 x 0'-6") x 0'-10" = about +8 SF FRP (not carried)</t>
  </si>
  <si>
    <t xml:space="preserve">REF-RFI-01</t>
  </si>
  <si>
    <t xml:space="preserve">Canopy linear fixtures UU1-UU6 framed opening end width: 4/A09.33 says 'COORD. W/ FIXTURE CUTSHEET'; 4.357" measured in vector (R77.3). If the catalog 'LSR-WET-2.5' means 2.5" width, framed openings MEP change.</t>
  </si>
  <si>
    <t xml:space="preserve">-6.50 LF framed openings MEP if 2.5" ends</t>
  </si>
  <si>
    <t xml:space="preserve">REF-RFI-02</t>
  </si>
  <si>
    <t xml:space="preserve">Wall-mounted phones (A00.40 '8862 - WALL MOUNT') mount on a WALL MOUNTED PHONE RECEPTACLE (A03.01 legend). Blocking at phones not carried; confirm.</t>
  </si>
  <si>
    <t xml:space="preserve">+6.0 LF metal stud blocking (3 phones x 2'-0")</t>
  </si>
  <si>
    <t xml:space="preserve">REF-RFI-03</t>
  </si>
  <si>
    <t xml:space="preserve">A03.01 key note 24: '18" HIGH 3/4" FIRE TREATED PLYWOOD BLOCKING' for the TV mount; canon carries BLK-MEDIA-MON from 9/A12.02. Confirm it is the same item or additional.</t>
  </si>
  <si>
    <t xml:space="preserve">+ up to 1.5 ft x TV width of 3/4" FRT plywood if additional (approx. +6 SF)</t>
  </si>
  <si>
    <t xml:space="preserve">REF-RFI-04</t>
  </si>
  <si>
    <t xml:space="preserve">AEXT-W-2S at ATM-DU bay (ycoord 745-831 pt): inner face drawn as a thin assembly between column boxes; 6/A08.11 '2 1/2" METAL STUD SISTERED'. Per U1 the recess framing stays in its wall (EXT 6" CFMF, extra = 0). Confirm.</t>
  </si>
  <si>
    <t xml:space="preserve">-2.6 LF EXT 6" CFMF (with its studs and board) if that bay is ATM vendor / 2 1/2" framing</t>
  </si>
  <si>
    <t xml:space="preserve">RFI-BEXT-1</t>
  </si>
  <si>
    <t xml:space="preserve">Exterior elevation titles vs north arrow: A02.01 north arrow points up (grid G side = north). A09.01 'SOUTH ELEVATION' draws the grid G/F entrance facade and A09.02 'NORTH ELEVATION' draws the grid A facade (door 123). West/East titles are consistent. Facades here are named by the plan north arrow. Options: facade names per plan north arrow (used) / facade names per elevation titles (N/S swapped).</t>
  </si>
  <si>
    <t xml:space="preserve">0 LF (naming only)</t>
  </si>
  <si>
    <t xml:space="preserve">RFI-BEXT-2</t>
  </si>
  <si>
    <t xml:space="preserve">Pier jamb strips: 1/A09.25 and 2/A09.25 draw 3/4" FRT plywood + spray foam at both storefront jambs of each vestibule pier; strip width not printed. jamb_strips not built in this reading (needs plywood_strips uso pier with scale_check). Options: 2 jambs x pier height per pier (to be measured) / none.</t>
  </si>
  <si>
    <t xml:space="preserve">2 jamb strips per pier x 2 piers (height TBD) </t>
  </si>
  <si>
    <t xml:space="preserve">RFI-BEXT-3</t>
  </si>
  <si>
    <t xml:space="preserve">Canopy column wrap stud spacing: 5/A09.25 shows 3-5/8" metal framing at canopy columns without O.C.; 16" O.C. used. Options: 16" O.C. (used) / studs as drawn on 5/A09.25.</t>
  </si>
  <si>
    <t xml:space="preserve">~0-1 stud per face x 4 columns</t>
  </si>
  <si>
    <t xml:space="preserve">RFI-BEXT-4</t>
  </si>
  <si>
    <t xml:space="preserve">12" O.C. corner zone at re-entrant corners: S1.11 note 5: 600S162-54 @ 12" O.C. within 6 ft of building corners. Applied at all corners incl. re-entrant 3/D and 2/D (and D jog wall fully). Not applied at storefront jambs / vestibule piers. Options: all corners incl. re-entrant (used, more material 53.3) / convex corners only.</t>
  </si>
  <si>
    <t xml:space="preserve">zones of 6 ft at grid 3 north end (BEXT-4) and D wall 4.36 ft: ~5 studs</t>
  </si>
  <si>
    <t xml:space="preserve">RFI-BEXT-5</t>
  </si>
  <si>
    <t xml:space="preserve">Tower east return stub: A02.02 draws the vestibule tower east return (x 1130.76 plan) from grid G to ycoord 384.84, i.e. 2'-11" past grid F into the roof (ACM coping key note 10). Only drawn on the roof plan; height (T.O. PARAPET 2 vs 1) not sectioned. Options: return G to 384.84 = 3.93 ft (used) / return G to F only = 0.99 ft.</t>
  </si>
  <si>
    <t xml:space="preserve">2.94 LF parapet</t>
  </si>
  <si>
    <t xml:space="preserve">RFI-BEXT-6</t>
  </si>
  <si>
    <t xml:space="preserve">Storefront F head: No section cuts the grid F storefront (26'-3"); head at T/GLAZING 8'-6" taken from elevation A09.01 datum, framing above as A/B A09.21. Options: 6" CFMF cripples above head (used) / structural/header by others.</t>
  </si>
  <si>
    <t xml:space="preserve">26.25 LF storefront_cripples</t>
  </si>
  <si>
    <t xml:space="preserve">RFI-BEXT-7</t>
  </si>
  <si>
    <t xml:space="preserve">Parapet stud end vs wall below: Sections C/A09.21, D,E,F/A09.22, H,J/A09.23 show 6" CFMF continuous from slab past the perimeter beam to the parapet top, while S5.10 (11/S5.10) shows separate parapet infill 600S162-54 @16" between HSS posts @5'-0" with deflection track at the beam. Parapets listed here as separate runs (stud CL); walls stop at beam (height by reading A). Options: wall to beam + parapet infill (11/S5.10, used) / continuous wall studs to T/STUD (arch sections).</t>
  </si>
  <si>
    <t xml:space="preserve">bays of posts per run (E3); total parapet LF 269.19</t>
  </si>
  <si>
    <t xml:space="preserve">BW1-RFI-1</t>
  </si>
  <si>
    <t xml:space="preserve">C1 column/post wraps at vestibule 100/101 storefront: 6/A12.01 shows 5/8" GWB on ONE side only and has no schedule row. Do all four faces of the boxes get C1 framing + board (faces toward exterior at grid F and faces where storefront frames in), or only the interior-exposed faces? Options: full outer perimeter (used): 9.08 + 9.07 + 4.00 = 22.15 LF / interior-exposed faces only: C1-1 S 2.57 + W 1.25; C1-2 S 2.56 + E 1.25; C1-3 E 1.00 = 8.63 LF.</t>
  </si>
  <si>
    <t xml:space="preserve">13.52 LF</t>
  </si>
  <si>
    <t xml:space="preserve">BW1-RFI-2</t>
  </si>
  <si>
    <t xml:space="preserve">Restroom plumbing chase (C1 both faces): framing drawn from x911.88 to x1092.36 (10.03 ft); room width printed 11'-8". Does the chase stop at x1092 (lavatory zone east) or run the full 11'-8"? Options: 10.03 ft per row (vector, taken) / 11.67 ft per row (printed 11'-8" room width).</t>
  </si>
  <si>
    <t xml:space="preserve">3.28 LF</t>
  </si>
  <si>
    <t xml:space="preserve">BW1-RFI-3</t>
  </si>
  <si>
    <t xml:space="preserve">Stud spacing for PARTITION G / G1 (1 5/8" double row) and the office-front bulkheads is not stated (5/A12.01, 8/9/10 A12.01). S5.20 schedule only lists 362S137-33 INTERIOR WALLS @ 16" O.C. Use 16" O.C.? Options: 16 in O.C. (taken, S5.20 interior walls) / 24 in O.C..</t>
  </si>
  <si>
    <t xml:space="preserve">1/3 fewer studs per row at 24 in (about 0.25 stud/LF per row)</t>
  </si>
  <si>
    <t xml:space="preserve">BW1-RFI-4</t>
  </si>
  <si>
    <t xml:space="preserve">G1 drawn 12.72 pt = 8.48 in on A02.01 vs WALL THICKNESS 8" in 5/A12.01 schedule. Confirm type G1 (no LF effect). Options: G1 per tag (used) / other type with 8 1/2" thickness (none in schedule).</t>
  </si>
  <si>
    <t xml:space="preserve">0 LF</t>
  </si>
  <si>
    <t xml:space="preserve">BW2-RFI-01</t>
  </si>
  <si>
    <t xml:space="preserve">Partition type A1 &amp; A5 (3/A12.01) schedule has SEE SPEC columns "--" and no O.C.; no spec book in the set. Confirm stud spacing. Options: 16 in. O.C. (adopted, criterion) / 24 in. O.C..</t>
  </si>
  <si>
    <t xml:space="preserve">31.3 studs (field count, A1+A5 125.31 LF x 12/16 vs x 12/24, before ends/openings)</t>
  </si>
  <si>
    <t xml:space="preserve">BW2-RFI-02</t>
  </si>
  <si>
    <t xml:space="preserve">Tag B2K on A02.01 (x 1628-1646, ycoord 1133-1142) has no row in A12.01. Confirm build-up. Options: B2 framing (6 in stud, 1/A12.01, board to structure) + Kevlar panel per 4/A12.01, 14 GA @ 24 in. O.C. (adopted, measured 7.68 in = 7 5/8 in) / A5K (6 in stud, 7 5/8 in, 4/A12.01) / B2 (7 1/4 in) without panel.</t>
  </si>
  <si>
    <t xml:space="preserve">1.773 LF moves between B2K / A5K / B2; thickness 7 5/8 vs 7 1/4 in (0.38 in); O.C. 24 vs 16 in</t>
  </si>
  <si>
    <t xml:space="preserve">BW2-RFI-03</t>
  </si>
  <si>
    <t xml:space="preserve">Two A1K tags side by side on the south Kevlar wall of the teller bay; the wall jogs 10.6 pt (7 in) at x 1653.96. Options: two walls, one per tagged line (adopted: 3.417 + 1.767 LF) / one wall with jog: 3.413 + 1.767 + jog 10.56 pt/18 = 0.587 LF.</t>
  </si>
  <si>
    <t xml:space="preserve">0.587 LF (jog segment) and 1 wall count</t>
  </si>
  <si>
    <t xml:space="preserve">BW2-RFI-04</t>
  </si>
  <si>
    <t xml:space="preserve">Door 122 R.O. lies between A5 pier (PT0016) and the A1 line (PT0008/PT0010). Options: in A1 wall BW2-A1-8 (adopted) / in A5 pier BW2-A5-3.</t>
  </si>
  <si>
    <t xml:space="preserve">3.333 LF between A1 and A5</t>
  </si>
  <si>
    <t xml:space="preserve">BW2-RFI-05</t>
  </si>
  <si>
    <t xml:space="preserve">Door 116 R.O. lies between A5 wall (PT0017) and B2 wall (PT0027) of equal thickness in the same line. Options: in A5 wall BW2-A5-4 (adopted) / in the B2 wall (other reader).</t>
  </si>
  <si>
    <t xml:space="preserve">3.333 LF between A5 and B2</t>
  </si>
  <si>
    <t xml:space="preserve">BW2-RFI-06</t>
  </si>
  <si>
    <t xml:space="preserve">At the step x 1653.96-1661.76 the B2K top face continues to x 1661.76 while A1K starts at x 1653.96 (printed 3'-5" starts there). Options: corner block to A1K (adopted, B2K 1.773 LF) / B2K to x 1661.76 (2.207 LF).</t>
  </si>
  <si>
    <t xml:space="preserve">0.433 LF B2K</t>
  </si>
  <si>
    <t xml:space="preserve">BW2-RFI-07</t>
  </si>
  <si>
    <t xml:space="preserve">BW2-A1K-2 uses the bay width 3'-5" (same end faces); hatch alone measures 3.367 ft. Options: 3.417 LF (cota of the bay, adopted) / 3.367 LF (hatch extent).</t>
  </si>
  <si>
    <t xml:space="preserve">0.05 LF</t>
  </si>
  <si>
    <t xml:space="preserve">RFI-BW3-01</t>
  </si>
  <si>
    <t xml:space="preserve">Stud spacing of partition types B and B2 not printed (1/A12.01 schedule has no o.c. column; no spec in set) Options: 16" o.c. (used; 12/A12.01 prints 3 5/8" studs @ 16" O.C.) / 24" o.c. (A1K/A5K note 9/A12.01 prints 24" O.C. max).</t>
  </si>
  <si>
    <t xml:space="preserve">about 0.25 stud per LF of wall: B 56.8 LF -&gt; ~14 studs; B2 38.4 LF -&gt; ~10 studs (each at its wall height)</t>
  </si>
  <si>
    <t xml:space="preserve">RFI-BW3-02</t>
  </si>
  <si>
    <t xml:space="preserve">Type change A5 (PT0017) / B2 (PT0027) on the BREAK ROOM 118 east line at door 116 Options: Cut at drawn node ycoord 1488.12 (wall teeing in from east): door 116 with A5; B2 = 11.41 LF (used) / Door 116 with B2: B2 = 15.07 LF, A5 -3.67 LF.</t>
  </si>
  <si>
    <t xml:space="preserve">3.67 LF between A5 and B2 (B2 11.41 vs 15.07 LF)</t>
  </si>
  <si>
    <t xml:space="preserve">RFI-BW3-03</t>
  </si>
  <si>
    <t xml:space="preserve">Lavatory alcove on corridor B2 line (untagged, 4 7/8") - niche of B2 line or A1 default wall Options: Niche / OTHER FRAMING alcove per R74.3, A1 studs 3 5/8" (used, 7.49 LF in BW3-ALC-1..3) / Count as B2 (6" studs) returns of the B2 line: +7.49 LF B2.</t>
  </si>
  <si>
    <t xml:space="preserve">7.49 LF (A1 3 5/8" vs B2 6")</t>
  </si>
  <si>
    <t xml:space="preserve">FO-RFI-01</t>
  </si>
  <si>
    <t xml:space="preserve">RFI R-11C: schedule description 12.0 ft vs catalog 20.0 ft; carried 12.0 ft (desc = drawn); alternate 20.0 ft</t>
  </si>
  <si>
    <t xml:space="preserve">32.0 LF framed openings MEP</t>
  </si>
  <si>
    <t xml:space="preserve">FO-RFI-02</t>
  </si>
  <si>
    <t xml:space="preserve">RFI R-11CE: schedule description 12.0 ft vs catalog 20.0 ft; carried 12.0 ft (desc = drawn); alternate 20.0 ft</t>
  </si>
  <si>
    <t xml:space="preserve">138 questions in total, asked ONE at a time in this order: floor plan (partition types A-Z), then the details the floor plan calls, in order</t>
  </si>
  <si>
    <t xml:space="preserve">#</t>
  </si>
  <si>
    <t xml:space="preserve">Phase</t>
  </si>
  <si>
    <t xml:space="preserve">Type / order</t>
  </si>
  <si>
    <t xml:space="preserve">Item</t>
  </si>
  <si>
    <t xml:space="preserve">Sheet + detail</t>
  </si>
  <si>
    <t xml:space="preserve">Image</t>
  </si>
  <si>
    <t xml:space="preserve">1/138</t>
  </si>
  <si>
    <t xml:space="preserve">Floor plan</t>
  </si>
  <si>
    <t xml:space="preserve">A1</t>
  </si>
  <si>
    <t xml:space="preserve">Stage 3 items 7-10: A1 lengths PT0002 3.125, PT0001 15.8125, PT0008 20.5208 (type change at the drawn T node), PT0003 2.4267 (corner owners per R70.2). Confirm.</t>
  </si>
  <si>
    <t xml:space="preserve">/home/user/boa26a/work/etapas/3_revision/img/R2_item07_08_10_13_MW01.png</t>
  </si>
  <si>
    <t xml:space="preserve">2/138</t>
  </si>
  <si>
    <t xml:space="preserve">Lavatory / drinking fountain alcove R-ALC-1/2/3 (7.49 LF, untagged A1, OTHER FRAMING niche, R74.3) and the PF-06 blocking 4.0 LF (V5-H3, ADV-RFI-28). Confirm.</t>
  </si>
  <si>
    <t xml:space="preserve">/home/user/boa26a/work/etapas/3_revision/img/R2_alcove.png</t>
  </si>
  <si>
    <t xml:space="preserve">3/138</t>
  </si>
  <si>
    <t xml:space="preserve">A1K</t>
  </si>
  <si>
    <t xml:space="preserve">K walls framed @ 24" O.C. per 4/A12.01 '14 GA. METAL STUDS @ 24" O.C. MAX' (V4-H2; RFI ADV-RFI-30 +56.61 LF at 16"). Confirm.</t>
  </si>
  <si>
    <t xml:space="preserve">/home/user/boa26a/work/etapas/5_adversarial/img/V4_A1K_24OC_4A1201.png</t>
  </si>
  <si>
    <t xml:space="preserve">4/138</t>
  </si>
  <si>
    <t xml:space="preserve">A5</t>
  </si>
  <si>
    <t xml:space="preserve">Stage 3 items 11-13: door 116 in AW2-A5-PT0017, door 122 in PT0016-S, MW01 R.O. in PT0015. Confirm.</t>
  </si>
  <si>
    <t xml:space="preserve">/home/user/boa26a/work/etapas/3_revision/img/R2_item11_17_door116.png</t>
  </si>
  <si>
    <t xml:space="preserve">5/138</t>
  </si>
  <si>
    <t xml:space="preserve">D5: A5 / A1 walls under the W14X22 / W14X30 (1/S2.20, vigas_sobre_walls.py) stop under the beam: stud = B.O.D. at the high end (59.13, V1-H2) - d. Faces of PT0008 at ELECTRICAL 120 / NER 121 stay to deck (KN 1). Confirm.</t>
  </si>
  <si>
    <t xml:space="preserve">/home/user/boa26a/work/etapas/4_canon/img/INT_S220_AW2-A1-PT0008.png</t>
  </si>
  <si>
    <t xml:space="preserve">6/138</t>
  </si>
  <si>
    <t xml:space="preserve">B</t>
  </si>
  <si>
    <t xml:space="preserve">Stage 3 items 15, 16, 27: AW3-B-02 13.7396 / B-01 9.9896 (L corner owner kept as A), AW3-B-06 3.50 type B (AW3-RFI-06). Confirm.</t>
  </si>
  <si>
    <t xml:space="preserve">/home/user/boa26a/work/etapas/3_revision/img/R2_item15_16_B_corner.png</t>
  </si>
  <si>
    <t xml:space="preserve">7/138</t>
  </si>
  <si>
    <t xml:space="preserve">B2</t>
  </si>
  <si>
    <t xml:space="preserve">Stage 3 item 17: AW3-B2-04 11.4067 with door 116 only in PT0017; face B 11.2033 (D3, INT-RFI-04 -2.57 SF vs 11'-0"). Confirm.</t>
  </si>
  <si>
    <t xml:space="preserve">8/138</t>
  </si>
  <si>
    <t xml:space="preserve">B2K</t>
  </si>
  <si>
    <t xml:space="preserve">B2K PC0011 not in the A12.01 schedule: built as A5K per 4/A12.01 (AW2-RFI-01). Confirm the build-up.</t>
  </si>
  <si>
    <t xml:space="preserve">/home/user/boa26a/work/etapas/3_revision/img/R3_B2K_type.png</t>
  </si>
  <si>
    <t xml:space="preserve">9/138</t>
  </si>
  <si>
    <t xml:space="preserve">BULKHEAD-G</t>
  </si>
  <si>
    <t xml:space="preserve">Stage 3 items 3-4 + V3-H1: one bulkhead per opening (OF-E 4 x 7'-6", OF-W 2 x 7'-6"); studs = the band above the CONT. BOX BEAM (structure - head - 0.5313 measured box stack), -821.7 LF 1-5/8", -180 LF bracing (ADV-RFI-29 alternative without the box +51.0 LF). Confirm R71.16 reading.</t>
  </si>
  <si>
    <t xml:space="preserve">/home/user/boa26a/work/etapas/5_adversarial/img/V3_OFbox_9A1201_vector.png</t>
  </si>
  <si>
    <t xml:space="preserve">10/138</t>
  </si>
  <si>
    <t xml:space="preserve">C1</t>
  </si>
  <si>
    <t xml:space="preserve">Stage 3 items 6, 25, 26, 36-38: media wall 10.625 LF; C1 piers interior faces only (3.27 + 3.82 LF); chase 2 rows. Confirm.</t>
  </si>
  <si>
    <t xml:space="preserve">/home/user/boa26a/work/etapas/3_revision/img/R1_item25_36_C1_NW.png</t>
  </si>
  <si>
    <t xml:space="preserve">11/138</t>
  </si>
  <si>
    <t xml:space="preserve">EXT-6CFMF</t>
  </si>
  <si>
    <t xml:space="preserve">Exterior walls: R3 items 1-2 (jog D 3.875, line 2 21.52); V1-H1 corner faces stop at the crossing wall inner face (-30.70 SF); V1-H2 59.13 high-end heights on the sloped low roof; V3-H4 window framing sill T/STUD 6'-4 1/2". Confirm.</t>
  </si>
  <si>
    <t xml:space="preserve">/home/user/boa26a/work/etapas/5_adversarial/img/V1_corner_NE.png</t>
  </si>
  <si>
    <t xml:space="preserve">12/138</t>
  </si>
  <si>
    <t xml:space="preserve">EXT-PARAPET</t>
  </si>
  <si>
    <t xml:space="preserve">Parapets per grid line (E3, 269.19 LF both readings, A02.02). Sloped runs use the average height: ADV-RFI-02 +13.8 LF if the high side is used. Confirm.</t>
  </si>
  <si>
    <t xml:space="preserve">/home/user/boa26a/work/etapas/3_revision/img/R3_18_34_parapets_A0202.png</t>
  </si>
  <si>
    <t xml:space="preserve">13/138</t>
  </si>
  <si>
    <t xml:space="preserve">F</t>
  </si>
  <si>
    <t xml:space="preserve">Partition F: 3/4" FRT plywood on the public face to deck (12/A12.01, V4-H1) +267.05 SF; Level 5 WC-20 on the 24 HR VESTIBULE face (A05.01 KN 9, V2-H3) +161.98 SF. Confirm.</t>
  </si>
  <si>
    <t xml:space="preserve">/home/user/boa26a/work/etapas/5_adversarial/img/V4_F_plywood_12A1201.png</t>
  </si>
  <si>
    <t xml:space="preserve">14/138</t>
  </si>
  <si>
    <t xml:space="preserve">G</t>
  </si>
  <si>
    <t xml:space="preserve">Stage 3 item 5 (AW1-G-S6 11.625) and RFI AW1-RFI-01 (office front stubs to structure). Grid 7 beam mark W14X30 over S23 / S34 (INT-RFI-03). Confirm.</t>
  </si>
  <si>
    <t xml:space="preserve">/home/user/boa26a/work/etapas/3_revision/img/R1_item05_G_S6.png</t>
  </si>
  <si>
    <t xml:space="preserve">15/138</t>
  </si>
  <si>
    <t xml:space="preserve">G1</t>
  </si>
  <si>
    <t xml:space="preserve">Stage 3 item 35: new G1 stub R-AW1-G1-OFW-S 3.18 LF full height. Confirm.</t>
  </si>
  <si>
    <t xml:space="preserve">/home/user/boa26a/work/etapas/3_revision/img/R1_item35_G1_stub.png</t>
  </si>
  <si>
    <t xml:space="preserve">16/138</t>
  </si>
  <si>
    <t xml:space="preserve">INVENTORY</t>
  </si>
  <si>
    <t xml:space="preserve">Tag inventory 1_inventario/inventario.md: 262 ambiguous tags not counted, 3 non-inventoriable raster pages (p.5-7) - review point for the estimator.</t>
  </si>
  <si>
    <t xml:space="preserve">/home/user/boa26a/work/etapas/1_inventario/inventario.md</t>
  </si>
  <si>
    <t xml:space="preserve">17/138</t>
  </si>
  <si>
    <t xml:space="preserve">ZZ-PLAN-RFI</t>
  </si>
  <si>
    <t xml:space="preserve">Plan-level RFIs that move quantity (list in the RFI sheet): see each id; estimator decides.</t>
  </si>
  <si>
    <t xml:space="preserve">/home/user/boa26a/work/etapas/2_lectura/A/img/AW2_overview.png</t>
  </si>
  <si>
    <t xml:space="preserve">18/138</t>
  </si>
  <si>
    <t xml:space="preserve">RFI A0-RFI-01: Coiling grille 103: door schedule HEIGHT column reads 13'-6 1/2" while A02.01 / 1/A08.21 print 13'-4" R.O. / CLEAR OPENING (width) Options: R.O. 13'-4" (A02.01 + 1/A08.21, used) / 13'-6 1/2" (A00.30 row 103). Delta: 1.67 LF header (2 box beams x 4 pcs) ((13.5417 - 13.3333) x 4 x 2 = 1.67)</t>
  </si>
  <si>
    <t xml:space="preserve">19/138</t>
  </si>
  <si>
    <t xml:space="preserve">RFI RFI-A5-01: carrying channel direction not printed Options: N-S (used) / E-W. Delta: 6.93 LF (carrying channel LF N-S 316.81 vs E-W 323.74 (canon formula ROUNDUP((run-1)/4)+1 x span) over the 5 furring ceilings)</t>
  </si>
  <si>
    <t xml:space="preserve">/home/user/boa26a/work/etapas/2_lectura/A/img/A5_C_WAITING.png</t>
  </si>
  <si>
    <t xml:space="preserve">20/138</t>
  </si>
  <si>
    <t xml:space="preserve">RFI RFI-A5-04: R-11C / R-11CE length: E00.01 description 12' vs catalog WH-20'-0" Options: 12'-0" (description = drawn on A04.01, used) / 20'-0" (catalog). Delta: 64.0 LF (framed openings 2 x (20 - 12) x 4 fixtures = 64 LF)</t>
  </si>
  <si>
    <t xml:space="preserve">21/138</t>
  </si>
  <si>
    <t xml:space="preserve">RFI RFI-A5-07: Restroom air devices: M01.01 draws 2.29' x 0.64' slot diffusers; A04.01 draws small square diffuser/grille symbols Options: M01.01 slots (used) / 2'x2' diffuser/grille per A04.01 legend. Delta: 8.48 LF (framed openings 4 x (8.0 - 5.88) LF)</t>
  </si>
  <si>
    <t xml:space="preserve">/home/user/boa26a/work/etapas/2_lectura/A/img/A5_C_WOMENS.png</t>
  </si>
  <si>
    <t xml:space="preserve">22/138</t>
  </si>
  <si>
    <t xml:space="preserve">RFI ACAN-RFI-04: High-parapet block (vestibule + ATM, grid 2-4 / G-D): its east face along grid 4 and south face along D above the LP roof (key note 7 'EXTERIOR PROTECTION BOARD TO MATCH ACM PANEL FINISH', 1/A09.02 and 2/A09.02 'beyond') Delta: 272.4 SF (approx., LP roof surface taken ~13'-6") ((30.36 + 13.8133) x (19.6667 - 13.5))</t>
  </si>
  <si>
    <t xml:space="preserve">/home/user/boa26a/work/etapas/2_lectura/A/img/ACAN_elev_E_1-A09.02.png</t>
  </si>
  <si>
    <t xml:space="preserve">23/138</t>
  </si>
  <si>
    <t xml:space="preserve">RFI AEXT-RFI-03: S1.11 'STUDS WITHIN 6 FT OF BUILDING CORNERS @ 12"': applied at the 4 outside corners (NE, SE, SW, D/2) only; reentrant corners (D/3, 4/F) not treated as building corners Options: outside corners only (used) / also reent Delta: 28.72 LF 6" stud ((ROUNDUP(6/1)+0) - ROUNDUP(6/1.333) = 6 - 4 = 2 studs x 14.3583 = 28.72)</t>
  </si>
  <si>
    <t xml:space="preserve">/home/user/boa26a/work/etapas/2_lectura/A/img/AEXT_S1.11_note5.png</t>
  </si>
  <si>
    <t xml:space="preserve">24/138</t>
  </si>
  <si>
    <t xml:space="preserve">RFI AEXT-RFI-05: S2.20 grid 2 G-E: 'HSS9x5x5/8 (LLV) B.O.S. EL. - 8'-7 1/2"' spans the storefront SF-W1 AND the solid wall 453 -&gt; 732 pt (AEXT-W-2N): HSS in the stud cavity Options: wall continuous slab -&gt; roof beam (used) / studs stop u Delta: -9.75 LF 6" stud (studs ROUNDUP(15.49/1.333)+1 = 13 x 0.75 ft (HSS depth 9") = 9.75 LF less + 2 x 15.49 LF track more)</t>
  </si>
  <si>
    <t xml:space="preserve">/home/user/boa26a/work/etapas/2_lectura/A/img/AEXT_S2.20_grid2_3.png</t>
  </si>
  <si>
    <t xml:space="preserve">25/138</t>
  </si>
  <si>
    <t xml:space="preserve">RFI AEXT-RFI-06: Parapet roof-side height: A/A09.21 3'-8 3/4" vs B/A09.21 3'-11 3/4" on the same G line (used 3'-11 3/4"); not printed on C/A09.21 (F), D/A09.22 (8 north), H/A09.23 (3) -&gt; derived 1.3333 ft (T/STUD LP - T/STEEL - build-up Delta: 74.9 SF 5/8" exterior gyp (G: 23.2 x 0.25 = 5.8 SF; LP high roof (39.86 + 50.69 + 22.68) x (2.0417 - 1.3333) = 80.2 SF; take max |delta| ~ 80 SF (row shows conservative 74.9 when only F/8N))</t>
  </si>
  <si>
    <t xml:space="preserve">/home/user/boa26a/work/etapas/2_lectura/A/img/AEXT_A_B_A09.21.png</t>
  </si>
  <si>
    <t xml:space="preserve">26/138</t>
  </si>
  <si>
    <t xml:space="preserve">RFI AW1-RFI-02: OF-E bulkhead under two beams: W12x14 (grid 7, F-E, centred) and W14x30 (E-B, axis 3.8" east of the front centre) Options: one height under W12x14 for the whole front (used, 14.3833) / E-B part (20.08 ft) under W14x30: 1 Delta: -5.3833 LF 1-5/8" studs and -12.7201 SF board (2 faces x 2 layers) if the E-B part stops under W14x30</t>
  </si>
  <si>
    <t xml:space="preserve">/home/user/boa26a/work/etapas/2_lectura/A/img/AW1_S220_beams_east.png</t>
  </si>
  <si>
    <t xml:space="preserve">27/138</t>
  </si>
  <si>
    <t xml:space="preserve">RFI AW1-RFI-03: AW1-G-D (grid D) partially under W12x19 (HI) 3.05 ft and W8x10 3.82 ft, free 5.47 ft Options: whole wall stops under W12x19 (used, E26 one mark per line) / to deck 15.375 except under the beams / to deck everywhere. Delta: +22.3667 LF 1-5/8" studs and +50.1554 SF board if the whole wall goes to deck</t>
  </si>
  <si>
    <t xml:space="preserve">/home/user/boa26a/work/etapas/2_lectura/A/img/AW1_S220_beams_west.png</t>
  </si>
  <si>
    <t xml:space="preserve">28/138</t>
  </si>
  <si>
    <t xml:space="preserve">RFI AW1-RFI-04: Short W8x10 / W16x26 beside or partly over G walls (AW1-G1-D12 east 3.36 ft, AW1-G-D56 west 3.36 ft, AW1-G-D23 along grid E) Options: studs to deck (used, beam_override / outside tol) / stop under W8x10 over the 3.36 ft  Delta: -5.26 LF 1-5/8" studs (two 3.36 ft portions, one row each) if stopped under W8x10</t>
  </si>
  <si>
    <t xml:space="preserve">29/138</t>
  </si>
  <si>
    <t xml:space="preserve">RFI AW2-RFI-03: C1 furring (6/A12.01, PT0034, key note 7 85" media monitor) is built against the north face of A1 PT0001 for x 1293.60-1460.88. Board kept on the A1 face (3/A12.01 draws both faces). Options: keep A1 north face board beh Delta: 9.293 ft x 11.5 ft = 106.9 SF 5/8" regular</t>
  </si>
  <si>
    <t xml:space="preserve">30/138</t>
  </si>
  <si>
    <t xml:space="preserve">RFI AW2-RFI-05: S5.20 schedule lists 362S137-33 for INTERIOR WALLS and 600S137-33 for EXTERIOR WALLS only; 6" interior (A5) gauge not printed. Taken 33 mil. Options: 600S137-33 (33 mil) / 600S137-43 / heavier per height (A5 to 15'-4 1/2 Delta: gauge only on 79.4 LF of A5 (0 LF)</t>
  </si>
  <si>
    <t xml:space="preserve">31/138</t>
  </si>
  <si>
    <t xml:space="preserve">RFI AW2-RFI-06: Grid-7 line x 1622.16-1633.08: A5 tag PT0017 above door 116, B2 tag PT0027 below the T with A1 PT0009 (same 7 1/4" thickness). Door 116 kept in the A5 wall; type change at the PT0009 T. Options: door 116 in AW2-A5-PT0017 Delta: 3.33 LF A5 &lt;-&gt; B2 (6.95 vs 3.33 LF A5)</t>
  </si>
  <si>
    <t xml:space="preserve">32/138</t>
  </si>
  <si>
    <t xml:space="preserve">RFI AW3-RFI-02: door 116 sits between the A5-tagged segment (north) and the B2 segment (south) of the grid-7 line Options: door 116 inside B2 wall AW3-B2-04 (used, 15.07 ft) / door 116 inside the A5 wall (AW3-B2-04 = 11.74 ft). Delta: 3.33 LF of wall moves between types B2 and A5 (same 6" stud)</t>
  </si>
  <si>
    <t xml:space="preserve">/home/user/boa26a/work/etapas/2_lectura/A/img/AW3_AW3-B2-04.png</t>
  </si>
  <si>
    <t xml:space="preserve">33/138</t>
  </si>
  <si>
    <t xml:space="preserve">RFI AW3-RFI-03: grid-7 B2 wall runs under the edge of a N-S W14x22 (S2.20, CL ~3.5" east of the wall CL) Options: to deck B.O.D. (used, avg 12.69 ft) / stop under the W14x22 (B.O.D. - 13.74" = avg 11.55 ft). Delta: 1.145 ft x 15.07 LF x 2 faces = 34.5 SF board; 15.07 LF x 1.145 ft of stud length</t>
  </si>
  <si>
    <t xml:space="preserve">/home/user/boa26a/work/etapas/2_lectura/A/img/AW3_S220_grid7.png</t>
  </si>
  <si>
    <t xml:space="preserve">34/138</t>
  </si>
  <si>
    <t xml:space="preserve">RFI AW3-RFI-04: west bay roof framing (S2.20 W8x10 at ycoord~1510 over AW3-B-04, W14x22 edge at ycoord~1587 along AW3-B-05) over the west 5.3 ft of both walls Options: to deck B.O.D. full length (used) / stop under W8x10 (d 7.89") on AW Delta: 0.66 ft x 5.29 LF x 2 faces = 7.0 SF on AW3-B-04</t>
  </si>
  <si>
    <t xml:space="preserve">/home/user/boa26a/work/etapas/2_lectura/A/img/AW3_S220_west_bay.png</t>
  </si>
  <si>
    <t xml:space="preserve">35/138</t>
  </si>
  <si>
    <t xml:space="preserve">RFI AW3-RFI-07: restroom width 11'-8" (A02.01, WOMEN'S 114) vs 11'-7 1/2" (1/A08.01) Options: 11'-8" (used, A02.01) / 11'-7 1/2" (A08.01). Delta: 2 x 0.0417 ft = 0.083 LF tile base / 0.42 SF FRP per room</t>
  </si>
  <si>
    <t xml:space="preserve">/home/user/boa26a/work/etapas/2_lectura/A/img/AW3_TILE_restrooms.png</t>
  </si>
  <si>
    <t xml:space="preserve">36/138</t>
  </si>
  <si>
    <t xml:space="preserve">RFI A6-RFI-MEP-01: MEP duct at AW1-G-S4 [1761.0, 1111.14]: 10"ø drop from VVT-3-2 into CASH WINDOW 116 (elbow labeled 10"ø); method manual -&gt; not counted in stud reinforcement (R73.5) Options: 0 plates (manual crossing, R73.5) / count it:  Delta: 2 pcs stud reinforcement (MAX(1, ROUNDUP(10 / 16)) x 2 rows = 2)</t>
  </si>
  <si>
    <t xml:space="preserve">/home/user/boa26a/work/etapas/2_lectura/A/img/A6_mepZ_t4.png</t>
  </si>
  <si>
    <t xml:space="preserve">37/138</t>
  </si>
  <si>
    <t xml:space="preserve">RFI A6-RFI-MEP-02: MEP duct at AW1-BH-OFW [1127.5, 1016.7]: 8"ø from VVT-1-1 east across office front OF-W; method manual -&gt; not counted in stud reinforcement (R73.5) Options: 0 plates (manual crossing, R73.5) / count it: MAX(1, ROUNDUP(8/ Delta: 2 pcs stud reinforcement (MAX(1, ROUNDUP(8 / 16)) x 2 rows = 2)</t>
  </si>
  <si>
    <t xml:space="preserve">/home/user/boa26a/work/etapas/2_lectura/A/img/A6_mepZ_t3.png</t>
  </si>
  <si>
    <t xml:space="preserve">38/138</t>
  </si>
  <si>
    <t xml:space="preserve">RFI A6-RFI-MEP-03: MEP duct at AW1-BH-OFW [1127.5, 1108.0]: 12"ø (VVT-1-2 inlet) elbow across OF-W bulkhead; method manual -&gt; not counted in stud reinforcement (R73.5) Options: 0 plates (manual crossing, R73.5) / count it: MAX(1, ROUNDUP(1 Delta: 2 pcs stud reinforcement (MAX(1, ROUNDUP(12 / 16)) x 2 rows = 2)</t>
  </si>
  <si>
    <t xml:space="preserve">39/138</t>
  </si>
  <si>
    <t xml:space="preserve">RFI A6-RFI-MEP-04: MEP duct at AW2-A1-PT0005 [1374.0, 1320.4]: 14"x14" vertical run down to 16"x16"; method manual -&gt; not counted in stud reinforcement (R73.5) Options: 0 plates (manual crossing, R73.5) / count it: MAX(1, ROUNDUP(14/16)) x Delta: 1 pcs stud reinforcement (MAX(1, ROUNDUP(14 / 16)) x 1 rows = 1)</t>
  </si>
  <si>
    <t xml:space="preserve">/home/user/boa26a/work/etapas/2_lectura/A/img/A6_mepW_AW2-A1-PT0005_1.png</t>
  </si>
  <si>
    <t xml:space="preserve">40/138</t>
  </si>
  <si>
    <t xml:space="preserve">RFI A6-RFI-MEP-05: MEP duct at AW3-B2-03 [1128.5, 1290.0]: 14"x14" horizontal (WOMEN'S RESTROOM side to corridor); method manual -&gt; not counted in stud reinforcement (R73.5) Options: 0 plates (manual crossing, R73.5) / count it: MAX(1, ROU Delta: 1 pcs stud reinforcement (MAX(1, ROUNDUP(14 / 16)) x 1 rows = 1)</t>
  </si>
  <si>
    <t xml:space="preserve">/home/user/boa26a/work/etapas/2_lectura/A/img/A6_mepW_AW3-B2-03_1.png</t>
  </si>
  <si>
    <t xml:space="preserve">41/138</t>
  </si>
  <si>
    <t xml:space="preserve">RFI A6-RFI-MEP-06: MEP duct at AW2-A1-PT0006 [1608.0, 1358.0]: 16"x14" vertical into 14"x16" box below; method manual -&gt; not counted in stud reinforcement (R73.5) Options: 0 plates (manual crossing, R73.5) / count it: MAX(1, ROUNDUP(16/16) Delta: 1 pcs stud reinforcement (MAX(1, ROUNDUP(16 / 16)) x 1 rows = 1)</t>
  </si>
  <si>
    <t xml:space="preserve">/home/user/boa26a/work/etapas/2_lectura/A/img/A6_mepZ_t6.png</t>
  </si>
  <si>
    <t xml:space="preserve">42/138</t>
  </si>
  <si>
    <t xml:space="preserve">RFI A6-RFI-MEP-07: MEP fire_damper at AW3-B-01 [1256.0, 1444.0]: R-2 14x14 return grille with FD (A0 ref "FD R-2 14x14 @ ELECTRICAL 120 W"); method manual -&gt; not counted in stud reinforcement (R73.5) Options: 0 plates (manual crossing, R73 Delta: 1 pcs stud reinforcement (MAX(1, ROUNDUP(14 / 16)) x 1 rows = 1)</t>
  </si>
  <si>
    <t xml:space="preserve">/home/user/boa26a/work/etapas/2_lectura/A/img/A6_mepZ_elec_ner.png</t>
  </si>
  <si>
    <t xml:space="preserve">43/138</t>
  </si>
  <si>
    <t xml:space="preserve">RFI A6-RFI-MEP-08: MEP fire_damper at AW3-B-03 [1256.0, 1554.0]: R-2 14x14 (TYP. 2) return grille with FD (A0 ref "FD R-2 14x14 @ NER 121 W"); method manual -&gt; not counted in stud reinforcement (R73.5) Options: 0 plates (manual crossing, R Delta: 1 pcs stud reinforcement (MAX(1, ROUNDUP(14 / 16)) x 1 rows = 1)</t>
  </si>
  <si>
    <t xml:space="preserve">44/138</t>
  </si>
  <si>
    <t xml:space="preserve">RFI A6-RFI-MEP-09: MEP fire_damper at AW3-B-02 [1418.0, 1500.0]: S-2 12x8 200 CFM sidewall supply with FD; method manual -&gt; not counted in stud reinforcement (R73.5) Options: 0 plates (manual crossing, R73.5) / count it: MAX(1, ROUNDUP(12/ Delta: 1 pcs stud reinforcement (MAX(1, ROUNDUP(12 / 16)) x 1 rows = 1)</t>
  </si>
  <si>
    <t xml:space="preserve">45/138</t>
  </si>
  <si>
    <t xml:space="preserve">RFI A6-RFI-MEP-10: MEP fire_damper at AW3-B-02 [1418.0, 1626.0]: S-2 12x12 600 CFM sidewall supply with FD; method manual -&gt; not counted in stud reinforcement (R73.5) Options: 0 plates (manual crossing, R73.5) / count it: MAX(1, ROUNDUP(12 Delta: 1 pcs stud reinforcement (MAX(1, ROUNDUP(12 / 16)) x 1 rows = 1)</t>
  </si>
  <si>
    <t xml:space="preserve">46/138</t>
  </si>
  <si>
    <t xml:space="preserve">RFI A6-RFI-MEP-11: MEP duct at AW3-B-04 [1000.0, 1510.0]: S-2, 6x6 35 CFM sidewall supply at JANITOR CLOSET 112; method manual -&gt; not counted in stud reinforcement (R73.5) Options: 0 plates (manual crossing, R73.5) / count it: MAX(1, ROUND Delta: 1 pcs stud reinforcement (MAX(1, ROUNDUP(6 / 16)) x 1 rows = 1)</t>
  </si>
  <si>
    <t xml:space="preserve">/home/user/boa26a/work/etapas/2_lectura/A/img/A6_mepZ_jan_sto.png</t>
  </si>
  <si>
    <t xml:space="preserve">47/138</t>
  </si>
  <si>
    <t xml:space="preserve">RFI A6-RFI-MEP-12: MEP duct at AW3-B2-02 [1128.0, 1522.0]: S-2, 6x6 35 CFM sidewall supply at STORAGE 117; method manual -&gt; not counted in stud reinforcement (R73.5) Options: 0 plates (manual crossing, R73.5) / count it: MAX(1, ROUNDUP(6/1 Delta: 1 pcs stud reinforcement (MAX(1, ROUNDUP(6 / 16)) x 1 rows = 1)</t>
  </si>
  <si>
    <t xml:space="preserve">48/138</t>
  </si>
  <si>
    <t xml:space="preserve">RFI A6-RFI-PIPE: Plumbing sheets P01.01/P01.02 do not register (matches 1/3 &lt; 25): pipe crossings &gt; 1" (1-1/2" CW at restrooms 113/114 / janitor 112, 2" vents above ceiling) not swept geometrically; pipes &lt;= 1" = 0 (R73.5) Options: 0 pla Delta: 6 pcs stud reinforcement (~4 crossings x 1 plate x rows (two on the C1 chase rows 2) = 6 (visual estimate, P01.02))</t>
  </si>
  <si>
    <t xml:space="preserve">/home/user/boa26a/work/etapas/2_lectura/A/img/A6_P01.02_overview.png</t>
  </si>
  <si>
    <t xml:space="preserve">49/138</t>
  </si>
  <si>
    <t xml:space="preserve">RFI A6-RFI-MEP-DUP: canon_A carries the vestibule heads twice (ACAN-VH-S1 / AW1-VH-S1 same band; ACAN-VH-E1 to_deck true vs AW1-VH-E1 to_deck false). Crossings put once on ACAN-VH-* Options: keep ACAN-VH-* (used) / move the 5 crossings to A Delta: 1 pcs (10"x12" at VH-E1) (MAX(1, ROUNDUP(10/16)) x 1 = 1)</t>
  </si>
  <si>
    <t xml:space="preserve">/home/user/boa26a/work/etapas/2_lectura/A/img/A6_mepW_ACAN-VH-E1_1.png</t>
  </si>
  <si>
    <t xml:space="preserve">50/138</t>
  </si>
  <si>
    <t xml:space="preserve">RFI A6-RFI-MEP-RR: Duct 10"x10" at (1106, 1372) crosses the line between restrooms 113 / 114 east of AW1-C1-CHASE end (x 1092.36); canon_A has no wall there Options: 0 (no wall in canon_A) / 1 plate x 2 rows if the chase continues to grid  Delta: 2 pcs (MAX(1, ROUNDUP(10/16)) x 2 rows = 2)</t>
  </si>
  <si>
    <t xml:space="preserve">/home/user/boa26a/work/etapas/2_lectura/A/img/A6_mepZ_t5.png</t>
  </si>
  <si>
    <t xml:space="preserve">51/138</t>
  </si>
  <si>
    <t xml:space="preserve">RFI A6-RFI-REC: Recessed accessories TA-2 (2), TA-13 (2), TA-14 (2), FEC-1 (1): no rough-in width printed (A08.01 / A00.40 refer to specs); 0 framing carried (R71.6) Options: 0 (used) / framed recess each: 2 jamb studs + head/sill track Delta: 28.0 LF track (+14 jamb studs) (7 recesses x (2 x 2.0 LF track) = 28.0 LF; + 7 x 2 = 14 studs)</t>
  </si>
  <si>
    <t xml:space="preserve">/home/user/boa26a/work/etapas/2_lectura/A/img/A6_A08.01_legend.png</t>
  </si>
  <si>
    <t xml:space="preserve">52/138</t>
  </si>
  <si>
    <t xml:space="preserve">RFI INT-RFI-04: Face B taken 11.2033 ft (tramos sum to L: 11'-0" WORK ROOM 119 + 7.32 pt T node of AW2-A1-PT0009 - 0.2034 zero-board tramo) vs printed 11'-0" Options: 11.2033 ft (used) / 11.0 ft printed. Delta: -2.57 SF 5/8" board ((11.0 - 11.2033) x 12.6551 x 1)</t>
  </si>
  <si>
    <t xml:space="preserve">/home/user/boa26a/work/etapas/4_canon/img/INT_tick_A0201_wr119_11-0.png</t>
  </si>
  <si>
    <t xml:space="preserve">53/138</t>
  </si>
  <si>
    <t xml:space="preserve">RFI ADV-RFI-26: Blocking for wall-mounted phones, wall clock and hand sanitizers (A02.01 note C): material not printed, 2'-0" per item. Options: metal 362CR (used) / FRT wood. Delta: 14.0 LF metal -&gt; FRT (material swap, same LF)</t>
  </si>
  <si>
    <t xml:space="preserve">/home/user/boa26a/work/etapas/5_adversarial/img/V3_A1102_phones_clock_sanit.png</t>
  </si>
  <si>
    <t xml:space="preserve">54/138</t>
  </si>
  <si>
    <t xml:space="preserve">RFI ADV-RFI-28: Drinking fountain PF-06 blocking: 2 pieces x 2'-0" (criterion); drawn bowls width 2.39 ft. Options: 2 x 2.0 = 4.0 (used) / 2 x 2.39 = 4.78. Delta: 0.78 LF metal blocking (4.78 - 4.0)</t>
  </si>
  <si>
    <t xml:space="preserve">/home/user/boa26a/work/etapas/5_adversarial/img/V5_A0201_30x54.png</t>
  </si>
  <si>
    <t xml:space="preserve">55/138</t>
  </si>
  <si>
    <t xml:space="preserve">RFI ADV-RFI-01: Exterior interior-face board runs behind the partitions that tee into exterior walls (15 Ts measured). Convention: continuous behind a T, or stop at each partition face. Options: as carried / per the suspicion. Delta: -121.9 SF 5/8" regular (V1-S1 (5_adversarial))</t>
  </si>
  <si>
    <t xml:space="preserve">/home/user/boa26a/work/etapas/5_adversarial/img/V4_AEXT-E-8N.png</t>
  </si>
  <si>
    <t xml:space="preserve">56/138</t>
  </si>
  <si>
    <t xml:space="preserve">RFI ADV-RFI-02: Parapet E3 height on sloped runs (PAR-8S, PAR-3S): high side T/STUD LP 17.4167 - 12.5313 = 4.8854 instead of the average. Options: as carried / per the suspicion. Delta: 13.8 LF 6" parapet stud (V1-S2 (5_adversarial))</t>
  </si>
  <si>
    <t xml:space="preserve">/home/user/boa26a/work/etapas/5_adversarial/img/V1_S220_slope.png</t>
  </si>
  <si>
    <t xml:space="preserve">57/138</t>
  </si>
  <si>
    <t xml:space="preserve">RFI ADV-RFI-03: S1.11 note 5 corner zone (@12" within 6 ft of building corners) at the re-entrant corner D/3 (AEXT-W-3N). Options: as carried / per the suspicion. Delta: 14.36 LF 6" stud (V1-S4 / V4-S3 (5_adversarial))</t>
  </si>
  <si>
    <t xml:space="preserve">/home/user/boa26a/work/etapas/5_adversarial/img/V1_S220_grid2_3.png</t>
  </si>
  <si>
    <t xml:space="preserve">58/138</t>
  </si>
  <si>
    <t xml:space="preserve">RFI ADV-RFI-07: Slot diffuser end width 7.68" measured on M01.01; M00.03 '(2) 1" SLOTS, SEE DRAWING' (TITUS TBDI-10 cutsheet). Options: as carried / per the suspicion. Delta: -3.5 LF framed openings (V2-S4 (5_adversarial))</t>
  </si>
  <si>
    <t xml:space="preserve">/home/user/boa26a/work/etapas/5_adversarial/img/V2_M0101_vest.png</t>
  </si>
  <si>
    <t xml:space="preserve">59/138</t>
  </si>
  <si>
    <t xml:space="preserve">RFI ADV-RFI-09: MW08 blocking material: sheet note D 'FRTW' vs 3/A12.04 'PRESSURE TREATED'; possible second (shelving) run. Options: as carried / per the suspicion. Delta: 7.58 LF blocking (V3-S1 (5_adversarial))</t>
  </si>
  <si>
    <t xml:space="preserve">/home/user/boa26a/work/etapas/5_adversarial/img/V3_p53_full.png</t>
  </si>
  <si>
    <t xml:space="preserve">60/138</t>
  </si>
  <si>
    <t xml:space="preserve">RFI ADV-RFI-11: Exterior wall-mount fixture at the back egress door (elevation key note 8) and BANK OF AMERICA sign: does A02.01 note C apply to exterior walls? Options: as carried / per the suspicion. Delta: 4.0 LF metal blocking (2 x 2'-0") (V3-S3 (5_adversarial))</t>
  </si>
  <si>
    <t xml:space="preserve">/home/user/boa26a/work/etapas/5_adversarial/img/V3_A0201_notes.png</t>
  </si>
  <si>
    <t xml:space="preserve">61/138</t>
  </si>
  <si>
    <t xml:space="preserve">RFI ADV-RFI-12: WHS-FC wellness hand sanitizer x2 (A06.01): wall or floor mounted. Options: as carried / per the suspicion. Delta: 4.0 LF metal blocking (V3-S4 (5_adversarial))</t>
  </si>
  <si>
    <t xml:space="preserve">/home/user/boa26a/work/etapas/5_adversarial/img/V3_A1103_9_sanit64.png</t>
  </si>
  <si>
    <t xml:space="preserve">62/138</t>
  </si>
  <si>
    <t xml:space="preserve">RFI ADV-RFI-15: 4" segment at the N end of the west office front (ycoord 840.0-846.0): owner G-D or jamb cap. Options: as carried / per the suspicion. Delta: 0.33 LF G (2 rows 1-5/8") (V4-S1 (5_adversarial))</t>
  </si>
  <si>
    <t xml:space="preserve">/home/user/boa26a/work/etapas/5_adversarial/img/V4_OFW_north_end.png</t>
  </si>
  <si>
    <t xml:space="preserve">63/138</t>
  </si>
  <si>
    <t xml:space="preserve">RFI ADV-RFI-16: Interior faces of AEXT-E-8N run to the partition CL behind 4 office partitions. Options: as carried / per the suspicion. Delta: -34.5 SF 5/8" regular (V4-S2 (5_adversarial))</t>
  </si>
  <si>
    <t xml:space="preserve">64/138</t>
  </si>
  <si>
    <t xml:space="preserve">RFI ADV-RFI-20: EUH-1 unit heater (JANITOR 112) mounting: wall bracket needs blocking. Options: as carried / per the suspicion. Delta: 2.0 LF blocking (V5-S4 (5_adversarial))</t>
  </si>
  <si>
    <t xml:space="preserve">/home/user/boa26a/work/etapas/5_adversarial/img/V5_A0401_janitor_KN1_KN9.png</t>
  </si>
  <si>
    <t xml:space="preserve">65/138</t>
  </si>
  <si>
    <t xml:space="preserve">RFI DOC-RFI-01: A08.01 key note 8 'PROVIDE FRP AROUND THE MIRROR'S HOUSING': mirror TA-7 tops out about 6'-4" AFF, above the FRP top; extent of FRP around the mirror housing is not dimensioned. Confirm size. Delta: + approx. 2 restrooms x (mirror width + 2 x 0'-6") x 0'-10" = about +8 SF FRP (not carried)</t>
  </si>
  <si>
    <t xml:space="preserve">/home/user/boa26a/work/etapas/2_lectura/A/img/A6_A08.01_notes.png</t>
  </si>
  <si>
    <t xml:space="preserve">66/138</t>
  </si>
  <si>
    <t xml:space="preserve">RFI REF-RFI-02: Wall-mounted phones (A00.40 '8862 - WALL MOUNT') mount on a WALL MOUNTED PHONE RECEPTACLE (A03.01 legend). Blocking at phones not carried; confirm. Delta: +6.0 LF metal stud blocking (3 phones x 2'-0")</t>
  </si>
  <si>
    <t xml:space="preserve">/home/user/boa26a/work/etapas/5_adversarial/img/REF345_A0301_phone_legend.png</t>
  </si>
  <si>
    <t xml:space="preserve">67/138</t>
  </si>
  <si>
    <t xml:space="preserve">RFI REF-RFI-03: A03.01 key note 24: '18" HIGH 3/4" FIRE TREATED PLYWOOD BLOCKING' for the TV mount; canon carries BLK-MEDIA-MON from 9/A12.02. Confirm it is the same item or additional. Delta: + up to 1.5 ft x TV width of 3/4" FRT plywood if additional (approx. +6 SF)</t>
  </si>
  <si>
    <t xml:space="preserve">68/138</t>
  </si>
  <si>
    <t xml:space="preserve">RFI ACC-stud reinforcement MEP: manual crossings (6 ducts) + 6 FD/register terminations of the A0 list + unregistered P sheets are not counted (R73.5); see A6-RFI-MEP-01..12, A6-RFI-PIPE Delta: 21 pcs (manual 15 + pipes ~6)</t>
  </si>
  <si>
    <t xml:space="preserve">69/138</t>
  </si>
  <si>
    <t xml:space="preserve">Detail</t>
  </si>
  <si>
    <t xml:space="preserve">Office bulkhead band above the CONT. BOX BEAM (V3-H1); D2 OF-E / OF-W openings in openings_extra.</t>
  </si>
  <si>
    <t xml:space="preserve">70/138</t>
  </si>
  <si>
    <t xml:space="preserve">Partition F plywood to deck (V4-H1), AW1-RFI-07 closed.</t>
  </si>
  <si>
    <t xml:space="preserve">71/138</t>
  </si>
  <si>
    <t xml:space="preserve">A1K / B2K @ 24" O.C. (V4-H2), AW2-RFI-02 closed.</t>
  </si>
  <si>
    <t xml:space="preserve">72/138</t>
  </si>
  <si>
    <t xml:space="preserve">review proposal P01: thickness_measured_in carried as text on 15 default-typed walls (canon WALL_KEYS vs R73.7). Proposal for the arbitration.</t>
  </si>
  <si>
    <t xml:space="preserve">73/138</t>
  </si>
  <si>
    <t xml:space="preserve">Pier plywood strips and C1 pier faces (R3 items 25-26).</t>
  </si>
  <si>
    <t xml:space="preserve">/home/user/boa26a/work/etapas/2_lectura/A/img/AEXT_1_A09.25.png</t>
  </si>
  <si>
    <t xml:space="preserve">74/138</t>
  </si>
  <si>
    <t xml:space="preserve">W canopy band glass mat not labelled (V1-H3 not applied, ACAN-RFI-03 -77.80 SF) + review proposal P03.</t>
  </si>
  <si>
    <t xml:space="preserve">15/A09.27</t>
  </si>
  <si>
    <t xml:space="preserve">/home/user/boa26a/work/etapas/5_adversarial/img/V1_15_A0927_band.png</t>
  </si>
  <si>
    <t xml:space="preserve">75/138</t>
  </si>
  <si>
    <t xml:space="preserve">Opening substrate width 0.7577 ft measured (D4) + INT-RFI-01 second plywood layer.</t>
  </si>
  <si>
    <t xml:space="preserve">11/A09.27</t>
  </si>
  <si>
    <t xml:space="preserve">/home/user/boa26a/work/etapas/4_canon/img/INT_subst_11A0927.png</t>
  </si>
  <si>
    <t xml:space="preserve">76/138</t>
  </si>
  <si>
    <t xml:space="preserve">Window framing sill T/STUD 6'-4 1/2" (V3-H4).</t>
  </si>
  <si>
    <t xml:space="preserve">10/A09.27</t>
  </si>
  <si>
    <t xml:space="preserve">/home/user/boa26a/work/etapas/5_adversarial/img/V3_A0927_11_head_sill.png</t>
  </si>
  <si>
    <t xml:space="preserve">77/138</t>
  </si>
  <si>
    <t xml:space="preserve">Coiling grille 103 jamb FRT blocking 50 LF, height 10.0 CRITERION (V3-H2, ADV-RFI-25).</t>
  </si>
  <si>
    <t xml:space="preserve">3/A08.21</t>
  </si>
  <si>
    <t xml:space="preserve">/home/user/boa26a/work/etapas/5_adversarial/img/V3_A0821_3_jamb.png</t>
  </si>
  <si>
    <t xml:space="preserve">78/138</t>
  </si>
  <si>
    <t xml:space="preserve">Vestibule head S1: box 6" nominal vs 6.15" measured (D1, INT-RFI-02); GWB strip under the box +7.82 SF (V2-H6).</t>
  </si>
  <si>
    <t xml:space="preserve">/home/user/boa26a/work/etapas/4_canon/img/INT_A1210_box6.png</t>
  </si>
  <si>
    <t xml:space="preserve">79/138</t>
  </si>
  <si>
    <t xml:space="preserve">Vestibule head E1 under the W12X14 (D5) 3.8312 ft without bod_ft (review proposal P02 addendum); corner bead +6.42 LF (V2-H7).</t>
  </si>
  <si>
    <t xml:space="preserve">/home/user/boa26a/work/etapas/4_canon/img/INT_S220_ACAN-VH-E1.png</t>
  </si>
  <si>
    <t xml:space="preserve">80/138</t>
  </si>
  <si>
    <t xml:space="preserve">Beam marks and heights (D5, V1-H2 59.13, V1-H4 beam_override W-2N / W-3N); review proposal P02 (stops_under_beam base_ft) for cripples, heads and bulkheads.</t>
  </si>
  <si>
    <t xml:space="preserve">1/S2.20</t>
  </si>
  <si>
    <t xml:space="preserve">81/138</t>
  </si>
  <si>
    <t xml:space="preserve">Canopy linear fixtures UU1-UU6 framed openings +701.25 LF (V2-H1).</t>
  </si>
  <si>
    <t xml:space="preserve">4/A09.33</t>
  </si>
  <si>
    <t xml:space="preserve">/home/user/boa26a/work/etapas/5_adversarial/img/V2_d4_UU_opening.png</t>
  </si>
  <si>
    <t xml:space="preserve">82/138</t>
  </si>
  <si>
    <t xml:space="preserve">Gypsum edge trim at the R-11 light slots +114.72 LF (V2-H2).</t>
  </si>
  <si>
    <t xml:space="preserve">6/A09.33</t>
  </si>
  <si>
    <t xml:space="preserve">/home/user/boa26a/work/etapas/5_adversarial/img/V2_d6_edge_trim.png</t>
  </si>
  <si>
    <t xml:space="preserve">83/138</t>
  </si>
  <si>
    <t xml:space="preserve">Transition bottom board +3.50 SF (V2-H8); purlin on the H transitions (V2-H4).</t>
  </si>
  <si>
    <t xml:space="preserve">/home/user/boa26a/work/etapas/5_adversarial/img/V2_d7_bottom_board.png</t>
  </si>
  <si>
    <t xml:space="preserve">84/138</t>
  </si>
  <si>
    <t xml:space="preserve">Roof ladder blocking 2X FRT 3 rows = 6.0 LF (V5-H2).</t>
  </si>
  <si>
    <t xml:space="preserve">3/A09.30</t>
  </si>
  <si>
    <t xml:space="preserve">/home/user/boa26a/work/etapas/5_adversarial/img/V5_A0930_det3_ladder.png</t>
  </si>
  <si>
    <t xml:space="preserve">85/138</t>
  </si>
  <si>
    <t xml:space="preserve">Water heater WH-1 2X blocking 6.0 LF wood (V5-H1, ADV-RFI-27 material).</t>
  </si>
  <si>
    <t xml:space="preserve">3/P00.01</t>
  </si>
  <si>
    <t xml:space="preserve">/home/user/boa26a/work/etapas/5_adversarial/img/V5_P0001_det3_WH.png</t>
  </si>
  <si>
    <t xml:space="preserve">86/138</t>
  </si>
  <si>
    <t xml:space="preserve">RFI A0-RFI-02: Office front head: 7/A11.01 prints 8'-0 1/2" HOLD TYP. FROM SLAB, 8/A11.01 prints 8'-0" CLEAR FINISHED OPENING Options: OF-E 8'-0 1/2" (7/A11.01), OF-W 8'-0" (8/A11.01) as printed (used) / 8'-0 1/2" both / 8'-0" both. Delta: 0.04 ft head height (1/2") (8.0417 - 8.0 = 0.04)</t>
  </si>
  <si>
    <t xml:space="preserve">7/A11.01</t>
  </si>
  <si>
    <t xml:space="preserve">87/138</t>
  </si>
  <si>
    <t xml:space="preserve">RFI A0-RFI-03: 7/S5.20 row limits vs 9/S5.20: R.O. 3'-4" sits exactly on the SINGLE TRACK limit (3'-4"); 9/S5.20 says DOUBLE TRACK only @ OPNG &gt; 4'-0" (door 102 R.O. 3'-10" is DOUBLE by the schedule, single by 9/S5.20) Options: schedul Delta: 65.33 LF track; 5.17 LF track</t>
  </si>
  <si>
    <t xml:space="preserve">7/S5.20</t>
  </si>
  <si>
    <t xml:space="preserve">88/138</t>
  </si>
  <si>
    <t xml:space="preserve">RFI A0-RFI-04: Vestibule 'BOX HEADER AS NEEDED' (A12.10): box size / gauge not printed (E11 counts it as BOX 4 pcs) Options: BOX 4 pcs x (R.O. + 1'-4") (used) / no header (glass top rail hung from bulkhead track only). Delta: 98.92 LF ((15.6458 + 1.3333) x 4 + (6.4167 + 1.3333) x 4 = 98.92)</t>
  </si>
  <si>
    <t xml:space="preserve">4/A12.10</t>
  </si>
  <si>
    <t xml:space="preserve">89/138</t>
  </si>
  <si>
    <t xml:space="preserve">RFI A0-RFI-05: Storefront jamb return: 2/A09.26 head prints 'GYPSUM BOARD JAMB RETURN BEYOND', but the pier jambs 1/A09.25 and 2/A09.25 show 3/4" FRT plywood + metal panel (no board return). Declared jamb_return true with jambs abuts p Delta: 34.0 LF of jamb edge (SF-S1 two pier jambs x 8'-6") (2 x 8.5 x 2 = 34.0 (SF-S1 2 jambs + SF-S2/SF-W1 1 pier jamb each))</t>
  </si>
  <si>
    <t xml:space="preserve">2/A09.26</t>
  </si>
  <si>
    <t xml:space="preserve">90/138</t>
  </si>
  <si>
    <t xml:space="preserve">RFI A0-RFI-06: DU ATM R.O. width: 7/A08.11 '2'-2 1/2" R.O.' vs 5/A08.11 '2'-2 1/8" (26.4") R.O.' Options: 2'-2 1/2" (7/A08.11, used) / 2'-2 1/8" (5/A08.11). Delta: 0.125 LF box header ((2.2083 - 2.1771) x 4 = 0.125)</t>
  </si>
  <si>
    <t xml:space="preserve">7/A08.11</t>
  </si>
  <si>
    <t xml:space="preserve">91/138</t>
  </si>
  <si>
    <t xml:space="preserve">RFI A0-RFI-07: DU ATM framing: (a) 6/A08.11 prints '2 1/2" METAL STUD SISTERED TO 6" METAL STUD' = explicit extra framing (U1 extra_printed, RFI only); (b) the 31.3" R.O. sill (2'-8 1/8" above finished drive lane) is formed in the 2 1/ Delta: 12.0 LF 2 1/2" stud; 3.54 LF sill track</t>
  </si>
  <si>
    <t xml:space="preserve">6/A08.11</t>
  </si>
  <si>
    <t xml:space="preserve">92/138</t>
  </si>
  <si>
    <t xml:space="preserve">RFI A0-RFI-08: CSR line R.O. 12'-0 1/4" HOLD: no header printed; 7/S5.20 NON LOAD BRG rows stop at 8'-0" (note b: 'USE THE BEAM SIZES SHOWN ON PLANS') Options: 2-362CSJ20 (largest row, 2 pcs) / BOX 4 pcs / steel by others. Delta: 26.71 LF; 53.42 LF</t>
  </si>
  <si>
    <t xml:space="preserve">1/A12.08</t>
  </si>
  <si>
    <t xml:space="preserve">93/138</t>
  </si>
  <si>
    <t xml:space="preserve">RFI RFI-A5-02: GYP/ACT and ACT/ACT ceiling steps are not bubbled on A04.01 Options: WAITING 104 edges per 8/A09.33 TYPICAL BULKHEAD (used, 2 trim/LF) and ACT/ACT steps per 7/A09.33 (used) / all steps per 7/A09.33 TYPICAL CEILING TRANSI Delta: 154.05 LF (77.03 LF x (4 - 2) = 154.05 LF trim (corner bead + shadow molding))</t>
  </si>
  <si>
    <t xml:space="preserve">/home/user/boa26a/work/etapas/2_lectura/A/img/A5_D_8_A0933.png</t>
  </si>
  <si>
    <t xml:space="preserve">94/138</t>
  </si>
  <si>
    <t xml:space="preserve">RFI RFI-A5-03: CSR soffit: 10/A09.33 draws one side as a scheduled partition; 9/A12.08 and 4/A12.08 draw both sides as drops with ACT-4 9'-0" Options: 2 drop lines (used, 4/A12.08) / 1 drop line + partition (10/A09.33). Delta: 12.02 LF (soffit_side LF 12.02 (one side) x 1 row)</t>
  </si>
  <si>
    <t xml:space="preserve">4/A12.08</t>
  </si>
  <si>
    <t xml:space="preserve">/home/user/boa26a/work/etapas/2_lectura/A/img/A5_C_CSR_SOFFIT.png</t>
  </si>
  <si>
    <t xml:space="preserve">95/138</t>
  </si>
  <si>
    <t xml:space="preserve">RFI RFI-A5-06: WC-22 width: 1/A11.01 panel 10'-0" (vector) vs A05.01 tag arrows / box 9.29 ft Options: 10.0 ft (elevation, used) / 9.29 ft (plan box 1293.6-&gt;1460.9). Delta: 7.5 SF (0.71 ft x 10.625 ft = 7.5 SF Level 5)</t>
  </si>
  <si>
    <t xml:space="preserve">1/A11.01</t>
  </si>
  <si>
    <t xml:space="preserve">/home/user/boa26a/work/etapas/2_lectura/A/img/A5_L5_A1101.png</t>
  </si>
  <si>
    <t xml:space="preserve">96/138</t>
  </si>
  <si>
    <t xml:space="preserve">RFI ACAN-RFI-02: Band / fascia B/STUD: 3/A09.26, 7/A09.26 and 16/A09.27 print two B/STUD tags (10'-8 5/8" and 10'-7 1/4") under T/STUD 12'-7" Options: B/STUD 10'-7 1/4" -&gt; band 1.979 ft (used) / B/STUD 10'-8 5/8" -&gt; band 1.865 ft. Delta: 21.37 SF glass mat (and the same SF of nailbase the other way) ((1.9792 - 1.8646) x Σ band_lf 186.504)</t>
  </si>
  <si>
    <t xml:space="preserve">/home/user/boa26a/work/etapas/2_lectura/A/img/ACAN_3-A09.26.png</t>
  </si>
  <si>
    <t xml:space="preserve">97/138</t>
  </si>
  <si>
    <t xml:space="preserve">RFI ACAN-RFI-03: W (drive-up) canopy band: 15/A09.27 draws only SPRAY FOAM INSULATION where the canopy meets the wall (no '5/8" GLASS-MAT SHEATHING' label, unlike 3/ and 7/A09.26); the nailbase stops at the canopy roof and resumes under  Delta: -77.8 SF 5/8" glass mat (V1-H3: W band -104.87 + 34.74 = -70.13 and S jog -7.67 = -77.80)</t>
  </si>
  <si>
    <t xml:space="preserve">/home/user/boa26a/work/etapas/2_lectura/A/img/ACAN_15_16-A09.27.png</t>
  </si>
  <si>
    <t xml:space="preserve">98/138</t>
  </si>
  <si>
    <t xml:space="preserve">RFI ACAN-RFI-05: Vestibule head VEST-E1: 5/A12.10 draws the gyp board on the CENTRAL ZONE face up past the ACT 11'-6" to the break line (not dimensioned); box header size and stud size not printed ('AS NEEDED', A0-RFI-04) Options: board  Delta: 24.86 SF gyp board ((5.375 - 1.5) x 6.4167)</t>
  </si>
  <si>
    <t xml:space="preserve">/home/user/boa26a/work/etapas/2_lectura/A/img/ACAN_5-A12.10.png</t>
  </si>
  <si>
    <t xml:space="preserve">99/138</t>
  </si>
  <si>
    <t xml:space="preserve">RFI ACAN-RFI-06: Canopy fascia box stud spacing / gauge not printed (3/A09.26, 7/A09.26, 16/A09.27 say only 3 5/8" METAL STUD FRAMING) Options: 16" O.C. as the canopy soffit framing 4/5 A09.33 (used) / 12" O.C. / 24" O.C.. Delta: 117.7 LF studs (16" vs 12") (Σ fascia LF x (1/1.0 - 1/1.333) x 1.979)</t>
  </si>
  <si>
    <t xml:space="preserve">100/138</t>
  </si>
  <si>
    <t xml:space="preserve">RFI ACAN-RFI-07: Grille 103 head: board only on the CENTRAL ZONE face + underside; the 24 HR VESTIBULE 101 side is above its GB 10'-0" ceiling (coil zone) and 4/A08.21 does not label board there Options: east face + underside (used) / bo Delta: 20.0 SF gyp board (13.3333 x 1.5)</t>
  </si>
  <si>
    <t xml:space="preserve">/home/user/boa26a/work/etapas/2_lectura/A/img/ACAN_4-A08.21.png</t>
  </si>
  <si>
    <t xml:space="preserve">101/138</t>
  </si>
  <si>
    <t xml:space="preserve">RFI ACAN-RFI-08: Roof step 4/A02.02: 3 stud rows drawn (exterior row above the low roof + two rows enclosing the step beam below the decks); length between the exterior walls measured on A02.02 (no printed dimension) Options: 3 rows x 51 Delta: 103.19 LF of stud row (2 rows less) (2 x 51.5933)</t>
  </si>
  <si>
    <t xml:space="preserve">/home/user/boa26a/work/etapas/2_lectura/A/img/ACAN_4-A02.02.png</t>
  </si>
  <si>
    <t xml:space="preserve">102/138</t>
  </si>
  <si>
    <t xml:space="preserve">RFI ACAN-RFI-09: ATM-DU in the W facade: A0 opening 2.2083 x 6.0 from slab (sill 0) vs R.O. sill 2'-8 1/8" above the drive lane (A0-RFI-07) Options: opening from T/BASE to 6.0 and no base strip at the ATM (used) / opening from 2'-8 1/8"  Delta: 4.81 SF nailbase (+2.21 LF base strip) (2.2083 x (2.6771 - 0.5))</t>
  </si>
  <si>
    <t xml:space="preserve">/home/user/boa26a/work/etapas/2_lectura/A/img/ACAN_elev_W_2-A09.01.png</t>
  </si>
  <si>
    <t xml:space="preserve">103/138</t>
  </si>
  <si>
    <t xml:space="preserve">RFI AEXT-RFI-07: Storefront pier jamb strips: 1/A09.25 and 2/A09.25 draw two 3/4" layers (2 x 6.72 pt at 108 pt/ft) at each storefront jamb, label reads '3/4" FRT PLYWOOD' (one ply) Options: 1 ply per label (used) / 2 plies as drawn. Delta: 18.86 SF 3/4" FRT plywood ((0.7589 x 17 + 0.7589 x 8.5 + 0.5 x 8.5) = 23.6 SF x 1 extra ply ... strips: 2G 0.7589x17=12.90; 4G 0.7589x8.5=6.45 + 0.5x8.5=4.25 -&gt; extra ply on 2G+4G(SF-S1) only if double = 12.90 + 6.45 - 0.49 = 18.86)</t>
  </si>
  <si>
    <t xml:space="preserve">104/138</t>
  </si>
  <si>
    <t xml:space="preserve">RFI AEXT-RFI-09: Canopy column wrap height: A09.01 B/ CANOPY 10'-6" (used) vs canopy steel T/STEEL 11'-9" (J/A09.23) - wrap may run to the canopy beam Options: 10'-6" (used) / to underside of canopy beam W10x12 at 11'-9" (11.75 - 9.87/12 Delta: 20.64 LF 3 5/8" stud (4 wraps x 12 studs x (10.9275 - 10.5) = 20.52 (+ sheathing 4 x 5.6667 x 0.4275 = 9.7 SF))</t>
  </si>
  <si>
    <t xml:space="preserve">/home/user/boa26a/work/etapas/2_lectura/A/img/AEXT_5_A09.25.png</t>
  </si>
  <si>
    <t xml:space="preserve">105/138</t>
  </si>
  <si>
    <t xml:space="preserve">RFI AW1-RFI-01: Office-front G/G1 stubs: stop under the CONT. BOX BEAM (head) or run to structure Options: stubs to the head (box beam continuous jamb to jamb over the stubs, 9/A12.01 + R77.2) - used; bulkhead above is continuous / stub Delta: +208.6656 LF 1-5/8" studs (stubs full height) and board unchanged if the bulkhead deduct is increased by the same 352.3144 SF</t>
  </si>
  <si>
    <t xml:space="preserve">/home/user/boa26a/work/etapas/2_lectura/A/img/AW1_D_9_A1201.png</t>
  </si>
  <si>
    <t xml:space="preserve">106/138</t>
  </si>
  <si>
    <t xml:space="preserve">RFI AW1-RFI-05: C1 height: 6/A12.01 draws studs/board to an unlabeled top line (taken as structure) vs ceiling + 6" Options: C1 studs and board to deck (used) / board to scheduled ceiling + 6" (restrooms GB 8'-6", WAITING GB 11'-0", CAS Delta: -195.6571 SF board (C1 faces) if board stops at ceiling + 6"</t>
  </si>
  <si>
    <t xml:space="preserve">/home/user/boa26a/work/etapas/2_lectura/A/img/AW1_D_6_A1201.png</t>
  </si>
  <si>
    <t xml:space="preserve">107/138</t>
  </si>
  <si>
    <t xml:space="preserve">RFI AW1-RFI-09: Storefront piers 2/F-G and 4/F-G: C1 interior face lengths from the plan vector vs the dims of the (vertically flipped) 1/A09.25 and 2/A09.25 Options: vector faces (used): NW 2.0133 + 1.2533, NE 2.5667 + 1.2533 / 2/A09.2 Delta: -0.1709 LF of C1 face (NE south face) and -2.63 SF board</t>
  </si>
  <si>
    <t xml:space="preserve">/home/user/boa26a/work/etapas/2_lectura/A/img/AW1_AW1-C1-CW-NE.png</t>
  </si>
  <si>
    <t xml:space="preserve">108/138</t>
  </si>
  <si>
    <t xml:space="preserve">RFI AW3-RFI-01: 6" interior stud (B2) gauge not scheduled: 7/S5.20 lists 362S137-33 INTERIOR WALLS @16" and 600S137-33 EXTERIOR WALLS @16" only Options: 600S137-33 (33 mil) @ 16" O.C. for B2 (used, same member as the 6" row) / heavier 6 Delta: gauge only on 42.35 LF of B2 wall (AW3-B2-01..04), 0 LF</t>
  </si>
  <si>
    <t xml:space="preserve">/home/user/boa26a/work/etapas/2_lectura/A/img/AW3_S520_7_studs.png</t>
  </si>
  <si>
    <t xml:space="preserve">109/138</t>
  </si>
  <si>
    <t xml:space="preserve">RFI AW3-RFI-05: mop sink FRP second side: 5/A08.01 and A05.01 KN6 'AT BOTH SIDES' (2 sides used); the side wall is the west exterior wall behind MW06A shelving Options: 2 sides x 2.0 x 4.0 (used, 16 SF) / 1 side (back) only (8 SF). Delta: 8 SF FRP</t>
  </si>
  <si>
    <t xml:space="preserve">6/A12.04</t>
  </si>
  <si>
    <t xml:space="preserve">/home/user/boa26a/work/etapas/2_lectura/A/img/AW3_MOP_6_A1204.png</t>
  </si>
  <si>
    <t xml:space="preserve">110/138</t>
  </si>
  <si>
    <t xml:space="preserve">RFI A6-RFI-CLIPS: Deflection: S1.11 note 2 asks for vertical deflection clips at non-load-bearing walls while the partition types draw a continuous slip track to structure Options: slip track only, 0 clips (used, R73.6) / one clip per ful Delta: 445.0 pcs clips (sum over canon_A to-deck walls (wall/chase/column_wrap/door_bulkhead) of (ROUNDUP(L / 1.333) + 1) x rows = 445)</t>
  </si>
  <si>
    <t xml:space="preserve">2/S1.11</t>
  </si>
  <si>
    <t xml:space="preserve">/home/user/boa26a/work/etapas/2_lectura/A/img/A6_S1.11_note2.png</t>
  </si>
  <si>
    <t xml:space="preserve">111/138</t>
  </si>
  <si>
    <t xml:space="preserve">RFI A6-RFI-BLK-01: Wall-stop blocking: A00.30 note D gives no material and no length; metal 2'-0" per stop (criterion) Options: metal 362CR 2.0 LF x 9 (used) / FRT 2x 2.0 LF x 9 / 4.0 LF per stop. Delta: 18.0 LF (9 x (4.0 - 2.0) = 18.0 LF more, or 18 LF moved metal -&gt; FRT)</t>
  </si>
  <si>
    <t xml:space="preserve">D/A00.30</t>
  </si>
  <si>
    <t xml:space="preserve">/home/user/boa26a/work/etapas/2_lectura/A/img/A6_A00.30_notes.png</t>
  </si>
  <si>
    <t xml:space="preserve">112/138</t>
  </si>
  <si>
    <t xml:space="preserve">RFI A6-RFI-BLK-02: Frameless glass wall terminations 8/A12.10: count of terminations at gypsum (VEST-S1 west, VEST-E1 at pier) and height (glass head 10'-0") Options: 2 x 10.0 (used) / 4 x 10.0 (column ends wrapped C1 also take the channel Delta: 20.0 LF FRT (2 x 10.0)</t>
  </si>
  <si>
    <t xml:space="preserve">8/A12.10</t>
  </si>
  <si>
    <t xml:space="preserve">/home/user/boa26a/work/etapas/2_lectura/A/img/A6_D_A12.10_left.png</t>
  </si>
  <si>
    <t xml:space="preserve">113/138</t>
  </si>
  <si>
    <t xml:space="preserve">RFI A6-RFI-BLK-03: CSR soffit 5/8" fire treated plywood blocking: width not dimensioned (drawn across the soffit bottom) Options: blocking item 12.02 LF (used) / plywood strip 12.02 LF x soffit width. Delta: 12.021 LF FRT (or SF if strip) (12.021 x 1)</t>
  </si>
  <si>
    <t xml:space="preserve">/home/user/boa26a/work/etapas/2_lectura/A/img/A6_D_9_A12.08.png</t>
  </si>
  <si>
    <t xml:space="preserve">114/138</t>
  </si>
  <si>
    <t xml:space="preserve">RFI A6-RFI-BLK-04: 85" monitor FRT plywood blocking size not dimensioned (9/A12.02): measured 44" x 27" against the display Options: 3.667 LF (used) / full monitor width 74.5" = 6.21 LF. Delta: 2.54 LF FRT (6.208 - 3.667 = 2.54)</t>
  </si>
  <si>
    <t xml:space="preserve">9/A12.02</t>
  </si>
  <si>
    <t xml:space="preserve">/home/user/boa26a/work/etapas/2_lectura/A/img/A6_D_A12.02_top.png</t>
  </si>
  <si>
    <t xml:space="preserve">115/138</t>
  </si>
  <si>
    <t xml:space="preserve">RFI A6-RFI-BLK-05: Millwork blocking: FRTW (note D) vs "PRESSURE TREATED BLOCKING" in 3/A12.04 and "ADDITIONAL BLOCKING" in 10, 4, 3/A12.06; runs per piece are criterion; MW05 label (2) STANDARDS PER SECTION = 4 vs 3 drawn Options: FRT per Delta: 7.0 LF FRT (MW05 (4 - 3) x 7.0 = 7.0; material swap moves up to 165.69 LF FRT -&gt; wood)</t>
  </si>
  <si>
    <t xml:space="preserve">D/A12.04</t>
  </si>
  <si>
    <t xml:space="preserve">/home/user/boa26a/work/etapas/2_lectura/A/img/A6_A12.03_noteD.png</t>
  </si>
  <si>
    <t xml:space="preserve">116/138</t>
  </si>
  <si>
    <t xml:space="preserve">RFI A6-RFI-BLK-06: Toilet accessories: item widths not printed (2'-0" per item criterion); one of each per room assumed (plan + elevation tags) Options: 34.0 LF (used) / by product width (spec) ~1'-0" each. Delta: 17.0 LF FRT (about half of 34.0 if each item is 1'-0")</t>
  </si>
  <si>
    <t xml:space="preserve">E/A08.01</t>
  </si>
  <si>
    <t xml:space="preserve">/home/user/boa26a/work/etapas/2_lectura/A/img/A6_A08.01_plan.png</t>
  </si>
  <si>
    <t xml:space="preserve">117/138</t>
  </si>
  <si>
    <t xml:space="preserve">RFI A6-RFI-BLK-07: Coat hooks: A00.40 #3 says 2 bars / 6 hooks in total, elevations show 2 bars break room + 1 bar wellness Options: 3 bars 4.5 LF (used) / 2 bars 3.0 LF. Delta: 1.5 LF (4.5 - 3.0)</t>
  </si>
  <si>
    <t xml:space="preserve">5/A11.02</t>
  </si>
  <si>
    <t xml:space="preserve">/home/user/boa26a/work/etapas/2_lectura/A/img/A6_E5_A11.02_breaknorth.png</t>
  </si>
  <si>
    <t xml:space="preserve">118/138</t>
  </si>
  <si>
    <t xml:space="preserve">RFI A6-RFI-BLK-08: Equipment blocking under A02.01 note C / key notes 3, 5: no material printed -&gt; metal 362CR (58.6); lengths by drawn width or 2'-0" criterion; small devices (phones, card readers, clocks, sanitizers, lights) taken as anc Delta: 24.0 LF (12 small devices x 2.0 = 24.0 LF more (or 63.15 LF moved metal -&gt; FRT))</t>
  </si>
  <si>
    <t xml:space="preserve">C/A02.01</t>
  </si>
  <si>
    <t xml:space="preserve">/home/user/boa26a/work/etapas/2_lectura/A/img/A6_A02.01_notes.png</t>
  </si>
  <si>
    <t xml:space="preserve">119/138</t>
  </si>
  <si>
    <t xml:space="preserve">RFI A6-RFI-EDGE: Stud blocking at the edge of gypboard (4/S5.20, NTS, no location): 56.8 / 59.14 two figures. Board sheet length not printed: 12 ft used Options: (b) every face with board &gt; 12 ft, per stud row = 722.02 LF (used, canon co Delta: -317.38 LF ((a) - (b))</t>
  </si>
  <si>
    <t xml:space="preserve">4/S5.20</t>
  </si>
  <si>
    <t xml:space="preserve">/home/user/boa26a/work/etapas/2_lectura/A/img/A6_S5.20_det4.png</t>
  </si>
  <si>
    <t xml:space="preserve">120/138</t>
  </si>
  <si>
    <t xml:space="preserve">RFI INT-RFI-01: 2/A09.26 storefront head draws a second 3/4" FRT plywood layer under the stud (5.08" wide) while the label is singular ('3/4" FRT PLYWOOD'); carried: one strip 9.09" wide Options: one layer (carried) / add the second lay Delta: 19.18 SF frt_3_4 (head R.O. 45.3125 LF x 5.08/12 = 19.18)</t>
  </si>
  <si>
    <t xml:space="preserve">/home/user/boa26a/work/etapas/4_canon/img/INT_subst_2A0926.png</t>
  </si>
  <si>
    <t xml:space="preserve">121/138</t>
  </si>
  <si>
    <t xml:space="preserve">RFI INT-RFI-03: Grid 7 beam mark: the reading took W12x14 (S2.20 mark north of the column) for these walls; vigas_sobre_walls.py and 1/S2.20 show W14X30 south of the column over them (used). Options: W14X30 d 13.8" (used, vigas_out) / W Delta: 0.1583 ft stud / board height per wall ((13.8 - 11.9)/12 = 0.1583 ft on 4 walls)</t>
  </si>
  <si>
    <t xml:space="preserve">/home/user/boa26a/work/etapas/4_canon/img/INT_S220_R-AW1-BH-OFE-3.png</t>
  </si>
  <si>
    <t xml:space="preserve">122/138</t>
  </si>
  <si>
    <t xml:space="preserve">RFI INT-RFI-02: Vestibule box header depth not printed ('BOX HEADER AS NEEDED', 5,6/A12.10): 6" nominal used; vector measure at 3"=1'-0" gives 110.76 pt / 18 = 6.15" Options: 6" nominal (used) / 6.15" as drawn. Delta: 0.0125 ft head stud height (each head) ((6.15 - 6.0)/12)</t>
  </si>
  <si>
    <t xml:space="preserve">123/138</t>
  </si>
  <si>
    <t xml:space="preserve">RFI ADV-RFI-29: Office front bulkheads framed as the band above the CONT. BOX BEAM (head + measured 5" box + 3/4" plywood + 5/8" GWB). Alternative: band without subtracting the box stack. Options: band = structure - head - 0.5313 (used, Delta: 51.0 LF 1-5/8" stud (-770.7 - (-821.7) = +51.0)</t>
  </si>
  <si>
    <t xml:space="preserve">124/138</t>
  </si>
  <si>
    <t xml:space="preserve">RFI ADV-RFI-25: Coiling grille 103 jamb FRT blocking height not dimensioned in plan: 10.0 ft (grille head) used. Options: 10.0 ft (used) / 11'-6" ACT of CENTRAL ZONE 103. Delta: 7.5 LF FRT blocking (5 x (11.5 - 10.0))</t>
  </si>
  <si>
    <t xml:space="preserve">125/138</t>
  </si>
  <si>
    <t xml:space="preserve">RFI ADV-RFI-27: 3/P00.01 labels '2X BLOCKING' (no FRT) for the WH-1 platform in a Type II-B building. Options: 2X wood (used, as labelled) / 2X FRT. Delta: 6.0 LF wood -&gt; FRT (material swap, same LF)</t>
  </si>
  <si>
    <t xml:space="preserve">126/138</t>
  </si>
  <si>
    <t xml:space="preserve">RFI ADV-RFI-30: K walls framed @ 24" O.C. (4/A12.01 '14 GA. METAL STUDS @ 24" O.C. MAX'); alternative 16". Options: 24" O.C. (used, 4/A12.01) / 16" O.C. (S5.20 interior row). Delta: 56.61 LF stud (41.23 3-5/8" + 15.38 6") (V4-H2 studs_nodos)</t>
  </si>
  <si>
    <t xml:space="preserve">127/138</t>
  </si>
  <si>
    <t xml:space="preserve">RFI ADV-RFI-04: ACAN-VH-E1 face B (CENTRAL ZONE side) 1.5 ft: 5/A12.10 draws the board past the ACT without a dimension; with the 8/A09.33 '6" MIN' criterion it is 2.0 ft. Options: as carried / per the suspicion. Delta: 3.2 SF 5/8" regular (V2-S1 (5_adversarial))</t>
  </si>
  <si>
    <t xml:space="preserve">/home/user/boa26a/work/etapas/5_adversarial/img/V2_A1210_54.png</t>
  </si>
  <si>
    <t xml:space="preserve">128/138</t>
  </si>
  <si>
    <t xml:space="preserve">RFI ADV-RFI-05: Perimeter ceiling track at the V100 S edge and V101 N edge where the GWB runs continuous under the vestibule head (6, 7/A12.10). Options: as carried / per the suspicion. Delta: -31.6 LF track (V2-S2 (5_adversarial))</t>
  </si>
  <si>
    <t xml:space="preserve">/home/user/boa26a/work/etapas/5_adversarial/img/V2_rcp_VHS1.png</t>
  </si>
  <si>
    <t xml:space="preserve">129/138</t>
  </si>
  <si>
    <t xml:space="preserve">RFI ADV-RFI-06: UU linear fixture openings printed 'FIXTURE LENGTH + 1/4"' (5/A09.33); the tool uses L. Options: as carried / per the suspicion. Delta: 0.88 LF framed openings (V2-S3 (5_adversarial))</t>
  </si>
  <si>
    <t xml:space="preserve">5/A09.33</t>
  </si>
  <si>
    <t xml:space="preserve">/home/user/boa26a/work/etapas/5_adversarial/img/V2_A0933_d45.png</t>
  </si>
  <si>
    <t xml:space="preserve">130/138</t>
  </si>
  <si>
    <t xml:space="preserve">RFI ADV-RFI-10: Office front door bulkheads: the +1 stud per vendor_end may duplicate the jamb stud of the adjacent G stub (10/A12.01). Options: as carried / per the suspicion. Delta: -1.0 stud per vendor end x band height (12 ends) (V3-S2 (5_adversarial))</t>
  </si>
  <si>
    <t xml:space="preserve">10/A12.01</t>
  </si>
  <si>
    <t xml:space="preserve">/home/user/boa26a/work/etapas/5_adversarial/img/V3_A1201_10.png</t>
  </si>
  <si>
    <t xml:space="preserve">131/138</t>
  </si>
  <si>
    <t xml:space="preserve">RFI ADV-RFI-13: Window top cripples: 'METAL STUD BOX BEAM OR STEEL FRAMING AS REQUIRED' (11/A09.27, no size) not subtracted. Options: as carried / per the suspicion. Delta: -12.0 LF 6" stud (V3-S5 (5_adversarial))</t>
  </si>
  <si>
    <t xml:space="preserve">132/138</t>
  </si>
  <si>
    <t xml:space="preserve">RFI ADV-RFI-17: 8/S5.20 MECH. CHASE FRAMING IN WALL (toe-to-toe stud posts) at plumbing risers in single walls (PF-04, PF-06, janitor, IMB-1); P sheets do not register. Options: as carried / per the suspicion. Delta: 9.0 studs (+8 to +10 x wall height) (V5-S1 (5_adversarial))</t>
  </si>
  <si>
    <t xml:space="preserve">8/S5.20</t>
  </si>
  <si>
    <t xml:space="preserve">/home/user/boa26a/work/etapas/5_adversarial/img/V5_S520_det8_chase.png</t>
  </si>
  <si>
    <t xml:space="preserve">133/138</t>
  </si>
  <si>
    <t xml:space="preserve">RFI ADV-RFI-18: 7/A12.04 'SCHED. PARTITION REINFORCED TO ACCOMODATE SHELF LOADING' (MW05, MW06): how. Options: as carried / per the suspicion. Delta: 9.0 studs (standards of MW05 / MW06A) (V5-S2 (5_adversarial))</t>
  </si>
  <si>
    <t xml:space="preserve">7/A12.04</t>
  </si>
  <si>
    <t xml:space="preserve">134/138</t>
  </si>
  <si>
    <t xml:space="preserve">RFI ADV-RFI-19: CHIEF PAC527L in-wall box 14.25 x 22 in the media wall: fits a 16" bay or framed opening. Options: as carried / per the suspicion. Delta: 2.67 LF track (head + foot) (V5-S3 (5_adversarial))</t>
  </si>
  <si>
    <t xml:space="preserve">13/A12.02</t>
  </si>
  <si>
    <t xml:space="preserve">/home/user/boa26a/work/etapas/5_adversarial/img/V3_A1202_top.png</t>
  </si>
  <si>
    <t xml:space="preserve">135/138</t>
  </si>
  <si>
    <t xml:space="preserve">RFI ADV-RFI-21: CSR soffit blocking: 10/A09.33 'PROVIDE FRTW BLOCKING FOR FUTURE' (4 pieces) vs 9/A12.08 single run. Options: as carried / per the suspicion. Delta: 36.06 LF FRTW (48.08 - 12.02) (V5-S5 (5_adversarial))</t>
  </si>
  <si>
    <t xml:space="preserve">10/A09.33</t>
  </si>
  <si>
    <t xml:space="preserve">/home/user/boa26a/work/etapas/5_adversarial/img/V5_A0933_det10.png</t>
  </si>
  <si>
    <t xml:space="preserve">136/138</t>
  </si>
  <si>
    <t xml:space="preserve">RFI REF-RFI-01: Canopy linear fixtures UU1-UU6 framed opening end width: 4/A09.33 says 'COORD. W/ FIXTURE CUTSHEET'; 4.357" measured in vector (R77.3). If the catalog 'LSR-WET-2.5' means 2.5" width, framed openings MEP change. Delta: -6.50 LF framed openings MEP if 2.5" ends</t>
  </si>
  <si>
    <t xml:space="preserve">/home/user/boa26a/work/etapas/5_adversarial/img/REF12_V2H1_d4_cutsheet.png</t>
  </si>
  <si>
    <t xml:space="preserve">137/138</t>
  </si>
  <si>
    <t xml:space="preserve">RFI REF-RFI-04: AEXT-W-2S at ATM-DU bay (ycoord 745-831 pt): inner face drawn as a thin assembly between column boxes; 6/A08.11 '2 1/2" METAL STUD SISTERED'. Per U1 the recess framing stays in its wall (EXT 6" CFMF, extra = 0). Confirm. Delta: -2.6 LF EXT 6" CFMF (with its studs and board) if that bay is ATM vendor / 2 1/2" framing</t>
  </si>
  <si>
    <t xml:space="preserve">/home/user/boa26a/work/etapas/5_adversarial/img/GRAF_D1_W2S_ATM.png</t>
  </si>
  <si>
    <t xml:space="preserve">138/138</t>
  </si>
  <si>
    <t xml:space="preserve">RFI ACC-deflection clips: slip track drawn in the types (1/A12.01) vs clip note 2/S1.11: 0 clips carried (R73.6) Delta: 445.0 pcs (see A6-RFI-CLIPS)</t>
  </si>
  <si>
    <t xml:space="preserve">Scope ID</t>
  </si>
  <si>
    <t xml:space="preserve">Scope</t>
  </si>
  <si>
    <t xml:space="preserve">Note (quantity, NOT APPLICABLE + sheet, or RFI)</t>
  </si>
  <si>
    <t xml:space="preserve">ALC-01</t>
  </si>
  <si>
    <t xml:space="preserve">Interior partition framing (studs + tracks)</t>
  </si>
  <si>
    <t xml:space="preserve">QUANTIFIED</t>
  </si>
  <si>
    <t xml:space="preserve">Partition Takeoff by type (A12.01, A02.01)</t>
  </si>
  <si>
    <t xml:space="preserve">ALC-02</t>
  </si>
  <si>
    <t xml:space="preserve">Exterior wall framing (CFMF)</t>
  </si>
  <si>
    <t xml:space="preserve">6" CFMF exterior walls (A09.21-A09.27, S1.11, S5.20)</t>
  </si>
  <si>
    <t xml:space="preserve">ALC-03</t>
  </si>
  <si>
    <t xml:space="preserve">Parapet framing</t>
  </si>
  <si>
    <t xml:space="preserve">Parapets per grid line (A02.02, 11/S5.10)</t>
  </si>
  <si>
    <t xml:space="preserve">ALC-04</t>
  </si>
  <si>
    <t xml:space="preserve">Top / deflection and bottom track</t>
  </si>
  <si>
    <t xml:space="preserve">Track by element (canon.py track_by_element)</t>
  </si>
  <si>
    <t xml:space="preserve">ALC-05</t>
  </si>
  <si>
    <t xml:space="preserve">Headers, sills and jambs at openings</t>
  </si>
  <si>
    <t xml:space="preserve">Headers / sills by pieces (7/S5.20, 2/S5.20, 9/S5.20)</t>
  </si>
  <si>
    <t xml:space="preserve">ALC-06</t>
  </si>
  <si>
    <t xml:space="preserve">Bracing / bridging</t>
  </si>
  <si>
    <t xml:space="preserve">Bracing C.R. channel (1/S5.20)</t>
  </si>
  <si>
    <t xml:space="preserve">ALC-07</t>
  </si>
  <si>
    <t xml:space="preserve">Gypsum board on walls (layers per type)</t>
  </si>
  <si>
    <t xml:space="preserve">Board face by face (board_caras; A12.01 layers)</t>
  </si>
  <si>
    <t xml:space="preserve">ALC-08</t>
  </si>
  <si>
    <t xml:space="preserve">Moisture / abuse / special board at wet zones</t>
  </si>
  <si>
    <t xml:space="preserve">MR behind toilets and lavatories (A08.01 note F)</t>
  </si>
  <si>
    <t xml:space="preserve">ALC-09</t>
  </si>
  <si>
    <t xml:space="preserve">Exterior gypsum / glass mat sheathing</t>
  </si>
  <si>
    <t xml:space="preserve">Glass mat / exterior gypsum (3, 5, 7/A09.26; RFI ACAN-RFI-03)</t>
  </si>
  <si>
    <t xml:space="preserve">ALC-10</t>
  </si>
  <si>
    <t xml:space="preserve">FRT plywood sheathing / substrate</t>
  </si>
  <si>
    <t xml:space="preserve">FRT plywood by material (nailbase, canopy, piers, substrate, backboards)</t>
  </si>
  <si>
    <t xml:space="preserve">ALC-11</t>
  </si>
  <si>
    <t xml:space="preserve">Gypsum board ceilings</t>
  </si>
  <si>
    <t xml:space="preserve">GB ceilings room by room (A04.01)</t>
  </si>
  <si>
    <t xml:space="preserve">ALC-12</t>
  </si>
  <si>
    <t xml:space="preserve">Ceiling suspension (furring / carrying channel / hanger wire / ceiling track)</t>
  </si>
  <si>
    <t xml:space="preserve">Furring / carrying / hangers / ceiling track (A04.01; RFI-A5-01)</t>
  </si>
  <si>
    <t xml:space="preserve">ALC-13</t>
  </si>
  <si>
    <t xml:space="preserve">Soffits and bulkheads (framing + board)</t>
  </si>
  <si>
    <t xml:space="preserve">CSR soffit, transitions, vestibule heads, office bulkheads (A09.33, A12.08, A12.10)</t>
  </si>
  <si>
    <t xml:space="preserve">ALC-14</t>
  </si>
  <si>
    <t xml:space="preserve">Canopy / marquee framing and sheathing</t>
  </si>
  <si>
    <t xml:space="preserve">Canopy joists, fascia, soffit sheathing (A09.26, A09.27, A09.33)</t>
  </si>
  <si>
    <t xml:space="preserve">ALC-15</t>
  </si>
  <si>
    <t xml:space="preserve">Column furring / wraps</t>
  </si>
  <si>
    <t xml:space="preserve">Column wraps and piers (5/A09.25, 6/A12.01, 1-2/A09.25)</t>
  </si>
  <si>
    <t xml:space="preserve">ALC-16</t>
  </si>
  <si>
    <t xml:space="preserve">Blocking (FRT wood / metal) for millwork and accessories</t>
  </si>
  <si>
    <t xml:space="preserve">Blocking items by label: FRT / wood / metal (A6 + PASO 8)</t>
  </si>
  <si>
    <t xml:space="preserve">ALC-17</t>
  </si>
  <si>
    <t xml:space="preserve">Framed openings (MEP, access panels, diffusers)</t>
  </si>
  <si>
    <t xml:space="preserve">framed_openings.py (lights E02.01, diffusers M01.01, access panel, canopy UU)</t>
  </si>
  <si>
    <t xml:space="preserve">ALC-18</t>
  </si>
  <si>
    <t xml:space="preserve">Trim: corner bead, casing bead, control joints, reveals</t>
  </si>
  <si>
    <t xml:space="preserve">Metal trim (corner bead, casing, shadow molding, edge trim); no interior control joints (A04.01 CJ are in the exterior plaster, excluded)</t>
  </si>
  <si>
    <t xml:space="preserve">ALC-19</t>
  </si>
  <si>
    <t xml:space="preserve">Acoustical sealant / sound attenuation (EXCLUDED: estimator standing order, all projects)</t>
  </si>
  <si>
    <t xml:space="preserve">NOT APPLICABLE</t>
  </si>
  <si>
    <t xml:space="preserve">EXCLUDED: EXCLUDED in all projects (estimator standing order): no acoustical sealant row and no quantity</t>
  </si>
  <si>
    <t xml:space="preserve">ALC-20</t>
  </si>
  <si>
    <t xml:space="preserve">FRP / cement board / tile backer</t>
  </si>
  <si>
    <t xml:space="preserve">FRP and cement board (A08.01)</t>
  </si>
  <si>
    <t xml:space="preserve">ALC-21</t>
  </si>
  <si>
    <t xml:space="preserve">Shaft walls / area separation walls</t>
  </si>
  <si>
    <t xml:space="preserve">No shaft or area separation walls: A12.01 types only (single-story Type II-B, A00.00)</t>
  </si>
  <si>
    <t xml:space="preserve">ALC-22</t>
  </si>
  <si>
    <t xml:space="preserve">Rated assemblies (UL designs) and their board type</t>
  </si>
  <si>
    <t xml:space="preserve">No rated assemblies: A12.01 FIRE RATING '--' on every type; Type II-B not sprinklered (A00.00); no fire tape</t>
  </si>
  <si>
    <t xml:space="preserve">ALC-23</t>
  </si>
  <si>
    <t xml:space="preserve">Special panels (ballistic, lead-lined, abuse)</t>
  </si>
  <si>
    <t xml:space="preserve">Ballistic panel and 3/8" gyp at K walls (4/A12.01)</t>
  </si>
  <si>
    <t xml:space="preserve">ALC-24</t>
  </si>
  <si>
    <t xml:space="preserve">Finish level (Level 4 / Level 5)</t>
  </si>
  <si>
    <t xml:space="preserve">Level 5 at WC-18 / WC-20 / WC-22 (A05.01, A00.40); Level 4 assumed elsewhere</t>
  </si>
  <si>
    <t xml:space="preserve">ALC-X25</t>
  </si>
  <si>
    <t xml:space="preserve">batt insulation</t>
  </si>
  <si>
    <t xml:space="preserve">EXCLUDED (estimator criterion: no insulation)</t>
  </si>
  <si>
    <t xml:space="preserve">reglas.py compuerta OK</t>
  </si>
  <si>
    <t xml:space="preserve">{"canon": "94171dbec734e38c8480ee5fd2def31ee743f997ec7bf8db6da081f776ff4f11", "evidencias": "884d12c05dd4be9a02b76cfc66eee571d46ed01f60f469143caba2da0a023f66", "familias_out": "fad54d371e106aed14ac09c6a51a42c9f9aacb2846bbbe9ad6a4a0ab3cc1933b", "reglas": "4e74adebfacb138c2ee2dec0e8bc4e671a1edb1b4776f25f0c085a6b6bc6e02e", "version": "v73"}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</si>
</sst>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DDEBF7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22"/>
    <col collapsed="false" customWidth="true" hidden="false" outlineLevel="0" max="3" min="3" style="0" width="6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  <c r="B4" s="2" t="s">
        <v>3</v>
      </c>
      <c r="C4" s="2" t="s">
        <v>4</v>
      </c>
    </row>
    <row r="5" customFormat="false" ht="15" hidden="false" customHeight="false" outlineLevel="0" collapsed="false">
      <c r="A5" s="0" t="s">
        <v>5</v>
      </c>
      <c r="B5" s="3" t="n">
        <v>0.15</v>
      </c>
      <c r="C5" s="4" t="s">
        <v>6</v>
      </c>
    </row>
    <row r="6" customFormat="false" ht="15" hidden="false" customHeight="false" outlineLevel="0" collapsed="false">
      <c r="A6" s="0" t="s">
        <v>7</v>
      </c>
      <c r="B6" s="3" t="n">
        <v>0.06</v>
      </c>
      <c r="C6" s="4" t="s">
        <v>8</v>
      </c>
    </row>
    <row r="7" customFormat="false" ht="15" hidden="false" customHeight="false" outlineLevel="0" collapsed="false">
      <c r="A7" s="0" t="s">
        <v>9</v>
      </c>
      <c r="B7" s="3" t="n">
        <v>4</v>
      </c>
      <c r="C7" s="4" t="s">
        <v>10</v>
      </c>
    </row>
    <row r="8" customFormat="false" ht="15" hidden="false" customHeight="false" outlineLevel="0" collapsed="false">
      <c r="A8" s="0" t="s">
        <v>11</v>
      </c>
      <c r="B8" s="3" t="n">
        <v>12</v>
      </c>
      <c r="C8" s="4" t="s">
        <v>12</v>
      </c>
    </row>
    <row r="9" customFormat="false" ht="15" hidden="false" customHeight="false" outlineLevel="0" collapsed="false">
      <c r="A9" s="0" t="s">
        <v>13</v>
      </c>
      <c r="B9" s="0" t="n">
        <f aca="false">B7*B8</f>
        <v>48</v>
      </c>
      <c r="C9" s="0" t="s">
        <v>14</v>
      </c>
    </row>
    <row r="10" customFormat="false" ht="15" hidden="false" customHeight="false" outlineLevel="0" collapsed="false">
      <c r="A10" s="0" t="s">
        <v>15</v>
      </c>
      <c r="B10" s="3" t="n">
        <v>20</v>
      </c>
      <c r="C10" s="4" t="s">
        <v>16</v>
      </c>
    </row>
    <row r="11" customFormat="false" ht="15" hidden="false" customHeight="false" outlineLevel="0" collapsed="false">
      <c r="A11" s="0" t="s">
        <v>17</v>
      </c>
      <c r="B11" s="3" t="n">
        <v>10</v>
      </c>
      <c r="C11" s="4" t="s">
        <v>18</v>
      </c>
    </row>
    <row r="12" customFormat="false" ht="15" hidden="false" customHeight="false" outlineLevel="0" collapsed="false">
      <c r="A12" s="0" t="s">
        <v>19</v>
      </c>
      <c r="B12" s="3" t="n">
        <v>18</v>
      </c>
      <c r="C12" s="4" t="s">
        <v>20</v>
      </c>
    </row>
    <row r="13" customFormat="false" ht="15" hidden="false" customHeight="false" outlineLevel="0" collapsed="false">
      <c r="A13" s="0" t="s">
        <v>21</v>
      </c>
      <c r="B13" s="3" t="n">
        <v>15.375</v>
      </c>
      <c r="C13" s="4" t="s">
        <v>20</v>
      </c>
    </row>
    <row r="14" customFormat="false" ht="15" hidden="false" customHeight="false" outlineLevel="0" collapsed="false">
      <c r="A14" s="0" t="s">
        <v>22</v>
      </c>
      <c r="B14" s="3" t="n">
        <v>17.4167</v>
      </c>
      <c r="C14" s="4" t="s">
        <v>20</v>
      </c>
    </row>
    <row r="15" customFormat="false" ht="15" hidden="false" customHeight="false" outlineLevel="0" collapsed="false">
      <c r="A15" s="0" t="s">
        <v>23</v>
      </c>
      <c r="B15" s="3" t="n">
        <v>25</v>
      </c>
      <c r="C15" s="4" t="s">
        <v>24</v>
      </c>
    </row>
    <row r="16" customFormat="false" ht="15" hidden="false" customHeight="false" outlineLevel="0" collapsed="false">
      <c r="A16" s="0" t="s">
        <v>25</v>
      </c>
      <c r="B16" s="3" t="n">
        <v>16</v>
      </c>
      <c r="C16" s="4" t="s">
        <v>26</v>
      </c>
    </row>
    <row r="17" customFormat="false" ht="15" hidden="false" customHeight="false" outlineLevel="0" collapsed="false">
      <c r="A17" s="0" t="s">
        <v>27</v>
      </c>
      <c r="B17" s="3" t="n">
        <v>12</v>
      </c>
      <c r="C17" s="4" t="s">
        <v>28</v>
      </c>
    </row>
    <row r="18" customFormat="false" ht="15" hidden="false" customHeight="false" outlineLevel="0" collapsed="false">
      <c r="A18" s="0" t="s">
        <v>29</v>
      </c>
      <c r="B18" s="3" t="n">
        <v>10</v>
      </c>
      <c r="C18" s="4" t="s">
        <v>30</v>
      </c>
    </row>
    <row r="19" customFormat="false" ht="15" hidden="false" customHeight="false" outlineLevel="0" collapsed="false">
      <c r="A19" s="0" t="s">
        <v>31</v>
      </c>
      <c r="B19" s="3" t="s">
        <v>32</v>
      </c>
      <c r="C19" s="4" t="s">
        <v>33</v>
      </c>
    </row>
    <row r="20" customFormat="false" ht="15" hidden="false" customHeight="false" outlineLevel="0" collapsed="false">
      <c r="A20" s="0" t="s">
        <v>34</v>
      </c>
      <c r="B20" s="3" t="n">
        <v>1.2</v>
      </c>
      <c r="C20" s="4" t="s">
        <v>35</v>
      </c>
    </row>
    <row r="21" customFormat="false" ht="15" hidden="false" customHeight="false" outlineLevel="0" collapsed="false">
      <c r="A21" s="0" t="s">
        <v>36</v>
      </c>
      <c r="B21" s="3" t="n">
        <v>4</v>
      </c>
      <c r="C21" s="4" t="s">
        <v>37</v>
      </c>
    </row>
    <row r="22" customFormat="false" ht="15" hidden="false" customHeight="false" outlineLevel="0" collapsed="false">
      <c r="A22" s="0" t="s">
        <v>38</v>
      </c>
      <c r="B22" s="3" t="n">
        <v>1</v>
      </c>
      <c r="C22" s="4" t="s">
        <v>39</v>
      </c>
    </row>
    <row r="23" customFormat="false" ht="15" hidden="false" customHeight="false" outlineLevel="0" collapsed="false">
      <c r="A23" s="0" t="s">
        <v>40</v>
      </c>
      <c r="B23" s="3" t="n">
        <v>0.072</v>
      </c>
      <c r="C23" s="4" t="s">
        <v>41</v>
      </c>
    </row>
    <row r="24" customFormat="false" ht="15" hidden="false" customHeight="false" outlineLevel="0" collapsed="false">
      <c r="A24" s="0" t="s">
        <v>42</v>
      </c>
      <c r="B24" s="3" t="n">
        <v>0.37</v>
      </c>
      <c r="C24" s="4" t="s">
        <v>43</v>
      </c>
    </row>
    <row r="25" customFormat="false" ht="15" hidden="false" customHeight="false" outlineLevel="0" collapsed="false">
      <c r="A25" s="0" t="s">
        <v>44</v>
      </c>
      <c r="B25" s="3" t="n">
        <v>0.6667</v>
      </c>
      <c r="C25" s="4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57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5" min="5" style="0" width="10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60"/>
    <col collapsed="false" customWidth="true" hidden="false" outlineLevel="0" max="10" min="10" style="0" width="23"/>
    <col collapsed="false" customWidth="true" hidden="false" outlineLevel="0" max="11" min="11" style="0" width="13"/>
  </cols>
  <sheetData>
    <row r="1" customFormat="false" ht="16.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0" t="s">
        <v>47</v>
      </c>
    </row>
    <row r="4" customFormat="false" ht="15" hidden="false" customHeight="false" outlineLevel="0" collapsed="false">
      <c r="A4" s="2" t="s">
        <v>48</v>
      </c>
      <c r="B4" s="2" t="s">
        <v>49</v>
      </c>
      <c r="C4" s="2" t="s">
        <v>50</v>
      </c>
      <c r="D4" s="2" t="s">
        <v>51</v>
      </c>
      <c r="E4" s="2" t="s">
        <v>52</v>
      </c>
      <c r="F4" s="2" t="s">
        <v>53</v>
      </c>
      <c r="G4" s="2" t="s">
        <v>54</v>
      </c>
      <c r="H4" s="2" t="s">
        <v>55</v>
      </c>
      <c r="I4" s="2" t="s">
        <v>56</v>
      </c>
      <c r="J4" s="2" t="s">
        <v>57</v>
      </c>
      <c r="K4" s="2" t="s">
        <v>58</v>
      </c>
    </row>
    <row r="5" customFormat="false" ht="15" hidden="false" customHeight="false" outlineLevel="0" collapsed="false">
      <c r="A5" s="5" t="s">
        <v>59</v>
      </c>
    </row>
    <row r="6" customFormat="false" ht="15" hidden="false" customHeight="false" outlineLevel="0" collapsed="false">
      <c r="A6" s="0" t="s">
        <v>60</v>
      </c>
      <c r="B6" s="0" t="s">
        <v>61</v>
      </c>
      <c r="C6" s="0" t="n">
        <v>13.247</v>
      </c>
      <c r="D6" s="0" t="n">
        <v>14.358</v>
      </c>
      <c r="E6" s="0" t="n">
        <v>0.96</v>
      </c>
      <c r="F6" s="0" t="s">
        <v>62</v>
      </c>
      <c r="G6" s="0" t="n">
        <v>16</v>
      </c>
      <c r="H6" s="0" t="n">
        <v>195.26</v>
      </c>
      <c r="I6" s="0" t="s">
        <v>63</v>
      </c>
      <c r="J6" s="0" t="s">
        <v>64</v>
      </c>
      <c r="K6" s="0" t="s">
        <v>65</v>
      </c>
    </row>
    <row r="7" customFormat="false" ht="15" hidden="false" customHeight="false" outlineLevel="0" collapsed="false">
      <c r="A7" s="0" t="s">
        <v>66</v>
      </c>
      <c r="B7" s="0" t="s">
        <v>67</v>
      </c>
      <c r="C7" s="0" t="n">
        <v>75.44</v>
      </c>
      <c r="D7" s="0" t="n">
        <v>13.547</v>
      </c>
      <c r="E7" s="0" t="n">
        <v>1</v>
      </c>
      <c r="F7" s="0" t="s">
        <v>62</v>
      </c>
      <c r="G7" s="0" t="n">
        <v>16</v>
      </c>
      <c r="H7" s="0" t="n">
        <v>1031.32</v>
      </c>
      <c r="I7" s="0" t="s">
        <v>68</v>
      </c>
      <c r="J7" s="0" t="s">
        <v>69</v>
      </c>
      <c r="K7" s="0" t="s">
        <v>65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n">
        <v>52.833</v>
      </c>
      <c r="D8" s="0" t="n">
        <v>11.171</v>
      </c>
      <c r="E8" s="0" t="n">
        <v>0.98</v>
      </c>
      <c r="F8" s="0" t="s">
        <v>62</v>
      </c>
      <c r="G8" s="0" t="n">
        <v>16</v>
      </c>
      <c r="H8" s="0" t="n">
        <v>621.07</v>
      </c>
      <c r="I8" s="0" t="s">
        <v>72</v>
      </c>
      <c r="J8" s="0" t="s">
        <v>73</v>
      </c>
      <c r="K8" s="0" t="s">
        <v>65</v>
      </c>
    </row>
    <row r="9" customFormat="false" ht="15" hidden="false" customHeight="false" outlineLevel="0" collapsed="false">
      <c r="A9" s="0" t="s">
        <v>74</v>
      </c>
      <c r="B9" s="0" t="s">
        <v>75</v>
      </c>
      <c r="C9" s="0" t="n">
        <v>47.427</v>
      </c>
      <c r="D9" s="0" t="n">
        <v>13.068</v>
      </c>
      <c r="E9" s="0" t="n">
        <v>1</v>
      </c>
      <c r="F9" s="0" t="s">
        <v>62</v>
      </c>
      <c r="G9" s="0" t="n">
        <v>16</v>
      </c>
      <c r="H9" s="0" t="n">
        <v>632.6</v>
      </c>
      <c r="I9" s="0" t="s">
        <v>76</v>
      </c>
      <c r="J9" s="0" t="s">
        <v>77</v>
      </c>
      <c r="K9" s="0" t="s">
        <v>65</v>
      </c>
    </row>
    <row r="10" customFormat="false" ht="15" hidden="false" customHeight="false" outlineLevel="0" collapsed="false">
      <c r="A10" s="0" t="s">
        <v>78</v>
      </c>
      <c r="B10" s="0" t="s">
        <v>79</v>
      </c>
      <c r="C10" s="0" t="n">
        <v>3.875</v>
      </c>
      <c r="D10" s="0" t="n">
        <v>14.358</v>
      </c>
      <c r="E10" s="0" t="n">
        <v>1</v>
      </c>
      <c r="F10" s="0" t="s">
        <v>62</v>
      </c>
      <c r="G10" s="0" t="n">
        <v>16</v>
      </c>
      <c r="H10" s="0" t="n">
        <v>59.35</v>
      </c>
      <c r="I10" s="0" t="s">
        <v>80</v>
      </c>
      <c r="J10" s="0" t="s">
        <v>77</v>
      </c>
      <c r="K10" s="0" t="s">
        <v>81</v>
      </c>
    </row>
    <row r="11" customFormat="false" ht="15" hidden="false" customHeight="false" outlineLevel="0" collapsed="false">
      <c r="A11" s="0" t="s">
        <v>82</v>
      </c>
      <c r="B11" s="0" t="s">
        <v>83</v>
      </c>
      <c r="C11" s="0" t="n">
        <v>21.523</v>
      </c>
      <c r="D11" s="0" t="n">
        <v>14.358</v>
      </c>
      <c r="E11" s="0" t="n">
        <v>0.97</v>
      </c>
      <c r="F11" s="0" t="s">
        <v>62</v>
      </c>
      <c r="G11" s="0" t="n">
        <v>16</v>
      </c>
      <c r="H11" s="0" t="n">
        <v>309.17</v>
      </c>
      <c r="I11" s="0" t="s">
        <v>84</v>
      </c>
      <c r="J11" s="0" t="s">
        <v>85</v>
      </c>
      <c r="K11" s="0" t="s">
        <v>65</v>
      </c>
    </row>
    <row r="12" customFormat="false" ht="15" hidden="false" customHeight="false" outlineLevel="0" collapsed="false">
      <c r="A12" s="5" t="s">
        <v>86</v>
      </c>
    </row>
    <row r="13" customFormat="false" ht="15" hidden="false" customHeight="false" outlineLevel="0" collapsed="false">
      <c r="A13" s="0" t="s">
        <v>87</v>
      </c>
      <c r="B13" s="0" t="s">
        <v>88</v>
      </c>
      <c r="C13" s="0" t="n">
        <v>5.667</v>
      </c>
      <c r="D13" s="0" t="n">
        <v>10.5</v>
      </c>
      <c r="E13" s="0" t="n">
        <v>0</v>
      </c>
      <c r="F13" s="0" t="s">
        <v>89</v>
      </c>
      <c r="G13" s="0" t="n">
        <v>16</v>
      </c>
      <c r="H13" s="0" t="n">
        <v>0</v>
      </c>
      <c r="I13" s="0" t="s">
        <v>88</v>
      </c>
      <c r="J13" s="0" t="s">
        <v>90</v>
      </c>
      <c r="K13" s="0" t="s">
        <v>65</v>
      </c>
    </row>
    <row r="14" customFormat="false" ht="15" hidden="false" customHeight="false" outlineLevel="0" collapsed="false">
      <c r="A14" s="0" t="s">
        <v>91</v>
      </c>
      <c r="B14" s="0" t="s">
        <v>92</v>
      </c>
      <c r="C14" s="0" t="n">
        <v>5.667</v>
      </c>
      <c r="D14" s="0" t="n">
        <v>10.5</v>
      </c>
      <c r="E14" s="0" t="n">
        <v>0</v>
      </c>
      <c r="F14" s="0" t="s">
        <v>89</v>
      </c>
      <c r="G14" s="0" t="n">
        <v>16</v>
      </c>
      <c r="H14" s="0" t="n">
        <v>0</v>
      </c>
      <c r="I14" s="0" t="s">
        <v>92</v>
      </c>
      <c r="J14" s="0" t="s">
        <v>90</v>
      </c>
      <c r="K14" s="0" t="s">
        <v>65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0" t="n">
        <v>5.667</v>
      </c>
      <c r="D15" s="0" t="n">
        <v>10.5</v>
      </c>
      <c r="E15" s="0" t="n">
        <v>0</v>
      </c>
      <c r="F15" s="0" t="s">
        <v>89</v>
      </c>
      <c r="G15" s="0" t="n">
        <v>16</v>
      </c>
      <c r="H15" s="0" t="n">
        <v>0</v>
      </c>
      <c r="I15" s="0" t="s">
        <v>94</v>
      </c>
      <c r="J15" s="0" t="s">
        <v>90</v>
      </c>
      <c r="K15" s="0" t="s">
        <v>65</v>
      </c>
    </row>
    <row r="16" customFormat="false" ht="15" hidden="false" customHeight="false" outlineLevel="0" collapsed="false">
      <c r="A16" s="0" t="s">
        <v>95</v>
      </c>
      <c r="B16" s="0" t="s">
        <v>96</v>
      </c>
      <c r="C16" s="0" t="n">
        <v>5.667</v>
      </c>
      <c r="D16" s="0" t="n">
        <v>10.5</v>
      </c>
      <c r="E16" s="0" t="n">
        <v>0</v>
      </c>
      <c r="F16" s="0" t="s">
        <v>89</v>
      </c>
      <c r="G16" s="0" t="n">
        <v>16</v>
      </c>
      <c r="H16" s="0" t="n">
        <v>0</v>
      </c>
      <c r="I16" s="0" t="s">
        <v>96</v>
      </c>
      <c r="J16" s="0" t="s">
        <v>90</v>
      </c>
      <c r="K16" s="0" t="s">
        <v>65</v>
      </c>
    </row>
    <row r="17" customFormat="false" ht="15" hidden="false" customHeight="false" outlineLevel="0" collapsed="false">
      <c r="A17" s="5" t="s">
        <v>97</v>
      </c>
    </row>
    <row r="18" customFormat="false" ht="15" hidden="false" customHeight="false" outlineLevel="0" collapsed="false">
      <c r="A18" s="0" t="s">
        <v>98</v>
      </c>
      <c r="B18" s="0" t="s">
        <v>99</v>
      </c>
      <c r="C18" s="0" t="n">
        <v>16.333</v>
      </c>
      <c r="D18" s="0" t="n">
        <v>4.292</v>
      </c>
      <c r="E18" s="0" t="n">
        <v>0</v>
      </c>
      <c r="F18" s="0" t="s">
        <v>62</v>
      </c>
      <c r="G18" s="0" t="n">
        <v>16</v>
      </c>
      <c r="H18" s="0" t="n">
        <v>0</v>
      </c>
      <c r="I18" s="0" t="s">
        <v>99</v>
      </c>
      <c r="J18" s="0" t="s">
        <v>100</v>
      </c>
      <c r="K18" s="0" t="s">
        <v>65</v>
      </c>
    </row>
    <row r="19" customFormat="false" ht="15" hidden="false" customHeight="false" outlineLevel="0" collapsed="false">
      <c r="A19" s="0" t="s">
        <v>101</v>
      </c>
      <c r="B19" s="0" t="s">
        <v>102</v>
      </c>
      <c r="C19" s="0" t="n">
        <v>3.93</v>
      </c>
      <c r="D19" s="0" t="n">
        <v>4.292</v>
      </c>
      <c r="E19" s="0" t="n">
        <v>0</v>
      </c>
      <c r="F19" s="0" t="s">
        <v>62</v>
      </c>
      <c r="G19" s="0" t="n">
        <v>16</v>
      </c>
      <c r="H19" s="0" t="n">
        <v>0</v>
      </c>
      <c r="I19" s="0" t="s">
        <v>102</v>
      </c>
      <c r="J19" s="0" t="s">
        <v>103</v>
      </c>
      <c r="K19" s="0" t="s">
        <v>65</v>
      </c>
    </row>
    <row r="20" customFormat="false" ht="15" hidden="false" customHeight="false" outlineLevel="0" collapsed="false">
      <c r="A20" s="0" t="s">
        <v>104</v>
      </c>
      <c r="B20" s="0" t="s">
        <v>105</v>
      </c>
      <c r="C20" s="0" t="n">
        <v>39.86</v>
      </c>
      <c r="D20" s="0" t="n">
        <v>2.042</v>
      </c>
      <c r="E20" s="0" t="n">
        <v>0</v>
      </c>
      <c r="F20" s="0" t="s">
        <v>62</v>
      </c>
      <c r="G20" s="0" t="n">
        <v>16</v>
      </c>
      <c r="H20" s="0" t="n">
        <v>0</v>
      </c>
      <c r="I20" s="0" t="s">
        <v>105</v>
      </c>
      <c r="J20" s="0" t="s">
        <v>64</v>
      </c>
      <c r="K20" s="0" t="s">
        <v>65</v>
      </c>
    </row>
    <row r="21" customFormat="false" ht="15" hidden="false" customHeight="false" outlineLevel="0" collapsed="false">
      <c r="A21" s="0" t="s">
        <v>106</v>
      </c>
      <c r="B21" s="0" t="s">
        <v>107</v>
      </c>
      <c r="C21" s="0" t="n">
        <v>75.94</v>
      </c>
      <c r="D21" s="0" t="n">
        <v>2.901</v>
      </c>
      <c r="E21" s="0" t="n">
        <v>0</v>
      </c>
      <c r="F21" s="0" t="s">
        <v>62</v>
      </c>
      <c r="G21" s="0" t="n">
        <v>16</v>
      </c>
      <c r="H21" s="0" t="n">
        <v>0</v>
      </c>
      <c r="I21" s="0" t="s">
        <v>108</v>
      </c>
      <c r="J21" s="0" t="s">
        <v>69</v>
      </c>
      <c r="K21" s="0" t="s">
        <v>65</v>
      </c>
    </row>
    <row r="22" customFormat="false" ht="15" hidden="false" customHeight="false" outlineLevel="0" collapsed="false">
      <c r="A22" s="0" t="s">
        <v>109</v>
      </c>
      <c r="B22" s="0" t="s">
        <v>110</v>
      </c>
      <c r="C22" s="0" t="n">
        <v>52.333</v>
      </c>
      <c r="D22" s="0" t="n">
        <v>4.885</v>
      </c>
      <c r="E22" s="0" t="n">
        <v>0</v>
      </c>
      <c r="F22" s="0" t="s">
        <v>62</v>
      </c>
      <c r="G22" s="0" t="n">
        <v>16</v>
      </c>
      <c r="H22" s="0" t="n">
        <v>0</v>
      </c>
      <c r="I22" s="0" t="s">
        <v>110</v>
      </c>
      <c r="J22" s="0" t="s">
        <v>73</v>
      </c>
      <c r="K22" s="0" t="s">
        <v>65</v>
      </c>
    </row>
    <row r="23" customFormat="false" ht="15" hidden="false" customHeight="false" outlineLevel="0" collapsed="false">
      <c r="A23" s="0" t="s">
        <v>111</v>
      </c>
      <c r="B23" s="0" t="s">
        <v>112</v>
      </c>
      <c r="C23" s="0" t="n">
        <v>47.927</v>
      </c>
      <c r="D23" s="0" t="n">
        <v>3.403</v>
      </c>
      <c r="E23" s="0" t="n">
        <v>0</v>
      </c>
      <c r="F23" s="0" t="s">
        <v>62</v>
      </c>
      <c r="G23" s="0" t="n">
        <v>16</v>
      </c>
      <c r="H23" s="0" t="n">
        <v>0</v>
      </c>
      <c r="I23" s="0" t="s">
        <v>113</v>
      </c>
      <c r="J23" s="0" t="s">
        <v>77</v>
      </c>
      <c r="K23" s="0" t="s">
        <v>65</v>
      </c>
    </row>
    <row r="24" customFormat="false" ht="15" hidden="false" customHeight="false" outlineLevel="0" collapsed="false">
      <c r="A24" s="0" t="s">
        <v>114</v>
      </c>
      <c r="B24" s="0" t="s">
        <v>115</v>
      </c>
      <c r="C24" s="0" t="n">
        <v>3.86</v>
      </c>
      <c r="D24" s="0" t="n">
        <v>4.292</v>
      </c>
      <c r="E24" s="0" t="n">
        <v>0</v>
      </c>
      <c r="F24" s="0" t="s">
        <v>62</v>
      </c>
      <c r="G24" s="0" t="n">
        <v>16</v>
      </c>
      <c r="H24" s="0" t="n">
        <v>0</v>
      </c>
      <c r="I24" s="0" t="s">
        <v>115</v>
      </c>
      <c r="J24" s="0" t="s">
        <v>85</v>
      </c>
      <c r="K24" s="0" t="s">
        <v>65</v>
      </c>
    </row>
    <row r="25" customFormat="false" ht="15" hidden="false" customHeight="false" outlineLevel="0" collapsed="false">
      <c r="A25" s="0" t="s">
        <v>116</v>
      </c>
      <c r="B25" s="0" t="s">
        <v>117</v>
      </c>
      <c r="C25" s="0" t="n">
        <v>29.007</v>
      </c>
      <c r="D25" s="0" t="n">
        <v>4.292</v>
      </c>
      <c r="E25" s="0" t="n">
        <v>0</v>
      </c>
      <c r="F25" s="0" t="s">
        <v>62</v>
      </c>
      <c r="G25" s="0" t="n">
        <v>16</v>
      </c>
      <c r="H25" s="0" t="n">
        <v>0</v>
      </c>
      <c r="I25" s="0" t="s">
        <v>117</v>
      </c>
      <c r="J25" s="0" t="s">
        <v>85</v>
      </c>
      <c r="K25" s="0" t="s">
        <v>65</v>
      </c>
    </row>
    <row r="26" customFormat="false" ht="15" hidden="false" customHeight="false" outlineLevel="0" collapsed="false">
      <c r="A26" s="5" t="s">
        <v>118</v>
      </c>
    </row>
    <row r="27" customFormat="false" ht="15" hidden="false" customHeight="false" outlineLevel="0" collapsed="false">
      <c r="A27" s="0" t="s">
        <v>119</v>
      </c>
      <c r="B27" s="0" t="s">
        <v>120</v>
      </c>
      <c r="C27" s="0" t="n">
        <v>30</v>
      </c>
      <c r="D27" s="0" t="n">
        <v>5.731</v>
      </c>
      <c r="E27" s="0" t="n">
        <v>4</v>
      </c>
      <c r="F27" s="0" t="s">
        <v>121</v>
      </c>
      <c r="G27" s="0" t="n">
        <v>16</v>
      </c>
      <c r="H27" s="0" t="n">
        <v>751.48</v>
      </c>
      <c r="I27" s="0" t="s">
        <v>122</v>
      </c>
      <c r="J27" s="0" t="s">
        <v>123</v>
      </c>
      <c r="K27" s="0" t="s">
        <v>65</v>
      </c>
    </row>
    <row r="28" customFormat="false" ht="15" hidden="false" customHeight="false" outlineLevel="0" collapsed="false">
      <c r="A28" s="0" t="s">
        <v>124</v>
      </c>
      <c r="B28" s="0" t="s">
        <v>125</v>
      </c>
      <c r="C28" s="0" t="n">
        <v>15</v>
      </c>
      <c r="D28" s="0" t="n">
        <v>6.844</v>
      </c>
      <c r="E28" s="0" t="n">
        <v>4</v>
      </c>
      <c r="F28" s="0" t="s">
        <v>121</v>
      </c>
      <c r="G28" s="0" t="n">
        <v>16</v>
      </c>
      <c r="H28" s="0" t="n">
        <v>442.48</v>
      </c>
      <c r="I28" s="0" t="s">
        <v>126</v>
      </c>
      <c r="J28" s="0" t="s">
        <v>123</v>
      </c>
      <c r="K28" s="0" t="s">
        <v>65</v>
      </c>
    </row>
    <row r="29" customFormat="false" ht="15" hidden="false" customHeight="false" outlineLevel="0" collapsed="false">
      <c r="A29" s="5" t="s">
        <v>127</v>
      </c>
    </row>
    <row r="30" customFormat="false" ht="15" hidden="false" customHeight="false" outlineLevel="0" collapsed="false">
      <c r="A30" s="0" t="s">
        <v>128</v>
      </c>
      <c r="B30" s="0" t="s">
        <v>129</v>
      </c>
      <c r="C30" s="0" t="n">
        <v>3.467</v>
      </c>
      <c r="D30" s="0" t="n">
        <v>14.383</v>
      </c>
      <c r="E30" s="0" t="n">
        <v>3.59</v>
      </c>
      <c r="F30" s="0" t="s">
        <v>121</v>
      </c>
      <c r="G30" s="0" t="n">
        <v>16</v>
      </c>
      <c r="H30" s="0" t="n">
        <v>179.13</v>
      </c>
      <c r="I30" s="0" t="s">
        <v>130</v>
      </c>
      <c r="J30" s="0" t="s">
        <v>131</v>
      </c>
      <c r="K30" s="0" t="s">
        <v>65</v>
      </c>
    </row>
    <row r="31" customFormat="false" ht="15" hidden="false" customHeight="false" outlineLevel="0" collapsed="false">
      <c r="A31" s="0" t="s">
        <v>132</v>
      </c>
      <c r="B31" s="0" t="s">
        <v>133</v>
      </c>
      <c r="C31" s="0" t="n">
        <v>3.253</v>
      </c>
      <c r="D31" s="0" t="n">
        <v>14.225</v>
      </c>
      <c r="E31" s="0" t="n">
        <v>3.68</v>
      </c>
      <c r="F31" s="0" t="s">
        <v>121</v>
      </c>
      <c r="G31" s="0" t="n">
        <v>16</v>
      </c>
      <c r="H31" s="0" t="n">
        <v>170.51</v>
      </c>
      <c r="I31" s="0" t="s">
        <v>134</v>
      </c>
      <c r="J31" s="0" t="s">
        <v>131</v>
      </c>
      <c r="K31" s="0" t="s">
        <v>65</v>
      </c>
    </row>
    <row r="32" customFormat="false" ht="15" hidden="false" customHeight="false" outlineLevel="0" collapsed="false">
      <c r="A32" s="0" t="s">
        <v>135</v>
      </c>
      <c r="B32" s="0" t="s">
        <v>136</v>
      </c>
      <c r="C32" s="0" t="n">
        <v>3.253</v>
      </c>
      <c r="D32" s="0" t="n">
        <v>14.225</v>
      </c>
      <c r="E32" s="0" t="n">
        <v>3.68</v>
      </c>
      <c r="F32" s="0" t="s">
        <v>121</v>
      </c>
      <c r="G32" s="0" t="n">
        <v>16</v>
      </c>
      <c r="H32" s="0" t="n">
        <v>170.51</v>
      </c>
      <c r="I32" s="0" t="s">
        <v>137</v>
      </c>
      <c r="J32" s="0" t="s">
        <v>131</v>
      </c>
      <c r="K32" s="0" t="s">
        <v>65</v>
      </c>
    </row>
    <row r="33" customFormat="false" ht="15" hidden="false" customHeight="false" outlineLevel="0" collapsed="false">
      <c r="A33" s="0" t="s">
        <v>138</v>
      </c>
      <c r="B33" s="0" t="s">
        <v>139</v>
      </c>
      <c r="C33" s="0" t="n">
        <v>11.771</v>
      </c>
      <c r="D33" s="0" t="n">
        <v>15.375</v>
      </c>
      <c r="E33" s="0" t="n">
        <v>4</v>
      </c>
      <c r="F33" s="0" t="s">
        <v>121</v>
      </c>
      <c r="G33" s="0" t="n">
        <v>16</v>
      </c>
      <c r="H33" s="0" t="n">
        <v>723.9</v>
      </c>
      <c r="I33" s="0" t="s">
        <v>140</v>
      </c>
      <c r="J33" s="0" t="s">
        <v>131</v>
      </c>
      <c r="K33" s="0" t="s">
        <v>81</v>
      </c>
    </row>
    <row r="34" customFormat="false" ht="15" hidden="false" customHeight="false" outlineLevel="0" collapsed="false">
      <c r="A34" s="0" t="s">
        <v>141</v>
      </c>
      <c r="B34" s="0" t="s">
        <v>142</v>
      </c>
      <c r="C34" s="0" t="n">
        <v>11.771</v>
      </c>
      <c r="D34" s="0" t="n">
        <v>15.375</v>
      </c>
      <c r="E34" s="0" t="n">
        <v>4</v>
      </c>
      <c r="F34" s="0" t="s">
        <v>121</v>
      </c>
      <c r="G34" s="0" t="n">
        <v>16</v>
      </c>
      <c r="H34" s="0" t="n">
        <v>723.9</v>
      </c>
      <c r="I34" s="0" t="s">
        <v>143</v>
      </c>
      <c r="J34" s="0" t="s">
        <v>131</v>
      </c>
      <c r="K34" s="0" t="s">
        <v>81</v>
      </c>
    </row>
    <row r="35" customFormat="false" ht="15" hidden="false" customHeight="false" outlineLevel="0" collapsed="false">
      <c r="A35" s="0" t="s">
        <v>144</v>
      </c>
      <c r="B35" s="0" t="s">
        <v>145</v>
      </c>
      <c r="C35" s="0" t="n">
        <v>10.073</v>
      </c>
      <c r="D35" s="0" t="n">
        <v>15.375</v>
      </c>
      <c r="E35" s="0" t="n">
        <v>4</v>
      </c>
      <c r="F35" s="0" t="s">
        <v>121</v>
      </c>
      <c r="G35" s="0" t="n">
        <v>16</v>
      </c>
      <c r="H35" s="0" t="n">
        <v>619.5</v>
      </c>
      <c r="I35" s="0" t="s">
        <v>146</v>
      </c>
      <c r="J35" s="0" t="s">
        <v>131</v>
      </c>
      <c r="K35" s="0" t="s">
        <v>65</v>
      </c>
    </row>
    <row r="36" customFormat="false" ht="15" hidden="false" customHeight="false" outlineLevel="0" collapsed="false">
      <c r="A36" s="0" t="s">
        <v>147</v>
      </c>
      <c r="B36" s="0" t="s">
        <v>148</v>
      </c>
      <c r="C36" s="0" t="n">
        <v>12.333</v>
      </c>
      <c r="D36" s="0" t="n">
        <v>14.358</v>
      </c>
      <c r="E36" s="0" t="n">
        <v>4</v>
      </c>
      <c r="F36" s="0" t="s">
        <v>121</v>
      </c>
      <c r="G36" s="0" t="n">
        <v>16</v>
      </c>
      <c r="H36" s="0" t="n">
        <v>708.34</v>
      </c>
      <c r="I36" s="0" t="s">
        <v>149</v>
      </c>
      <c r="J36" s="0" t="s">
        <v>131</v>
      </c>
      <c r="K36" s="0" t="s">
        <v>65</v>
      </c>
    </row>
    <row r="37" customFormat="false" ht="15" hidden="false" customHeight="false" outlineLevel="0" collapsed="false">
      <c r="A37" s="0" t="s">
        <v>150</v>
      </c>
      <c r="B37" s="0" t="s">
        <v>151</v>
      </c>
      <c r="C37" s="0" t="n">
        <v>11.625</v>
      </c>
      <c r="D37" s="0" t="n">
        <v>15.375</v>
      </c>
      <c r="E37" s="0" t="n">
        <v>4</v>
      </c>
      <c r="F37" s="0" t="s">
        <v>121</v>
      </c>
      <c r="G37" s="0" t="n">
        <v>16</v>
      </c>
      <c r="H37" s="0" t="n">
        <v>714.94</v>
      </c>
      <c r="I37" s="0" t="s">
        <v>152</v>
      </c>
      <c r="J37" s="0" t="s">
        <v>131</v>
      </c>
      <c r="K37" s="0" t="s">
        <v>81</v>
      </c>
    </row>
    <row r="38" customFormat="false" ht="15" hidden="false" customHeight="false" outlineLevel="0" collapsed="false">
      <c r="A38" s="0" t="s">
        <v>153</v>
      </c>
      <c r="B38" s="0" t="s">
        <v>154</v>
      </c>
      <c r="C38" s="0" t="n">
        <v>11.625</v>
      </c>
      <c r="D38" s="0" t="n">
        <v>15.375</v>
      </c>
      <c r="E38" s="0" t="n">
        <v>4</v>
      </c>
      <c r="F38" s="0" t="s">
        <v>121</v>
      </c>
      <c r="G38" s="0" t="n">
        <v>16</v>
      </c>
      <c r="H38" s="0" t="n">
        <v>714.94</v>
      </c>
      <c r="I38" s="0" t="s">
        <v>155</v>
      </c>
      <c r="J38" s="0" t="s">
        <v>131</v>
      </c>
      <c r="K38" s="0" t="s">
        <v>65</v>
      </c>
    </row>
    <row r="39" customFormat="false" ht="15" hidden="false" customHeight="false" outlineLevel="0" collapsed="false">
      <c r="A39" s="0" t="s">
        <v>156</v>
      </c>
      <c r="B39" s="0" t="s">
        <v>157</v>
      </c>
      <c r="C39" s="0" t="n">
        <v>2.42</v>
      </c>
      <c r="D39" s="0" t="n">
        <v>14.383</v>
      </c>
      <c r="E39" s="0" t="n">
        <v>4</v>
      </c>
      <c r="F39" s="0" t="s">
        <v>121</v>
      </c>
      <c r="G39" s="0" t="n">
        <v>16</v>
      </c>
      <c r="H39" s="0" t="n">
        <v>139.24</v>
      </c>
      <c r="I39" s="0" t="s">
        <v>158</v>
      </c>
      <c r="J39" s="0" t="s">
        <v>131</v>
      </c>
      <c r="K39" s="0" t="s">
        <v>65</v>
      </c>
    </row>
    <row r="40" customFormat="false" ht="15" hidden="false" customHeight="false" outlineLevel="0" collapsed="false">
      <c r="A40" s="5" t="s">
        <v>159</v>
      </c>
    </row>
    <row r="41" customFormat="false" ht="15" hidden="false" customHeight="false" outlineLevel="0" collapsed="false">
      <c r="A41" s="0" t="s">
        <v>160</v>
      </c>
      <c r="B41" s="0" t="s">
        <v>161</v>
      </c>
      <c r="C41" s="0" t="n">
        <v>11.771</v>
      </c>
      <c r="D41" s="0" t="n">
        <v>15.375</v>
      </c>
      <c r="E41" s="0" t="n">
        <v>4</v>
      </c>
      <c r="F41" s="0" t="s">
        <v>121</v>
      </c>
      <c r="G41" s="0" t="n">
        <v>16</v>
      </c>
      <c r="H41" s="0" t="n">
        <v>723.9</v>
      </c>
      <c r="I41" s="0" t="s">
        <v>162</v>
      </c>
      <c r="J41" s="0" t="s">
        <v>131</v>
      </c>
      <c r="K41" s="0" t="s">
        <v>81</v>
      </c>
    </row>
    <row r="42" customFormat="false" ht="15" hidden="false" customHeight="false" outlineLevel="0" collapsed="false">
      <c r="A42" s="0" t="s">
        <v>163</v>
      </c>
      <c r="B42" s="0" t="s">
        <v>164</v>
      </c>
      <c r="C42" s="0" t="n">
        <v>3.507</v>
      </c>
      <c r="D42" s="0" t="n">
        <v>15.375</v>
      </c>
      <c r="E42" s="0" t="n">
        <v>3.71</v>
      </c>
      <c r="F42" s="0" t="s">
        <v>121</v>
      </c>
      <c r="G42" s="0" t="n">
        <v>16</v>
      </c>
      <c r="H42" s="0" t="n">
        <v>200.08</v>
      </c>
      <c r="I42" s="0" t="s">
        <v>165</v>
      </c>
      <c r="J42" s="0" t="s">
        <v>131</v>
      </c>
      <c r="K42" s="0" t="s">
        <v>65</v>
      </c>
    </row>
    <row r="43" customFormat="false" ht="15" hidden="false" customHeight="false" outlineLevel="0" collapsed="false">
      <c r="A43" s="0" t="s">
        <v>166</v>
      </c>
      <c r="B43" s="0" t="s">
        <v>167</v>
      </c>
      <c r="C43" s="0" t="n">
        <v>3.18</v>
      </c>
      <c r="D43" s="0" t="n">
        <v>15.375</v>
      </c>
      <c r="E43" s="0" t="n">
        <v>3.42</v>
      </c>
      <c r="F43" s="0" t="s">
        <v>121</v>
      </c>
      <c r="G43" s="0" t="n">
        <v>16</v>
      </c>
      <c r="H43" s="0" t="n">
        <v>167.28</v>
      </c>
      <c r="I43" s="0" t="s">
        <v>168</v>
      </c>
      <c r="J43" s="0" t="s">
        <v>131</v>
      </c>
      <c r="K43" s="0" t="s">
        <v>65</v>
      </c>
    </row>
    <row r="44" customFormat="false" ht="15" hidden="false" customHeight="false" outlineLevel="0" collapsed="false">
      <c r="A44" s="5" t="s">
        <v>169</v>
      </c>
    </row>
    <row r="45" customFormat="false" ht="15" hidden="false" customHeight="false" outlineLevel="0" collapsed="false">
      <c r="A45" s="0" t="s">
        <v>170</v>
      </c>
      <c r="B45" s="0" t="s">
        <v>171</v>
      </c>
      <c r="C45" s="0" t="n">
        <v>17.762</v>
      </c>
      <c r="D45" s="0" t="n">
        <v>15.375</v>
      </c>
      <c r="E45" s="0" t="n">
        <v>2</v>
      </c>
      <c r="F45" s="0" t="s">
        <v>89</v>
      </c>
      <c r="G45" s="0" t="n">
        <v>16</v>
      </c>
      <c r="H45" s="0" t="n">
        <v>325.39</v>
      </c>
      <c r="I45" s="0" t="s">
        <v>172</v>
      </c>
      <c r="J45" s="0" t="s">
        <v>173</v>
      </c>
      <c r="K45" s="0" t="s">
        <v>65</v>
      </c>
    </row>
    <row r="46" customFormat="false" ht="15" hidden="false" customHeight="false" outlineLevel="0" collapsed="false">
      <c r="A46" s="5" t="s">
        <v>174</v>
      </c>
    </row>
    <row r="47" customFormat="false" ht="15" hidden="false" customHeight="false" outlineLevel="0" collapsed="false">
      <c r="A47" s="0" t="s">
        <v>175</v>
      </c>
      <c r="B47" s="0" t="s">
        <v>176</v>
      </c>
      <c r="C47" s="0" t="n">
        <v>10.027</v>
      </c>
      <c r="D47" s="0" t="n">
        <v>12.916</v>
      </c>
      <c r="E47" s="0" t="n">
        <v>1</v>
      </c>
      <c r="F47" s="0" t="s">
        <v>89</v>
      </c>
      <c r="G47" s="0" t="n">
        <v>16</v>
      </c>
      <c r="H47" s="0" t="n">
        <v>129.51</v>
      </c>
      <c r="I47" s="0" t="s">
        <v>177</v>
      </c>
      <c r="J47" s="0" t="s">
        <v>178</v>
      </c>
      <c r="K47" s="0" t="s">
        <v>65</v>
      </c>
    </row>
    <row r="48" customFormat="false" ht="15" hidden="false" customHeight="false" outlineLevel="0" collapsed="false">
      <c r="A48" s="0" t="s">
        <v>179</v>
      </c>
      <c r="B48" s="0" t="s">
        <v>180</v>
      </c>
      <c r="C48" s="0" t="n">
        <v>10.027</v>
      </c>
      <c r="D48" s="0" t="n">
        <v>12.916</v>
      </c>
      <c r="E48" s="0" t="n">
        <v>1</v>
      </c>
      <c r="F48" s="0" t="s">
        <v>89</v>
      </c>
      <c r="G48" s="0" t="n">
        <v>16</v>
      </c>
      <c r="H48" s="0" t="n">
        <v>129.51</v>
      </c>
      <c r="I48" s="0" t="s">
        <v>181</v>
      </c>
      <c r="J48" s="0" t="s">
        <v>178</v>
      </c>
      <c r="K48" s="0" t="s">
        <v>65</v>
      </c>
    </row>
    <row r="49" customFormat="false" ht="15" hidden="false" customHeight="false" outlineLevel="0" collapsed="false">
      <c r="A49" s="0" t="s">
        <v>182</v>
      </c>
      <c r="B49" s="0" t="s">
        <v>183</v>
      </c>
      <c r="C49" s="0" t="n">
        <v>10.625</v>
      </c>
      <c r="D49" s="0" t="n">
        <v>15.375</v>
      </c>
      <c r="E49" s="0" t="n">
        <v>1</v>
      </c>
      <c r="F49" s="0" t="s">
        <v>89</v>
      </c>
      <c r="G49" s="0" t="n">
        <v>16</v>
      </c>
      <c r="H49" s="0" t="n">
        <v>163.35</v>
      </c>
      <c r="I49" s="0" t="s">
        <v>184</v>
      </c>
      <c r="J49" s="0" t="s">
        <v>178</v>
      </c>
      <c r="K49" s="0" t="s">
        <v>65</v>
      </c>
    </row>
    <row r="50" customFormat="false" ht="15" hidden="false" customHeight="false" outlineLevel="0" collapsed="false">
      <c r="A50" s="0" t="s">
        <v>185</v>
      </c>
      <c r="B50" s="0" t="s">
        <v>186</v>
      </c>
      <c r="C50" s="0" t="n">
        <v>2.98</v>
      </c>
      <c r="D50" s="0" t="n">
        <v>12.928</v>
      </c>
      <c r="E50" s="0" t="n">
        <v>1</v>
      </c>
      <c r="F50" s="0" t="s">
        <v>89</v>
      </c>
      <c r="G50" s="0" t="n">
        <v>16</v>
      </c>
      <c r="H50" s="0" t="n">
        <v>38.53</v>
      </c>
      <c r="I50" s="0" t="s">
        <v>187</v>
      </c>
      <c r="J50" s="0" t="s">
        <v>178</v>
      </c>
      <c r="K50" s="0" t="s">
        <v>65</v>
      </c>
    </row>
    <row r="51" customFormat="false" ht="15" hidden="false" customHeight="false" outlineLevel="0" collapsed="false">
      <c r="A51" s="0" t="s">
        <v>188</v>
      </c>
      <c r="B51" s="0" t="s">
        <v>189</v>
      </c>
      <c r="C51" s="0" t="n">
        <v>3.267</v>
      </c>
      <c r="D51" s="0" t="n">
        <v>15.375</v>
      </c>
      <c r="E51" s="0" t="n">
        <v>1</v>
      </c>
      <c r="F51" s="0" t="s">
        <v>89</v>
      </c>
      <c r="G51" s="0" t="n">
        <v>16</v>
      </c>
      <c r="H51" s="0" t="n">
        <v>50.22</v>
      </c>
      <c r="I51" s="0" t="s">
        <v>190</v>
      </c>
      <c r="J51" s="0" t="s">
        <v>178</v>
      </c>
      <c r="K51" s="0" t="s">
        <v>65</v>
      </c>
    </row>
    <row r="52" customFormat="false" ht="15" hidden="false" customHeight="false" outlineLevel="0" collapsed="false">
      <c r="A52" s="0" t="s">
        <v>191</v>
      </c>
      <c r="B52" s="0" t="s">
        <v>192</v>
      </c>
      <c r="C52" s="0" t="n">
        <v>3.82</v>
      </c>
      <c r="D52" s="0" t="n">
        <v>15.375</v>
      </c>
      <c r="E52" s="0" t="n">
        <v>1</v>
      </c>
      <c r="F52" s="0" t="s">
        <v>89</v>
      </c>
      <c r="G52" s="0" t="n">
        <v>16</v>
      </c>
      <c r="H52" s="0" t="n">
        <v>58.73</v>
      </c>
      <c r="I52" s="0" t="s">
        <v>190</v>
      </c>
      <c r="J52" s="0" t="s">
        <v>178</v>
      </c>
      <c r="K52" s="0" t="s">
        <v>65</v>
      </c>
    </row>
    <row r="53" customFormat="false" ht="15" hidden="false" customHeight="false" outlineLevel="0" collapsed="false">
      <c r="A53" s="0" t="s">
        <v>193</v>
      </c>
      <c r="B53" s="0" t="s">
        <v>194</v>
      </c>
      <c r="C53" s="0" t="n">
        <v>4</v>
      </c>
      <c r="D53" s="0" t="n">
        <v>15.375</v>
      </c>
      <c r="E53" s="0" t="n">
        <v>1</v>
      </c>
      <c r="F53" s="0" t="s">
        <v>89</v>
      </c>
      <c r="G53" s="0" t="n">
        <v>16</v>
      </c>
      <c r="H53" s="0" t="n">
        <v>61.52</v>
      </c>
      <c r="I53" s="0" t="s">
        <v>195</v>
      </c>
      <c r="J53" s="0" t="s">
        <v>178</v>
      </c>
      <c r="K53" s="0" t="s">
        <v>65</v>
      </c>
    </row>
    <row r="54" customFormat="false" ht="15" hidden="false" customHeight="false" outlineLevel="0" collapsed="false">
      <c r="A54" s="0" t="s">
        <v>196</v>
      </c>
      <c r="B54" s="0" t="s">
        <v>197</v>
      </c>
      <c r="C54" s="0" t="n">
        <v>2.893</v>
      </c>
      <c r="D54" s="0" t="n">
        <v>15.375</v>
      </c>
      <c r="E54" s="0" t="n">
        <v>1</v>
      </c>
      <c r="F54" s="0" t="s">
        <v>89</v>
      </c>
      <c r="G54" s="0" t="n">
        <v>16</v>
      </c>
      <c r="H54" s="0" t="n">
        <v>44.48</v>
      </c>
      <c r="I54" s="0" t="s">
        <v>198</v>
      </c>
      <c r="J54" s="0" t="s">
        <v>178</v>
      </c>
      <c r="K54" s="0" t="s">
        <v>65</v>
      </c>
    </row>
    <row r="55" customFormat="false" ht="15" hidden="false" customHeight="false" outlineLevel="0" collapsed="false">
      <c r="A55" s="5" t="s">
        <v>199</v>
      </c>
    </row>
    <row r="56" customFormat="false" ht="15" hidden="false" customHeight="false" outlineLevel="0" collapsed="false">
      <c r="A56" s="0" t="s">
        <v>200</v>
      </c>
      <c r="B56" s="0" t="s">
        <v>201</v>
      </c>
      <c r="C56" s="0" t="n">
        <v>15.812</v>
      </c>
      <c r="D56" s="0" t="n">
        <v>15.375</v>
      </c>
      <c r="E56" s="0" t="n">
        <v>2</v>
      </c>
      <c r="F56" s="0" t="s">
        <v>89</v>
      </c>
      <c r="G56" s="0" t="n">
        <v>16</v>
      </c>
      <c r="H56" s="0" t="n">
        <v>339.62</v>
      </c>
      <c r="I56" s="0" t="s">
        <v>202</v>
      </c>
      <c r="J56" s="0" t="s">
        <v>203</v>
      </c>
      <c r="K56" s="0" t="s">
        <v>65</v>
      </c>
    </row>
    <row r="57" customFormat="false" ht="15" hidden="false" customHeight="false" outlineLevel="0" collapsed="false">
      <c r="A57" s="0" t="s">
        <v>204</v>
      </c>
      <c r="B57" s="0" t="s">
        <v>205</v>
      </c>
      <c r="C57" s="0" t="n">
        <v>3.125</v>
      </c>
      <c r="D57" s="0" t="n">
        <v>15.375</v>
      </c>
      <c r="E57" s="0" t="n">
        <v>2</v>
      </c>
      <c r="F57" s="0" t="s">
        <v>89</v>
      </c>
      <c r="G57" s="0" t="n">
        <v>16</v>
      </c>
      <c r="H57" s="0" t="n">
        <v>76.17</v>
      </c>
      <c r="I57" s="0" t="s">
        <v>206</v>
      </c>
      <c r="J57" s="0" t="s">
        <v>203</v>
      </c>
      <c r="K57" s="0" t="s">
        <v>65</v>
      </c>
    </row>
    <row r="58" customFormat="false" ht="15" hidden="false" customHeight="false" outlineLevel="0" collapsed="false">
      <c r="A58" s="0" t="s">
        <v>207</v>
      </c>
      <c r="B58" s="0" t="s">
        <v>208</v>
      </c>
      <c r="C58" s="0" t="n">
        <v>2.427</v>
      </c>
      <c r="D58" s="0" t="n">
        <v>15.375</v>
      </c>
      <c r="E58" s="0" t="n">
        <v>2</v>
      </c>
      <c r="F58" s="0" t="s">
        <v>89</v>
      </c>
      <c r="G58" s="0" t="n">
        <v>16</v>
      </c>
      <c r="H58" s="0" t="n">
        <v>59.15</v>
      </c>
      <c r="I58" s="0" t="s">
        <v>206</v>
      </c>
      <c r="J58" s="0" t="s">
        <v>203</v>
      </c>
      <c r="K58" s="0" t="s">
        <v>65</v>
      </c>
    </row>
    <row r="59" customFormat="false" ht="15" hidden="false" customHeight="false" outlineLevel="0" collapsed="false">
      <c r="A59" s="0" t="s">
        <v>209</v>
      </c>
      <c r="B59" s="0" t="s">
        <v>210</v>
      </c>
      <c r="C59" s="0" t="n">
        <v>5.587</v>
      </c>
      <c r="D59" s="0" t="n">
        <v>15.375</v>
      </c>
      <c r="E59" s="0" t="n">
        <v>2</v>
      </c>
      <c r="F59" s="0" t="s">
        <v>89</v>
      </c>
      <c r="G59" s="0" t="n">
        <v>16</v>
      </c>
      <c r="H59" s="0" t="n">
        <v>62.88</v>
      </c>
      <c r="I59" s="0" t="s">
        <v>211</v>
      </c>
      <c r="J59" s="0" t="s">
        <v>203</v>
      </c>
      <c r="K59" s="0" t="s">
        <v>65</v>
      </c>
    </row>
    <row r="60" customFormat="false" ht="15" hidden="false" customHeight="false" outlineLevel="0" collapsed="false">
      <c r="A60" s="0" t="s">
        <v>212</v>
      </c>
      <c r="B60" s="0" t="s">
        <v>213</v>
      </c>
      <c r="C60" s="0" t="n">
        <v>15.233</v>
      </c>
      <c r="D60" s="0" t="n">
        <v>12.965</v>
      </c>
      <c r="E60" s="0" t="n">
        <v>2</v>
      </c>
      <c r="F60" s="0" t="s">
        <v>89</v>
      </c>
      <c r="G60" s="0" t="n">
        <v>16</v>
      </c>
      <c r="H60" s="0" t="n">
        <v>274.2</v>
      </c>
      <c r="I60" s="0" t="s">
        <v>214</v>
      </c>
      <c r="J60" s="0" t="s">
        <v>203</v>
      </c>
      <c r="K60" s="0" t="s">
        <v>65</v>
      </c>
    </row>
    <row r="61" customFormat="false" ht="15" hidden="false" customHeight="false" outlineLevel="0" collapsed="false">
      <c r="A61" s="0" t="s">
        <v>215</v>
      </c>
      <c r="B61" s="0" t="s">
        <v>216</v>
      </c>
      <c r="C61" s="0" t="n">
        <v>1.733</v>
      </c>
      <c r="D61" s="0" t="n">
        <v>11.819</v>
      </c>
      <c r="E61" s="0" t="n">
        <v>2</v>
      </c>
      <c r="F61" s="0" t="s">
        <v>89</v>
      </c>
      <c r="G61" s="0" t="n">
        <v>16</v>
      </c>
      <c r="H61" s="0" t="n">
        <v>32.07</v>
      </c>
      <c r="I61" s="0" t="s">
        <v>217</v>
      </c>
      <c r="J61" s="0" t="s">
        <v>203</v>
      </c>
      <c r="K61" s="0" t="s">
        <v>65</v>
      </c>
    </row>
    <row r="62" customFormat="false" ht="15" hidden="false" customHeight="false" outlineLevel="0" collapsed="false">
      <c r="A62" s="0" t="s">
        <v>218</v>
      </c>
      <c r="B62" s="0" t="s">
        <v>219</v>
      </c>
      <c r="C62" s="0" t="n">
        <v>5.5</v>
      </c>
      <c r="D62" s="0" t="n">
        <v>12.921</v>
      </c>
      <c r="E62" s="0" t="n">
        <v>2</v>
      </c>
      <c r="F62" s="0" t="s">
        <v>89</v>
      </c>
      <c r="G62" s="0" t="n">
        <v>16</v>
      </c>
      <c r="H62" s="0" t="n">
        <v>47.31</v>
      </c>
      <c r="I62" s="0" t="s">
        <v>220</v>
      </c>
      <c r="J62" s="0" t="s">
        <v>203</v>
      </c>
      <c r="K62" s="0" t="s">
        <v>65</v>
      </c>
    </row>
    <row r="63" customFormat="false" ht="15" hidden="false" customHeight="false" outlineLevel="0" collapsed="false">
      <c r="A63" s="0" t="s">
        <v>221</v>
      </c>
      <c r="B63" s="0" t="s">
        <v>222</v>
      </c>
      <c r="C63" s="0" t="n">
        <v>20.521</v>
      </c>
      <c r="D63" s="0" t="n">
        <v>11.819</v>
      </c>
      <c r="E63" s="0" t="n">
        <v>2</v>
      </c>
      <c r="F63" s="0" t="s">
        <v>89</v>
      </c>
      <c r="G63" s="0" t="n">
        <v>16</v>
      </c>
      <c r="H63" s="0" t="n">
        <v>373.7</v>
      </c>
      <c r="I63" s="0" t="s">
        <v>223</v>
      </c>
      <c r="J63" s="0" t="s">
        <v>203</v>
      </c>
      <c r="K63" s="0" t="s">
        <v>65</v>
      </c>
    </row>
    <row r="64" customFormat="false" ht="15" hidden="false" customHeight="false" outlineLevel="0" collapsed="false">
      <c r="A64" s="0" t="s">
        <v>224</v>
      </c>
      <c r="B64" s="0" t="s">
        <v>225</v>
      </c>
      <c r="C64" s="0" t="n">
        <v>11.667</v>
      </c>
      <c r="D64" s="0" t="n">
        <v>12.769</v>
      </c>
      <c r="E64" s="0" t="n">
        <v>2</v>
      </c>
      <c r="F64" s="0" t="s">
        <v>89</v>
      </c>
      <c r="G64" s="0" t="n">
        <v>16</v>
      </c>
      <c r="H64" s="0" t="n">
        <v>168.05</v>
      </c>
      <c r="I64" s="0" t="s">
        <v>226</v>
      </c>
      <c r="J64" s="0" t="s">
        <v>203</v>
      </c>
      <c r="K64" s="0" t="s">
        <v>81</v>
      </c>
    </row>
    <row r="65" customFormat="false" ht="15" hidden="false" customHeight="false" outlineLevel="0" collapsed="false">
      <c r="A65" s="5" t="s">
        <v>227</v>
      </c>
    </row>
    <row r="66" customFormat="false" ht="15" hidden="false" customHeight="false" outlineLevel="0" collapsed="false">
      <c r="A66" s="0" t="s">
        <v>228</v>
      </c>
      <c r="B66" s="0" t="s">
        <v>229</v>
      </c>
      <c r="C66" s="0" t="n">
        <v>14.533</v>
      </c>
      <c r="D66" s="0" t="n">
        <v>15.375</v>
      </c>
      <c r="E66" s="0" t="n">
        <v>2</v>
      </c>
      <c r="F66" s="0" t="s">
        <v>62</v>
      </c>
      <c r="G66" s="0" t="n">
        <v>16</v>
      </c>
      <c r="H66" s="0" t="n">
        <v>278.24</v>
      </c>
      <c r="I66" s="0" t="s">
        <v>230</v>
      </c>
      <c r="J66" s="0" t="s">
        <v>203</v>
      </c>
      <c r="K66" s="0" t="s">
        <v>65</v>
      </c>
    </row>
    <row r="67" customFormat="false" ht="15" hidden="false" customHeight="false" outlineLevel="0" collapsed="false">
      <c r="A67" s="0" t="s">
        <v>231</v>
      </c>
      <c r="B67" s="0" t="s">
        <v>232</v>
      </c>
      <c r="C67" s="0" t="n">
        <v>19.813</v>
      </c>
      <c r="D67" s="0" t="n">
        <v>13.708</v>
      </c>
      <c r="E67" s="0" t="n">
        <v>2</v>
      </c>
      <c r="F67" s="0" t="s">
        <v>62</v>
      </c>
      <c r="G67" s="0" t="n">
        <v>16</v>
      </c>
      <c r="H67" s="0" t="n">
        <v>386.95</v>
      </c>
      <c r="I67" s="0" t="s">
        <v>233</v>
      </c>
      <c r="J67" s="0" t="s">
        <v>203</v>
      </c>
      <c r="K67" s="0" t="s">
        <v>65</v>
      </c>
    </row>
    <row r="68" customFormat="false" ht="15" hidden="false" customHeight="false" outlineLevel="0" collapsed="false">
      <c r="A68" s="0" t="s">
        <v>234</v>
      </c>
      <c r="B68" s="0" t="s">
        <v>235</v>
      </c>
      <c r="C68" s="0" t="n">
        <v>5.28</v>
      </c>
      <c r="D68" s="0" t="n">
        <v>12.47</v>
      </c>
      <c r="E68" s="0" t="n">
        <v>2</v>
      </c>
      <c r="F68" s="0" t="s">
        <v>62</v>
      </c>
      <c r="G68" s="0" t="n">
        <v>16</v>
      </c>
      <c r="H68" s="0" t="n">
        <v>47.26</v>
      </c>
      <c r="I68" s="0" t="s">
        <v>236</v>
      </c>
      <c r="J68" s="0" t="s">
        <v>203</v>
      </c>
      <c r="K68" s="0" t="s">
        <v>65</v>
      </c>
    </row>
    <row r="69" customFormat="false" ht="15" hidden="false" customHeight="false" outlineLevel="0" collapsed="false">
      <c r="A69" s="0" t="s">
        <v>237</v>
      </c>
      <c r="B69" s="0" t="s">
        <v>238</v>
      </c>
      <c r="C69" s="0" t="n">
        <v>6.947</v>
      </c>
      <c r="D69" s="0" t="n">
        <v>11.774</v>
      </c>
      <c r="E69" s="0" t="n">
        <v>2</v>
      </c>
      <c r="F69" s="0" t="s">
        <v>62</v>
      </c>
      <c r="G69" s="0" t="n">
        <v>16</v>
      </c>
      <c r="H69" s="0" t="n">
        <v>80.73</v>
      </c>
      <c r="I69" s="0" t="s">
        <v>239</v>
      </c>
      <c r="J69" s="0" t="s">
        <v>203</v>
      </c>
      <c r="K69" s="0" t="s">
        <v>65</v>
      </c>
    </row>
    <row r="70" customFormat="false" ht="15" hidden="false" customHeight="false" outlineLevel="0" collapsed="false">
      <c r="A70" s="5" t="s">
        <v>240</v>
      </c>
    </row>
    <row r="71" customFormat="false" ht="15" hidden="false" customHeight="false" outlineLevel="0" collapsed="false">
      <c r="A71" s="0" t="s">
        <v>241</v>
      </c>
      <c r="B71" s="0" t="s">
        <v>242</v>
      </c>
      <c r="C71" s="0" t="n">
        <v>1.5</v>
      </c>
      <c r="D71" s="0" t="n">
        <v>15.375</v>
      </c>
      <c r="E71" s="0" t="n">
        <v>2</v>
      </c>
      <c r="F71" s="0" t="s">
        <v>62</v>
      </c>
      <c r="G71" s="0" t="n">
        <v>24</v>
      </c>
      <c r="H71" s="0" t="n">
        <v>46.12</v>
      </c>
      <c r="I71" s="0" t="s">
        <v>243</v>
      </c>
      <c r="J71" s="0" t="s">
        <v>244</v>
      </c>
      <c r="K71" s="0" t="s">
        <v>65</v>
      </c>
    </row>
    <row r="72" customFormat="false" ht="15" hidden="false" customHeight="false" outlineLevel="0" collapsed="false">
      <c r="A72" s="5" t="s">
        <v>245</v>
      </c>
    </row>
    <row r="73" customFormat="false" ht="15" hidden="false" customHeight="false" outlineLevel="0" collapsed="false">
      <c r="A73" s="0" t="s">
        <v>246</v>
      </c>
      <c r="B73" s="0" t="s">
        <v>247</v>
      </c>
      <c r="C73" s="0" t="n">
        <v>3.417</v>
      </c>
      <c r="D73" s="0" t="n">
        <v>15.375</v>
      </c>
      <c r="E73" s="0" t="n">
        <v>2</v>
      </c>
      <c r="F73" s="0" t="s">
        <v>89</v>
      </c>
      <c r="G73" s="0" t="n">
        <v>24</v>
      </c>
      <c r="H73" s="0" t="n">
        <v>105.06</v>
      </c>
      <c r="I73" s="0" t="s">
        <v>248</v>
      </c>
      <c r="J73" s="0" t="s">
        <v>244</v>
      </c>
      <c r="K73" s="0" t="s">
        <v>65</v>
      </c>
    </row>
    <row r="74" customFormat="false" ht="15" hidden="false" customHeight="false" outlineLevel="0" collapsed="false">
      <c r="A74" s="0" t="s">
        <v>249</v>
      </c>
      <c r="B74" s="0" t="s">
        <v>250</v>
      </c>
      <c r="C74" s="0" t="n">
        <v>3.417</v>
      </c>
      <c r="D74" s="0" t="n">
        <v>12.933</v>
      </c>
      <c r="E74" s="0" t="n">
        <v>2</v>
      </c>
      <c r="F74" s="0" t="s">
        <v>89</v>
      </c>
      <c r="G74" s="0" t="n">
        <v>24</v>
      </c>
      <c r="H74" s="0" t="n">
        <v>88.38</v>
      </c>
      <c r="I74" s="0" t="s">
        <v>251</v>
      </c>
      <c r="J74" s="0" t="s">
        <v>244</v>
      </c>
      <c r="K74" s="0" t="s">
        <v>65</v>
      </c>
    </row>
    <row r="75" customFormat="false" ht="15" hidden="false" customHeight="false" outlineLevel="0" collapsed="false">
      <c r="A75" s="0" t="s">
        <v>252</v>
      </c>
      <c r="B75" s="0" t="s">
        <v>253</v>
      </c>
      <c r="C75" s="0" t="n">
        <v>1.767</v>
      </c>
      <c r="D75" s="0" t="n">
        <v>12.921</v>
      </c>
      <c r="E75" s="0" t="n">
        <v>2</v>
      </c>
      <c r="F75" s="0" t="s">
        <v>89</v>
      </c>
      <c r="G75" s="0" t="n">
        <v>24</v>
      </c>
      <c r="H75" s="0" t="n">
        <v>45.66</v>
      </c>
      <c r="I75" s="0" t="s">
        <v>254</v>
      </c>
      <c r="J75" s="0" t="s">
        <v>244</v>
      </c>
      <c r="K75" s="0" t="s">
        <v>65</v>
      </c>
    </row>
    <row r="76" customFormat="false" ht="15" hidden="false" customHeight="false" outlineLevel="0" collapsed="false">
      <c r="A76" s="5" t="s">
        <v>255</v>
      </c>
    </row>
    <row r="77" customFormat="false" ht="15" hidden="false" customHeight="false" outlineLevel="0" collapsed="false">
      <c r="A77" s="0" t="s">
        <v>256</v>
      </c>
      <c r="B77" s="0" t="s">
        <v>257</v>
      </c>
      <c r="C77" s="0" t="n">
        <v>9.99</v>
      </c>
      <c r="D77" s="0" t="n">
        <v>12.825</v>
      </c>
      <c r="E77" s="0" t="n">
        <v>2</v>
      </c>
      <c r="F77" s="0" t="s">
        <v>89</v>
      </c>
      <c r="G77" s="0" t="n">
        <v>16</v>
      </c>
      <c r="H77" s="0" t="n">
        <v>256.24</v>
      </c>
      <c r="I77" s="0" t="s">
        <v>258</v>
      </c>
      <c r="J77" s="0" t="s">
        <v>259</v>
      </c>
      <c r="K77" s="0" t="s">
        <v>65</v>
      </c>
    </row>
    <row r="78" customFormat="false" ht="15" hidden="false" customHeight="false" outlineLevel="0" collapsed="false">
      <c r="A78" s="0" t="s">
        <v>260</v>
      </c>
      <c r="B78" s="0" t="s">
        <v>261</v>
      </c>
      <c r="C78" s="0" t="n">
        <v>13.74</v>
      </c>
      <c r="D78" s="0" t="n">
        <v>12.821</v>
      </c>
      <c r="E78" s="0" t="n">
        <v>2</v>
      </c>
      <c r="F78" s="0" t="s">
        <v>89</v>
      </c>
      <c r="G78" s="0" t="n">
        <v>16</v>
      </c>
      <c r="H78" s="0" t="n">
        <v>252.86</v>
      </c>
      <c r="I78" s="0" t="s">
        <v>262</v>
      </c>
      <c r="J78" s="0" t="s">
        <v>259</v>
      </c>
      <c r="K78" s="0" t="s">
        <v>65</v>
      </c>
    </row>
    <row r="79" customFormat="false" ht="15" hidden="false" customHeight="false" outlineLevel="0" collapsed="false">
      <c r="A79" s="0" t="s">
        <v>263</v>
      </c>
      <c r="B79" s="0" t="s">
        <v>264</v>
      </c>
      <c r="C79" s="0" t="n">
        <v>9.583</v>
      </c>
      <c r="D79" s="0" t="n">
        <v>12.696</v>
      </c>
      <c r="E79" s="0" t="n">
        <v>2</v>
      </c>
      <c r="F79" s="0" t="s">
        <v>89</v>
      </c>
      <c r="G79" s="0" t="n">
        <v>16</v>
      </c>
      <c r="H79" s="0" t="n">
        <v>243.34</v>
      </c>
      <c r="I79" s="0" t="s">
        <v>265</v>
      </c>
      <c r="J79" s="0" t="s">
        <v>259</v>
      </c>
      <c r="K79" s="0" t="s">
        <v>65</v>
      </c>
    </row>
    <row r="80" customFormat="false" ht="15" hidden="false" customHeight="false" outlineLevel="0" collapsed="false">
      <c r="A80" s="0" t="s">
        <v>266</v>
      </c>
      <c r="B80" s="0" t="s">
        <v>267</v>
      </c>
      <c r="C80" s="0" t="n">
        <v>11.729</v>
      </c>
      <c r="D80" s="0" t="n">
        <v>12.745</v>
      </c>
      <c r="E80" s="0" t="n">
        <v>2</v>
      </c>
      <c r="F80" s="0" t="s">
        <v>89</v>
      </c>
      <c r="G80" s="0" t="n">
        <v>16</v>
      </c>
      <c r="H80" s="0" t="n">
        <v>251.2</v>
      </c>
      <c r="I80" s="0" t="s">
        <v>268</v>
      </c>
      <c r="J80" s="0" t="s">
        <v>259</v>
      </c>
      <c r="K80" s="0" t="s">
        <v>65</v>
      </c>
    </row>
    <row r="81" customFormat="false" ht="15" hidden="false" customHeight="false" outlineLevel="0" collapsed="false">
      <c r="A81" s="0" t="s">
        <v>269</v>
      </c>
      <c r="B81" s="0" t="s">
        <v>270</v>
      </c>
      <c r="C81" s="0" t="n">
        <v>11.729</v>
      </c>
      <c r="D81" s="0" t="n">
        <v>12.665</v>
      </c>
      <c r="E81" s="0" t="n">
        <v>2</v>
      </c>
      <c r="F81" s="0" t="s">
        <v>89</v>
      </c>
      <c r="G81" s="0" t="n">
        <v>16</v>
      </c>
      <c r="H81" s="0" t="n">
        <v>297.09</v>
      </c>
      <c r="I81" s="0" t="s">
        <v>271</v>
      </c>
      <c r="J81" s="0" t="s">
        <v>259</v>
      </c>
      <c r="K81" s="0" t="s">
        <v>65</v>
      </c>
    </row>
    <row r="82" customFormat="false" ht="15" hidden="false" customHeight="false" outlineLevel="0" collapsed="false">
      <c r="A82" s="0" t="s">
        <v>272</v>
      </c>
      <c r="B82" s="0" t="s">
        <v>273</v>
      </c>
      <c r="C82" s="0" t="n">
        <v>3.5</v>
      </c>
      <c r="D82" s="0" t="n">
        <v>12.741</v>
      </c>
      <c r="E82" s="0" t="n">
        <v>2</v>
      </c>
      <c r="F82" s="0" t="s">
        <v>89</v>
      </c>
      <c r="G82" s="0" t="n">
        <v>16</v>
      </c>
      <c r="H82" s="0" t="n">
        <v>88.94</v>
      </c>
      <c r="I82" s="0" t="s">
        <v>274</v>
      </c>
      <c r="J82" s="0" t="s">
        <v>259</v>
      </c>
      <c r="K82" s="0" t="s">
        <v>65</v>
      </c>
    </row>
    <row r="83" customFormat="false" ht="15" hidden="false" customHeight="false" outlineLevel="0" collapsed="false">
      <c r="A83" s="5" t="s">
        <v>275</v>
      </c>
    </row>
    <row r="84" customFormat="false" ht="15" hidden="false" customHeight="false" outlineLevel="0" collapsed="false">
      <c r="A84" s="0" t="s">
        <v>276</v>
      </c>
      <c r="B84" s="0" t="s">
        <v>277</v>
      </c>
      <c r="C84" s="0" t="n">
        <v>5.667</v>
      </c>
      <c r="D84" s="0" t="n">
        <v>15.375</v>
      </c>
      <c r="E84" s="0" t="n">
        <v>2</v>
      </c>
      <c r="F84" s="0" t="s">
        <v>62</v>
      </c>
      <c r="G84" s="0" t="n">
        <v>16</v>
      </c>
      <c r="H84" s="0" t="n">
        <v>111.64</v>
      </c>
      <c r="I84" s="0" t="s">
        <v>278</v>
      </c>
      <c r="J84" s="0" t="s">
        <v>259</v>
      </c>
      <c r="K84" s="0" t="s">
        <v>65</v>
      </c>
    </row>
    <row r="85" customFormat="false" ht="15" hidden="false" customHeight="false" outlineLevel="0" collapsed="false">
      <c r="A85" s="0" t="s">
        <v>279</v>
      </c>
      <c r="B85" s="0" t="s">
        <v>280</v>
      </c>
      <c r="C85" s="0" t="n">
        <v>15.787</v>
      </c>
      <c r="D85" s="0" t="n">
        <v>12.863</v>
      </c>
      <c r="E85" s="0" t="n">
        <v>2</v>
      </c>
      <c r="F85" s="0" t="s">
        <v>62</v>
      </c>
      <c r="G85" s="0" t="n">
        <v>16</v>
      </c>
      <c r="H85" s="0" t="n">
        <v>257.67</v>
      </c>
      <c r="I85" s="0" t="s">
        <v>281</v>
      </c>
      <c r="J85" s="0" t="s">
        <v>259</v>
      </c>
      <c r="K85" s="0" t="s">
        <v>65</v>
      </c>
    </row>
    <row r="86" customFormat="false" ht="15" hidden="false" customHeight="false" outlineLevel="0" collapsed="false">
      <c r="A86" s="0" t="s">
        <v>282</v>
      </c>
      <c r="B86" s="0" t="s">
        <v>283</v>
      </c>
      <c r="C86" s="0" t="n">
        <v>5.542</v>
      </c>
      <c r="D86" s="0" t="n">
        <v>13.052</v>
      </c>
      <c r="E86" s="0" t="n">
        <v>2</v>
      </c>
      <c r="F86" s="0" t="s">
        <v>62</v>
      </c>
      <c r="G86" s="0" t="n">
        <v>16</v>
      </c>
      <c r="H86" s="0" t="n">
        <v>96.3</v>
      </c>
      <c r="I86" s="0" t="s">
        <v>284</v>
      </c>
      <c r="J86" s="0" t="s">
        <v>259</v>
      </c>
      <c r="K86" s="0" t="s">
        <v>65</v>
      </c>
    </row>
    <row r="87" customFormat="false" ht="15" hidden="false" customHeight="false" outlineLevel="0" collapsed="false">
      <c r="A87" s="0" t="s">
        <v>285</v>
      </c>
      <c r="B87" s="0" t="s">
        <v>286</v>
      </c>
      <c r="C87" s="0" t="n">
        <v>11.407</v>
      </c>
      <c r="D87" s="0" t="n">
        <v>12.773</v>
      </c>
      <c r="E87" s="0" t="n">
        <v>1.98</v>
      </c>
      <c r="F87" s="0" t="s">
        <v>62</v>
      </c>
      <c r="G87" s="0" t="n">
        <v>16</v>
      </c>
      <c r="H87" s="0" t="n">
        <v>286.13</v>
      </c>
      <c r="I87" s="0" t="s">
        <v>287</v>
      </c>
      <c r="J87" s="0" t="s">
        <v>259</v>
      </c>
      <c r="K87" s="0" t="s">
        <v>65</v>
      </c>
    </row>
    <row r="88" customFormat="false" ht="15" hidden="false" customHeight="false" outlineLevel="0" collapsed="false">
      <c r="B88" s="6" t="s">
        <v>288</v>
      </c>
      <c r="C88" s="4" t="n">
        <f aca="false">SUM(C5:C87)</f>
        <v>953.606</v>
      </c>
      <c r="H88" s="4" t="n">
        <f aca="false">SUM(H5:H87)</f>
        <v>15653.1</v>
      </c>
    </row>
    <row r="90" customFormat="false" ht="15" hidden="false" customHeight="false" outlineLevel="0" collapsed="false">
      <c r="A90" s="5" t="s">
        <v>289</v>
      </c>
    </row>
    <row r="91" customFormat="false" ht="15" hidden="false" customHeight="false" outlineLevel="0" collapsed="false">
      <c r="A91" s="0" t="s">
        <v>290</v>
      </c>
      <c r="B91" s="0" t="s">
        <v>291</v>
      </c>
      <c r="C91" s="0" t="n">
        <v>17.027</v>
      </c>
      <c r="D91" s="0" t="n">
        <v>4.375</v>
      </c>
      <c r="E91" s="0" t="n">
        <v>1</v>
      </c>
      <c r="F91" s="0" t="s">
        <v>89</v>
      </c>
      <c r="G91" s="0" t="n">
        <v>16</v>
      </c>
      <c r="H91" s="0" t="n">
        <v>17.03</v>
      </c>
      <c r="I91" s="0" t="s">
        <v>292</v>
      </c>
      <c r="J91" s="0" t="s">
        <v>293</v>
      </c>
      <c r="K91" s="0" t="s">
        <v>65</v>
      </c>
    </row>
    <row r="92" customFormat="false" ht="15" hidden="false" customHeight="false" outlineLevel="0" collapsed="false">
      <c r="A92" s="0" t="s">
        <v>294</v>
      </c>
      <c r="B92" s="0" t="s">
        <v>295</v>
      </c>
      <c r="C92" s="0" t="n">
        <v>30</v>
      </c>
      <c r="D92" s="0" t="n">
        <v>4.375</v>
      </c>
      <c r="E92" s="0" t="n">
        <v>1</v>
      </c>
      <c r="F92" s="0" t="s">
        <v>89</v>
      </c>
      <c r="G92" s="0" t="n">
        <v>16</v>
      </c>
      <c r="H92" s="0" t="n">
        <v>30</v>
      </c>
      <c r="I92" s="0" t="s">
        <v>292</v>
      </c>
      <c r="J92" s="0" t="s">
        <v>293</v>
      </c>
      <c r="K92" s="0" t="s">
        <v>65</v>
      </c>
    </row>
    <row r="93" customFormat="false" ht="15" hidden="false" customHeight="false" outlineLevel="0" collapsed="false">
      <c r="A93" s="0" t="s">
        <v>296</v>
      </c>
      <c r="B93" s="0" t="s">
        <v>297</v>
      </c>
      <c r="C93" s="0" t="n">
        <v>30</v>
      </c>
      <c r="D93" s="0" t="n">
        <v>4.375</v>
      </c>
      <c r="E93" s="0" t="n">
        <v>1</v>
      </c>
      <c r="F93" s="0" t="s">
        <v>89</v>
      </c>
      <c r="G93" s="0" t="n">
        <v>16</v>
      </c>
      <c r="H93" s="0" t="n">
        <v>30</v>
      </c>
      <c r="I93" s="0" t="s">
        <v>292</v>
      </c>
      <c r="J93" s="0" t="s">
        <v>293</v>
      </c>
      <c r="K93" s="0" t="s">
        <v>65</v>
      </c>
    </row>
    <row r="94" customFormat="false" ht="15" hidden="false" customHeight="false" outlineLevel="0" collapsed="false">
      <c r="A94" s="0" t="s">
        <v>298</v>
      </c>
      <c r="B94" s="0" t="s">
        <v>299</v>
      </c>
      <c r="C94" s="0" t="n">
        <v>3.527</v>
      </c>
      <c r="D94" s="0" t="n">
        <v>6.875</v>
      </c>
      <c r="E94" s="0" t="n">
        <v>3</v>
      </c>
      <c r="F94" s="0" t="s">
        <v>89</v>
      </c>
      <c r="G94" s="0" t="n">
        <v>16</v>
      </c>
      <c r="H94" s="0" t="n">
        <v>15.53</v>
      </c>
      <c r="I94" s="0" t="s">
        <v>300</v>
      </c>
      <c r="J94" s="0" t="s">
        <v>301</v>
      </c>
      <c r="K94" s="0" t="s">
        <v>65</v>
      </c>
    </row>
    <row r="95" customFormat="false" ht="15" hidden="false" customHeight="false" outlineLevel="0" collapsed="false">
      <c r="A95" s="0" t="s">
        <v>302</v>
      </c>
      <c r="B95" s="0" t="s">
        <v>303</v>
      </c>
      <c r="C95" s="0" t="n">
        <v>5.091</v>
      </c>
      <c r="D95" s="0" t="n">
        <v>6.375</v>
      </c>
      <c r="E95" s="0" t="n">
        <v>3</v>
      </c>
      <c r="F95" s="0" t="s">
        <v>89</v>
      </c>
      <c r="G95" s="0" t="n">
        <v>16</v>
      </c>
      <c r="H95" s="0" t="n">
        <v>19.89</v>
      </c>
      <c r="I95" s="0" t="s">
        <v>304</v>
      </c>
      <c r="J95" s="0" t="s">
        <v>301</v>
      </c>
      <c r="K95" s="0" t="s">
        <v>65</v>
      </c>
    </row>
    <row r="96" customFormat="false" ht="15" hidden="false" customHeight="false" outlineLevel="0" collapsed="false">
      <c r="A96" s="0" t="s">
        <v>305</v>
      </c>
      <c r="B96" s="0" t="s">
        <v>306</v>
      </c>
      <c r="C96" s="0" t="n">
        <v>6.529</v>
      </c>
      <c r="D96" s="0" t="n">
        <v>7.375</v>
      </c>
      <c r="E96" s="0" t="n">
        <v>1</v>
      </c>
      <c r="F96" s="0" t="s">
        <v>89</v>
      </c>
      <c r="G96" s="0" t="n">
        <v>16</v>
      </c>
      <c r="H96" s="0" t="n">
        <v>9.79</v>
      </c>
      <c r="I96" s="0" t="s">
        <v>307</v>
      </c>
      <c r="J96" s="0" t="s">
        <v>308</v>
      </c>
      <c r="K96" s="0" t="s">
        <v>65</v>
      </c>
    </row>
    <row r="97" customFormat="false" ht="15" hidden="false" customHeight="false" outlineLevel="0" collapsed="false">
      <c r="A97" s="0" t="s">
        <v>309</v>
      </c>
      <c r="B97" s="0" t="s">
        <v>310</v>
      </c>
      <c r="C97" s="0" t="n">
        <v>5.484</v>
      </c>
      <c r="D97" s="0" t="n">
        <v>4.996</v>
      </c>
      <c r="E97" s="0" t="n">
        <v>1</v>
      </c>
      <c r="F97" s="0" t="s">
        <v>89</v>
      </c>
      <c r="G97" s="0" t="n">
        <v>16</v>
      </c>
      <c r="H97" s="0" t="n">
        <v>8.23</v>
      </c>
      <c r="I97" s="0" t="s">
        <v>307</v>
      </c>
      <c r="J97" s="0" t="s">
        <v>308</v>
      </c>
      <c r="K97" s="0" t="s">
        <v>65</v>
      </c>
    </row>
    <row r="98" customFormat="false" ht="15" hidden="false" customHeight="false" outlineLevel="0" collapsed="false">
      <c r="A98" s="0" t="s">
        <v>311</v>
      </c>
      <c r="B98" s="0" t="s">
        <v>312</v>
      </c>
      <c r="C98" s="0" t="n">
        <v>6.529</v>
      </c>
      <c r="D98" s="0" t="n">
        <v>7.375</v>
      </c>
      <c r="E98" s="0" t="n">
        <v>1</v>
      </c>
      <c r="F98" s="0" t="s">
        <v>89</v>
      </c>
      <c r="G98" s="0" t="n">
        <v>16</v>
      </c>
      <c r="H98" s="0" t="n">
        <v>9.79</v>
      </c>
      <c r="I98" s="0" t="s">
        <v>187</v>
      </c>
      <c r="J98" s="0" t="s">
        <v>308</v>
      </c>
      <c r="K98" s="0" t="s">
        <v>65</v>
      </c>
    </row>
    <row r="99" customFormat="false" ht="15" hidden="false" customHeight="false" outlineLevel="0" collapsed="false">
      <c r="A99" s="0" t="s">
        <v>313</v>
      </c>
      <c r="B99" s="0" t="s">
        <v>314</v>
      </c>
      <c r="C99" s="0" t="n">
        <v>5.484</v>
      </c>
      <c r="D99" s="0" t="n">
        <v>4.996</v>
      </c>
      <c r="E99" s="0" t="n">
        <v>1</v>
      </c>
      <c r="F99" s="0" t="s">
        <v>89</v>
      </c>
      <c r="G99" s="0" t="n">
        <v>16</v>
      </c>
      <c r="H99" s="0" t="n">
        <v>8.23</v>
      </c>
      <c r="I99" s="0" t="s">
        <v>187</v>
      </c>
      <c r="J99" s="0" t="s">
        <v>308</v>
      </c>
      <c r="K99" s="0" t="s">
        <v>65</v>
      </c>
    </row>
    <row r="100" customFormat="false" ht="15" hidden="false" customHeight="false" outlineLevel="0" collapsed="false">
      <c r="A100" s="0" t="s">
        <v>315</v>
      </c>
      <c r="B100" s="0" t="s">
        <v>316</v>
      </c>
      <c r="C100" s="0" t="n">
        <v>57.54</v>
      </c>
      <c r="D100" s="0" t="n">
        <v>1.979</v>
      </c>
      <c r="E100" s="0" t="n">
        <v>0</v>
      </c>
      <c r="F100" s="0" t="s">
        <v>89</v>
      </c>
      <c r="G100" s="0" t="n">
        <v>16</v>
      </c>
      <c r="H100" s="0" t="n">
        <v>0</v>
      </c>
      <c r="I100" s="0" t="s">
        <v>316</v>
      </c>
      <c r="J100" s="0" t="s">
        <v>317</v>
      </c>
      <c r="K100" s="0" t="s">
        <v>65</v>
      </c>
    </row>
    <row r="101" customFormat="false" ht="15" hidden="false" customHeight="false" outlineLevel="0" collapsed="false">
      <c r="A101" s="0" t="s">
        <v>318</v>
      </c>
      <c r="B101" s="0" t="s">
        <v>319</v>
      </c>
      <c r="C101" s="0" t="n">
        <v>17.367</v>
      </c>
      <c r="D101" s="0" t="n">
        <v>1.979</v>
      </c>
      <c r="E101" s="0" t="n">
        <v>0</v>
      </c>
      <c r="F101" s="0" t="s">
        <v>89</v>
      </c>
      <c r="G101" s="0" t="n">
        <v>16</v>
      </c>
      <c r="H101" s="0" t="n">
        <v>0</v>
      </c>
      <c r="I101" s="0" t="s">
        <v>319</v>
      </c>
      <c r="J101" s="0" t="s">
        <v>320</v>
      </c>
      <c r="K101" s="0" t="s">
        <v>65</v>
      </c>
    </row>
    <row r="102" customFormat="false" ht="15" hidden="false" customHeight="false" outlineLevel="0" collapsed="false">
      <c r="A102" s="0" t="s">
        <v>321</v>
      </c>
      <c r="B102" s="0" t="s">
        <v>322</v>
      </c>
      <c r="C102" s="0" t="n">
        <v>55.997</v>
      </c>
      <c r="D102" s="0" t="n">
        <v>1.979</v>
      </c>
      <c r="E102" s="0" t="n">
        <v>0</v>
      </c>
      <c r="F102" s="0" t="s">
        <v>89</v>
      </c>
      <c r="G102" s="0" t="n">
        <v>16</v>
      </c>
      <c r="H102" s="0" t="n">
        <v>0</v>
      </c>
      <c r="I102" s="0" t="s">
        <v>322</v>
      </c>
      <c r="J102" s="0" t="s">
        <v>320</v>
      </c>
      <c r="K102" s="0" t="s">
        <v>65</v>
      </c>
    </row>
    <row r="103" customFormat="false" ht="15" hidden="false" customHeight="false" outlineLevel="0" collapsed="false">
      <c r="A103" s="0" t="s">
        <v>323</v>
      </c>
      <c r="B103" s="0" t="s">
        <v>324</v>
      </c>
      <c r="C103" s="0" t="n">
        <v>21.24</v>
      </c>
      <c r="D103" s="0" t="n">
        <v>1.979</v>
      </c>
      <c r="E103" s="0" t="n">
        <v>0</v>
      </c>
      <c r="F103" s="0" t="s">
        <v>89</v>
      </c>
      <c r="G103" s="0" t="n">
        <v>16</v>
      </c>
      <c r="H103" s="0" t="n">
        <v>0</v>
      </c>
      <c r="I103" s="0" t="s">
        <v>324</v>
      </c>
      <c r="J103" s="0" t="s">
        <v>320</v>
      </c>
      <c r="K103" s="0" t="s">
        <v>65</v>
      </c>
    </row>
    <row r="104" customFormat="false" ht="15" hidden="false" customHeight="false" outlineLevel="0" collapsed="false">
      <c r="A104" s="0" t="s">
        <v>325</v>
      </c>
      <c r="B104" s="0" t="s">
        <v>326</v>
      </c>
      <c r="C104" s="0" t="n">
        <v>2.73</v>
      </c>
      <c r="D104" s="0" t="n">
        <v>1.979</v>
      </c>
      <c r="E104" s="0" t="n">
        <v>0</v>
      </c>
      <c r="F104" s="0" t="s">
        <v>89</v>
      </c>
      <c r="G104" s="0" t="n">
        <v>16</v>
      </c>
      <c r="H104" s="0" t="n">
        <v>0</v>
      </c>
      <c r="I104" s="0" t="s">
        <v>326</v>
      </c>
      <c r="J104" s="0" t="s">
        <v>327</v>
      </c>
      <c r="K104" s="0" t="s">
        <v>65</v>
      </c>
    </row>
    <row r="105" customFormat="false" ht="15" hidden="false" customHeight="false" outlineLevel="0" collapsed="false">
      <c r="A105" s="0" t="s">
        <v>328</v>
      </c>
      <c r="B105" s="0" t="s">
        <v>329</v>
      </c>
      <c r="C105" s="0" t="n">
        <v>52.057</v>
      </c>
      <c r="D105" s="0" t="n">
        <v>1.979</v>
      </c>
      <c r="E105" s="0" t="n">
        <v>0</v>
      </c>
      <c r="F105" s="0" t="s">
        <v>89</v>
      </c>
      <c r="G105" s="0" t="n">
        <v>16</v>
      </c>
      <c r="H105" s="0" t="n">
        <v>0</v>
      </c>
      <c r="I105" s="0" t="s">
        <v>329</v>
      </c>
      <c r="J105" s="0" t="s">
        <v>327</v>
      </c>
      <c r="K105" s="0" t="s">
        <v>65</v>
      </c>
    </row>
    <row r="106" customFormat="false" ht="15" hidden="false" customHeight="false" outlineLevel="0" collapsed="false">
      <c r="A106" s="0" t="s">
        <v>330</v>
      </c>
      <c r="B106" s="0" t="s">
        <v>331</v>
      </c>
      <c r="C106" s="0" t="n">
        <v>2.73</v>
      </c>
      <c r="D106" s="0" t="n">
        <v>1.979</v>
      </c>
      <c r="E106" s="0" t="n">
        <v>0</v>
      </c>
      <c r="F106" s="0" t="s">
        <v>89</v>
      </c>
      <c r="G106" s="0" t="n">
        <v>16</v>
      </c>
      <c r="H106" s="0" t="n">
        <v>0</v>
      </c>
      <c r="I106" s="0" t="s">
        <v>331</v>
      </c>
      <c r="J106" s="0" t="s">
        <v>327</v>
      </c>
      <c r="K106" s="0" t="s">
        <v>65</v>
      </c>
    </row>
    <row r="107" customFormat="false" ht="15" hidden="false" customHeight="false" outlineLevel="0" collapsed="false">
      <c r="A107" s="0" t="s">
        <v>332</v>
      </c>
      <c r="B107" s="0" t="s">
        <v>333</v>
      </c>
      <c r="C107" s="0" t="n">
        <v>22.487</v>
      </c>
      <c r="D107" s="0" t="n">
        <v>1.979</v>
      </c>
      <c r="E107" s="0" t="n">
        <v>0</v>
      </c>
      <c r="F107" s="0" t="s">
        <v>89</v>
      </c>
      <c r="G107" s="0" t="n">
        <v>16</v>
      </c>
      <c r="H107" s="0" t="n">
        <v>0</v>
      </c>
      <c r="I107" s="0" t="s">
        <v>333</v>
      </c>
      <c r="J107" s="0" t="s">
        <v>327</v>
      </c>
      <c r="K107" s="0" t="s">
        <v>65</v>
      </c>
    </row>
    <row r="108" customFormat="false" ht="15" hidden="false" customHeight="false" outlineLevel="0" collapsed="false">
      <c r="A108" s="0" t="s">
        <v>334</v>
      </c>
      <c r="B108" s="0" t="s">
        <v>335</v>
      </c>
      <c r="C108" s="0" t="n">
        <v>2.823</v>
      </c>
      <c r="D108" s="0" t="n">
        <v>1.979</v>
      </c>
      <c r="E108" s="0" t="n">
        <v>0</v>
      </c>
      <c r="F108" s="0" t="s">
        <v>89</v>
      </c>
      <c r="G108" s="0" t="n">
        <v>16</v>
      </c>
      <c r="H108" s="0" t="n">
        <v>0</v>
      </c>
      <c r="I108" s="0" t="s">
        <v>335</v>
      </c>
      <c r="J108" s="0" t="s">
        <v>327</v>
      </c>
      <c r="K108" s="0" t="s">
        <v>65</v>
      </c>
    </row>
    <row r="109" customFormat="false" ht="15" hidden="false" customHeight="false" outlineLevel="0" collapsed="false">
      <c r="A109" s="0" t="s">
        <v>336</v>
      </c>
      <c r="B109" s="0" t="s">
        <v>337</v>
      </c>
      <c r="C109" s="0" t="n">
        <v>2.823</v>
      </c>
      <c r="D109" s="0" t="n">
        <v>1.979</v>
      </c>
      <c r="E109" s="0" t="n">
        <v>0</v>
      </c>
      <c r="F109" s="0" t="s">
        <v>89</v>
      </c>
      <c r="G109" s="0" t="n">
        <v>16</v>
      </c>
      <c r="H109" s="0" t="n">
        <v>0</v>
      </c>
      <c r="I109" s="0" t="s">
        <v>337</v>
      </c>
      <c r="J109" s="0" t="s">
        <v>327</v>
      </c>
      <c r="K109" s="0" t="s">
        <v>65</v>
      </c>
    </row>
    <row r="110" customFormat="false" ht="15" hidden="false" customHeight="false" outlineLevel="0" collapsed="false">
      <c r="A110" s="0" t="s">
        <v>338</v>
      </c>
      <c r="B110" s="0" t="s">
        <v>339</v>
      </c>
      <c r="C110" s="0" t="n">
        <v>15.647</v>
      </c>
      <c r="D110" s="0" t="n">
        <v>4.823</v>
      </c>
      <c r="E110" s="0" t="n">
        <v>1</v>
      </c>
      <c r="F110" s="0" t="s">
        <v>89</v>
      </c>
      <c r="G110" s="0" t="n">
        <v>16</v>
      </c>
      <c r="H110" s="0" t="n">
        <v>7.82</v>
      </c>
      <c r="I110" s="0" t="s">
        <v>340</v>
      </c>
      <c r="J110" s="0" t="s">
        <v>341</v>
      </c>
      <c r="K110" s="0" t="s">
        <v>65</v>
      </c>
    </row>
    <row r="111" customFormat="false" ht="15" hidden="false" customHeight="false" outlineLevel="0" collapsed="false">
      <c r="A111" s="0" t="s">
        <v>342</v>
      </c>
      <c r="B111" s="0" t="s">
        <v>343</v>
      </c>
      <c r="C111" s="0" t="n">
        <v>6.417</v>
      </c>
      <c r="D111" s="0" t="n">
        <v>3.831</v>
      </c>
      <c r="E111" s="0" t="n">
        <v>1</v>
      </c>
      <c r="F111" s="0" t="s">
        <v>89</v>
      </c>
      <c r="G111" s="0" t="n">
        <v>16</v>
      </c>
      <c r="H111" s="0" t="n">
        <v>9.63</v>
      </c>
      <c r="I111" s="0" t="s">
        <v>292</v>
      </c>
      <c r="J111" s="0" t="s">
        <v>344</v>
      </c>
      <c r="K111" s="0" t="s">
        <v>65</v>
      </c>
    </row>
    <row r="112" customFormat="false" ht="15" hidden="false" customHeight="false" outlineLevel="0" collapsed="false">
      <c r="A112" s="0" t="s">
        <v>345</v>
      </c>
      <c r="B112" s="0" t="s">
        <v>346</v>
      </c>
      <c r="C112" s="0" t="n">
        <v>13.333</v>
      </c>
      <c r="D112" s="0" t="n">
        <v>1.5</v>
      </c>
      <c r="E112" s="0" t="n">
        <v>2</v>
      </c>
      <c r="F112" s="0" t="s">
        <v>347</v>
      </c>
      <c r="G112" s="0" t="n">
        <v>16</v>
      </c>
      <c r="H112" s="0" t="n">
        <v>24.44</v>
      </c>
      <c r="I112" s="0" t="s">
        <v>348</v>
      </c>
      <c r="J112" s="0" t="s">
        <v>349</v>
      </c>
      <c r="K112" s="0" t="s">
        <v>81</v>
      </c>
    </row>
    <row r="113" customFormat="false" ht="15" hidden="false" customHeight="false" outlineLevel="0" collapsed="false">
      <c r="A113" s="0" t="s">
        <v>350</v>
      </c>
      <c r="B113" s="0" t="s">
        <v>351</v>
      </c>
      <c r="C113" s="0" t="n">
        <v>51.593</v>
      </c>
      <c r="D113" s="0" t="n">
        <v>3.113</v>
      </c>
      <c r="E113" s="0" t="n">
        <v>0</v>
      </c>
      <c r="F113" s="0" t="s">
        <v>89</v>
      </c>
      <c r="G113" s="0" t="n">
        <v>16</v>
      </c>
      <c r="H113" s="0" t="n">
        <v>0</v>
      </c>
      <c r="I113" s="0" t="s">
        <v>351</v>
      </c>
      <c r="J113" s="0" t="s">
        <v>352</v>
      </c>
      <c r="K113" s="0" t="s">
        <v>65</v>
      </c>
    </row>
    <row r="114" customFormat="false" ht="15" hidden="false" customHeight="false" outlineLevel="0" collapsed="false">
      <c r="A114" s="0" t="s">
        <v>353</v>
      </c>
      <c r="B114" s="0" t="s">
        <v>354</v>
      </c>
      <c r="C114" s="0" t="n">
        <v>51.593</v>
      </c>
      <c r="D114" s="0" t="n">
        <v>3.46</v>
      </c>
      <c r="E114" s="0" t="n">
        <v>1</v>
      </c>
      <c r="F114" s="0" t="s">
        <v>89</v>
      </c>
      <c r="G114" s="0" t="n">
        <v>16</v>
      </c>
      <c r="H114" s="0" t="n">
        <v>181.21</v>
      </c>
      <c r="I114" s="0" t="s">
        <v>355</v>
      </c>
      <c r="J114" s="0" t="s">
        <v>352</v>
      </c>
      <c r="K114" s="0" t="s">
        <v>65</v>
      </c>
    </row>
    <row r="115" customFormat="false" ht="15" hidden="false" customHeight="false" outlineLevel="0" collapsed="false">
      <c r="A115" s="0" t="s">
        <v>356</v>
      </c>
      <c r="B115" s="0" t="s">
        <v>357</v>
      </c>
      <c r="C115" s="0" t="n">
        <v>51.593</v>
      </c>
      <c r="D115" s="0" t="n">
        <v>1.131</v>
      </c>
      <c r="E115" s="0" t="n">
        <v>2</v>
      </c>
      <c r="F115" s="0" t="s">
        <v>89</v>
      </c>
      <c r="G115" s="0" t="n">
        <v>16</v>
      </c>
      <c r="H115" s="0" t="n">
        <v>127.66</v>
      </c>
      <c r="I115" s="0" t="s">
        <v>358</v>
      </c>
      <c r="J115" s="0" t="s">
        <v>352</v>
      </c>
      <c r="K115" s="0" t="s">
        <v>65</v>
      </c>
    </row>
    <row r="116" customFormat="false" ht="15" hidden="false" customHeight="false" outlineLevel="0" collapsed="false">
      <c r="A116" s="0" t="s">
        <v>359</v>
      </c>
      <c r="B116" s="0" t="s">
        <v>360</v>
      </c>
      <c r="C116" s="0" t="n">
        <v>12.563</v>
      </c>
      <c r="D116" s="0" t="n">
        <v>4.983</v>
      </c>
      <c r="E116" s="0" t="n">
        <v>1</v>
      </c>
      <c r="F116" s="0" t="s">
        <v>62</v>
      </c>
      <c r="G116" s="0" t="n">
        <v>16</v>
      </c>
      <c r="H116" s="0" t="n">
        <v>86.37</v>
      </c>
      <c r="I116" s="0" t="s">
        <v>190</v>
      </c>
      <c r="J116" s="0" t="s">
        <v>100</v>
      </c>
      <c r="K116" s="0" t="s">
        <v>65</v>
      </c>
    </row>
    <row r="117" customFormat="false" ht="15" hidden="false" customHeight="false" outlineLevel="0" collapsed="false">
      <c r="A117" s="0" t="s">
        <v>361</v>
      </c>
      <c r="B117" s="0" t="s">
        <v>362</v>
      </c>
      <c r="C117" s="0" t="n">
        <v>26.25</v>
      </c>
      <c r="D117" s="0" t="n">
        <v>4.525</v>
      </c>
      <c r="E117" s="0" t="n">
        <v>1</v>
      </c>
      <c r="F117" s="0" t="s">
        <v>62</v>
      </c>
      <c r="G117" s="0" t="n">
        <v>16</v>
      </c>
      <c r="H117" s="0" t="n">
        <v>180.47</v>
      </c>
      <c r="I117" s="0" t="s">
        <v>363</v>
      </c>
      <c r="J117" s="0" t="s">
        <v>103</v>
      </c>
      <c r="K117" s="0" t="s">
        <v>65</v>
      </c>
    </row>
    <row r="118" customFormat="false" ht="15" hidden="false" customHeight="false" outlineLevel="0" collapsed="false">
      <c r="A118" s="0" t="s">
        <v>364</v>
      </c>
      <c r="B118" s="0" t="s">
        <v>365</v>
      </c>
      <c r="C118" s="0" t="n">
        <v>6.5</v>
      </c>
      <c r="D118" s="0" t="n">
        <v>4.983</v>
      </c>
      <c r="E118" s="0" t="n">
        <v>1</v>
      </c>
      <c r="F118" s="0" t="s">
        <v>62</v>
      </c>
      <c r="G118" s="0" t="n">
        <v>16</v>
      </c>
      <c r="H118" s="0" t="n">
        <v>44.69</v>
      </c>
      <c r="I118" s="0" t="s">
        <v>190</v>
      </c>
      <c r="J118" s="0" t="s">
        <v>85</v>
      </c>
      <c r="K118" s="0" t="s">
        <v>65</v>
      </c>
    </row>
    <row r="119" customFormat="false" ht="15" hidden="false" customHeight="false" outlineLevel="0" collapsed="false">
      <c r="A119" s="0" t="s">
        <v>366</v>
      </c>
      <c r="B119" s="0" t="s">
        <v>367</v>
      </c>
      <c r="C119" s="0" t="n">
        <v>3.383</v>
      </c>
      <c r="D119" s="0" t="n">
        <v>14.358</v>
      </c>
      <c r="E119" s="0" t="n">
        <v>0</v>
      </c>
      <c r="F119" s="0" t="s">
        <v>62</v>
      </c>
      <c r="G119" s="0" t="n">
        <v>16</v>
      </c>
      <c r="H119" s="0" t="n">
        <v>0</v>
      </c>
      <c r="I119" s="0" t="s">
        <v>367</v>
      </c>
      <c r="J119" s="0" t="s">
        <v>368</v>
      </c>
      <c r="K119" s="0" t="s">
        <v>65</v>
      </c>
    </row>
    <row r="120" customFormat="false" ht="15" hidden="false" customHeight="false" outlineLevel="0" collapsed="false">
      <c r="A120" s="0" t="s">
        <v>369</v>
      </c>
      <c r="B120" s="0" t="s">
        <v>370</v>
      </c>
      <c r="C120" s="0" t="n">
        <v>2.977</v>
      </c>
      <c r="D120" s="0" t="n">
        <v>14.358</v>
      </c>
      <c r="E120" s="0" t="n">
        <v>0</v>
      </c>
      <c r="F120" s="0" t="s">
        <v>62</v>
      </c>
      <c r="G120" s="0" t="n">
        <v>16</v>
      </c>
      <c r="H120" s="0" t="n">
        <v>0</v>
      </c>
      <c r="I120" s="0" t="s">
        <v>370</v>
      </c>
      <c r="J120" s="0" t="s">
        <v>371</v>
      </c>
      <c r="K120" s="0" t="s">
        <v>65</v>
      </c>
    </row>
    <row r="121" customFormat="false" ht="15" hidden="false" customHeight="false" outlineLevel="0" collapsed="false">
      <c r="A121" s="0" t="s">
        <v>372</v>
      </c>
      <c r="B121" s="0" t="s">
        <v>373</v>
      </c>
      <c r="C121" s="0" t="n">
        <v>7.487</v>
      </c>
      <c r="D121" s="0" t="n">
        <v>12.193</v>
      </c>
      <c r="E121" s="0" t="n">
        <v>1.75</v>
      </c>
      <c r="F121" s="0" t="s">
        <v>89</v>
      </c>
      <c r="G121" s="0" t="n">
        <v>16</v>
      </c>
      <c r="H121" s="0" t="n">
        <v>117.72</v>
      </c>
      <c r="I121" s="0" t="s">
        <v>374</v>
      </c>
      <c r="J121" s="0" t="s">
        <v>203</v>
      </c>
      <c r="K121" s="0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10"/>
    <col collapsed="false" customWidth="true" hidden="false" outlineLevel="0" max="4" min="4" style="0" width="14"/>
    <col collapsed="false" customWidth="true" hidden="false" outlineLevel="0" max="6" min="5" style="0" width="10"/>
    <col collapsed="false" customWidth="true" hidden="false" outlineLevel="0" max="7" min="7" style="0" width="24"/>
    <col collapsed="false" customWidth="true" hidden="false" outlineLevel="0" max="8" min="8" style="0" width="30"/>
    <col collapsed="false" customWidth="true" hidden="false" outlineLevel="0" max="9" min="9" style="0" width="60"/>
    <col collapsed="false" customWidth="true" hidden="false" outlineLevel="0" max="10" min="10" style="0" width="28"/>
  </cols>
  <sheetData>
    <row r="1" customFormat="false" ht="16.15" hidden="false" customHeight="false" outlineLevel="0" collapsed="false">
      <c r="A1" s="1" t="s">
        <v>375</v>
      </c>
    </row>
    <row r="2" customFormat="false" ht="15" hidden="false" customHeight="false" outlineLevel="0" collapsed="false">
      <c r="A2" s="0" t="s">
        <v>376</v>
      </c>
    </row>
    <row r="3" customFormat="false" ht="15" hidden="false" customHeight="false" outlineLevel="0" collapsed="false">
      <c r="A3" s="2" t="s">
        <v>377</v>
      </c>
      <c r="B3" s="2" t="s">
        <v>378</v>
      </c>
      <c r="C3" s="2" t="s">
        <v>379</v>
      </c>
      <c r="D3" s="2" t="s">
        <v>380</v>
      </c>
      <c r="E3" s="2" t="s">
        <v>381</v>
      </c>
      <c r="F3" s="2" t="s">
        <v>382</v>
      </c>
      <c r="G3" s="2" t="s">
        <v>383</v>
      </c>
      <c r="H3" s="2" t="s">
        <v>384</v>
      </c>
      <c r="I3" s="2" t="s">
        <v>385</v>
      </c>
      <c r="J3" s="2" t="s">
        <v>386</v>
      </c>
    </row>
    <row r="4" customFormat="false" ht="15" hidden="false" customHeight="false" outlineLevel="0" collapsed="false">
      <c r="A4" s="0" t="s">
        <v>387</v>
      </c>
      <c r="B4" s="0" t="s">
        <v>388</v>
      </c>
      <c r="C4" s="0" t="n">
        <v>4594.98</v>
      </c>
      <c r="D4" s="0" t="n">
        <f aca="false">Inputs!$B$5</f>
        <v>0.15</v>
      </c>
      <c r="E4" s="0" t="n">
        <f aca="false">C4*D4</f>
        <v>689.247</v>
      </c>
      <c r="F4" s="0" t="n">
        <f aca="false">C4+E4</f>
        <v>5284.227</v>
      </c>
      <c r="G4" s="0" t="s">
        <v>389</v>
      </c>
      <c r="H4" s="0" t="n">
        <f aca="false">ROUNDUP(F4/Inputs!$B$10,0)</f>
        <v>265</v>
      </c>
      <c r="I4" s="0" t="s">
        <v>390</v>
      </c>
    </row>
    <row r="5" customFormat="false" ht="15" hidden="false" customHeight="false" outlineLevel="0" collapsed="false">
      <c r="A5" s="0" t="s">
        <v>391</v>
      </c>
      <c r="B5" s="0" t="s">
        <v>388</v>
      </c>
      <c r="C5" s="0" t="n">
        <v>6780.62</v>
      </c>
      <c r="D5" s="0" t="n">
        <f aca="false">Inputs!$B$5</f>
        <v>0.15</v>
      </c>
      <c r="E5" s="0" t="n">
        <f aca="false">C5*D5</f>
        <v>1017.093</v>
      </c>
      <c r="F5" s="0" t="n">
        <f aca="false">C5+E5</f>
        <v>7797.713</v>
      </c>
      <c r="G5" s="0" t="s">
        <v>389</v>
      </c>
      <c r="H5" s="0" t="n">
        <f aca="false">ROUNDUP(F5/Inputs!$B$10,0)</f>
        <v>390</v>
      </c>
      <c r="I5" s="0" t="s">
        <v>392</v>
      </c>
    </row>
    <row r="6" customFormat="false" ht="15" hidden="false" customHeight="false" outlineLevel="0" collapsed="false">
      <c r="A6" s="0" t="s">
        <v>393</v>
      </c>
      <c r="B6" s="0" t="s">
        <v>388</v>
      </c>
      <c r="C6" s="0" t="n">
        <v>3793.39</v>
      </c>
      <c r="D6" s="0" t="n">
        <f aca="false">Inputs!$B$5</f>
        <v>0.15</v>
      </c>
      <c r="E6" s="0" t="n">
        <f aca="false">C6*D6</f>
        <v>569.0085</v>
      </c>
      <c r="F6" s="0" t="n">
        <f aca="false">C6+E6</f>
        <v>4362.3985</v>
      </c>
      <c r="G6" s="0" t="s">
        <v>389</v>
      </c>
      <c r="H6" s="0" t="n">
        <f aca="false">ROUNDUP(F6/Inputs!$B$10,0)</f>
        <v>219</v>
      </c>
      <c r="I6" s="0" t="s">
        <v>394</v>
      </c>
    </row>
    <row r="7" customFormat="false" ht="15" hidden="false" customHeight="false" outlineLevel="0" collapsed="false">
      <c r="A7" s="0" t="s">
        <v>395</v>
      </c>
      <c r="B7" s="0" t="s">
        <v>388</v>
      </c>
      <c r="C7" s="0" t="n">
        <v>1001.47</v>
      </c>
      <c r="D7" s="0" t="n">
        <f aca="false">Inputs!$B$5</f>
        <v>0.15</v>
      </c>
      <c r="E7" s="0" t="n">
        <f aca="false">C7*D7</f>
        <v>150.2205</v>
      </c>
      <c r="F7" s="0" t="n">
        <f aca="false">C7+E7</f>
        <v>1151.6905</v>
      </c>
      <c r="G7" s="0" t="s">
        <v>389</v>
      </c>
      <c r="H7" s="0" t="n">
        <f aca="false">ROUNDUP(F7/Inputs!$B$10,0)</f>
        <v>58</v>
      </c>
      <c r="I7" s="0" t="s">
        <v>396</v>
      </c>
    </row>
    <row r="8" customFormat="false" ht="15" hidden="false" customHeight="false" outlineLevel="0" collapsed="false">
      <c r="A8" s="0" t="s">
        <v>397</v>
      </c>
      <c r="B8" s="0" t="s">
        <v>388</v>
      </c>
      <c r="C8" s="0" t="n">
        <v>1305.39</v>
      </c>
      <c r="D8" s="0" t="n">
        <f aca="false">Inputs!$B$5</f>
        <v>0.15</v>
      </c>
      <c r="E8" s="0" t="n">
        <f aca="false">C8*D8</f>
        <v>195.8085</v>
      </c>
      <c r="F8" s="0" t="n">
        <f aca="false">C8+E8</f>
        <v>1501.1985</v>
      </c>
      <c r="G8" s="0" t="s">
        <v>398</v>
      </c>
      <c r="H8" s="0" t="n">
        <f aca="false">ROUNDUP(F8/Inputs!$B$11,0)</f>
        <v>151</v>
      </c>
      <c r="I8" s="0" t="s">
        <v>399</v>
      </c>
    </row>
    <row r="9" customFormat="false" ht="15" hidden="false" customHeight="false" outlineLevel="0" collapsed="false">
      <c r="A9" s="0" t="s">
        <v>400</v>
      </c>
      <c r="B9" s="0" t="s">
        <v>388</v>
      </c>
      <c r="C9" s="0" t="n">
        <v>2508.08</v>
      </c>
      <c r="D9" s="0" t="n">
        <f aca="false">Inputs!$B$5</f>
        <v>0.15</v>
      </c>
      <c r="E9" s="0" t="n">
        <f aca="false">C9*D9</f>
        <v>376.212</v>
      </c>
      <c r="F9" s="0" t="n">
        <f aca="false">C9+E9</f>
        <v>2884.292</v>
      </c>
      <c r="G9" s="0" t="s">
        <v>401</v>
      </c>
      <c r="H9" s="0" t="n">
        <f aca="false">ROUNDUP(F9/Inputs!$B$16,0)</f>
        <v>181</v>
      </c>
      <c r="I9" s="0" t="s">
        <v>402</v>
      </c>
    </row>
    <row r="10" customFormat="false" ht="15" hidden="false" customHeight="false" outlineLevel="0" collapsed="false">
      <c r="A10" s="0" t="s">
        <v>403</v>
      </c>
      <c r="B10" s="0" t="s">
        <v>388</v>
      </c>
      <c r="C10" s="0" t="n">
        <v>192.92</v>
      </c>
      <c r="D10" s="0" t="n">
        <f aca="false">Inputs!$B$5</f>
        <v>0.15</v>
      </c>
      <c r="E10" s="0" t="n">
        <f aca="false">C10*D10</f>
        <v>28.938</v>
      </c>
      <c r="F10" s="0" t="n">
        <f aca="false">C10+E10</f>
        <v>221.858</v>
      </c>
      <c r="G10" s="0" t="s">
        <v>398</v>
      </c>
      <c r="H10" s="0" t="n">
        <f aca="false">ROUNDUP(F10/Inputs!$B$11,0)</f>
        <v>23</v>
      </c>
      <c r="I10" s="0" t="s">
        <v>404</v>
      </c>
    </row>
    <row r="11" customFormat="false" ht="15" hidden="false" customHeight="false" outlineLevel="0" collapsed="false">
      <c r="A11" s="0" t="s">
        <v>405</v>
      </c>
      <c r="B11" s="0" t="s">
        <v>388</v>
      </c>
      <c r="C11" s="0" t="n">
        <v>796.73</v>
      </c>
      <c r="D11" s="0" t="n">
        <f aca="false">Inputs!$B$5</f>
        <v>0.15</v>
      </c>
      <c r="E11" s="0" t="n">
        <f aca="false">C11*D11</f>
        <v>119.5095</v>
      </c>
      <c r="F11" s="0" t="n">
        <f aca="false">C11+E11</f>
        <v>916.2395</v>
      </c>
      <c r="G11" s="0" t="s">
        <v>389</v>
      </c>
      <c r="H11" s="0" t="n">
        <f aca="false">ROUNDUP(F11/Inputs!$B$10,0)</f>
        <v>46</v>
      </c>
      <c r="I11" s="0" t="s">
        <v>406</v>
      </c>
    </row>
    <row r="12" customFormat="false" ht="15" hidden="false" customHeight="false" outlineLevel="0" collapsed="false">
      <c r="A12" s="0" t="s">
        <v>407</v>
      </c>
      <c r="B12" s="0" t="s">
        <v>388</v>
      </c>
      <c r="C12" s="0" t="n">
        <v>115.58</v>
      </c>
      <c r="D12" s="0" t="n">
        <f aca="false">Inputs!$B$5</f>
        <v>0.15</v>
      </c>
      <c r="E12" s="0" t="n">
        <f aca="false">C12*D12</f>
        <v>17.337</v>
      </c>
      <c r="F12" s="0" t="n">
        <f aca="false">C12+E12</f>
        <v>132.917</v>
      </c>
      <c r="G12" s="0" t="s">
        <v>398</v>
      </c>
      <c r="H12" s="0" t="n">
        <f aca="false">ROUNDUP(F12/Inputs!$B$11,0)</f>
        <v>14</v>
      </c>
      <c r="I12" s="0" t="s">
        <v>408</v>
      </c>
    </row>
    <row r="13" customFormat="false" ht="15" hidden="false" customHeight="false" outlineLevel="0" collapsed="false">
      <c r="A13" s="0" t="s">
        <v>409</v>
      </c>
      <c r="B13" s="0" t="s">
        <v>388</v>
      </c>
      <c r="C13" s="0" t="n">
        <v>810.12</v>
      </c>
      <c r="D13" s="0" t="n">
        <f aca="false">Inputs!$B$5</f>
        <v>0.15</v>
      </c>
      <c r="E13" s="0" t="n">
        <f aca="false">C13*D13</f>
        <v>121.518</v>
      </c>
      <c r="F13" s="0" t="n">
        <f aca="false">C13+E13</f>
        <v>931.638</v>
      </c>
      <c r="G13" s="0" t="s">
        <v>410</v>
      </c>
      <c r="H13" s="0" t="n">
        <f aca="false">ROUNDUP(F13/Inputs!$B$17,0)</f>
        <v>78</v>
      </c>
      <c r="I13" s="0" t="s">
        <v>411</v>
      </c>
    </row>
    <row r="14" customFormat="false" ht="15" hidden="false" customHeight="false" outlineLevel="0" collapsed="false">
      <c r="A14" s="0" t="s">
        <v>412</v>
      </c>
      <c r="B14" s="0" t="s">
        <v>388</v>
      </c>
      <c r="C14" s="0" t="n">
        <v>316.81</v>
      </c>
      <c r="D14" s="0" t="n">
        <f aca="false">Inputs!$B$5</f>
        <v>0.15</v>
      </c>
      <c r="E14" s="0" t="n">
        <f aca="false">C14*D14</f>
        <v>47.5215</v>
      </c>
      <c r="F14" s="0" t="n">
        <f aca="false">C14+E14</f>
        <v>364.3315</v>
      </c>
      <c r="G14" s="0" t="s">
        <v>401</v>
      </c>
      <c r="H14" s="0" t="n">
        <f aca="false">ROUNDUP(F14/Inputs!$B$16,0)</f>
        <v>23</v>
      </c>
      <c r="I14" s="0" t="s">
        <v>413</v>
      </c>
    </row>
    <row r="15" customFormat="false" ht="15" hidden="false" customHeight="false" outlineLevel="0" collapsed="false">
      <c r="A15" s="0" t="s">
        <v>414</v>
      </c>
      <c r="B15" s="0" t="s">
        <v>388</v>
      </c>
      <c r="C15" s="0" t="n">
        <v>530.14</v>
      </c>
      <c r="D15" s="0" t="n">
        <f aca="false">Inputs!$B$6</f>
        <v>0.06</v>
      </c>
      <c r="E15" s="0" t="n">
        <f aca="false">C15*D15</f>
        <v>31.8084</v>
      </c>
      <c r="F15" s="0" t="n">
        <f aca="false">C15+E15</f>
        <v>561.9484</v>
      </c>
      <c r="G15" s="0" t="s">
        <v>32</v>
      </c>
      <c r="H15" s="0" t="n">
        <f aca="false">ROUNDUP(F15,0)</f>
        <v>562</v>
      </c>
      <c r="I15" s="0" t="s">
        <v>415</v>
      </c>
    </row>
    <row r="16" customFormat="false" ht="15" hidden="false" customHeight="false" outlineLevel="0" collapsed="false">
      <c r="A16" s="0" t="s">
        <v>416</v>
      </c>
      <c r="B16" s="0" t="s">
        <v>417</v>
      </c>
      <c r="C16" s="0" t="n">
        <v>17293.61</v>
      </c>
      <c r="D16" s="0" t="n">
        <f aca="false">Inputs!$B$6</f>
        <v>0.06</v>
      </c>
      <c r="E16" s="0" t="n">
        <f aca="false">C16*D16</f>
        <v>1037.6166</v>
      </c>
      <c r="F16" s="0" t="n">
        <f aca="false">C16+E16</f>
        <v>18331.2266</v>
      </c>
      <c r="G16" s="0" t="s">
        <v>418</v>
      </c>
      <c r="H16" s="0" t="n">
        <f aca="false">ROUNDUP(F16/Inputs!$B$9,0)</f>
        <v>382</v>
      </c>
      <c r="I16" s="0" t="s">
        <v>419</v>
      </c>
    </row>
    <row r="17" customFormat="false" ht="15" hidden="false" customHeight="false" outlineLevel="0" collapsed="false">
      <c r="A17" s="0" t="s">
        <v>420</v>
      </c>
      <c r="B17" s="0" t="s">
        <v>417</v>
      </c>
      <c r="C17" s="0" t="n">
        <v>259.02</v>
      </c>
      <c r="D17" s="0" t="n">
        <f aca="false">Inputs!$B$6</f>
        <v>0.06</v>
      </c>
      <c r="E17" s="0" t="n">
        <f aca="false">C17*D17</f>
        <v>15.5412</v>
      </c>
      <c r="F17" s="0" t="n">
        <f aca="false">C17+E17</f>
        <v>274.5612</v>
      </c>
      <c r="G17" s="0" t="s">
        <v>418</v>
      </c>
      <c r="H17" s="0" t="n">
        <f aca="false">ROUNDUP(F17/Inputs!$B$9,0)</f>
        <v>6</v>
      </c>
      <c r="I17" s="0" t="s">
        <v>421</v>
      </c>
    </row>
    <row r="18" customFormat="false" ht="15" hidden="false" customHeight="false" outlineLevel="0" collapsed="false">
      <c r="A18" s="0" t="s">
        <v>422</v>
      </c>
      <c r="B18" s="0" t="s">
        <v>417</v>
      </c>
      <c r="C18" s="0" t="n">
        <v>83.15</v>
      </c>
      <c r="D18" s="0" t="n">
        <f aca="false">Inputs!$B$6</f>
        <v>0.06</v>
      </c>
      <c r="E18" s="0" t="n">
        <f aca="false">C18*D18</f>
        <v>4.989</v>
      </c>
      <c r="F18" s="0" t="n">
        <f aca="false">C18+E18</f>
        <v>88.139</v>
      </c>
      <c r="G18" s="0" t="s">
        <v>423</v>
      </c>
      <c r="H18" s="0" t="n">
        <f aca="false">ROUNDUP(F18/Inputs!$B$9,0)</f>
        <v>2</v>
      </c>
      <c r="I18" s="0" t="s">
        <v>424</v>
      </c>
    </row>
    <row r="19" customFormat="false" ht="15" hidden="false" customHeight="false" outlineLevel="0" collapsed="false">
      <c r="A19" s="0" t="s">
        <v>425</v>
      </c>
      <c r="B19" s="0" t="s">
        <v>417</v>
      </c>
      <c r="C19" s="0" t="n">
        <v>63.61</v>
      </c>
      <c r="D19" s="0" t="n">
        <f aca="false">Inputs!$B$6</f>
        <v>0.06</v>
      </c>
      <c r="E19" s="0" t="n">
        <f aca="false">C19*D19</f>
        <v>3.8166</v>
      </c>
      <c r="F19" s="0" t="n">
        <f aca="false">C19+E19</f>
        <v>67.4266</v>
      </c>
      <c r="G19" s="0" t="s">
        <v>418</v>
      </c>
      <c r="H19" s="0" t="n">
        <f aca="false">ROUNDUP(F19/Inputs!$B$9,0)</f>
        <v>2</v>
      </c>
      <c r="I19" s="0" t="s">
        <v>426</v>
      </c>
    </row>
    <row r="20" customFormat="false" ht="15" hidden="false" customHeight="false" outlineLevel="0" collapsed="false">
      <c r="A20" s="0" t="s">
        <v>427</v>
      </c>
      <c r="B20" s="0" t="s">
        <v>417</v>
      </c>
      <c r="C20" s="0" t="n">
        <v>479.42</v>
      </c>
      <c r="D20" s="0" t="n">
        <f aca="false">Inputs!$B$6</f>
        <v>0.06</v>
      </c>
      <c r="E20" s="0" t="n">
        <f aca="false">C20*D20</f>
        <v>28.7652</v>
      </c>
      <c r="F20" s="0" t="n">
        <f aca="false">C20+E20</f>
        <v>508.1852</v>
      </c>
      <c r="G20" s="0" t="s">
        <v>418</v>
      </c>
      <c r="H20" s="0" t="n">
        <f aca="false">ROUNDUP(F20/Inputs!$B$9,0)</f>
        <v>11</v>
      </c>
      <c r="I20" s="0" t="s">
        <v>428</v>
      </c>
    </row>
    <row r="21" customFormat="false" ht="15" hidden="false" customHeight="false" outlineLevel="0" collapsed="false">
      <c r="A21" s="0" t="s">
        <v>429</v>
      </c>
      <c r="B21" s="0" t="s">
        <v>417</v>
      </c>
      <c r="C21" s="0" t="n">
        <v>811.29</v>
      </c>
      <c r="D21" s="0" t="n">
        <f aca="false">Inputs!$B$6</f>
        <v>0.06</v>
      </c>
      <c r="E21" s="0" t="n">
        <f aca="false">C21*D21</f>
        <v>48.6774</v>
      </c>
      <c r="F21" s="0" t="n">
        <f aca="false">C21+E21</f>
        <v>859.9674</v>
      </c>
      <c r="G21" s="0" t="s">
        <v>418</v>
      </c>
      <c r="H21" s="0" t="n">
        <f aca="false">ROUNDUP(F21/Inputs!$B$9,0)</f>
        <v>18</v>
      </c>
      <c r="I21" s="0" t="s">
        <v>430</v>
      </c>
    </row>
    <row r="22" customFormat="false" ht="15" hidden="false" customHeight="false" outlineLevel="0" collapsed="false">
      <c r="A22" s="0" t="s">
        <v>431</v>
      </c>
      <c r="B22" s="0" t="s">
        <v>388</v>
      </c>
      <c r="C22" s="0" t="n">
        <v>785.91</v>
      </c>
      <c r="D22" s="0" t="n">
        <f aca="false">Inputs!$B$6</f>
        <v>0.06</v>
      </c>
      <c r="E22" s="0" t="n">
        <f aca="false">C22*D22</f>
        <v>47.1546</v>
      </c>
      <c r="F22" s="0" t="n">
        <f aca="false">C22+E22</f>
        <v>833.0646</v>
      </c>
      <c r="H22" s="0" t="n">
        <f aca="false">ROUNDUP(F22,0)</f>
        <v>834</v>
      </c>
      <c r="I22" s="0" t="s">
        <v>432</v>
      </c>
    </row>
    <row r="23" customFormat="false" ht="15" hidden="false" customHeight="false" outlineLevel="0" collapsed="false">
      <c r="A23" s="0" t="s">
        <v>433</v>
      </c>
      <c r="B23" s="0" t="s">
        <v>388</v>
      </c>
      <c r="C23" s="0" t="n">
        <v>717.27</v>
      </c>
      <c r="D23" s="0" t="n">
        <f aca="false">Inputs!$B$5</f>
        <v>0.15</v>
      </c>
      <c r="E23" s="0" t="n">
        <f aca="false">C23*D23</f>
        <v>107.5905</v>
      </c>
      <c r="F23" s="0" t="n">
        <f aca="false">C23+E23</f>
        <v>824.8605</v>
      </c>
      <c r="G23" s="0" t="s">
        <v>389</v>
      </c>
      <c r="H23" s="0" t="n">
        <f aca="false">ROUNDUP(F23/Inputs!$B$10,0)</f>
        <v>42</v>
      </c>
      <c r="I23" s="0" t="s">
        <v>434</v>
      </c>
    </row>
    <row r="24" customFormat="false" ht="15" hidden="false" customHeight="false" outlineLevel="0" collapsed="false">
      <c r="A24" s="0" t="s">
        <v>435</v>
      </c>
      <c r="B24" s="0" t="s">
        <v>388</v>
      </c>
      <c r="C24" s="0" t="n">
        <v>89.15</v>
      </c>
      <c r="D24" s="0" t="n">
        <f aca="false">Inputs!$B$5</f>
        <v>0.15</v>
      </c>
      <c r="E24" s="0" t="n">
        <f aca="false">C24*D24</f>
        <v>13.3725</v>
      </c>
      <c r="F24" s="0" t="n">
        <f aca="false">C24+E24</f>
        <v>102.5225</v>
      </c>
      <c r="G24" s="0" t="s">
        <v>389</v>
      </c>
      <c r="H24" s="0" t="n">
        <f aca="false">ROUNDUP(F24/Inputs!$B$10,0)</f>
        <v>6</v>
      </c>
      <c r="I24" s="0" t="s">
        <v>436</v>
      </c>
    </row>
    <row r="25" customFormat="false" ht="15" hidden="false" customHeight="false" outlineLevel="0" collapsed="false">
      <c r="A25" s="0" t="s">
        <v>437</v>
      </c>
      <c r="B25" s="0" t="s">
        <v>388</v>
      </c>
      <c r="C25" s="0" t="n">
        <v>1153.05</v>
      </c>
      <c r="D25" s="0" t="n">
        <f aca="false">Inputs!$B$6</f>
        <v>0.06</v>
      </c>
      <c r="E25" s="0" t="n">
        <f aca="false">C25*D25</f>
        <v>69.183</v>
      </c>
      <c r="F25" s="0" t="n">
        <f aca="false">C25+E25</f>
        <v>1222.233</v>
      </c>
      <c r="G25" s="0" t="s">
        <v>438</v>
      </c>
      <c r="H25" s="0" t="n">
        <f aca="false">ROUNDUP(F25/Inputs!$B$18,0)</f>
        <v>123</v>
      </c>
      <c r="I25" s="0" t="s">
        <v>439</v>
      </c>
    </row>
    <row r="26" customFormat="false" ht="15" hidden="false" customHeight="false" outlineLevel="0" collapsed="false">
      <c r="A26" s="0" t="s">
        <v>440</v>
      </c>
      <c r="B26" s="0" t="s">
        <v>417</v>
      </c>
      <c r="C26" s="0" t="n">
        <v>31.46</v>
      </c>
      <c r="D26" s="0" t="n">
        <f aca="false">Inputs!$B$6</f>
        <v>0.06</v>
      </c>
      <c r="E26" s="0" t="n">
        <f aca="false">C26*D26</f>
        <v>1.8876</v>
      </c>
      <c r="F26" s="0" t="n">
        <f aca="false">C26+E26</f>
        <v>33.3476</v>
      </c>
      <c r="G26" s="0" t="s">
        <v>423</v>
      </c>
      <c r="H26" s="0" t="n">
        <f aca="false">ROUNDUP(F26/Inputs!$B$9,0)</f>
        <v>1</v>
      </c>
      <c r="I26" s="0" t="s">
        <v>441</v>
      </c>
    </row>
    <row r="27" customFormat="false" ht="15" hidden="false" customHeight="false" outlineLevel="0" collapsed="false">
      <c r="A27" s="0" t="s">
        <v>442</v>
      </c>
      <c r="B27" s="0" t="s">
        <v>417</v>
      </c>
      <c r="C27" s="0" t="n">
        <v>330.58</v>
      </c>
      <c r="D27" s="0" t="n">
        <f aca="false">Inputs!$B$6</f>
        <v>0.06</v>
      </c>
      <c r="E27" s="0" t="n">
        <f aca="false">C27*D27</f>
        <v>19.8348</v>
      </c>
      <c r="F27" s="0" t="n">
        <f aca="false">C27+E27</f>
        <v>350.4148</v>
      </c>
      <c r="G27" s="0" t="s">
        <v>423</v>
      </c>
      <c r="H27" s="0" t="n">
        <f aca="false">ROUNDUP(F27/Inputs!$B$9,0)</f>
        <v>8</v>
      </c>
      <c r="I27" s="0" t="s">
        <v>443</v>
      </c>
    </row>
    <row r="28" customFormat="false" ht="15" hidden="false" customHeight="false" outlineLevel="0" collapsed="false">
      <c r="A28" s="0" t="s">
        <v>444</v>
      </c>
      <c r="B28" s="0" t="s">
        <v>388</v>
      </c>
      <c r="C28" s="0" t="n">
        <v>220.61</v>
      </c>
      <c r="D28" s="0" t="n">
        <f aca="false">Inputs!$B$6</f>
        <v>0.06</v>
      </c>
      <c r="E28" s="0" t="n">
        <f aca="false">C28*D28</f>
        <v>13.2366</v>
      </c>
      <c r="F28" s="0" t="n">
        <f aca="false">C28+E28</f>
        <v>233.8466</v>
      </c>
      <c r="G28" s="0" t="s">
        <v>445</v>
      </c>
      <c r="H28" s="0" t="n">
        <f aca="false">ROUNDUP(F28/Inputs!$B$15,0)</f>
        <v>10</v>
      </c>
      <c r="I28" s="0" t="s">
        <v>446</v>
      </c>
    </row>
    <row r="29" customFormat="false" ht="15" hidden="false" customHeight="false" outlineLevel="0" collapsed="false">
      <c r="A29" s="0" t="s">
        <v>447</v>
      </c>
      <c r="B29" s="0" t="s">
        <v>388</v>
      </c>
      <c r="C29" s="0" t="n">
        <v>955.62</v>
      </c>
      <c r="D29" s="0" t="n">
        <f aca="false">Inputs!$B$5</f>
        <v>0.15</v>
      </c>
      <c r="E29" s="0" t="n">
        <f aca="false">C29*D29</f>
        <v>143.343</v>
      </c>
      <c r="F29" s="0" t="n">
        <f aca="false">C29+E29</f>
        <v>1098.963</v>
      </c>
      <c r="G29" s="0" t="s">
        <v>389</v>
      </c>
      <c r="H29" s="0" t="n">
        <f aca="false">ROUNDUP(F29/Inputs!$B$10,0)</f>
        <v>55</v>
      </c>
      <c r="I29" s="0" t="s">
        <v>448</v>
      </c>
    </row>
    <row r="30" customFormat="false" ht="15" hidden="false" customHeight="false" outlineLevel="0" collapsed="false">
      <c r="A30" s="0" t="s">
        <v>449</v>
      </c>
      <c r="B30" s="0" t="s">
        <v>388</v>
      </c>
      <c r="C30" s="0" t="n">
        <v>176.84</v>
      </c>
      <c r="D30" s="0" t="n">
        <f aca="false">Inputs!$B$5</f>
        <v>0.15</v>
      </c>
      <c r="E30" s="0" t="n">
        <f aca="false">C30*D30</f>
        <v>26.526</v>
      </c>
      <c r="F30" s="0" t="n">
        <f aca="false">C30+E30</f>
        <v>203.366</v>
      </c>
      <c r="G30" s="0" t="s">
        <v>398</v>
      </c>
      <c r="H30" s="0" t="n">
        <f aca="false">ROUNDUP(F30/Inputs!$B$11,0)</f>
        <v>21</v>
      </c>
      <c r="I30" s="0" t="s">
        <v>450</v>
      </c>
    </row>
    <row r="31" customFormat="false" ht="15" hidden="false" customHeight="false" outlineLevel="0" collapsed="false">
      <c r="A31" s="0" t="s">
        <v>451</v>
      </c>
      <c r="B31" s="0" t="s">
        <v>388</v>
      </c>
      <c r="C31" s="0" t="n">
        <v>85.05</v>
      </c>
      <c r="D31" s="0" t="n">
        <f aca="false">Inputs!$B$5</f>
        <v>0.15</v>
      </c>
      <c r="E31" s="0" t="n">
        <f aca="false">C31*D31</f>
        <v>12.7575</v>
      </c>
      <c r="F31" s="0" t="n">
        <f aca="false">C31+E31</f>
        <v>97.8075</v>
      </c>
      <c r="G31" s="0" t="s">
        <v>398</v>
      </c>
      <c r="H31" s="0" t="n">
        <f aca="false">ROUNDUP(F31/Inputs!$B$11,0)</f>
        <v>10</v>
      </c>
      <c r="I31" s="0" t="s">
        <v>450</v>
      </c>
    </row>
    <row r="32" customFormat="false" ht="15" hidden="false" customHeight="false" outlineLevel="0" collapsed="false">
      <c r="A32" s="0" t="s">
        <v>452</v>
      </c>
      <c r="B32" s="0" t="s">
        <v>388</v>
      </c>
      <c r="C32" s="0" t="n">
        <v>300.84</v>
      </c>
      <c r="D32" s="0" t="n">
        <f aca="false">Inputs!$B$5</f>
        <v>0.15</v>
      </c>
      <c r="E32" s="0" t="n">
        <f aca="false">C32*D32</f>
        <v>45.126</v>
      </c>
      <c r="F32" s="0" t="n">
        <f aca="false">C32+E32</f>
        <v>345.966</v>
      </c>
      <c r="G32" s="0" t="s">
        <v>398</v>
      </c>
      <c r="H32" s="0" t="n">
        <f aca="false">ROUNDUP(F32/Inputs!$B$11,0)</f>
        <v>35</v>
      </c>
      <c r="I32" s="0" t="s">
        <v>450</v>
      </c>
    </row>
    <row r="33" customFormat="false" ht="15" hidden="false" customHeight="false" outlineLevel="0" collapsed="false">
      <c r="A33" s="0" t="s">
        <v>453</v>
      </c>
      <c r="B33" s="0" t="s">
        <v>388</v>
      </c>
      <c r="C33" s="0" t="n">
        <v>225.99</v>
      </c>
      <c r="D33" s="0" t="n">
        <f aca="false">Inputs!$B$5</f>
        <v>0.15</v>
      </c>
      <c r="E33" s="0" t="n">
        <f aca="false">C33*D33</f>
        <v>33.8985</v>
      </c>
      <c r="F33" s="0" t="n">
        <f aca="false">C33+E33</f>
        <v>259.8885</v>
      </c>
      <c r="G33" s="0" t="s">
        <v>398</v>
      </c>
      <c r="H33" s="0" t="n">
        <f aca="false">ROUNDUP(F33/Inputs!$B$11,0)</f>
        <v>26</v>
      </c>
      <c r="I33" s="0" t="s">
        <v>450</v>
      </c>
    </row>
    <row r="34" customFormat="false" ht="15" hidden="false" customHeight="false" outlineLevel="0" collapsed="false">
      <c r="A34" s="0" t="s">
        <v>454</v>
      </c>
      <c r="B34" s="0" t="s">
        <v>388</v>
      </c>
      <c r="C34" s="0" t="n">
        <v>269.19</v>
      </c>
      <c r="D34" s="0" t="n">
        <f aca="false">Inputs!$B$5</f>
        <v>0.15</v>
      </c>
      <c r="E34" s="0" t="n">
        <f aca="false">C34*D34</f>
        <v>40.3785</v>
      </c>
      <c r="F34" s="0" t="n">
        <f aca="false">C34+E34</f>
        <v>309.5685</v>
      </c>
      <c r="G34" s="0" t="s">
        <v>398</v>
      </c>
      <c r="H34" s="0" t="n">
        <f aca="false">ROUNDUP(F34/Inputs!$B$11,0)</f>
        <v>31</v>
      </c>
      <c r="I34" s="0" t="s">
        <v>450</v>
      </c>
    </row>
    <row r="35" customFormat="false" ht="15" hidden="false" customHeight="false" outlineLevel="0" collapsed="false">
      <c r="A35" s="0" t="s">
        <v>455</v>
      </c>
      <c r="B35" s="0" t="s">
        <v>388</v>
      </c>
      <c r="C35" s="0" t="n">
        <v>290.1</v>
      </c>
      <c r="D35" s="0" t="n">
        <f aca="false">Inputs!$B$5</f>
        <v>0.15</v>
      </c>
      <c r="E35" s="0" t="n">
        <f aca="false">C35*D35</f>
        <v>43.515</v>
      </c>
      <c r="F35" s="0" t="n">
        <f aca="false">C35+E35</f>
        <v>333.615</v>
      </c>
      <c r="G35" s="0" t="s">
        <v>398</v>
      </c>
      <c r="H35" s="0" t="n">
        <f aca="false">ROUNDUP(F35/Inputs!$B$11,0)</f>
        <v>34</v>
      </c>
      <c r="I35" s="0" t="s">
        <v>450</v>
      </c>
    </row>
    <row r="36" customFormat="false" ht="15" hidden="false" customHeight="false" outlineLevel="0" collapsed="false">
      <c r="A36" s="0" t="s">
        <v>456</v>
      </c>
      <c r="B36" s="0" t="s">
        <v>388</v>
      </c>
      <c r="C36" s="0" t="n">
        <v>176.84</v>
      </c>
      <c r="D36" s="0" t="n">
        <f aca="false">Inputs!$B$5</f>
        <v>0.15</v>
      </c>
      <c r="E36" s="0" t="n">
        <f aca="false">C36*D36</f>
        <v>26.526</v>
      </c>
      <c r="F36" s="0" t="n">
        <f aca="false">C36+E36</f>
        <v>203.366</v>
      </c>
      <c r="G36" s="0" t="s">
        <v>398</v>
      </c>
      <c r="H36" s="0" t="n">
        <f aca="false">ROUNDUP(F36/Inputs!$B$11,0)</f>
        <v>21</v>
      </c>
      <c r="I36" s="0" t="s">
        <v>457</v>
      </c>
    </row>
    <row r="37" customFormat="false" ht="15" hidden="false" customHeight="false" outlineLevel="0" collapsed="false">
      <c r="A37" s="0" t="s">
        <v>458</v>
      </c>
      <c r="B37" s="0" t="s">
        <v>388</v>
      </c>
      <c r="C37" s="0" t="n">
        <v>85.05</v>
      </c>
      <c r="D37" s="0" t="n">
        <f aca="false">Inputs!$B$5</f>
        <v>0.15</v>
      </c>
      <c r="E37" s="0" t="n">
        <f aca="false">C37*D37</f>
        <v>12.7575</v>
      </c>
      <c r="F37" s="0" t="n">
        <f aca="false">C37+E37</f>
        <v>97.8075</v>
      </c>
      <c r="G37" s="0" t="s">
        <v>398</v>
      </c>
      <c r="H37" s="0" t="n">
        <f aca="false">ROUNDUP(F37/Inputs!$B$11,0)</f>
        <v>10</v>
      </c>
      <c r="I37" s="0" t="s">
        <v>457</v>
      </c>
    </row>
    <row r="38" customFormat="false" ht="15" hidden="false" customHeight="false" outlineLevel="0" collapsed="false">
      <c r="A38" s="0" t="s">
        <v>459</v>
      </c>
      <c r="B38" s="0" t="s">
        <v>388</v>
      </c>
      <c r="C38" s="0" t="n">
        <v>300.84</v>
      </c>
      <c r="D38" s="0" t="n">
        <f aca="false">Inputs!$B$5</f>
        <v>0.15</v>
      </c>
      <c r="E38" s="0" t="n">
        <f aca="false">C38*D38</f>
        <v>45.126</v>
      </c>
      <c r="F38" s="0" t="n">
        <f aca="false">C38+E38</f>
        <v>345.966</v>
      </c>
      <c r="G38" s="0" t="s">
        <v>398</v>
      </c>
      <c r="H38" s="0" t="n">
        <f aca="false">ROUNDUP(F38/Inputs!$B$11,0)</f>
        <v>35</v>
      </c>
      <c r="I38" s="0" t="s">
        <v>457</v>
      </c>
    </row>
    <row r="39" customFormat="false" ht="15" hidden="false" customHeight="false" outlineLevel="0" collapsed="false">
      <c r="A39" s="0" t="s">
        <v>460</v>
      </c>
      <c r="B39" s="0" t="s">
        <v>388</v>
      </c>
      <c r="C39" s="0" t="n">
        <v>225.99</v>
      </c>
      <c r="D39" s="0" t="n">
        <f aca="false">Inputs!$B$5</f>
        <v>0.15</v>
      </c>
      <c r="E39" s="0" t="n">
        <f aca="false">C39*D39</f>
        <v>33.8985</v>
      </c>
      <c r="F39" s="0" t="n">
        <f aca="false">C39+E39</f>
        <v>259.8885</v>
      </c>
      <c r="G39" s="0" t="s">
        <v>398</v>
      </c>
      <c r="H39" s="0" t="n">
        <f aca="false">ROUNDUP(F39/Inputs!$B$11,0)</f>
        <v>26</v>
      </c>
      <c r="I39" s="0" t="s">
        <v>457</v>
      </c>
    </row>
    <row r="40" customFormat="false" ht="15" hidden="false" customHeight="false" outlineLevel="0" collapsed="false">
      <c r="A40" s="0" t="s">
        <v>461</v>
      </c>
      <c r="B40" s="0" t="s">
        <v>388</v>
      </c>
      <c r="C40" s="0" t="n">
        <v>269.19</v>
      </c>
      <c r="D40" s="0" t="n">
        <f aca="false">Inputs!$B$5</f>
        <v>0.15</v>
      </c>
      <c r="E40" s="0" t="n">
        <f aca="false">C40*D40</f>
        <v>40.3785</v>
      </c>
      <c r="F40" s="0" t="n">
        <f aca="false">C40+E40</f>
        <v>309.5685</v>
      </c>
      <c r="G40" s="0" t="s">
        <v>398</v>
      </c>
      <c r="H40" s="0" t="n">
        <f aca="false">ROUNDUP(F40/Inputs!$B$11,0)</f>
        <v>31</v>
      </c>
      <c r="I40" s="0" t="s">
        <v>457</v>
      </c>
    </row>
    <row r="41" customFormat="false" ht="15" hidden="false" customHeight="false" outlineLevel="0" collapsed="false">
      <c r="A41" s="0" t="s">
        <v>462</v>
      </c>
      <c r="B41" s="0" t="s">
        <v>388</v>
      </c>
      <c r="C41" s="0" t="n">
        <v>290.1</v>
      </c>
      <c r="D41" s="0" t="n">
        <f aca="false">Inputs!$B$5</f>
        <v>0.15</v>
      </c>
      <c r="E41" s="0" t="n">
        <f aca="false">C41*D41</f>
        <v>43.515</v>
      </c>
      <c r="F41" s="0" t="n">
        <f aca="false">C41+E41</f>
        <v>333.615</v>
      </c>
      <c r="G41" s="0" t="s">
        <v>398</v>
      </c>
      <c r="H41" s="0" t="n">
        <f aca="false">ROUNDUP(F41/Inputs!$B$11,0)</f>
        <v>34</v>
      </c>
      <c r="I41" s="0" t="s">
        <v>457</v>
      </c>
    </row>
    <row r="42" customFormat="false" ht="15" hidden="false" customHeight="false" outlineLevel="0" collapsed="false">
      <c r="A42" s="0" t="s">
        <v>463</v>
      </c>
      <c r="B42" s="0" t="s">
        <v>388</v>
      </c>
      <c r="C42" s="0" t="n">
        <v>37.54</v>
      </c>
      <c r="D42" s="0" t="n">
        <f aca="false">Inputs!$B$5</f>
        <v>0.15</v>
      </c>
      <c r="E42" s="0" t="n">
        <f aca="false">C42*D42</f>
        <v>5.631</v>
      </c>
      <c r="F42" s="0" t="n">
        <f aca="false">C42+E42</f>
        <v>43.171</v>
      </c>
      <c r="G42" s="0" t="s">
        <v>389</v>
      </c>
      <c r="H42" s="0" t="n">
        <f aca="false">ROUNDUP(F42/Inputs!$B$10,0)</f>
        <v>3</v>
      </c>
      <c r="I42" s="0" t="s">
        <v>464</v>
      </c>
    </row>
    <row r="43" customFormat="false" ht="15" hidden="false" customHeight="false" outlineLevel="0" collapsed="false">
      <c r="A43" s="0" t="s">
        <v>465</v>
      </c>
      <c r="B43" s="0" t="s">
        <v>388</v>
      </c>
      <c r="C43" s="0" t="n">
        <v>6</v>
      </c>
      <c r="D43" s="0" t="n">
        <f aca="false">Inputs!$B$6</f>
        <v>0.06</v>
      </c>
      <c r="E43" s="0" t="n">
        <f aca="false">C43*D43</f>
        <v>0.36</v>
      </c>
      <c r="F43" s="0" t="n">
        <f aca="false">C43+E43</f>
        <v>6.36</v>
      </c>
      <c r="H43" s="0" t="n">
        <f aca="false">ROUNDUP(F43,0)</f>
        <v>7</v>
      </c>
      <c r="I43" s="0" t="s">
        <v>466</v>
      </c>
    </row>
    <row r="44" customFormat="false" ht="15" hidden="false" customHeight="false" outlineLevel="0" collapsed="false">
      <c r="A44" s="0" t="s">
        <v>467</v>
      </c>
      <c r="B44" s="0" t="s">
        <v>417</v>
      </c>
      <c r="C44" s="0" t="n">
        <v>1900.77</v>
      </c>
      <c r="D44" s="0" t="n">
        <f aca="false">Inputs!$B$6</f>
        <v>0.06</v>
      </c>
      <c r="E44" s="0" t="n">
        <f aca="false">C44*D44</f>
        <v>114.0462</v>
      </c>
      <c r="F44" s="0" t="n">
        <f aca="false">C44+E44</f>
        <v>2014.8162</v>
      </c>
      <c r="G44" s="0" t="s">
        <v>423</v>
      </c>
      <c r="H44" s="0" t="n">
        <f aca="false">ROUNDUP(F44/Inputs!$B$9,0)</f>
        <v>42</v>
      </c>
      <c r="I44" s="0" t="s">
        <v>468</v>
      </c>
    </row>
    <row r="45" customFormat="false" ht="15" hidden="false" customHeight="false" outlineLevel="0" collapsed="false">
      <c r="A45" s="0" t="s">
        <v>469</v>
      </c>
      <c r="B45" s="0" t="s">
        <v>417</v>
      </c>
      <c r="C45" s="0" t="n">
        <v>4006.67</v>
      </c>
      <c r="D45" s="0" t="n">
        <f aca="false">Inputs!$B$6</f>
        <v>0.06</v>
      </c>
      <c r="E45" s="0" t="n">
        <f aca="false">C45*D45</f>
        <v>240.4002</v>
      </c>
      <c r="F45" s="0" t="n">
        <f aca="false">C45+E45</f>
        <v>4247.0702</v>
      </c>
      <c r="G45" s="0" t="s">
        <v>423</v>
      </c>
      <c r="H45" s="0" t="n">
        <f aca="false">ROUNDUP(F45/Inputs!$B$9,0)</f>
        <v>89</v>
      </c>
      <c r="I45" s="0" t="s">
        <v>468</v>
      </c>
    </row>
    <row r="46" customFormat="false" ht="15" hidden="false" customHeight="false" outlineLevel="0" collapsed="false">
      <c r="A46" s="0" t="s">
        <v>470</v>
      </c>
      <c r="B46" s="0" t="s">
        <v>417</v>
      </c>
      <c r="C46" s="0" t="n">
        <v>23.6</v>
      </c>
      <c r="D46" s="0" t="n">
        <f aca="false">Inputs!$B$6</f>
        <v>0.06</v>
      </c>
      <c r="E46" s="0" t="n">
        <f aca="false">C46*D46</f>
        <v>1.416</v>
      </c>
      <c r="F46" s="0" t="n">
        <f aca="false">C46+E46</f>
        <v>25.016</v>
      </c>
      <c r="G46" s="0" t="s">
        <v>423</v>
      </c>
      <c r="H46" s="0" t="n">
        <f aca="false">ROUNDUP(F46/Inputs!$B$9,0)</f>
        <v>1</v>
      </c>
      <c r="I46" s="0" t="s">
        <v>468</v>
      </c>
    </row>
    <row r="47" customFormat="false" ht="15" hidden="false" customHeight="false" outlineLevel="0" collapsed="false">
      <c r="A47" s="0" t="s">
        <v>471</v>
      </c>
      <c r="B47" s="0" t="s">
        <v>417</v>
      </c>
      <c r="C47" s="0" t="n">
        <v>676.54</v>
      </c>
      <c r="D47" s="0" t="n">
        <f aca="false">Inputs!$B$6</f>
        <v>0.06</v>
      </c>
      <c r="E47" s="0" t="n">
        <f aca="false">C47*D47</f>
        <v>40.5924</v>
      </c>
      <c r="F47" s="0" t="n">
        <f aca="false">C47+E47</f>
        <v>717.1324</v>
      </c>
      <c r="G47" s="0" t="s">
        <v>423</v>
      </c>
      <c r="H47" s="0" t="n">
        <f aca="false">ROUNDUP(F47/Inputs!$B$9,0)</f>
        <v>15</v>
      </c>
      <c r="I47" s="0" t="s">
        <v>468</v>
      </c>
    </row>
    <row r="48" customFormat="false" ht="15" hidden="false" customHeight="false" outlineLevel="0" collapsed="false">
      <c r="A48" s="0" t="s">
        <v>472</v>
      </c>
      <c r="B48" s="0" t="s">
        <v>417</v>
      </c>
      <c r="C48" s="0" t="n">
        <v>238.01</v>
      </c>
      <c r="D48" s="0" t="n">
        <f aca="false">Inputs!$B$6</f>
        <v>0.06</v>
      </c>
      <c r="E48" s="0" t="n">
        <f aca="false">C48*D48</f>
        <v>14.2806</v>
      </c>
      <c r="F48" s="0" t="n">
        <f aca="false">C48+E48</f>
        <v>252.2906</v>
      </c>
      <c r="G48" s="0" t="s">
        <v>423</v>
      </c>
      <c r="H48" s="0" t="n">
        <f aca="false">ROUNDUP(F48/Inputs!$B$9,0)</f>
        <v>6</v>
      </c>
      <c r="I48" s="0" t="s">
        <v>468</v>
      </c>
    </row>
    <row r="49" customFormat="false" ht="15" hidden="false" customHeight="false" outlineLevel="0" collapsed="false">
      <c r="A49" s="0" t="s">
        <v>473</v>
      </c>
      <c r="B49" s="0" t="s">
        <v>474</v>
      </c>
      <c r="C49" s="0" t="n">
        <v>113</v>
      </c>
      <c r="D49" s="0" t="n">
        <v>0</v>
      </c>
      <c r="E49" s="0" t="n">
        <f aca="false">C49*D49</f>
        <v>0</v>
      </c>
      <c r="F49" s="0" t="n">
        <f aca="false">C49+E49</f>
        <v>113</v>
      </c>
      <c r="H49" s="0" t="n">
        <f aca="false">ROUNDUP(F49,0)</f>
        <v>113</v>
      </c>
      <c r="I49" s="0" t="s">
        <v>475</v>
      </c>
    </row>
    <row r="50" customFormat="false" ht="15" hidden="false" customHeight="false" outlineLevel="0" collapsed="false">
      <c r="A50" s="0" t="s">
        <v>476</v>
      </c>
      <c r="B50" s="0" t="s">
        <v>388</v>
      </c>
      <c r="C50" s="0" t="n">
        <v>56</v>
      </c>
      <c r="D50" s="0" t="n">
        <f aca="false">Inputs!$B$5</f>
        <v>0.15</v>
      </c>
      <c r="E50" s="0" t="n">
        <f aca="false">C50*D50</f>
        <v>8.4</v>
      </c>
      <c r="F50" s="0" t="n">
        <f aca="false">C50+E50</f>
        <v>64.4</v>
      </c>
      <c r="G50" s="0" t="s">
        <v>398</v>
      </c>
      <c r="H50" s="0" t="n">
        <f aca="false">ROUNDUP(F50/Inputs!$B$11,0)</f>
        <v>7</v>
      </c>
      <c r="I50" s="0" t="s">
        <v>477</v>
      </c>
    </row>
    <row r="51" customFormat="false" ht="15" hidden="false" customHeight="false" outlineLevel="0" collapsed="false">
      <c r="A51" s="0" t="s">
        <v>478</v>
      </c>
      <c r="B51" s="0" t="s">
        <v>474</v>
      </c>
      <c r="C51" s="0" t="n">
        <v>44</v>
      </c>
      <c r="D51" s="0" t="n">
        <v>0</v>
      </c>
      <c r="E51" s="0" t="n">
        <f aca="false">C51*D51</f>
        <v>0</v>
      </c>
      <c r="F51" s="0" t="n">
        <f aca="false">C51+E51</f>
        <v>44</v>
      </c>
      <c r="G51" s="0" t="s">
        <v>479</v>
      </c>
      <c r="H51" s="0" t="n">
        <f aca="false">ROUNDUP(F51,0)</f>
        <v>44</v>
      </c>
      <c r="I51" s="0" t="s">
        <v>480</v>
      </c>
    </row>
    <row r="52" customFormat="false" ht="15" hidden="false" customHeight="false" outlineLevel="0" collapsed="false">
      <c r="A52" s="0" t="s">
        <v>481</v>
      </c>
      <c r="B52" s="0" t="s">
        <v>388</v>
      </c>
      <c r="C52" s="0" t="n">
        <v>0</v>
      </c>
      <c r="D52" s="0" t="n">
        <f aca="false">Inputs!$B$5</f>
        <v>0.15</v>
      </c>
      <c r="E52" s="0" t="n">
        <f aca="false">C52*D52</f>
        <v>0</v>
      </c>
      <c r="F52" s="0" t="n">
        <f aca="false">C52+E52</f>
        <v>0</v>
      </c>
      <c r="G52" s="0" t="s">
        <v>389</v>
      </c>
      <c r="H52" s="0" t="n">
        <f aca="false">ROUNDUP(F52/Inputs!$B$10,0)</f>
        <v>0</v>
      </c>
      <c r="I52" s="0" t="s">
        <v>482</v>
      </c>
    </row>
    <row r="53" customFormat="false" ht="15" hidden="false" customHeight="false" outlineLevel="0" collapsed="false">
      <c r="A53" s="0" t="s">
        <v>483</v>
      </c>
      <c r="B53" s="0" t="s">
        <v>388</v>
      </c>
      <c r="C53" s="0" t="n">
        <v>4.93</v>
      </c>
      <c r="D53" s="0" t="n">
        <f aca="false">Inputs!$B$5</f>
        <v>0.15</v>
      </c>
      <c r="E53" s="0" t="n">
        <f aca="false">C53*D53</f>
        <v>0.7395</v>
      </c>
      <c r="F53" s="0" t="n">
        <f aca="false">C53+E53</f>
        <v>5.6695</v>
      </c>
      <c r="G53" s="0" t="s">
        <v>389</v>
      </c>
      <c r="H53" s="0" t="n">
        <f aca="false">ROUNDUP(F53/Inputs!$B$10,0)</f>
        <v>1</v>
      </c>
      <c r="I53" s="0" t="s">
        <v>484</v>
      </c>
    </row>
    <row r="54" customFormat="false" ht="15" hidden="false" customHeight="false" outlineLevel="0" collapsed="false">
      <c r="A54" s="0" t="s">
        <v>485</v>
      </c>
      <c r="B54" s="0" t="s">
        <v>417</v>
      </c>
      <c r="C54" s="0" t="n">
        <v>67.91</v>
      </c>
      <c r="D54" s="0" t="n">
        <f aca="false">Inputs!$B$6</f>
        <v>0.06</v>
      </c>
      <c r="E54" s="0" t="n">
        <f aca="false">C54*D54</f>
        <v>4.0746</v>
      </c>
      <c r="F54" s="0" t="n">
        <f aca="false">C54+E54</f>
        <v>71.9846</v>
      </c>
      <c r="G54" s="0" t="s">
        <v>423</v>
      </c>
      <c r="H54" s="0" t="n">
        <f aca="false">ROUNDUP(F54/Inputs!$B$9,0)</f>
        <v>2</v>
      </c>
      <c r="I54" s="0" t="s">
        <v>486</v>
      </c>
    </row>
    <row r="55" customFormat="false" ht="15" hidden="false" customHeight="false" outlineLevel="0" collapsed="false">
      <c r="A55" s="0" t="s">
        <v>487</v>
      </c>
      <c r="B55" s="0" t="s">
        <v>388</v>
      </c>
      <c r="C55" s="0" t="n">
        <v>221.83</v>
      </c>
      <c r="D55" s="0" t="n">
        <f aca="false">Inputs!$B$6</f>
        <v>0.06</v>
      </c>
      <c r="E55" s="0" t="n">
        <f aca="false">C55*D55</f>
        <v>13.3098</v>
      </c>
      <c r="F55" s="0" t="n">
        <f aca="false">C55+E55</f>
        <v>235.1398</v>
      </c>
      <c r="G55" s="0" t="s">
        <v>438</v>
      </c>
      <c r="H55" s="0" t="n">
        <f aca="false">ROUNDUP(F55/Inputs!$B$18,0)</f>
        <v>24</v>
      </c>
      <c r="I55" s="0" t="s">
        <v>488</v>
      </c>
    </row>
    <row r="56" customFormat="false" ht="15" hidden="false" customHeight="false" outlineLevel="0" collapsed="false">
      <c r="A56" s="0" t="s">
        <v>489</v>
      </c>
      <c r="B56" s="0" t="s">
        <v>474</v>
      </c>
      <c r="C56" s="0" t="n">
        <v>276</v>
      </c>
      <c r="D56" s="0" t="n">
        <v>0</v>
      </c>
      <c r="E56" s="0" t="n">
        <f aca="false">C56*D56</f>
        <v>0</v>
      </c>
      <c r="F56" s="0" t="n">
        <f aca="false">C56+E56</f>
        <v>276</v>
      </c>
      <c r="G56" s="0" t="s">
        <v>479</v>
      </c>
      <c r="H56" s="0" t="n">
        <f aca="false">ROUNDUP(F56,0)</f>
        <v>276</v>
      </c>
      <c r="I56" s="0" t="s">
        <v>490</v>
      </c>
    </row>
    <row r="57" customFormat="false" ht="15" hidden="false" customHeight="false" outlineLevel="0" collapsed="false">
      <c r="A57" s="0" t="s">
        <v>491</v>
      </c>
      <c r="B57" s="0" t="s">
        <v>474</v>
      </c>
      <c r="C57" s="0" t="n">
        <v>1</v>
      </c>
      <c r="D57" s="0" t="n">
        <v>0</v>
      </c>
      <c r="E57" s="0" t="n">
        <f aca="false">C57*D57</f>
        <v>0</v>
      </c>
      <c r="F57" s="0" t="n">
        <f aca="false">C57+E57</f>
        <v>1</v>
      </c>
      <c r="G57" s="0" t="s">
        <v>479</v>
      </c>
      <c r="H57" s="0" t="n">
        <f aca="false">ROUNDUP(F57,0)</f>
        <v>1</v>
      </c>
      <c r="I57" s="0" t="s">
        <v>492</v>
      </c>
    </row>
    <row r="58" customFormat="false" ht="15" hidden="false" customHeight="false" outlineLevel="0" collapsed="false">
      <c r="A58" s="0" t="s">
        <v>493</v>
      </c>
      <c r="B58" s="0" t="s">
        <v>474</v>
      </c>
      <c r="C58" s="0" t="n">
        <v>21139.49</v>
      </c>
      <c r="D58" s="0" t="n">
        <v>0</v>
      </c>
      <c r="E58" s="0" t="n">
        <f aca="false">C58*D58</f>
        <v>0</v>
      </c>
      <c r="F58" s="0" t="n">
        <f aca="false">C58+E58</f>
        <v>21139.49</v>
      </c>
      <c r="G58" s="0" t="s">
        <v>479</v>
      </c>
      <c r="H58" s="0" t="n">
        <f aca="false">ROUNDUP(F58,0)</f>
        <v>21140</v>
      </c>
      <c r="I58" s="0" t="s">
        <v>494</v>
      </c>
      <c r="J58" s="0" t="n">
        <f aca="false">Inputs!$B$20*17616.2</f>
        <v>21139.44</v>
      </c>
    </row>
    <row r="59" customFormat="false" ht="15" hidden="false" customHeight="false" outlineLevel="0" collapsed="false">
      <c r="A59" s="0" t="s">
        <v>495</v>
      </c>
      <c r="B59" s="0" t="s">
        <v>474</v>
      </c>
      <c r="C59" s="0" t="n">
        <v>7100</v>
      </c>
      <c r="D59" s="0" t="n">
        <v>0</v>
      </c>
      <c r="E59" s="0" t="n">
        <f aca="false">C59*D59</f>
        <v>0</v>
      </c>
      <c r="F59" s="0" t="n">
        <f aca="false">C59+E59</f>
        <v>7100</v>
      </c>
      <c r="G59" s="0" t="s">
        <v>479</v>
      </c>
      <c r="H59" s="0" t="n">
        <f aca="false">ROUNDUP(F59,0)</f>
        <v>7100</v>
      </c>
      <c r="I59" s="0" t="s">
        <v>496</v>
      </c>
      <c r="J59" s="0" t="n">
        <f aca="false">Inputs!$B$21*1775</f>
        <v>7100</v>
      </c>
    </row>
    <row r="60" customFormat="false" ht="15" hidden="false" customHeight="false" outlineLevel="0" collapsed="false">
      <c r="A60" s="0" t="s">
        <v>497</v>
      </c>
      <c r="B60" s="0" t="s">
        <v>474</v>
      </c>
      <c r="C60" s="0" t="n">
        <v>532.6</v>
      </c>
      <c r="D60" s="0" t="n">
        <v>0</v>
      </c>
      <c r="E60" s="0" t="n">
        <f aca="false">C60*D60</f>
        <v>0</v>
      </c>
      <c r="F60" s="0" t="n">
        <f aca="false">C60+E60</f>
        <v>532.6</v>
      </c>
      <c r="G60" s="0" t="s">
        <v>479</v>
      </c>
      <c r="H60" s="0" t="n">
        <f aca="false">ROUNDUP(F60,0)</f>
        <v>533</v>
      </c>
      <c r="I60" s="0" t="s">
        <v>498</v>
      </c>
      <c r="J60" s="0" t="n">
        <f aca="false">532.6/Inputs!$B$22</f>
        <v>532.6</v>
      </c>
    </row>
    <row r="61" customFormat="false" ht="15" hidden="false" customHeight="false" outlineLevel="0" collapsed="false">
      <c r="A61" s="0" t="s">
        <v>499</v>
      </c>
      <c r="B61" s="0" t="s">
        <v>474</v>
      </c>
      <c r="C61" s="0" t="n">
        <v>321.5</v>
      </c>
      <c r="D61" s="0" t="n">
        <v>0</v>
      </c>
      <c r="E61" s="0" t="n">
        <f aca="false">C61*D61</f>
        <v>0</v>
      </c>
      <c r="F61" s="0" t="n">
        <f aca="false">C61+E61</f>
        <v>321.5</v>
      </c>
      <c r="G61" s="0" t="s">
        <v>479</v>
      </c>
      <c r="H61" s="0" t="n">
        <f aca="false">ROUNDUP(F61,0)</f>
        <v>322</v>
      </c>
      <c r="I61" s="0" t="s">
        <v>500</v>
      </c>
      <c r="J61" s="0" t="n">
        <f aca="false">214.34/Inputs!$B$25</f>
        <v>321.493925303735</v>
      </c>
    </row>
    <row r="62" customFormat="false" ht="15" hidden="false" customHeight="false" outlineLevel="0" collapsed="false">
      <c r="A62" s="0" t="s">
        <v>501</v>
      </c>
      <c r="B62" s="0" t="s">
        <v>502</v>
      </c>
      <c r="C62" s="0" t="n">
        <v>1268.37</v>
      </c>
      <c r="D62" s="0" t="n">
        <v>0</v>
      </c>
      <c r="E62" s="0" t="n">
        <f aca="false">C62*D62</f>
        <v>0</v>
      </c>
      <c r="F62" s="0" t="n">
        <f aca="false">C62+E62</f>
        <v>1268.37</v>
      </c>
      <c r="G62" s="0" t="s">
        <v>503</v>
      </c>
      <c r="H62" s="0" t="n">
        <f aca="false">ROUNDUP(F62,0)</f>
        <v>1269</v>
      </c>
      <c r="I62" s="0" t="s">
        <v>504</v>
      </c>
      <c r="J62" s="0" t="n">
        <f aca="false">Inputs!$B$23*17616.2</f>
        <v>1268.3664</v>
      </c>
    </row>
    <row r="63" customFormat="false" ht="15" hidden="false" customHeight="false" outlineLevel="0" collapsed="false">
      <c r="A63" s="0" t="s">
        <v>505</v>
      </c>
      <c r="B63" s="0" t="s">
        <v>388</v>
      </c>
      <c r="C63" s="0" t="n">
        <v>6518.01</v>
      </c>
      <c r="D63" s="0" t="n">
        <v>0</v>
      </c>
      <c r="E63" s="0" t="n">
        <f aca="false">C63*D63</f>
        <v>0</v>
      </c>
      <c r="F63" s="0" t="n">
        <f aca="false">C63+E63</f>
        <v>6518.01</v>
      </c>
      <c r="G63" s="0" t="s">
        <v>388</v>
      </c>
      <c r="H63" s="0" t="n">
        <f aca="false">ROUNDUP(F63,0)</f>
        <v>6519</v>
      </c>
      <c r="I63" s="0" t="s">
        <v>506</v>
      </c>
      <c r="J63" s="0" t="n">
        <f aca="false">Inputs!$B$24*17616.2</f>
        <v>6517.994</v>
      </c>
    </row>
    <row r="64" customFormat="false" ht="15" hidden="false" customHeight="false" outlineLevel="0" collapsed="false">
      <c r="A64" s="0" t="s">
        <v>507</v>
      </c>
      <c r="B64" s="0" t="s">
        <v>417</v>
      </c>
      <c r="C64" s="0" t="n">
        <v>874.86</v>
      </c>
      <c r="D64" s="0" t="n">
        <f aca="false">Inputs!$B$6</f>
        <v>0.06</v>
      </c>
      <c r="E64" s="0" t="n">
        <f aca="false">C64*D64</f>
        <v>52.4916</v>
      </c>
      <c r="F64" s="0" t="n">
        <f aca="false">C64+E64</f>
        <v>927.3516</v>
      </c>
      <c r="G64" s="0" t="s">
        <v>417</v>
      </c>
      <c r="H64" s="0" t="n">
        <f aca="false">ROUNDUP(F64,0)</f>
        <v>928</v>
      </c>
      <c r="I64" s="0" t="s">
        <v>508</v>
      </c>
    </row>
    <row r="65" customFormat="false" ht="15" hidden="false" customHeight="false" outlineLevel="0" collapsed="false">
      <c r="A65" s="0" t="s">
        <v>509</v>
      </c>
      <c r="B65" s="0" t="s">
        <v>474</v>
      </c>
      <c r="C65" s="0" t="n">
        <v>0</v>
      </c>
      <c r="D65" s="0" t="n">
        <v>0</v>
      </c>
      <c r="E65" s="0" t="n">
        <f aca="false">C65*D65</f>
        <v>0</v>
      </c>
      <c r="F65" s="0" t="n">
        <f aca="false">C65+E65</f>
        <v>0</v>
      </c>
      <c r="G65" s="0" t="s">
        <v>479</v>
      </c>
      <c r="H65" s="0" t="n">
        <f aca="false">ROUNDUP(F65,0)</f>
        <v>0</v>
      </c>
      <c r="I65" s="0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60"/>
  </cols>
  <sheetData>
    <row r="1" customFormat="false" ht="15" hidden="false" customHeight="false" outlineLevel="0" collapsed="false">
      <c r="A1" s="2" t="s">
        <v>511</v>
      </c>
      <c r="B1" s="2" t="s">
        <v>512</v>
      </c>
      <c r="C1" s="2" t="s">
        <v>513</v>
      </c>
    </row>
    <row r="2" customFormat="false" ht="15" hidden="false" customHeight="false" outlineLevel="0" collapsed="false">
      <c r="A2" s="0" t="s">
        <v>514</v>
      </c>
      <c r="B2" s="0" t="s">
        <v>515</v>
      </c>
      <c r="C2" s="0" t="s">
        <v>516</v>
      </c>
    </row>
    <row r="3" customFormat="false" ht="15" hidden="false" customHeight="false" outlineLevel="0" collapsed="false">
      <c r="A3" s="0" t="s">
        <v>517</v>
      </c>
      <c r="B3" s="0" t="s">
        <v>518</v>
      </c>
      <c r="C3" s="0" t="s">
        <v>519</v>
      </c>
    </row>
    <row r="4" customFormat="false" ht="15" hidden="false" customHeight="false" outlineLevel="0" collapsed="false">
      <c r="A4" s="0" t="s">
        <v>520</v>
      </c>
      <c r="B4" s="0" t="s">
        <v>521</v>
      </c>
      <c r="C4" s="0" t="s">
        <v>522</v>
      </c>
    </row>
    <row r="5" customFormat="false" ht="15" hidden="false" customHeight="false" outlineLevel="0" collapsed="false">
      <c r="A5" s="0" t="s">
        <v>523</v>
      </c>
      <c r="B5" s="0" t="s">
        <v>524</v>
      </c>
      <c r="C5" s="0" t="s">
        <v>525</v>
      </c>
    </row>
    <row r="6" customFormat="false" ht="15" hidden="false" customHeight="false" outlineLevel="0" collapsed="false">
      <c r="A6" s="0" t="s">
        <v>526</v>
      </c>
      <c r="B6" s="0" t="s">
        <v>527</v>
      </c>
      <c r="C6" s="0" t="s">
        <v>528</v>
      </c>
    </row>
    <row r="7" customFormat="false" ht="15" hidden="false" customHeight="false" outlineLevel="0" collapsed="false">
      <c r="A7" s="0" t="s">
        <v>529</v>
      </c>
      <c r="B7" s="0" t="s">
        <v>530</v>
      </c>
      <c r="C7" s="0" t="s">
        <v>531</v>
      </c>
    </row>
    <row r="8" customFormat="false" ht="15" hidden="false" customHeight="false" outlineLevel="0" collapsed="false">
      <c r="A8" s="0" t="s">
        <v>532</v>
      </c>
      <c r="B8" s="0" t="s">
        <v>533</v>
      </c>
      <c r="C8" s="0" t="s">
        <v>534</v>
      </c>
    </row>
    <row r="9" customFormat="false" ht="15" hidden="false" customHeight="false" outlineLevel="0" collapsed="false">
      <c r="A9" s="0" t="s">
        <v>535</v>
      </c>
      <c r="B9" s="0" t="s">
        <v>536</v>
      </c>
      <c r="C9" s="0" t="s">
        <v>537</v>
      </c>
    </row>
    <row r="10" customFormat="false" ht="15" hidden="false" customHeight="false" outlineLevel="0" collapsed="false">
      <c r="A10" s="0" t="s">
        <v>538</v>
      </c>
      <c r="B10" s="0" t="s">
        <v>539</v>
      </c>
      <c r="C10" s="0" t="s">
        <v>540</v>
      </c>
    </row>
    <row r="11" customFormat="false" ht="15" hidden="false" customHeight="false" outlineLevel="0" collapsed="false">
      <c r="A11" s="0" t="s">
        <v>541</v>
      </c>
      <c r="B11" s="0" t="s">
        <v>542</v>
      </c>
      <c r="C11" s="0" t="s">
        <v>543</v>
      </c>
    </row>
    <row r="12" customFormat="false" ht="15" hidden="false" customHeight="false" outlineLevel="0" collapsed="false">
      <c r="A12" s="0" t="s">
        <v>544</v>
      </c>
      <c r="B12" s="0" t="s">
        <v>545</v>
      </c>
      <c r="C12" s="0" t="s">
        <v>546</v>
      </c>
    </row>
    <row r="13" customFormat="false" ht="15" hidden="false" customHeight="false" outlineLevel="0" collapsed="false">
      <c r="A13" s="0" t="s">
        <v>547</v>
      </c>
      <c r="B13" s="0" t="s">
        <v>548</v>
      </c>
      <c r="C13" s="0" t="s">
        <v>549</v>
      </c>
    </row>
    <row r="14" customFormat="false" ht="15" hidden="false" customHeight="false" outlineLevel="0" collapsed="false">
      <c r="A14" s="0" t="s">
        <v>550</v>
      </c>
      <c r="B14" s="0" t="s">
        <v>551</v>
      </c>
      <c r="C14" s="0" t="s">
        <v>552</v>
      </c>
    </row>
    <row r="15" customFormat="false" ht="15" hidden="false" customHeight="false" outlineLevel="0" collapsed="false">
      <c r="A15" s="0" t="s">
        <v>553</v>
      </c>
      <c r="B15" s="0" t="s">
        <v>554</v>
      </c>
      <c r="C15" s="0" t="s">
        <v>555</v>
      </c>
    </row>
    <row r="16" customFormat="false" ht="15" hidden="false" customHeight="false" outlineLevel="0" collapsed="false">
      <c r="A16" s="0" t="s">
        <v>556</v>
      </c>
      <c r="B16" s="0" t="s">
        <v>557</v>
      </c>
      <c r="C16" s="0" t="s">
        <v>558</v>
      </c>
    </row>
    <row r="17" customFormat="false" ht="15" hidden="false" customHeight="false" outlineLevel="0" collapsed="false">
      <c r="A17" s="0" t="s">
        <v>559</v>
      </c>
      <c r="B17" s="0" t="s">
        <v>560</v>
      </c>
      <c r="C17" s="0" t="s">
        <v>561</v>
      </c>
    </row>
    <row r="18" customFormat="false" ht="15" hidden="false" customHeight="false" outlineLevel="0" collapsed="false">
      <c r="A18" s="0" t="s">
        <v>562</v>
      </c>
      <c r="B18" s="0" t="s">
        <v>563</v>
      </c>
      <c r="C18" s="0" t="s">
        <v>564</v>
      </c>
    </row>
    <row r="19" customFormat="false" ht="15" hidden="false" customHeight="false" outlineLevel="0" collapsed="false">
      <c r="A19" s="0" t="s">
        <v>565</v>
      </c>
      <c r="B19" s="0" t="s">
        <v>566</v>
      </c>
      <c r="C19" s="0" t="s">
        <v>567</v>
      </c>
    </row>
    <row r="20" customFormat="false" ht="15" hidden="false" customHeight="false" outlineLevel="0" collapsed="false">
      <c r="A20" s="0" t="s">
        <v>568</v>
      </c>
      <c r="B20" s="0" t="s">
        <v>569</v>
      </c>
      <c r="C20" s="0" t="s">
        <v>570</v>
      </c>
    </row>
    <row r="21" customFormat="false" ht="15" hidden="false" customHeight="false" outlineLevel="0" collapsed="false">
      <c r="A21" s="0" t="s">
        <v>571</v>
      </c>
      <c r="B21" s="0" t="s">
        <v>572</v>
      </c>
      <c r="C21" s="0" t="s">
        <v>573</v>
      </c>
    </row>
    <row r="22" customFormat="false" ht="15" hidden="false" customHeight="false" outlineLevel="0" collapsed="false">
      <c r="A22" s="0" t="s">
        <v>574</v>
      </c>
      <c r="B22" s="0" t="s">
        <v>575</v>
      </c>
      <c r="C22" s="0" t="s">
        <v>576</v>
      </c>
    </row>
    <row r="23" customFormat="false" ht="15" hidden="false" customHeight="false" outlineLevel="0" collapsed="false">
      <c r="A23" s="0" t="s">
        <v>577</v>
      </c>
      <c r="B23" s="0" t="s">
        <v>578</v>
      </c>
      <c r="C23" s="0" t="s">
        <v>579</v>
      </c>
    </row>
    <row r="24" customFormat="false" ht="15" hidden="false" customHeight="false" outlineLevel="0" collapsed="false">
      <c r="A24" s="0" t="s">
        <v>580</v>
      </c>
      <c r="B24" s="0" t="s">
        <v>581</v>
      </c>
      <c r="C24" s="0" t="s">
        <v>582</v>
      </c>
    </row>
    <row r="25" customFormat="false" ht="15" hidden="false" customHeight="false" outlineLevel="0" collapsed="false">
      <c r="A25" s="0" t="s">
        <v>583</v>
      </c>
      <c r="B25" s="0" t="s">
        <v>584</v>
      </c>
      <c r="C25" s="0" t="s">
        <v>585</v>
      </c>
    </row>
    <row r="26" customFormat="false" ht="15" hidden="false" customHeight="false" outlineLevel="0" collapsed="false">
      <c r="A26" s="0" t="s">
        <v>586</v>
      </c>
      <c r="B26" s="0" t="s">
        <v>587</v>
      </c>
      <c r="C26" s="0" t="s">
        <v>588</v>
      </c>
    </row>
    <row r="27" customFormat="false" ht="15" hidden="false" customHeight="false" outlineLevel="0" collapsed="false">
      <c r="A27" s="0" t="s">
        <v>589</v>
      </c>
      <c r="B27" s="0" t="s">
        <v>590</v>
      </c>
      <c r="C27" s="0" t="s">
        <v>591</v>
      </c>
    </row>
    <row r="28" customFormat="false" ht="15" hidden="false" customHeight="false" outlineLevel="0" collapsed="false">
      <c r="A28" s="0" t="s">
        <v>592</v>
      </c>
      <c r="B28" s="0" t="s">
        <v>593</v>
      </c>
      <c r="C28" s="0" t="s">
        <v>594</v>
      </c>
    </row>
    <row r="29" customFormat="false" ht="15" hidden="false" customHeight="false" outlineLevel="0" collapsed="false">
      <c r="A29" s="0" t="s">
        <v>595</v>
      </c>
      <c r="B29" s="0" t="s">
        <v>596</v>
      </c>
      <c r="C29" s="0" t="s">
        <v>597</v>
      </c>
    </row>
    <row r="30" customFormat="false" ht="15" hidden="false" customHeight="false" outlineLevel="0" collapsed="false">
      <c r="A30" s="0" t="s">
        <v>598</v>
      </c>
      <c r="B30" s="0" t="s">
        <v>599</v>
      </c>
      <c r="C30" s="0" t="s">
        <v>600</v>
      </c>
    </row>
    <row r="31" customFormat="false" ht="15" hidden="false" customHeight="false" outlineLevel="0" collapsed="false">
      <c r="A31" s="0" t="s">
        <v>601</v>
      </c>
      <c r="B31" s="0" t="s">
        <v>602</v>
      </c>
      <c r="C31" s="0" t="s">
        <v>603</v>
      </c>
    </row>
    <row r="32" customFormat="false" ht="15" hidden="false" customHeight="false" outlineLevel="0" collapsed="false">
      <c r="A32" s="0" t="s">
        <v>604</v>
      </c>
      <c r="B32" s="0" t="s">
        <v>605</v>
      </c>
      <c r="C32" s="0" t="s">
        <v>606</v>
      </c>
    </row>
    <row r="33" customFormat="false" ht="15" hidden="false" customHeight="false" outlineLevel="0" collapsed="false">
      <c r="A33" s="0" t="s">
        <v>607</v>
      </c>
      <c r="B33" s="0" t="s">
        <v>608</v>
      </c>
      <c r="C33" s="0" t="s">
        <v>609</v>
      </c>
    </row>
    <row r="34" customFormat="false" ht="15" hidden="false" customHeight="false" outlineLevel="0" collapsed="false">
      <c r="A34" s="0" t="s">
        <v>610</v>
      </c>
      <c r="B34" s="0" t="s">
        <v>611</v>
      </c>
      <c r="C34" s="0" t="s">
        <v>612</v>
      </c>
    </row>
    <row r="35" customFormat="false" ht="15" hidden="false" customHeight="false" outlineLevel="0" collapsed="false">
      <c r="A35" s="0" t="s">
        <v>613</v>
      </c>
      <c r="B35" s="0" t="s">
        <v>614</v>
      </c>
      <c r="C35" s="0" t="s">
        <v>615</v>
      </c>
    </row>
    <row r="36" customFormat="false" ht="15" hidden="false" customHeight="false" outlineLevel="0" collapsed="false">
      <c r="A36" s="0" t="s">
        <v>616</v>
      </c>
      <c r="B36" s="0" t="s">
        <v>617</v>
      </c>
      <c r="C36" s="0" t="s">
        <v>618</v>
      </c>
    </row>
    <row r="37" customFormat="false" ht="15" hidden="false" customHeight="false" outlineLevel="0" collapsed="false">
      <c r="A37" s="0" t="s">
        <v>619</v>
      </c>
      <c r="B37" s="0" t="s">
        <v>620</v>
      </c>
      <c r="C37" s="0" t="s">
        <v>621</v>
      </c>
    </row>
    <row r="38" customFormat="false" ht="15" hidden="false" customHeight="false" outlineLevel="0" collapsed="false">
      <c r="A38" s="0" t="s">
        <v>622</v>
      </c>
      <c r="B38" s="0" t="s">
        <v>623</v>
      </c>
      <c r="C38" s="0" t="s">
        <v>624</v>
      </c>
    </row>
    <row r="39" customFormat="false" ht="15" hidden="false" customHeight="false" outlineLevel="0" collapsed="false">
      <c r="A39" s="0" t="s">
        <v>625</v>
      </c>
      <c r="B39" s="0" t="s">
        <v>626</v>
      </c>
      <c r="C39" s="0" t="s">
        <v>627</v>
      </c>
    </row>
    <row r="40" customFormat="false" ht="15" hidden="false" customHeight="false" outlineLevel="0" collapsed="false">
      <c r="A40" s="0" t="s">
        <v>628</v>
      </c>
      <c r="B40" s="0" t="s">
        <v>629</v>
      </c>
      <c r="C40" s="0" t="s">
        <v>630</v>
      </c>
    </row>
    <row r="41" customFormat="false" ht="15" hidden="false" customHeight="false" outlineLevel="0" collapsed="false">
      <c r="A41" s="0" t="s">
        <v>631</v>
      </c>
      <c r="B41" s="0" t="s">
        <v>632</v>
      </c>
      <c r="C41" s="0" t="s">
        <v>633</v>
      </c>
    </row>
    <row r="42" customFormat="false" ht="15" hidden="false" customHeight="false" outlineLevel="0" collapsed="false">
      <c r="A42" s="0" t="s">
        <v>634</v>
      </c>
      <c r="B42" s="0" t="s">
        <v>635</v>
      </c>
      <c r="C42" s="0" t="s">
        <v>636</v>
      </c>
    </row>
    <row r="43" customFormat="false" ht="15" hidden="false" customHeight="false" outlineLevel="0" collapsed="false">
      <c r="A43" s="0" t="s">
        <v>637</v>
      </c>
      <c r="B43" s="0" t="s">
        <v>638</v>
      </c>
      <c r="C43" s="0" t="s">
        <v>639</v>
      </c>
    </row>
    <row r="44" customFormat="false" ht="15" hidden="false" customHeight="false" outlineLevel="0" collapsed="false">
      <c r="A44" s="0" t="s">
        <v>640</v>
      </c>
      <c r="B44" s="0" t="s">
        <v>641</v>
      </c>
      <c r="C44" s="0" t="s">
        <v>642</v>
      </c>
    </row>
    <row r="45" customFormat="false" ht="15" hidden="false" customHeight="false" outlineLevel="0" collapsed="false">
      <c r="A45" s="0" t="s">
        <v>643</v>
      </c>
      <c r="B45" s="0" t="s">
        <v>644</v>
      </c>
      <c r="C45" s="0" t="s">
        <v>645</v>
      </c>
    </row>
    <row r="46" customFormat="false" ht="15" hidden="false" customHeight="false" outlineLevel="0" collapsed="false">
      <c r="A46" s="0" t="s">
        <v>646</v>
      </c>
      <c r="B46" s="0" t="s">
        <v>647</v>
      </c>
      <c r="C46" s="0" t="s">
        <v>648</v>
      </c>
    </row>
    <row r="47" customFormat="false" ht="15" hidden="false" customHeight="false" outlineLevel="0" collapsed="false">
      <c r="A47" s="0" t="s">
        <v>649</v>
      </c>
      <c r="B47" s="0" t="s">
        <v>650</v>
      </c>
      <c r="C47" s="0" t="s">
        <v>651</v>
      </c>
    </row>
    <row r="48" customFormat="false" ht="15" hidden="false" customHeight="false" outlineLevel="0" collapsed="false">
      <c r="A48" s="0" t="s">
        <v>652</v>
      </c>
      <c r="B48" s="0" t="s">
        <v>653</v>
      </c>
      <c r="C48" s="0" t="s">
        <v>654</v>
      </c>
    </row>
    <row r="49" customFormat="false" ht="15" hidden="false" customHeight="false" outlineLevel="0" collapsed="false">
      <c r="A49" s="0" t="s">
        <v>655</v>
      </c>
      <c r="B49" s="0" t="s">
        <v>656</v>
      </c>
      <c r="C49" s="0" t="s">
        <v>657</v>
      </c>
    </row>
    <row r="50" customFormat="false" ht="15" hidden="false" customHeight="false" outlineLevel="0" collapsed="false">
      <c r="A50" s="0" t="s">
        <v>658</v>
      </c>
      <c r="B50" s="0" t="s">
        <v>659</v>
      </c>
      <c r="C50" s="0" t="s">
        <v>660</v>
      </c>
    </row>
    <row r="51" customFormat="false" ht="15" hidden="false" customHeight="false" outlineLevel="0" collapsed="false">
      <c r="A51" s="0" t="s">
        <v>661</v>
      </c>
      <c r="B51" s="0" t="s">
        <v>662</v>
      </c>
      <c r="C51" s="0" t="s">
        <v>663</v>
      </c>
    </row>
    <row r="52" customFormat="false" ht="15" hidden="false" customHeight="false" outlineLevel="0" collapsed="false">
      <c r="A52" s="0" t="s">
        <v>664</v>
      </c>
      <c r="B52" s="0" t="s">
        <v>665</v>
      </c>
      <c r="C52" s="0" t="s">
        <v>666</v>
      </c>
    </row>
    <row r="53" customFormat="false" ht="15" hidden="false" customHeight="false" outlineLevel="0" collapsed="false">
      <c r="A53" s="0" t="s">
        <v>667</v>
      </c>
      <c r="B53" s="0" t="s">
        <v>668</v>
      </c>
      <c r="C53" s="0" t="s">
        <v>669</v>
      </c>
    </row>
    <row r="54" customFormat="false" ht="15" hidden="false" customHeight="false" outlineLevel="0" collapsed="false">
      <c r="A54" s="0" t="s">
        <v>670</v>
      </c>
      <c r="B54" s="0" t="s">
        <v>671</v>
      </c>
      <c r="C54" s="0" t="s">
        <v>672</v>
      </c>
    </row>
    <row r="55" customFormat="false" ht="15" hidden="false" customHeight="false" outlineLevel="0" collapsed="false">
      <c r="A55" s="0" t="s">
        <v>673</v>
      </c>
      <c r="B55" s="0" t="s">
        <v>674</v>
      </c>
      <c r="C55" s="0" t="s">
        <v>675</v>
      </c>
    </row>
    <row r="56" customFormat="false" ht="15" hidden="false" customHeight="false" outlineLevel="0" collapsed="false">
      <c r="A56" s="0" t="s">
        <v>676</v>
      </c>
      <c r="B56" s="0" t="s">
        <v>677</v>
      </c>
      <c r="C56" s="0" t="s">
        <v>678</v>
      </c>
    </row>
    <row r="57" customFormat="false" ht="15" hidden="false" customHeight="false" outlineLevel="0" collapsed="false">
      <c r="A57" s="0" t="s">
        <v>679</v>
      </c>
      <c r="B57" s="0" t="s">
        <v>680</v>
      </c>
      <c r="C57" s="0" t="s">
        <v>681</v>
      </c>
    </row>
    <row r="58" customFormat="false" ht="15" hidden="false" customHeight="false" outlineLevel="0" collapsed="false">
      <c r="A58" s="0" t="s">
        <v>682</v>
      </c>
      <c r="B58" s="0" t="s">
        <v>683</v>
      </c>
      <c r="C58" s="0" t="s">
        <v>684</v>
      </c>
    </row>
    <row r="59" customFormat="false" ht="15" hidden="false" customHeight="false" outlineLevel="0" collapsed="false">
      <c r="A59" s="0" t="s">
        <v>685</v>
      </c>
      <c r="B59" s="0" t="s">
        <v>686</v>
      </c>
      <c r="C59" s="0" t="s">
        <v>687</v>
      </c>
    </row>
    <row r="60" customFormat="false" ht="15" hidden="false" customHeight="false" outlineLevel="0" collapsed="false">
      <c r="A60" s="0" t="s">
        <v>688</v>
      </c>
      <c r="B60" s="0" t="s">
        <v>689</v>
      </c>
      <c r="C60" s="0" t="s">
        <v>690</v>
      </c>
    </row>
    <row r="61" customFormat="false" ht="15" hidden="false" customHeight="false" outlineLevel="0" collapsed="false">
      <c r="A61" s="0" t="s">
        <v>691</v>
      </c>
      <c r="B61" s="0" t="s">
        <v>692</v>
      </c>
      <c r="C61" s="0" t="s">
        <v>693</v>
      </c>
    </row>
    <row r="62" customFormat="false" ht="15" hidden="false" customHeight="false" outlineLevel="0" collapsed="false">
      <c r="A62" s="0" t="s">
        <v>694</v>
      </c>
      <c r="B62" s="0" t="s">
        <v>695</v>
      </c>
      <c r="C62" s="0" t="s">
        <v>696</v>
      </c>
    </row>
    <row r="63" customFormat="false" ht="15" hidden="false" customHeight="false" outlineLevel="0" collapsed="false">
      <c r="A63" s="0" t="s">
        <v>697</v>
      </c>
      <c r="B63" s="0" t="s">
        <v>698</v>
      </c>
      <c r="C63" s="0" t="s">
        <v>699</v>
      </c>
    </row>
    <row r="64" customFormat="false" ht="15" hidden="false" customHeight="false" outlineLevel="0" collapsed="false">
      <c r="A64" s="0" t="s">
        <v>700</v>
      </c>
      <c r="B64" s="0" t="s">
        <v>701</v>
      </c>
      <c r="C64" s="0" t="s">
        <v>702</v>
      </c>
    </row>
    <row r="65" customFormat="false" ht="15" hidden="false" customHeight="false" outlineLevel="0" collapsed="false">
      <c r="A65" s="0" t="s">
        <v>703</v>
      </c>
      <c r="B65" s="0" t="s">
        <v>704</v>
      </c>
      <c r="C65" s="0" t="s">
        <v>705</v>
      </c>
    </row>
    <row r="66" customFormat="false" ht="15" hidden="false" customHeight="false" outlineLevel="0" collapsed="false">
      <c r="A66" s="0" t="s">
        <v>706</v>
      </c>
      <c r="B66" s="0" t="s">
        <v>707</v>
      </c>
      <c r="C66" s="0" t="s">
        <v>708</v>
      </c>
    </row>
    <row r="67" customFormat="false" ht="15" hidden="false" customHeight="false" outlineLevel="0" collapsed="false">
      <c r="A67" s="0" t="s">
        <v>709</v>
      </c>
      <c r="B67" s="0" t="s">
        <v>710</v>
      </c>
      <c r="C67" s="0" t="s">
        <v>711</v>
      </c>
    </row>
    <row r="68" customFormat="false" ht="15" hidden="false" customHeight="false" outlineLevel="0" collapsed="false">
      <c r="A68" s="0" t="s">
        <v>712</v>
      </c>
      <c r="B68" s="0" t="s">
        <v>713</v>
      </c>
      <c r="C68" s="0" t="s">
        <v>714</v>
      </c>
    </row>
    <row r="69" customFormat="false" ht="15" hidden="false" customHeight="false" outlineLevel="0" collapsed="false">
      <c r="A69" s="0" t="s">
        <v>715</v>
      </c>
      <c r="B69" s="0" t="s">
        <v>716</v>
      </c>
      <c r="C69" s="0" t="s">
        <v>717</v>
      </c>
    </row>
    <row r="70" customFormat="false" ht="15" hidden="false" customHeight="false" outlineLevel="0" collapsed="false">
      <c r="A70" s="0" t="s">
        <v>718</v>
      </c>
      <c r="B70" s="0" t="s">
        <v>719</v>
      </c>
      <c r="C70" s="0" t="s">
        <v>720</v>
      </c>
    </row>
    <row r="71" customFormat="false" ht="15" hidden="false" customHeight="false" outlineLevel="0" collapsed="false">
      <c r="A71" s="0" t="s">
        <v>721</v>
      </c>
      <c r="B71" s="0" t="s">
        <v>722</v>
      </c>
      <c r="C71" s="0" t="s">
        <v>720</v>
      </c>
    </row>
    <row r="72" customFormat="false" ht="15" hidden="false" customHeight="false" outlineLevel="0" collapsed="false">
      <c r="A72" s="0" t="s">
        <v>723</v>
      </c>
      <c r="B72" s="0" t="s">
        <v>724</v>
      </c>
      <c r="C72" s="0" t="s">
        <v>725</v>
      </c>
    </row>
    <row r="73" customFormat="false" ht="15" hidden="false" customHeight="false" outlineLevel="0" collapsed="false">
      <c r="A73" s="0" t="s">
        <v>726</v>
      </c>
      <c r="B73" s="0" t="s">
        <v>727</v>
      </c>
      <c r="C73" s="0" t="s">
        <v>720</v>
      </c>
    </row>
    <row r="74" customFormat="false" ht="15" hidden="false" customHeight="false" outlineLevel="0" collapsed="false">
      <c r="A74" s="0" t="s">
        <v>728</v>
      </c>
      <c r="B74" s="0" t="s">
        <v>729</v>
      </c>
      <c r="C74" s="0" t="s">
        <v>720</v>
      </c>
    </row>
    <row r="75" customFormat="false" ht="15" hidden="false" customHeight="false" outlineLevel="0" collapsed="false">
      <c r="A75" s="0" t="s">
        <v>730</v>
      </c>
      <c r="B75" s="0" t="s">
        <v>731</v>
      </c>
      <c r="C75" s="0" t="s">
        <v>732</v>
      </c>
    </row>
    <row r="76" customFormat="false" ht="15" hidden="false" customHeight="false" outlineLevel="0" collapsed="false">
      <c r="A76" s="0" t="s">
        <v>733</v>
      </c>
      <c r="B76" s="0" t="s">
        <v>734</v>
      </c>
      <c r="C76" s="0" t="s">
        <v>732</v>
      </c>
    </row>
    <row r="77" customFormat="false" ht="15" hidden="false" customHeight="false" outlineLevel="0" collapsed="false">
      <c r="A77" s="0" t="s">
        <v>735</v>
      </c>
      <c r="B77" s="0" t="s">
        <v>736</v>
      </c>
      <c r="C77" s="0" t="s">
        <v>737</v>
      </c>
    </row>
    <row r="78" customFormat="false" ht="15" hidden="false" customHeight="false" outlineLevel="0" collapsed="false">
      <c r="A78" s="0" t="s">
        <v>738</v>
      </c>
      <c r="B78" s="0" t="s">
        <v>739</v>
      </c>
      <c r="C78" s="0" t="s">
        <v>737</v>
      </c>
    </row>
    <row r="79" customFormat="false" ht="15" hidden="false" customHeight="false" outlineLevel="0" collapsed="false">
      <c r="A79" s="0" t="s">
        <v>740</v>
      </c>
      <c r="B79" s="0" t="s">
        <v>741</v>
      </c>
      <c r="C79" s="0" t="s">
        <v>742</v>
      </c>
    </row>
    <row r="80" customFormat="false" ht="15" hidden="false" customHeight="false" outlineLevel="0" collapsed="false">
      <c r="A80" s="0" t="s">
        <v>743</v>
      </c>
      <c r="B80" s="0" t="s">
        <v>744</v>
      </c>
      <c r="C80" s="0" t="s">
        <v>745</v>
      </c>
    </row>
    <row r="81" customFormat="false" ht="15" hidden="false" customHeight="false" outlineLevel="0" collapsed="false">
      <c r="A81" s="0" t="s">
        <v>746</v>
      </c>
      <c r="B81" s="0" t="s">
        <v>747</v>
      </c>
      <c r="C81" s="0" t="s">
        <v>748</v>
      </c>
    </row>
    <row r="82" customFormat="false" ht="15" hidden="false" customHeight="false" outlineLevel="0" collapsed="false">
      <c r="A82" s="0" t="s">
        <v>749</v>
      </c>
      <c r="B82" s="0" t="s">
        <v>750</v>
      </c>
      <c r="C82" s="0" t="s">
        <v>751</v>
      </c>
    </row>
    <row r="83" customFormat="false" ht="15" hidden="false" customHeight="false" outlineLevel="0" collapsed="false">
      <c r="A83" s="0" t="s">
        <v>752</v>
      </c>
      <c r="B83" s="0" t="s">
        <v>753</v>
      </c>
      <c r="C83" s="0" t="s">
        <v>754</v>
      </c>
    </row>
    <row r="84" customFormat="false" ht="15" hidden="false" customHeight="false" outlineLevel="0" collapsed="false">
      <c r="A84" s="0" t="s">
        <v>755</v>
      </c>
      <c r="B84" s="0" t="s">
        <v>756</v>
      </c>
      <c r="C84" s="0" t="s">
        <v>757</v>
      </c>
    </row>
    <row r="85" customFormat="false" ht="15" hidden="false" customHeight="false" outlineLevel="0" collapsed="false">
      <c r="A85" s="0" t="s">
        <v>758</v>
      </c>
      <c r="B85" s="0" t="s">
        <v>759</v>
      </c>
      <c r="C85" s="0" t="s">
        <v>760</v>
      </c>
    </row>
    <row r="86" customFormat="false" ht="15" hidden="false" customHeight="false" outlineLevel="0" collapsed="false">
      <c r="A86" s="0" t="s">
        <v>761</v>
      </c>
      <c r="B86" s="0" t="s">
        <v>762</v>
      </c>
      <c r="C86" s="0" t="s">
        <v>763</v>
      </c>
    </row>
    <row r="87" customFormat="false" ht="15" hidden="false" customHeight="false" outlineLevel="0" collapsed="false">
      <c r="A87" s="0" t="s">
        <v>764</v>
      </c>
      <c r="B87" s="0" t="s">
        <v>765</v>
      </c>
      <c r="C87" s="0" t="s">
        <v>766</v>
      </c>
    </row>
    <row r="88" customFormat="false" ht="15" hidden="false" customHeight="false" outlineLevel="0" collapsed="false">
      <c r="A88" s="0" t="s">
        <v>767</v>
      </c>
      <c r="B88" s="0" t="s">
        <v>768</v>
      </c>
      <c r="C88" s="0" t="s">
        <v>769</v>
      </c>
    </row>
    <row r="89" customFormat="false" ht="15" hidden="false" customHeight="false" outlineLevel="0" collapsed="false">
      <c r="A89" s="0" t="s">
        <v>770</v>
      </c>
      <c r="B89" s="0" t="s">
        <v>771</v>
      </c>
      <c r="C89" s="0" t="s">
        <v>772</v>
      </c>
    </row>
    <row r="90" customFormat="false" ht="15" hidden="false" customHeight="false" outlineLevel="0" collapsed="false">
      <c r="A90" s="0" t="s">
        <v>773</v>
      </c>
      <c r="B90" s="0" t="s">
        <v>774</v>
      </c>
      <c r="C90" s="0" t="s">
        <v>775</v>
      </c>
    </row>
    <row r="91" customFormat="false" ht="15" hidden="false" customHeight="false" outlineLevel="0" collapsed="false">
      <c r="A91" s="0" t="s">
        <v>776</v>
      </c>
      <c r="B91" s="0" t="s">
        <v>777</v>
      </c>
      <c r="C91" s="0" t="s">
        <v>778</v>
      </c>
    </row>
    <row r="92" customFormat="false" ht="15" hidden="false" customHeight="false" outlineLevel="0" collapsed="false">
      <c r="A92" s="0" t="s">
        <v>779</v>
      </c>
      <c r="B92" s="0" t="s">
        <v>780</v>
      </c>
      <c r="C92" s="0" t="s">
        <v>781</v>
      </c>
    </row>
    <row r="93" customFormat="false" ht="15" hidden="false" customHeight="false" outlineLevel="0" collapsed="false">
      <c r="A93" s="0" t="s">
        <v>782</v>
      </c>
      <c r="B93" s="0" t="s">
        <v>783</v>
      </c>
      <c r="C93" s="0" t="s">
        <v>784</v>
      </c>
    </row>
    <row r="94" customFormat="false" ht="15" hidden="false" customHeight="false" outlineLevel="0" collapsed="false">
      <c r="A94" s="0" t="s">
        <v>785</v>
      </c>
      <c r="B94" s="0" t="s">
        <v>786</v>
      </c>
      <c r="C94" s="0" t="s">
        <v>787</v>
      </c>
    </row>
    <row r="95" customFormat="false" ht="15" hidden="false" customHeight="false" outlineLevel="0" collapsed="false">
      <c r="A95" s="0" t="s">
        <v>788</v>
      </c>
      <c r="B95" s="0" t="s">
        <v>789</v>
      </c>
      <c r="C95" s="0" t="s">
        <v>790</v>
      </c>
    </row>
    <row r="96" customFormat="false" ht="15" hidden="false" customHeight="false" outlineLevel="0" collapsed="false">
      <c r="A96" s="0" t="s">
        <v>791</v>
      </c>
      <c r="B96" s="0" t="s">
        <v>792</v>
      </c>
      <c r="C96" s="0" t="s">
        <v>793</v>
      </c>
    </row>
    <row r="97" customFormat="false" ht="15" hidden="false" customHeight="false" outlineLevel="0" collapsed="false">
      <c r="A97" s="0" t="s">
        <v>794</v>
      </c>
      <c r="B97" s="0" t="s">
        <v>795</v>
      </c>
      <c r="C97" s="0" t="s">
        <v>796</v>
      </c>
    </row>
    <row r="98" customFormat="false" ht="15" hidden="false" customHeight="false" outlineLevel="0" collapsed="false">
      <c r="A98" s="0" t="s">
        <v>797</v>
      </c>
      <c r="B98" s="0" t="s">
        <v>798</v>
      </c>
      <c r="C98" s="0" t="s">
        <v>799</v>
      </c>
    </row>
    <row r="99" customFormat="false" ht="15" hidden="false" customHeight="false" outlineLevel="0" collapsed="false">
      <c r="A99" s="0" t="s">
        <v>800</v>
      </c>
      <c r="B99" s="0" t="s">
        <v>801</v>
      </c>
      <c r="C99" s="0" t="s">
        <v>802</v>
      </c>
    </row>
    <row r="100" customFormat="false" ht="15" hidden="false" customHeight="false" outlineLevel="0" collapsed="false">
      <c r="A100" s="0" t="s">
        <v>803</v>
      </c>
      <c r="B100" s="0" t="s">
        <v>804</v>
      </c>
      <c r="C100" s="0" t="s">
        <v>805</v>
      </c>
    </row>
    <row r="101" customFormat="false" ht="15" hidden="false" customHeight="false" outlineLevel="0" collapsed="false">
      <c r="A101" s="0" t="s">
        <v>806</v>
      </c>
      <c r="B101" s="0" t="s">
        <v>807</v>
      </c>
      <c r="C101" s="0" t="s">
        <v>808</v>
      </c>
    </row>
    <row r="102" customFormat="false" ht="15" hidden="false" customHeight="false" outlineLevel="0" collapsed="false">
      <c r="A102" s="0" t="s">
        <v>809</v>
      </c>
      <c r="B102" s="0" t="s">
        <v>810</v>
      </c>
      <c r="C102" s="0" t="s">
        <v>811</v>
      </c>
    </row>
    <row r="103" customFormat="false" ht="15" hidden="false" customHeight="false" outlineLevel="0" collapsed="false">
      <c r="A103" s="0" t="s">
        <v>812</v>
      </c>
      <c r="B103" s="0" t="s">
        <v>813</v>
      </c>
      <c r="C103" s="0" t="s">
        <v>814</v>
      </c>
    </row>
    <row r="104" customFormat="false" ht="15" hidden="false" customHeight="false" outlineLevel="0" collapsed="false">
      <c r="A104" s="0" t="s">
        <v>815</v>
      </c>
      <c r="B104" s="0" t="s">
        <v>816</v>
      </c>
      <c r="C104" s="0" t="s">
        <v>817</v>
      </c>
    </row>
    <row r="105" customFormat="false" ht="15" hidden="false" customHeight="false" outlineLevel="0" collapsed="false">
      <c r="A105" s="0" t="s">
        <v>818</v>
      </c>
      <c r="B105" s="0" t="s">
        <v>819</v>
      </c>
      <c r="C105" s="0" t="s">
        <v>820</v>
      </c>
    </row>
    <row r="106" customFormat="false" ht="15" hidden="false" customHeight="false" outlineLevel="0" collapsed="false">
      <c r="A106" s="0" t="s">
        <v>821</v>
      </c>
      <c r="B106" s="0" t="s">
        <v>822</v>
      </c>
      <c r="C106" s="0" t="s">
        <v>823</v>
      </c>
    </row>
    <row r="107" customFormat="false" ht="15" hidden="false" customHeight="false" outlineLevel="0" collapsed="false">
      <c r="A107" s="0" t="s">
        <v>824</v>
      </c>
      <c r="B107" s="0" t="s">
        <v>825</v>
      </c>
      <c r="C107" s="0" t="s">
        <v>826</v>
      </c>
    </row>
    <row r="108" customFormat="false" ht="15" hidden="false" customHeight="false" outlineLevel="0" collapsed="false">
      <c r="A108" s="0" t="s">
        <v>827</v>
      </c>
      <c r="B108" s="0" t="s">
        <v>828</v>
      </c>
      <c r="C108" s="0" t="s">
        <v>829</v>
      </c>
    </row>
    <row r="109" customFormat="false" ht="15" hidden="false" customHeight="false" outlineLevel="0" collapsed="false">
      <c r="A109" s="0" t="s">
        <v>830</v>
      </c>
      <c r="B109" s="0" t="s">
        <v>831</v>
      </c>
      <c r="C109" s="0" t="s">
        <v>832</v>
      </c>
    </row>
    <row r="110" customFormat="false" ht="15" hidden="false" customHeight="false" outlineLevel="0" collapsed="false">
      <c r="A110" s="0" t="s">
        <v>833</v>
      </c>
      <c r="B110" s="0" t="s">
        <v>834</v>
      </c>
      <c r="C110" s="0" t="s">
        <v>835</v>
      </c>
    </row>
    <row r="111" customFormat="false" ht="15" hidden="false" customHeight="false" outlineLevel="0" collapsed="false">
      <c r="A111" s="0" t="s">
        <v>836</v>
      </c>
      <c r="B111" s="0" t="s">
        <v>837</v>
      </c>
      <c r="C111" s="0" t="s">
        <v>838</v>
      </c>
    </row>
    <row r="112" customFormat="false" ht="15" hidden="false" customHeight="false" outlineLevel="0" collapsed="false">
      <c r="A112" s="0" t="s">
        <v>839</v>
      </c>
      <c r="B112" s="0" t="s">
        <v>840</v>
      </c>
      <c r="C112" s="0" t="s">
        <v>841</v>
      </c>
    </row>
    <row r="113" customFormat="false" ht="15" hidden="false" customHeight="false" outlineLevel="0" collapsed="false">
      <c r="A113" s="0" t="s">
        <v>842</v>
      </c>
      <c r="B113" s="0" t="s">
        <v>843</v>
      </c>
      <c r="C113" s="0" t="s">
        <v>844</v>
      </c>
    </row>
    <row r="114" customFormat="false" ht="15" hidden="false" customHeight="false" outlineLevel="0" collapsed="false">
      <c r="A114" s="0" t="s">
        <v>845</v>
      </c>
      <c r="B114" s="0" t="s">
        <v>846</v>
      </c>
      <c r="C114" s="0" t="s">
        <v>847</v>
      </c>
    </row>
    <row r="115" customFormat="false" ht="15" hidden="false" customHeight="false" outlineLevel="0" collapsed="false">
      <c r="A115" s="0" t="s">
        <v>848</v>
      </c>
      <c r="B115" s="0" t="s">
        <v>849</v>
      </c>
      <c r="C115" s="0" t="s">
        <v>850</v>
      </c>
    </row>
    <row r="116" customFormat="false" ht="15" hidden="false" customHeight="false" outlineLevel="0" collapsed="false">
      <c r="A116" s="0" t="s">
        <v>851</v>
      </c>
      <c r="B116" s="0" t="s">
        <v>852</v>
      </c>
      <c r="C116" s="0" t="s">
        <v>853</v>
      </c>
    </row>
    <row r="117" customFormat="false" ht="15" hidden="false" customHeight="false" outlineLevel="0" collapsed="false">
      <c r="A117" s="0" t="s">
        <v>854</v>
      </c>
      <c r="B117" s="0" t="s">
        <v>855</v>
      </c>
      <c r="C117" s="0" t="s">
        <v>856</v>
      </c>
    </row>
    <row r="118" customFormat="false" ht="15" hidden="false" customHeight="false" outlineLevel="0" collapsed="false">
      <c r="A118" s="0" t="s">
        <v>857</v>
      </c>
      <c r="B118" s="0" t="s">
        <v>858</v>
      </c>
      <c r="C118" s="0" t="s">
        <v>859</v>
      </c>
    </row>
    <row r="119" customFormat="false" ht="15" hidden="false" customHeight="false" outlineLevel="0" collapsed="false">
      <c r="A119" s="0" t="s">
        <v>860</v>
      </c>
      <c r="B119" s="0" t="s">
        <v>861</v>
      </c>
      <c r="C119" s="0" t="s">
        <v>862</v>
      </c>
    </row>
    <row r="120" customFormat="false" ht="15" hidden="false" customHeight="false" outlineLevel="0" collapsed="false">
      <c r="A120" s="0" t="s">
        <v>863</v>
      </c>
      <c r="B120" s="0" t="s">
        <v>864</v>
      </c>
      <c r="C120" s="0" t="s">
        <v>865</v>
      </c>
    </row>
    <row r="121" customFormat="false" ht="15" hidden="false" customHeight="false" outlineLevel="0" collapsed="false">
      <c r="A121" s="0" t="s">
        <v>866</v>
      </c>
      <c r="B121" s="0" t="s">
        <v>867</v>
      </c>
      <c r="C121" s="0" t="s">
        <v>868</v>
      </c>
    </row>
    <row r="122" customFormat="false" ht="15" hidden="false" customHeight="false" outlineLevel="0" collapsed="false">
      <c r="A122" s="0" t="s">
        <v>869</v>
      </c>
      <c r="B122" s="0" t="s">
        <v>870</v>
      </c>
      <c r="C122" s="0" t="s">
        <v>871</v>
      </c>
    </row>
    <row r="123" customFormat="false" ht="15" hidden="false" customHeight="false" outlineLevel="0" collapsed="false">
      <c r="A123" s="0" t="s">
        <v>872</v>
      </c>
      <c r="B123" s="0" t="s">
        <v>873</v>
      </c>
      <c r="C123" s="0" t="s">
        <v>874</v>
      </c>
    </row>
    <row r="124" customFormat="false" ht="15" hidden="false" customHeight="false" outlineLevel="0" collapsed="false">
      <c r="A124" s="0" t="s">
        <v>875</v>
      </c>
      <c r="B124" s="0" t="s">
        <v>876</v>
      </c>
      <c r="C124" s="0" t="s">
        <v>877</v>
      </c>
    </row>
    <row r="125" customFormat="false" ht="15" hidden="false" customHeight="false" outlineLevel="0" collapsed="false">
      <c r="A125" s="0" t="s">
        <v>878</v>
      </c>
      <c r="B125" s="0" t="s">
        <v>879</v>
      </c>
      <c r="C125" s="0" t="s">
        <v>880</v>
      </c>
    </row>
    <row r="126" customFormat="false" ht="15" hidden="false" customHeight="false" outlineLevel="0" collapsed="false">
      <c r="A126" s="0" t="s">
        <v>881</v>
      </c>
      <c r="B126" s="0" t="s">
        <v>882</v>
      </c>
      <c r="C126" s="0" t="s">
        <v>883</v>
      </c>
    </row>
    <row r="127" customFormat="false" ht="15" hidden="false" customHeight="false" outlineLevel="0" collapsed="false">
      <c r="A127" s="0" t="s">
        <v>884</v>
      </c>
      <c r="B127" s="0" t="s">
        <v>885</v>
      </c>
      <c r="C127" s="0" t="s">
        <v>886</v>
      </c>
    </row>
    <row r="128" customFormat="false" ht="15" hidden="false" customHeight="false" outlineLevel="0" collapsed="false">
      <c r="A128" s="0" t="s">
        <v>887</v>
      </c>
      <c r="B128" s="0" t="s">
        <v>888</v>
      </c>
      <c r="C128" s="0" t="s">
        <v>889</v>
      </c>
    </row>
    <row r="129" customFormat="false" ht="15" hidden="false" customHeight="false" outlineLevel="0" collapsed="false">
      <c r="A129" s="0" t="s">
        <v>890</v>
      </c>
      <c r="B129" s="0" t="s">
        <v>891</v>
      </c>
      <c r="C129" s="0" t="s">
        <v>892</v>
      </c>
    </row>
    <row r="130" customFormat="false" ht="15" hidden="false" customHeight="false" outlineLevel="0" collapsed="false">
      <c r="A130" s="0" t="s">
        <v>893</v>
      </c>
      <c r="B130" s="0" t="s">
        <v>894</v>
      </c>
      <c r="C130" s="0" t="s">
        <v>895</v>
      </c>
    </row>
    <row r="131" customFormat="false" ht="15" hidden="false" customHeight="false" outlineLevel="0" collapsed="false">
      <c r="A131" s="0" t="s">
        <v>896</v>
      </c>
      <c r="B131" s="0" t="s">
        <v>897</v>
      </c>
      <c r="C131" s="0" t="s">
        <v>898</v>
      </c>
    </row>
    <row r="132" customFormat="false" ht="15" hidden="false" customHeight="false" outlineLevel="0" collapsed="false">
      <c r="A132" s="0" t="s">
        <v>899</v>
      </c>
      <c r="B132" s="0" t="s">
        <v>900</v>
      </c>
      <c r="C132" s="0" t="s">
        <v>901</v>
      </c>
    </row>
    <row r="133" customFormat="false" ht="15" hidden="false" customHeight="false" outlineLevel="0" collapsed="false">
      <c r="A133" s="0" t="s">
        <v>902</v>
      </c>
      <c r="B133" s="0" t="s">
        <v>903</v>
      </c>
      <c r="C133" s="0" t="s">
        <v>904</v>
      </c>
    </row>
    <row r="134" customFormat="false" ht="15" hidden="false" customHeight="false" outlineLevel="0" collapsed="false">
      <c r="A134" s="0" t="s">
        <v>905</v>
      </c>
      <c r="B134" s="0" t="s">
        <v>906</v>
      </c>
      <c r="C134" s="0" t="s">
        <v>907</v>
      </c>
    </row>
    <row r="135" customFormat="false" ht="15" hidden="false" customHeight="false" outlineLevel="0" collapsed="false">
      <c r="A135" s="0" t="s">
        <v>908</v>
      </c>
      <c r="B135" s="0" t="s">
        <v>909</v>
      </c>
      <c r="C135" s="0" t="s">
        <v>910</v>
      </c>
    </row>
    <row r="136" customFormat="false" ht="15" hidden="false" customHeight="false" outlineLevel="0" collapsed="false">
      <c r="A136" s="0" t="s">
        <v>911</v>
      </c>
      <c r="B136" s="0" t="s">
        <v>912</v>
      </c>
      <c r="C136" s="0" t="s">
        <v>913</v>
      </c>
    </row>
    <row r="137" customFormat="false" ht="15" hidden="false" customHeight="false" outlineLevel="0" collapsed="false">
      <c r="A137" s="0" t="s">
        <v>914</v>
      </c>
      <c r="B137" s="0" t="s">
        <v>915</v>
      </c>
      <c r="C137" s="0" t="s">
        <v>916</v>
      </c>
    </row>
    <row r="138" customFormat="false" ht="15" hidden="false" customHeight="false" outlineLevel="0" collapsed="false">
      <c r="A138" s="0" t="s">
        <v>917</v>
      </c>
      <c r="B138" s="0" t="s">
        <v>918</v>
      </c>
      <c r="C138" s="0" t="s">
        <v>919</v>
      </c>
    </row>
    <row r="139" customFormat="false" ht="15" hidden="false" customHeight="false" outlineLevel="0" collapsed="false">
      <c r="A139" s="0" t="s">
        <v>920</v>
      </c>
      <c r="B139" s="0" t="s">
        <v>921</v>
      </c>
      <c r="C139" s="0" t="s">
        <v>922</v>
      </c>
    </row>
    <row r="140" customFormat="false" ht="15" hidden="false" customHeight="false" outlineLevel="0" collapsed="false">
      <c r="A140" s="0" t="s">
        <v>923</v>
      </c>
      <c r="B140" s="0" t="s">
        <v>924</v>
      </c>
      <c r="C140" s="0" t="s">
        <v>925</v>
      </c>
    </row>
    <row r="141" customFormat="false" ht="15" hidden="false" customHeight="false" outlineLevel="0" collapsed="false">
      <c r="A141" s="0" t="s">
        <v>926</v>
      </c>
      <c r="B141" s="0" t="s">
        <v>927</v>
      </c>
      <c r="C141" s="0" t="s">
        <v>928</v>
      </c>
    </row>
    <row r="142" customFormat="false" ht="15" hidden="false" customHeight="false" outlineLevel="0" collapsed="false">
      <c r="A142" s="0" t="s">
        <v>929</v>
      </c>
      <c r="B142" s="0" t="s">
        <v>930</v>
      </c>
      <c r="C142" s="0" t="s">
        <v>931</v>
      </c>
    </row>
    <row r="143" customFormat="false" ht="15" hidden="false" customHeight="false" outlineLevel="0" collapsed="false">
      <c r="A143" s="0" t="s">
        <v>932</v>
      </c>
      <c r="B143" s="0" t="s">
        <v>933</v>
      </c>
      <c r="C143" s="0" t="s">
        <v>934</v>
      </c>
    </row>
    <row r="144" customFormat="false" ht="15" hidden="false" customHeight="false" outlineLevel="0" collapsed="false">
      <c r="A144" s="0" t="s">
        <v>935</v>
      </c>
      <c r="B144" s="0" t="s">
        <v>936</v>
      </c>
      <c r="C144" s="0" t="s">
        <v>937</v>
      </c>
    </row>
    <row r="145" customFormat="false" ht="15" hidden="false" customHeight="false" outlineLevel="0" collapsed="false">
      <c r="A145" s="0" t="s">
        <v>938</v>
      </c>
      <c r="B145" s="0" t="s">
        <v>939</v>
      </c>
      <c r="C145" s="0" t="s">
        <v>940</v>
      </c>
    </row>
    <row r="146" customFormat="false" ht="15" hidden="false" customHeight="false" outlineLevel="0" collapsed="false">
      <c r="A146" s="0" t="s">
        <v>941</v>
      </c>
      <c r="B146" s="0" t="s">
        <v>942</v>
      </c>
      <c r="C146" s="0" t="s">
        <v>943</v>
      </c>
    </row>
    <row r="147" customFormat="false" ht="15" hidden="false" customHeight="false" outlineLevel="0" collapsed="false">
      <c r="A147" s="0" t="s">
        <v>944</v>
      </c>
      <c r="B147" s="0" t="s">
        <v>945</v>
      </c>
      <c r="C147" s="0" t="s">
        <v>946</v>
      </c>
    </row>
    <row r="148" customFormat="false" ht="15" hidden="false" customHeight="false" outlineLevel="0" collapsed="false">
      <c r="A148" s="0" t="s">
        <v>947</v>
      </c>
      <c r="B148" s="0" t="s">
        <v>948</v>
      </c>
      <c r="C148" s="0" t="s">
        <v>949</v>
      </c>
    </row>
    <row r="149" customFormat="false" ht="15" hidden="false" customHeight="false" outlineLevel="0" collapsed="false">
      <c r="A149" s="0" t="s">
        <v>950</v>
      </c>
      <c r="B149" s="0" t="s">
        <v>951</v>
      </c>
      <c r="C149" s="0" t="s">
        <v>952</v>
      </c>
    </row>
    <row r="150" customFormat="false" ht="15" hidden="false" customHeight="false" outlineLevel="0" collapsed="false">
      <c r="A150" s="0" t="s">
        <v>953</v>
      </c>
      <c r="B150" s="0" t="s">
        <v>954</v>
      </c>
      <c r="C150" s="0" t="s">
        <v>955</v>
      </c>
    </row>
    <row r="151" customFormat="false" ht="15" hidden="false" customHeight="false" outlineLevel="0" collapsed="false">
      <c r="A151" s="0" t="s">
        <v>956</v>
      </c>
      <c r="B151" s="0" t="s">
        <v>957</v>
      </c>
      <c r="C151" s="0" t="s">
        <v>958</v>
      </c>
    </row>
    <row r="152" customFormat="false" ht="15" hidden="false" customHeight="false" outlineLevel="0" collapsed="false">
      <c r="A152" s="0" t="s">
        <v>959</v>
      </c>
      <c r="B152" s="0" t="s">
        <v>960</v>
      </c>
      <c r="C152" s="0" t="s">
        <v>961</v>
      </c>
    </row>
    <row r="153" customFormat="false" ht="15" hidden="false" customHeight="false" outlineLevel="0" collapsed="false">
      <c r="A153" s="0" t="s">
        <v>962</v>
      </c>
      <c r="B153" s="0" t="s">
        <v>963</v>
      </c>
      <c r="C153" s="0" t="s">
        <v>964</v>
      </c>
    </row>
    <row r="154" customFormat="false" ht="15" hidden="false" customHeight="false" outlineLevel="0" collapsed="false">
      <c r="A154" s="0" t="s">
        <v>965</v>
      </c>
      <c r="B154" s="0" t="s">
        <v>966</v>
      </c>
      <c r="C154" s="0" t="s">
        <v>967</v>
      </c>
    </row>
    <row r="155" customFormat="false" ht="15" hidden="false" customHeight="false" outlineLevel="0" collapsed="false">
      <c r="A155" s="0" t="s">
        <v>968</v>
      </c>
      <c r="B155" s="0" t="s">
        <v>969</v>
      </c>
      <c r="C155" s="0" t="s">
        <v>967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2"/>
    <col collapsed="false" customWidth="true" hidden="false" outlineLevel="0" max="3" min="3" style="0" width="14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6" min="6" style="0" width="60"/>
  </cols>
  <sheetData>
    <row r="1" customFormat="false" ht="15" hidden="false" customHeight="false" outlineLevel="0" collapsed="false">
      <c r="A1" s="0" t="s">
        <v>970</v>
      </c>
    </row>
    <row r="2" customFormat="false" ht="15" hidden="false" customHeight="false" outlineLevel="0" collapsed="false">
      <c r="A2" s="0" t="s">
        <v>971</v>
      </c>
      <c r="B2" s="0" t="s">
        <v>972</v>
      </c>
      <c r="C2" s="0" t="s">
        <v>973</v>
      </c>
      <c r="D2" s="0" t="s">
        <v>974</v>
      </c>
      <c r="E2" s="0" t="s">
        <v>975</v>
      </c>
      <c r="F2" s="0" t="s">
        <v>976</v>
      </c>
    </row>
    <row r="3" customFormat="false" ht="15" hidden="false" customHeight="false" outlineLevel="0" collapsed="false">
      <c r="A3" s="0" t="s">
        <v>977</v>
      </c>
      <c r="B3" s="0" t="s">
        <v>978</v>
      </c>
      <c r="C3" s="0" t="s">
        <v>979</v>
      </c>
      <c r="D3" s="0" t="s">
        <v>980</v>
      </c>
      <c r="F3" s="0" t="s">
        <v>981</v>
      </c>
    </row>
    <row r="4" customFormat="false" ht="15" hidden="false" customHeight="false" outlineLevel="0" collapsed="false">
      <c r="A4" s="0" t="s">
        <v>982</v>
      </c>
      <c r="B4" s="0" t="s">
        <v>978</v>
      </c>
      <c r="C4" s="0" t="s">
        <v>979</v>
      </c>
      <c r="D4" s="0" t="s">
        <v>983</v>
      </c>
      <c r="F4" s="0" t="s">
        <v>984</v>
      </c>
    </row>
    <row r="5" customFormat="false" ht="15" hidden="false" customHeight="false" outlineLevel="0" collapsed="false">
      <c r="A5" s="0" t="s">
        <v>985</v>
      </c>
      <c r="B5" s="0" t="s">
        <v>978</v>
      </c>
      <c r="C5" s="0" t="s">
        <v>986</v>
      </c>
      <c r="D5" s="0" t="s">
        <v>987</v>
      </c>
      <c r="F5" s="0" t="s">
        <v>988</v>
      </c>
    </row>
    <row r="6" customFormat="false" ht="15" hidden="false" customHeight="false" outlineLevel="0" collapsed="false">
      <c r="A6" s="0" t="s">
        <v>989</v>
      </c>
      <c r="B6" s="0" t="s">
        <v>978</v>
      </c>
      <c r="C6" s="0" t="s">
        <v>990</v>
      </c>
      <c r="D6" s="0" t="s">
        <v>991</v>
      </c>
      <c r="F6" s="0" t="s">
        <v>992</v>
      </c>
    </row>
    <row r="7" customFormat="false" ht="15" hidden="false" customHeight="false" outlineLevel="0" collapsed="false">
      <c r="A7" s="0" t="s">
        <v>993</v>
      </c>
      <c r="B7" s="0" t="s">
        <v>978</v>
      </c>
      <c r="C7" s="0" t="s">
        <v>990</v>
      </c>
      <c r="D7" s="0" t="s">
        <v>994</v>
      </c>
      <c r="F7" s="0" t="s">
        <v>995</v>
      </c>
    </row>
    <row r="8" customFormat="false" ht="15" hidden="false" customHeight="false" outlineLevel="0" collapsed="false">
      <c r="A8" s="0" t="s">
        <v>996</v>
      </c>
      <c r="B8" s="0" t="s">
        <v>978</v>
      </c>
      <c r="C8" s="0" t="s">
        <v>997</v>
      </c>
      <c r="D8" s="0" t="s">
        <v>998</v>
      </c>
      <c r="F8" s="0" t="s">
        <v>999</v>
      </c>
    </row>
    <row r="9" customFormat="false" ht="15" hidden="false" customHeight="false" outlineLevel="0" collapsed="false">
      <c r="A9" s="0" t="s">
        <v>1000</v>
      </c>
      <c r="B9" s="0" t="s">
        <v>978</v>
      </c>
      <c r="C9" s="0" t="s">
        <v>1001</v>
      </c>
      <c r="D9" s="0" t="s">
        <v>1002</v>
      </c>
      <c r="F9" s="0" t="s">
        <v>992</v>
      </c>
    </row>
    <row r="10" customFormat="false" ht="15" hidden="false" customHeight="false" outlineLevel="0" collapsed="false">
      <c r="A10" s="0" t="s">
        <v>1003</v>
      </c>
      <c r="B10" s="0" t="s">
        <v>978</v>
      </c>
      <c r="C10" s="0" t="s">
        <v>1004</v>
      </c>
      <c r="D10" s="0" t="s">
        <v>1005</v>
      </c>
      <c r="F10" s="0" t="s">
        <v>1006</v>
      </c>
    </row>
    <row r="11" customFormat="false" ht="15" hidden="false" customHeight="false" outlineLevel="0" collapsed="false">
      <c r="A11" s="0" t="s">
        <v>1007</v>
      </c>
      <c r="B11" s="0" t="s">
        <v>978</v>
      </c>
      <c r="C11" s="0" t="s">
        <v>1008</v>
      </c>
      <c r="D11" s="0" t="s">
        <v>1009</v>
      </c>
      <c r="F11" s="0" t="s">
        <v>1010</v>
      </c>
    </row>
    <row r="12" customFormat="false" ht="15" hidden="false" customHeight="false" outlineLevel="0" collapsed="false">
      <c r="A12" s="0" t="s">
        <v>1011</v>
      </c>
      <c r="B12" s="0" t="s">
        <v>978</v>
      </c>
      <c r="C12" s="0" t="s">
        <v>1012</v>
      </c>
      <c r="D12" s="0" t="s">
        <v>1013</v>
      </c>
      <c r="F12" s="0" t="s">
        <v>1014</v>
      </c>
    </row>
    <row r="13" customFormat="false" ht="15" hidden="false" customHeight="false" outlineLevel="0" collapsed="false">
      <c r="A13" s="0" t="s">
        <v>1015</v>
      </c>
      <c r="B13" s="0" t="s">
        <v>978</v>
      </c>
      <c r="C13" s="0" t="s">
        <v>1016</v>
      </c>
      <c r="D13" s="0" t="s">
        <v>1017</v>
      </c>
      <c r="F13" s="0" t="s">
        <v>1018</v>
      </c>
    </row>
    <row r="14" customFormat="false" ht="15" hidden="false" customHeight="false" outlineLevel="0" collapsed="false">
      <c r="A14" s="0" t="s">
        <v>1019</v>
      </c>
      <c r="B14" s="0" t="s">
        <v>978</v>
      </c>
      <c r="C14" s="0" t="s">
        <v>1020</v>
      </c>
      <c r="D14" s="0" t="s">
        <v>1021</v>
      </c>
      <c r="F14" s="0" t="s">
        <v>1022</v>
      </c>
    </row>
    <row r="15" customFormat="false" ht="15" hidden="false" customHeight="false" outlineLevel="0" collapsed="false">
      <c r="A15" s="0" t="s">
        <v>1023</v>
      </c>
      <c r="B15" s="0" t="s">
        <v>978</v>
      </c>
      <c r="C15" s="0" t="s">
        <v>1024</v>
      </c>
      <c r="D15" s="0" t="s">
        <v>1025</v>
      </c>
      <c r="F15" s="0" t="s">
        <v>1026</v>
      </c>
    </row>
    <row r="16" customFormat="false" ht="15" hidden="false" customHeight="false" outlineLevel="0" collapsed="false">
      <c r="A16" s="0" t="s">
        <v>1027</v>
      </c>
      <c r="B16" s="0" t="s">
        <v>978</v>
      </c>
      <c r="C16" s="0" t="s">
        <v>1028</v>
      </c>
      <c r="D16" s="0" t="s">
        <v>1029</v>
      </c>
      <c r="F16" s="0" t="s">
        <v>1030</v>
      </c>
    </row>
    <row r="17" customFormat="false" ht="15" hidden="false" customHeight="false" outlineLevel="0" collapsed="false">
      <c r="A17" s="0" t="s">
        <v>1031</v>
      </c>
      <c r="B17" s="0" t="s">
        <v>978</v>
      </c>
      <c r="C17" s="0" t="s">
        <v>1032</v>
      </c>
      <c r="D17" s="0" t="s">
        <v>1033</v>
      </c>
      <c r="F17" s="0" t="s">
        <v>1034</v>
      </c>
    </row>
    <row r="18" customFormat="false" ht="15" hidden="false" customHeight="false" outlineLevel="0" collapsed="false">
      <c r="A18" s="0" t="s">
        <v>1035</v>
      </c>
      <c r="B18" s="0" t="s">
        <v>978</v>
      </c>
      <c r="C18" s="0" t="s">
        <v>1036</v>
      </c>
      <c r="D18" s="0" t="s">
        <v>1037</v>
      </c>
      <c r="F18" s="0" t="s">
        <v>1038</v>
      </c>
    </row>
    <row r="19" customFormat="false" ht="15" hidden="false" customHeight="false" outlineLevel="0" collapsed="false">
      <c r="A19" s="0" t="s">
        <v>1039</v>
      </c>
      <c r="B19" s="0" t="s">
        <v>978</v>
      </c>
      <c r="C19" s="0" t="s">
        <v>1040</v>
      </c>
      <c r="D19" s="0" t="s">
        <v>1041</v>
      </c>
      <c r="F19" s="0" t="s">
        <v>1042</v>
      </c>
    </row>
    <row r="20" customFormat="false" ht="15" hidden="false" customHeight="false" outlineLevel="0" collapsed="false">
      <c r="A20" s="0" t="s">
        <v>1043</v>
      </c>
      <c r="B20" s="0" t="s">
        <v>978</v>
      </c>
      <c r="C20" s="0" t="s">
        <v>1040</v>
      </c>
      <c r="D20" s="0" t="s">
        <v>1044</v>
      </c>
      <c r="F20" s="0" t="s">
        <v>1042</v>
      </c>
    </row>
    <row r="21" customFormat="false" ht="15" hidden="false" customHeight="false" outlineLevel="0" collapsed="false">
      <c r="A21" s="0" t="s">
        <v>1045</v>
      </c>
      <c r="B21" s="0" t="s">
        <v>978</v>
      </c>
      <c r="C21" s="0" t="s">
        <v>1040</v>
      </c>
      <c r="D21" s="0" t="s">
        <v>1046</v>
      </c>
      <c r="F21" s="0" t="s">
        <v>1047</v>
      </c>
    </row>
    <row r="22" customFormat="false" ht="15" hidden="false" customHeight="false" outlineLevel="0" collapsed="false">
      <c r="A22" s="0" t="s">
        <v>1048</v>
      </c>
      <c r="B22" s="0" t="s">
        <v>978</v>
      </c>
      <c r="C22" s="0" t="s">
        <v>1040</v>
      </c>
      <c r="D22" s="0" t="s">
        <v>1049</v>
      </c>
      <c r="F22" s="0" t="s">
        <v>1047</v>
      </c>
    </row>
    <row r="23" customFormat="false" ht="15" hidden="false" customHeight="false" outlineLevel="0" collapsed="false">
      <c r="A23" s="0" t="s">
        <v>1050</v>
      </c>
      <c r="B23" s="0" t="s">
        <v>978</v>
      </c>
      <c r="C23" s="0" t="s">
        <v>1040</v>
      </c>
      <c r="D23" s="0" t="s">
        <v>1051</v>
      </c>
      <c r="F23" s="0" t="s">
        <v>1052</v>
      </c>
    </row>
    <row r="24" customFormat="false" ht="15" hidden="false" customHeight="false" outlineLevel="0" collapsed="false">
      <c r="A24" s="0" t="s">
        <v>1053</v>
      </c>
      <c r="B24" s="0" t="s">
        <v>978</v>
      </c>
      <c r="C24" s="0" t="s">
        <v>1040</v>
      </c>
      <c r="D24" s="0" t="s">
        <v>1054</v>
      </c>
      <c r="F24" s="0" t="s">
        <v>1055</v>
      </c>
    </row>
    <row r="25" customFormat="false" ht="15" hidden="false" customHeight="false" outlineLevel="0" collapsed="false">
      <c r="A25" s="0" t="s">
        <v>1056</v>
      </c>
      <c r="B25" s="0" t="s">
        <v>978</v>
      </c>
      <c r="C25" s="0" t="s">
        <v>1040</v>
      </c>
      <c r="D25" s="0" t="s">
        <v>1057</v>
      </c>
      <c r="F25" s="0" t="s">
        <v>1058</v>
      </c>
    </row>
    <row r="26" customFormat="false" ht="15" hidden="false" customHeight="false" outlineLevel="0" collapsed="false">
      <c r="A26" s="0" t="s">
        <v>1059</v>
      </c>
      <c r="B26" s="0" t="s">
        <v>978</v>
      </c>
      <c r="C26" s="0" t="s">
        <v>1040</v>
      </c>
      <c r="D26" s="0" t="s">
        <v>1060</v>
      </c>
      <c r="F26" s="0" t="s">
        <v>1061</v>
      </c>
    </row>
    <row r="27" customFormat="false" ht="15" hidden="false" customHeight="false" outlineLevel="0" collapsed="false">
      <c r="A27" s="0" t="s">
        <v>1062</v>
      </c>
      <c r="B27" s="0" t="s">
        <v>978</v>
      </c>
      <c r="C27" s="0" t="s">
        <v>1040</v>
      </c>
      <c r="D27" s="0" t="s">
        <v>1063</v>
      </c>
      <c r="F27" s="0" t="s">
        <v>1064</v>
      </c>
    </row>
    <row r="28" customFormat="false" ht="15" hidden="false" customHeight="false" outlineLevel="0" collapsed="false">
      <c r="A28" s="0" t="s">
        <v>1065</v>
      </c>
      <c r="B28" s="0" t="s">
        <v>978</v>
      </c>
      <c r="C28" s="0" t="s">
        <v>1040</v>
      </c>
      <c r="D28" s="0" t="s">
        <v>1066</v>
      </c>
      <c r="F28" s="0" t="s">
        <v>1067</v>
      </c>
    </row>
    <row r="29" customFormat="false" ht="15" hidden="false" customHeight="false" outlineLevel="0" collapsed="false">
      <c r="A29" s="0" t="s">
        <v>1068</v>
      </c>
      <c r="B29" s="0" t="s">
        <v>978</v>
      </c>
      <c r="C29" s="0" t="s">
        <v>1040</v>
      </c>
      <c r="D29" s="0" t="s">
        <v>1069</v>
      </c>
      <c r="F29" s="0" t="s">
        <v>1070</v>
      </c>
    </row>
    <row r="30" customFormat="false" ht="15" hidden="false" customHeight="false" outlineLevel="0" collapsed="false">
      <c r="A30" s="0" t="s">
        <v>1071</v>
      </c>
      <c r="B30" s="0" t="s">
        <v>978</v>
      </c>
      <c r="C30" s="0" t="s">
        <v>1040</v>
      </c>
      <c r="D30" s="0" t="s">
        <v>1072</v>
      </c>
      <c r="F30" s="0" t="s">
        <v>1067</v>
      </c>
    </row>
    <row r="31" customFormat="false" ht="15" hidden="false" customHeight="false" outlineLevel="0" collapsed="false">
      <c r="A31" s="0" t="s">
        <v>1073</v>
      </c>
      <c r="B31" s="0" t="s">
        <v>978</v>
      </c>
      <c r="C31" s="0" t="s">
        <v>1040</v>
      </c>
      <c r="D31" s="0" t="s">
        <v>1074</v>
      </c>
      <c r="F31" s="0" t="s">
        <v>1042</v>
      </c>
    </row>
    <row r="32" customFormat="false" ht="15" hidden="false" customHeight="false" outlineLevel="0" collapsed="false">
      <c r="A32" s="0" t="s">
        <v>1075</v>
      </c>
      <c r="B32" s="0" t="s">
        <v>978</v>
      </c>
      <c r="C32" s="0" t="s">
        <v>1040</v>
      </c>
      <c r="D32" s="0" t="s">
        <v>1076</v>
      </c>
      <c r="F32" s="0" t="s">
        <v>1042</v>
      </c>
    </row>
    <row r="33" customFormat="false" ht="15" hidden="false" customHeight="false" outlineLevel="0" collapsed="false">
      <c r="A33" s="0" t="s">
        <v>1077</v>
      </c>
      <c r="B33" s="0" t="s">
        <v>978</v>
      </c>
      <c r="C33" s="0" t="s">
        <v>1040</v>
      </c>
      <c r="D33" s="0" t="s">
        <v>1078</v>
      </c>
      <c r="F33" s="0" t="s">
        <v>1042</v>
      </c>
    </row>
    <row r="34" customFormat="false" ht="15" hidden="false" customHeight="false" outlineLevel="0" collapsed="false">
      <c r="A34" s="0" t="s">
        <v>1079</v>
      </c>
      <c r="B34" s="0" t="s">
        <v>978</v>
      </c>
      <c r="C34" s="0" t="s">
        <v>1040</v>
      </c>
      <c r="D34" s="0" t="s">
        <v>1080</v>
      </c>
      <c r="F34" s="0" t="s">
        <v>1081</v>
      </c>
    </row>
    <row r="35" customFormat="false" ht="15" hidden="false" customHeight="false" outlineLevel="0" collapsed="false">
      <c r="A35" s="0" t="s">
        <v>1082</v>
      </c>
      <c r="B35" s="0" t="s">
        <v>978</v>
      </c>
      <c r="C35" s="0" t="s">
        <v>1040</v>
      </c>
      <c r="D35" s="0" t="s">
        <v>1083</v>
      </c>
      <c r="F35" s="0" t="s">
        <v>1084</v>
      </c>
    </row>
    <row r="36" customFormat="false" ht="15" hidden="false" customHeight="false" outlineLevel="0" collapsed="false">
      <c r="A36" s="0" t="s">
        <v>1085</v>
      </c>
      <c r="B36" s="0" t="s">
        <v>978</v>
      </c>
      <c r="C36" s="0" t="s">
        <v>1040</v>
      </c>
      <c r="D36" s="0" t="s">
        <v>1086</v>
      </c>
      <c r="F36" s="0" t="s">
        <v>1087</v>
      </c>
    </row>
    <row r="37" customFormat="false" ht="15" hidden="false" customHeight="false" outlineLevel="0" collapsed="false">
      <c r="A37" s="0" t="s">
        <v>1088</v>
      </c>
      <c r="B37" s="0" t="s">
        <v>978</v>
      </c>
      <c r="C37" s="0" t="s">
        <v>1040</v>
      </c>
      <c r="D37" s="0" t="s">
        <v>1089</v>
      </c>
      <c r="F37" s="0" t="s">
        <v>1090</v>
      </c>
    </row>
    <row r="38" customFormat="false" ht="15" hidden="false" customHeight="false" outlineLevel="0" collapsed="false">
      <c r="A38" s="0" t="s">
        <v>1091</v>
      </c>
      <c r="B38" s="0" t="s">
        <v>978</v>
      </c>
      <c r="C38" s="0" t="s">
        <v>1040</v>
      </c>
      <c r="D38" s="0" t="s">
        <v>1092</v>
      </c>
      <c r="F38" s="0" t="s">
        <v>1093</v>
      </c>
    </row>
    <row r="39" customFormat="false" ht="15" hidden="false" customHeight="false" outlineLevel="0" collapsed="false">
      <c r="A39" s="0" t="s">
        <v>1094</v>
      </c>
      <c r="B39" s="0" t="s">
        <v>978</v>
      </c>
      <c r="C39" s="0" t="s">
        <v>1040</v>
      </c>
      <c r="D39" s="0" t="s">
        <v>1095</v>
      </c>
      <c r="F39" s="0" t="s">
        <v>1096</v>
      </c>
    </row>
    <row r="40" customFormat="false" ht="15" hidden="false" customHeight="false" outlineLevel="0" collapsed="false">
      <c r="A40" s="0" t="s">
        <v>1097</v>
      </c>
      <c r="B40" s="0" t="s">
        <v>978</v>
      </c>
      <c r="C40" s="0" t="s">
        <v>1040</v>
      </c>
      <c r="D40" s="0" t="s">
        <v>1098</v>
      </c>
      <c r="F40" s="0" t="s">
        <v>1096</v>
      </c>
    </row>
    <row r="41" customFormat="false" ht="15" hidden="false" customHeight="false" outlineLevel="0" collapsed="false">
      <c r="A41" s="0" t="s">
        <v>1099</v>
      </c>
      <c r="B41" s="0" t="s">
        <v>978</v>
      </c>
      <c r="C41" s="0" t="s">
        <v>1040</v>
      </c>
      <c r="D41" s="0" t="s">
        <v>1100</v>
      </c>
      <c r="F41" s="0" t="s">
        <v>1101</v>
      </c>
    </row>
    <row r="42" customFormat="false" ht="15" hidden="false" customHeight="false" outlineLevel="0" collapsed="false">
      <c r="A42" s="0" t="s">
        <v>1102</v>
      </c>
      <c r="B42" s="0" t="s">
        <v>978</v>
      </c>
      <c r="C42" s="0" t="s">
        <v>1040</v>
      </c>
      <c r="D42" s="0" t="s">
        <v>1103</v>
      </c>
      <c r="F42" s="0" t="s">
        <v>1104</v>
      </c>
    </row>
    <row r="43" customFormat="false" ht="15" hidden="false" customHeight="false" outlineLevel="0" collapsed="false">
      <c r="A43" s="0" t="s">
        <v>1105</v>
      </c>
      <c r="B43" s="0" t="s">
        <v>978</v>
      </c>
      <c r="C43" s="0" t="s">
        <v>1040</v>
      </c>
      <c r="D43" s="0" t="s">
        <v>1106</v>
      </c>
      <c r="F43" s="0" t="s">
        <v>1107</v>
      </c>
    </row>
    <row r="44" customFormat="false" ht="15" hidden="false" customHeight="false" outlineLevel="0" collapsed="false">
      <c r="A44" s="0" t="s">
        <v>1108</v>
      </c>
      <c r="B44" s="0" t="s">
        <v>978</v>
      </c>
      <c r="C44" s="0" t="s">
        <v>1040</v>
      </c>
      <c r="D44" s="0" t="s">
        <v>1109</v>
      </c>
      <c r="F44" s="0" t="s">
        <v>1110</v>
      </c>
    </row>
    <row r="45" customFormat="false" ht="15" hidden="false" customHeight="false" outlineLevel="0" collapsed="false">
      <c r="A45" s="0" t="s">
        <v>1111</v>
      </c>
      <c r="B45" s="0" t="s">
        <v>978</v>
      </c>
      <c r="C45" s="0" t="s">
        <v>1040</v>
      </c>
      <c r="D45" s="0" t="s">
        <v>1112</v>
      </c>
      <c r="F45" s="0" t="s">
        <v>1110</v>
      </c>
    </row>
    <row r="46" customFormat="false" ht="15" hidden="false" customHeight="false" outlineLevel="0" collapsed="false">
      <c r="A46" s="0" t="s">
        <v>1113</v>
      </c>
      <c r="B46" s="0" t="s">
        <v>978</v>
      </c>
      <c r="C46" s="0" t="s">
        <v>1040</v>
      </c>
      <c r="D46" s="0" t="s">
        <v>1114</v>
      </c>
      <c r="F46" s="0" t="s">
        <v>1110</v>
      </c>
    </row>
    <row r="47" customFormat="false" ht="15" hidden="false" customHeight="false" outlineLevel="0" collapsed="false">
      <c r="A47" s="0" t="s">
        <v>1115</v>
      </c>
      <c r="B47" s="0" t="s">
        <v>978</v>
      </c>
      <c r="C47" s="0" t="s">
        <v>1040</v>
      </c>
      <c r="D47" s="0" t="s">
        <v>1116</v>
      </c>
      <c r="F47" s="0" t="s">
        <v>1110</v>
      </c>
    </row>
    <row r="48" customFormat="false" ht="15" hidden="false" customHeight="false" outlineLevel="0" collapsed="false">
      <c r="A48" s="0" t="s">
        <v>1117</v>
      </c>
      <c r="B48" s="0" t="s">
        <v>978</v>
      </c>
      <c r="C48" s="0" t="s">
        <v>1040</v>
      </c>
      <c r="D48" s="0" t="s">
        <v>1118</v>
      </c>
      <c r="F48" s="0" t="s">
        <v>1119</v>
      </c>
    </row>
    <row r="49" customFormat="false" ht="15" hidden="false" customHeight="false" outlineLevel="0" collapsed="false">
      <c r="A49" s="0" t="s">
        <v>1120</v>
      </c>
      <c r="B49" s="0" t="s">
        <v>978</v>
      </c>
      <c r="C49" s="0" t="s">
        <v>1040</v>
      </c>
      <c r="D49" s="0" t="s">
        <v>1121</v>
      </c>
      <c r="F49" s="0" t="s">
        <v>1119</v>
      </c>
    </row>
    <row r="50" customFormat="false" ht="15" hidden="false" customHeight="false" outlineLevel="0" collapsed="false">
      <c r="A50" s="0" t="s">
        <v>1122</v>
      </c>
      <c r="B50" s="0" t="s">
        <v>978</v>
      </c>
      <c r="C50" s="0" t="s">
        <v>1040</v>
      </c>
      <c r="D50" s="0" t="s">
        <v>1123</v>
      </c>
      <c r="F50" s="0" t="s">
        <v>1124</v>
      </c>
    </row>
    <row r="51" customFormat="false" ht="15" hidden="false" customHeight="false" outlineLevel="0" collapsed="false">
      <c r="A51" s="0" t="s">
        <v>1125</v>
      </c>
      <c r="B51" s="0" t="s">
        <v>978</v>
      </c>
      <c r="C51" s="0" t="s">
        <v>1040</v>
      </c>
      <c r="D51" s="0" t="s">
        <v>1126</v>
      </c>
      <c r="F51" s="0" t="s">
        <v>1127</v>
      </c>
    </row>
    <row r="52" customFormat="false" ht="15" hidden="false" customHeight="false" outlineLevel="0" collapsed="false">
      <c r="A52" s="0" t="s">
        <v>1128</v>
      </c>
      <c r="B52" s="0" t="s">
        <v>978</v>
      </c>
      <c r="C52" s="0" t="s">
        <v>1040</v>
      </c>
      <c r="D52" s="0" t="s">
        <v>1129</v>
      </c>
      <c r="F52" s="0" t="s">
        <v>1130</v>
      </c>
    </row>
    <row r="53" customFormat="false" ht="15" hidden="false" customHeight="false" outlineLevel="0" collapsed="false">
      <c r="A53" s="0" t="s">
        <v>1131</v>
      </c>
      <c r="B53" s="0" t="s">
        <v>978</v>
      </c>
      <c r="C53" s="0" t="s">
        <v>1040</v>
      </c>
      <c r="D53" s="0" t="s">
        <v>1132</v>
      </c>
      <c r="F53" s="0" t="s">
        <v>1133</v>
      </c>
    </row>
    <row r="54" customFormat="false" ht="15" hidden="false" customHeight="false" outlineLevel="0" collapsed="false">
      <c r="A54" s="0" t="s">
        <v>1134</v>
      </c>
      <c r="B54" s="0" t="s">
        <v>978</v>
      </c>
      <c r="C54" s="0" t="s">
        <v>1040</v>
      </c>
      <c r="D54" s="0" t="s">
        <v>1135</v>
      </c>
      <c r="F54" s="0" t="s">
        <v>1136</v>
      </c>
    </row>
    <row r="55" customFormat="false" ht="15" hidden="false" customHeight="false" outlineLevel="0" collapsed="false">
      <c r="A55" s="0" t="s">
        <v>1137</v>
      </c>
      <c r="B55" s="0" t="s">
        <v>978</v>
      </c>
      <c r="C55" s="0" t="s">
        <v>1040</v>
      </c>
      <c r="D55" s="0" t="s">
        <v>1138</v>
      </c>
      <c r="F55" s="0" t="s">
        <v>1139</v>
      </c>
    </row>
    <row r="56" customFormat="false" ht="15" hidden="false" customHeight="false" outlineLevel="0" collapsed="false">
      <c r="A56" s="0" t="s">
        <v>1140</v>
      </c>
      <c r="B56" s="0" t="s">
        <v>978</v>
      </c>
      <c r="C56" s="0" t="s">
        <v>1040</v>
      </c>
      <c r="D56" s="0" t="s">
        <v>1141</v>
      </c>
      <c r="F56" s="0" t="s">
        <v>1142</v>
      </c>
    </row>
    <row r="57" customFormat="false" ht="15" hidden="false" customHeight="false" outlineLevel="0" collapsed="false">
      <c r="A57" s="0" t="s">
        <v>1143</v>
      </c>
      <c r="B57" s="0" t="s">
        <v>978</v>
      </c>
      <c r="C57" s="0" t="s">
        <v>1040</v>
      </c>
      <c r="D57" s="0" t="s">
        <v>1144</v>
      </c>
      <c r="F57" s="0" t="s">
        <v>1145</v>
      </c>
    </row>
    <row r="58" customFormat="false" ht="15" hidden="false" customHeight="false" outlineLevel="0" collapsed="false">
      <c r="A58" s="0" t="s">
        <v>1146</v>
      </c>
      <c r="B58" s="0" t="s">
        <v>978</v>
      </c>
      <c r="C58" s="0" t="s">
        <v>1040</v>
      </c>
      <c r="D58" s="0" t="s">
        <v>1147</v>
      </c>
      <c r="F58" s="0" t="s">
        <v>1148</v>
      </c>
    </row>
    <row r="59" customFormat="false" ht="15" hidden="false" customHeight="false" outlineLevel="0" collapsed="false">
      <c r="A59" s="0" t="s">
        <v>1149</v>
      </c>
      <c r="B59" s="0" t="s">
        <v>978</v>
      </c>
      <c r="C59" s="0" t="s">
        <v>1040</v>
      </c>
      <c r="D59" s="0" t="s">
        <v>1150</v>
      </c>
      <c r="F59" s="0" t="s">
        <v>1151</v>
      </c>
    </row>
    <row r="60" customFormat="false" ht="15" hidden="false" customHeight="false" outlineLevel="0" collapsed="false">
      <c r="A60" s="0" t="s">
        <v>1152</v>
      </c>
      <c r="B60" s="0" t="s">
        <v>978</v>
      </c>
      <c r="C60" s="0" t="s">
        <v>1040</v>
      </c>
      <c r="D60" s="0" t="s">
        <v>1153</v>
      </c>
      <c r="F60" s="0" t="s">
        <v>1154</v>
      </c>
    </row>
    <row r="61" customFormat="false" ht="15" hidden="false" customHeight="false" outlineLevel="0" collapsed="false">
      <c r="A61" s="0" t="s">
        <v>1155</v>
      </c>
      <c r="B61" s="0" t="s">
        <v>978</v>
      </c>
      <c r="C61" s="0" t="s">
        <v>1040</v>
      </c>
      <c r="D61" s="0" t="s">
        <v>1156</v>
      </c>
      <c r="F61" s="0" t="s">
        <v>1157</v>
      </c>
    </row>
    <row r="62" customFormat="false" ht="15" hidden="false" customHeight="false" outlineLevel="0" collapsed="false">
      <c r="A62" s="0" t="s">
        <v>1158</v>
      </c>
      <c r="B62" s="0" t="s">
        <v>978</v>
      </c>
      <c r="C62" s="0" t="s">
        <v>1040</v>
      </c>
      <c r="D62" s="0" t="s">
        <v>1159</v>
      </c>
      <c r="F62" s="0" t="s">
        <v>1160</v>
      </c>
    </row>
    <row r="63" customFormat="false" ht="15" hidden="false" customHeight="false" outlineLevel="0" collapsed="false">
      <c r="A63" s="0" t="s">
        <v>1161</v>
      </c>
      <c r="B63" s="0" t="s">
        <v>978</v>
      </c>
      <c r="C63" s="0" t="s">
        <v>1040</v>
      </c>
      <c r="D63" s="0" t="s">
        <v>1162</v>
      </c>
      <c r="F63" s="0" t="s">
        <v>1163</v>
      </c>
    </row>
    <row r="64" customFormat="false" ht="15" hidden="false" customHeight="false" outlineLevel="0" collapsed="false">
      <c r="A64" s="0" t="s">
        <v>1164</v>
      </c>
      <c r="B64" s="0" t="s">
        <v>978</v>
      </c>
      <c r="C64" s="0" t="s">
        <v>1040</v>
      </c>
      <c r="D64" s="0" t="s">
        <v>1165</v>
      </c>
      <c r="F64" s="0" t="s">
        <v>1166</v>
      </c>
    </row>
    <row r="65" customFormat="false" ht="15" hidden="false" customHeight="false" outlineLevel="0" collapsed="false">
      <c r="A65" s="0" t="s">
        <v>1167</v>
      </c>
      <c r="B65" s="0" t="s">
        <v>978</v>
      </c>
      <c r="C65" s="0" t="s">
        <v>1040</v>
      </c>
      <c r="D65" s="0" t="s">
        <v>1168</v>
      </c>
      <c r="F65" s="0" t="s">
        <v>1145</v>
      </c>
    </row>
    <row r="66" customFormat="false" ht="15" hidden="false" customHeight="false" outlineLevel="0" collapsed="false">
      <c r="A66" s="0" t="s">
        <v>1169</v>
      </c>
      <c r="B66" s="0" t="s">
        <v>978</v>
      </c>
      <c r="C66" s="0" t="s">
        <v>1040</v>
      </c>
      <c r="D66" s="0" t="s">
        <v>1170</v>
      </c>
      <c r="F66" s="0" t="s">
        <v>1171</v>
      </c>
    </row>
    <row r="67" customFormat="false" ht="15" hidden="false" customHeight="false" outlineLevel="0" collapsed="false">
      <c r="A67" s="0" t="s">
        <v>1172</v>
      </c>
      <c r="B67" s="0" t="s">
        <v>978</v>
      </c>
      <c r="C67" s="0" t="s">
        <v>1040</v>
      </c>
      <c r="D67" s="0" t="s">
        <v>1173</v>
      </c>
      <c r="F67" s="0" t="s">
        <v>1174</v>
      </c>
    </row>
    <row r="68" customFormat="false" ht="15" hidden="false" customHeight="false" outlineLevel="0" collapsed="false">
      <c r="A68" s="0" t="s">
        <v>1175</v>
      </c>
      <c r="B68" s="0" t="s">
        <v>978</v>
      </c>
      <c r="C68" s="0" t="s">
        <v>1040</v>
      </c>
      <c r="D68" s="0" t="s">
        <v>1176</v>
      </c>
      <c r="F68" s="0" t="s">
        <v>1177</v>
      </c>
    </row>
    <row r="69" customFormat="false" ht="15" hidden="false" customHeight="false" outlineLevel="0" collapsed="false">
      <c r="A69" s="0" t="s">
        <v>1178</v>
      </c>
      <c r="B69" s="0" t="s">
        <v>978</v>
      </c>
      <c r="C69" s="0" t="s">
        <v>1040</v>
      </c>
      <c r="D69" s="0" t="s">
        <v>1179</v>
      </c>
      <c r="F69" s="0" t="s">
        <v>1177</v>
      </c>
    </row>
    <row r="70" customFormat="false" ht="15" hidden="false" customHeight="false" outlineLevel="0" collapsed="false">
      <c r="A70" s="0" t="s">
        <v>1180</v>
      </c>
      <c r="B70" s="0" t="s">
        <v>978</v>
      </c>
      <c r="C70" s="0" t="s">
        <v>1040</v>
      </c>
      <c r="D70" s="0" t="s">
        <v>1181</v>
      </c>
      <c r="F70" s="0" t="s">
        <v>1042</v>
      </c>
    </row>
    <row r="71" customFormat="false" ht="15" hidden="false" customHeight="false" outlineLevel="0" collapsed="false">
      <c r="A71" s="0" t="s">
        <v>1182</v>
      </c>
      <c r="B71" s="0" t="s">
        <v>1183</v>
      </c>
      <c r="C71" s="0" t="n">
        <v>1</v>
      </c>
      <c r="D71" s="0" t="s">
        <v>1184</v>
      </c>
      <c r="E71" s="0" t="s">
        <v>123</v>
      </c>
      <c r="F71" s="0" t="s">
        <v>1010</v>
      </c>
    </row>
    <row r="72" customFormat="false" ht="15" hidden="false" customHeight="false" outlineLevel="0" collapsed="false">
      <c r="A72" s="0" t="s">
        <v>1185</v>
      </c>
      <c r="B72" s="0" t="s">
        <v>1183</v>
      </c>
      <c r="C72" s="0" t="n">
        <v>2</v>
      </c>
      <c r="D72" s="0" t="s">
        <v>1186</v>
      </c>
      <c r="E72" s="0" t="s">
        <v>173</v>
      </c>
      <c r="F72" s="0" t="s">
        <v>1026</v>
      </c>
    </row>
    <row r="73" customFormat="false" ht="15" hidden="false" customHeight="false" outlineLevel="0" collapsed="false">
      <c r="A73" s="0" t="s">
        <v>1187</v>
      </c>
      <c r="B73" s="0" t="s">
        <v>1183</v>
      </c>
      <c r="C73" s="0" t="n">
        <v>3</v>
      </c>
      <c r="D73" s="0" t="s">
        <v>1188</v>
      </c>
      <c r="E73" s="0" t="s">
        <v>244</v>
      </c>
      <c r="F73" s="0" t="s">
        <v>988</v>
      </c>
    </row>
    <row r="74" customFormat="false" ht="15" hidden="false" customHeight="false" outlineLevel="0" collapsed="false">
      <c r="A74" s="0" t="s">
        <v>1189</v>
      </c>
      <c r="B74" s="0" t="s">
        <v>1183</v>
      </c>
      <c r="C74" s="0" t="n">
        <v>4</v>
      </c>
      <c r="D74" s="0" t="s">
        <v>1190</v>
      </c>
      <c r="E74" s="0" t="s">
        <v>259</v>
      </c>
      <c r="F74" s="0" t="s">
        <v>1042</v>
      </c>
    </row>
    <row r="75" customFormat="false" ht="15" hidden="false" customHeight="false" outlineLevel="0" collapsed="false">
      <c r="A75" s="0" t="s">
        <v>1191</v>
      </c>
      <c r="B75" s="0" t="s">
        <v>1183</v>
      </c>
      <c r="C75" s="0" t="n">
        <v>5</v>
      </c>
      <c r="D75" s="0" t="s">
        <v>1192</v>
      </c>
      <c r="E75" s="0" t="s">
        <v>368</v>
      </c>
      <c r="F75" s="0" t="s">
        <v>1193</v>
      </c>
    </row>
    <row r="76" customFormat="false" ht="15" hidden="false" customHeight="false" outlineLevel="0" collapsed="false">
      <c r="A76" s="0" t="s">
        <v>1194</v>
      </c>
      <c r="B76" s="0" t="s">
        <v>1183</v>
      </c>
      <c r="C76" s="0" t="n">
        <v>6</v>
      </c>
      <c r="D76" s="0" t="s">
        <v>1195</v>
      </c>
      <c r="E76" s="0" t="s">
        <v>1196</v>
      </c>
      <c r="F76" s="0" t="s">
        <v>1197</v>
      </c>
    </row>
    <row r="77" customFormat="false" ht="15" hidden="false" customHeight="false" outlineLevel="0" collapsed="false">
      <c r="A77" s="0" t="s">
        <v>1198</v>
      </c>
      <c r="B77" s="0" t="s">
        <v>1183</v>
      </c>
      <c r="C77" s="0" t="n">
        <v>7</v>
      </c>
      <c r="D77" s="0" t="s">
        <v>1199</v>
      </c>
      <c r="E77" s="0" t="s">
        <v>1200</v>
      </c>
      <c r="F77" s="0" t="s">
        <v>1201</v>
      </c>
    </row>
    <row r="78" customFormat="false" ht="15" hidden="false" customHeight="false" outlineLevel="0" collapsed="false">
      <c r="A78" s="0" t="s">
        <v>1202</v>
      </c>
      <c r="B78" s="0" t="s">
        <v>1183</v>
      </c>
      <c r="C78" s="0" t="n">
        <v>8</v>
      </c>
      <c r="D78" s="0" t="s">
        <v>1203</v>
      </c>
      <c r="E78" s="0" t="s">
        <v>1204</v>
      </c>
      <c r="F78" s="0" t="s">
        <v>1205</v>
      </c>
    </row>
    <row r="79" customFormat="false" ht="15" hidden="false" customHeight="false" outlineLevel="0" collapsed="false">
      <c r="A79" s="0" t="s">
        <v>1206</v>
      </c>
      <c r="B79" s="0" t="s">
        <v>1183</v>
      </c>
      <c r="C79" s="0" t="n">
        <v>9</v>
      </c>
      <c r="D79" s="0" t="s">
        <v>1207</v>
      </c>
      <c r="E79" s="0" t="s">
        <v>1208</v>
      </c>
      <c r="F79" s="0" t="s">
        <v>1209</v>
      </c>
    </row>
    <row r="80" customFormat="false" ht="15" hidden="false" customHeight="false" outlineLevel="0" collapsed="false">
      <c r="A80" s="0" t="s">
        <v>1210</v>
      </c>
      <c r="B80" s="0" t="s">
        <v>1183</v>
      </c>
      <c r="C80" s="0" t="n">
        <v>10</v>
      </c>
      <c r="D80" s="0" t="s">
        <v>1211</v>
      </c>
      <c r="E80" s="0" t="s">
        <v>341</v>
      </c>
      <c r="F80" s="0" t="s">
        <v>1212</v>
      </c>
    </row>
    <row r="81" customFormat="false" ht="15" hidden="false" customHeight="false" outlineLevel="0" collapsed="false">
      <c r="A81" s="0" t="s">
        <v>1213</v>
      </c>
      <c r="B81" s="0" t="s">
        <v>1183</v>
      </c>
      <c r="C81" s="0" t="n">
        <v>11</v>
      </c>
      <c r="D81" s="0" t="s">
        <v>1214</v>
      </c>
      <c r="E81" s="0" t="s">
        <v>344</v>
      </c>
      <c r="F81" s="0" t="s">
        <v>1215</v>
      </c>
    </row>
    <row r="82" customFormat="false" ht="15" hidden="false" customHeight="false" outlineLevel="0" collapsed="false">
      <c r="A82" s="0" t="s">
        <v>1216</v>
      </c>
      <c r="B82" s="0" t="s">
        <v>1183</v>
      </c>
      <c r="C82" s="0" t="n">
        <v>12</v>
      </c>
      <c r="D82" s="0" t="s">
        <v>1217</v>
      </c>
      <c r="E82" s="0" t="s">
        <v>1218</v>
      </c>
      <c r="F82" s="0" t="s">
        <v>1148</v>
      </c>
    </row>
    <row r="83" customFormat="false" ht="15" hidden="false" customHeight="false" outlineLevel="0" collapsed="false">
      <c r="A83" s="0" t="s">
        <v>1219</v>
      </c>
      <c r="B83" s="0" t="s">
        <v>1183</v>
      </c>
      <c r="C83" s="0" t="n">
        <v>13</v>
      </c>
      <c r="D83" s="0" t="s">
        <v>1220</v>
      </c>
      <c r="E83" s="0" t="s">
        <v>1221</v>
      </c>
      <c r="F83" s="0" t="s">
        <v>1222</v>
      </c>
    </row>
    <row r="84" customFormat="false" ht="15" hidden="false" customHeight="false" outlineLevel="0" collapsed="false">
      <c r="A84" s="0" t="s">
        <v>1223</v>
      </c>
      <c r="B84" s="0" t="s">
        <v>1183</v>
      </c>
      <c r="C84" s="0" t="n">
        <v>14</v>
      </c>
      <c r="D84" s="0" t="s">
        <v>1224</v>
      </c>
      <c r="E84" s="0" t="s">
        <v>1225</v>
      </c>
      <c r="F84" s="0" t="s">
        <v>1226</v>
      </c>
    </row>
    <row r="85" customFormat="false" ht="15" hidden="false" customHeight="false" outlineLevel="0" collapsed="false">
      <c r="A85" s="0" t="s">
        <v>1227</v>
      </c>
      <c r="B85" s="0" t="s">
        <v>1183</v>
      </c>
      <c r="C85" s="0" t="n">
        <v>15</v>
      </c>
      <c r="D85" s="0" t="s">
        <v>1228</v>
      </c>
      <c r="E85" s="0" t="s">
        <v>301</v>
      </c>
      <c r="F85" s="0" t="s">
        <v>1229</v>
      </c>
    </row>
    <row r="86" customFormat="false" ht="15" hidden="false" customHeight="false" outlineLevel="0" collapsed="false">
      <c r="A86" s="0" t="s">
        <v>1230</v>
      </c>
      <c r="B86" s="0" t="s">
        <v>1183</v>
      </c>
      <c r="C86" s="0" t="n">
        <v>16</v>
      </c>
      <c r="D86" s="0" t="s">
        <v>1231</v>
      </c>
      <c r="E86" s="0" t="s">
        <v>1232</v>
      </c>
      <c r="F86" s="0" t="s">
        <v>1233</v>
      </c>
    </row>
    <row r="87" customFormat="false" ht="15" hidden="false" customHeight="false" outlineLevel="0" collapsed="false">
      <c r="A87" s="0" t="s">
        <v>1234</v>
      </c>
      <c r="B87" s="0" t="s">
        <v>1183</v>
      </c>
      <c r="C87" s="0" t="n">
        <v>17</v>
      </c>
      <c r="D87" s="0" t="s">
        <v>1235</v>
      </c>
      <c r="E87" s="0" t="s">
        <v>1236</v>
      </c>
      <c r="F87" s="0" t="s">
        <v>1237</v>
      </c>
    </row>
    <row r="88" customFormat="false" ht="15" hidden="false" customHeight="false" outlineLevel="0" collapsed="false">
      <c r="A88" s="0" t="s">
        <v>1238</v>
      </c>
      <c r="B88" s="0" t="s">
        <v>1183</v>
      </c>
      <c r="C88" s="0" t="n">
        <v>18</v>
      </c>
      <c r="D88" s="0" t="s">
        <v>1239</v>
      </c>
      <c r="E88" s="0" t="s">
        <v>1240</v>
      </c>
      <c r="F88" s="0" t="s">
        <v>1042</v>
      </c>
    </row>
    <row r="89" customFormat="false" ht="15" hidden="false" customHeight="false" outlineLevel="0" collapsed="false">
      <c r="A89" s="0" t="s">
        <v>1241</v>
      </c>
      <c r="B89" s="0" t="s">
        <v>1183</v>
      </c>
      <c r="C89" s="0" t="n">
        <v>19</v>
      </c>
      <c r="D89" s="0" t="s">
        <v>1242</v>
      </c>
      <c r="E89" s="0" t="s">
        <v>1243</v>
      </c>
      <c r="F89" s="0" t="s">
        <v>1042</v>
      </c>
    </row>
    <row r="90" customFormat="false" ht="15" hidden="false" customHeight="false" outlineLevel="0" collapsed="false">
      <c r="A90" s="0" t="s">
        <v>1244</v>
      </c>
      <c r="B90" s="0" t="s">
        <v>1183</v>
      </c>
      <c r="C90" s="0" t="n">
        <v>20</v>
      </c>
      <c r="D90" s="0" t="s">
        <v>1245</v>
      </c>
      <c r="E90" s="0" t="s">
        <v>1246</v>
      </c>
      <c r="F90" s="0" t="s">
        <v>1042</v>
      </c>
    </row>
    <row r="91" customFormat="false" ht="15" hidden="false" customHeight="false" outlineLevel="0" collapsed="false">
      <c r="A91" s="0" t="s">
        <v>1247</v>
      </c>
      <c r="B91" s="0" t="s">
        <v>1183</v>
      </c>
      <c r="C91" s="0" t="n">
        <v>21</v>
      </c>
      <c r="D91" s="0" t="s">
        <v>1248</v>
      </c>
      <c r="E91" s="0" t="s">
        <v>1249</v>
      </c>
      <c r="F91" s="0" t="s">
        <v>1042</v>
      </c>
    </row>
    <row r="92" customFormat="false" ht="15" hidden="false" customHeight="false" outlineLevel="0" collapsed="false">
      <c r="A92" s="0" t="s">
        <v>1250</v>
      </c>
      <c r="B92" s="0" t="s">
        <v>1183</v>
      </c>
      <c r="C92" s="0" t="n">
        <v>22</v>
      </c>
      <c r="D92" s="0" t="s">
        <v>1251</v>
      </c>
      <c r="E92" s="0" t="s">
        <v>1252</v>
      </c>
      <c r="F92" s="0" t="s">
        <v>1042</v>
      </c>
    </row>
    <row r="93" customFormat="false" ht="15" hidden="false" customHeight="false" outlineLevel="0" collapsed="false">
      <c r="A93" s="0" t="s">
        <v>1253</v>
      </c>
      <c r="B93" s="0" t="s">
        <v>1183</v>
      </c>
      <c r="C93" s="0" t="n">
        <v>23</v>
      </c>
      <c r="D93" s="0" t="s">
        <v>1254</v>
      </c>
      <c r="E93" s="0" t="s">
        <v>1255</v>
      </c>
      <c r="F93" s="0" t="s">
        <v>1042</v>
      </c>
    </row>
    <row r="94" customFormat="false" ht="15" hidden="false" customHeight="false" outlineLevel="0" collapsed="false">
      <c r="A94" s="0" t="s">
        <v>1256</v>
      </c>
      <c r="B94" s="0" t="s">
        <v>1183</v>
      </c>
      <c r="C94" s="0" t="n">
        <v>24</v>
      </c>
      <c r="D94" s="0" t="s">
        <v>1257</v>
      </c>
      <c r="E94" s="0" t="s">
        <v>1258</v>
      </c>
      <c r="F94" s="0" t="s">
        <v>1042</v>
      </c>
    </row>
    <row r="95" customFormat="false" ht="15" hidden="false" customHeight="false" outlineLevel="0" collapsed="false">
      <c r="A95" s="0" t="s">
        <v>1259</v>
      </c>
      <c r="B95" s="0" t="s">
        <v>1183</v>
      </c>
      <c r="C95" s="0" t="n">
        <v>25</v>
      </c>
      <c r="D95" s="0" t="s">
        <v>1260</v>
      </c>
      <c r="E95" s="0" t="s">
        <v>293</v>
      </c>
      <c r="F95" s="0" t="s">
        <v>1261</v>
      </c>
    </row>
    <row r="96" customFormat="false" ht="15" hidden="false" customHeight="false" outlineLevel="0" collapsed="false">
      <c r="A96" s="0" t="s">
        <v>1262</v>
      </c>
      <c r="B96" s="0" t="s">
        <v>1183</v>
      </c>
      <c r="C96" s="0" t="n">
        <v>26</v>
      </c>
      <c r="D96" s="0" t="s">
        <v>1263</v>
      </c>
      <c r="E96" s="0" t="s">
        <v>1264</v>
      </c>
      <c r="F96" s="0" t="s">
        <v>1265</v>
      </c>
    </row>
    <row r="97" customFormat="false" ht="15" hidden="false" customHeight="false" outlineLevel="0" collapsed="false">
      <c r="A97" s="0" t="s">
        <v>1266</v>
      </c>
      <c r="B97" s="0" t="s">
        <v>1183</v>
      </c>
      <c r="C97" s="0" t="n">
        <v>27</v>
      </c>
      <c r="D97" s="0" t="s">
        <v>1267</v>
      </c>
      <c r="E97" s="0" t="s">
        <v>1268</v>
      </c>
      <c r="F97" s="0" t="s">
        <v>1269</v>
      </c>
    </row>
    <row r="98" customFormat="false" ht="15" hidden="false" customHeight="false" outlineLevel="0" collapsed="false">
      <c r="A98" s="0" t="s">
        <v>1270</v>
      </c>
      <c r="B98" s="0" t="s">
        <v>1183</v>
      </c>
      <c r="C98" s="0" t="n">
        <v>28</v>
      </c>
      <c r="D98" s="0" t="s">
        <v>1271</v>
      </c>
      <c r="E98" s="0" t="s">
        <v>317</v>
      </c>
      <c r="F98" s="0" t="s">
        <v>1272</v>
      </c>
    </row>
    <row r="99" customFormat="false" ht="15" hidden="false" customHeight="false" outlineLevel="0" collapsed="false">
      <c r="A99" s="0" t="s">
        <v>1273</v>
      </c>
      <c r="B99" s="0" t="s">
        <v>1183</v>
      </c>
      <c r="C99" s="0" t="n">
        <v>29</v>
      </c>
      <c r="D99" s="0" t="s">
        <v>1274</v>
      </c>
      <c r="E99" s="0" t="s">
        <v>1196</v>
      </c>
      <c r="F99" s="0" t="s">
        <v>1275</v>
      </c>
    </row>
    <row r="100" customFormat="false" ht="15" hidden="false" customHeight="false" outlineLevel="0" collapsed="false">
      <c r="A100" s="0" t="s">
        <v>1276</v>
      </c>
      <c r="B100" s="0" t="s">
        <v>1183</v>
      </c>
      <c r="C100" s="0" t="n">
        <v>30</v>
      </c>
      <c r="D100" s="0" t="s">
        <v>1277</v>
      </c>
      <c r="E100" s="0" t="s">
        <v>344</v>
      </c>
      <c r="F100" s="0" t="s">
        <v>1278</v>
      </c>
    </row>
    <row r="101" customFormat="false" ht="15" hidden="false" customHeight="false" outlineLevel="0" collapsed="false">
      <c r="A101" s="0" t="s">
        <v>1279</v>
      </c>
      <c r="B101" s="0" t="s">
        <v>1183</v>
      </c>
      <c r="C101" s="0" t="n">
        <v>31</v>
      </c>
      <c r="D101" s="0" t="s">
        <v>1280</v>
      </c>
      <c r="E101" s="0" t="s">
        <v>317</v>
      </c>
      <c r="F101" s="0" t="s">
        <v>1272</v>
      </c>
    </row>
    <row r="102" customFormat="false" ht="15" hidden="false" customHeight="false" outlineLevel="0" collapsed="false">
      <c r="A102" s="0" t="s">
        <v>1281</v>
      </c>
      <c r="B102" s="0" t="s">
        <v>1183</v>
      </c>
      <c r="C102" s="0" t="n">
        <v>32</v>
      </c>
      <c r="D102" s="0" t="s">
        <v>1282</v>
      </c>
      <c r="E102" s="0" t="s">
        <v>349</v>
      </c>
      <c r="F102" s="0" t="s">
        <v>1283</v>
      </c>
    </row>
    <row r="103" customFormat="false" ht="15" hidden="false" customHeight="false" outlineLevel="0" collapsed="false">
      <c r="A103" s="0" t="s">
        <v>1284</v>
      </c>
      <c r="B103" s="0" t="s">
        <v>1183</v>
      </c>
      <c r="C103" s="0" t="n">
        <v>33</v>
      </c>
      <c r="D103" s="0" t="s">
        <v>1285</v>
      </c>
      <c r="E103" s="0" t="s">
        <v>352</v>
      </c>
      <c r="F103" s="0" t="s">
        <v>1286</v>
      </c>
    </row>
    <row r="104" customFormat="false" ht="15" hidden="false" customHeight="false" outlineLevel="0" collapsed="false">
      <c r="A104" s="0" t="s">
        <v>1287</v>
      </c>
      <c r="B104" s="0" t="s">
        <v>1183</v>
      </c>
      <c r="C104" s="0" t="n">
        <v>34</v>
      </c>
      <c r="D104" s="0" t="s">
        <v>1288</v>
      </c>
      <c r="E104" s="0" t="s">
        <v>1252</v>
      </c>
      <c r="F104" s="0" t="s">
        <v>1289</v>
      </c>
    </row>
    <row r="105" customFormat="false" ht="15" hidden="false" customHeight="false" outlineLevel="0" collapsed="false">
      <c r="A105" s="0" t="s">
        <v>1290</v>
      </c>
      <c r="B105" s="0" t="s">
        <v>1183</v>
      </c>
      <c r="C105" s="0" t="n">
        <v>35</v>
      </c>
      <c r="D105" s="0" t="s">
        <v>1291</v>
      </c>
      <c r="E105" s="0" t="s">
        <v>368</v>
      </c>
      <c r="F105" s="0" t="s">
        <v>1193</v>
      </c>
    </row>
    <row r="106" customFormat="false" ht="15" hidden="false" customHeight="false" outlineLevel="0" collapsed="false">
      <c r="A106" s="0" t="s">
        <v>1292</v>
      </c>
      <c r="B106" s="0" t="s">
        <v>1183</v>
      </c>
      <c r="C106" s="0" t="n">
        <v>36</v>
      </c>
      <c r="D106" s="0" t="s">
        <v>1293</v>
      </c>
      <c r="E106" s="0" t="s">
        <v>90</v>
      </c>
      <c r="F106" s="0" t="s">
        <v>1294</v>
      </c>
    </row>
    <row r="107" customFormat="false" ht="15" hidden="false" customHeight="false" outlineLevel="0" collapsed="false">
      <c r="A107" s="0" t="s">
        <v>1295</v>
      </c>
      <c r="B107" s="0" t="s">
        <v>1183</v>
      </c>
      <c r="C107" s="0" t="n">
        <v>37</v>
      </c>
      <c r="D107" s="0" t="s">
        <v>1296</v>
      </c>
      <c r="E107" s="0" t="s">
        <v>123</v>
      </c>
      <c r="F107" s="0" t="s">
        <v>1297</v>
      </c>
    </row>
    <row r="108" customFormat="false" ht="15" hidden="false" customHeight="false" outlineLevel="0" collapsed="false">
      <c r="A108" s="0" t="s">
        <v>1298</v>
      </c>
      <c r="B108" s="0" t="s">
        <v>1183</v>
      </c>
      <c r="C108" s="0" t="n">
        <v>38</v>
      </c>
      <c r="D108" s="0" t="s">
        <v>1299</v>
      </c>
      <c r="E108" s="0" t="s">
        <v>178</v>
      </c>
      <c r="F108" s="0" t="s">
        <v>1300</v>
      </c>
    </row>
    <row r="109" customFormat="false" ht="15" hidden="false" customHeight="false" outlineLevel="0" collapsed="false">
      <c r="A109" s="0" t="s">
        <v>1301</v>
      </c>
      <c r="B109" s="0" t="s">
        <v>1183</v>
      </c>
      <c r="C109" s="0" t="n">
        <v>39</v>
      </c>
      <c r="D109" s="0" t="s">
        <v>1302</v>
      </c>
      <c r="E109" s="0" t="s">
        <v>371</v>
      </c>
      <c r="F109" s="0" t="s">
        <v>1303</v>
      </c>
    </row>
    <row r="110" customFormat="false" ht="15" hidden="false" customHeight="false" outlineLevel="0" collapsed="false">
      <c r="A110" s="0" t="s">
        <v>1304</v>
      </c>
      <c r="B110" s="0" t="s">
        <v>1183</v>
      </c>
      <c r="C110" s="0" t="n">
        <v>40</v>
      </c>
      <c r="D110" s="0" t="s">
        <v>1305</v>
      </c>
      <c r="E110" s="0" t="s">
        <v>1243</v>
      </c>
      <c r="F110" s="0" t="s">
        <v>1306</v>
      </c>
    </row>
    <row r="111" customFormat="false" ht="15" hidden="false" customHeight="false" outlineLevel="0" collapsed="false">
      <c r="A111" s="0" t="s">
        <v>1307</v>
      </c>
      <c r="B111" s="0" t="s">
        <v>1183</v>
      </c>
      <c r="C111" s="0" t="n">
        <v>41</v>
      </c>
      <c r="D111" s="0" t="s">
        <v>1308</v>
      </c>
      <c r="E111" s="0" t="s">
        <v>1309</v>
      </c>
      <c r="F111" s="0" t="s">
        <v>1310</v>
      </c>
    </row>
    <row r="112" customFormat="false" ht="15" hidden="false" customHeight="false" outlineLevel="0" collapsed="false">
      <c r="A112" s="0" t="s">
        <v>1311</v>
      </c>
      <c r="B112" s="0" t="s">
        <v>1183</v>
      </c>
      <c r="C112" s="0" t="n">
        <v>42</v>
      </c>
      <c r="D112" s="0" t="s">
        <v>1312</v>
      </c>
      <c r="E112" s="0" t="s">
        <v>1313</v>
      </c>
      <c r="F112" s="0" t="s">
        <v>1314</v>
      </c>
    </row>
    <row r="113" customFormat="false" ht="15" hidden="false" customHeight="false" outlineLevel="0" collapsed="false">
      <c r="A113" s="0" t="s">
        <v>1315</v>
      </c>
      <c r="B113" s="0" t="s">
        <v>1183</v>
      </c>
      <c r="C113" s="0" t="n">
        <v>43</v>
      </c>
      <c r="D113" s="0" t="s">
        <v>1316</v>
      </c>
      <c r="E113" s="0" t="s">
        <v>1317</v>
      </c>
      <c r="F113" s="0" t="s">
        <v>1318</v>
      </c>
    </row>
    <row r="114" customFormat="false" ht="15" hidden="false" customHeight="false" outlineLevel="0" collapsed="false">
      <c r="A114" s="0" t="s">
        <v>1319</v>
      </c>
      <c r="B114" s="0" t="s">
        <v>1183</v>
      </c>
      <c r="C114" s="0" t="n">
        <v>44</v>
      </c>
      <c r="D114" s="0" t="s">
        <v>1320</v>
      </c>
      <c r="E114" s="0" t="s">
        <v>1321</v>
      </c>
      <c r="F114" s="0" t="s">
        <v>1322</v>
      </c>
    </row>
    <row r="115" customFormat="false" ht="15" hidden="false" customHeight="false" outlineLevel="0" collapsed="false">
      <c r="A115" s="0" t="s">
        <v>1323</v>
      </c>
      <c r="B115" s="0" t="s">
        <v>1183</v>
      </c>
      <c r="C115" s="0" t="n">
        <v>45</v>
      </c>
      <c r="D115" s="0" t="s">
        <v>1324</v>
      </c>
      <c r="E115" s="0" t="s">
        <v>308</v>
      </c>
      <c r="F115" s="0" t="s">
        <v>1325</v>
      </c>
    </row>
    <row r="116" customFormat="false" ht="15" hidden="false" customHeight="false" outlineLevel="0" collapsed="false">
      <c r="A116" s="0" t="s">
        <v>1326</v>
      </c>
      <c r="B116" s="0" t="s">
        <v>1183</v>
      </c>
      <c r="C116" s="0" t="n">
        <v>46</v>
      </c>
      <c r="D116" s="0" t="s">
        <v>1327</v>
      </c>
      <c r="E116" s="0" t="s">
        <v>1328</v>
      </c>
      <c r="F116" s="0" t="s">
        <v>1329</v>
      </c>
    </row>
    <row r="117" customFormat="false" ht="15" hidden="false" customHeight="false" outlineLevel="0" collapsed="false">
      <c r="A117" s="0" t="s">
        <v>1330</v>
      </c>
      <c r="B117" s="0" t="s">
        <v>1183</v>
      </c>
      <c r="C117" s="0" t="n">
        <v>47</v>
      </c>
      <c r="D117" s="0" t="s">
        <v>1331</v>
      </c>
      <c r="E117" s="0" t="s">
        <v>1332</v>
      </c>
      <c r="F117" s="0" t="s">
        <v>1333</v>
      </c>
    </row>
    <row r="118" customFormat="false" ht="15" hidden="false" customHeight="false" outlineLevel="0" collapsed="false">
      <c r="A118" s="0" t="s">
        <v>1334</v>
      </c>
      <c r="B118" s="0" t="s">
        <v>1183</v>
      </c>
      <c r="C118" s="0" t="n">
        <v>48</v>
      </c>
      <c r="D118" s="0" t="s">
        <v>1335</v>
      </c>
      <c r="E118" s="0" t="s">
        <v>1336</v>
      </c>
      <c r="F118" s="0" t="s">
        <v>1337</v>
      </c>
    </row>
    <row r="119" customFormat="false" ht="15" hidden="false" customHeight="false" outlineLevel="0" collapsed="false">
      <c r="A119" s="0" t="s">
        <v>1338</v>
      </c>
      <c r="B119" s="0" t="s">
        <v>1183</v>
      </c>
      <c r="C119" s="0" t="n">
        <v>49</v>
      </c>
      <c r="D119" s="0" t="s">
        <v>1339</v>
      </c>
      <c r="E119" s="0" t="s">
        <v>1340</v>
      </c>
      <c r="F119" s="0" t="s">
        <v>1341</v>
      </c>
    </row>
    <row r="120" customFormat="false" ht="15" hidden="false" customHeight="false" outlineLevel="0" collapsed="false">
      <c r="A120" s="0" t="s">
        <v>1342</v>
      </c>
      <c r="B120" s="0" t="s">
        <v>1183</v>
      </c>
      <c r="C120" s="0" t="n">
        <v>50</v>
      </c>
      <c r="D120" s="0" t="s">
        <v>1343</v>
      </c>
      <c r="E120" s="0" t="s">
        <v>1344</v>
      </c>
      <c r="F120" s="0" t="s">
        <v>1345</v>
      </c>
    </row>
    <row r="121" customFormat="false" ht="15" hidden="false" customHeight="false" outlineLevel="0" collapsed="false">
      <c r="A121" s="0" t="s">
        <v>1346</v>
      </c>
      <c r="B121" s="0" t="s">
        <v>1183</v>
      </c>
      <c r="C121" s="0" t="n">
        <v>51</v>
      </c>
      <c r="D121" s="0" t="s">
        <v>1347</v>
      </c>
      <c r="E121" s="0" t="s">
        <v>1348</v>
      </c>
      <c r="F121" s="0" t="s">
        <v>1349</v>
      </c>
    </row>
    <row r="122" customFormat="false" ht="15" hidden="false" customHeight="false" outlineLevel="0" collapsed="false">
      <c r="A122" s="0" t="s">
        <v>1350</v>
      </c>
      <c r="B122" s="0" t="s">
        <v>1183</v>
      </c>
      <c r="C122" s="0" t="n">
        <v>52</v>
      </c>
      <c r="D122" s="0" t="s">
        <v>1351</v>
      </c>
      <c r="E122" s="0" t="s">
        <v>1249</v>
      </c>
      <c r="F122" s="0" t="s">
        <v>1352</v>
      </c>
    </row>
    <row r="123" customFormat="false" ht="15" hidden="false" customHeight="false" outlineLevel="0" collapsed="false">
      <c r="A123" s="0" t="s">
        <v>1353</v>
      </c>
      <c r="B123" s="0" t="s">
        <v>1183</v>
      </c>
      <c r="C123" s="0" t="n">
        <v>53</v>
      </c>
      <c r="D123" s="0" t="s">
        <v>1354</v>
      </c>
      <c r="E123" s="0" t="s">
        <v>1218</v>
      </c>
      <c r="F123" s="0" t="s">
        <v>1355</v>
      </c>
    </row>
    <row r="124" customFormat="false" ht="15" hidden="false" customHeight="false" outlineLevel="0" collapsed="false">
      <c r="A124" s="0" t="s">
        <v>1356</v>
      </c>
      <c r="B124" s="0" t="s">
        <v>1183</v>
      </c>
      <c r="C124" s="0" t="n">
        <v>54</v>
      </c>
      <c r="D124" s="0" t="s">
        <v>1357</v>
      </c>
      <c r="E124" s="0" t="s">
        <v>341</v>
      </c>
      <c r="F124" s="0" t="s">
        <v>1212</v>
      </c>
    </row>
    <row r="125" customFormat="false" ht="15" hidden="false" customHeight="false" outlineLevel="0" collapsed="false">
      <c r="A125" s="0" t="s">
        <v>1358</v>
      </c>
      <c r="B125" s="0" t="s">
        <v>1183</v>
      </c>
      <c r="C125" s="0" t="n">
        <v>55</v>
      </c>
      <c r="D125" s="0" t="s">
        <v>1359</v>
      </c>
      <c r="E125" s="0" t="s">
        <v>123</v>
      </c>
      <c r="F125" s="0" t="s">
        <v>1010</v>
      </c>
    </row>
    <row r="126" customFormat="false" ht="15" hidden="false" customHeight="false" outlineLevel="0" collapsed="false">
      <c r="A126" s="0" t="s">
        <v>1360</v>
      </c>
      <c r="B126" s="0" t="s">
        <v>1183</v>
      </c>
      <c r="C126" s="0" t="n">
        <v>56</v>
      </c>
      <c r="D126" s="0" t="s">
        <v>1361</v>
      </c>
      <c r="E126" s="0" t="s">
        <v>1208</v>
      </c>
      <c r="F126" s="0" t="s">
        <v>1209</v>
      </c>
    </row>
    <row r="127" customFormat="false" ht="15" hidden="false" customHeight="false" outlineLevel="0" collapsed="false">
      <c r="A127" s="0" t="s">
        <v>1362</v>
      </c>
      <c r="B127" s="0" t="s">
        <v>1183</v>
      </c>
      <c r="C127" s="0" t="n">
        <v>57</v>
      </c>
      <c r="D127" s="0" t="s">
        <v>1363</v>
      </c>
      <c r="E127" s="0" t="s">
        <v>1236</v>
      </c>
      <c r="F127" s="0" t="s">
        <v>1237</v>
      </c>
    </row>
    <row r="128" customFormat="false" ht="15" hidden="false" customHeight="false" outlineLevel="0" collapsed="false">
      <c r="A128" s="0" t="s">
        <v>1364</v>
      </c>
      <c r="B128" s="0" t="s">
        <v>1183</v>
      </c>
      <c r="C128" s="0" t="n">
        <v>58</v>
      </c>
      <c r="D128" s="0" t="s">
        <v>1365</v>
      </c>
      <c r="E128" s="0" t="s">
        <v>244</v>
      </c>
      <c r="F128" s="0" t="s">
        <v>988</v>
      </c>
    </row>
    <row r="129" customFormat="false" ht="15" hidden="false" customHeight="false" outlineLevel="0" collapsed="false">
      <c r="A129" s="0" t="s">
        <v>1366</v>
      </c>
      <c r="B129" s="0" t="s">
        <v>1183</v>
      </c>
      <c r="C129" s="0" t="n">
        <v>59</v>
      </c>
      <c r="D129" s="0" t="s">
        <v>1367</v>
      </c>
      <c r="E129" s="0" t="s">
        <v>344</v>
      </c>
      <c r="F129" s="0" t="s">
        <v>1368</v>
      </c>
    </row>
    <row r="130" customFormat="false" ht="15" hidden="false" customHeight="false" outlineLevel="0" collapsed="false">
      <c r="A130" s="0" t="s">
        <v>1369</v>
      </c>
      <c r="B130" s="0" t="s">
        <v>1183</v>
      </c>
      <c r="C130" s="0" t="n">
        <v>60</v>
      </c>
      <c r="D130" s="0" t="s">
        <v>1370</v>
      </c>
      <c r="E130" s="0" t="s">
        <v>341</v>
      </c>
      <c r="F130" s="0" t="s">
        <v>1371</v>
      </c>
    </row>
    <row r="131" customFormat="false" ht="15" hidden="false" customHeight="false" outlineLevel="0" collapsed="false">
      <c r="A131" s="0" t="s">
        <v>1372</v>
      </c>
      <c r="B131" s="0" t="s">
        <v>1183</v>
      </c>
      <c r="C131" s="0" t="n">
        <v>61</v>
      </c>
      <c r="D131" s="0" t="s">
        <v>1373</v>
      </c>
      <c r="E131" s="0" t="s">
        <v>1374</v>
      </c>
      <c r="F131" s="0" t="s">
        <v>1375</v>
      </c>
    </row>
    <row r="132" customFormat="false" ht="15" hidden="false" customHeight="false" outlineLevel="0" collapsed="false">
      <c r="A132" s="0" t="s">
        <v>1376</v>
      </c>
      <c r="B132" s="0" t="s">
        <v>1183</v>
      </c>
      <c r="C132" s="0" t="n">
        <v>62</v>
      </c>
      <c r="D132" s="0" t="s">
        <v>1377</v>
      </c>
      <c r="E132" s="0" t="s">
        <v>1378</v>
      </c>
      <c r="F132" s="0" t="s">
        <v>1379</v>
      </c>
    </row>
    <row r="133" customFormat="false" ht="15" hidden="false" customHeight="false" outlineLevel="0" collapsed="false">
      <c r="A133" s="0" t="s">
        <v>1380</v>
      </c>
      <c r="B133" s="0" t="s">
        <v>1183</v>
      </c>
      <c r="C133" s="0" t="n">
        <v>63</v>
      </c>
      <c r="D133" s="0" t="s">
        <v>1381</v>
      </c>
      <c r="E133" s="0" t="s">
        <v>1200</v>
      </c>
      <c r="F133" s="0" t="s">
        <v>1205</v>
      </c>
    </row>
    <row r="134" customFormat="false" ht="15" hidden="false" customHeight="false" outlineLevel="0" collapsed="false">
      <c r="A134" s="0" t="s">
        <v>1382</v>
      </c>
      <c r="B134" s="0" t="s">
        <v>1183</v>
      </c>
      <c r="C134" s="0" t="n">
        <v>64</v>
      </c>
      <c r="D134" s="0" t="s">
        <v>1383</v>
      </c>
      <c r="E134" s="0" t="s">
        <v>1384</v>
      </c>
      <c r="F134" s="0" t="s">
        <v>1385</v>
      </c>
    </row>
    <row r="135" customFormat="false" ht="15" hidden="false" customHeight="false" outlineLevel="0" collapsed="false">
      <c r="A135" s="0" t="s">
        <v>1386</v>
      </c>
      <c r="B135" s="0" t="s">
        <v>1183</v>
      </c>
      <c r="C135" s="0" t="n">
        <v>65</v>
      </c>
      <c r="D135" s="0" t="s">
        <v>1387</v>
      </c>
      <c r="E135" s="0" t="s">
        <v>1388</v>
      </c>
      <c r="F135" s="0" t="s">
        <v>1157</v>
      </c>
    </row>
    <row r="136" customFormat="false" ht="15" hidden="false" customHeight="false" outlineLevel="0" collapsed="false">
      <c r="A136" s="0" t="s">
        <v>1389</v>
      </c>
      <c r="B136" s="0" t="s">
        <v>1183</v>
      </c>
      <c r="C136" s="0" t="n">
        <v>66</v>
      </c>
      <c r="D136" s="0" t="s">
        <v>1390</v>
      </c>
      <c r="E136" s="0" t="s">
        <v>1391</v>
      </c>
      <c r="F136" s="0" t="s">
        <v>1392</v>
      </c>
    </row>
    <row r="137" customFormat="false" ht="15" hidden="false" customHeight="false" outlineLevel="0" collapsed="false">
      <c r="A137" s="0" t="s">
        <v>1393</v>
      </c>
      <c r="B137" s="0" t="s">
        <v>1183</v>
      </c>
      <c r="C137" s="0" t="n">
        <v>67</v>
      </c>
      <c r="D137" s="0" t="s">
        <v>1394</v>
      </c>
      <c r="E137" s="0" t="s">
        <v>1395</v>
      </c>
      <c r="F137" s="0" t="s">
        <v>1396</v>
      </c>
    </row>
    <row r="138" customFormat="false" ht="15" hidden="false" customHeight="false" outlineLevel="0" collapsed="false">
      <c r="A138" s="0" t="s">
        <v>1397</v>
      </c>
      <c r="B138" s="0" t="s">
        <v>1183</v>
      </c>
      <c r="C138" s="0" t="n">
        <v>68</v>
      </c>
      <c r="D138" s="0" t="s">
        <v>1398</v>
      </c>
      <c r="E138" s="0" t="s">
        <v>1221</v>
      </c>
      <c r="F138" s="0" t="s">
        <v>1399</v>
      </c>
    </row>
    <row r="139" customFormat="false" ht="15" hidden="false" customHeight="false" outlineLevel="0" collapsed="false">
      <c r="A139" s="0" t="s">
        <v>1400</v>
      </c>
      <c r="B139" s="0" t="s">
        <v>1183</v>
      </c>
      <c r="C139" s="0" t="n">
        <v>69</v>
      </c>
      <c r="D139" s="0" t="s">
        <v>1401</v>
      </c>
      <c r="E139" s="0" t="s">
        <v>1255</v>
      </c>
      <c r="F139" s="0" t="s">
        <v>1402</v>
      </c>
    </row>
    <row r="140" customFormat="false" ht="15" hidden="false" customHeight="false" outlineLevel="0" collapsed="false">
      <c r="A140" s="0" t="s">
        <v>1403</v>
      </c>
      <c r="B140" s="0" t="s">
        <v>1183</v>
      </c>
      <c r="C140" s="0" t="n">
        <v>70</v>
      </c>
      <c r="D140" s="0" t="s">
        <v>1404</v>
      </c>
      <c r="E140" s="0" t="s">
        <v>1313</v>
      </c>
      <c r="F140" s="0" t="s">
        <v>1042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60"/>
    <col collapsed="false" customWidth="true" hidden="false" outlineLevel="0" max="3" min="3" style="0" width="16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0" t="s">
        <v>1405</v>
      </c>
      <c r="B1" s="0" t="s">
        <v>1406</v>
      </c>
      <c r="C1" s="0" t="s">
        <v>58</v>
      </c>
      <c r="D1" s="0" t="s">
        <v>1407</v>
      </c>
    </row>
    <row r="2" customFormat="false" ht="15" hidden="false" customHeight="false" outlineLevel="0" collapsed="false">
      <c r="A2" s="0" t="s">
        <v>1408</v>
      </c>
      <c r="B2" s="0" t="s">
        <v>1409</v>
      </c>
      <c r="C2" s="0" t="s">
        <v>1410</v>
      </c>
      <c r="D2" s="0" t="s">
        <v>1411</v>
      </c>
    </row>
    <row r="3" customFormat="false" ht="15" hidden="false" customHeight="false" outlineLevel="0" collapsed="false">
      <c r="A3" s="0" t="s">
        <v>1412</v>
      </c>
      <c r="B3" s="0" t="s">
        <v>1413</v>
      </c>
      <c r="C3" s="0" t="s">
        <v>1410</v>
      </c>
      <c r="D3" s="0" t="s">
        <v>1414</v>
      </c>
    </row>
    <row r="4" customFormat="false" ht="15" hidden="false" customHeight="false" outlineLevel="0" collapsed="false">
      <c r="A4" s="0" t="s">
        <v>1415</v>
      </c>
      <c r="B4" s="0" t="s">
        <v>1416</v>
      </c>
      <c r="C4" s="0" t="s">
        <v>1410</v>
      </c>
      <c r="D4" s="0" t="s">
        <v>1417</v>
      </c>
    </row>
    <row r="5" customFormat="false" ht="15" hidden="false" customHeight="false" outlineLevel="0" collapsed="false">
      <c r="A5" s="0" t="s">
        <v>1418</v>
      </c>
      <c r="B5" s="0" t="s">
        <v>1419</v>
      </c>
      <c r="C5" s="0" t="s">
        <v>1410</v>
      </c>
      <c r="D5" s="0" t="s">
        <v>1420</v>
      </c>
    </row>
    <row r="6" customFormat="false" ht="15" hidden="false" customHeight="false" outlineLevel="0" collapsed="false">
      <c r="A6" s="0" t="s">
        <v>1421</v>
      </c>
      <c r="B6" s="0" t="s">
        <v>1422</v>
      </c>
      <c r="C6" s="0" t="s">
        <v>1410</v>
      </c>
      <c r="D6" s="0" t="s">
        <v>1423</v>
      </c>
    </row>
    <row r="7" customFormat="false" ht="15" hidden="false" customHeight="false" outlineLevel="0" collapsed="false">
      <c r="A7" s="0" t="s">
        <v>1424</v>
      </c>
      <c r="B7" s="0" t="s">
        <v>1425</v>
      </c>
      <c r="C7" s="0" t="s">
        <v>1410</v>
      </c>
      <c r="D7" s="0" t="s">
        <v>1426</v>
      </c>
    </row>
    <row r="8" customFormat="false" ht="15" hidden="false" customHeight="false" outlineLevel="0" collapsed="false">
      <c r="A8" s="0" t="s">
        <v>1427</v>
      </c>
      <c r="B8" s="0" t="s">
        <v>1428</v>
      </c>
      <c r="C8" s="0" t="s">
        <v>1410</v>
      </c>
      <c r="D8" s="0" t="s">
        <v>1429</v>
      </c>
    </row>
    <row r="9" customFormat="false" ht="15" hidden="false" customHeight="false" outlineLevel="0" collapsed="false">
      <c r="A9" s="0" t="s">
        <v>1430</v>
      </c>
      <c r="B9" s="0" t="s">
        <v>1431</v>
      </c>
      <c r="C9" s="0" t="s">
        <v>1410</v>
      </c>
      <c r="D9" s="0" t="s">
        <v>1432</v>
      </c>
    </row>
    <row r="10" customFormat="false" ht="15" hidden="false" customHeight="false" outlineLevel="0" collapsed="false">
      <c r="A10" s="0" t="s">
        <v>1433</v>
      </c>
      <c r="B10" s="0" t="s">
        <v>1434</v>
      </c>
      <c r="C10" s="0" t="s">
        <v>1410</v>
      </c>
      <c r="D10" s="0" t="s">
        <v>1435</v>
      </c>
    </row>
    <row r="11" customFormat="false" ht="15" hidden="false" customHeight="false" outlineLevel="0" collapsed="false">
      <c r="A11" s="0" t="s">
        <v>1436</v>
      </c>
      <c r="B11" s="0" t="s">
        <v>1437</v>
      </c>
      <c r="C11" s="0" t="s">
        <v>1410</v>
      </c>
      <c r="D11" s="0" t="s">
        <v>1438</v>
      </c>
    </row>
    <row r="12" customFormat="false" ht="15" hidden="false" customHeight="false" outlineLevel="0" collapsed="false">
      <c r="A12" s="0" t="s">
        <v>1439</v>
      </c>
      <c r="B12" s="0" t="s">
        <v>1440</v>
      </c>
      <c r="C12" s="0" t="s">
        <v>1410</v>
      </c>
      <c r="D12" s="0" t="s">
        <v>1441</v>
      </c>
    </row>
    <row r="13" customFormat="false" ht="15" hidden="false" customHeight="false" outlineLevel="0" collapsed="false">
      <c r="A13" s="0" t="s">
        <v>1442</v>
      </c>
      <c r="B13" s="0" t="s">
        <v>1443</v>
      </c>
      <c r="C13" s="0" t="s">
        <v>1410</v>
      </c>
      <c r="D13" s="0" t="s">
        <v>1444</v>
      </c>
    </row>
    <row r="14" customFormat="false" ht="15" hidden="false" customHeight="false" outlineLevel="0" collapsed="false">
      <c r="A14" s="0" t="s">
        <v>1445</v>
      </c>
      <c r="B14" s="0" t="s">
        <v>1446</v>
      </c>
      <c r="C14" s="0" t="s">
        <v>1410</v>
      </c>
      <c r="D14" s="0" t="s">
        <v>1447</v>
      </c>
    </row>
    <row r="15" customFormat="false" ht="15" hidden="false" customHeight="false" outlineLevel="0" collapsed="false">
      <c r="A15" s="0" t="s">
        <v>1448</v>
      </c>
      <c r="B15" s="0" t="s">
        <v>1449</v>
      </c>
      <c r="C15" s="0" t="s">
        <v>1410</v>
      </c>
      <c r="D15" s="0" t="s">
        <v>1450</v>
      </c>
    </row>
    <row r="16" customFormat="false" ht="15" hidden="false" customHeight="false" outlineLevel="0" collapsed="false">
      <c r="A16" s="0" t="s">
        <v>1451</v>
      </c>
      <c r="B16" s="0" t="s">
        <v>1452</v>
      </c>
      <c r="C16" s="0" t="s">
        <v>1410</v>
      </c>
      <c r="D16" s="0" t="s">
        <v>1453</v>
      </c>
    </row>
    <row r="17" customFormat="false" ht="15" hidden="false" customHeight="false" outlineLevel="0" collapsed="false">
      <c r="A17" s="0" t="s">
        <v>1454</v>
      </c>
      <c r="B17" s="0" t="s">
        <v>1455</v>
      </c>
      <c r="C17" s="0" t="s">
        <v>1410</v>
      </c>
      <c r="D17" s="0" t="s">
        <v>1456</v>
      </c>
    </row>
    <row r="18" customFormat="false" ht="15" hidden="false" customHeight="false" outlineLevel="0" collapsed="false">
      <c r="A18" s="0" t="s">
        <v>1457</v>
      </c>
      <c r="B18" s="0" t="s">
        <v>1458</v>
      </c>
      <c r="C18" s="0" t="s">
        <v>1410</v>
      </c>
      <c r="D18" s="0" t="s">
        <v>1459</v>
      </c>
    </row>
    <row r="19" customFormat="false" ht="15" hidden="false" customHeight="false" outlineLevel="0" collapsed="false">
      <c r="A19" s="0" t="s">
        <v>1460</v>
      </c>
      <c r="B19" s="0" t="s">
        <v>1461</v>
      </c>
      <c r="C19" s="0" t="s">
        <v>1410</v>
      </c>
      <c r="D19" s="0" t="s">
        <v>1462</v>
      </c>
    </row>
    <row r="20" customFormat="false" ht="15" hidden="false" customHeight="false" outlineLevel="0" collapsed="false">
      <c r="A20" s="0" t="s">
        <v>1463</v>
      </c>
      <c r="B20" s="0" t="s">
        <v>1464</v>
      </c>
      <c r="C20" s="0" t="s">
        <v>1465</v>
      </c>
      <c r="D20" s="0" t="s">
        <v>1466</v>
      </c>
    </row>
    <row r="21" customFormat="false" ht="15" hidden="false" customHeight="false" outlineLevel="0" collapsed="false">
      <c r="A21" s="0" t="s">
        <v>1467</v>
      </c>
      <c r="B21" s="0" t="s">
        <v>1468</v>
      </c>
      <c r="C21" s="0" t="s">
        <v>1410</v>
      </c>
      <c r="D21" s="0" t="s">
        <v>1469</v>
      </c>
    </row>
    <row r="22" customFormat="false" ht="15" hidden="false" customHeight="false" outlineLevel="0" collapsed="false">
      <c r="A22" s="0" t="s">
        <v>1470</v>
      </c>
      <c r="B22" s="0" t="s">
        <v>1471</v>
      </c>
      <c r="C22" s="0" t="s">
        <v>1465</v>
      </c>
      <c r="D22" s="0" t="s">
        <v>1472</v>
      </c>
    </row>
    <row r="23" customFormat="false" ht="15" hidden="false" customHeight="false" outlineLevel="0" collapsed="false">
      <c r="A23" s="0" t="s">
        <v>1473</v>
      </c>
      <c r="B23" s="0" t="s">
        <v>1474</v>
      </c>
      <c r="C23" s="0" t="s">
        <v>1465</v>
      </c>
      <c r="D23" s="0" t="s">
        <v>1475</v>
      </c>
    </row>
    <row r="24" customFormat="false" ht="15" hidden="false" customHeight="false" outlineLevel="0" collapsed="false">
      <c r="A24" s="0" t="s">
        <v>1476</v>
      </c>
      <c r="B24" s="0" t="s">
        <v>1477</v>
      </c>
      <c r="C24" s="0" t="s">
        <v>1410</v>
      </c>
      <c r="D24" s="0" t="s">
        <v>1478</v>
      </c>
    </row>
    <row r="25" customFormat="false" ht="15" hidden="false" customHeight="false" outlineLevel="0" collapsed="false">
      <c r="A25" s="0" t="s">
        <v>1479</v>
      </c>
      <c r="B25" s="0" t="s">
        <v>1480</v>
      </c>
      <c r="C25" s="0" t="s">
        <v>1410</v>
      </c>
      <c r="D25" s="0" t="s">
        <v>1481</v>
      </c>
    </row>
    <row r="26" customFormat="false" ht="15" hidden="false" customHeight="false" outlineLevel="0" collapsed="false">
      <c r="A26" s="0" t="s">
        <v>1482</v>
      </c>
      <c r="B26" s="0" t="s">
        <v>1483</v>
      </c>
      <c r="C26" s="0" t="s">
        <v>1465</v>
      </c>
      <c r="D26" s="0" t="s">
        <v>1484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1485</v>
      </c>
    </row>
    <row r="2" customFormat="false" ht="15" hidden="false" customHeight="false" outlineLevel="0" collapsed="false">
      <c r="A2" s="0" t="s">
        <v>1486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2026-10-21T08:29:57Z</dcterms:created>
  <dc:creator>openpyxl</dc:creator>
  <dc:description/>
  <dc:language>en-US</dc:language>
  <cp:lastModifiedBy/>
  <dcterms:modified xsi:type="dcterms:W3CDTF">2026-10-21T08:29:57Z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