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<sst xmlns="http://schemas.openxmlformats.org/spreadsheetml/2006/main" count="1355" uniqueCount="952">
  <si>
    <t xml:space="preserve">Bank of America CO1-111 - NWC Hwy 7 and Palisade Pkwy, Broomfield CO   |   METAL FRAMING &amp; DRYWALL TAKEOFF</t>
  </si>
  <si>
    <t xml:space="preserve">Bid set: 2025.08.26_CO1-111_Broomfield_PERMIT SET_BID SET.pdf   ·   2026-10-20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</si>
  <si>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</si>
  <si>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</si>
  <si>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</si>
  <si>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</si>
  <si>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</si>
  <si>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</si>
  <si>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</si>
  <si>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</si>
  <si>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</si>
  <si>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</si>
  <si>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</si>
  <si>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</si>
  <si>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</si>
  <si>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</si>
  <si>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</si>
  <si>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</si>
  <si>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</si>
  <si>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</si>
  <si>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Project value (canon constants).</t>
  </si>
  <si>
    <t xml:space="preserve">B.O. Deck (ft)</t>
  </si>
  <si>
    <t xml:space="preserve">n/a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</si>
  <si>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</si>
  <si>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</si>
  <si>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</si>
  <si>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</si>
  <si>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</si>
  <si>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</si>
  <si>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</si>
  <si>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</si>
  <si>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</si>
  <si>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</si>
  <si>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</si>
  <si>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</si>
  <si>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</si>
  <si>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</si>
  <si>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</si>
  <si>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</si>
  <si>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</si>
  <si>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</si>
  <si>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</si>
  <si>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</si>
  <si>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</si>
  <si>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</si>
  <si>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</si>
  <si>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</si>
  <si>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CO1-111 - NWC Hwy 7 and Palisade Pkwy, Broomfield CO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</si>
  <si>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</si>
  <si>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</si>
  <si>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</si>
  <si>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</si>
  <si>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</si>
  <si>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</si>
  <si>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</si>
  <si>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</si>
  <si>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</si>
  <si>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</si>
  <si>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</si>
  <si>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</si>
  <si>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EXT-6CFMF</t>
  </si>
  <si>
    <t xml:space="preserve">EXT-6CFMF  #AE-01  -  exterior north wall at Office 105 (grid F, 7-8); exterior / Office 105</t>
  </si>
  <si>
    <t xml:space="preserve">AE-01</t>
  </si>
  <si>
    <t xml:space="preserve">6"</t>
  </si>
  <si>
    <t xml:space="preserve">exterior north wall at Office 105 (grid F, 7-8); exterior / Office 105</t>
  </si>
  <si>
    <t xml:space="preserve">F/A09.22</t>
  </si>
  <si>
    <t xml:space="preserve">[DERIVED]</t>
  </si>
  <si>
    <t xml:space="preserve">EXT-6CFMF  #AE-02+AE-03  -  exterior east wall grid 8, F to B (offices 105-108, 116); exterior / interior + exterior east wall grid 8, B to A (Break Room 118, Work Room 119); exterior / interior</t>
  </si>
  <si>
    <t xml:space="preserve">AE-02+AE-03</t>
  </si>
  <si>
    <t xml:space="preserve">exterior east wall grid 8, F to B (offices 105-108, 116); exterior / interior + exterior east wall grid 8, B to A (Break Room 118, Work Room 119); exterior / interior</t>
  </si>
  <si>
    <t xml:space="preserve">EXT-6CFMF  #AE-04+AE-04B  -  exterior south wall grid A, grids 3-6 (Wellness 115 ... Break Room 118), door 123 inside the run + exterior south wall grid A, grids 6-8 (Break Room 118 / Work Room 119)</t>
  </si>
  <si>
    <t xml:space="preserve">AE-04+AE-04B</t>
  </si>
  <si>
    <t xml:space="preserve">exterior south wall grid A, grids 3-6 (Wellness 115 ... Break Room 118), door 123 inside the run + exterior south wall grid A, grids 6-8 (Break Room 118 / Work Room 119)</t>
  </si>
  <si>
    <t xml:space="preserve">EXT-6CFMF  #AE-05+AE-06  -  exterior west wall grid 3, D to B (offices 109, 110); exterior (drive-up canopy) / interior + exterior west wall grid 3, B to A (restrooms 113-114, Janitor 112, Wellness 115)</t>
  </si>
  <si>
    <t xml:space="preserve">AE-05+AE-06</t>
  </si>
  <si>
    <t xml:space="preserve">exterior west wall grid 3, D to B (offices 109, 110); exterior (drive-up canopy) / interior + exterior west wall grid 3, B to A (restrooms 113-114, Janitor 112, Wellness 115)</t>
  </si>
  <si>
    <t xml:space="preserve">EXT-6CFMF  #AE-07  -  exterior jog at grid D between grids 2 and 3 (ATM Room 102 / drive-up canopy)</t>
  </si>
  <si>
    <t xml:space="preserve">AE-07</t>
  </si>
  <si>
    <t xml:space="preserve">exterior jog at grid D between grids 2 and 3 (ATM Room 102 / drive-up canopy)</t>
  </si>
  <si>
    <t xml:space="preserve">EXT-6CFMF  #AE-08  -  exterior west wall grid 2 (24 HR Vestibule 101, ATM Room 102) below the vestibule storefront</t>
  </si>
  <si>
    <t xml:space="preserve">AE-08</t>
  </si>
  <si>
    <t xml:space="preserve">exterior west wall grid 2 (24 HR Vestibule 101, ATM Room 102) below the vestibule storefront</t>
  </si>
  <si>
    <t xml:space="preserve">TYPE EXT-PARAPET</t>
  </si>
  <si>
    <t xml:space="preserve">EXT-PARAPET  #AE-21  -  parapet on grid 2</t>
  </si>
  <si>
    <t xml:space="preserve">AE-21</t>
  </si>
  <si>
    <t xml:space="preserve">6" parapet (600S162-54)</t>
  </si>
  <si>
    <t xml:space="preserve">parapet on grid 2</t>
  </si>
  <si>
    <t xml:space="preserve">4/A09.26</t>
  </si>
  <si>
    <t xml:space="preserve">EXT-PARAPET  #AE-22  -  parapet on grid G</t>
  </si>
  <si>
    <t xml:space="preserve">AE-22</t>
  </si>
  <si>
    <t xml:space="preserve">parapet on grid G</t>
  </si>
  <si>
    <t xml:space="preserve">EXT-PARAPET  #AE-23  -  parapet on grid 4</t>
  </si>
  <si>
    <t xml:space="preserve">AE-23</t>
  </si>
  <si>
    <t xml:space="preserve">parapet on grid 4</t>
  </si>
  <si>
    <t xml:space="preserve">EXT-PARAPET  #AE-24  -  parapet on grid F</t>
  </si>
  <si>
    <t xml:space="preserve">AE-24</t>
  </si>
  <si>
    <t xml:space="preserve">parapet on grid F</t>
  </si>
  <si>
    <t xml:space="preserve">EXT-PARAPET  #AE-25+AE-26  -  parapet on grid 8</t>
  </si>
  <si>
    <t xml:space="preserve">AE-25+AE-26</t>
  </si>
  <si>
    <t xml:space="preserve">parapet on grid 8</t>
  </si>
  <si>
    <t xml:space="preserve">EXT-PARAPET  #AE-27  -  parapet on grid A</t>
  </si>
  <si>
    <t xml:space="preserve">AE-27</t>
  </si>
  <si>
    <t xml:space="preserve">parapet on grid A</t>
  </si>
  <si>
    <t xml:space="preserve">EXT-PARAPET  #AE-28+AE-29  -  parapet on grid 3</t>
  </si>
  <si>
    <t xml:space="preserve">AE-28+AE-29</t>
  </si>
  <si>
    <t xml:space="preserve">parapet on grid 3</t>
  </si>
  <si>
    <t xml:space="preserve">EXT-PARAPET  #AE-30  -  parapet on grid D</t>
  </si>
  <si>
    <t xml:space="preserve">AE-30</t>
  </si>
  <si>
    <t xml:space="preserve">parapet on grid D</t>
  </si>
  <si>
    <t xml:space="preserve">TYPE CANOPY-COL</t>
  </si>
  <si>
    <t xml:space="preserve">CANOPY-COL  #AE-51  -  drive-up canopy column 1 (grid 1)</t>
  </si>
  <si>
    <t xml:space="preserve">AE-51</t>
  </si>
  <si>
    <t xml:space="preserve">3-5/8"</t>
  </si>
  <si>
    <t xml:space="preserve">drive-up canopy column 1 (grid 1)</t>
  </si>
  <si>
    <t xml:space="preserve">5/A09.25</t>
  </si>
  <si>
    <t xml:space="preserve">CANOPY-COL  #AE-52  -  drive-up canopy column 2 (grid 1)</t>
  </si>
  <si>
    <t xml:space="preserve">AE-52</t>
  </si>
  <si>
    <t xml:space="preserve">drive-up canopy column 2 (grid 1)</t>
  </si>
  <si>
    <t xml:space="preserve">CANOPY-COL  #AE-53  -  drive-up canopy column 3 (grid 1)</t>
  </si>
  <si>
    <t xml:space="preserve">AE-53</t>
  </si>
  <si>
    <t xml:space="preserve">drive-up canopy column 3 (grid 1)</t>
  </si>
  <si>
    <t xml:space="preserve">CANOPY-COL  #AE-54  -  drive-up canopy column 4 (grid 1)</t>
  </si>
  <si>
    <t xml:space="preserve">AE-54</t>
  </si>
  <si>
    <t xml:space="preserve">drive-up canopy column 4 (grid 1)</t>
  </si>
  <si>
    <t xml:space="preserve">TYPE A1</t>
  </si>
  <si>
    <t xml:space="preserve">A1  #A1-01  -  Calling Cubes 122 (S) / Waiting 104 - Central Zone (N); west part backs MW01 niche</t>
  </si>
  <si>
    <t xml:space="preserve">A1-01</t>
  </si>
  <si>
    <t xml:space="preserve">Calling Cubes 122 (S) / Waiting 104 - Central Zone (N); west part backs MW01 niche</t>
  </si>
  <si>
    <t xml:space="preserve">3/A12.01</t>
  </si>
  <si>
    <t xml:space="preserve">A1  #A1-02  -  MW01 niche (W) / Calling Cubes 122 (E)</t>
  </si>
  <si>
    <t xml:space="preserve">A1-02</t>
  </si>
  <si>
    <t xml:space="preserve">MW01 niche (W) / Calling Cubes 122 (E)</t>
  </si>
  <si>
    <t xml:space="preserve">A1  #A1-03  -  MW01 niche (N) / MW07 - Calling Cubes 122 (S)</t>
  </si>
  <si>
    <t xml:space="preserve">A1-03</t>
  </si>
  <si>
    <t xml:space="preserve">MW01 niche (N) / MW07 - Calling Cubes 122 (S)</t>
  </si>
  <si>
    <t xml:space="preserve">A1  #A1-04  -  Lobby corridor east of offices 109/110 (N) / Corridor 111 (S); includes door 111</t>
  </si>
  <si>
    <t xml:space="preserve">A1-04</t>
  </si>
  <si>
    <t xml:space="preserve">Lobby corridor east of offices 109/110 (N) / Corridor 111 (S); includes door 111</t>
  </si>
  <si>
    <t xml:space="preserve">[CONFIRMED]</t>
  </si>
  <si>
    <t xml:space="preserve">A1  #A1-05  -  Calling Cubes 122 (N) / Corridor 118B - MW21 (S)</t>
  </si>
  <si>
    <t xml:space="preserve">A1-05</t>
  </si>
  <si>
    <t xml:space="preserve">Calling Cubes 122 (N) / Corridor 118B - MW21 (S)</t>
  </si>
  <si>
    <t xml:space="preserve">A1  #A1-06  -  Teller queue / Central Zone (N) / Break Room 118 (S); includes door 118A and the untagged A1-thickness stub x=1613.64-1622.16</t>
  </si>
  <si>
    <t xml:space="preserve">A1-06</t>
  </si>
  <si>
    <t xml:space="preserve">Teller queue / Central Zone (N) / Break Room 118 (S); includes door 118A and the untagged A1-thickness stub x=1613.64-1622.16</t>
  </si>
  <si>
    <t xml:space="preserve">A1  #A1-07  -  MW21 / Corridor 118B (W) / Teller queue - Central Zone (E)</t>
  </si>
  <si>
    <t xml:space="preserve">A1-07</t>
  </si>
  <si>
    <t xml:space="preserve">MW21 / Corridor 118B (W) / Teller queue - Central Zone (E)</t>
  </si>
  <si>
    <t xml:space="preserve">A1  #A1-08  -  Corridor 111 (W) / Break Room 118 - Electrical 120 - NER 121 (E); includes door 118B</t>
  </si>
  <si>
    <t xml:space="preserve">A1-08</t>
  </si>
  <si>
    <t xml:space="preserve">Corridor 111 (W) / Break Room 118 - Electrical 120 - NER 121 (E); includes door 118B</t>
  </si>
  <si>
    <t xml:space="preserve">A1  #A1-09  -  Cash Window 116 (N) / Work Room 119 (S); includes door 119</t>
  </si>
  <si>
    <t xml:space="preserve">A1-09</t>
  </si>
  <si>
    <t xml:space="preserve">Cash Window 116 (N) / Work Room 119 (S); includes door 119</t>
  </si>
  <si>
    <t xml:space="preserve">TYPE A5</t>
  </si>
  <si>
    <t xml:space="preserve">A5  #A1-10+A1-10S  -  Calling Cubes 122 (W) / Teller queue - Central Zone (E)</t>
  </si>
  <si>
    <t xml:space="preserve">A1-10+A1-10S</t>
  </si>
  <si>
    <t xml:space="preserve">Calling Cubes 122 (W) / Teller queue - Central Zone (E)</t>
  </si>
  <si>
    <t xml:space="preserve">A5  #A1-11  -  Lobby corridor east of offices 109/110 (W) / MW07 - Calling Cubes 122 (E); FEC-1 recess in west face</t>
  </si>
  <si>
    <t xml:space="preserve">A1-11</t>
  </si>
  <si>
    <t xml:space="preserve">Lobby corridor east of offices 109/110 (W) / MW07 - Calling Cubes 122 (E); FEC-1 recess in west face</t>
  </si>
  <si>
    <t xml:space="preserve">A5  #A1-12+A1-12S  -  Corridor 111 (W) / Calling Cubes 122 (E); includes door 122</t>
  </si>
  <si>
    <t xml:space="preserve">A1-12+A1-12S</t>
  </si>
  <si>
    <t xml:space="preserve">Corridor 111 (W) / Calling Cubes 122 (E); includes door 122</t>
  </si>
  <si>
    <t xml:space="preserve">A5  #A1-13  -  Break Room 118 (W) / Future FCAM - Cash Window 116 (E); includes door 116</t>
  </si>
  <si>
    <t xml:space="preserve">A1-13</t>
  </si>
  <si>
    <t xml:space="preserve">Break Room 118 (W) / Future FCAM - Cash Window 116 (E); includes door 116</t>
  </si>
  <si>
    <t xml:space="preserve">TYPE B2K</t>
  </si>
  <si>
    <t xml:space="preserve">B2K  #A1-14  -  Office 108 approach (N) / Teller queue (S)</t>
  </si>
  <si>
    <t xml:space="preserve">A1-14</t>
  </si>
  <si>
    <t xml:space="preserve">Office 108 approach (N) / Teller queue (S)</t>
  </si>
  <si>
    <t xml:space="preserve">4/A12.01</t>
  </si>
  <si>
    <t xml:space="preserve">TYPE A1K</t>
  </si>
  <si>
    <t xml:space="preserve">A1K  #A1-15  -  Office 108 / G wall strip (N, customer) / Cash Window 116 teller station (S, teller)</t>
  </si>
  <si>
    <t xml:space="preserve">A1-15</t>
  </si>
  <si>
    <t xml:space="preserve">Office 108 / G wall strip (N, customer) / Cash Window 116 teller station (S, teller)</t>
  </si>
  <si>
    <t xml:space="preserve">A1K  #A1-16  -  Cash Window 116 teller station (N, teller) / Future FCAM (S, customer)</t>
  </si>
  <si>
    <t xml:space="preserve">A1-16</t>
  </si>
  <si>
    <t xml:space="preserve">Cash Window 116 teller station (N, teller) / Future FCAM (S, customer)</t>
  </si>
  <si>
    <t xml:space="preserve">A1K  #A1-17  -  Teller queue (N) / Future FCAM (S)</t>
  </si>
  <si>
    <t xml:space="preserve">A1-17</t>
  </si>
  <si>
    <t xml:space="preserve">Teller queue (N) / Future FCAM (S)</t>
  </si>
  <si>
    <t xml:space="preserve">TYPE B</t>
  </si>
  <si>
    <t xml:space="preserve">B  #A2-01  -  Break Room 118 (N) / Electrical 120 (S)</t>
  </si>
  <si>
    <t xml:space="preserve">A2-01</t>
  </si>
  <si>
    <t xml:space="preserve">Break Room 118 (N) / Electrical 120 (S)</t>
  </si>
  <si>
    <t xml:space="preserve">1/A12.01</t>
  </si>
  <si>
    <t xml:space="preserve">B  #A2-02  -  Electrical 120 + NER 121 (W) / Break Room 118 side (E)</t>
  </si>
  <si>
    <t xml:space="preserve">A2-02</t>
  </si>
  <si>
    <t xml:space="preserve">Electrical 120 + NER 121 (W) / Break Room 118 side (E)</t>
  </si>
  <si>
    <t xml:space="preserve">B  #A2-03  -  Electrical 120 (N) / NER 121 (S)</t>
  </si>
  <si>
    <t xml:space="preserve">A2-03</t>
  </si>
  <si>
    <t xml:space="preserve">Electrical 120 (N) / NER 121 (S)</t>
  </si>
  <si>
    <t xml:space="preserve">B  #A2-04  -  Men's Restroom 113 (N) / Janitor Closet 112 + Storage 117 (S)</t>
  </si>
  <si>
    <t xml:space="preserve">A2-04</t>
  </si>
  <si>
    <t xml:space="preserve">Men's Restroom 113 (N) / Janitor Closet 112 + Storage 117 (S)</t>
  </si>
  <si>
    <t xml:space="preserve">B  #A2-05  -  Janitor Closet 112 + Storage 117 (N) / Wellness 115 (S)</t>
  </si>
  <si>
    <t xml:space="preserve">A2-05</t>
  </si>
  <si>
    <t xml:space="preserve">Janitor Closet 112 + Storage 117 (N) / Wellness 115 (S)</t>
  </si>
  <si>
    <t xml:space="preserve">B  #A2-06  -  Janitor Closet 112 (W) / Storage 117 (E)</t>
  </si>
  <si>
    <t xml:space="preserve">A2-06</t>
  </si>
  <si>
    <t xml:space="preserve">Janitor Closet 112 (W) / Storage 117 (E)</t>
  </si>
  <si>
    <t xml:space="preserve">TYPE B2</t>
  </si>
  <si>
    <t xml:space="preserve">B2  #A2-07N+A2-07  -  Women's Restroom 114 (W) / Corridor 111 (E)</t>
  </si>
  <si>
    <t xml:space="preserve">A2-07N+A2-07</t>
  </si>
  <si>
    <t xml:space="preserve">Women's Restroom 114 (W) / Corridor 111 (E)</t>
  </si>
  <si>
    <t xml:space="preserve">B2  #A2-08  -  Men's Restroom 113 + Storage 117 + Wellness 115 (W) / Corridor 111 (E)</t>
  </si>
  <si>
    <t xml:space="preserve">A2-08</t>
  </si>
  <si>
    <t xml:space="preserve">Men's Restroom 113 + Storage 117 + Wellness 115 (W) / Corridor 111 (E)</t>
  </si>
  <si>
    <t xml:space="preserve">B2  #A2-09  -  Break Room 118 (W) / Work Room 119 (E)</t>
  </si>
  <si>
    <t xml:space="preserve">A2-09</t>
  </si>
  <si>
    <t xml:space="preserve">Break Room 118 (W) / Work Room 119 (E)</t>
  </si>
  <si>
    <t xml:space="preserve">B2  #A2-10  -  ATM Room 102 (W) / Central Zone 103 (E)</t>
  </si>
  <si>
    <t xml:space="preserve">A2-10</t>
  </si>
  <si>
    <t xml:space="preserve">ATM Room 102 (W) / Central Zone 103 (E)</t>
  </si>
  <si>
    <t xml:space="preserve">TYPE C1</t>
  </si>
  <si>
    <t xml:space="preserve">C1  #A2-11  -  Women's Restroom 114 (N) / plumbing chase (S)</t>
  </si>
  <si>
    <t xml:space="preserve">A2-11</t>
  </si>
  <si>
    <t xml:space="preserve">Women's Restroom 114 (N) / plumbing chase (S)</t>
  </si>
  <si>
    <t xml:space="preserve">6/A12.01</t>
  </si>
  <si>
    <t xml:space="preserve">C1  #A2-12  -  Men's Restroom 113 (S) / plumbing chase (N)</t>
  </si>
  <si>
    <t xml:space="preserve">A2-12</t>
  </si>
  <si>
    <t xml:space="preserve">Men's Restroom 113 (S) / plumbing chase (N)</t>
  </si>
  <si>
    <t xml:space="preserve">C1  #A2-13+A2-14+A2-15  -  Waiting 104 / Central Zone side (N) of Calling Cubes 122 north wall - display monitor furring (key note 7) + monitor bump-out west return (Waiting 104 side) + monitor bump-out east return (Waiting 104 side)</t>
  </si>
  <si>
    <t xml:space="preserve">A2-13+A2-14+A2-15</t>
  </si>
  <si>
    <t xml:space="preserve">Waiting 104 / Central Zone side (N) of Calling Cubes 122 north wall - display monitor furring (key note 7) + monitor bump-out west return (Waiting 104 side) + monitor bump-out east return (Waiting 104 side)</t>
  </si>
  <si>
    <t xml:space="preserve">C1  #A2-16+A2-17  -  Future FCAM (S) - furring on south side of Cash Window 116 A1K wall + Future FCAM - east return of C1 furring</t>
  </si>
  <si>
    <t xml:space="preserve">A2-16+A2-17</t>
  </si>
  <si>
    <t xml:space="preserve">Future FCAM (S) - furring on south side of Cash Window 116 A1K wall + Future FCAM - east return of C1 furring</t>
  </si>
  <si>
    <t xml:space="preserve">C1  #A2-18+A2-19  -  24 HR Vestibule 101 (N) / column enclosure at F-B2 junction</t>
  </si>
  <si>
    <t xml:space="preserve">A2-18+A2-19</t>
  </si>
  <si>
    <t xml:space="preserve">24 HR Vestibule 101 (N) / column enclosure at F-B2 junction</t>
  </si>
  <si>
    <t xml:space="preserve">C1  #A2-20  -  Vestibule 100 NW corner pier (storefront corner), C1 furring on S and E faces facing Vestibule 100</t>
  </si>
  <si>
    <t xml:space="preserve">A2-20</t>
  </si>
  <si>
    <t xml:space="preserve">Vestibule 100 NW corner pier (storefront corner), C1 furring on S and E faces facing Vestibule 100</t>
  </si>
  <si>
    <t xml:space="preserve">C1  #A2-21  -  Vestibule 100 NE corner pier (storefront corner, PB / CR devices), C1 furring on W and S faces facing Vestibule 100</t>
  </si>
  <si>
    <t xml:space="preserve">A2-21</t>
  </si>
  <si>
    <t xml:space="preserve">Vestibule 100 NE corner pier (storefront corner, PB / CR devices), C1 furring on W and S faces facing Vestibule 100</t>
  </si>
  <si>
    <t xml:space="preserve">C1  #A2-22  -  column box at junction of Vestibule 100 east wall, Vestibule 100/101 storefront and Vestibule 101 east storefront</t>
  </si>
  <si>
    <t xml:space="preserve">A2-22</t>
  </si>
  <si>
    <t xml:space="preserve">column box at junction of Vestibule 100 east wall, Vestibule 100/101 storefront and Vestibule 101 east storefront</t>
  </si>
  <si>
    <t xml:space="preserve">TYPE F</t>
  </si>
  <si>
    <t xml:space="preserve">F  #A2-23  -  24 HR Vestibule 101 (NE, public side: FRT plywood + gyp) / ATM Room 102 (SW: gyp)</t>
  </si>
  <si>
    <t xml:space="preserve">A2-23</t>
  </si>
  <si>
    <t xml:space="preserve">24 HR Vestibule 101 (NE, public side: FRT plywood + gyp) / ATM Room 102 (SW: gyp)</t>
  </si>
  <si>
    <t xml:space="preserve">12/A12.01</t>
  </si>
  <si>
    <t xml:space="preserve">TYPE G1</t>
  </si>
  <si>
    <t xml:space="preserve">G1  #A3-01  -  Office 105 (Office 1 ME) / Office 106 (Office 2 CL)</t>
  </si>
  <si>
    <t xml:space="preserve">A3-01</t>
  </si>
  <si>
    <t xml:space="preserve">1-5/8"</t>
  </si>
  <si>
    <t xml:space="preserve">Office 105 (Office 1 ME) / Office 106 (Office 2 CL)</t>
  </si>
  <si>
    <t xml:space="preserve">5/A12.01</t>
  </si>
  <si>
    <t xml:space="preserve">G1  #A3-14  -  West office front between Office 109 and Office 110 / Central Zone 103</t>
  </si>
  <si>
    <t xml:space="preserve">A3-14</t>
  </si>
  <si>
    <t xml:space="preserve">West office front between Office 109 and Office 110 / Central Zone 103</t>
  </si>
  <si>
    <t xml:space="preserve">10/A12.01</t>
  </si>
  <si>
    <t xml:space="preserve">G1  #A3-15  -  West office front: Office 110 / Central Zone 103 (south end at Women's Restroom 114 wall)</t>
  </si>
  <si>
    <t xml:space="preserve">A3-15</t>
  </si>
  <si>
    <t xml:space="preserve">West office front: Office 110 / Central Zone 103 (south end at Women's Restroom 114 wall)</t>
  </si>
  <si>
    <t xml:space="preserve">TYPE G</t>
  </si>
  <si>
    <t xml:space="preserve">G  #A3-02  -  Office 106 (Office 2 CL) / Office 107 (Office 3 SB)</t>
  </si>
  <si>
    <t xml:space="preserve">A3-02</t>
  </si>
  <si>
    <t xml:space="preserve">Office 106 (Office 2 CL) / Office 107 (Office 3 SB)</t>
  </si>
  <si>
    <t xml:space="preserve">G  #A3-03  -  Office 107 (Office 3 SB) / Office 108 (Office 4 CB)</t>
  </si>
  <si>
    <t xml:space="preserve">A3-03</t>
  </si>
  <si>
    <t xml:space="preserve">Office 107 (Office 3 SB) / Office 108 (Office 4 CB)</t>
  </si>
  <si>
    <t xml:space="preserve">G  #A3-04  -  Office 108 (Office 4 CB) / room south of Office 108 (Cash Window area)</t>
  </si>
  <si>
    <t xml:space="preserve">A3-04</t>
  </si>
  <si>
    <t xml:space="preserve">Office 108 (Office 4 CB) / room south of Office 108 (Cash Window area)</t>
  </si>
  <si>
    <t xml:space="preserve">G  #A3-05  -  East office front: Office 105 / Waiting 104 - Central Zone 103</t>
  </si>
  <si>
    <t xml:space="preserve">A3-05</t>
  </si>
  <si>
    <t xml:space="preserve">East office front: Office 105 / Waiting 104 - Central Zone 103</t>
  </si>
  <si>
    <t xml:space="preserve">G  #A3-06  -  East office front between offices (Central Zone 103 / Waiting 104 side)</t>
  </si>
  <si>
    <t xml:space="preserve">A3-06</t>
  </si>
  <si>
    <t xml:space="preserve">East office front between offices (Central Zone 103 / Waiting 104 side)</t>
  </si>
  <si>
    <t xml:space="preserve">G  #A3-07  -  East office front between offices (Central Zone 103 / Waiting 104 side)</t>
  </si>
  <si>
    <t xml:space="preserve">A3-07</t>
  </si>
  <si>
    <t xml:space="preserve">G  #A3-08  -  East office front between offices (Central Zone 103 / Waiting 104 side)</t>
  </si>
  <si>
    <t xml:space="preserve">A3-08</t>
  </si>
  <si>
    <t xml:space="preserve">G  #A3-10  -  Office 109 (Office 5 CB) / ATM Room 102</t>
  </si>
  <si>
    <t xml:space="preserve">A3-10</t>
  </si>
  <si>
    <t xml:space="preserve">Office 109 (Office 5 CB) / ATM Room 102</t>
  </si>
  <si>
    <t xml:space="preserve">G  #A3-11  -  Office 109 (Office 5 CB) / Office 110 (Office 6 CB)</t>
  </si>
  <si>
    <t xml:space="preserve">A3-11</t>
  </si>
  <si>
    <t xml:space="preserve">Office 109 (Office 5 CB) / Office 110 (Office 6 CB)</t>
  </si>
  <si>
    <t xml:space="preserve">G  #A3-12  -  Office 110 (Office 6 CB) / Women's Restroom 114</t>
  </si>
  <si>
    <t xml:space="preserve">A3-12</t>
  </si>
  <si>
    <t xml:space="preserve">Office 110 (Office 6 CB) / Women's Restroom 114</t>
  </si>
  <si>
    <t xml:space="preserve">TYPE BULKHEAD-G</t>
  </si>
  <si>
    <t xml:space="preserve">BULKHEAD-G  #A3-16+A3-17+A3-18+A3-19  -  Office 105 front (bank vendor office front DFC-1A) / Central Zone 103 + Office 106 front (bank vendor office front DFC-1A) / Central Zone 103 + Office 107 front (bank vendor office front DFC-1A) / Central Zone 103 + Office 108 front (bank vendor office front DFC-1A) / Central Zone 103</t>
  </si>
  <si>
    <t xml:space="preserve">A3-16+A3-17+A3-18+A3-19</t>
  </si>
  <si>
    <t xml:space="preserve">Office 105 front (bank vendor office front DFC-1A) / Central Zone 103 + Office 106 front (bank vendor office front DFC-1A) / Central Zone 103 + Office 107 front (bank vendor office front DFC-1A) / Central Zone 103 + Office 108 front (bank vendor office front DFC-1A) / Central Zone 103</t>
  </si>
  <si>
    <t xml:space="preserve">9/A12.01</t>
  </si>
  <si>
    <t xml:space="preserve">BULKHEAD-G  #A3-20+A3-21  -  Office 109 front (bank vendor office front DFC-1A) / Central Zone 103 + Office 110 front (bank vendor office front DFC-1A) / Central Zone 103</t>
  </si>
  <si>
    <t xml:space="preserve">A3-20+A3-21</t>
  </si>
  <si>
    <t xml:space="preserve">Office 109 front (bank vendor office front DFC-1A) / Central Zone 103 + Office 110 front (bank vendor office front DFC-1A) / Central Zone 103</t>
  </si>
  <si>
    <t xml:space="preserve">TOTAL - PARTITIONS</t>
  </si>
  <si>
    <t xml:space="preserve">TYPE OTHER FRAMING (NOT A PARTITION)</t>
  </si>
  <si>
    <t xml:space="preserve">ceiling_transition  #AC-07  -  Waiting 104 GB 11'-0" N edge / Central Zone 103 ACT-4 11'-6"</t>
  </si>
  <si>
    <t xml:space="preserve">AC-07</t>
  </si>
  <si>
    <t xml:space="preserve">Waiting 104 GB 11'-0" N edge / Central Zone 103 ACT-4 11'-6"</t>
  </si>
  <si>
    <t xml:space="preserve">7/A09.33</t>
  </si>
  <si>
    <t xml:space="preserve">ceiling_transition  #AC-08  -  Waiting 104 GB 11'-0" W edge / Central Zone 103 ACT-4 11'-6"</t>
  </si>
  <si>
    <t xml:space="preserve">AC-08</t>
  </si>
  <si>
    <t xml:space="preserve">Waiting 104 GB 11'-0" W edge / Central Zone 103 ACT-4 11'-6"</t>
  </si>
  <si>
    <t xml:space="preserve">ceiling_transition  #AC-09  -  Waiting 104 GB 11'-0" E edge / Central Zone 103 ACT-4 11'-6"</t>
  </si>
  <si>
    <t xml:space="preserve">AC-09</t>
  </si>
  <si>
    <t xml:space="preserve">Waiting 104 GB 11'-0" E edge / Central Zone 103 ACT-4 11'-6"</t>
  </si>
  <si>
    <t xml:space="preserve">soffit_side  #AC-10  -  CSR soffit CSR-W line (north of grid B)</t>
  </si>
  <si>
    <t xml:space="preserve">AC-10</t>
  </si>
  <si>
    <t xml:space="preserve">CSR soffit CSR-W line (north of grid B)</t>
  </si>
  <si>
    <t xml:space="preserve">10/A09.33</t>
  </si>
  <si>
    <t xml:space="preserve">soffit_side  #AC-11  -  CSR soffit CSR-W line (south of grid B)</t>
  </si>
  <si>
    <t xml:space="preserve">AC-11</t>
  </si>
  <si>
    <t xml:space="preserve">CSR soffit CSR-W line (south of grid B)</t>
  </si>
  <si>
    <t xml:space="preserve">soffit_side  #AC-12  -  CSR soffit CSR-E line (north of grid B)</t>
  </si>
  <si>
    <t xml:space="preserve">AC-12</t>
  </si>
  <si>
    <t xml:space="preserve">CSR soffit CSR-E line (north of grid B)</t>
  </si>
  <si>
    <t xml:space="preserve">soffit_side  #AC-13  -  CSR soffit CSR-E line (south of grid B)</t>
  </si>
  <si>
    <t xml:space="preserve">AC-13</t>
  </si>
  <si>
    <t xml:space="preserve">CSR soffit CSR-E line (south of grid B)</t>
  </si>
  <si>
    <t xml:space="preserve">storefront_cripples  #AE-31  -  framing above storefront SF-F head</t>
  </si>
  <si>
    <t xml:space="preserve">AE-31</t>
  </si>
  <si>
    <t xml:space="preserve">framing above storefront SF-F head</t>
  </si>
  <si>
    <t xml:space="preserve">2/A09.26</t>
  </si>
  <si>
    <t xml:space="preserve">storefront_cripples  #AE-32  -  framing above storefront SF-G head</t>
  </si>
  <si>
    <t xml:space="preserve">AE-32</t>
  </si>
  <si>
    <t xml:space="preserve">framing above storefront SF-G head</t>
  </si>
  <si>
    <t xml:space="preserve">storefront_cripples  #AE-33  -  framing above storefront SF-W2 head</t>
  </si>
  <si>
    <t xml:space="preserve">AE-33</t>
  </si>
  <si>
    <t xml:space="preserve">framing above storefront SF-W2 head</t>
  </si>
  <si>
    <t xml:space="preserve">pier_part  #AE-41  -  NW storefront pier grid 2/G</t>
  </si>
  <si>
    <t xml:space="preserve">AE-41</t>
  </si>
  <si>
    <t xml:space="preserve">NW storefront pier grid 2/G</t>
  </si>
  <si>
    <t xml:space="preserve">1/A09.25</t>
  </si>
  <si>
    <t xml:space="preserve">pier_part  #AE-42  -  NE storefront pier grid 4/G</t>
  </si>
  <si>
    <t xml:space="preserve">AE-42</t>
  </si>
  <si>
    <t xml:space="preserve">NE storefront pier grid 4/G</t>
  </si>
  <si>
    <t xml:space="preserve">2/A09.25</t>
  </si>
  <si>
    <t xml:space="preserve">roof_step  #AE-61  -  roof step at grid B, upper exterior row above low roof (nailbase + roof membrane, no gyp)</t>
  </si>
  <si>
    <t xml:space="preserve">AE-61</t>
  </si>
  <si>
    <t xml:space="preserve">roof step at grid B, upper exterior row above low roof (nailbase + roof membrane, no gyp)</t>
  </si>
  <si>
    <t xml:space="preserve">4/A02.02</t>
  </si>
  <si>
    <t xml:space="preserve">roof_step  #AE-62  -  roof step at grid B, lower row below low-roof deck, 5/8" gyp to deck</t>
  </si>
  <si>
    <t xml:space="preserve">AE-62</t>
  </si>
  <si>
    <t xml:space="preserve">roof step at grid B, lower row below low-roof deck, 5/8" gyp to deck</t>
  </si>
  <si>
    <t xml:space="preserve">roof_step  #AE-63  -  roof step at grid B, row below high-roof deck, '5/8" GYP BD ON 3 5/8" METAL STUD FRAMING ... RUN GYP BD TIGHT TO DECK ABOVE'</t>
  </si>
  <si>
    <t xml:space="preserve">AE-63</t>
  </si>
  <si>
    <t xml:space="preserve">roof step at grid B, row below high-roof deck, '5/8" GYP BD ON 3 5/8" METAL STUD FRAMING ... RUN GYP BD TIGHT TO DECK ABOVE'</t>
  </si>
  <si>
    <t xml:space="preserve">vestibule_head  #AE-71  -  24 HR vestibule glazing line (doors 101) between Vestibule 100 and 24 HR Vestibule 101</t>
  </si>
  <si>
    <t xml:space="preserve">AE-71</t>
  </si>
  <si>
    <t xml:space="preserve">24 HR vestibule glazing line (doors 101) between Vestibule 100 and 24 HR Vestibule 101</t>
  </si>
  <si>
    <t xml:space="preserve">5/A12.10</t>
  </si>
  <si>
    <t xml:space="preserve">vestibule_head  #AE-72  -  vestibule east glazing line (door 100A + sidelite)</t>
  </si>
  <si>
    <t xml:space="preserve">AE-72</t>
  </si>
  <si>
    <t xml:space="preserve">vestibule east glazing line (door 100A + sidelite)</t>
  </si>
  <si>
    <t xml:space="preserve">grille_head  #AE-80  -  coiling grille head (A08.21), interior opening near grid E</t>
  </si>
  <si>
    <t xml:space="preserve">AE-80</t>
  </si>
  <si>
    <t xml:space="preserve">2-1/2"</t>
  </si>
  <si>
    <t xml:space="preserve">coiling grille head (A08.21), interior opening near grid E</t>
  </si>
  <si>
    <t xml:space="preserve">4/A08.21</t>
  </si>
  <si>
    <t xml:space="preserve">fascia_box  #AE-91  -  canopy fascia, facade N</t>
  </si>
  <si>
    <t xml:space="preserve">AE-91</t>
  </si>
  <si>
    <t xml:space="preserve">canopy fascia, facade N</t>
  </si>
  <si>
    <t xml:space="preserve">7/A09.26</t>
  </si>
  <si>
    <t xml:space="preserve">fascia_box  #AE-92  -  canopy fascia, facade E</t>
  </si>
  <si>
    <t xml:space="preserve">AE-92</t>
  </si>
  <si>
    <t xml:space="preserve">canopy fascia, facade E</t>
  </si>
  <si>
    <t xml:space="preserve">fascia_box  #AE-93  -  canopy fascia, facade S</t>
  </si>
  <si>
    <t xml:space="preserve">AE-93</t>
  </si>
  <si>
    <t xml:space="preserve">canopy fascia, facade S</t>
  </si>
  <si>
    <t xml:space="preserve">fascia_box  #AE-94  -  canopy fascia, facade W</t>
  </si>
  <si>
    <t xml:space="preserve">AE-94</t>
  </si>
  <si>
    <t xml:space="preserve">canopy fascia, facade W</t>
  </si>
  <si>
    <t xml:space="preserve">alcove  #A1-18+A1-19+A1-20  -  Plumbing chase / restrooms 114-113 (W) / drinking fountain alcove off Corridor 111 (E) + Women's Restroom 114 (N) / drinking fountain alcove (S) + drinking fountain alcove (N) / Men's Restroom 113 (S)</t>
  </si>
  <si>
    <t xml:space="preserve">A1-18+A1-19+A1-20</t>
  </si>
  <si>
    <t xml:space="preserve">Plumbing chase / restrooms 114-113 (W) / drinking fountain alcove off Corridor 111 (E) + Women's Restroom 114 (N) / drinking fountain alcove (S) + drinking fountain alcove (N) / Men's Restroom 113 (S)</t>
  </si>
  <si>
    <t xml:space="preserve">stub  #A3-13  -  West office front: Office 109 jamb return / Central Zone 103</t>
  </si>
  <si>
    <t xml:space="preserve">A3-13</t>
  </si>
  <si>
    <t xml:space="preserve">West office front: Office 109 jamb return / Central Zone 103</t>
  </si>
  <si>
    <t xml:space="preserve">stub  #A3-09  -  East office front: Office 108 jamb return / Central Zone 103</t>
  </si>
  <si>
    <t xml:space="preserve">A3-09</t>
  </si>
  <si>
    <t xml:space="preserve">East office front: Office 108 jamb return / Central Zone 103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</si>
  <si>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</si>
  <si>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</si>
  <si>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</si>
  <si>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</si>
  <si>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</si>
  <si>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</si>
  <si>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</si>
  <si>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</si>
  <si>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</si>
  <si>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</si>
  <si>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</si>
  <si>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</si>
  <si>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(LF of material)</t>
  </si>
  <si>
    <t xml:space="preserve">LF</t>
  </si>
  <si>
    <t xml:space="preserve">stick 20 ft</t>
  </si>
  <si>
    <t xml:space="preserve">familias_out.json '6" stud (all gauges)' (canon.py on 4_canon/takeoff_canon.json)</t>
  </si>
  <si>
    <t xml:space="preserve">3-5/8" metal stud (LF of material)</t>
  </si>
  <si>
    <t xml:space="preserve">familias_out.json '3-5/8" stud (all gauges)' (canon.py on 4_canon/takeoff_canon.json)</t>
  </si>
  <si>
    <t xml:space="preserve">1-5/8" metal stud (LF of material)</t>
  </si>
  <si>
    <t xml:space="preserve">familias_out.json '1-5/8" stud' (canon.py on 4_canon/takeoff_canon.json)</t>
  </si>
  <si>
    <t xml:space="preserve">6" parapet infill stud (LF of material)</t>
  </si>
  <si>
    <t xml:space="preserve">familias_out.json '6" parapet stud' (canon.py on 4_canon/takeoff_canon.json)</t>
  </si>
  <si>
    <t xml:space="preserve">Track, ceilings / soffits / canopy</t>
  </si>
  <si>
    <t xml:space="preserve">run 10 ft</t>
  </si>
  <si>
    <t xml:space="preserve">familias_out.json 'ceiling / soffit track' (canon.py on 4_canon/takeoff_canon.json)</t>
  </si>
  <si>
    <t xml:space="preserve">Bracing 1-1/2" C.R. channel @ 48" O.C.</t>
  </si>
  <si>
    <t xml:space="preserve">C.R. channel 16 ft</t>
  </si>
  <si>
    <t xml:space="preserve">familias_out.json 'bracing C.R. channel' (canon.py on 4_canon/takeoff_canon.json)</t>
  </si>
  <si>
    <t xml:space="preserve">Purlin, top track to deck</t>
  </si>
  <si>
    <t xml:space="preserve">familias_out.json 'purlin (track to deck)' (canon.py on 4_canon/takeoff_canon.json)</t>
  </si>
  <si>
    <t xml:space="preserve">Header / metal stud box beam</t>
  </si>
  <si>
    <t xml:space="preserve">familias_out.json 'header / box beam' (canon.py on 4_canon/takeoff_canon.json)</t>
  </si>
  <si>
    <t xml:space="preserve">Sill track</t>
  </si>
  <si>
    <t xml:space="preserve">familias_out.json 'sill track' (canon.py on 4_canon/takeoff_canon.json)</t>
  </si>
  <si>
    <t xml:space="preserve">Furring channel (ceilings)</t>
  </si>
  <si>
    <t xml:space="preserve">hat channel 12 ft</t>
  </si>
  <si>
    <t xml:space="preserve">familias_out.json 'furring channel' (canon.py on 4_canon/takeoff_canon.json)</t>
  </si>
  <si>
    <t xml:space="preserve">Carrying channel (ceilings)</t>
  </si>
  <si>
    <t xml:space="preserve">familias_out.json 'carrying channel' (canon.py on 4_canon/takeoff_canon.json)</t>
  </si>
  <si>
    <t xml:space="preserve">Hanger wire</t>
  </si>
  <si>
    <t xml:space="preserve">familias_out.json 'hanger wire' (canon.py on 4_canon/takeoff_canon.json)</t>
  </si>
  <si>
    <t xml:space="preserve">5/8" gypsum board, regular</t>
  </si>
  <si>
    <t xml:space="preserve">SF</t>
  </si>
  <si>
    <t xml:space="preserve">4x12 ft sheet</t>
  </si>
  <si>
    <t xml:space="preserve">familias_out.json '5/8" gyp board regular (walls + ceilings)' (canon.py on 4_canon/takeoff_canon.json)</t>
  </si>
  <si>
    <t xml:space="preserve">5/8" gypsum board, MOISTURE RESISTANT</t>
  </si>
  <si>
    <t xml:space="preserve">familias_out.json '5/8" gyp MOISTURE RESISTANT' (canon.py on 4_canon/takeoff_canon.json)</t>
  </si>
  <si>
    <t xml:space="preserve">Ballistic panel 3/8" UL752</t>
  </si>
  <si>
    <t xml:space="preserve">4x8 ft sheet</t>
  </si>
  <si>
    <t xml:space="preserve">familias_out.json 'ballistic panel' (canon.py on 4_canon/takeoff_canon.json)</t>
  </si>
  <si>
    <t xml:space="preserve">3/8" gypsum board</t>
  </si>
  <si>
    <t xml:space="preserve">familias_out.json '3/8" gyp board' (canon.py on 4_canon/takeoff_canon.json)</t>
  </si>
  <si>
    <t xml:space="preserve">5/8" glass mat sheathing (exterior face of the stud)</t>
  </si>
  <si>
    <t xml:space="preserve">familias_out.json '5/8" glass mat sheathing' (canon.py on 4_canon/takeoff_canon.json)</t>
  </si>
  <si>
    <t xml:space="preserve">5/8" EXTERIOR gypsum sheathing</t>
  </si>
  <si>
    <t xml:space="preserve">familias_out.json '5/8" EXTERIOR gyp sheathing' (canon.py on 4_canon/takeoff_canon.json)</t>
  </si>
  <si>
    <t xml:space="preserve">Blocking FRT / 2X FRT wood</t>
  </si>
  <si>
    <t xml:space="preserve">stick 16 ft</t>
  </si>
  <si>
    <t xml:space="preserve">familias_out.json 'FRT blocking' (canon.py on 4_canon/takeoff_canon.json)</t>
  </si>
  <si>
    <t xml:space="preserve">Stud blocking at edge of gypboard (structural detail)</t>
  </si>
  <si>
    <t xml:space="preserve">familias_out.json metal_blocking_by_origin 'metal stud blocking (362CR / STUD BLOCKING)' (edge)</t>
  </si>
  <si>
    <t xml:space="preserve">Metal stud blocking at wall-mounted items (notes)</t>
  </si>
  <si>
    <t xml:space="preserve">familias_out.json metal_blocking_by_origin 'metal stud blocking (362CR / STUD BLOCKING)' (items)</t>
  </si>
  <si>
    <t xml:space="preserve">METAL trim - corner bead, casing bead, shadow molding, gypsum edge trim</t>
  </si>
  <si>
    <t xml:space="preserve">trim stick 10 ft</t>
  </si>
  <si>
    <t xml:space="preserve">familias_out.json 'metal trim (corner bead, casing, shadow molding)' (canon.py on 4_canon/takeoff_canon.json)</t>
  </si>
  <si>
    <t xml:space="preserve">Cement board (substrate under the FRP cove base band)</t>
  </si>
  <si>
    <t xml:space="preserve">familias_out.json 'cement board' (canon.py on 4_canon/takeoff_canon.json)</t>
  </si>
  <si>
    <t xml:space="preserve">FRP panels</t>
  </si>
  <si>
    <t xml:space="preserve">familias_out.json 'FRP' (canon.py on 4_canon/takeoff_canon.json)</t>
  </si>
  <si>
    <t xml:space="preserve">Acoustical sealant</t>
  </si>
  <si>
    <t xml:space="preserve">tube (25 LF per tube)</t>
  </si>
  <si>
    <t xml:space="preserve">familias_out.json 'acoustical sealant' (canon.py on 4_canon/takeoff_canon.json)</t>
  </si>
  <si>
    <t xml:space="preserve">framed openings MEP</t>
  </si>
  <si>
    <t xml:space="preserve">framed_openings_out.json 'framed openings MEP' (framed_openings.py)</t>
  </si>
  <si>
    <t xml:space="preserve">Bottom track 6"</t>
  </si>
  <si>
    <t xml:space="preserve">familias_out.json track_by_element 'bottom track (all)' (R73.3)</t>
  </si>
  <si>
    <t xml:space="preserve">Parapet bottom track</t>
  </si>
  <si>
    <t xml:space="preserve">Bottom track - other framing (not a partition type, see source)</t>
  </si>
  <si>
    <t xml:space="preserve">Bottom track 3-5/8"</t>
  </si>
  <si>
    <t xml:space="preserve">Bottom track - roof step and heads (vestibule / bulkhead)</t>
  </si>
  <si>
    <t xml:space="preserve">Bottom track 1-5/8"</t>
  </si>
  <si>
    <t xml:space="preserve">Top / deflection track 6"</t>
  </si>
  <si>
    <t xml:space="preserve">familias_out.json track_by_element 'top / deflection track (all)' (R73.3)</t>
  </si>
  <si>
    <t xml:space="preserve">Parapet top track</t>
  </si>
  <si>
    <t xml:space="preserve">Top / deflection track - other framing (not a partition type, see source)</t>
  </si>
  <si>
    <t xml:space="preserve">Top / deflection track 3-5/8"</t>
  </si>
  <si>
    <t xml:space="preserve">Top track - roof step and heads (vestibule / bulkhead)</t>
  </si>
  <si>
    <t xml:space="preserve">Top / deflection track 1-5/8"</t>
  </si>
  <si>
    <t xml:space="preserve">Exterior sheathing 5/8" FRT plywood bonded to polyiso (nailbase)</t>
  </si>
  <si>
    <t xml:space="preserve">4x12 ft sheet (Inputs)</t>
  </si>
  <si>
    <t xml:space="preserve">familias_out.json FRT plywood by material; canon rows</t>
  </si>
  <si>
    <t xml:space="preserve">FRT plywood substrate (3/4 in.)</t>
  </si>
  <si>
    <t xml:space="preserve">FRT plywood substrate (5/8 in.)</t>
  </si>
  <si>
    <t xml:space="preserve">5/8" FRT plywood sheathing (canopy and soffits)</t>
  </si>
  <si>
    <t xml:space="preserve">Sealant at base of gypsum (exterior, not acoustical)</t>
  </si>
  <si>
    <t xml:space="preserve">familias_out.json acoustical sealant rows 'base of gypsum (exterior)'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</si>
  <si>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</si>
  <si>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</si>
  <si>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</si>
  <si>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</si>
  <si>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2/S5.20 HEAD TRACK @ NON LOAD BRG: ADD FULL LENGTH ADDL HEAD TRACK @ OPNG &gt; 4'-0"; 9/S5.20 HEAD TRACK (DOUBLE TRACK @ OPNG &gt; 4'-0");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</si>
  <si>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</si>
  <si>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</si>
  <si>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6/S5.20; M01.01; 6/S5.20; M01.01 p.76, mep.cruces over A02.01 bands (registro dx -571.92 dy 21.84); 6/S5.20; 6/S5.20; manual sweep of M01.01 over the registered A02.01 bands (same registro); 6/S5.20; 6/S5.20; P01.02 p.92 / P01.01 p.91 place</t>
  </si>
  <si>
    <t xml:space="preserve">Extra framing - sistered stud and furring at the ATM recess</t>
  </si>
  <si>
    <t xml:space="preserve">accesorios.py [CRITERION]: 6/A08.11</t>
  </si>
  <si>
    <t xml:space="preserve">2-1/2" CFMF @ 16" O.C. at coiling grille head (4/A08.21)</t>
  </si>
  <si>
    <t xml:space="preserve">accesorios.py [DERIVED]: 4/A08.21 '6" CFMF BOX BEAM HEADER' x2, '2 1/2" CFMF @ 16" O.C.', '5/8" GYP. BD., TYP.'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</si>
  <si>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</si>
  <si>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</si>
  <si>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</si>
  <si>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A-D/A08.01 '5'-0" TO TOP OF FRP' measured from top of the 6" cove base (the 6" dimension sits below it) - 53.9.1; WC-3 FIBER REINFORCED PLASTIC PANEL (A00.40 / A08.01 finish schedule); 1/A08.01 room polygon: rectangle with one step at the l</t>
  </si>
  <si>
    <t xml:space="preserve">Power-driven fasteners and duct sleeves</t>
  </si>
  <si>
    <t xml:space="preserve">accesorios.py [DERIVED]: 11/S5.10 PARAPET INFILL FRAMING: PAFs SPACED AT 12" O.C. MAX.; M01.01; M01.01 p.76, mep.cruces over A02.01 bands (registro dx -571.92 dy 21.84); 6/S5.20; manual sweep of M01.01 over the registered A02.01 bands (same registro); 6/S5.20</t>
  </si>
  <si>
    <t xml:space="preserve">Access panel 2' x 2'</t>
  </si>
  <si>
    <t xml:space="preserve">accesorios.py [CONFIRMED]: A04.01 key note 4</t>
  </si>
  <si>
    <t xml:space="preserve">Drywall screws 1-1/4" bugle head</t>
  </si>
  <si>
    <t xml:space="preserve">accesorios.py [DERIVED]: Inputs!B20 (Drywall screws per SF of board = 1.2) x 18036 SF of board</t>
  </si>
  <si>
    <t xml:space="preserve">Framing screws, pan head self-drilling</t>
  </si>
  <si>
    <t xml:space="preserve">accesorios.py [DERIVED]: Inputs!B21 (Framing screws per stud piece = 4) x 1786 stud pieces</t>
  </si>
  <si>
    <t xml:space="preserve">Power-driven fasteners, slab pins for the bottom track</t>
  </si>
  <si>
    <t xml:space="preserve">accesorios.py [DERIVED]: 532.79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</si>
  <si>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</si>
  <si>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215.07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</si>
  <si>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</si>
  <si>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</si>
  <si>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</si>
  <si>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18036 SF of board</t>
  </si>
  <si>
    <t xml:space="preserve">Joint tape, paper</t>
  </si>
  <si>
    <t xml:space="preserve">accesorios.py [DERIVED]: Inputs!B24 (Joint tape (LF per SF) = 0.37) x 18036 SF of board</t>
  </si>
  <si>
    <t xml:space="preserve">Level 5 finish</t>
  </si>
  <si>
    <t xml:space="preserve">accesorios.py [CRITERION]: 1/A11.04; A00.40 WC-18 'WALL SURFACE TO BE LEVEL 5'; A05.01 WC-18 tag; 6/A11.01; A00.40 WC-18 'WALL SURFACE TO BE LEVEL 5'; A05.01 WC-18 tag; 5/A11.04; A00.40 WC-18 'WALL SURFACE TO BE LEVEL 5'; A05.01 WC-18 tag; 11/A11.04; A00.40 WC-18 'WA</t>
  </si>
  <si>
    <t xml:space="preserve">Deflection clips at non-load-bearing walls to structure</t>
  </si>
  <si>
    <t xml:space="preserve">accesorios.py [CRITERION]: S1.11 LIGHT GAUGE STEEL FRAMING note 2: PROVIDE MANUFACTURER'S STANDARD VERTICAL DEFLECTION CLIPS AT NON-LOAD-BEARING WALLS (max 1 inch movement); 1/A12.01, 3/A12.01, 4/A12.01, 8/A12.01, 9/A12.01 (CONTINUOUS / CONT. SLIP TRACK); 10/S5.10 an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</si>
  <si>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</si>
  <si>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</si>
  <si>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</si>
  <si>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</si>
  <si>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2/S5.20?</t>
  </si>
  <si>
    <t xml:space="preserve">106.3 lf</t>
  </si>
  <si>
    <t xml:space="preserve">RFI-ACC-stud-reinforcement-mep</t>
  </si>
  <si>
    <t xml:space="preserve">stud reinforcement MEP: plates at double-row stud walls: one per cut row (R72.9) vs one per crossing</t>
  </si>
  <si>
    <t xml:space="preserve">-9 pcs</t>
  </si>
  <si>
    <t xml:space="preserve">RFI-ACC-stud-reinforcement-mep-2</t>
  </si>
  <si>
    <t xml:space="preserve">stud reinforcement MEP: crossings read by hand (not found by mep.cruces): confirm each one on the M / P sheets (R73.5)</t>
  </si>
  <si>
    <t xml:space="preserve">35 pcs</t>
  </si>
  <si>
    <t xml:space="preserve">RFI-ACC-stud-reinforcement-mep-3</t>
  </si>
  <si>
    <t xml:space="preserve">stud reinforcement MEP: duct / fire damper openings listed outside the registered MEP sweep (R73.5)</t>
  </si>
  <si>
    <t xml:space="preserve">6 pcs</t>
  </si>
  <si>
    <t xml:space="preserve">RFI-ACC-extra-framing-atm</t>
  </si>
  <si>
    <t xml:space="preserve">extra framing ATM: ATM-DU: ATM recess not fully dimensioned (width CRITERION, sistered height DERIVED, furring rows CRITERION)</t>
  </si>
  <si>
    <t xml:space="preserve">-39.5 lf</t>
  </si>
  <si>
    <t xml:space="preserve">RFI-ACC-gypsum-board-jamb-return</t>
  </si>
  <si>
    <t xml:space="preserve">gypsum board jamb return: jamb return width not dimensioned</t>
  </si>
  <si>
    <t xml:space="preserve">-40.29 sf</t>
  </si>
  <si>
    <t xml:space="preserve">RFI-ACC-expansion-anchors</t>
  </si>
  <si>
    <t xml:space="preserve">expansion anchors: untagged parts of piers / boxes (AE-41, AE-42) without anchorage in the schedule (R72.8)</t>
  </si>
  <si>
    <t xml:space="preserve">9.91 pcs</t>
  </si>
  <si>
    <t xml:space="preserve">RFI-ACC-slab-pins</t>
  </si>
  <si>
    <t xml:space="preserve">slab pins: pin spacing: 12" (interior anchorage) vs 16" (fastener schedule) vs 24" (type K box)</t>
  </si>
  <si>
    <t xml:space="preserve">16in: -133.2 pcs; 24in: -266.4 pcs</t>
  </si>
  <si>
    <t xml:space="preserve">RFI-ACC-deflection-clips</t>
  </si>
  <si>
    <t xml:space="preserve">deflection clips: deflection clips: the general note asks for them at non-load-bearing walls and the partition details draw a slip / deflection track (R73.6)</t>
  </si>
  <si>
    <t xml:space="preserve">534 pcs</t>
  </si>
  <si>
    <t xml:space="preserve">A_CEIL-RFI-01</t>
  </si>
  <si>
    <t xml:space="preserve">Suspended GWB ceiling framing (Vestibule 100, 24 HR Vestibule 101, Waiting 104, Restrooms 113/114) [A04.01, A09.33]</t>
  </si>
  <si>
    <t xml:space="preserve">carrying E-W instead of N-S: furring -39.2 LF, carrying +6.7 LF, hangers +0 PCS (N-S: furring 807.6 / carrying 316.0 LF / 113 hangers; E-W: 768.4 / 322.7 / 113)</t>
  </si>
  <si>
    <t xml:space="preserve">A_CEIL-RFI-02</t>
  </si>
  <si>
    <t xml:space="preserve">B.O.D. of the zone between grids E and B [S2.20, H/A09.23, J/A09.23]</t>
  </si>
  <si>
    <t xml:space="preserve">if the E-B zone were at 13'-0 5/8": transition vertical studs -2.323 ft each (AC-07..09 are in F-B), CSR soffit sides north part 7.375 -&gt; 5.052 ft (AC-10, AC-12)</t>
  </si>
  <si>
    <t xml:space="preserve">A_CEIL-RFI-03</t>
  </si>
  <si>
    <t xml:space="preserve">Ceiling transition vertical studs O.C. (7/A09.33) [7/A09.33, 8/A09.33]</t>
  </si>
  <si>
    <t xml:space="preserve">@ 48" instead of 16": N edge 14 -&gt; 6 studs, W and E edges 24 -&gt; 9 studs each = -38 studs x 4.375 ft = -166.25 LF 3-5/8"</t>
  </si>
  <si>
    <t xml:space="preserve">A_CEIL-RFI-04</t>
  </si>
  <si>
    <t xml:space="preserve">Trim per LF of ceiling transition [7/A09.33]</t>
  </si>
  <si>
    <t xml:space="preserve">2 LF per LF (8/A09.33): -154.05 LF metal trim (77.027 LF x 2)</t>
  </si>
  <si>
    <t xml:space="preserve">A_CEIL-RFI-05</t>
  </si>
  <si>
    <t xml:space="preserve">CSR soffit side condition (10/A09.33 vs 9/A12.08) [10/A09.33, 9/A12.08, 4/A12.08]</t>
  </si>
  <si>
    <t xml:space="preserve">if one side is board to deck: + (B.O.D. - 9.5) x 12.021 ft = +70.3 SF (HI part 6.44 ft x 5.875) / +26.9 SF (LOW part 5.573 x 3.552) on that side</t>
  </si>
  <si>
    <t xml:space="preserve">A_CEIL-RFI-06</t>
  </si>
  <si>
    <t xml:space="preserve">Restroom ceilings B.O.D. (sloped zone) [S2.20]</t>
  </si>
  <si>
    <t xml:space="preserve">low end 12'-6 3/8": drop 4.031 ft (-0.521 ft per hanger)</t>
  </si>
  <si>
    <t xml:space="preserve">RFI-C01</t>
  </si>
  <si>
    <t xml:space="preserve">Exterior stud gauge / spacing [S1.11; 7/S5.20] Carried: S1.11 (more material, 56.2): 54 mil and corner zones @ 12".</t>
  </si>
  <si>
    <t xml:space="preserve">corner zones: per 6 ft zone ROUNDUP(6/1)+... vs ROUNDUP(6/1.333): about 1-2 extra studs per 6 ft zone per wall end at a building corner; gauge 54 vs 33 mil</t>
  </si>
  <si>
    <t xml:space="preserve">RFI-C02</t>
  </si>
  <si>
    <t xml:space="preserve">A1K / A5K stud spacing and gauge [4/A12.01; 7/S5.20] Carried: @ 16" O.C. (more studs), 14 ga per detail.</t>
  </si>
  <si>
    <t xml:space="preserve">per A1K wall: ROUNDUP(L/1.333)+1 vs ROUNDUP(L/2)+1 studs</t>
  </si>
  <si>
    <t xml:space="preserve">RFI-C03</t>
  </si>
  <si>
    <t xml:space="preserve">Interior 6" and 1 5/8" stud members not scheduled [7/S5.20; A12.01] Carried: 33 mil, @ 16" O.C..</t>
  </si>
  <si>
    <t xml:space="preserve">gauge only (no LF change)</t>
  </si>
  <si>
    <t xml:space="preserve">RFI-C04</t>
  </si>
  <si>
    <t xml:space="preserve">Canopy B.O.D. typo [S2.20; J/A09.23] Carried: 11'-9".</t>
  </si>
  <si>
    <t xml:space="preserve">no interior wall in the canopy zone</t>
  </si>
  <si>
    <t xml:space="preserve">RFI-C05</t>
  </si>
  <si>
    <t xml:space="preserve">Bottom track slab pin spacing [7/S5.20; 3/S5.20; 4/A12.01] Carried: 12" (tightest, estimator criterion).</t>
  </si>
  <si>
    <t xml:space="preserve">pins = LF/1.0 vs LF/1.333 vs LF/2.0</t>
  </si>
  <si>
    <t xml:space="preserve">RFI-C06</t>
  </si>
  <si>
    <t xml:space="preserve">C1 furring top termination [6/A12.01] Carried: to structure.</t>
  </si>
  <si>
    <t xml:space="preserve">per C1 wall: L x (H_structure - (ceiling + 0.5)) SF board and stud LF</t>
  </si>
  <si>
    <t xml:space="preserve">RFI-C07</t>
  </si>
  <si>
    <t xml:space="preserve">B2K type not in partition schedule [A02.01 legend; A12.01] Carried: B2 framing + 4/A12.01 ballistic layer on the customer face.</t>
  </si>
  <si>
    <t xml:space="preserve">ballistic + 3/8" SF of the B2K wall</t>
  </si>
  <si>
    <t xml:space="preserve">RFI-C08</t>
  </si>
  <si>
    <t xml:space="preserve">Board sheet length not printed [4/S5.20] Carried: 12 ft.</t>
  </si>
  <si>
    <t xml:space="preserve">stud blocking at board edge only on faces &gt; sheet length (56.8 / 59.14)</t>
  </si>
  <si>
    <t xml:space="preserve">RFI-C09</t>
  </si>
  <si>
    <t xml:space="preserve">Suspended gyp board ceiling framing spacing not detailed [A04.01 legend; A09.33] Carried: 16 / 48 / 48.</t>
  </si>
  <si>
    <t xml:space="preserve">per GB ceiling: carrying (ROUNDUP((w-1)/4)+1) x L</t>
  </si>
  <si>
    <t xml:space="preserve">RFI-C10</t>
  </si>
  <si>
    <t xml:space="preserve">Level 5 for WC-20 [A05.01; A00.40] Carried: level5_tags WC-18, WC-22 and WC-20 (WC-20 on the F wall vestibule face, 168.03 SF; see RFI-ACC-06).</t>
  </si>
  <si>
    <t xml:space="preserve">-168.033 SF Level 5 if WC-20 is not Level 5 (same as RFI-ACC-06)</t>
  </si>
  <si>
    <t xml:space="preserve">RFI-C13</t>
  </si>
  <si>
    <t xml:space="preserve">G thickness drawn vs scheduled [5/A12.01; 9/A12.01] Carried: schedule 6 1/8" for type identification.</t>
  </si>
  <si>
    <t xml:space="preserve">none on LF/SF</t>
  </si>
  <si>
    <t xml:space="preserve">RFI-C14</t>
  </si>
  <si>
    <t xml:space="preserve">@ LOW ROOF label inside the F-B zone [S2.20; J/A09.23] Carried: HI zone F to B at 15'-4 1/2" (J/A09.23 T/STEEL 15'-4 1/2").</t>
  </si>
  <si>
    <t xml:space="preserve">if E-B were low: 15.375 - 13.0521 = 2.32 ft per stud in walls between E and B</t>
  </si>
  <si>
    <t xml:space="preserve">RFI-AE-01</t>
  </si>
  <si>
    <t xml:space="preserve">Elevation titles vs north arrow (R71.1) [A02.01 north arrow; 1/A09.01; 2/A09.02]</t>
  </si>
  <si>
    <t xml:space="preserve">0 (lettering only)</t>
  </si>
  <si>
    <t xml:space="preserve">RFI-AE-02</t>
  </si>
  <si>
    <t xml:space="preserve">Canopy beams in the stud plane [C/A09.21; D/A09.22; H/A09.23; J/A09.23; S2.20]</t>
  </si>
  <si>
    <t xml:space="preserve">if interrupted: about -189 LF 6" stud (AE-01 -12.2, AE-02 -57.0, AE-05 -36.6, AE-08 -31.4, AE-07 -5.1, AE-31 -27.5, AE-32 -11.2, AE-33 -7.8: studs crossing x beam d), +307 LF 6" track (2 x 153.68 LF of affected wall: 12.64 + 48.05 + 22.93 + 21.72 + 3.03 + 26.25 + 12.56 + 6.50), about -154 LF C.R. bracing (HI walls 3 -&gt; 2 rows, cripple runs 1 -&gt; 0)</t>
  </si>
  <si>
    <t xml:space="preserve">RFI-AE-04</t>
  </si>
  <si>
    <t xml:space="preserve">Low roof slope (13'-0 5/8" at B to 12'-6 3/8" at A) on grids 3 and 8 [S2.20]</t>
  </si>
  <si>
    <t xml:space="preserve">parapet +0.521 ft / wall -0.521 ft at the A end (net 0)</t>
  </si>
  <si>
    <t xml:space="preserve">RFI-AE-05</t>
  </si>
  <si>
    <t xml:space="preserve">Canopy column wrap studs [5/A09.25]</t>
  </si>
  <si>
    <t xml:space="preserve">-2 studs x 10.5 ft x 4 wraps = -84 LF 3-5/8" if studs_drawn governs</t>
  </si>
  <si>
    <t xml:space="preserve">RFI-AE-06</t>
  </si>
  <si>
    <t xml:space="preserve">Canopy band glass-mat height [7/A09.26]</t>
  </si>
  <si>
    <t xml:space="preserve">-0.115 ft x band LF (10'-8 5/8") ; drawn extent -0.66 ft x band LF</t>
  </si>
  <si>
    <t xml:space="preserve">RFI-AE-07</t>
  </si>
  <si>
    <t xml:space="preserve">Storefront cripple height [2/A09.26; S2.20]</t>
  </si>
  <si>
    <t xml:space="preserve">SF-F +0.46 ft x 21 studs if W12x19 instead of W18x35</t>
  </si>
  <si>
    <t xml:space="preserve">RFI-AE-08</t>
  </si>
  <si>
    <t xml:space="preserve">Window jamb return [11/A09.27; 3/A09.25]</t>
  </si>
  <si>
    <t xml:space="preserve">jamb edges 6 windows x 2 x 2.0 ft = 24 LF of return</t>
  </si>
  <si>
    <t xml:space="preserve">RFI-AE-09</t>
  </si>
  <si>
    <t xml:space="preserve">Grille head length [1/A08.21]</t>
  </si>
  <si>
    <t xml:space="preserve">-0.917 ft x 2 box + studs</t>
  </si>
  <si>
    <t xml:space="preserve">RFI-AE-10</t>
  </si>
  <si>
    <t xml:space="preserve">Vestibule head stud size and height [A12.10; A04.01]</t>
  </si>
  <si>
    <t xml:space="preserve">if 6": same LF in 6" family</t>
  </si>
  <si>
    <t xml:space="preserve">RFI-AE-11</t>
  </si>
  <si>
    <t xml:space="preserve">Studs @12" within 6 ft of building corners [S1.11]</t>
  </si>
  <si>
    <t xml:space="preserve">AE-05 top 6 ft @12": +1 to +2 studs x 14.36 ft</t>
  </si>
  <si>
    <t xml:space="preserve">RFI-AE-12</t>
  </si>
  <si>
    <t xml:space="preserve">Roof step rows heights scaled [4/A02.02]</t>
  </si>
  <si>
    <t xml:space="preserve">+/- 1" per row x 39 studs</t>
  </si>
  <si>
    <t xml:space="preserve">A_FO-RFI-01</t>
  </si>
  <si>
    <t xml:space="preserve">Luminaire schedule R-11C/R-11CE: description '12' LINEAR GYP' vs catalog FSM2L ...-20'-0". RCP draws R-11 (12') = 215.88 pt / 18 = 12.0 ft. Carried 12'-0" (60.9). Confirm. [E00.01; A04.01]</t>
  </si>
  <si>
    <t xml:space="preserve">64.0</t>
  </si>
  <si>
    <t xml:space="preserve">A_FO-RFI-02</t>
  </si>
  <si>
    <t xml:space="preserve">Framed opening width for Focal Point FSM2L trimless slot not printed. Carried the drawn opening between stud faces in 6/A09.33 = 104.04 pt / 36 pt/in = 2.89 in (scale validated vs printed 4 1/2" = 162.0 pt; detail label '6" = 1'-0"' does not match). Alternate: fixture housing 95.04 pt = 2.64 in. Provide cutsheet. [6/A09.33; E00.01]</t>
  </si>
  <si>
    <t xml:space="preserve">-0.25</t>
  </si>
  <si>
    <t xml:space="preserve">A_FO-RFI-03</t>
  </si>
  <si>
    <t xml:space="preserve">Canopy linear fixture opening 'COORD. W/ FIXTURE CUTSHEET' (4/A09.33). Carried drawn opening 156.84 pt / 36 pt/in = 4.36 in (scale validated vs 3 5/8" CFMF = 130.56 pt); catalog code LSR-WET-2.5 suggests 2.5 in. [4/A09.33; E00.01]</t>
  </si>
  <si>
    <t xml:space="preserve">-6.51</t>
  </si>
  <si>
    <t xml:space="preserve">A_FO-RFI-04</t>
  </si>
  <si>
    <t xml:space="preserve">Canopy soffits are 5/8" cement plaster on 5/8" exterior sheathing on 3 5/8" CFMF @ 16" O.C. (not GWB). Included per 54.1 (recessed fixture in CFMF canopy). Canon to confirm the family placement. [4/A09.33; 5/A09.33; 3/A09.26; A04.01]</t>
  </si>
  <si>
    <t xml:space="preserve">-701.27</t>
  </si>
  <si>
    <t xml:space="preserve">A_FO-RFI-05</t>
  </si>
  <si>
    <t xml:space="preserve">Slot diffuser size 'SEE DRAWING'. Carried drawn outer box 11.52 pt / 18 = 7.68 in wide x inner slot length (4'-0" / 2'-0"). Alternate inner width 6.48 pt = 4.32 in. [M00.03 GRD schedule; M01.01]</t>
  </si>
  <si>
    <t xml:space="preserve">-8.96</t>
  </si>
  <si>
    <t xml:space="preserve">A_FO-RFI-06</t>
  </si>
  <si>
    <t xml:space="preserve">Vestibule SD rows are 3 abutting 4'-0" sections (outer boxes touch). Carried one opening per section (58.5). Alternate: 4 continuous 12'-0" runs. [M01.01; 58.5]</t>
  </si>
  <si>
    <t xml:space="preserve">-10.24</t>
  </si>
  <si>
    <t xml:space="preserve">A_FO-RFI-07</t>
  </si>
  <si>
    <t xml:space="preserve">M00.01 requires access panels for all equipment/dampers above inaccessible ceilings; P00.01 'access panels are required - coordinate with architect'. Only one is located (A04.01 KN4, 2'x2' in Vestibule 100). M01.01 shows FCU-1/FCU-2/EDH-1/EDH-2 above ACT. Confirm no other panels in GB ceilings. [M00.01 general note; P00.01 note; A04.01 key note 4]</t>
  </si>
  <si>
    <t xml:space="preserve">8.0</t>
  </si>
  <si>
    <t xml:space="preserve">A_FO-RFI-08</t>
  </si>
  <si>
    <t xml:space="preserve">Recessed items with no printed width. Carried 0. If wider than 14 3/8" stud bay they need header + sill track (58.4) at 2'-0" default + 2 x 1'-4". [A08.01; A00.40; E02.02]</t>
  </si>
  <si>
    <t xml:space="preserve">74.64</t>
  </si>
  <si>
    <t xml:space="preserve">A_FO-RFI-09</t>
  </si>
  <si>
    <t xml:space="preserve">Recessed wall hydrant and ice maker box: size not printed; expected within stud bay. Confirm. [P00.01; P01.02]</t>
  </si>
  <si>
    <t xml:space="preserve">27.99</t>
  </si>
  <si>
    <t xml:space="preserve">A_INT_N-RFI-01</t>
  </si>
  <si>
    <t xml:space="preserve">door bulkhead ends at the office-front stubs (R71.16) [10/A12.01, 8/A12.01, R71.16] Carried: abut (0): the closing stud of 10/A12.01 is in the stub (vendor_end +1 total on the stub).</t>
  </si>
  <si>
    <t xml:space="preserve">+12 pcs 1-5/8" (6 bulkheads x 2 ends) x bulkhead stud height (6.18-6.34 ft under beam, 7.33 ft to deck) = +74 to +88 LF</t>
  </si>
  <si>
    <t xml:space="preserve">A_INT_N-RFI-02</t>
  </si>
  <si>
    <t xml:space="preserve">exterior walls / SF-W2 head at grids 2 and 3: two parallel beams 'W12x19 (HI)' and 'W16x26 (CANOPY)' [S2.20; beams-over-walls tool candidates] Carried: W12x19 (HI) d 1.017 ft (beam in the stud plane, C/A09.21, F/A09.22).</t>
  </si>
  <si>
    <t xml:space="preserve">-0.291 ft per stud on AE-05 (23.0 ft), AE-08 (21.7 ft) and AE-33 cripples</t>
  </si>
  <si>
    <t xml:space="preserve">A_INT_N-RFI-03</t>
  </si>
  <si>
    <t xml:space="preserve">A3-07 stub crosses grid E column: W12x14 north / W14x30 south [S2.20] Carried: W14x30 (tool).</t>
  </si>
  <si>
    <t xml:space="preserve">+0.158 ft x 2 studs x 2 rows = +0.63 LF 1-5/8"</t>
  </si>
  <si>
    <t xml:space="preserve">A_INT_N-RFI-04</t>
  </si>
  <si>
    <t xml:space="preserve">Waiting 104 GB transitions AC-08 / AC-09 under W12x14 / W14x30 [S2.20, A04.01, 7/A09.33] Carried: AC-08 to deck (beam over 16.29 of 30 ft only); AC-09 under W12x14 for the whole run.</t>
  </si>
  <si>
    <t xml:space="preserve">AC-08: -0.992 ft x ~13 verticals; AC-09: -0.158 ft x ~10 verticals</t>
  </si>
  <si>
    <t xml:space="preserve">A_INT_N-RFI-05</t>
  </si>
  <si>
    <t xml:space="preserve">walls only partly under an infill beam (A2-04, A2-05, A3-01, A3-10, A3-11) [S2.20, beams-over-walls tool covered_ft] Carried: full height to deck (stops false).</t>
  </si>
  <si>
    <t xml:space="preserve">A2-04: 5 studs x 0.657 = -3.29 LF if the studs under the 5.287 ft beam segment stop under it; A2-05: 5 studs x 1.142 = -5.71 LF if the studs under the 5.287 ft beam segment stop under it; A3-01: 8 studs x 0.657 = -5.26 LF if the studs under the 3.354 ft beam segment stop under it; A3-10: 14 studs x 0.657 = -9.2 LF if the studs under the 6.835 ft beam segment stop under it; A3-11: 8 studs x 0.657 = -5.26 LF if the studs under the 3.36 ft beam segment stop under it</t>
  </si>
  <si>
    <t xml:space="preserve">A_INT_N-RFI-06</t>
  </si>
  <si>
    <t xml:space="preserve">MEP crossings not seen by mep.cruces (manual) - outside the stud-reinforcement family (R73.5) [M01.01, 6/S5.20] Carried: 0 plates.</t>
  </si>
  <si>
    <t xml:space="preserve">+26 plates (19 manual duct crossings: A2-10 12in, A3-01 8in, A3-17 8in, A3-17 8in, A3-18 8in, A3-19 8in, A1-05 14in, A1-05 16in, A1-05 14in, A1-06 16in, A1-17 8in, A1-16 10in, A2-16 10in, A3-04 10in, A1-04 10in, A2-07 14in, A3-14 8in, A1-20 10in, A2-04 6in)</t>
  </si>
  <si>
    <t xml:space="preserve">A_INT_N-RFI-07</t>
  </si>
  <si>
    <t xml:space="preserve">pipes &gt; 1" crossing studs (1-1/2" CW, 3" / 2" storm above grade) [P01.01, P01.02, 6/S5.20] Carried: 0 plates (R73.5).</t>
  </si>
  <si>
    <t xml:space="preserve">+9 plates (A2-12 1.5in, A3-18 3.0in, A3-20 3.0in, A3-01 2.0in, A3-02 2.0in)</t>
  </si>
  <si>
    <t xml:space="preserve">A_INT_N-RFI-08</t>
  </si>
  <si>
    <t xml:space="preserve">3" ST drops (DN TO B/G) drawn inside G walls A3-11 (x~1102) and A3-03 (x~1639) [P01.01 p.91, 5/A12.01] Carried: no change (pipe drop not a crossing).</t>
  </si>
  <si>
    <t xml:space="preserve">not quantified (coordination)</t>
  </si>
  <si>
    <t xml:space="preserve">A_INT_N-RFI-09</t>
  </si>
  <si>
    <t xml:space="preserve">12"dia duct drawn along the A1-12 (A5) face and 10"x12" turning at the A1-12/A1-05/A1-08 node [M01.01] Carried: not counted (runs along the wall, no clear perpendicular crossing).</t>
  </si>
  <si>
    <t xml:space="preserve">+1 plate</t>
  </si>
  <si>
    <t xml:space="preserve">RFI-OPEN-01</t>
  </si>
  <si>
    <t xml:space="preserve">A00.30 lists door 103 HEIGHT 13'-6 1/2" (WIDTH 'SEE PLAN'); 4/A08.21 + A04.01 give the grille head at 10'-0" (lower box beam flush with the GB 10'-0" vestibule ceiling, 1'-6" to the ACT-4 11'-6" central zone ceiling). Read 13'-6 1/2" as a schedule error (13'-4" R.O. is the width). [A00.30; 4/A08.21; A04.01]</t>
  </si>
  <si>
    <t xml:space="preserve">header LF 0 (headers depend on R.O. width 13'-4"); grille head framing height per 4/A08.21 chain</t>
  </si>
  <si>
    <t xml:space="preserve">RFI-OPEN-02</t>
  </si>
  <si>
    <t xml:space="preserve">R.O. width 2'-2 1/2" (7/A08.11 plan) vs 2'-2 1/8" (26.4") R.O. (5/A08.11 elevation). Carried 2'-2 1/2" (larger, 53.3). [7/A08.11; 5/A08.11]</t>
  </si>
  <si>
    <t xml:space="preserve">header (0.0313 x 4 pcs) = -0.13 LF; sill -0.03 LF if 2'-2 1/8"</t>
  </si>
  <si>
    <t xml:space="preserve">RFI-OPEN-03</t>
  </si>
  <si>
    <t xml:space="preserve">R.O. sill 2'-8 1/8" is dimensioned ABOVE FINISHED DRIVE LANE (6/A08.11); the slab-to-drive-lane offset, the sistered 2 1/2" stud height and the furring rows are not dimensioned. atm_recess CRITERION with alternatives. [6/A08.11]</t>
  </si>
  <si>
    <t xml:space="preserve">see atm_recess.alternativas (accesorios RFI per alternative)</t>
  </si>
  <si>
    <t xml:space="preserve">RFI-OPEN-04</t>
  </si>
  <si>
    <t xml:space="preserve">CONT. BOX BEAM (9/A12.01, 8/A12.01) run ends not drawn: carried wall_to_wall (53.3); alternative jamb_to_jamb (first to last jamb). [A02.01; 9/A12.01]</t>
  </si>
  <si>
    <t xml:space="preserve">OF-E: (39.9733 - 43.3667) x 4 = -13.57 LF; OF-W: (18.5067 - 21.56) x 4 = -12.21 LF if jamb_to_jamb</t>
  </si>
  <si>
    <t xml:space="preserve">RFI-OPEN-05</t>
  </si>
  <si>
    <t xml:space="preserve">'METAL STUD FRAMING &amp; BOX HEADER AS NEEDED' (4-7/A12.10): counted as a 4-piece box (E11, E20); box size / stud size not printed. [4/A12.10; 5/A12.10; 6/A12.10; 7/A12.10]</t>
  </si>
  <si>
    <t xml:space="preserve">if not required: VB-101 -(15.6458 + 1.3333) x 4 = -67.92 LF; VB-100A -(6.4167 + 1.3333) x 4 = -31.0 LF</t>
  </si>
  <si>
    <t xml:space="preserve">RFI-OPEN-06</t>
  </si>
  <si>
    <t xml:space="preserve">No wall section is cut on the 26'-3" north storefront: head (steel header, T/OPENING 8'-6") and GYPSUM BOARD JAMB RETURN taken from 2/A09.26 by similarity (same HSS9x5x5/8 LLV lintel, S2.20) and A09.01 T/GLAZING 8'-6". [2/A09.26; S2.20; A09.01]</t>
  </si>
  <si>
    <t xml:space="preserve">jamb return edges: 26.25 + 1 x 8.5 = 34.75 LF of edge if no gypsum return</t>
  </si>
  <si>
    <t xml:space="preserve">RFI-OPEN-07</t>
  </si>
  <si>
    <t xml:space="preserve">12'-0 1/4" R.O. HOLD (1/A12.08) with a 3 5/8" stud soffit (9/A12.08, GB 8'-0" on 4/A12.08): no header / box beam called. 0 LF header (R71.10). [1/A12.08; 9/A12.08; 4/A12.08]</t>
  </si>
  <si>
    <t xml:space="preserve">+(12.0208 + 1.3333) x 4 = +53.42 LF if a 4-piece box beam is required</t>
  </si>
  <si>
    <t xml:space="preserve">RFI-OPEN-08</t>
  </si>
  <si>
    <t xml:space="preserve">A09.01 lower elevation titled SOUTH ELEVATION shows the north face (grid 8 at left, entrance vestibule) and A09.02 upper elevation titled NORTH ELEVATION shows the south face (door 123); the A02.01 north arrow (up) governs (R71.1). [A02.01 north arrow; A09.01; A09.02]</t>
  </si>
  <si>
    <t xml:space="preserve">0 (naming only)</t>
  </si>
  <si>
    <t xml:space="preserve">RFI-OPEN-09</t>
  </si>
  <si>
    <t xml:space="preserve">Locations registered from M01.01 by grid bubbles (+/-15 pt); S-2 12x8 / 12x12 fall at doors 120 / 121 in plan (sidewall registers above the doors). NOT_FRAMED (E12). [M01.01]</t>
  </si>
  <si>
    <t xml:space="preserve">0 LF header / sill (E12); reinforcement plates per accesorios</t>
  </si>
  <si>
    <t xml:space="preserve">RFI-OPEN-10</t>
  </si>
  <si>
    <t xml:space="preserve">Doors inside storefront / glass / office front assemblies carried with the assembly header (HSS, box header as needed, CONT. box beam), not individually. [A00.30; 1/A12.10; 8/A12.01]</t>
  </si>
  <si>
    <t xml:space="preserve">0 (no separate header drawn)</t>
  </si>
  <si>
    <t xml:space="preserve">RFI-OPEN-11</t>
  </si>
  <si>
    <t xml:space="preserve">Door R.O. head not printed (except 123: HEAD ELEV. 8'-2" on 14/A09.27): carried door height + 2" HM frame head (door type 2" HOLLOW METAL FRAME); confirmed by 14/A09.27 for the 8'-0" door. [A00.30; 14/A09.27]</t>
  </si>
  <si>
    <t xml:space="preserve">0 LF header (header LF depends on width)</t>
  </si>
  <si>
    <t xml:space="preserve">RFI-OPEN-12</t>
  </si>
  <si>
    <t xml:space="preserve">Storefront jamb against the 6" CFMF exterior wall: no plan detail is cut; carried abuts 'wall' (gypsum wraps per 3/A09.25 window jamb). [A02.01; 3/A09.25]</t>
  </si>
  <si>
    <t xml:space="preserve">-8.5 LF of jamb-return edge each if the jamb is frame / no gypsum</t>
  </si>
  <si>
    <t xml:space="preserve">RFI-OPEN-13</t>
  </si>
  <si>
    <t xml:space="preserve">7/S5.20 has no NON LOAD BRG EXTERIOR row; all exterior openings use the box beams their details call (14/A09.27, 11/A09.27, 6/A08.11) or HSS (S2.20). [7/S5.20]</t>
  </si>
  <si>
    <t xml:space="preserve">0</t>
  </si>
  <si>
    <t xml:space="preserve">RFI-INTF-03</t>
  </si>
  <si>
    <t xml:space="preserve">A_W3 carried jamb_to_jamb (39.973 / 18.507), A_OPEN wall_to_wall with the far face of B2K (43.3667) and vertical coord  1228.08 (21.56). Resolved on A02.01 (img A_INT_F/office_fronts_runs.png): wall_to_wall to the near faces = 42.7267 / 21.5067 (53.3: ends not drawn, more material). [A02.01; 8/A12.01; 9/A12.01]</t>
  </si>
  <si>
    <t xml:space="preserve">jamb_to_jamb: OF-E (39.9733 - 42.7267) x 4 = -11.01 LF; OF-W (18.5067 - 21.5067) x 4 = -12.0 LF of box beam</t>
  </si>
  <si>
    <t xml:space="preserve">RFI-A_W1-01</t>
  </si>
  <si>
    <t xml:space="preserve">A1-14 tag 'B2K' (PC0011) is not in the A12.01 partition schedule [A02.01 / 4/A12.01 / 1/A12.01] Carried: B2K with 6" 14 GA studs @ 24" O.C. and K construction of 4/A12.01 (composition by layer arithmetic: 6" + 5/8" + 3/8" panel + 5/8" = 7 5/8" = measured 7.68")..</t>
  </si>
  <si>
    <t xml:space="preserve">LF identical (1.72 ft). Framing: 14 GA @ 24" -&gt; ROUNDUP(1.72/2)+1 = 2 studs vs @ 16" -&gt; ROUNDUP(1.72/1.333)+1 = 3 studs (+1 6" stud, gauge change). Board: B-family detail 1/A12.01 vs K detail 4/A12.01 (panel to 8'-0" + 3/8" GB to structure).</t>
  </si>
  <si>
    <t xml:space="preserve">RFI-A_W1-02</t>
  </si>
  <si>
    <t xml:space="preserve">Ballistic panel face on the wing walls A1-14 (B2K) and A1-17 (A1K) that flank the teller queue west of the counter line x=1653.96 [4/A12.01 TELLER SIDE / CUSTOMER SIDE; A02.01 hatch fills the full wall thickness (no side shown)]</t>
  </si>
  <si>
    <t xml:space="preserve">0 LF of panel and board; changes which face receives 5/8" over panel and the jog faces (J-N, J-S would carry the panel on their west faces, same length).</t>
  </si>
  <si>
    <t xml:space="preserve">RFI-A_W1-03</t>
  </si>
  <si>
    <t xml:space="preserve">A1-16 (A1K, PT0012) length: no printed dimension; hatch extent 3.333 ft vs printed 3'-5" (3.4167 ft) on its twin A1-15 [A02.01]</t>
  </si>
  <si>
    <t xml:space="preserve">+0.0833 ft (+1") of A1K, panel and board</t>
  </si>
  <si>
    <t xml:space="preserve">RFI-A_W1-04</t>
  </si>
  <si>
    <t xml:space="preserve">A5 (6") interior stud gauge: 7/S5.20 lists 362S137-33 for INTERIOR WALLS and 600S137-33 only for EXTERIOR WALLS [7/S5.20, 3/A12.01]</t>
  </si>
  <si>
    <t xml:space="preserve">no LF/count change (A1-10, A1-11, A1-12, A1-13 = 42.63 ft); price per stud only</t>
  </si>
  <si>
    <t xml:space="preserve">RFI-A_W1-05</t>
  </si>
  <si>
    <t xml:space="preserve">Drinking fountain alcove off Corridor 111 (A1-18/19/20): untagged 4 7/8" walls inside the B2 line x=1123.08-1133.88 (niche R74.3); default type A1 (key note A) since the thickness does not match B2 (7 1/4") [A02.01 (1'-10 3/4"), A/A02.01 key note]</t>
  </si>
  <si>
    <t xml:space="preserve">+0.60 ft per return (+1.20 ft total A1) for the second option; type B2 would move 7.48 ft from A1 to B2.</t>
  </si>
  <si>
    <t xml:space="preserve">RFI-A_W1-06</t>
  </si>
  <si>
    <t xml:space="preserve">3.28" strip (vertical coord =1115.76-1120.68, x=1661.76-1715.4) between G wall PT0046 and A1K A1-15 matches no partition type [A02.01]</t>
  </si>
  <si>
    <t xml:space="preserve">0 to 2.98 ft of extra framing</t>
  </si>
  <si>
    <t xml:space="preserve">RFI-INTF-02</t>
  </si>
  <si>
    <t xml:space="preserve">Split at vertical coord  1244.4 (grid B, S2.20 roof step): north part HI 15'-4 1/2", south part LOW (59.13 at its north end). A2-07N is 0.4467 ft, A1-12 north part 0.8533 ft. [S2.20; A02.01]</t>
  </si>
  <si>
    <t xml:space="preserve">single height at the HI value: + (15.375 - LOW h) x studs of the south parts</t>
  </si>
  <si>
    <t xml:space="preserve">RFI-A_W2-01</t>
  </si>
  <si>
    <t xml:space="preserve">C1 partition (6/A12.01) shows BLOCK PARTITION + 3 5/8" studs + 5/8" gyp; A02.01 draws no block at any C1 tag (vestibule piers PT0030/PT0031, column box PT0032, F/B2 enclosure PT0033, monitor bump-out PT0034, plumbing chase PT0035/PT0037, FCAM furring PT0036). Carried: our scope = 3 5/8" studs + 5/8" gyp on the exposed face only; block = Div 04 / by others. If C1 means a two-sided stud partition, add a second gyp face on each C1 leg. [6/A12.01, A02.01]</t>
  </si>
  <si>
    <t xml:space="preserve">second face of board on C1 LF (chase faces 2 x 10.03 ft would face the cavity - no board expected)</t>
  </si>
  <si>
    <t xml:space="preserve">RFI-A_W2-02</t>
  </si>
  <si>
    <t xml:space="preserve">Vestibule corner piers PT0031 (A2-20) and PT0030 (A2-21): the N face (storefront line) and the W / E face (exterior line) are not drawn with C1 furring offset; carried C1 = interior faces only (4.01 ft and 3.69 ft). [A02.01, 2'-6 3/4" and 1'-11 3/4" printed]</t>
  </si>
  <si>
    <t xml:space="preserve">+4.54 ft (A2-20: 2.5625 + 1.9792) and +4.54 ft (A2-21: 2.5667 + 1.9733) if all four faces are C1; otherwise exterior system (other task)</t>
  </si>
  <si>
    <t xml:space="preserve">RFI-A_W2-03</t>
  </si>
  <si>
    <t xml:space="preserve">Column box PT0032 (A2-22, 1'-0" x 1'-0"): which faces are exposed (vestibule 100 / 101 / central zone) is not clear on A02.01; carried 4 faces. [A02.01]</t>
  </si>
  <si>
    <t xml:space="preserve">-2.0 ft if only two faces are finished</t>
  </si>
  <si>
    <t xml:space="preserve">RFI-A_W2-04</t>
  </si>
  <si>
    <t xml:space="preserve">Type change A5 (PT0017) / B2 (PT0027, PT0029) on the Break Room 118 / Work Room 119 line at door 116; carried B2 from the drawn node (A1 T at vertical coord  1488.12) = 11.41 ft. [A02.01, R75.5]</t>
  </si>
  <si>
    <t xml:space="preserve">+0.33 ft (from door jamb) or +3.67 ft (door 116 inside B2) moved from A5 to B2</t>
  </si>
  <si>
    <t xml:space="preserve">RFI-A_W2-05</t>
  </si>
  <si>
    <t xml:space="preserve">B2 wall PT0025 (A2-07) continues above the Women's Restroom north wall line to an end cap at vertical coord  1179.12 (3.17 ft beyond the restroom, overlapping lines of the wall above); carried the full drawn length 8.71 ft. [A02.01 vector]</t>
  </si>
  <si>
    <t xml:space="preserve">-3.17 ft if B2 stops at the restroom north wall face (5.54 ft)</t>
  </si>
  <si>
    <t xml:space="preserve">RFI-A_W2-06</t>
  </si>
  <si>
    <t xml:space="preserve">A08.01 enlarged restroom dimensions (6'-6 3/4", 5'-5 1/2", 5'-5 3/4", 11'-7 1/2") differ ~1" from A02.01 (6'-8", 5'-6 1/4" vector, 11'-8"); A08.01 plan is rotated 180 deg vs A02.01 (drinking fountains, janitor closet and exterior wall verified). Lengths carried from A02.01. [A08.01, A02.01]</t>
  </si>
  <si>
    <t xml:space="preserve">&lt; 0.1 ft per wall</t>
  </si>
  <si>
    <t xml:space="preserve">RFI-INTF-01</t>
  </si>
  <si>
    <t xml:space="preserve">A_W2 read A2-07 from vertical coord  1179.12, inside the G1 stub A3-15 and the G wall A3-12; carried from the A3-12 south face vertical coord  1236.36 (5.5333 ft vector). Printed 5'-6 1/2" (5.5417) beside it. [A02.01]</t>
  </si>
  <si>
    <t xml:space="preserve">-3.18 ft of B2 vs the A_W2 reading; +0.0083 ft if the printed 5'-6 1/2" governs</t>
  </si>
  <si>
    <t xml:space="preserve">A3-RFI-01</t>
  </si>
  <si>
    <t xml:space="preserve">5/A12.01 schedule gives stud size 1 5/8" but no O.C.; 8/9/10/A12.01 do not print spacing. [5/A12.01, 8/A12.01, 9/A12.01, 10/A12.01]</t>
  </si>
  <si>
    <t xml:space="preserve">24" O.C. on all G / G1 walls (A3-01..A3-15) and office bulkheads (A3-16..A3-21): 1-5/8" stud -921.39 LF (4020.86 -&gt; 3099.47), framing screws -296 (canon.py recomputed); 16" O.C. carried = 0</t>
  </si>
  <si>
    <t xml:space="preserve">A3-RFI-02</t>
  </si>
  <si>
    <t xml:space="preserve">8/A12.01 and 9/A12.01 call a CONT. BOX BEAM; no detail draws where it ends. Carried jamb-to-jamb continuous per front (E22, 4 pieces). [8/A12.01, 9/A12.01, 10/A12.01, A02.01]</t>
  </si>
  <si>
    <t xml:space="preserve">vs carried wall_to_wall (42.7267 / 21.5067): jamb_to_jamb -11.016 LF east, -12.0 LF west; per opening (30.0 / 15.0) -50.91 LF east, -26.03 LF west of box beam (4 pcs)</t>
  </si>
  <si>
    <t xml:space="preserve">A3-RFI-03</t>
  </si>
  <si>
    <t xml:space="preserve">7/A11.01 prints 8'-0 1/2" HOLD. TYP. FROM SLAB for Offices 105-108; 8/A11.01 prints 8'-0" CLEAR FINISHED OPENING for Offices 109-110 (no HOLD word). Carried 8'-0" west, 8'-0 1/2" east. [7/A11.01, 8/A11.01]</t>
  </si>
  <si>
    <t xml:space="preserve">8'-0 1/2" applied west: -0.042 ft x 15.0 LF x 2 faces = -1.25 SF board; 8'-0" carried = 0</t>
  </si>
  <si>
    <t xml:space="preserve">A3-RFI-04</t>
  </si>
  <si>
    <t xml:space="preserve">At the west front ends the G partition face runs through to the front outer face (vector), so G owns the corner and the front return is 4" (A3-13) / to the G face (A3-15). At the east bottom the B2K hatched wall runs to the front outer face, so A3-09 = printed 4" only. [A02.01 vector faces]</t>
  </si>
  <si>
    <t xml:space="preserve">front stub owns: G -0.707 ft x 2 (A3-10, A3-12) = -1.414 LF, G1 +0.514 +0.513 = +1.027 LF (+0.327 / +0.38 ft filler); A3-09 to B2K south face: +0.64 ft G, -0.64 ft B2K</t>
  </si>
  <si>
    <t xml:space="preserve">CONC-RFI-01</t>
  </si>
  <si>
    <t xml:space="preserve">Exterior 6" CFMF L of the NW storefront pier: part_of the C1 tagged box PT0031 (R72.3/R74.5), goes to OTHER FRAMING pier_part, not an EXT row. 1/A09.25 prints FOS chains, not stud leg lengths; readings differ. Carried max material (53.3) until estimator answers. [1/A09.25] Carried: 3.375 LF (larger figure, 53.3).</t>
  </si>
  <si>
    <t xml:space="preserve">0.125 LF of AE-41 if the smaller reading governs</t>
  </si>
  <si>
    <t xml:space="preserve">CONC-RFI-02</t>
  </si>
  <si>
    <t xml:space="preserve">NE storefront pier exterior L, part_of C1 PT0030 (R72.3). B excludes the 4" storefront frame zone (B RFI-BE-04). Carried max (A). [2/A09.25] Carried: 3.2292 LF (larger figure, 53.3).</t>
  </si>
  <si>
    <t xml:space="preserve">0.333 LF of AE-42 if the smaller reading governs</t>
  </si>
  <si>
    <t xml:space="preserve">CONC-RFI-03</t>
  </si>
  <si>
    <t xml:space="preserve">NE storefront pier C1 (PT0030). Revision paired A2-21 with the wrong pier; compared tag to tag. Which pier faces carry C1 is not dimensioned (2/A09.25 FOS only; A RFI-A_W2-02, B RFI-B_W2-04 full-perimeter alternatives). Carried max. [2/A09.25] Carried: 4.0367 LF (larger figure, 53.3).</t>
  </si>
  <si>
    <t xml:space="preserve">0.35 LF of A2-21 if the smaller reading governs</t>
  </si>
  <si>
    <t xml:space="preserve">CONC-RFI-04</t>
  </si>
  <si>
    <t xml:space="preserve">NW storefront pier C1 (PT0031), compared tag to tag. Same open question as item 33. Carried max. [1/A09.25] Carried: 4.0125 LF (larger figure, 53.3).</t>
  </si>
  <si>
    <t xml:space="preserve">0.746 LF of A2-20 if the smaller reading governs</t>
  </si>
  <si>
    <t xml:space="preserve">REG-RFI-01</t>
  </si>
  <si>
    <t xml:space="preserve">3/P00.01 labels '2X BLOCKING BETWEEN STUDS (TYP)' (wood) without FRT; 54.3 allows FRT only where labeled. [3/P00.01; P00.01] Carried: metal stud blocking 8.0 LF (58.6; 54.3 gate: FRT family only where FRT is labeled).</t>
  </si>
  <si>
    <t xml:space="preserve">+8.0 LF wood (FRT family) blocking / -8.0 LF metal stud blocking if the literal 2X wood is taken</t>
  </si>
  <si>
    <t xml:space="preserve">RFI-ADV-01</t>
  </si>
  <si>
    <t xml:space="preserve">Interior partitions under a roof beam on their own line (G A3-05..08, office bulkheads A3-16..19, B2 A2-09, A1-08 / A1-18 open to structure): board carried TO DECK past the beam flange per 8,9/A12.01 and the HEIGHT DE BOARD rule; studs stop under the beam (E26) [8/A12.01; 9/A12.01; A04.01; S2.20] Carried: board stops at the beam bottom (stud top).</t>
  </si>
  <si>
    <t xml:space="preserve">-225.66 SF 5/8" regular board (A1-08 f2 16.16; A1-18 f1 1.64; A2-09 f0 13.03; A2-09 f1 13.03; A3-05 f0 4.8; A3-05 f1 4.8; A3-06 f0 6.88; A3-06 f1 6.88; A3-07 f0 7.48; A3-07 f1 7.48; A3-08 f0 7.48; A3-08 f1 7.48; A3-16 f0 14.88; A3-16 f1 14.88; A3-17 f0 14.88; A3-17 f1 14.88; A3-18 f0 17.25; A3-18 f1 17.25; A3-19 f0 17.25; A3-19 f1 17.25)</t>
  </si>
  <si>
    <t xml:space="preserve">RFI-ADV-02</t>
  </si>
  <si>
    <t xml:space="preserve">Gypsum edge trim at the trimless slot ends (6/A09.33 draws the sides only) [6/A09.33; E00.01] Carried: sides only.</t>
  </si>
  <si>
    <t xml:space="preserve">-2.89 LF metal trim (6 fixtures x 2 ends x 0.2408)</t>
  </si>
  <si>
    <t xml:space="preserve">RFI-ADV-03</t>
  </si>
  <si>
    <t xml:space="preserve">Corner bead at plan outside corners: carried the full board height of the convex faces; the bead could stop at ceiling + 6" where the face continues above the ceiling [A02.01; A04.01] Carried: corner bead to ceiling + 6" only.</t>
  </si>
  <si>
    <t xml:space="preserve">about -46.74 LF metal trim (N-059 -3.375, N-061 -11.75, N-063 -6.874, N-069 -3.821, N-088/089 -7.75, N-093 -3.423, N-099/100 -9.75; the others already end at ceiling + 6")</t>
  </si>
  <si>
    <t xml:space="preserve">RFI-ADV-04</t>
  </si>
  <si>
    <t xml:space="preserve">Note C wall items: counts / sizes not fixed by the plan [A00.40; A03.01; A11.02; P00.01] Carried: A00.40 coat hooks '2 BARS AND 6 HOOKS IN TOTAL' (only the 2 break room bars); PF-06 on its own bracket / carrier (no blocking).</t>
  </si>
  <si>
    <t xml:space="preserve">-2.666 LF (waiting + wellness hooks); -6.666 LF (PF-06); PF-06 width not printed (2 rows x 3.333 carried)</t>
  </si>
  <si>
    <t xml:space="preserve">RFI-ADV-05</t>
  </si>
  <si>
    <t xml:space="preserve">8/A12.10 wall termination: 'FRT PLYWOOD' drawn without width; second termination on 2/A12.10 not called [8/A12.10; 3/A12.10; 2/A12.10] Carried: FRT plywood strip at the termination; a second termination.</t>
  </si>
  <si>
    <t xml:space="preserve">+10.0 LF FRT blocking per extra termination; FRT plywood width x 10.0 ft SF (width not printed)</t>
  </si>
  <si>
    <t xml:space="preserve">DOCS-RFI-01</t>
  </si>
  <si>
    <t xml:space="preserve">Blocking at edge of gypboard 4/S5.20 is NTS with no location (REGLA 56.8 / 59.14) [4/S5.20; docs/09_blocking_56_8.md] Carried: (b) every face with board longer than one sheet = 622.67 LF metal blocking 362CR (canon metal_blocking_by_origin 'edge').</t>
  </si>
  <si>
    <t xml:space="preserve">(a) -206.18 LF 362CR blocking; (a') -116.18 LF</t>
  </si>
  <si>
    <t xml:space="preserve">DOCS-RFI-02</t>
  </si>
  <si>
    <t xml:space="preserve">Gypsum board control joints: none specified in the set (all CJ found are stucco / concrete) [A00.00; A09.01; 5/A09.31; A04.01; docs/05_control_joints.md] Carried: 0 LF gypsum control joint (EXCLUDED, not shown).</t>
  </si>
  <si>
    <t xml:space="preserve">about +54.02 LF control joint (4 joints)</t>
  </si>
  <si>
    <t xml:space="preserve">DOCS-RFI-03</t>
  </si>
  <si>
    <t xml:space="preserve">GL-2 window deduction: board_out deducts 16 SF per window, facade nailbase deducts 7.667 x 2 = 15.33 SF [A09.01; A09.02; docs/07_axis_closures.md] Carried: both values as computed by their tools.</t>
  </si>
  <si>
    <t xml:space="preserve">about 4 SF total: 2.67 SF grid 8 (AE-02), 1.33 SF grid 3 (AE-05)</t>
  </si>
  <si>
    <t xml:space="preserve">DOCS-RFI-04</t>
  </si>
  <si>
    <t xml:space="preserve">A05.01 key note 4 'tile into niche under printer cabinet millwork': read as floor tile [A05.01 key note 4; docs/04_conditional_notes.md] Carried: no cement board at the niche.</t>
  </si>
  <si>
    <t xml:space="preserve">+ niche wall area SF cement board (not dimensioned; small)</t>
  </si>
  <si>
    <t xml:space="preserve">#</t>
  </si>
  <si>
    <t xml:space="preserve">Item</t>
  </si>
  <si>
    <t xml:space="preserve">Sheet + detail</t>
  </si>
  <si>
    <t xml:space="preserve">Image</t>
  </si>
  <si>
    <t xml:space="preserve">Piers NW (AE-41, A2-20): two readings differ; carried the larger (CONC-RFI-01, CONC-RFI-04)</t>
  </si>
  <si>
    <t xml:space="preserve">/home/user/boa24a/work/etapas/3_revision/img_resolucion/res_26_33_34_pier_NW.png</t>
  </si>
  <si>
    <t xml:space="preserve">Piers NE (AE-42, A2-21): two readings differ; carried the larger (CONC-RFI-02, CONC-RFI-03)</t>
  </si>
  <si>
    <t xml:space="preserve">/home/user/boa24a/work/etapas/3_revision/img_resolucion/res_27_33_pier_NE.png</t>
  </si>
  <si>
    <t xml:space="preserve">B2K tag (PC0011) not in the partition schedule: carried as B2 + ballistic + 3/8" (RFI-C07)</t>
  </si>
  <si>
    <t xml:space="preserve">A02.01; A12.01</t>
  </si>
  <si>
    <t xml:space="preserve">/home/user/boa24a/work/etapas/3_revision/img_resolucion/res_11_B2K.png</t>
  </si>
  <si>
    <t xml:space="preserve">A1K stud spacing @ 16" vs @ 24" (RFI-C02)</t>
  </si>
  <si>
    <t xml:space="preserve">4/A12.01; 7/S5.20</t>
  </si>
  <si>
    <t xml:space="preserve">/home/user/boa24a/work/etapas/2_lectura/A/img/A_CONST/det4_A1201.png</t>
  </si>
  <si>
    <t xml:space="preserve">Office front run ends: wall-to-wall carried vs jamb-to-jamb (RFI-OPEN-04, A3-RFI-02)</t>
  </si>
  <si>
    <t xml:space="preserve">8/A12.01; 9/A12.01; 10/A12.01</t>
  </si>
  <si>
    <t xml:space="preserve">/home/user/boa24a/work/etapas/2_lectura/A/img/A_INT_F/office_fronts_runs.png</t>
  </si>
  <si>
    <t xml:space="preserve">ATM extra framing: single source 61.92 LF, criterion (RFI-ACC-05)</t>
  </si>
  <si>
    <t xml:space="preserve">5/A08.11; 6/A08.11</t>
  </si>
  <si>
    <t xml:space="preserve">/home/user/boa24a/work/etapas/2_lectura/A/img/A_ACC/atm_6_A08.11.png</t>
  </si>
  <si>
    <t xml:space="preserve">Exterior studs interrupted at canopy beams? carried continuous (RFI-AE-02, about -189 LF 6" stud)</t>
  </si>
  <si>
    <t xml:space="preserve">D/A09.22; H/A09.23; S2.20</t>
  </si>
  <si>
    <t xml:space="preserve">/home/user/boa24a/work/adversarial/img/APLICA/ADV1-2_D-A0922_zoom.png</t>
  </si>
  <si>
    <t xml:space="preserve">Board to deck vs stop under beam (RFI-ADV-01, -225.66 SF if stops)</t>
  </si>
  <si>
    <t xml:space="preserve">8/A12.01; 9/A12.01</t>
  </si>
  <si>
    <t xml:space="preserve">/home/user/boa24a/work/adversarial/img/APLICA/ADV1-1_9-A1201_board_to_deck.png</t>
  </si>
  <si>
    <t xml:space="preserve">Corner bead at corners hidden by casework (RFI-ADV-03, about -46.74 LF)</t>
  </si>
  <si>
    <t xml:space="preserve">A02.01; A04.01</t>
  </si>
  <si>
    <t xml:space="preserve">/home/user/boa24a/work/adversarial/img/APLICA/F2_corners_calling_cubes.png</t>
  </si>
  <si>
    <t xml:space="preserve">Deflection clips per S1.11 note 2 (+534 pcs) vs slip track per 8,9/A12.01 (against R73.6); see review folder file adversarial_contra_regla.md</t>
  </si>
  <si>
    <t xml:space="preserve">S1.11; 8/A12.01</t>
  </si>
  <si>
    <t xml:space="preserve">/home/user/boa24a/work/adversarial/img/S111_LGSF_note2_deflection_clips.png</t>
  </si>
  <si>
    <t xml:space="preserve">2X wood blocking per 3/P00.01 carried as metal (REG-RFI-01; gate rule 54.3)</t>
  </si>
  <si>
    <t xml:space="preserve">3/P00.01</t>
  </si>
  <si>
    <t xml:space="preserve">/home/user/boa24a/work/adversarial/img/APLICA/ADV3-F7_3-P0001_2X_blocking.png</t>
  </si>
  <si>
    <t xml:space="preserve">Bulkhead transition trim: 4 pieces carried; alt. 2 LF per LF = -154.05 LF (A_CEIL-RFI-04)</t>
  </si>
  <si>
    <t xml:space="preserve">8/A09.33</t>
  </si>
  <si>
    <t xml:space="preserve">/home/user/boa24a/work/adversarial/img/F4_bulkhead_8_A0933.png</t>
  </si>
  <si>
    <t xml:space="preserve">Parapet AE-30 drawn with thin line: out of overview, separate crop</t>
  </si>
  <si>
    <t xml:space="preserve">A02.01</t>
  </si>
  <si>
    <t xml:space="preserve">/home/user/boa24a/work/planos_marcados/02b_PLAN_EXT_PARAPET_AE-30_crop_thin_line.png</t>
  </si>
  <si>
    <t xml:space="preserve">Tool proposals (no tool modified): header LF from schedule; fos_chain with unequal faces; see review folder files propuesta_*.md</t>
  </si>
  <si>
    <t xml:space="preserve">7/S5.20; A02.01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</si>
  <si>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</si>
  <si>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</si>
  <si>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</si>
  <si>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</si>
  <si>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</si>
  <si>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</si>
  <si>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3-5/8" / 6" / 1-5/8" studs and bottom / top track from canon.py (types A1, A1K, A5, B, B2, B2K, C1, F, G, G1; 3/A12.01, 4/A12.01, 1/A12.01, 5/A12.01, 6/A12.01, 12/A12.01)</t>
  </si>
  <si>
    <t xml:space="preserve">ALC-02</t>
  </si>
  <si>
    <t xml:space="preserve">Exterior wall framing (CFMF)</t>
  </si>
  <si>
    <t xml:space="preserve">6" CFMF exterior walls, one per axis (C/A09.21, D/A09.22, F/A09.22, H/A09.23; S1.11)</t>
  </si>
  <si>
    <t xml:space="preserve">ALC-03</t>
  </si>
  <si>
    <t xml:space="preserve">Parapet framing</t>
  </si>
  <si>
    <t xml:space="preserve">6" parapet infill bay by bay between HSS posts (11/S5.10, A02.02, E3)</t>
  </si>
  <si>
    <t xml:space="preserve">ALC-04</t>
  </si>
  <si>
    <t xml:space="preserve">Top / deflection and bottom track</t>
  </si>
  <si>
    <t xml:space="preserve">Bottom and top / slip track by stud size and element (track_by_element, canon.py; 1/A12.01, 3/A12.01, 10/S5.10)</t>
  </si>
  <si>
    <t xml:space="preserve">ALC-05</t>
  </si>
  <si>
    <t xml:space="preserve">Headers, sills and jambs at openings</t>
  </si>
  <si>
    <t xml:space="preserve">Header / box beam by pieces and sill track (headers.py; 7/S5.20, 2/S5.20, 11/A09.27, 8/A12.01, 9/A12.01)</t>
  </si>
  <si>
    <t xml:space="preserve">ALC-06</t>
  </si>
  <si>
    <t xml:space="preserve">Bracing / bridging</t>
  </si>
  <si>
    <t xml:space="preserve">1-1/2" C.R. channel bracing @ 48" (F/1/S5.20), corridas.py</t>
  </si>
  <si>
    <t xml:space="preserve">ALC-07</t>
  </si>
  <si>
    <t xml:space="preserve">Gypsum board on walls (layers per type)</t>
  </si>
  <si>
    <t xml:space="preserve">5/8" gypsum board face by face (board_caras.py; A12.01 type details)</t>
  </si>
  <si>
    <t xml:space="preserve">ALC-08</t>
  </si>
  <si>
    <t xml:space="preserve">Moisture / abuse / special board at wet zones</t>
  </si>
  <si>
    <t xml:space="preserve">5/8" MR board behind toilets and lavatories only, chase faces (F/A08.01 note F, A08.01)</t>
  </si>
  <si>
    <t xml:space="preserve">ALC-09</t>
  </si>
  <si>
    <t xml:space="preserve">Exterior gypsum / glass mat sheathing</t>
  </si>
  <si>
    <t xml:space="preserve">5/8" glass mat sheathing (5/A09.26, 7/A09.26) and 5/8" exterior gypsum sheathing at parapets (4/A09.26)</t>
  </si>
  <si>
    <t xml:space="preserve">ALC-10</t>
  </si>
  <si>
    <t xml:space="preserve">FRT plywood sheathing / substrate</t>
  </si>
  <si>
    <t xml:space="preserve">FRT plywood by material and use (nailbase, canopy, backboards, type F public side; A09.26, A09.27, 12/A12.01, A11.03)</t>
  </si>
  <si>
    <t xml:space="preserve">ALC-11</t>
  </si>
  <si>
    <t xml:space="preserve">Gypsum board ceilings</t>
  </si>
  <si>
    <t xml:space="preserve">Suspended GWB ceilings room by room (A04.01 RCP; legend NEW SUSPENDED GYPSUM WALL BOARD)</t>
  </si>
  <si>
    <t xml:space="preserve">ALC-12</t>
  </si>
  <si>
    <t xml:space="preserve">Ceiling suspension (furring / carrying channel / hanger wire / ceiling track)</t>
  </si>
  <si>
    <t xml:space="preserve">Furring channel, carrying channel, hanger wire and ceiling perimeter track from canon.py (A04.01, A09.33)</t>
  </si>
  <si>
    <t xml:space="preserve">ALC-13</t>
  </si>
  <si>
    <t xml:space="preserve">Soffits and bulkheads (framing + board)</t>
  </si>
  <si>
    <t xml:space="preserve">CSR framed soffit (10/A09.33, 9/A12.08), ceiling transitions (7/A09.33), office bulkheads (8/A12.01, 9/A12.01)</t>
  </si>
  <si>
    <t xml:space="preserve">ALC-14</t>
  </si>
  <si>
    <t xml:space="preserve">Canopy / marquee framing and sheathing</t>
  </si>
  <si>
    <t xml:space="preserve">Canopy fascia box framing and FRT plywood sheathing, canopy column wraps (7/A09.26, 5/A09.25); cement plaster finish by others</t>
  </si>
  <si>
    <t xml:space="preserve">ALC-15</t>
  </si>
  <si>
    <t xml:space="preserve">Column furring / wraps</t>
  </si>
  <si>
    <t xml:space="preserve">Canopy column wraps CANOPY-COL (5/A09.25) and C1 column furring boxes (6/A12.01, A02.01)</t>
  </si>
  <si>
    <t xml:space="preserve">ALC-16</t>
  </si>
  <si>
    <t xml:space="preserve">Blocking (FRT wood / metal) for millwork and accessories</t>
  </si>
  <si>
    <t xml:space="preserve">FRT and metal stud blocking piece by piece (A12.03-A12.06 millwork, A08.01 accessories, A00.30 wall stops, 8/A12.01, key note C A02.01)</t>
  </si>
  <si>
    <t xml:space="preserve">ALC-17</t>
  </si>
  <si>
    <t xml:space="preserve">Framed openings (MEP, access panels, diffusers)</t>
  </si>
  <si>
    <t xml:space="preserve">Framed openings for recessed fixtures and slot diffusers in GWB ceilings (framed_openings.py; E00.01, E02.01, M01.01) and access panel (A04.01 key note 4)</t>
  </si>
  <si>
    <t xml:space="preserve">ALC-18</t>
  </si>
  <si>
    <t xml:space="preserve">Trim: corner bead, casing bead, control joints, reveals</t>
  </si>
  <si>
    <t xml:space="preserve">Metal trim (corner bead, casing bead, shadow molding, gypsum edge trim) from canon trim_items and jamb returns (53.1; 8/A12.01, 7/A09.33, 6/A09.33)</t>
  </si>
  <si>
    <t xml:space="preserve">ALC-19</t>
  </si>
  <si>
    <t xml:space="preserve">Acoustical sealant / sound attenuation</t>
  </si>
  <si>
    <t xml:space="preserve">Acoustical sealant by beads drawn in each type detail (A12.01); batt insulation EXCLUDED by estimator criterion</t>
  </si>
  <si>
    <t xml:space="preserve">ALC-20</t>
  </si>
  <si>
    <t xml:space="preserve">FRP / cement board / tile backer</t>
  </si>
  <si>
    <t xml:space="preserve">FRP and cement board at restroom tile cove base and mop sink (A08.01)</t>
  </si>
  <si>
    <t xml:space="preserve">ALC-21</t>
  </si>
  <si>
    <t xml:space="preserve">Shaft walls / area separation walls</t>
  </si>
  <si>
    <t xml:space="preserve">NOT APPLICABLE</t>
  </si>
  <si>
    <t xml:space="preserve">NOT APPLICABLE: A12.01 partition schedule lists no shaft wall or area separation type; text scan of the whole set found no SHAFTWALL / SHAFTLINER / AREA SEPARATION mention</t>
  </si>
  <si>
    <t xml:space="preserve">ALC-22</t>
  </si>
  <si>
    <t xml:space="preserve">Rated assemblies (UL designs) and their board type</t>
  </si>
  <si>
    <t xml:space="preserve">NOT APPLICABLE: A12.01 partition schedule FIRE RATING and U.L. NUMBER columns are '--' for every type; A11.03 note 6 and E02.02 note 29 are fire-rated 3/4" plywood backboards (quantified as FRT plywood); A05.01 finish key note 11 'DO NOT PAINT OVER FIRE RATED STAMP' (NER) refers to those FRT backboards; M00.01 / M03.01 / E00.01 notes are generic penetration notes; E04.02 '2 HOUR FIRE RATED' is a generic 3M firestop system detail for conduit penetrations (manufacturer sheet), not a project wall type. Images: work/img/alc22_A0501_fire_stamp_note.png, work/img/alc22_E0402_firestop_detail.png</t>
  </si>
  <si>
    <t xml:space="preserve">ALC-23</t>
  </si>
  <si>
    <t xml:space="preserve">Special panels (ballistic, lead-lined, abuse)</t>
  </si>
  <si>
    <t xml:space="preserve">3/8" UL752 level-2 fiberglass ballistic panel and 3/8" gypsum board on type A1K / B2K walls (4/A12.01)</t>
  </si>
  <si>
    <t xml:space="preserve">ALC-24</t>
  </si>
  <si>
    <t xml:space="preserve">Finish level (Level 4 / Level 5)</t>
  </si>
  <si>
    <t xml:space="preserve">Level 5 finish where the finish schedule / finish plan calls WC-18, WC-22 (A00.40) and WC-20 (A05.01 key note 9, RFI-ACC-06) (A05.01, A08.11, A12.02); Level 4 elsewhere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</si>
  <si>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</si>
  <si>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</si>
  <si>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</si>
  <si>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</si>
  <si>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"e7cd2f8abb47215f7561cb9a415f28c1f33fca8a57ca9d204c7e8c0b117c3d69", "evidencias": "08f9a091cd35722af4dee9c7cac662c91ef3c3b0b1a76b6cecc1fb010b71e5dc", "familias_out": "a9b7b5657b359ee4df34d8f14f253ca16b0e346b61da00e9a262d7690b0e8f26", "reglas": "28a2ca4a03e7a9b91a037023d0edd1e9d6699793a03b78fcb116fb62e917daa4",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</si>
</sst>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3" t="n">
        <v>18</v>
      </c>
      <c r="C12" s="4" t="s">
        <v>20</v>
      </c>
    </row>
    <row r="13" customFormat="false" ht="15" hidden="false" customHeight="false" outlineLevel="0" collapsed="false">
      <c r="A13" s="0" t="s">
        <v>21</v>
      </c>
      <c r="B13" s="0" t="s">
        <v>22</v>
      </c>
      <c r="C13" s="0" t="s">
        <v>20</v>
      </c>
    </row>
    <row r="14" customFormat="false" ht="15" hidden="false" customHeight="false" outlineLevel="0" collapsed="false">
      <c r="A14" s="0" t="s">
        <v>23</v>
      </c>
      <c r="B14" s="0" t="s">
        <v>22</v>
      </c>
      <c r="C14" s="0" t="s">
        <v>20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5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2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12.64</v>
      </c>
      <c r="D6" s="0" t="n">
        <v>14.358</v>
      </c>
      <c r="E6" s="0" t="n">
        <v>1</v>
      </c>
      <c r="F6" s="0" t="s">
        <v>63</v>
      </c>
      <c r="G6" s="0" t="n">
        <v>16</v>
      </c>
      <c r="H6" s="0" t="n">
        <v>194.34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77.187</v>
      </c>
      <c r="D7" s="0" t="n">
        <v>13.539</v>
      </c>
      <c r="E7" s="0" t="n">
        <v>1</v>
      </c>
      <c r="F7" s="0" t="s">
        <v>63</v>
      </c>
      <c r="G7" s="0" t="n">
        <v>16</v>
      </c>
      <c r="H7" s="0" t="n">
        <v>1062.74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52.62</v>
      </c>
      <c r="D8" s="0" t="n">
        <v>11.168</v>
      </c>
      <c r="E8" s="0" t="n">
        <v>1</v>
      </c>
      <c r="F8" s="0" t="s">
        <v>63</v>
      </c>
      <c r="G8" s="0" t="n">
        <v>16</v>
      </c>
      <c r="H8" s="0" t="n">
        <v>632.5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47.873</v>
      </c>
      <c r="D9" s="0" t="n">
        <v>13.083</v>
      </c>
      <c r="E9" s="0" t="n">
        <v>1</v>
      </c>
      <c r="F9" s="0" t="s">
        <v>63</v>
      </c>
      <c r="G9" s="0" t="n">
        <v>16</v>
      </c>
      <c r="H9" s="0" t="n">
        <v>646.11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3.027</v>
      </c>
      <c r="D10" s="0" t="n">
        <v>14.358</v>
      </c>
      <c r="E10" s="0" t="n">
        <v>1</v>
      </c>
      <c r="F10" s="0" t="s">
        <v>63</v>
      </c>
      <c r="G10" s="0" t="n">
        <v>16</v>
      </c>
      <c r="H10" s="0" t="n">
        <v>46.54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21.72</v>
      </c>
      <c r="D11" s="0" t="n">
        <v>14.358</v>
      </c>
      <c r="E11" s="0" t="n">
        <v>1</v>
      </c>
      <c r="F11" s="0" t="s">
        <v>63</v>
      </c>
      <c r="G11" s="0" t="n">
        <v>16</v>
      </c>
      <c r="H11" s="0" t="n">
        <v>326.61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5" t="s">
        <v>82</v>
      </c>
    </row>
    <row r="13" customFormat="false" ht="15" hidden="false" customHeight="false" outlineLevel="0" collapsed="false">
      <c r="A13" s="0" t="s">
        <v>83</v>
      </c>
      <c r="B13" s="0" t="s">
        <v>84</v>
      </c>
      <c r="C13" s="0" t="n">
        <v>29.033</v>
      </c>
      <c r="D13" s="0" t="n">
        <v>4.292</v>
      </c>
      <c r="E13" s="0" t="n">
        <v>0</v>
      </c>
      <c r="F13" s="0" t="s">
        <v>85</v>
      </c>
      <c r="G13" s="0" t="n">
        <v>16</v>
      </c>
      <c r="H13" s="0" t="n">
        <v>0</v>
      </c>
      <c r="I13" s="0" t="s">
        <v>86</v>
      </c>
      <c r="J13" s="0" t="s">
        <v>87</v>
      </c>
      <c r="K13" s="0" t="s">
        <v>66</v>
      </c>
    </row>
    <row r="14" customFormat="false" ht="15" hidden="false" customHeight="false" outlineLevel="0" collapsed="false">
      <c r="A14" s="0" t="s">
        <v>88</v>
      </c>
      <c r="B14" s="0" t="s">
        <v>89</v>
      </c>
      <c r="C14" s="0" t="n">
        <v>16.393</v>
      </c>
      <c r="D14" s="0" t="n">
        <v>4.292</v>
      </c>
      <c r="E14" s="0" t="n">
        <v>0</v>
      </c>
      <c r="F14" s="0" t="s">
        <v>85</v>
      </c>
      <c r="G14" s="0" t="n">
        <v>16</v>
      </c>
      <c r="H14" s="0" t="n">
        <v>0</v>
      </c>
      <c r="I14" s="0" t="s">
        <v>90</v>
      </c>
      <c r="J14" s="0" t="s">
        <v>87</v>
      </c>
      <c r="K14" s="0" t="s">
        <v>66</v>
      </c>
    </row>
    <row r="15" customFormat="false" ht="15" hidden="false" customHeight="false" outlineLevel="0" collapsed="false">
      <c r="A15" s="0" t="s">
        <v>91</v>
      </c>
      <c r="B15" s="0" t="s">
        <v>92</v>
      </c>
      <c r="C15" s="0" t="n">
        <v>3.947</v>
      </c>
      <c r="D15" s="0" t="n">
        <v>4.292</v>
      </c>
      <c r="E15" s="0" t="n">
        <v>0</v>
      </c>
      <c r="F15" s="0" t="s">
        <v>85</v>
      </c>
      <c r="G15" s="0" t="n">
        <v>16</v>
      </c>
      <c r="H15" s="0" t="n">
        <v>0</v>
      </c>
      <c r="I15" s="0" t="s">
        <v>93</v>
      </c>
      <c r="J15" s="0" t="s">
        <v>87</v>
      </c>
      <c r="K15" s="0" t="s">
        <v>66</v>
      </c>
    </row>
    <row r="16" customFormat="false" ht="15" hidden="false" customHeight="false" outlineLevel="0" collapsed="false">
      <c r="A16" s="0" t="s">
        <v>94</v>
      </c>
      <c r="B16" s="0" t="s">
        <v>95</v>
      </c>
      <c r="C16" s="0" t="n">
        <v>39.86</v>
      </c>
      <c r="D16" s="0" t="n">
        <v>2.042</v>
      </c>
      <c r="E16" s="0" t="n">
        <v>0</v>
      </c>
      <c r="F16" s="0" t="s">
        <v>85</v>
      </c>
      <c r="G16" s="0" t="n">
        <v>16</v>
      </c>
      <c r="H16" s="0" t="n">
        <v>0</v>
      </c>
      <c r="I16" s="0" t="s">
        <v>96</v>
      </c>
      <c r="J16" s="0" t="s">
        <v>87</v>
      </c>
      <c r="K16" s="0" t="s">
        <v>66</v>
      </c>
    </row>
    <row r="17" customFormat="false" ht="15" hidden="false" customHeight="false" outlineLevel="0" collapsed="false">
      <c r="A17" s="0" t="s">
        <v>97</v>
      </c>
      <c r="B17" s="0" t="s">
        <v>98</v>
      </c>
      <c r="C17" s="0" t="n">
        <v>75.96</v>
      </c>
      <c r="D17" s="0" t="n">
        <v>2.8</v>
      </c>
      <c r="E17" s="0" t="n">
        <v>0</v>
      </c>
      <c r="F17" s="0" t="s">
        <v>85</v>
      </c>
      <c r="G17" s="0" t="n">
        <v>16</v>
      </c>
      <c r="H17" s="0" t="n">
        <v>0</v>
      </c>
      <c r="I17" s="0" t="s">
        <v>99</v>
      </c>
      <c r="J17" s="0" t="s">
        <v>87</v>
      </c>
      <c r="K17" s="0" t="s">
        <v>66</v>
      </c>
    </row>
    <row r="18" customFormat="false" ht="15" hidden="false" customHeight="false" outlineLevel="0" collapsed="false">
      <c r="A18" s="0" t="s">
        <v>100</v>
      </c>
      <c r="B18" s="0" t="s">
        <v>101</v>
      </c>
      <c r="C18" s="0" t="n">
        <v>52.347</v>
      </c>
      <c r="D18" s="0" t="n">
        <v>4.886</v>
      </c>
      <c r="E18" s="0" t="n">
        <v>0</v>
      </c>
      <c r="F18" s="0" t="s">
        <v>85</v>
      </c>
      <c r="G18" s="0" t="n">
        <v>16</v>
      </c>
      <c r="H18" s="0" t="n">
        <v>0</v>
      </c>
      <c r="I18" s="0" t="s">
        <v>102</v>
      </c>
      <c r="J18" s="0" t="s">
        <v>87</v>
      </c>
      <c r="K18" s="0" t="s">
        <v>66</v>
      </c>
    </row>
    <row r="19" customFormat="false" ht="15" hidden="false" customHeight="false" outlineLevel="0" collapsed="false">
      <c r="A19" s="0" t="s">
        <v>103</v>
      </c>
      <c r="B19" s="0" t="s">
        <v>104</v>
      </c>
      <c r="C19" s="0" t="n">
        <v>47.927</v>
      </c>
      <c r="D19" s="0" t="n">
        <v>3.244</v>
      </c>
      <c r="E19" s="0" t="n">
        <v>0</v>
      </c>
      <c r="F19" s="0" t="s">
        <v>85</v>
      </c>
      <c r="G19" s="0" t="n">
        <v>16</v>
      </c>
      <c r="H19" s="0" t="n">
        <v>0</v>
      </c>
      <c r="I19" s="0" t="s">
        <v>105</v>
      </c>
      <c r="J19" s="0" t="s">
        <v>87</v>
      </c>
      <c r="K19" s="0" t="s">
        <v>66</v>
      </c>
    </row>
    <row r="20" customFormat="false" ht="15" hidden="false" customHeight="false" outlineLevel="0" collapsed="false">
      <c r="A20" s="0" t="s">
        <v>106</v>
      </c>
      <c r="B20" s="0" t="s">
        <v>107</v>
      </c>
      <c r="C20" s="0" t="n">
        <v>3.907</v>
      </c>
      <c r="D20" s="0" t="n">
        <v>4.292</v>
      </c>
      <c r="E20" s="0" t="n">
        <v>0</v>
      </c>
      <c r="F20" s="0" t="s">
        <v>85</v>
      </c>
      <c r="G20" s="0" t="n">
        <v>16</v>
      </c>
      <c r="H20" s="0" t="n">
        <v>0</v>
      </c>
      <c r="I20" s="0" t="s">
        <v>108</v>
      </c>
      <c r="J20" s="0" t="s">
        <v>87</v>
      </c>
      <c r="K20" s="0" t="s">
        <v>66</v>
      </c>
    </row>
    <row r="21" customFormat="false" ht="15" hidden="false" customHeight="false" outlineLevel="0" collapsed="false">
      <c r="A21" s="5" t="s">
        <v>109</v>
      </c>
    </row>
    <row r="22" customFormat="false" ht="15" hidden="false" customHeight="false" outlineLevel="0" collapsed="false">
      <c r="A22" s="0" t="s">
        <v>110</v>
      </c>
      <c r="B22" s="0" t="s">
        <v>111</v>
      </c>
      <c r="C22" s="0" t="n">
        <v>5.667</v>
      </c>
      <c r="D22" s="0" t="n">
        <v>10.5</v>
      </c>
      <c r="E22" s="0" t="n">
        <v>0</v>
      </c>
      <c r="F22" s="0" t="s">
        <v>112</v>
      </c>
      <c r="G22" s="0" t="n">
        <v>16</v>
      </c>
      <c r="H22" s="0" t="n">
        <v>0</v>
      </c>
      <c r="I22" s="0" t="s">
        <v>113</v>
      </c>
      <c r="J22" s="0" t="s">
        <v>114</v>
      </c>
      <c r="K22" s="0" t="s">
        <v>66</v>
      </c>
    </row>
    <row r="23" customFormat="false" ht="15" hidden="false" customHeight="false" outlineLevel="0" collapsed="false">
      <c r="A23" s="0" t="s">
        <v>115</v>
      </c>
      <c r="B23" s="0" t="s">
        <v>116</v>
      </c>
      <c r="C23" s="0" t="n">
        <v>5.667</v>
      </c>
      <c r="D23" s="0" t="n">
        <v>10.5</v>
      </c>
      <c r="E23" s="0" t="n">
        <v>0</v>
      </c>
      <c r="F23" s="0" t="s">
        <v>112</v>
      </c>
      <c r="G23" s="0" t="n">
        <v>16</v>
      </c>
      <c r="H23" s="0" t="n">
        <v>0</v>
      </c>
      <c r="I23" s="0" t="s">
        <v>117</v>
      </c>
      <c r="J23" s="0" t="s">
        <v>114</v>
      </c>
      <c r="K23" s="0" t="s">
        <v>66</v>
      </c>
    </row>
    <row r="24" customFormat="false" ht="15" hidden="false" customHeight="false" outlineLevel="0" collapsed="false">
      <c r="A24" s="0" t="s">
        <v>118</v>
      </c>
      <c r="B24" s="0" t="s">
        <v>119</v>
      </c>
      <c r="C24" s="0" t="n">
        <v>5.667</v>
      </c>
      <c r="D24" s="0" t="n">
        <v>10.5</v>
      </c>
      <c r="E24" s="0" t="n">
        <v>0</v>
      </c>
      <c r="F24" s="0" t="s">
        <v>112</v>
      </c>
      <c r="G24" s="0" t="n">
        <v>16</v>
      </c>
      <c r="H24" s="0" t="n">
        <v>0</v>
      </c>
      <c r="I24" s="0" t="s">
        <v>120</v>
      </c>
      <c r="J24" s="0" t="s">
        <v>114</v>
      </c>
      <c r="K24" s="0" t="s">
        <v>66</v>
      </c>
    </row>
    <row r="25" customFormat="false" ht="15" hidden="false" customHeight="false" outlineLevel="0" collapsed="false">
      <c r="A25" s="0" t="s">
        <v>121</v>
      </c>
      <c r="B25" s="0" t="s">
        <v>122</v>
      </c>
      <c r="C25" s="0" t="n">
        <v>5.667</v>
      </c>
      <c r="D25" s="0" t="n">
        <v>10.5</v>
      </c>
      <c r="E25" s="0" t="n">
        <v>0</v>
      </c>
      <c r="F25" s="0" t="s">
        <v>112</v>
      </c>
      <c r="G25" s="0" t="n">
        <v>16</v>
      </c>
      <c r="H25" s="0" t="n">
        <v>0</v>
      </c>
      <c r="I25" s="0" t="s">
        <v>123</v>
      </c>
      <c r="J25" s="0" t="s">
        <v>114</v>
      </c>
      <c r="K25" s="0" t="s">
        <v>66</v>
      </c>
    </row>
    <row r="26" customFormat="false" ht="15" hidden="false" customHeight="false" outlineLevel="0" collapsed="false">
      <c r="A26" s="5" t="s">
        <v>124</v>
      </c>
    </row>
    <row r="27" customFormat="false" ht="15" hidden="false" customHeight="false" outlineLevel="0" collapsed="false">
      <c r="A27" s="0" t="s">
        <v>125</v>
      </c>
      <c r="B27" s="0" t="s">
        <v>126</v>
      </c>
      <c r="C27" s="0" t="n">
        <v>17.02</v>
      </c>
      <c r="D27" s="0" t="n">
        <v>15.375</v>
      </c>
      <c r="E27" s="0" t="n">
        <v>2</v>
      </c>
      <c r="F27" s="0" t="s">
        <v>112</v>
      </c>
      <c r="G27" s="0" t="n">
        <v>16</v>
      </c>
      <c r="H27" s="0" t="n">
        <v>366.95</v>
      </c>
      <c r="I27" s="0" t="s">
        <v>127</v>
      </c>
      <c r="J27" s="0" t="s">
        <v>128</v>
      </c>
      <c r="K27" s="0" t="s">
        <v>66</v>
      </c>
    </row>
    <row r="28" customFormat="false" ht="15" hidden="false" customHeight="false" outlineLevel="0" collapsed="false">
      <c r="A28" s="0" t="s">
        <v>129</v>
      </c>
      <c r="B28" s="0" t="s">
        <v>130</v>
      </c>
      <c r="C28" s="0" t="n">
        <v>3.533</v>
      </c>
      <c r="D28" s="0" t="n">
        <v>15.375</v>
      </c>
      <c r="E28" s="0" t="n">
        <v>2</v>
      </c>
      <c r="F28" s="0" t="s">
        <v>112</v>
      </c>
      <c r="G28" s="0" t="n">
        <v>16</v>
      </c>
      <c r="H28" s="0" t="n">
        <v>86.12</v>
      </c>
      <c r="I28" s="0" t="s">
        <v>131</v>
      </c>
      <c r="J28" s="0" t="s">
        <v>128</v>
      </c>
      <c r="K28" s="0" t="s">
        <v>66</v>
      </c>
    </row>
    <row r="29" customFormat="false" ht="15" hidden="false" customHeight="false" outlineLevel="0" collapsed="false">
      <c r="A29" s="0" t="s">
        <v>132</v>
      </c>
      <c r="B29" s="0" t="s">
        <v>133</v>
      </c>
      <c r="C29" s="0" t="n">
        <v>2.02</v>
      </c>
      <c r="D29" s="0" t="n">
        <v>15.375</v>
      </c>
      <c r="E29" s="0" t="n">
        <v>2</v>
      </c>
      <c r="F29" s="0" t="s">
        <v>112</v>
      </c>
      <c r="G29" s="0" t="n">
        <v>16</v>
      </c>
      <c r="H29" s="0" t="n">
        <v>49.24</v>
      </c>
      <c r="I29" s="0" t="s">
        <v>134</v>
      </c>
      <c r="J29" s="0" t="s">
        <v>128</v>
      </c>
      <c r="K29" s="0" t="s">
        <v>66</v>
      </c>
    </row>
    <row r="30" customFormat="false" ht="15" hidden="false" customHeight="false" outlineLevel="0" collapsed="false">
      <c r="A30" s="0" t="s">
        <v>135</v>
      </c>
      <c r="B30" s="0" t="s">
        <v>136</v>
      </c>
      <c r="C30" s="0" t="n">
        <v>5</v>
      </c>
      <c r="D30" s="0" t="n">
        <v>15.375</v>
      </c>
      <c r="E30" s="0" t="n">
        <v>2</v>
      </c>
      <c r="F30" s="0" t="s">
        <v>112</v>
      </c>
      <c r="G30" s="0" t="n">
        <v>16</v>
      </c>
      <c r="H30" s="0" t="n">
        <v>50.56</v>
      </c>
      <c r="I30" s="0" t="s">
        <v>137</v>
      </c>
      <c r="J30" s="0" t="s">
        <v>128</v>
      </c>
      <c r="K30" s="0" t="s">
        <v>138</v>
      </c>
    </row>
    <row r="31" customFormat="false" ht="15" hidden="false" customHeight="false" outlineLevel="0" collapsed="false">
      <c r="A31" s="0" t="s">
        <v>139</v>
      </c>
      <c r="B31" s="0" t="s">
        <v>140</v>
      </c>
      <c r="C31" s="0" t="n">
        <v>15.233</v>
      </c>
      <c r="D31" s="0" t="n">
        <v>12.969</v>
      </c>
      <c r="E31" s="0" t="n">
        <v>2</v>
      </c>
      <c r="F31" s="0" t="s">
        <v>112</v>
      </c>
      <c r="G31" s="0" t="n">
        <v>16</v>
      </c>
      <c r="H31" s="0" t="n">
        <v>274.2</v>
      </c>
      <c r="I31" s="0" t="s">
        <v>141</v>
      </c>
      <c r="J31" s="0" t="s">
        <v>128</v>
      </c>
      <c r="K31" s="0" t="s">
        <v>66</v>
      </c>
    </row>
    <row r="32" customFormat="false" ht="15" hidden="false" customHeight="false" outlineLevel="0" collapsed="false">
      <c r="A32" s="0" t="s">
        <v>142</v>
      </c>
      <c r="B32" s="0" t="s">
        <v>143</v>
      </c>
      <c r="C32" s="0" t="n">
        <v>5.5</v>
      </c>
      <c r="D32" s="0" t="n">
        <v>12.925</v>
      </c>
      <c r="E32" s="0" t="n">
        <v>2</v>
      </c>
      <c r="F32" s="0" t="s">
        <v>112</v>
      </c>
      <c r="G32" s="0" t="n">
        <v>16</v>
      </c>
      <c r="H32" s="0" t="n">
        <v>47.31</v>
      </c>
      <c r="I32" s="0" t="s">
        <v>144</v>
      </c>
      <c r="J32" s="0" t="s">
        <v>128</v>
      </c>
      <c r="K32" s="0" t="s">
        <v>138</v>
      </c>
    </row>
    <row r="33" customFormat="false" ht="15" hidden="false" customHeight="false" outlineLevel="0" collapsed="false">
      <c r="A33" s="0" t="s">
        <v>145</v>
      </c>
      <c r="B33" s="0" t="s">
        <v>146</v>
      </c>
      <c r="C33" s="0" t="n">
        <v>1.733</v>
      </c>
      <c r="D33" s="0" t="n">
        <v>11.819</v>
      </c>
      <c r="E33" s="0" t="n">
        <v>2</v>
      </c>
      <c r="F33" s="0" t="s">
        <v>112</v>
      </c>
      <c r="G33" s="0" t="n">
        <v>16</v>
      </c>
      <c r="H33" s="0" t="n">
        <v>32.07</v>
      </c>
      <c r="I33" s="0" t="s">
        <v>147</v>
      </c>
      <c r="J33" s="0" t="s">
        <v>128</v>
      </c>
      <c r="K33" s="0" t="s">
        <v>66</v>
      </c>
    </row>
    <row r="34" customFormat="false" ht="15" hidden="false" customHeight="false" outlineLevel="0" collapsed="false">
      <c r="A34" s="0" t="s">
        <v>148</v>
      </c>
      <c r="B34" s="0" t="s">
        <v>149</v>
      </c>
      <c r="C34" s="0" t="n">
        <v>20.521</v>
      </c>
      <c r="D34" s="0" t="n">
        <v>11.819</v>
      </c>
      <c r="E34" s="0" t="n">
        <v>2</v>
      </c>
      <c r="F34" s="0" t="s">
        <v>112</v>
      </c>
      <c r="G34" s="0" t="n">
        <v>16</v>
      </c>
      <c r="H34" s="0" t="n">
        <v>377.62</v>
      </c>
      <c r="I34" s="0" t="s">
        <v>150</v>
      </c>
      <c r="J34" s="0" t="s">
        <v>128</v>
      </c>
      <c r="K34" s="0" t="s">
        <v>66</v>
      </c>
    </row>
    <row r="35" customFormat="false" ht="15" hidden="false" customHeight="false" outlineLevel="0" collapsed="false">
      <c r="A35" s="0" t="s">
        <v>151</v>
      </c>
      <c r="B35" s="0" t="s">
        <v>152</v>
      </c>
      <c r="C35" s="0" t="n">
        <v>11.667</v>
      </c>
      <c r="D35" s="0" t="n">
        <v>12.773</v>
      </c>
      <c r="E35" s="0" t="n">
        <v>2</v>
      </c>
      <c r="F35" s="0" t="s">
        <v>112</v>
      </c>
      <c r="G35" s="0" t="n">
        <v>16</v>
      </c>
      <c r="H35" s="0" t="n">
        <v>168.05</v>
      </c>
      <c r="I35" s="0" t="s">
        <v>153</v>
      </c>
      <c r="J35" s="0" t="s">
        <v>128</v>
      </c>
      <c r="K35" s="0" t="s">
        <v>66</v>
      </c>
    </row>
    <row r="36" customFormat="false" ht="15" hidden="false" customHeight="false" outlineLevel="0" collapsed="false">
      <c r="A36" s="5" t="s">
        <v>154</v>
      </c>
    </row>
    <row r="37" customFormat="false" ht="15" hidden="false" customHeight="false" outlineLevel="0" collapsed="false">
      <c r="A37" s="0" t="s">
        <v>155</v>
      </c>
      <c r="B37" s="0" t="s">
        <v>156</v>
      </c>
      <c r="C37" s="0" t="n">
        <v>19.407</v>
      </c>
      <c r="D37" s="0" t="n">
        <v>13.697</v>
      </c>
      <c r="E37" s="0" t="n">
        <v>2</v>
      </c>
      <c r="F37" s="0" t="s">
        <v>63</v>
      </c>
      <c r="G37" s="0" t="n">
        <v>16</v>
      </c>
      <c r="H37" s="0" t="n">
        <v>378.92</v>
      </c>
      <c r="I37" s="0" t="s">
        <v>157</v>
      </c>
      <c r="J37" s="0" t="s">
        <v>128</v>
      </c>
      <c r="K37" s="0" t="s">
        <v>66</v>
      </c>
    </row>
    <row r="38" customFormat="false" ht="15" hidden="false" customHeight="false" outlineLevel="0" collapsed="false">
      <c r="A38" s="0" t="s">
        <v>158</v>
      </c>
      <c r="B38" s="0" t="s">
        <v>159</v>
      </c>
      <c r="C38" s="0" t="n">
        <v>11.407</v>
      </c>
      <c r="D38" s="0" t="n">
        <v>15.375</v>
      </c>
      <c r="E38" s="0" t="n">
        <v>2</v>
      </c>
      <c r="F38" s="0" t="s">
        <v>63</v>
      </c>
      <c r="G38" s="0" t="n">
        <v>16</v>
      </c>
      <c r="H38" s="0" t="n">
        <v>239.54</v>
      </c>
      <c r="I38" s="0" t="s">
        <v>160</v>
      </c>
      <c r="J38" s="0" t="s">
        <v>128</v>
      </c>
      <c r="K38" s="0" t="s">
        <v>66</v>
      </c>
    </row>
    <row r="39" customFormat="false" ht="15" hidden="false" customHeight="false" outlineLevel="0" collapsed="false">
      <c r="A39" s="0" t="s">
        <v>161</v>
      </c>
      <c r="B39" s="0" t="s">
        <v>162</v>
      </c>
      <c r="C39" s="0" t="n">
        <v>5.28</v>
      </c>
      <c r="D39" s="0" t="n">
        <v>12.284</v>
      </c>
      <c r="E39" s="0" t="n">
        <v>2</v>
      </c>
      <c r="F39" s="0" t="s">
        <v>63</v>
      </c>
      <c r="G39" s="0" t="n">
        <v>16</v>
      </c>
      <c r="H39" s="0" t="n">
        <v>47.26</v>
      </c>
      <c r="I39" s="0" t="s">
        <v>163</v>
      </c>
      <c r="J39" s="0" t="s">
        <v>128</v>
      </c>
      <c r="K39" s="0" t="s">
        <v>66</v>
      </c>
    </row>
    <row r="40" customFormat="false" ht="15" hidden="false" customHeight="false" outlineLevel="0" collapsed="false">
      <c r="A40" s="0" t="s">
        <v>164</v>
      </c>
      <c r="B40" s="0" t="s">
        <v>165</v>
      </c>
      <c r="C40" s="0" t="n">
        <v>6.947</v>
      </c>
      <c r="D40" s="0" t="n">
        <v>11.774</v>
      </c>
      <c r="E40" s="0" t="n">
        <v>2</v>
      </c>
      <c r="F40" s="0" t="s">
        <v>63</v>
      </c>
      <c r="G40" s="0" t="n">
        <v>16</v>
      </c>
      <c r="H40" s="0" t="n">
        <v>80.73</v>
      </c>
      <c r="I40" s="0" t="s">
        <v>166</v>
      </c>
      <c r="J40" s="0" t="s">
        <v>128</v>
      </c>
      <c r="K40" s="0" t="s">
        <v>66</v>
      </c>
    </row>
    <row r="41" customFormat="false" ht="15" hidden="false" customHeight="false" outlineLevel="0" collapsed="false">
      <c r="A41" s="5" t="s">
        <v>167</v>
      </c>
    </row>
    <row r="42" customFormat="false" ht="15" hidden="false" customHeight="false" outlineLevel="0" collapsed="false">
      <c r="A42" s="0" t="s">
        <v>168</v>
      </c>
      <c r="B42" s="0" t="s">
        <v>169</v>
      </c>
      <c r="C42" s="0" t="n">
        <v>1.773</v>
      </c>
      <c r="D42" s="0" t="n">
        <v>15.375</v>
      </c>
      <c r="E42" s="0" t="n">
        <v>2</v>
      </c>
      <c r="F42" s="0" t="s">
        <v>63</v>
      </c>
      <c r="G42" s="0" t="n">
        <v>16</v>
      </c>
      <c r="H42" s="0" t="n">
        <v>54.52</v>
      </c>
      <c r="I42" s="0" t="s">
        <v>170</v>
      </c>
      <c r="J42" s="0" t="s">
        <v>171</v>
      </c>
      <c r="K42" s="0" t="s">
        <v>66</v>
      </c>
    </row>
    <row r="43" customFormat="false" ht="15" hidden="false" customHeight="false" outlineLevel="0" collapsed="false">
      <c r="A43" s="5" t="s">
        <v>172</v>
      </c>
    </row>
    <row r="44" customFormat="false" ht="15" hidden="false" customHeight="false" outlineLevel="0" collapsed="false">
      <c r="A44" s="0" t="s">
        <v>173</v>
      </c>
      <c r="B44" s="0" t="s">
        <v>174</v>
      </c>
      <c r="C44" s="0" t="n">
        <v>3.417</v>
      </c>
      <c r="D44" s="0" t="n">
        <v>15.375</v>
      </c>
      <c r="E44" s="0" t="n">
        <v>2</v>
      </c>
      <c r="F44" s="0" t="s">
        <v>112</v>
      </c>
      <c r="G44" s="0" t="n">
        <v>16</v>
      </c>
      <c r="H44" s="0" t="n">
        <v>105.06</v>
      </c>
      <c r="I44" s="0" t="s">
        <v>175</v>
      </c>
      <c r="J44" s="0" t="s">
        <v>171</v>
      </c>
      <c r="K44" s="0" t="s">
        <v>138</v>
      </c>
    </row>
    <row r="45" customFormat="false" ht="15" hidden="false" customHeight="false" outlineLevel="0" collapsed="false">
      <c r="A45" s="0" t="s">
        <v>176</v>
      </c>
      <c r="B45" s="0" t="s">
        <v>177</v>
      </c>
      <c r="C45" s="0" t="n">
        <v>3.413</v>
      </c>
      <c r="D45" s="0" t="n">
        <v>12.937</v>
      </c>
      <c r="E45" s="0" t="n">
        <v>2</v>
      </c>
      <c r="F45" s="0" t="s">
        <v>112</v>
      </c>
      <c r="G45" s="0" t="n">
        <v>16</v>
      </c>
      <c r="H45" s="0" t="n">
        <v>88.32</v>
      </c>
      <c r="I45" s="0" t="s">
        <v>178</v>
      </c>
      <c r="J45" s="0" t="s">
        <v>171</v>
      </c>
      <c r="K45" s="0" t="s">
        <v>66</v>
      </c>
    </row>
    <row r="46" customFormat="false" ht="15" hidden="false" customHeight="false" outlineLevel="0" collapsed="false">
      <c r="A46" s="0" t="s">
        <v>179</v>
      </c>
      <c r="B46" s="0" t="s">
        <v>180</v>
      </c>
      <c r="C46" s="0" t="n">
        <v>1.767</v>
      </c>
      <c r="D46" s="0" t="n">
        <v>12.925</v>
      </c>
      <c r="E46" s="0" t="n">
        <v>2</v>
      </c>
      <c r="F46" s="0" t="s">
        <v>112</v>
      </c>
      <c r="G46" s="0" t="n">
        <v>16</v>
      </c>
      <c r="H46" s="0" t="n">
        <v>45.66</v>
      </c>
      <c r="I46" s="0" t="s">
        <v>181</v>
      </c>
      <c r="J46" s="0" t="s">
        <v>171</v>
      </c>
      <c r="K46" s="0" t="s">
        <v>66</v>
      </c>
    </row>
    <row r="47" customFormat="false" ht="15" hidden="false" customHeight="false" outlineLevel="0" collapsed="false">
      <c r="A47" s="5" t="s">
        <v>182</v>
      </c>
    </row>
    <row r="48" customFormat="false" ht="15" hidden="false" customHeight="false" outlineLevel="0" collapsed="false">
      <c r="A48" s="0" t="s">
        <v>183</v>
      </c>
      <c r="B48" s="0" t="s">
        <v>184</v>
      </c>
      <c r="C48" s="0" t="n">
        <v>9.583</v>
      </c>
      <c r="D48" s="0" t="n">
        <v>12.829</v>
      </c>
      <c r="E48" s="0" t="n">
        <v>2</v>
      </c>
      <c r="F48" s="0" t="s">
        <v>112</v>
      </c>
      <c r="G48" s="0" t="n">
        <v>16</v>
      </c>
      <c r="H48" s="0" t="n">
        <v>245.9</v>
      </c>
      <c r="I48" s="0" t="s">
        <v>185</v>
      </c>
      <c r="J48" s="0" t="s">
        <v>186</v>
      </c>
      <c r="K48" s="0" t="s">
        <v>138</v>
      </c>
    </row>
    <row r="49" customFormat="false" ht="15" hidden="false" customHeight="false" outlineLevel="0" collapsed="false">
      <c r="A49" s="0" t="s">
        <v>187</v>
      </c>
      <c r="B49" s="0" t="s">
        <v>188</v>
      </c>
      <c r="C49" s="0" t="n">
        <v>14.146</v>
      </c>
      <c r="D49" s="0" t="n">
        <v>12.821</v>
      </c>
      <c r="E49" s="0" t="n">
        <v>2</v>
      </c>
      <c r="F49" s="0" t="s">
        <v>112</v>
      </c>
      <c r="G49" s="0" t="n">
        <v>16</v>
      </c>
      <c r="H49" s="0" t="n">
        <v>267.16</v>
      </c>
      <c r="I49" s="0" t="s">
        <v>189</v>
      </c>
      <c r="J49" s="0" t="s">
        <v>186</v>
      </c>
      <c r="K49" s="0" t="s">
        <v>66</v>
      </c>
    </row>
    <row r="50" customFormat="false" ht="15" hidden="false" customHeight="false" outlineLevel="0" collapsed="false">
      <c r="A50" s="0" t="s">
        <v>190</v>
      </c>
      <c r="B50" s="0" t="s">
        <v>191</v>
      </c>
      <c r="C50" s="0" t="n">
        <v>9.583</v>
      </c>
      <c r="D50" s="0" t="n">
        <v>12.701</v>
      </c>
      <c r="E50" s="0" t="n">
        <v>2</v>
      </c>
      <c r="F50" s="0" t="s">
        <v>112</v>
      </c>
      <c r="G50" s="0" t="n">
        <v>16</v>
      </c>
      <c r="H50" s="0" t="n">
        <v>243.42</v>
      </c>
      <c r="I50" s="0" t="s">
        <v>192</v>
      </c>
      <c r="J50" s="0" t="s">
        <v>186</v>
      </c>
      <c r="K50" s="0" t="s">
        <v>138</v>
      </c>
    </row>
    <row r="51" customFormat="false" ht="15" hidden="false" customHeight="false" outlineLevel="0" collapsed="false">
      <c r="A51" s="0" t="s">
        <v>193</v>
      </c>
      <c r="B51" s="0" t="s">
        <v>194</v>
      </c>
      <c r="C51" s="0" t="n">
        <v>11.719</v>
      </c>
      <c r="D51" s="0" t="n">
        <v>12.749</v>
      </c>
      <c r="E51" s="0" t="n">
        <v>2</v>
      </c>
      <c r="F51" s="0" t="s">
        <v>112</v>
      </c>
      <c r="G51" s="0" t="n">
        <v>16</v>
      </c>
      <c r="H51" s="0" t="n">
        <v>251.04</v>
      </c>
      <c r="I51" s="0" t="s">
        <v>195</v>
      </c>
      <c r="J51" s="0" t="s">
        <v>186</v>
      </c>
      <c r="K51" s="0" t="s">
        <v>66</v>
      </c>
    </row>
    <row r="52" customFormat="false" ht="15" hidden="false" customHeight="false" outlineLevel="0" collapsed="false">
      <c r="A52" s="0" t="s">
        <v>196</v>
      </c>
      <c r="B52" s="0" t="s">
        <v>197</v>
      </c>
      <c r="C52" s="0" t="n">
        <v>11.719</v>
      </c>
      <c r="D52" s="0" t="n">
        <v>12.669</v>
      </c>
      <c r="E52" s="0" t="n">
        <v>2</v>
      </c>
      <c r="F52" s="0" t="s">
        <v>112</v>
      </c>
      <c r="G52" s="0" t="n">
        <v>16</v>
      </c>
      <c r="H52" s="0" t="n">
        <v>296.92</v>
      </c>
      <c r="I52" s="0" t="s">
        <v>198</v>
      </c>
      <c r="J52" s="0" t="s">
        <v>186</v>
      </c>
      <c r="K52" s="0" t="s">
        <v>66</v>
      </c>
    </row>
    <row r="53" customFormat="false" ht="15" hidden="false" customHeight="false" outlineLevel="0" collapsed="false">
      <c r="A53" s="0" t="s">
        <v>199</v>
      </c>
      <c r="B53" s="0" t="s">
        <v>200</v>
      </c>
      <c r="C53" s="0" t="n">
        <v>3.5</v>
      </c>
      <c r="D53" s="0" t="n">
        <v>12.741</v>
      </c>
      <c r="E53" s="0" t="n">
        <v>2</v>
      </c>
      <c r="F53" s="0" t="s">
        <v>112</v>
      </c>
      <c r="G53" s="0" t="n">
        <v>16</v>
      </c>
      <c r="H53" s="0" t="n">
        <v>89.18</v>
      </c>
      <c r="I53" s="0" t="s">
        <v>201</v>
      </c>
      <c r="J53" s="0" t="s">
        <v>186</v>
      </c>
      <c r="K53" s="0" t="s">
        <v>138</v>
      </c>
    </row>
    <row r="54" customFormat="false" ht="15" hidden="false" customHeight="false" outlineLevel="0" collapsed="false">
      <c r="A54" s="5" t="s">
        <v>202</v>
      </c>
    </row>
    <row r="55" customFormat="false" ht="15" hidden="false" customHeight="false" outlineLevel="0" collapsed="false">
      <c r="A55" s="0" t="s">
        <v>203</v>
      </c>
      <c r="B55" s="0" t="s">
        <v>204</v>
      </c>
      <c r="C55" s="0" t="n">
        <v>5.542</v>
      </c>
      <c r="D55" s="0" t="n">
        <v>13.239</v>
      </c>
      <c r="E55" s="0" t="n">
        <v>2</v>
      </c>
      <c r="F55" s="0" t="s">
        <v>63</v>
      </c>
      <c r="G55" s="0" t="n">
        <v>16</v>
      </c>
      <c r="H55" s="0" t="n">
        <v>98.96</v>
      </c>
      <c r="I55" s="0" t="s">
        <v>205</v>
      </c>
      <c r="J55" s="0" t="s">
        <v>186</v>
      </c>
      <c r="K55" s="0" t="s">
        <v>66</v>
      </c>
    </row>
    <row r="56" customFormat="false" ht="15" hidden="false" customHeight="false" outlineLevel="0" collapsed="false">
      <c r="A56" s="0" t="s">
        <v>206</v>
      </c>
      <c r="B56" s="0" t="s">
        <v>207</v>
      </c>
      <c r="C56" s="0" t="n">
        <v>15.787</v>
      </c>
      <c r="D56" s="0" t="n">
        <v>12.863</v>
      </c>
      <c r="E56" s="0" t="n">
        <v>2</v>
      </c>
      <c r="F56" s="0" t="s">
        <v>63</v>
      </c>
      <c r="G56" s="0" t="n">
        <v>16</v>
      </c>
      <c r="H56" s="0" t="n">
        <v>262.8</v>
      </c>
      <c r="I56" s="0" t="s">
        <v>208</v>
      </c>
      <c r="J56" s="0" t="s">
        <v>186</v>
      </c>
      <c r="K56" s="0" t="s">
        <v>66</v>
      </c>
    </row>
    <row r="57" customFormat="false" ht="15" hidden="false" customHeight="false" outlineLevel="0" collapsed="false">
      <c r="A57" s="0" t="s">
        <v>209</v>
      </c>
      <c r="B57" s="0" t="s">
        <v>210</v>
      </c>
      <c r="C57" s="0" t="n">
        <v>11.407</v>
      </c>
      <c r="D57" s="0" t="n">
        <v>11.631</v>
      </c>
      <c r="E57" s="0" t="n">
        <v>2</v>
      </c>
      <c r="F57" s="0" t="s">
        <v>63</v>
      </c>
      <c r="G57" s="0" t="n">
        <v>16</v>
      </c>
      <c r="H57" s="0" t="n">
        <v>291.4</v>
      </c>
      <c r="I57" s="0" t="s">
        <v>211</v>
      </c>
      <c r="J57" s="0" t="s">
        <v>186</v>
      </c>
      <c r="K57" s="0" t="s">
        <v>66</v>
      </c>
    </row>
    <row r="58" customFormat="false" ht="15" hidden="false" customHeight="false" outlineLevel="0" collapsed="false">
      <c r="A58" s="0" t="s">
        <v>212</v>
      </c>
      <c r="B58" s="0" t="s">
        <v>213</v>
      </c>
      <c r="C58" s="0" t="n">
        <v>5.667</v>
      </c>
      <c r="D58" s="0" t="n">
        <v>15.375</v>
      </c>
      <c r="E58" s="0" t="n">
        <v>2</v>
      </c>
      <c r="F58" s="0" t="s">
        <v>63</v>
      </c>
      <c r="G58" s="0" t="n">
        <v>16</v>
      </c>
      <c r="H58" s="0" t="n">
        <v>111.64</v>
      </c>
      <c r="I58" s="0" t="s">
        <v>214</v>
      </c>
      <c r="J58" s="0" t="s">
        <v>186</v>
      </c>
      <c r="K58" s="0" t="s">
        <v>138</v>
      </c>
    </row>
    <row r="59" customFormat="false" ht="15" hidden="false" customHeight="false" outlineLevel="0" collapsed="false">
      <c r="A59" s="5" t="s">
        <v>215</v>
      </c>
    </row>
    <row r="60" customFormat="false" ht="15" hidden="false" customHeight="false" outlineLevel="0" collapsed="false">
      <c r="A60" s="0" t="s">
        <v>216</v>
      </c>
      <c r="B60" s="0" t="s">
        <v>217</v>
      </c>
      <c r="C60" s="0" t="n">
        <v>10.027</v>
      </c>
      <c r="D60" s="0" t="n">
        <v>12.924</v>
      </c>
      <c r="E60" s="0" t="n">
        <v>1</v>
      </c>
      <c r="F60" s="0" t="s">
        <v>112</v>
      </c>
      <c r="G60" s="0" t="n">
        <v>16</v>
      </c>
      <c r="H60" s="0" t="n">
        <v>129.58</v>
      </c>
      <c r="I60" s="0" t="s">
        <v>218</v>
      </c>
      <c r="J60" s="0" t="s">
        <v>219</v>
      </c>
      <c r="K60" s="0" t="s">
        <v>66</v>
      </c>
    </row>
    <row r="61" customFormat="false" ht="15" hidden="false" customHeight="false" outlineLevel="0" collapsed="false">
      <c r="A61" s="0" t="s">
        <v>220</v>
      </c>
      <c r="B61" s="0" t="s">
        <v>221</v>
      </c>
      <c r="C61" s="0" t="n">
        <v>10.027</v>
      </c>
      <c r="D61" s="0" t="n">
        <v>12.894</v>
      </c>
      <c r="E61" s="0" t="n">
        <v>1</v>
      </c>
      <c r="F61" s="0" t="s">
        <v>112</v>
      </c>
      <c r="G61" s="0" t="n">
        <v>16</v>
      </c>
      <c r="H61" s="0" t="n">
        <v>129.29</v>
      </c>
      <c r="I61" s="0" t="s">
        <v>222</v>
      </c>
      <c r="J61" s="0" t="s">
        <v>219</v>
      </c>
      <c r="K61" s="0" t="s">
        <v>66</v>
      </c>
    </row>
    <row r="62" customFormat="false" ht="15" hidden="false" customHeight="false" outlineLevel="0" collapsed="false">
      <c r="A62" s="0" t="s">
        <v>223</v>
      </c>
      <c r="B62" s="0" t="s">
        <v>224</v>
      </c>
      <c r="C62" s="0" t="n">
        <v>11.333</v>
      </c>
      <c r="D62" s="0" t="n">
        <v>15.375</v>
      </c>
      <c r="E62" s="0" t="n">
        <v>1</v>
      </c>
      <c r="F62" s="0" t="s">
        <v>112</v>
      </c>
      <c r="G62" s="0" t="n">
        <v>16</v>
      </c>
      <c r="H62" s="0" t="n">
        <v>174.25</v>
      </c>
      <c r="I62" s="0" t="s">
        <v>225</v>
      </c>
      <c r="J62" s="0" t="s">
        <v>219</v>
      </c>
      <c r="K62" s="0" t="s">
        <v>66</v>
      </c>
    </row>
    <row r="63" customFormat="false" ht="15" hidden="false" customHeight="false" outlineLevel="0" collapsed="false">
      <c r="A63" s="0" t="s">
        <v>226</v>
      </c>
      <c r="B63" s="0" t="s">
        <v>227</v>
      </c>
      <c r="C63" s="0" t="n">
        <v>3.56</v>
      </c>
      <c r="D63" s="0" t="n">
        <v>12.924</v>
      </c>
      <c r="E63" s="0" t="n">
        <v>1</v>
      </c>
      <c r="F63" s="0" t="s">
        <v>112</v>
      </c>
      <c r="G63" s="0" t="n">
        <v>16</v>
      </c>
      <c r="H63" s="0" t="n">
        <v>46.01</v>
      </c>
      <c r="I63" s="0" t="s">
        <v>228</v>
      </c>
      <c r="J63" s="0" t="s">
        <v>219</v>
      </c>
      <c r="K63" s="0" t="s">
        <v>66</v>
      </c>
    </row>
    <row r="64" customFormat="false" ht="15" hidden="false" customHeight="false" outlineLevel="0" collapsed="false">
      <c r="A64" s="0" t="s">
        <v>229</v>
      </c>
      <c r="B64" s="0" t="s">
        <v>230</v>
      </c>
      <c r="C64" s="0" t="n">
        <v>2.18</v>
      </c>
      <c r="D64" s="0" t="n">
        <v>15.375</v>
      </c>
      <c r="E64" s="0" t="n">
        <v>1.35</v>
      </c>
      <c r="F64" s="0" t="s">
        <v>112</v>
      </c>
      <c r="G64" s="0" t="n">
        <v>16</v>
      </c>
      <c r="H64" s="0" t="n">
        <v>45.19</v>
      </c>
      <c r="I64" s="0" t="s">
        <v>231</v>
      </c>
      <c r="J64" s="0" t="s">
        <v>219</v>
      </c>
      <c r="K64" s="0" t="s">
        <v>66</v>
      </c>
    </row>
    <row r="65" customFormat="false" ht="15" hidden="false" customHeight="false" outlineLevel="0" collapsed="false">
      <c r="A65" s="0" t="s">
        <v>232</v>
      </c>
      <c r="B65" s="0" t="s">
        <v>233</v>
      </c>
      <c r="C65" s="0" t="n">
        <v>4.013</v>
      </c>
      <c r="D65" s="0" t="n">
        <v>15.375</v>
      </c>
      <c r="E65" s="0" t="n">
        <v>1</v>
      </c>
      <c r="F65" s="0" t="s">
        <v>112</v>
      </c>
      <c r="G65" s="0" t="n">
        <v>16</v>
      </c>
      <c r="H65" s="0" t="n">
        <v>61.69</v>
      </c>
      <c r="I65" s="0" t="s">
        <v>234</v>
      </c>
      <c r="J65" s="0" t="s">
        <v>219</v>
      </c>
      <c r="K65" s="0" t="s">
        <v>66</v>
      </c>
    </row>
    <row r="66" customFormat="false" ht="15" hidden="false" customHeight="false" outlineLevel="0" collapsed="false">
      <c r="A66" s="0" t="s">
        <v>235</v>
      </c>
      <c r="B66" s="0" t="s">
        <v>236</v>
      </c>
      <c r="C66" s="0" t="n">
        <v>4.037</v>
      </c>
      <c r="D66" s="0" t="n">
        <v>15.375</v>
      </c>
      <c r="E66" s="0" t="n">
        <v>1</v>
      </c>
      <c r="F66" s="0" t="s">
        <v>112</v>
      </c>
      <c r="G66" s="0" t="n">
        <v>16</v>
      </c>
      <c r="H66" s="0" t="n">
        <v>62.06</v>
      </c>
      <c r="I66" s="0" t="s">
        <v>237</v>
      </c>
      <c r="J66" s="0" t="s">
        <v>219</v>
      </c>
      <c r="K66" s="0" t="s">
        <v>66</v>
      </c>
    </row>
    <row r="67" customFormat="false" ht="15" hidden="false" customHeight="false" outlineLevel="0" collapsed="false">
      <c r="A67" s="0" t="s">
        <v>238</v>
      </c>
      <c r="B67" s="0" t="s">
        <v>239</v>
      </c>
      <c r="C67" s="0" t="n">
        <v>4</v>
      </c>
      <c r="D67" s="0" t="n">
        <v>15.375</v>
      </c>
      <c r="E67" s="0" t="n">
        <v>1</v>
      </c>
      <c r="F67" s="0" t="s">
        <v>112</v>
      </c>
      <c r="G67" s="0" t="n">
        <v>16</v>
      </c>
      <c r="H67" s="0" t="n">
        <v>61.5</v>
      </c>
      <c r="I67" s="0" t="s">
        <v>240</v>
      </c>
      <c r="J67" s="0" t="s">
        <v>219</v>
      </c>
      <c r="K67" s="0" t="s">
        <v>66</v>
      </c>
    </row>
    <row r="68" customFormat="false" ht="15" hidden="false" customHeight="false" outlineLevel="0" collapsed="false">
      <c r="A68" s="5" t="s">
        <v>241</v>
      </c>
    </row>
    <row r="69" customFormat="false" ht="15" hidden="false" customHeight="false" outlineLevel="0" collapsed="false">
      <c r="A69" s="0" t="s">
        <v>242</v>
      </c>
      <c r="B69" s="0" t="s">
        <v>243</v>
      </c>
      <c r="C69" s="0" t="n">
        <v>17.761</v>
      </c>
      <c r="D69" s="0" t="n">
        <v>15.375</v>
      </c>
      <c r="E69" s="0" t="n">
        <v>2</v>
      </c>
      <c r="F69" s="0" t="s">
        <v>112</v>
      </c>
      <c r="G69" s="0" t="n">
        <v>16</v>
      </c>
      <c r="H69" s="0" t="n">
        <v>325.37</v>
      </c>
      <c r="I69" s="0" t="s">
        <v>244</v>
      </c>
      <c r="J69" s="0" t="s">
        <v>245</v>
      </c>
      <c r="K69" s="0" t="s">
        <v>66</v>
      </c>
    </row>
    <row r="70" customFormat="false" ht="15" hidden="false" customHeight="false" outlineLevel="0" collapsed="false">
      <c r="A70" s="5" t="s">
        <v>246</v>
      </c>
    </row>
    <row r="71" customFormat="false" ht="15" hidden="false" customHeight="false" outlineLevel="0" collapsed="false">
      <c r="A71" s="0" t="s">
        <v>247</v>
      </c>
      <c r="B71" s="0" t="s">
        <v>248</v>
      </c>
      <c r="C71" s="0" t="n">
        <v>11.771</v>
      </c>
      <c r="D71" s="0" t="n">
        <v>15.375</v>
      </c>
      <c r="E71" s="0" t="n">
        <v>4</v>
      </c>
      <c r="F71" s="0" t="s">
        <v>249</v>
      </c>
      <c r="G71" s="0" t="n">
        <v>16</v>
      </c>
      <c r="H71" s="0" t="n">
        <v>723.92</v>
      </c>
      <c r="I71" s="0" t="s">
        <v>250</v>
      </c>
      <c r="J71" s="0" t="s">
        <v>251</v>
      </c>
      <c r="K71" s="0" t="s">
        <v>138</v>
      </c>
    </row>
    <row r="72" customFormat="false" ht="15" hidden="false" customHeight="false" outlineLevel="0" collapsed="false">
      <c r="A72" s="0" t="s">
        <v>252</v>
      </c>
      <c r="B72" s="0" t="s">
        <v>253</v>
      </c>
      <c r="C72" s="0" t="n">
        <v>3.507</v>
      </c>
      <c r="D72" s="0" t="n">
        <v>15.375</v>
      </c>
      <c r="E72" s="0" t="n">
        <v>4</v>
      </c>
      <c r="F72" s="0" t="s">
        <v>249</v>
      </c>
      <c r="G72" s="0" t="n">
        <v>16</v>
      </c>
      <c r="H72" s="0" t="n">
        <v>215.68</v>
      </c>
      <c r="I72" s="0" t="s">
        <v>254</v>
      </c>
      <c r="J72" s="0" t="s">
        <v>255</v>
      </c>
      <c r="K72" s="0" t="s">
        <v>66</v>
      </c>
    </row>
    <row r="73" customFormat="false" ht="15" hidden="false" customHeight="false" outlineLevel="0" collapsed="false">
      <c r="A73" s="0" t="s">
        <v>256</v>
      </c>
      <c r="B73" s="0" t="s">
        <v>257</v>
      </c>
      <c r="C73" s="0" t="n">
        <v>3.18</v>
      </c>
      <c r="D73" s="0" t="n">
        <v>15.375</v>
      </c>
      <c r="E73" s="0" t="n">
        <v>4</v>
      </c>
      <c r="F73" s="0" t="s">
        <v>249</v>
      </c>
      <c r="G73" s="0" t="n">
        <v>16</v>
      </c>
      <c r="H73" s="0" t="n">
        <v>195.58</v>
      </c>
      <c r="I73" s="0" t="s">
        <v>258</v>
      </c>
      <c r="J73" s="0" t="s">
        <v>255</v>
      </c>
      <c r="K73" s="0" t="s">
        <v>66</v>
      </c>
    </row>
    <row r="74" customFormat="false" ht="15" hidden="false" customHeight="false" outlineLevel="0" collapsed="false">
      <c r="A74" s="5" t="s">
        <v>259</v>
      </c>
    </row>
    <row r="75" customFormat="false" ht="15" hidden="false" customHeight="false" outlineLevel="0" collapsed="false">
      <c r="A75" s="0" t="s">
        <v>260</v>
      </c>
      <c r="B75" s="0" t="s">
        <v>261</v>
      </c>
      <c r="C75" s="0" t="n">
        <v>11.767</v>
      </c>
      <c r="D75" s="0" t="n">
        <v>15.375</v>
      </c>
      <c r="E75" s="0" t="n">
        <v>4</v>
      </c>
      <c r="F75" s="0" t="s">
        <v>249</v>
      </c>
      <c r="G75" s="0" t="n">
        <v>16</v>
      </c>
      <c r="H75" s="0" t="n">
        <v>723.68</v>
      </c>
      <c r="I75" s="0" t="s">
        <v>262</v>
      </c>
      <c r="J75" s="0" t="s">
        <v>251</v>
      </c>
      <c r="K75" s="0" t="s">
        <v>66</v>
      </c>
    </row>
    <row r="76" customFormat="false" ht="15" hidden="false" customHeight="false" outlineLevel="0" collapsed="false">
      <c r="A76" s="0" t="s">
        <v>263</v>
      </c>
      <c r="B76" s="0" t="s">
        <v>264</v>
      </c>
      <c r="C76" s="0" t="n">
        <v>11.771</v>
      </c>
      <c r="D76" s="0" t="n">
        <v>15.375</v>
      </c>
      <c r="E76" s="0" t="n">
        <v>4</v>
      </c>
      <c r="F76" s="0" t="s">
        <v>249</v>
      </c>
      <c r="G76" s="0" t="n">
        <v>16</v>
      </c>
      <c r="H76" s="0" t="n">
        <v>723.92</v>
      </c>
      <c r="I76" s="0" t="s">
        <v>265</v>
      </c>
      <c r="J76" s="0" t="s">
        <v>251</v>
      </c>
      <c r="K76" s="0" t="s">
        <v>138</v>
      </c>
    </row>
    <row r="77" customFormat="false" ht="15" hidden="false" customHeight="false" outlineLevel="0" collapsed="false">
      <c r="A77" s="0" t="s">
        <v>266</v>
      </c>
      <c r="B77" s="0" t="s">
        <v>267</v>
      </c>
      <c r="C77" s="0" t="n">
        <v>10.073</v>
      </c>
      <c r="D77" s="0" t="n">
        <v>15.375</v>
      </c>
      <c r="E77" s="0" t="n">
        <v>4</v>
      </c>
      <c r="F77" s="0" t="s">
        <v>249</v>
      </c>
      <c r="G77" s="0" t="n">
        <v>16</v>
      </c>
      <c r="H77" s="0" t="n">
        <v>619.48</v>
      </c>
      <c r="I77" s="0" t="s">
        <v>268</v>
      </c>
      <c r="J77" s="0" t="s">
        <v>251</v>
      </c>
      <c r="K77" s="0" t="s">
        <v>66</v>
      </c>
    </row>
    <row r="78" customFormat="false" ht="15" hidden="false" customHeight="false" outlineLevel="0" collapsed="false">
      <c r="A78" s="0" t="s">
        <v>269</v>
      </c>
      <c r="B78" s="0" t="s">
        <v>270</v>
      </c>
      <c r="C78" s="0" t="n">
        <v>2.42</v>
      </c>
      <c r="D78" s="0" t="n">
        <v>14.383</v>
      </c>
      <c r="E78" s="0" t="n">
        <v>4</v>
      </c>
      <c r="F78" s="0" t="s">
        <v>249</v>
      </c>
      <c r="G78" s="0" t="n">
        <v>16</v>
      </c>
      <c r="H78" s="0" t="n">
        <v>148.82</v>
      </c>
      <c r="I78" s="0" t="s">
        <v>271</v>
      </c>
      <c r="J78" s="0" t="s">
        <v>255</v>
      </c>
      <c r="K78" s="0" t="s">
        <v>66</v>
      </c>
    </row>
    <row r="79" customFormat="false" ht="15" hidden="false" customHeight="false" outlineLevel="0" collapsed="false">
      <c r="A79" s="0" t="s">
        <v>272</v>
      </c>
      <c r="B79" s="0" t="s">
        <v>273</v>
      </c>
      <c r="C79" s="0" t="n">
        <v>3.467</v>
      </c>
      <c r="D79" s="0" t="n">
        <v>14.383</v>
      </c>
      <c r="E79" s="0" t="n">
        <v>4</v>
      </c>
      <c r="F79" s="0" t="s">
        <v>249</v>
      </c>
      <c r="G79" s="0" t="n">
        <v>16</v>
      </c>
      <c r="H79" s="0" t="n">
        <v>213.22</v>
      </c>
      <c r="I79" s="0" t="s">
        <v>274</v>
      </c>
      <c r="J79" s="0" t="s">
        <v>255</v>
      </c>
      <c r="K79" s="0" t="s">
        <v>66</v>
      </c>
    </row>
    <row r="80" customFormat="false" ht="15" hidden="false" customHeight="false" outlineLevel="0" collapsed="false">
      <c r="A80" s="0" t="s">
        <v>275</v>
      </c>
      <c r="B80" s="0" t="s">
        <v>276</v>
      </c>
      <c r="C80" s="0" t="n">
        <v>3.253</v>
      </c>
      <c r="D80" s="0" t="n">
        <v>14.225</v>
      </c>
      <c r="E80" s="0" t="n">
        <v>4</v>
      </c>
      <c r="F80" s="0" t="s">
        <v>249</v>
      </c>
      <c r="G80" s="0" t="n">
        <v>16</v>
      </c>
      <c r="H80" s="0" t="n">
        <v>200.06</v>
      </c>
      <c r="I80" s="0" t="s">
        <v>274</v>
      </c>
      <c r="J80" s="0" t="s">
        <v>255</v>
      </c>
      <c r="K80" s="0" t="s">
        <v>66</v>
      </c>
    </row>
    <row r="81" customFormat="false" ht="15" hidden="false" customHeight="false" outlineLevel="0" collapsed="false">
      <c r="A81" s="0" t="s">
        <v>277</v>
      </c>
      <c r="B81" s="0" t="s">
        <v>278</v>
      </c>
      <c r="C81" s="0" t="n">
        <v>3.253</v>
      </c>
      <c r="D81" s="0" t="n">
        <v>14.225</v>
      </c>
      <c r="E81" s="0" t="n">
        <v>4</v>
      </c>
      <c r="F81" s="0" t="s">
        <v>249</v>
      </c>
      <c r="G81" s="0" t="n">
        <v>16</v>
      </c>
      <c r="H81" s="0" t="n">
        <v>200.06</v>
      </c>
      <c r="I81" s="0" t="s">
        <v>274</v>
      </c>
      <c r="J81" s="0" t="s">
        <v>255</v>
      </c>
      <c r="K81" s="0" t="s">
        <v>66</v>
      </c>
    </row>
    <row r="82" customFormat="false" ht="15" hidden="false" customHeight="false" outlineLevel="0" collapsed="false">
      <c r="A82" s="0" t="s">
        <v>279</v>
      </c>
      <c r="B82" s="0" t="s">
        <v>280</v>
      </c>
      <c r="C82" s="0" t="n">
        <v>12.332</v>
      </c>
      <c r="D82" s="0" t="n">
        <v>15.375</v>
      </c>
      <c r="E82" s="0" t="n">
        <v>4</v>
      </c>
      <c r="F82" s="0" t="s">
        <v>249</v>
      </c>
      <c r="G82" s="0" t="n">
        <v>16</v>
      </c>
      <c r="H82" s="0" t="n">
        <v>758.42</v>
      </c>
      <c r="I82" s="0" t="s">
        <v>281</v>
      </c>
      <c r="J82" s="0" t="s">
        <v>251</v>
      </c>
      <c r="K82" s="0" t="s">
        <v>66</v>
      </c>
    </row>
    <row r="83" customFormat="false" ht="15" hidden="false" customHeight="false" outlineLevel="0" collapsed="false">
      <c r="A83" s="0" t="s">
        <v>282</v>
      </c>
      <c r="B83" s="0" t="s">
        <v>283</v>
      </c>
      <c r="C83" s="0" t="n">
        <v>11.625</v>
      </c>
      <c r="D83" s="0" t="n">
        <v>15.375</v>
      </c>
      <c r="E83" s="0" t="n">
        <v>4</v>
      </c>
      <c r="F83" s="0" t="s">
        <v>249</v>
      </c>
      <c r="G83" s="0" t="n">
        <v>16</v>
      </c>
      <c r="H83" s="0" t="n">
        <v>714.94</v>
      </c>
      <c r="I83" s="0" t="s">
        <v>284</v>
      </c>
      <c r="J83" s="0" t="s">
        <v>251</v>
      </c>
      <c r="K83" s="0" t="s">
        <v>138</v>
      </c>
    </row>
    <row r="84" customFormat="false" ht="15" hidden="false" customHeight="false" outlineLevel="0" collapsed="false">
      <c r="A84" s="0" t="s">
        <v>285</v>
      </c>
      <c r="B84" s="0" t="s">
        <v>286</v>
      </c>
      <c r="C84" s="0" t="n">
        <v>11.625</v>
      </c>
      <c r="D84" s="0" t="n">
        <v>15.375</v>
      </c>
      <c r="E84" s="0" t="n">
        <v>4</v>
      </c>
      <c r="F84" s="0" t="s">
        <v>249</v>
      </c>
      <c r="G84" s="0" t="n">
        <v>16</v>
      </c>
      <c r="H84" s="0" t="n">
        <v>714.94</v>
      </c>
      <c r="I84" s="0" t="s">
        <v>287</v>
      </c>
      <c r="J84" s="0" t="s">
        <v>251</v>
      </c>
      <c r="K84" s="0" t="s">
        <v>138</v>
      </c>
    </row>
    <row r="85" customFormat="false" ht="15" hidden="false" customHeight="false" outlineLevel="0" collapsed="false">
      <c r="A85" s="5" t="s">
        <v>288</v>
      </c>
    </row>
    <row r="86" customFormat="false" ht="15" hidden="false" customHeight="false" outlineLevel="0" collapsed="false">
      <c r="A86" s="0" t="s">
        <v>289</v>
      </c>
      <c r="B86" s="0" t="s">
        <v>290</v>
      </c>
      <c r="C86" s="0" t="n">
        <v>30</v>
      </c>
      <c r="D86" s="0" t="n">
        <v>6.262</v>
      </c>
      <c r="E86" s="0" t="n">
        <v>5</v>
      </c>
      <c r="F86" s="0" t="s">
        <v>249</v>
      </c>
      <c r="G86" s="0" t="n">
        <v>16</v>
      </c>
      <c r="H86" s="0" t="n">
        <v>898.76</v>
      </c>
      <c r="I86" s="0" t="s">
        <v>291</v>
      </c>
      <c r="J86" s="0" t="s">
        <v>292</v>
      </c>
      <c r="K86" s="0" t="s">
        <v>138</v>
      </c>
    </row>
    <row r="87" customFormat="false" ht="15" hidden="false" customHeight="false" outlineLevel="0" collapsed="false">
      <c r="A87" s="0" t="s">
        <v>293</v>
      </c>
      <c r="B87" s="0" t="s">
        <v>294</v>
      </c>
      <c r="C87" s="0" t="n">
        <v>15</v>
      </c>
      <c r="D87" s="0" t="n">
        <v>7.375</v>
      </c>
      <c r="E87" s="0" t="n">
        <v>5</v>
      </c>
      <c r="F87" s="0" t="s">
        <v>249</v>
      </c>
      <c r="G87" s="0" t="n">
        <v>16</v>
      </c>
      <c r="H87" s="0" t="n">
        <v>451.86</v>
      </c>
      <c r="I87" s="0" t="s">
        <v>295</v>
      </c>
      <c r="J87" s="0" t="s">
        <v>292</v>
      </c>
      <c r="K87" s="0" t="s">
        <v>138</v>
      </c>
    </row>
    <row r="88" customFormat="false" ht="15" hidden="false" customHeight="false" outlineLevel="0" collapsed="false">
      <c r="B88" s="6" t="s">
        <v>296</v>
      </c>
      <c r="C88" s="4" t="n">
        <f aca="false">SUM(C5:C87)</f>
        <v>953.382</v>
      </c>
      <c r="H88" s="4" t="n">
        <f aca="false">SUM(H5:H87)</f>
        <v>16097.67</v>
      </c>
    </row>
    <row r="90" customFormat="false" ht="15" hidden="false" customHeight="false" outlineLevel="0" collapsed="false">
      <c r="A90" s="5" t="s">
        <v>297</v>
      </c>
    </row>
    <row r="91" customFormat="false" ht="15" hidden="false" customHeight="false" outlineLevel="0" collapsed="false">
      <c r="A91" s="0" t="s">
        <v>298</v>
      </c>
      <c r="B91" s="0" t="s">
        <v>299</v>
      </c>
      <c r="C91" s="0" t="n">
        <v>17.027</v>
      </c>
      <c r="D91" s="0" t="n">
        <v>4.375</v>
      </c>
      <c r="E91" s="0" t="n">
        <v>1</v>
      </c>
      <c r="F91" s="0" t="s">
        <v>112</v>
      </c>
      <c r="G91" s="0" t="n">
        <v>16</v>
      </c>
      <c r="H91" s="0" t="n">
        <v>17.03</v>
      </c>
      <c r="I91" s="0" t="s">
        <v>300</v>
      </c>
      <c r="J91" s="0" t="s">
        <v>301</v>
      </c>
      <c r="K91" s="0" t="s">
        <v>66</v>
      </c>
    </row>
    <row r="92" customFormat="false" ht="15" hidden="false" customHeight="false" outlineLevel="0" collapsed="false">
      <c r="A92" s="0" t="s">
        <v>302</v>
      </c>
      <c r="B92" s="0" t="s">
        <v>303</v>
      </c>
      <c r="C92" s="0" t="n">
        <v>30</v>
      </c>
      <c r="D92" s="0" t="n">
        <v>4.375</v>
      </c>
      <c r="E92" s="0" t="n">
        <v>1</v>
      </c>
      <c r="F92" s="0" t="s">
        <v>112</v>
      </c>
      <c r="G92" s="0" t="n">
        <v>16</v>
      </c>
      <c r="H92" s="0" t="n">
        <v>30</v>
      </c>
      <c r="I92" s="0" t="s">
        <v>304</v>
      </c>
      <c r="J92" s="0" t="s">
        <v>301</v>
      </c>
      <c r="K92" s="0" t="s">
        <v>66</v>
      </c>
    </row>
    <row r="93" customFormat="false" ht="15" hidden="false" customHeight="false" outlineLevel="0" collapsed="false">
      <c r="A93" s="0" t="s">
        <v>305</v>
      </c>
      <c r="B93" s="0" t="s">
        <v>306</v>
      </c>
      <c r="C93" s="0" t="n">
        <v>30</v>
      </c>
      <c r="D93" s="0" t="n">
        <v>3.383</v>
      </c>
      <c r="E93" s="0" t="n">
        <v>1</v>
      </c>
      <c r="F93" s="0" t="s">
        <v>112</v>
      </c>
      <c r="G93" s="0" t="n">
        <v>16</v>
      </c>
      <c r="H93" s="0" t="n">
        <v>30</v>
      </c>
      <c r="I93" s="0" t="s">
        <v>307</v>
      </c>
      <c r="J93" s="0" t="s">
        <v>301</v>
      </c>
      <c r="K93" s="0" t="s">
        <v>66</v>
      </c>
    </row>
    <row r="94" customFormat="false" ht="15" hidden="false" customHeight="false" outlineLevel="0" collapsed="false">
      <c r="A94" s="0" t="s">
        <v>308</v>
      </c>
      <c r="B94" s="0" t="s">
        <v>309</v>
      </c>
      <c r="C94" s="0" t="n">
        <v>6.44</v>
      </c>
      <c r="D94" s="0" t="n">
        <v>7.375</v>
      </c>
      <c r="E94" s="0" t="n">
        <v>1</v>
      </c>
      <c r="F94" s="0" t="s">
        <v>112</v>
      </c>
      <c r="G94" s="0" t="n">
        <v>16</v>
      </c>
      <c r="H94" s="0" t="n">
        <v>9.66</v>
      </c>
      <c r="I94" s="0" t="s">
        <v>310</v>
      </c>
      <c r="J94" s="0" t="s">
        <v>311</v>
      </c>
      <c r="K94" s="0" t="s">
        <v>66</v>
      </c>
    </row>
    <row r="95" customFormat="false" ht="15" hidden="false" customHeight="false" outlineLevel="0" collapsed="false">
      <c r="A95" s="0" t="s">
        <v>312</v>
      </c>
      <c r="B95" s="0" t="s">
        <v>313</v>
      </c>
      <c r="C95" s="0" t="n">
        <v>5.573</v>
      </c>
      <c r="D95" s="0" t="n">
        <v>5.052</v>
      </c>
      <c r="E95" s="0" t="n">
        <v>1</v>
      </c>
      <c r="F95" s="0" t="s">
        <v>112</v>
      </c>
      <c r="G95" s="0" t="n">
        <v>16</v>
      </c>
      <c r="H95" s="0" t="n">
        <v>8.36</v>
      </c>
      <c r="I95" s="0" t="s">
        <v>314</v>
      </c>
      <c r="J95" s="0" t="s">
        <v>311</v>
      </c>
      <c r="K95" s="0" t="s">
        <v>66</v>
      </c>
    </row>
    <row r="96" customFormat="false" ht="15" hidden="false" customHeight="false" outlineLevel="0" collapsed="false">
      <c r="A96" s="0" t="s">
        <v>315</v>
      </c>
      <c r="B96" s="0" t="s">
        <v>316</v>
      </c>
      <c r="C96" s="0" t="n">
        <v>6.44</v>
      </c>
      <c r="D96" s="0" t="n">
        <v>7.375</v>
      </c>
      <c r="E96" s="0" t="n">
        <v>1</v>
      </c>
      <c r="F96" s="0" t="s">
        <v>112</v>
      </c>
      <c r="G96" s="0" t="n">
        <v>16</v>
      </c>
      <c r="H96" s="0" t="n">
        <v>9.66</v>
      </c>
      <c r="I96" s="0" t="s">
        <v>317</v>
      </c>
      <c r="J96" s="0" t="s">
        <v>311</v>
      </c>
      <c r="K96" s="0" t="s">
        <v>66</v>
      </c>
    </row>
    <row r="97" customFormat="false" ht="15" hidden="false" customHeight="false" outlineLevel="0" collapsed="false">
      <c r="A97" s="0" t="s">
        <v>318</v>
      </c>
      <c r="B97" s="0" t="s">
        <v>319</v>
      </c>
      <c r="C97" s="0" t="n">
        <v>5.573</v>
      </c>
      <c r="D97" s="0" t="n">
        <v>5.052</v>
      </c>
      <c r="E97" s="0" t="n">
        <v>1</v>
      </c>
      <c r="F97" s="0" t="s">
        <v>112</v>
      </c>
      <c r="G97" s="0" t="n">
        <v>16</v>
      </c>
      <c r="H97" s="0" t="n">
        <v>8.36</v>
      </c>
      <c r="I97" s="0" t="s">
        <v>320</v>
      </c>
      <c r="J97" s="0" t="s">
        <v>311</v>
      </c>
      <c r="K97" s="0" t="s">
        <v>66</v>
      </c>
    </row>
    <row r="98" customFormat="false" ht="15" hidden="false" customHeight="false" outlineLevel="0" collapsed="false">
      <c r="A98" s="0" t="s">
        <v>321</v>
      </c>
      <c r="B98" s="0" t="s">
        <v>322</v>
      </c>
      <c r="C98" s="0" t="n">
        <v>26.25</v>
      </c>
      <c r="D98" s="0" t="n">
        <v>4.525</v>
      </c>
      <c r="E98" s="0" t="n">
        <v>1</v>
      </c>
      <c r="F98" s="0" t="s">
        <v>63</v>
      </c>
      <c r="G98" s="0" t="n">
        <v>16</v>
      </c>
      <c r="H98" s="0" t="n">
        <v>180.47</v>
      </c>
      <c r="I98" s="0" t="s">
        <v>323</v>
      </c>
      <c r="J98" s="0" t="s">
        <v>324</v>
      </c>
      <c r="K98" s="0" t="s">
        <v>138</v>
      </c>
    </row>
    <row r="99" customFormat="false" ht="15" hidden="false" customHeight="false" outlineLevel="0" collapsed="false">
      <c r="A99" s="0" t="s">
        <v>325</v>
      </c>
      <c r="B99" s="0" t="s">
        <v>326</v>
      </c>
      <c r="C99" s="0" t="n">
        <v>12.562</v>
      </c>
      <c r="D99" s="0" t="n">
        <v>4.983</v>
      </c>
      <c r="E99" s="0" t="n">
        <v>1</v>
      </c>
      <c r="F99" s="0" t="s">
        <v>63</v>
      </c>
      <c r="G99" s="0" t="n">
        <v>16</v>
      </c>
      <c r="H99" s="0" t="n">
        <v>86.37</v>
      </c>
      <c r="I99" s="0" t="s">
        <v>327</v>
      </c>
      <c r="J99" s="0" t="s">
        <v>324</v>
      </c>
      <c r="K99" s="0" t="s">
        <v>138</v>
      </c>
    </row>
    <row r="100" customFormat="false" ht="15" hidden="false" customHeight="false" outlineLevel="0" collapsed="false">
      <c r="A100" s="0" t="s">
        <v>328</v>
      </c>
      <c r="B100" s="0" t="s">
        <v>329</v>
      </c>
      <c r="C100" s="0" t="n">
        <v>6.5</v>
      </c>
      <c r="D100" s="0" t="n">
        <v>4.983</v>
      </c>
      <c r="E100" s="0" t="n">
        <v>1</v>
      </c>
      <c r="F100" s="0" t="s">
        <v>63</v>
      </c>
      <c r="G100" s="0" t="n">
        <v>16</v>
      </c>
      <c r="H100" s="0" t="n">
        <v>44.69</v>
      </c>
      <c r="I100" s="0" t="s">
        <v>330</v>
      </c>
      <c r="J100" s="0" t="s">
        <v>324</v>
      </c>
      <c r="K100" s="0" t="s">
        <v>138</v>
      </c>
    </row>
    <row r="101" customFormat="false" ht="15" hidden="false" customHeight="false" outlineLevel="0" collapsed="false">
      <c r="A101" s="0" t="s">
        <v>331</v>
      </c>
      <c r="B101" s="0" t="s">
        <v>332</v>
      </c>
      <c r="C101" s="0" t="n">
        <v>3.375</v>
      </c>
      <c r="D101" s="0" t="n">
        <v>14.358</v>
      </c>
      <c r="E101" s="0" t="n">
        <v>0</v>
      </c>
      <c r="F101" s="0" t="s">
        <v>63</v>
      </c>
      <c r="G101" s="0" t="n">
        <v>16</v>
      </c>
      <c r="H101" s="0" t="n">
        <v>0</v>
      </c>
      <c r="I101" s="0" t="s">
        <v>333</v>
      </c>
      <c r="J101" s="0" t="s">
        <v>334</v>
      </c>
      <c r="K101" s="0" t="s">
        <v>66</v>
      </c>
    </row>
    <row r="102" customFormat="false" ht="15" hidden="false" customHeight="false" outlineLevel="0" collapsed="false">
      <c r="A102" s="0" t="s">
        <v>335</v>
      </c>
      <c r="B102" s="0" t="s">
        <v>336</v>
      </c>
      <c r="C102" s="0" t="n">
        <v>3.229</v>
      </c>
      <c r="D102" s="0" t="n">
        <v>14.358</v>
      </c>
      <c r="E102" s="0" t="n">
        <v>0</v>
      </c>
      <c r="F102" s="0" t="s">
        <v>63</v>
      </c>
      <c r="G102" s="0" t="n">
        <v>16</v>
      </c>
      <c r="H102" s="0" t="n">
        <v>0</v>
      </c>
      <c r="I102" s="0" t="s">
        <v>337</v>
      </c>
      <c r="J102" s="0" t="s">
        <v>338</v>
      </c>
      <c r="K102" s="0" t="s">
        <v>66</v>
      </c>
    </row>
    <row r="103" customFormat="false" ht="15" hidden="false" customHeight="false" outlineLevel="0" collapsed="false">
      <c r="A103" s="0" t="s">
        <v>339</v>
      </c>
      <c r="B103" s="0" t="s">
        <v>340</v>
      </c>
      <c r="C103" s="0" t="n">
        <v>51.593</v>
      </c>
      <c r="D103" s="0" t="n">
        <v>3.113</v>
      </c>
      <c r="E103" s="0" t="n">
        <v>0</v>
      </c>
      <c r="F103" s="0" t="s">
        <v>112</v>
      </c>
      <c r="G103" s="0" t="n">
        <v>16</v>
      </c>
      <c r="H103" s="0" t="n">
        <v>0</v>
      </c>
      <c r="I103" s="0" t="s">
        <v>341</v>
      </c>
      <c r="J103" s="0" t="s">
        <v>342</v>
      </c>
      <c r="K103" s="0" t="s">
        <v>66</v>
      </c>
    </row>
    <row r="104" customFormat="false" ht="15" hidden="false" customHeight="false" outlineLevel="0" collapsed="false">
      <c r="A104" s="0" t="s">
        <v>343</v>
      </c>
      <c r="B104" s="0" t="s">
        <v>344</v>
      </c>
      <c r="C104" s="0" t="n">
        <v>51.593</v>
      </c>
      <c r="D104" s="0" t="n">
        <v>1.131</v>
      </c>
      <c r="E104" s="0" t="n">
        <v>1</v>
      </c>
      <c r="F104" s="0" t="s">
        <v>112</v>
      </c>
      <c r="G104" s="0" t="n">
        <v>16</v>
      </c>
      <c r="H104" s="0" t="n">
        <v>58.36</v>
      </c>
      <c r="I104" s="0" t="s">
        <v>345</v>
      </c>
      <c r="J104" s="0" t="s">
        <v>342</v>
      </c>
      <c r="K104" s="0" t="s">
        <v>66</v>
      </c>
    </row>
    <row r="105" customFormat="false" ht="15" hidden="false" customHeight="false" outlineLevel="0" collapsed="false">
      <c r="A105" s="0" t="s">
        <v>346</v>
      </c>
      <c r="B105" s="0" t="s">
        <v>347</v>
      </c>
      <c r="C105" s="0" t="n">
        <v>51.593</v>
      </c>
      <c r="D105" s="0" t="n">
        <v>3.46</v>
      </c>
      <c r="E105" s="0" t="n">
        <v>1</v>
      </c>
      <c r="F105" s="0" t="s">
        <v>112</v>
      </c>
      <c r="G105" s="0" t="n">
        <v>16</v>
      </c>
      <c r="H105" s="0" t="n">
        <v>178.51</v>
      </c>
      <c r="I105" s="0" t="s">
        <v>348</v>
      </c>
      <c r="J105" s="0" t="s">
        <v>342</v>
      </c>
      <c r="K105" s="0" t="s">
        <v>66</v>
      </c>
    </row>
    <row r="106" customFormat="false" ht="15" hidden="false" customHeight="false" outlineLevel="0" collapsed="false">
      <c r="A106" s="0" t="s">
        <v>349</v>
      </c>
      <c r="B106" s="0" t="s">
        <v>350</v>
      </c>
      <c r="C106" s="0" t="n">
        <v>15.646</v>
      </c>
      <c r="D106" s="0" t="n">
        <v>5.375</v>
      </c>
      <c r="E106" s="0" t="n">
        <v>0</v>
      </c>
      <c r="F106" s="0" t="s">
        <v>112</v>
      </c>
      <c r="G106" s="0" t="n">
        <v>16</v>
      </c>
      <c r="H106" s="0" t="n">
        <v>0</v>
      </c>
      <c r="I106" s="0" t="s">
        <v>351</v>
      </c>
      <c r="J106" s="0" t="s">
        <v>352</v>
      </c>
      <c r="K106" s="0" t="s">
        <v>138</v>
      </c>
    </row>
    <row r="107" customFormat="false" ht="15" hidden="false" customHeight="false" outlineLevel="0" collapsed="false">
      <c r="A107" s="0" t="s">
        <v>353</v>
      </c>
      <c r="B107" s="0" t="s">
        <v>354</v>
      </c>
      <c r="C107" s="0" t="n">
        <v>6.417</v>
      </c>
      <c r="D107" s="0" t="n">
        <v>5.375</v>
      </c>
      <c r="E107" s="0" t="n">
        <v>0</v>
      </c>
      <c r="F107" s="0" t="s">
        <v>112</v>
      </c>
      <c r="G107" s="0" t="n">
        <v>16</v>
      </c>
      <c r="H107" s="0" t="n">
        <v>0</v>
      </c>
      <c r="I107" s="0" t="s">
        <v>355</v>
      </c>
      <c r="J107" s="0" t="s">
        <v>352</v>
      </c>
      <c r="K107" s="0" t="s">
        <v>138</v>
      </c>
    </row>
    <row r="108" customFormat="false" ht="15" hidden="false" customHeight="false" outlineLevel="0" collapsed="false">
      <c r="A108" s="0" t="s">
        <v>356</v>
      </c>
      <c r="B108" s="0" t="s">
        <v>357</v>
      </c>
      <c r="C108" s="0" t="n">
        <v>14.25</v>
      </c>
      <c r="D108" s="0" t="n">
        <v>2</v>
      </c>
      <c r="E108" s="0" t="n">
        <v>3</v>
      </c>
      <c r="F108" s="0" t="s">
        <v>358</v>
      </c>
      <c r="G108" s="0" t="n">
        <v>16</v>
      </c>
      <c r="H108" s="0" t="n">
        <v>39.03</v>
      </c>
      <c r="I108" s="0" t="s">
        <v>359</v>
      </c>
      <c r="J108" s="0" t="s">
        <v>360</v>
      </c>
      <c r="K108" s="0" t="s">
        <v>138</v>
      </c>
    </row>
    <row r="109" customFormat="false" ht="15" hidden="false" customHeight="false" outlineLevel="0" collapsed="false">
      <c r="A109" s="0" t="s">
        <v>361</v>
      </c>
      <c r="B109" s="0" t="s">
        <v>362</v>
      </c>
      <c r="C109" s="0" t="n">
        <v>78.153</v>
      </c>
      <c r="D109" s="0" t="n">
        <v>1.865</v>
      </c>
      <c r="E109" s="0" t="n">
        <v>0</v>
      </c>
      <c r="F109" s="0" t="s">
        <v>112</v>
      </c>
      <c r="G109" s="0" t="n">
        <v>16</v>
      </c>
      <c r="H109" s="0" t="n">
        <v>0</v>
      </c>
      <c r="I109" s="0" t="s">
        <v>363</v>
      </c>
      <c r="J109" s="0" t="s">
        <v>364</v>
      </c>
      <c r="K109" s="0" t="s">
        <v>66</v>
      </c>
    </row>
    <row r="110" customFormat="false" ht="15" hidden="false" customHeight="false" outlineLevel="0" collapsed="false">
      <c r="A110" s="0" t="s">
        <v>365</v>
      </c>
      <c r="B110" s="0" t="s">
        <v>366</v>
      </c>
      <c r="C110" s="0" t="n">
        <v>54.98</v>
      </c>
      <c r="D110" s="0" t="n">
        <v>1.865</v>
      </c>
      <c r="E110" s="0" t="n">
        <v>0</v>
      </c>
      <c r="F110" s="0" t="s">
        <v>112</v>
      </c>
      <c r="G110" s="0" t="n">
        <v>16</v>
      </c>
      <c r="H110" s="0" t="n">
        <v>0</v>
      </c>
      <c r="I110" s="0" t="s">
        <v>367</v>
      </c>
      <c r="J110" s="0" t="s">
        <v>364</v>
      </c>
      <c r="K110" s="0" t="s">
        <v>66</v>
      </c>
    </row>
    <row r="111" customFormat="false" ht="15" hidden="false" customHeight="false" outlineLevel="0" collapsed="false">
      <c r="A111" s="0" t="s">
        <v>368</v>
      </c>
      <c r="B111" s="0" t="s">
        <v>369</v>
      </c>
      <c r="C111" s="0" t="n">
        <v>28.987</v>
      </c>
      <c r="D111" s="0" t="n">
        <v>1.865</v>
      </c>
      <c r="E111" s="0" t="n">
        <v>0</v>
      </c>
      <c r="F111" s="0" t="s">
        <v>112</v>
      </c>
      <c r="G111" s="0" t="n">
        <v>16</v>
      </c>
      <c r="H111" s="0" t="n">
        <v>0</v>
      </c>
      <c r="I111" s="0" t="s">
        <v>370</v>
      </c>
      <c r="J111" s="0" t="s">
        <v>364</v>
      </c>
      <c r="K111" s="0" t="s">
        <v>66</v>
      </c>
    </row>
    <row r="112" customFormat="false" ht="15" hidden="false" customHeight="false" outlineLevel="0" collapsed="false">
      <c r="A112" s="0" t="s">
        <v>371</v>
      </c>
      <c r="B112" s="0" t="s">
        <v>372</v>
      </c>
      <c r="C112" s="0" t="n">
        <v>77.42</v>
      </c>
      <c r="D112" s="0" t="n">
        <v>1.865</v>
      </c>
      <c r="E112" s="0" t="n">
        <v>0</v>
      </c>
      <c r="F112" s="0" t="s">
        <v>112</v>
      </c>
      <c r="G112" s="0" t="n">
        <v>16</v>
      </c>
      <c r="H112" s="0" t="n">
        <v>0</v>
      </c>
      <c r="I112" s="0" t="s">
        <v>373</v>
      </c>
      <c r="J112" s="0" t="s">
        <v>364</v>
      </c>
      <c r="K112" s="0" t="s">
        <v>66</v>
      </c>
    </row>
    <row r="113" customFormat="false" ht="15" hidden="false" customHeight="false" outlineLevel="0" collapsed="false">
      <c r="A113" s="0" t="s">
        <v>374</v>
      </c>
      <c r="B113" s="0" t="s">
        <v>375</v>
      </c>
      <c r="C113" s="0" t="n">
        <v>7.478</v>
      </c>
      <c r="D113" s="0" t="n">
        <v>12.193</v>
      </c>
      <c r="E113" s="0" t="n">
        <v>2</v>
      </c>
      <c r="F113" s="0" t="s">
        <v>112</v>
      </c>
      <c r="G113" s="0" t="n">
        <v>16</v>
      </c>
      <c r="H113" s="0" t="n">
        <v>140.28</v>
      </c>
      <c r="I113" s="0" t="s">
        <v>376</v>
      </c>
      <c r="J113" s="0" t="s">
        <v>128</v>
      </c>
      <c r="K113" s="0" t="s">
        <v>66</v>
      </c>
    </row>
    <row r="114" customFormat="false" ht="15" hidden="false" customHeight="false" outlineLevel="0" collapsed="false">
      <c r="A114" s="0" t="s">
        <v>377</v>
      </c>
      <c r="B114" s="0" t="s">
        <v>378</v>
      </c>
      <c r="C114" s="0" t="n">
        <v>0.333</v>
      </c>
      <c r="D114" s="0" t="n">
        <v>15.375</v>
      </c>
      <c r="E114" s="0" t="n">
        <v>4</v>
      </c>
      <c r="F114" s="0" t="s">
        <v>249</v>
      </c>
      <c r="G114" s="0" t="n">
        <v>16</v>
      </c>
      <c r="H114" s="0" t="n">
        <v>20.48</v>
      </c>
      <c r="I114" s="0" t="s">
        <v>379</v>
      </c>
      <c r="J114" s="0" t="s">
        <v>255</v>
      </c>
      <c r="K114" s="0" t="s">
        <v>138</v>
      </c>
    </row>
    <row r="115" customFormat="false" ht="15" hidden="false" customHeight="false" outlineLevel="0" collapsed="false">
      <c r="A115" s="0" t="s">
        <v>380</v>
      </c>
      <c r="B115" s="0" t="s">
        <v>381</v>
      </c>
      <c r="C115" s="0" t="n">
        <v>0.333</v>
      </c>
      <c r="D115" s="0" t="n">
        <v>15.375</v>
      </c>
      <c r="E115" s="0" t="n">
        <v>4</v>
      </c>
      <c r="F115" s="0" t="s">
        <v>249</v>
      </c>
      <c r="G115" s="0" t="n">
        <v>16</v>
      </c>
      <c r="H115" s="0" t="n">
        <v>20.48</v>
      </c>
      <c r="I115" s="0" t="s">
        <v>382</v>
      </c>
      <c r="J115" s="0" t="s">
        <v>255</v>
      </c>
      <c r="K115" s="0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383</v>
      </c>
    </row>
    <row r="2" customFormat="false" ht="15" hidden="false" customHeight="false" outlineLevel="0" collapsed="false">
      <c r="A2" s="0" t="s">
        <v>384</v>
      </c>
    </row>
    <row r="3" customFormat="false" ht="15" hidden="false" customHeight="false" outlineLevel="0" collapsed="false">
      <c r="A3" s="2" t="s">
        <v>385</v>
      </c>
      <c r="B3" s="2" t="s">
        <v>386</v>
      </c>
      <c r="C3" s="2" t="s">
        <v>387</v>
      </c>
      <c r="D3" s="2" t="s">
        <v>388</v>
      </c>
      <c r="E3" s="2" t="s">
        <v>389</v>
      </c>
      <c r="F3" s="2" t="s">
        <v>390</v>
      </c>
      <c r="G3" s="2" t="s">
        <v>391</v>
      </c>
      <c r="H3" s="2" t="s">
        <v>392</v>
      </c>
      <c r="I3" s="2" t="s">
        <v>393</v>
      </c>
      <c r="J3" s="2" t="s">
        <v>394</v>
      </c>
    </row>
    <row r="4" customFormat="false" ht="15" hidden="false" customHeight="false" outlineLevel="0" collapsed="false">
      <c r="A4" s="0" t="s">
        <v>395</v>
      </c>
      <c r="B4" s="0" t="s">
        <v>396</v>
      </c>
      <c r="C4" s="0" t="n">
        <v>4561.16</v>
      </c>
      <c r="D4" s="0" t="n">
        <f aca="false">Inputs!$B$5</f>
        <v>0.15</v>
      </c>
      <c r="E4" s="0" t="n">
        <f aca="false">C4*D4</f>
        <v>684.174</v>
      </c>
      <c r="F4" s="0" t="n">
        <f aca="false">C4+E4</f>
        <v>5245.334</v>
      </c>
      <c r="G4" s="0" t="s">
        <v>397</v>
      </c>
      <c r="H4" s="0" t="n">
        <f aca="false">ROUNDUP(F4/Inputs!$B$10,0)</f>
        <v>263</v>
      </c>
      <c r="I4" s="0" t="s">
        <v>398</v>
      </c>
    </row>
    <row r="5" customFormat="false" ht="15" hidden="false" customHeight="false" outlineLevel="0" collapsed="false">
      <c r="A5" s="0" t="s">
        <v>399</v>
      </c>
      <c r="B5" s="0" t="s">
        <v>396</v>
      </c>
      <c r="C5" s="0" t="n">
        <v>5847.9</v>
      </c>
      <c r="D5" s="0" t="n">
        <f aca="false">Inputs!$B$5</f>
        <v>0.15</v>
      </c>
      <c r="E5" s="0" t="n">
        <f aca="false">C5*D5</f>
        <v>877.185</v>
      </c>
      <c r="F5" s="0" t="n">
        <f aca="false">C5+E5</f>
        <v>6725.085</v>
      </c>
      <c r="G5" s="0" t="s">
        <v>397</v>
      </c>
      <c r="H5" s="0" t="n">
        <f aca="false">ROUNDUP(F5/Inputs!$B$10,0)</f>
        <v>337</v>
      </c>
      <c r="I5" s="0" t="s">
        <v>400</v>
      </c>
    </row>
    <row r="6" customFormat="false" ht="15" hidden="false" customHeight="false" outlineLevel="0" collapsed="false">
      <c r="A6" s="0" t="s">
        <v>401</v>
      </c>
      <c r="B6" s="0" t="s">
        <v>396</v>
      </c>
      <c r="C6" s="0" t="n">
        <v>4020.86</v>
      </c>
      <c r="D6" s="0" t="n">
        <f aca="false">Inputs!$B$5</f>
        <v>0.15</v>
      </c>
      <c r="E6" s="0" t="n">
        <f aca="false">C6*D6</f>
        <v>603.129</v>
      </c>
      <c r="F6" s="0" t="n">
        <f aca="false">C6+E6</f>
        <v>4623.989</v>
      </c>
      <c r="G6" s="0" t="s">
        <v>397</v>
      </c>
      <c r="H6" s="0" t="n">
        <f aca="false">ROUNDUP(F6/Inputs!$B$10,0)</f>
        <v>232</v>
      </c>
      <c r="I6" s="0" t="s">
        <v>402</v>
      </c>
    </row>
    <row r="7" customFormat="false" ht="15" hidden="false" customHeight="false" outlineLevel="0" collapsed="false">
      <c r="A7" s="0" t="s">
        <v>403</v>
      </c>
      <c r="B7" s="0" t="s">
        <v>396</v>
      </c>
      <c r="C7" s="0" t="n">
        <v>985.53</v>
      </c>
      <c r="D7" s="0" t="n">
        <f aca="false">Inputs!$B$5</f>
        <v>0.15</v>
      </c>
      <c r="E7" s="0" t="n">
        <f aca="false">C7*D7</f>
        <v>147.8295</v>
      </c>
      <c r="F7" s="0" t="n">
        <f aca="false">C7+E7</f>
        <v>1133.3595</v>
      </c>
      <c r="G7" s="0" t="s">
        <v>397</v>
      </c>
      <c r="H7" s="0" t="n">
        <f aca="false">ROUNDUP(F7/Inputs!$B$10,0)</f>
        <v>57</v>
      </c>
      <c r="I7" s="0" t="s">
        <v>404</v>
      </c>
    </row>
    <row r="8" customFormat="false" ht="15" hidden="false" customHeight="false" outlineLevel="0" collapsed="false">
      <c r="A8" s="0" t="s">
        <v>405</v>
      </c>
      <c r="B8" s="0" t="s">
        <v>396</v>
      </c>
      <c r="C8" s="0" t="n">
        <v>948.41</v>
      </c>
      <c r="D8" s="0" t="n">
        <f aca="false">Inputs!$B$5</f>
        <v>0.15</v>
      </c>
      <c r="E8" s="0" t="n">
        <f aca="false">C8*D8</f>
        <v>142.2615</v>
      </c>
      <c r="F8" s="0" t="n">
        <f aca="false">C8+E8</f>
        <v>1090.6715</v>
      </c>
      <c r="G8" s="0" t="s">
        <v>406</v>
      </c>
      <c r="H8" s="0" t="n">
        <f aca="false">ROUNDUP(F8/Inputs!$B$11,0)</f>
        <v>110</v>
      </c>
      <c r="I8" s="0" t="s">
        <v>407</v>
      </c>
    </row>
    <row r="9" customFormat="false" ht="15" hidden="false" customHeight="false" outlineLevel="0" collapsed="false">
      <c r="A9" s="0" t="s">
        <v>408</v>
      </c>
      <c r="B9" s="0" t="s">
        <v>396</v>
      </c>
      <c r="C9" s="0" t="n">
        <v>2466.65</v>
      </c>
      <c r="D9" s="0" t="n">
        <f aca="false">Inputs!$B$5</f>
        <v>0.15</v>
      </c>
      <c r="E9" s="0" t="n">
        <f aca="false">C9*D9</f>
        <v>369.9975</v>
      </c>
      <c r="F9" s="0" t="n">
        <f aca="false">C9+E9</f>
        <v>2836.6475</v>
      </c>
      <c r="G9" s="0" t="s">
        <v>409</v>
      </c>
      <c r="H9" s="0" t="n">
        <f aca="false">ROUNDUP(F9/Inputs!$B$16,0)</f>
        <v>178</v>
      </c>
      <c r="I9" s="0" t="s">
        <v>410</v>
      </c>
    </row>
    <row r="10" customFormat="false" ht="15" hidden="false" customHeight="false" outlineLevel="0" collapsed="false">
      <c r="A10" s="0" t="s">
        <v>411</v>
      </c>
      <c r="B10" s="0" t="s">
        <v>396</v>
      </c>
      <c r="C10" s="0" t="n">
        <v>272.55</v>
      </c>
      <c r="D10" s="0" t="n">
        <f aca="false">Inputs!$B$5</f>
        <v>0.15</v>
      </c>
      <c r="E10" s="0" t="n">
        <f aca="false">C10*D10</f>
        <v>40.8825</v>
      </c>
      <c r="F10" s="0" t="n">
        <f aca="false">C10+E10</f>
        <v>313.4325</v>
      </c>
      <c r="G10" s="0" t="s">
        <v>406</v>
      </c>
      <c r="H10" s="0" t="n">
        <f aca="false">ROUNDUP(F10/Inputs!$B$11,0)</f>
        <v>32</v>
      </c>
      <c r="I10" s="0" t="s">
        <v>412</v>
      </c>
    </row>
    <row r="11" customFormat="false" ht="15" hidden="false" customHeight="false" outlineLevel="0" collapsed="false">
      <c r="A11" s="0" t="s">
        <v>413</v>
      </c>
      <c r="B11" s="0" t="s">
        <v>396</v>
      </c>
      <c r="C11" s="0" t="n">
        <v>815.27</v>
      </c>
      <c r="D11" s="0" t="n">
        <f aca="false">Inputs!$B$5</f>
        <v>0.15</v>
      </c>
      <c r="E11" s="0" t="n">
        <f aca="false">C11*D11</f>
        <v>122.2905</v>
      </c>
      <c r="F11" s="0" t="n">
        <f aca="false">C11+E11</f>
        <v>937.5605</v>
      </c>
      <c r="G11" s="0" t="s">
        <v>397</v>
      </c>
      <c r="H11" s="0" t="n">
        <f aca="false">ROUNDUP(F11/Inputs!$B$10,0)</f>
        <v>47</v>
      </c>
      <c r="I11" s="0" t="s">
        <v>414</v>
      </c>
    </row>
    <row r="12" customFormat="false" ht="15" hidden="false" customHeight="false" outlineLevel="0" collapsed="false">
      <c r="A12" s="0" t="s">
        <v>415</v>
      </c>
      <c r="B12" s="0" t="s">
        <v>396</v>
      </c>
      <c r="C12" s="0" t="n">
        <v>119.12</v>
      </c>
      <c r="D12" s="0" t="n">
        <f aca="false">Inputs!$B$5</f>
        <v>0.15</v>
      </c>
      <c r="E12" s="0" t="n">
        <f aca="false">C12*D12</f>
        <v>17.868</v>
      </c>
      <c r="F12" s="0" t="n">
        <f aca="false">C12+E12</f>
        <v>136.988</v>
      </c>
      <c r="G12" s="0" t="s">
        <v>406</v>
      </c>
      <c r="H12" s="0" t="n">
        <f aca="false">ROUNDUP(F12/Inputs!$B$11,0)</f>
        <v>14</v>
      </c>
      <c r="I12" s="0" t="s">
        <v>416</v>
      </c>
    </row>
    <row r="13" customFormat="false" ht="15" hidden="false" customHeight="false" outlineLevel="0" collapsed="false">
      <c r="A13" s="0" t="s">
        <v>417</v>
      </c>
      <c r="B13" s="0" t="s">
        <v>396</v>
      </c>
      <c r="C13" s="0" t="n">
        <v>807.65</v>
      </c>
      <c r="D13" s="0" t="n">
        <f aca="false">Inputs!$B$5</f>
        <v>0.15</v>
      </c>
      <c r="E13" s="0" t="n">
        <f aca="false">C13*D13</f>
        <v>121.1475</v>
      </c>
      <c r="F13" s="0" t="n">
        <f aca="false">C13+E13</f>
        <v>928.7975</v>
      </c>
      <c r="G13" s="0" t="s">
        <v>418</v>
      </c>
      <c r="H13" s="0" t="n">
        <f aca="false">ROUNDUP(F13/Inputs!$B$17,0)</f>
        <v>78</v>
      </c>
      <c r="I13" s="0" t="s">
        <v>419</v>
      </c>
    </row>
    <row r="14" customFormat="false" ht="15" hidden="false" customHeight="false" outlineLevel="0" collapsed="false">
      <c r="A14" s="0" t="s">
        <v>420</v>
      </c>
      <c r="B14" s="0" t="s">
        <v>396</v>
      </c>
      <c r="C14" s="0" t="n">
        <v>315.98</v>
      </c>
      <c r="D14" s="0" t="n">
        <f aca="false">Inputs!$B$5</f>
        <v>0.15</v>
      </c>
      <c r="E14" s="0" t="n">
        <f aca="false">C14*D14</f>
        <v>47.397</v>
      </c>
      <c r="F14" s="0" t="n">
        <f aca="false">C14+E14</f>
        <v>363.377</v>
      </c>
      <c r="G14" s="0" t="s">
        <v>409</v>
      </c>
      <c r="H14" s="0" t="n">
        <f aca="false">ROUNDUP(F14/Inputs!$B$16,0)</f>
        <v>23</v>
      </c>
      <c r="I14" s="0" t="s">
        <v>421</v>
      </c>
    </row>
    <row r="15" customFormat="false" ht="15" hidden="false" customHeight="false" outlineLevel="0" collapsed="false">
      <c r="A15" s="0" t="s">
        <v>422</v>
      </c>
      <c r="B15" s="0" t="s">
        <v>396</v>
      </c>
      <c r="C15" s="0" t="n">
        <v>533.62</v>
      </c>
      <c r="D15" s="0" t="n">
        <f aca="false">Inputs!$B$5</f>
        <v>0.15</v>
      </c>
      <c r="E15" s="0" t="n">
        <f aca="false">C15*D15</f>
        <v>80.043</v>
      </c>
      <c r="F15" s="0" t="n">
        <f aca="false">C15+E15</f>
        <v>613.663</v>
      </c>
      <c r="G15" s="0" t="s">
        <v>33</v>
      </c>
      <c r="H15" s="0" t="n">
        <f aca="false">ROUNDUP(F15,0)</f>
        <v>614</v>
      </c>
      <c r="I15" s="0" t="s">
        <v>423</v>
      </c>
    </row>
    <row r="16" customFormat="false" ht="15" hidden="false" customHeight="false" outlineLevel="0" collapsed="false">
      <c r="A16" s="0" t="s">
        <v>424</v>
      </c>
      <c r="B16" s="0" t="s">
        <v>425</v>
      </c>
      <c r="C16" s="0" t="n">
        <v>17713.32</v>
      </c>
      <c r="D16" s="0" t="n">
        <f aca="false">Inputs!$B$6</f>
        <v>0.06</v>
      </c>
      <c r="E16" s="0" t="n">
        <f aca="false">C16*D16</f>
        <v>1062.7992</v>
      </c>
      <c r="F16" s="0" t="n">
        <f aca="false">C16+E16</f>
        <v>18776.1192</v>
      </c>
      <c r="G16" s="0" t="s">
        <v>426</v>
      </c>
      <c r="H16" s="0" t="n">
        <f aca="false">ROUNDUP(F16/Inputs!$B$9,0)</f>
        <v>392</v>
      </c>
      <c r="I16" s="0" t="s">
        <v>427</v>
      </c>
    </row>
    <row r="17" customFormat="false" ht="15" hidden="false" customHeight="false" outlineLevel="0" collapsed="false">
      <c r="A17" s="0" t="s">
        <v>428</v>
      </c>
      <c r="B17" s="0" t="s">
        <v>425</v>
      </c>
      <c r="C17" s="0" t="n">
        <v>258.87</v>
      </c>
      <c r="D17" s="0" t="n">
        <f aca="false">Inputs!$B$6</f>
        <v>0.06</v>
      </c>
      <c r="E17" s="0" t="n">
        <f aca="false">C17*D17</f>
        <v>15.5322</v>
      </c>
      <c r="F17" s="0" t="n">
        <f aca="false">C17+E17</f>
        <v>274.4022</v>
      </c>
      <c r="G17" s="0" t="s">
        <v>426</v>
      </c>
      <c r="H17" s="0" t="n">
        <f aca="false">ROUNDUP(F17/Inputs!$B$9,0)</f>
        <v>6</v>
      </c>
      <c r="I17" s="0" t="s">
        <v>429</v>
      </c>
    </row>
    <row r="18" customFormat="false" ht="15" hidden="false" customHeight="false" outlineLevel="0" collapsed="false">
      <c r="A18" s="0" t="s">
        <v>430</v>
      </c>
      <c r="B18" s="0" t="s">
        <v>425</v>
      </c>
      <c r="C18" s="0" t="n">
        <v>93.89</v>
      </c>
      <c r="D18" s="0" t="n">
        <f aca="false">Inputs!$B$6</f>
        <v>0.06</v>
      </c>
      <c r="E18" s="0" t="n">
        <f aca="false">C18*D18</f>
        <v>5.6334</v>
      </c>
      <c r="F18" s="0" t="n">
        <f aca="false">C18+E18</f>
        <v>99.5234</v>
      </c>
      <c r="G18" s="0" t="s">
        <v>431</v>
      </c>
      <c r="H18" s="0" t="n">
        <f aca="false">ROUNDUP(F18/32,0)</f>
        <v>4</v>
      </c>
      <c r="I18" s="0" t="s">
        <v>432</v>
      </c>
    </row>
    <row r="19" customFormat="false" ht="15" hidden="false" customHeight="false" outlineLevel="0" collapsed="false">
      <c r="A19" s="0" t="s">
        <v>433</v>
      </c>
      <c r="B19" s="0" t="s">
        <v>425</v>
      </c>
      <c r="C19" s="0" t="n">
        <v>63.83</v>
      </c>
      <c r="D19" s="0" t="n">
        <f aca="false">Inputs!$B$6</f>
        <v>0.06</v>
      </c>
      <c r="E19" s="0" t="n">
        <f aca="false">C19*D19</f>
        <v>3.8298</v>
      </c>
      <c r="F19" s="0" t="n">
        <f aca="false">C19+E19</f>
        <v>67.6598</v>
      </c>
      <c r="G19" s="0" t="s">
        <v>426</v>
      </c>
      <c r="H19" s="0" t="n">
        <f aca="false">ROUNDUP(F19/Inputs!$B$9,0)</f>
        <v>2</v>
      </c>
      <c r="I19" s="0" t="s">
        <v>434</v>
      </c>
    </row>
    <row r="20" customFormat="false" ht="15" hidden="false" customHeight="false" outlineLevel="0" collapsed="false">
      <c r="A20" s="0" t="s">
        <v>435</v>
      </c>
      <c r="B20" s="0" t="s">
        <v>425</v>
      </c>
      <c r="C20" s="0" t="n">
        <v>478.79</v>
      </c>
      <c r="D20" s="0" t="n">
        <f aca="false">Inputs!$B$6</f>
        <v>0.06</v>
      </c>
      <c r="E20" s="0" t="n">
        <f aca="false">C20*D20</f>
        <v>28.7274</v>
      </c>
      <c r="F20" s="0" t="n">
        <f aca="false">C20+E20</f>
        <v>507.5174</v>
      </c>
      <c r="G20" s="0" t="s">
        <v>426</v>
      </c>
      <c r="H20" s="0" t="n">
        <f aca="false">ROUNDUP(F20/Inputs!$B$9,0)</f>
        <v>11</v>
      </c>
      <c r="I20" s="0" t="s">
        <v>436</v>
      </c>
    </row>
    <row r="21" customFormat="false" ht="15" hidden="false" customHeight="false" outlineLevel="0" collapsed="false">
      <c r="A21" s="0" t="s">
        <v>437</v>
      </c>
      <c r="B21" s="0" t="s">
        <v>425</v>
      </c>
      <c r="C21" s="0" t="n">
        <v>933.99</v>
      </c>
      <c r="D21" s="0" t="n">
        <f aca="false">Inputs!$B$6</f>
        <v>0.06</v>
      </c>
      <c r="E21" s="0" t="n">
        <f aca="false">C21*D21</f>
        <v>56.0394</v>
      </c>
      <c r="F21" s="0" t="n">
        <f aca="false">C21+E21</f>
        <v>990.0294</v>
      </c>
      <c r="G21" s="0" t="s">
        <v>426</v>
      </c>
      <c r="H21" s="0" t="n">
        <f aca="false">ROUNDUP(F21/Inputs!$B$9,0)</f>
        <v>21</v>
      </c>
      <c r="I21" s="0" t="s">
        <v>438</v>
      </c>
    </row>
    <row r="22" customFormat="false" ht="15" hidden="false" customHeight="false" outlineLevel="0" collapsed="false">
      <c r="A22" s="0" t="s">
        <v>439</v>
      </c>
      <c r="B22" s="0" t="s">
        <v>396</v>
      </c>
      <c r="C22" s="0" t="n">
        <v>1057.82</v>
      </c>
      <c r="D22" s="0" t="n">
        <f aca="false">Inputs!$B$6</f>
        <v>0.06</v>
      </c>
      <c r="E22" s="0" t="n">
        <f aca="false">C22*D22</f>
        <v>63.4692</v>
      </c>
      <c r="F22" s="0" t="n">
        <f aca="false">C22+E22</f>
        <v>1121.2892</v>
      </c>
      <c r="G22" s="0" t="s">
        <v>440</v>
      </c>
      <c r="H22" s="0" t="n">
        <f aca="false">ROUNDUP(F22/16,0)</f>
        <v>71</v>
      </c>
      <c r="I22" s="0" t="s">
        <v>441</v>
      </c>
    </row>
    <row r="23" customFormat="false" ht="15" hidden="false" customHeight="false" outlineLevel="0" collapsed="false">
      <c r="A23" s="0" t="s">
        <v>442</v>
      </c>
      <c r="B23" s="0" t="s">
        <v>396</v>
      </c>
      <c r="C23" s="0" t="n">
        <v>622.67</v>
      </c>
      <c r="D23" s="0" t="n">
        <f aca="false">Inputs!$B$5</f>
        <v>0.15</v>
      </c>
      <c r="E23" s="0" t="n">
        <f aca="false">C23*D23</f>
        <v>93.4005</v>
      </c>
      <c r="F23" s="0" t="n">
        <f aca="false">C23+E23</f>
        <v>716.0705</v>
      </c>
      <c r="G23" s="0" t="s">
        <v>397</v>
      </c>
      <c r="H23" s="0" t="n">
        <f aca="false">ROUNDUP(F23/Inputs!$B$10,0)</f>
        <v>36</v>
      </c>
      <c r="I23" s="0" t="s">
        <v>443</v>
      </c>
    </row>
    <row r="24" customFormat="false" ht="15" hidden="false" customHeight="false" outlineLevel="0" collapsed="false">
      <c r="A24" s="0" t="s">
        <v>444</v>
      </c>
      <c r="B24" s="0" t="s">
        <v>396</v>
      </c>
      <c r="C24" s="0" t="n">
        <v>108.95</v>
      </c>
      <c r="D24" s="0" t="n">
        <f aca="false">Inputs!$B$5</f>
        <v>0.15</v>
      </c>
      <c r="E24" s="0" t="n">
        <f aca="false">C24*D24</f>
        <v>16.3425</v>
      </c>
      <c r="F24" s="0" t="n">
        <f aca="false">C24+E24</f>
        <v>125.2925</v>
      </c>
      <c r="G24" s="0" t="s">
        <v>397</v>
      </c>
      <c r="H24" s="0" t="n">
        <f aca="false">ROUNDUP(F24/Inputs!$B$10,0)</f>
        <v>7</v>
      </c>
      <c r="I24" s="0" t="s">
        <v>445</v>
      </c>
    </row>
    <row r="25" customFormat="false" ht="15" hidden="false" customHeight="false" outlineLevel="0" collapsed="false">
      <c r="A25" s="0" t="s">
        <v>446</v>
      </c>
      <c r="B25" s="0" t="s">
        <v>396</v>
      </c>
      <c r="C25" s="0" t="n">
        <v>1422.39</v>
      </c>
      <c r="D25" s="0" t="n">
        <f aca="false">Inputs!$B$5</f>
        <v>0.15</v>
      </c>
      <c r="E25" s="0" t="n">
        <f aca="false">C25*D25</f>
        <v>213.3585</v>
      </c>
      <c r="F25" s="0" t="n">
        <f aca="false">C25+E25</f>
        <v>1635.7485</v>
      </c>
      <c r="G25" s="0" t="s">
        <v>447</v>
      </c>
      <c r="H25" s="0" t="n">
        <f aca="false">ROUNDUP(F25/Inputs!$B$18,0)</f>
        <v>164</v>
      </c>
      <c r="I25" s="0" t="s">
        <v>448</v>
      </c>
    </row>
    <row r="26" customFormat="false" ht="15" hidden="false" customHeight="false" outlineLevel="0" collapsed="false">
      <c r="A26" s="0" t="s">
        <v>449</v>
      </c>
      <c r="B26" s="0" t="s">
        <v>425</v>
      </c>
      <c r="C26" s="0" t="n">
        <v>31.37</v>
      </c>
      <c r="D26" s="0" t="n">
        <f aca="false">Inputs!$B$6</f>
        <v>0.06</v>
      </c>
      <c r="E26" s="0" t="n">
        <f aca="false">C26*D26</f>
        <v>1.8822</v>
      </c>
      <c r="F26" s="0" t="n">
        <f aca="false">C26+E26</f>
        <v>33.2522</v>
      </c>
      <c r="G26" s="0" t="s">
        <v>431</v>
      </c>
      <c r="H26" s="0" t="n">
        <f aca="false">ROUNDUP(F26/32,0)</f>
        <v>2</v>
      </c>
      <c r="I26" s="0" t="s">
        <v>450</v>
      </c>
    </row>
    <row r="27" customFormat="false" ht="15" hidden="false" customHeight="false" outlineLevel="0" collapsed="false">
      <c r="A27" s="0" t="s">
        <v>451</v>
      </c>
      <c r="B27" s="0" t="s">
        <v>425</v>
      </c>
      <c r="C27" s="0" t="n">
        <v>329.74</v>
      </c>
      <c r="D27" s="0" t="n">
        <f aca="false">Inputs!$B$6</f>
        <v>0.06</v>
      </c>
      <c r="E27" s="0" t="n">
        <f aca="false">C27*D27</f>
        <v>19.7844</v>
      </c>
      <c r="F27" s="0" t="n">
        <f aca="false">C27+E27</f>
        <v>349.5244</v>
      </c>
      <c r="G27" s="0" t="s">
        <v>431</v>
      </c>
      <c r="H27" s="0" t="n">
        <f aca="false">ROUNDUP(F27/32,0)</f>
        <v>11</v>
      </c>
      <c r="I27" s="0" t="s">
        <v>452</v>
      </c>
    </row>
    <row r="28" customFormat="false" ht="15" hidden="false" customHeight="false" outlineLevel="0" collapsed="false">
      <c r="A28" s="0" t="s">
        <v>453</v>
      </c>
      <c r="B28" s="0" t="s">
        <v>396</v>
      </c>
      <c r="C28" s="0" t="n">
        <v>1141.84</v>
      </c>
      <c r="D28" s="0" t="n">
        <f aca="false">Inputs!$B$6</f>
        <v>0.06</v>
      </c>
      <c r="E28" s="0" t="n">
        <f aca="false">C28*D28</f>
        <v>68.5104</v>
      </c>
      <c r="F28" s="0" t="n">
        <f aca="false">C28+E28</f>
        <v>1210.3504</v>
      </c>
      <c r="G28" s="0" t="s">
        <v>454</v>
      </c>
      <c r="H28" s="0" t="n">
        <f aca="false">ROUNDUP(F28/Inputs!$B$15,0)</f>
        <v>49</v>
      </c>
      <c r="I28" s="0" t="s">
        <v>455</v>
      </c>
    </row>
    <row r="29" customFormat="false" ht="15" hidden="false" customHeight="false" outlineLevel="0" collapsed="false">
      <c r="A29" s="0" t="s">
        <v>456</v>
      </c>
      <c r="B29" s="0" t="s">
        <v>396</v>
      </c>
      <c r="C29" s="0" t="n">
        <v>956.63</v>
      </c>
      <c r="D29" s="0" t="n">
        <f aca="false">Inputs!$B$5</f>
        <v>0.15</v>
      </c>
      <c r="E29" s="0" t="n">
        <f aca="false">C29*D29</f>
        <v>143.4945</v>
      </c>
      <c r="F29" s="0" t="n">
        <f aca="false">C29+E29</f>
        <v>1100.1245</v>
      </c>
      <c r="G29" s="0" t="s">
        <v>397</v>
      </c>
      <c r="H29" s="0" t="n">
        <f aca="false">ROUNDUP(F29/Inputs!$B$10,0)</f>
        <v>56</v>
      </c>
      <c r="I29" s="0" t="s">
        <v>457</v>
      </c>
    </row>
    <row r="30" customFormat="false" ht="15" hidden="false" customHeight="false" outlineLevel="0" collapsed="false">
      <c r="A30" s="0" t="s">
        <v>458</v>
      </c>
      <c r="B30" s="0" t="s">
        <v>396</v>
      </c>
      <c r="C30" s="0" t="n">
        <v>298.3</v>
      </c>
      <c r="D30" s="0" t="n">
        <f aca="false">Inputs!$B$5</f>
        <v>0.15</v>
      </c>
      <c r="E30" s="0" t="n">
        <f aca="false">C30*D30</f>
        <v>44.745</v>
      </c>
      <c r="F30" s="0" t="n">
        <f aca="false">C30+E30</f>
        <v>343.045</v>
      </c>
      <c r="G30" s="0" t="s">
        <v>406</v>
      </c>
      <c r="H30" s="0" t="n">
        <f aca="false">ROUNDUP(F30/Inputs!$B$11,0)</f>
        <v>35</v>
      </c>
      <c r="I30" s="0" t="s">
        <v>459</v>
      </c>
    </row>
    <row r="31" customFormat="false" ht="15" hidden="false" customHeight="false" outlineLevel="0" collapsed="false">
      <c r="A31" s="0" t="s">
        <v>460</v>
      </c>
      <c r="B31" s="0" t="s">
        <v>396</v>
      </c>
      <c r="C31" s="0" t="n">
        <v>269.38</v>
      </c>
      <c r="D31" s="0" t="n">
        <f aca="false">Inputs!$B$5</f>
        <v>0.15</v>
      </c>
      <c r="E31" s="0" t="n">
        <f aca="false">C31*D31</f>
        <v>40.407</v>
      </c>
      <c r="F31" s="0" t="n">
        <f aca="false">C31+E31</f>
        <v>309.787</v>
      </c>
      <c r="G31" s="0" t="s">
        <v>406</v>
      </c>
      <c r="H31" s="0" t="n">
        <f aca="false">ROUNDUP(F31/Inputs!$B$11,0)</f>
        <v>31</v>
      </c>
      <c r="I31" s="0" t="s">
        <v>459</v>
      </c>
    </row>
    <row r="32" customFormat="false" ht="15" hidden="false" customHeight="false" outlineLevel="0" collapsed="false">
      <c r="A32" s="0" t="s">
        <v>461</v>
      </c>
      <c r="B32" s="0" t="s">
        <v>396</v>
      </c>
      <c r="C32" s="0" t="n">
        <v>66.17</v>
      </c>
      <c r="D32" s="0" t="n">
        <f aca="false">Inputs!$B$5</f>
        <v>0.15</v>
      </c>
      <c r="E32" s="0" t="n">
        <f aca="false">C32*D32</f>
        <v>9.9255</v>
      </c>
      <c r="F32" s="0" t="n">
        <f aca="false">C32+E32</f>
        <v>76.0955</v>
      </c>
      <c r="G32" s="0" t="s">
        <v>406</v>
      </c>
      <c r="H32" s="0" t="n">
        <f aca="false">ROUNDUP(F32/Inputs!$B$11,0)</f>
        <v>8</v>
      </c>
      <c r="I32" s="0" t="s">
        <v>459</v>
      </c>
    </row>
    <row r="33" customFormat="false" ht="15" hidden="false" customHeight="false" outlineLevel="0" collapsed="false">
      <c r="A33" s="0" t="s">
        <v>462</v>
      </c>
      <c r="B33" s="0" t="s">
        <v>396</v>
      </c>
      <c r="C33" s="0" t="n">
        <v>248.19</v>
      </c>
      <c r="D33" s="0" t="n">
        <f aca="false">Inputs!$B$5</f>
        <v>0.15</v>
      </c>
      <c r="E33" s="0" t="n">
        <f aca="false">C33*D33</f>
        <v>37.2285</v>
      </c>
      <c r="F33" s="0" t="n">
        <f aca="false">C33+E33</f>
        <v>285.4185</v>
      </c>
      <c r="G33" s="0" t="s">
        <v>406</v>
      </c>
      <c r="H33" s="0" t="n">
        <f aca="false">ROUNDUP(F33/Inputs!$B$11,0)</f>
        <v>29</v>
      </c>
      <c r="I33" s="0" t="s">
        <v>459</v>
      </c>
    </row>
    <row r="34" customFormat="false" ht="15" hidden="false" customHeight="false" outlineLevel="0" collapsed="false">
      <c r="A34" s="0" t="s">
        <v>463</v>
      </c>
      <c r="B34" s="0" t="s">
        <v>396</v>
      </c>
      <c r="C34" s="0" t="n">
        <v>176.84</v>
      </c>
      <c r="D34" s="0" t="n">
        <f aca="false">Inputs!$B$5</f>
        <v>0.15</v>
      </c>
      <c r="E34" s="0" t="n">
        <f aca="false">C34*D34</f>
        <v>26.526</v>
      </c>
      <c r="F34" s="0" t="n">
        <f aca="false">C34+E34</f>
        <v>203.366</v>
      </c>
      <c r="G34" s="0" t="s">
        <v>406</v>
      </c>
      <c r="H34" s="0" t="n">
        <f aca="false">ROUNDUP(F34/Inputs!$B$11,0)</f>
        <v>21</v>
      </c>
      <c r="I34" s="0" t="s">
        <v>459</v>
      </c>
    </row>
    <row r="35" customFormat="false" ht="15" hidden="false" customHeight="false" outlineLevel="0" collapsed="false">
      <c r="A35" s="0" t="s">
        <v>464</v>
      </c>
      <c r="B35" s="0" t="s">
        <v>396</v>
      </c>
      <c r="C35" s="0" t="n">
        <v>291.42</v>
      </c>
      <c r="D35" s="0" t="n">
        <f aca="false">Inputs!$B$5</f>
        <v>0.15</v>
      </c>
      <c r="E35" s="0" t="n">
        <f aca="false">C35*D35</f>
        <v>43.713</v>
      </c>
      <c r="F35" s="0" t="n">
        <f aca="false">C35+E35</f>
        <v>335.133</v>
      </c>
      <c r="G35" s="0" t="s">
        <v>406</v>
      </c>
      <c r="H35" s="0" t="n">
        <f aca="false">ROUNDUP(F35/Inputs!$B$11,0)</f>
        <v>34</v>
      </c>
      <c r="I35" s="0" t="s">
        <v>459</v>
      </c>
    </row>
    <row r="36" customFormat="false" ht="15" hidden="false" customHeight="false" outlineLevel="0" collapsed="false">
      <c r="A36" s="0" t="s">
        <v>465</v>
      </c>
      <c r="B36" s="0" t="s">
        <v>396</v>
      </c>
      <c r="C36" s="0" t="n">
        <v>298.3</v>
      </c>
      <c r="D36" s="0" t="n">
        <f aca="false">Inputs!$B$5</f>
        <v>0.15</v>
      </c>
      <c r="E36" s="0" t="n">
        <f aca="false">C36*D36</f>
        <v>44.745</v>
      </c>
      <c r="F36" s="0" t="n">
        <f aca="false">C36+E36</f>
        <v>343.045</v>
      </c>
      <c r="G36" s="0" t="s">
        <v>406</v>
      </c>
      <c r="H36" s="0" t="n">
        <f aca="false">ROUNDUP(F36/Inputs!$B$11,0)</f>
        <v>35</v>
      </c>
      <c r="I36" s="0" t="s">
        <v>466</v>
      </c>
    </row>
    <row r="37" customFormat="false" ht="15" hidden="false" customHeight="false" outlineLevel="0" collapsed="false">
      <c r="A37" s="0" t="s">
        <v>467</v>
      </c>
      <c r="B37" s="0" t="s">
        <v>396</v>
      </c>
      <c r="C37" s="0" t="n">
        <v>269.38</v>
      </c>
      <c r="D37" s="0" t="n">
        <f aca="false">Inputs!$B$5</f>
        <v>0.15</v>
      </c>
      <c r="E37" s="0" t="n">
        <f aca="false">C37*D37</f>
        <v>40.407</v>
      </c>
      <c r="F37" s="0" t="n">
        <f aca="false">C37+E37</f>
        <v>309.787</v>
      </c>
      <c r="G37" s="0" t="s">
        <v>406</v>
      </c>
      <c r="H37" s="0" t="n">
        <f aca="false">ROUNDUP(F37/Inputs!$B$11,0)</f>
        <v>31</v>
      </c>
      <c r="I37" s="0" t="s">
        <v>466</v>
      </c>
    </row>
    <row r="38" customFormat="false" ht="15" hidden="false" customHeight="false" outlineLevel="0" collapsed="false">
      <c r="A38" s="0" t="s">
        <v>468</v>
      </c>
      <c r="B38" s="0" t="s">
        <v>396</v>
      </c>
      <c r="C38" s="0" t="n">
        <v>66.17</v>
      </c>
      <c r="D38" s="0" t="n">
        <f aca="false">Inputs!$B$5</f>
        <v>0.15</v>
      </c>
      <c r="E38" s="0" t="n">
        <f aca="false">C38*D38</f>
        <v>9.9255</v>
      </c>
      <c r="F38" s="0" t="n">
        <f aca="false">C38+E38</f>
        <v>76.0955</v>
      </c>
      <c r="G38" s="0" t="s">
        <v>406</v>
      </c>
      <c r="H38" s="0" t="n">
        <f aca="false">ROUNDUP(F38/Inputs!$B$11,0)</f>
        <v>8</v>
      </c>
      <c r="I38" s="0" t="s">
        <v>466</v>
      </c>
    </row>
    <row r="39" customFormat="false" ht="15" hidden="false" customHeight="false" outlineLevel="0" collapsed="false">
      <c r="A39" s="0" t="s">
        <v>469</v>
      </c>
      <c r="B39" s="0" t="s">
        <v>396</v>
      </c>
      <c r="C39" s="0" t="n">
        <v>248.19</v>
      </c>
      <c r="D39" s="0" t="n">
        <f aca="false">Inputs!$B$5</f>
        <v>0.15</v>
      </c>
      <c r="E39" s="0" t="n">
        <f aca="false">C39*D39</f>
        <v>37.2285</v>
      </c>
      <c r="F39" s="0" t="n">
        <f aca="false">C39+E39</f>
        <v>285.4185</v>
      </c>
      <c r="G39" s="0" t="s">
        <v>406</v>
      </c>
      <c r="H39" s="0" t="n">
        <f aca="false">ROUNDUP(F39/Inputs!$B$11,0)</f>
        <v>29</v>
      </c>
      <c r="I39" s="0" t="s">
        <v>466</v>
      </c>
    </row>
    <row r="40" customFormat="false" ht="15" hidden="false" customHeight="false" outlineLevel="0" collapsed="false">
      <c r="A40" s="0" t="s">
        <v>470</v>
      </c>
      <c r="B40" s="0" t="s">
        <v>396</v>
      </c>
      <c r="C40" s="0" t="n">
        <v>176.84</v>
      </c>
      <c r="D40" s="0" t="n">
        <f aca="false">Inputs!$B$5</f>
        <v>0.15</v>
      </c>
      <c r="E40" s="0" t="n">
        <f aca="false">C40*D40</f>
        <v>26.526</v>
      </c>
      <c r="F40" s="0" t="n">
        <f aca="false">C40+E40</f>
        <v>203.366</v>
      </c>
      <c r="G40" s="0" t="s">
        <v>406</v>
      </c>
      <c r="H40" s="0" t="n">
        <f aca="false">ROUNDUP(F40/Inputs!$B$11,0)</f>
        <v>21</v>
      </c>
      <c r="I40" s="0" t="s">
        <v>466</v>
      </c>
    </row>
    <row r="41" customFormat="false" ht="15" hidden="false" customHeight="false" outlineLevel="0" collapsed="false">
      <c r="A41" s="0" t="s">
        <v>471</v>
      </c>
      <c r="B41" s="0" t="s">
        <v>396</v>
      </c>
      <c r="C41" s="0" t="n">
        <v>291.42</v>
      </c>
      <c r="D41" s="0" t="n">
        <f aca="false">Inputs!$B$5</f>
        <v>0.15</v>
      </c>
      <c r="E41" s="0" t="n">
        <f aca="false">C41*D41</f>
        <v>43.713</v>
      </c>
      <c r="F41" s="0" t="n">
        <f aca="false">C41+E41</f>
        <v>335.133</v>
      </c>
      <c r="G41" s="0" t="s">
        <v>406</v>
      </c>
      <c r="H41" s="0" t="n">
        <f aca="false">ROUNDUP(F41/Inputs!$B$11,0)</f>
        <v>34</v>
      </c>
      <c r="I41" s="0" t="s">
        <v>466</v>
      </c>
    </row>
    <row r="42" customFormat="false" ht="15" hidden="false" customHeight="false" outlineLevel="0" collapsed="false">
      <c r="A42" s="0" t="s">
        <v>472</v>
      </c>
      <c r="B42" s="0" t="s">
        <v>425</v>
      </c>
      <c r="C42" s="0" t="n">
        <v>4037.43</v>
      </c>
      <c r="D42" s="0" t="n">
        <f aca="false">Inputs!$B$6</f>
        <v>0.06</v>
      </c>
      <c r="E42" s="0" t="n">
        <f aca="false">C42*D42</f>
        <v>242.2458</v>
      </c>
      <c r="F42" s="0" t="n">
        <f aca="false">C42+E42</f>
        <v>4279.6758</v>
      </c>
      <c r="G42" s="0" t="s">
        <v>473</v>
      </c>
      <c r="H42" s="0" t="n">
        <f aca="false">ROUNDUP(F42/Inputs!$B$9,0)</f>
        <v>90</v>
      </c>
      <c r="I42" s="0" t="s">
        <v>474</v>
      </c>
    </row>
    <row r="43" customFormat="false" ht="15" hidden="false" customHeight="false" outlineLevel="0" collapsed="false">
      <c r="A43" s="0" t="s">
        <v>475</v>
      </c>
      <c r="B43" s="0" t="s">
        <v>425</v>
      </c>
      <c r="C43" s="0" t="n">
        <v>511.32</v>
      </c>
      <c r="D43" s="0" t="n">
        <f aca="false">Inputs!$B$6</f>
        <v>0.06</v>
      </c>
      <c r="E43" s="0" t="n">
        <f aca="false">C43*D43</f>
        <v>30.6792</v>
      </c>
      <c r="F43" s="0" t="n">
        <f aca="false">C43+E43</f>
        <v>541.9992</v>
      </c>
      <c r="G43" s="0" t="s">
        <v>473</v>
      </c>
      <c r="H43" s="0" t="n">
        <f aca="false">ROUNDUP(F43/Inputs!$B$9,0)</f>
        <v>12</v>
      </c>
      <c r="I43" s="0" t="s">
        <v>474</v>
      </c>
    </row>
    <row r="44" customFormat="false" ht="15" hidden="false" customHeight="false" outlineLevel="0" collapsed="false">
      <c r="A44" s="0" t="s">
        <v>476</v>
      </c>
      <c r="B44" s="0" t="s">
        <v>425</v>
      </c>
      <c r="C44" s="0" t="n">
        <v>35.48</v>
      </c>
      <c r="D44" s="0" t="n">
        <f aca="false">Inputs!$B$6</f>
        <v>0.06</v>
      </c>
      <c r="E44" s="0" t="n">
        <f aca="false">C44*D44</f>
        <v>2.1288</v>
      </c>
      <c r="F44" s="0" t="n">
        <f aca="false">C44+E44</f>
        <v>37.6088</v>
      </c>
      <c r="G44" s="0" t="s">
        <v>473</v>
      </c>
      <c r="H44" s="0" t="n">
        <f aca="false">ROUNDUP(F44/Inputs!$B$9,0)</f>
        <v>1</v>
      </c>
      <c r="I44" s="0" t="s">
        <v>474</v>
      </c>
    </row>
    <row r="45" customFormat="false" ht="15" hidden="false" customHeight="false" outlineLevel="0" collapsed="false">
      <c r="A45" s="0" t="s">
        <v>477</v>
      </c>
      <c r="B45" s="0" t="s">
        <v>425</v>
      </c>
      <c r="C45" s="0" t="n">
        <v>446.65</v>
      </c>
      <c r="D45" s="0" t="n">
        <f aca="false">Inputs!$B$6</f>
        <v>0.06</v>
      </c>
      <c r="E45" s="0" t="n">
        <f aca="false">C45*D45</f>
        <v>26.799</v>
      </c>
      <c r="F45" s="0" t="n">
        <f aca="false">C45+E45</f>
        <v>473.449</v>
      </c>
      <c r="G45" s="0" t="s">
        <v>473</v>
      </c>
      <c r="H45" s="0" t="n">
        <f aca="false">ROUNDUP(F45/Inputs!$B$9,0)</f>
        <v>10</v>
      </c>
      <c r="I45" s="0" t="s">
        <v>474</v>
      </c>
    </row>
    <row r="46" customFormat="false" ht="15" hidden="false" customHeight="false" outlineLevel="0" collapsed="false">
      <c r="A46" s="0" t="s">
        <v>478</v>
      </c>
      <c r="B46" s="0" t="s">
        <v>396</v>
      </c>
      <c r="C46" s="0" t="n">
        <v>215.07</v>
      </c>
      <c r="D46" s="0" t="n">
        <f aca="false">Inputs!$B$6</f>
        <v>0.06</v>
      </c>
      <c r="E46" s="0" t="n">
        <f aca="false">C46*D46</f>
        <v>12.9042</v>
      </c>
      <c r="F46" s="0" t="n">
        <f aca="false">C46+E46</f>
        <v>227.9742</v>
      </c>
      <c r="G46" s="0" t="s">
        <v>454</v>
      </c>
      <c r="H46" s="0" t="n">
        <f aca="false">ROUNDUP(F46/Inputs!$B$15,0)</f>
        <v>10</v>
      </c>
      <c r="I46" s="0" t="s">
        <v>479</v>
      </c>
    </row>
    <row r="47" customFormat="false" ht="15" hidden="false" customHeight="false" outlineLevel="0" collapsed="false">
      <c r="A47" s="0" t="s">
        <v>480</v>
      </c>
      <c r="B47" s="0" t="s">
        <v>481</v>
      </c>
      <c r="C47" s="0" t="n">
        <v>113</v>
      </c>
      <c r="D47" s="0" t="n">
        <v>0</v>
      </c>
      <c r="E47" s="0" t="n">
        <f aca="false">C47*D47</f>
        <v>0</v>
      </c>
      <c r="F47" s="0" t="n">
        <f aca="false">C47+E47</f>
        <v>113</v>
      </c>
      <c r="H47" s="0" t="n">
        <f aca="false">ROUNDUP(F47,0)</f>
        <v>113</v>
      </c>
      <c r="I47" s="0" t="s">
        <v>482</v>
      </c>
    </row>
    <row r="48" customFormat="false" ht="15" hidden="false" customHeight="false" outlineLevel="0" collapsed="false">
      <c r="A48" s="0" t="s">
        <v>483</v>
      </c>
      <c r="B48" s="0" t="s">
        <v>396</v>
      </c>
      <c r="C48" s="0" t="n">
        <v>56</v>
      </c>
      <c r="D48" s="0" t="n">
        <f aca="false">Inputs!$B$5</f>
        <v>0.15</v>
      </c>
      <c r="E48" s="0" t="n">
        <f aca="false">C48*D48</f>
        <v>8.4</v>
      </c>
      <c r="F48" s="0" t="n">
        <f aca="false">C48+E48</f>
        <v>64.4</v>
      </c>
      <c r="G48" s="0" t="s">
        <v>406</v>
      </c>
      <c r="H48" s="0" t="n">
        <f aca="false">ROUNDUP(F48/Inputs!$B$11,0)</f>
        <v>7</v>
      </c>
      <c r="I48" s="0" t="s">
        <v>484</v>
      </c>
    </row>
    <row r="49" customFormat="false" ht="15" hidden="false" customHeight="false" outlineLevel="0" collapsed="false">
      <c r="A49" s="0" t="s">
        <v>485</v>
      </c>
      <c r="B49" s="0" t="s">
        <v>481</v>
      </c>
      <c r="C49" s="0" t="n">
        <v>37</v>
      </c>
      <c r="D49" s="0" t="n">
        <v>0</v>
      </c>
      <c r="E49" s="0" t="n">
        <f aca="false">C49*D49</f>
        <v>0</v>
      </c>
      <c r="F49" s="0" t="n">
        <f aca="false">C49+E49</f>
        <v>37</v>
      </c>
      <c r="G49" s="0" t="s">
        <v>486</v>
      </c>
      <c r="H49" s="0" t="n">
        <f aca="false">ROUNDUP(F49,0)</f>
        <v>37</v>
      </c>
      <c r="I49" s="0" t="s">
        <v>487</v>
      </c>
    </row>
    <row r="50" customFormat="false" ht="15" hidden="false" customHeight="false" outlineLevel="0" collapsed="false">
      <c r="A50" s="0" t="s">
        <v>488</v>
      </c>
      <c r="B50" s="0" t="s">
        <v>396</v>
      </c>
      <c r="C50" s="0" t="n">
        <v>61.92</v>
      </c>
      <c r="D50" s="0" t="n">
        <f aca="false">Inputs!$B$5</f>
        <v>0.15</v>
      </c>
      <c r="E50" s="0" t="n">
        <f aca="false">C50*D50</f>
        <v>9.288</v>
      </c>
      <c r="F50" s="0" t="n">
        <f aca="false">C50+E50</f>
        <v>71.208</v>
      </c>
      <c r="G50" s="0" t="s">
        <v>397</v>
      </c>
      <c r="H50" s="0" t="n">
        <f aca="false">ROUNDUP(F50/Inputs!$B$10,0)</f>
        <v>4</v>
      </c>
      <c r="I50" s="0" t="s">
        <v>489</v>
      </c>
    </row>
    <row r="51" customFormat="false" ht="15" hidden="false" customHeight="false" outlineLevel="0" collapsed="false">
      <c r="A51" s="0" t="s">
        <v>490</v>
      </c>
      <c r="B51" s="0" t="s">
        <v>396</v>
      </c>
      <c r="C51" s="0" t="n">
        <v>11.38</v>
      </c>
      <c r="D51" s="0" t="n">
        <f aca="false">Inputs!$B$5</f>
        <v>0.15</v>
      </c>
      <c r="E51" s="0" t="n">
        <f aca="false">C51*D51</f>
        <v>1.707</v>
      </c>
      <c r="F51" s="0" t="n">
        <f aca="false">C51+E51</f>
        <v>13.087</v>
      </c>
      <c r="G51" s="0" t="s">
        <v>397</v>
      </c>
      <c r="H51" s="0" t="n">
        <f aca="false">ROUNDUP(F51/Inputs!$B$10,0)</f>
        <v>1</v>
      </c>
      <c r="I51" s="0" t="s">
        <v>491</v>
      </c>
    </row>
    <row r="52" customFormat="false" ht="15" hidden="false" customHeight="false" outlineLevel="0" collapsed="false">
      <c r="A52" s="0" t="s">
        <v>492</v>
      </c>
      <c r="B52" s="0" t="s">
        <v>425</v>
      </c>
      <c r="C52" s="0" t="n">
        <v>67.16</v>
      </c>
      <c r="D52" s="0" t="n">
        <f aca="false">Inputs!$B$6</f>
        <v>0.06</v>
      </c>
      <c r="E52" s="0" t="n">
        <f aca="false">C52*D52</f>
        <v>4.0296</v>
      </c>
      <c r="F52" s="0" t="n">
        <f aca="false">C52+E52</f>
        <v>71.1896</v>
      </c>
      <c r="G52" s="0" t="s">
        <v>473</v>
      </c>
      <c r="H52" s="0" t="n">
        <f aca="false">ROUNDUP(F52/Inputs!$B$9,0)</f>
        <v>2</v>
      </c>
      <c r="I52" s="0" t="s">
        <v>493</v>
      </c>
    </row>
    <row r="53" customFormat="false" ht="15" hidden="false" customHeight="false" outlineLevel="0" collapsed="false">
      <c r="A53" s="0" t="s">
        <v>494</v>
      </c>
      <c r="B53" s="0" t="s">
        <v>396</v>
      </c>
      <c r="C53" s="0" t="n">
        <v>221.49</v>
      </c>
      <c r="D53" s="0" t="n">
        <f aca="false">Inputs!$B$6</f>
        <v>0.06</v>
      </c>
      <c r="E53" s="0" t="n">
        <f aca="false">C53*D53</f>
        <v>13.2894</v>
      </c>
      <c r="F53" s="0" t="n">
        <f aca="false">C53+E53</f>
        <v>234.7794</v>
      </c>
      <c r="G53" s="0" t="s">
        <v>447</v>
      </c>
      <c r="H53" s="0" t="n">
        <f aca="false">ROUNDUP(F53/Inputs!$B$18,0)</f>
        <v>24</v>
      </c>
      <c r="I53" s="0" t="s">
        <v>495</v>
      </c>
    </row>
    <row r="54" customFormat="false" ht="15" hidden="false" customHeight="false" outlineLevel="0" collapsed="false">
      <c r="A54" s="0" t="s">
        <v>496</v>
      </c>
      <c r="B54" s="0" t="s">
        <v>481</v>
      </c>
      <c r="C54" s="0" t="n">
        <v>325</v>
      </c>
      <c r="D54" s="0" t="n">
        <v>0</v>
      </c>
      <c r="E54" s="0" t="n">
        <f aca="false">C54*D54</f>
        <v>0</v>
      </c>
      <c r="F54" s="0" t="n">
        <f aca="false">C54+E54</f>
        <v>325</v>
      </c>
      <c r="G54" s="0" t="s">
        <v>486</v>
      </c>
      <c r="H54" s="0" t="n">
        <f aca="false">ROUNDUP(F54,0)</f>
        <v>325</v>
      </c>
      <c r="I54" s="0" t="s">
        <v>497</v>
      </c>
    </row>
    <row r="55" customFormat="false" ht="15" hidden="false" customHeight="false" outlineLevel="0" collapsed="false">
      <c r="A55" s="0" t="s">
        <v>498</v>
      </c>
      <c r="B55" s="0" t="s">
        <v>481</v>
      </c>
      <c r="C55" s="0" t="n">
        <v>1</v>
      </c>
      <c r="D55" s="0" t="n">
        <v>0</v>
      </c>
      <c r="E55" s="0" t="n">
        <f aca="false">C55*D55</f>
        <v>0</v>
      </c>
      <c r="F55" s="0" t="n">
        <f aca="false">C55+E55</f>
        <v>1</v>
      </c>
      <c r="G55" s="0" t="s">
        <v>486</v>
      </c>
      <c r="H55" s="0" t="n">
        <f aca="false">ROUNDUP(F55,0)</f>
        <v>1</v>
      </c>
      <c r="I55" s="0" t="s">
        <v>499</v>
      </c>
    </row>
    <row r="56" customFormat="false" ht="15" hidden="false" customHeight="false" outlineLevel="0" collapsed="false">
      <c r="A56" s="0" t="s">
        <v>500</v>
      </c>
      <c r="B56" s="0" t="s">
        <v>481</v>
      </c>
      <c r="C56" s="0" t="n">
        <v>21643.22</v>
      </c>
      <c r="D56" s="0" t="n">
        <v>0</v>
      </c>
      <c r="E56" s="0" t="n">
        <f aca="false">C56*D56</f>
        <v>0</v>
      </c>
      <c r="F56" s="0" t="n">
        <f aca="false">C56+E56</f>
        <v>21643.22</v>
      </c>
      <c r="G56" s="0" t="s">
        <v>486</v>
      </c>
      <c r="H56" s="0" t="n">
        <f aca="false">ROUNDUP(F56,0)</f>
        <v>21644</v>
      </c>
      <c r="I56" s="0" t="s">
        <v>501</v>
      </c>
      <c r="J56" s="0" t="n">
        <f aca="false">Inputs!$B$20*18036</f>
        <v>21643.2</v>
      </c>
    </row>
    <row r="57" customFormat="false" ht="15" hidden="false" customHeight="false" outlineLevel="0" collapsed="false">
      <c r="A57" s="0" t="s">
        <v>502</v>
      </c>
      <c r="B57" s="0" t="s">
        <v>481</v>
      </c>
      <c r="C57" s="0" t="n">
        <v>7144</v>
      </c>
      <c r="D57" s="0" t="n">
        <v>0</v>
      </c>
      <c r="E57" s="0" t="n">
        <f aca="false">C57*D57</f>
        <v>0</v>
      </c>
      <c r="F57" s="0" t="n">
        <f aca="false">C57+E57</f>
        <v>7144</v>
      </c>
      <c r="G57" s="0" t="s">
        <v>486</v>
      </c>
      <c r="H57" s="0" t="n">
        <f aca="false">ROUNDUP(F57,0)</f>
        <v>7144</v>
      </c>
      <c r="I57" s="0" t="s">
        <v>503</v>
      </c>
      <c r="J57" s="0" t="n">
        <f aca="false">Inputs!$B$21*1786</f>
        <v>7144</v>
      </c>
    </row>
    <row r="58" customFormat="false" ht="15" hidden="false" customHeight="false" outlineLevel="0" collapsed="false">
      <c r="A58" s="0" t="s">
        <v>504</v>
      </c>
      <c r="B58" s="0" t="s">
        <v>481</v>
      </c>
      <c r="C58" s="0" t="n">
        <v>532.79</v>
      </c>
      <c r="D58" s="0" t="n">
        <v>0</v>
      </c>
      <c r="E58" s="0" t="n">
        <f aca="false">C58*D58</f>
        <v>0</v>
      </c>
      <c r="F58" s="0" t="n">
        <f aca="false">C58+E58</f>
        <v>532.79</v>
      </c>
      <c r="G58" s="0" t="s">
        <v>486</v>
      </c>
      <c r="H58" s="0" t="n">
        <f aca="false">ROUNDUP(F58,0)</f>
        <v>533</v>
      </c>
      <c r="I58" s="0" t="s">
        <v>505</v>
      </c>
      <c r="J58" s="0" t="n">
        <f aca="false">532.79/Inputs!$B$22</f>
        <v>532.79</v>
      </c>
    </row>
    <row r="59" customFormat="false" ht="15" hidden="false" customHeight="false" outlineLevel="0" collapsed="false">
      <c r="A59" s="0" t="s">
        <v>506</v>
      </c>
      <c r="B59" s="0" t="s">
        <v>481</v>
      </c>
      <c r="C59" s="0" t="n">
        <v>322.58</v>
      </c>
      <c r="D59" s="0" t="n">
        <v>0</v>
      </c>
      <c r="E59" s="0" t="n">
        <f aca="false">C59*D59</f>
        <v>0</v>
      </c>
      <c r="F59" s="0" t="n">
        <f aca="false">C59+E59</f>
        <v>322.58</v>
      </c>
      <c r="G59" s="0" t="s">
        <v>486</v>
      </c>
      <c r="H59" s="0" t="n">
        <f aca="false">ROUNDUP(F59,0)</f>
        <v>323</v>
      </c>
      <c r="I59" s="0" t="s">
        <v>507</v>
      </c>
      <c r="J59" s="0" t="n">
        <f aca="false">215.07/Inputs!$B$25</f>
        <v>322.588870556472</v>
      </c>
    </row>
    <row r="60" customFormat="false" ht="15" hidden="false" customHeight="false" outlineLevel="0" collapsed="false">
      <c r="A60" s="0" t="s">
        <v>508</v>
      </c>
      <c r="B60" s="0" t="s">
        <v>509</v>
      </c>
      <c r="C60" s="0" t="n">
        <v>1298.59</v>
      </c>
      <c r="D60" s="0" t="n">
        <v>0</v>
      </c>
      <c r="E60" s="0" t="n">
        <f aca="false">C60*D60</f>
        <v>0</v>
      </c>
      <c r="F60" s="0" t="n">
        <f aca="false">C60+E60</f>
        <v>1298.59</v>
      </c>
      <c r="G60" s="0" t="s">
        <v>510</v>
      </c>
      <c r="H60" s="0" t="n">
        <f aca="false">ROUNDUP(F60,0)</f>
        <v>1299</v>
      </c>
      <c r="I60" s="0" t="s">
        <v>511</v>
      </c>
      <c r="J60" s="0" t="n">
        <f aca="false">Inputs!$B$23*18036</f>
        <v>1298.592</v>
      </c>
    </row>
    <row r="61" customFormat="false" ht="15" hidden="false" customHeight="false" outlineLevel="0" collapsed="false">
      <c r="A61" s="0" t="s">
        <v>512</v>
      </c>
      <c r="B61" s="0" t="s">
        <v>396</v>
      </c>
      <c r="C61" s="0" t="n">
        <v>6673.33</v>
      </c>
      <c r="D61" s="0" t="n">
        <v>0</v>
      </c>
      <c r="E61" s="0" t="n">
        <f aca="false">C61*D61</f>
        <v>0</v>
      </c>
      <c r="F61" s="0" t="n">
        <f aca="false">C61+E61</f>
        <v>6673.33</v>
      </c>
      <c r="G61" s="0" t="s">
        <v>396</v>
      </c>
      <c r="H61" s="0" t="n">
        <f aca="false">ROUNDUP(F61,0)</f>
        <v>6674</v>
      </c>
      <c r="I61" s="0" t="s">
        <v>513</v>
      </c>
      <c r="J61" s="0" t="n">
        <f aca="false">Inputs!$B$24*18036</f>
        <v>6673.32</v>
      </c>
    </row>
    <row r="62" customFormat="false" ht="15" hidden="false" customHeight="false" outlineLevel="0" collapsed="false">
      <c r="A62" s="0" t="s">
        <v>514</v>
      </c>
      <c r="B62" s="0" t="s">
        <v>425</v>
      </c>
      <c r="C62" s="0" t="n">
        <v>880.91</v>
      </c>
      <c r="D62" s="0" t="n">
        <f aca="false">Inputs!$B$6</f>
        <v>0.06</v>
      </c>
      <c r="E62" s="0" t="n">
        <f aca="false">C62*D62</f>
        <v>52.8546</v>
      </c>
      <c r="F62" s="0" t="n">
        <f aca="false">C62+E62</f>
        <v>933.7646</v>
      </c>
      <c r="G62" s="0" t="s">
        <v>425</v>
      </c>
      <c r="H62" s="0" t="n">
        <f aca="false">ROUNDUP(F62,0)</f>
        <v>934</v>
      </c>
      <c r="I62" s="0" t="s">
        <v>515</v>
      </c>
    </row>
    <row r="63" customFormat="false" ht="15" hidden="false" customHeight="false" outlineLevel="0" collapsed="false">
      <c r="A63" s="0" t="s">
        <v>516</v>
      </c>
      <c r="B63" s="0" t="s">
        <v>481</v>
      </c>
      <c r="C63" s="0" t="n">
        <v>0</v>
      </c>
      <c r="D63" s="0" t="n">
        <v>0</v>
      </c>
      <c r="E63" s="0" t="n">
        <f aca="false">C63*D63</f>
        <v>0</v>
      </c>
      <c r="F63" s="0" t="n">
        <f aca="false">C63+E63</f>
        <v>0</v>
      </c>
      <c r="G63" s="0" t="s">
        <v>486</v>
      </c>
      <c r="H63" s="0" t="n">
        <f aca="false">ROUNDUP(F63,0)</f>
        <v>0</v>
      </c>
      <c r="I63" s="0" t="s">
        <v>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518</v>
      </c>
      <c r="B1" s="2" t="s">
        <v>519</v>
      </c>
      <c r="C1" s="2" t="s">
        <v>520</v>
      </c>
    </row>
    <row r="2" customFormat="false" ht="15" hidden="false" customHeight="false" outlineLevel="0" collapsed="false">
      <c r="A2" s="0" t="s">
        <v>521</v>
      </c>
      <c r="B2" s="0" t="s">
        <v>522</v>
      </c>
      <c r="C2" s="0" t="s">
        <v>523</v>
      </c>
    </row>
    <row r="3" customFormat="false" ht="15" hidden="false" customHeight="false" outlineLevel="0" collapsed="false">
      <c r="A3" s="0" t="s">
        <v>524</v>
      </c>
      <c r="B3" s="0" t="s">
        <v>525</v>
      </c>
      <c r="C3" s="0" t="s">
        <v>526</v>
      </c>
    </row>
    <row r="4" customFormat="false" ht="15" hidden="false" customHeight="false" outlineLevel="0" collapsed="false">
      <c r="A4" s="0" t="s">
        <v>527</v>
      </c>
      <c r="B4" s="0" t="s">
        <v>528</v>
      </c>
      <c r="C4" s="0" t="s">
        <v>529</v>
      </c>
    </row>
    <row r="5" customFormat="false" ht="15" hidden="false" customHeight="false" outlineLevel="0" collapsed="false">
      <c r="A5" s="0" t="s">
        <v>530</v>
      </c>
      <c r="B5" s="0" t="s">
        <v>531</v>
      </c>
      <c r="C5" s="0" t="s">
        <v>532</v>
      </c>
    </row>
    <row r="6" customFormat="false" ht="15" hidden="false" customHeight="false" outlineLevel="0" collapsed="false">
      <c r="A6" s="0" t="s">
        <v>533</v>
      </c>
      <c r="B6" s="0" t="s">
        <v>534</v>
      </c>
      <c r="C6" s="0" t="s">
        <v>535</v>
      </c>
    </row>
    <row r="7" customFormat="false" ht="15" hidden="false" customHeight="false" outlineLevel="0" collapsed="false">
      <c r="A7" s="0" t="s">
        <v>536</v>
      </c>
      <c r="B7" s="0" t="s">
        <v>537</v>
      </c>
      <c r="C7" s="0" t="s">
        <v>538</v>
      </c>
    </row>
    <row r="8" customFormat="false" ht="15" hidden="false" customHeight="false" outlineLevel="0" collapsed="false">
      <c r="A8" s="0" t="s">
        <v>539</v>
      </c>
      <c r="B8" s="0" t="s">
        <v>540</v>
      </c>
      <c r="C8" s="0" t="s">
        <v>541</v>
      </c>
    </row>
    <row r="9" customFormat="false" ht="15" hidden="false" customHeight="false" outlineLevel="0" collapsed="false">
      <c r="A9" s="0" t="s">
        <v>542</v>
      </c>
      <c r="B9" s="0" t="s">
        <v>543</v>
      </c>
      <c r="C9" s="0" t="s">
        <v>544</v>
      </c>
    </row>
    <row r="10" customFormat="false" ht="15" hidden="false" customHeight="false" outlineLevel="0" collapsed="false">
      <c r="A10" s="0" t="s">
        <v>545</v>
      </c>
      <c r="B10" s="0" t="s">
        <v>546</v>
      </c>
      <c r="C10" s="0" t="s">
        <v>547</v>
      </c>
    </row>
    <row r="11" customFormat="false" ht="15" hidden="false" customHeight="false" outlineLevel="0" collapsed="false">
      <c r="A11" s="0" t="s">
        <v>548</v>
      </c>
      <c r="B11" s="0" t="s">
        <v>549</v>
      </c>
      <c r="C11" s="0" t="s">
        <v>550</v>
      </c>
    </row>
    <row r="12" customFormat="false" ht="15" hidden="false" customHeight="false" outlineLevel="0" collapsed="false">
      <c r="A12" s="0" t="s">
        <v>551</v>
      </c>
      <c r="B12" s="0" t="s">
        <v>552</v>
      </c>
      <c r="C12" s="0" t="s">
        <v>553</v>
      </c>
    </row>
    <row r="13" customFormat="false" ht="15" hidden="false" customHeight="false" outlineLevel="0" collapsed="false">
      <c r="A13" s="0" t="s">
        <v>554</v>
      </c>
      <c r="B13" s="0" t="s">
        <v>555</v>
      </c>
      <c r="C13" s="0" t="s">
        <v>556</v>
      </c>
    </row>
    <row r="14" customFormat="false" ht="15" hidden="false" customHeight="false" outlineLevel="0" collapsed="false">
      <c r="A14" s="0" t="s">
        <v>557</v>
      </c>
      <c r="B14" s="0" t="s">
        <v>558</v>
      </c>
      <c r="C14" s="0" t="s">
        <v>559</v>
      </c>
    </row>
    <row r="15" customFormat="false" ht="15" hidden="false" customHeight="false" outlineLevel="0" collapsed="false">
      <c r="A15" s="0" t="s">
        <v>560</v>
      </c>
      <c r="B15" s="0" t="s">
        <v>561</v>
      </c>
      <c r="C15" s="0" t="s">
        <v>562</v>
      </c>
    </row>
    <row r="16" customFormat="false" ht="15" hidden="false" customHeight="false" outlineLevel="0" collapsed="false">
      <c r="A16" s="0" t="s">
        <v>563</v>
      </c>
      <c r="B16" s="0" t="s">
        <v>564</v>
      </c>
      <c r="C16" s="0" t="s">
        <v>565</v>
      </c>
    </row>
    <row r="17" customFormat="false" ht="15" hidden="false" customHeight="false" outlineLevel="0" collapsed="false">
      <c r="A17" s="0" t="s">
        <v>566</v>
      </c>
      <c r="B17" s="0" t="s">
        <v>567</v>
      </c>
      <c r="C17" s="0" t="s">
        <v>568</v>
      </c>
    </row>
    <row r="18" customFormat="false" ht="15" hidden="false" customHeight="false" outlineLevel="0" collapsed="false">
      <c r="A18" s="0" t="s">
        <v>569</v>
      </c>
      <c r="B18" s="0" t="s">
        <v>570</v>
      </c>
      <c r="C18" s="0" t="s">
        <v>571</v>
      </c>
    </row>
    <row r="19" customFormat="false" ht="15" hidden="false" customHeight="false" outlineLevel="0" collapsed="false">
      <c r="A19" s="0" t="s">
        <v>572</v>
      </c>
      <c r="B19" s="0" t="s">
        <v>573</v>
      </c>
      <c r="C19" s="0" t="s">
        <v>574</v>
      </c>
    </row>
    <row r="20" customFormat="false" ht="15" hidden="false" customHeight="false" outlineLevel="0" collapsed="false">
      <c r="A20" s="0" t="s">
        <v>575</v>
      </c>
      <c r="B20" s="0" t="s">
        <v>576</v>
      </c>
      <c r="C20" s="0" t="s">
        <v>577</v>
      </c>
    </row>
    <row r="21" customFormat="false" ht="15" hidden="false" customHeight="false" outlineLevel="0" collapsed="false">
      <c r="A21" s="0" t="s">
        <v>578</v>
      </c>
      <c r="B21" s="0" t="s">
        <v>579</v>
      </c>
      <c r="C21" s="0" t="s">
        <v>580</v>
      </c>
    </row>
    <row r="22" customFormat="false" ht="15" hidden="false" customHeight="false" outlineLevel="0" collapsed="false">
      <c r="A22" s="0" t="s">
        <v>581</v>
      </c>
      <c r="B22" s="0" t="s">
        <v>582</v>
      </c>
      <c r="C22" s="0" t="s">
        <v>583</v>
      </c>
    </row>
    <row r="23" customFormat="false" ht="15" hidden="false" customHeight="false" outlineLevel="0" collapsed="false">
      <c r="A23" s="0" t="s">
        <v>584</v>
      </c>
      <c r="B23" s="0" t="s">
        <v>585</v>
      </c>
      <c r="C23" s="0" t="s">
        <v>586</v>
      </c>
    </row>
    <row r="24" customFormat="false" ht="15" hidden="false" customHeight="false" outlineLevel="0" collapsed="false">
      <c r="A24" s="0" t="s">
        <v>587</v>
      </c>
      <c r="B24" s="0" t="s">
        <v>588</v>
      </c>
      <c r="C24" s="0" t="s">
        <v>589</v>
      </c>
    </row>
    <row r="25" customFormat="false" ht="15" hidden="false" customHeight="false" outlineLevel="0" collapsed="false">
      <c r="A25" s="0" t="s">
        <v>590</v>
      </c>
      <c r="B25" s="0" t="s">
        <v>591</v>
      </c>
      <c r="C25" s="0" t="s">
        <v>592</v>
      </c>
    </row>
    <row r="26" customFormat="false" ht="15" hidden="false" customHeight="false" outlineLevel="0" collapsed="false">
      <c r="A26" s="0" t="s">
        <v>593</v>
      </c>
      <c r="B26" s="0" t="s">
        <v>594</v>
      </c>
      <c r="C26" s="0" t="s">
        <v>595</v>
      </c>
    </row>
    <row r="27" customFormat="false" ht="15" hidden="false" customHeight="false" outlineLevel="0" collapsed="false">
      <c r="A27" s="0" t="s">
        <v>596</v>
      </c>
      <c r="B27" s="0" t="s">
        <v>597</v>
      </c>
      <c r="C27" s="0" t="s">
        <v>598</v>
      </c>
    </row>
    <row r="28" customFormat="false" ht="15" hidden="false" customHeight="false" outlineLevel="0" collapsed="false">
      <c r="A28" s="0" t="s">
        <v>599</v>
      </c>
      <c r="B28" s="0" t="s">
        <v>600</v>
      </c>
      <c r="C28" s="0" t="s">
        <v>601</v>
      </c>
    </row>
    <row r="29" customFormat="false" ht="15" hidden="false" customHeight="false" outlineLevel="0" collapsed="false">
      <c r="A29" s="0" t="s">
        <v>602</v>
      </c>
      <c r="B29" s="0" t="s">
        <v>603</v>
      </c>
      <c r="C29" s="0" t="s">
        <v>604</v>
      </c>
    </row>
    <row r="30" customFormat="false" ht="15" hidden="false" customHeight="false" outlineLevel="0" collapsed="false">
      <c r="A30" s="0" t="s">
        <v>605</v>
      </c>
      <c r="B30" s="0" t="s">
        <v>606</v>
      </c>
      <c r="C30" s="0" t="s">
        <v>607</v>
      </c>
    </row>
    <row r="31" customFormat="false" ht="15" hidden="false" customHeight="false" outlineLevel="0" collapsed="false">
      <c r="A31" s="0" t="s">
        <v>608</v>
      </c>
      <c r="B31" s="0" t="s">
        <v>609</v>
      </c>
      <c r="C31" s="0" t="s">
        <v>610</v>
      </c>
    </row>
    <row r="32" customFormat="false" ht="15" hidden="false" customHeight="false" outlineLevel="0" collapsed="false">
      <c r="A32" s="0" t="s">
        <v>611</v>
      </c>
      <c r="B32" s="0" t="s">
        <v>612</v>
      </c>
      <c r="C32" s="0" t="s">
        <v>613</v>
      </c>
    </row>
    <row r="33" customFormat="false" ht="15" hidden="false" customHeight="false" outlineLevel="0" collapsed="false">
      <c r="A33" s="0" t="s">
        <v>614</v>
      </c>
      <c r="B33" s="0" t="s">
        <v>615</v>
      </c>
      <c r="C33" s="0" t="s">
        <v>616</v>
      </c>
    </row>
    <row r="34" customFormat="false" ht="15" hidden="false" customHeight="false" outlineLevel="0" collapsed="false">
      <c r="A34" s="0" t="s">
        <v>617</v>
      </c>
      <c r="B34" s="0" t="s">
        <v>618</v>
      </c>
      <c r="C34" s="0" t="s">
        <v>619</v>
      </c>
    </row>
    <row r="35" customFormat="false" ht="15" hidden="false" customHeight="false" outlineLevel="0" collapsed="false">
      <c r="A35" s="0" t="s">
        <v>620</v>
      </c>
      <c r="B35" s="0" t="s">
        <v>621</v>
      </c>
      <c r="C35" s="0" t="s">
        <v>622</v>
      </c>
    </row>
    <row r="36" customFormat="false" ht="15" hidden="false" customHeight="false" outlineLevel="0" collapsed="false">
      <c r="A36" s="0" t="s">
        <v>623</v>
      </c>
      <c r="B36" s="0" t="s">
        <v>624</v>
      </c>
      <c r="C36" s="0" t="s">
        <v>625</v>
      </c>
    </row>
    <row r="37" customFormat="false" ht="15" hidden="false" customHeight="false" outlineLevel="0" collapsed="false">
      <c r="A37" s="0" t="s">
        <v>626</v>
      </c>
      <c r="B37" s="0" t="s">
        <v>627</v>
      </c>
      <c r="C37" s="0" t="s">
        <v>628</v>
      </c>
    </row>
    <row r="38" customFormat="false" ht="15" hidden="false" customHeight="false" outlineLevel="0" collapsed="false">
      <c r="A38" s="0" t="s">
        <v>629</v>
      </c>
      <c r="B38" s="0" t="s">
        <v>630</v>
      </c>
      <c r="C38" s="0" t="s">
        <v>631</v>
      </c>
    </row>
    <row r="39" customFormat="false" ht="15" hidden="false" customHeight="false" outlineLevel="0" collapsed="false">
      <c r="A39" s="0" t="s">
        <v>632</v>
      </c>
      <c r="B39" s="0" t="s">
        <v>633</v>
      </c>
      <c r="C39" s="0" t="s">
        <v>634</v>
      </c>
    </row>
    <row r="40" customFormat="false" ht="15" hidden="false" customHeight="false" outlineLevel="0" collapsed="false">
      <c r="A40" s="0" t="s">
        <v>635</v>
      </c>
      <c r="B40" s="0" t="s">
        <v>636</v>
      </c>
      <c r="C40" s="0" t="s">
        <v>637</v>
      </c>
    </row>
    <row r="41" customFormat="false" ht="15" hidden="false" customHeight="false" outlineLevel="0" collapsed="false">
      <c r="A41" s="0" t="s">
        <v>638</v>
      </c>
      <c r="B41" s="0" t="s">
        <v>639</v>
      </c>
      <c r="C41" s="0" t="s">
        <v>640</v>
      </c>
    </row>
    <row r="42" customFormat="false" ht="15" hidden="false" customHeight="false" outlineLevel="0" collapsed="false">
      <c r="A42" s="0" t="s">
        <v>641</v>
      </c>
      <c r="B42" s="0" t="s">
        <v>642</v>
      </c>
      <c r="C42" s="0" t="s">
        <v>643</v>
      </c>
    </row>
    <row r="43" customFormat="false" ht="15" hidden="false" customHeight="false" outlineLevel="0" collapsed="false">
      <c r="A43" s="0" t="s">
        <v>644</v>
      </c>
      <c r="B43" s="0" t="s">
        <v>645</v>
      </c>
      <c r="C43" s="0" t="s">
        <v>646</v>
      </c>
    </row>
    <row r="44" customFormat="false" ht="15" hidden="false" customHeight="false" outlineLevel="0" collapsed="false">
      <c r="A44" s="0" t="s">
        <v>647</v>
      </c>
      <c r="B44" s="0" t="s">
        <v>648</v>
      </c>
      <c r="C44" s="0" t="s">
        <v>649</v>
      </c>
    </row>
    <row r="45" customFormat="false" ht="15" hidden="false" customHeight="false" outlineLevel="0" collapsed="false">
      <c r="A45" s="0" t="s">
        <v>650</v>
      </c>
      <c r="B45" s="0" t="s">
        <v>651</v>
      </c>
      <c r="C45" s="0" t="s">
        <v>652</v>
      </c>
    </row>
    <row r="46" customFormat="false" ht="15" hidden="false" customHeight="false" outlineLevel="0" collapsed="false">
      <c r="A46" s="0" t="s">
        <v>653</v>
      </c>
      <c r="B46" s="0" t="s">
        <v>654</v>
      </c>
      <c r="C46" s="0" t="s">
        <v>655</v>
      </c>
    </row>
    <row r="47" customFormat="false" ht="15" hidden="false" customHeight="false" outlineLevel="0" collapsed="false">
      <c r="A47" s="0" t="s">
        <v>656</v>
      </c>
      <c r="B47" s="0" t="s">
        <v>657</v>
      </c>
      <c r="C47" s="0" t="s">
        <v>658</v>
      </c>
    </row>
    <row r="48" customFormat="false" ht="15" hidden="false" customHeight="false" outlineLevel="0" collapsed="false">
      <c r="A48" s="0" t="s">
        <v>659</v>
      </c>
      <c r="B48" s="0" t="s">
        <v>660</v>
      </c>
      <c r="C48" s="0" t="s">
        <v>661</v>
      </c>
    </row>
    <row r="49" customFormat="false" ht="15" hidden="false" customHeight="false" outlineLevel="0" collapsed="false">
      <c r="A49" s="0" t="s">
        <v>662</v>
      </c>
      <c r="B49" s="0" t="s">
        <v>663</v>
      </c>
      <c r="C49" s="0" t="s">
        <v>664</v>
      </c>
    </row>
    <row r="50" customFormat="false" ht="15" hidden="false" customHeight="false" outlineLevel="0" collapsed="false">
      <c r="A50" s="0" t="s">
        <v>665</v>
      </c>
      <c r="B50" s="0" t="s">
        <v>666</v>
      </c>
      <c r="C50" s="0" t="s">
        <v>667</v>
      </c>
    </row>
    <row r="51" customFormat="false" ht="15" hidden="false" customHeight="false" outlineLevel="0" collapsed="false">
      <c r="A51" s="0" t="s">
        <v>668</v>
      </c>
      <c r="B51" s="0" t="s">
        <v>669</v>
      </c>
      <c r="C51" s="0" t="s">
        <v>670</v>
      </c>
    </row>
    <row r="52" customFormat="false" ht="15" hidden="false" customHeight="false" outlineLevel="0" collapsed="false">
      <c r="A52" s="0" t="s">
        <v>671</v>
      </c>
      <c r="B52" s="0" t="s">
        <v>672</v>
      </c>
      <c r="C52" s="0" t="s">
        <v>673</v>
      </c>
    </row>
    <row r="53" customFormat="false" ht="15" hidden="false" customHeight="false" outlineLevel="0" collapsed="false">
      <c r="A53" s="0" t="s">
        <v>674</v>
      </c>
      <c r="B53" s="0" t="s">
        <v>675</v>
      </c>
      <c r="C53" s="0" t="s">
        <v>676</v>
      </c>
    </row>
    <row r="54" customFormat="false" ht="15" hidden="false" customHeight="false" outlineLevel="0" collapsed="false">
      <c r="A54" s="0" t="s">
        <v>677</v>
      </c>
      <c r="B54" s="0" t="s">
        <v>678</v>
      </c>
      <c r="C54" s="0" t="s">
        <v>679</v>
      </c>
    </row>
    <row r="55" customFormat="false" ht="15" hidden="false" customHeight="false" outlineLevel="0" collapsed="false">
      <c r="A55" s="0" t="s">
        <v>680</v>
      </c>
      <c r="B55" s="0" t="s">
        <v>681</v>
      </c>
      <c r="C55" s="0" t="s">
        <v>682</v>
      </c>
    </row>
    <row r="56" customFormat="false" ht="15" hidden="false" customHeight="false" outlineLevel="0" collapsed="false">
      <c r="A56" s="0" t="s">
        <v>683</v>
      </c>
      <c r="B56" s="0" t="s">
        <v>684</v>
      </c>
      <c r="C56" s="0" t="s">
        <v>685</v>
      </c>
    </row>
    <row r="57" customFormat="false" ht="15" hidden="false" customHeight="false" outlineLevel="0" collapsed="false">
      <c r="A57" s="0" t="s">
        <v>686</v>
      </c>
      <c r="B57" s="0" t="s">
        <v>687</v>
      </c>
      <c r="C57" s="0" t="s">
        <v>688</v>
      </c>
    </row>
    <row r="58" customFormat="false" ht="15" hidden="false" customHeight="false" outlineLevel="0" collapsed="false">
      <c r="A58" s="0" t="s">
        <v>689</v>
      </c>
      <c r="B58" s="0" t="s">
        <v>690</v>
      </c>
      <c r="C58" s="0" t="s">
        <v>691</v>
      </c>
    </row>
    <row r="59" customFormat="false" ht="15" hidden="false" customHeight="false" outlineLevel="0" collapsed="false">
      <c r="A59" s="0" t="s">
        <v>692</v>
      </c>
      <c r="B59" s="0" t="s">
        <v>693</v>
      </c>
      <c r="C59" s="0" t="s">
        <v>694</v>
      </c>
    </row>
    <row r="60" customFormat="false" ht="15" hidden="false" customHeight="false" outlineLevel="0" collapsed="false">
      <c r="A60" s="0" t="s">
        <v>695</v>
      </c>
      <c r="B60" s="0" t="s">
        <v>696</v>
      </c>
      <c r="C60" s="0" t="s">
        <v>697</v>
      </c>
    </row>
    <row r="61" customFormat="false" ht="15" hidden="false" customHeight="false" outlineLevel="0" collapsed="false">
      <c r="A61" s="0" t="s">
        <v>698</v>
      </c>
      <c r="B61" s="0" t="s">
        <v>699</v>
      </c>
      <c r="C61" s="0" t="s">
        <v>700</v>
      </c>
    </row>
    <row r="62" customFormat="false" ht="15" hidden="false" customHeight="false" outlineLevel="0" collapsed="false">
      <c r="A62" s="0" t="s">
        <v>701</v>
      </c>
      <c r="B62" s="0" t="s">
        <v>702</v>
      </c>
      <c r="C62" s="0" t="s">
        <v>703</v>
      </c>
    </row>
    <row r="63" customFormat="false" ht="15" hidden="false" customHeight="false" outlineLevel="0" collapsed="false">
      <c r="A63" s="0" t="s">
        <v>704</v>
      </c>
      <c r="B63" s="0" t="s">
        <v>705</v>
      </c>
      <c r="C63" s="0" t="s">
        <v>706</v>
      </c>
    </row>
    <row r="64" customFormat="false" ht="15" hidden="false" customHeight="false" outlineLevel="0" collapsed="false">
      <c r="A64" s="0" t="s">
        <v>707</v>
      </c>
      <c r="B64" s="0" t="s">
        <v>708</v>
      </c>
      <c r="C64" s="0" t="s">
        <v>709</v>
      </c>
    </row>
    <row r="65" customFormat="false" ht="15" hidden="false" customHeight="false" outlineLevel="0" collapsed="false">
      <c r="A65" s="0" t="s">
        <v>710</v>
      </c>
      <c r="B65" s="0" t="s">
        <v>711</v>
      </c>
      <c r="C65" s="0" t="s">
        <v>712</v>
      </c>
    </row>
    <row r="66" customFormat="false" ht="15" hidden="false" customHeight="false" outlineLevel="0" collapsed="false">
      <c r="A66" s="0" t="s">
        <v>713</v>
      </c>
      <c r="B66" s="0" t="s">
        <v>714</v>
      </c>
      <c r="C66" s="0" t="s">
        <v>715</v>
      </c>
    </row>
    <row r="67" customFormat="false" ht="15" hidden="false" customHeight="false" outlineLevel="0" collapsed="false">
      <c r="A67" s="0" t="s">
        <v>716</v>
      </c>
      <c r="B67" s="0" t="s">
        <v>717</v>
      </c>
      <c r="C67" s="0" t="s">
        <v>718</v>
      </c>
    </row>
    <row r="68" customFormat="false" ht="15" hidden="false" customHeight="false" outlineLevel="0" collapsed="false">
      <c r="A68" s="0" t="s">
        <v>719</v>
      </c>
      <c r="B68" s="0" t="s">
        <v>720</v>
      </c>
      <c r="C68" s="0" t="s">
        <v>721</v>
      </c>
    </row>
    <row r="69" customFormat="false" ht="15" hidden="false" customHeight="false" outlineLevel="0" collapsed="false">
      <c r="A69" s="0" t="s">
        <v>722</v>
      </c>
      <c r="B69" s="0" t="s">
        <v>723</v>
      </c>
      <c r="C69" s="0" t="s">
        <v>724</v>
      </c>
    </row>
    <row r="70" customFormat="false" ht="15" hidden="false" customHeight="false" outlineLevel="0" collapsed="false">
      <c r="A70" s="0" t="s">
        <v>725</v>
      </c>
      <c r="B70" s="0" t="s">
        <v>726</v>
      </c>
      <c r="C70" s="0" t="s">
        <v>727</v>
      </c>
    </row>
    <row r="71" customFormat="false" ht="15" hidden="false" customHeight="false" outlineLevel="0" collapsed="false">
      <c r="A71" s="0" t="s">
        <v>728</v>
      </c>
      <c r="B71" s="0" t="s">
        <v>729</v>
      </c>
      <c r="C71" s="0" t="s">
        <v>730</v>
      </c>
    </row>
    <row r="72" customFormat="false" ht="15" hidden="false" customHeight="false" outlineLevel="0" collapsed="false">
      <c r="A72" s="0" t="s">
        <v>731</v>
      </c>
      <c r="B72" s="0" t="s">
        <v>732</v>
      </c>
      <c r="C72" s="0" t="s">
        <v>733</v>
      </c>
    </row>
    <row r="73" customFormat="false" ht="15" hidden="false" customHeight="false" outlineLevel="0" collapsed="false">
      <c r="A73" s="0" t="s">
        <v>734</v>
      </c>
      <c r="B73" s="0" t="s">
        <v>735</v>
      </c>
      <c r="C73" s="0" t="s">
        <v>736</v>
      </c>
    </row>
    <row r="74" customFormat="false" ht="15" hidden="false" customHeight="false" outlineLevel="0" collapsed="false">
      <c r="A74" s="0" t="s">
        <v>737</v>
      </c>
      <c r="B74" s="0" t="s">
        <v>738</v>
      </c>
      <c r="C74" s="0" t="s">
        <v>739</v>
      </c>
    </row>
    <row r="75" customFormat="false" ht="15" hidden="false" customHeight="false" outlineLevel="0" collapsed="false">
      <c r="A75" s="0" t="s">
        <v>740</v>
      </c>
      <c r="B75" s="0" t="s">
        <v>741</v>
      </c>
      <c r="C75" s="0" t="s">
        <v>742</v>
      </c>
    </row>
    <row r="76" customFormat="false" ht="15" hidden="false" customHeight="false" outlineLevel="0" collapsed="false">
      <c r="A76" s="0" t="s">
        <v>743</v>
      </c>
      <c r="B76" s="0" t="s">
        <v>744</v>
      </c>
      <c r="C76" s="0" t="s">
        <v>745</v>
      </c>
    </row>
    <row r="77" customFormat="false" ht="15" hidden="false" customHeight="false" outlineLevel="0" collapsed="false">
      <c r="A77" s="0" t="s">
        <v>746</v>
      </c>
      <c r="B77" s="0" t="s">
        <v>747</v>
      </c>
      <c r="C77" s="0" t="s">
        <v>748</v>
      </c>
    </row>
    <row r="78" customFormat="false" ht="15" hidden="false" customHeight="false" outlineLevel="0" collapsed="false">
      <c r="A78" s="0" t="s">
        <v>749</v>
      </c>
      <c r="B78" s="0" t="s">
        <v>750</v>
      </c>
      <c r="C78" s="0" t="s">
        <v>751</v>
      </c>
    </row>
    <row r="79" customFormat="false" ht="15" hidden="false" customHeight="false" outlineLevel="0" collapsed="false">
      <c r="A79" s="0" t="s">
        <v>752</v>
      </c>
      <c r="B79" s="0" t="s">
        <v>753</v>
      </c>
      <c r="C79" s="0" t="s">
        <v>754</v>
      </c>
    </row>
    <row r="80" customFormat="false" ht="15" hidden="false" customHeight="false" outlineLevel="0" collapsed="false">
      <c r="A80" s="0" t="s">
        <v>755</v>
      </c>
      <c r="B80" s="0" t="s">
        <v>756</v>
      </c>
      <c r="C80" s="0" t="s">
        <v>757</v>
      </c>
    </row>
    <row r="81" customFormat="false" ht="15" hidden="false" customHeight="false" outlineLevel="0" collapsed="false">
      <c r="A81" s="0" t="s">
        <v>758</v>
      </c>
      <c r="B81" s="0" t="s">
        <v>759</v>
      </c>
      <c r="C81" s="0" t="s">
        <v>760</v>
      </c>
    </row>
    <row r="82" customFormat="false" ht="15" hidden="false" customHeight="false" outlineLevel="0" collapsed="false">
      <c r="A82" s="0" t="s">
        <v>761</v>
      </c>
      <c r="B82" s="0" t="s">
        <v>762</v>
      </c>
      <c r="C82" s="0" t="s">
        <v>763</v>
      </c>
    </row>
    <row r="83" customFormat="false" ht="15" hidden="false" customHeight="false" outlineLevel="0" collapsed="false">
      <c r="A83" s="0" t="s">
        <v>764</v>
      </c>
      <c r="B83" s="0" t="s">
        <v>765</v>
      </c>
      <c r="C83" s="0" t="s">
        <v>766</v>
      </c>
    </row>
    <row r="84" customFormat="false" ht="15" hidden="false" customHeight="false" outlineLevel="0" collapsed="false">
      <c r="A84" s="0" t="s">
        <v>767</v>
      </c>
      <c r="B84" s="0" t="s">
        <v>768</v>
      </c>
      <c r="C84" s="0" t="s">
        <v>769</v>
      </c>
    </row>
    <row r="85" customFormat="false" ht="15" hidden="false" customHeight="false" outlineLevel="0" collapsed="false">
      <c r="A85" s="0" t="s">
        <v>770</v>
      </c>
      <c r="B85" s="0" t="s">
        <v>771</v>
      </c>
      <c r="C85" s="0" t="s">
        <v>772</v>
      </c>
    </row>
    <row r="86" customFormat="false" ht="15" hidden="false" customHeight="false" outlineLevel="0" collapsed="false">
      <c r="A86" s="0" t="s">
        <v>773</v>
      </c>
      <c r="B86" s="0" t="s">
        <v>774</v>
      </c>
      <c r="C86" s="0" t="s">
        <v>775</v>
      </c>
    </row>
    <row r="87" customFormat="false" ht="15" hidden="false" customHeight="false" outlineLevel="0" collapsed="false">
      <c r="A87" s="0" t="s">
        <v>776</v>
      </c>
      <c r="B87" s="0" t="s">
        <v>777</v>
      </c>
      <c r="C87" s="0" t="s">
        <v>778</v>
      </c>
    </row>
    <row r="88" customFormat="false" ht="15" hidden="false" customHeight="false" outlineLevel="0" collapsed="false">
      <c r="A88" s="0" t="s">
        <v>779</v>
      </c>
      <c r="B88" s="0" t="s">
        <v>780</v>
      </c>
      <c r="C88" s="0" t="s">
        <v>781</v>
      </c>
    </row>
    <row r="89" customFormat="false" ht="15" hidden="false" customHeight="false" outlineLevel="0" collapsed="false">
      <c r="A89" s="0" t="s">
        <v>782</v>
      </c>
      <c r="B89" s="0" t="s">
        <v>783</v>
      </c>
      <c r="C89" s="0" t="s">
        <v>784</v>
      </c>
    </row>
    <row r="90" customFormat="false" ht="15" hidden="false" customHeight="false" outlineLevel="0" collapsed="false">
      <c r="A90" s="0" t="s">
        <v>785</v>
      </c>
      <c r="B90" s="0" t="s">
        <v>786</v>
      </c>
      <c r="C90" s="0" t="s">
        <v>787</v>
      </c>
    </row>
    <row r="91" customFormat="false" ht="15" hidden="false" customHeight="false" outlineLevel="0" collapsed="false">
      <c r="A91" s="0" t="s">
        <v>788</v>
      </c>
      <c r="B91" s="0" t="s">
        <v>789</v>
      </c>
      <c r="C91" s="0" t="s">
        <v>790</v>
      </c>
    </row>
    <row r="92" customFormat="false" ht="15" hidden="false" customHeight="false" outlineLevel="0" collapsed="false">
      <c r="A92" s="0" t="s">
        <v>791</v>
      </c>
      <c r="B92" s="0" t="s">
        <v>792</v>
      </c>
      <c r="C92" s="0" t="s">
        <v>793</v>
      </c>
    </row>
    <row r="93" customFormat="false" ht="15" hidden="false" customHeight="false" outlineLevel="0" collapsed="false">
      <c r="A93" s="0" t="s">
        <v>794</v>
      </c>
      <c r="B93" s="0" t="s">
        <v>795</v>
      </c>
      <c r="C93" s="0" t="s">
        <v>796</v>
      </c>
    </row>
    <row r="94" customFormat="false" ht="15" hidden="false" customHeight="false" outlineLevel="0" collapsed="false">
      <c r="A94" s="0" t="s">
        <v>797</v>
      </c>
      <c r="B94" s="0" t="s">
        <v>798</v>
      </c>
      <c r="C94" s="0" t="s">
        <v>799</v>
      </c>
    </row>
    <row r="95" customFormat="false" ht="15" hidden="false" customHeight="false" outlineLevel="0" collapsed="false">
      <c r="A95" s="0" t="s">
        <v>800</v>
      </c>
      <c r="B95" s="0" t="s">
        <v>801</v>
      </c>
      <c r="C95" s="0" t="s">
        <v>802</v>
      </c>
    </row>
    <row r="96" customFormat="false" ht="15" hidden="false" customHeight="false" outlineLevel="0" collapsed="false">
      <c r="A96" s="0" t="s">
        <v>803</v>
      </c>
      <c r="B96" s="0" t="s">
        <v>804</v>
      </c>
      <c r="C96" s="0" t="s">
        <v>805</v>
      </c>
    </row>
    <row r="97" customFormat="false" ht="15" hidden="false" customHeight="false" outlineLevel="0" collapsed="false">
      <c r="A97" s="0" t="s">
        <v>806</v>
      </c>
      <c r="B97" s="0" t="s">
        <v>807</v>
      </c>
      <c r="C97" s="0" t="s">
        <v>808</v>
      </c>
    </row>
    <row r="98" customFormat="false" ht="15" hidden="false" customHeight="false" outlineLevel="0" collapsed="false">
      <c r="A98" s="0" t="s">
        <v>809</v>
      </c>
      <c r="B98" s="0" t="s">
        <v>810</v>
      </c>
      <c r="C98" s="0" t="s">
        <v>811</v>
      </c>
    </row>
    <row r="99" customFormat="false" ht="15" hidden="false" customHeight="false" outlineLevel="0" collapsed="false">
      <c r="A99" s="0" t="s">
        <v>812</v>
      </c>
      <c r="B99" s="0" t="s">
        <v>813</v>
      </c>
      <c r="C99" s="0" t="s">
        <v>814</v>
      </c>
    </row>
    <row r="100" customFormat="false" ht="15" hidden="false" customHeight="false" outlineLevel="0" collapsed="false">
      <c r="A100" s="0" t="s">
        <v>815</v>
      </c>
      <c r="B100" s="0" t="s">
        <v>816</v>
      </c>
      <c r="C100" s="0" t="s">
        <v>817</v>
      </c>
    </row>
    <row r="101" customFormat="false" ht="15" hidden="false" customHeight="false" outlineLevel="0" collapsed="false">
      <c r="A101" s="0" t="s">
        <v>818</v>
      </c>
      <c r="B101" s="0" t="s">
        <v>819</v>
      </c>
      <c r="C101" s="0" t="s">
        <v>820</v>
      </c>
    </row>
    <row r="102" customFormat="false" ht="15" hidden="false" customHeight="false" outlineLevel="0" collapsed="false">
      <c r="A102" s="0" t="s">
        <v>821</v>
      </c>
      <c r="B102" s="0" t="s">
        <v>822</v>
      </c>
      <c r="C102" s="0" t="s">
        <v>823</v>
      </c>
    </row>
    <row r="103" customFormat="false" ht="15" hidden="false" customHeight="false" outlineLevel="0" collapsed="false">
      <c r="A103" s="0" t="s">
        <v>824</v>
      </c>
      <c r="B103" s="0" t="s">
        <v>825</v>
      </c>
      <c r="C103" s="0" t="s">
        <v>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31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827</v>
      </c>
      <c r="B1" s="0" t="s">
        <v>828</v>
      </c>
      <c r="C1" s="0" t="s">
        <v>829</v>
      </c>
      <c r="D1" s="0" t="s">
        <v>830</v>
      </c>
    </row>
    <row r="2" customFormat="false" ht="15" hidden="false" customHeight="false" outlineLevel="0" collapsed="false">
      <c r="A2" s="0" t="n">
        <v>1</v>
      </c>
      <c r="B2" s="0" t="s">
        <v>831</v>
      </c>
      <c r="C2" s="0" t="s">
        <v>334</v>
      </c>
      <c r="D2" s="0" t="s">
        <v>832</v>
      </c>
    </row>
    <row r="3" customFormat="false" ht="15" hidden="false" customHeight="false" outlineLevel="0" collapsed="false">
      <c r="A3" s="0" t="n">
        <v>2</v>
      </c>
      <c r="B3" s="0" t="s">
        <v>833</v>
      </c>
      <c r="C3" s="0" t="s">
        <v>338</v>
      </c>
      <c r="D3" s="0" t="s">
        <v>834</v>
      </c>
    </row>
    <row r="4" customFormat="false" ht="15" hidden="false" customHeight="false" outlineLevel="0" collapsed="false">
      <c r="A4" s="0" t="n">
        <v>3</v>
      </c>
      <c r="B4" s="0" t="s">
        <v>835</v>
      </c>
      <c r="C4" s="0" t="s">
        <v>836</v>
      </c>
      <c r="D4" s="0" t="s">
        <v>837</v>
      </c>
    </row>
    <row r="5" customFormat="false" ht="15" hidden="false" customHeight="false" outlineLevel="0" collapsed="false">
      <c r="A5" s="0" t="n">
        <v>4</v>
      </c>
      <c r="B5" s="0" t="s">
        <v>838</v>
      </c>
      <c r="C5" s="0" t="s">
        <v>839</v>
      </c>
      <c r="D5" s="0" t="s">
        <v>840</v>
      </c>
    </row>
    <row r="6" customFormat="false" ht="15" hidden="false" customHeight="false" outlineLevel="0" collapsed="false">
      <c r="A6" s="0" t="n">
        <v>5</v>
      </c>
      <c r="B6" s="0" t="s">
        <v>841</v>
      </c>
      <c r="C6" s="0" t="s">
        <v>842</v>
      </c>
      <c r="D6" s="0" t="s">
        <v>843</v>
      </c>
    </row>
    <row r="7" customFormat="false" ht="15" hidden="false" customHeight="false" outlineLevel="0" collapsed="false">
      <c r="A7" s="0" t="n">
        <v>6</v>
      </c>
      <c r="B7" s="0" t="s">
        <v>844</v>
      </c>
      <c r="C7" s="0" t="s">
        <v>845</v>
      </c>
      <c r="D7" s="0" t="s">
        <v>846</v>
      </c>
    </row>
    <row r="8" customFormat="false" ht="15" hidden="false" customHeight="false" outlineLevel="0" collapsed="false">
      <c r="A8" s="0" t="n">
        <v>7</v>
      </c>
      <c r="B8" s="0" t="s">
        <v>847</v>
      </c>
      <c r="C8" s="0" t="s">
        <v>848</v>
      </c>
      <c r="D8" s="0" t="s">
        <v>849</v>
      </c>
    </row>
    <row r="9" customFormat="false" ht="15" hidden="false" customHeight="false" outlineLevel="0" collapsed="false">
      <c r="A9" s="0" t="n">
        <v>8</v>
      </c>
      <c r="B9" s="0" t="s">
        <v>850</v>
      </c>
      <c r="C9" s="0" t="s">
        <v>851</v>
      </c>
      <c r="D9" s="0" t="s">
        <v>852</v>
      </c>
    </row>
    <row r="10" customFormat="false" ht="15" hidden="false" customHeight="false" outlineLevel="0" collapsed="false">
      <c r="A10" s="0" t="n">
        <v>9</v>
      </c>
      <c r="B10" s="0" t="s">
        <v>853</v>
      </c>
      <c r="C10" s="0" t="s">
        <v>854</v>
      </c>
      <c r="D10" s="0" t="s">
        <v>855</v>
      </c>
    </row>
    <row r="11" customFormat="false" ht="15" hidden="false" customHeight="false" outlineLevel="0" collapsed="false">
      <c r="A11" s="0" t="n">
        <v>10</v>
      </c>
      <c r="B11" s="0" t="s">
        <v>856</v>
      </c>
      <c r="C11" s="0" t="s">
        <v>857</v>
      </c>
      <c r="D11" s="0" t="s">
        <v>858</v>
      </c>
    </row>
    <row r="12" customFormat="false" ht="15" hidden="false" customHeight="false" outlineLevel="0" collapsed="false">
      <c r="A12" s="0" t="n">
        <v>11</v>
      </c>
      <c r="B12" s="0" t="s">
        <v>859</v>
      </c>
      <c r="C12" s="0" t="s">
        <v>860</v>
      </c>
      <c r="D12" s="0" t="s">
        <v>861</v>
      </c>
    </row>
    <row r="13" customFormat="false" ht="15" hidden="false" customHeight="false" outlineLevel="0" collapsed="false">
      <c r="A13" s="0" t="n">
        <v>12</v>
      </c>
      <c r="B13" s="0" t="s">
        <v>862</v>
      </c>
      <c r="C13" s="0" t="s">
        <v>863</v>
      </c>
      <c r="D13" s="0" t="s">
        <v>864</v>
      </c>
    </row>
    <row r="14" customFormat="false" ht="15" hidden="false" customHeight="false" outlineLevel="0" collapsed="false">
      <c r="A14" s="0" t="n">
        <v>13</v>
      </c>
      <c r="B14" s="0" t="s">
        <v>865</v>
      </c>
      <c r="C14" s="0" t="s">
        <v>866</v>
      </c>
      <c r="D14" s="0" t="s">
        <v>867</v>
      </c>
    </row>
    <row r="15" customFormat="false" ht="15" hidden="false" customHeight="false" outlineLevel="0" collapsed="false">
      <c r="A15" s="0" t="n">
        <v>14</v>
      </c>
      <c r="B15" s="0" t="s">
        <v>868</v>
      </c>
      <c r="C15" s="0" t="s">
        <v>869</v>
      </c>
      <c r="D15" s="0" t="s">
        <v>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870</v>
      </c>
      <c r="B1" s="0" t="s">
        <v>871</v>
      </c>
      <c r="C1" s="0" t="s">
        <v>59</v>
      </c>
      <c r="D1" s="0" t="s">
        <v>872</v>
      </c>
    </row>
    <row r="2" customFormat="false" ht="15" hidden="false" customHeight="false" outlineLevel="0" collapsed="false">
      <c r="A2" s="0" t="s">
        <v>873</v>
      </c>
      <c r="B2" s="0" t="s">
        <v>874</v>
      </c>
      <c r="C2" s="0" t="s">
        <v>875</v>
      </c>
      <c r="D2" s="0" t="s">
        <v>876</v>
      </c>
    </row>
    <row r="3" customFormat="false" ht="15" hidden="false" customHeight="false" outlineLevel="0" collapsed="false">
      <c r="A3" s="0" t="s">
        <v>877</v>
      </c>
      <c r="B3" s="0" t="s">
        <v>878</v>
      </c>
      <c r="C3" s="0" t="s">
        <v>875</v>
      </c>
      <c r="D3" s="0" t="s">
        <v>879</v>
      </c>
    </row>
    <row r="4" customFormat="false" ht="15" hidden="false" customHeight="false" outlineLevel="0" collapsed="false">
      <c r="A4" s="0" t="s">
        <v>880</v>
      </c>
      <c r="B4" s="0" t="s">
        <v>881</v>
      </c>
      <c r="C4" s="0" t="s">
        <v>875</v>
      </c>
      <c r="D4" s="0" t="s">
        <v>882</v>
      </c>
    </row>
    <row r="5" customFormat="false" ht="15" hidden="false" customHeight="false" outlineLevel="0" collapsed="false">
      <c r="A5" s="0" t="s">
        <v>883</v>
      </c>
      <c r="B5" s="0" t="s">
        <v>884</v>
      </c>
      <c r="C5" s="0" t="s">
        <v>875</v>
      </c>
      <c r="D5" s="0" t="s">
        <v>885</v>
      </c>
    </row>
    <row r="6" customFormat="false" ht="15" hidden="false" customHeight="false" outlineLevel="0" collapsed="false">
      <c r="A6" s="0" t="s">
        <v>886</v>
      </c>
      <c r="B6" s="0" t="s">
        <v>887</v>
      </c>
      <c r="C6" s="0" t="s">
        <v>875</v>
      </c>
      <c r="D6" s="0" t="s">
        <v>888</v>
      </c>
    </row>
    <row r="7" customFormat="false" ht="15" hidden="false" customHeight="false" outlineLevel="0" collapsed="false">
      <c r="A7" s="0" t="s">
        <v>889</v>
      </c>
      <c r="B7" s="0" t="s">
        <v>890</v>
      </c>
      <c r="C7" s="0" t="s">
        <v>875</v>
      </c>
      <c r="D7" s="0" t="s">
        <v>891</v>
      </c>
    </row>
    <row r="8" customFormat="false" ht="15" hidden="false" customHeight="false" outlineLevel="0" collapsed="false">
      <c r="A8" s="0" t="s">
        <v>892</v>
      </c>
      <c r="B8" s="0" t="s">
        <v>893</v>
      </c>
      <c r="C8" s="0" t="s">
        <v>875</v>
      </c>
      <c r="D8" s="0" t="s">
        <v>894</v>
      </c>
    </row>
    <row r="9" customFormat="false" ht="15" hidden="false" customHeight="false" outlineLevel="0" collapsed="false">
      <c r="A9" s="0" t="s">
        <v>895</v>
      </c>
      <c r="B9" s="0" t="s">
        <v>896</v>
      </c>
      <c r="C9" s="0" t="s">
        <v>875</v>
      </c>
      <c r="D9" s="0" t="s">
        <v>897</v>
      </c>
    </row>
    <row r="10" customFormat="false" ht="15" hidden="false" customHeight="false" outlineLevel="0" collapsed="false">
      <c r="A10" s="0" t="s">
        <v>898</v>
      </c>
      <c r="B10" s="0" t="s">
        <v>899</v>
      </c>
      <c r="C10" s="0" t="s">
        <v>875</v>
      </c>
      <c r="D10" s="0" t="s">
        <v>900</v>
      </c>
    </row>
    <row r="11" customFormat="false" ht="15" hidden="false" customHeight="false" outlineLevel="0" collapsed="false">
      <c r="A11" s="0" t="s">
        <v>901</v>
      </c>
      <c r="B11" s="0" t="s">
        <v>902</v>
      </c>
      <c r="C11" s="0" t="s">
        <v>875</v>
      </c>
      <c r="D11" s="0" t="s">
        <v>903</v>
      </c>
    </row>
    <row r="12" customFormat="false" ht="15" hidden="false" customHeight="false" outlineLevel="0" collapsed="false">
      <c r="A12" s="0" t="s">
        <v>904</v>
      </c>
      <c r="B12" s="0" t="s">
        <v>905</v>
      </c>
      <c r="C12" s="0" t="s">
        <v>875</v>
      </c>
      <c r="D12" s="0" t="s">
        <v>906</v>
      </c>
    </row>
    <row r="13" customFormat="false" ht="15" hidden="false" customHeight="false" outlineLevel="0" collapsed="false">
      <c r="A13" s="0" t="s">
        <v>907</v>
      </c>
      <c r="B13" s="0" t="s">
        <v>908</v>
      </c>
      <c r="C13" s="0" t="s">
        <v>875</v>
      </c>
      <c r="D13" s="0" t="s">
        <v>909</v>
      </c>
    </row>
    <row r="14" customFormat="false" ht="15" hidden="false" customHeight="false" outlineLevel="0" collapsed="false">
      <c r="A14" s="0" t="s">
        <v>910</v>
      </c>
      <c r="B14" s="0" t="s">
        <v>911</v>
      </c>
      <c r="C14" s="0" t="s">
        <v>875</v>
      </c>
      <c r="D14" s="0" t="s">
        <v>912</v>
      </c>
    </row>
    <row r="15" customFormat="false" ht="15" hidden="false" customHeight="false" outlineLevel="0" collapsed="false">
      <c r="A15" s="0" t="s">
        <v>913</v>
      </c>
      <c r="B15" s="0" t="s">
        <v>914</v>
      </c>
      <c r="C15" s="0" t="s">
        <v>875</v>
      </c>
      <c r="D15" s="0" t="s">
        <v>915</v>
      </c>
    </row>
    <row r="16" customFormat="false" ht="15" hidden="false" customHeight="false" outlineLevel="0" collapsed="false">
      <c r="A16" s="0" t="s">
        <v>916</v>
      </c>
      <c r="B16" s="0" t="s">
        <v>917</v>
      </c>
      <c r="C16" s="0" t="s">
        <v>875</v>
      </c>
      <c r="D16" s="0" t="s">
        <v>918</v>
      </c>
    </row>
    <row r="17" customFormat="false" ht="15" hidden="false" customHeight="false" outlineLevel="0" collapsed="false">
      <c r="A17" s="0" t="s">
        <v>919</v>
      </c>
      <c r="B17" s="0" t="s">
        <v>920</v>
      </c>
      <c r="C17" s="0" t="s">
        <v>875</v>
      </c>
      <c r="D17" s="0" t="s">
        <v>921</v>
      </c>
    </row>
    <row r="18" customFormat="false" ht="15" hidden="false" customHeight="false" outlineLevel="0" collapsed="false">
      <c r="A18" s="0" t="s">
        <v>922</v>
      </c>
      <c r="B18" s="0" t="s">
        <v>923</v>
      </c>
      <c r="C18" s="0" t="s">
        <v>875</v>
      </c>
      <c r="D18" s="0" t="s">
        <v>924</v>
      </c>
    </row>
    <row r="19" customFormat="false" ht="15" hidden="false" customHeight="false" outlineLevel="0" collapsed="false">
      <c r="A19" s="0" t="s">
        <v>925</v>
      </c>
      <c r="B19" s="0" t="s">
        <v>926</v>
      </c>
      <c r="C19" s="0" t="s">
        <v>875</v>
      </c>
      <c r="D19" s="0" t="s">
        <v>927</v>
      </c>
    </row>
    <row r="20" customFormat="false" ht="15" hidden="false" customHeight="false" outlineLevel="0" collapsed="false">
      <c r="A20" s="0" t="s">
        <v>928</v>
      </c>
      <c r="B20" s="0" t="s">
        <v>929</v>
      </c>
      <c r="C20" s="0" t="s">
        <v>875</v>
      </c>
      <c r="D20" s="0" t="s">
        <v>930</v>
      </c>
    </row>
    <row r="21" customFormat="false" ht="15" hidden="false" customHeight="false" outlineLevel="0" collapsed="false">
      <c r="A21" s="0" t="s">
        <v>931</v>
      </c>
      <c r="B21" s="0" t="s">
        <v>932</v>
      </c>
      <c r="C21" s="0" t="s">
        <v>875</v>
      </c>
      <c r="D21" s="0" t="s">
        <v>933</v>
      </c>
    </row>
    <row r="22" customFormat="false" ht="15" hidden="false" customHeight="false" outlineLevel="0" collapsed="false">
      <c r="A22" s="0" t="s">
        <v>934</v>
      </c>
      <c r="B22" s="0" t="s">
        <v>935</v>
      </c>
      <c r="C22" s="0" t="s">
        <v>936</v>
      </c>
      <c r="D22" s="0" t="s">
        <v>937</v>
      </c>
    </row>
    <row r="23" customFormat="false" ht="15" hidden="false" customHeight="false" outlineLevel="0" collapsed="false">
      <c r="A23" s="0" t="s">
        <v>938</v>
      </c>
      <c r="B23" s="0" t="s">
        <v>939</v>
      </c>
      <c r="C23" s="0" t="s">
        <v>936</v>
      </c>
      <c r="D23" s="0" t="s">
        <v>940</v>
      </c>
    </row>
    <row r="24" customFormat="false" ht="15" hidden="false" customHeight="false" outlineLevel="0" collapsed="false">
      <c r="A24" s="0" t="s">
        <v>941</v>
      </c>
      <c r="B24" s="0" t="s">
        <v>942</v>
      </c>
      <c r="C24" s="0" t="s">
        <v>875</v>
      </c>
      <c r="D24" s="0" t="s">
        <v>943</v>
      </c>
    </row>
    <row r="25" customFormat="false" ht="15" hidden="false" customHeight="false" outlineLevel="0" collapsed="false">
      <c r="A25" s="0" t="s">
        <v>944</v>
      </c>
      <c r="B25" s="0" t="s">
        <v>945</v>
      </c>
      <c r="C25" s="0" t="s">
        <v>875</v>
      </c>
      <c r="D25" s="0" t="s">
        <v>946</v>
      </c>
    </row>
    <row r="26" customFormat="false" ht="15" hidden="false" customHeight="false" outlineLevel="0" collapsed="false">
      <c r="A26" s="0" t="s">
        <v>947</v>
      </c>
      <c r="B26" s="0" t="s">
        <v>948</v>
      </c>
      <c r="C26" s="0" t="s">
        <v>936</v>
      </c>
      <c r="D26" s="0" t="s">
        <v>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950</v>
      </c>
    </row>
    <row r="2" customFormat="false" ht="15" hidden="false" customHeight="false" outlineLevel="0" collapsed="false">
      <c r="A2" s="0" t="s">
        <v>951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2026-10-20T16:36:36Z</dcterms:created>
  <dc:creator>openpyxl</dc:creator>
  <dc:description/>
  <dc:language>en-US</dc:language>
  <cp:lastModifiedBy/>
  <dcterms:modified xsi:type="dcterms:W3CDTF">2026-10-20T16:36:36Z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