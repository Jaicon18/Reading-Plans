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<sst xmlns="http://schemas.openxmlformats.org/spreadsheetml/2006/main" count="1098" uniqueCount="674">
  <si>
    <t xml:space="preserve">Bank of America - Broomfield, CO (CO1-111)   |   METAL FRAMING &amp; DRYWALL TAKEOFF</t>
  </si>
  <si>
    <t xml:space="preserve">Bid set: 2025.08.26_CO1-111_Broomfield_PERMIT SET_BID SET.pdf   ·   2026-10-15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</si>
  <si>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</si>
  <si>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</si>
  <si>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</si>
  <si>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</si>
  <si>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</si>
  <si>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</si>
  <si>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</si>
  <si>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</si>
  <si>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</si>
  <si>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</si>
  <si>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</si>
  <si>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</si>
  <si>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</si>
  <si>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</si>
  <si>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</si>
  <si>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</si>
  <si>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</si>
  <si>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</si>
  <si>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</si>
  <si>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</si>
  <si>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</si>
  <si>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</si>
  <si>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</si>
  <si>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</si>
  <si>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</si>
  <si>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</si>
  <si>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</t>
  </si>
  <si>
    <t xml:space="preserve">G  #G-01  -  ATM Room 102 S / Office 5 CB 109 N | ATM Room 102: 2 layer(s) 5/8" gyp board to 15.38' | Office 109: 2 layer(s) 5/8" gyp board to 15.38' | studs 32 (ROUNDUP(L/OC)+1 +2 ends +4/door) | doors []</t>
  </si>
  <si>
    <t xml:space="preserve">G-01</t>
  </si>
  <si>
    <t xml:space="preserve">1-5/8"</t>
  </si>
  <si>
    <t xml:space="preserve">ATM Room 102 S / Office 5 CB 109 N | ATM Room 102: 2 layer(s) 5/8" gyp board to 15.38' | Office 109: 2 layer(s) 5/8" gyp board to 15.38' | studs 32 (ROUNDUP(L/OC)+1 +2 ends +4/door) | doors []</t>
  </si>
  <si>
    <t xml:space="preserve">5/A12.01 | A02.01 -&gt; 5/A12.01</t>
  </si>
  <si>
    <t xml:space="preserve">[DERIVADO]</t>
  </si>
  <si>
    <t xml:space="preserve">G  #G-02  -  Office 109 / Office 110 | Office 109: 2 layer(s) 5/8" gyp board to 15.38' | Office 110: 2 layer(s) 5/8" gyp board to 15.38' | studs 24 (ROUNDUP(L/OC)+1 +2 ends +4/door) | doors []</t>
  </si>
  <si>
    <t xml:space="preserve">G-02</t>
  </si>
  <si>
    <t xml:space="preserve">Office 109 / Office 110 | Office 109: 2 layer(s) 5/8" gyp board to 15.38' | Office 110: 2 layer(s) 5/8" gyp board to 15.38' | studs 24 (ROUNDUP(L/OC)+1 +2 ends +4/door) | doors []</t>
  </si>
  <si>
    <t xml:space="preserve">G  #G-03  -  Office 110 S / Women's Restroom 114 N | Office 110: 2 layer(s) 5/8" gyp board to 15.38' | Women's 114: 2 layer(s) 5/8" gyp board to 15.38' | studs 24 (ROUNDUP(L/OC)+1 +2 ends +4/door) | doors []</t>
  </si>
  <si>
    <t xml:space="preserve">G-03</t>
  </si>
  <si>
    <t xml:space="preserve">Office 110 S / Women's Restroom 114 N | Office 110: 2 layer(s) 5/8" gyp board to 15.38' | Women's 114: 2 layer(s) 5/8" gyp board to 15.38' | studs 24 (ROUNDUP(L/OC)+1 +2 ends +4/door) | doors []</t>
  </si>
  <si>
    <t xml:space="preserve">G  #G-04  -  Office 2 CL 106 / Office 3 SB 107 | Office 106: 2 layer(s) 5/8" gyp board to 15.38' | Office 107: 2 layer(s) 5/8" gyp board to 15.38' | studs 24 (ROUNDUP(L/OC)+1 +2 ends +4/door) | doors []</t>
  </si>
  <si>
    <t xml:space="preserve">G-04</t>
  </si>
  <si>
    <t xml:space="preserve">Office 2 CL 106 / Office 3 SB 107 | Office 106: 2 layer(s) 5/8" gyp board to 15.38' | Office 107: 2 layer(s) 5/8" gyp board to 15.38' | studs 24 (ROUNDUP(L/OC)+1 +2 ends +4/door) | doors []</t>
  </si>
  <si>
    <t xml:space="preserve">G  #G-05  -  Office 3 SB 107 / Office 4 CB 108 | Office 107: 2 layer(s) 5/8" gyp board to 15.38' | Office 108: 2 layer(s) 5/8" gyp board to 15.38' | studs 24 (ROUNDUP(L/OC)+1 +2 ends +4/door) | doors []</t>
  </si>
  <si>
    <t xml:space="preserve">G-05</t>
  </si>
  <si>
    <t xml:space="preserve">Office 3 SB 107 / Office 4 CB 108 | Office 107: 2 layer(s) 5/8" gyp board to 15.38' | Office 108: 2 layer(s) 5/8" gyp board to 15.38' | studs 24 (ROUNDUP(L/OC)+1 +2 ends +4/door) | doors []</t>
  </si>
  <si>
    <t xml:space="preserve">G  #G-06  -  Office 4 CB 108 S / Cash Window 116 N (east part) | Office 108: 2 layer(s) 5/8" gyp board to 15.38' | Cash Window 116: 2 layer(s) 5/8" gyp board to 15.38' | studs 18 (ROUNDUP(L/OC)+1 +2 ends +4/door) | doors []</t>
  </si>
  <si>
    <t xml:space="preserve">G-06</t>
  </si>
  <si>
    <t xml:space="preserve">Office 4 CB 108 S / Cash Window 116 N (east part) | Office 108: 2 layer(s) 5/8" gyp board to 15.38' | Cash Window 116: 2 layer(s) 5/8" gyp board to 15.38' | studs 18 (ROUNDUP(L/OC)+1 +2 ends +4/door) | doors []</t>
  </si>
  <si>
    <t xml:space="preserve">G  #G-07  -  Office 1 ME 105 W stub (north of office front) | Office 105: 2 layer(s) 5/8" gyp board to 15.38' | Central Zone 103: 2 layer(s) 5/8" gyp board to 15.38' | studs 10 (ROUNDUP(L/OC)+1 +2 ends +4/door) | doors []</t>
  </si>
  <si>
    <t xml:space="preserve">G-07</t>
  </si>
  <si>
    <t xml:space="preserve">Office 1 ME 105 W stub (north of office front) | Office 105: 2 layer(s) 5/8" gyp board to 15.38' | Central Zone 103: 2 layer(s) 5/8" gyp board to 15.38' | studs 10 (ROUNDUP(L/OC)+1 +2 ends +4/door) | doors []</t>
  </si>
  <si>
    <t xml:space="preserve">G  #G-08  -  Office 105/106 W stub at office fronts | Office 106: 2 layer(s) 5/8" gyp board to 15.38' | Central Zone 103: 2 layer(s) 5/8" gyp board to 15.38' | studs 12 (ROUNDUP(L/OC)+1 +2 ends +4/door) | doors []</t>
  </si>
  <si>
    <t xml:space="preserve">G-08</t>
  </si>
  <si>
    <t xml:space="preserve">Office 105/106 W stub at office fronts | Office 106: 2 layer(s) 5/8" gyp board to 15.38' | Central Zone 103: 2 layer(s) 5/8" gyp board to 15.38' | studs 12 (ROUNDUP(L/OC)+1 +2 ends +4/door) | doors []</t>
  </si>
  <si>
    <t xml:space="preserve">G  #G-09  -  Office 106/107 W stub at office fronts | Office 107: 2 layer(s) 5/8" gyp board to 15.38' | Central Zone 103: 2 layer(s) 5/8" gyp board to 15.38' | studs 12 (ROUNDUP(L/OC)+1 +2 ends +4/door) | doors []</t>
  </si>
  <si>
    <t xml:space="preserve">G-09</t>
  </si>
  <si>
    <t xml:space="preserve">Office 106/107 W stub at office fronts | Office 107: 2 layer(s) 5/8" gyp board to 15.38' | Central Zone 103: 2 layer(s) 5/8" gyp board to 15.38' | studs 12 (ROUNDUP(L/OC)+1 +2 ends +4/door) | doors []</t>
  </si>
  <si>
    <t xml:space="preserve">G  #G-10  -  Office 107/108 W stub at office fronts | Office 108: 2 layer(s) 5/8" gyp board to 15.38' | Central Zone 103: 2 layer(s) 5/8" gyp board to 15.38' | studs 12 (ROUNDUP(L/OC)+1 +2 ends +4/door) | doors []</t>
  </si>
  <si>
    <t xml:space="preserve">G-10</t>
  </si>
  <si>
    <t xml:space="preserve">Office 107/108 W stub at office fronts | Office 108: 2 layer(s) 5/8" gyp board to 15.38' | Central Zone 103: 2 layer(s) 5/8" gyp board to 15.38' | studs 12 (ROUNDUP(L/OC)+1 +2 ends +4/door) | doors []</t>
  </si>
  <si>
    <t xml:space="preserve">G  #G-11  -  Office 108 SW stub | Office 108: 2 layer(s) 5/8" gyp board to 15.38' | Central Zone 103: 2 layer(s) 5/8" gyp board to 15.38' | studs 8 (ROUNDUP(L/OC)+1 +2 ends +4/door) | doors []</t>
  </si>
  <si>
    <t xml:space="preserve">G-11</t>
  </si>
  <si>
    <t xml:space="preserve">Office 108 SW stub | Office 108: 2 layer(s) 5/8" gyp board to 15.38' | Central Zone 103: 2 layer(s) 5/8" gyp board to 15.38' | studs 8 (ROUNDUP(L/OC)+1 +2 ends +4/door) | doors []</t>
  </si>
  <si>
    <t xml:space="preserve">G  #G-12  -  Office 109 NE stub at office front | Office 109: 2 layer(s) 5/8" gyp board to 15.38' | Central Zone 103: 2 layer(s) 5/8" gyp board to 15.38' | studs 10 (ROUNDUP(L/OC)+1 +2 ends +4/door) | doors []</t>
  </si>
  <si>
    <t xml:space="preserve">G-12</t>
  </si>
  <si>
    <t xml:space="preserve">Office 109 NE stub at office front | Office 109: 2 layer(s) 5/8" gyp board to 15.38' | Central Zone 103: 2 layer(s) 5/8" gyp board to 15.38' | studs 10 (ROUNDUP(L/OC)+1 +2 ends +4/door) | doors []</t>
  </si>
  <si>
    <t xml:space="preserve">G  #G-13  -  Office 110 SE stub at office front | Office 110: 2 layer(s) 5/8" gyp board to 15.38' | Corridor 111: 2 layer(s) 5/8" gyp board to 15.38' | studs 12 (ROUNDUP(L/OC)+1 +2 ends +4/door) | doors []</t>
  </si>
  <si>
    <t xml:space="preserve">G-13</t>
  </si>
  <si>
    <t xml:space="preserve">Office 110 SE stub at office front | Office 110: 2 layer(s) 5/8" gyp board to 15.38' | Corridor 111: 2 layer(s) 5/8" gyp board to 15.38' | studs 12 (ROUNDUP(L/OC)+1 +2 ends +4/door) | doors []</t>
  </si>
  <si>
    <t xml:space="preserve">TYPE G1</t>
  </si>
  <si>
    <t xml:space="preserve">G1  #G1-01  -  Office 1 ME 105 / Office 2 CL 106 | Office 105: 2 layer(s) 5/8" gyp board to 15.38' | Office 106: 2 layer(s) 5/8" gyp board to 15.38' | studs 24 (ROUNDUP(L/OC)+1 +2 ends +4/door) | doors []</t>
  </si>
  <si>
    <t xml:space="preserve">G1-01</t>
  </si>
  <si>
    <t xml:space="preserve">Office 1 ME 105 / Office 2 CL 106 | Office 105: 2 layer(s) 5/8" gyp board to 15.38' | Office 106: 2 layer(s) 5/8" gyp board to 15.38' | studs 24 (ROUNDUP(L/OC)+1 +2 ends +4/door) | doors []</t>
  </si>
  <si>
    <t xml:space="preserve">G1  #G1-02  -  Office 109/110 E stub at office fronts | Office 109: 2 layer(s) 5/8" gyp board to 15.38' | Central Zone 103: 2 layer(s) 5/8" gyp board to 15.38' | studs 12 (ROUNDUP(L/OC)+1 +2 ends +4/door) | doors []</t>
  </si>
  <si>
    <t xml:space="preserve">G1-02</t>
  </si>
  <si>
    <t xml:space="preserve">Office 109/110 E stub at office fronts | Office 109: 2 layer(s) 5/8" gyp board to 15.38' | Central Zone 103: 2 layer(s) 5/8" gyp board to 15.38' | studs 12 (ROUNDUP(L/OC)+1 +2 ends +4/door) | doors []</t>
  </si>
  <si>
    <t xml:space="preserve">TYPE A1</t>
  </si>
  <si>
    <t xml:space="preserve">A1  #A1-01  -  Calling Cubes 122 N / Waiting 104 | Calling Cubes 122: 1 layer(s) 5/8" gyp board to 9.00' | Waiting 104: 1 layer(s) 5/8" gyp board to 11.50' | studs 16 (ROUNDUP(L/OC)+1 +2 ends +4/door) | doors []</t>
  </si>
  <si>
    <t xml:space="preserve">A1-01</t>
  </si>
  <si>
    <t xml:space="preserve">3-5/8"</t>
  </si>
  <si>
    <t xml:space="preserve">Calling Cubes 122 N / Waiting 104 | Calling Cubes 122: 1 layer(s) 5/8" gyp board to 9.00' | Waiting 104: 1 layer(s) 5/8" gyp board to 11.50' | studs 16 (ROUNDUP(L/OC)+1 +2 ends +4/door) | doors []</t>
  </si>
  <si>
    <t xml:space="preserve">3/A12.01 | A02.01 -&gt; 3/A12.01 -&gt; S5.20</t>
  </si>
  <si>
    <t xml:space="preserve">A1  #A1-02  -  Calling Cubes 122 S / Break Room 118-Corridor | Calling Cubes 122: 1 layer(s) 5/8" gyp board to 9.00' | Break Room 118: 1 layer(s) 5/8" gyp board to 9.00' | studs 19 (ROUNDUP(L/OC)+1 +2 ends +4/door) | doors ['122']</t>
  </si>
  <si>
    <t xml:space="preserve">A1-02</t>
  </si>
  <si>
    <t xml:space="preserve">Calling Cubes 122 S / Break Room 118-Corridor | Calling Cubes 122: 1 layer(s) 5/8" gyp board to 9.00' | Break Room 118: 1 layer(s) 5/8" gyp board to 9.00' | studs 19 (ROUNDUP(L/OC)+1 +2 ends +4/door) | doors ['122']</t>
  </si>
  <si>
    <t xml:space="preserve">A1  #A1-03  -  MW01 wall, Calling Cubes 122 NW | Calling Cubes 122: 1 layer(s) 5/8" gyp board to 9.00' | Central Zone 103: 1 layer(s) 5/8" gyp board to 12.00' | studs 6 (ROUNDUP(L/OC)+1 +2 ends +4/door) | doors []</t>
  </si>
  <si>
    <t xml:space="preserve">A1-03</t>
  </si>
  <si>
    <t xml:space="preserve">MW01 wall, Calling Cubes 122 NW | Calling Cubes 122: 1 layer(s) 5/8" gyp board to 9.00' | Central Zone 103: 1 layer(s) 5/8" gyp board to 12.00' | studs 6 (ROUNDUP(L/OC)+1 +2 ends +4/door) | doors []</t>
  </si>
  <si>
    <t xml:space="preserve">A1  #A1-04  -  Break Room 118 N stub (door 118A) | Break Room 118: 1 layer(s) 5/8" gyp board to 9.00' | Central Zone 103: 1 layer(s) 5/8" gyp board to 12.00' | studs 5 (ROUNDUP(L/OC)+1 +2 ends +4/door) | doors []</t>
  </si>
  <si>
    <t xml:space="preserve">A1-04</t>
  </si>
  <si>
    <t xml:space="preserve">Break Room 118 N stub (door 118A) | Break Room 118: 1 layer(s) 5/8" gyp board to 9.00' | Central Zone 103: 1 layer(s) 5/8" gyp board to 12.00' | studs 5 (ROUNDUP(L/OC)+1 +2 ends +4/door) | doors []</t>
  </si>
  <si>
    <t xml:space="preserve">A1  #A1-05  -  Corridor 111 E / Electrical 120 W / NER 121 W | Corridor 111: 1 layer(s) 5/8" gyp board to 9.00' | Electrical 120 / NER 121: 1 layer(s) 5/8" gyp board to 13.05' | studs 16 (ROUNDUP(L/OC)+1 +2 ends +4/door) | doors []</t>
  </si>
  <si>
    <t xml:space="preserve">A1-05</t>
  </si>
  <si>
    <t xml:space="preserve">Corridor 111 E / Electrical 120 W / NER 121 W | Corridor 111: 1 layer(s) 5/8" gyp board to 9.00' | Electrical 120 / NER 121: 1 layer(s) 5/8" gyp board to 13.05' | studs 16 (ROUNDUP(L/OC)+1 +2 ends +4/door) | doors []</t>
  </si>
  <si>
    <t xml:space="preserve">A1  #A1-06  -  Electrical 120 / NER 121 E / Break Room 118 W | Electrical 120 / NER 121: 1 layer(s) 5/8" gyp board to 13.05' | Break Room 118: 1 layer(s) 5/8" gyp board to 9.00' | studs 22 (ROUNDUP(L/OC)+1 +2 ends +4/door) | doors ['120', '121']</t>
  </si>
  <si>
    <t xml:space="preserve">A1-06</t>
  </si>
  <si>
    <t xml:space="preserve">Electrical 120 / NER 121 E / Break Room 118 W | Electrical 120 / NER 121: 1 layer(s) 5/8" gyp board to 13.05' | Break Room 118: 1 layer(s) 5/8" gyp board to 9.00' | studs 22 (ROUNDUP(L/OC)+1 +2 ends +4/door) | doors ['120', '121']</t>
  </si>
  <si>
    <t xml:space="preserve">A1  #A1-07  -  Work Room 119 N / Break Room 118 | Work Room 119: 1 layer(s) 5/8" gyp board to 9.00' | Break Room 118: 1 layer(s) 5/8" gyp board to 9.00' | studs 16 (ROUNDUP(L/OC)+1 +2 ends +4/door) | doors ['119']</t>
  </si>
  <si>
    <t xml:space="preserve">A1-07</t>
  </si>
  <si>
    <t xml:space="preserve">Work Room 119 N / Break Room 118 | Work Room 119: 1 layer(s) 5/8" gyp board to 9.00' | Break Room 118: 1 layer(s) 5/8" gyp board to 9.00' | studs 16 (ROUNDUP(L/OC)+1 +2 ends +4/door) | doors ['119']</t>
  </si>
  <si>
    <t xml:space="preserve">TYPE A5</t>
  </si>
  <si>
    <t xml:space="preserve">A5  #A5-01a  -  Calling Cubes 122 E (north of grid B) | Calling Cubes 122: 1 layer(s) 5/8" gyp board to 9.00' | Central Zone 103: 1 layer(s) 5/8" gyp board to 12.00' | studs 15 (ROUNDUP(L/OC)+1 +2 ends +4/door) | doors []</t>
  </si>
  <si>
    <t xml:space="preserve">A5-01a</t>
  </si>
  <si>
    <t xml:space="preserve">6"</t>
  </si>
  <si>
    <t xml:space="preserve">Calling Cubes 122 E (north of grid B) | Calling Cubes 122: 1 layer(s) 5/8" gyp board to 9.00' | Central Zone 103: 1 layer(s) 5/8" gyp board to 12.00' | studs 15 (ROUNDUP(L/OC)+1 +2 ends +4/door) | doors []</t>
  </si>
  <si>
    <t xml:space="preserve">A5  #A5-01b  -  Calling Cubes 122 E (south of grid B) | Calling Cubes 122: 1 layer(s) 5/8" gyp board to 9.00' | Central Zone 103: 1 layer(s) 5/8" gyp board to 12.00' | studs 8 (ROUNDUP(L/OC)+1 +2 ends +4/door) | doors []</t>
  </si>
  <si>
    <t xml:space="preserve">A5-01b</t>
  </si>
  <si>
    <t xml:space="preserve">Calling Cubes 122 E (south of grid B) | Calling Cubes 122: 1 layer(s) 5/8" gyp board to 9.00' | Central Zone 103: 1 layer(s) 5/8" gyp board to 12.00' | studs 8 (ROUNDUP(L/OC)+1 +2 ends +4/door) | doors []</t>
  </si>
  <si>
    <t xml:space="preserve">A5  #A5-02  -  Calling Cubes 122 W / Corridor-Central Zone | Calling Cubes 122: 1 layer(s) 5/8" gyp board to 9.00' | Central Zone 103: 1 layer(s) 5/8" gyp board to 12.00' | studs 11 (ROUNDUP(L/OC)+1 +2 ends +4/door) | doors []</t>
  </si>
  <si>
    <t xml:space="preserve">A5-02</t>
  </si>
  <si>
    <t xml:space="preserve">Calling Cubes 122 W / Corridor-Central Zone | Calling Cubes 122: 1 layer(s) 5/8" gyp board to 9.00' | Central Zone 103: 1 layer(s) 5/8" gyp board to 12.00' | studs 11 (ROUNDUP(L/OC)+1 +2 ends +4/door) | doors []</t>
  </si>
  <si>
    <t xml:space="preserve">A5  #A5-04  -  Stub at door 111, Corridor 111 N end / Central Zone | Corridor 111: 1 layer(s) 5/8" gyp board to 9.00' | Central Zone 103: 1 layer(s) 5/8" gyp board to 12.00' | studs 5 (ROUNDUP(L/OC)+1 +2 ends +4/door) | doors []</t>
  </si>
  <si>
    <t xml:space="preserve">A5-04</t>
  </si>
  <si>
    <t xml:space="preserve">Stub at door 111, Corridor 111 N end / Central Zone | Corridor 111: 1 layer(s) 5/8" gyp board to 9.00' | Central Zone 103: 1 layer(s) 5/8" gyp board to 12.00' | studs 5 (ROUNDUP(L/OC)+1 +2 ends +4/door) | doors []</t>
  </si>
  <si>
    <t xml:space="preserve">A5  #A5-03  -  Door 118A E jamb wall / Future FCAM | Break Room 118: 1 layer(s) 5/8" gyp board to 9.00' | Cash Window 116: 1 layer(s) 5/8" gyp board to 9.50' | studs 6 (ROUNDUP(L/OC)+1 +2 ends +4/door) | doors []</t>
  </si>
  <si>
    <t xml:space="preserve">A5-03</t>
  </si>
  <si>
    <t xml:space="preserve">Door 118A E jamb wall / Future FCAM | Break Room 118: 1 layer(s) 5/8" gyp board to 9.00' | Cash Window 116: 1 layer(s) 5/8" gyp board to 9.50' | studs 6 (ROUNDUP(L/OC)+1 +2 ends +4/door) | doors []</t>
  </si>
  <si>
    <t xml:space="preserve">TYPE B</t>
  </si>
  <si>
    <t xml:space="preserve">B  #B-01  -  Electrical 120 N / Break Room 118 | Electrical 120: 1 layer(s) 5/8" gyp board to 13.05' | Corridor 111: 1 layer(s) 5/8" gyp board to 13.05' | studs 11 (ROUNDUP(L/OC)+1 +2 ends +4/door) | doors []</t>
  </si>
  <si>
    <t xml:space="preserve">B-01</t>
  </si>
  <si>
    <t xml:space="preserve">Electrical 120 N / Break Room 118 | Electrical 120: 1 layer(s) 5/8" gyp board to 13.05' | Corridor 111: 1 layer(s) 5/8" gyp board to 13.05' | studs 11 (ROUNDUP(L/OC)+1 +2 ends +4/door) | doors []</t>
  </si>
  <si>
    <t xml:space="preserve">1/A12.01 | A02.01 -&gt; 1/A12.01 -&gt; S5.20</t>
  </si>
  <si>
    <t xml:space="preserve">B  #B-02  -  Electrical 120 / NER 121 | Electrical 120: 1 layer(s) 5/8" gyp board to 13.05' | NER 121: 1 layer(s) 5/8" gyp board to 13.05' | studs 11 (ROUNDUP(L/OC)+1 +2 ends +4/door) | doors []</t>
  </si>
  <si>
    <t xml:space="preserve">B-02</t>
  </si>
  <si>
    <t xml:space="preserve">Electrical 120 / NER 121 | Electrical 120: 1 layer(s) 5/8" gyp board to 13.05' | NER 121: 1 layer(s) 5/8" gyp board to 13.05' | studs 11 (ROUNDUP(L/OC)+1 +2 ends +4/door) | doors []</t>
  </si>
  <si>
    <t xml:space="preserve">B  #B-03  -  Men's Restroom 113 S / Janitor Closet 112 | Men's 113: 1 layer(s) 5/8" gyp board to 13.05' | Janitor 112: 1 layer(s) 5/8" gyp board to 13.05' | studs 16 (ROUNDUP(L/OC)+1 +2 ends +4/door) | doors ['112']</t>
  </si>
  <si>
    <t xml:space="preserve">B-03</t>
  </si>
  <si>
    <t xml:space="preserve">Men's Restroom 113 S / Janitor Closet 112 | Men's 113: 1 layer(s) 5/8" gyp board to 13.05' | Janitor 112: 1 layer(s) 5/8" gyp board to 13.05' | studs 16 (ROUNDUP(L/OC)+1 +2 ends +4/door) | doors ['112']</t>
  </si>
  <si>
    <t xml:space="preserve">B  #B-04  -  Janitor Closet 112 / Wellness 115 | Janitor 112: 1 layer(s) 5/8" gyp board to 13.05' | Wellness 115: 1 layer(s) 5/8" gyp board to 13.05' | studs 12 (ROUNDUP(L/OC)+1 +2 ends +4/door) | doors []</t>
  </si>
  <si>
    <t xml:space="preserve">B-04</t>
  </si>
  <si>
    <t xml:space="preserve">Janitor Closet 112 / Wellness 115 | Janitor 112: 1 layer(s) 5/8" gyp board to 13.05' | Wellness 115: 1 layer(s) 5/8" gyp board to 13.05' | studs 12 (ROUNDUP(L/OC)+1 +2 ends +4/door) | doors []</t>
  </si>
  <si>
    <t xml:space="preserve">B  #B-05  -  Storage 117 W / Janitor 112 | Storage 117: 1 layer(s) 5/8" gyp board to 13.05' | Janitor 112: 1 layer(s) 5/8" gyp board to 13.05' | studs 6 (ROUNDUP(L/OC)+1 +2 ends +4/door) | doors []</t>
  </si>
  <si>
    <t xml:space="preserve">B-05</t>
  </si>
  <si>
    <t xml:space="preserve">Storage 117 W / Janitor 112 | Storage 117: 1 layer(s) 5/8" gyp board to 13.05' | Janitor 112: 1 layer(s) 5/8" gyp board to 13.05' | studs 6 (ROUNDUP(L/OC)+1 +2 ends +4/door) | doors []</t>
  </si>
  <si>
    <t xml:space="preserve">B  #B-06  -  Janitor 112 / MW06A partition | Janitor 112: 1 layer(s) 5/8" gyp board to 13.05' | Janitor 112: 1 layer(s) 5/8" gyp board to 13.05' | studs 6 (ROUNDUP(L/OC)+1 +2 ends +4/door) | doors []</t>
  </si>
  <si>
    <t xml:space="preserve">B-06</t>
  </si>
  <si>
    <t xml:space="preserve">Janitor 112 / MW06A partition | Janitor 112: 1 layer(s) 5/8" gyp board to 13.05' | Janitor 112: 1 layer(s) 5/8" gyp board to 13.05' | studs 6 (ROUNDUP(L/OC)+1 +2 ends +4/door) | doors []</t>
  </si>
  <si>
    <t xml:space="preserve">TYPE B2</t>
  </si>
  <si>
    <t xml:space="preserve">B2  #B2-01  -  Restrooms 113-114, Storage 117, Wellness 115 E / Corridor 111 W | Restrooms/Storage/Wellness: 1 layer(s) 5/8" gyp board to 13.05' | Corridor 111: 1 layer(s) 5/8" gyp board to 13.05' | studs 39 (ROUNDUP(L/OC)+1 +2 ends +4/door) | doors ['114', '113', '117', '115']</t>
  </si>
  <si>
    <t xml:space="preserve">B2-01</t>
  </si>
  <si>
    <t xml:space="preserve">Restrooms 113-114, Storage 117, Wellness 115 E / Corridor 111 W | Restrooms/Storage/Wellness: 1 layer(s) 5/8" gyp board to 13.05' | Corridor 111: 1 layer(s) 5/8" gyp board to 13.05' | studs 39 (ROUNDUP(L/OC)+1 +2 ends +4/door) | doors ['114', '113', '117', '115']</t>
  </si>
  <si>
    <t xml:space="preserve">B2  #B2-02  -  ATM Room 102 E stub (door 102) | ATM Room 102: 1 layer(s) 5/8" gyp board to 15.38' | Central Zone 103: 1 layer(s) 5/8" gyp board to 15.38' | studs 5 (ROUNDUP(L/OC)+1 +2 ends +4/door) | doors []</t>
  </si>
  <si>
    <t xml:space="preserve">B2-02</t>
  </si>
  <si>
    <t xml:space="preserve">ATM Room 102 E stub (door 102) | ATM Room 102: 1 layer(s) 5/8" gyp board to 15.38' | Central Zone 103: 1 layer(s) 5/8" gyp board to 15.38' | studs 5 (ROUNDUP(L/OC)+1 +2 ends +4/door) | doors []</t>
  </si>
  <si>
    <t xml:space="preserve">B2  #B2-03  -  Work Room 119 W / Break Room 118 E | Work Room 119: 1 layer(s) 5/8" gyp board to 13.05' | Break Room 118: 1 layer(s) 5/8" gyp board to 13.05' | studs 12 (ROUNDUP(L/OC)+1 +2 ends +4/door) | doors []</t>
  </si>
  <si>
    <t xml:space="preserve">B2-03</t>
  </si>
  <si>
    <t xml:space="preserve">Work Room 119 W / Break Room 118 E | Work Room 119: 1 layer(s) 5/8" gyp board to 13.05' | Break Room 118: 1 layer(s) 5/8" gyp board to 13.05' | studs 12 (ROUNDUP(L/OC)+1 +2 ends +4/door) | doors []</t>
  </si>
  <si>
    <t xml:space="preserve">TYPE A1K</t>
  </si>
  <si>
    <t xml:space="preserve">A1K  #A1K-01  -  Cash Window 116 N end (teller line) | Teller side: 1 layer(s) 5/8" gyp board to 15.38' | Customer side: 1 layer(s) 5/8" gyp board to 15.38' | studs 5 (ROUNDUP(L/OC)+1 +2 ends +4/door) | doors []</t>
  </si>
  <si>
    <t xml:space="preserve">A1K-01</t>
  </si>
  <si>
    <t xml:space="preserve">Cash Window 116 N end (teller line) | Teller side: 1 layer(s) 5/8" gyp board to 15.38' | Customer side: 1 layer(s) 5/8" gyp board to 15.38' | studs 5 (ROUNDUP(L/OC)+1 +2 ends +4/door) | doors []</t>
  </si>
  <si>
    <t xml:space="preserve">4/A12.01 | A02.01 -&gt; 4/A12.01</t>
  </si>
  <si>
    <t xml:space="preserve">A1K  #A1K-02  -  Cash Window 116 S end (teller line) | Teller side: 1 layer(s) 5/8" gyp board to 13.05' | Customer side: 1 layer(s) 5/8" gyp board to 13.05' | studs 5 (ROUNDUP(L/OC)+1 +2 ends +4/door) | doors []</t>
  </si>
  <si>
    <t xml:space="preserve">A1K-02</t>
  </si>
  <si>
    <t xml:space="preserve">Cash Window 116 S end (teller line) | Teller side: 1 layer(s) 5/8" gyp board to 13.05' | Customer side: 1 layer(s) 5/8" gyp board to 13.05' | studs 5 (ROUNDUP(L/OC)+1 +2 ends +4/door) | doors []</t>
  </si>
  <si>
    <t xml:space="preserve">A1K  #A1K-03  -  Cash Window 116 SW jog | Teller side: 1 layer(s) 5/8" gyp board to 13.05' | Customer side: 1 layer(s) 5/8" gyp board to 13.05' | studs 5 (ROUNDUP(L/OC)+1 +2 ends +4/door) | doors []</t>
  </si>
  <si>
    <t xml:space="preserve">A1K-03</t>
  </si>
  <si>
    <t xml:space="preserve">Cash Window 116 SW jog | Teller side: 1 layer(s) 5/8" gyp board to 13.05' | Customer side: 1 layer(s) 5/8" gyp board to 13.05' | studs 5 (ROUNDUP(L/OC)+1 +2 ends +4/door) | doors []</t>
  </si>
  <si>
    <t xml:space="preserve">TYPE B2K</t>
  </si>
  <si>
    <t xml:space="preserve">B2K  #B2K-01  -  Cash Window 116 NW jog / Office 108 | Teller side: 1 layer(s) 5/8" gyp board to 15.38' | Office 108: 1 layer(s) 5/8" gyp board to 15.38' | studs 5 (ROUNDUP(L/OC)+1 +2 ends +4/door) | doors []</t>
  </si>
  <si>
    <t xml:space="preserve">B2K-01</t>
  </si>
  <si>
    <t xml:space="preserve">Cash Window 116 NW jog / Office 108 | Teller side: 1 layer(s) 5/8" gyp board to 15.38' | Office 108: 1 layer(s) 5/8" gyp board to 15.38' | studs 5 (ROUNDUP(L/OC)+1 +2 ends +4/door) | doors []</t>
  </si>
  <si>
    <t xml:space="preserve">TYPE F</t>
  </si>
  <si>
    <t xml:space="preserve">F  #F-01  -  ATM wall (60 deg), 24 HR Vestibule 101 / ATM Room 102 | 24 HR Vestibule 101 (public): 1 layer(s) 5/8" gyp board to 10.50' | ATM Room 102: 1 layer(s) 5/8" gyp board to 9.00' | studs 17 (ROUNDUP(L/OC)+1 +2 ends +4/door) | doors []</t>
  </si>
  <si>
    <t xml:space="preserve">F-01</t>
  </si>
  <si>
    <t xml:space="preserve">ATM wall (60 deg), 24 HR Vestibule 101 / ATM Room 102 | 24 HR Vestibule 101 (public): 1 layer(s) 5/8" gyp board to 10.50' | ATM Room 102: 1 layer(s) 5/8" gyp board to 9.00' | studs 17 (ROUNDUP(L/OC)+1 +2 ends +4/door) | doors []</t>
  </si>
  <si>
    <t xml:space="preserve">12/A12.01 | A02.01 -&gt; 12/A12.01 -&gt; 1/A08.11</t>
  </si>
  <si>
    <t xml:space="preserve">TYPE C1</t>
  </si>
  <si>
    <t xml:space="preserve">C1  #C1-01  -  Plumbing chase face, Women's 114 | Women's 114: 1 layer(s) 5/8" gyp board to 9.00' | studs 11 (ROUNDUP(L/OC)+1 +2 ends +4/door) | doors []</t>
  </si>
  <si>
    <t xml:space="preserve">C1-01</t>
  </si>
  <si>
    <t xml:space="preserve">Plumbing chase face, Women's 114 | Women's 114: 1 layer(s) 5/8" gyp board to 9.00' | studs 11 (ROUNDUP(L/OC)+1 +2 ends +4/door) | doors []</t>
  </si>
  <si>
    <t xml:space="preserve">6/A12.01 | A02.01 -&gt; 6/A12.01 -&gt; F/A08.01</t>
  </si>
  <si>
    <t xml:space="preserve">C1  #C1-02  -  Plumbing chase face, Men's 113 | Men's 113: 1 layer(s) 5/8" gyp board to 9.00' | studs 11 (ROUNDUP(L/OC)+1 +2 ends +4/door) | doors []</t>
  </si>
  <si>
    <t xml:space="preserve">C1-02</t>
  </si>
  <si>
    <t xml:space="preserve">Plumbing chase face, Men's 113 | Men's 113: 1 layer(s) 5/8" gyp board to 9.00' | studs 11 (ROUNDUP(L/OC)+1 +2 ends +4/door) | doors []</t>
  </si>
  <si>
    <t xml:space="preserve">C1  #C1-03  -  Future FCAM furring, Cash Window 116 S | Central Zone 103: 1 layer(s) 5/8" gyp board to 12.00' | studs 6 (ROUNDUP(L/OC)+1 +2 ends +4/door) | doors []</t>
  </si>
  <si>
    <t xml:space="preserve">C1-03</t>
  </si>
  <si>
    <t xml:space="preserve">Future FCAM furring, Cash Window 116 S | Central Zone 103: 1 layer(s) 5/8" gyp board to 12.00' | studs 6 (ROUNDUP(L/OC)+1 +2 ends +4/door) | doors []</t>
  </si>
  <si>
    <t xml:space="preserve">C1  #C1-04  -  85" display monitor furring (key note 7), Waiting 104 | Waiting 104: 1 layer(s) 5/8" gyp board to 11.50' | studs 12 (ROUNDUP(L/OC)+1 +2 ends +4/door) | doors []</t>
  </si>
  <si>
    <t xml:space="preserve">C1-04</t>
  </si>
  <si>
    <t xml:space="preserve">85" display monitor furring (key note 7), Waiting 104 | Waiting 104: 1 layer(s) 5/8" gyp board to 11.50' | studs 12 (ROUNDUP(L/OC)+1 +2 ends +4/door) | doors []</t>
  </si>
  <si>
    <t xml:space="preserve">TYPE EXT 6" CFMF</t>
  </si>
  <si>
    <t xml:space="preserve">EXT 6" CFMF  #EXT-N1  -  North wall, Office 105 (grid 7-8) | interior face: 1 layer 5/8" gyp board to deck 15.375' | exterior face: 5/8" FRT plywood/polyiso to T/STUD 17.417' | parapet roof side: 5/8" exterior gyp sheathing 2.042' | openings []</t>
  </si>
  <si>
    <t xml:space="preserve">EXT-N1</t>
  </si>
  <si>
    <t xml:space="preserve">North wall, Office 105 (grid 7-8) | interior face: 1 layer 5/8" gyp board to deck 15.375' | exterior face: 5/8" FRT plywood/polyiso to T/STUD 17.417' | parapet roof side: 5/8" exterior gyp sheathing 2.042' | openings []</t>
  </si>
  <si>
    <t xml:space="preserve">C/A09.21 | A02.01 -&gt; C/A09.21 -&gt; 4/A09.26 (parapet)</t>
  </si>
  <si>
    <t xml:space="preserve">EXT 6" CFMF  #EXT-N2  -  North wall over storefront, Central Zone 103 (grid 4-7) | interior face: 1 layer 5/8" gyp board to deck 15.375' | exterior face: 5/8" FRT plywood/polyiso to T/STUD 17.417' | parapet roof side: 5/8" exterior gyp sheathing 2.042' | openings [(26.247, 8.5, 0, 'storefront GL-2')]</t>
  </si>
  <si>
    <t xml:space="preserve">EXT-N2</t>
  </si>
  <si>
    <t xml:space="preserve">North wall over storefront, Central Zone 103 (grid 4-7) | interior face: 1 layer 5/8" gyp board to deck 15.375' | exterior face: 5/8" FRT plywood/polyiso to T/STUD 17.417' | parapet roof side: 5/8" exterior gyp sheathing 2.042' | openings [(26.247, 8.5, 0, 'storefront GL-2')]</t>
  </si>
  <si>
    <t xml:space="preserve">B/A09.21 | A02.01 -&gt; B/A09.21; 2/A09.26</t>
  </si>
  <si>
    <t xml:space="preserve">EXT 6" CFMF  #EXT-N3  -  North tower, Vestibule 100 front (grid 2-4, T.O. PARAPET 2) | interior face: 1 layer 5/8" gyp board to deck 15.375' | exterior face: 5/8" FRT plywood/polyiso to T/STUD 19.667' | parapet roof side: 5/8" exterior gyp sheathing 4.292' | openings [(12.56, 8.5, 0, 'entrance storefront')]</t>
  </si>
  <si>
    <t xml:space="preserve">EXT-N3</t>
  </si>
  <si>
    <t xml:space="preserve">North tower, Vestibule 100 front (grid 2-4, T.O. PARAPET 2) | interior face: 1 layer 5/8" gyp board to deck 15.375' | exterior face: 5/8" FRT plywood/polyiso to T/STUD 19.667' | parapet roof side: 5/8" exterior gyp sheathing 4.292' | openings [(12.56, 8.5, 0, 'entrance storefront')]</t>
  </si>
  <si>
    <t xml:space="preserve">A/A09.21 | A02.01 -&gt; A/A09.21; 1,2/A09.25</t>
  </si>
  <si>
    <t xml:space="preserve">EXT 6" CFMF  #EXT-E-N  -  East wall grid F to B (high roof) | interior face: 1 layer 5/8" gyp board to deck 15.375' | exterior face: 5/8" FRT plywood/polyiso to T/STUD 17.417' | parapet roof side: 5/8" exterior gyp sheathing 2.042' | openings [(8, 2, 6.5, 'GL-2'), (8, 2, 6.5, 'GL-2'), (8, 2, 6.5, 'GL-2'), (8, 2, 6.5, 'GL-2')]</t>
  </si>
  <si>
    <t xml:space="preserve">EXT-E-N</t>
  </si>
  <si>
    <t xml:space="preserve">East wall grid F to B (high roof) | interior face: 1 layer 5/8" gyp board to deck 15.375' | exterior face: 5/8" FRT plywood/polyiso to T/STUD 17.417' | parapet roof side: 5/8" exterior gyp sheathing 2.042' | openings [(8, 2, 6.5, 'GL-2'), (8, 2, 6.5, 'GL-2'), (8, 2, 6.5, 'GL-2'), (8, 2, 6.5, 'GL-2')]</t>
  </si>
  <si>
    <t xml:space="preserve">D,E/A09.22 | A02.01 -&gt; D,E/A09.22; 3/A09.25</t>
  </si>
  <si>
    <t xml:space="preserve">EXT 6" CFMF  #EXT-E-S  -  East wall grid B to A (low roof, sloped deck) | interior face: 1 layer 5/8" gyp board to deck 12.791' | exterior face: 5/8" FRT plywood/polyiso to T/STUD 17.417' | parapet roof side: 5/8" exterior gyp sheathing 4.626' | openings []</t>
  </si>
  <si>
    <t xml:space="preserve">EXT-E-S</t>
  </si>
  <si>
    <t xml:space="preserve">East wall grid B to A (low roof, sloped deck) | interior face: 1 layer 5/8" gyp board to deck 12.791' | exterior face: 5/8" FRT plywood/polyiso to T/STUD 17.417' | parapet roof side: 5/8" exterior gyp sheathing 4.626' | openings []</t>
  </si>
  <si>
    <t xml:space="preserve">E/A09.22 | A02.01 -&gt; E/A09.22; S2.20 -&gt; 4/A09.26 (parapet)</t>
  </si>
  <si>
    <t xml:space="preserve">EXT 6" CFMF  #EXT-S  -  South wall grid 3 to 8 (low roof) | interior face: 1 layer 5/8" gyp board to deck 12.531' | exterior face: 5/8" FRT plywood/polyiso to T/STUD 17.417' | parapet roof side: 5/8" exterior gyp sheathing 4.886' | openings [(3.333, 8.0, 0, 'door 123')]</t>
  </si>
  <si>
    <t xml:space="preserve">EXT-S</t>
  </si>
  <si>
    <t xml:space="preserve">South wall grid 3 to 8 (low roof) | interior face: 1 layer 5/8" gyp board to deck 12.531' | exterior face: 5/8" FRT plywood/polyiso to T/STUD 17.417' | parapet roof side: 5/8" exterior gyp sheathing 4.886' | openings [(3.333, 8.0, 0, 'door 123')]</t>
  </si>
  <si>
    <t xml:space="preserve">F/A09.22 | A02.01 -&gt; F/A09.22; 4/A09.25</t>
  </si>
  <si>
    <t xml:space="preserve">EXT 6" CFMF  #EXT-W1  -  West tower wall grid G to D (T.O. PARAPET 2) | interior face: 1 layer 5/8" gyp board to deck 15.375' | exterior face: 5/8" FRT plywood/polyiso to T/STUD 19.667' | parapet roof side: 5/8" exterior gyp sheathing 4.292' | openings [(6.5, 8.5, 0, 'vestibule storefront')]</t>
  </si>
  <si>
    <t xml:space="preserve">EXT-W1</t>
  </si>
  <si>
    <t xml:space="preserve">West tower wall grid G to D (T.O. PARAPET 2) | interior face: 1 layer 5/8" gyp board to deck 15.375' | exterior face: 5/8" FRT plywood/polyiso to T/STUD 19.667' | parapet roof side: 5/8" exterior gyp sheathing 4.292' | openings [(6.5, 8.5, 0, 'vestibule storefront')]</t>
  </si>
  <si>
    <t xml:space="preserve">J/A09.23 | A02.01 -&gt; J/A09.23; 5,6/A08.11</t>
  </si>
  <si>
    <t xml:space="preserve">EXT 6" CFMF  #EXT-W2-N  -  West wall grid D to B (high roof) | interior face: 1 layer 5/8" gyp board to deck 15.375' | exterior face: 5/8" FRT plywood/polyiso to T/STUD 17.417' | parapet roof side: 5/8" exterior gyp sheathing 2.042' | openings [(8, 2, 6.5, 'GL-2'), (8, 2, 6.5, 'GL-2')]</t>
  </si>
  <si>
    <t xml:space="preserve">EXT-W2-N</t>
  </si>
  <si>
    <t xml:space="preserve">West wall grid D to B (high roof) | interior face: 1 layer 5/8" gyp board to deck 15.375' | exterior face: 5/8" FRT plywood/polyiso to T/STUD 17.417' | parapet roof side: 5/8" exterior gyp sheathing 2.042' | openings [(8, 2, 6.5, 'GL-2'), (8, 2, 6.5, 'GL-2')]</t>
  </si>
  <si>
    <t xml:space="preserve">H/A09.23 | A02.01 -&gt; H/A09.23 -&gt; 4/A09.26 (parapet)</t>
  </si>
  <si>
    <t xml:space="preserve">EXT 6" CFMF  #EXT-W2-S  -  West wall grid B to A (low roof, sloped deck) | interior face: 1 layer 5/8" gyp board to deck 12.791' | exterior face: 5/8" FRT plywood/polyiso to T/STUD 17.417' | parapet roof side: 5/8" exterior gyp sheathing 4.626' | openings []</t>
  </si>
  <si>
    <t xml:space="preserve">EXT-W2-S</t>
  </si>
  <si>
    <t xml:space="preserve">West wall grid B to A (low roof, sloped deck) | interior face: 1 layer 5/8" gyp board to deck 12.791' | exterior face: 5/8" FRT plywood/polyiso to T/STUD 17.417' | parapet roof side: 5/8" exterior gyp sheathing 4.626' | openings []</t>
  </si>
  <si>
    <t xml:space="preserve">H/A09.23 | A02.01 -&gt; H/A09.23; S2.20 -&gt; 4/A09.26 (parapet)</t>
  </si>
  <si>
    <t xml:space="preserve">TYPE PARAPET INFILL</t>
  </si>
  <si>
    <t xml:space="preserve">PARAPET INFILL  #PAR-TWR-E  -  Tower parapet above roof, grid 4 line G-D | 6 bays x 5 studs (1 each side of HSS post + @16" in bay); exterior gyp sheathing both faces 4.292'</t>
  </si>
  <si>
    <t xml:space="preserve">PAR-TWR-E</t>
  </si>
  <si>
    <t xml:space="preserve">Tower parapet above roof, grid 4 line G-D | 6 bays x 5 studs (1 each side of HSS post + @16" in bay); exterior gyp sheathing both faces 4.292'</t>
  </si>
  <si>
    <t xml:space="preserve">11/S5.10 | A02.02 -&gt; J/A09.23 -&gt; 11/S5.10</t>
  </si>
  <si>
    <t xml:space="preserve">PARAPET INFILL  #PAR-TWR-S  -  Tower parapet above roof, grid D line 2-4 | 4 bays x 5 studs (1 each side of HSS post + @16" in bay); exterior gyp sheathing both faces 4.292'</t>
  </si>
  <si>
    <t xml:space="preserve">PAR-TWR-S</t>
  </si>
  <si>
    <t xml:space="preserve">Tower parapet above roof, grid D line 2-4 | 4 bays x 5 studs (1 each side of HSS post + @16" in bay); exterior gyp sheathing both faces 4.292'</t>
  </si>
  <si>
    <t xml:space="preserve">TYPE BULKHEAD</t>
  </si>
  <si>
    <t xml:space="preserve">BULKHEAD  #BH-01  -  Office front bulkhead, Office 105 (DFC-1A) | office side 2 layers to deck + central zone side 2 layers to deck, band 7.333' = 15.375 - 8.042 (2/A11.01 8'-0 1/2" HOLD)</t>
  </si>
  <si>
    <t xml:space="preserve">BH-01</t>
  </si>
  <si>
    <t xml:space="preserve">Office front bulkhead, Office 105 (DFC-1A) | office side 2 layers to deck + central zone side 2 layers to deck, band 7.333' = 15.375 - 8.042 (2/A11.01 8'-0 1/2" HOLD)</t>
  </si>
  <si>
    <t xml:space="preserve">8/A12.01 | A02.01 -&gt; 7'-6" HOLD CLEAR FINISHED OPENING -&gt; 8/A12.01 + 9/A12.01 -&gt; 10/A12.01</t>
  </si>
  <si>
    <t xml:space="preserve">BULKHEAD  #BH-02  -  Office front bulkhead, Office 106 (DFC-1A) | office side 2 layers to deck + central zone side 2 layers to deck, band 7.333' = 15.375 - 8.042 (2/A11.01 8'-0 1/2" HOLD)</t>
  </si>
  <si>
    <t xml:space="preserve">BH-02</t>
  </si>
  <si>
    <t xml:space="preserve">Office front bulkhead, Office 106 (DFC-1A) | office side 2 layers to deck + central zone side 2 layers to deck, band 7.333' = 15.375 - 8.042 (2/A11.01 8'-0 1/2" HOLD)</t>
  </si>
  <si>
    <t xml:space="preserve">BULKHEAD  #BH-03  -  Office front bulkhead, Office 107 (DFC-1A) | office side 2 layers to deck + central zone side 2 layers to deck, band 7.333' = 15.375 - 8.042 (2/A11.01 8'-0 1/2" HOLD)</t>
  </si>
  <si>
    <t xml:space="preserve">BH-03</t>
  </si>
  <si>
    <t xml:space="preserve">Office front bulkhead, Office 107 (DFC-1A) | office side 2 layers to deck + central zone side 2 layers to deck, band 7.333' = 15.375 - 8.042 (2/A11.01 8'-0 1/2" HOLD)</t>
  </si>
  <si>
    <t xml:space="preserve">BULKHEAD  #BH-04  -  Office front bulkhead, Office 108 (DFC-1A) | office side 2 layers to deck + central zone side 2 layers to deck, band 7.333' = 15.375 - 8.042 (2/A11.01 8'-0 1/2" HOLD)</t>
  </si>
  <si>
    <t xml:space="preserve">BH-04</t>
  </si>
  <si>
    <t xml:space="preserve">Office front bulkhead, Office 108 (DFC-1A) | office side 2 layers to deck + central zone side 2 layers to deck, band 7.333' = 15.375 - 8.042 (2/A11.01 8'-0 1/2" HOLD)</t>
  </si>
  <si>
    <t xml:space="preserve">BULKHEAD  #BH-05  -  Office front bulkhead, Office 109 (DFC-1A) | office side 2 layers to deck + central zone side 2 layers to deck, band 7.333' = 15.375 - 8.042 (2/A11.01 8'-0 1/2" HOLD)</t>
  </si>
  <si>
    <t xml:space="preserve">BH-05</t>
  </si>
  <si>
    <t xml:space="preserve">Office front bulkhead, Office 109 (DFC-1A) | office side 2 layers to deck + central zone side 2 layers to deck, band 7.333' = 15.375 - 8.042 (2/A11.01 8'-0 1/2" HOLD)</t>
  </si>
  <si>
    <t xml:space="preserve">BULKHEAD  #BH-06  -  Office front bulkhead, Office 110 (DFC-1A) | office side 2 layers to deck + central zone side 2 layers to deck, band 7.333' = 15.375 - 8.042 (2/A11.01 8'-0 1/2" HOLD)</t>
  </si>
  <si>
    <t xml:space="preserve">BH-06</t>
  </si>
  <si>
    <t xml:space="preserve">Office front bulkhead, Office 110 (DFC-1A) | office side 2 layers to deck + central zone side 2 layers to deck, band 7.333' = 15.375 - 8.042 (2/A11.01 8'-0 1/2" HOLD)</t>
  </si>
  <si>
    <t xml:space="preserve">BULKHEAD  #VB-1  -  Vestibule 100 / 24 HR Vestibule 101 glass (GL-4) | band 10'-0" (GB ceiling A04.01) to deck 15.375; board central zone face 0.0' + head soffit 0.5'</t>
  </si>
  <si>
    <t xml:space="preserve">VB-1</t>
  </si>
  <si>
    <t xml:space="preserve">Vestibule 100 / 24 HR Vestibule 101 glass (GL-4) | band 10'-0" (GB ceiling A04.01) to deck 15.375; board central zone face 0.0' + head soffit 0.5'</t>
  </si>
  <si>
    <t xml:space="preserve">5/A12.10 | A02.01 -&gt; 1/A12.10 -&gt; 4,5,6,7/A12.10</t>
  </si>
  <si>
    <t xml:space="preserve">BULKHEAD  #VB-2  -  24 HR Vestibule 101 / Central Zone 103 (13'-4" R.O.) | band 10'-0" (GB ceiling A04.01) to deck 15.375; board central zone face 2.0' + head soffit 0.5'</t>
  </si>
  <si>
    <t xml:space="preserve">VB-2</t>
  </si>
  <si>
    <t xml:space="preserve">24 HR Vestibule 101 / Central Zone 103 (13'-4" R.O.) | band 10'-0" (GB ceiling A04.01) to deck 15.375; board central zone face 2.0' + head soffit 0.5'</t>
  </si>
  <si>
    <t xml:space="preserve">BULKHEAD  #VB-3  -  Vestibule 100 / Central Zone 103 (door 100A) | band 10'-0" (GB ceiling A04.01) to deck 15.375; board central zone face 2.0' + head soffit 0.5'</t>
  </si>
  <si>
    <t xml:space="preserve">VB-3</t>
  </si>
  <si>
    <t xml:space="preserve">Vestibule 100 / Central Zone 103 (door 100A) | band 10'-0" (GB ceiling A04.01) to deck 15.375; board central zone face 2.0' + head soffit 0.5'</t>
  </si>
  <si>
    <t xml:space="preserve">TYPE PIER/COLUMN</t>
  </si>
  <si>
    <t xml:space="preserve">PIER/COLUMN  #PC-01  -  Storefront piers NW/NE vestibule (2) + interior columns (2) at vestibule | perimeters estimated from details; RFI-09</t>
  </si>
  <si>
    <t xml:space="preserve">PC-01</t>
  </si>
  <si>
    <t xml:space="preserve">Storefront piers NW/NE vestibule (2) + interior columns (2) at vestibule | perimeters estimated from details; RFI-09</t>
  </si>
  <si>
    <t xml:space="preserve">2/A09.25 | A02.01 -&gt; 1,2/A09.25 -&gt; 8/A12.10</t>
  </si>
  <si>
    <t xml:space="preserve">TYPE CEILING GWB</t>
  </si>
  <si>
    <t xml:space="preserve">CEILING GWB  #CLG-01  -  Vestibule 100 GB 10'-0" | area 112.9 SF, hanger drop 5.375' ; perimeter track 45.7 LF</t>
  </si>
  <si>
    <t xml:space="preserve">CLG-01</t>
  </si>
  <si>
    <t xml:space="preserve">n/a</t>
  </si>
  <si>
    <t xml:space="preserve">Vestibule 100 GB 10'-0" | area 112.9 SF, hanger drop 5.375' ; perimeter track 45.7 LF</t>
  </si>
  <si>
    <t xml:space="preserve">A04.01 | A04.01 -&gt; 7,8/A09.33</t>
  </si>
  <si>
    <t xml:space="preserve">CEILING GWB  #CLG-02  -  24 HR Vestibule 101 GB 10'-0" | area 158.0 SF, hanger drop 5.375' ; perimeter track 53.3 LF</t>
  </si>
  <si>
    <t xml:space="preserve">CLG-02</t>
  </si>
  <si>
    <t xml:space="preserve">24 HR Vestibule 101 GB 10'-0" | area 158.0 SF, hanger drop 5.375' ; perimeter track 53.3 LF</t>
  </si>
  <si>
    <t xml:space="preserve">CEILING GWB  #CLG-03  -  Waiting 104 GB 11'-0" (cloud) | area 510.8 SF, hanger drop 4.375' ; perimeter track 0 LF</t>
  </si>
  <si>
    <t xml:space="preserve">CLG-03</t>
  </si>
  <si>
    <t xml:space="preserve">Waiting 104 GB 11'-0" (cloud) | area 510.8 SF, hanger drop 4.375' ; perimeter track 0 LF</t>
  </si>
  <si>
    <t xml:space="preserve">CEILING GWB  #CLG-04  -  Restrooms 113/114 GB 8'-6" | area 153.2 SF, hanger drop 4.552' ; perimeter track 72.9 LF</t>
  </si>
  <si>
    <t xml:space="preserve">CLG-04</t>
  </si>
  <si>
    <t xml:space="preserve">Restrooms 113/114 GB 8'-6" | area 153.2 SF, hanger drop 4.552' ; perimeter track 72.9 LF</t>
  </si>
  <si>
    <t xml:space="preserve">CEILING GWB  #CLG-05  -  Cash Window 116 GB 8'-0" strip | area 41.0 SF, hanger drop 5.052' ; perimeter track 30.9 LF</t>
  </si>
  <si>
    <t xml:space="preserve">CLG-05</t>
  </si>
  <si>
    <t xml:space="preserve">Cash Window 116 GB 8'-0" strip | area 41.0 SF, hanger drop 5.052' ; perimeter track 30.9 LF</t>
  </si>
  <si>
    <t xml:space="preserve">TYPE SOFFIT EXT</t>
  </si>
  <si>
    <t xml:space="preserve">SOFFIT EXT  #SOF-N  -  North canopy (grid 4-8) | 5/8" ext grade FRT plywood on 3-5/8" CFMF @16" O.C.; PT-4 by others; area from RCP vector lines</t>
  </si>
  <si>
    <t xml:space="preserve">SOF-N</t>
  </si>
  <si>
    <t xml:space="preserve">North canopy (grid 4-8) | 5/8" ext grade FRT plywood on 3-5/8" CFMF @16" O.C.; PT-4 by others; area from RCP vector lines</t>
  </si>
  <si>
    <t xml:space="preserve">3/A09.26 | A04.01 -&gt; 3/A09.26 -&gt; 7/A09.26 -&gt; 4,5/A09.33</t>
  </si>
  <si>
    <t xml:space="preserve">SOFFIT EXT  #SOF-NT  -  North canopy at tower (grid 2-4) | 5/8" ext grade FRT plywood on 3-5/8" CFMF @16" O.C.; PT-4 by others; area from RCP vector lines</t>
  </si>
  <si>
    <t xml:space="preserve">SOF-NT</t>
  </si>
  <si>
    <t xml:space="preserve">North canopy at tower (grid 2-4) | 5/8" ext grade FRT plywood on 3-5/8" CFMF @16" O.C.; PT-4 by others; area from RCP vector lines</t>
  </si>
  <si>
    <t xml:space="preserve">SOFFIT EXT  #SOF-E  -  East canopy | 5/8" ext grade FRT plywood on 3-5/8" CFMF @16" O.C.; PT-4 by others; area from RCP vector lines</t>
  </si>
  <si>
    <t xml:space="preserve">SOF-E</t>
  </si>
  <si>
    <t xml:space="preserve">East canopy | 5/8" ext grade FRT plywood on 3-5/8" CFMF @16" O.C.; PT-4 by others; area from RCP vector lines</t>
  </si>
  <si>
    <t xml:space="preserve">SOFFIT EXT  #SOF-WT  -  West canopy, tower zone (G-D) | 5/8" ext grade FRT plywood on 3-5/8" CFMF @16" O.C.; PT-4 by others; area from RCP vector lines</t>
  </si>
  <si>
    <t xml:space="preserve">SOF-WT</t>
  </si>
  <si>
    <t xml:space="preserve">West canopy, tower zone (G-D) | 5/8" ext grade FRT plywood on 3-5/8" CFMF @16" O.C.; PT-4 by others; area from RCP vector lines</t>
  </si>
  <si>
    <t xml:space="preserve">SOFFIT EXT  #SOF-WL  -  West canopy, D-B | 5/8" ext grade FRT plywood on 3-5/8" CFMF @16" O.C.; PT-4 by others; area from RCP vector lines</t>
  </si>
  <si>
    <t xml:space="preserve">SOF-WL</t>
  </si>
  <si>
    <t xml:space="preserve">West canopy, D-B | 5/8" ext grade FRT plywood on 3-5/8" CFMF @16" O.C.; PT-4 by others; area from RCP vector lines</t>
  </si>
  <si>
    <t xml:space="preserve">SOFFIT EXT  #SOF-S  -  South canopy (grid 3-5) | 5/8" ext grade FRT plywood on 3-5/8" CFMF @16" O.C.; PT-4 by others; area from RCP vector lines</t>
  </si>
  <si>
    <t xml:space="preserve">SOF-S</t>
  </si>
  <si>
    <t xml:space="preserve">South canopy (grid 3-5) | 5/8" ext grade FRT plywood on 3-5/8" CFMF @16" O.C.; PT-4 by others; area from RCP vector lines</t>
  </si>
  <si>
    <t xml:space="preserve">TYPE FASCIA EXT</t>
  </si>
  <si>
    <t xml:space="preserve">FASCIA EXT  #FAS-01  -  Canopy fascia perimeter (N, E, W, S canopies + returns) | height 12'-7" - 10'-8 5/8" = 1.865'</t>
  </si>
  <si>
    <t xml:space="preserve">FAS-01</t>
  </si>
  <si>
    <t xml:space="preserve">Canopy fascia perimeter (N, E, W, S canopies + returns) | height 12'-7" - 10'-8 5/8" = 1.865'</t>
  </si>
  <si>
    <t xml:space="preserve">7/A09.26 | A04.01 -&gt; 7/A09.26 -&gt; 3/A09.26 -&gt; 7/S5.20</t>
  </si>
  <si>
    <t xml:space="preserve">TYPE COLUMN WRAP</t>
  </si>
  <si>
    <t xml:space="preserve">COLUMN WRAP  #CW-01..04  -  Canopy columns grid 1 (4 ea) | FOS 1'-2 1/2" sq; 1 stud per corner; height to B/CANOPY 10'-6" A09.01</t>
  </si>
  <si>
    <t xml:space="preserve">CW-01..04</t>
  </si>
  <si>
    <t xml:space="preserve">Canopy columns grid 1 (4 ea) | FOS 1'-2 1/2" sq; 1 stud per corner; height to B/CANOPY 10'-6" A09.01</t>
  </si>
  <si>
    <t xml:space="preserve">5/A09.25 | A02.01 -&gt; 5/A09.25</t>
  </si>
  <si>
    <t xml:space="preserve">TYPE ROOF STEP</t>
  </si>
  <si>
    <t xml:space="preserve">ROOF STEP  #RS-01  -  Roof step at grid B, grid 3-8 (key note 13 A02.02) | height 15.375-13.05+1 tapered insulation (approx); from completeness critic, re-checked text A02.02</t>
  </si>
  <si>
    <t xml:space="preserve">RS-01</t>
  </si>
  <si>
    <t xml:space="preserve">Roof step at grid B, grid 3-8 (key note 13 A02.02) | height 15.375-13.05+1 tapered insulation (approx); from completeness critic, re-checked text A02.02</t>
  </si>
  <si>
    <t xml:space="preserve">4/A02.02 | A02.02 -&gt; 4/A02.02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</si>
  <si>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</si>
  <si>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</si>
  <si>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</si>
  <si>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</si>
  <si>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</si>
  <si>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</si>
  <si>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</si>
  <si>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</si>
  <si>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</si>
  <si>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</si>
  <si>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</si>
  <si>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</si>
  <si>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1-5/8" bottom track 162T125-33</t>
  </si>
  <si>
    <t xml:space="preserve">LF</t>
  </si>
  <si>
    <t xml:space="preserve">stick 10 ft</t>
  </si>
  <si>
    <t xml:space="preserve">5/A12.01; 8,9/A12.01</t>
  </si>
  <si>
    <t xml:space="preserve">1-5/8" metal stud 162S125-33 (double row w/ isolator)</t>
  </si>
  <si>
    <t xml:space="preserve">stick 20 ft</t>
  </si>
  <si>
    <t xml:space="preserve">5/A12.01; 8/A12.01; 9/A12.01</t>
  </si>
  <si>
    <t xml:space="preserve">1-5/8" top slip / deflection track 162T200-33 (office bulkheads)</t>
  </si>
  <si>
    <t xml:space="preserve">8,9/A12.01 CONT. SLIP TRACK</t>
  </si>
  <si>
    <t xml:space="preserve">1-5/8" top track 162T125-33 (secure to structure)</t>
  </si>
  <si>
    <t xml:space="preserve">5/A12.01; -</t>
  </si>
  <si>
    <t xml:space="preserve">2-1/2" bottom track 250T125-33 (coiling grille drop)</t>
  </si>
  <si>
    <t xml:space="preserve">4/A08.21</t>
  </si>
  <si>
    <t xml:space="preserve">2-1/2" metal stud 250S137-33 (coiling grille head drop / ATM sister)</t>
  </si>
  <si>
    <t xml:space="preserve">4/A08.21; 8/A08.11</t>
  </si>
  <si>
    <t xml:space="preserve">2-1/2" top track 250T125-33 (coiling grille drop)</t>
  </si>
  <si>
    <t xml:space="preserve">3-5/8" bottom track 362T125-33</t>
  </si>
  <si>
    <t xml:space="preserve">3/A12.01; 1/A12.01; 4/A12.01; 12/A12.01; 6/A12.01; 4-7/A12.10; 5/A09.25; 4/A02.02</t>
  </si>
  <si>
    <t xml:space="preserve">3-5/8" metal stud 14 GA 362S137-68 @ 24" O.C. (A1K ballistic)</t>
  </si>
  <si>
    <t xml:space="preserve">4/A12.01</t>
  </si>
  <si>
    <t xml:space="preserve">3-5/8" metal stud 362S137-33 canopy column wraps</t>
  </si>
  <si>
    <t xml:space="preserve">5/A09.25 STUCCO ON 5/8" EXT FRT PLYWOOD ON 3-5/8" METAL FRAMING</t>
  </si>
  <si>
    <t xml:space="preserve">3-5/8" metal stud 362S137-33 canopy fascia framing @ 16" O.C.</t>
  </si>
  <si>
    <t xml:space="preserve">7/A09.26 T/STUD 12'-7" B/STUD 10'-8 5/8"; 7/S5.20</t>
  </si>
  <si>
    <t xml:space="preserve">3-5/8" metal stud 362S137-33 canopy soffit framing @ 16" O.C.</t>
  </si>
  <si>
    <t xml:space="preserve">4,5/A09.33 5/8" EXTERIOR SHEATHING ON 3 5/8" CFMF @ 16" O.C.</t>
  </si>
  <si>
    <t xml:space="preserve">3-5/8" metal stud 362S137-33 interior</t>
  </si>
  <si>
    <t xml:space="preserve">3/A12.01; S5.20; 1/A12.01; S5.20; 12/A12.01; S5.20; 6/A12.01; S5.20; 4-7/A12.10 METAL STUD FRAMING &amp; BOX HEADER AS NEEDED; 1,2/A09.25 storefront piers; 8/A12.10 column termination; 7/A09.33 3 5/8" METAL STUD KICKER AT 48" O.C.; 4/A02.02 SECTION DETAIL @ ROOF STEP; 10/A09.33 STL STUD to CONT. TRACK at deck</t>
  </si>
  <si>
    <t xml:space="preserve">3-5/8" top slip / deflection track 362T200-33</t>
  </si>
  <si>
    <t xml:space="preserve">3/A12.01; 1/A12.01; 4/A12.01</t>
  </si>
  <si>
    <t xml:space="preserve">3-5/8" top track 362T125-33 (secure to structure)</t>
  </si>
  <si>
    <t xml:space="preserve">12/A12.01; 6/A12.01; 4-7/A12.10; 5/A09.25; 4/A02.02</t>
  </si>
  <si>
    <t xml:space="preserve">6" bottom track 600T125-33</t>
  </si>
  <si>
    <t xml:space="preserve">6" bottom track 600T125-33 exterior</t>
  </si>
  <si>
    <t xml:space="preserve">S5.20</t>
  </si>
  <si>
    <t xml:space="preserve">6" metal stud 14 GA 600S137-68 @ 24" O.C. (B2K ballistic)</t>
  </si>
  <si>
    <t xml:space="preserve">6" metal stud 600S137-33 interior</t>
  </si>
  <si>
    <t xml:space="preserve">3/A12.01; S5.20; 1/A12.01; S5.20</t>
  </si>
  <si>
    <t xml:space="preserve">6" metal stud 600S162-54 exterior CFMF @ 16" O.C.</t>
  </si>
  <si>
    <t xml:space="preserve">C/A09.21; S1.11 LIGHT GAUGE NOTE 5 ALL OTHER EXTERIOR STUDS 600S162-54 @ 16" O.C.; B/A09.21; 2/A09.26; S1.11 LIGHT GAUGE NOTE 5 ALL OTHER EXTERIOR STUDS 600S162-54 @ 16" O.C.; A/A09.21; 1,2/A09.25; S1.11 LIGHT GAUGE NOTE 5 ALL OTHER EXTERIOR STUDS 600S162-54 @ 16" O.C.; D,E/A09.22; 3/A09.25; S1.11 LIGHT GAUGE NOTE 5 ALL OTHER EXTERIOR STUDS 600S162-54 @ 16" O.C.; E/A09.22; S2.20; S1.11 LIGHT GAUGE</t>
  </si>
  <si>
    <t xml:space="preserve">6" metal stud 600S162-54 exterior CFMF extra at corners (@12" within 6 ft)</t>
  </si>
  <si>
    <t xml:space="preserve">S1.11 note 5 STUDS WITHIN 6 FT OF BUILDING CORNERS 600S162-54 @ 12" O.C. (8 corners x 4 studs)</t>
  </si>
  <si>
    <t xml:space="preserve">6" parapet infill bottom track 600T125-54</t>
  </si>
  <si>
    <t xml:space="preserve">11/S5.10 TOP &amp; BOT (54.2)</t>
  </si>
  <si>
    <t xml:space="preserve">6" parapet infill stud 600S162-54</t>
  </si>
  <si>
    <t xml:space="preserve">11/S5.10 bay by bay (55.3)</t>
  </si>
  <si>
    <t xml:space="preserve">6" parapet infill top track 600T125-54</t>
  </si>
  <si>
    <t xml:space="preserve">6" top deflection track 600T200-97 exterior</t>
  </si>
  <si>
    <t xml:space="preserve">6" top slip / deflection track 600T200-33</t>
  </si>
  <si>
    <t xml:space="preserve">bracing 1-1/2" C.R. channel 54 mil</t>
  </si>
  <si>
    <t xml:space="preserve">F/S5.20; 53.4</t>
  </si>
  <si>
    <t xml:space="preserve">canopy soffit / fascia bottom track 362T125-33</t>
  </si>
  <si>
    <t xml:space="preserve">7/A09.26</t>
  </si>
  <si>
    <t xml:space="preserve">canopy soffit / fascia top track 362T125-33</t>
  </si>
  <si>
    <t xml:space="preserve">carrying channel 1-1/2" @ 48" O.C. (GWB ceilings)</t>
  </si>
  <si>
    <t xml:space="preserve">A04.01; ASTM C754 criterio (RFI-05)</t>
  </si>
  <si>
    <t xml:space="preserve">casing bead J/L (office front jambs, window &amp; storefront returns, A1K)</t>
  </si>
  <si>
    <t xml:space="preserve">53.1; 3/A09.25; 2/A09.26; 4/A12.01 APPROPRIATE METAL TRIM AND CASING BEADS</t>
  </si>
  <si>
    <t xml:space="preserve">ceiling / soffit track 362T125-33 (canopy soffit at wall)</t>
  </si>
  <si>
    <t xml:space="preserve">3/A09.26</t>
  </si>
  <si>
    <t xml:space="preserve">ceiling track 362T125-33 (GWB ceilings perimeter)</t>
  </si>
  <si>
    <t xml:space="preserve">A04.01 perimeters; 7/A09.33 waiting cloud edge</t>
  </si>
  <si>
    <t xml:space="preserve">corner bead</t>
  </si>
  <si>
    <t xml:space="preserve">8,9/A12.01 CORNER BEAD, TYPICAL; 4,5/A12.10; 53.1 exterior corners of gypsum board; 7/A09.33 CORNER BEAD - TYPICAL; 3/A08.21 jamb boxes; 10/A09.33 CONT. CORNER BEAD</t>
  </si>
  <si>
    <t xml:space="preserve">framed opening - Knox box recessed 7x7x3 (exterior)</t>
  </si>
  <si>
    <t xml:space="preserve">EA</t>
  </si>
  <si>
    <t xml:space="preserve">2/A02.01 key note; A00.40</t>
  </si>
  <si>
    <t xml:space="preserve">framed opening for recessed fixture - GWB R-11A / R-11C / R-11CE</t>
  </si>
  <si>
    <t xml:space="preserve">E00.01; E02.01; 6/A09.33</t>
  </si>
  <si>
    <t xml:space="preserve">framed opening for recessed fixture - canopy UU (2 x length per fixture)</t>
  </si>
  <si>
    <t xml:space="preserve">E00.01 LUMINAIRE SCHEDULE x E02.01 tags; 4,5/A09.33</t>
  </si>
  <si>
    <t xml:space="preserve">furring channel 7/8" @ 16" O.C. (GWB ceilings)</t>
  </si>
  <si>
    <t xml:space="preserve">gypsum edge trim (R-11 trimless slots)</t>
  </si>
  <si>
    <t xml:space="preserve">6/A09.33 GYPSUM EDGE TRIM</t>
  </si>
  <si>
    <t xml:space="preserve">hanger wire 12 GA (GWB ceilings)</t>
  </si>
  <si>
    <t xml:space="preserve">LF roll</t>
  </si>
  <si>
    <t xml:space="preserve">2/A09.33 TYPICAL 12 GAUGE HANGER WIRE; deck - ceiling + 1' tie</t>
  </si>
  <si>
    <t xml:space="preserve">header 362T125-43 18 GA single track (interior doors, R.O.+1'-4")</t>
  </si>
  <si>
    <t xml:space="preserve">S5.20 HEADER SCHEDULE; A00.30; 1/A08.11 walk-up ATM in F wall</t>
  </si>
  <si>
    <t xml:space="preserve">header box beam 2-60CSJ14 exterior openings (R.O.+1'-4")</t>
  </si>
  <si>
    <t xml:space="preserve">S5.20 HEADER SCHEDULE; 53.6; 5,6/A08.11 drive-up ATM; 53.6</t>
  </si>
  <si>
    <t xml:space="preserve">header box beam over office front (CONT. BOX BEAM, R.O.+1'-4")</t>
  </si>
  <si>
    <t xml:space="preserve">8,9/A12.01; 53.6</t>
  </si>
  <si>
    <t xml:space="preserve">header box beam over vestibule glazing 2-362CSJ20 (R.O.+1'-4")</t>
  </si>
  <si>
    <t xml:space="preserve">4-7/A12.10; S5.20 HEADER SCHEDULE; 53.6</t>
  </si>
  <si>
    <t xml:space="preserve">metal stud blocking 362CR22 at board edges (4/S5.20)</t>
  </si>
  <si>
    <t xml:space="preserve">4/S5.20 STUD BLOCKING 362CR22; 54.3</t>
  </si>
  <si>
    <t xml:space="preserve">shadow molding</t>
  </si>
  <si>
    <t xml:space="preserve">8,9/A12.01 SHADOW MOLDING AS SPECIFIED; 7/A09.33 SHADOW MOLDING AS SPECIFIED</t>
  </si>
  <si>
    <t xml:space="preserve">sill track 362T125-33 (R.O.+8" each side)</t>
  </si>
  <si>
    <t xml:space="preserve">1/A08.11; 53.7</t>
  </si>
  <si>
    <t xml:space="preserve">sill track 600T125-33 (R.O.+8" each side)</t>
  </si>
  <si>
    <t xml:space="preserve">53.7; 3/A09.25; 5,6/A08.11; 53.7</t>
  </si>
  <si>
    <t xml:space="preserve">vertical deflection clip at exterior studs</t>
  </si>
  <si>
    <t xml:space="preserve">unit</t>
  </si>
  <si>
    <t xml:space="preserve">S1.11 note 2 VERTICAL DEFLECTION CLIPS AT NON-LOAD-BEARING WALLS</t>
  </si>
  <si>
    <t xml:space="preserve">3/4" FRT plywood (ATM surround 6/A08.11)</t>
  </si>
  <si>
    <t xml:space="preserve">SF</t>
  </si>
  <si>
    <t xml:space="preserve">sheet 4x8 (32 SF)</t>
  </si>
  <si>
    <t xml:space="preserve">6/A08.11; 8/A08.11</t>
  </si>
  <si>
    <t xml:space="preserve">3/4" FRT plywood (piers / column wraps)</t>
  </si>
  <si>
    <t xml:space="preserve">2/A09.25 3/4" FRT PLYWOOD; 8/A12.10 FRT PLYWOOD</t>
  </si>
  <si>
    <t xml:space="preserve">3/4" FRT plywood (type F public side, to deck)</t>
  </si>
  <si>
    <t xml:space="preserve">12/A12.01</t>
  </si>
  <si>
    <t xml:space="preserve">3/4" FRT plywood at storefront / door heads &amp; sills</t>
  </si>
  <si>
    <t xml:space="preserve">1,2/A09.26; 10,11,14/A09.27</t>
  </si>
  <si>
    <t xml:space="preserve">3/4" FRT plywood backboard painted (key note 6, NER 121 / Electrical 120)</t>
  </si>
  <si>
    <t xml:space="preserve">6/A02.01 key note; A11.03</t>
  </si>
  <si>
    <t xml:space="preserve">3/4" FRT plywood blocking (CSR soffit 10/A09.33)</t>
  </si>
  <si>
    <t xml:space="preserve">stick 8 ft</t>
  </si>
  <si>
    <t xml:space="preserve">10/A09.33 PROVIDE FRTW BLOCKING</t>
  </si>
  <si>
    <t xml:space="preserve">3/4" FRT plywood blocking (box beam, office bulkheads)</t>
  </si>
  <si>
    <t xml:space="preserve">8,9/A12.01 3/4" FRT PLYWOOD BLOCKING</t>
  </si>
  <si>
    <t xml:space="preserve">3/4" FRT plywood blocking - 85" monitor (13/A12.02)</t>
  </si>
  <si>
    <t xml:space="preserve">9,13/A12.02; 1/A11.01</t>
  </si>
  <si>
    <t xml:space="preserve">3/4" FRT plywood blocking at parapet top (4/A09.26)</t>
  </si>
  <si>
    <t xml:space="preserve">4/A09.26</t>
  </si>
  <si>
    <t xml:space="preserve">3/8" ballistic panel UL752 Level 2 fiberglass (NIJ II)</t>
  </si>
  <si>
    <t xml:space="preserve">panel 4x8 (32 SF)</t>
  </si>
  <si>
    <t xml:space="preserve">4/A12.01; 4/A12.01; tag B2K = B2 + Kevlar (legend A02.01)</t>
  </si>
  <si>
    <t xml:space="preserve">3/8" gyp board (A1K/B2K above 8'-0")</t>
  </si>
  <si>
    <t xml:space="preserve">sheet 4x12 (48 SF)</t>
  </si>
  <si>
    <t xml:space="preserve">5/8" EXTERIOR gypsum sheathing (parapet roof side)</t>
  </si>
  <si>
    <t xml:space="preserve">C/A09.21 5/8" EXTERIOR GYPSUM SHEATHING; 55.3; B/A09.21; 2/A09.26 5/8" EXTERIOR GYPSUM SHEATHING; 55.3; A/A09.21; 1,2/A09.25 5/8" EXTERIOR GYPSUM SHEATHING; 55.3; D,E/A09.22; 3/A09.25 5/8" EXTERIOR GYPSUM SHEATHING; 55.3; E/A09.22; S2.20 5/8" EXTERIOR GYPSUM SHEATHING; 55.3; F/A09.22; 4/A09.25 5/8" EXTERIOR GYPSUM SHEATHING; 55.3; J/A09.23; 5,6/A08.11 5/8" EXTERIOR GYPSUM SHEATHING; 55.3; H/A09.23</t>
  </si>
  <si>
    <t xml:space="preserve">5/8" FRT plywood sheathing bonded to 2-1/2" polyiso (exterior face)</t>
  </si>
  <si>
    <t xml:space="preserve">C/A09.21 SHEATHING/INSULATION SYSTEM; B/A09.21; 2/A09.26 SHEATHING/INSULATION SYSTEM; A/A09.21; 1,2/A09.25 SHEATHING/INSULATION SYSTEM; D,E/A09.22; 3/A09.25 SHEATHING/INSULATION SYSTEM; E/A09.22; S2.20 SHEATHING/INSULATION SYSTEM; F/A09.22; 4/A09.25 SHEATHING/INSULATION SYSTEM; J/A09.23; 5,6/A08.11 SHEATHING/INSULATION SYSTEM; H/A09.23 SHEATHING/INSULATION SYSTEM; H/A09.23; S2.20 SHEATHING/INSULAT</t>
  </si>
  <si>
    <t xml:space="preserve">5/8" ext grade FRT plywood sheathing (canopy soffit &amp; fascia)</t>
  </si>
  <si>
    <t xml:space="preserve">3/A09.26; 7/A09.26 5/8" EXT. GRADE FRT PLYWOOD SHEATHING; 7/A09.26 COMPOSITE METAL PANEL ON AWB ON 5/8" EXT. GRADE FRT PLYWOOD; 5/A09.25 column wraps</t>
  </si>
  <si>
    <t xml:space="preserve">5/8" glass mat sheathing (base strip slab to T/BASE 0'-6")</t>
  </si>
  <si>
    <t xml:space="preserve">5,6/A09.26; 9,12/A09.27</t>
  </si>
  <si>
    <t xml:space="preserve">5/8" glass mat sheathing (wall at canopy band, 3/A09.26 &amp; 7/A09.26)</t>
  </si>
  <si>
    <t xml:space="preserve">3/A09.26; 7/A09.26 SPRAY FOAM ON 5/8" GLASS-MAT SHEATHING</t>
  </si>
  <si>
    <t xml:space="preserve">5/8" gyp board MOISTURE RESISTANT (chase behind toilet/lavatory)</t>
  </si>
  <si>
    <t xml:space="preserve">F/A08.01; 55.6</t>
  </si>
  <si>
    <t xml:space="preserve">5/8" gyp board regular (ceilings)</t>
  </si>
  <si>
    <t xml:space="preserve">A04.01 NEW SUSPENDED GYPSUM WALL BOARD CEILING; 7/A09.33 cloud edge return; 10/A09.33 soffit vertical faces</t>
  </si>
  <si>
    <t xml:space="preserve">5/8" gyp board regular (walls)</t>
  </si>
  <si>
    <t xml:space="preserve">5/A12.01; 3/A12.01; 1/A12.01; 4/A12.01; 12/A12.01; 6/A12.01; C/A09.21 5/8" GYP. BOARD @ PERIMETER EXTERIOR WALL TO DECK; B/A09.21; 2/A09.26 5/8" GYP. BOARD @ PERIMETER EXTERIOR WALL TO DECK; A/A09.21; 1,2/A09.25 5/8" GYP. BOARD @ PERIMETER EXTERIOR WALL TO DECK; D,E/A09.22; 3/A09.25 5/8" GYP. BOARD @ PERIMETER EXTERIOR WALL TO DECK; E/A09.22; S2.20 5/8" GYP. BOARD @ PERIMETER EXTERIOR WALL TO DECK</t>
  </si>
  <si>
    <t xml:space="preserve">FRP panel (restrooms WC-3, 5'-0" over cove base + mop sink)</t>
  </si>
  <si>
    <t xml:space="preserve">panel 4x10 (40 SF)</t>
  </si>
  <si>
    <t xml:space="preserve">A08.01 TOILET ROOM FINISH SCHEDULE WC-3; 3,5/A08.01; 53.9.1</t>
  </si>
  <si>
    <t xml:space="preserve">FRT blocking - 2x at roof step top (4/A02.02)</t>
  </si>
  <si>
    <t xml:space="preserve">4/A02.02</t>
  </si>
  <si>
    <t xml:space="preserve">FRT blocking - coiling grille jambs (3/A08.21)</t>
  </si>
  <si>
    <t xml:space="preserve">3/A08.21</t>
  </si>
  <si>
    <t xml:space="preserve">FRT blocking - door wall stops (2'-0" each)</t>
  </si>
  <si>
    <t xml:space="preserve">D/A00.30 PROVIDE BLOCKING AT EACH WALL STOP</t>
  </si>
  <si>
    <t xml:space="preserve">FRT blocking - lockers CW-16 (key note 5)</t>
  </si>
  <si>
    <t xml:space="preserve">5/A02.01; A06.01 CW-16</t>
  </si>
  <si>
    <t xml:space="preserve">FRT blocking - millwork MW01-MW21</t>
  </si>
  <si>
    <t xml:space="preserve">A00.30 MILLWORK SCHEDULE; A12.03-A12.06; C/A02.01</t>
  </si>
  <si>
    <t xml:space="preserve">FRT blocking - roof hatch ladder (key notes 3,4)</t>
  </si>
  <si>
    <t xml:space="preserve">3,4/A02.01; A09.30</t>
  </si>
  <si>
    <t xml:space="preserve">FRT blocking - toilet accessories</t>
  </si>
  <si>
    <t xml:space="preserve">E/A08.01; TA legend A08.01</t>
  </si>
  <si>
    <t xml:space="preserve">FRT blocking - wall equipment (note C A02.01: monitor arms, phones, hooks, sanitizer, clock)</t>
  </si>
  <si>
    <t xml:space="preserve">C/A02.01; A00.40; A06.01</t>
  </si>
  <si>
    <t xml:space="preserve">acoustical sealant</t>
  </si>
  <si>
    <t xml:space="preserve">tube (~ 25 LF)</t>
  </si>
  <si>
    <t xml:space="preserve">3/A12.01 (runs top/bottom per detail; 55.5); 1/A12.01 (runs top/bottom per detail; 55.5); 4/A12.01 (runs top/bottom per detail; 55.5); 8,9/A12.01 SEALANT at office front head</t>
  </si>
  <si>
    <t xml:space="preserve">sealant at base of gypsum (exterior, 5/A09.26)</t>
  </si>
  <si>
    <t xml:space="preserve">5/A09.26 SEALANT AT BASE OF GYPSUM; 53.9.3</t>
  </si>
  <si>
    <t xml:space="preserve">sound attenuation batt above ceiling (restrooms, A04.01 note 11)</t>
  </si>
  <si>
    <t xml:space="preserve">bag (~ 88 SF)</t>
  </si>
  <si>
    <t xml:space="preserve">11/A04.01 key note</t>
  </si>
  <si>
    <t xml:space="preserve">sound attenuation batt insulation (partition cavity)</t>
  </si>
  <si>
    <t xml:space="preserve">5/A12.01 BATT INSULATION; 3/A12.01 BATT INSULATION; 1/A12.01 BATT INSULATION; 4/A12.01 BATT INSULATION; 12/A12.01 BATT INSULATION; 8,9/A12.01 BATT</t>
  </si>
  <si>
    <t xml:space="preserve">taping &amp; finishing Level 4 (all gyp board surfaces, assumed)</t>
  </si>
  <si>
    <t xml:space="preserve">Clarifications: finish level not specified except Level 5 at WC-20/WC-22 (9,10/A05.01)</t>
  </si>
  <si>
    <t xml:space="preserve">taping &amp; finishing Level 5 (WC-18 felt, WC-22)</t>
  </si>
  <si>
    <t xml:space="preserve">A00.40 WALL SURFACE TO BE LEVEL 5; A05.01; A11.01/A11.03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</si>
  <si>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</si>
  <si>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</si>
  <si>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</si>
  <si>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</si>
  <si>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A09.01 "SOUTH ELEVATION" shows the north facade (grid 8 at left, entrance storefront 2-4) and A09.02 "NORTH ELEVATION" shows the south facade (door 123 at 4-5). Confirm titles are transposed.</t>
  </si>
  <si>
    <t xml:space="preserve">No quantity change; facades assigned by grid order + plan content.</t>
  </si>
  <si>
    <t xml:space="preserve">RFI-02</t>
  </si>
  <si>
    <t xml:space="preserve">Interior slip / deflection track not designated (S5.20 lists only exterior 600T200-97). Confirm interior slip track profile.</t>
  </si>
  <si>
    <t xml:space="preserve">Base: 362T200-33 / 600T200-33 (derived from stud gauge). If 600T200-97 applies to 6" interior: same LF, heavier gauge.</t>
  </si>
  <si>
    <t xml:space="preserve">RFI-03</t>
  </si>
  <si>
    <t xml:space="preserve">Type G/G1 1-5/8" stud designation and gauge not scheduled (S5.20 has 362S137-33 and 600S137-33 only).</t>
  </si>
  <si>
    <t xml:space="preserve">Base 162S125-33 derived; LF unchanged.</t>
  </si>
  <si>
    <t xml:space="preserve">RFI-04</t>
  </si>
  <si>
    <t xml:space="preserve">5/A12.01 PARTITION G draws sealant beads at the base of both faces without label. Confirm acoustical sealant at G/G1.</t>
  </si>
  <si>
    <t xml:space="preserve">Base 0 LF (not labeled). Alternate +206.4 LF (2 runs x 103.2 LF).</t>
  </si>
  <si>
    <t xml:space="preserve">RFI-05</t>
  </si>
  <si>
    <t xml:space="preserve">GWB ceiling suspension (furring / carrying channel spacing, hanger spacing) not detailed; only "TYPICAL 12 GAUGE HANGER WIRE" (2/A09.33).</t>
  </si>
  <si>
    <t xml:space="preserve">Base ASTM C754: 7/8" furring @16", 1-1/2" carrying @48", hangers @48"x48".</t>
  </si>
  <si>
    <t xml:space="preserve">RFI-06</t>
  </si>
  <si>
    <t xml:space="preserve">Tag A1 near corridor 111 (A02.01) leads to a 6.0" wall segment (office 110 SE stub / restroom E). Measured thickness matches G (6-1/8").</t>
  </si>
  <si>
    <t xml:space="preserve">Classified by measured thickness (55.4): G. If A1: -1 row of 1-5/8" studs and 2 layers less per face (~2.9 LF).</t>
  </si>
  <si>
    <t xml:space="preserve">RFI-07</t>
  </si>
  <si>
    <t xml:space="preserve">Calling Cubes 122 west wall carries tags A5 and A1; measured 7.27" = A5.</t>
  </si>
  <si>
    <t xml:space="preserve">Base A5 (6" studs). If A1: 10.6 LF changes to 3-5/8" studs.</t>
  </si>
  <si>
    <t xml:space="preserve">RFI-08</t>
  </si>
  <si>
    <t xml:space="preserve">Drive-up ATM (5,6,8,9/A08.11): R.O. 26.4" x 31.3", 6'-0" to underside of box beam (printed). GC-built plinth (9/A08.11, 2x FRT + FRT plywood) scope: Div 06 or drywall?</t>
  </si>
  <si>
    <t xml:space="preserve">Plinth not included. Opening deduction ignored (5.7 SF).</t>
  </si>
  <si>
    <t xml:space="preserve">RFI-09</t>
  </si>
  <si>
    <t xml:space="preserve">Storefront piers (1,2/A09.25) and interior column terminations (8/A12.10): perimeters estimated from details, not dimensioned.</t>
  </si>
  <si>
    <t xml:space="preserve">Base 2 piers x 2.71 LF + 2 columns x 4.0 LF exposed faces.</t>
  </si>
  <si>
    <t xml:space="preserve">RFI-10</t>
  </si>
  <si>
    <t xml:space="preserve">R-11C/R-11CE: E00.01 says 12' LINEAR but catalog number says 20'-0".</t>
  </si>
  <si>
    <t xml:space="preserve">Base 12 ft each (RCP "R-11 (12')"). If 20 ft: +64 LF framed opening, +64 LF edge trim.</t>
  </si>
  <si>
    <t xml:space="preserve">RFI-11</t>
  </si>
  <si>
    <t xml:space="preserve">Canopy UU fixtures: end width of framed opening not printed (cutsheet not in set).</t>
  </si>
  <si>
    <t xml:space="preserve">42 ends (21 fixtures x 2) PENDING; base counts only 2 x length (686 LF).</t>
  </si>
  <si>
    <t xml:space="preserve">RFI-12</t>
  </si>
  <si>
    <t xml:space="preserve">Tower parapet infill (11/S5.10): sheathing on both faces above roof assumed (exterior protection board key note 7 on outer face).</t>
  </si>
  <si>
    <t xml:space="preserve">If one face only: -204 SF exterior gyp sheathing.</t>
  </si>
  <si>
    <t xml:space="preserve">RFI-13</t>
  </si>
  <si>
    <t xml:space="preserve">Key note 6 backboard measured on A11.03 elev 2-5 (3 Electrical walls + 1 NER wall, 8'-0" high), scaled lengths.</t>
  </si>
  <si>
    <t xml:space="preserve">Base 278 SF (34.7 LF x 8 ft).</t>
  </si>
  <si>
    <t xml:space="preserve">RFI-14</t>
  </si>
  <si>
    <t xml:space="preserve">Millwork blocking lengths taken from plan, not from A12.03-A12.06 details.</t>
  </si>
  <si>
    <t xml:space="preserve">Base 158.2 LF; +/- 30% possible.</t>
  </si>
  <si>
    <t xml:space="preserve">RFI-15</t>
  </si>
  <si>
    <t xml:space="preserve">Lockers CW-16 (A06.01) in Break Room 118 south wall: blocking length not dimensioned.</t>
  </si>
  <si>
    <t xml:space="preserve">Base 5 LF (2 rows x 2.5 ft).</t>
  </si>
  <si>
    <t xml:space="preserve">RFI-16</t>
  </si>
  <si>
    <t xml:space="preserve">Wall stop blocking counted at all 14 interior swing doors; hardware groups not verified one by one.</t>
  </si>
  <si>
    <t xml:space="preserve">Base 28 LF; each door without wall stop -2 LF.</t>
  </si>
  <si>
    <t xml:space="preserve">RFI-17</t>
  </si>
  <si>
    <t xml:space="preserve">Storefront heads: 53.6 box beam included; 2/A09.26 shows STEEL HEADER FRAMING.</t>
  </si>
  <si>
    <t xml:space="preserve">If steel header by others: -49.3 LF box beam at N2/N3/W1 storefronts.</t>
  </si>
  <si>
    <t xml:space="preserve">RFI-18</t>
  </si>
  <si>
    <t xml:space="preserve">Interior wall LF measured face to face on vector (not centerline).</t>
  </si>
  <si>
    <t xml:space="preserve">Centerline would add ~0.2-0.5 ft per abutting end (~+15 to +25 LF total).</t>
  </si>
  <si>
    <t xml:space="preserve">RFI-19</t>
  </si>
  <si>
    <t xml:space="preserve">FRP (WC-3) in restrooms: confirm drywall scope vs GC/tile.</t>
  </si>
  <si>
    <t xml:space="preserve">Base included 364.6 SF.</t>
  </si>
  <si>
    <t xml:space="preserve">RFI-20</t>
  </si>
  <si>
    <t xml:space="preserve">Type C1 detail (6/A12.01) shows block partition + 3-5/8" studs one face; tag C1 used at plumbing chase, FCAM box and monitor recess. Block (Div 04) excluded.</t>
  </si>
  <si>
    <t xml:space="preserve">C1 quantified as 3-5/8" furring + 1 layer 5/8" (MR at chase).</t>
  </si>
  <si>
    <t xml:space="preserve">RFI-21</t>
  </si>
  <si>
    <t xml:space="preserve">Janitor MW06A partition (B-06) not vector-verified (taken = B-05 3.5 LF).</t>
  </si>
  <si>
    <t xml:space="preserve">+/- 3.5 LF type B.</t>
  </si>
  <si>
    <t xml:space="preserve">RFI-22</t>
  </si>
  <si>
    <t xml:space="preserve">Interior walls south of grid B: deck slopes 13'-0 5/8" (B) to 12'-6 3/8" (A). High side used (53.2).</t>
  </si>
  <si>
    <t xml:space="preserve">Low side would reduce studs/board ~4% in that zone.</t>
  </si>
  <si>
    <t xml:space="preserve">RFI-24</t>
  </si>
  <si>
    <t xml:space="preserve">G1 schedule thickness 8" vs drawn G build-up 5-3/4" (5/A12.01): G1 cavity gap not drawn.</t>
  </si>
  <si>
    <t xml:space="preserve">Base G1 = same materials as G (wider track gap not priced).</t>
  </si>
  <si>
    <t xml:space="preserve">RFI-25</t>
  </si>
  <si>
    <t xml:space="preserve">Tag B2K on A02.01 (cash window / office 108) not defined on A12.01 (only A1K/A5K).</t>
  </si>
  <si>
    <t xml:space="preserve">Base B2K = A5K build-up (6" 14 GA + ballistic 8'-0"), 2.17 LF.</t>
  </si>
  <si>
    <t xml:space="preserve">RFI-26</t>
  </si>
  <si>
    <t xml:space="preserve">S2.20 canopy "B.O.D. EL. 111'-9" TYP @ CANOPY" (typo, read 11'-9"); S2.20 note "@ LOW ROOF" between E and D without elevation.</t>
  </si>
  <si>
    <t xml:space="preserve">No change: canopy soffit framed below canopy steel; interior north of B kept at 15'-4 1/2".</t>
  </si>
  <si>
    <t xml:space="preserve">RFI-27</t>
  </si>
  <si>
    <t xml:space="preserve">MEP crossing (M01.01, P01.01, E02.01) against walls that reach the deck was not performed in this run.</t>
  </si>
  <si>
    <t xml:space="preserve">Framed openings / patch at duct penetrations PENDING.</t>
  </si>
  <si>
    <t xml:space="preserve">RFI-23</t>
  </si>
  <si>
    <t xml:space="preserve">Level 5 at WC-18 (6 office walls 11'-9 1/4" x 9'-0") and WC-22 media wall (~10x11 ft); WC-20 named in key note 9 A05.01 but not tagged.</t>
  </si>
  <si>
    <t xml:space="preserve">Base 745 SF Level 5 (scaled), rest Level 4.</t>
  </si>
  <si>
    <t xml:space="preserve">RFI-28</t>
  </si>
  <si>
    <t xml:space="preserve">Metal stud blocking 362CR22 at gypboard edges (4/S5.20) depends on board orientation; base one row on exterior walls + G/G1 both faces.</t>
  </si>
  <si>
    <t xml:space="preserve">Base 466 LF; 0 if vertical board without butt joints.</t>
  </si>
  <si>
    <t xml:space="preserve">RFI-29</t>
  </si>
  <si>
    <t xml:space="preserve">Roof step 4/A02.02 height and beam enclosure faces scaled, not dimensioned.</t>
  </si>
  <si>
    <t xml:space="preserve">Base 51.7 LF x 3.3 ft; enclosure 230 SF.</t>
  </si>
  <si>
    <t xml:space="preserve">RFI-30</t>
  </si>
  <si>
    <t xml:space="preserve">R-14A/B downlights in GWB ceilings (~20): cut-outs only, no backing priced.</t>
  </si>
  <si>
    <t xml:space="preserve">Not included.</t>
  </si>
  <si>
    <t xml:space="preserve">#</t>
  </si>
  <si>
    <t xml:space="preserve">Punto</t>
  </si>
  <si>
    <t xml:space="preserve">Hoja + detalle</t>
  </si>
  <si>
    <t xml:space="preserve">Imagen</t>
  </si>
  <si>
    <t xml:space="preserve">Barrido de tags: lista de walls por tipo con LF (55 elementos interiores + exteriores). Revisar imagenes por tipo en Planos marcados.</t>
  </si>
  <si>
    <t xml:space="preserve">A02.01</t>
  </si>
  <si>
    <t xml:space="preserve">marcado_*.jpg</t>
  </si>
  <si>
    <t xml:space="preserve">Tags A1 que apuntan a wall de 6" (clasificado G por espesor) y A1/A5 en calling cubes W (RFI-06, RFI-07).</t>
  </si>
  <si>
    <t xml:space="preserve">3/A12.01, 5/A12.01</t>
  </si>
  <si>
    <t xml:space="preserve">marcado_G.jpg</t>
  </si>
  <si>
    <t xml:space="preserve">Elevaciones N/S con titulo transpuesto (RFI-01).</t>
  </si>
  <si>
    <t xml:space="preserve">A09.01, A09.02</t>
  </si>
  <si>
    <t xml:space="preserve">ov_34 / ov_35</t>
  </si>
  <si>
    <t xml:space="preserve">Box beam en storefronts vs steel header 2/A09.26 (RFI-17, delta -49.3 LF).</t>
  </si>
  <si>
    <t xml:space="preserve">2/A09.26</t>
  </si>
  <si>
    <t xml:space="preserve">-</t>
  </si>
  <si>
    <t xml:space="preserve">Sealant base de G sin rotulo (RFI-04).</t>
  </si>
  <si>
    <t xml:space="preserve">5/A12.01</t>
  </si>
  <si>
    <t xml:space="preserve">a1201_d5.png</t>
  </si>
  <si>
    <t xml:space="preserve">Suspension de ceilings GWB por ASTM C754 (RFI-05).</t>
  </si>
  <si>
    <t xml:space="preserve">2/A09.33</t>
  </si>
  <si>
    <t xml:space="preserve">Bloqueos de millwork, lockers, plywood backboard: estimados (RFI-13,14,15).</t>
  </si>
  <si>
    <t xml:space="preserve">A12.03-A12.06, A11.03</t>
  </si>
  <si>
    <t xml:space="preserve">Ends de framed openings del canopy UU: PENDIENTE cutsheet (RFI-11).</t>
  </si>
  <si>
    <t xml:space="preserve">E00.01, E02.01</t>
  </si>
  <si>
    <t xml:space="preserve">LF face-a-face, no centerline (RFI-18).</t>
  </si>
  <si>
    <t xml:space="preserve">Altura de ATM drive-up no confirmada; no se descuenta (RFI-08).</t>
  </si>
  <si>
    <t xml:space="preserve">5,6/A08.11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</si>
  <si>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</si>
  <si>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</si>
  <si>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</si>
  <si>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</si>
  <si>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</si>
  <si>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CUANTIFICADO</t>
  </si>
  <si>
    <t xml:space="preserve">Interior studs/tracks per type, A12.01 details 1,3,4,5,6,12</t>
  </si>
  <si>
    <t xml:space="preserve">ALC-02</t>
  </si>
  <si>
    <t xml:space="preserve">Exterior 6" CFMF 600S137-33 @16" (S5.20; A09.21-A09.23)</t>
  </si>
  <si>
    <t xml:space="preserve">ALC-03</t>
  </si>
  <si>
    <t xml:space="preserve">Parapet: exterior wall studs to T/STUD + tower infill 11/S5.10; exterior gyp sheathing roof side</t>
  </si>
  <si>
    <t xml:space="preserve">ALC-04</t>
  </si>
  <si>
    <t xml:space="preserve">Bottom / top / deflection track in separate rows</t>
  </si>
  <si>
    <t xml:space="preserve">ALC-05</t>
  </si>
  <si>
    <t xml:space="preserve">Headers (S5.20 header schedule), box beams, sill tracks</t>
  </si>
  <si>
    <t xml:space="preserve">ALC-06</t>
  </si>
  <si>
    <t xml:space="preserve">Bracing 1-1/2" C.R. channel @48" (F/S5.20; 53.4)</t>
  </si>
  <si>
    <t xml:space="preserve">ALC-07</t>
  </si>
  <si>
    <t xml:space="preserve">5/8" gyp board per face per type</t>
  </si>
  <si>
    <t xml:space="preserve">ALC-08</t>
  </si>
  <si>
    <t xml:space="preserve">MR board at chase C1 behind toilets/lavatories (F/A08.01)</t>
  </si>
  <si>
    <t xml:space="preserve">ALC-09</t>
  </si>
  <si>
    <t xml:space="preserve">Exterior gyp sheathing parapet roof side; glass mat at canopy band (3,7/A09.26)</t>
  </si>
  <si>
    <t xml:space="preserve">ALC-10</t>
  </si>
  <si>
    <t xml:space="preserve">FRT plywood: exterior sheathing system, type F, canopy, backboard, piers</t>
  </si>
  <si>
    <t xml:space="preserve">ALC-11</t>
  </si>
  <si>
    <t xml:space="preserve">GWB ceilings A04.01 (vestibules, waiting, restrooms, cash window)</t>
  </si>
  <si>
    <t xml:space="preserve">ALC-12</t>
  </si>
  <si>
    <t xml:space="preserve">Furring channel, carrying channel, hanger wire, ceiling track (ASTM C754, RFI-05)</t>
  </si>
  <si>
    <t xml:space="preserve">ALC-13</t>
  </si>
  <si>
    <t xml:space="preserve">Office front bulkheads 8,9/A12.01; vestibule glass bulkheads 4-7/A12.10; canopy soffits</t>
  </si>
  <si>
    <t xml:space="preserve">ALC-14</t>
  </si>
  <si>
    <t xml:space="preserve">Canopy soffit/fascia framing and FRT plywood (3,7/A09.26; 4,5/A09.33)</t>
  </si>
  <si>
    <t xml:space="preserve">ALC-15</t>
  </si>
  <si>
    <t xml:space="preserve">Canopy column wraps 5/A09.25 (4 ea), piers 1,2/A09.25</t>
  </si>
  <si>
    <t xml:space="preserve">ALC-16</t>
  </si>
  <si>
    <t xml:space="preserve">FRT blocking: toilet accessories, wall stops, millwork, monitor, roof ladder; parapet FRT plywood blocking</t>
  </si>
  <si>
    <t xml:space="preserve">ALC-17</t>
  </si>
  <si>
    <t xml:space="preserve">Framed openings for recessed fixtures UU / R-11 (54.1)</t>
  </si>
  <si>
    <t xml:space="preserve">ALC-18</t>
  </si>
  <si>
    <t xml:space="preserve">Corner bead, casing bead, shadow molding, gypsum edge trim</t>
  </si>
  <si>
    <t xml:space="preserve">ALC-19</t>
  </si>
  <si>
    <t xml:space="preserve">Acoustical sealant per detail runs; batt insulation in partitions</t>
  </si>
  <si>
    <t xml:space="preserve">ALC-20</t>
  </si>
  <si>
    <t xml:space="preserve">FRP WC-3 restrooms (A08.01)</t>
  </si>
  <si>
    <t xml:space="preserve">ALC-21</t>
  </si>
  <si>
    <t xml:space="preserve">NO APLICA</t>
  </si>
  <si>
    <t xml:space="preserve">A02.01: no shaft walls or area separation walls in the set (escaneo sin hallazgos)</t>
  </si>
  <si>
    <t xml:space="preserve">ALC-22</t>
  </si>
  <si>
    <t xml:space="preserve">A12.01 schedule FIRE RATING "--" for all types; A02.01 only fire rated plywood backboard (quantified as FRT plywood)</t>
  </si>
  <si>
    <t xml:space="preserve">ALC-23</t>
  </si>
  <si>
    <t xml:space="preserve">3/8" UL752 Level 2 ballistic panel at A1K/B2K (4/A12.01)</t>
  </si>
  <si>
    <t xml:space="preserve">ALC-24</t>
  </si>
  <si>
    <t xml:space="preserve">Level 4 taping assumed; Level 5 at WC-20/WC-22 (A05.01) area as RFI-23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</si>
</sst>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16.293</v>
      </c>
      <c r="D6" s="0" t="n">
        <v>15.375</v>
      </c>
      <c r="E6" s="0" t="n">
        <v>4</v>
      </c>
      <c r="F6" s="0" t="s">
        <v>31</v>
      </c>
      <c r="G6" s="0" t="n">
        <v>16</v>
      </c>
      <c r="H6" s="0" t="n">
        <v>1002.02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11.627</v>
      </c>
      <c r="D7" s="0" t="n">
        <v>15.375</v>
      </c>
      <c r="E7" s="0" t="n">
        <v>4</v>
      </c>
      <c r="F7" s="0" t="s">
        <v>31</v>
      </c>
      <c r="G7" s="0" t="n">
        <v>16</v>
      </c>
      <c r="H7" s="0" t="n">
        <v>715.06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11.627</v>
      </c>
      <c r="D8" s="0" t="n">
        <v>15.375</v>
      </c>
      <c r="E8" s="0" t="n">
        <v>4</v>
      </c>
      <c r="F8" s="0" t="s">
        <v>31</v>
      </c>
      <c r="G8" s="0" t="n">
        <v>16</v>
      </c>
      <c r="H8" s="0" t="n">
        <v>715.06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11.767</v>
      </c>
      <c r="D9" s="0" t="n">
        <v>15.375</v>
      </c>
      <c r="E9" s="0" t="n">
        <v>4</v>
      </c>
      <c r="F9" s="0" t="s">
        <v>31</v>
      </c>
      <c r="G9" s="0" t="n">
        <v>16</v>
      </c>
      <c r="H9" s="0" t="n">
        <v>723.67</v>
      </c>
      <c r="I9" s="0" t="s">
        <v>43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11.767</v>
      </c>
      <c r="D10" s="0" t="n">
        <v>15.375</v>
      </c>
      <c r="E10" s="0" t="n">
        <v>4</v>
      </c>
      <c r="F10" s="0" t="s">
        <v>31</v>
      </c>
      <c r="G10" s="0" t="n">
        <v>16</v>
      </c>
      <c r="H10" s="0" t="n">
        <v>723.67</v>
      </c>
      <c r="I10" s="0" t="s">
        <v>46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7.093</v>
      </c>
      <c r="D11" s="0" t="n">
        <v>15.375</v>
      </c>
      <c r="E11" s="0" t="n">
        <v>4</v>
      </c>
      <c r="F11" s="0" t="s">
        <v>31</v>
      </c>
      <c r="G11" s="0" t="n">
        <v>16</v>
      </c>
      <c r="H11" s="0" t="n">
        <v>436.22</v>
      </c>
      <c r="I11" s="0" t="s">
        <v>49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n">
        <v>2.42</v>
      </c>
      <c r="D12" s="0" t="n">
        <v>15.375</v>
      </c>
      <c r="E12" s="0" t="n">
        <v>4</v>
      </c>
      <c r="F12" s="0" t="s">
        <v>31</v>
      </c>
      <c r="G12" s="0" t="n">
        <v>16</v>
      </c>
      <c r="H12" s="0" t="n">
        <v>148.83</v>
      </c>
      <c r="I12" s="0" t="s">
        <v>52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n">
        <v>3.467</v>
      </c>
      <c r="D13" s="0" t="n">
        <v>15.375</v>
      </c>
      <c r="E13" s="0" t="n">
        <v>4</v>
      </c>
      <c r="F13" s="0" t="s">
        <v>31</v>
      </c>
      <c r="G13" s="0" t="n">
        <v>16</v>
      </c>
      <c r="H13" s="0" t="n">
        <v>213.22</v>
      </c>
      <c r="I13" s="0" t="s">
        <v>55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n">
        <v>3.253</v>
      </c>
      <c r="D14" s="0" t="n">
        <v>15.375</v>
      </c>
      <c r="E14" s="0" t="n">
        <v>4</v>
      </c>
      <c r="F14" s="0" t="s">
        <v>31</v>
      </c>
      <c r="G14" s="0" t="n">
        <v>16</v>
      </c>
      <c r="H14" s="0" t="n">
        <v>200.06</v>
      </c>
      <c r="I14" s="0" t="s">
        <v>58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n">
        <v>3.253</v>
      </c>
      <c r="D15" s="0" t="n">
        <v>15.375</v>
      </c>
      <c r="E15" s="0" t="n">
        <v>4</v>
      </c>
      <c r="F15" s="0" t="s">
        <v>31</v>
      </c>
      <c r="G15" s="0" t="n">
        <v>16</v>
      </c>
      <c r="H15" s="0" t="n">
        <v>200.06</v>
      </c>
      <c r="I15" s="0" t="s">
        <v>61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n">
        <v>0.973</v>
      </c>
      <c r="D16" s="0" t="n">
        <v>15.375</v>
      </c>
      <c r="E16" s="0" t="n">
        <v>4</v>
      </c>
      <c r="F16" s="0" t="s">
        <v>31</v>
      </c>
      <c r="G16" s="0" t="n">
        <v>16</v>
      </c>
      <c r="H16" s="0" t="n">
        <v>59.84</v>
      </c>
      <c r="I16" s="0" t="s">
        <v>64</v>
      </c>
      <c r="J16" s="0" t="s">
        <v>33</v>
      </c>
      <c r="K16" s="0" t="s">
        <v>34</v>
      </c>
    </row>
    <row r="17" customFormat="false" ht="15" hidden="false" customHeight="false" outlineLevel="0" collapsed="false">
      <c r="A17" s="0" t="s">
        <v>65</v>
      </c>
      <c r="B17" s="0" t="s">
        <v>66</v>
      </c>
      <c r="C17" s="0" t="n">
        <v>1.34</v>
      </c>
      <c r="D17" s="0" t="n">
        <v>15.375</v>
      </c>
      <c r="E17" s="0" t="n">
        <v>4</v>
      </c>
      <c r="F17" s="0" t="s">
        <v>31</v>
      </c>
      <c r="G17" s="0" t="n">
        <v>16</v>
      </c>
      <c r="H17" s="0" t="n">
        <v>82.41</v>
      </c>
      <c r="I17" s="0" t="s">
        <v>67</v>
      </c>
      <c r="J17" s="0" t="s">
        <v>33</v>
      </c>
      <c r="K17" s="0" t="s">
        <v>34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0" t="n">
        <v>2.907</v>
      </c>
      <c r="D18" s="0" t="n">
        <v>15.375</v>
      </c>
      <c r="E18" s="0" t="n">
        <v>4</v>
      </c>
      <c r="F18" s="0" t="s">
        <v>31</v>
      </c>
      <c r="G18" s="0" t="n">
        <v>16</v>
      </c>
      <c r="H18" s="0" t="n">
        <v>178.78</v>
      </c>
      <c r="I18" s="0" t="s">
        <v>70</v>
      </c>
      <c r="J18" s="0" t="s">
        <v>33</v>
      </c>
      <c r="K18" s="0" t="s">
        <v>34</v>
      </c>
    </row>
    <row r="19" customFormat="false" ht="15" hidden="false" customHeight="false" outlineLevel="0" collapsed="false">
      <c r="A19" s="5" t="s">
        <v>71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n">
        <v>11.767</v>
      </c>
      <c r="D20" s="0" t="n">
        <v>15.375</v>
      </c>
      <c r="E20" s="0" t="n">
        <v>4</v>
      </c>
      <c r="F20" s="0" t="s">
        <v>31</v>
      </c>
      <c r="G20" s="0" t="n">
        <v>16</v>
      </c>
      <c r="H20" s="0" t="n">
        <v>723.67</v>
      </c>
      <c r="I20" s="0" t="s">
        <v>74</v>
      </c>
      <c r="J20" s="0" t="s">
        <v>33</v>
      </c>
      <c r="K20" s="0" t="s">
        <v>34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0" t="n">
        <v>3.667</v>
      </c>
      <c r="D21" s="0" t="n">
        <v>15.375</v>
      </c>
      <c r="E21" s="0" t="n">
        <v>4</v>
      </c>
      <c r="F21" s="0" t="s">
        <v>31</v>
      </c>
      <c r="G21" s="0" t="n">
        <v>16</v>
      </c>
      <c r="H21" s="0" t="n">
        <v>225.52</v>
      </c>
      <c r="I21" s="0" t="s">
        <v>77</v>
      </c>
      <c r="J21" s="0" t="s">
        <v>33</v>
      </c>
      <c r="K21" s="0" t="s">
        <v>34</v>
      </c>
    </row>
    <row r="22" customFormat="false" ht="15" hidden="false" customHeight="false" outlineLevel="0" collapsed="false">
      <c r="A22" s="5" t="s">
        <v>78</v>
      </c>
    </row>
    <row r="23" customFormat="false" ht="15" hidden="false" customHeight="false" outlineLevel="0" collapsed="false">
      <c r="A23" s="0" t="s">
        <v>79</v>
      </c>
      <c r="B23" s="0" t="s">
        <v>80</v>
      </c>
      <c r="C23" s="0" t="n">
        <v>16.274</v>
      </c>
      <c r="D23" s="0" t="n">
        <v>15.375</v>
      </c>
      <c r="E23" s="0" t="n">
        <v>2</v>
      </c>
      <c r="F23" s="0" t="s">
        <v>81</v>
      </c>
      <c r="G23" s="0" t="n">
        <v>16</v>
      </c>
      <c r="H23" s="0" t="n">
        <v>333.62</v>
      </c>
      <c r="I23" s="0" t="s">
        <v>82</v>
      </c>
      <c r="J23" s="0" t="s">
        <v>83</v>
      </c>
      <c r="K23" s="0" t="s">
        <v>34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n">
        <v>15.62</v>
      </c>
      <c r="D24" s="0" t="n">
        <v>13.052</v>
      </c>
      <c r="E24" s="0" t="n">
        <v>2</v>
      </c>
      <c r="F24" s="0" t="s">
        <v>81</v>
      </c>
      <c r="G24" s="0" t="n">
        <v>16</v>
      </c>
      <c r="H24" s="0" t="n">
        <v>239.16</v>
      </c>
      <c r="I24" s="0" t="s">
        <v>86</v>
      </c>
      <c r="J24" s="0" t="s">
        <v>83</v>
      </c>
      <c r="K24" s="0" t="s">
        <v>34</v>
      </c>
    </row>
    <row r="25" customFormat="false" ht="15" hidden="false" customHeight="false" outlineLevel="0" collapsed="false">
      <c r="A25" s="0" t="s">
        <v>87</v>
      </c>
      <c r="B25" s="0" t="s">
        <v>88</v>
      </c>
      <c r="C25" s="0" t="n">
        <v>3.127</v>
      </c>
      <c r="D25" s="0" t="n">
        <v>15.375</v>
      </c>
      <c r="E25" s="0" t="n">
        <v>2</v>
      </c>
      <c r="F25" s="0" t="s">
        <v>81</v>
      </c>
      <c r="G25" s="0" t="n">
        <v>16</v>
      </c>
      <c r="H25" s="0" t="n">
        <v>65.67</v>
      </c>
      <c r="I25" s="0" t="s">
        <v>89</v>
      </c>
      <c r="J25" s="0" t="s">
        <v>83</v>
      </c>
      <c r="K25" s="0" t="s">
        <v>34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0" t="n">
        <v>1.707</v>
      </c>
      <c r="D26" s="0" t="n">
        <v>13.052</v>
      </c>
      <c r="E26" s="0" t="n">
        <v>2</v>
      </c>
      <c r="F26" s="0" t="s">
        <v>81</v>
      </c>
      <c r="G26" s="0" t="n">
        <v>16</v>
      </c>
      <c r="H26" s="0" t="n">
        <v>35.85</v>
      </c>
      <c r="I26" s="0" t="s">
        <v>92</v>
      </c>
      <c r="J26" s="0" t="s">
        <v>83</v>
      </c>
      <c r="K26" s="0" t="s">
        <v>34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0" t="n">
        <v>17.06</v>
      </c>
      <c r="D27" s="0" t="n">
        <v>13.052</v>
      </c>
      <c r="E27" s="0" t="n">
        <v>2</v>
      </c>
      <c r="F27" s="0" t="s">
        <v>81</v>
      </c>
      <c r="G27" s="0" t="n">
        <v>16</v>
      </c>
      <c r="H27" s="0" t="n">
        <v>376.21</v>
      </c>
      <c r="I27" s="0" t="s">
        <v>95</v>
      </c>
      <c r="J27" s="0" t="s">
        <v>83</v>
      </c>
      <c r="K27" s="0" t="s">
        <v>34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0" t="n">
        <v>13.72</v>
      </c>
      <c r="D28" s="0" t="n">
        <v>13.052</v>
      </c>
      <c r="E28" s="0" t="n">
        <v>2</v>
      </c>
      <c r="F28" s="0" t="s">
        <v>81</v>
      </c>
      <c r="G28" s="0" t="n">
        <v>16</v>
      </c>
      <c r="H28" s="0" t="n">
        <v>218.55</v>
      </c>
      <c r="I28" s="0" t="s">
        <v>98</v>
      </c>
      <c r="J28" s="0" t="s">
        <v>83</v>
      </c>
      <c r="K28" s="0" t="s">
        <v>34</v>
      </c>
    </row>
    <row r="29" customFormat="false" ht="15" hidden="false" customHeight="false" outlineLevel="0" collapsed="false">
      <c r="A29" s="0" t="s">
        <v>99</v>
      </c>
      <c r="B29" s="0" t="s">
        <v>100</v>
      </c>
      <c r="C29" s="0" t="n">
        <v>11.667</v>
      </c>
      <c r="D29" s="0" t="n">
        <v>13.052</v>
      </c>
      <c r="E29" s="0" t="n">
        <v>2</v>
      </c>
      <c r="F29" s="0" t="s">
        <v>81</v>
      </c>
      <c r="G29" s="0" t="n">
        <v>16</v>
      </c>
      <c r="H29" s="0" t="n">
        <v>168.01</v>
      </c>
      <c r="I29" s="0" t="s">
        <v>101</v>
      </c>
      <c r="J29" s="0" t="s">
        <v>83</v>
      </c>
      <c r="K29" s="0" t="s">
        <v>34</v>
      </c>
    </row>
    <row r="30" customFormat="false" ht="15" hidden="false" customHeight="false" outlineLevel="0" collapsed="false">
      <c r="A30" s="5" t="s">
        <v>102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0" t="n">
        <v>15.5</v>
      </c>
      <c r="D31" s="0" t="n">
        <v>15.375</v>
      </c>
      <c r="E31" s="0" t="n">
        <v>2</v>
      </c>
      <c r="F31" s="0" t="s">
        <v>105</v>
      </c>
      <c r="G31" s="0" t="n">
        <v>16</v>
      </c>
      <c r="H31" s="0" t="n">
        <v>325.5</v>
      </c>
      <c r="I31" s="0" t="s">
        <v>106</v>
      </c>
      <c r="J31" s="0" t="s">
        <v>83</v>
      </c>
      <c r="K31" s="0" t="s">
        <v>34</v>
      </c>
    </row>
    <row r="32" customFormat="false" ht="15" hidden="false" customHeight="false" outlineLevel="0" collapsed="false">
      <c r="A32" s="0" t="s">
        <v>107</v>
      </c>
      <c r="B32" s="0" t="s">
        <v>108</v>
      </c>
      <c r="C32" s="0" t="n">
        <v>6.05</v>
      </c>
      <c r="D32" s="0" t="n">
        <v>13.052</v>
      </c>
      <c r="E32" s="0" t="n">
        <v>2</v>
      </c>
      <c r="F32" s="0" t="s">
        <v>105</v>
      </c>
      <c r="G32" s="0" t="n">
        <v>16</v>
      </c>
      <c r="H32" s="0" t="n">
        <v>127.05</v>
      </c>
      <c r="I32" s="0" t="s">
        <v>109</v>
      </c>
      <c r="J32" s="0" t="s">
        <v>83</v>
      </c>
      <c r="K32" s="0" t="s">
        <v>34</v>
      </c>
    </row>
    <row r="33" customFormat="false" ht="15" hidden="false" customHeight="false" outlineLevel="0" collapsed="false">
      <c r="A33" s="0" t="s">
        <v>110</v>
      </c>
      <c r="B33" s="0" t="s">
        <v>111</v>
      </c>
      <c r="C33" s="0" t="n">
        <v>10.593</v>
      </c>
      <c r="D33" s="0" t="n">
        <v>15.375</v>
      </c>
      <c r="E33" s="0" t="n">
        <v>2</v>
      </c>
      <c r="F33" s="0" t="s">
        <v>105</v>
      </c>
      <c r="G33" s="0" t="n">
        <v>16</v>
      </c>
      <c r="H33" s="0" t="n">
        <v>222.45</v>
      </c>
      <c r="I33" s="0" t="s">
        <v>112</v>
      </c>
      <c r="J33" s="0" t="s">
        <v>83</v>
      </c>
      <c r="K33" s="0" t="s">
        <v>34</v>
      </c>
    </row>
    <row r="34" customFormat="false" ht="15" hidden="false" customHeight="false" outlineLevel="0" collapsed="false">
      <c r="A34" s="0" t="s">
        <v>113</v>
      </c>
      <c r="B34" s="0" t="s">
        <v>114</v>
      </c>
      <c r="C34" s="0" t="n">
        <v>1.373</v>
      </c>
      <c r="D34" s="0" t="n">
        <v>15.375</v>
      </c>
      <c r="E34" s="0" t="n">
        <v>2</v>
      </c>
      <c r="F34" s="0" t="s">
        <v>105</v>
      </c>
      <c r="G34" s="0" t="n">
        <v>16</v>
      </c>
      <c r="H34" s="0" t="n">
        <v>28.83</v>
      </c>
      <c r="I34" s="0" t="s">
        <v>115</v>
      </c>
      <c r="J34" s="0" t="s">
        <v>83</v>
      </c>
      <c r="K34" s="0" t="s">
        <v>34</v>
      </c>
    </row>
    <row r="35" customFormat="false" ht="15" hidden="false" customHeight="false" outlineLevel="0" collapsed="false">
      <c r="A35" s="0" t="s">
        <v>116</v>
      </c>
      <c r="B35" s="0" t="s">
        <v>117</v>
      </c>
      <c r="C35" s="0" t="n">
        <v>3.713</v>
      </c>
      <c r="D35" s="0" t="n">
        <v>13.052</v>
      </c>
      <c r="E35" s="0" t="n">
        <v>2</v>
      </c>
      <c r="F35" s="0" t="s">
        <v>105</v>
      </c>
      <c r="G35" s="0" t="n">
        <v>16</v>
      </c>
      <c r="H35" s="0" t="n">
        <v>68.69</v>
      </c>
      <c r="I35" s="0" t="s">
        <v>118</v>
      </c>
      <c r="J35" s="0" t="s">
        <v>83</v>
      </c>
      <c r="K35" s="0" t="s">
        <v>34</v>
      </c>
    </row>
    <row r="36" customFormat="false" ht="15" hidden="false" customHeight="false" outlineLevel="0" collapsed="false">
      <c r="A36" s="5" t="s">
        <v>119</v>
      </c>
    </row>
    <row r="37" customFormat="false" ht="15" hidden="false" customHeight="false" outlineLevel="0" collapsed="false">
      <c r="A37" s="0" t="s">
        <v>120</v>
      </c>
      <c r="B37" s="0" t="s">
        <v>121</v>
      </c>
      <c r="C37" s="0" t="n">
        <v>9.987</v>
      </c>
      <c r="D37" s="0" t="n">
        <v>13.052</v>
      </c>
      <c r="E37" s="0" t="n">
        <v>2</v>
      </c>
      <c r="F37" s="0" t="s">
        <v>81</v>
      </c>
      <c r="G37" s="0" t="n">
        <v>16</v>
      </c>
      <c r="H37" s="0" t="n">
        <v>260.7</v>
      </c>
      <c r="I37" s="0" t="s">
        <v>122</v>
      </c>
      <c r="J37" s="0" t="s">
        <v>123</v>
      </c>
      <c r="K37" s="0" t="s">
        <v>34</v>
      </c>
    </row>
    <row r="38" customFormat="false" ht="15" hidden="false" customHeight="false" outlineLevel="0" collapsed="false">
      <c r="A38" s="0" t="s">
        <v>124</v>
      </c>
      <c r="B38" s="0" t="s">
        <v>125</v>
      </c>
      <c r="C38" s="0" t="n">
        <v>9.58</v>
      </c>
      <c r="D38" s="0" t="n">
        <v>13.052</v>
      </c>
      <c r="E38" s="0" t="n">
        <v>2</v>
      </c>
      <c r="F38" s="0" t="s">
        <v>81</v>
      </c>
      <c r="G38" s="0" t="n">
        <v>16</v>
      </c>
      <c r="H38" s="0" t="n">
        <v>250.08</v>
      </c>
      <c r="I38" s="0" t="s">
        <v>126</v>
      </c>
      <c r="J38" s="0" t="s">
        <v>123</v>
      </c>
      <c r="K38" s="0" t="s">
        <v>34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n">
        <v>11.733</v>
      </c>
      <c r="D39" s="0" t="n">
        <v>13.052</v>
      </c>
      <c r="E39" s="0" t="n">
        <v>2</v>
      </c>
      <c r="F39" s="0" t="s">
        <v>81</v>
      </c>
      <c r="G39" s="0" t="n">
        <v>16</v>
      </c>
      <c r="H39" s="0" t="n">
        <v>264.28</v>
      </c>
      <c r="I39" s="0" t="s">
        <v>129</v>
      </c>
      <c r="J39" s="0" t="s">
        <v>123</v>
      </c>
      <c r="K39" s="0" t="s">
        <v>34</v>
      </c>
    </row>
    <row r="40" customFormat="false" ht="15" hidden="false" customHeight="false" outlineLevel="0" collapsed="false">
      <c r="A40" s="0" t="s">
        <v>130</v>
      </c>
      <c r="B40" s="0" t="s">
        <v>131</v>
      </c>
      <c r="C40" s="0" t="n">
        <v>11.733</v>
      </c>
      <c r="D40" s="0" t="n">
        <v>13.052</v>
      </c>
      <c r="E40" s="0" t="n">
        <v>2</v>
      </c>
      <c r="F40" s="0" t="s">
        <v>81</v>
      </c>
      <c r="G40" s="0" t="n">
        <v>16</v>
      </c>
      <c r="H40" s="0" t="n">
        <v>306.28</v>
      </c>
      <c r="I40" s="0" t="s">
        <v>132</v>
      </c>
      <c r="J40" s="0" t="s">
        <v>123</v>
      </c>
      <c r="K40" s="0" t="s">
        <v>34</v>
      </c>
    </row>
    <row r="41" customFormat="false" ht="15" hidden="false" customHeight="false" outlineLevel="0" collapsed="false">
      <c r="A41" s="0" t="s">
        <v>133</v>
      </c>
      <c r="B41" s="0" t="s">
        <v>134</v>
      </c>
      <c r="C41" s="0" t="n">
        <v>3.5</v>
      </c>
      <c r="D41" s="0" t="n">
        <v>13.052</v>
      </c>
      <c r="E41" s="0" t="n">
        <v>2</v>
      </c>
      <c r="F41" s="0" t="s">
        <v>81</v>
      </c>
      <c r="G41" s="0" t="n">
        <v>16</v>
      </c>
      <c r="H41" s="0" t="n">
        <v>91.36</v>
      </c>
      <c r="I41" s="0" t="s">
        <v>135</v>
      </c>
      <c r="J41" s="0" t="s">
        <v>123</v>
      </c>
      <c r="K41" s="0" t="s">
        <v>34</v>
      </c>
    </row>
    <row r="42" customFormat="false" ht="15" hidden="false" customHeight="false" outlineLevel="0" collapsed="false">
      <c r="A42" s="0" t="s">
        <v>136</v>
      </c>
      <c r="B42" s="0" t="s">
        <v>137</v>
      </c>
      <c r="C42" s="0" t="n">
        <v>3.5</v>
      </c>
      <c r="D42" s="0" t="n">
        <v>13.052</v>
      </c>
      <c r="E42" s="0" t="n">
        <v>2</v>
      </c>
      <c r="F42" s="0" t="s">
        <v>81</v>
      </c>
      <c r="G42" s="0" t="n">
        <v>16</v>
      </c>
      <c r="H42" s="0" t="n">
        <v>91.36</v>
      </c>
      <c r="I42" s="0" t="s">
        <v>138</v>
      </c>
      <c r="J42" s="0" t="s">
        <v>123</v>
      </c>
      <c r="K42" s="0" t="s">
        <v>34</v>
      </c>
    </row>
    <row r="43" customFormat="false" ht="15" hidden="false" customHeight="false" outlineLevel="0" collapsed="false">
      <c r="A43" s="5" t="s">
        <v>139</v>
      </c>
    </row>
    <row r="44" customFormat="false" ht="15" hidden="false" customHeight="false" outlineLevel="0" collapsed="false">
      <c r="A44" s="0" t="s">
        <v>140</v>
      </c>
      <c r="B44" s="0" t="s">
        <v>141</v>
      </c>
      <c r="C44" s="0" t="n">
        <v>25.347</v>
      </c>
      <c r="D44" s="0" t="n">
        <v>13.052</v>
      </c>
      <c r="E44" s="0" t="n">
        <v>2</v>
      </c>
      <c r="F44" s="0" t="s">
        <v>105</v>
      </c>
      <c r="G44" s="0" t="n">
        <v>16</v>
      </c>
      <c r="H44" s="0" t="n">
        <v>493.66</v>
      </c>
      <c r="I44" s="0" t="s">
        <v>142</v>
      </c>
      <c r="J44" s="0" t="s">
        <v>123</v>
      </c>
      <c r="K44" s="0" t="s">
        <v>34</v>
      </c>
    </row>
    <row r="45" customFormat="false" ht="15" hidden="false" customHeight="false" outlineLevel="0" collapsed="false">
      <c r="A45" s="0" t="s">
        <v>143</v>
      </c>
      <c r="B45" s="0" t="s">
        <v>144</v>
      </c>
      <c r="C45" s="0" t="n">
        <v>1.653</v>
      </c>
      <c r="D45" s="0" t="n">
        <v>15.375</v>
      </c>
      <c r="E45" s="0" t="n">
        <v>2</v>
      </c>
      <c r="F45" s="0" t="s">
        <v>105</v>
      </c>
      <c r="G45" s="0" t="n">
        <v>16</v>
      </c>
      <c r="H45" s="0" t="n">
        <v>50.83</v>
      </c>
      <c r="I45" s="0" t="s">
        <v>145</v>
      </c>
      <c r="J45" s="0" t="s">
        <v>123</v>
      </c>
      <c r="K45" s="0" t="s">
        <v>34</v>
      </c>
    </row>
    <row r="46" customFormat="false" ht="15" hidden="false" customHeight="false" outlineLevel="0" collapsed="false">
      <c r="A46" s="0" t="s">
        <v>146</v>
      </c>
      <c r="B46" s="0" t="s">
        <v>147</v>
      </c>
      <c r="C46" s="0" t="n">
        <v>11.74</v>
      </c>
      <c r="D46" s="0" t="n">
        <v>13.052</v>
      </c>
      <c r="E46" s="0" t="n">
        <v>2</v>
      </c>
      <c r="F46" s="0" t="s">
        <v>105</v>
      </c>
      <c r="G46" s="0" t="n">
        <v>16</v>
      </c>
      <c r="H46" s="0" t="n">
        <v>306.46</v>
      </c>
      <c r="I46" s="0" t="s">
        <v>148</v>
      </c>
      <c r="J46" s="0" t="s">
        <v>123</v>
      </c>
      <c r="K46" s="0" t="s">
        <v>34</v>
      </c>
    </row>
    <row r="47" customFormat="false" ht="15" hidden="false" customHeight="false" outlineLevel="0" collapsed="false">
      <c r="A47" s="5" t="s">
        <v>149</v>
      </c>
    </row>
    <row r="48" customFormat="false" ht="15" hidden="false" customHeight="false" outlineLevel="0" collapsed="false">
      <c r="A48" s="0" t="s">
        <v>150</v>
      </c>
      <c r="B48" s="0" t="s">
        <v>151</v>
      </c>
      <c r="C48" s="0" t="n">
        <v>3.4</v>
      </c>
      <c r="D48" s="0" t="n">
        <v>15.375</v>
      </c>
      <c r="E48" s="0" t="n">
        <v>2</v>
      </c>
      <c r="F48" s="0" t="s">
        <v>81</v>
      </c>
      <c r="G48" s="0" t="n">
        <v>24</v>
      </c>
      <c r="H48" s="0" t="n">
        <v>104.55</v>
      </c>
      <c r="I48" s="0" t="s">
        <v>152</v>
      </c>
      <c r="J48" s="0" t="s">
        <v>153</v>
      </c>
      <c r="K48" s="0" t="s">
        <v>34</v>
      </c>
    </row>
    <row r="49" customFormat="false" ht="15" hidden="false" customHeight="false" outlineLevel="0" collapsed="false">
      <c r="A49" s="0" t="s">
        <v>154</v>
      </c>
      <c r="B49" s="0" t="s">
        <v>155</v>
      </c>
      <c r="C49" s="0" t="n">
        <v>3.4</v>
      </c>
      <c r="D49" s="0" t="n">
        <v>13.052</v>
      </c>
      <c r="E49" s="0" t="n">
        <v>2</v>
      </c>
      <c r="F49" s="0" t="s">
        <v>81</v>
      </c>
      <c r="G49" s="0" t="n">
        <v>24</v>
      </c>
      <c r="H49" s="0" t="n">
        <v>88.75</v>
      </c>
      <c r="I49" s="0" t="s">
        <v>156</v>
      </c>
      <c r="J49" s="0" t="s">
        <v>153</v>
      </c>
      <c r="K49" s="0" t="s">
        <v>34</v>
      </c>
    </row>
    <row r="50" customFormat="false" ht="15" hidden="false" customHeight="false" outlineLevel="0" collapsed="false">
      <c r="A50" s="0" t="s">
        <v>157</v>
      </c>
      <c r="B50" s="0" t="s">
        <v>158</v>
      </c>
      <c r="C50" s="0" t="n">
        <v>2.17</v>
      </c>
      <c r="D50" s="0" t="n">
        <v>13.052</v>
      </c>
      <c r="E50" s="0" t="n">
        <v>2</v>
      </c>
      <c r="F50" s="0" t="s">
        <v>81</v>
      </c>
      <c r="G50" s="0" t="n">
        <v>24</v>
      </c>
      <c r="H50" s="0" t="n">
        <v>56.65</v>
      </c>
      <c r="I50" s="0" t="s">
        <v>159</v>
      </c>
      <c r="J50" s="0" t="s">
        <v>153</v>
      </c>
      <c r="K50" s="0" t="s">
        <v>34</v>
      </c>
    </row>
    <row r="51" customFormat="false" ht="15" hidden="false" customHeight="false" outlineLevel="0" collapsed="false">
      <c r="A51" s="5" t="s">
        <v>160</v>
      </c>
    </row>
    <row r="52" customFormat="false" ht="15" hidden="false" customHeight="false" outlineLevel="0" collapsed="false">
      <c r="A52" s="0" t="s">
        <v>161</v>
      </c>
      <c r="B52" s="0" t="s">
        <v>162</v>
      </c>
      <c r="C52" s="0" t="n">
        <v>2.17</v>
      </c>
      <c r="D52" s="0" t="n">
        <v>15.375</v>
      </c>
      <c r="E52" s="0" t="n">
        <v>2</v>
      </c>
      <c r="F52" s="0" t="s">
        <v>105</v>
      </c>
      <c r="G52" s="0" t="n">
        <v>24</v>
      </c>
      <c r="H52" s="0" t="n">
        <v>66.73</v>
      </c>
      <c r="I52" s="0" t="s">
        <v>163</v>
      </c>
      <c r="J52" s="0" t="s">
        <v>153</v>
      </c>
      <c r="K52" s="0" t="s">
        <v>34</v>
      </c>
    </row>
    <row r="53" customFormat="false" ht="15" hidden="false" customHeight="false" outlineLevel="0" collapsed="false">
      <c r="A53" s="5" t="s">
        <v>164</v>
      </c>
    </row>
    <row r="54" customFormat="false" ht="15" hidden="false" customHeight="false" outlineLevel="0" collapsed="false">
      <c r="A54" s="0" t="s">
        <v>165</v>
      </c>
      <c r="B54" s="0" t="s">
        <v>166</v>
      </c>
      <c r="C54" s="0" t="n">
        <v>17.46</v>
      </c>
      <c r="D54" s="0" t="n">
        <v>15.375</v>
      </c>
      <c r="E54" s="0" t="n">
        <v>2</v>
      </c>
      <c r="F54" s="0" t="s">
        <v>81</v>
      </c>
      <c r="G54" s="0" t="n">
        <v>16</v>
      </c>
      <c r="H54" s="0" t="n">
        <v>340.47</v>
      </c>
      <c r="I54" s="0" t="s">
        <v>167</v>
      </c>
      <c r="J54" s="0" t="s">
        <v>168</v>
      </c>
      <c r="K54" s="0" t="s">
        <v>34</v>
      </c>
    </row>
    <row r="55" customFormat="false" ht="15" hidden="false" customHeight="false" outlineLevel="0" collapsed="false">
      <c r="A55" s="5" t="s">
        <v>169</v>
      </c>
    </row>
    <row r="56" customFormat="false" ht="15" hidden="false" customHeight="false" outlineLevel="0" collapsed="false">
      <c r="A56" s="0" t="s">
        <v>170</v>
      </c>
      <c r="B56" s="0" t="s">
        <v>171</v>
      </c>
      <c r="C56" s="0" t="n">
        <v>10.133</v>
      </c>
      <c r="D56" s="0" t="n">
        <v>13.052</v>
      </c>
      <c r="E56" s="0" t="n">
        <v>1</v>
      </c>
      <c r="F56" s="0" t="s">
        <v>81</v>
      </c>
      <c r="G56" s="0" t="n">
        <v>16</v>
      </c>
      <c r="H56" s="0" t="n">
        <v>91.2</v>
      </c>
      <c r="I56" s="0" t="s">
        <v>172</v>
      </c>
      <c r="J56" s="0" t="s">
        <v>173</v>
      </c>
      <c r="K56" s="0" t="s">
        <v>34</v>
      </c>
    </row>
    <row r="57" customFormat="false" ht="15" hidden="false" customHeight="false" outlineLevel="0" collapsed="false">
      <c r="A57" s="0" t="s">
        <v>174</v>
      </c>
      <c r="B57" s="0" t="s">
        <v>175</v>
      </c>
      <c r="C57" s="0" t="n">
        <v>10.133</v>
      </c>
      <c r="D57" s="0" t="n">
        <v>13.052</v>
      </c>
      <c r="E57" s="0" t="n">
        <v>1</v>
      </c>
      <c r="F57" s="0" t="s">
        <v>81</v>
      </c>
      <c r="G57" s="0" t="n">
        <v>16</v>
      </c>
      <c r="H57" s="0" t="n">
        <v>91.2</v>
      </c>
      <c r="I57" s="0" t="s">
        <v>176</v>
      </c>
      <c r="J57" s="0" t="s">
        <v>173</v>
      </c>
      <c r="K57" s="0" t="s">
        <v>34</v>
      </c>
    </row>
    <row r="58" customFormat="false" ht="15" hidden="false" customHeight="false" outlineLevel="0" collapsed="false">
      <c r="A58" s="0" t="s">
        <v>177</v>
      </c>
      <c r="B58" s="0" t="s">
        <v>178</v>
      </c>
      <c r="C58" s="0" t="n">
        <v>3</v>
      </c>
      <c r="D58" s="0" t="n">
        <v>13.052</v>
      </c>
      <c r="E58" s="0" t="n">
        <v>1</v>
      </c>
      <c r="F58" s="0" t="s">
        <v>81</v>
      </c>
      <c r="G58" s="0" t="n">
        <v>16</v>
      </c>
      <c r="H58" s="0" t="n">
        <v>36</v>
      </c>
      <c r="I58" s="0" t="s">
        <v>179</v>
      </c>
      <c r="J58" s="0" t="s">
        <v>173</v>
      </c>
      <c r="K58" s="0" t="s">
        <v>34</v>
      </c>
    </row>
    <row r="59" customFormat="false" ht="15" hidden="false" customHeight="false" outlineLevel="0" collapsed="false">
      <c r="A59" s="0" t="s">
        <v>180</v>
      </c>
      <c r="B59" s="0" t="s">
        <v>181</v>
      </c>
      <c r="C59" s="0" t="n">
        <v>11.333</v>
      </c>
      <c r="D59" s="0" t="n">
        <v>15.375</v>
      </c>
      <c r="E59" s="0" t="n">
        <v>1</v>
      </c>
      <c r="F59" s="0" t="s">
        <v>81</v>
      </c>
      <c r="G59" s="0" t="n">
        <v>16</v>
      </c>
      <c r="H59" s="0" t="n">
        <v>130.33</v>
      </c>
      <c r="I59" s="0" t="s">
        <v>182</v>
      </c>
      <c r="J59" s="0" t="s">
        <v>173</v>
      </c>
      <c r="K59" s="0" t="s">
        <v>34</v>
      </c>
    </row>
    <row r="60" customFormat="false" ht="15" hidden="false" customHeight="false" outlineLevel="0" collapsed="false">
      <c r="A60" s="5" t="s">
        <v>183</v>
      </c>
    </row>
    <row r="61" customFormat="false" ht="15" hidden="false" customHeight="false" outlineLevel="0" collapsed="false">
      <c r="A61" s="0" t="s">
        <v>184</v>
      </c>
      <c r="B61" s="0" t="s">
        <v>185</v>
      </c>
      <c r="C61" s="0" t="n">
        <v>11.873</v>
      </c>
      <c r="D61" s="0" t="n">
        <v>17.417</v>
      </c>
      <c r="E61" s="0" t="n">
        <v>1</v>
      </c>
      <c r="F61" s="0" t="s">
        <v>105</v>
      </c>
      <c r="G61" s="0" t="n">
        <v>16</v>
      </c>
      <c r="H61" s="0" t="n">
        <v>182.55</v>
      </c>
      <c r="I61" s="0" t="s">
        <v>186</v>
      </c>
      <c r="J61" s="0" t="s">
        <v>187</v>
      </c>
      <c r="K61" s="0" t="s">
        <v>34</v>
      </c>
    </row>
    <row r="62" customFormat="false" ht="15" hidden="false" customHeight="false" outlineLevel="0" collapsed="false">
      <c r="A62" s="0" t="s">
        <v>188</v>
      </c>
      <c r="B62" s="0" t="s">
        <v>189</v>
      </c>
      <c r="C62" s="0" t="n">
        <v>26.247</v>
      </c>
      <c r="D62" s="0" t="n">
        <v>17.417</v>
      </c>
      <c r="E62" s="0" t="n">
        <v>1</v>
      </c>
      <c r="F62" s="0" t="s">
        <v>105</v>
      </c>
      <c r="G62" s="0" t="n">
        <v>16</v>
      </c>
      <c r="H62" s="0" t="n">
        <v>180.45</v>
      </c>
      <c r="I62" s="0" t="s">
        <v>190</v>
      </c>
      <c r="J62" s="0" t="s">
        <v>191</v>
      </c>
      <c r="K62" s="0" t="s">
        <v>34</v>
      </c>
    </row>
    <row r="63" customFormat="false" ht="15" hidden="false" customHeight="false" outlineLevel="0" collapsed="false">
      <c r="A63" s="0" t="s">
        <v>192</v>
      </c>
      <c r="B63" s="0" t="s">
        <v>193</v>
      </c>
      <c r="C63" s="0" t="n">
        <v>17.683</v>
      </c>
      <c r="D63" s="0" t="n">
        <v>19.667</v>
      </c>
      <c r="E63" s="0" t="n">
        <v>1</v>
      </c>
      <c r="F63" s="0" t="s">
        <v>105</v>
      </c>
      <c r="G63" s="0" t="n">
        <v>16</v>
      </c>
      <c r="H63" s="0" t="n">
        <v>165.12</v>
      </c>
      <c r="I63" s="0" t="s">
        <v>194</v>
      </c>
      <c r="J63" s="0" t="s">
        <v>195</v>
      </c>
      <c r="K63" s="0" t="s">
        <v>34</v>
      </c>
    </row>
    <row r="64" customFormat="false" ht="15" hidden="false" customHeight="false" outlineLevel="0" collapsed="false">
      <c r="A64" s="0" t="s">
        <v>196</v>
      </c>
      <c r="B64" s="0" t="s">
        <v>197</v>
      </c>
      <c r="C64" s="0" t="n">
        <v>50.5</v>
      </c>
      <c r="D64" s="0" t="n">
        <v>17.417</v>
      </c>
      <c r="E64" s="0" t="n">
        <v>1</v>
      </c>
      <c r="F64" s="0" t="s">
        <v>105</v>
      </c>
      <c r="G64" s="0" t="n">
        <v>16</v>
      </c>
      <c r="H64" s="0" t="n">
        <v>712.44</v>
      </c>
      <c r="I64" s="0" t="s">
        <v>198</v>
      </c>
      <c r="J64" s="0" t="s">
        <v>199</v>
      </c>
      <c r="K64" s="0" t="s">
        <v>34</v>
      </c>
    </row>
    <row r="65" customFormat="false" ht="15" hidden="false" customHeight="false" outlineLevel="0" collapsed="false">
      <c r="A65" s="0" t="s">
        <v>200</v>
      </c>
      <c r="B65" s="0" t="s">
        <v>201</v>
      </c>
      <c r="C65" s="0" t="n">
        <v>24.853</v>
      </c>
      <c r="D65" s="0" t="n">
        <v>17.417</v>
      </c>
      <c r="E65" s="0" t="n">
        <v>1</v>
      </c>
      <c r="F65" s="0" t="s">
        <v>105</v>
      </c>
      <c r="G65" s="0" t="n">
        <v>16</v>
      </c>
      <c r="H65" s="0" t="n">
        <v>317.91</v>
      </c>
      <c r="I65" s="0" t="s">
        <v>202</v>
      </c>
      <c r="J65" s="0" t="s">
        <v>203</v>
      </c>
      <c r="K65" s="0" t="s">
        <v>34</v>
      </c>
    </row>
    <row r="66" customFormat="false" ht="15" hidden="false" customHeight="false" outlineLevel="0" collapsed="false">
      <c r="A66" s="0" t="s">
        <v>204</v>
      </c>
      <c r="B66" s="0" t="s">
        <v>205</v>
      </c>
      <c r="C66" s="0" t="n">
        <v>51.733</v>
      </c>
      <c r="D66" s="0" t="n">
        <v>17.417</v>
      </c>
      <c r="E66" s="0" t="n">
        <v>1</v>
      </c>
      <c r="F66" s="0" t="s">
        <v>105</v>
      </c>
      <c r="G66" s="0" t="n">
        <v>16</v>
      </c>
      <c r="H66" s="0" t="n">
        <v>621.6</v>
      </c>
      <c r="I66" s="0" t="s">
        <v>206</v>
      </c>
      <c r="J66" s="0" t="s">
        <v>207</v>
      </c>
      <c r="K66" s="0" t="s">
        <v>34</v>
      </c>
    </row>
    <row r="67" customFormat="false" ht="15" hidden="false" customHeight="false" outlineLevel="0" collapsed="false">
      <c r="A67" s="0" t="s">
        <v>208</v>
      </c>
      <c r="B67" s="0" t="s">
        <v>209</v>
      </c>
      <c r="C67" s="0" t="n">
        <v>29.756</v>
      </c>
      <c r="D67" s="0" t="n">
        <v>19.667</v>
      </c>
      <c r="E67" s="0" t="n">
        <v>1</v>
      </c>
      <c r="F67" s="0" t="s">
        <v>105</v>
      </c>
      <c r="G67" s="0" t="n">
        <v>16</v>
      </c>
      <c r="H67" s="0" t="n">
        <v>402.25</v>
      </c>
      <c r="I67" s="0" t="s">
        <v>210</v>
      </c>
      <c r="J67" s="0" t="s">
        <v>211</v>
      </c>
      <c r="K67" s="0" t="s">
        <v>34</v>
      </c>
    </row>
    <row r="68" customFormat="false" ht="15" hidden="false" customHeight="false" outlineLevel="0" collapsed="false">
      <c r="A68" s="0" t="s">
        <v>212</v>
      </c>
      <c r="B68" s="0" t="s">
        <v>213</v>
      </c>
      <c r="C68" s="0" t="n">
        <v>22.556</v>
      </c>
      <c r="D68" s="0" t="n">
        <v>17.417</v>
      </c>
      <c r="E68" s="0" t="n">
        <v>1</v>
      </c>
      <c r="F68" s="0" t="s">
        <v>105</v>
      </c>
      <c r="G68" s="0" t="n">
        <v>16</v>
      </c>
      <c r="H68" s="0" t="n">
        <v>314.8</v>
      </c>
      <c r="I68" s="0" t="s">
        <v>214</v>
      </c>
      <c r="J68" s="0" t="s">
        <v>215</v>
      </c>
      <c r="K68" s="0" t="s">
        <v>34</v>
      </c>
    </row>
    <row r="69" customFormat="false" ht="15" hidden="false" customHeight="false" outlineLevel="0" collapsed="false">
      <c r="A69" s="0" t="s">
        <v>216</v>
      </c>
      <c r="B69" s="0" t="s">
        <v>217</v>
      </c>
      <c r="C69" s="0" t="n">
        <v>24.853</v>
      </c>
      <c r="D69" s="0" t="n">
        <v>17.417</v>
      </c>
      <c r="E69" s="0" t="n">
        <v>1</v>
      </c>
      <c r="F69" s="0" t="s">
        <v>105</v>
      </c>
      <c r="G69" s="0" t="n">
        <v>16</v>
      </c>
      <c r="H69" s="0" t="n">
        <v>317.91</v>
      </c>
      <c r="I69" s="0" t="s">
        <v>218</v>
      </c>
      <c r="J69" s="0" t="s">
        <v>219</v>
      </c>
      <c r="K69" s="0" t="s">
        <v>34</v>
      </c>
    </row>
    <row r="70" customFormat="false" ht="15" hidden="false" customHeight="false" outlineLevel="0" collapsed="false">
      <c r="A70" s="5" t="s">
        <v>220</v>
      </c>
    </row>
    <row r="71" customFormat="false" ht="15" hidden="false" customHeight="false" outlineLevel="0" collapsed="false">
      <c r="A71" s="0" t="s">
        <v>221</v>
      </c>
      <c r="B71" s="0" t="s">
        <v>222</v>
      </c>
      <c r="C71" s="0" t="n">
        <v>29.93</v>
      </c>
      <c r="D71" s="0" t="n">
        <v>4.292</v>
      </c>
      <c r="E71" s="0" t="n">
        <v>2</v>
      </c>
      <c r="F71" s="0" t="s">
        <v>105</v>
      </c>
      <c r="G71" s="0" t="n">
        <v>16</v>
      </c>
      <c r="H71" s="0" t="n">
        <v>256.92</v>
      </c>
      <c r="I71" s="0" t="s">
        <v>223</v>
      </c>
      <c r="J71" s="0" t="s">
        <v>224</v>
      </c>
      <c r="K71" s="0" t="s">
        <v>34</v>
      </c>
    </row>
    <row r="72" customFormat="false" ht="15" hidden="false" customHeight="false" outlineLevel="0" collapsed="false">
      <c r="A72" s="0" t="s">
        <v>225</v>
      </c>
      <c r="B72" s="0" t="s">
        <v>226</v>
      </c>
      <c r="C72" s="0" t="n">
        <v>17.68</v>
      </c>
      <c r="D72" s="0" t="n">
        <v>4.292</v>
      </c>
      <c r="E72" s="0" t="n">
        <v>2</v>
      </c>
      <c r="F72" s="0" t="s">
        <v>105</v>
      </c>
      <c r="G72" s="0" t="n">
        <v>16</v>
      </c>
      <c r="H72" s="0" t="n">
        <v>151.77</v>
      </c>
      <c r="I72" s="0" t="s">
        <v>227</v>
      </c>
      <c r="J72" s="0" t="s">
        <v>224</v>
      </c>
      <c r="K72" s="0" t="s">
        <v>34</v>
      </c>
    </row>
    <row r="73" customFormat="false" ht="15" hidden="false" customHeight="false" outlineLevel="0" collapsed="false">
      <c r="A73" s="5" t="s">
        <v>228</v>
      </c>
    </row>
    <row r="74" customFormat="false" ht="15" hidden="false" customHeight="false" outlineLevel="0" collapsed="false">
      <c r="A74" s="0" t="s">
        <v>229</v>
      </c>
      <c r="B74" s="0" t="s">
        <v>230</v>
      </c>
      <c r="C74" s="0" t="n">
        <v>7.5</v>
      </c>
      <c r="D74" s="0" t="n">
        <v>7.333</v>
      </c>
      <c r="E74" s="0" t="n">
        <v>4</v>
      </c>
      <c r="F74" s="0" t="s">
        <v>31</v>
      </c>
      <c r="G74" s="0" t="n">
        <v>16</v>
      </c>
      <c r="H74" s="0" t="n">
        <v>227.64</v>
      </c>
      <c r="I74" s="0" t="s">
        <v>231</v>
      </c>
      <c r="J74" s="0" t="s">
        <v>232</v>
      </c>
      <c r="K74" s="0" t="s">
        <v>34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7.5</v>
      </c>
      <c r="D75" s="0" t="n">
        <v>7.333</v>
      </c>
      <c r="E75" s="0" t="n">
        <v>4</v>
      </c>
      <c r="F75" s="0" t="s">
        <v>31</v>
      </c>
      <c r="G75" s="0" t="n">
        <v>16</v>
      </c>
      <c r="H75" s="0" t="n">
        <v>227.64</v>
      </c>
      <c r="I75" s="0" t="s">
        <v>235</v>
      </c>
      <c r="J75" s="0" t="s">
        <v>232</v>
      </c>
      <c r="K75" s="0" t="s">
        <v>34</v>
      </c>
    </row>
    <row r="76" customFormat="false" ht="15" hidden="false" customHeight="false" outlineLevel="0" collapsed="false">
      <c r="A76" s="0" t="s">
        <v>236</v>
      </c>
      <c r="B76" s="0" t="s">
        <v>237</v>
      </c>
      <c r="C76" s="0" t="n">
        <v>7.5</v>
      </c>
      <c r="D76" s="0" t="n">
        <v>7.333</v>
      </c>
      <c r="E76" s="0" t="n">
        <v>4</v>
      </c>
      <c r="F76" s="0" t="s">
        <v>31</v>
      </c>
      <c r="G76" s="0" t="n">
        <v>16</v>
      </c>
      <c r="H76" s="0" t="n">
        <v>227.64</v>
      </c>
      <c r="I76" s="0" t="s">
        <v>238</v>
      </c>
      <c r="J76" s="0" t="s">
        <v>232</v>
      </c>
      <c r="K76" s="0" t="s">
        <v>34</v>
      </c>
    </row>
    <row r="77" customFormat="false" ht="15" hidden="false" customHeight="false" outlineLevel="0" collapsed="false">
      <c r="A77" s="0" t="s">
        <v>239</v>
      </c>
      <c r="B77" s="0" t="s">
        <v>240</v>
      </c>
      <c r="C77" s="0" t="n">
        <v>7.5</v>
      </c>
      <c r="D77" s="0" t="n">
        <v>7.333</v>
      </c>
      <c r="E77" s="0" t="n">
        <v>4</v>
      </c>
      <c r="F77" s="0" t="s">
        <v>31</v>
      </c>
      <c r="G77" s="0" t="n">
        <v>16</v>
      </c>
      <c r="H77" s="0" t="n">
        <v>227.64</v>
      </c>
      <c r="I77" s="0" t="s">
        <v>241</v>
      </c>
      <c r="J77" s="0" t="s">
        <v>232</v>
      </c>
      <c r="K77" s="0" t="s">
        <v>34</v>
      </c>
    </row>
    <row r="78" customFormat="false" ht="15" hidden="false" customHeight="false" outlineLevel="0" collapsed="false">
      <c r="A78" s="0" t="s">
        <v>242</v>
      </c>
      <c r="B78" s="0" t="s">
        <v>243</v>
      </c>
      <c r="C78" s="0" t="n">
        <v>7.5</v>
      </c>
      <c r="D78" s="0" t="n">
        <v>7.333</v>
      </c>
      <c r="E78" s="0" t="n">
        <v>4</v>
      </c>
      <c r="F78" s="0" t="s">
        <v>31</v>
      </c>
      <c r="G78" s="0" t="n">
        <v>16</v>
      </c>
      <c r="H78" s="0" t="n">
        <v>227.64</v>
      </c>
      <c r="I78" s="0" t="s">
        <v>244</v>
      </c>
      <c r="J78" s="0" t="s">
        <v>232</v>
      </c>
      <c r="K78" s="0" t="s">
        <v>34</v>
      </c>
    </row>
    <row r="79" customFormat="false" ht="15" hidden="false" customHeight="false" outlineLevel="0" collapsed="false">
      <c r="A79" s="0" t="s">
        <v>245</v>
      </c>
      <c r="B79" s="0" t="s">
        <v>246</v>
      </c>
      <c r="C79" s="0" t="n">
        <v>7.5</v>
      </c>
      <c r="D79" s="0" t="n">
        <v>7.333</v>
      </c>
      <c r="E79" s="0" t="n">
        <v>4</v>
      </c>
      <c r="F79" s="0" t="s">
        <v>31</v>
      </c>
      <c r="G79" s="0" t="n">
        <v>16</v>
      </c>
      <c r="H79" s="0" t="n">
        <v>227.64</v>
      </c>
      <c r="I79" s="0" t="s">
        <v>247</v>
      </c>
      <c r="J79" s="0" t="s">
        <v>232</v>
      </c>
      <c r="K79" s="0" t="s">
        <v>34</v>
      </c>
    </row>
    <row r="80" customFormat="false" ht="15" hidden="false" customHeight="false" outlineLevel="0" collapsed="false">
      <c r="A80" s="0" t="s">
        <v>248</v>
      </c>
      <c r="B80" s="0" t="s">
        <v>249</v>
      </c>
      <c r="C80" s="0" t="n">
        <v>15.633</v>
      </c>
      <c r="D80" s="0" t="n">
        <v>5.375</v>
      </c>
      <c r="E80" s="0" t="n">
        <v>1</v>
      </c>
      <c r="F80" s="0" t="s">
        <v>81</v>
      </c>
      <c r="G80" s="0" t="n">
        <v>16</v>
      </c>
      <c r="H80" s="0" t="n">
        <v>7.82</v>
      </c>
      <c r="I80" s="0" t="s">
        <v>250</v>
      </c>
      <c r="J80" s="0" t="s">
        <v>251</v>
      </c>
      <c r="K80" s="0" t="s">
        <v>34</v>
      </c>
    </row>
    <row r="81" customFormat="false" ht="15" hidden="false" customHeight="false" outlineLevel="0" collapsed="false">
      <c r="A81" s="0" t="s">
        <v>252</v>
      </c>
      <c r="B81" s="0" t="s">
        <v>253</v>
      </c>
      <c r="C81" s="0" t="n">
        <v>13.333</v>
      </c>
      <c r="D81" s="0" t="n">
        <v>5.375</v>
      </c>
      <c r="E81" s="0" t="n">
        <v>1</v>
      </c>
      <c r="F81" s="0" t="s">
        <v>81</v>
      </c>
      <c r="G81" s="0" t="n">
        <v>16</v>
      </c>
      <c r="H81" s="0" t="n">
        <v>33.33</v>
      </c>
      <c r="I81" s="0" t="s">
        <v>254</v>
      </c>
      <c r="J81" s="0" t="s">
        <v>251</v>
      </c>
      <c r="K81" s="0" t="s">
        <v>34</v>
      </c>
    </row>
    <row r="82" customFormat="false" ht="15" hidden="false" customHeight="false" outlineLevel="0" collapsed="false">
      <c r="A82" s="0" t="s">
        <v>255</v>
      </c>
      <c r="B82" s="0" t="s">
        <v>256</v>
      </c>
      <c r="C82" s="0" t="n">
        <v>6.278</v>
      </c>
      <c r="D82" s="0" t="n">
        <v>5.375</v>
      </c>
      <c r="E82" s="0" t="n">
        <v>1</v>
      </c>
      <c r="F82" s="0" t="s">
        <v>81</v>
      </c>
      <c r="G82" s="0" t="n">
        <v>16</v>
      </c>
      <c r="H82" s="0" t="n">
        <v>15.69</v>
      </c>
      <c r="I82" s="0" t="s">
        <v>257</v>
      </c>
      <c r="J82" s="0" t="s">
        <v>251</v>
      </c>
      <c r="K82" s="0" t="s">
        <v>34</v>
      </c>
    </row>
    <row r="83" customFormat="false" ht="15" hidden="false" customHeight="false" outlineLevel="0" collapsed="false">
      <c r="A83" s="5" t="s">
        <v>258</v>
      </c>
    </row>
    <row r="84" customFormat="false" ht="15" hidden="false" customHeight="false" outlineLevel="0" collapsed="false">
      <c r="A84" s="0" t="s">
        <v>259</v>
      </c>
      <c r="B84" s="0" t="s">
        <v>260</v>
      </c>
      <c r="C84" s="0" t="n">
        <v>13.42</v>
      </c>
      <c r="D84" s="0" t="n">
        <v>10.5</v>
      </c>
      <c r="E84" s="0" t="n">
        <v>1</v>
      </c>
      <c r="F84" s="0" t="s">
        <v>81</v>
      </c>
      <c r="G84" s="0" t="n">
        <v>16</v>
      </c>
      <c r="H84" s="0" t="n">
        <v>140.91</v>
      </c>
      <c r="I84" s="0" t="s">
        <v>261</v>
      </c>
      <c r="J84" s="0" t="s">
        <v>262</v>
      </c>
      <c r="K84" s="0" t="s">
        <v>34</v>
      </c>
    </row>
    <row r="85" customFormat="false" ht="15" hidden="false" customHeight="false" outlineLevel="0" collapsed="false">
      <c r="A85" s="5" t="s">
        <v>263</v>
      </c>
    </row>
    <row r="86" customFormat="false" ht="15" hidden="false" customHeight="false" outlineLevel="0" collapsed="false">
      <c r="A86" s="0" t="s">
        <v>264</v>
      </c>
      <c r="B86" s="0" t="s">
        <v>265</v>
      </c>
      <c r="C86" s="0" t="n">
        <v>0</v>
      </c>
      <c r="D86" s="0" t="n">
        <v>0</v>
      </c>
      <c r="E86" s="0" t="n">
        <v>1</v>
      </c>
      <c r="F86" s="0" t="s">
        <v>266</v>
      </c>
      <c r="G86" s="0" t="n">
        <v>0</v>
      </c>
      <c r="H86" s="0" t="n">
        <v>112.9</v>
      </c>
      <c r="I86" s="0" t="s">
        <v>267</v>
      </c>
      <c r="J86" s="0" t="s">
        <v>268</v>
      </c>
      <c r="K86" s="0" t="s">
        <v>34</v>
      </c>
    </row>
    <row r="87" customFormat="false" ht="15" hidden="false" customHeight="false" outlineLevel="0" collapsed="false">
      <c r="A87" s="0" t="s">
        <v>269</v>
      </c>
      <c r="B87" s="0" t="s">
        <v>270</v>
      </c>
      <c r="C87" s="0" t="n">
        <v>0</v>
      </c>
      <c r="D87" s="0" t="n">
        <v>0</v>
      </c>
      <c r="E87" s="0" t="n">
        <v>1</v>
      </c>
      <c r="F87" s="0" t="s">
        <v>266</v>
      </c>
      <c r="G87" s="0" t="n">
        <v>0</v>
      </c>
      <c r="H87" s="0" t="n">
        <v>158</v>
      </c>
      <c r="I87" s="0" t="s">
        <v>271</v>
      </c>
      <c r="J87" s="0" t="s">
        <v>268</v>
      </c>
      <c r="K87" s="0" t="s">
        <v>34</v>
      </c>
    </row>
    <row r="88" customFormat="false" ht="15" hidden="false" customHeight="false" outlineLevel="0" collapsed="false">
      <c r="A88" s="0" t="s">
        <v>272</v>
      </c>
      <c r="B88" s="0" t="s">
        <v>273</v>
      </c>
      <c r="C88" s="0" t="n">
        <v>0</v>
      </c>
      <c r="D88" s="0" t="n">
        <v>0</v>
      </c>
      <c r="E88" s="0" t="n">
        <v>1</v>
      </c>
      <c r="F88" s="0" t="s">
        <v>266</v>
      </c>
      <c r="G88" s="0" t="n">
        <v>0</v>
      </c>
      <c r="H88" s="0" t="n">
        <v>510.8</v>
      </c>
      <c r="I88" s="0" t="s">
        <v>274</v>
      </c>
      <c r="J88" s="0" t="s">
        <v>268</v>
      </c>
      <c r="K88" s="0" t="s">
        <v>34</v>
      </c>
    </row>
    <row r="89" customFormat="false" ht="15" hidden="false" customHeight="false" outlineLevel="0" collapsed="false">
      <c r="A89" s="0" t="s">
        <v>275</v>
      </c>
      <c r="B89" s="0" t="s">
        <v>276</v>
      </c>
      <c r="C89" s="0" t="n">
        <v>0</v>
      </c>
      <c r="D89" s="0" t="n">
        <v>0</v>
      </c>
      <c r="E89" s="0" t="n">
        <v>1</v>
      </c>
      <c r="F89" s="0" t="s">
        <v>266</v>
      </c>
      <c r="G89" s="0" t="n">
        <v>0</v>
      </c>
      <c r="H89" s="0" t="n">
        <v>153.2</v>
      </c>
      <c r="I89" s="0" t="s">
        <v>277</v>
      </c>
      <c r="J89" s="0" t="s">
        <v>268</v>
      </c>
      <c r="K89" s="0" t="s">
        <v>34</v>
      </c>
    </row>
    <row r="90" customFormat="false" ht="15" hidden="false" customHeight="false" outlineLevel="0" collapsed="false">
      <c r="A90" s="0" t="s">
        <v>278</v>
      </c>
      <c r="B90" s="0" t="s">
        <v>279</v>
      </c>
      <c r="C90" s="0" t="n">
        <v>0</v>
      </c>
      <c r="D90" s="0" t="n">
        <v>0</v>
      </c>
      <c r="E90" s="0" t="n">
        <v>1</v>
      </c>
      <c r="F90" s="0" t="s">
        <v>266</v>
      </c>
      <c r="G90" s="0" t="n">
        <v>0</v>
      </c>
      <c r="H90" s="0" t="n">
        <v>41</v>
      </c>
      <c r="I90" s="0" t="s">
        <v>280</v>
      </c>
      <c r="J90" s="0" t="s">
        <v>268</v>
      </c>
      <c r="K90" s="0" t="s">
        <v>34</v>
      </c>
    </row>
    <row r="91" customFormat="false" ht="15" hidden="false" customHeight="false" outlineLevel="0" collapsed="false">
      <c r="A91" s="5" t="s">
        <v>281</v>
      </c>
    </row>
    <row r="92" customFormat="false" ht="15" hidden="false" customHeight="false" outlineLevel="0" collapsed="false">
      <c r="A92" s="0" t="s">
        <v>282</v>
      </c>
      <c r="B92" s="0" t="s">
        <v>283</v>
      </c>
      <c r="C92" s="0" t="n">
        <v>0</v>
      </c>
      <c r="D92" s="0" t="n">
        <v>0</v>
      </c>
      <c r="E92" s="0" t="n">
        <v>1</v>
      </c>
      <c r="F92" s="0" t="s">
        <v>81</v>
      </c>
      <c r="G92" s="0" t="n">
        <v>16</v>
      </c>
      <c r="H92" s="0" t="n">
        <v>159.66</v>
      </c>
      <c r="I92" s="0" t="s">
        <v>284</v>
      </c>
      <c r="J92" s="0" t="s">
        <v>285</v>
      </c>
      <c r="K92" s="0" t="s">
        <v>34</v>
      </c>
    </row>
    <row r="93" customFormat="false" ht="15" hidden="false" customHeight="false" outlineLevel="0" collapsed="false">
      <c r="A93" s="0" t="s">
        <v>286</v>
      </c>
      <c r="B93" s="0" t="s">
        <v>287</v>
      </c>
      <c r="C93" s="0" t="n">
        <v>0</v>
      </c>
      <c r="D93" s="0" t="n">
        <v>0</v>
      </c>
      <c r="E93" s="0" t="n">
        <v>1</v>
      </c>
      <c r="F93" s="0" t="s">
        <v>81</v>
      </c>
      <c r="G93" s="0" t="n">
        <v>16</v>
      </c>
      <c r="H93" s="0" t="n">
        <v>53.05</v>
      </c>
      <c r="I93" s="0" t="s">
        <v>288</v>
      </c>
      <c r="J93" s="0" t="s">
        <v>285</v>
      </c>
      <c r="K93" s="0" t="s">
        <v>34</v>
      </c>
    </row>
    <row r="94" customFormat="false" ht="15" hidden="false" customHeight="false" outlineLevel="0" collapsed="false">
      <c r="A94" s="0" t="s">
        <v>289</v>
      </c>
      <c r="B94" s="0" t="s">
        <v>290</v>
      </c>
      <c r="C94" s="0" t="n">
        <v>0</v>
      </c>
      <c r="D94" s="0" t="n">
        <v>0</v>
      </c>
      <c r="E94" s="0" t="n">
        <v>1</v>
      </c>
      <c r="F94" s="0" t="s">
        <v>81</v>
      </c>
      <c r="G94" s="0" t="n">
        <v>16</v>
      </c>
      <c r="H94" s="0" t="n">
        <v>127.12</v>
      </c>
      <c r="I94" s="0" t="s">
        <v>291</v>
      </c>
      <c r="J94" s="0" t="s">
        <v>285</v>
      </c>
      <c r="K94" s="0" t="s">
        <v>34</v>
      </c>
    </row>
    <row r="95" customFormat="false" ht="15" hidden="false" customHeight="false" outlineLevel="0" collapsed="false">
      <c r="A95" s="0" t="s">
        <v>292</v>
      </c>
      <c r="B95" s="0" t="s">
        <v>293</v>
      </c>
      <c r="C95" s="0" t="n">
        <v>0</v>
      </c>
      <c r="D95" s="0" t="n">
        <v>0</v>
      </c>
      <c r="E95" s="0" t="n">
        <v>1</v>
      </c>
      <c r="F95" s="0" t="s">
        <v>81</v>
      </c>
      <c r="G95" s="0" t="n">
        <v>16</v>
      </c>
      <c r="H95" s="0" t="n">
        <v>563.43</v>
      </c>
      <c r="I95" s="0" t="s">
        <v>294</v>
      </c>
      <c r="J95" s="0" t="s">
        <v>285</v>
      </c>
      <c r="K95" s="0" t="s">
        <v>34</v>
      </c>
    </row>
    <row r="96" customFormat="false" ht="15" hidden="false" customHeight="false" outlineLevel="0" collapsed="false">
      <c r="A96" s="0" t="s">
        <v>295</v>
      </c>
      <c r="B96" s="0" t="s">
        <v>296</v>
      </c>
      <c r="C96" s="0" t="n">
        <v>0</v>
      </c>
      <c r="D96" s="0" t="n">
        <v>0</v>
      </c>
      <c r="E96" s="0" t="n">
        <v>1</v>
      </c>
      <c r="F96" s="0" t="s">
        <v>81</v>
      </c>
      <c r="G96" s="0" t="n">
        <v>16</v>
      </c>
      <c r="H96" s="0" t="n">
        <v>472.89</v>
      </c>
      <c r="I96" s="0" t="s">
        <v>297</v>
      </c>
      <c r="J96" s="0" t="s">
        <v>285</v>
      </c>
      <c r="K96" s="0" t="s">
        <v>34</v>
      </c>
    </row>
    <row r="97" customFormat="false" ht="15" hidden="false" customHeight="false" outlineLevel="0" collapsed="false">
      <c r="A97" s="0" t="s">
        <v>298</v>
      </c>
      <c r="B97" s="0" t="s">
        <v>299</v>
      </c>
      <c r="C97" s="0" t="n">
        <v>0</v>
      </c>
      <c r="D97" s="0" t="n">
        <v>0</v>
      </c>
      <c r="E97" s="0" t="n">
        <v>1</v>
      </c>
      <c r="F97" s="0" t="s">
        <v>81</v>
      </c>
      <c r="G97" s="0" t="n">
        <v>16</v>
      </c>
      <c r="H97" s="0" t="n">
        <v>54.77</v>
      </c>
      <c r="I97" s="0" t="s">
        <v>300</v>
      </c>
      <c r="J97" s="0" t="s">
        <v>285</v>
      </c>
      <c r="K97" s="0" t="s">
        <v>34</v>
      </c>
    </row>
    <row r="98" customFormat="false" ht="15" hidden="false" customHeight="false" outlineLevel="0" collapsed="false">
      <c r="A98" s="5" t="s">
        <v>301</v>
      </c>
    </row>
    <row r="99" customFormat="false" ht="15" hidden="false" customHeight="false" outlineLevel="0" collapsed="false">
      <c r="A99" s="0" t="s">
        <v>302</v>
      </c>
      <c r="B99" s="0" t="s">
        <v>303</v>
      </c>
      <c r="C99" s="0" t="n">
        <v>240.76</v>
      </c>
      <c r="D99" s="0" t="n">
        <v>1.864</v>
      </c>
      <c r="E99" s="0" t="n">
        <v>1</v>
      </c>
      <c r="F99" s="0" t="s">
        <v>81</v>
      </c>
      <c r="G99" s="0" t="n">
        <v>16</v>
      </c>
      <c r="H99" s="0" t="n">
        <v>448.78</v>
      </c>
      <c r="I99" s="0" t="s">
        <v>304</v>
      </c>
      <c r="J99" s="0" t="s">
        <v>305</v>
      </c>
      <c r="K99" s="0" t="s">
        <v>34</v>
      </c>
    </row>
    <row r="100" customFormat="false" ht="15" hidden="false" customHeight="false" outlineLevel="0" collapsed="false">
      <c r="A100" s="5" t="s">
        <v>306</v>
      </c>
    </row>
    <row r="101" customFormat="false" ht="15" hidden="false" customHeight="false" outlineLevel="0" collapsed="false">
      <c r="A101" s="0" t="s">
        <v>307</v>
      </c>
      <c r="B101" s="0" t="s">
        <v>308</v>
      </c>
      <c r="C101" s="0" t="n">
        <v>19.32</v>
      </c>
      <c r="D101" s="0" t="n">
        <v>10.5</v>
      </c>
      <c r="E101" s="0" t="n">
        <v>1</v>
      </c>
      <c r="F101" s="0" t="s">
        <v>81</v>
      </c>
      <c r="G101" s="0" t="n">
        <v>16</v>
      </c>
      <c r="H101" s="0" t="n">
        <v>255.36</v>
      </c>
      <c r="I101" s="0" t="s">
        <v>309</v>
      </c>
      <c r="J101" s="0" t="s">
        <v>310</v>
      </c>
      <c r="K101" s="0" t="s">
        <v>34</v>
      </c>
    </row>
    <row r="102" customFormat="false" ht="15" hidden="false" customHeight="false" outlineLevel="0" collapsed="false">
      <c r="A102" s="5" t="s">
        <v>311</v>
      </c>
    </row>
    <row r="103" customFormat="false" ht="15" hidden="false" customHeight="false" outlineLevel="0" collapsed="false">
      <c r="A103" s="0" t="s">
        <v>312</v>
      </c>
      <c r="B103" s="0" t="s">
        <v>313</v>
      </c>
      <c r="C103" s="0" t="n">
        <v>51.7</v>
      </c>
      <c r="D103" s="0" t="n">
        <v>3.3</v>
      </c>
      <c r="E103" s="0" t="n">
        <v>1</v>
      </c>
      <c r="F103" s="0" t="s">
        <v>81</v>
      </c>
      <c r="G103" s="0" t="n">
        <v>16</v>
      </c>
      <c r="H103" s="0" t="n">
        <v>230</v>
      </c>
      <c r="I103" s="0" t="s">
        <v>314</v>
      </c>
      <c r="J103" s="0" t="s">
        <v>315</v>
      </c>
      <c r="K103" s="0" t="s">
        <v>34</v>
      </c>
    </row>
    <row r="104" customFormat="false" ht="15" hidden="false" customHeight="false" outlineLevel="0" collapsed="false">
      <c r="A104" s="6" t="s">
        <v>316</v>
      </c>
      <c r="C104" s="3" t="n">
        <f aca="false">SUM(C5:C103)</f>
        <v>1084.705</v>
      </c>
      <c r="H104" s="3" t="n">
        <f aca="false">SUM(H5:H103)</f>
        <v>20206.84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29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0" t="s">
        <v>318</v>
      </c>
    </row>
    <row r="3" customFormat="false" ht="15" hidden="false" customHeight="false" outlineLevel="0" collapsed="false">
      <c r="A3" s="4" t="s">
        <v>319</v>
      </c>
      <c r="B3" s="4" t="s">
        <v>320</v>
      </c>
      <c r="C3" s="4" t="s">
        <v>321</v>
      </c>
      <c r="D3" s="4" t="s">
        <v>322</v>
      </c>
      <c r="E3" s="4" t="s">
        <v>323</v>
      </c>
      <c r="F3" s="4" t="s">
        <v>324</v>
      </c>
      <c r="G3" s="4" t="s">
        <v>325</v>
      </c>
      <c r="H3" s="4" t="s">
        <v>326</v>
      </c>
      <c r="I3" s="4" t="s">
        <v>327</v>
      </c>
    </row>
    <row r="4" customFormat="false" ht="15" hidden="false" customHeight="false" outlineLevel="0" collapsed="false">
      <c r="A4" s="0" t="s">
        <v>328</v>
      </c>
      <c r="B4" s="0" t="s">
        <v>329</v>
      </c>
      <c r="C4" s="0" t="n">
        <v>296.44</v>
      </c>
      <c r="D4" s="0" t="n">
        <f aca="false">Inputs!$B$4</f>
        <v>0.15</v>
      </c>
      <c r="E4" s="0" t="n">
        <f aca="false">C4*D4</f>
        <v>44.466</v>
      </c>
      <c r="F4" s="0" t="n">
        <f aca="false">C4+E4</f>
        <v>340.906</v>
      </c>
      <c r="G4" s="0" t="s">
        <v>330</v>
      </c>
      <c r="H4" s="0" t="n">
        <f aca="false">ROUNDUP(F4/10,0)</f>
        <v>35</v>
      </c>
      <c r="I4" s="0" t="s">
        <v>331</v>
      </c>
    </row>
    <row r="5" customFormat="false" ht="15" hidden="false" customHeight="false" outlineLevel="0" collapsed="false">
      <c r="A5" s="0" t="s">
        <v>332</v>
      </c>
      <c r="B5" s="0" t="s">
        <v>329</v>
      </c>
      <c r="C5" s="0" t="n">
        <v>4582.72</v>
      </c>
      <c r="D5" s="0" t="n">
        <f aca="false">Inputs!$B$4</f>
        <v>0.15</v>
      </c>
      <c r="E5" s="0" t="n">
        <f aca="false">C5*D5</f>
        <v>687.408</v>
      </c>
      <c r="F5" s="0" t="n">
        <f aca="false">C5+E5</f>
        <v>5270.128</v>
      </c>
      <c r="G5" s="0" t="s">
        <v>333</v>
      </c>
      <c r="H5" s="0" t="n">
        <f aca="false">ROUNDUP(F5/20,0)</f>
        <v>264</v>
      </c>
      <c r="I5" s="0" t="s">
        <v>334</v>
      </c>
    </row>
    <row r="6" customFormat="false" ht="15" hidden="false" customHeight="false" outlineLevel="0" collapsed="false">
      <c r="A6" s="0" t="s">
        <v>335</v>
      </c>
      <c r="B6" s="0" t="s">
        <v>329</v>
      </c>
      <c r="C6" s="0" t="n">
        <v>90</v>
      </c>
      <c r="D6" s="0" t="n">
        <f aca="false">Inputs!$B$4</f>
        <v>0.15</v>
      </c>
      <c r="E6" s="0" t="n">
        <f aca="false">C6*D6</f>
        <v>13.5</v>
      </c>
      <c r="F6" s="0" t="n">
        <f aca="false">C6+E6</f>
        <v>103.5</v>
      </c>
      <c r="G6" s="0" t="s">
        <v>330</v>
      </c>
      <c r="H6" s="0" t="n">
        <f aca="false">ROUNDUP(F6/10,0)</f>
        <v>11</v>
      </c>
      <c r="I6" s="0" t="s">
        <v>336</v>
      </c>
    </row>
    <row r="7" customFormat="false" ht="15" hidden="false" customHeight="false" outlineLevel="0" collapsed="false">
      <c r="A7" s="0" t="s">
        <v>337</v>
      </c>
      <c r="B7" s="0" t="s">
        <v>329</v>
      </c>
      <c r="C7" s="0" t="n">
        <v>206.44</v>
      </c>
      <c r="D7" s="0" t="n">
        <f aca="false">Inputs!$B$4</f>
        <v>0.15</v>
      </c>
      <c r="E7" s="0" t="n">
        <f aca="false">C7*D7</f>
        <v>30.966</v>
      </c>
      <c r="F7" s="0" t="n">
        <f aca="false">C7+E7</f>
        <v>237.406</v>
      </c>
      <c r="G7" s="0" t="s">
        <v>330</v>
      </c>
      <c r="H7" s="0" t="n">
        <f aca="false">ROUNDUP(F7/10,0)</f>
        <v>24</v>
      </c>
      <c r="I7" s="0" t="s">
        <v>338</v>
      </c>
    </row>
    <row r="8" customFormat="false" ht="15" hidden="false" customHeight="false" outlineLevel="0" collapsed="false">
      <c r="A8" s="0" t="s">
        <v>339</v>
      </c>
      <c r="B8" s="0" t="s">
        <v>329</v>
      </c>
      <c r="C8" s="0" t="n">
        <v>13.5</v>
      </c>
      <c r="D8" s="0" t="n">
        <f aca="false">Inputs!$B$4</f>
        <v>0.15</v>
      </c>
      <c r="E8" s="0" t="n">
        <f aca="false">C8*D8</f>
        <v>2.025</v>
      </c>
      <c r="F8" s="0" t="n">
        <f aca="false">C8+E8</f>
        <v>15.525</v>
      </c>
      <c r="G8" s="0" t="s">
        <v>330</v>
      </c>
      <c r="H8" s="0" t="n">
        <f aca="false">ROUNDUP(F8/10,0)</f>
        <v>2</v>
      </c>
      <c r="I8" s="0" t="s">
        <v>340</v>
      </c>
    </row>
    <row r="9" customFormat="false" ht="15" hidden="false" customHeight="false" outlineLevel="0" collapsed="false">
      <c r="A9" s="0" t="s">
        <v>341</v>
      </c>
      <c r="B9" s="0" t="s">
        <v>329</v>
      </c>
      <c r="C9" s="0" t="n">
        <v>47</v>
      </c>
      <c r="D9" s="0" t="n">
        <f aca="false">Inputs!$B$4</f>
        <v>0.15</v>
      </c>
      <c r="E9" s="0" t="n">
        <f aca="false">C9*D9</f>
        <v>7.05</v>
      </c>
      <c r="F9" s="0" t="n">
        <f aca="false">C9+E9</f>
        <v>54.05</v>
      </c>
      <c r="G9" s="0" t="s">
        <v>333</v>
      </c>
      <c r="H9" s="0" t="n">
        <f aca="false">ROUNDUP(F9/20,0)</f>
        <v>3</v>
      </c>
      <c r="I9" s="0" t="s">
        <v>342</v>
      </c>
    </row>
    <row r="10" customFormat="false" ht="15" hidden="false" customHeight="false" outlineLevel="0" collapsed="false">
      <c r="A10" s="0" t="s">
        <v>343</v>
      </c>
      <c r="B10" s="0" t="s">
        <v>329</v>
      </c>
      <c r="C10" s="0" t="n">
        <v>13.5</v>
      </c>
      <c r="D10" s="0" t="n">
        <f aca="false">Inputs!$B$4</f>
        <v>0.15</v>
      </c>
      <c r="E10" s="0" t="n">
        <f aca="false">C10*D10</f>
        <v>2.025</v>
      </c>
      <c r="F10" s="0" t="n">
        <f aca="false">C10+E10</f>
        <v>15.525</v>
      </c>
      <c r="G10" s="0" t="s">
        <v>330</v>
      </c>
      <c r="H10" s="0" t="n">
        <f aca="false">ROUNDUP(F10/10,0)</f>
        <v>2</v>
      </c>
      <c r="I10" s="0" t="s">
        <v>340</v>
      </c>
    </row>
    <row r="11" customFormat="false" ht="15" hidden="false" customHeight="false" outlineLevel="0" collapsed="false">
      <c r="A11" s="0" t="s">
        <v>344</v>
      </c>
      <c r="B11" s="0" t="s">
        <v>329</v>
      </c>
      <c r="C11" s="0" t="n">
        <v>296.5</v>
      </c>
      <c r="D11" s="0" t="n">
        <f aca="false">Inputs!$B$4</f>
        <v>0.15</v>
      </c>
      <c r="E11" s="0" t="n">
        <f aca="false">C11*D11</f>
        <v>44.475</v>
      </c>
      <c r="F11" s="0" t="n">
        <f aca="false">C11+E11</f>
        <v>340.975</v>
      </c>
      <c r="G11" s="0" t="s">
        <v>330</v>
      </c>
      <c r="H11" s="0" t="n">
        <f aca="false">ROUNDUP(F11/10,0)</f>
        <v>35</v>
      </c>
      <c r="I11" s="0" t="s">
        <v>345</v>
      </c>
    </row>
    <row r="12" customFormat="false" ht="15" hidden="false" customHeight="false" outlineLevel="0" collapsed="false">
      <c r="A12" s="0" t="s">
        <v>346</v>
      </c>
      <c r="B12" s="0" t="s">
        <v>329</v>
      </c>
      <c r="C12" s="0" t="n">
        <v>207.39</v>
      </c>
      <c r="D12" s="0" t="n">
        <f aca="false">Inputs!$B$4</f>
        <v>0.15</v>
      </c>
      <c r="E12" s="0" t="n">
        <f aca="false">C12*D12</f>
        <v>31.1085</v>
      </c>
      <c r="F12" s="0" t="n">
        <f aca="false">C12+E12</f>
        <v>238.4985</v>
      </c>
      <c r="G12" s="0" t="s">
        <v>333</v>
      </c>
      <c r="H12" s="0" t="n">
        <f aca="false">ROUNDUP(F12/20,0)</f>
        <v>12</v>
      </c>
      <c r="I12" s="0" t="s">
        <v>347</v>
      </c>
    </row>
    <row r="13" customFormat="false" ht="15" hidden="false" customHeight="false" outlineLevel="0" collapsed="false">
      <c r="A13" s="0" t="s">
        <v>348</v>
      </c>
      <c r="B13" s="0" t="s">
        <v>329</v>
      </c>
      <c r="C13" s="0" t="n">
        <v>168</v>
      </c>
      <c r="D13" s="0" t="n">
        <f aca="false">Inputs!$B$4</f>
        <v>0.15</v>
      </c>
      <c r="E13" s="0" t="n">
        <f aca="false">C13*D13</f>
        <v>25.2</v>
      </c>
      <c r="F13" s="0" t="n">
        <f aca="false">C13+E13</f>
        <v>193.2</v>
      </c>
      <c r="G13" s="0" t="s">
        <v>333</v>
      </c>
      <c r="H13" s="0" t="n">
        <f aca="false">ROUNDUP(F13/20,0)</f>
        <v>10</v>
      </c>
      <c r="I13" s="0" t="s">
        <v>349</v>
      </c>
    </row>
    <row r="14" customFormat="false" ht="15" hidden="false" customHeight="false" outlineLevel="0" collapsed="false">
      <c r="A14" s="0" t="s">
        <v>350</v>
      </c>
      <c r="B14" s="0" t="s">
        <v>329</v>
      </c>
      <c r="C14" s="0" t="n">
        <v>339.25</v>
      </c>
      <c r="D14" s="0" t="n">
        <f aca="false">Inputs!$B$4</f>
        <v>0.15</v>
      </c>
      <c r="E14" s="0" t="n">
        <f aca="false">C14*D14</f>
        <v>50.8875</v>
      </c>
      <c r="F14" s="0" t="n">
        <f aca="false">C14+E14</f>
        <v>390.1375</v>
      </c>
      <c r="G14" s="0" t="s">
        <v>333</v>
      </c>
      <c r="H14" s="0" t="n">
        <f aca="false">ROUNDUP(F14/20,0)</f>
        <v>20</v>
      </c>
      <c r="I14" s="0" t="s">
        <v>351</v>
      </c>
    </row>
    <row r="15" customFormat="false" ht="15" hidden="false" customHeight="false" outlineLevel="0" collapsed="false">
      <c r="A15" s="0" t="s">
        <v>352</v>
      </c>
      <c r="B15" s="0" t="s">
        <v>329</v>
      </c>
      <c r="C15" s="0" t="n">
        <v>1073.19</v>
      </c>
      <c r="D15" s="0" t="n">
        <f aca="false">Inputs!$B$4</f>
        <v>0.15</v>
      </c>
      <c r="E15" s="0" t="n">
        <f aca="false">C15*D15</f>
        <v>160.9785</v>
      </c>
      <c r="F15" s="0" t="n">
        <f aca="false">C15+E15</f>
        <v>1234.1685</v>
      </c>
      <c r="G15" s="0" t="s">
        <v>333</v>
      </c>
      <c r="H15" s="0" t="n">
        <f aca="false">ROUNDUP(F15/20,0)</f>
        <v>62</v>
      </c>
      <c r="I15" s="0" t="s">
        <v>353</v>
      </c>
    </row>
    <row r="16" customFormat="false" ht="15" hidden="false" customHeight="false" outlineLevel="0" collapsed="false">
      <c r="A16" s="0" t="s">
        <v>354</v>
      </c>
      <c r="B16" s="0" t="s">
        <v>329</v>
      </c>
      <c r="C16" s="0" t="n">
        <v>3881.62</v>
      </c>
      <c r="D16" s="0" t="n">
        <f aca="false">Inputs!$B$4</f>
        <v>0.15</v>
      </c>
      <c r="E16" s="0" t="n">
        <f aca="false">C16*D16</f>
        <v>582.243</v>
      </c>
      <c r="F16" s="0" t="n">
        <f aca="false">C16+E16</f>
        <v>4463.863</v>
      </c>
      <c r="G16" s="0" t="s">
        <v>333</v>
      </c>
      <c r="H16" s="0" t="n">
        <f aca="false">ROUNDUP(F16/20,0)</f>
        <v>224</v>
      </c>
      <c r="I16" s="0" t="s">
        <v>355</v>
      </c>
    </row>
    <row r="17" customFormat="false" ht="15" hidden="false" customHeight="false" outlineLevel="0" collapsed="false">
      <c r="A17" s="0" t="s">
        <v>356</v>
      </c>
      <c r="B17" s="0" t="s">
        <v>329</v>
      </c>
      <c r="C17" s="0" t="n">
        <v>138.18</v>
      </c>
      <c r="D17" s="0" t="n">
        <f aca="false">Inputs!$B$4</f>
        <v>0.15</v>
      </c>
      <c r="E17" s="0" t="n">
        <f aca="false">C17*D17</f>
        <v>20.727</v>
      </c>
      <c r="F17" s="0" t="n">
        <f aca="false">C17+E17</f>
        <v>158.907</v>
      </c>
      <c r="G17" s="0" t="s">
        <v>330</v>
      </c>
      <c r="H17" s="0" t="n">
        <f aca="false">ROUNDUP(F17/10,0)</f>
        <v>16</v>
      </c>
      <c r="I17" s="0" t="s">
        <v>357</v>
      </c>
    </row>
    <row r="18" customFormat="false" ht="15" hidden="false" customHeight="false" outlineLevel="0" collapsed="false">
      <c r="A18" s="0" t="s">
        <v>358</v>
      </c>
      <c r="B18" s="0" t="s">
        <v>329</v>
      </c>
      <c r="C18" s="0" t="n">
        <v>158.32</v>
      </c>
      <c r="D18" s="0" t="n">
        <f aca="false">Inputs!$B$4</f>
        <v>0.15</v>
      </c>
      <c r="E18" s="0" t="n">
        <f aca="false">C18*D18</f>
        <v>23.748</v>
      </c>
      <c r="F18" s="0" t="n">
        <f aca="false">C18+E18</f>
        <v>182.068</v>
      </c>
      <c r="G18" s="0" t="s">
        <v>330</v>
      </c>
      <c r="H18" s="0" t="n">
        <f aca="false">ROUNDUP(F18/10,0)</f>
        <v>19</v>
      </c>
      <c r="I18" s="0" t="s">
        <v>359</v>
      </c>
    </row>
    <row r="19" customFormat="false" ht="15" hidden="false" customHeight="false" outlineLevel="0" collapsed="false">
      <c r="A19" s="0" t="s">
        <v>360</v>
      </c>
      <c r="B19" s="0" t="s">
        <v>329</v>
      </c>
      <c r="C19" s="0" t="n">
        <v>78.14</v>
      </c>
      <c r="D19" s="0" t="n">
        <f aca="false">Inputs!$B$4</f>
        <v>0.15</v>
      </c>
      <c r="E19" s="0" t="n">
        <f aca="false">C19*D19</f>
        <v>11.721</v>
      </c>
      <c r="F19" s="0" t="n">
        <f aca="false">C19+E19</f>
        <v>89.861</v>
      </c>
      <c r="G19" s="0" t="s">
        <v>330</v>
      </c>
      <c r="H19" s="0" t="n">
        <f aca="false">ROUNDUP(F19/10,0)</f>
        <v>9</v>
      </c>
      <c r="I19" s="0" t="s">
        <v>357</v>
      </c>
    </row>
    <row r="20" customFormat="false" ht="15" hidden="false" customHeight="false" outlineLevel="0" collapsed="false">
      <c r="A20" s="0" t="s">
        <v>361</v>
      </c>
      <c r="B20" s="0" t="s">
        <v>329</v>
      </c>
      <c r="C20" s="0" t="n">
        <v>260.05</v>
      </c>
      <c r="D20" s="0" t="n">
        <f aca="false">Inputs!$B$4</f>
        <v>0.15</v>
      </c>
      <c r="E20" s="0" t="n">
        <f aca="false">C20*D20</f>
        <v>39.0075</v>
      </c>
      <c r="F20" s="0" t="n">
        <f aca="false">C20+E20</f>
        <v>299.0575</v>
      </c>
      <c r="G20" s="0" t="s">
        <v>330</v>
      </c>
      <c r="H20" s="0" t="n">
        <f aca="false">ROUNDUP(F20/10,0)</f>
        <v>30</v>
      </c>
      <c r="I20" s="0" t="s">
        <v>362</v>
      </c>
    </row>
    <row r="21" customFormat="false" ht="15" hidden="false" customHeight="false" outlineLevel="0" collapsed="false">
      <c r="A21" s="0" t="s">
        <v>363</v>
      </c>
      <c r="B21" s="0" t="s">
        <v>329</v>
      </c>
      <c r="C21" s="0" t="n">
        <v>76.88</v>
      </c>
      <c r="D21" s="0" t="n">
        <f aca="false">Inputs!$B$4</f>
        <v>0.15</v>
      </c>
      <c r="E21" s="0" t="n">
        <f aca="false">C21*D21</f>
        <v>11.532</v>
      </c>
      <c r="F21" s="0" t="n">
        <f aca="false">C21+E21</f>
        <v>88.412</v>
      </c>
      <c r="G21" s="0" t="s">
        <v>333</v>
      </c>
      <c r="H21" s="0" t="n">
        <f aca="false">ROUNDUP(F21/20,0)</f>
        <v>5</v>
      </c>
      <c r="I21" s="0" t="s">
        <v>347</v>
      </c>
    </row>
    <row r="22" customFormat="false" ht="15" hidden="false" customHeight="false" outlineLevel="0" collapsed="false">
      <c r="A22" s="0" t="s">
        <v>364</v>
      </c>
      <c r="B22" s="0" t="s">
        <v>329</v>
      </c>
      <c r="C22" s="0" t="n">
        <v>1401.88</v>
      </c>
      <c r="D22" s="0" t="n">
        <f aca="false">Inputs!$B$4</f>
        <v>0.15</v>
      </c>
      <c r="E22" s="0" t="n">
        <f aca="false">C22*D22</f>
        <v>210.282</v>
      </c>
      <c r="F22" s="0" t="n">
        <f aca="false">C22+E22</f>
        <v>1612.162</v>
      </c>
      <c r="G22" s="0" t="s">
        <v>333</v>
      </c>
      <c r="H22" s="0" t="n">
        <f aca="false">ROUNDUP(F22/20,0)</f>
        <v>81</v>
      </c>
      <c r="I22" s="0" t="s">
        <v>365</v>
      </c>
    </row>
    <row r="23" customFormat="false" ht="15" hidden="false" customHeight="false" outlineLevel="0" collapsed="false">
      <c r="A23" s="0" t="s">
        <v>366</v>
      </c>
      <c r="B23" s="0" t="s">
        <v>329</v>
      </c>
      <c r="C23" s="0" t="n">
        <v>4423.42</v>
      </c>
      <c r="D23" s="0" t="n">
        <f aca="false">Inputs!$B$4</f>
        <v>0.15</v>
      </c>
      <c r="E23" s="0" t="n">
        <f aca="false">C23*D23</f>
        <v>663.513</v>
      </c>
      <c r="F23" s="0" t="n">
        <f aca="false">C23+E23</f>
        <v>5086.933</v>
      </c>
      <c r="G23" s="0" t="s">
        <v>333</v>
      </c>
      <c r="H23" s="0" t="n">
        <f aca="false">ROUNDUP(F23/20,0)</f>
        <v>255</v>
      </c>
      <c r="I23" s="0" t="s">
        <v>367</v>
      </c>
    </row>
    <row r="24" customFormat="false" ht="15" hidden="false" customHeight="false" outlineLevel="0" collapsed="false">
      <c r="A24" s="0" t="s">
        <v>368</v>
      </c>
      <c r="B24" s="0" t="s">
        <v>329</v>
      </c>
      <c r="C24" s="0" t="n">
        <v>557.34</v>
      </c>
      <c r="D24" s="0" t="n">
        <f aca="false">Inputs!$B$4</f>
        <v>0.15</v>
      </c>
      <c r="E24" s="0" t="n">
        <f aca="false">C24*D24</f>
        <v>83.601</v>
      </c>
      <c r="F24" s="0" t="n">
        <f aca="false">C24+E24</f>
        <v>640.941</v>
      </c>
      <c r="G24" s="0" t="s">
        <v>333</v>
      </c>
      <c r="H24" s="0" t="n">
        <f aca="false">ROUNDUP(F24/20,0)</f>
        <v>33</v>
      </c>
      <c r="I24" s="0" t="s">
        <v>369</v>
      </c>
    </row>
    <row r="25" customFormat="false" ht="15" hidden="false" customHeight="false" outlineLevel="0" collapsed="false">
      <c r="A25" s="0" t="s">
        <v>370</v>
      </c>
      <c r="B25" s="0" t="s">
        <v>329</v>
      </c>
      <c r="C25" s="0" t="n">
        <v>47.61</v>
      </c>
      <c r="D25" s="0" t="n">
        <f aca="false">Inputs!$B$4</f>
        <v>0.15</v>
      </c>
      <c r="E25" s="0" t="n">
        <f aca="false">C25*D25</f>
        <v>7.1415</v>
      </c>
      <c r="F25" s="0" t="n">
        <f aca="false">C25+E25</f>
        <v>54.7515</v>
      </c>
      <c r="G25" s="0" t="s">
        <v>330</v>
      </c>
      <c r="H25" s="0" t="n">
        <f aca="false">ROUNDUP(F25/10,0)</f>
        <v>6</v>
      </c>
      <c r="I25" s="0" t="s">
        <v>371</v>
      </c>
    </row>
    <row r="26" customFormat="false" ht="15" hidden="false" customHeight="false" outlineLevel="0" collapsed="false">
      <c r="A26" s="0" t="s">
        <v>372</v>
      </c>
      <c r="B26" s="0" t="s">
        <v>329</v>
      </c>
      <c r="C26" s="0" t="n">
        <v>214.6</v>
      </c>
      <c r="D26" s="0" t="n">
        <f aca="false">Inputs!$B$4</f>
        <v>0.15</v>
      </c>
      <c r="E26" s="0" t="n">
        <f aca="false">C26*D26</f>
        <v>32.19</v>
      </c>
      <c r="F26" s="0" t="n">
        <f aca="false">C26+E26</f>
        <v>246.79</v>
      </c>
      <c r="G26" s="0" t="s">
        <v>333</v>
      </c>
      <c r="H26" s="0" t="n">
        <f aca="false">ROUNDUP(F26/20,0)</f>
        <v>13</v>
      </c>
      <c r="I26" s="0" t="s">
        <v>373</v>
      </c>
    </row>
    <row r="27" customFormat="false" ht="15" hidden="false" customHeight="false" outlineLevel="0" collapsed="false">
      <c r="A27" s="0" t="s">
        <v>374</v>
      </c>
      <c r="B27" s="0" t="s">
        <v>329</v>
      </c>
      <c r="C27" s="0" t="n">
        <v>47.61</v>
      </c>
      <c r="D27" s="0" t="n">
        <f aca="false">Inputs!$B$4</f>
        <v>0.15</v>
      </c>
      <c r="E27" s="0" t="n">
        <f aca="false">C27*D27</f>
        <v>7.1415</v>
      </c>
      <c r="F27" s="0" t="n">
        <f aca="false">C27+E27</f>
        <v>54.7515</v>
      </c>
      <c r="G27" s="0" t="s">
        <v>330</v>
      </c>
      <c r="H27" s="0" t="n">
        <f aca="false">ROUNDUP(F27/10,0)</f>
        <v>6</v>
      </c>
      <c r="I27" s="0" t="s">
        <v>371</v>
      </c>
    </row>
    <row r="28" customFormat="false" ht="15" hidden="false" customHeight="false" outlineLevel="0" collapsed="false">
      <c r="A28" s="0" t="s">
        <v>375</v>
      </c>
      <c r="B28" s="0" t="s">
        <v>329</v>
      </c>
      <c r="C28" s="0" t="n">
        <v>260.05</v>
      </c>
      <c r="D28" s="0" t="n">
        <f aca="false">Inputs!$B$4</f>
        <v>0.15</v>
      </c>
      <c r="E28" s="0" t="n">
        <f aca="false">C28*D28</f>
        <v>39.0075</v>
      </c>
      <c r="F28" s="0" t="n">
        <f aca="false">C28+E28</f>
        <v>299.0575</v>
      </c>
      <c r="G28" s="0" t="s">
        <v>330</v>
      </c>
      <c r="H28" s="0" t="n">
        <f aca="false">ROUNDUP(F28/10,0)</f>
        <v>30</v>
      </c>
      <c r="I28" s="0" t="s">
        <v>362</v>
      </c>
    </row>
    <row r="29" customFormat="false" ht="15" hidden="false" customHeight="false" outlineLevel="0" collapsed="false">
      <c r="A29" s="0" t="s">
        <v>376</v>
      </c>
      <c r="B29" s="0" t="s">
        <v>329</v>
      </c>
      <c r="C29" s="0" t="n">
        <v>78.14</v>
      </c>
      <c r="D29" s="0" t="n">
        <f aca="false">Inputs!$B$4</f>
        <v>0.15</v>
      </c>
      <c r="E29" s="0" t="n">
        <f aca="false">C29*D29</f>
        <v>11.721</v>
      </c>
      <c r="F29" s="0" t="n">
        <f aca="false">C29+E29</f>
        <v>89.861</v>
      </c>
      <c r="G29" s="0" t="s">
        <v>330</v>
      </c>
      <c r="H29" s="0" t="n">
        <f aca="false">ROUNDUP(F29/10,0)</f>
        <v>9</v>
      </c>
      <c r="I29" s="0" t="s">
        <v>357</v>
      </c>
    </row>
    <row r="30" customFormat="false" ht="15" hidden="false" customHeight="false" outlineLevel="0" collapsed="false">
      <c r="A30" s="0" t="s">
        <v>377</v>
      </c>
      <c r="B30" s="0" t="s">
        <v>329</v>
      </c>
      <c r="C30" s="0" t="n">
        <v>2464.67</v>
      </c>
      <c r="D30" s="0" t="n">
        <f aca="false">Inputs!$B$4</f>
        <v>0.15</v>
      </c>
      <c r="E30" s="0" t="n">
        <f aca="false">C30*D30</f>
        <v>369.7005</v>
      </c>
      <c r="F30" s="0" t="n">
        <f aca="false">C30+E30</f>
        <v>2834.3705</v>
      </c>
      <c r="G30" s="0" t="s">
        <v>330</v>
      </c>
      <c r="H30" s="0" t="n">
        <f aca="false">ROUNDUP(F30/10,0)</f>
        <v>284</v>
      </c>
      <c r="I30" s="0" t="s">
        <v>378</v>
      </c>
    </row>
    <row r="31" customFormat="false" ht="15" hidden="false" customHeight="false" outlineLevel="0" collapsed="false">
      <c r="A31" s="0" t="s">
        <v>379</v>
      </c>
      <c r="B31" s="0" t="s">
        <v>329</v>
      </c>
      <c r="C31" s="0" t="n">
        <v>240.76</v>
      </c>
      <c r="D31" s="0" t="n">
        <f aca="false">Inputs!$B$4</f>
        <v>0.15</v>
      </c>
      <c r="E31" s="0" t="n">
        <f aca="false">C31*D31</f>
        <v>36.114</v>
      </c>
      <c r="F31" s="0" t="n">
        <f aca="false">C31+E31</f>
        <v>276.874</v>
      </c>
      <c r="G31" s="0" t="s">
        <v>330</v>
      </c>
      <c r="H31" s="0" t="n">
        <f aca="false">ROUNDUP(F31/10,0)</f>
        <v>28</v>
      </c>
      <c r="I31" s="0" t="s">
        <v>380</v>
      </c>
    </row>
    <row r="32" customFormat="false" ht="15" hidden="false" customHeight="false" outlineLevel="0" collapsed="false">
      <c r="A32" s="0" t="s">
        <v>381</v>
      </c>
      <c r="B32" s="0" t="s">
        <v>329</v>
      </c>
      <c r="C32" s="0" t="n">
        <v>240.76</v>
      </c>
      <c r="D32" s="0" t="n">
        <f aca="false">Inputs!$B$4</f>
        <v>0.15</v>
      </c>
      <c r="E32" s="0" t="n">
        <f aca="false">C32*D32</f>
        <v>36.114</v>
      </c>
      <c r="F32" s="0" t="n">
        <f aca="false">C32+E32</f>
        <v>276.874</v>
      </c>
      <c r="G32" s="0" t="s">
        <v>330</v>
      </c>
      <c r="H32" s="0" t="n">
        <f aca="false">ROUNDUP(F32/10,0)</f>
        <v>28</v>
      </c>
      <c r="I32" s="0" t="s">
        <v>380</v>
      </c>
    </row>
    <row r="33" customFormat="false" ht="15" hidden="false" customHeight="false" outlineLevel="0" collapsed="false">
      <c r="A33" s="0" t="s">
        <v>382</v>
      </c>
      <c r="B33" s="0" t="s">
        <v>329</v>
      </c>
      <c r="C33" s="0" t="n">
        <v>243.98</v>
      </c>
      <c r="D33" s="0" t="n">
        <f aca="false">Inputs!$B$4</f>
        <v>0.15</v>
      </c>
      <c r="E33" s="0" t="n">
        <f aca="false">C33*D33</f>
        <v>36.597</v>
      </c>
      <c r="F33" s="0" t="n">
        <f aca="false">C33+E33</f>
        <v>280.577</v>
      </c>
      <c r="G33" s="0" t="s">
        <v>330</v>
      </c>
      <c r="H33" s="0" t="n">
        <f aca="false">ROUNDUP(F33/10,0)</f>
        <v>29</v>
      </c>
      <c r="I33" s="0" t="s">
        <v>383</v>
      </c>
    </row>
    <row r="34" customFormat="false" ht="15" hidden="false" customHeight="false" outlineLevel="0" collapsed="false">
      <c r="A34" s="0" t="s">
        <v>384</v>
      </c>
      <c r="B34" s="0" t="s">
        <v>329</v>
      </c>
      <c r="C34" s="0" t="n">
        <v>384.3</v>
      </c>
      <c r="D34" s="0" t="n">
        <f aca="false">Inputs!$B$4</f>
        <v>0.15</v>
      </c>
      <c r="E34" s="0" t="n">
        <f aca="false">C34*D34</f>
        <v>57.645</v>
      </c>
      <c r="F34" s="0" t="n">
        <f aca="false">C34+E34</f>
        <v>441.945</v>
      </c>
      <c r="G34" s="0" t="s">
        <v>330</v>
      </c>
      <c r="H34" s="0" t="n">
        <f aca="false">ROUNDUP(F34/10,0)</f>
        <v>45</v>
      </c>
      <c r="I34" s="0" t="s">
        <v>385</v>
      </c>
    </row>
    <row r="35" customFormat="false" ht="15" hidden="false" customHeight="false" outlineLevel="0" collapsed="false">
      <c r="A35" s="0" t="s">
        <v>386</v>
      </c>
      <c r="B35" s="0" t="s">
        <v>329</v>
      </c>
      <c r="C35" s="0" t="n">
        <v>186.5</v>
      </c>
      <c r="D35" s="0" t="n">
        <f aca="false">Inputs!$B$4</f>
        <v>0.15</v>
      </c>
      <c r="E35" s="0" t="n">
        <f aca="false">C35*D35</f>
        <v>27.975</v>
      </c>
      <c r="F35" s="0" t="n">
        <f aca="false">C35+E35</f>
        <v>214.475</v>
      </c>
      <c r="G35" s="0" t="s">
        <v>330</v>
      </c>
      <c r="H35" s="0" t="n">
        <f aca="false">ROUNDUP(F35/10,0)</f>
        <v>22</v>
      </c>
      <c r="I35" s="0" t="s">
        <v>387</v>
      </c>
    </row>
    <row r="36" customFormat="false" ht="15" hidden="false" customHeight="false" outlineLevel="0" collapsed="false">
      <c r="A36" s="0" t="s">
        <v>388</v>
      </c>
      <c r="B36" s="0" t="s">
        <v>329</v>
      </c>
      <c r="C36" s="0" t="n">
        <v>296.9</v>
      </c>
      <c r="D36" s="0" t="n">
        <f aca="false">Inputs!$B$4</f>
        <v>0.15</v>
      </c>
      <c r="E36" s="0" t="n">
        <f aca="false">C36*D36</f>
        <v>44.535</v>
      </c>
      <c r="F36" s="0" t="n">
        <f aca="false">C36+E36</f>
        <v>341.435</v>
      </c>
      <c r="G36" s="0" t="s">
        <v>330</v>
      </c>
      <c r="H36" s="0" t="n">
        <f aca="false">ROUNDUP(F36/10,0)</f>
        <v>35</v>
      </c>
      <c r="I36" s="0" t="s">
        <v>389</v>
      </c>
    </row>
    <row r="37" customFormat="false" ht="15" hidden="false" customHeight="false" outlineLevel="0" collapsed="false">
      <c r="A37" s="0" t="s">
        <v>390</v>
      </c>
      <c r="B37" s="0" t="s">
        <v>329</v>
      </c>
      <c r="C37" s="0" t="n">
        <v>400.11</v>
      </c>
      <c r="D37" s="0" t="n">
        <f aca="false">Inputs!$B$4</f>
        <v>0.15</v>
      </c>
      <c r="E37" s="0" t="n">
        <f aca="false">C37*D37</f>
        <v>60.0165</v>
      </c>
      <c r="F37" s="0" t="n">
        <f aca="false">C37+E37</f>
        <v>460.1265</v>
      </c>
      <c r="G37" s="0" t="s">
        <v>330</v>
      </c>
      <c r="H37" s="0" t="n">
        <f aca="false">ROUNDUP(F37/10,0)</f>
        <v>47</v>
      </c>
      <c r="I37" s="0" t="s">
        <v>391</v>
      </c>
    </row>
    <row r="38" customFormat="false" ht="15" hidden="false" customHeight="false" outlineLevel="0" collapsed="false">
      <c r="A38" s="0" t="s">
        <v>392</v>
      </c>
      <c r="B38" s="0" t="s">
        <v>393</v>
      </c>
      <c r="C38" s="0" t="n">
        <v>1</v>
      </c>
      <c r="D38" s="0" t="n">
        <f aca="false">Inputs!$B$4</f>
        <v>0.15</v>
      </c>
      <c r="E38" s="0" t="n">
        <f aca="false">C38*D38</f>
        <v>0.15</v>
      </c>
      <c r="F38" s="0" t="n">
        <f aca="false">C38+E38</f>
        <v>1.15</v>
      </c>
      <c r="G38" s="0" t="s">
        <v>330</v>
      </c>
      <c r="H38" s="0" t="n">
        <f aca="false">ROUNDUP(F38/10,0)</f>
        <v>1</v>
      </c>
      <c r="I38" s="0" t="s">
        <v>394</v>
      </c>
    </row>
    <row r="39" customFormat="false" ht="15" hidden="false" customHeight="false" outlineLevel="0" collapsed="false">
      <c r="A39" s="0" t="s">
        <v>395</v>
      </c>
      <c r="B39" s="0" t="s">
        <v>329</v>
      </c>
      <c r="C39" s="0" t="n">
        <v>112</v>
      </c>
      <c r="D39" s="0" t="n">
        <f aca="false">Inputs!$B$4</f>
        <v>0.15</v>
      </c>
      <c r="E39" s="0" t="n">
        <f aca="false">C39*D39</f>
        <v>16.8</v>
      </c>
      <c r="F39" s="0" t="n">
        <f aca="false">C39+E39</f>
        <v>128.8</v>
      </c>
      <c r="G39" s="0" t="s">
        <v>330</v>
      </c>
      <c r="H39" s="0" t="n">
        <f aca="false">ROUNDUP(F39/10,0)</f>
        <v>13</v>
      </c>
      <c r="I39" s="0" t="s">
        <v>396</v>
      </c>
    </row>
    <row r="40" customFormat="false" ht="15" hidden="false" customHeight="false" outlineLevel="0" collapsed="false">
      <c r="A40" s="0" t="s">
        <v>397</v>
      </c>
      <c r="B40" s="0" t="s">
        <v>329</v>
      </c>
      <c r="C40" s="0" t="n">
        <v>686</v>
      </c>
      <c r="D40" s="0" t="n">
        <f aca="false">Inputs!$B$4</f>
        <v>0.15</v>
      </c>
      <c r="E40" s="0" t="n">
        <f aca="false">C40*D40</f>
        <v>102.9</v>
      </c>
      <c r="F40" s="0" t="n">
        <f aca="false">C40+E40</f>
        <v>788.9</v>
      </c>
      <c r="G40" s="0" t="s">
        <v>330</v>
      </c>
      <c r="H40" s="0" t="n">
        <f aca="false">ROUNDUP(F40/10,0)</f>
        <v>79</v>
      </c>
      <c r="I40" s="0" t="s">
        <v>398</v>
      </c>
    </row>
    <row r="41" customFormat="false" ht="15" hidden="false" customHeight="false" outlineLevel="0" collapsed="false">
      <c r="A41" s="0" t="s">
        <v>399</v>
      </c>
      <c r="B41" s="0" t="s">
        <v>329</v>
      </c>
      <c r="C41" s="0" t="n">
        <v>731.93</v>
      </c>
      <c r="D41" s="0" t="n">
        <f aca="false">Inputs!$B$4</f>
        <v>0.15</v>
      </c>
      <c r="E41" s="0" t="n">
        <f aca="false">C41*D41</f>
        <v>109.7895</v>
      </c>
      <c r="F41" s="0" t="n">
        <f aca="false">C41+E41</f>
        <v>841.7195</v>
      </c>
      <c r="G41" s="0" t="s">
        <v>330</v>
      </c>
      <c r="H41" s="0" t="n">
        <f aca="false">ROUNDUP(F41/10,0)</f>
        <v>85</v>
      </c>
      <c r="I41" s="0" t="s">
        <v>383</v>
      </c>
    </row>
    <row r="42" customFormat="false" ht="15" hidden="false" customHeight="false" outlineLevel="0" collapsed="false">
      <c r="A42" s="0" t="s">
        <v>400</v>
      </c>
      <c r="B42" s="0" t="s">
        <v>329</v>
      </c>
      <c r="C42" s="0" t="n">
        <v>112</v>
      </c>
      <c r="D42" s="0" t="n">
        <f aca="false">Inputs!$B$4</f>
        <v>0.15</v>
      </c>
      <c r="E42" s="0" t="n">
        <f aca="false">C42*D42</f>
        <v>16.8</v>
      </c>
      <c r="F42" s="0" t="n">
        <f aca="false">C42+E42</f>
        <v>128.8</v>
      </c>
      <c r="G42" s="0" t="s">
        <v>330</v>
      </c>
      <c r="H42" s="0" t="n">
        <f aca="false">ROUNDUP(F42/10,0)</f>
        <v>13</v>
      </c>
      <c r="I42" s="0" t="s">
        <v>401</v>
      </c>
    </row>
    <row r="43" customFormat="false" ht="15" hidden="false" customHeight="false" outlineLevel="0" collapsed="false">
      <c r="A43" s="0" t="s">
        <v>402</v>
      </c>
      <c r="B43" s="0" t="s">
        <v>329</v>
      </c>
      <c r="C43" s="0" t="n">
        <v>360.43</v>
      </c>
      <c r="D43" s="0" t="n">
        <f aca="false">Inputs!$B$4</f>
        <v>0.15</v>
      </c>
      <c r="E43" s="0" t="n">
        <f aca="false">C43*D43</f>
        <v>54.0645</v>
      </c>
      <c r="F43" s="0" t="n">
        <f aca="false">C43+E43</f>
        <v>414.4945</v>
      </c>
      <c r="G43" s="0" t="s">
        <v>403</v>
      </c>
      <c r="H43" s="0" t="n">
        <f aca="false">ROUNDUP(F43/1,0)</f>
        <v>415</v>
      </c>
      <c r="I43" s="0" t="s">
        <v>404</v>
      </c>
    </row>
    <row r="44" customFormat="false" ht="15" hidden="false" customHeight="false" outlineLevel="0" collapsed="false">
      <c r="A44" s="0" t="s">
        <v>405</v>
      </c>
      <c r="B44" s="0" t="s">
        <v>329</v>
      </c>
      <c r="C44" s="0" t="n">
        <v>70.41</v>
      </c>
      <c r="D44" s="0" t="n">
        <f aca="false">Inputs!$B$4</f>
        <v>0.15</v>
      </c>
      <c r="E44" s="0" t="n">
        <f aca="false">C44*D44</f>
        <v>10.5615</v>
      </c>
      <c r="F44" s="0" t="n">
        <f aca="false">C44+E44</f>
        <v>80.9715</v>
      </c>
      <c r="G44" s="0" t="s">
        <v>330</v>
      </c>
      <c r="H44" s="0" t="n">
        <f aca="false">ROUNDUP(F44/10,0)</f>
        <v>9</v>
      </c>
      <c r="I44" s="0" t="s">
        <v>406</v>
      </c>
    </row>
    <row r="45" customFormat="false" ht="15" hidden="false" customHeight="false" outlineLevel="0" collapsed="false">
      <c r="A45" s="0" t="s">
        <v>407</v>
      </c>
      <c r="B45" s="0" t="s">
        <v>329</v>
      </c>
      <c r="C45" s="0" t="n">
        <v>115.81</v>
      </c>
      <c r="D45" s="0" t="n">
        <f aca="false">Inputs!$B$4</f>
        <v>0.15</v>
      </c>
      <c r="E45" s="0" t="n">
        <f aca="false">C45*D45</f>
        <v>17.3715</v>
      </c>
      <c r="F45" s="0" t="n">
        <f aca="false">C45+E45</f>
        <v>133.1815</v>
      </c>
      <c r="G45" s="0" t="s">
        <v>330</v>
      </c>
      <c r="H45" s="0" t="n">
        <f aca="false">ROUNDUP(F45/10,0)</f>
        <v>14</v>
      </c>
      <c r="I45" s="0" t="s">
        <v>408</v>
      </c>
    </row>
    <row r="46" customFormat="false" ht="15" hidden="false" customHeight="false" outlineLevel="0" collapsed="false">
      <c r="A46" s="0" t="s">
        <v>409</v>
      </c>
      <c r="B46" s="0" t="s">
        <v>329</v>
      </c>
      <c r="C46" s="0" t="n">
        <v>53</v>
      </c>
      <c r="D46" s="0" t="n">
        <f aca="false">Inputs!$B$4</f>
        <v>0.15</v>
      </c>
      <c r="E46" s="0" t="n">
        <f aca="false">C46*D46</f>
        <v>7.95</v>
      </c>
      <c r="F46" s="0" t="n">
        <f aca="false">C46+E46</f>
        <v>60.95</v>
      </c>
      <c r="G46" s="0" t="s">
        <v>330</v>
      </c>
      <c r="H46" s="0" t="n">
        <f aca="false">ROUNDUP(F46/10,0)</f>
        <v>7</v>
      </c>
      <c r="I46" s="0" t="s">
        <v>410</v>
      </c>
    </row>
    <row r="47" customFormat="false" ht="15" hidden="false" customHeight="false" outlineLevel="0" collapsed="false">
      <c r="A47" s="0" t="s">
        <v>411</v>
      </c>
      <c r="B47" s="0" t="s">
        <v>329</v>
      </c>
      <c r="C47" s="0" t="n">
        <v>39.24</v>
      </c>
      <c r="D47" s="0" t="n">
        <f aca="false">Inputs!$B$4</f>
        <v>0.15</v>
      </c>
      <c r="E47" s="0" t="n">
        <f aca="false">C47*D47</f>
        <v>5.886</v>
      </c>
      <c r="F47" s="0" t="n">
        <f aca="false">C47+E47</f>
        <v>45.126</v>
      </c>
      <c r="G47" s="0" t="s">
        <v>330</v>
      </c>
      <c r="H47" s="0" t="n">
        <f aca="false">ROUNDUP(F47/10,0)</f>
        <v>5</v>
      </c>
      <c r="I47" s="0" t="s">
        <v>412</v>
      </c>
    </row>
    <row r="48" customFormat="false" ht="15" hidden="false" customHeight="false" outlineLevel="0" collapsed="false">
      <c r="A48" s="0" t="s">
        <v>413</v>
      </c>
      <c r="B48" s="0" t="s">
        <v>329</v>
      </c>
      <c r="C48" s="0" t="n">
        <v>466</v>
      </c>
      <c r="D48" s="0" t="n">
        <f aca="false">Inputs!$B$4</f>
        <v>0.15</v>
      </c>
      <c r="E48" s="0" t="n">
        <f aca="false">C48*D48</f>
        <v>69.9</v>
      </c>
      <c r="F48" s="0" t="n">
        <f aca="false">C48+E48</f>
        <v>535.9</v>
      </c>
      <c r="G48" s="0" t="s">
        <v>333</v>
      </c>
      <c r="H48" s="0" t="n">
        <f aca="false">ROUNDUP(F48/20,0)</f>
        <v>27</v>
      </c>
      <c r="I48" s="0" t="s">
        <v>414</v>
      </c>
    </row>
    <row r="49" customFormat="false" ht="15" hidden="false" customHeight="false" outlineLevel="0" collapsed="false">
      <c r="A49" s="0" t="s">
        <v>415</v>
      </c>
      <c r="B49" s="0" t="s">
        <v>329</v>
      </c>
      <c r="C49" s="0" t="n">
        <v>184.1</v>
      </c>
      <c r="D49" s="0" t="n">
        <f aca="false">Inputs!$B$4</f>
        <v>0.15</v>
      </c>
      <c r="E49" s="0" t="n">
        <f aca="false">C49*D49</f>
        <v>27.615</v>
      </c>
      <c r="F49" s="0" t="n">
        <f aca="false">C49+E49</f>
        <v>211.715</v>
      </c>
      <c r="G49" s="0" t="s">
        <v>330</v>
      </c>
      <c r="H49" s="0" t="n">
        <f aca="false">ROUNDUP(F49/10,0)</f>
        <v>22</v>
      </c>
      <c r="I49" s="0" t="s">
        <v>416</v>
      </c>
    </row>
    <row r="50" customFormat="false" ht="15" hidden="false" customHeight="false" outlineLevel="0" collapsed="false">
      <c r="A50" s="0" t="s">
        <v>417</v>
      </c>
      <c r="B50" s="0" t="s">
        <v>329</v>
      </c>
      <c r="C50" s="0" t="n">
        <v>5.08</v>
      </c>
      <c r="D50" s="0" t="n">
        <f aca="false">Inputs!$B$4</f>
        <v>0.15</v>
      </c>
      <c r="E50" s="0" t="n">
        <f aca="false">C50*D50</f>
        <v>0.762</v>
      </c>
      <c r="F50" s="0" t="n">
        <f aca="false">C50+E50</f>
        <v>5.842</v>
      </c>
      <c r="G50" s="0" t="s">
        <v>330</v>
      </c>
      <c r="H50" s="0" t="n">
        <f aca="false">ROUNDUP(F50/10,0)</f>
        <v>1</v>
      </c>
      <c r="I50" s="0" t="s">
        <v>418</v>
      </c>
    </row>
    <row r="51" customFormat="false" ht="15" hidden="false" customHeight="false" outlineLevel="0" collapsed="false">
      <c r="A51" s="0" t="s">
        <v>419</v>
      </c>
      <c r="B51" s="0" t="s">
        <v>329</v>
      </c>
      <c r="C51" s="0" t="n">
        <v>61.84</v>
      </c>
      <c r="D51" s="0" t="n">
        <f aca="false">Inputs!$B$4</f>
        <v>0.15</v>
      </c>
      <c r="E51" s="0" t="n">
        <f aca="false">C51*D51</f>
        <v>9.276</v>
      </c>
      <c r="F51" s="0" t="n">
        <f aca="false">C51+E51</f>
        <v>71.116</v>
      </c>
      <c r="G51" s="0" t="s">
        <v>330</v>
      </c>
      <c r="H51" s="0" t="n">
        <f aca="false">ROUNDUP(F51/10,0)</f>
        <v>8</v>
      </c>
      <c r="I51" s="0" t="s">
        <v>420</v>
      </c>
    </row>
    <row r="52" customFormat="false" ht="15" hidden="false" customHeight="false" outlineLevel="0" collapsed="false">
      <c r="A52" s="0" t="s">
        <v>421</v>
      </c>
      <c r="B52" s="0" t="s">
        <v>393</v>
      </c>
      <c r="C52" s="0" t="n">
        <v>280</v>
      </c>
      <c r="D52" s="0" t="n">
        <f aca="false">Inputs!$B$4</f>
        <v>0.15</v>
      </c>
      <c r="E52" s="0" t="n">
        <f aca="false">C52*D52</f>
        <v>42</v>
      </c>
      <c r="F52" s="0" t="n">
        <f aca="false">C52+E52</f>
        <v>322</v>
      </c>
      <c r="G52" s="0" t="s">
        <v>422</v>
      </c>
      <c r="H52" s="0" t="n">
        <f aca="false">ROUNDUP(F52/1,0)</f>
        <v>322</v>
      </c>
      <c r="I52" s="0" t="s">
        <v>423</v>
      </c>
    </row>
    <row r="53" customFormat="false" ht="15" hidden="false" customHeight="false" outlineLevel="0" collapsed="false">
      <c r="A53" s="0" t="s">
        <v>424</v>
      </c>
      <c r="B53" s="0" t="s">
        <v>425</v>
      </c>
      <c r="C53" s="0" t="n">
        <v>33</v>
      </c>
      <c r="D53" s="0" t="n">
        <f aca="false">Inputs!$B$5</f>
        <v>0.06</v>
      </c>
      <c r="E53" s="0" t="n">
        <f aca="false">C53*D53</f>
        <v>1.98</v>
      </c>
      <c r="F53" s="0" t="n">
        <f aca="false">C53+E53</f>
        <v>34.98</v>
      </c>
      <c r="G53" s="0" t="s">
        <v>426</v>
      </c>
      <c r="H53" s="0" t="n">
        <f aca="false">ROUNDUP(F53/Inputs!$B$8,0)</f>
        <v>1</v>
      </c>
      <c r="I53" s="0" t="s">
        <v>427</v>
      </c>
    </row>
    <row r="54" customFormat="false" ht="15" hidden="false" customHeight="false" outlineLevel="0" collapsed="false">
      <c r="A54" s="0" t="s">
        <v>428</v>
      </c>
      <c r="B54" s="0" t="s">
        <v>425</v>
      </c>
      <c r="C54" s="0" t="n">
        <v>140.91</v>
      </c>
      <c r="D54" s="0" t="n">
        <f aca="false">Inputs!$B$5</f>
        <v>0.06</v>
      </c>
      <c r="E54" s="0" t="n">
        <f aca="false">C54*D54</f>
        <v>8.4546</v>
      </c>
      <c r="F54" s="0" t="n">
        <f aca="false">C54+E54</f>
        <v>149.3646</v>
      </c>
      <c r="G54" s="0" t="s">
        <v>426</v>
      </c>
      <c r="H54" s="0" t="n">
        <f aca="false">ROUNDUP(F54/Inputs!$B$8,0)</f>
        <v>4</v>
      </c>
      <c r="I54" s="0" t="s">
        <v>429</v>
      </c>
    </row>
    <row r="55" customFormat="false" ht="15" hidden="false" customHeight="false" outlineLevel="0" collapsed="false">
      <c r="A55" s="0" t="s">
        <v>430</v>
      </c>
      <c r="B55" s="0" t="s">
        <v>425</v>
      </c>
      <c r="C55" s="0" t="n">
        <v>268.45</v>
      </c>
      <c r="D55" s="0" t="n">
        <f aca="false">Inputs!$B$5</f>
        <v>0.06</v>
      </c>
      <c r="E55" s="0" t="n">
        <f aca="false">C55*D55</f>
        <v>16.107</v>
      </c>
      <c r="F55" s="0" t="n">
        <f aca="false">C55+E55</f>
        <v>284.557</v>
      </c>
      <c r="G55" s="0" t="s">
        <v>426</v>
      </c>
      <c r="H55" s="0" t="n">
        <f aca="false">ROUNDUP(F55/Inputs!$B$8,0)</f>
        <v>6</v>
      </c>
      <c r="I55" s="0" t="s">
        <v>431</v>
      </c>
    </row>
    <row r="56" customFormat="false" ht="15" hidden="false" customHeight="false" outlineLevel="0" collapsed="false">
      <c r="A56" s="0" t="s">
        <v>432</v>
      </c>
      <c r="B56" s="0" t="s">
        <v>425</v>
      </c>
      <c r="C56" s="0" t="n">
        <v>85</v>
      </c>
      <c r="D56" s="0" t="n">
        <f aca="false">Inputs!$B$5</f>
        <v>0.06</v>
      </c>
      <c r="E56" s="0" t="n">
        <f aca="false">C56*D56</f>
        <v>5.1</v>
      </c>
      <c r="F56" s="0" t="n">
        <f aca="false">C56+E56</f>
        <v>90.1</v>
      </c>
      <c r="G56" s="0" t="s">
        <v>426</v>
      </c>
      <c r="H56" s="0" t="n">
        <f aca="false">ROUNDUP(F56/Inputs!$B$8,0)</f>
        <v>2</v>
      </c>
      <c r="I56" s="0" t="s">
        <v>433</v>
      </c>
    </row>
    <row r="57" customFormat="false" ht="15" hidden="false" customHeight="false" outlineLevel="0" collapsed="false">
      <c r="A57" s="0" t="s">
        <v>434</v>
      </c>
      <c r="B57" s="0" t="s">
        <v>425</v>
      </c>
      <c r="C57" s="0" t="n">
        <v>278</v>
      </c>
      <c r="D57" s="0" t="n">
        <f aca="false">Inputs!$B$5</f>
        <v>0.06</v>
      </c>
      <c r="E57" s="0" t="n">
        <f aca="false">C57*D57</f>
        <v>16.68</v>
      </c>
      <c r="F57" s="0" t="n">
        <f aca="false">C57+E57</f>
        <v>294.68</v>
      </c>
      <c r="G57" s="0" t="s">
        <v>426</v>
      </c>
      <c r="H57" s="0" t="n">
        <f aca="false">ROUNDUP(F57/Inputs!$B$8,0)</f>
        <v>7</v>
      </c>
      <c r="I57" s="0" t="s">
        <v>435</v>
      </c>
    </row>
    <row r="58" customFormat="false" ht="15" hidden="false" customHeight="false" outlineLevel="0" collapsed="false">
      <c r="A58" s="0" t="s">
        <v>436</v>
      </c>
      <c r="B58" s="0" t="s">
        <v>329</v>
      </c>
      <c r="C58" s="0" t="n">
        <v>24.38</v>
      </c>
      <c r="D58" s="0" t="n">
        <f aca="false">Inputs!$B$5</f>
        <v>0.06</v>
      </c>
      <c r="E58" s="0" t="n">
        <f aca="false">C58*D58</f>
        <v>1.4628</v>
      </c>
      <c r="F58" s="0" t="n">
        <f aca="false">C58+E58</f>
        <v>25.8428</v>
      </c>
      <c r="G58" s="0" t="s">
        <v>437</v>
      </c>
      <c r="H58" s="0" t="n">
        <f aca="false">ROUNDUP(F58/8,0)</f>
        <v>4</v>
      </c>
      <c r="I58" s="0" t="s">
        <v>438</v>
      </c>
    </row>
    <row r="59" customFormat="false" ht="15" hidden="false" customHeight="false" outlineLevel="0" collapsed="false">
      <c r="A59" s="0" t="s">
        <v>439</v>
      </c>
      <c r="B59" s="0" t="s">
        <v>329</v>
      </c>
      <c r="C59" s="0" t="n">
        <v>45</v>
      </c>
      <c r="D59" s="0" t="n">
        <f aca="false">Inputs!$B$5</f>
        <v>0.06</v>
      </c>
      <c r="E59" s="0" t="n">
        <f aca="false">C59*D59</f>
        <v>2.7</v>
      </c>
      <c r="F59" s="0" t="n">
        <f aca="false">C59+E59</f>
        <v>47.7</v>
      </c>
      <c r="G59" s="0" t="s">
        <v>437</v>
      </c>
      <c r="H59" s="0" t="n">
        <f aca="false">ROUNDUP(F59/8,0)</f>
        <v>6</v>
      </c>
      <c r="I59" s="0" t="s">
        <v>440</v>
      </c>
    </row>
    <row r="60" customFormat="false" ht="15" hidden="false" customHeight="false" outlineLevel="0" collapsed="false">
      <c r="A60" s="0" t="s">
        <v>441</v>
      </c>
      <c r="B60" s="0" t="s">
        <v>425</v>
      </c>
      <c r="C60" s="0" t="n">
        <v>21</v>
      </c>
      <c r="D60" s="0" t="n">
        <f aca="false">Inputs!$B$5</f>
        <v>0.06</v>
      </c>
      <c r="E60" s="0" t="n">
        <f aca="false">C60*D60</f>
        <v>1.26</v>
      </c>
      <c r="F60" s="0" t="n">
        <f aca="false">C60+E60</f>
        <v>22.26</v>
      </c>
      <c r="G60" s="0" t="s">
        <v>426</v>
      </c>
      <c r="H60" s="0" t="n">
        <f aca="false">ROUNDUP(F60/Inputs!$B$8,0)</f>
        <v>1</v>
      </c>
      <c r="I60" s="0" t="s">
        <v>442</v>
      </c>
    </row>
    <row r="61" customFormat="false" ht="15" hidden="false" customHeight="false" outlineLevel="0" collapsed="false">
      <c r="A61" s="0" t="s">
        <v>443</v>
      </c>
      <c r="B61" s="0" t="s">
        <v>329</v>
      </c>
      <c r="C61" s="0" t="n">
        <v>307.66</v>
      </c>
      <c r="D61" s="0" t="n">
        <f aca="false">Inputs!$B$5</f>
        <v>0.06</v>
      </c>
      <c r="E61" s="0" t="n">
        <f aca="false">C61*D61</f>
        <v>18.4596</v>
      </c>
      <c r="F61" s="0" t="n">
        <f aca="false">C61+E61</f>
        <v>326.1196</v>
      </c>
      <c r="G61" s="0" t="s">
        <v>437</v>
      </c>
      <c r="H61" s="0" t="n">
        <f aca="false">ROUNDUP(F61/8,0)</f>
        <v>41</v>
      </c>
      <c r="I61" s="0" t="s">
        <v>444</v>
      </c>
    </row>
    <row r="62" customFormat="false" ht="15" hidden="false" customHeight="false" outlineLevel="0" collapsed="false">
      <c r="A62" s="0" t="s">
        <v>445</v>
      </c>
      <c r="B62" s="0" t="s">
        <v>425</v>
      </c>
      <c r="C62" s="0" t="n">
        <v>89.12</v>
      </c>
      <c r="D62" s="0" t="n">
        <f aca="false">Inputs!$B$5</f>
        <v>0.06</v>
      </c>
      <c r="E62" s="0" t="n">
        <f aca="false">C62*D62</f>
        <v>5.3472</v>
      </c>
      <c r="F62" s="0" t="n">
        <f aca="false">C62+E62</f>
        <v>94.4672</v>
      </c>
      <c r="G62" s="0" t="s">
        <v>446</v>
      </c>
      <c r="H62" s="0" t="n">
        <f aca="false">ROUNDUP(F62/Inputs!$B$8,0)</f>
        <v>2</v>
      </c>
      <c r="I62" s="0" t="s">
        <v>447</v>
      </c>
    </row>
    <row r="63" customFormat="false" ht="15" hidden="false" customHeight="false" outlineLevel="0" collapsed="false">
      <c r="A63" s="0" t="s">
        <v>448</v>
      </c>
      <c r="B63" s="0" t="s">
        <v>425</v>
      </c>
      <c r="C63" s="0" t="n">
        <v>69.22</v>
      </c>
      <c r="D63" s="0" t="n">
        <f aca="false">Inputs!$B$5</f>
        <v>0.06</v>
      </c>
      <c r="E63" s="0" t="n">
        <f aca="false">C63*D63</f>
        <v>4.1532</v>
      </c>
      <c r="F63" s="0" t="n">
        <f aca="false">C63+E63</f>
        <v>73.3732</v>
      </c>
      <c r="G63" s="0" t="s">
        <v>449</v>
      </c>
      <c r="H63" s="0" t="n">
        <f aca="false">ROUNDUP(F63/Inputs!$B$8,0)</f>
        <v>2</v>
      </c>
      <c r="I63" s="0" t="s">
        <v>347</v>
      </c>
    </row>
    <row r="64" customFormat="false" ht="15" hidden="false" customHeight="false" outlineLevel="0" collapsed="false">
      <c r="A64" s="0" t="s">
        <v>450</v>
      </c>
      <c r="B64" s="0" t="s">
        <v>425</v>
      </c>
      <c r="C64" s="0" t="n">
        <v>1322</v>
      </c>
      <c r="D64" s="0" t="n">
        <f aca="false">Inputs!$B$5</f>
        <v>0.06</v>
      </c>
      <c r="E64" s="0" t="n">
        <f aca="false">C64*D64</f>
        <v>79.32</v>
      </c>
      <c r="F64" s="0" t="n">
        <f aca="false">C64+E64</f>
        <v>1401.32</v>
      </c>
      <c r="G64" s="0" t="s">
        <v>449</v>
      </c>
      <c r="H64" s="0" t="n">
        <f aca="false">ROUNDUP(F64/Inputs!$B$8,0)</f>
        <v>30</v>
      </c>
      <c r="I64" s="0" t="s">
        <v>451</v>
      </c>
    </row>
    <row r="65" customFormat="false" ht="15" hidden="false" customHeight="false" outlineLevel="0" collapsed="false">
      <c r="A65" s="0" t="s">
        <v>452</v>
      </c>
      <c r="B65" s="0" t="s">
        <v>425</v>
      </c>
      <c r="C65" s="0" t="n">
        <v>4299.32</v>
      </c>
      <c r="D65" s="0" t="n">
        <f aca="false">Inputs!$B$5</f>
        <v>0.06</v>
      </c>
      <c r="E65" s="0" t="n">
        <f aca="false">C65*D65</f>
        <v>257.9592</v>
      </c>
      <c r="F65" s="0" t="n">
        <f aca="false">C65+E65</f>
        <v>4557.2792</v>
      </c>
      <c r="G65" s="0" t="s">
        <v>426</v>
      </c>
      <c r="H65" s="0" t="n">
        <f aca="false">ROUNDUP(F65/Inputs!$B$8,0)</f>
        <v>95</v>
      </c>
      <c r="I65" s="0" t="s">
        <v>453</v>
      </c>
    </row>
    <row r="66" customFormat="false" ht="15" hidden="false" customHeight="false" outlineLevel="0" collapsed="false">
      <c r="A66" s="0" t="s">
        <v>454</v>
      </c>
      <c r="B66" s="0" t="s">
        <v>425</v>
      </c>
      <c r="C66" s="0" t="n">
        <v>2135.06</v>
      </c>
      <c r="D66" s="0" t="n">
        <f aca="false">Inputs!$B$5</f>
        <v>0.06</v>
      </c>
      <c r="E66" s="0" t="n">
        <f aca="false">C66*D66</f>
        <v>128.1036</v>
      </c>
      <c r="F66" s="0" t="n">
        <f aca="false">C66+E66</f>
        <v>2263.1636</v>
      </c>
      <c r="G66" s="0" t="s">
        <v>426</v>
      </c>
      <c r="H66" s="0" t="n">
        <f aca="false">ROUNDUP(F66/Inputs!$B$8,0)</f>
        <v>48</v>
      </c>
      <c r="I66" s="0" t="s">
        <v>455</v>
      </c>
    </row>
    <row r="67" customFormat="false" ht="15" hidden="false" customHeight="false" outlineLevel="0" collapsed="false">
      <c r="A67" s="0" t="s">
        <v>456</v>
      </c>
      <c r="B67" s="0" t="s">
        <v>425</v>
      </c>
      <c r="C67" s="0" t="n">
        <v>105.75</v>
      </c>
      <c r="D67" s="0" t="n">
        <f aca="false">Inputs!$B$5</f>
        <v>0.06</v>
      </c>
      <c r="E67" s="0" t="n">
        <f aca="false">C67*D67</f>
        <v>6.345</v>
      </c>
      <c r="F67" s="0" t="n">
        <f aca="false">C67+E67</f>
        <v>112.095</v>
      </c>
      <c r="G67" s="0" t="s">
        <v>426</v>
      </c>
      <c r="H67" s="0" t="n">
        <f aca="false">ROUNDUP(F67/Inputs!$B$8,0)</f>
        <v>3</v>
      </c>
      <c r="I67" s="0" t="s">
        <v>457</v>
      </c>
    </row>
    <row r="68" customFormat="false" ht="15" hidden="false" customHeight="false" outlineLevel="0" collapsed="false">
      <c r="A68" s="0" t="s">
        <v>458</v>
      </c>
      <c r="B68" s="0" t="s">
        <v>425</v>
      </c>
      <c r="C68" s="0" t="n">
        <v>356.24</v>
      </c>
      <c r="D68" s="0" t="n">
        <f aca="false">Inputs!$B$5</f>
        <v>0.06</v>
      </c>
      <c r="E68" s="0" t="n">
        <f aca="false">C68*D68</f>
        <v>21.3744</v>
      </c>
      <c r="F68" s="0" t="n">
        <f aca="false">C68+E68</f>
        <v>377.6144</v>
      </c>
      <c r="G68" s="0" t="s">
        <v>426</v>
      </c>
      <c r="H68" s="0" t="n">
        <f aca="false">ROUNDUP(F68/Inputs!$B$8,0)</f>
        <v>8</v>
      </c>
      <c r="I68" s="0" t="s">
        <v>459</v>
      </c>
    </row>
    <row r="69" customFormat="false" ht="15" hidden="false" customHeight="false" outlineLevel="0" collapsed="false">
      <c r="A69" s="0" t="s">
        <v>460</v>
      </c>
      <c r="B69" s="0" t="s">
        <v>425</v>
      </c>
      <c r="C69" s="0" t="n">
        <v>182.39</v>
      </c>
      <c r="D69" s="0" t="n">
        <f aca="false">Inputs!$B$5</f>
        <v>0.06</v>
      </c>
      <c r="E69" s="0" t="n">
        <f aca="false">C69*D69</f>
        <v>10.9434</v>
      </c>
      <c r="F69" s="0" t="n">
        <f aca="false">C69+E69</f>
        <v>193.3334</v>
      </c>
      <c r="G69" s="0" t="s">
        <v>449</v>
      </c>
      <c r="H69" s="0" t="n">
        <f aca="false">ROUNDUP(F69/Inputs!$B$8,0)</f>
        <v>5</v>
      </c>
      <c r="I69" s="0" t="s">
        <v>461</v>
      </c>
    </row>
    <row r="70" customFormat="false" ht="15" hidden="false" customHeight="false" outlineLevel="0" collapsed="false">
      <c r="A70" s="0" t="s">
        <v>462</v>
      </c>
      <c r="B70" s="0" t="s">
        <v>425</v>
      </c>
      <c r="C70" s="0" t="n">
        <v>1046.95</v>
      </c>
      <c r="D70" s="0" t="n">
        <f aca="false">Inputs!$B$5</f>
        <v>0.06</v>
      </c>
      <c r="E70" s="0" t="n">
        <f aca="false">C70*D70</f>
        <v>62.817</v>
      </c>
      <c r="F70" s="0" t="n">
        <f aca="false">C70+E70</f>
        <v>1109.767</v>
      </c>
      <c r="G70" s="0" t="s">
        <v>449</v>
      </c>
      <c r="H70" s="0" t="n">
        <f aca="false">ROUNDUP(F70/Inputs!$B$8,0)</f>
        <v>24</v>
      </c>
      <c r="I70" s="0" t="s">
        <v>463</v>
      </c>
    </row>
    <row r="71" customFormat="false" ht="15" hidden="false" customHeight="false" outlineLevel="0" collapsed="false">
      <c r="A71" s="0" t="s">
        <v>464</v>
      </c>
      <c r="B71" s="0" t="s">
        <v>425</v>
      </c>
      <c r="C71" s="0" t="n">
        <v>16618.77</v>
      </c>
      <c r="D71" s="0" t="n">
        <f aca="false">Inputs!$B$5</f>
        <v>0.06</v>
      </c>
      <c r="E71" s="0" t="n">
        <f aca="false">C71*D71</f>
        <v>997.1262</v>
      </c>
      <c r="F71" s="0" t="n">
        <f aca="false">C71+E71</f>
        <v>17615.8962</v>
      </c>
      <c r="G71" s="0" t="s">
        <v>449</v>
      </c>
      <c r="H71" s="0" t="n">
        <f aca="false">ROUNDUP(F71/Inputs!$B$8,0)</f>
        <v>367</v>
      </c>
      <c r="I71" s="0" t="s">
        <v>465</v>
      </c>
    </row>
    <row r="72" customFormat="false" ht="15" hidden="false" customHeight="false" outlineLevel="0" collapsed="false">
      <c r="A72" s="0" t="s">
        <v>466</v>
      </c>
      <c r="B72" s="0" t="s">
        <v>425</v>
      </c>
      <c r="C72" s="0" t="n">
        <v>364.6</v>
      </c>
      <c r="D72" s="0" t="n">
        <f aca="false">Inputs!$B$5</f>
        <v>0.06</v>
      </c>
      <c r="E72" s="0" t="n">
        <f aca="false">C72*D72</f>
        <v>21.876</v>
      </c>
      <c r="F72" s="0" t="n">
        <f aca="false">C72+E72</f>
        <v>386.476</v>
      </c>
      <c r="G72" s="0" t="s">
        <v>467</v>
      </c>
      <c r="H72" s="0" t="n">
        <f aca="false">ROUNDUP(F72/Inputs!$B$8,0)</f>
        <v>9</v>
      </c>
      <c r="I72" s="0" t="s">
        <v>468</v>
      </c>
    </row>
    <row r="73" customFormat="false" ht="15" hidden="false" customHeight="false" outlineLevel="0" collapsed="false">
      <c r="A73" s="0" t="s">
        <v>469</v>
      </c>
      <c r="B73" s="0" t="s">
        <v>329</v>
      </c>
      <c r="C73" s="0" t="n">
        <v>51.7</v>
      </c>
      <c r="D73" s="0" t="n">
        <f aca="false">Inputs!$B$5</f>
        <v>0.06</v>
      </c>
      <c r="E73" s="0" t="n">
        <f aca="false">C73*D73</f>
        <v>3.102</v>
      </c>
      <c r="F73" s="0" t="n">
        <f aca="false">C73+E73</f>
        <v>54.802</v>
      </c>
      <c r="G73" s="0" t="s">
        <v>437</v>
      </c>
      <c r="H73" s="0" t="n">
        <f aca="false">ROUNDUP(F73/8,0)</f>
        <v>7</v>
      </c>
      <c r="I73" s="0" t="s">
        <v>470</v>
      </c>
    </row>
    <row r="74" customFormat="false" ht="15" hidden="false" customHeight="false" outlineLevel="0" collapsed="false">
      <c r="A74" s="0" t="s">
        <v>471</v>
      </c>
      <c r="B74" s="0" t="s">
        <v>329</v>
      </c>
      <c r="C74" s="0" t="n">
        <v>29</v>
      </c>
      <c r="D74" s="0" t="n">
        <f aca="false">Inputs!$B$5</f>
        <v>0.06</v>
      </c>
      <c r="E74" s="0" t="n">
        <f aca="false">C74*D74</f>
        <v>1.74</v>
      </c>
      <c r="F74" s="0" t="n">
        <f aca="false">C74+E74</f>
        <v>30.74</v>
      </c>
      <c r="G74" s="0" t="s">
        <v>437</v>
      </c>
      <c r="H74" s="0" t="n">
        <f aca="false">ROUNDUP(F74/8,0)</f>
        <v>4</v>
      </c>
      <c r="I74" s="0" t="s">
        <v>472</v>
      </c>
    </row>
    <row r="75" customFormat="false" ht="15" hidden="false" customHeight="false" outlineLevel="0" collapsed="false">
      <c r="A75" s="0" t="s">
        <v>473</v>
      </c>
      <c r="B75" s="0" t="s">
        <v>329</v>
      </c>
      <c r="C75" s="0" t="n">
        <v>28</v>
      </c>
      <c r="D75" s="0" t="n">
        <f aca="false">Inputs!$B$5</f>
        <v>0.06</v>
      </c>
      <c r="E75" s="0" t="n">
        <f aca="false">C75*D75</f>
        <v>1.68</v>
      </c>
      <c r="F75" s="0" t="n">
        <f aca="false">C75+E75</f>
        <v>29.68</v>
      </c>
      <c r="G75" s="0" t="s">
        <v>437</v>
      </c>
      <c r="H75" s="0" t="n">
        <f aca="false">ROUNDUP(F75/8,0)</f>
        <v>4</v>
      </c>
      <c r="I75" s="0" t="s">
        <v>474</v>
      </c>
    </row>
    <row r="76" customFormat="false" ht="15" hidden="false" customHeight="false" outlineLevel="0" collapsed="false">
      <c r="A76" s="0" t="s">
        <v>475</v>
      </c>
      <c r="B76" s="0" t="s">
        <v>329</v>
      </c>
      <c r="C76" s="0" t="n">
        <v>5</v>
      </c>
      <c r="D76" s="0" t="n">
        <f aca="false">Inputs!$B$5</f>
        <v>0.06</v>
      </c>
      <c r="E76" s="0" t="n">
        <f aca="false">C76*D76</f>
        <v>0.3</v>
      </c>
      <c r="F76" s="0" t="n">
        <f aca="false">C76+E76</f>
        <v>5.3</v>
      </c>
      <c r="G76" s="0" t="s">
        <v>437</v>
      </c>
      <c r="H76" s="0" t="n">
        <f aca="false">ROUNDUP(F76/8,0)</f>
        <v>1</v>
      </c>
      <c r="I76" s="0" t="s">
        <v>476</v>
      </c>
    </row>
    <row r="77" customFormat="false" ht="15" hidden="false" customHeight="false" outlineLevel="0" collapsed="false">
      <c r="A77" s="0" t="s">
        <v>477</v>
      </c>
      <c r="B77" s="0" t="s">
        <v>329</v>
      </c>
      <c r="C77" s="0" t="n">
        <v>158.2</v>
      </c>
      <c r="D77" s="0" t="n">
        <f aca="false">Inputs!$B$5</f>
        <v>0.06</v>
      </c>
      <c r="E77" s="0" t="n">
        <f aca="false">C77*D77</f>
        <v>9.492</v>
      </c>
      <c r="F77" s="0" t="n">
        <f aca="false">C77+E77</f>
        <v>167.692</v>
      </c>
      <c r="G77" s="0" t="s">
        <v>437</v>
      </c>
      <c r="H77" s="0" t="n">
        <f aca="false">ROUNDUP(F77/8,0)</f>
        <v>21</v>
      </c>
      <c r="I77" s="0" t="s">
        <v>478</v>
      </c>
    </row>
    <row r="78" customFormat="false" ht="15" hidden="false" customHeight="false" outlineLevel="0" collapsed="false">
      <c r="A78" s="0" t="s">
        <v>479</v>
      </c>
      <c r="B78" s="0" t="s">
        <v>329</v>
      </c>
      <c r="C78" s="0" t="n">
        <v>8</v>
      </c>
      <c r="D78" s="0" t="n">
        <f aca="false">Inputs!$B$5</f>
        <v>0.06</v>
      </c>
      <c r="E78" s="0" t="n">
        <f aca="false">C78*D78</f>
        <v>0.48</v>
      </c>
      <c r="F78" s="0" t="n">
        <f aca="false">C78+E78</f>
        <v>8.48</v>
      </c>
      <c r="G78" s="0" t="s">
        <v>437</v>
      </c>
      <c r="H78" s="0" t="n">
        <f aca="false">ROUNDUP(F78/8,0)</f>
        <v>2</v>
      </c>
      <c r="I78" s="0" t="s">
        <v>480</v>
      </c>
    </row>
    <row r="79" customFormat="false" ht="15" hidden="false" customHeight="false" outlineLevel="0" collapsed="false">
      <c r="A79" s="0" t="s">
        <v>481</v>
      </c>
      <c r="B79" s="0" t="s">
        <v>329</v>
      </c>
      <c r="C79" s="0" t="n">
        <v>44</v>
      </c>
      <c r="D79" s="0" t="n">
        <f aca="false">Inputs!$B$5</f>
        <v>0.06</v>
      </c>
      <c r="E79" s="0" t="n">
        <f aca="false">C79*D79</f>
        <v>2.64</v>
      </c>
      <c r="F79" s="0" t="n">
        <f aca="false">C79+E79</f>
        <v>46.64</v>
      </c>
      <c r="G79" s="0" t="s">
        <v>437</v>
      </c>
      <c r="H79" s="0" t="n">
        <f aca="false">ROUNDUP(F79/8,0)</f>
        <v>6</v>
      </c>
      <c r="I79" s="0" t="s">
        <v>482</v>
      </c>
    </row>
    <row r="80" customFormat="false" ht="15" hidden="false" customHeight="false" outlineLevel="0" collapsed="false">
      <c r="A80" s="0" t="s">
        <v>483</v>
      </c>
      <c r="B80" s="0" t="s">
        <v>329</v>
      </c>
      <c r="C80" s="0" t="n">
        <v>20</v>
      </c>
      <c r="D80" s="0" t="n">
        <f aca="false">Inputs!$B$5</f>
        <v>0.06</v>
      </c>
      <c r="E80" s="0" t="n">
        <f aca="false">C80*D80</f>
        <v>1.2</v>
      </c>
      <c r="F80" s="0" t="n">
        <f aca="false">C80+E80</f>
        <v>21.2</v>
      </c>
      <c r="G80" s="0" t="s">
        <v>437</v>
      </c>
      <c r="H80" s="0" t="n">
        <f aca="false">ROUNDUP(F80/8,0)</f>
        <v>3</v>
      </c>
      <c r="I80" s="0" t="s">
        <v>484</v>
      </c>
    </row>
    <row r="81" customFormat="false" ht="15" hidden="false" customHeight="false" outlineLevel="0" collapsed="false">
      <c r="A81" s="0" t="s">
        <v>485</v>
      </c>
      <c r="B81" s="0" t="s">
        <v>329</v>
      </c>
      <c r="C81" s="0" t="n">
        <v>668.46</v>
      </c>
      <c r="D81" s="0" t="n">
        <f aca="false">Inputs!$B$5</f>
        <v>0.06</v>
      </c>
      <c r="E81" s="0" t="n">
        <f aca="false">C81*D81</f>
        <v>40.1076</v>
      </c>
      <c r="F81" s="0" t="n">
        <f aca="false">C81+E81</f>
        <v>708.5676</v>
      </c>
      <c r="G81" s="0" t="s">
        <v>486</v>
      </c>
      <c r="H81" s="0" t="n">
        <f aca="false">ROUNDUP(F81/25,0)</f>
        <v>29</v>
      </c>
      <c r="I81" s="0" t="s">
        <v>487</v>
      </c>
    </row>
    <row r="82" customFormat="false" ht="15" hidden="false" customHeight="false" outlineLevel="0" collapsed="false">
      <c r="A82" s="0" t="s">
        <v>488</v>
      </c>
      <c r="B82" s="0" t="s">
        <v>329</v>
      </c>
      <c r="C82" s="0" t="n">
        <v>260.05</v>
      </c>
      <c r="D82" s="0" t="n">
        <f aca="false">Inputs!$B$5</f>
        <v>0.06</v>
      </c>
      <c r="E82" s="0" t="n">
        <f aca="false">C82*D82</f>
        <v>15.603</v>
      </c>
      <c r="F82" s="0" t="n">
        <f aca="false">C82+E82</f>
        <v>275.653</v>
      </c>
      <c r="G82" s="0" t="s">
        <v>486</v>
      </c>
      <c r="H82" s="0" t="n">
        <f aca="false">ROUNDUP(F82/25,0)</f>
        <v>12</v>
      </c>
      <c r="I82" s="0" t="s">
        <v>489</v>
      </c>
    </row>
    <row r="83" customFormat="false" ht="15" hidden="false" customHeight="false" outlineLevel="0" collapsed="false">
      <c r="A83" s="0" t="s">
        <v>490</v>
      </c>
      <c r="B83" s="0" t="s">
        <v>425</v>
      </c>
      <c r="C83" s="0" t="n">
        <v>153.2</v>
      </c>
      <c r="D83" s="0" t="n">
        <f aca="false">Inputs!$B$5</f>
        <v>0.06</v>
      </c>
      <c r="E83" s="0" t="n">
        <f aca="false">C83*D83</f>
        <v>9.192</v>
      </c>
      <c r="F83" s="0" t="n">
        <f aca="false">C83+E83</f>
        <v>162.392</v>
      </c>
      <c r="G83" s="0" t="s">
        <v>491</v>
      </c>
      <c r="H83" s="0" t="n">
        <f aca="false">ROUNDUP(F83/Inputs!$B$8,0)</f>
        <v>4</v>
      </c>
      <c r="I83" s="0" t="s">
        <v>492</v>
      </c>
    </row>
    <row r="84" customFormat="false" ht="15" hidden="false" customHeight="false" outlineLevel="0" collapsed="false">
      <c r="A84" s="0" t="s">
        <v>493</v>
      </c>
      <c r="B84" s="0" t="s">
        <v>425</v>
      </c>
      <c r="C84" s="0" t="n">
        <v>5134.48</v>
      </c>
      <c r="D84" s="0" t="n">
        <f aca="false">Inputs!$B$5</f>
        <v>0.06</v>
      </c>
      <c r="E84" s="0" t="n">
        <f aca="false">C84*D84</f>
        <v>308.0688</v>
      </c>
      <c r="F84" s="0" t="n">
        <f aca="false">C84+E84</f>
        <v>5442.5488</v>
      </c>
      <c r="G84" s="0" t="s">
        <v>491</v>
      </c>
      <c r="H84" s="0" t="n">
        <f aca="false">ROUNDUP(F84/Inputs!$B$8,0)</f>
        <v>114</v>
      </c>
      <c r="I84" s="0" t="s">
        <v>494</v>
      </c>
    </row>
    <row r="85" customFormat="false" ht="15" hidden="false" customHeight="false" outlineLevel="0" collapsed="false">
      <c r="A85" s="0" t="s">
        <v>495</v>
      </c>
      <c r="B85" s="0" t="s">
        <v>425</v>
      </c>
      <c r="C85" s="0" t="n">
        <v>17172.33</v>
      </c>
      <c r="D85" s="0" t="n">
        <f aca="false">Inputs!$B$5</f>
        <v>0.06</v>
      </c>
      <c r="E85" s="0" t="n">
        <f aca="false">C85*D85</f>
        <v>1030.3398</v>
      </c>
      <c r="F85" s="0" t="n">
        <f aca="false">C85+E85</f>
        <v>18202.6698</v>
      </c>
      <c r="G85" s="0" t="s">
        <v>449</v>
      </c>
      <c r="H85" s="0" t="n">
        <f aca="false">ROUNDUP(F85/Inputs!$B$8,0)</f>
        <v>380</v>
      </c>
      <c r="I85" s="0" t="s">
        <v>496</v>
      </c>
    </row>
    <row r="86" customFormat="false" ht="15" hidden="false" customHeight="false" outlineLevel="0" collapsed="false">
      <c r="A86" s="0" t="s">
        <v>497</v>
      </c>
      <c r="B86" s="0" t="s">
        <v>425</v>
      </c>
      <c r="C86" s="0" t="n">
        <v>745</v>
      </c>
      <c r="D86" s="0" t="n">
        <f aca="false">Inputs!$B$5</f>
        <v>0.06</v>
      </c>
      <c r="E86" s="0" t="n">
        <f aca="false">C86*D86</f>
        <v>44.7</v>
      </c>
      <c r="F86" s="0" t="n">
        <f aca="false">C86+E86</f>
        <v>789.7</v>
      </c>
      <c r="G86" s="0" t="s">
        <v>422</v>
      </c>
      <c r="H86" s="0" t="n">
        <f aca="false">ROUNDUP(F86/Inputs!$B$8,0)</f>
        <v>17</v>
      </c>
      <c r="I86" s="0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499</v>
      </c>
      <c r="B1" s="4" t="s">
        <v>500</v>
      </c>
      <c r="C1" s="4" t="s">
        <v>501</v>
      </c>
    </row>
    <row r="2" customFormat="false" ht="15" hidden="false" customHeight="false" outlineLevel="0" collapsed="false">
      <c r="A2" s="0" t="s">
        <v>502</v>
      </c>
      <c r="B2" s="0" t="s">
        <v>503</v>
      </c>
      <c r="C2" s="0" t="s">
        <v>504</v>
      </c>
    </row>
    <row r="3" customFormat="false" ht="15" hidden="false" customHeight="false" outlineLevel="0" collapsed="false">
      <c r="A3" s="0" t="s">
        <v>505</v>
      </c>
      <c r="B3" s="0" t="s">
        <v>506</v>
      </c>
      <c r="C3" s="0" t="s">
        <v>507</v>
      </c>
    </row>
    <row r="4" customFormat="false" ht="15" hidden="false" customHeight="false" outlineLevel="0" collapsed="false">
      <c r="A4" s="0" t="s">
        <v>508</v>
      </c>
      <c r="B4" s="0" t="s">
        <v>509</v>
      </c>
      <c r="C4" s="0" t="s">
        <v>510</v>
      </c>
    </row>
    <row r="5" customFormat="false" ht="15" hidden="false" customHeight="false" outlineLevel="0" collapsed="false">
      <c r="A5" s="0" t="s">
        <v>511</v>
      </c>
      <c r="B5" s="0" t="s">
        <v>512</v>
      </c>
      <c r="C5" s="0" t="s">
        <v>513</v>
      </c>
    </row>
    <row r="6" customFormat="false" ht="15" hidden="false" customHeight="false" outlineLevel="0" collapsed="false">
      <c r="A6" s="0" t="s">
        <v>514</v>
      </c>
      <c r="B6" s="0" t="s">
        <v>515</v>
      </c>
      <c r="C6" s="0" t="s">
        <v>516</v>
      </c>
    </row>
    <row r="7" customFormat="false" ht="15" hidden="false" customHeight="false" outlineLevel="0" collapsed="false">
      <c r="A7" s="0" t="s">
        <v>517</v>
      </c>
      <c r="B7" s="0" t="s">
        <v>518</v>
      </c>
      <c r="C7" s="0" t="s">
        <v>519</v>
      </c>
    </row>
    <row r="8" customFormat="false" ht="15" hidden="false" customHeight="false" outlineLevel="0" collapsed="false">
      <c r="A8" s="0" t="s">
        <v>520</v>
      </c>
      <c r="B8" s="0" t="s">
        <v>521</v>
      </c>
      <c r="C8" s="0" t="s">
        <v>522</v>
      </c>
    </row>
    <row r="9" customFormat="false" ht="15" hidden="false" customHeight="false" outlineLevel="0" collapsed="false">
      <c r="A9" s="0" t="s">
        <v>523</v>
      </c>
      <c r="B9" s="0" t="s">
        <v>524</v>
      </c>
      <c r="C9" s="0" t="s">
        <v>525</v>
      </c>
    </row>
    <row r="10" customFormat="false" ht="15" hidden="false" customHeight="false" outlineLevel="0" collapsed="false">
      <c r="A10" s="0" t="s">
        <v>526</v>
      </c>
      <c r="B10" s="0" t="s">
        <v>527</v>
      </c>
      <c r="C10" s="0" t="s">
        <v>528</v>
      </c>
    </row>
    <row r="11" customFormat="false" ht="15" hidden="false" customHeight="false" outlineLevel="0" collapsed="false">
      <c r="A11" s="0" t="s">
        <v>529</v>
      </c>
      <c r="B11" s="0" t="s">
        <v>530</v>
      </c>
      <c r="C11" s="0" t="s">
        <v>531</v>
      </c>
    </row>
    <row r="12" customFormat="false" ht="15" hidden="false" customHeight="false" outlineLevel="0" collapsed="false">
      <c r="A12" s="0" t="s">
        <v>532</v>
      </c>
      <c r="B12" s="0" t="s">
        <v>533</v>
      </c>
      <c r="C12" s="0" t="s">
        <v>534</v>
      </c>
    </row>
    <row r="13" customFormat="false" ht="15" hidden="false" customHeight="false" outlineLevel="0" collapsed="false">
      <c r="A13" s="0" t="s">
        <v>535</v>
      </c>
      <c r="B13" s="0" t="s">
        <v>536</v>
      </c>
      <c r="C13" s="0" t="s">
        <v>537</v>
      </c>
    </row>
    <row r="14" customFormat="false" ht="15" hidden="false" customHeight="false" outlineLevel="0" collapsed="false">
      <c r="A14" s="0" t="s">
        <v>538</v>
      </c>
      <c r="B14" s="0" t="s">
        <v>539</v>
      </c>
      <c r="C14" s="0" t="s">
        <v>540</v>
      </c>
    </row>
    <row r="15" customFormat="false" ht="15" hidden="false" customHeight="false" outlineLevel="0" collapsed="false">
      <c r="A15" s="0" t="s">
        <v>541</v>
      </c>
      <c r="B15" s="0" t="s">
        <v>542</v>
      </c>
      <c r="C15" s="0" t="s">
        <v>543</v>
      </c>
    </row>
    <row r="16" customFormat="false" ht="15" hidden="false" customHeight="false" outlineLevel="0" collapsed="false">
      <c r="A16" s="0" t="s">
        <v>544</v>
      </c>
      <c r="B16" s="0" t="s">
        <v>545</v>
      </c>
      <c r="C16" s="0" t="s">
        <v>546</v>
      </c>
    </row>
    <row r="17" customFormat="false" ht="15" hidden="false" customHeight="false" outlineLevel="0" collapsed="false">
      <c r="A17" s="0" t="s">
        <v>547</v>
      </c>
      <c r="B17" s="0" t="s">
        <v>548</v>
      </c>
      <c r="C17" s="0" t="s">
        <v>549</v>
      </c>
    </row>
    <row r="18" customFormat="false" ht="15" hidden="false" customHeight="false" outlineLevel="0" collapsed="false">
      <c r="A18" s="0" t="s">
        <v>550</v>
      </c>
      <c r="B18" s="0" t="s">
        <v>551</v>
      </c>
      <c r="C18" s="0" t="s">
        <v>552</v>
      </c>
    </row>
    <row r="19" customFormat="false" ht="15" hidden="false" customHeight="false" outlineLevel="0" collapsed="false">
      <c r="A19" s="0" t="s">
        <v>553</v>
      </c>
      <c r="B19" s="0" t="s">
        <v>554</v>
      </c>
      <c r="C19" s="0" t="s">
        <v>555</v>
      </c>
    </row>
    <row r="20" customFormat="false" ht="15" hidden="false" customHeight="false" outlineLevel="0" collapsed="false">
      <c r="A20" s="0" t="s">
        <v>556</v>
      </c>
      <c r="B20" s="0" t="s">
        <v>557</v>
      </c>
      <c r="C20" s="0" t="s">
        <v>558</v>
      </c>
    </row>
    <row r="21" customFormat="false" ht="15" hidden="false" customHeight="false" outlineLevel="0" collapsed="false">
      <c r="A21" s="0" t="s">
        <v>559</v>
      </c>
      <c r="B21" s="0" t="s">
        <v>560</v>
      </c>
      <c r="C21" s="0" t="s">
        <v>561</v>
      </c>
    </row>
    <row r="22" customFormat="false" ht="15" hidden="false" customHeight="false" outlineLevel="0" collapsed="false">
      <c r="A22" s="0" t="s">
        <v>562</v>
      </c>
      <c r="B22" s="0" t="s">
        <v>563</v>
      </c>
      <c r="C22" s="0" t="s">
        <v>564</v>
      </c>
    </row>
    <row r="23" customFormat="false" ht="15" hidden="false" customHeight="false" outlineLevel="0" collapsed="false">
      <c r="A23" s="0" t="s">
        <v>565</v>
      </c>
      <c r="B23" s="0" t="s">
        <v>566</v>
      </c>
      <c r="C23" s="0" t="s">
        <v>567</v>
      </c>
    </row>
    <row r="24" customFormat="false" ht="15" hidden="false" customHeight="false" outlineLevel="0" collapsed="false">
      <c r="A24" s="0" t="s">
        <v>568</v>
      </c>
      <c r="B24" s="0" t="s">
        <v>569</v>
      </c>
      <c r="C24" s="0" t="s">
        <v>570</v>
      </c>
    </row>
    <row r="25" customFormat="false" ht="15" hidden="false" customHeight="false" outlineLevel="0" collapsed="false">
      <c r="A25" s="0" t="s">
        <v>571</v>
      </c>
      <c r="B25" s="0" t="s">
        <v>572</v>
      </c>
      <c r="C25" s="0" t="s">
        <v>573</v>
      </c>
    </row>
    <row r="26" customFormat="false" ht="15" hidden="false" customHeight="false" outlineLevel="0" collapsed="false">
      <c r="A26" s="0" t="s">
        <v>574</v>
      </c>
      <c r="B26" s="0" t="s">
        <v>575</v>
      </c>
      <c r="C26" s="0" t="s">
        <v>576</v>
      </c>
    </row>
    <row r="27" customFormat="false" ht="15" hidden="false" customHeight="false" outlineLevel="0" collapsed="false">
      <c r="A27" s="0" t="s">
        <v>577</v>
      </c>
      <c r="B27" s="0" t="s">
        <v>578</v>
      </c>
      <c r="C27" s="0" t="s">
        <v>579</v>
      </c>
    </row>
    <row r="28" customFormat="false" ht="15" hidden="false" customHeight="false" outlineLevel="0" collapsed="false">
      <c r="A28" s="0" t="s">
        <v>580</v>
      </c>
      <c r="B28" s="0" t="s">
        <v>581</v>
      </c>
      <c r="C28" s="0" t="s">
        <v>582</v>
      </c>
    </row>
    <row r="29" customFormat="false" ht="15" hidden="false" customHeight="false" outlineLevel="0" collapsed="false">
      <c r="A29" s="0" t="s">
        <v>583</v>
      </c>
      <c r="B29" s="0" t="s">
        <v>584</v>
      </c>
      <c r="C29" s="0" t="s">
        <v>585</v>
      </c>
    </row>
    <row r="30" customFormat="false" ht="15" hidden="false" customHeight="false" outlineLevel="0" collapsed="false">
      <c r="A30" s="0" t="s">
        <v>586</v>
      </c>
      <c r="B30" s="0" t="s">
        <v>587</v>
      </c>
      <c r="C30" s="0" t="s">
        <v>588</v>
      </c>
    </row>
    <row r="31" customFormat="false" ht="15" hidden="false" customHeight="false" outlineLevel="0" collapsed="false">
      <c r="A31" s="0" t="s">
        <v>589</v>
      </c>
      <c r="B31" s="0" t="s">
        <v>590</v>
      </c>
      <c r="C31" s="0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3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0" t="s">
        <v>592</v>
      </c>
      <c r="B1" s="0" t="s">
        <v>593</v>
      </c>
      <c r="C1" s="0" t="s">
        <v>594</v>
      </c>
      <c r="D1" s="0" t="s">
        <v>595</v>
      </c>
    </row>
    <row r="2" customFormat="false" ht="15" hidden="false" customHeight="false" outlineLevel="0" collapsed="false">
      <c r="A2" s="0" t="n">
        <v>1</v>
      </c>
      <c r="B2" s="0" t="s">
        <v>596</v>
      </c>
      <c r="C2" s="0" t="s">
        <v>597</v>
      </c>
      <c r="D2" s="0" t="s">
        <v>598</v>
      </c>
    </row>
    <row r="3" customFormat="false" ht="15" hidden="false" customHeight="false" outlineLevel="0" collapsed="false">
      <c r="A3" s="0" t="n">
        <v>2</v>
      </c>
      <c r="B3" s="0" t="s">
        <v>599</v>
      </c>
      <c r="C3" s="0" t="s">
        <v>600</v>
      </c>
      <c r="D3" s="0" t="s">
        <v>601</v>
      </c>
    </row>
    <row r="4" customFormat="false" ht="15" hidden="false" customHeight="false" outlineLevel="0" collapsed="false">
      <c r="A4" s="0" t="n">
        <v>3</v>
      </c>
      <c r="B4" s="0" t="s">
        <v>602</v>
      </c>
      <c r="C4" s="0" t="s">
        <v>603</v>
      </c>
      <c r="D4" s="0" t="s">
        <v>604</v>
      </c>
    </row>
    <row r="5" customFormat="false" ht="15" hidden="false" customHeight="false" outlineLevel="0" collapsed="false">
      <c r="A5" s="0" t="n">
        <v>4</v>
      </c>
      <c r="B5" s="0" t="s">
        <v>605</v>
      </c>
      <c r="C5" s="0" t="s">
        <v>606</v>
      </c>
      <c r="D5" s="0" t="s">
        <v>607</v>
      </c>
    </row>
    <row r="6" customFormat="false" ht="15" hidden="false" customHeight="false" outlineLevel="0" collapsed="false">
      <c r="A6" s="0" t="n">
        <v>5</v>
      </c>
      <c r="B6" s="0" t="s">
        <v>608</v>
      </c>
      <c r="C6" s="0" t="s">
        <v>609</v>
      </c>
      <c r="D6" s="0" t="s">
        <v>610</v>
      </c>
    </row>
    <row r="7" customFormat="false" ht="15" hidden="false" customHeight="false" outlineLevel="0" collapsed="false">
      <c r="A7" s="0" t="n">
        <v>6</v>
      </c>
      <c r="B7" s="0" t="s">
        <v>611</v>
      </c>
      <c r="C7" s="0" t="s">
        <v>612</v>
      </c>
      <c r="D7" s="0" t="s">
        <v>607</v>
      </c>
    </row>
    <row r="8" customFormat="false" ht="15" hidden="false" customHeight="false" outlineLevel="0" collapsed="false">
      <c r="A8" s="0" t="n">
        <v>7</v>
      </c>
      <c r="B8" s="0" t="s">
        <v>613</v>
      </c>
      <c r="C8" s="0" t="s">
        <v>614</v>
      </c>
      <c r="D8" s="0" t="s">
        <v>607</v>
      </c>
    </row>
    <row r="9" customFormat="false" ht="15" hidden="false" customHeight="false" outlineLevel="0" collapsed="false">
      <c r="A9" s="0" t="n">
        <v>8</v>
      </c>
      <c r="B9" s="0" t="s">
        <v>615</v>
      </c>
      <c r="C9" s="0" t="s">
        <v>616</v>
      </c>
      <c r="D9" s="0" t="s">
        <v>607</v>
      </c>
    </row>
    <row r="10" customFormat="false" ht="15" hidden="false" customHeight="false" outlineLevel="0" collapsed="false">
      <c r="A10" s="0" t="n">
        <v>9</v>
      </c>
      <c r="B10" s="0" t="s">
        <v>617</v>
      </c>
      <c r="C10" s="0" t="s">
        <v>597</v>
      </c>
      <c r="D10" s="0" t="s">
        <v>607</v>
      </c>
    </row>
    <row r="11" customFormat="false" ht="15" hidden="false" customHeight="false" outlineLevel="0" collapsed="false">
      <c r="A11" s="0" t="n">
        <v>10</v>
      </c>
      <c r="B11" s="0" t="s">
        <v>618</v>
      </c>
      <c r="C11" s="0" t="s">
        <v>619</v>
      </c>
      <c r="D11" s="0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620</v>
      </c>
      <c r="B1" s="0" t="s">
        <v>621</v>
      </c>
      <c r="C1" s="0" t="s">
        <v>622</v>
      </c>
      <c r="D1" s="0" t="s">
        <v>623</v>
      </c>
    </row>
    <row r="2" customFormat="false" ht="15" hidden="false" customHeight="false" outlineLevel="0" collapsed="false">
      <c r="A2" s="0" t="s">
        <v>624</v>
      </c>
      <c r="B2" s="0" t="s">
        <v>624</v>
      </c>
      <c r="C2" s="0" t="s">
        <v>625</v>
      </c>
      <c r="D2" s="0" t="s">
        <v>626</v>
      </c>
    </row>
    <row r="3" customFormat="false" ht="15" hidden="false" customHeight="false" outlineLevel="0" collapsed="false">
      <c r="A3" s="0" t="s">
        <v>627</v>
      </c>
      <c r="B3" s="0" t="s">
        <v>627</v>
      </c>
      <c r="C3" s="0" t="s">
        <v>625</v>
      </c>
      <c r="D3" s="0" t="s">
        <v>628</v>
      </c>
    </row>
    <row r="4" customFormat="false" ht="15" hidden="false" customHeight="false" outlineLevel="0" collapsed="false">
      <c r="A4" s="0" t="s">
        <v>629</v>
      </c>
      <c r="B4" s="0" t="s">
        <v>629</v>
      </c>
      <c r="C4" s="0" t="s">
        <v>625</v>
      </c>
      <c r="D4" s="0" t="s">
        <v>630</v>
      </c>
    </row>
    <row r="5" customFormat="false" ht="15" hidden="false" customHeight="false" outlineLevel="0" collapsed="false">
      <c r="A5" s="0" t="s">
        <v>631</v>
      </c>
      <c r="B5" s="0" t="s">
        <v>631</v>
      </c>
      <c r="C5" s="0" t="s">
        <v>625</v>
      </c>
      <c r="D5" s="0" t="s">
        <v>632</v>
      </c>
    </row>
    <row r="6" customFormat="false" ht="15" hidden="false" customHeight="false" outlineLevel="0" collapsed="false">
      <c r="A6" s="0" t="s">
        <v>633</v>
      </c>
      <c r="B6" s="0" t="s">
        <v>633</v>
      </c>
      <c r="C6" s="0" t="s">
        <v>625</v>
      </c>
      <c r="D6" s="0" t="s">
        <v>634</v>
      </c>
    </row>
    <row r="7" customFormat="false" ht="15" hidden="false" customHeight="false" outlineLevel="0" collapsed="false">
      <c r="A7" s="0" t="s">
        <v>635</v>
      </c>
      <c r="B7" s="0" t="s">
        <v>635</v>
      </c>
      <c r="C7" s="0" t="s">
        <v>625</v>
      </c>
      <c r="D7" s="0" t="s">
        <v>636</v>
      </c>
    </row>
    <row r="8" customFormat="false" ht="15" hidden="false" customHeight="false" outlineLevel="0" collapsed="false">
      <c r="A8" s="0" t="s">
        <v>637</v>
      </c>
      <c r="B8" s="0" t="s">
        <v>637</v>
      </c>
      <c r="C8" s="0" t="s">
        <v>625</v>
      </c>
      <c r="D8" s="0" t="s">
        <v>638</v>
      </c>
    </row>
    <row r="9" customFormat="false" ht="15" hidden="false" customHeight="false" outlineLevel="0" collapsed="false">
      <c r="A9" s="0" t="s">
        <v>639</v>
      </c>
      <c r="B9" s="0" t="s">
        <v>639</v>
      </c>
      <c r="C9" s="0" t="s">
        <v>625</v>
      </c>
      <c r="D9" s="0" t="s">
        <v>640</v>
      </c>
    </row>
    <row r="10" customFormat="false" ht="15" hidden="false" customHeight="false" outlineLevel="0" collapsed="false">
      <c r="A10" s="0" t="s">
        <v>641</v>
      </c>
      <c r="B10" s="0" t="s">
        <v>641</v>
      </c>
      <c r="C10" s="0" t="s">
        <v>625</v>
      </c>
      <c r="D10" s="0" t="s">
        <v>642</v>
      </c>
    </row>
    <row r="11" customFormat="false" ht="15" hidden="false" customHeight="false" outlineLevel="0" collapsed="false">
      <c r="A11" s="0" t="s">
        <v>643</v>
      </c>
      <c r="B11" s="0" t="s">
        <v>643</v>
      </c>
      <c r="C11" s="0" t="s">
        <v>625</v>
      </c>
      <c r="D11" s="0" t="s">
        <v>644</v>
      </c>
    </row>
    <row r="12" customFormat="false" ht="15" hidden="false" customHeight="false" outlineLevel="0" collapsed="false">
      <c r="A12" s="0" t="s">
        <v>645</v>
      </c>
      <c r="B12" s="0" t="s">
        <v>645</v>
      </c>
      <c r="C12" s="0" t="s">
        <v>625</v>
      </c>
      <c r="D12" s="0" t="s">
        <v>646</v>
      </c>
    </row>
    <row r="13" customFormat="false" ht="15" hidden="false" customHeight="false" outlineLevel="0" collapsed="false">
      <c r="A13" s="0" t="s">
        <v>647</v>
      </c>
      <c r="B13" s="0" t="s">
        <v>647</v>
      </c>
      <c r="C13" s="0" t="s">
        <v>625</v>
      </c>
      <c r="D13" s="0" t="s">
        <v>648</v>
      </c>
    </row>
    <row r="14" customFormat="false" ht="15" hidden="false" customHeight="false" outlineLevel="0" collapsed="false">
      <c r="A14" s="0" t="s">
        <v>649</v>
      </c>
      <c r="B14" s="0" t="s">
        <v>649</v>
      </c>
      <c r="C14" s="0" t="s">
        <v>625</v>
      </c>
      <c r="D14" s="0" t="s">
        <v>650</v>
      </c>
    </row>
    <row r="15" customFormat="false" ht="15" hidden="false" customHeight="false" outlineLevel="0" collapsed="false">
      <c r="A15" s="0" t="s">
        <v>651</v>
      </c>
      <c r="B15" s="0" t="s">
        <v>651</v>
      </c>
      <c r="C15" s="0" t="s">
        <v>625</v>
      </c>
      <c r="D15" s="0" t="s">
        <v>652</v>
      </c>
    </row>
    <row r="16" customFormat="false" ht="15" hidden="false" customHeight="false" outlineLevel="0" collapsed="false">
      <c r="A16" s="0" t="s">
        <v>653</v>
      </c>
      <c r="B16" s="0" t="s">
        <v>653</v>
      </c>
      <c r="C16" s="0" t="s">
        <v>625</v>
      </c>
      <c r="D16" s="0" t="s">
        <v>654</v>
      </c>
    </row>
    <row r="17" customFormat="false" ht="15" hidden="false" customHeight="false" outlineLevel="0" collapsed="false">
      <c r="A17" s="0" t="s">
        <v>655</v>
      </c>
      <c r="B17" s="0" t="s">
        <v>655</v>
      </c>
      <c r="C17" s="0" t="s">
        <v>625</v>
      </c>
      <c r="D17" s="0" t="s">
        <v>656</v>
      </c>
    </row>
    <row r="18" customFormat="false" ht="15" hidden="false" customHeight="false" outlineLevel="0" collapsed="false">
      <c r="A18" s="0" t="s">
        <v>657</v>
      </c>
      <c r="B18" s="0" t="s">
        <v>657</v>
      </c>
      <c r="C18" s="0" t="s">
        <v>625</v>
      </c>
      <c r="D18" s="0" t="s">
        <v>658</v>
      </c>
    </row>
    <row r="19" customFormat="false" ht="15" hidden="false" customHeight="false" outlineLevel="0" collapsed="false">
      <c r="A19" s="0" t="s">
        <v>659</v>
      </c>
      <c r="B19" s="0" t="s">
        <v>659</v>
      </c>
      <c r="C19" s="0" t="s">
        <v>625</v>
      </c>
      <c r="D19" s="0" t="s">
        <v>660</v>
      </c>
    </row>
    <row r="20" customFormat="false" ht="15" hidden="false" customHeight="false" outlineLevel="0" collapsed="false">
      <c r="A20" s="0" t="s">
        <v>661</v>
      </c>
      <c r="B20" s="0" t="s">
        <v>661</v>
      </c>
      <c r="C20" s="0" t="s">
        <v>625</v>
      </c>
      <c r="D20" s="0" t="s">
        <v>662</v>
      </c>
    </row>
    <row r="21" customFormat="false" ht="15" hidden="false" customHeight="false" outlineLevel="0" collapsed="false">
      <c r="A21" s="0" t="s">
        <v>663</v>
      </c>
      <c r="B21" s="0" t="s">
        <v>663</v>
      </c>
      <c r="C21" s="0" t="s">
        <v>625</v>
      </c>
      <c r="D21" s="0" t="s">
        <v>664</v>
      </c>
    </row>
    <row r="22" customFormat="false" ht="15" hidden="false" customHeight="false" outlineLevel="0" collapsed="false">
      <c r="A22" s="0" t="s">
        <v>665</v>
      </c>
      <c r="B22" s="0" t="s">
        <v>665</v>
      </c>
      <c r="C22" s="0" t="s">
        <v>666</v>
      </c>
      <c r="D22" s="0" t="s">
        <v>667</v>
      </c>
    </row>
    <row r="23" customFormat="false" ht="15" hidden="false" customHeight="false" outlineLevel="0" collapsed="false">
      <c r="A23" s="0" t="s">
        <v>668</v>
      </c>
      <c r="B23" s="0" t="s">
        <v>668</v>
      </c>
      <c r="C23" s="0" t="s">
        <v>666</v>
      </c>
      <c r="D23" s="0" t="s">
        <v>669</v>
      </c>
    </row>
    <row r="24" customFormat="false" ht="15" hidden="false" customHeight="false" outlineLevel="0" collapsed="false">
      <c r="A24" s="0" t="s">
        <v>670</v>
      </c>
      <c r="B24" s="0" t="s">
        <v>670</v>
      </c>
      <c r="C24" s="0" t="s">
        <v>625</v>
      </c>
      <c r="D24" s="0" t="s">
        <v>671</v>
      </c>
    </row>
    <row r="25" customFormat="false" ht="15" hidden="false" customHeight="false" outlineLevel="0" collapsed="false">
      <c r="A25" s="0" t="s">
        <v>672</v>
      </c>
      <c r="B25" s="0" t="s">
        <v>672</v>
      </c>
      <c r="C25" s="0" t="s">
        <v>625</v>
      </c>
      <c r="D25" s="0" t="s">
        <v>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2026-10-15T18:25:42Z</dcterms:created>
  <dc:creator>openpyxl</dc:creator>
  <dc:description/>
  <dc:language>en-US</dc:language>
  <cp:lastModifiedBy/>
  <dcterms:modified xsi:type="dcterms:W3CDTF">2026-10-15T18:25:42Z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