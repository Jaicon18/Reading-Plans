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<sst xmlns="http://schemas.openxmlformats.org/spreadsheetml/2006/main" count="1957" uniqueCount="1243">
  <si>
    <t xml:space="preserve">BOA Broomfield (bank branch), Broomfield CO   |   METAL FRAMING &amp; DRYWALL TAKEOFF</t>
  </si>
  <si>
    <t xml:space="preserve">Bid set: boa.pdf   ·   2026-10-21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</si>
  <si>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</si>
  <si>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</si>
  <si>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</si>
  <si>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</si>
  <si>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</si>
  <si>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</si>
  <si>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</si>
  <si>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</si>
  <si>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</si>
  <si>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</si>
  <si>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</si>
  <si>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</si>
  <si>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</si>
  <si>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</si>
  <si>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</si>
  <si>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</si>
  <si>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</si>
  <si>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</si>
  <si>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Project value (canon constants).</t>
  </si>
  <si>
    <t xml:space="preserve">B.O. Deck (ft)</t>
  </si>
  <si>
    <t xml:space="preserve">T.O. Parapet (ft)</t>
  </si>
  <si>
    <t xml:space="preserve">n/a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</si>
  <si>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</si>
  <si>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</si>
  <si>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</si>
  <si>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</si>
  <si>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</si>
  <si>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</si>
  <si>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</si>
  <si>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</si>
  <si>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</si>
  <si>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</si>
  <si>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</si>
  <si>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</si>
  <si>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</si>
  <si>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</si>
  <si>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</si>
  <si>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</si>
  <si>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</si>
  <si>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</si>
  <si>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</si>
  <si>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</si>
  <si>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</si>
  <si>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</si>
  <si>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</si>
  <si>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BOA Broomfield (bank branch), Broomfield CO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</si>
  <si>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</si>
  <si>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</si>
  <si>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</si>
  <si>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</si>
  <si>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</si>
  <si>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</si>
  <si>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</si>
  <si>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</si>
  <si>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</si>
  <si>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</si>
  <si>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</si>
  <si>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</si>
  <si>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A1</t>
  </si>
  <si>
    <t xml:space="preserve">A1  #A1-01  -  N wall of CALLING CUBES 122 (and over MW01 alcove), from W end at MW01 cabinet opening to E outer face of A5 wall A1-14</t>
  </si>
  <si>
    <t xml:space="preserve">A1-01</t>
  </si>
  <si>
    <t xml:space="preserve">3-5/8"</t>
  </si>
  <si>
    <t xml:space="preserve">N wall of CALLING CUBES 122 (and over MW01 alcove), from W end at MW01 cabinet opening to E outer face of A5 wall A1-14</t>
  </si>
  <si>
    <t xml:space="preserve">3/A12.01</t>
  </si>
  <si>
    <t xml:space="preserve">[DERIVED]</t>
  </si>
  <si>
    <t xml:space="preserve">A1  #A1-02  -  E wall of MW01 alcove / W side of CALLING CUBES 122 north part</t>
  </si>
  <si>
    <t xml:space="preserve">A1-02</t>
  </si>
  <si>
    <t xml:space="preserve">E wall of MW01 alcove / W side of CALLING CUBES 122 north part</t>
  </si>
  <si>
    <t xml:space="preserve">A1  #A1-03  -  S wall of MW01 alcove (jog between A5 wall A1-15 and A1-02)</t>
  </si>
  <si>
    <t xml:space="preserve">A1-03</t>
  </si>
  <si>
    <t xml:space="preserve">S wall of MW01 alcove (jog between A5 wall A1-15 and A1-02)</t>
  </si>
  <si>
    <t xml:space="preserve">A1  #A1-04  -  N end wall of CORRIDOR 111 with door 111, from E face of restroom 114 B2/G1 wall to W face of A5 wall A1-15</t>
  </si>
  <si>
    <t xml:space="preserve">A1-04</t>
  </si>
  <si>
    <t xml:space="preserve">N end wall of CORRIDOR 111 with door 111, from E face of restroom 114 B2/G1 wall to W face of A5 wall A1-15</t>
  </si>
  <si>
    <t xml:space="preserve">A1  #A1-05  -  S wall of CALLING CUBES 122 / N wall of BREAK ROOM 118 (MW21 against S face), from jamb box at doors 122/118B to A5 wall A1-14</t>
  </si>
  <si>
    <t xml:space="preserve">A1-05</t>
  </si>
  <si>
    <t xml:space="preserve">S wall of CALLING CUBES 122 / N wall of BREAK ROOM 118 (MW21 against S face), from jamb box at doors 122/118B to A5 wall A1-14</t>
  </si>
  <si>
    <t xml:space="preserve">A1  #A1-06  -  N wall of BREAK ROOM 118 with door 118A, from W outer face of A1-07 to W face of A5 A1-17</t>
  </si>
  <si>
    <t xml:space="preserve">A1-06</t>
  </si>
  <si>
    <t xml:space="preserve">N wall of BREAK ROOM 118 with door 118A, from W outer face of A1-07 to W face of A5 A1-17</t>
  </si>
  <si>
    <t xml:space="preserve">A1  #A1-07  -  Short wall S of A5 A1-14, E edge of MW21 area (between CALLING CUBES 122 SE corner and N wall of BREAK ROOM 118)</t>
  </si>
  <si>
    <t xml:space="preserve">A1-07</t>
  </si>
  <si>
    <t xml:space="preserve">Short wall S of A5 A1-14, E edge of MW21 area (between CALLING CUBES 122 SE corner and N wall of BREAK ROOM 118)</t>
  </si>
  <si>
    <t xml:space="preserve">A1  #A1-08  -  E wall of CORRIDOR 111 / W wall of BREAK ROOM 118 arm, ELECTRICAL 120 and NER 121, with door 118B, from S face of A1-05 to S exterior wall</t>
  </si>
  <si>
    <t xml:space="preserve">A1-08</t>
  </si>
  <si>
    <t xml:space="preserve">E wall of CORRIDOR 111 / W wall of BREAK ROOM 118 arm, ELECTRICAL 120 and NER 121, with door 118B, from S face of A1-05 to S exterior wall</t>
  </si>
  <si>
    <t xml:space="preserve">A1  #A1-09  -  N wall of WORK ROOM 119 / S wall of CASH WINDOW 116, with door 119, from E face of B2 wall (x 1633.08) to inner face of E exterior wall (x 1843.08)</t>
  </si>
  <si>
    <t xml:space="preserve">A1-09</t>
  </si>
  <si>
    <t xml:space="preserve">N wall of WORK ROOM 119 / S wall of CASH WINDOW 116, with door 119, from E face of B2 wall (x 1633.08) to inner face of E exterior wall (x 1843.08)</t>
  </si>
  <si>
    <t xml:space="preserve">TYPE A1K</t>
  </si>
  <si>
    <t xml:space="preserve">A1K  #A1-11  -  S face of OFFICE 4 CB 108 G wall: N teller-line wall of CASH WINDOW 116 (ballistic), x 1653.96-1715.40</t>
  </si>
  <si>
    <t xml:space="preserve">A1-11</t>
  </si>
  <si>
    <t xml:space="preserve">S face of OFFICE 4 CB 108 G wall: N teller-line wall of CASH WINDOW 116 (ballistic), x 1653.96-1715.40</t>
  </si>
  <si>
    <t xml:space="preserve">4/A12.01</t>
  </si>
  <si>
    <t xml:space="preserve">A1K  #A1-12  -  S ballistic wall W part: between A5 A1-17 top and the jog at x 1653.96 (N side of FUTURE FCAM area)</t>
  </si>
  <si>
    <t xml:space="preserve">A1-12</t>
  </si>
  <si>
    <t xml:space="preserve">S ballistic wall W part: between A5 A1-17 top and the jog at x 1653.96 (N side of FUTURE FCAM area)</t>
  </si>
  <si>
    <t xml:space="preserve">A1K  #A1-13  -  S ballistic wall E part of teller line (CASH WINDOW 116), x 1653.96-1715.40, above FUTURE FCAM C1 box</t>
  </si>
  <si>
    <t xml:space="preserve">A1-13</t>
  </si>
  <si>
    <t xml:space="preserve">S ballistic wall E part of teller line (CASH WINDOW 116), x 1653.96-1715.40, above FUTURE FCAM C1 box</t>
  </si>
  <si>
    <t xml:space="preserve">TYPE A5</t>
  </si>
  <si>
    <t xml:space="preserve">A5  #A1-14a+A1-14b  -  E wall of CALLING CUBES 122, from S face of A1-01 to S face of A1-05 (bottom y 1324.08)</t>
  </si>
  <si>
    <t xml:space="preserve">A1-14a+A1-14b</t>
  </si>
  <si>
    <t xml:space="preserve">6"</t>
  </si>
  <si>
    <t xml:space="preserve">E wall of CALLING CUBES 122, from S face of A1-01 to S face of A1-05 (bottom y 1324.08)</t>
  </si>
  <si>
    <t xml:space="preserve">A5  #A1-15  -  W wall of CALLING CUBES 122 (S of MW01 alcove), with recessed FEC-1 on the W face, from S face of A1-03 down to N wall of corridor (bottom y 1236.36)</t>
  </si>
  <si>
    <t xml:space="preserve">A1-15</t>
  </si>
  <si>
    <t xml:space="preserve">W wall of CALLING CUBES 122 (S of MW01 alcove), with recessed FEC-1 on the W face, from S face of A1-03 down to N wall of corridor (bottom y 1236.36)</t>
  </si>
  <si>
    <t xml:space="preserve">A5  #A1-16a+A1-16b  -  Short A5 jamb wall at SW corner of CALLING CUBES 122 (jogged E of A1-15) with door 122, down to N face of A1-05</t>
  </si>
  <si>
    <t xml:space="preserve">A1-16a+A1-16b</t>
  </si>
  <si>
    <t xml:space="preserve">Short A5 jamb wall at SW corner of CALLING CUBES 122 (jogged E of A1-15) with door 122, down to N face of A1-05</t>
  </si>
  <si>
    <t xml:space="preserve">A5  #A1-17  -  W wall of FUTURE FCAM area / E wall of BREAK ROOM 118 N part, with door 116, from S face of A1K A1-12 to top of B2 wall PT0027 (y 1482.12)</t>
  </si>
  <si>
    <t xml:space="preserve">A1-17</t>
  </si>
  <si>
    <t xml:space="preserve">W wall of FUTURE FCAM area / E wall of BREAK ROOM 118 N part, with door 116, from S face of A1K A1-12 to top of B2 wall PT0027 (y 1482.12)</t>
  </si>
  <si>
    <t xml:space="preserve">TYPE B</t>
  </si>
  <si>
    <t xml:space="preserve">B  #A2-B-01  -  N wall of ELECTRICAL 120 (S side of BREAK ROOM 118), between A1 corridor wall (x 1241.8) and B wall A2-B-06</t>
  </si>
  <si>
    <t xml:space="preserve">A2-B-01</t>
  </si>
  <si>
    <t xml:space="preserve">N wall of ELECTRICAL 120 (S side of BREAK ROOM 118), between A1 corridor wall (x 1241.8) and B wall A2-B-06</t>
  </si>
  <si>
    <t xml:space="preserve">1/A12.01</t>
  </si>
  <si>
    <t xml:space="preserve">B  #A2-B-02  -  S wall of MEN'S RESTROOM 113 / N wall of JANITOR CLOSET 112 and STORAGE 117, west exterior wall to corridor B2 wall A2-B2-03</t>
  </si>
  <si>
    <t xml:space="preserve">A2-B-02</t>
  </si>
  <si>
    <t xml:space="preserve">S wall of MEN'S RESTROOM 113 / N wall of JANITOR CLOSET 112 and STORAGE 117, west exterior wall to corridor B2 wall A2-B2-03</t>
  </si>
  <si>
    <t xml:space="preserve">B  #A2-B-03  -  Wall between JANITOR CLOSET 112 (MW06A) and STORAGE 117 (MW05), between A2-B-02 and A2-B-04</t>
  </si>
  <si>
    <t xml:space="preserve">A2-B-03</t>
  </si>
  <si>
    <t xml:space="preserve">Wall between JANITOR CLOSET 112 (MW06A) and STORAGE 117 (MW05), between A2-B-02 and A2-B-04</t>
  </si>
  <si>
    <t xml:space="preserve">B  #A2-B-04  -  S wall of JANITOR CLOSET 112 and STORAGE 117 / N wall of WELLNESS 115, west exterior wall to corridor B2 wall A2-B2-03 (two tags on one line)</t>
  </si>
  <si>
    <t xml:space="preserve">A2-B-04</t>
  </si>
  <si>
    <t xml:space="preserve">S wall of JANITOR CLOSET 112 and STORAGE 117 / N wall of WELLNESS 115, west exterior wall to corridor B2 wall A2-B2-03 (two tags on one line)</t>
  </si>
  <si>
    <t xml:space="preserve">B  #A2-B-05  -  Wall between ELECTRICAL 120 and NER 121, A1 corridor wall (x 1241.8) to B wall A2-B-06</t>
  </si>
  <si>
    <t xml:space="preserve">A2-B-05</t>
  </si>
  <si>
    <t xml:space="preserve">Wall between ELECTRICAL 120 and NER 121, A1 corridor wall (x 1241.8) to B wall A2-B-06</t>
  </si>
  <si>
    <t xml:space="preserve">B  #A2-B-06  -  E wall of ELECTRICAL 120 and NER 121 (W side of BREAK ROOM 118), from A2-B-01 to south exterior wall</t>
  </si>
  <si>
    <t xml:space="preserve">A2-B-06</t>
  </si>
  <si>
    <t xml:space="preserve">E wall of ELECTRICAL 120 and NER 121 (W side of BREAK ROOM 118), from A2-B-01 to south exterior wall</t>
  </si>
  <si>
    <t xml:space="preserve">TYPE B2</t>
  </si>
  <si>
    <t xml:space="preserve">B2  #A2-B2-01  -  E wall of ATM ROOM 102 (door 102), from C1 column wrap A2-C1-04 down to G wall A2-G-01</t>
  </si>
  <si>
    <t xml:space="preserve">A2-B2-01</t>
  </si>
  <si>
    <t xml:space="preserve">E wall of ATM ROOM 102 (door 102), from C1 column wrap A2-C1-04 down to G wall A2-G-01</t>
  </si>
  <si>
    <t xml:space="preserve">B2  #A2-B2-02a+A2-B2-02b  -  E wall of WOMEN'S RESTROOM 114 (door 114) / W side of CORRIDOR 111, from G wall line y 1236.4 to the lavatory alcove top return</t>
  </si>
  <si>
    <t xml:space="preserve">A2-B2-02a+A2-B2-02b</t>
  </si>
  <si>
    <t xml:space="preserve">E wall of WOMEN'S RESTROOM 114 (door 114) / W side of CORRIDOR 111, from G wall line y 1236.4 to the lavatory alcove top return</t>
  </si>
  <si>
    <t xml:space="preserve">B2  #A2-B2-03  -  Corridor west wall: E wall of MEN'S RESTROOM 113, STORAGE 117 and WELLNESS 115 (doors 113, 117, 115), from the lavatory alcove bottom return to the south exterior wall (two tags on one line)</t>
  </si>
  <si>
    <t xml:space="preserve">A2-B2-03</t>
  </si>
  <si>
    <t xml:space="preserve">Corridor west wall: E wall of MEN'S RESTROOM 113, STORAGE 117 and WELLNESS 115 (doors 113, 117, 115), from the lavatory alcove bottom return to the south exterior wall (two tags on one line)</t>
  </si>
  <si>
    <t xml:space="preserve">B2  #A2-B2-04  -  Wall between BREAK ROOM 118 and WORK ROOM 119, from A1 wall (y 1488.1) to south exterior wall (two tags on one line)</t>
  </si>
  <si>
    <t xml:space="preserve">A2-B2-04</t>
  </si>
  <si>
    <t xml:space="preserve">Wall between BREAK ROOM 118 and WORK ROOM 119, from A1 wall (y 1488.1) to south exterior wall (two tags on one line)</t>
  </si>
  <si>
    <t xml:space="preserve">TYPE B2K</t>
  </si>
  <si>
    <t xml:space="preserve">B2K  #A2-B2K-01  -  Kevlar wall at SW corner of OFFICE 4 CB 108 (S of office front), between front-line stub A2-G-11 and the A1K jog</t>
  </si>
  <si>
    <t xml:space="preserve">A2-B2K-01</t>
  </si>
  <si>
    <t xml:space="preserve">Kevlar wall at SW corner of OFFICE 4 CB 108 (S of office front), between front-line stub A2-G-11 and the A1K jog</t>
  </si>
  <si>
    <t xml:space="preserve">TYPE C1</t>
  </si>
  <si>
    <t xml:space="preserve">C1  #A2-C1-01  -  NW storefront pier of VESTIBULE 100 (grid 2 / F-G), C1 interior framing faces</t>
  </si>
  <si>
    <t xml:space="preserve">A2-C1-01</t>
  </si>
  <si>
    <t xml:space="preserve">NW storefront pier of VESTIBULE 100 (grid 2 / F-G), C1 interior framing faces</t>
  </si>
  <si>
    <t xml:space="preserve">1/A09.25</t>
  </si>
  <si>
    <t xml:space="preserve">C1  #A2-C1-02  -  NE storefront pier of VESTIBULE 100 (grid 4 / F-G), C1 interior framing faces</t>
  </si>
  <si>
    <t xml:space="preserve">A2-C1-02</t>
  </si>
  <si>
    <t xml:space="preserve">NE storefront pier of VESTIBULE 100 (grid 4 / F-G), C1 interior framing faces</t>
  </si>
  <si>
    <t xml:space="preserve">2/A09.25</t>
  </si>
  <si>
    <t xml:space="preserve">C1  #A2-C1-03  -  1'-0" x 1'-0" column wrap at E end of the VESTIBULE 100 / 24 HR VESTIBULE 101 line (door 101), storefront glazing above and below</t>
  </si>
  <si>
    <t xml:space="preserve">A2-C1-03</t>
  </si>
  <si>
    <t xml:space="preserve">1'-0" x 1'-0" column wrap at E end of the VESTIBULE 100 / 24 HR VESTIBULE 101 line (door 101), storefront glazing above and below</t>
  </si>
  <si>
    <t xml:space="preserve">6/A12.01</t>
  </si>
  <si>
    <t xml:space="preserve">C1  #A2-C1-04  -  1'-0" x 1'-0" column wrap at E end of the diagonal F wall (24 HR VESTIBULE 101 / ATM ROOM 102), storefront glazing above</t>
  </si>
  <si>
    <t xml:space="preserve">A2-C1-04</t>
  </si>
  <si>
    <t xml:space="preserve">1'-0" x 1'-0" column wrap at E end of the diagonal F wall (24 HR VESTIBULE 101 / ATM ROOM 102), storefront glazing above</t>
  </si>
  <si>
    <t xml:space="preserve">C1  #A2-C1-05+A2-C1-05E+A2-C1-05W  -  C1 furring on N side of the CALLING CUBES 122 A1 wall (display monitor keynote 7), facing WAITING 104 + return of the C1 furring A2-C1-05 (R73.17)</t>
  </si>
  <si>
    <t xml:space="preserve">A2-C1-05+A2-C1-05E+A2-C1-05W</t>
  </si>
  <si>
    <t xml:space="preserve">C1 furring on N side of the CALLING CUBES 122 A1 wall (display monitor keynote 7), facing WAITING 104 + return of the C1 furring A2-C1-05 (R73.17)</t>
  </si>
  <si>
    <t xml:space="preserve">C1  #A2-C1-06  -  N furring of the plumbing chase between WOMEN'S RESTROOM 114 and MEN'S RESTROOM 113 (face toward 114)</t>
  </si>
  <si>
    <t xml:space="preserve">A2-C1-06</t>
  </si>
  <si>
    <t xml:space="preserve">N furring of the plumbing chase between WOMEN'S RESTROOM 114 and MEN'S RESTROOM 113 (face toward 114)</t>
  </si>
  <si>
    <t xml:space="preserve">C1  #A2-C1-07  -  S furring of the plumbing chase between WOMEN'S RESTROOM 114 and MEN'S RESTROOM 113 (face toward 113)</t>
  </si>
  <si>
    <t xml:space="preserve">A2-C1-07</t>
  </si>
  <si>
    <t xml:space="preserve">S furring of the plumbing chase between WOMEN'S RESTROOM 114 and MEN'S RESTROOM 113 (face toward 113)</t>
  </si>
  <si>
    <t xml:space="preserve">C1  #A2-C1-08+A2-C1-08E  -  C1 furring on S side of the A1K teller wall at 'FUTURE FCAM' (CASH WINDOW 116) + return of the C1 furring A2-C1-08 (R73.17)</t>
  </si>
  <si>
    <t xml:space="preserve">A2-C1-08+A2-C1-08E</t>
  </si>
  <si>
    <t xml:space="preserve">C1 furring on S side of the A1K teller wall at 'FUTURE FCAM' (CASH WINDOW 116) + return of the C1 furring A2-C1-08 (R73.17)</t>
  </si>
  <si>
    <t xml:space="preserve">TYPE F</t>
  </si>
  <si>
    <t xml:space="preserve">F  #A2-F-01  -  Diagonal wall (60 deg) between 24 HR VESTIBULE 101 and ATM ROOM 102 (DAY 1 ATM), west exterior wall to C1 column wrap A2-C1-04</t>
  </si>
  <si>
    <t xml:space="preserve">A2-F-01</t>
  </si>
  <si>
    <t xml:space="preserve">Diagonal wall (60 deg) between 24 HR VESTIBULE 101 and ATM ROOM 102 (DAY 1 ATM), west exterior wall to C1 column wrap A2-C1-04</t>
  </si>
  <si>
    <t xml:space="preserve">12/A12.01</t>
  </si>
  <si>
    <t xml:space="preserve">TYPE G</t>
  </si>
  <si>
    <t xml:space="preserve">G  #A2-G-01  -  S wall of ATM ROOM 102 / N wall of OFFICE 5 CB 109, storefront pier (x 911.9) to the west office front line, incl. the 4" return at front 109</t>
  </si>
  <si>
    <t xml:space="preserve">A2-G-01</t>
  </si>
  <si>
    <t xml:space="preserve">1-5/8"</t>
  </si>
  <si>
    <t xml:space="preserve">S wall of ATM ROOM 102 / N wall of OFFICE 5 CB 109, storefront pier (x 911.9) to the west office front line, incl. the 4" return at front 109</t>
  </si>
  <si>
    <t xml:space="preserve">5/A12.01</t>
  </si>
  <si>
    <t xml:space="preserve">G  #A2-G-02  -  Demising wall between OFFICE 5 CB 109 and OFFICE 6 CB 110, west exterior wall to G1 front stub A2-G1-02</t>
  </si>
  <si>
    <t xml:space="preserve">A2-G-02</t>
  </si>
  <si>
    <t xml:space="preserve">Demising wall between OFFICE 5 CB 109 and OFFICE 6 CB 110, west exterior wall to G1 front stub A2-G1-02</t>
  </si>
  <si>
    <t xml:space="preserve">G  #A2-G-03  -  S wall of OFFICE 6 CB 110 / N wall of WOMEN'S RESTROOM 114, west exterior wall to E face of the west front line</t>
  </si>
  <si>
    <t xml:space="preserve">A2-G-03</t>
  </si>
  <si>
    <t xml:space="preserve">S wall of OFFICE 6 CB 110 / N wall of WOMEN'S RESTROOM 114, west exterior wall to E face of the west front line</t>
  </si>
  <si>
    <t xml:space="preserve">G  #A2-G-04  -  East office front line stub between DFC-1A fronts (OFFICE 1 ME 105 / OFFICE 2 CL 106)</t>
  </si>
  <si>
    <t xml:space="preserve">A2-G-04</t>
  </si>
  <si>
    <t xml:space="preserve">East office front line stub between DFC-1A fronts (OFFICE 1 ME 105 / OFFICE 2 CL 106)</t>
  </si>
  <si>
    <t xml:space="preserve">G  #A2-G-05  -  East office front line stub between DFC-1A fronts (OFFICE 2 CL 106 / OFFICE 3 SB 107)</t>
  </si>
  <si>
    <t xml:space="preserve">A2-G-05</t>
  </si>
  <si>
    <t xml:space="preserve">East office front line stub between DFC-1A fronts (OFFICE 2 CL 106 / OFFICE 3 SB 107)</t>
  </si>
  <si>
    <t xml:space="preserve">G  #A2-G-06  -  East office front line stub between DFC-1A fronts (OFFICE 3 SB 107 / OFFICE 4 CB 108)</t>
  </si>
  <si>
    <t xml:space="preserve">A2-G-06</t>
  </si>
  <si>
    <t xml:space="preserve">East office front line stub between DFC-1A fronts (OFFICE 3 SB 107 / OFFICE 4 CB 108)</t>
  </si>
  <si>
    <t xml:space="preserve">G  #A2-G-07  -  Demising wall between OFFICE 2 CL 106 and OFFICE 3 SB 107, east office front line to east exterior wall</t>
  </si>
  <si>
    <t xml:space="preserve">A2-G-07</t>
  </si>
  <si>
    <t xml:space="preserve">Demising wall between OFFICE 2 CL 106 and OFFICE 3 SB 107, east office front line to east exterior wall</t>
  </si>
  <si>
    <t xml:space="preserve">G  #A2-G-08  -  Demising wall between OFFICE 3 SB 107 and OFFICE 4 CB 108, east office front line to east exterior wall</t>
  </si>
  <si>
    <t xml:space="preserve">A2-G-08</t>
  </si>
  <si>
    <t xml:space="preserve">Demising wall between OFFICE 3 SB 107 and OFFICE 4 CB 108, east office front line to east exterior wall</t>
  </si>
  <si>
    <t xml:space="preserve">G  #A2-G-09  -  S wall of OFFICE 4 CB 108 / N wall of CASH WINDOW 116, from A1K jog (x 1661.8) to east exterior wall</t>
  </si>
  <si>
    <t xml:space="preserve">A2-G-09</t>
  </si>
  <si>
    <t xml:space="preserve">S wall of OFFICE 4 CB 108 / N wall of CASH WINDOW 116, from A1K jog (x 1661.8) to east exterior wall</t>
  </si>
  <si>
    <t xml:space="preserve">G  #A2-G-10  -  East office front line, north stub: north exterior wall to front 105 first jamb (OFFICE 1 ME 105)</t>
  </si>
  <si>
    <t xml:space="preserve">A2-G-10</t>
  </si>
  <si>
    <t xml:space="preserve">East office front line, north stub: north exterior wall to front 105 first jamb (OFFICE 1 ME 105)</t>
  </si>
  <si>
    <t xml:space="preserve">G  #A2-G-11  -  East office front line, south stub: front 108 last jamb to the B2K corner</t>
  </si>
  <si>
    <t xml:space="preserve">A2-G-11</t>
  </si>
  <si>
    <t xml:space="preserve">East office front line, south stub: front 108 last jamb to the B2K corner</t>
  </si>
  <si>
    <t xml:space="preserve">TYPE G1</t>
  </si>
  <si>
    <t xml:space="preserve">G1  #A2-G1-01  -  Demising wall between OFFICE 1 ME 105 and OFFICE 2 CL 106, east office front line to east exterior wall</t>
  </si>
  <si>
    <t xml:space="preserve">A2-G1-01</t>
  </si>
  <si>
    <t xml:space="preserve">Demising wall between OFFICE 1 ME 105 and OFFICE 2 CL 106, east office front line to east exterior wall</t>
  </si>
  <si>
    <t xml:space="preserve">G1  #A2-G1-02  -  West office front line stub between DFC-1A fronts of OFFICE 5 CB 109 and OFFICE 6 CB 110</t>
  </si>
  <si>
    <t xml:space="preserve">A2-G1-02</t>
  </si>
  <si>
    <t xml:space="preserve">West office front line stub between DFC-1A fronts of OFFICE 5 CB 109 and OFFICE 6 CB 110</t>
  </si>
  <si>
    <t xml:space="preserve">G1  #A2-G1-03  -  West office front line, south stub: front 110 last jamb to G wall A2-G-03</t>
  </si>
  <si>
    <t xml:space="preserve">A2-G1-03</t>
  </si>
  <si>
    <t xml:space="preserve">West office front line, south stub: front 110 last jamb to G wall A2-G-03</t>
  </si>
  <si>
    <t xml:space="preserve">TYPE BULKHEAD-G</t>
  </si>
  <si>
    <t xml:space="preserve">BULKHEAD-G  #A2-BH-01+A2-BH-02+A2-BH-03+A2-BH-04  -  Office bulkhead over the DFC-1A office front of OFFICE 1 ME 105 (front line east) + Office bulkhead over the DFC-1A office front of OFFICE 2 CL 106 (front line east) + Office bulkhead over the DFC-1A office front of OFFICE 3 SB 107 (front line east) + Office bulkhead over the DFC-1A office front of OFFICE 4 CB 108 (front line east)</t>
  </si>
  <si>
    <t xml:space="preserve">A2-BH-01+A2-BH-02+A2-BH-03+A2-BH-04</t>
  </si>
  <si>
    <t xml:space="preserve">Office bulkhead over the DFC-1A office front of OFFICE 1 ME 105 (front line east) + Office bulkhead over the DFC-1A office front of OFFICE 2 CL 106 (front line east) + Office bulkhead over the DFC-1A office front of OFFICE 3 SB 107 (front line east) + Office bulkhead over the DFC-1A office front of OFFICE 4 CB 108 (front line east)</t>
  </si>
  <si>
    <t xml:space="preserve">8/A12.01</t>
  </si>
  <si>
    <t xml:space="preserve">BULKHEAD-G  #A2-BH-05+A2-BH-06  -  Office bulkhead over the DFC-1A office front of OFFICE 5 CB 109 (front line west) + Office bulkhead over the DFC-1A office front of OFFICE 6 CB 110 (front line west)</t>
  </si>
  <si>
    <t xml:space="preserve">A2-BH-05+A2-BH-06</t>
  </si>
  <si>
    <t xml:space="preserve">Office bulkhead over the DFC-1A office front of OFFICE 5 CB 109 (front line west) + Office bulkhead over the DFC-1A office front of OFFICE 6 CB 110 (front line west)</t>
  </si>
  <si>
    <t xml:space="preserve">TYPE EXT-6CFMF</t>
  </si>
  <si>
    <t xml:space="preserve">EXT-6CFMF  #A3-N1  -  North facade, grid F between storefront east jamb (grid ~7) and NE corner grid 8 (Office 105 north wall)</t>
  </si>
  <si>
    <t xml:space="preserve">A3-N1</t>
  </si>
  <si>
    <t xml:space="preserve">North facade, grid F between storefront east jamb (grid ~7) and NE corner grid 8 (Office 105 north wall)</t>
  </si>
  <si>
    <t xml:space="preserve">C/A09.21</t>
  </si>
  <si>
    <t xml:space="preserve">EXT-6CFMF  #A3-E1a+A3-E1b  -  East facade, grid 8 from NE corner (grid F) to grid B (Offices 105-108, Cash Window 116) + East facade, grid 8 from grid B to SE corner grid A (Work Room 119, Break Room 118 side)</t>
  </si>
  <si>
    <t xml:space="preserve">A3-E1a+A3-E1b</t>
  </si>
  <si>
    <t xml:space="preserve">East facade, grid 8 from NE corner (grid F) to grid B (Offices 105-108, Cash Window 116) + East facade, grid 8 from grid B to SE corner grid A (Work Room 119, Break Room 118 side)</t>
  </si>
  <si>
    <t xml:space="preserve">EXT-6CFMF  #A3-S1a+A3-S1b  -  South facade, grid A from SW corner (grid 3) to grid 6 (Wellness 115, door 123 exit, NER 121) + South facade, grid A from grid 6 to SE corner grid 8 (Break Room 118, Work Room 119)</t>
  </si>
  <si>
    <t xml:space="preserve">A3-S1a+A3-S1b</t>
  </si>
  <si>
    <t xml:space="preserve">South facade, grid A from SW corner (grid 3) to grid 6 (Wellness 115, door 123 exit, NER 121) + South facade, grid A from grid 6 to SE corner grid 8 (Break Room 118, Work Room 119)</t>
  </si>
  <si>
    <t xml:space="preserve">EXT-6CFMF  #A3-W2a+A3-W2b  -  West facade, grid 3 from grid D to grid B (Offices 109 / 110) + West facade, grid 3 from grid B to SW corner grid A (restrooms 113/114, Janitor 112, Wellness 115)</t>
  </si>
  <si>
    <t xml:space="preserve">A3-W2a+A3-W2b</t>
  </si>
  <si>
    <t xml:space="preserve">West facade, grid 3 from grid D to grid B (Offices 109 / 110) + West facade, grid 3 from grid B to SW corner grid A (restrooms 113/114, Janitor 112, Wellness 115)</t>
  </si>
  <si>
    <t xml:space="preserve">EXT-6CFMF  #A3-SJ  -  South-facing jog at grid D between grid 2 and grid 3 (south wall of ATM Room 102)</t>
  </si>
  <si>
    <t xml:space="preserve">A3-SJ</t>
  </si>
  <si>
    <t xml:space="preserve">South-facing jog at grid D between grid 2 and grid 3 (south wall of ATM Room 102)</t>
  </si>
  <si>
    <t xml:space="preserve">EXT-6CFMF  #A3-W1  -  West facade, grid 2 from storefront south jamb (Vestibule 100) to outside corner 2/D (24 HR Vestibule 101, ATM Room 102)</t>
  </si>
  <si>
    <t xml:space="preserve">A3-W1</t>
  </si>
  <si>
    <t xml:space="preserve">West facade, grid 2 from storefront south jamb (Vestibule 100) to outside corner 2/D (24 HR Vestibule 101, ATM Room 102)</t>
  </si>
  <si>
    <t xml:space="preserve">EXT-6CFMF  #A3-PIER2  -  A3-PIER2</t>
  </si>
  <si>
    <t xml:space="preserve">A3-PIER2</t>
  </si>
  <si>
    <t xml:space="preserve">6" CFMF (600S162-54)</t>
  </si>
  <si>
    <t xml:space="preserve">1/A09.25 (plan A02.01)</t>
  </si>
  <si>
    <t xml:space="preserve">EXT-6CFMF  #A3-PIER4  -  A3-PIER4</t>
  </si>
  <si>
    <t xml:space="preserve">A3-PIER4</t>
  </si>
  <si>
    <t xml:space="preserve">2/A09.25 (plan A02.01)</t>
  </si>
  <si>
    <t xml:space="preserve">TYPE CANOPY-COL</t>
  </si>
  <si>
    <t xml:space="preserve">CANOPY-COL  #A3-CW1  -  Drive-up canopy column wrap at grid 1 / F (bubble 5/A09.25)</t>
  </si>
  <si>
    <t xml:space="preserve">A3-CW1</t>
  </si>
  <si>
    <t xml:space="preserve">Drive-up canopy column wrap at grid 1 / F (bubble 5/A09.25)</t>
  </si>
  <si>
    <t xml:space="preserve">5/A09.25</t>
  </si>
  <si>
    <t xml:space="preserve">CANOPY-COL  #A3-CW2  -  Drive-up canopy column wrap at grid 1 / E.4 (bubble 5/A09.25)</t>
  </si>
  <si>
    <t xml:space="preserve">A3-CW2</t>
  </si>
  <si>
    <t xml:space="preserve">Drive-up canopy column wrap at grid 1 / E.4 (bubble 5/A09.25)</t>
  </si>
  <si>
    <t xml:space="preserve">CANOPY-COL  #A3-CW3  -  Drive-up canopy column wrap at grid 1 / C.5 (bubble 5/A09.25)</t>
  </si>
  <si>
    <t xml:space="preserve">A3-CW3</t>
  </si>
  <si>
    <t xml:space="preserve">Drive-up canopy column wrap at grid 1 / C.5 (bubble 5/A09.25)</t>
  </si>
  <si>
    <t xml:space="preserve">CANOPY-COL  #A3-CW4  -  Drive-up canopy column wrap at grid 1 / B.2 (bubble 5/A09.25)</t>
  </si>
  <si>
    <t xml:space="preserve">A3-CW4</t>
  </si>
  <si>
    <t xml:space="preserve">Drive-up canopy column wrap at grid 1 / B.2 (bubble 5/A09.25)</t>
  </si>
  <si>
    <t xml:space="preserve">TYPE EXT-PARAPET</t>
  </si>
  <si>
    <t xml:space="preserve">EXT-PARAPET  #A3-P-G  -  Tower (HP) parapet on grid G from grid 2 to grid 4 over Vestibule 100 entrance</t>
  </si>
  <si>
    <t xml:space="preserve">A3-P-G</t>
  </si>
  <si>
    <t xml:space="preserve">6" (600S162-54 parapet infill, 11/S5.10)</t>
  </si>
  <si>
    <t xml:space="preserve">Tower (HP) parapet on grid G from grid 2 to grid 4 over Vestibule 100 entrance</t>
  </si>
  <si>
    <t xml:space="preserve">4/A09.26; 11/S5.10</t>
  </si>
  <si>
    <t xml:space="preserve">EXT-PARAPET  #A3-P-4R  -  Tower (HP) east return stub on grid 4, from grid G parapet inner face south past grid F (free end)</t>
  </si>
  <si>
    <t xml:space="preserve">A3-P-4R</t>
  </si>
  <si>
    <t xml:space="preserve">Tower (HP) east return stub on grid 4, from grid G parapet inner face south past grid F (free end)</t>
  </si>
  <si>
    <t xml:space="preserve">4/A09.26; 11/S5.10; 1/A02.02</t>
  </si>
  <si>
    <t xml:space="preserve">EXT-PARAPET  #A3-P-F  -  Main (LP) north parapet on grid F from grid 4 to grid 8</t>
  </si>
  <si>
    <t xml:space="preserve">A3-P-F</t>
  </si>
  <si>
    <t xml:space="preserve">Main (LP) north parapet on grid F from grid 4 to grid 8</t>
  </si>
  <si>
    <t xml:space="preserve">EXT-PARAPET  #A3-P-8a+A3-P-8b  -  East (LP) parapet on grid 8 from grid F to grid B (HI roof) + East (LP) parapet on grid 8 from grid B to grid A (LOW roof)</t>
  </si>
  <si>
    <t xml:space="preserve">A3-P-8a+A3-P-8b</t>
  </si>
  <si>
    <t xml:space="preserve">East (LP) parapet on grid 8 from grid F to grid B (HI roof) + East (LP) parapet on grid 8 from grid B to grid A (LOW roof)</t>
  </si>
  <si>
    <t xml:space="preserve">EXT-PARAPET  #A3-P-A  -  South (LP) parapet on grid A from grid 3 to grid 8</t>
  </si>
  <si>
    <t xml:space="preserve">A3-P-A</t>
  </si>
  <si>
    <t xml:space="preserve">South (LP) parapet on grid A from grid 3 to grid 8</t>
  </si>
  <si>
    <t xml:space="preserve">EXT-PARAPET  #A3-P-3a+A3-P-3b  -  West (LP) parapet on grid 3 from grid D to grid B (HI roof) + West (LP) parapet on grid 3 from grid B to grid A (LOW roof)</t>
  </si>
  <si>
    <t xml:space="preserve">A3-P-3a+A3-P-3b</t>
  </si>
  <si>
    <t xml:space="preserve">West (LP) parapet on grid 3 from grid D to grid B (HI roof) + West (LP) parapet on grid 3 from grid B to grid A (LOW roof)</t>
  </si>
  <si>
    <t xml:space="preserve">EXT-PARAPET  #A3-P-D  -  Jog (HP) parapet on grid D from grid 2 to grid 3 over the ATM Room 102 south wall</t>
  </si>
  <si>
    <t xml:space="preserve">A3-P-D</t>
  </si>
  <si>
    <t xml:space="preserve">Jog (HP) parapet on grid D from grid 2 to grid 3 over the ATM Room 102 south wall</t>
  </si>
  <si>
    <t xml:space="preserve">EXT-PARAPET  #A3-P-2  -  West tower (HP) parapet on grid 2 from grid G to grid D</t>
  </si>
  <si>
    <t xml:space="preserve">A3-P-2</t>
  </si>
  <si>
    <t xml:space="preserve">West tower (HP) parapet on grid 2 from grid G to grid D</t>
  </si>
  <si>
    <t xml:space="preserve">TOTAL - PARTITIONS</t>
  </si>
  <si>
    <t xml:space="preserve">TYPE OTHER FRAMING (NOT A PARTITION)</t>
  </si>
  <si>
    <t xml:space="preserve">storefront_cripples  #A3-SFC-G  -  North (grid G) vestibule entrance storefront head, between piers at grid 2 and grid 4</t>
  </si>
  <si>
    <t xml:space="preserve">A3-SFC-G</t>
  </si>
  <si>
    <t xml:space="preserve">North (grid G) vestibule entrance storefront head, between piers at grid 2 and grid 4</t>
  </si>
  <si>
    <t xml:space="preserve">2/A09.26</t>
  </si>
  <si>
    <t xml:space="preserve">storefront_cripples  #A3-SFC-F  -  North (grid F) storefront head from pier at grid 4 to N1 (Central Zone 103 / Waiting 104)</t>
  </si>
  <si>
    <t xml:space="preserve">A3-SFC-F</t>
  </si>
  <si>
    <t xml:space="preserve">North (grid F) storefront head from pier at grid 4 to N1 (Central Zone 103 / Waiting 104)</t>
  </si>
  <si>
    <t xml:space="preserve">storefront_cripples  #A3-SFC-W  -  West (grid 2) storefront head between pier at G/F and W1 (Vestibule 100)</t>
  </si>
  <si>
    <t xml:space="preserve">A3-SFC-W</t>
  </si>
  <si>
    <t xml:space="preserve">West (grid 2) storefront head between pier at G/F and W1 (Vestibule 100)</t>
  </si>
  <si>
    <t xml:space="preserve">fascia_box  #A3-FB-N  -  North canopy fascia, full north edge (drive-up canopy NW corner to east side canopy NE corner)</t>
  </si>
  <si>
    <t xml:space="preserve">A3-FB-N</t>
  </si>
  <si>
    <t xml:space="preserve">North canopy fascia, full north edge (drive-up canopy NW corner to east side canopy NE corner)</t>
  </si>
  <si>
    <t xml:space="preserve">3/A09.26</t>
  </si>
  <si>
    <t xml:space="preserve">fascia_box  #A3-FB-W  -  Drive-up canopy west fascia (outside grid 1)</t>
  </si>
  <si>
    <t xml:space="preserve">A3-FB-W</t>
  </si>
  <si>
    <t xml:space="preserve">Drive-up canopy west fascia (outside grid 1)</t>
  </si>
  <si>
    <t xml:space="preserve">16/A09.27</t>
  </si>
  <si>
    <t xml:space="preserve">fascia_box  #A3-FB-S1  -  Drive-up canopy south fascia (grid B.2/B, from canopy west edge to grid 3 wall)</t>
  </si>
  <si>
    <t xml:space="preserve">A3-FB-S1</t>
  </si>
  <si>
    <t xml:space="preserve">Drive-up canopy south fascia (grid B.2/B, from canopy west edge to grid 3 wall)</t>
  </si>
  <si>
    <t xml:space="preserve">fascia_box  #A3-FB-S2  -  South door-123 canopy fascia (grid A between grids 3.4 and 5+), front + two end returns</t>
  </si>
  <si>
    <t xml:space="preserve">A3-FB-S2</t>
  </si>
  <si>
    <t xml:space="preserve">South door-123 canopy fascia (grid A between grids 3.4 and 5+), front + two end returns</t>
  </si>
  <si>
    <t xml:space="preserve">7/A09.26 (SIM per F/A09.22)</t>
  </si>
  <si>
    <t xml:space="preserve">fascia_box  #A3-FB-E  -  East side canopy fascia along grid 8 (F to ~B.2) + south end return</t>
  </si>
  <si>
    <t xml:space="preserve">A3-FB-E</t>
  </si>
  <si>
    <t xml:space="preserve">East side canopy fascia along grid 8 (F to ~B.2) + south end return</t>
  </si>
  <si>
    <t xml:space="preserve">7/A09.26</t>
  </si>
  <si>
    <t xml:space="preserve">ceiling_transition  #A5-T1  -  N edge of Waiting 104 GB 11'-0" island against Central Zone 103 ACT-4 11'-6"</t>
  </si>
  <si>
    <t xml:space="preserve">A5-T1</t>
  </si>
  <si>
    <t xml:space="preserve">N edge of Waiting 104 GB 11'-0" island against Central Zone 103 ACT-4 11'-6"</t>
  </si>
  <si>
    <t xml:space="preserve">7/A09.33</t>
  </si>
  <si>
    <t xml:space="preserve">ceiling_transition  #A5-T2  -  W edge of Waiting 104 GB 11'-0" island against Central Zone 103 ACT-4 11'-6"</t>
  </si>
  <si>
    <t xml:space="preserve">A5-T2</t>
  </si>
  <si>
    <t xml:space="preserve">W edge of Waiting 104 GB 11'-0" island against Central Zone 103 ACT-4 11'-6"</t>
  </si>
  <si>
    <t xml:space="preserve">ceiling_transition  #A5-T3  -  E edge of Waiting 104 GB 11'-0" island against Central Zone 103 ACT-4 11'-6"</t>
  </si>
  <si>
    <t xml:space="preserve">A5-T3</t>
  </si>
  <si>
    <t xml:space="preserve">E edge of Waiting 104 GB 11'-0" island against Central Zone 103 ACT-4 11'-6"</t>
  </si>
  <si>
    <t xml:space="preserve">soffit_side  #A5-SS1  -  W long side of the CSR soffit (GB 8'-0") in Cash Window 116, N of grid B</t>
  </si>
  <si>
    <t xml:space="preserve">A5-SS1</t>
  </si>
  <si>
    <t xml:space="preserve">W long side of the CSR soffit (GB 8'-0") in Cash Window 116, N of grid B</t>
  </si>
  <si>
    <t xml:space="preserve">10/A09.33</t>
  </si>
  <si>
    <t xml:space="preserve">soffit_side  #A5-SS2  -  W long side of the CSR soffit (GB 8'-0") in Cash Window 116, S of grid B</t>
  </si>
  <si>
    <t xml:space="preserve">A5-SS2</t>
  </si>
  <si>
    <t xml:space="preserve">W long side of the CSR soffit (GB 8'-0") in Cash Window 116, S of grid B</t>
  </si>
  <si>
    <t xml:space="preserve">soffit_side  #A5-SS3  -  E long side of the CSR soffit (GB 8'-0") in Cash Window 116, N of grid B</t>
  </si>
  <si>
    <t xml:space="preserve">A5-SS3</t>
  </si>
  <si>
    <t xml:space="preserve">E long side of the CSR soffit (GB 8'-0") in Cash Window 116, N of grid B</t>
  </si>
  <si>
    <t xml:space="preserve">soffit_side  #A5-SS4  -  E long side of the CSR soffit (GB 8'-0") in Cash Window 116, S of grid B</t>
  </si>
  <si>
    <t xml:space="preserve">A5-SS4</t>
  </si>
  <si>
    <t xml:space="preserve">E long side of the CSR soffit (GB 8'-0") in Cash Window 116, S of grid B</t>
  </si>
  <si>
    <t xml:space="preserve">vestibule_head  #A4-VH-101  -  Vestibule head framing over the all-glass line between Vestibule 100 and 24 HR Vestibule 101 (opening 101)</t>
  </si>
  <si>
    <t xml:space="preserve">A4-VH-101</t>
  </si>
  <si>
    <t xml:space="preserve">Vestibule head framing over the all-glass line between Vestibule 100 and 24 HR Vestibule 101 (opening 101)</t>
  </si>
  <si>
    <t xml:space="preserve">6/A12.10</t>
  </si>
  <si>
    <t xml:space="preserve">vestibule_head  #A4-VH-100A  -  Vestibule head framing over the all-glass line on grid 4 between Vestibule 100 and Central Zone 103 (opening 100A)</t>
  </si>
  <si>
    <t xml:space="preserve">A4-VH-100A</t>
  </si>
  <si>
    <t xml:space="preserve">Vestibule head framing over the all-glass line on grid 4 between Vestibule 100 and Central Zone 103 (opening 100A)</t>
  </si>
  <si>
    <t xml:space="preserve">4/A12.10</t>
  </si>
  <si>
    <t xml:space="preserve">grille_head  #A4-GH-103  -  Coiling grille 103 head framing on grid 4 between 24 HR Vestibule 101 and Central Zone 103</t>
  </si>
  <si>
    <t xml:space="preserve">A4-GH-103</t>
  </si>
  <si>
    <t xml:space="preserve">2-1/2"</t>
  </si>
  <si>
    <t xml:space="preserve">Coiling grille 103 head framing on grid 4 between 24 HR Vestibule 101 and Central Zone 103</t>
  </si>
  <si>
    <t xml:space="preserve">4/A08.21</t>
  </si>
  <si>
    <t xml:space="preserve">roof_step  #A6-RS-1  -  Roof step at grid B, outer row above the low roof (nailbase + membrane, 2X FRT blocking on top)</t>
  </si>
  <si>
    <t xml:space="preserve">A6-RS-1</t>
  </si>
  <si>
    <t xml:space="preserve">Roof step at grid B, outer row above the low roof (nailbase + membrane, 2X FRT blocking on top)</t>
  </si>
  <si>
    <t xml:space="preserve">4/A02.02</t>
  </si>
  <si>
    <t xml:space="preserve">roof_step  #A6-RS-2  -  Roof step at grid B, row on the high-roof side from the high steel down to the soffit</t>
  </si>
  <si>
    <t xml:space="preserve">A6-RS-2</t>
  </si>
  <si>
    <t xml:space="preserve">Roof step at grid B, row on the high-roof side from the high steel down to the soffit</t>
  </si>
  <si>
    <t xml:space="preserve">roof_step  #A6-RS-3  -  Roof step at grid B, row under the low deck down to the soffit</t>
  </si>
  <si>
    <t xml:space="preserve">A6-RS-3</t>
  </si>
  <si>
    <t xml:space="preserve">Roof step at grid B, row under the low deck down to the soffit</t>
  </si>
  <si>
    <t xml:space="preserve">alcove  #A1-10+A1-10S+A1-10N  -  Untagged drinking-fountain alcove off CORRIDOR 111 (back wall + N and S returns) set into the restroom block between WOMEN'S RESTROOM 114 and MEN'S RESTROOM 113 + drinking-fountain alcove south return (CORRIDOR 111 side of the B2 line), from the alcove back face x 1099.68 to the B2 face x 1123.08 + drinking-fountain alcove north return (CORRIDOR 111 side of the B2 line), from the alcove back face x 1099.68 to the B2 face x 1123.08</t>
  </si>
  <si>
    <t xml:space="preserve">A1-10+A1-10S+A1-10N</t>
  </si>
  <si>
    <t xml:space="preserve">Untagged drinking-fountain alcove off CORRIDOR 111 (back wall + N and S returns) set into the restroom block between WOMEN'S RESTROOM 114 and MEN'S RESTROOM 113 + drinking-fountain alcove south return (CORRIDOR 111 side of the B2 line), from the alcove back face x 1099.68 to the B2 face x 1123.08 + drinking-fountain alcove north return (CORRIDOR 111 side of the B2 line), from the alcove back face x 1099.68 to the B2 face x 1123.08</t>
  </si>
  <si>
    <t xml:space="preserve">stub  #A2-G1-STUB  -  4" untagged stub of the W office-front line (G1 thickness) between G wall A2-G-01 and the office 109 first jamb</t>
  </si>
  <si>
    <t xml:space="preserve">A2-G1-STUB</t>
  </si>
  <si>
    <t xml:space="preserve">4" untagged stub of the W office-front line (G1 thickness) between G wall A2-G-01 and the office 109 first jamb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</si>
  <si>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</si>
  <si>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</si>
  <si>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</si>
  <si>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</si>
  <si>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</si>
  <si>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</si>
  <si>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</si>
  <si>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</si>
  <si>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</si>
  <si>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</si>
  <si>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</si>
  <si>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</si>
  <si>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6" metal stud (LF of material)</t>
  </si>
  <si>
    <t xml:space="preserve">LF</t>
  </si>
  <si>
    <t xml:space="preserve">stick 20 ft</t>
  </si>
  <si>
    <t xml:space="preserve">familias_out.json '6" stud (all gauges)'; 1/A09.25</t>
  </si>
  <si>
    <t xml:space="preserve">3-5/8" metal stud (LF of material)</t>
  </si>
  <si>
    <t xml:space="preserve">familias_out.json '3-5/8" stud (all gauges)'; 6/A12.01</t>
  </si>
  <si>
    <t xml:space="preserve">1-5/8" metal stud (LF of material)</t>
  </si>
  <si>
    <t xml:space="preserve">familias_out.json '1-5/8" stud'</t>
  </si>
  <si>
    <t xml:space="preserve">6" parapet infill stud (LF of material)</t>
  </si>
  <si>
    <t xml:space="preserve">familias_out.json '6" parapet stud'; 4/A09.26</t>
  </si>
  <si>
    <t xml:space="preserve">Track, ceilings / soffits / canopy</t>
  </si>
  <si>
    <t xml:space="preserve">run 10 ft</t>
  </si>
  <si>
    <t xml:space="preserve">familias_out.json 'ceiling / soffit track'</t>
  </si>
  <si>
    <t xml:space="preserve">Bracing 1-1/2" C.R. channel @ 48" O.C.</t>
  </si>
  <si>
    <t xml:space="preserve">C.R. channel 16 ft</t>
  </si>
  <si>
    <t xml:space="preserve">familias_out.json 'bracing C.R. channel'</t>
  </si>
  <si>
    <t xml:space="preserve">Purlin, top track to deck</t>
  </si>
  <si>
    <t xml:space="preserve">familias_out.json 'purlin (track to deck)'</t>
  </si>
  <si>
    <t xml:space="preserve">Header / metal stud box beam</t>
  </si>
  <si>
    <t xml:space="preserve">familias_out.json 'header / box beam'</t>
  </si>
  <si>
    <t xml:space="preserve">Sill track</t>
  </si>
  <si>
    <t xml:space="preserve">familias_out.json 'sill track'</t>
  </si>
  <si>
    <t xml:space="preserve">Furring channel (ceilings)</t>
  </si>
  <si>
    <t xml:space="preserve">hat channel 12 ft</t>
  </si>
  <si>
    <t xml:space="preserve">familias_out.json 'furring channel'</t>
  </si>
  <si>
    <t xml:space="preserve">Carrying channel (ceilings)</t>
  </si>
  <si>
    <t xml:space="preserve">familias_out.json 'carrying channel'</t>
  </si>
  <si>
    <t xml:space="preserve">Hanger wire</t>
  </si>
  <si>
    <t xml:space="preserve">familias_out.json 'hanger wire'</t>
  </si>
  <si>
    <t xml:space="preserve">5/8" gypsum board, regular</t>
  </si>
  <si>
    <t xml:space="preserve">SF</t>
  </si>
  <si>
    <t xml:space="preserve">4x12 ft sheet (Inputs)</t>
  </si>
  <si>
    <t xml:space="preserve">familias_out.json '5/8" gyp board regular (walls + ceilings)'</t>
  </si>
  <si>
    <t xml:space="preserve">5/8" gypsum board, MOISTURE RESISTANT</t>
  </si>
  <si>
    <t xml:space="preserve">familias_out.json '5/8" gyp MOISTURE RESISTANT'</t>
  </si>
  <si>
    <t xml:space="preserve">Ballistic panel UL752</t>
  </si>
  <si>
    <t xml:space="preserve">4x8 ft sheet</t>
  </si>
  <si>
    <t xml:space="preserve">familias_out.json 'ballistic panel'</t>
  </si>
  <si>
    <t xml:space="preserve">3/8" gypsum board</t>
  </si>
  <si>
    <t xml:space="preserve">familias_out.json '3/8" gyp board'</t>
  </si>
  <si>
    <t xml:space="preserve">5/8" glass mat sheathing (exterior face of the stud)</t>
  </si>
  <si>
    <t xml:space="preserve">familias_out.json '5/8" glass mat sheathing'</t>
  </si>
  <si>
    <t xml:space="preserve">5/8" EXTERIOR gypsum sheathing</t>
  </si>
  <si>
    <t xml:space="preserve">familias_out.json '5/8" EXTERIOR gyp sheathing'</t>
  </si>
  <si>
    <t xml:space="preserve">Blocking FRT / 2X FRT wood</t>
  </si>
  <si>
    <t xml:space="preserve">piece 8 ft</t>
  </si>
  <si>
    <t xml:space="preserve">familias_out.json 'FRT blocking'; 1/A08.01</t>
  </si>
  <si>
    <t xml:space="preserve">Stud blocking at edge of gypboard (structural detail)</t>
  </si>
  <si>
    <t xml:space="preserve">familias_out.json metal_blocking_by_origin 'metal stud blocking (362CR / STUD BLOCKING)' (edge)</t>
  </si>
  <si>
    <t xml:space="preserve">Metal stud blocking at wall-mounted items (notes)</t>
  </si>
  <si>
    <t xml:space="preserve">familias_out.json metal_blocking_by_origin 'metal stud blocking (362CR / STUD BLOCKING)' (items)</t>
  </si>
  <si>
    <t xml:space="preserve">METAL trim - corner bead, casing bead, shadow molding, gypsum edge trim</t>
  </si>
  <si>
    <t xml:space="preserve">trim stick 10 ft</t>
  </si>
  <si>
    <t xml:space="preserve">familias_out.json 'metal trim (corner bead, casing, shadow molding)'; 8/A12.01</t>
  </si>
  <si>
    <t xml:space="preserve">Cement board (substrate under the FRP cove base band)</t>
  </si>
  <si>
    <t xml:space="preserve">3x5 ft sheet</t>
  </si>
  <si>
    <t xml:space="preserve">familias_out.json 'cement board'; 1/A08.01</t>
  </si>
  <si>
    <t xml:space="preserve">FRP panels</t>
  </si>
  <si>
    <t xml:space="preserve">familias_out.json 'FRP'; D/A08.01</t>
  </si>
  <si>
    <t xml:space="preserve">Framed openings - MEP, light slots and diffusers</t>
  </si>
  <si>
    <t xml:space="preserve">framed_openings_out.json 'framed openings MEP' (framed_openings.py)</t>
  </si>
  <si>
    <t xml:space="preserve">Bottom track 3-5/8"</t>
  </si>
  <si>
    <t xml:space="preserve">familias_out.json track_by_element 'bottom track (all)' (R73.3)</t>
  </si>
  <si>
    <t xml:space="preserve">Bottom track 6"</t>
  </si>
  <si>
    <t xml:space="preserve">Bottom track 1-5/8"</t>
  </si>
  <si>
    <t xml:space="preserve">Bottom track - other framing (not a partition type, see source)</t>
  </si>
  <si>
    <t xml:space="preserve">Parapet bottom track</t>
  </si>
  <si>
    <t xml:space="preserve">Bottom track - roof step and heads (vestibule / bulkhead)</t>
  </si>
  <si>
    <t xml:space="preserve">Top / deflection track 3-5/8"</t>
  </si>
  <si>
    <t xml:space="preserve">familias_out.json track_by_element 'top / deflection track (all)' (R73.3)</t>
  </si>
  <si>
    <t xml:space="preserve">Top / deflection track 6"</t>
  </si>
  <si>
    <t xml:space="preserve">Top / deflection track 1-5/8"</t>
  </si>
  <si>
    <t xml:space="preserve">Top / deflection track - other framing (not a partition type, see source)</t>
  </si>
  <si>
    <t xml:space="preserve">Parapet top track</t>
  </si>
  <si>
    <t xml:space="preserve">Top track - roof step and heads (vestibule / bulkhead)</t>
  </si>
  <si>
    <t xml:space="preserve">3-5/8" stud, framed soffit 9/A12.08 (LF)</t>
  </si>
  <si>
    <t xml:space="preserve">familias_out.json stud_by_element '3-5/8" stud (all gauges)' (v76)</t>
  </si>
  <si>
    <t xml:space="preserve">Blocking 2X wood (not labeled FRT)</t>
  </si>
  <si>
    <t xml:space="preserve">familias_out.json wood_blocking_lf 'FRT blocking' (v76)</t>
  </si>
  <si>
    <t xml:space="preserve">5/8" FRT plywood sheathing (canopy and soffits)</t>
  </si>
  <si>
    <t xml:space="preserve">familias_out.json FRT plywood by material; canon rows</t>
  </si>
  <si>
    <t xml:space="preserve">Exterior sheathing 5/8" FRT plywood bonded to 2-1/2" polyiso</t>
  </si>
  <si>
    <t xml:space="preserve">FRT plywood substrate (3/4 in.)</t>
  </si>
  <si>
    <t xml:space="preserve">3/4" FRT plywood at storefront piers</t>
  </si>
  <si>
    <t xml:space="preserve">5/8" FRT plywood at canopy column wraps</t>
  </si>
  <si>
    <t xml:space="preserve">FRT plywood substrate (5/8 in.)</t>
  </si>
  <si>
    <t xml:space="preserve">Sealant at base of gypsum (exterior, not acoustical)</t>
  </si>
  <si>
    <t xml:space="preserve">tube (25 LF per tube)</t>
  </si>
  <si>
    <t xml:space="preserve">familias_out.json sealant_exterior_lf 'base of gypsum (exterior)'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</si>
  <si>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</si>
  <si>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</si>
  <si>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</si>
  <si>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</si>
  <si>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[CRITERION]: HEAD TRACK @ NON LOAD BRG: ADD FULL LENGTH ADDL HEAD TRACK @ OPNG &gt; 4'-0"; Estimator user decision #1: R.O. + 1'-4" (8" bearing each side)</t>
  </si>
  <si>
    <t xml:space="preserve">Stud reinforcement at MEP penetrations</t>
  </si>
  <si>
    <t xml:space="preserve">each</t>
  </si>
  <si>
    <t xml:space="preserve">accesorios.py [CRITERION]: 6/S5.20 '16 GAUGE PLATE' reinforcement at penetrations (structure_info.metal_stud_schedule_7_S5_20.penetrations); M01.01 duct pair crossing both faces of A1-01 at 1489.92/1510.92 pt (mep.cruces, registered); 6/S5.20 '16 GAUGE PLATE' reinfor</t>
  </si>
  <si>
    <t xml:space="preserve">Extra framing - ATM recess (only what a detail prints at the recess; the wall stays in its type)</t>
  </si>
  <si>
    <t xml:space="preserve">accesorios.py [DERIVED]: 6/A08.11; 4/A09.26; C/A09.21 (plan A02.01); 6/A08.11: "2 1/2" METAL STUD SISTERED TO 6" METAL STUD W/ MINERAL WOOL INSULATION"; 6/A08.11: "FIBER CEMENT PANEL ON FURRING ON 5/8" FRT PLYWOOD"</t>
  </si>
  <si>
    <t xml:space="preserve">2-1/2" CFMF @ 16" O.C. at coiling grille head (4/A08.21)</t>
  </si>
  <si>
    <t xml:space="preserve">accesorios.py [DERIVED]: 4/A08.21</t>
  </si>
  <si>
    <t xml:space="preserve">Gypsum board jamb return at openings</t>
  </si>
  <si>
    <t xml:space="preserve">accesorios.py [CRITERION]: Estimator criterion (return width = 6" stud depth, not dimensioned; RFI with delta at 0.20 ft)</t>
  </si>
  <si>
    <t xml:space="preserve">PVC trim - edge trim molding and inside corner molding at the FRP</t>
  </si>
  <si>
    <t xml:space="preserve">accesorios.py [DERIVED]: A-D/A08.01 restroom elevations dim string 6" + 5'-0" TO TOP OF FRP (FRP panel 5'-0" above the 6" CT-12C cove base, top at 5'-6" AFF); 3/A08.01 restroom FRP/tile detail; 1/A08.01 vector polygon (rectangle with one step at the corridor-side w</t>
  </si>
  <si>
    <t xml:space="preserve">Power-driven fasteners and duct sleeves</t>
  </si>
  <si>
    <t xml:space="preserve">accesorios.py [DERIVED]: 11/S5.10 'PAFs SPACED AT 12" O.C. MAX.'; M01.01 duct pair crossing both faces of A1-01 at 1489.92/1510.92 pt (mep.cruces, registered); M01.01 duct pair crossing both faces of A1-05 at 1332.96/1347.96 pt (mep.cruces, registered); M01.01 duct</t>
  </si>
  <si>
    <t xml:space="preserve">Access panel 2'x2' locking</t>
  </si>
  <si>
    <t xml:space="preserve">accesorios.py [CONFIRMED]: A04.01 key note 4 '2' X 2' LOCKING ACCESS PANEL. KEYED TO MATCH MAIN ENTRY.' - one access door symbol with key note 4 (only key note 4 circle on the RCP)</t>
  </si>
  <si>
    <t xml:space="preserve">Drywall screws 1-1/4" bugle head</t>
  </si>
  <si>
    <t xml:space="preserve">accesorios.py [DERIVED]: Inputs!B20 (Drywall screws per SF of board = 1.2) x 17686.8 SF of board</t>
  </si>
  <si>
    <t xml:space="preserve">Framing screws, pan head self-drilling</t>
  </si>
  <si>
    <t xml:space="preserve">accesorios.py [DERIVED]: Inputs!B21 (Framing screws per stud piece = 4) x 1773 stud pieces</t>
  </si>
  <si>
    <t xml:space="preserve">Power-driven fasteners, slab pins for the bottom track</t>
  </si>
  <si>
    <t xml:space="preserve">accesorios.py [DERIVED]: 546.29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</si>
  <si>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</si>
  <si>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214.21 LF of exterior bottom track on slab / Inputs!B25 (Expansion anchor spacing (ft) = 0.6667)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</si>
  <si>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</si>
  <si>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</si>
  <si>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</si>
  <si>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17686.8 SF of board</t>
  </si>
  <si>
    <t xml:space="preserve">Joint tape, paper</t>
  </si>
  <si>
    <t xml:space="preserve">accesorios.py [DERIVED]: Inputs!B24 (Joint tape (LF per SF) = 0.37) x 17686.8 SF of board</t>
  </si>
  <si>
    <t xml:space="preserve">Level 5 finish</t>
  </si>
  <si>
    <t xml:space="preserve">accesorios.py [DERIVED]: A05.01 key note 12 circle + WC-18 tag in 105; 1/A11.04 OFFICE 1 elevation: WC-18 full wall, 11'-9 1/4" V.I.F.; height A04.01 RCP (p.29): offices 105-110 '9'-0" ACT-4'; A05.01 key note 12 circle + WC-18 tag in 106; 6/A11.01 OFFICE 2 elevatio</t>
  </si>
  <si>
    <t xml:space="preserve">Deflection clips at non-load-bearing walls to structure</t>
  </si>
  <si>
    <t xml:space="preserve">accesorios.py [CRITERION]: S1.11 LIGHT GAUGE STEEL FRAMING note 2 'PROVIDE MANUFACTURER'S STANDARD VERTICAL DEFLECTION CLIPS AT NON-LOAD-BEARING WALLS ... MAX. 1 INCH VERTICAL UPWARD OR DOWNWARD MOVEMENT'; 3/A12.01, 1/A12.01, 4/A12.01, 9/A12.01, 8/A12.01 'CONTINUOUS </t>
  </si>
  <si>
    <t xml:space="preserve">RFI</t>
  </si>
  <si>
    <t xml:space="preserve">Question / condition</t>
  </si>
  <si>
    <t xml:space="preserve">Delta of each alternative</t>
  </si>
  <si>
    <t xml:space="preserve">RFI-ACC-additional-head-track</t>
  </si>
  <si>
    <t xml:space="preserve">additional head track: openings with their own box (openings_extra) &gt; 4'-0": do they also take the additional head track of HEAD TRACK @ NON LOAD BRG: ADD FULL LENGTH ADDL HEAD TRACK @ OPNG &gt; 4'-0"?</t>
  </si>
  <si>
    <t xml:space="preserve">100.54 lf</t>
  </si>
  <si>
    <t xml:space="preserve">RFI-ACC-stud-reinforcement-mep</t>
  </si>
  <si>
    <t xml:space="preserve">stud reinforcement MEP: plates at double-row stud walls: one per cut row (R72.9) vs one per crossing</t>
  </si>
  <si>
    <t xml:space="preserve">-7 pcs</t>
  </si>
  <si>
    <t xml:space="preserve">RFI-ACC-stud-reinforcement-mep-2</t>
  </si>
  <si>
    <t xml:space="preserve">stud reinforcement MEP: pipes over 1 in. through the stud web: the penetration detail draws a plate (R73.5)</t>
  </si>
  <si>
    <t xml:space="preserve">14 pcs</t>
  </si>
  <si>
    <t xml:space="preserve">RFI-ACC-stud-reinforcement-mep-3</t>
  </si>
  <si>
    <t xml:space="preserve">stud reinforcement MEP: duct / fire damper openings listed outside the registered MEP sweep (R73.5)</t>
  </si>
  <si>
    <t xml:space="preserve">4 pcs</t>
  </si>
  <si>
    <t xml:space="preserve">RFI-ACC-gypsum-board-jamb-return</t>
  </si>
  <si>
    <t xml:space="preserve">gypsum board jamb return: jamb return width not dimensioned</t>
  </si>
  <si>
    <t xml:space="preserve">-40.29 sf</t>
  </si>
  <si>
    <t xml:space="preserve">RFI-ACC-slab-pins</t>
  </si>
  <si>
    <t xml:space="preserve">slab pins: pin spacing: 12" (interior anchorage) vs 16" (fastener schedule) vs 24" (type K box)</t>
  </si>
  <si>
    <t xml:space="preserve">16in: -136.57 pcs; 24in: -273.14 pcs</t>
  </si>
  <si>
    <t xml:space="preserve">RFI-ACC-deflection-clips</t>
  </si>
  <si>
    <t xml:space="preserve">deflection clips: deflection clips: the general note asks for them at non-load-bearing walls and the partition details draw a slip / deflection track (R73.6)</t>
  </si>
  <si>
    <t xml:space="preserve">540 pcs</t>
  </si>
  <si>
    <t xml:space="preserve">RFI-A5-CARRY</t>
  </si>
  <si>
    <t xml:space="preserve">RFI-A5-CARRY: direction of carrying channels in suspended GWB ceilings not shown; E-W assumed. Delta of N-S: 100 VESTIBULE: carrying 47.48 LF / 15 hangers (E-W) vs 37.98 LF / 15 hangers (N-S); 101 24 HR VESTIBULE: carrying 54.8 LF / 20 hangers (E-W) vs 47.82 LF / 20 hangers (N-S); 104 WAITING: carrying 153.25 LF / 54 hangers (E-W) vs 180.0 LF / 54 hangers (N-S); 114 WOMEN'S RESTROOM: carrying 34.02 LF / 12 hangers (E-W) vs 25.77 LF / 12 hangers (N-S); 113 MEN'S RESTROOM: carrying 34.0 LF / 12 hangers (E-W) vs 25.76 LF / 12 hangers (N-S)</t>
  </si>
  <si>
    <t xml:space="preserve">Delta of N-S: 100 VESTIBULE: carrying 47.48 LF / 15 hangers (E-W) vs 37.98 LF / 15 hangers (N-S); 101 24 HR VESTIBULE: carrying 54.8 LF / 20 hangers (E-W) vs 47.82 LF / 20 hangers (N-S); 104 WAITING: carrying 153.25 LF / 54 hangers (E-W) vs 180.0 LF / 54 hangers (N-S); 114 WOMEN'S RESTROOM: carrying 34.02 LF / 12 hangers (E-W) vs 25.77 LF / 12 hangers (N-S); 113 MEN'S RESTROOM: carrying 34.0 LF / 12 hangers (E-W) vs 25.76 LF / 12 hangers (N-S)</t>
  </si>
  <si>
    <t xml:space="preserve">RFI-A5-RR-DIFF</t>
  </si>
  <si>
    <t xml:space="preserve">Restrooms 113/114: A04.01 shows two 2'x2' HVAC diffuser/grille symbols per room; M01.01 shows two single-section slot diffusers (TBDI-10, 2'-0") per room. Carried M01.01. Delta if 2'x2' framed: 4 x 2 x (2+2) = 32 LF vs slots 4 x 2 x 2.294 = 18.35 LF sides (+ends PENDING).</t>
  </si>
  <si>
    <t xml:space="preserve">Delta if 2'x2' framed: 4 x 2 x (2+2) = 32 LF vs slots 4 x 2 x 2.294 = 18.35 LF sides (+ends PENDING).</t>
  </si>
  <si>
    <t xml:space="preserve">RFI-A5-VS</t>
  </si>
  <si>
    <t xml:space="preserve">Vertical studs of 7/A09.33 transitions: spacing not printed; 16" O.C. carried (8/A09.33). Delta @24": Waiting transitions 77.03 LF.</t>
  </si>
  <si>
    <t xml:space="preserve">Delta @24": Waiting transitions 77.03 LF.</t>
  </si>
  <si>
    <t xml:space="preserve">RFI-A5-CSR</t>
  </si>
  <si>
    <t xml:space="preserve">10/A09.33 draws a scheduled partition on one side of the CSR soffit; 4/A12.08 shows ACT-4 9'-0" on both sides. Carried 2 drop lines (soffit_side both sides). Delta if one side is a partition: -2 soffit_side segments on that side (12.02 LF track x2, studs).</t>
  </si>
  <si>
    <t xml:space="preserve">Delta if one side is a partition: -2 soffit_side segments on that side (12.02 LF track x2, studs).</t>
  </si>
  <si>
    <t xml:space="preserve">RFI-ASM-SLOPE-59-13</t>
  </si>
  <si>
    <t xml:space="preserve">Sloped low zone grid B -&gt; A (S2.20 13'-0 5/8" -&gt; 12'-6 3/8", SLOPE): stud and board heights are carried at each wall's own high end (rule 59.13, interpolated). The older SKILL deck-height prose (zone high end for every wall) gives the alternative below; contradiction filed for the arbiter (morning-review folder).</t>
  </si>
  <si>
    <t xml:space="preserve">if every low-zone wall is cut at the zone high end 13.0521: + dH ft per stud and per SF of board to deck: A1-05 +0.087, A1-06 +0.131, A1-07 +0.091, A1-08 +0.091, A1-09 +0.284, A1-10 +0.097, A1-10S +0.193, A1-10N +0.101, A1-12 +0.132, A1-13 +0.12, A1-14b +0.002, A1-16b +0.002, A1-17 +0.136, A2-B-01 +0.227, A2-B-02 +0.307, A2-B-03 +0.311, A2-B-04 +0.388, A2-B-05 +0.356, A2-B-06 +0.231, A2-B2-02b +0.002, A2-B2-03 +0.189, A2-B2-04 +0.279, A2-C1-06 +0.131, A2-C1-07 +0.162, A2-C1-08 +0.132, A2-C1-08E +0.124, A3-E1b +0.002, A3-W2b +0.002, A3-P-8b +0.002, A3-P-3b +0.002, A5-SS2 +0.002, A5-SS4 +0.002</t>
  </si>
  <si>
    <t xml:space="preserve">RFI-ASM-BEAM-A2-B-02</t>
  </si>
  <si>
    <t xml:space="preserve">A2-B-02: vigas_sobre_walls.py puts S2.20 W8X10 (axis 1509.85 pt) over 5.287 ft of the 11.719 ft wall (45.1 %); the record stops under the beam (E26 / R72.4). Confirm whether the studs outside the beam (6.432 ft) run to the deck.</t>
  </si>
  <si>
    <t xml:space="preserve">+0.657 ft per stud on the 6.432 ft outside the beam (@ 16" O.C., x 1 row(s)) and +0.657 ft x that length per board face to deck</t>
  </si>
  <si>
    <t xml:space="preserve">RFI-ASM-BEAM-A2-B-04</t>
  </si>
  <si>
    <t xml:space="preserve">A2-B-04: vigas_sobre_walls.py finds an S2.20 beam line (axis 1586.43 pt) over 5.287 ft of the wall (45.1 %) with no W mark next to it (tool note: no W mark beside the beam, RFI with depth d): depth unknown, studs carried to deck. Confirm the member and whether the studs stop under it.</t>
  </si>
  <si>
    <t xml:space="preserve">-d (beam depth, ft) per stud on the 5.287 ft under the beam (@ 16" O.C.) and -d x 5.287 ft per board face to deck</t>
  </si>
  <si>
    <t xml:space="preserve">RFI-ASM-BEAM-A2-G-01</t>
  </si>
  <si>
    <t xml:space="preserve">A2-G-01: vigas_sobre_walls.py finds two parallel beams with different marks over the wall (W12X19 3.015 ft, W12X19 3.015 ft, W8X10 3.82 ft); the canon keeps studs to deck; confirm which member the studs stop under (S2.20).</t>
  </si>
  <si>
    <t xml:space="preserve">per stud: height difference between the candidate beam depths (W12X19 1.017 ft, W8X10 0.657 ft)</t>
  </si>
  <si>
    <t xml:space="preserve">RFI-ASM-BEAM-A2-G-02</t>
  </si>
  <si>
    <t xml:space="preserve">A2-G-02: vigas_sobre_walls.py puts S2.20 W8X10 (axis 1040.57 pt) over 3.36 ft of the 11.625 ft wall (28.9 %); the record stops under the beam (E26 / R72.4). Confirm whether the studs outside the beam (8.265 ft) run to the deck.</t>
  </si>
  <si>
    <t xml:space="preserve">+0.657 ft per stud on the 8.265 ft outside the beam (@ 16" O.C., x 2 row(s)) and +0.657 ft x that length per board face to deck</t>
  </si>
  <si>
    <t xml:space="preserve">RFI-ASM-BEAM-A2-G-05</t>
  </si>
  <si>
    <t xml:space="preserve">A2-G-05: vigas_sobre_walls.py puts S2.20 W14X30 (axis 1632.8 pt) over 1.795 ft of the 3.253 ft wall (55.2 %); the record stops under the beam (E26 / R72.4). Confirm whether the studs outside the beam (1.458 ft) run to the deck.</t>
  </si>
  <si>
    <t xml:space="preserve">+1.15 ft per stud on the 1.458 ft outside the beam (@ 16" O.C., x 2 row(s)) and +1.15 ft x that length per board face to deck</t>
  </si>
  <si>
    <t xml:space="preserve">RFI-ASM-BEAM-A2-G1-01</t>
  </si>
  <si>
    <t xml:space="preserve">A2-G1-01: vigas_sobre_walls.py puts S2.20 W8X10 (axis 533.05 pt) over 3.354 ft of the 11.771 ft wall (28.5 %); the record stops under the beam (E26 / R72.4). Confirm whether the studs outside the beam (8.417 ft) run to the deck.</t>
  </si>
  <si>
    <t xml:space="preserve">+0.657 ft per stud on the 8.417 ft outside the beam (@ 16" O.C., x 2 row(s)) and +0.657 ft x that length per board face to deck</t>
  </si>
  <si>
    <t xml:space="preserve">RFI-ASM-BEAM-A3-W1</t>
  </si>
  <si>
    <t xml:space="preserve">A3-W1: vigas_sobre_walls.py finds two parallel beams with different marks over the wall (W16X26 14.889 ft, W12X19 4.607 ft, W16X26 14.889 ft, W12X19 4.607 ft, W16X26 14.889 ft); the canon keeps stops_under_beam W12X19 (reading A); confirm which member the studs stop under (S2.20).</t>
  </si>
  <si>
    <t xml:space="preserve">per stud: height difference between the candidate beam depths (W12X19 1.017 ft, W16X26 1.308 ft)</t>
  </si>
  <si>
    <t xml:space="preserve">RFI-ASM-BEAM-A3-SFC-F</t>
  </si>
  <si>
    <t xml:space="preserve">A3-SFC-F: vigas_sobre_walls.py finds two parallel beams with different marks over the wall (W16X26 26.242 ft, W16X26 26.242 ft, W18X35 26.242 ft, W16X26 26.242 ft); the canon keeps stops_under_beam W18X35 (reading A); confirm which member the studs stop under (S2.20).</t>
  </si>
  <si>
    <t xml:space="preserve">per stud: height difference between the candidate beam depths (W16X26 1.308 ft, W18X35 1.475 ft)</t>
  </si>
  <si>
    <t xml:space="preserve">RFI-ASM-K-CORNER</t>
  </si>
  <si>
    <t xml:space="preserve">A02.01: the B2K Kevlar hatch of A2-B2K-01 is drawn to x 1655.40, 1.44 pt past the start face of A1-11 (x 1653.96, W tick of the printed 3'-5"). Take-off gives the corner to A1-11 (one owner, R70.2) and adds the jog y 1118.04-1120.68 at x 1653.96 (R76.3). Confirm the Kevlar panel is continuous around the step.</t>
  </si>
  <si>
    <t xml:space="preserve">-0.08 ft x panel height per layer on A2-B2K-01: 3/8" ballistic panel -0.08 x 8.0 = -0.64 SF per layer; 5/8" board -0.08 x 15.375 = -1.23 SF per face per layer (jog adds back its own band, ballistic_jogs)</t>
  </si>
  <si>
    <t xml:space="preserve">RFI-ASM-MEP-P</t>
  </si>
  <si>
    <t xml:space="preserve">Plumbing sheets P01.01 / P01.02 / P02.01 and M01.02 / M02.01 do not register against A02.01 with &gt;= 25 wall-segment votes (mep.py): their pipe / duct crossings of stud walls are not counted geometrically; confirm pipes &gt; 1" through stud webs (6/S5.20 plate each).</t>
  </si>
  <si>
    <t xml:space="preserve">+1 plate per stud cut per pipe &gt; 1" crossing a stud wall (count not available without registration)</t>
  </si>
  <si>
    <t xml:space="preserve">RFI-ADV-TA</t>
  </si>
  <si>
    <t xml:space="preserve">A08.01 legend: TA-2 / TA-13 / TA-14 are recessed but their rough-opening widths are not printed. 0 carried (R71.6). Provide the R.O. of each (spec Div 10).</t>
  </si>
  <si>
    <t xml:space="preserve">TA-13 x2 (vector 17.16" &gt; stud bay 14 3/8"): +5.53 LF header (single track) and +5.53 LF sill track; TA-2 (13.0") and TA-14 (14.08") fit the bay: 0</t>
  </si>
  <si>
    <t xml:space="preserve">RFI-ADV-MW08</t>
  </si>
  <si>
    <t xml:space="preserve">MW08 blocking: 3/A12.04 (called on 10/A12.04 at the microwave niche) reads PRESSURE TREATED and draws 2 rows; sheet note D (A12.03-A12.06) reads FRTW. Carried FRT x 2 rows over the 7'-7" counter. Confirm material and whether the second row runs the full counter or only the 2'-5" niche.</t>
  </si>
  <si>
    <t xml:space="preserve">material: 15.17 LF FRT -&gt; pressure-treated wood (no LF change); rows: if the second row is only at the niche, -5.17 LF (7.583 - 2.417)</t>
  </si>
  <si>
    <t xml:space="preserve">RFI-ADV-PF06</t>
  </si>
  <si>
    <t xml:space="preserve">PF-06 wall-hung bi-level fountain (P00.01, no carrier): A02.01 note C requires blocking, no material printed. Carried 3.13 LF metal stud blocking (58.6).</t>
  </si>
  <si>
    <t xml:space="preserve">material only: 3.13 LF metal -&gt; FRT (same LF)</t>
  </si>
  <si>
    <t xml:space="preserve">RFI-ADV-HATCH</t>
  </si>
  <si>
    <t xml:space="preserve">Roof hatch (A02.02 key note 8, 1/A09.30): size not printed; drawn outline 2.833 x 3.433 ft used for the 2x FRT curb blocking (2 plies). Confirm the hatch model / curb size.</t>
  </si>
  <si>
    <t xml:space="preserve">per inch of hatch size: +2 x 2 plies x 1/12 ft = +0.333 LF FRT blocking per inch on each side dimension</t>
  </si>
  <si>
    <t xml:space="preserve">RFI-ADV-WC20</t>
  </si>
  <si>
    <t xml:space="preserve">WC-20 (A05.01 key note 9, 24 HR Vestibule 101): not in the A00.40 finish legend; extent taken from the leaders at both ends of the diagonal ATM wall, height to the GB 10'-0" ceiling (53.3). Confirm extent and height.</t>
  </si>
  <si>
    <t xml:space="preserve">per ft of height: -15.208 SF Level 5 per ft below the ceiling (e.g. to 8'-0": -30.416 SF)</t>
  </si>
  <si>
    <t xml:space="preserve">RFI-ADV-A0031</t>
  </si>
  <si>
    <t xml:space="preserve">A05.01 notes A/B and A03.01 note D refer to the FINISH SCHEDULE A00.31; A00.31 is not in the bid set nor in the A00.00 index. It may change the extents of FRP, Level 5 and wallcoverings.</t>
  </si>
  <si>
    <t xml:space="preserve">not quantifiable until A00.31 is issued</t>
  </si>
  <si>
    <t xml:space="preserve">RFI-ADV-A0812</t>
  </si>
  <si>
    <t xml:space="preserve">A00.60 site note 13 'DRIVE UP ATM. SEE A03.01 &amp; A08.12': A08.12 does not exist in the set (probably A08.11). Confirm.</t>
  </si>
  <si>
    <t xml:space="preserve">none if A08.11 is the intended sheet (drive-up ATM already from 5/A08.11 and 6/A08.11)</t>
  </si>
  <si>
    <t xml:space="preserve">RFI-ADV-DU-BAND</t>
  </si>
  <si>
    <t xml:space="preserve">Drive-up canopy band (W, W-HP, S-HP; 15/A09.27): a dashed sheathing line is drawn on the stud face behind the canopy but not labelled (the 3/A09.26 band labels 5/8" GLASS-MAT SHEATHING). Carried none (R78.13). Confirm.</t>
  </si>
  <si>
    <t xml:space="preserve">+112.3 SF 5/8" glass mat if sheathed (56.751 LF x 1.979)</t>
  </si>
  <si>
    <t xml:space="preserve">RFI-ADV-GM-BAND</t>
  </si>
  <si>
    <t xml:space="preserve">Canopy glass-mat band height: 3/A09.26 nailbase hatch stops at y 501.5 and resumes at y 643.2 = 1.31 ft on the wall (scale checked on the 6" dim); the canon keeps the estimator formula E25 T/STUD - B/STUD = 1.979 ft (fascia elevations).</t>
  </si>
  <si>
    <t xml:space="preserve">if the wall geometry is used: glass mat -86.2 SF (129.03 LF x 0.668), nailbase +124.1 SF (185.8 LF x 0.668)</t>
  </si>
  <si>
    <t xml:space="preserve">RFI-ADV-CAN-HANGERS</t>
  </si>
  <si>
    <t xml:space="preserve">Canopy soffit vertical members: 3/A09.26 (and 7/A09.26) draw two 3 5/8" dashed verticals (~0.86 ft) from the canopy steel to the soffit joist; spacing not printed. Not carried.</t>
  </si>
  <si>
    <t xml:space="preserve">about +84 LF 3 5/8" CFMF on the N canopy (one pair per joist: (15 + 34) x 2 x 0.86); E/S/W in proportion</t>
  </si>
  <si>
    <t xml:space="preserve">RFI-ADV-RS1-FACE</t>
  </si>
  <si>
    <t xml:space="preserve">4/A02.02: an unlabelled gypsum-hatched layer is drawn on the inner (high-roof) face of RS-1 from the blocking down to the high deck (~1.0 ft). Not carried (no label).</t>
  </si>
  <si>
    <t xml:space="preserve">about +52 SF 5/8" exterior gypsum sheathing (51.594 x 1.0)</t>
  </si>
  <si>
    <t xml:space="preserve">RFI-ADV-4R-FACE</t>
  </si>
  <si>
    <t xml:space="preserve">Tower return 4R: the east face south of F (~2.7 ft) also faces the roof; only one roof-side face is carried.</t>
  </si>
  <si>
    <t xml:space="preserve">about +11.5 SF exterior gypsum or about +6 SF nailbase</t>
  </si>
  <si>
    <t xml:space="preserve">RFI-ADV-CAN-SHEATH</t>
  </si>
  <si>
    <t xml:space="preserve">Canopy soffit sheathing: 4/A09.33 and 5/A09.33 say '5/8" EXTERIOR SHEATHING' while 3/A09.26, 7/A09.26, 16/A09.27 say '5/8" EXT. GRADE FRT PLYWOOD'. Carried plywood.</t>
  </si>
  <si>
    <t xml:space="preserve">material only (no SF change)</t>
  </si>
  <si>
    <t xml:space="preserve">RFI-ADV-RS-BEAD</t>
  </si>
  <si>
    <t xml:space="preserve">Roof step bottom closure (4/A02.02): corner bead at the two open bottom edges not labelled. Not carried.</t>
  </si>
  <si>
    <t xml:space="preserve">+103.2 LF corner bead (2 x 51.594) if required</t>
  </si>
  <si>
    <t xml:space="preserve">RFI-ADV-G1-STUB</t>
  </si>
  <si>
    <t xml:space="preserve">A2-G1-STUB (R74.2 stub, 4" faces) carries no board faces: it may be concealed by the vendor front jamb.</t>
  </si>
  <si>
    <t xml:space="preserve">about +20.5 SF 5/8" board (two 4" faces x 2 layers x 15.375)</t>
  </si>
  <si>
    <t xml:space="preserve">RFI-ADV-A101-BEHIND-C1</t>
  </si>
  <si>
    <t xml:space="preserve">A1-01 face A (Waiting 104) behind the C1 monitor box A2-C1-05 (10'-0" x 8"): the A1 board behind the box is carried as well as the C1 face (correct by type, concealed).</t>
  </si>
  <si>
    <t xml:space="preserve">about -115 SF 5/8" board if the concealed A1 face behind the box is omitted</t>
  </si>
  <si>
    <t xml:space="preserve">RFI-ADV-SHELF-ROWS</t>
  </si>
  <si>
    <t xml:space="preserve">11/A12.04 SECTION @ SHELVING OVERHEAD draws 2 blocking pieces per unit; the canon carries one row per mounting level for MW12 / MW05 / MW06A / MW13.</t>
  </si>
  <si>
    <t xml:space="preserve">MW12 +7.0 LF; MW05 +3.5, MW06A +6.92, MW13 +11.67 LF FRT if 2 rows each</t>
  </si>
  <si>
    <t xml:space="preserve">RFI-ADV-HAT</t>
  </si>
  <si>
    <t xml:space="preserve">A09.31: 7/8" hat channel @ 16" O.C. behind the EPS-5 formed metal panel and the composite metal panel: not counted, not excluded. Proposed as panel subcontractor subframing (Div 07) in Clarifications.</t>
  </si>
  <si>
    <t xml:space="preserve">not quantified (Div 07 subframing)</t>
  </si>
  <si>
    <t xml:space="preserve">RFI-ADV-SIGNAGE</t>
  </si>
  <si>
    <t xml:space="preserve">A08.01 KN3 restroom signage 'installed by GC' and A02.01 KN12 wellness signage: no blocking counted (adhesive mount assumed).</t>
  </si>
  <si>
    <t xml:space="preserve">+1.333 LF metal blocking per sign if mechanically fastened</t>
  </si>
  <si>
    <t xml:space="preserve">RFI-ADV-MW13-CITE</t>
  </si>
  <si>
    <t xml:space="preserve">A7-B-MW13 op quotes 'PRESSURE TREATED' (text of 3/A12.04); A12.06 says 'PROVIDE ADDITIONAL BLOCKING' with no material. Citation to be reviewed; material stays FRT per sheet note D.</t>
  </si>
  <si>
    <t xml:space="preserve">none (citation only)</t>
  </si>
  <si>
    <t xml:space="preserve">A4-RFI-ATM-DU-RO</t>
  </si>
  <si>
    <t xml:space="preserve">A4-RFI-ATM-DU-RO: DU ATM R.O. width 2'-2 1/2" (7/A08.11) vs 2'-2 1/8" (26.4") (5/A08.11). Delta header + sill track = 3/8" x (4 box pieces + 1 sill) = 0.16 LF</t>
  </si>
  <si>
    <t xml:space="preserve">Delta header + sill track = 3/8" x (4 box pieces + 1 sill) = 0.16 LF</t>
  </si>
  <si>
    <t xml:space="preserve">A4-RFI-ATM-DU-OC</t>
  </si>
  <si>
    <t xml:space="preserve">A4-RFI-ATM-DU-OC: O.C. of the 2 1/2" sistered studs and of the furring at the DU ATM recess not printed (6/A08.11); 16" O.C. carried. Delta at 24" O.C.: sistered 2 x 6.0 = 12.0 (-6.0 LF); furring 3 x 2.87 = 8.62 (-5.75 LF)</t>
  </si>
  <si>
    <t xml:space="preserve">Delta at 24" O.C</t>
  </si>
  <si>
    <t xml:space="preserve">A4-RFI-CSR-HDR</t>
  </si>
  <si>
    <t xml:space="preserve">A4-RFI-CSR-HDR: header over the 12'-0 1/4" CSR line R.O. (Cash Window 116) not shown; 7/S5.20 tops at 8'-0". If a metal stud box beam (4 pieces): (12.0208 + 1.3333) x 4 = 53.42 LF of header</t>
  </si>
  <si>
    <t xml:space="preserve">+53.42 LF header if a 4-piece metal stud box beam is required (not carried)</t>
  </si>
  <si>
    <t xml:space="preserve">A4-RFI-VEST-BOX</t>
  </si>
  <si>
    <t xml:space="preserve">A4-RFI-VEST-BOX: 'BOX HEADER AS NEEDED' (4-7/A12.10) size / members not printed (E11). Counted as 4 pieces x (R.O. + 1'-4"); confirm member size</t>
  </si>
  <si>
    <t xml:space="preserve">n/a: member size only (piece count and LF carried: 4 pieces x (R.O. + 1'-4"))</t>
  </si>
  <si>
    <t xml:space="preserve">A4-RFI-103-SCHED</t>
  </si>
  <si>
    <t xml:space="preserve">A4-RFI-103-SCHED: A00.30 row 103 HEIGHT 13'-6 1/2" vs grille R.O. 13'-4" wide / ~10'-0" high (A02.01, A08.21); no LF delta in header (width from A02.01)</t>
  </si>
  <si>
    <t xml:space="preserve">0 LF: header width taken from A02.01; schedule height conflict only</t>
  </si>
  <si>
    <t xml:space="preserve">A4-RFI-FEC1</t>
  </si>
  <si>
    <t xml:space="preserve">A4-RFI-FEC1: FEC-1 recessed cabinet size not printed (A00.40 size '-', spec 10 44 00). 0 carried; delta if R.O. &gt; stud bay 14 3/8": header + sill (R.O. + 1'-4") x 2 per cabinet</t>
  </si>
  <si>
    <t xml:space="preserve">+ (R.O. + 1'-4") x 2 LF per cabinet if R.O. &gt; stud bay; 0 carried</t>
  </si>
  <si>
    <t xml:space="preserve">A4-RFI-TA</t>
  </si>
  <si>
    <t xml:space="preserve">A08.01 TOILET ACCESSORY LEGENDS designate TA-2 RECESSED PAPER TOWEL DISPENSER, TA-13 HAND DRYER W/ ADA COMPLIANT RECESS KIT and TA-14 RECESSED WASTE RECEPTACLE (rows above, width not printed -&gt; 0 + RFI-ADV-TA, R71.6); the other TA items carry no recessed designation</t>
  </si>
  <si>
    <t xml:space="preserve">n/a: recessed accessory sizes per cutsheet; framed openings carried per sweep</t>
  </si>
  <si>
    <t xml:space="preserve">A4-RFI-SUBSTRATE-WIDTH</t>
  </si>
  <si>
    <t xml:space="preserve">A4-RFI-SUBSTRATE-WIDTH: constants.opening_substrate_width_ft (strip width of the 3/4" FRT plywood at heads / jambs of windows, storefronts and door 123) not dimensioned in 11/A09.27, 2/A09.26, 14/A09.27, 3/A09.25, 4/A09.25 -&gt; estimator criterion</t>
  </si>
  <si>
    <t xml:space="preserve">n/a: strip width is an estimator criterion; SF of 3/4" FRT plywood substrate scales with the width</t>
  </si>
  <si>
    <t xml:space="preserve">RFI-A3-HP-BACK</t>
  </si>
  <si>
    <t xml:space="preserve">HP parapet block (T.O. PARAPET 2 20'-0") back faces: A09.02 south/east elevations show key note 7 'EXTERIOR PROTECTION BOARD' on the back of the block over grids 2-4 / D-F, but A02.02 roof plan draws no parapet on grid 4 (D-&gt;F) nor grid D (3-&gt;4). Not quantified; delta ~ (3.9 + 27) ft x 4.29 ft parapet.</t>
  </si>
  <si>
    <t xml:space="preserve">+(3.9 + 27) ft x 4.29 ft of parapet back face if the HP block back faces exist (not carried)</t>
  </si>
  <si>
    <t xml:space="preserve">RFI-A3-CANOPY-BEAM</t>
  </si>
  <si>
    <t xml:space="preserve">Canopy beams (W16x26/W12x19 CANOPY, HSS10x3 CANOPY) inside the exterior stud cavity (C/A09.21, H/A09.23, 15/A09.27): walls kept continuous to the HI/LOW roof beam (R80.2); split = +track, -stud.</t>
  </si>
  <si>
    <t xml:space="preserve">split = +1 track line per beam run, -stud length above the beam (R80.2)</t>
  </si>
  <si>
    <t xml:space="preserve">RFI-A3-CANOPY-JOIST</t>
  </si>
  <si>
    <t xml:space="preserve">Drive-up canopy soffit 3 5/8" joists spanning up to 21'-6" (16/A09.27) - support / direction RFI.</t>
  </si>
  <si>
    <t xml:space="preserve">n/a: support / direction only; joist LF carried per 16/A09.27</t>
  </si>
  <si>
    <t xml:space="preserve">RFI-A3-PIER-STUDS</t>
  </si>
  <si>
    <t xml:space="preserve">Storefront pier studs_drawn (1/A09.25, 2/A09.25) counted visually - verify.</t>
  </si>
  <si>
    <t xml:space="preserve">n/a: studs drawn in 1/A09.25 and 2/A09.25 counted from the drawing</t>
  </si>
  <si>
    <t xml:space="preserve">RFI-FO-R-11C-1</t>
  </si>
  <si>
    <t xml:space="preserve">RFI R-11C: opening width not printed (E00.01 light fixture schedule (R-11C description / catalog FSM2L-...-TF-XF2 give no opening width)); Provide opening width for the recessed linear gyp slot (cutsheet); framing ends not carried; ends not carried</t>
  </si>
  <si>
    <t xml:space="preserve">+2 x W x 2 LF (ends; W pending)</t>
  </si>
  <si>
    <t xml:space="preserve">RFI-FO-R-11C-2</t>
  </si>
  <si>
    <t xml:space="preserve">RFI R-11C: schedule description 12.0 ft vs catalog 20.0 ft; carried 12.0 ft (desc = drawn); alternate 20.0 ft</t>
  </si>
  <si>
    <t xml:space="preserve">+32 LF</t>
  </si>
  <si>
    <t xml:space="preserve">RFI-FO-R-11CE-3</t>
  </si>
  <si>
    <t xml:space="preserve">RFI R-11CE: opening width not printed (E00.01 light fixture schedule (R-11CE 'SAME AS ABOVE' - no opening width)); Provide opening width for the recessed linear gyp slot (cutsheet); framing ends not carried; ends not carried</t>
  </si>
  <si>
    <t xml:space="preserve">RFI-FO-R-11CE-4</t>
  </si>
  <si>
    <t xml:space="preserve">RFI R-11CE: schedule description 12.0 ft vs catalog 20.0 ft; carried 12.0 ft (desc = drawn); alternate 20.0 ft</t>
  </si>
  <si>
    <t xml:space="preserve">RFI-FO-R-11A-5</t>
  </si>
  <si>
    <t xml:space="preserve">RFI R-11A: opening width not printed (E00.01 schedule R-11A gives no width; 6/A09.33 trimless detail (bubbled in 10/A09.33) prints no opening width); Provide opening width for the recessed linear gyp slot (cutsheet); framing ends not carried; ends not carried</t>
  </si>
  <si>
    <t xml:space="preserve">RFI-FO-SD-3SEC-6</t>
  </si>
  <si>
    <t xml:space="preserve">RFI SD-3SEC: opening width not printed (M00.03 schedule 'SD/SDR TITUS TBDI-10 ... (2) 1" SLOTS', size 'SEE DRAWING' - opening width not printed (drawn outer ~7.7")); Provide slot diffuser TBDI-10 2-slot frame width for the GWB opening; ends not carried; ends not carried</t>
  </si>
  <si>
    <t xml:space="preserve">+2 x W x 4 LF (ends; W pending)</t>
  </si>
  <si>
    <t xml:space="preserve">RFI-FO-SD-1SEC-7</t>
  </si>
  <si>
    <t xml:space="preserve">RFI SD-1SEC: opening width not printed (M00.03 'SD/SDR TITUS TBDI-10 (2) 1" SLOTS', size 'SEE DRAWING' - width not printed); Provide TBDI-10 frame width; A04.01 shows 2'x2' diffuser symbols in the restrooms instead of slots - confirm device; ends not carried</t>
  </si>
  <si>
    <t xml:space="preserve">RFI-FO-UU1-8</t>
  </si>
  <si>
    <t xml:space="preserve">RFI UU1: opening width not printed (5/A09.33 + 4/A09.33 'CANOPY LINEAR LIGHT DETAIL - TRANS': width 'COORD. W/ FIXTURE CUTSHEET' (not printed); E00.01 catalog LSR-WET-2.5 is a model code, not an opening width); Provide the recess width of the Coronet LSR-WET UU1 (20.0' fixture) in the 5/8" exterior sheathing on 3 5/8" CFMF canopy soffit (4/A09.33 'COORD. W/ FIXTURE CUTSHEET'); framing ends not carried; ends not carried</t>
  </si>
  <si>
    <t xml:space="preserve">+2 x W x 1 LF (ends; W pending)</t>
  </si>
  <si>
    <t xml:space="preserve">RFI-FO-UU2-9</t>
  </si>
  <si>
    <t xml:space="preserve">RFI UU2: opening width not printed (5/A09.33 + 4/A09.33 'CANOPY LINEAR LIGHT DETAIL - TRANS': width 'COORD. W/ FIXTURE CUTSHEET' (not printed); E00.01 catalog LSR-WET-2.5 is a model code, not an opening width); Provide the recess width of the Coronet LSR-WET UU2 (2.0' fixture) in the 5/8" exterior sheathing on 3 5/8" CFMF canopy soffit (4/A09.33 'COORD. W/ FIXTURE CUTSHEET'); framing ends not carried; ends not carried</t>
  </si>
  <si>
    <t xml:space="preserve">+2 x W x 5 LF (ends; W pending)</t>
  </si>
  <si>
    <t xml:space="preserve">RFI-FO-UU3-10</t>
  </si>
  <si>
    <t xml:space="preserve">RFI UU3: opening width not printed (5/A09.33 + 4/A09.33 'CANOPY LINEAR LIGHT DETAIL - TRANS': width 'COORD. W/ FIXTURE CUTSHEET' (not printed); E00.01 catalog LSR-WET-2.5 is a model code, not an opening width); Provide the recess width of the Coronet LSR-WET UU3 (3.0' fixture) in the 5/8" exterior sheathing on 3 5/8" CFMF canopy soffit (4/A09.33 'COORD. W/ FIXTURE CUTSHEET'); framing ends not carried; ends not carried</t>
  </si>
  <si>
    <t xml:space="preserve">+2 x W x 9 LF (ends; W pending)</t>
  </si>
  <si>
    <t xml:space="preserve">RFI-FO-UU4-11</t>
  </si>
  <si>
    <t xml:space="preserve">RFI UU4: opening width not printed (5/A09.33 + 4/A09.33 'CANOPY LINEAR LIGHT DETAIL - TRANS': width 'COORD. W/ FIXTURE CUTSHEET' (not printed); E00.01 catalog LSR-WET-2.5 is a model code, not an opening width); Provide the recess width of the Coronet LSR-WET UU4 (55.0' fixture) in the 5/8" exterior sheathing on 3 5/8" CFMF canopy soffit (4/A09.33 'COORD. W/ FIXTURE CUTSHEET'); framing ends not carried; ends not carried</t>
  </si>
  <si>
    <t xml:space="preserve">RFI-FO-UU5-12</t>
  </si>
  <si>
    <t xml:space="preserve">RFI UU5: opening width not printed (5/A09.33 + 4/A09.33 'CANOPY LINEAR LIGHT DETAIL - TRANS': width 'COORD. W/ FIXTURE CUTSHEET' (not printed); E00.01 catalog LSR-WET-2.5 is a model code, not an opening width); Provide the recess width of the Coronet LSR-WET UU5 (50.0' fixture) in the 5/8" exterior sheathing on 3 5/8" CFMF canopy soffit (4/A09.33 'COORD. W/ FIXTURE CUTSHEET'); framing ends not carried; ends not carried</t>
  </si>
  <si>
    <t xml:space="preserve">RFI-FO-UU6-13</t>
  </si>
  <si>
    <t xml:space="preserve">RFI UU6: opening width not printed (5/A09.33 + 4/A09.33 'CANOPY LINEAR LIGHT DETAIL - TRANS': width 'COORD. W/ FIXTURE CUTSHEET' (not printed); E00.01 catalog LSR-WET-2.5 is a model code, not an opening width); Provide the recess width of the Coronet LSR-WET UU6 (16.0' fixture) in the 5/8" exterior sheathing on 3 5/8" CFMF canopy soffit (4/A09.33 'COORD. W/ FIXTURE CUTSHEET'); framing ends not carried; ends not carried</t>
  </si>
  <si>
    <t xml:space="preserve">RFI-CR-BRACING</t>
  </si>
  <si>
    <t xml:space="preserve">RFI bracing: 123.04 LF of C.R. channel bracing runs across openings without studs (53.4, literal).</t>
  </si>
  <si>
    <t xml:space="preserve">-123.04 LF of C.R. channel if not run across openings</t>
  </si>
  <si>
    <t xml:space="preserve">RFI-CR-DOORS</t>
  </si>
  <si>
    <t xml:space="preserve">RFI bottom track: 50.5 LF of door R.O. are NOT deducted from the bottom track (corridas.py).</t>
  </si>
  <si>
    <t xml:space="preserve">-50.5 LF of bottom track if door R.O. are deducted</t>
  </si>
  <si>
    <t xml:space="preserve">RFI-TYPE-B2K</t>
  </si>
  <si>
    <t xml:space="preserve">B2K is tagged on A02.01 (PC0011) but has no row in the A12.01 schedule: carried as B2 + Kevlar per 4/A12.01 [DERIVED], declare in Clarifications</t>
  </si>
  <si>
    <t xml:space="preserve">n/a: carried as B2 + Kevlar per 4/A12.01; any other build-up changes the B2K row only</t>
  </si>
  <si>
    <t xml:space="preserve">RFI-TYPE-G-GAUGE</t>
  </si>
  <si>
    <t xml:space="preserve">G / G1 types: 1-5/8" stud designation / gauge not scheduled</t>
  </si>
  <si>
    <t xml:space="preserve">n/a: gauge only (LF unchanged)</t>
  </si>
  <si>
    <t xml:space="preserve">RFI-L5-WC20</t>
  </si>
  <si>
    <t xml:space="preserve">RFI-ADV-WC20: WC-20 height / extent not printed</t>
  </si>
  <si>
    <t xml:space="preserve">n/a: Level 5 SF changes with the WC-20 extent (L x (10'-0" - base) on that face)</t>
  </si>
  <si>
    <t xml:space="preserve">RFI-PLY-2</t>
  </si>
  <si>
    <t xml:space="preserve">1/A09.25: two hatched 3/4" plies drawn at the jamb but the label is singular '3/4" FRT PLYWOOD': 1 ply carried (label); second ply delta +12.903 SF</t>
  </si>
  <si>
    <t xml:space="preserve">delta +12.903 SF</t>
  </si>
  <si>
    <t xml:space="preserve">RFI-PLY-3</t>
  </si>
  <si>
    <t xml:space="preserve">2/A09.25: two hatched 3/4" plies drawn at the jamb but the label is singular '3/4" FRT PLYWOOD': 1 ply carried (label); second ply delta +6.452 SF</t>
  </si>
  <si>
    <t xml:space="preserve">delta +6.452 SF</t>
  </si>
  <si>
    <t xml:space="preserve">RFI-PLY-4</t>
  </si>
  <si>
    <t xml:space="preserve">2/A09.25: two hatched 3/4" plies drawn at the jamb but the label is singular '3/4" FRT PLYWOOD': 1 ply carried (label); second ply delta +4.25 SF</t>
  </si>
  <si>
    <t xml:space="preserve">delta +4.25 SF</t>
  </si>
  <si>
    <t xml:space="preserve">RFI-TRIM-3</t>
  </si>
  <si>
    <t xml:space="preserve">Grille-side bottom corner assumed beaded (TYP.); delta -13.333 LF if only the room side is exposed.</t>
  </si>
  <si>
    <t xml:space="preserve">delta -13.333 LF if only the room side is exposed</t>
  </si>
  <si>
    <t xml:space="preserve">RFI-BLK-NOTE-C</t>
  </si>
  <si>
    <t xml:space="preserve">Blocking at wall-mounted items per general note C (23 items): note C gives no material; metal 362CR stud blocking carried (58.6)</t>
  </si>
  <si>
    <t xml:space="preserve">0 LF: material swap only (the same LF moves from metal stud blocking to the FRT blocking row)</t>
  </si>
  <si>
    <t xml:space="preserve">RFI-BLK-30</t>
  </si>
  <si>
    <t xml:space="preserve">A7-B-MW08: RFI-ADV-MW08: 3/A12.04 says 'PROVIDE ADDITIONAL PRESSURE TREATED BLOCKING IN PARTITION' while sheet note D says FRTW; carried FRT (sheet note label). 3/A12.04 is cut at the microwave niche (2'-5" HOLD).</t>
  </si>
  <si>
    <t xml:space="preserve">n/a: one row length per item; LF changes with the printed length</t>
  </si>
  <si>
    <t xml:space="preserve">RFI-BLK-36</t>
  </si>
  <si>
    <t xml:space="preserve">A7-B-WS: Wall stop blocking material and length not printed: metal 362CR stud blocking one bay per stop assumed; delta to FRT 2x = same LF in the FRT family.</t>
  </si>
  <si>
    <t xml:space="preserve">delta to FRT 2x = same LF in the FRT family.</t>
  </si>
  <si>
    <t xml:space="preserve">RFI-BLK-54</t>
  </si>
  <si>
    <t xml:space="preserve">A7-B-LOCKERS: Locker width differs between 5/A11.02 (3.75 ft) and the dashed plan footprint (~4.9 ft); rows and material not printed (metal assumed). Delta +1.15 LF.</t>
  </si>
  <si>
    <t xml:space="preserve">Delta +1.15 LF</t>
  </si>
  <si>
    <t xml:space="preserve">RFI-BLK-61</t>
  </si>
  <si>
    <t xml:space="preserve">A7-B-LADDER: Bracket count follows the 3 levels drawn (the elevation has a break line); blocking length per level = printed ladder width min. 1'-6".</t>
  </si>
  <si>
    <t xml:space="preserve">RFI-BLK-62</t>
  </si>
  <si>
    <t xml:space="preserve">A7-B-WH1: NTS detail: length per row not printed (one stud bay assumed); 2X without FRT label = wood (R76.7).</t>
  </si>
  <si>
    <t xml:space="preserve">RFI-BLK-70</t>
  </si>
  <si>
    <t xml:space="preserve">A7-B-GRILLE: Second jamb assumed mirrored (detail 3 'TYP'); height measured in vector (no printed height).</t>
  </si>
  <si>
    <t xml:space="preserve">RFI-BLK-74</t>
  </si>
  <si>
    <t xml:space="preserve">A6-B-HATCH: RFI-ADV-HATCH: hatch size not printed (drawn outline measured).</t>
  </si>
  <si>
    <t xml:space="preserve">RFI-SHEET-LEN</t>
  </si>
  <si>
    <t xml:space="preserve">56.8: blocking location not given; carried at the horizontal board joint of faces taller than 12 ft; alternative (a) exterior walls + double-layer types</t>
  </si>
  <si>
    <t xml:space="preserve">n/a: blocking LF moves to the alternative location (exterior walls + double-layer types)</t>
  </si>
  <si>
    <t xml:space="preserve">121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</si>
  <si>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</si>
  <si>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</si>
  <si>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</si>
  <si>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</si>
  <si>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</si>
  <si>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</si>
  <si>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1/121</t>
  </si>
  <si>
    <t xml:space="preserve">Floor plan</t>
  </si>
  <si>
    <t xml:space="preserve">A1</t>
  </si>
  <si>
    <t xml:space="preserve">Double-reading item 1 (Sheet A02.01 (p.24)): LF differs -0.61 LF (20.0 %): A A1-03 3.03 LF vs B B1-03 2.43 LF [matched by position]. Resolution: #1 A1 (A A1-03 / B B1-03) → **B** → A1-03 2.427 LF [R78.35 / R70.2] → A02.01 (p.24) vector layer fills; 6/A12.03 MW01 sections (SCHED. PARTITION) → /home/user/boa29b/work/etapas/3_revision/res_img/R001.png</t>
  </si>
  <si>
    <t xml:space="preserve">Sheet A02.01 (p.24)</t>
  </si>
  <si>
    <t xml:space="preserve">/home/user/boa29b/work/etapas/3_revision/res_img/R001.png</t>
  </si>
  <si>
    <t xml:space="preserve">2/121</t>
  </si>
  <si>
    <t xml:space="preserve">Double-reading item 2 (Sheet A02.01 (p.24)): LF differs -1.19 LF (13.7 %): A A1-10 8.68 LF vs B B1-11 7.49 LF [matched by position]. Resolution: #2 A1 (A A1-10 / B B1-11) → **anexo (neither as list wall)** → A1-10 7.487 LF [R74.3 / R75.6 / E28(1)] → A02.01 (p.24) vector + dims 1'-10 3/4", 5'-6 1/2" → /home/user/boa29b/work/etapas/3_revision/res_img/R002.png</t>
  </si>
  <si>
    <t xml:space="preserve">/home/user/boa29b/work/etapas/3_revision/res_img/R002.png</t>
  </si>
  <si>
    <t xml:space="preserve">3/121</t>
  </si>
  <si>
    <t xml:space="preserve">Double-reading item 3 (Sheet A02.01 (p.24)): LF differs +1.38 LF (22.3 %): A A1-04 4.81 LF vs B B1-04 6.19 LF [matched by position]. Resolution: #3 A1 (A A1-04 / B B1-04) → **value** → A1-04 5.587 LF [R77.10 / R78.35 / R70.2] → A02.01 (p.24) dim 5'-0" + vector layer fills → /home/user/boa29b/work/etapas/3_revision/res_img/R003.png</t>
  </si>
  <si>
    <t xml:space="preserve">/home/user/boa29b/work/etapas/3_revision/res_img/R003.png</t>
  </si>
  <si>
    <t xml:space="preserve">4/121</t>
  </si>
  <si>
    <t xml:space="preserve">Double-reading item 26 (Sheet A02.01 (p.24)): only in reading B: B1-10 3.50 LF. Resolution: #26 A1 (A - / B B1-10) → **discard (duplicate)** → None 0 LF [R74.5 / E28 (one band = one wall)] → A02.01 (p.24) vector + PA0034 → /home/user/boa29b/work/etapas/3_revision/res_img/R026.png</t>
  </si>
  <si>
    <t xml:space="preserve">/home/user/boa29b/work/etapas/3_revision/res_img/R026.png</t>
  </si>
  <si>
    <t xml:space="preserve">5/121</t>
  </si>
  <si>
    <t xml:space="preserve">RFI-ADV-A101-BEHIND-C1: A1-01 face A (Waiting 104) behind the C1 monitor box A2-C1-05 (10'-0" x 8"): the A1 board behind the box is carried as well as the C1 face (correct by type, concealed). | Delta: about -115 SF 5/8" board if the concealed A1 face behind the box is omitted</t>
  </si>
  <si>
    <t xml:space="preserve">A02.01</t>
  </si>
  <si>
    <t xml:space="preserve">/home/user/boa29b/work/etapas/4_canon/img/adv/p24_C1_waiting.png</t>
  </si>
  <si>
    <t xml:space="preserve">6/121</t>
  </si>
  <si>
    <t xml:space="preserve">A1K</t>
  </si>
  <si>
    <t xml:space="preserve">RFI-ASM-K-CORNER: A02.01: the B2K Kevlar hatch of A2-B2K-01 is drawn to x 1655.40, 1.44 pt past the start face of A1-11 (x 1653.96, W tick of the printed 3'-5"). Take-off gives the corner to A1-11 (one owner, R70.2) and adds the jog y 1118.04-1120.68 at x 1653.96 (R76.3). Confirm the Kevlar panel is continuous around | Delta: -0.08 ft x panel height per layer on A2-B2K-01: 3/8" ballistic panel -0.08 x 8.0 = -0.64 SF per layer; 5/8" board -0.08 x 15.375 = -1.23 SF per face per layer (jog adds back its own band, ball</t>
  </si>
  <si>
    <t xml:space="preserve">/home/user/boa29b/work/etapas/3_revision/orq_img/k_zoom.png</t>
  </si>
  <si>
    <t xml:space="preserve">7/121</t>
  </si>
  <si>
    <t xml:space="preserve">A5</t>
  </si>
  <si>
    <t xml:space="preserve">Double-reading item 4 (Sheet A02.01 (p.24)): LF differs -0.41 LF (8.3 %): A A1-16 4.87 LF vs B B1-17 4.47 LF [matched by position]. Resolution: #4 A5 (A A1-16 / B B1-17) → **A** → A1-16 4.873 LF [R78.35 / R70.2] → A02.01 (p.24) vector layer fills → /home/user/boa29b/work/etapas/3_revision/res_img/R004.png</t>
  </si>
  <si>
    <t xml:space="preserve">/home/user/boa29b/work/etapas/3_revision/res_img/R004.png</t>
  </si>
  <si>
    <t xml:space="preserve">8/121</t>
  </si>
  <si>
    <t xml:space="preserve">Double-reading item 5 (Sheet A02.01 (p.24)): LF differs +3.13 LF (22.1 %): A A1-15 11.00 LF vs B B1-16 14.13 LF [matched by position]. Resolution: #5 A5 (A A1-15 / B B1-16) → **B** → A1-15 14.127 LF [R77.9 / R77.10 / R78.35] → A02.01 (p.24) vector; A12.03 6/A12.03 B3-B4, 7/A12.03 → /home/user/boa29b/work/etapas/3_revision/res_img/R005.png</t>
  </si>
  <si>
    <t xml:space="preserve">/home/user/boa29b/work/etapas/3_revision/res_img/R005.png</t>
  </si>
  <si>
    <t xml:space="preserve">9/121</t>
  </si>
  <si>
    <t xml:space="preserve">B</t>
  </si>
  <si>
    <t xml:space="preserve">RFI-ASM-BEAM-A2-B-02: A2-B-02: vigas_sobre_walls.py puts S2.20 W8X10 (axis 1509.85 pt) over 5.287 ft of the 11.719 ft wall (45.1 %); the record stops under the beam (E26 / R72.4). Confirm whether the studs outside the beam (6.432 ft) run to the deck. | Delta: +0.657 ft per stud on the 6.432 ft outside the beam (@ 16" O.C., x 1 row(s)) and +0.657 ft x that length per board face to deck</t>
  </si>
  <si>
    <t xml:space="preserve">1/S2.20</t>
  </si>
  <si>
    <t xml:space="preserve">/home/user/boa29b/work/etapas/2_lectura/A_work/A6/img/p63_overview.png</t>
  </si>
  <si>
    <t xml:space="preserve">10/121</t>
  </si>
  <si>
    <t xml:space="preserve">RFI-ASM-BEAM-A2-B-04: A2-B-04: vigas_sobre_walls.py finds an S2.20 beam line (axis 1586.43 pt) over 5.287 ft of the wall (45.1 %) with no W mark next to it (tool note: no W mark beside the beam, RFI with depth d): depth unknown, studs carried to deck. Confirm the member and whether the studs stop under it. | Delta: -d (beam depth, ft) per stud on the 5.287 ft under the beam (@ 16" O.C.) and -d x 5.287 ft per board face to deck</t>
  </si>
  <si>
    <t xml:space="preserve">11/121</t>
  </si>
  <si>
    <t xml:space="preserve">B2</t>
  </si>
  <si>
    <t xml:space="preserve">Double-reading item 6 (Sheet A02.01 (p.24)): LF differs +3.66 LF (24.3 %): A A2-B2-04 11.41 LF vs B B2-23 15.07 LF [matched by position]. Resolution: #6 B2 (A A2-B2-04,A1-17 / B B2-23,B1-18) → **A for B2 + value for A5 (door 116 single owner)** →  A1-17 6.947 + A2-B2-04 11.407 LF [R75.5 / R70.3 / R77.10 / R78.31] → A02.01 (p.24) vector layer fills → /home/user/boa29b/work/etapas/3_revision/res_img/R006.png</t>
  </si>
  <si>
    <t xml:space="preserve">/home/user/boa29b/work/etapas/3_revision/res_img/R006.png</t>
  </si>
  <si>
    <t xml:space="preserve">12/121</t>
  </si>
  <si>
    <t xml:space="preserve">Double-reading item 7 (Sheet A02.01 (p.24)): LF differs +12.20 LF (43.6 %): A A2-B2-03 15.79 LF vs B B2-16 27.99 LF [matched by position]. Resolution: #7 B2 (A A2-B2-03 / B B2-16) → **A (B2 line = two walls, split by the alcove)** → A2-B2-03 15.787 LF [E28(1) / R74.3 / R75.6] → A02.01 (p.24) vector → /home/user/boa29b/work/etapas/3_revision/res_img/R007.png</t>
  </si>
  <si>
    <t xml:space="preserve">/home/user/boa29b/work/etapas/3_revision/res_img/R007.png</t>
  </si>
  <si>
    <t xml:space="preserve">13/121</t>
  </si>
  <si>
    <t xml:space="preserve">Double-reading item 12 (Sheet A02.01 (p.24)): only in reading A: A2-B2-02 5.54 LF. Resolution: #12 B2 (A A2-B2-02 / B -) → **A** → A2-B2-02 5.542 LF [E28(1) / R75.6] → A02.01 (p.24) dim 5'-6 1/2" → /home/user/boa29b/work/etapas/3_revision/res_img/R012.png</t>
  </si>
  <si>
    <t xml:space="preserve">/home/user/boa29b/work/etapas/3_revision/res_img/R012.png</t>
  </si>
  <si>
    <t xml:space="preserve">14/121</t>
  </si>
  <si>
    <t xml:space="preserve">B2K</t>
  </si>
  <si>
    <t xml:space="preserve">Double-reading item 8 (Sheet A02.01 (p.24)): LF differs +0.96 LF (37.8 %): A A2-B2K-01 1.58 LF vs B B2-09 2.54 LF [matched by position]. Resolution: #8 B2K (A A2-B2K-01 / B B2-09) → **A** → A2-B2K-01 1.58 LF [R72.1 / R80.10] → A02.01 (p.24) vector hatch → /home/user/boa29b/work/etapas/3_revision/res_img/R008.png</t>
  </si>
  <si>
    <t xml:space="preserve">/home/user/boa29b/work/etapas/3_revision/res_img/R008.png</t>
  </si>
  <si>
    <t xml:space="preserve">15/121</t>
  </si>
  <si>
    <t xml:space="preserve">C1</t>
  </si>
  <si>
    <t xml:space="preserve">Double-reading item 9 (Sheet A02.01 (p.24)): LF differs -0.23 LF (7.1 %): A A2-C1-08 3.21 LF vs B B2-31 2.98 LF [matched by position]. Resolution: #9 C1 (A A2-C1-08 / B B2-31) → **value** → A2-C1-08 3.56 LF [R75.7 / R73.17] → A02.01 (p.24) vector layer fills → /home/user/boa29b/work/etapas/3_revision/res_img/R009.png</t>
  </si>
  <si>
    <t xml:space="preserve">/home/user/boa29b/work/etapas/3_revision/res_img/R009.png</t>
  </si>
  <si>
    <t xml:space="preserve">16/121</t>
  </si>
  <si>
    <t xml:space="preserve">Double-reading item 10 (Sheet A02.01 (p.24)): LF differs -0.63 LF (5.9 %): A A2-C1-05 10.63 LF vs B B2-28 10.00 LF [matched by position]. Resolution: #10 C1 (A A2-C1-05 / B B2-28) → **value** → A2-C1-05 11.333 LF [R75.7 / R73.17] → A02.01 (p.24) dims 10'-0", 8" → /home/user/boa29b/work/etapas/3_revision/res_img/R010.png</t>
  </si>
  <si>
    <t xml:space="preserve">/home/user/boa29b/work/etapas/3_revision/res_img/R010.png</t>
  </si>
  <si>
    <t xml:space="preserve">17/121</t>
  </si>
  <si>
    <t xml:space="preserve">Double-reading item 13 (Sheet A02.01 (p.24)): only in reading A: A2-C1-01 3.27 LF. Resolution: #13 C1 (A A2-C1-01 / B B2-24) → **A** → A2-C1-01 3.267 LF [R76.5 / E28(5)] → A02.01 (p.24) + A09.25 details 1 and 2 (p.40) → /home/user/boa29b/work/etapas/3_revision/res_img/R013.png</t>
  </si>
  <si>
    <t xml:space="preserve">/home/user/boa29b/work/etapas/3_revision/res_img/R013.png</t>
  </si>
  <si>
    <t xml:space="preserve">18/121</t>
  </si>
  <si>
    <t xml:space="preserve">Double-reading item 14 (Sheet A02.01 (p.24)): only in reading A: A2-C1-02 4.07 LF. Resolution: #14 C1 (A A2-C1-02 / B B2-25) → **A** → A2-C1-02 4.072 LF [R76.5 / E28(5)] → A02.01 (p.24) + A09.25 details 1 and 2 (p.40) → /home/user/boa29b/work/etapas/3_revision/res_img/R014.png</t>
  </si>
  <si>
    <t xml:space="preserve">/home/user/boa29b/work/etapas/3_revision/res_img/R014.png</t>
  </si>
  <si>
    <t xml:space="preserve">19/121</t>
  </si>
  <si>
    <t xml:space="preserve">Double-reading item 15 (Sheet A02.01 (p.24)): only in reading A: A2-C1-04 4.00 LF. Resolution: #15 C1 (A A2-C1-04 / B B2-27) → **B** → A2-C1-04 2.94 LF [R76.5 / R73.13] → A02.01 (p.24) vector + dim 1'-0" → /home/user/boa29b/work/etapas/3_revision/res_img/R015.png</t>
  </si>
  <si>
    <t xml:space="preserve">/home/user/boa29b/work/etapas/3_revision/res_img/R015.png</t>
  </si>
  <si>
    <t xml:space="preserve">20/121</t>
  </si>
  <si>
    <t xml:space="preserve">Double-reading item 27 (Sheet A02.01 (p.24)): only in reading B: B2-24 9.03 LF. Resolution: #27 C1 (A A2-C1-01 / B B2-24) → **same element as item 13 -&gt; A** → A2-C1-01 3.267 LF [R76.5 / E28(5)] → A02.01 (p.24) + A09.25 details 1 and 2 (p.40) → /home/user/boa29b/work/etapas/3_revision/res_img/R027.png</t>
  </si>
  <si>
    <t xml:space="preserve">/home/user/boa29b/work/etapas/3_revision/res_img/R027.png</t>
  </si>
  <si>
    <t xml:space="preserve">21/121</t>
  </si>
  <si>
    <t xml:space="preserve">Double-reading item 28 (Sheet A02.01 (p.24)): only in reading B: B2-25 9.12 LF. Resolution: #28 C1 (A A2-C1-02 / B B2-25) → **same element as item 14 -&gt; A** → A2-C1-02 4.072 LF [R76.5 / E28(5)] → A02.01 (p.24) + A09.25 details 1 and 2 (p.40) → /home/user/boa29b/work/etapas/3_revision/res_img/R028.png</t>
  </si>
  <si>
    <t xml:space="preserve">/home/user/boa29b/work/etapas/3_revision/res_img/R028.png</t>
  </si>
  <si>
    <t xml:space="preserve">22/121</t>
  </si>
  <si>
    <t xml:space="preserve">Double-reading item 29 (Sheet A02.01 (p.24)): only in reading B: B2-27 2.94 LF. Resolution: #29 C1 (A A2-C1-04 / B B2-27) → **same element as item 15 -&gt; B** → A2-C1-04 2.94 LF [R76.5 / R73.13] → A02.01 (p.24) vector + dim 1'-0" → /home/user/boa29b/work/etapas/3_revision/res_img/R029.png</t>
  </si>
  <si>
    <t xml:space="preserve">/home/user/boa29b/work/etapas/3_revision/res_img/R029.png</t>
  </si>
  <si>
    <t xml:space="preserve">23/121</t>
  </si>
  <si>
    <t xml:space="preserve">EXT-6CFMF</t>
  </si>
  <si>
    <t xml:space="preserve">RFI-ASM-BEAM-A3-W1: A3-W1: vigas_sobre_walls.py finds two parallel beams with different marks over the wall (W16X26 14.889 ft, W12X19 4.607 ft, W16X26 14.889 ft, W12X19 4.607 ft, W16X26 14.889 ft); the canon keeps stops_under_beam W12X19 (reading A); confirm which member the studs stop under (S2.20). | Delta: per stud: height difference between the candidate beam depths (W12X19 1.017 ft, W16X26 1.308 ft)</t>
  </si>
  <si>
    <t xml:space="preserve">24/121</t>
  </si>
  <si>
    <t xml:space="preserve">EXT-PARAPET</t>
  </si>
  <si>
    <t xml:space="preserve">Double-reading item 19 (Sheet A02.01 (p.24)): only in reading A: A3-P-G 16.33 LF. Resolution: #19/#30 A3-P-G (N-HP, grid G 2-&gt;4, HP 4.292): 16.820 LF, base A3-PIER2+A3-PIER4, lf_override (over 12'-6 3/4" entrance storefront). A 16.333 / B 16.208 (CL-to-CL).</t>
  </si>
  <si>
    <t xml:space="preserve">/home/user/boa29b/work/etapas/3_revision/img/019_ONLYA_EXT-PARAPET_A02.01_p24.png</t>
  </si>
  <si>
    <t xml:space="preserve">25/121</t>
  </si>
  <si>
    <t xml:space="preserve">Double-reading item 20 (Sheet A02.01 (p.24)): only in reading A: A3-P-F 39.86 LF. Resolution: #20/#32 A3-P-F (N, grid F 4-&gt;8, LP 2.042): 39.873 LF, base A3-N1, lf_override (over 26'-3" storefront). A 39.86 / B 40.0.</t>
  </si>
  <si>
    <t xml:space="preserve">/home/user/boa29b/work/etapas/3_revision/img/020_ONLYA_EXT-PARAPET_A02.01_p24.png</t>
  </si>
  <si>
    <t xml:space="preserve">26/121</t>
  </si>
  <si>
    <t xml:space="preserve">Double-reading item 21 (Sheet A02.01 (p.24)): only in reading A: A3-P-8a+A3-P-8b 75.94 LF. Resolution: #21/#33 A3-P-8a + A3-P-8b (E, grid 8): 50.529 (2.042) + 24.911 (4.885) = 75.440, split at grid B (D9 roof step). A 75.94 / B 75.96 one run.</t>
  </si>
  <si>
    <t xml:space="preserve">/home/user/boa29b/work/etapas/3_revision/img/021_ONLYA_EXT-PARAPET_A02.01_p24.png</t>
  </si>
  <si>
    <t xml:space="preserve">27/121</t>
  </si>
  <si>
    <t xml:space="preserve">Double-reading item 22 (Sheet A02.01 (p.24)): only in reading A: A3-P-A 52.33 LF. Resolution: #22/#34 A3-P-A (S, grid A 3-&gt;8, 4.885): 52.833 = S1a+S1b, one record. A/B 52.333.</t>
  </si>
  <si>
    <t xml:space="preserve">/home/user/boa29b/work/etapas/3_revision/img/022_ONLYA_EXT-PARAPET_A02.01_p24.png</t>
  </si>
  <si>
    <t xml:space="preserve">28/121</t>
  </si>
  <si>
    <t xml:space="preserve">Double-reading item 23 (Sheet A02.01 (p.24)): only in reading A: A3-P-3a+A3-P-3b 47.93 LF. Resolution: #23/#35 A3-P-3a + A3-P-3b (W, grid 3): 22.516 (2.042) + 24.911 (4.885) = 47.427, split at grid B. A 47.927 / B 47.927 (B height PENDING -&gt; resolved 4.885).</t>
  </si>
  <si>
    <t xml:space="preserve">/home/user/boa29b/work/etapas/3_revision/img/023_ONLYA_EXT-PARAPET_A02.01_p24.png</t>
  </si>
  <si>
    <t xml:space="preserve">29/121</t>
  </si>
  <si>
    <t xml:space="preserve">Double-reading item 24 (Sheet A02.01 (p.24)): only in reading A: A3-P-D 3.86 LF. Resolution: #24/#36 A3-P-D (S-HP, grid D 2-&gt;3): 3.860 = SJ; HP 4.292 confirmed by 2/A09.02 (resolves B PENDING). A 3.86 / B 3.875.</t>
  </si>
  <si>
    <t xml:space="preserve">/home/user/boa29b/work/etapas/3_revision/img/024_ONLYA_EXT-PARAPET_A02.01_p24.png</t>
  </si>
  <si>
    <t xml:space="preserve">30/121</t>
  </si>
  <si>
    <t xml:space="preserve">Double-reading item 25 (Sheet A02.01 (p.24)): only in reading A: A3-P-2 29.01 LF. Resolution: # Exterior resolution (items #17-#25, #30-#37 + EXT-6CFMF check)</t>
  </si>
  <si>
    <t xml:space="preserve">/home/user/boa29b/work/etapas/3_revision/img/025_ONLYA_EXT-PARAPET_A02.01_p24.png</t>
  </si>
  <si>
    <t xml:space="preserve">31/121</t>
  </si>
  <si>
    <t xml:space="preserve">Double-reading item 30 (Sheet A02.02 (p.25)): only in reading B: B3-P01 16.21 LF. Resolution: # Exterior resolution (items #17-#25, #30-#37 + EXT-6CFMF check)</t>
  </si>
  <si>
    <t xml:space="preserve">Sheet A02.02 (p.25)</t>
  </si>
  <si>
    <t xml:space="preserve">/home/user/boa29b/work/etapas/3_revision/img/030_ONLYB_EXT-PARAPET_A02.02_p25.png</t>
  </si>
  <si>
    <t xml:space="preserve">32/121</t>
  </si>
  <si>
    <t xml:space="preserve">Double-reading item 31 (Sheet A02.02 (p.25)): only in reading B: B3-P02 3.95 LF. Resolution: #31 A3-P-4R (N-HP, grid 4 return stub, HP 4.292): 3.678 LF, NEW for A; exists on 1/A02.02 key note 10 and 1/A09.02. B 3.947 (from G CL).</t>
  </si>
  <si>
    <t xml:space="preserve">/home/user/boa29b/work/etapas/3_revision/img/031_ONLYB_EXT-PARAPET_A02.02_p25.png</t>
  </si>
  <si>
    <t xml:space="preserve">33/121</t>
  </si>
  <si>
    <t xml:space="preserve">Double-reading item 32 (Sheet A02.02 (p.25)): only in reading B: B3-P03 40.00 LF. Resolution: #20/#32 A3-P-F (N, grid F 4-&gt;8, LP 2.042): 39.873 LF, base A3-N1, lf_override (over 26'-3" storefront). A 39.86 / B 40.0.</t>
  </si>
  <si>
    <t xml:space="preserve">/home/user/boa29b/work/etapas/3_revision/img/032_ONLYB_EXT-PARAPET_A02.02_p25.png</t>
  </si>
  <si>
    <t xml:space="preserve">34/121</t>
  </si>
  <si>
    <t xml:space="preserve">Double-reading item 33 (Sheet A02.02 (p.25)): only in reading B: B3-P04 75.96 LF. Resolution: #21/#33 A3-P-8a + A3-P-8b (E, grid 8): 50.529 (2.042) + 24.911 (4.885) = 75.440, split at grid B (D9 roof step). A 75.94 / B 75.96 one run.</t>
  </si>
  <si>
    <t xml:space="preserve">/home/user/boa29b/work/etapas/3_revision/img/033_ONLYB_EXT-PARAPET_A02.02_p25.png</t>
  </si>
  <si>
    <t xml:space="preserve">35/121</t>
  </si>
  <si>
    <t xml:space="preserve">Double-reading item 34 (Sheet A02.02 (p.25)): only in reading B: B3-P05 52.33 LF. Resolution: #22/#34 A3-P-A (S, grid A 3-&gt;8, 4.885): 52.833 = S1a+S1b, one record. A/B 52.333.</t>
  </si>
  <si>
    <t xml:space="preserve">/home/user/boa29b/work/etapas/3_revision/img/034_ONLYB_EXT-PARAPET_A02.02_p25.png</t>
  </si>
  <si>
    <t xml:space="preserve">36/121</t>
  </si>
  <si>
    <t xml:space="preserve">Double-reading item 35 (Sheet A02.02 (p.25)): only in reading B: B3-P06 47.93 LF. Resolution: #23/#35 A3-P-3a + A3-P-3b (W, grid 3): 22.516 (2.042) + 24.911 (4.885) = 47.427, split at grid B. A 47.927 / B 47.927 (B height PENDING -&gt; resolved 4.885).</t>
  </si>
  <si>
    <t xml:space="preserve">/home/user/boa29b/work/etapas/3_revision/img/035_ONLYB_EXT-PARAPET_A02.02_p25.png</t>
  </si>
  <si>
    <t xml:space="preserve">37/121</t>
  </si>
  <si>
    <t xml:space="preserve">Double-reading item 36 (Sheet A02.02 (p.25)): only in reading B: B3-P07 3.88 LF. Resolution: #24/#36 A3-P-D (S-HP, grid D 2-&gt;3): 3.860 = SJ; HP 4.292 confirmed by 2/A09.02 (resolves B PENDING). A 3.86 / B 3.875.</t>
  </si>
  <si>
    <t xml:space="preserve">/home/user/boa29b/work/etapas/3_revision/img/036_ONLYB_EXT-PARAPET_A02.02_p25.png</t>
  </si>
  <si>
    <t xml:space="preserve">38/121</t>
  </si>
  <si>
    <t xml:space="preserve">Double-reading item 37 (Sheet A02.02 (p.25)): only in reading B: B3-P08 29.03 LF. Resolution: # Exterior resolution (items #17-#25, #30-#37 + EXT-6CFMF check)</t>
  </si>
  <si>
    <t xml:space="preserve">/home/user/boa29b/work/etapas/3_revision/img/037_ONLYB_EXT-PARAPET_A02.02_p25.png</t>
  </si>
  <si>
    <t xml:space="preserve">39/121</t>
  </si>
  <si>
    <t xml:space="preserve">G</t>
  </si>
  <si>
    <t xml:space="preserve">Double-reading item 11 (Sheet A02.01 (p.24)): LF differs -0.34 LF (2.7 %): A A2-G-01 12.67 LF vs B B2-10 12.33 LF [matched by position]. Resolution: #11 G (A A2-G-01 / B B2-10) → **B** → A2-G-01 12.333 LF [R74.1 / R74.2] → A02.01 (p.24) vector + dim 4" → /home/user/boa29b/work/etapas/3_revision/res_img/R011.png</t>
  </si>
  <si>
    <t xml:space="preserve">/home/user/boa29b/work/etapas/3_revision/res_img/R011.png</t>
  </si>
  <si>
    <t xml:space="preserve">40/121</t>
  </si>
  <si>
    <t xml:space="preserve">Double-reading item 16 (Sheet A02.01 (p.24)): only in reading A: A2-G-11 0.97 LF. Resolution: #16 G (A A2-G-11 / B -) → **A** → A2-G-11 0.973 LF [R74.1 / R74.2 / R78.35] → A02.01 (p.24) vector layer fills → /home/user/boa29b/work/etapas/3_revision/res_img/R016.png</t>
  </si>
  <si>
    <t xml:space="preserve">/home/user/boa29b/work/etapas/3_revision/res_img/R016.png</t>
  </si>
  <si>
    <t xml:space="preserve">41/121</t>
  </si>
  <si>
    <t xml:space="preserve">RFI-ASM-BEAM-A2-G-01: A2-G-01: vigas_sobre_walls.py finds two parallel beams with different marks over the wall (W12X19 3.015 ft, W12X19 3.015 ft, W8X10 3.82 ft); the canon keeps studs to deck; confirm which member the studs stop under (S2.20). | Delta: per stud: height difference between the candidate beam depths (W12X19 1.017 ft, W8X10 0.657 ft)</t>
  </si>
  <si>
    <t xml:space="preserve">42/121</t>
  </si>
  <si>
    <t xml:space="preserve">RFI-ASM-BEAM-A2-G-02: A2-G-02: vigas_sobre_walls.py puts S2.20 W8X10 (axis 1040.57 pt) over 3.36 ft of the 11.625 ft wall (28.9 %); the record stops under the beam (E26 / R72.4). Confirm whether the studs outside the beam (8.265 ft) run to the deck. | Delta: +0.657 ft per stud on the 8.265 ft outside the beam (@ 16" O.C., x 2 row(s)) and +0.657 ft x that length per board face to deck</t>
  </si>
  <si>
    <t xml:space="preserve">43/121</t>
  </si>
  <si>
    <t xml:space="preserve">RFI-ASM-BEAM-A2-G-05: A2-G-05: vigas_sobre_walls.py puts S2.20 W14X30 (axis 1632.8 pt) over 1.795 ft of the 3.253 ft wall (55.2 %); the record stops under the beam (E26 / R72.4). Confirm whether the studs outside the beam (1.458 ft) run to the deck. | Delta: +1.15 ft per stud on the 1.458 ft outside the beam (@ 16" O.C., x 2 row(s)) and +1.15 ft x that length per board face to deck</t>
  </si>
  <si>
    <t xml:space="preserve">44/121</t>
  </si>
  <si>
    <t xml:space="preserve">G1</t>
  </si>
  <si>
    <t xml:space="preserve">RFI-ASM-BEAM-A2-G1-01: A2-G1-01: vigas_sobre_walls.py puts S2.20 W8X10 (axis 533.05 pt) over 3.354 ft of the 11.771 ft wall (28.5 %); the record stops under the beam (E26 / R72.4). Confirm whether the studs outside the beam (8.417 ft) run to the deck. | Delta: +0.657 ft per stud on the 8.417 ft outside the beam (@ 16" O.C., x 2 row(s)) and +0.657 ft x that length per board face to deck</t>
  </si>
  <si>
    <t xml:space="preserve">45/121</t>
  </si>
  <si>
    <t xml:space="preserve">RFI-ADV-G1-STUB: A2-G1-STUB (R74.2 stub, 4" faces) carries no board faces: it may be concealed by the vendor front jamb. | Delta: about +20.5 SF 5/8" board (two 4" faces x 2 layers x 15.375)</t>
  </si>
  <si>
    <t xml:space="preserve">/home/user/boa29b/work/etapas/4_canon/img/adv/p24_G1_stub.png</t>
  </si>
  <si>
    <t xml:space="preserve">46/121</t>
  </si>
  <si>
    <t xml:space="preserve">OTHER FRAMING</t>
  </si>
  <si>
    <t xml:space="preserve">RFI-A5-CARRY: RFI-A5-CARRY: direction of carrying channels in suspended GWB ceilings not shown; E-W assumed. Delta of N-S: 100 VESTIBULE: carrying 47.48 LF / 15 hangers (E-W) vs 37.98 LF / 15 hangers (N-S); 101 24 HR VESTIBULE: carrying 54.8 LF / 20 hangers (E-W) vs 47.82 LF / 20 hangers (N-S); 104 WAITING: carry | Delta: Delta of N-S: 100 VESTIBULE: carrying 47.48 LF / 15 hangers (E-W) vs 37.98 LF / 15 hangers (N-S); 101 24 HR VESTIBULE: carrying 54.8 LF / 20 hangers (E-W) vs 47.82 LF / 20 hangers (N-S); 104 WAITI</t>
  </si>
  <si>
    <t xml:space="preserve">/home/user/boa29b/work/etapas/2_lectura/A_work/A5/img/A5-C104_waiting.png</t>
  </si>
  <si>
    <t xml:space="preserve">47/121</t>
  </si>
  <si>
    <t xml:space="preserve">RFI-A5-RR-DIFF: Restrooms 113/114: A04.01 shows two 2'x2' HVAC diffuser/grille symbols per room; M01.01 shows two single-section slot diffusers (TBDI-10, 2'-0") per room. Carried M01.01. Delta if 2'x2' framed: 4 x 2 x (2+2) = 32 LF vs slots 4 x 2 x 2.294 = 18.35 LF sides (+ends PENDING). | Delta: Delta if 2'x2' framed: 4 x 2 x (2+2) = 32 LF vs slots 4 x 2 x 2.294 = 18.35 LF sides (+ends PENDING).</t>
  </si>
  <si>
    <t xml:space="preserve">/home/user/boa29b/work/etapas/2_lectura/A_work/A5/img/A5-M01.01_SD_restrooms.png</t>
  </si>
  <si>
    <t xml:space="preserve">48/121</t>
  </si>
  <si>
    <t xml:space="preserve">RFI-ASM-SLOPE-59-13: Sloped low zone grid B -&gt; A (S2.20 13'-0 5/8" -&gt; 12'-6 3/8", SLOPE): stud and board heights are carried at each wall's own high end (rule 59.13, interpolated). The older SKILL deck-height prose (zone high end for every wall) gives the alternative below; contradiction filed for the arbiter (morning-r | Delta: if every low-zone wall is cut at the zone high end 13.0521: + dH ft per stud and per SF of board to deck: A1-05 +0.087, A1-06 +0.131, A1-07 +0.091, A1-08 +0.091, A1-09 +0.284, A1-10 +0.097,</t>
  </si>
  <si>
    <t xml:space="preserve">/home/user/boa29b/work/etapas/4_canon/img/adv/S2.20_low_zone_BOD.png</t>
  </si>
  <si>
    <t xml:space="preserve">49/121</t>
  </si>
  <si>
    <t xml:space="preserve">RFI-ASM-BEAM-A3-SFC-F: A3-SFC-F: vigas_sobre_walls.py finds two parallel beams with different marks over the wall (W16X26 26.242 ft, W16X26 26.242 ft, W18X35 26.242 ft, W16X26 26.242 ft); the canon keeps stops_under_beam W18X35 (reading A); confirm which member the studs stop under (S2.20). | Delta: per stud: height difference between the candidate beam depths (W16X26 1.308 ft, W18X35 1.475 ft)</t>
  </si>
  <si>
    <t xml:space="preserve">50/121</t>
  </si>
  <si>
    <t xml:space="preserve">RFI-ADV-TA: A08.01 legend: TA-2 / TA-13 / TA-14 are recessed but their rough-opening widths are not printed. 0 carried (R71.6). Provide the R.O. of each (spec Div 10). | Delta: TA-13 x2 (vector 17.16" &gt; stud bay 14 3/8"): +5.53 LF header (single track) and +5.53 LF sill track; TA-2 (13.0") and TA-14 (14.08") fit the bay: 0</t>
  </si>
  <si>
    <t xml:space="preserve">/home/user/boa29b/work/etapas/4_canon/img/adv/A0801_TA_legend.png</t>
  </si>
  <si>
    <t xml:space="preserve">51/121</t>
  </si>
  <si>
    <t xml:space="preserve">RFI-ADV-WC20: WC-20 (A05.01 key note 9, 24 HR Vestibule 101): not in the A00.40 finish legend; extent taken from the leaders at both ends of the diagonal ATM wall, height to the GB 10'-0" ceiling (53.3). Confirm extent and height. | Delta: per ft of height: -15.208 SF Level 5 per ft below the ceiling (e.g. to 8'-0": -30.416 SF)</t>
  </si>
  <si>
    <t xml:space="preserve">/home/user/boa29b/work/etapas/4_canon/img/adv/A0501_vest101_kn9.png</t>
  </si>
  <si>
    <t xml:space="preserve">52/121</t>
  </si>
  <si>
    <t xml:space="preserve">RFI-ADV-A0031: A05.01 notes A/B and A03.01 note D refer to the FINISH SCHEDULE A00.31; A00.31 is not in the bid set nor in the A00.00 index. It may change the extents of FRP, Level 5 and wallcoverings. | Delta: not quantifiable until A00.31 is issued</t>
  </si>
  <si>
    <t xml:space="preserve">/home/user/boa29b/work/etapas/4_canon/img/adv/A0501_notes_A00_31.png</t>
  </si>
  <si>
    <t xml:space="preserve">53/121</t>
  </si>
  <si>
    <t xml:space="preserve">RFI-ADV-A0812: A00.60 site note 13 'DRIVE UP ATM. SEE A03.01 &amp; A08.12': A08.12 does not exist in the set (probably A08.11). Confirm. | Delta: none if A08.11 is the intended sheet (drive-up ATM already from 5/A08.11 and 6/A08.11)</t>
  </si>
  <si>
    <t xml:space="preserve">/home/user/boa29b/work/etapas/4_canon/img/adv/A0060_note13_A0812.png</t>
  </si>
  <si>
    <t xml:space="preserve">54/121</t>
  </si>
  <si>
    <t xml:space="preserve">RFI-ADV-HAT: A09.31: 7/8" hat channel @ 16" O.C. behind the EPS-5 formed metal panel and the composite metal panel: not counted, not excluded. Proposed as panel subcontractor subframing (Div 07) in Clarifications. | Delta: not quantified (Div 07 subframing)</t>
  </si>
  <si>
    <t xml:space="preserve">/home/user/boa29b/work/etapas/4_canon/img/adv/p42_det15_driveup.png</t>
  </si>
  <si>
    <t xml:space="preserve">55/121</t>
  </si>
  <si>
    <t xml:space="preserve">RFI-ADV-SIGNAGE: A08.01 KN3 restroom signage 'installed by GC' and A02.01 KN12 wellness signage: no blocking counted (adhesive mount assumed). | Delta: +1.333 LF metal blocking per sign if mechanically fastened</t>
  </si>
  <si>
    <t xml:space="preserve">56/121</t>
  </si>
  <si>
    <t xml:space="preserve">A4-RFI-103-SCHED: A4-RFI-103-SCHED: A00.30 row 103 HEIGHT 13'-6 1/2" vs grille R.O. 13'-4" wide / ~10'-0" high (A02.01, A08.21); no LF delta in header (width from A02.01) | Delta: 0 LF: header width taken from A02.01; schedule height conflict only</t>
  </si>
  <si>
    <t xml:space="preserve">57/121</t>
  </si>
  <si>
    <t xml:space="preserve">A4-RFI-FEC1: A4-RFI-FEC1: FEC-1 recessed cabinet size not printed (A00.40 size '-', spec 10 44 00). 0 carried; delta if R.O. &gt; stud bay 14 3/8": header + sill (R.O. + 1'-4") x 2 per cabinet | Delta: + (R.O. + 1'-4") x 2 LF per cabinet if R.O. &gt; stud bay; 0 carried</t>
  </si>
  <si>
    <t xml:space="preserve">58/121</t>
  </si>
  <si>
    <t xml:space="preserve">A4-RFI-TA: A08.01 TOILET ACCESSORY LEGENDS designate TA-2 RECESSED PAPER TOWEL DISPENSER, TA-13 HAND DRYER W/ ADA COMPLIANT RECESS KIT and TA-14 RECESSED WASTE RECEPTACLE (rows above, width not printed -&gt; 0 + RFI-ADV-TA, R71.6); the other TA items carry no recessed designation | Delta: n/a: recessed accessory sizes per cutsheet; framed openings carried per sweep</t>
  </si>
  <si>
    <t xml:space="preserve">59/121</t>
  </si>
  <si>
    <t xml:space="preserve">RFI-FO-R-11C-1: RFI R-11C: opening width not printed (E00.01 light fixture schedule (R-11C description / catalog FSM2L-...-TF-XF2 give no opening width)); Provide opening width for the recessed linear gyp slot (cutsheet); framing ends not carried; ends not carried | Delta: +2 x W x 2 LF (ends; W pending)</t>
  </si>
  <si>
    <t xml:space="preserve">60/121</t>
  </si>
  <si>
    <t xml:space="preserve">RFI-FO-R-11C-2: RFI R-11C: schedule description 12.0 ft vs catalog 20.0 ft; carried 12.0 ft (desc = drawn); alternate 20.0 ft | Delta: +32 LF</t>
  </si>
  <si>
    <t xml:space="preserve">61/121</t>
  </si>
  <si>
    <t xml:space="preserve">RFI-FO-R-11CE-3: RFI R-11CE: opening width not printed (E00.01 light fixture schedule (R-11CE 'SAME AS ABOVE' - no opening width)); Provide opening width for the recessed linear gyp slot (cutsheet); framing ends not carried; ends not carried | Delta: +2 x W x 2 LF (ends; W pending)</t>
  </si>
  <si>
    <t xml:space="preserve">62/121</t>
  </si>
  <si>
    <t xml:space="preserve">RFI-FO-R-11CE-4: RFI R-11CE: schedule description 12.0 ft vs catalog 20.0 ft; carried 12.0 ft (desc = drawn); alternate 20.0 ft | Delta: +32 LF</t>
  </si>
  <si>
    <t xml:space="preserve">63/121</t>
  </si>
  <si>
    <t xml:space="preserve">RFI-FO-SD-3SEC-6: RFI SD-3SEC: opening width not printed (M00.03 schedule 'SD/SDR TITUS TBDI-10 ... (2) 1" SLOTS', size 'SEE DRAWING' - opening width not printed (drawn outer ~7.7")); Provide slot diffuser TBDI-10 2-slot frame width for the GWB opening; ends not carried; ends not carried | Delta: +2 x W x 4 LF (ends; W pending)</t>
  </si>
  <si>
    <t xml:space="preserve">64/121</t>
  </si>
  <si>
    <t xml:space="preserve">RFI-FO-SD-1SEC-7: RFI SD-1SEC: opening width not printed (M00.03 'SD/SDR TITUS TBDI-10 (2) 1" SLOTS', size 'SEE DRAWING' - width not printed); Provide TBDI-10 frame width; A04.01 shows 2'x2' diffuser symbols in the restrooms instead of slots - confirm device; ends not carried | Delta: +2 x W x 4 LF (ends; W pending)</t>
  </si>
  <si>
    <t xml:space="preserve">65/121</t>
  </si>
  <si>
    <t xml:space="preserve">RFI-CR-BRACING: RFI bracing: 123.04 LF of C.R. channel bracing runs across openings without studs (53.4, literal). | Delta: -123.04 LF of C.R. channel if not run across openings</t>
  </si>
  <si>
    <t xml:space="preserve">66/121</t>
  </si>
  <si>
    <t xml:space="preserve">RFI-CR-DOORS: RFI bottom track: 50.5 LF of door R.O. are NOT deducted from the bottom track (corridas.py). | Delta: -50.5 LF of bottom track if door R.O. are deducted</t>
  </si>
  <si>
    <t xml:space="preserve">67/121</t>
  </si>
  <si>
    <t xml:space="preserve">RFI-L5-WC20: RFI-ADV-WC20: WC-20 height / extent not printed | Delta: n/a: Level 5 SF changes with the WC-20 extent (L x (10'-0" - base) on that face)</t>
  </si>
  <si>
    <t xml:space="preserve">68/121</t>
  </si>
  <si>
    <t xml:space="preserve">RFI-ACCESS-PANELS: M00.01 general note 16 'PROVIDE ACCESS PANELS FOR ALL EQUIPMENT, DAMPERS ... ABOVE INACCESSIBLE CEILINGS' gives no count: M/P sweep against the GWB ceilings (restrooms, waiting, vestibules, CSR soffit) pending. | Delta: +1 access panel per inaccessible item found (1 carried)</t>
  </si>
  <si>
    <t xml:space="preserve">69/121</t>
  </si>
  <si>
    <t xml:space="preserve">RFI-BLK-NOTE-C: Blocking at wall-mounted items per general note C (23 items): note C gives no material; metal 362CR stud blocking carried (58.6) | Delta: 0 LF: material swap only (the same LF moves from metal stud blocking to the FRT blocking row)</t>
  </si>
  <si>
    <t xml:space="preserve">70/121</t>
  </si>
  <si>
    <t xml:space="preserve">RFI-BLK-36: A7-B-WS: Wall stop blocking material and length not printed: metal 362CR stud blocking one bay per stop assumed; delta to FRT 2x = same LF in the FRT family. | Delta: delta to FRT 2x = same LF in the FRT family.</t>
  </si>
  <si>
    <t xml:space="preserve">71/121</t>
  </si>
  <si>
    <t xml:space="preserve">RFI-SHEET-LEN: 56.8: blocking location not given; carried at the horizontal board joint of faces taller than 12 ft; alternative (a) exterior walls + double-layer types | Delta: n/a: blocking LF moves to the alternative location (exterior walls + double-layer types)</t>
  </si>
  <si>
    <t xml:space="preserve">72/121</t>
  </si>
  <si>
    <t xml:space="preserve">SF-PIER</t>
  </si>
  <si>
    <t xml:space="preserve">Double-reading item 17 (Sheet A02.01 (p.24)): only in reading A: A3-PIER2 9.07 LF. Resolution: # Exterior resolution (items #17-#25, #30-#37 + EXT-6CFMF check)</t>
  </si>
  <si>
    <t xml:space="preserve">73/121</t>
  </si>
  <si>
    <t xml:space="preserve">Double-reading item 18 (Sheet A02.01 (p.24)): only in reading A: A3-PIER4 9.08 LF. Resolution: #18 SF-PIER A3-PIER4 / C1 A2-C1-02 (PT0030) / B2-25: C1 = 4.072 LF interior; A3-PIER4 exterior part (part_of A2-C1-02, 2/A09.25) = N 2.5625 + E 1.422 = 3.984 LF. Removes A 9.076 and B C1 9.12.</t>
  </si>
  <si>
    <t xml:space="preserve">74/121</t>
  </si>
  <si>
    <t xml:space="preserve">Detail</t>
  </si>
  <si>
    <t xml:space="preserve">RFI-ADV-PF06: PF-06 wall-hung bi-level fountain (P00.01, no carrier): A02.01 note C requires blocking, no material printed. Carried 3.13 LF metal stud blocking (58.6). | Delta: material only: 3.13 LF metal -&gt; FRT (same LF)</t>
  </si>
  <si>
    <t xml:space="preserve">1/A08.01</t>
  </si>
  <si>
    <t xml:space="preserve">/home/user/boa29b/work/etapas/4_canon/img/adv/P0001_PF06_schedule.png</t>
  </si>
  <si>
    <t xml:space="preserve">75/121</t>
  </si>
  <si>
    <t xml:space="preserve">A4-RFI-ATM-DU-RO: A4-RFI-ATM-DU-RO: DU ATM R.O. width 2'-2 1/2" (7/A08.11) vs 2'-2 1/8" (26.4") (5/A08.11). Delta header + sill track = 3/8" x (4 box pieces + 1 sill) = 0.16 LF | Delta: Delta header + sill track = 3/8" x (4 box pieces + 1 sill) = 0.16 LF</t>
  </si>
  <si>
    <t xml:space="preserve">7/A08.11</t>
  </si>
  <si>
    <t xml:space="preserve">76/121</t>
  </si>
  <si>
    <t xml:space="preserve">RFI-TYPE-B2K: B2K is tagged on A02.01 (PC0011) but has no row in the A12.01 schedule: carried as B2 + Kevlar per 4/A12.01 [DERIVED], declare in Clarifications | Delta: n/a: carried as B2 + Kevlar per 4/A12.01; any other build-up changes the B2K row only</t>
  </si>
  <si>
    <t xml:space="preserve">77/121</t>
  </si>
  <si>
    <t xml:space="preserve">RFI-TYPE-G-GAUGE: G / G1 types: 1-5/8" stud designation / gauge not scheduled | Delta: n/a: gauge only (LF unchanged)</t>
  </si>
  <si>
    <t xml:space="preserve">78/121</t>
  </si>
  <si>
    <t xml:space="preserve">Assumption: board height per face = scheduled ceiling + 6" (3/A12.01 note) or to deck where the room is open to structure.</t>
  </si>
  <si>
    <t xml:space="preserve">79/121</t>
  </si>
  <si>
    <t xml:space="preserve">Assumption: B2K (tag on A02.01, not in the A12.01 schedule) carried as B2 + Kevlar build-up per 4/A12.01.</t>
  </si>
  <si>
    <t xml:space="preserve">80/121</t>
  </si>
  <si>
    <t xml:space="preserve">A4-RFI-VEST-BOX: A4-RFI-VEST-BOX: 'BOX HEADER AS NEEDED' (4-7/A12.10) size / members not printed (E11). Counted as 4 pieces x (R.O. + 1'-4"); confirm member size | Delta: n/a: member size only (piece count and LF carried: 4 pieces x (R.O. + 1'-4"))</t>
  </si>
  <si>
    <t xml:space="preserve">7/A12.10</t>
  </si>
  <si>
    <t xml:space="preserve">81/121</t>
  </si>
  <si>
    <t xml:space="preserve">RFI-BLK-54: A7-B-LOCKERS: Locker width differs between 5/A11.02 (3.75 ft) and the dashed plan footprint (~4.9 ft); rows and material not printed (metal assumed). Delta +1.15 LF. | Delta: Delta +1.15 LF</t>
  </si>
  <si>
    <t xml:space="preserve">5/A11.02</t>
  </si>
  <si>
    <t xml:space="preserve">82/121</t>
  </si>
  <si>
    <t xml:space="preserve">A4-RFI-ATM-DU-OC: A4-RFI-ATM-DU-OC: O.C. of the 2 1/2" sistered studs and of the furring at the DU ATM recess not printed (6/A08.11); 16" O.C. carried. Delta at 24" O.C.: sistered 2 x 6.0 = 12.0 (-6.0 LF); furring 3 x 2.87 = 8.62 (-5.75 LF) | Delta: Delta at 24" O.C</t>
  </si>
  <si>
    <t xml:space="preserve">6/A08.11</t>
  </si>
  <si>
    <t xml:space="preserve">83/121</t>
  </si>
  <si>
    <t xml:space="preserve">Assumption: ATM recess sistered studs and furring at 16" O.C. (not printed).</t>
  </si>
  <si>
    <t xml:space="preserve">84/121</t>
  </si>
  <si>
    <t xml:space="preserve">RFI-A3-PIER-STUDS: Storefront pier studs_drawn (1/A09.25, 2/A09.25) counted visually - verify. | Delta: n/a: studs drawn in 1/A09.25 and 2/A09.25 counted from the drawing</t>
  </si>
  <si>
    <t xml:space="preserve">85/121</t>
  </si>
  <si>
    <t xml:space="preserve">RFI-PLY-2: 1/A09.25: two hatched 3/4" plies drawn at the jamb but the label is singular '3/4" FRT PLYWOOD': 1 ply carried (label); second ply delta +12.903 SF | Delta: delta +12.903 SF</t>
  </si>
  <si>
    <t xml:space="preserve">86/121</t>
  </si>
  <si>
    <t xml:space="preserve">RFI-PLY-3: 2/A09.25: two hatched 3/4" plies drawn at the jamb but the label is singular '3/4" FRT PLYWOOD': 1 ply carried (label); second ply delta +6.452 SF | Delta: delta +6.452 SF</t>
  </si>
  <si>
    <t xml:space="preserve">87/121</t>
  </si>
  <si>
    <t xml:space="preserve">RFI-PLY-4: 2/A09.25: two hatched 3/4" plies drawn at the jamb but the label is singular '3/4" FRT PLYWOOD': 1 ply carried (label); second ply delta +4.25 SF | Delta: delta +4.25 SF</t>
  </si>
  <si>
    <t xml:space="preserve">88/121</t>
  </si>
  <si>
    <t xml:space="preserve">RFI-BLK-62: A7-B-WH1: NTS detail: length per row not printed (one stud bay assumed); 2X without FRT label = wood (R76.7). | Delta: n/a: one row length per item; LF changes with the printed length</t>
  </si>
  <si>
    <t xml:space="preserve">3/P00.01</t>
  </si>
  <si>
    <t xml:space="preserve">89/121</t>
  </si>
  <si>
    <t xml:space="preserve">RFI-ADV-RS1-FACE: 4/A02.02: an unlabelled gypsum-hatched layer is drawn on the inner (high-roof) face of RS-1 from the blocking down to the high deck (~1.0 ft). Not carried (no label). | Delta: about +52 SF 5/8" exterior gypsum sheathing (51.594 x 1.0)</t>
  </si>
  <si>
    <t xml:space="preserve">/home/user/boa29b/work/etapas/4_canon/img/adv/p25_det4_top.png</t>
  </si>
  <si>
    <t xml:space="preserve">90/121</t>
  </si>
  <si>
    <t xml:space="preserve">RFI-ADV-RS-BEAD: Roof step bottom closure (4/A02.02): corner bead at the two open bottom edges not labelled. Not carried. | Delta: +103.2 LF corner bead (2 x 51.594) if required</t>
  </si>
  <si>
    <t xml:space="preserve">/home/user/boa29b/work/etapas/4_canon/img/adv/p25_det4_bottom.png</t>
  </si>
  <si>
    <t xml:space="preserve">91/121</t>
  </si>
  <si>
    <t xml:space="preserve">RFI-A3-HP-BACK: HP parapet block (T.O. PARAPET 2 20'-0") back faces: A09.02 south/east elevations show key note 7 'EXTERIOR PROTECTION BOARD' on the back of the block over grids 2-4 / D-F, but A02.02 roof plan draws no parapet on grid 4 (D-&gt;F) nor grid D (3-&gt;4). Not quantified; delta ~ (3.9 + 27) ft x 4.29 ft parap | Delta: +(3.9 + 27) ft x 4.29 ft of parapet back face if the HP block back faces exist (not carried)</t>
  </si>
  <si>
    <t xml:space="preserve">1/A02.02</t>
  </si>
  <si>
    <t xml:space="preserve">92/121</t>
  </si>
  <si>
    <t xml:space="preserve">RFI-BLK-74: A6-B-HATCH: RFI-ADV-HATCH: hatch size not printed (drawn outline measured). | Delta: n/a: one row length per item; LF changes with the printed length</t>
  </si>
  <si>
    <t xml:space="preserve">93/121</t>
  </si>
  <si>
    <t xml:space="preserve">RFI-ADV-MW08: MW08 blocking: 3/A12.04 (called on 10/A12.04 at the microwave niche) reads PRESSURE TREATED and draws 2 rows; sheet note D (A12.03-A12.06) reads FRTW. Carried FRT x 2 rows over the 7'-7" counter. Confirm material and whether the second row runs the full counter or only the 2'-5" niche. | Delta: material: 15.17 LF FRT -&gt; pressure-treated wood (no LF change); rows: if the second row is only at the niche, -5.17 LF (7.583 - 2.417)</t>
  </si>
  <si>
    <t xml:space="preserve">3/A12.04</t>
  </si>
  <si>
    <t xml:space="preserve">/home/user/boa29b/work/etapas/4_canon/img/adv/A1204_3_counter_shelving.png</t>
  </si>
  <si>
    <t xml:space="preserve">94/121</t>
  </si>
  <si>
    <t xml:space="preserve">RFI-ADV-SHELF-ROWS: 11/A12.04 SECTION @ SHELVING OVERHEAD draws 2 blocking pieces per unit; the canon carries one row per mounting level for MW12 / MW05 / MW06A / MW13. | Delta: MW12 +7.0 LF; MW05 +3.5, MW06A +6.92, MW13 +11.67 LF FRT if 2 rows each</t>
  </si>
  <si>
    <t xml:space="preserve">11/A12.04</t>
  </si>
  <si>
    <t xml:space="preserve">/home/user/boa29b/work/etapas/4_canon/img/adv/A1204_11_shelving_overhead.png</t>
  </si>
  <si>
    <t xml:space="preserve">95/121</t>
  </si>
  <si>
    <t xml:space="preserve">RFI-ADV-MW13-CITE: A7-B-MW13 op quotes 'PRESSURE TREATED' (text of 3/A12.04); A12.06 says 'PROVIDE ADDITIONAL BLOCKING' with no material. Citation to be reviewed; material stays FRT per sheet note D. | Delta: none (citation only)</t>
  </si>
  <si>
    <t xml:space="preserve">96/121</t>
  </si>
  <si>
    <t xml:space="preserve">RFI-BLK-30: A7-B-MW08: RFI-ADV-MW08: 3/A12.04 says 'PROVIDE ADDITIONAL PRESSURE TREATED BLOCKING IN PARTITION' while sheet note D says FRTW; carried FRT (sheet note label). 3/A12.04 is cut at the microwave niche (2'-5" HOLD). | Delta: n/a: one row length per item; LF changes with the printed length</t>
  </si>
  <si>
    <t xml:space="preserve">97/121</t>
  </si>
  <si>
    <t xml:space="preserve">RFI-ASM-MEP-P: Plumbing sheets P01.01 / P01.02 / P02.01 and M01.02 / M02.01 do not register against A02.01 with &gt;= 25 wall-segment votes (mep.py): their pipe / duct crossings of stud walls are not counted geometrically; confirm pipes &gt; 1" through stud webs (6/S5.20 plate each). | Delta: +1 plate per stud cut per pipe &gt; 1" crossing a stud wall (count not available without registration)</t>
  </si>
  <si>
    <t xml:space="preserve">6/S5.20</t>
  </si>
  <si>
    <t xml:space="preserve">/home/user/boa29b/work/etapas/4_canon/img/mep_overview.png</t>
  </si>
  <si>
    <t xml:space="preserve">98/121</t>
  </si>
  <si>
    <t xml:space="preserve">A4-RFI-CSR-HDR: A4-RFI-CSR-HDR: header over the 12'-0 1/4" CSR line R.O. (Cash Window 116) not shown; 7/S5.20 tops at 8'-0". If a metal stud box beam (4 pieces): (12.0208 + 1.3333) x 4 = 53.42 LF of header | Delta: +53.42 LF header if a 4-piece metal stud box beam is required (not carried)</t>
  </si>
  <si>
    <t xml:space="preserve">7/S5.20</t>
  </si>
  <si>
    <t xml:space="preserve">99/121</t>
  </si>
  <si>
    <t xml:space="preserve">RFI-TRIM-3: Grille-side bottom corner assumed beaded (TYP.); delta -13.333 LF if only the room side is exposed. | Delta: delta -13.333 LF if only the room side is exposed</t>
  </si>
  <si>
    <t xml:space="preserve">100/121</t>
  </si>
  <si>
    <t xml:space="preserve">RFI-BLK-70: A7-B-GRILLE: Second jamb assumed mirrored (detail 3 'TYP'); height measured in vector (no printed height). | Delta: n/a: one row length per item; LF changes with the printed length</t>
  </si>
  <si>
    <t xml:space="preserve">3/A08.21</t>
  </si>
  <si>
    <t xml:space="preserve">101/121</t>
  </si>
  <si>
    <t xml:space="preserve">Assumption: elevation titles N/S swapped vs the plan north arrow (A09.01 'SOUTH ELEVATION' = plan north); the plan north arrow was used for every facade.</t>
  </si>
  <si>
    <t xml:space="preserve">1/A09.01</t>
  </si>
  <si>
    <t xml:space="preserve">102/121</t>
  </si>
  <si>
    <t xml:space="preserve">RFI-ADV-4R-FACE: Tower return 4R: the east face south of F (~2.7 ft) also faces the roof; only one roof-side face is carried. | Delta: about +11.5 SF exterior gypsum or about +6 SF nailbase</t>
  </si>
  <si>
    <t xml:space="preserve">1/A09.02</t>
  </si>
  <si>
    <t xml:space="preserve">/home/user/boa29b/work/etapas/4_canon/img/adv/p25_tower_return_4R.png</t>
  </si>
  <si>
    <t xml:space="preserve">103/121</t>
  </si>
  <si>
    <t xml:space="preserve">RFI-A3-CANOPY-BEAM: Canopy beams (W16x26/W12x19 CANOPY, HSS10x3 CANOPY) inside the exterior stud cavity (C/A09.21, H/A09.23, 15/A09.27): walls kept continuous to the HI/LOW roof beam (R80.2); split = +track, -stud. | Delta: split = +1 track line per beam run, -stud length above the beam (R80.2)</t>
  </si>
  <si>
    <t xml:space="preserve">104/121</t>
  </si>
  <si>
    <t xml:space="preserve">RFI-ADV-GM-BAND: Canopy glass-mat band height: 3/A09.26 nailbase hatch stops at y 501.5 and resumes at y 643.2 = 1.31 ft on the wall (scale checked on the 6" dim); the canon keeps the estimator formula E25 T/STUD - B/STUD = 1.979 ft (fascia elevations). | Delta: if the wall geometry is used: glass mat -86.2 SF (129.03 LF x 0.668), nailbase +124.1 SF (185.8 LF x 0.668)</t>
  </si>
  <si>
    <t xml:space="preserve">/home/user/boa29b/work/etapas/4_canon/img/adv/p41_det3_zoom.png</t>
  </si>
  <si>
    <t xml:space="preserve">105/121</t>
  </si>
  <si>
    <t xml:space="preserve">RFI-ADV-CAN-HANGERS: Canopy soffit vertical members: 3/A09.26 (and 7/A09.26) draw two 3 5/8" dashed verticals (~0.86 ft) from the canopy steel to the soffit joist; spacing not printed. Not carried. | Delta: about +84 LF 3 5/8" CFMF on the N canopy (one pair per joist: (15 + 34) x 2 x 0.86); E/S/W in proportion</t>
  </si>
  <si>
    <t xml:space="preserve">106/121</t>
  </si>
  <si>
    <t xml:space="preserve">RFI-ADV-DU-BAND: Drive-up canopy band (W, W-HP, S-HP; 15/A09.27): a dashed sheathing line is drawn on the stud face behind the canopy but not labelled (the 3/A09.26 band labels 5/8" GLASS-MAT SHEATHING). Carried none (R78.13). Confirm. | Delta: +112.3 SF 5/8" glass mat if sheathed (56.751 LF x 1.979)</t>
  </si>
  <si>
    <t xml:space="preserve">15/A09.27</t>
  </si>
  <si>
    <t xml:space="preserve">107/121</t>
  </si>
  <si>
    <t xml:space="preserve">A4-RFI-SUBSTRATE-WIDTH: A4-RFI-SUBSTRATE-WIDTH: constants.opening_substrate_width_ft (strip width of the 3/4" FRT plywood at heads / jambs of windows, storefronts and door 123) not dimensioned in 11/A09.27, 2/A09.26, 14/A09.27, 3/A09.25, 4/A09.25 -&gt; estimator criterion | Delta: n/a: strip width is an estimator criterion; SF of 3/4" FRT plywood substrate scales with the width</t>
  </si>
  <si>
    <t xml:space="preserve">11/A09.27</t>
  </si>
  <si>
    <t xml:space="preserve">108/121</t>
  </si>
  <si>
    <t xml:space="preserve">RFI-A3-CANOPY-JOIST: Drive-up canopy soffit 3 5/8" joists spanning up to 21'-6" (16/A09.27) - support / direction RFI. | Delta: n/a: support / direction only; joist LF carried per 16/A09.27</t>
  </si>
  <si>
    <t xml:space="preserve">109/121</t>
  </si>
  <si>
    <t xml:space="preserve">RFI-ADV-HATCH: Roof hatch (A02.02 key note 8, 1/A09.30): size not printed; drawn outline 2.833 x 3.433 ft used for the 2x FRT curb blocking (2 plies). Confirm the hatch model / curb size. | Delta: per inch of hatch size: +2 x 2 plies x 1/12 ft = +0.333 LF FRT blocking per inch on each side dimension</t>
  </si>
  <si>
    <t xml:space="preserve">1/A09.30</t>
  </si>
  <si>
    <t xml:space="preserve">/home/user/boa29b/work/etapas/4_canon/img/adv/A0202_roof_hatch.png</t>
  </si>
  <si>
    <t xml:space="preserve">110/121</t>
  </si>
  <si>
    <t xml:space="preserve">RFI-BLK-61: A7-B-LADDER: Bracket count follows the 3 levels drawn (the elevation has a break line); blocking length per level = printed ladder width min. 1'-6". | Delta: n/a: one row length per item; LF changes with the printed length</t>
  </si>
  <si>
    <t xml:space="preserve">3/A09.30</t>
  </si>
  <si>
    <t xml:space="preserve">111/121</t>
  </si>
  <si>
    <t xml:space="preserve">RFI-A5-VS: Vertical studs of 7/A09.33 transitions: spacing not printed; 16" O.C. carried (8/A09.33). Delta @24": Waiting transitions 77.03 LF. | Delta: Delta @24": Waiting transitions 77.03 LF.</t>
  </si>
  <si>
    <t xml:space="preserve">/home/user/boa29b/work/etapas/4_canon/img/A09.33_det7.png</t>
  </si>
  <si>
    <t xml:space="preserve">112/121</t>
  </si>
  <si>
    <t xml:space="preserve">RFI-A5-CSR: 10/A09.33 draws a scheduled partition on one side of the CSR soffit; 4/A12.08 shows ACT-4 9'-0" on both sides. Carried 2 drop lines (soffit_side both sides). Delta if one side is a partition: -2 soffit_side segments on that side (12.02 LF track x2, studs). | Delta: Delta if one side is a partition: -2 soffit_side segments on that side (12.02 LF track x2, studs).</t>
  </si>
  <si>
    <t xml:space="preserve">/home/user/boa29b/work/etapas/2_lectura/A_work/A5/img/A5-CSR_4_A12.08.png</t>
  </si>
  <si>
    <t xml:space="preserve">113/121</t>
  </si>
  <si>
    <t xml:space="preserve">RFI-ADV-CAN-SHEATH: Canopy soffit sheathing: 4/A09.33 and 5/A09.33 say '5/8" EXTERIOR SHEATHING' while 3/A09.26, 7/A09.26, 16/A09.27 say '5/8" EXT. GRADE FRT PLYWOOD'. Carried plywood. | Delta: material only (no SF change)</t>
  </si>
  <si>
    <t xml:space="preserve">4/A09.33</t>
  </si>
  <si>
    <t xml:space="preserve">/home/user/boa29b/work/etapas/4_canon/img/adv/p45_det4_5_canopy_light.png</t>
  </si>
  <si>
    <t xml:space="preserve">114/121</t>
  </si>
  <si>
    <t xml:space="preserve">RFI-FO-R-11A-5: RFI R-11A: opening width not printed (E00.01 schedule R-11A gives no width; 6/A09.33 trimless detail (bubbled in 10/A09.33) prints no opening width); Provide opening width for the recessed linear gyp slot (cutsheet); framing ends not carried; ends not carried | Delta: +2 x W x 2 LF (ends; W pending)</t>
  </si>
  <si>
    <t xml:space="preserve">6/A09.33</t>
  </si>
  <si>
    <t xml:space="preserve">115/121</t>
  </si>
  <si>
    <t xml:space="preserve">RFI-FO-UU1-8: RFI UU1: opening width not printed (5/A09.33 + 4/A09.33 'CANOPY LINEAR LIGHT DETAIL - TRANS': width 'COORD. W/ FIXTURE CUTSHEET' (not printed); E00.01 catalog LSR-WET-2.5 is a model code, not an opening width); Provide the recess width of the Coronet LSR-WET UU1 (20.0' fixture) in the 5/8" exterior  | Delta: +2 x W x 1 LF (ends; W pending)</t>
  </si>
  <si>
    <t xml:space="preserve">116/121</t>
  </si>
  <si>
    <t xml:space="preserve">RFI-FO-UU2-9: RFI UU2: opening width not printed (5/A09.33 + 4/A09.33 'CANOPY LINEAR LIGHT DETAIL - TRANS': width 'COORD. W/ FIXTURE CUTSHEET' (not printed); E00.01 catalog LSR-WET-2.5 is a model code, not an opening width); Provide the recess width of the Coronet LSR-WET UU2 (2.0' fixture) in the 5/8" exterior s | Delta: +2 x W x 5 LF (ends; W pending)</t>
  </si>
  <si>
    <t xml:space="preserve">117/121</t>
  </si>
  <si>
    <t xml:space="preserve">RFI-FO-UU3-10: RFI UU3: opening width not printed (5/A09.33 + 4/A09.33 'CANOPY LINEAR LIGHT DETAIL - TRANS': width 'COORD. W/ FIXTURE CUTSHEET' (not printed); E00.01 catalog LSR-WET-2.5 is a model code, not an opening width); Provide the recess width of the Coronet LSR-WET UU3 (3.0' fixture) in the 5/8" exterior s | Delta: +2 x W x 9 LF (ends; W pending)</t>
  </si>
  <si>
    <t xml:space="preserve">118/121</t>
  </si>
  <si>
    <t xml:space="preserve">RFI-FO-UU4-11: RFI UU4: opening width not printed (5/A09.33 + 4/A09.33 'CANOPY LINEAR LIGHT DETAIL - TRANS': width 'COORD. W/ FIXTURE CUTSHEET' (not printed); E00.01 catalog LSR-WET-2.5 is a model code, not an opening width); Provide the recess width of the Coronet LSR-WET UU4 (55.0' fixture) in the 5/8" exterior  | Delta: +2 x W x 4 LF (ends; W pending)</t>
  </si>
  <si>
    <t xml:space="preserve">119/121</t>
  </si>
  <si>
    <t xml:space="preserve">RFI-FO-UU5-12: RFI UU5: opening width not printed (5/A09.33 + 4/A09.33 'CANOPY LINEAR LIGHT DETAIL - TRANS': width 'COORD. W/ FIXTURE CUTSHEET' (not printed); E00.01 catalog LSR-WET-2.5 is a model code, not an opening width); Provide the recess width of the Coronet LSR-WET UU5 (50.0' fixture) in the 5/8" exterior  | Delta: +2 x W x 1 LF (ends; W pending)</t>
  </si>
  <si>
    <t xml:space="preserve">120/121</t>
  </si>
  <si>
    <t xml:space="preserve">RFI-FO-UU6-13: RFI UU6: opening width not printed (5/A09.33 + 4/A09.33 'CANOPY LINEAR LIGHT DETAIL - TRANS': width 'COORD. W/ FIXTURE CUTSHEET' (not printed); E00.01 catalog LSR-WET-2.5 is a model code, not an opening width); Provide the recess width of the Coronet LSR-WET UU6 (16.0' fixture) in the 5/8" exterior  | Delta: +2 x W x 1 LF (ends; W pending)</t>
  </si>
  <si>
    <t xml:space="preserve">121/121</t>
  </si>
  <si>
    <t xml:space="preserve">Assumption: transition vertical studs at 16" O.C. (8/A09.33) where 7/A09.33 prints no spacing.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</si>
  <si>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</si>
  <si>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</si>
  <si>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</si>
  <si>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</si>
  <si>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</si>
  <si>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</si>
  <si>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familias_out.json '3-5/8" stud (all gauges)' 7018.1; familias_out.json '6" stud (all gauges)' 4490.17; familias_out.json '1-5/8" stud' 4052.22 (3/A12.01)</t>
  </si>
  <si>
    <t xml:space="preserve">ALC-02</t>
  </si>
  <si>
    <t xml:space="preserve">Exterior wall framing (CFMF)</t>
  </si>
  <si>
    <t xml:space="preserve">familias_out.json '6" stud (all gauges)' 4490.17 (C/A09.21)</t>
  </si>
  <si>
    <t xml:space="preserve">ALC-03</t>
  </si>
  <si>
    <t xml:space="preserve">Parapet framing</t>
  </si>
  <si>
    <t xml:space="preserve">familias_out.json '6" parapet stud' 1014.52 (4/A09.26)</t>
  </si>
  <si>
    <t xml:space="preserve">ALC-04</t>
  </si>
  <si>
    <t xml:space="preserve">Top / deflection and bottom track</t>
  </si>
  <si>
    <t xml:space="preserve">familias_out.json 'bottom track (all)' 1354.93; familias_out.json 'top / deflection track (all)' 1354.93 (3/A12.01)</t>
  </si>
  <si>
    <t xml:space="preserve">ALC-05</t>
  </si>
  <si>
    <t xml:space="preserve">Headers, sills and jambs at openings</t>
  </si>
  <si>
    <t xml:space="preserve">familias_out.json 'header / box beam' 796.71; familias_out.json 'sill track' 119.12 (8/A12.01)</t>
  </si>
  <si>
    <t xml:space="preserve">ALC-06</t>
  </si>
  <si>
    <t xml:space="preserve">Bracing / bridging</t>
  </si>
  <si>
    <t xml:space="preserve">familias_out.json 'bracing C.R. channel' 2516.87 (3/A12.01)</t>
  </si>
  <si>
    <t xml:space="preserve">ALC-07</t>
  </si>
  <si>
    <t xml:space="preserve">Gypsum board on walls (layers per type)</t>
  </si>
  <si>
    <t xml:space="preserve">familias_out.json '5/8" gyp board regular (walls + ceilings)' 17364.3 (3/A12.01)</t>
  </si>
  <si>
    <t xml:space="preserve">ALC-08</t>
  </si>
  <si>
    <t xml:space="preserve">Moisture / abuse / special board at wet zones</t>
  </si>
  <si>
    <t xml:space="preserve">familias_out.json '5/8" gyp MOISTURE RESISTANT' 258.81 (A08.01)</t>
  </si>
  <si>
    <t xml:space="preserve">ALC-09</t>
  </si>
  <si>
    <t xml:space="preserve">Exterior gypsum / glass mat sheathing</t>
  </si>
  <si>
    <t xml:space="preserve">familias_out.json '5/8" EXTERIOR gyp sheathing' 961.09; familias_out.json '5/8" glass mat sheathing' 368.75 (C/A09.21)</t>
  </si>
  <si>
    <t xml:space="preserve">ALC-10</t>
  </si>
  <si>
    <t xml:space="preserve">FRT plywood sheathing / substrate</t>
  </si>
  <si>
    <t xml:space="preserve">familias_out.json 'FRT plywood (SF)' 6771.17 (3/A09.26)</t>
  </si>
  <si>
    <t xml:space="preserve">ALC-11</t>
  </si>
  <si>
    <t xml:space="preserve">Gypsum board ceilings</t>
  </si>
  <si>
    <t xml:space="preserve">familias_out.json '5/8" gyp board regular (walls + ceilings)' 17364.3 (A04.01)</t>
  </si>
  <si>
    <t xml:space="preserve">ALC-12</t>
  </si>
  <si>
    <t xml:space="preserve">Ceiling suspension (furring / carrying channel / hanger wire / ceiling track)</t>
  </si>
  <si>
    <t xml:space="preserve">familias_out.json 'furring channel' 779.51; familias_out.json 'carrying channel' 323.56; familias_out.json 'hanger wire' 530.15; familias_out.json 'ceiling / soffit track' 1298.75 (8/A09.33)</t>
  </si>
  <si>
    <t xml:space="preserve">ALC-13</t>
  </si>
  <si>
    <t xml:space="preserve">Soffits and bulkheads (framing + board)</t>
  </si>
  <si>
    <t xml:space="preserve">familias_out.json 'ceiling / soffit track' 1298.75 (9/A12.08)</t>
  </si>
  <si>
    <t xml:space="preserve">ALC-14</t>
  </si>
  <si>
    <t xml:space="preserve">Canopy / marquee framing and sheathing</t>
  </si>
  <si>
    <t xml:space="preserve">Track, ceilings / soffits / canopy + FRT plywood sheathing (canopy and soffits) + canopy column wraps (3/A09.26)</t>
  </si>
  <si>
    <t xml:space="preserve">ALC-15</t>
  </si>
  <si>
    <t xml:space="preserve">Column furring / wraps</t>
  </si>
  <si>
    <t xml:space="preserve">CANOPY-COL column wraps (Partition Takeoff) + 5/8" FRT plywood at canopy column wraps (5/A09.25)</t>
  </si>
  <si>
    <t xml:space="preserve">ALC-16</t>
  </si>
  <si>
    <t xml:space="preserve">Blocking (FRT wood / metal) for millwork and accessories</t>
  </si>
  <si>
    <t xml:space="preserve">familias_out.json 'FRT blocking' 1006.63; familias_out.json 'metal stud blocking (362CR / STUD BLOCKING)' 649.32 (1/A08.01)</t>
  </si>
  <si>
    <t xml:space="preserve">ALC-17</t>
  </si>
  <si>
    <t xml:space="preserve">Framed openings (MEP, access panels, diffusers)</t>
  </si>
  <si>
    <t xml:space="preserve">framed_openings_out.json 'framed openings MEP' 928.25 LF + access panel 1 PCS (E00.01 / M01.01)</t>
  </si>
  <si>
    <t xml:space="preserve">ALC-18</t>
  </si>
  <si>
    <t xml:space="preserve">Trim: corner bead, casing bead, control joints, reveals</t>
  </si>
  <si>
    <t xml:space="preserve">familias_out.json 'metal trim (corner bead, casing, shadow molding)' 1041.42 (7/A09.33)</t>
  </si>
  <si>
    <t xml:space="preserve">ALC-19</t>
  </si>
  <si>
    <t xml:space="preserve">Acoustical sealant / sound attenuation (EXCLUDED: estimator standing order, all projects)</t>
  </si>
  <si>
    <t xml:space="preserve">NOT APPLICABLE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</si>
  <si>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</si>
  <si>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</si>
  <si>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</si>
  <si>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familias_out.json 'FRP' 329.74; familias_out.json 'cement board' 31.37 (D/A08.01)</t>
  </si>
  <si>
    <t xml:space="preserve">ALC-21</t>
  </si>
  <si>
    <t xml:space="preserve">Shaft walls / area separation walls</t>
  </si>
  <si>
    <t xml:space="preserve">NOT APPLICABLE: A12.01 partition schedule has no shaft wall / area separation type; A02.01 floor plan draws no shaft (single-story bank building)</t>
  </si>
  <si>
    <t xml:space="preserve">ALC-22</t>
  </si>
  <si>
    <t xml:space="preserve">Rated assemblies (UL designs) and their board type</t>
  </si>
  <si>
    <t xml:space="preserve">NOT APPLICABLE: A12.02 only has the finish note 'DO NOT PAINT OVER FIRE RATED STAMP'; E04.02 UL systems are typical firestop penetration details; A11.03 'FIRE RATED 3/4" PLYWOOD BACKBOARD' is a backboard (FRT plywood row); the A12.01 partition schedule lists no rated type / UL design</t>
  </si>
  <si>
    <t xml:space="preserve">ALC-23</t>
  </si>
  <si>
    <t xml:space="preserve">Special panels (ballistic, lead-lined, abuse)</t>
  </si>
  <si>
    <t xml:space="preserve">familias_out.json 'ballistic panel' 83.13 (4/A12.01)</t>
  </si>
  <si>
    <t xml:space="preserve">ALC-24</t>
  </si>
  <si>
    <t xml:space="preserve">Finish level (Level 4 / Level 5)</t>
  </si>
  <si>
    <t xml:space="preserve">familias_out.json 'Level 5 finish' 859.26 (A05.01 key note 9)</t>
  </si>
  <si>
    <t xml:space="preserve">CLR-01</t>
  </si>
  <si>
    <t xml:space="preserve">Insulation (batt / sound attenuation / polyiso by others except the nailbase panel)</t>
  </si>
  <si>
    <t xml:space="preserve">EXCLUDED: insulation is excluded in all projects (estimator standing order)</t>
  </si>
  <si>
    <t xml:space="preserve">CLR-02</t>
  </si>
  <si>
    <t xml:space="preserve">Storefront / office front frames DFC-1A and glazing (Div 08)</t>
  </si>
  <si>
    <t xml:space="preserve">EXCLUDED: storefront and office front systems by the Div 08 vendor; the framing at piers, heads, cripples and bulkheads is included</t>
  </si>
  <si>
    <t xml:space="preserve">CLR-03</t>
  </si>
  <si>
    <t xml:space="preserve">Acoustical ceilings ACT (Div 09 51 00)</t>
  </si>
  <si>
    <t xml:space="preserve">EXCLUDED: ACT grid and tile by others; GWB ceilings, soffits and transitions are included</t>
  </si>
  <si>
    <t xml:space="preserve">CLR-04</t>
  </si>
  <si>
    <t xml:space="preserve">Cement plaster / stucco PT-4, composite metal panel cladding and their accessories (J-bead, reveals)</t>
  </si>
  <si>
    <t xml:space="preserve">EXCLUDED: other trade; the FRT plywood substrate / sheathing and the CFMF behind them are included</t>
  </si>
  <si>
    <t xml:space="preserve">CLR-05</t>
  </si>
  <si>
    <t xml:space="preserve">Light fixtures, diffusers and MEP devices (Div 23 / 26)</t>
  </si>
  <si>
    <t xml:space="preserve">EXCLUDED: fixtures by others; framed openings for them are included</t>
  </si>
  <si>
    <t xml:space="preserve">CLR-06</t>
  </si>
  <si>
    <t xml:space="preserve">Millwork, cabinets, toilet accessories and wall-mounted equipment</t>
  </si>
  <si>
    <t xml:space="preserve">EXCLUDED: by others; blocking for them is included</t>
  </si>
  <si>
    <t xml:space="preserve">CLR-07</t>
  </si>
  <si>
    <t xml:space="preserve">Structural steel, HSS posts and deck (Div 05 12 / 05 31)</t>
  </si>
  <si>
    <t xml:space="preserve">EXCLUDED: by the steel contractor; CFMF parapet infill per 11/S5.10 is included</t>
  </si>
  <si>
    <t xml:space="preserve">CLR-08</t>
  </si>
  <si>
    <t xml:space="preserve">Finish level</t>
  </si>
  <si>
    <t xml:space="preserve">CLARIFICATION: Level 4 finish everywhere (joint compound yield in Inputs); Level 5 only at the wallcovering faces WC-18 / WC-20 / WC-22 that the A05.01 finish plan key notes call (Level 5 finish row); control joints not drawn, none carried</t>
  </si>
  <si>
    <t xml:space="preserve">CLR-09</t>
  </si>
  <si>
    <t xml:space="preserve">Building code analysis (A00.00 project information)</t>
  </si>
  <si>
    <t xml:space="preserve">CLARIFICATION: 2021 IBC with local amendments; occupancy Group B (business); construction Type II-B; single story, 20'-0" building height; building 4,260 SF + drive-through 850 SF = 5,110 SF gross; ground-up new financial center, steel frame, slab on grade (A00.00).</t>
  </si>
  <si>
    <t xml:space="preserve">CLR-10</t>
  </si>
  <si>
    <t xml:space="preserve">All work is new construction</t>
  </si>
  <si>
    <t xml:space="preserve">CLARIFICATION: ground-up building, no existing partitions to remain; no patch and repair allowance</t>
  </si>
  <si>
    <t xml:space="preserve">CLR-11</t>
  </si>
  <si>
    <t xml:space="preserve">Trade criteria carried in the price</t>
  </si>
  <si>
    <t xml:space="preserve">CLARIFICATION: stud blocking at the horizontal board joint of faces taller than the sheet length; metal 362CR stud blocking where general note C gives no material; wall stop blocking one stud bay; jamb return width = stud depth; deflection (slip) track per the partition details, deflection clips not carried (RFI); power-driven pins at the closest printed spacing; waste 15% metal / 6% non-metal applied once</t>
  </si>
  <si>
    <t xml:space="preserve">CLR-12</t>
  </si>
  <si>
    <t xml:space="preserve">Gypsum board on opposite faces</t>
  </si>
  <si>
    <t xml:space="preserve">CLARIFICATION: board is carried face by face (side A / side B) with its own height and layers per the partition detail; see Partition Takeoff</t>
  </si>
  <si>
    <t xml:space="preserve">ALC-X37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</si>
  <si>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</si>
  <si>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</si>
  <si>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</si>
  <si>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"a2d52c20d1067b866ec45b2de72351163de7db09895826d512d49777b2286c75", "evidencias": "6e29fe65d1c4457bb4c2d532bee5fef132ddeacb112b52347f4ddff71faf13c9", "familias_out": "9ab0804766f63b8650a2f627be5df5c486bb0fa2bd863ba480cfb130a51d3e1c", "reglas": "267acd5189f2c8edd3c442d4188cc010f12edb50daaf890c1d7cadf926793146",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</si>
</sst>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3" t="n">
        <v>18</v>
      </c>
      <c r="C12" s="4" t="s">
        <v>20</v>
      </c>
    </row>
    <row r="13" customFormat="false" ht="15" hidden="false" customHeight="false" outlineLevel="0" collapsed="false">
      <c r="A13" s="0" t="s">
        <v>21</v>
      </c>
      <c r="B13" s="3" t="n">
        <v>15.375</v>
      </c>
      <c r="C13" s="4" t="s">
        <v>20</v>
      </c>
    </row>
    <row r="14" customFormat="false" ht="15" hidden="false" customHeight="false" outlineLevel="0" collapsed="false">
      <c r="A14" s="0" t="s">
        <v>22</v>
      </c>
      <c r="B14" s="0" t="s">
        <v>23</v>
      </c>
      <c r="C14" s="0" t="s">
        <v>20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7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4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30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17.02</v>
      </c>
      <c r="D6" s="0" t="n">
        <v>15.375</v>
      </c>
      <c r="E6" s="0" t="n">
        <v>2</v>
      </c>
      <c r="F6" s="0" t="s">
        <v>63</v>
      </c>
      <c r="G6" s="0" t="n">
        <v>16</v>
      </c>
      <c r="H6" s="0" t="n">
        <v>366.95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3.125</v>
      </c>
      <c r="D7" s="0" t="n">
        <v>15.375</v>
      </c>
      <c r="E7" s="0" t="n">
        <v>2</v>
      </c>
      <c r="F7" s="0" t="s">
        <v>63</v>
      </c>
      <c r="G7" s="0" t="n">
        <v>16</v>
      </c>
      <c r="H7" s="0" t="n">
        <v>76.17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2.427</v>
      </c>
      <c r="D8" s="0" t="n">
        <v>15.375</v>
      </c>
      <c r="E8" s="0" t="n">
        <v>2</v>
      </c>
      <c r="F8" s="0" t="s">
        <v>63</v>
      </c>
      <c r="G8" s="0" t="n">
        <v>16</v>
      </c>
      <c r="H8" s="0" t="n">
        <v>59.16</v>
      </c>
      <c r="I8" s="0" t="s">
        <v>72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5.587</v>
      </c>
      <c r="D9" s="0" t="n">
        <v>15.375</v>
      </c>
      <c r="E9" s="0" t="n">
        <v>2</v>
      </c>
      <c r="F9" s="0" t="s">
        <v>63</v>
      </c>
      <c r="G9" s="0" t="n">
        <v>16</v>
      </c>
      <c r="H9" s="0" t="n">
        <v>62.88</v>
      </c>
      <c r="I9" s="0" t="s">
        <v>75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15.833</v>
      </c>
      <c r="D10" s="0" t="n">
        <v>12.965</v>
      </c>
      <c r="E10" s="0" t="n">
        <v>2</v>
      </c>
      <c r="F10" s="0" t="s">
        <v>63</v>
      </c>
      <c r="G10" s="0" t="n">
        <v>16</v>
      </c>
      <c r="H10" s="0" t="n">
        <v>285</v>
      </c>
      <c r="I10" s="0" t="s">
        <v>78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5.5</v>
      </c>
      <c r="D11" s="0" t="n">
        <v>12.921</v>
      </c>
      <c r="E11" s="0" t="n">
        <v>2</v>
      </c>
      <c r="F11" s="0" t="s">
        <v>63</v>
      </c>
      <c r="G11" s="0" t="n">
        <v>16</v>
      </c>
      <c r="H11" s="0" t="n">
        <v>47.31</v>
      </c>
      <c r="I11" s="0" t="s">
        <v>81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n">
        <v>1.733</v>
      </c>
      <c r="D12" s="0" t="n">
        <v>11.819</v>
      </c>
      <c r="E12" s="0" t="n">
        <v>2</v>
      </c>
      <c r="F12" s="0" t="s">
        <v>63</v>
      </c>
      <c r="G12" s="0" t="n">
        <v>16</v>
      </c>
      <c r="H12" s="0" t="n">
        <v>32.06</v>
      </c>
      <c r="I12" s="0" t="s">
        <v>84</v>
      </c>
      <c r="J12" s="0" t="s">
        <v>65</v>
      </c>
      <c r="K12" s="0" t="s">
        <v>66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20.521</v>
      </c>
      <c r="D13" s="0" t="n">
        <v>11.819</v>
      </c>
      <c r="E13" s="0" t="n">
        <v>2</v>
      </c>
      <c r="F13" s="0" t="s">
        <v>63</v>
      </c>
      <c r="G13" s="0" t="n">
        <v>16</v>
      </c>
      <c r="H13" s="0" t="n">
        <v>360.9</v>
      </c>
      <c r="I13" s="0" t="s">
        <v>87</v>
      </c>
      <c r="J13" s="0" t="s">
        <v>65</v>
      </c>
      <c r="K13" s="0" t="s">
        <v>66</v>
      </c>
    </row>
    <row r="14" customFormat="false" ht="15" hidden="false" customHeight="false" outlineLevel="0" collapsed="false">
      <c r="A14" s="0" t="s">
        <v>88</v>
      </c>
      <c r="B14" s="0" t="s">
        <v>89</v>
      </c>
      <c r="C14" s="0" t="n">
        <v>11.667</v>
      </c>
      <c r="D14" s="0" t="n">
        <v>12.768</v>
      </c>
      <c r="E14" s="0" t="n">
        <v>2</v>
      </c>
      <c r="F14" s="0" t="s">
        <v>63</v>
      </c>
      <c r="G14" s="0" t="n">
        <v>16</v>
      </c>
      <c r="H14" s="0" t="n">
        <v>168.06</v>
      </c>
      <c r="I14" s="0" t="s">
        <v>90</v>
      </c>
      <c r="J14" s="0" t="s">
        <v>65</v>
      </c>
      <c r="K14" s="0" t="s">
        <v>66</v>
      </c>
    </row>
    <row r="15" customFormat="false" ht="15" hidden="false" customHeight="false" outlineLevel="0" collapsed="false">
      <c r="A15" s="5" t="s">
        <v>91</v>
      </c>
    </row>
    <row r="16" customFormat="false" ht="15" hidden="false" customHeight="false" outlineLevel="0" collapsed="false">
      <c r="A16" s="0" t="s">
        <v>92</v>
      </c>
      <c r="B16" s="0" t="s">
        <v>93</v>
      </c>
      <c r="C16" s="0" t="n">
        <v>3.417</v>
      </c>
      <c r="D16" s="0" t="n">
        <v>15.375</v>
      </c>
      <c r="E16" s="0" t="n">
        <v>1</v>
      </c>
      <c r="F16" s="0" t="s">
        <v>63</v>
      </c>
      <c r="G16" s="0" t="n">
        <v>24</v>
      </c>
      <c r="H16" s="0" t="n">
        <v>52.54</v>
      </c>
      <c r="I16" s="0" t="s">
        <v>94</v>
      </c>
      <c r="J16" s="0" t="s">
        <v>95</v>
      </c>
      <c r="K16" s="0" t="s">
        <v>66</v>
      </c>
    </row>
    <row r="17" customFormat="false" ht="15" hidden="false" customHeight="false" outlineLevel="0" collapsed="false">
      <c r="A17" s="0" t="s">
        <v>96</v>
      </c>
      <c r="B17" s="0" t="s">
        <v>97</v>
      </c>
      <c r="C17" s="0" t="n">
        <v>1.767</v>
      </c>
      <c r="D17" s="0" t="n">
        <v>12.92</v>
      </c>
      <c r="E17" s="0" t="n">
        <v>2</v>
      </c>
      <c r="F17" s="0" t="s">
        <v>63</v>
      </c>
      <c r="G17" s="0" t="n">
        <v>24</v>
      </c>
      <c r="H17" s="0" t="n">
        <v>45.66</v>
      </c>
      <c r="I17" s="0" t="s">
        <v>98</v>
      </c>
      <c r="J17" s="0" t="s">
        <v>95</v>
      </c>
      <c r="K17" s="0" t="s">
        <v>66</v>
      </c>
    </row>
    <row r="18" customFormat="false" ht="15" hidden="false" customHeight="false" outlineLevel="0" collapsed="false">
      <c r="A18" s="0" t="s">
        <v>99</v>
      </c>
      <c r="B18" s="0" t="s">
        <v>100</v>
      </c>
      <c r="C18" s="0" t="n">
        <v>3.413</v>
      </c>
      <c r="D18" s="0" t="n">
        <v>12.932</v>
      </c>
      <c r="E18" s="0" t="n">
        <v>2</v>
      </c>
      <c r="F18" s="0" t="s">
        <v>63</v>
      </c>
      <c r="G18" s="0" t="n">
        <v>24</v>
      </c>
      <c r="H18" s="0" t="n">
        <v>88.28</v>
      </c>
      <c r="I18" s="0" t="s">
        <v>101</v>
      </c>
      <c r="J18" s="0" t="s">
        <v>95</v>
      </c>
      <c r="K18" s="0" t="s">
        <v>66</v>
      </c>
    </row>
    <row r="19" customFormat="false" ht="15" hidden="false" customHeight="false" outlineLevel="0" collapsed="false">
      <c r="A19" s="5" t="s">
        <v>102</v>
      </c>
    </row>
    <row r="20" customFormat="false" ht="15" hidden="false" customHeight="false" outlineLevel="0" collapsed="false">
      <c r="A20" s="0" t="s">
        <v>103</v>
      </c>
      <c r="B20" s="0" t="s">
        <v>104</v>
      </c>
      <c r="C20" s="0" t="n">
        <v>19.406</v>
      </c>
      <c r="D20" s="0" t="n">
        <v>13.707</v>
      </c>
      <c r="E20" s="0" t="n">
        <v>2</v>
      </c>
      <c r="F20" s="0" t="s">
        <v>105</v>
      </c>
      <c r="G20" s="0" t="n">
        <v>16</v>
      </c>
      <c r="H20" s="0" t="n">
        <v>378.39</v>
      </c>
      <c r="I20" s="0" t="s">
        <v>106</v>
      </c>
      <c r="J20" s="0" t="s">
        <v>65</v>
      </c>
      <c r="K20" s="0" t="s">
        <v>66</v>
      </c>
    </row>
    <row r="21" customFormat="false" ht="15" hidden="false" customHeight="false" outlineLevel="0" collapsed="false">
      <c r="A21" s="0" t="s">
        <v>107</v>
      </c>
      <c r="B21" s="0" t="s">
        <v>108</v>
      </c>
      <c r="C21" s="0" t="n">
        <v>14.127</v>
      </c>
      <c r="D21" s="0" t="n">
        <v>15.375</v>
      </c>
      <c r="E21" s="0" t="n">
        <v>2</v>
      </c>
      <c r="F21" s="0" t="s">
        <v>105</v>
      </c>
      <c r="G21" s="0" t="n">
        <v>16</v>
      </c>
      <c r="H21" s="0" t="n">
        <v>265.81</v>
      </c>
      <c r="I21" s="0" t="s">
        <v>109</v>
      </c>
      <c r="J21" s="0" t="s">
        <v>65</v>
      </c>
      <c r="K21" s="0" t="s">
        <v>66</v>
      </c>
    </row>
    <row r="22" customFormat="false" ht="15" hidden="false" customHeight="false" outlineLevel="0" collapsed="false">
      <c r="A22" s="0" t="s">
        <v>110</v>
      </c>
      <c r="B22" s="0" t="s">
        <v>111</v>
      </c>
      <c r="C22" s="0" t="n">
        <v>4.873</v>
      </c>
      <c r="D22" s="0" t="n">
        <v>12.578</v>
      </c>
      <c r="E22" s="0" t="n">
        <v>2</v>
      </c>
      <c r="F22" s="0" t="s">
        <v>105</v>
      </c>
      <c r="G22" s="0" t="n">
        <v>16</v>
      </c>
      <c r="H22" s="0" t="n">
        <v>39.94</v>
      </c>
      <c r="I22" s="0" t="s">
        <v>112</v>
      </c>
      <c r="J22" s="0" t="s">
        <v>65</v>
      </c>
      <c r="K22" s="0" t="s">
        <v>66</v>
      </c>
    </row>
    <row r="23" customFormat="false" ht="15" hidden="false" customHeight="false" outlineLevel="0" collapsed="false">
      <c r="A23" s="0" t="s">
        <v>113</v>
      </c>
      <c r="B23" s="0" t="s">
        <v>114</v>
      </c>
      <c r="C23" s="0" t="n">
        <v>6.947</v>
      </c>
      <c r="D23" s="0" t="n">
        <v>11.774</v>
      </c>
      <c r="E23" s="0" t="n">
        <v>2</v>
      </c>
      <c r="F23" s="0" t="s">
        <v>105</v>
      </c>
      <c r="G23" s="0" t="n">
        <v>16</v>
      </c>
      <c r="H23" s="0" t="n">
        <v>80.74</v>
      </c>
      <c r="I23" s="0" t="s">
        <v>115</v>
      </c>
      <c r="J23" s="0" t="s">
        <v>65</v>
      </c>
      <c r="K23" s="0" t="s">
        <v>66</v>
      </c>
    </row>
    <row r="24" customFormat="false" ht="15" hidden="false" customHeight="false" outlineLevel="0" collapsed="false">
      <c r="A24" s="5" t="s">
        <v>116</v>
      </c>
    </row>
    <row r="25" customFormat="false" ht="15" hidden="false" customHeight="false" outlineLevel="0" collapsed="false">
      <c r="A25" s="0" t="s">
        <v>117</v>
      </c>
      <c r="B25" s="0" t="s">
        <v>118</v>
      </c>
      <c r="C25" s="0" t="n">
        <v>9.99</v>
      </c>
      <c r="D25" s="0" t="n">
        <v>12.825</v>
      </c>
      <c r="E25" s="0" t="n">
        <v>2</v>
      </c>
      <c r="F25" s="0" t="s">
        <v>63</v>
      </c>
      <c r="G25" s="0" t="n">
        <v>16</v>
      </c>
      <c r="H25" s="0" t="n">
        <v>256.24</v>
      </c>
      <c r="I25" s="0" t="s">
        <v>119</v>
      </c>
      <c r="J25" s="0" t="s">
        <v>120</v>
      </c>
      <c r="K25" s="0" t="s">
        <v>66</v>
      </c>
    </row>
    <row r="26" customFormat="false" ht="15" hidden="false" customHeight="false" outlineLevel="0" collapsed="false">
      <c r="A26" s="0" t="s">
        <v>121</v>
      </c>
      <c r="B26" s="0" t="s">
        <v>122</v>
      </c>
      <c r="C26" s="0" t="n">
        <v>11.719</v>
      </c>
      <c r="D26" s="0" t="n">
        <v>12.087</v>
      </c>
      <c r="E26" s="0" t="n">
        <v>2</v>
      </c>
      <c r="F26" s="0" t="s">
        <v>63</v>
      </c>
      <c r="G26" s="0" t="n">
        <v>16</v>
      </c>
      <c r="H26" s="0" t="n">
        <v>235.52</v>
      </c>
      <c r="I26" s="0" t="s">
        <v>123</v>
      </c>
      <c r="J26" s="0" t="s">
        <v>120</v>
      </c>
      <c r="K26" s="0" t="s">
        <v>66</v>
      </c>
    </row>
    <row r="27" customFormat="false" ht="15" hidden="false" customHeight="false" outlineLevel="0" collapsed="false">
      <c r="A27" s="0" t="s">
        <v>124</v>
      </c>
      <c r="B27" s="0" t="s">
        <v>125</v>
      </c>
      <c r="C27" s="0" t="n">
        <v>3.5</v>
      </c>
      <c r="D27" s="0" t="n">
        <v>12.741</v>
      </c>
      <c r="E27" s="0" t="n">
        <v>2</v>
      </c>
      <c r="F27" s="0" t="s">
        <v>63</v>
      </c>
      <c r="G27" s="0" t="n">
        <v>16</v>
      </c>
      <c r="H27" s="0" t="n">
        <v>89.18</v>
      </c>
      <c r="I27" s="0" t="s">
        <v>126</v>
      </c>
      <c r="J27" s="0" t="s">
        <v>120</v>
      </c>
      <c r="K27" s="0" t="s">
        <v>66</v>
      </c>
    </row>
    <row r="28" customFormat="false" ht="15" hidden="false" customHeight="false" outlineLevel="0" collapsed="false">
      <c r="A28" s="0" t="s">
        <v>127</v>
      </c>
      <c r="B28" s="0" t="s">
        <v>128</v>
      </c>
      <c r="C28" s="0" t="n">
        <v>11.719</v>
      </c>
      <c r="D28" s="0" t="n">
        <v>12.664</v>
      </c>
      <c r="E28" s="0" t="n">
        <v>2</v>
      </c>
      <c r="F28" s="0" t="s">
        <v>63</v>
      </c>
      <c r="G28" s="0" t="n">
        <v>16</v>
      </c>
      <c r="H28" s="0" t="n">
        <v>296.82</v>
      </c>
      <c r="I28" s="0" t="s">
        <v>129</v>
      </c>
      <c r="J28" s="0" t="s">
        <v>120</v>
      </c>
      <c r="K28" s="0" t="s">
        <v>66</v>
      </c>
    </row>
    <row r="29" customFormat="false" ht="15" hidden="false" customHeight="false" outlineLevel="0" collapsed="false">
      <c r="A29" s="0" t="s">
        <v>130</v>
      </c>
      <c r="B29" s="0" t="s">
        <v>131</v>
      </c>
      <c r="C29" s="0" t="n">
        <v>9.583</v>
      </c>
      <c r="D29" s="0" t="n">
        <v>12.696</v>
      </c>
      <c r="E29" s="0" t="n">
        <v>2</v>
      </c>
      <c r="F29" s="0" t="s">
        <v>63</v>
      </c>
      <c r="G29" s="0" t="n">
        <v>16</v>
      </c>
      <c r="H29" s="0" t="n">
        <v>243.34</v>
      </c>
      <c r="I29" s="0" t="s">
        <v>132</v>
      </c>
      <c r="J29" s="0" t="s">
        <v>120</v>
      </c>
      <c r="K29" s="0" t="s">
        <v>66</v>
      </c>
    </row>
    <row r="30" customFormat="false" ht="15" hidden="false" customHeight="false" outlineLevel="0" collapsed="false">
      <c r="A30" s="0" t="s">
        <v>133</v>
      </c>
      <c r="B30" s="0" t="s">
        <v>134</v>
      </c>
      <c r="C30" s="0" t="n">
        <v>13.74</v>
      </c>
      <c r="D30" s="0" t="n">
        <v>12.821</v>
      </c>
      <c r="E30" s="0" t="n">
        <v>2</v>
      </c>
      <c r="F30" s="0" t="s">
        <v>63</v>
      </c>
      <c r="G30" s="0" t="n">
        <v>16</v>
      </c>
      <c r="H30" s="0" t="n">
        <v>256.76</v>
      </c>
      <c r="I30" s="0" t="s">
        <v>135</v>
      </c>
      <c r="J30" s="0" t="s">
        <v>120</v>
      </c>
      <c r="K30" s="0" t="s">
        <v>66</v>
      </c>
    </row>
    <row r="31" customFormat="false" ht="15" hidden="false" customHeight="false" outlineLevel="0" collapsed="false">
      <c r="A31" s="5" t="s">
        <v>136</v>
      </c>
    </row>
    <row r="32" customFormat="false" ht="15" hidden="false" customHeight="false" outlineLevel="0" collapsed="false">
      <c r="A32" s="0" t="s">
        <v>137</v>
      </c>
      <c r="B32" s="0" t="s">
        <v>138</v>
      </c>
      <c r="C32" s="0" t="n">
        <v>5.667</v>
      </c>
      <c r="D32" s="0" t="n">
        <v>15.375</v>
      </c>
      <c r="E32" s="0" t="n">
        <v>2</v>
      </c>
      <c r="F32" s="0" t="s">
        <v>105</v>
      </c>
      <c r="G32" s="0" t="n">
        <v>16</v>
      </c>
      <c r="H32" s="0" t="n">
        <v>111.66</v>
      </c>
      <c r="I32" s="0" t="s">
        <v>139</v>
      </c>
      <c r="J32" s="0" t="s">
        <v>120</v>
      </c>
      <c r="K32" s="0" t="s">
        <v>66</v>
      </c>
    </row>
    <row r="33" customFormat="false" ht="15" hidden="false" customHeight="false" outlineLevel="0" collapsed="false">
      <c r="A33" s="0" t="s">
        <v>140</v>
      </c>
      <c r="B33" s="0" t="s">
        <v>141</v>
      </c>
      <c r="C33" s="0" t="n">
        <v>5.542</v>
      </c>
      <c r="D33" s="0" t="n">
        <v>13.275</v>
      </c>
      <c r="E33" s="0" t="n">
        <v>2</v>
      </c>
      <c r="F33" s="0" t="s">
        <v>105</v>
      </c>
      <c r="G33" s="0" t="n">
        <v>16</v>
      </c>
      <c r="H33" s="0" t="n">
        <v>99.36</v>
      </c>
      <c r="I33" s="0" t="s">
        <v>142</v>
      </c>
      <c r="J33" s="0" t="s">
        <v>120</v>
      </c>
      <c r="K33" s="0" t="s">
        <v>66</v>
      </c>
    </row>
    <row r="34" customFormat="false" ht="15" hidden="false" customHeight="false" outlineLevel="0" collapsed="false">
      <c r="A34" s="0" t="s">
        <v>143</v>
      </c>
      <c r="B34" s="0" t="s">
        <v>144</v>
      </c>
      <c r="C34" s="0" t="n">
        <v>15.787</v>
      </c>
      <c r="D34" s="0" t="n">
        <v>12.863</v>
      </c>
      <c r="E34" s="0" t="n">
        <v>2</v>
      </c>
      <c r="F34" s="0" t="s">
        <v>105</v>
      </c>
      <c r="G34" s="0" t="n">
        <v>16</v>
      </c>
      <c r="H34" s="0" t="n">
        <v>262.8</v>
      </c>
      <c r="I34" s="0" t="s">
        <v>145</v>
      </c>
      <c r="J34" s="0" t="s">
        <v>120</v>
      </c>
      <c r="K34" s="0" t="s">
        <v>66</v>
      </c>
    </row>
    <row r="35" customFormat="false" ht="15" hidden="false" customHeight="false" outlineLevel="0" collapsed="false">
      <c r="A35" s="0" t="s">
        <v>146</v>
      </c>
      <c r="B35" s="0" t="s">
        <v>147</v>
      </c>
      <c r="C35" s="0" t="n">
        <v>11.407</v>
      </c>
      <c r="D35" s="0" t="n">
        <v>11.631</v>
      </c>
      <c r="E35" s="0" t="n">
        <v>2</v>
      </c>
      <c r="F35" s="0" t="s">
        <v>105</v>
      </c>
      <c r="G35" s="0" t="n">
        <v>16</v>
      </c>
      <c r="H35" s="0" t="n">
        <v>265.34</v>
      </c>
      <c r="I35" s="0" t="s">
        <v>148</v>
      </c>
      <c r="J35" s="0" t="s">
        <v>120</v>
      </c>
      <c r="K35" s="0" t="s">
        <v>66</v>
      </c>
    </row>
    <row r="36" customFormat="false" ht="15" hidden="false" customHeight="false" outlineLevel="0" collapsed="false">
      <c r="A36" s="5" t="s">
        <v>149</v>
      </c>
    </row>
    <row r="37" customFormat="false" ht="15" hidden="false" customHeight="false" outlineLevel="0" collapsed="false">
      <c r="A37" s="0" t="s">
        <v>150</v>
      </c>
      <c r="B37" s="0" t="s">
        <v>151</v>
      </c>
      <c r="C37" s="0" t="n">
        <v>1.5</v>
      </c>
      <c r="D37" s="0" t="n">
        <v>15.375</v>
      </c>
      <c r="E37" s="0" t="n">
        <v>2</v>
      </c>
      <c r="F37" s="0" t="s">
        <v>105</v>
      </c>
      <c r="G37" s="0" t="n">
        <v>24</v>
      </c>
      <c r="H37" s="0" t="n">
        <v>46.12</v>
      </c>
      <c r="I37" s="0" t="s">
        <v>152</v>
      </c>
      <c r="J37" s="0" t="s">
        <v>95</v>
      </c>
      <c r="K37" s="0" t="s">
        <v>66</v>
      </c>
    </row>
    <row r="38" customFormat="false" ht="15" hidden="false" customHeight="false" outlineLevel="0" collapsed="false">
      <c r="A38" s="5" t="s">
        <v>153</v>
      </c>
    </row>
    <row r="39" customFormat="false" ht="15" hidden="false" customHeight="false" outlineLevel="0" collapsed="false">
      <c r="A39" s="0" t="s">
        <v>154</v>
      </c>
      <c r="B39" s="0" t="s">
        <v>155</v>
      </c>
      <c r="C39" s="0" t="n">
        <v>3.267</v>
      </c>
      <c r="D39" s="0" t="n">
        <v>15.375</v>
      </c>
      <c r="E39" s="0" t="n">
        <v>1</v>
      </c>
      <c r="F39" s="0" t="s">
        <v>63</v>
      </c>
      <c r="G39" s="0" t="n">
        <v>16</v>
      </c>
      <c r="H39" s="0" t="n">
        <v>50.23</v>
      </c>
      <c r="I39" s="0" t="s">
        <v>156</v>
      </c>
      <c r="J39" s="0" t="s">
        <v>157</v>
      </c>
      <c r="K39" s="0" t="s">
        <v>66</v>
      </c>
    </row>
    <row r="40" customFormat="false" ht="15" hidden="false" customHeight="false" outlineLevel="0" collapsed="false">
      <c r="A40" s="0" t="s">
        <v>158</v>
      </c>
      <c r="B40" s="0" t="s">
        <v>159</v>
      </c>
      <c r="C40" s="0" t="n">
        <v>4.073</v>
      </c>
      <c r="D40" s="0" t="n">
        <v>15.375</v>
      </c>
      <c r="E40" s="0" t="n">
        <v>1</v>
      </c>
      <c r="F40" s="0" t="s">
        <v>63</v>
      </c>
      <c r="G40" s="0" t="n">
        <v>16</v>
      </c>
      <c r="H40" s="0" t="n">
        <v>62.63</v>
      </c>
      <c r="I40" s="0" t="s">
        <v>160</v>
      </c>
      <c r="J40" s="0" t="s">
        <v>161</v>
      </c>
      <c r="K40" s="0" t="s">
        <v>66</v>
      </c>
    </row>
    <row r="41" customFormat="false" ht="15" hidden="false" customHeight="false" outlineLevel="0" collapsed="false">
      <c r="A41" s="0" t="s">
        <v>162</v>
      </c>
      <c r="B41" s="0" t="s">
        <v>163</v>
      </c>
      <c r="C41" s="0" t="n">
        <v>4</v>
      </c>
      <c r="D41" s="0" t="n">
        <v>15.375</v>
      </c>
      <c r="E41" s="0" t="n">
        <v>1</v>
      </c>
      <c r="F41" s="0" t="s">
        <v>63</v>
      </c>
      <c r="G41" s="0" t="n">
        <v>16</v>
      </c>
      <c r="H41" s="0" t="n">
        <v>61.52</v>
      </c>
      <c r="I41" s="0" t="s">
        <v>164</v>
      </c>
      <c r="J41" s="0" t="s">
        <v>165</v>
      </c>
      <c r="K41" s="0" t="s">
        <v>66</v>
      </c>
    </row>
    <row r="42" customFormat="false" ht="15" hidden="false" customHeight="false" outlineLevel="0" collapsed="false">
      <c r="A42" s="0" t="s">
        <v>166</v>
      </c>
      <c r="B42" s="0" t="s">
        <v>167</v>
      </c>
      <c r="C42" s="0" t="n">
        <v>2.94</v>
      </c>
      <c r="D42" s="0" t="n">
        <v>15.375</v>
      </c>
      <c r="E42" s="0" t="n">
        <v>1</v>
      </c>
      <c r="F42" s="0" t="s">
        <v>63</v>
      </c>
      <c r="G42" s="0" t="n">
        <v>16</v>
      </c>
      <c r="H42" s="0" t="n">
        <v>45.21</v>
      </c>
      <c r="I42" s="0" t="s">
        <v>168</v>
      </c>
      <c r="J42" s="0" t="s">
        <v>165</v>
      </c>
      <c r="K42" s="0" t="s">
        <v>66</v>
      </c>
    </row>
    <row r="43" customFormat="false" ht="15" hidden="false" customHeight="false" outlineLevel="0" collapsed="false">
      <c r="A43" s="0" t="s">
        <v>169</v>
      </c>
      <c r="B43" s="0" t="s">
        <v>170</v>
      </c>
      <c r="C43" s="0" t="n">
        <v>11.334</v>
      </c>
      <c r="D43" s="0" t="n">
        <v>15.375</v>
      </c>
      <c r="E43" s="0" t="n">
        <v>1</v>
      </c>
      <c r="F43" s="0" t="s">
        <v>63</v>
      </c>
      <c r="G43" s="0" t="n">
        <v>16</v>
      </c>
      <c r="H43" s="0" t="n">
        <v>174.27</v>
      </c>
      <c r="I43" s="0" t="s">
        <v>171</v>
      </c>
      <c r="J43" s="0" t="s">
        <v>165</v>
      </c>
      <c r="K43" s="0" t="s">
        <v>66</v>
      </c>
    </row>
    <row r="44" customFormat="false" ht="15" hidden="false" customHeight="false" outlineLevel="0" collapsed="false">
      <c r="A44" s="0" t="s">
        <v>172</v>
      </c>
      <c r="B44" s="0" t="s">
        <v>173</v>
      </c>
      <c r="C44" s="0" t="n">
        <v>10.027</v>
      </c>
      <c r="D44" s="0" t="n">
        <v>12.921</v>
      </c>
      <c r="E44" s="0" t="n">
        <v>1</v>
      </c>
      <c r="F44" s="0" t="s">
        <v>63</v>
      </c>
      <c r="G44" s="0" t="n">
        <v>16</v>
      </c>
      <c r="H44" s="0" t="n">
        <v>129.56</v>
      </c>
      <c r="I44" s="0" t="s">
        <v>174</v>
      </c>
      <c r="J44" s="0" t="s">
        <v>165</v>
      </c>
      <c r="K44" s="0" t="s">
        <v>66</v>
      </c>
    </row>
    <row r="45" customFormat="false" ht="15" hidden="false" customHeight="false" outlineLevel="0" collapsed="false">
      <c r="A45" s="0" t="s">
        <v>175</v>
      </c>
      <c r="B45" s="0" t="s">
        <v>176</v>
      </c>
      <c r="C45" s="0" t="n">
        <v>10.027</v>
      </c>
      <c r="D45" s="0" t="n">
        <v>12.89</v>
      </c>
      <c r="E45" s="0" t="n">
        <v>1</v>
      </c>
      <c r="F45" s="0" t="s">
        <v>63</v>
      </c>
      <c r="G45" s="0" t="n">
        <v>16</v>
      </c>
      <c r="H45" s="0" t="n">
        <v>129.25</v>
      </c>
      <c r="I45" s="0" t="s">
        <v>177</v>
      </c>
      <c r="J45" s="0" t="s">
        <v>165</v>
      </c>
      <c r="K45" s="0" t="s">
        <v>66</v>
      </c>
    </row>
    <row r="46" customFormat="false" ht="15" hidden="false" customHeight="false" outlineLevel="0" collapsed="false">
      <c r="A46" s="0" t="s">
        <v>178</v>
      </c>
      <c r="B46" s="0" t="s">
        <v>179</v>
      </c>
      <c r="C46" s="0" t="n">
        <v>3.56</v>
      </c>
      <c r="D46" s="0" t="n">
        <v>12.921</v>
      </c>
      <c r="E46" s="0" t="n">
        <v>1</v>
      </c>
      <c r="F46" s="0" t="s">
        <v>63</v>
      </c>
      <c r="G46" s="0" t="n">
        <v>16</v>
      </c>
      <c r="H46" s="0" t="n">
        <v>46</v>
      </c>
      <c r="I46" s="0" t="s">
        <v>180</v>
      </c>
      <c r="J46" s="0" t="s">
        <v>165</v>
      </c>
      <c r="K46" s="0" t="s">
        <v>66</v>
      </c>
    </row>
    <row r="47" customFormat="false" ht="15" hidden="false" customHeight="false" outlineLevel="0" collapsed="false">
      <c r="A47" s="5" t="s">
        <v>181</v>
      </c>
    </row>
    <row r="48" customFormat="false" ht="15" hidden="false" customHeight="false" outlineLevel="0" collapsed="false">
      <c r="A48" s="0" t="s">
        <v>182</v>
      </c>
      <c r="B48" s="0" t="s">
        <v>183</v>
      </c>
      <c r="C48" s="0" t="n">
        <v>17.762</v>
      </c>
      <c r="D48" s="0" t="n">
        <v>15.375</v>
      </c>
      <c r="E48" s="0" t="n">
        <v>2</v>
      </c>
      <c r="F48" s="0" t="s">
        <v>63</v>
      </c>
      <c r="G48" s="0" t="n">
        <v>16</v>
      </c>
      <c r="H48" s="0" t="n">
        <v>325.38</v>
      </c>
      <c r="I48" s="0" t="s">
        <v>184</v>
      </c>
      <c r="J48" s="0" t="s">
        <v>185</v>
      </c>
      <c r="K48" s="0" t="s">
        <v>66</v>
      </c>
    </row>
    <row r="49" customFormat="false" ht="15" hidden="false" customHeight="false" outlineLevel="0" collapsed="false">
      <c r="A49" s="5" t="s">
        <v>186</v>
      </c>
    </row>
    <row r="50" customFormat="false" ht="15" hidden="false" customHeight="false" outlineLevel="0" collapsed="false">
      <c r="A50" s="0" t="s">
        <v>187</v>
      </c>
      <c r="B50" s="0" t="s">
        <v>188</v>
      </c>
      <c r="C50" s="0" t="n">
        <v>12.333</v>
      </c>
      <c r="D50" s="0" t="n">
        <v>15.375</v>
      </c>
      <c r="E50" s="0" t="n">
        <v>4</v>
      </c>
      <c r="F50" s="0" t="s">
        <v>189</v>
      </c>
      <c r="G50" s="0" t="n">
        <v>16</v>
      </c>
      <c r="H50" s="0" t="n">
        <v>758.48</v>
      </c>
      <c r="I50" s="0" t="s">
        <v>190</v>
      </c>
      <c r="J50" s="0" t="s">
        <v>191</v>
      </c>
      <c r="K50" s="0" t="s">
        <v>66</v>
      </c>
    </row>
    <row r="51" customFormat="false" ht="15" hidden="false" customHeight="false" outlineLevel="0" collapsed="false">
      <c r="A51" s="0" t="s">
        <v>192</v>
      </c>
      <c r="B51" s="0" t="s">
        <v>193</v>
      </c>
      <c r="C51" s="0" t="n">
        <v>11.625</v>
      </c>
      <c r="D51" s="0" t="n">
        <v>14.717</v>
      </c>
      <c r="E51" s="0" t="n">
        <v>4</v>
      </c>
      <c r="F51" s="0" t="s">
        <v>189</v>
      </c>
      <c r="G51" s="0" t="n">
        <v>16</v>
      </c>
      <c r="H51" s="0" t="n">
        <v>684.34</v>
      </c>
      <c r="I51" s="0" t="s">
        <v>194</v>
      </c>
      <c r="J51" s="0" t="s">
        <v>191</v>
      </c>
      <c r="K51" s="0" t="s">
        <v>66</v>
      </c>
    </row>
    <row r="52" customFormat="false" ht="15" hidden="false" customHeight="false" outlineLevel="0" collapsed="false">
      <c r="A52" s="0" t="s">
        <v>195</v>
      </c>
      <c r="B52" s="0" t="s">
        <v>196</v>
      </c>
      <c r="C52" s="0" t="n">
        <v>12.332</v>
      </c>
      <c r="D52" s="0" t="n">
        <v>15.375</v>
      </c>
      <c r="E52" s="0" t="n">
        <v>4</v>
      </c>
      <c r="F52" s="0" t="s">
        <v>189</v>
      </c>
      <c r="G52" s="0" t="n">
        <v>16</v>
      </c>
      <c r="H52" s="0" t="n">
        <v>758.42</v>
      </c>
      <c r="I52" s="0" t="s">
        <v>197</v>
      </c>
      <c r="J52" s="0" t="s">
        <v>191</v>
      </c>
      <c r="K52" s="0" t="s">
        <v>66</v>
      </c>
    </row>
    <row r="53" customFormat="false" ht="15" hidden="false" customHeight="false" outlineLevel="0" collapsed="false">
      <c r="A53" s="0" t="s">
        <v>198</v>
      </c>
      <c r="B53" s="0" t="s">
        <v>199</v>
      </c>
      <c r="C53" s="0" t="n">
        <v>3.467</v>
      </c>
      <c r="D53" s="0" t="n">
        <v>14.383</v>
      </c>
      <c r="E53" s="0" t="n">
        <v>4</v>
      </c>
      <c r="F53" s="0" t="s">
        <v>189</v>
      </c>
      <c r="G53" s="0" t="n">
        <v>16</v>
      </c>
      <c r="H53" s="0" t="n">
        <v>199.46</v>
      </c>
      <c r="I53" s="0" t="s">
        <v>200</v>
      </c>
      <c r="J53" s="0" t="s">
        <v>191</v>
      </c>
      <c r="K53" s="0" t="s">
        <v>66</v>
      </c>
    </row>
    <row r="54" customFormat="false" ht="15" hidden="false" customHeight="false" outlineLevel="0" collapsed="false">
      <c r="A54" s="0" t="s">
        <v>201</v>
      </c>
      <c r="B54" s="0" t="s">
        <v>202</v>
      </c>
      <c r="C54" s="0" t="n">
        <v>3.253</v>
      </c>
      <c r="D54" s="0" t="n">
        <v>14.225</v>
      </c>
      <c r="E54" s="0" t="n">
        <v>4</v>
      </c>
      <c r="F54" s="0" t="s">
        <v>189</v>
      </c>
      <c r="G54" s="0" t="n">
        <v>16</v>
      </c>
      <c r="H54" s="0" t="n">
        <v>185.1</v>
      </c>
      <c r="I54" s="0" t="s">
        <v>203</v>
      </c>
      <c r="J54" s="0" t="s">
        <v>191</v>
      </c>
      <c r="K54" s="0" t="s">
        <v>66</v>
      </c>
    </row>
    <row r="55" customFormat="false" ht="15" hidden="false" customHeight="false" outlineLevel="0" collapsed="false">
      <c r="A55" s="0" t="s">
        <v>204</v>
      </c>
      <c r="B55" s="0" t="s">
        <v>205</v>
      </c>
      <c r="C55" s="0" t="n">
        <v>3.253</v>
      </c>
      <c r="D55" s="0" t="n">
        <v>14.225</v>
      </c>
      <c r="E55" s="0" t="n">
        <v>4</v>
      </c>
      <c r="F55" s="0" t="s">
        <v>189</v>
      </c>
      <c r="G55" s="0" t="n">
        <v>16</v>
      </c>
      <c r="H55" s="0" t="n">
        <v>185.1</v>
      </c>
      <c r="I55" s="0" t="s">
        <v>206</v>
      </c>
      <c r="J55" s="0" t="s">
        <v>191</v>
      </c>
      <c r="K55" s="0" t="s">
        <v>66</v>
      </c>
    </row>
    <row r="56" customFormat="false" ht="15" hidden="false" customHeight="false" outlineLevel="0" collapsed="false">
      <c r="A56" s="0" t="s">
        <v>207</v>
      </c>
      <c r="B56" s="0" t="s">
        <v>208</v>
      </c>
      <c r="C56" s="0" t="n">
        <v>11.771</v>
      </c>
      <c r="D56" s="0" t="n">
        <v>15.375</v>
      </c>
      <c r="E56" s="0" t="n">
        <v>4</v>
      </c>
      <c r="F56" s="0" t="s">
        <v>189</v>
      </c>
      <c r="G56" s="0" t="n">
        <v>16</v>
      </c>
      <c r="H56" s="0" t="n">
        <v>723.92</v>
      </c>
      <c r="I56" s="0" t="s">
        <v>209</v>
      </c>
      <c r="J56" s="0" t="s">
        <v>191</v>
      </c>
      <c r="K56" s="0" t="s">
        <v>66</v>
      </c>
    </row>
    <row r="57" customFormat="false" ht="15" hidden="false" customHeight="false" outlineLevel="0" collapsed="false">
      <c r="A57" s="0" t="s">
        <v>210</v>
      </c>
      <c r="B57" s="0" t="s">
        <v>211</v>
      </c>
      <c r="C57" s="0" t="n">
        <v>11.771</v>
      </c>
      <c r="D57" s="0" t="n">
        <v>15.375</v>
      </c>
      <c r="E57" s="0" t="n">
        <v>4</v>
      </c>
      <c r="F57" s="0" t="s">
        <v>189</v>
      </c>
      <c r="G57" s="0" t="n">
        <v>16</v>
      </c>
      <c r="H57" s="0" t="n">
        <v>723.92</v>
      </c>
      <c r="I57" s="0" t="s">
        <v>212</v>
      </c>
      <c r="J57" s="0" t="s">
        <v>191</v>
      </c>
      <c r="K57" s="0" t="s">
        <v>66</v>
      </c>
    </row>
    <row r="58" customFormat="false" ht="15" hidden="false" customHeight="false" outlineLevel="0" collapsed="false">
      <c r="A58" s="0" t="s">
        <v>213</v>
      </c>
      <c r="B58" s="0" t="s">
        <v>214</v>
      </c>
      <c r="C58" s="0" t="n">
        <v>10.073</v>
      </c>
      <c r="D58" s="0" t="n">
        <v>15.375</v>
      </c>
      <c r="E58" s="0" t="n">
        <v>4</v>
      </c>
      <c r="F58" s="0" t="s">
        <v>189</v>
      </c>
      <c r="G58" s="0" t="n">
        <v>16</v>
      </c>
      <c r="H58" s="0" t="n">
        <v>619.48</v>
      </c>
      <c r="I58" s="0" t="s">
        <v>215</v>
      </c>
      <c r="J58" s="0" t="s">
        <v>191</v>
      </c>
      <c r="K58" s="0" t="s">
        <v>66</v>
      </c>
    </row>
    <row r="59" customFormat="false" ht="15" hidden="false" customHeight="false" outlineLevel="0" collapsed="false">
      <c r="A59" s="0" t="s">
        <v>216</v>
      </c>
      <c r="B59" s="0" t="s">
        <v>217</v>
      </c>
      <c r="C59" s="0" t="n">
        <v>2.42</v>
      </c>
      <c r="D59" s="0" t="n">
        <v>14.383</v>
      </c>
      <c r="E59" s="0" t="n">
        <v>4</v>
      </c>
      <c r="F59" s="0" t="s">
        <v>189</v>
      </c>
      <c r="G59" s="0" t="n">
        <v>16</v>
      </c>
      <c r="H59" s="0" t="n">
        <v>139.22</v>
      </c>
      <c r="I59" s="0" t="s">
        <v>218</v>
      </c>
      <c r="J59" s="0" t="s">
        <v>191</v>
      </c>
      <c r="K59" s="0" t="s">
        <v>66</v>
      </c>
    </row>
    <row r="60" customFormat="false" ht="15" hidden="false" customHeight="false" outlineLevel="0" collapsed="false">
      <c r="A60" s="0" t="s">
        <v>219</v>
      </c>
      <c r="B60" s="0" t="s">
        <v>220</v>
      </c>
      <c r="C60" s="0" t="n">
        <v>0.973</v>
      </c>
      <c r="D60" s="0" t="n">
        <v>15.375</v>
      </c>
      <c r="E60" s="0" t="n">
        <v>4</v>
      </c>
      <c r="F60" s="0" t="s">
        <v>189</v>
      </c>
      <c r="G60" s="0" t="n">
        <v>16</v>
      </c>
      <c r="H60" s="0" t="n">
        <v>59.84</v>
      </c>
      <c r="I60" s="0" t="s">
        <v>221</v>
      </c>
      <c r="J60" s="0" t="s">
        <v>191</v>
      </c>
      <c r="K60" s="0" t="s">
        <v>66</v>
      </c>
    </row>
    <row r="61" customFormat="false" ht="15" hidden="false" customHeight="false" outlineLevel="0" collapsed="false">
      <c r="A61" s="5" t="s">
        <v>222</v>
      </c>
    </row>
    <row r="62" customFormat="false" ht="15" hidden="false" customHeight="false" outlineLevel="0" collapsed="false">
      <c r="A62" s="0" t="s">
        <v>223</v>
      </c>
      <c r="B62" s="0" t="s">
        <v>224</v>
      </c>
      <c r="C62" s="0" t="n">
        <v>11.771</v>
      </c>
      <c r="D62" s="0" t="n">
        <v>14.717</v>
      </c>
      <c r="E62" s="0" t="n">
        <v>4</v>
      </c>
      <c r="F62" s="0" t="s">
        <v>189</v>
      </c>
      <c r="G62" s="0" t="n">
        <v>16</v>
      </c>
      <c r="H62" s="0" t="n">
        <v>692.94</v>
      </c>
      <c r="I62" s="0" t="s">
        <v>225</v>
      </c>
      <c r="J62" s="0" t="s">
        <v>191</v>
      </c>
      <c r="K62" s="0" t="s">
        <v>66</v>
      </c>
    </row>
    <row r="63" customFormat="false" ht="15" hidden="false" customHeight="false" outlineLevel="0" collapsed="false">
      <c r="A63" s="0" t="s">
        <v>226</v>
      </c>
      <c r="B63" s="0" t="s">
        <v>227</v>
      </c>
      <c r="C63" s="0" t="n">
        <v>3.507</v>
      </c>
      <c r="D63" s="0" t="n">
        <v>15.375</v>
      </c>
      <c r="E63" s="0" t="n">
        <v>4</v>
      </c>
      <c r="F63" s="0" t="s">
        <v>189</v>
      </c>
      <c r="G63" s="0" t="n">
        <v>16</v>
      </c>
      <c r="H63" s="0" t="n">
        <v>215.68</v>
      </c>
      <c r="I63" s="0" t="s">
        <v>228</v>
      </c>
      <c r="J63" s="0" t="s">
        <v>191</v>
      </c>
      <c r="K63" s="0" t="s">
        <v>66</v>
      </c>
    </row>
    <row r="64" customFormat="false" ht="15" hidden="false" customHeight="false" outlineLevel="0" collapsed="false">
      <c r="A64" s="0" t="s">
        <v>229</v>
      </c>
      <c r="B64" s="0" t="s">
        <v>230</v>
      </c>
      <c r="C64" s="0" t="n">
        <v>2.667</v>
      </c>
      <c r="D64" s="0" t="n">
        <v>15.375</v>
      </c>
      <c r="E64" s="0" t="n">
        <v>4</v>
      </c>
      <c r="F64" s="0" t="s">
        <v>189</v>
      </c>
      <c r="G64" s="0" t="n">
        <v>16</v>
      </c>
      <c r="H64" s="0" t="n">
        <v>164.02</v>
      </c>
      <c r="I64" s="0" t="s">
        <v>231</v>
      </c>
      <c r="J64" s="0" t="s">
        <v>191</v>
      </c>
      <c r="K64" s="0" t="s">
        <v>66</v>
      </c>
    </row>
    <row r="65" customFormat="false" ht="15" hidden="false" customHeight="false" outlineLevel="0" collapsed="false">
      <c r="A65" s="5" t="s">
        <v>232</v>
      </c>
    </row>
    <row r="66" customFormat="false" ht="15" hidden="false" customHeight="false" outlineLevel="0" collapsed="false">
      <c r="A66" s="0" t="s">
        <v>233</v>
      </c>
      <c r="B66" s="0" t="s">
        <v>234</v>
      </c>
      <c r="C66" s="0" t="n">
        <v>30</v>
      </c>
      <c r="D66" s="0" t="n">
        <v>6.263</v>
      </c>
      <c r="E66" s="0" t="n">
        <v>5</v>
      </c>
      <c r="F66" s="0" t="s">
        <v>189</v>
      </c>
      <c r="G66" s="0" t="n">
        <v>16</v>
      </c>
      <c r="H66" s="0" t="n">
        <v>770.28</v>
      </c>
      <c r="I66" s="0" t="s">
        <v>235</v>
      </c>
      <c r="J66" s="0" t="s">
        <v>236</v>
      </c>
      <c r="K66" s="0" t="s">
        <v>66</v>
      </c>
    </row>
    <row r="67" customFormat="false" ht="15" hidden="false" customHeight="false" outlineLevel="0" collapsed="false">
      <c r="A67" s="0" t="s">
        <v>237</v>
      </c>
      <c r="B67" s="0" t="s">
        <v>238</v>
      </c>
      <c r="C67" s="0" t="n">
        <v>15</v>
      </c>
      <c r="D67" s="0" t="n">
        <v>7.333</v>
      </c>
      <c r="E67" s="0" t="n">
        <v>5</v>
      </c>
      <c r="F67" s="0" t="s">
        <v>189</v>
      </c>
      <c r="G67" s="0" t="n">
        <v>16</v>
      </c>
      <c r="H67" s="0" t="n">
        <v>449.38</v>
      </c>
      <c r="I67" s="0" t="s">
        <v>239</v>
      </c>
      <c r="J67" s="0" t="s">
        <v>236</v>
      </c>
      <c r="K67" s="0" t="s">
        <v>66</v>
      </c>
    </row>
    <row r="68" customFormat="false" ht="15" hidden="false" customHeight="false" outlineLevel="0" collapsed="false">
      <c r="A68" s="5" t="s">
        <v>240</v>
      </c>
    </row>
    <row r="69" customFormat="false" ht="15" hidden="false" customHeight="false" outlineLevel="0" collapsed="false">
      <c r="A69" s="0" t="s">
        <v>241</v>
      </c>
      <c r="B69" s="0" t="s">
        <v>242</v>
      </c>
      <c r="C69" s="0" t="n">
        <v>13.187</v>
      </c>
      <c r="D69" s="0" t="n">
        <v>14.358</v>
      </c>
      <c r="E69" s="0" t="n">
        <v>1</v>
      </c>
      <c r="F69" s="0" t="s">
        <v>105</v>
      </c>
      <c r="G69" s="0" t="n">
        <v>16</v>
      </c>
      <c r="H69" s="0" t="n">
        <v>202.75</v>
      </c>
      <c r="I69" s="0" t="s">
        <v>243</v>
      </c>
      <c r="J69" s="0" t="s">
        <v>244</v>
      </c>
      <c r="K69" s="0" t="s">
        <v>66</v>
      </c>
    </row>
    <row r="70" customFormat="false" ht="15" hidden="false" customHeight="false" outlineLevel="0" collapsed="false">
      <c r="A70" s="0" t="s">
        <v>245</v>
      </c>
      <c r="B70" s="0" t="s">
        <v>246</v>
      </c>
      <c r="C70" s="0" t="n">
        <v>75.44</v>
      </c>
      <c r="D70" s="0" t="n">
        <v>13.549</v>
      </c>
      <c r="E70" s="0" t="n">
        <v>1</v>
      </c>
      <c r="F70" s="0" t="s">
        <v>105</v>
      </c>
      <c r="G70" s="0" t="n">
        <v>16</v>
      </c>
      <c r="H70" s="0" t="n">
        <v>1037.97</v>
      </c>
      <c r="I70" s="0" t="s">
        <v>247</v>
      </c>
      <c r="J70" s="0" t="s">
        <v>244</v>
      </c>
      <c r="K70" s="0" t="s">
        <v>66</v>
      </c>
    </row>
    <row r="71" customFormat="false" ht="15" hidden="false" customHeight="false" outlineLevel="0" collapsed="false">
      <c r="A71" s="0" t="s">
        <v>248</v>
      </c>
      <c r="B71" s="0" t="s">
        <v>249</v>
      </c>
      <c r="C71" s="0" t="n">
        <v>52.834</v>
      </c>
      <c r="D71" s="0" t="n">
        <v>11.171</v>
      </c>
      <c r="E71" s="0" t="n">
        <v>1</v>
      </c>
      <c r="F71" s="0" t="s">
        <v>105</v>
      </c>
      <c r="G71" s="0" t="n">
        <v>16</v>
      </c>
      <c r="H71" s="0" t="n">
        <v>634.86</v>
      </c>
      <c r="I71" s="0" t="s">
        <v>250</v>
      </c>
      <c r="J71" s="0" t="s">
        <v>244</v>
      </c>
      <c r="K71" s="0" t="s">
        <v>66</v>
      </c>
    </row>
    <row r="72" customFormat="false" ht="15" hidden="false" customHeight="false" outlineLevel="0" collapsed="false">
      <c r="A72" s="0" t="s">
        <v>251</v>
      </c>
      <c r="B72" s="0" t="s">
        <v>252</v>
      </c>
      <c r="C72" s="0" t="n">
        <v>47.427</v>
      </c>
      <c r="D72" s="0" t="n">
        <v>13.071</v>
      </c>
      <c r="E72" s="0" t="n">
        <v>1</v>
      </c>
      <c r="F72" s="0" t="s">
        <v>105</v>
      </c>
      <c r="G72" s="0" t="n">
        <v>16</v>
      </c>
      <c r="H72" s="0" t="n">
        <v>639.27</v>
      </c>
      <c r="I72" s="0" t="s">
        <v>253</v>
      </c>
      <c r="J72" s="0" t="s">
        <v>244</v>
      </c>
      <c r="K72" s="0" t="s">
        <v>66</v>
      </c>
    </row>
    <row r="73" customFormat="false" ht="15" hidden="false" customHeight="false" outlineLevel="0" collapsed="false">
      <c r="A73" s="0" t="s">
        <v>254</v>
      </c>
      <c r="B73" s="0" t="s">
        <v>255</v>
      </c>
      <c r="C73" s="0" t="n">
        <v>3.86</v>
      </c>
      <c r="D73" s="0" t="n">
        <v>14.358</v>
      </c>
      <c r="E73" s="0" t="n">
        <v>1</v>
      </c>
      <c r="F73" s="0" t="s">
        <v>105</v>
      </c>
      <c r="G73" s="0" t="n">
        <v>16</v>
      </c>
      <c r="H73" s="0" t="n">
        <v>59.35</v>
      </c>
      <c r="I73" s="0" t="s">
        <v>256</v>
      </c>
      <c r="J73" s="0" t="s">
        <v>244</v>
      </c>
      <c r="K73" s="0" t="s">
        <v>66</v>
      </c>
    </row>
    <row r="74" customFormat="false" ht="15" hidden="false" customHeight="false" outlineLevel="0" collapsed="false">
      <c r="A74" s="0" t="s">
        <v>257</v>
      </c>
      <c r="B74" s="0" t="s">
        <v>258</v>
      </c>
      <c r="C74" s="0" t="n">
        <v>21.462</v>
      </c>
      <c r="D74" s="0" t="n">
        <v>14.358</v>
      </c>
      <c r="E74" s="0" t="n">
        <v>1</v>
      </c>
      <c r="F74" s="0" t="s">
        <v>105</v>
      </c>
      <c r="G74" s="0" t="n">
        <v>16</v>
      </c>
      <c r="H74" s="0" t="n">
        <v>321.54</v>
      </c>
      <c r="I74" s="0" t="s">
        <v>259</v>
      </c>
      <c r="J74" s="0" t="s">
        <v>244</v>
      </c>
      <c r="K74" s="0" t="s">
        <v>66</v>
      </c>
    </row>
    <row r="75" customFormat="false" ht="15" hidden="false" customHeight="false" outlineLevel="0" collapsed="false">
      <c r="A75" s="0" t="s">
        <v>260</v>
      </c>
      <c r="B75" s="0" t="s">
        <v>261</v>
      </c>
      <c r="C75" s="0" t="n">
        <v>4.542</v>
      </c>
      <c r="D75" s="0" t="n">
        <v>14.358</v>
      </c>
      <c r="E75" s="0" t="n">
        <v>0</v>
      </c>
      <c r="F75" s="0" t="s">
        <v>262</v>
      </c>
      <c r="G75" s="0" t="n">
        <v>16</v>
      </c>
      <c r="H75" s="0" t="n">
        <v>0</v>
      </c>
      <c r="I75" s="0" t="s">
        <v>261</v>
      </c>
      <c r="J75" s="0" t="s">
        <v>263</v>
      </c>
      <c r="K75" s="0" t="s">
        <v>66</v>
      </c>
    </row>
    <row r="76" customFormat="false" ht="15" hidden="false" customHeight="false" outlineLevel="0" collapsed="false">
      <c r="A76" s="0" t="s">
        <v>264</v>
      </c>
      <c r="B76" s="0" t="s">
        <v>265</v>
      </c>
      <c r="C76" s="0" t="n">
        <v>3.984</v>
      </c>
      <c r="D76" s="0" t="n">
        <v>14.358</v>
      </c>
      <c r="E76" s="0" t="n">
        <v>0</v>
      </c>
      <c r="F76" s="0" t="s">
        <v>262</v>
      </c>
      <c r="G76" s="0" t="n">
        <v>16</v>
      </c>
      <c r="H76" s="0" t="n">
        <v>0</v>
      </c>
      <c r="I76" s="0" t="s">
        <v>265</v>
      </c>
      <c r="J76" s="0" t="s">
        <v>266</v>
      </c>
      <c r="K76" s="0" t="s">
        <v>66</v>
      </c>
    </row>
    <row r="77" customFormat="false" ht="15" hidden="false" customHeight="false" outlineLevel="0" collapsed="false">
      <c r="A77" s="5" t="s">
        <v>267</v>
      </c>
    </row>
    <row r="78" customFormat="false" ht="15" hidden="false" customHeight="false" outlineLevel="0" collapsed="false">
      <c r="A78" s="0" t="s">
        <v>268</v>
      </c>
      <c r="B78" s="0" t="s">
        <v>269</v>
      </c>
      <c r="C78" s="0" t="n">
        <v>5.668</v>
      </c>
      <c r="D78" s="0" t="n">
        <v>10.5</v>
      </c>
      <c r="E78" s="0" t="n">
        <v>0</v>
      </c>
      <c r="F78" s="0" t="s">
        <v>63</v>
      </c>
      <c r="G78" s="0" t="n">
        <v>16</v>
      </c>
      <c r="H78" s="0" t="n">
        <v>0</v>
      </c>
      <c r="I78" s="0" t="s">
        <v>270</v>
      </c>
      <c r="J78" s="0" t="s">
        <v>271</v>
      </c>
      <c r="K78" s="0" t="s">
        <v>66</v>
      </c>
    </row>
    <row r="79" customFormat="false" ht="15" hidden="false" customHeight="false" outlineLevel="0" collapsed="false">
      <c r="A79" s="0" t="s">
        <v>272</v>
      </c>
      <c r="B79" s="0" t="s">
        <v>273</v>
      </c>
      <c r="C79" s="0" t="n">
        <v>5.668</v>
      </c>
      <c r="D79" s="0" t="n">
        <v>10.5</v>
      </c>
      <c r="E79" s="0" t="n">
        <v>0</v>
      </c>
      <c r="F79" s="0" t="s">
        <v>63</v>
      </c>
      <c r="G79" s="0" t="n">
        <v>16</v>
      </c>
      <c r="H79" s="0" t="n">
        <v>0</v>
      </c>
      <c r="I79" s="0" t="s">
        <v>274</v>
      </c>
      <c r="J79" s="0" t="s">
        <v>271</v>
      </c>
      <c r="K79" s="0" t="s">
        <v>66</v>
      </c>
    </row>
    <row r="80" customFormat="false" ht="15" hidden="false" customHeight="false" outlineLevel="0" collapsed="false">
      <c r="A80" s="0" t="s">
        <v>275</v>
      </c>
      <c r="B80" s="0" t="s">
        <v>276</v>
      </c>
      <c r="C80" s="0" t="n">
        <v>5.668</v>
      </c>
      <c r="D80" s="0" t="n">
        <v>10.5</v>
      </c>
      <c r="E80" s="0" t="n">
        <v>0</v>
      </c>
      <c r="F80" s="0" t="s">
        <v>63</v>
      </c>
      <c r="G80" s="0" t="n">
        <v>16</v>
      </c>
      <c r="H80" s="0" t="n">
        <v>0</v>
      </c>
      <c r="I80" s="0" t="s">
        <v>277</v>
      </c>
      <c r="J80" s="0" t="s">
        <v>271</v>
      </c>
      <c r="K80" s="0" t="s">
        <v>66</v>
      </c>
    </row>
    <row r="81" customFormat="false" ht="15" hidden="false" customHeight="false" outlineLevel="0" collapsed="false">
      <c r="A81" s="0" t="s">
        <v>278</v>
      </c>
      <c r="B81" s="0" t="s">
        <v>279</v>
      </c>
      <c r="C81" s="0" t="n">
        <v>5.668</v>
      </c>
      <c r="D81" s="0" t="n">
        <v>10.5</v>
      </c>
      <c r="E81" s="0" t="n">
        <v>0</v>
      </c>
      <c r="F81" s="0" t="s">
        <v>63</v>
      </c>
      <c r="G81" s="0" t="n">
        <v>16</v>
      </c>
      <c r="H81" s="0" t="n">
        <v>0</v>
      </c>
      <c r="I81" s="0" t="s">
        <v>280</v>
      </c>
      <c r="J81" s="0" t="s">
        <v>271</v>
      </c>
      <c r="K81" s="0" t="s">
        <v>66</v>
      </c>
    </row>
    <row r="82" customFormat="false" ht="15" hidden="false" customHeight="false" outlineLevel="0" collapsed="false">
      <c r="A82" s="5" t="s">
        <v>281</v>
      </c>
    </row>
    <row r="83" customFormat="false" ht="15" hidden="false" customHeight="false" outlineLevel="0" collapsed="false">
      <c r="A83" s="0" t="s">
        <v>282</v>
      </c>
      <c r="B83" s="0" t="s">
        <v>283</v>
      </c>
      <c r="C83" s="0" t="n">
        <v>16.82</v>
      </c>
      <c r="D83" s="0" t="n">
        <v>4.292</v>
      </c>
      <c r="E83" s="0" t="n">
        <v>0</v>
      </c>
      <c r="F83" s="0" t="s">
        <v>284</v>
      </c>
      <c r="G83" s="0" t="n">
        <v>16</v>
      </c>
      <c r="H83" s="0" t="n">
        <v>0</v>
      </c>
      <c r="I83" s="0" t="s">
        <v>285</v>
      </c>
      <c r="J83" s="0" t="s">
        <v>286</v>
      </c>
      <c r="K83" s="0" t="s">
        <v>66</v>
      </c>
    </row>
    <row r="84" customFormat="false" ht="15" hidden="false" customHeight="false" outlineLevel="0" collapsed="false">
      <c r="A84" s="0" t="s">
        <v>287</v>
      </c>
      <c r="B84" s="0" t="s">
        <v>288</v>
      </c>
      <c r="C84" s="0" t="n">
        <v>3.678</v>
      </c>
      <c r="D84" s="0" t="n">
        <v>4.292</v>
      </c>
      <c r="E84" s="0" t="n">
        <v>0</v>
      </c>
      <c r="F84" s="0" t="s">
        <v>284</v>
      </c>
      <c r="G84" s="0" t="n">
        <v>16</v>
      </c>
      <c r="H84" s="0" t="n">
        <v>0</v>
      </c>
      <c r="I84" s="0" t="s">
        <v>289</v>
      </c>
      <c r="J84" s="0" t="s">
        <v>290</v>
      </c>
      <c r="K84" s="0" t="s">
        <v>66</v>
      </c>
    </row>
    <row r="85" customFormat="false" ht="15" hidden="false" customHeight="false" outlineLevel="0" collapsed="false">
      <c r="A85" s="0" t="s">
        <v>291</v>
      </c>
      <c r="B85" s="0" t="s">
        <v>292</v>
      </c>
      <c r="C85" s="0" t="n">
        <v>39.873</v>
      </c>
      <c r="D85" s="0" t="n">
        <v>2.042</v>
      </c>
      <c r="E85" s="0" t="n">
        <v>0</v>
      </c>
      <c r="F85" s="0" t="s">
        <v>284</v>
      </c>
      <c r="G85" s="0" t="n">
        <v>16</v>
      </c>
      <c r="H85" s="0" t="n">
        <v>0</v>
      </c>
      <c r="I85" s="0" t="s">
        <v>293</v>
      </c>
      <c r="J85" s="0" t="s">
        <v>286</v>
      </c>
      <c r="K85" s="0" t="s">
        <v>66</v>
      </c>
    </row>
    <row r="86" customFormat="false" ht="15" hidden="false" customHeight="false" outlineLevel="0" collapsed="false">
      <c r="A86" s="0" t="s">
        <v>294</v>
      </c>
      <c r="B86" s="0" t="s">
        <v>295</v>
      </c>
      <c r="C86" s="0" t="n">
        <v>75.44</v>
      </c>
      <c r="D86" s="0" t="n">
        <v>2.981</v>
      </c>
      <c r="E86" s="0" t="n">
        <v>0</v>
      </c>
      <c r="F86" s="0" t="s">
        <v>284</v>
      </c>
      <c r="G86" s="0" t="n">
        <v>16</v>
      </c>
      <c r="H86" s="0" t="n">
        <v>0</v>
      </c>
      <c r="I86" s="0" t="s">
        <v>296</v>
      </c>
      <c r="J86" s="0" t="s">
        <v>286</v>
      </c>
      <c r="K86" s="0" t="s">
        <v>66</v>
      </c>
    </row>
    <row r="87" customFormat="false" ht="15" hidden="false" customHeight="false" outlineLevel="0" collapsed="false">
      <c r="A87" s="0" t="s">
        <v>297</v>
      </c>
      <c r="B87" s="0" t="s">
        <v>298</v>
      </c>
      <c r="C87" s="0" t="n">
        <v>52.833</v>
      </c>
      <c r="D87" s="0" t="n">
        <v>4.885</v>
      </c>
      <c r="E87" s="0" t="n">
        <v>0</v>
      </c>
      <c r="F87" s="0" t="s">
        <v>284</v>
      </c>
      <c r="G87" s="0" t="n">
        <v>16</v>
      </c>
      <c r="H87" s="0" t="n">
        <v>0</v>
      </c>
      <c r="I87" s="0" t="s">
        <v>299</v>
      </c>
      <c r="J87" s="0" t="s">
        <v>286</v>
      </c>
      <c r="K87" s="0" t="s">
        <v>66</v>
      </c>
    </row>
    <row r="88" customFormat="false" ht="15" hidden="false" customHeight="false" outlineLevel="0" collapsed="false">
      <c r="A88" s="0" t="s">
        <v>300</v>
      </c>
      <c r="B88" s="0" t="s">
        <v>301</v>
      </c>
      <c r="C88" s="0" t="n">
        <v>47.427</v>
      </c>
      <c r="D88" s="0" t="n">
        <v>3.535</v>
      </c>
      <c r="E88" s="0" t="n">
        <v>0</v>
      </c>
      <c r="F88" s="0" t="s">
        <v>284</v>
      </c>
      <c r="G88" s="0" t="n">
        <v>16</v>
      </c>
      <c r="H88" s="0" t="n">
        <v>0</v>
      </c>
      <c r="I88" s="0" t="s">
        <v>302</v>
      </c>
      <c r="J88" s="0" t="s">
        <v>286</v>
      </c>
      <c r="K88" s="0" t="s">
        <v>66</v>
      </c>
    </row>
    <row r="89" customFormat="false" ht="15" hidden="false" customHeight="false" outlineLevel="0" collapsed="false">
      <c r="A89" s="0" t="s">
        <v>303</v>
      </c>
      <c r="B89" s="0" t="s">
        <v>304</v>
      </c>
      <c r="C89" s="0" t="n">
        <v>3.86</v>
      </c>
      <c r="D89" s="0" t="n">
        <v>4.292</v>
      </c>
      <c r="E89" s="0" t="n">
        <v>0</v>
      </c>
      <c r="F89" s="0" t="s">
        <v>284</v>
      </c>
      <c r="G89" s="0" t="n">
        <v>16</v>
      </c>
      <c r="H89" s="0" t="n">
        <v>0</v>
      </c>
      <c r="I89" s="0" t="s">
        <v>305</v>
      </c>
      <c r="J89" s="0" t="s">
        <v>286</v>
      </c>
      <c r="K89" s="0" t="s">
        <v>66</v>
      </c>
    </row>
    <row r="90" customFormat="false" ht="15" hidden="false" customHeight="false" outlineLevel="0" collapsed="false">
      <c r="A90" s="0" t="s">
        <v>306</v>
      </c>
      <c r="B90" s="0" t="s">
        <v>307</v>
      </c>
      <c r="C90" s="0" t="n">
        <v>29.007</v>
      </c>
      <c r="D90" s="0" t="n">
        <v>4.292</v>
      </c>
      <c r="E90" s="0" t="n">
        <v>0</v>
      </c>
      <c r="F90" s="0" t="s">
        <v>284</v>
      </c>
      <c r="G90" s="0" t="n">
        <v>16</v>
      </c>
      <c r="H90" s="0" t="n">
        <v>0</v>
      </c>
      <c r="I90" s="0" t="s">
        <v>308</v>
      </c>
      <c r="J90" s="0" t="s">
        <v>286</v>
      </c>
      <c r="K90" s="0" t="s">
        <v>66</v>
      </c>
    </row>
    <row r="91" customFormat="false" ht="15" hidden="false" customHeight="false" outlineLevel="0" collapsed="false">
      <c r="B91" s="6" t="s">
        <v>309</v>
      </c>
      <c r="C91" s="4" t="n">
        <f aca="false">SUM(C5:C90)</f>
        <v>965.069</v>
      </c>
      <c r="H91" s="4" t="n">
        <f aca="false">SUM(H5:H90)</f>
        <v>15822.36</v>
      </c>
    </row>
    <row r="93" customFormat="false" ht="15" hidden="false" customHeight="false" outlineLevel="0" collapsed="false">
      <c r="A93" s="5" t="s">
        <v>310</v>
      </c>
    </row>
    <row r="94" customFormat="false" ht="15" hidden="false" customHeight="false" outlineLevel="0" collapsed="false">
      <c r="A94" s="0" t="s">
        <v>311</v>
      </c>
      <c r="B94" s="0" t="s">
        <v>312</v>
      </c>
      <c r="C94" s="0" t="n">
        <v>12.562</v>
      </c>
      <c r="D94" s="0" t="n">
        <v>4.983</v>
      </c>
      <c r="E94" s="0" t="n">
        <v>1</v>
      </c>
      <c r="F94" s="0" t="s">
        <v>105</v>
      </c>
      <c r="G94" s="0" t="n">
        <v>16</v>
      </c>
      <c r="H94" s="0" t="n">
        <v>86.36</v>
      </c>
      <c r="I94" s="0" t="s">
        <v>313</v>
      </c>
      <c r="J94" s="0" t="s">
        <v>314</v>
      </c>
      <c r="K94" s="0" t="s">
        <v>66</v>
      </c>
    </row>
    <row r="95" customFormat="false" ht="15" hidden="false" customHeight="false" outlineLevel="0" collapsed="false">
      <c r="A95" s="0" t="s">
        <v>315</v>
      </c>
      <c r="B95" s="0" t="s">
        <v>316</v>
      </c>
      <c r="C95" s="0" t="n">
        <v>26.25</v>
      </c>
      <c r="D95" s="0" t="n">
        <v>4.525</v>
      </c>
      <c r="E95" s="0" t="n">
        <v>1</v>
      </c>
      <c r="F95" s="0" t="s">
        <v>105</v>
      </c>
      <c r="G95" s="0" t="n">
        <v>16</v>
      </c>
      <c r="H95" s="0" t="n">
        <v>180.47</v>
      </c>
      <c r="I95" s="0" t="s">
        <v>317</v>
      </c>
      <c r="J95" s="0" t="s">
        <v>314</v>
      </c>
      <c r="K95" s="0" t="s">
        <v>66</v>
      </c>
    </row>
    <row r="96" customFormat="false" ht="15" hidden="false" customHeight="false" outlineLevel="0" collapsed="false">
      <c r="A96" s="0" t="s">
        <v>318</v>
      </c>
      <c r="B96" s="0" t="s">
        <v>319</v>
      </c>
      <c r="C96" s="0" t="n">
        <v>6.5</v>
      </c>
      <c r="D96" s="0" t="n">
        <v>4.692</v>
      </c>
      <c r="E96" s="0" t="n">
        <v>1</v>
      </c>
      <c r="F96" s="0" t="s">
        <v>105</v>
      </c>
      <c r="G96" s="0" t="n">
        <v>16</v>
      </c>
      <c r="H96" s="0" t="n">
        <v>44.69</v>
      </c>
      <c r="I96" s="0" t="s">
        <v>320</v>
      </c>
      <c r="J96" s="0" t="s">
        <v>314</v>
      </c>
      <c r="K96" s="0" t="s">
        <v>66</v>
      </c>
    </row>
    <row r="97" customFormat="false" ht="15" hidden="false" customHeight="false" outlineLevel="0" collapsed="false">
      <c r="A97" s="0" t="s">
        <v>321</v>
      </c>
      <c r="B97" s="0" t="s">
        <v>322</v>
      </c>
      <c r="C97" s="0" t="n">
        <v>78.167</v>
      </c>
      <c r="D97" s="0" t="n">
        <v>1.979</v>
      </c>
      <c r="E97" s="0" t="n">
        <v>0</v>
      </c>
      <c r="F97" s="0" t="s">
        <v>63</v>
      </c>
      <c r="G97" s="0" t="n">
        <v>16</v>
      </c>
      <c r="H97" s="0" t="n">
        <v>0</v>
      </c>
      <c r="I97" s="0" t="s">
        <v>323</v>
      </c>
      <c r="J97" s="0" t="s">
        <v>324</v>
      </c>
      <c r="K97" s="0" t="s">
        <v>66</v>
      </c>
    </row>
    <row r="98" customFormat="false" ht="15" hidden="false" customHeight="false" outlineLevel="0" collapsed="false">
      <c r="A98" s="0" t="s">
        <v>325</v>
      </c>
      <c r="B98" s="0" t="s">
        <v>326</v>
      </c>
      <c r="C98" s="0" t="n">
        <v>55.896</v>
      </c>
      <c r="D98" s="0" t="n">
        <v>1.979</v>
      </c>
      <c r="E98" s="0" t="n">
        <v>0</v>
      </c>
      <c r="F98" s="0" t="s">
        <v>63</v>
      </c>
      <c r="G98" s="0" t="n">
        <v>16</v>
      </c>
      <c r="H98" s="0" t="n">
        <v>0</v>
      </c>
      <c r="I98" s="0" t="s">
        <v>327</v>
      </c>
      <c r="J98" s="0" t="s">
        <v>328</v>
      </c>
      <c r="K98" s="0" t="s">
        <v>66</v>
      </c>
    </row>
    <row r="99" customFormat="false" ht="15" hidden="false" customHeight="false" outlineLevel="0" collapsed="false">
      <c r="A99" s="0" t="s">
        <v>329</v>
      </c>
      <c r="B99" s="0" t="s">
        <v>330</v>
      </c>
      <c r="C99" s="0" t="n">
        <v>21.5</v>
      </c>
      <c r="D99" s="0" t="n">
        <v>1.979</v>
      </c>
      <c r="E99" s="0" t="n">
        <v>0</v>
      </c>
      <c r="F99" s="0" t="s">
        <v>63</v>
      </c>
      <c r="G99" s="0" t="n">
        <v>16</v>
      </c>
      <c r="H99" s="0" t="n">
        <v>0</v>
      </c>
      <c r="I99" s="0" t="s">
        <v>331</v>
      </c>
      <c r="J99" s="0" t="s">
        <v>328</v>
      </c>
      <c r="K99" s="0" t="s">
        <v>66</v>
      </c>
    </row>
    <row r="100" customFormat="false" ht="15" hidden="false" customHeight="false" outlineLevel="0" collapsed="false">
      <c r="A100" s="0" t="s">
        <v>332</v>
      </c>
      <c r="B100" s="0" t="s">
        <v>333</v>
      </c>
      <c r="C100" s="0" t="n">
        <v>29</v>
      </c>
      <c r="D100" s="0" t="n">
        <v>1.979</v>
      </c>
      <c r="E100" s="0" t="n">
        <v>0</v>
      </c>
      <c r="F100" s="0" t="s">
        <v>63</v>
      </c>
      <c r="G100" s="0" t="n">
        <v>16</v>
      </c>
      <c r="H100" s="0" t="n">
        <v>0</v>
      </c>
      <c r="I100" s="0" t="s">
        <v>334</v>
      </c>
      <c r="J100" s="0" t="s">
        <v>335</v>
      </c>
      <c r="K100" s="0" t="s">
        <v>66</v>
      </c>
    </row>
    <row r="101" customFormat="false" ht="15" hidden="false" customHeight="false" outlineLevel="0" collapsed="false">
      <c r="A101" s="0" t="s">
        <v>336</v>
      </c>
      <c r="B101" s="0" t="s">
        <v>337</v>
      </c>
      <c r="C101" s="0" t="n">
        <v>56.25</v>
      </c>
      <c r="D101" s="0" t="n">
        <v>1.979</v>
      </c>
      <c r="E101" s="0" t="n">
        <v>0</v>
      </c>
      <c r="F101" s="0" t="s">
        <v>63</v>
      </c>
      <c r="G101" s="0" t="n">
        <v>16</v>
      </c>
      <c r="H101" s="0" t="n">
        <v>0</v>
      </c>
      <c r="I101" s="0" t="s">
        <v>338</v>
      </c>
      <c r="J101" s="0" t="s">
        <v>339</v>
      </c>
      <c r="K101" s="0" t="s">
        <v>66</v>
      </c>
    </row>
    <row r="102" customFormat="false" ht="15" hidden="false" customHeight="false" outlineLevel="0" collapsed="false">
      <c r="A102" s="0" t="s">
        <v>340</v>
      </c>
      <c r="B102" s="0" t="s">
        <v>341</v>
      </c>
      <c r="C102" s="0" t="n">
        <v>17.028</v>
      </c>
      <c r="D102" s="0" t="n">
        <v>4.375</v>
      </c>
      <c r="E102" s="0" t="n">
        <v>1</v>
      </c>
      <c r="F102" s="0" t="s">
        <v>63</v>
      </c>
      <c r="G102" s="0" t="n">
        <v>16</v>
      </c>
      <c r="H102" s="0" t="n">
        <v>17.03</v>
      </c>
      <c r="I102" s="0" t="s">
        <v>342</v>
      </c>
      <c r="J102" s="0" t="s">
        <v>343</v>
      </c>
      <c r="K102" s="0" t="s">
        <v>66</v>
      </c>
    </row>
    <row r="103" customFormat="false" ht="15" hidden="false" customHeight="false" outlineLevel="0" collapsed="false">
      <c r="A103" s="0" t="s">
        <v>344</v>
      </c>
      <c r="B103" s="0" t="s">
        <v>345</v>
      </c>
      <c r="C103" s="0" t="n">
        <v>30</v>
      </c>
      <c r="D103" s="0" t="n">
        <v>4.375</v>
      </c>
      <c r="E103" s="0" t="n">
        <v>1</v>
      </c>
      <c r="F103" s="0" t="s">
        <v>63</v>
      </c>
      <c r="G103" s="0" t="n">
        <v>16</v>
      </c>
      <c r="H103" s="0" t="n">
        <v>30</v>
      </c>
      <c r="I103" s="0" t="s">
        <v>346</v>
      </c>
      <c r="J103" s="0" t="s">
        <v>343</v>
      </c>
      <c r="K103" s="0" t="s">
        <v>66</v>
      </c>
    </row>
    <row r="104" customFormat="false" ht="15" hidden="false" customHeight="false" outlineLevel="0" collapsed="false">
      <c r="A104" s="0" t="s">
        <v>347</v>
      </c>
      <c r="B104" s="0" t="s">
        <v>348</v>
      </c>
      <c r="C104" s="0" t="n">
        <v>30</v>
      </c>
      <c r="D104" s="0" t="n">
        <v>4.375</v>
      </c>
      <c r="E104" s="0" t="n">
        <v>1</v>
      </c>
      <c r="F104" s="0" t="s">
        <v>63</v>
      </c>
      <c r="G104" s="0" t="n">
        <v>16</v>
      </c>
      <c r="H104" s="0" t="n">
        <v>30</v>
      </c>
      <c r="I104" s="0" t="s">
        <v>349</v>
      </c>
      <c r="J104" s="0" t="s">
        <v>343</v>
      </c>
      <c r="K104" s="0" t="s">
        <v>66</v>
      </c>
    </row>
    <row r="105" customFormat="false" ht="15" hidden="false" customHeight="false" outlineLevel="0" collapsed="false">
      <c r="A105" s="0" t="s">
        <v>350</v>
      </c>
      <c r="B105" s="0" t="s">
        <v>351</v>
      </c>
      <c r="C105" s="0" t="n">
        <v>6.55</v>
      </c>
      <c r="D105" s="0" t="n">
        <v>7.375</v>
      </c>
      <c r="E105" s="0" t="n">
        <v>1</v>
      </c>
      <c r="F105" s="0" t="s">
        <v>63</v>
      </c>
      <c r="G105" s="0" t="n">
        <v>16</v>
      </c>
      <c r="H105" s="0" t="n">
        <v>9.82</v>
      </c>
      <c r="I105" s="0" t="s">
        <v>352</v>
      </c>
      <c r="J105" s="0" t="s">
        <v>353</v>
      </c>
      <c r="K105" s="0" t="s">
        <v>66</v>
      </c>
    </row>
    <row r="106" customFormat="false" ht="15" hidden="false" customHeight="false" outlineLevel="0" collapsed="false">
      <c r="A106" s="0" t="s">
        <v>354</v>
      </c>
      <c r="B106" s="0" t="s">
        <v>355</v>
      </c>
      <c r="C106" s="0" t="n">
        <v>5.471</v>
      </c>
      <c r="D106" s="0" t="n">
        <v>5.05</v>
      </c>
      <c r="E106" s="0" t="n">
        <v>1</v>
      </c>
      <c r="F106" s="0" t="s">
        <v>63</v>
      </c>
      <c r="G106" s="0" t="n">
        <v>16</v>
      </c>
      <c r="H106" s="0" t="n">
        <v>8.21</v>
      </c>
      <c r="I106" s="0" t="s">
        <v>356</v>
      </c>
      <c r="J106" s="0" t="s">
        <v>353</v>
      </c>
      <c r="K106" s="0" t="s">
        <v>66</v>
      </c>
    </row>
    <row r="107" customFormat="false" ht="15" hidden="false" customHeight="false" outlineLevel="0" collapsed="false">
      <c r="A107" s="0" t="s">
        <v>357</v>
      </c>
      <c r="B107" s="0" t="s">
        <v>358</v>
      </c>
      <c r="C107" s="0" t="n">
        <v>6.55</v>
      </c>
      <c r="D107" s="0" t="n">
        <v>7.375</v>
      </c>
      <c r="E107" s="0" t="n">
        <v>1</v>
      </c>
      <c r="F107" s="0" t="s">
        <v>63</v>
      </c>
      <c r="G107" s="0" t="n">
        <v>16</v>
      </c>
      <c r="H107" s="0" t="n">
        <v>9.82</v>
      </c>
      <c r="I107" s="0" t="s">
        <v>359</v>
      </c>
      <c r="J107" s="0" t="s">
        <v>353</v>
      </c>
      <c r="K107" s="0" t="s">
        <v>66</v>
      </c>
    </row>
    <row r="108" customFormat="false" ht="15" hidden="false" customHeight="false" outlineLevel="0" collapsed="false">
      <c r="A108" s="0" t="s">
        <v>360</v>
      </c>
      <c r="B108" s="0" t="s">
        <v>361</v>
      </c>
      <c r="C108" s="0" t="n">
        <v>5.471</v>
      </c>
      <c r="D108" s="0" t="n">
        <v>5.05</v>
      </c>
      <c r="E108" s="0" t="n">
        <v>1</v>
      </c>
      <c r="F108" s="0" t="s">
        <v>63</v>
      </c>
      <c r="G108" s="0" t="n">
        <v>16</v>
      </c>
      <c r="H108" s="0" t="n">
        <v>8.21</v>
      </c>
      <c r="I108" s="0" t="s">
        <v>362</v>
      </c>
      <c r="J108" s="0" t="s">
        <v>353</v>
      </c>
      <c r="K108" s="0" t="s">
        <v>66</v>
      </c>
    </row>
    <row r="109" customFormat="false" ht="15" hidden="false" customHeight="false" outlineLevel="0" collapsed="false">
      <c r="A109" s="0" t="s">
        <v>363</v>
      </c>
      <c r="B109" s="0" t="s">
        <v>364</v>
      </c>
      <c r="C109" s="0" t="n">
        <v>15.646</v>
      </c>
      <c r="D109" s="0" t="n">
        <v>5.375</v>
      </c>
      <c r="E109" s="0" t="n">
        <v>0</v>
      </c>
      <c r="F109" s="0" t="s">
        <v>63</v>
      </c>
      <c r="G109" s="0" t="n">
        <v>16</v>
      </c>
      <c r="H109" s="0" t="n">
        <v>0</v>
      </c>
      <c r="I109" s="0" t="s">
        <v>365</v>
      </c>
      <c r="J109" s="0" t="s">
        <v>366</v>
      </c>
      <c r="K109" s="0" t="s">
        <v>66</v>
      </c>
    </row>
    <row r="110" customFormat="false" ht="15" hidden="false" customHeight="false" outlineLevel="0" collapsed="false">
      <c r="A110" s="0" t="s">
        <v>367</v>
      </c>
      <c r="B110" s="0" t="s">
        <v>368</v>
      </c>
      <c r="C110" s="0" t="n">
        <v>6.417</v>
      </c>
      <c r="D110" s="0" t="n">
        <v>4.383</v>
      </c>
      <c r="E110" s="0" t="n">
        <v>1</v>
      </c>
      <c r="F110" s="0" t="s">
        <v>63</v>
      </c>
      <c r="G110" s="0" t="n">
        <v>16</v>
      </c>
      <c r="H110" s="0" t="n">
        <v>9.63</v>
      </c>
      <c r="I110" s="0" t="s">
        <v>369</v>
      </c>
      <c r="J110" s="0" t="s">
        <v>370</v>
      </c>
      <c r="K110" s="0" t="s">
        <v>66</v>
      </c>
    </row>
    <row r="111" customFormat="false" ht="15" hidden="false" customHeight="false" outlineLevel="0" collapsed="false">
      <c r="A111" s="0" t="s">
        <v>371</v>
      </c>
      <c r="B111" s="0" t="s">
        <v>372</v>
      </c>
      <c r="C111" s="0" t="n">
        <v>13.333</v>
      </c>
      <c r="D111" s="0" t="n">
        <v>2</v>
      </c>
      <c r="E111" s="0" t="n">
        <v>2</v>
      </c>
      <c r="F111" s="0" t="s">
        <v>373</v>
      </c>
      <c r="G111" s="0" t="n">
        <v>16</v>
      </c>
      <c r="H111" s="0" t="n">
        <v>26.67</v>
      </c>
      <c r="I111" s="0" t="s">
        <v>374</v>
      </c>
      <c r="J111" s="0" t="s">
        <v>375</v>
      </c>
      <c r="K111" s="0" t="s">
        <v>66</v>
      </c>
    </row>
    <row r="112" customFormat="false" ht="15" hidden="false" customHeight="false" outlineLevel="0" collapsed="false">
      <c r="A112" s="0" t="s">
        <v>376</v>
      </c>
      <c r="B112" s="0" t="s">
        <v>377</v>
      </c>
      <c r="C112" s="0" t="n">
        <v>51.594</v>
      </c>
      <c r="D112" s="0" t="n">
        <v>3.112</v>
      </c>
      <c r="E112" s="0" t="n">
        <v>0</v>
      </c>
      <c r="F112" s="0" t="s">
        <v>63</v>
      </c>
      <c r="G112" s="0" t="n">
        <v>16</v>
      </c>
      <c r="H112" s="0" t="n">
        <v>0</v>
      </c>
      <c r="I112" s="0" t="s">
        <v>378</v>
      </c>
      <c r="J112" s="0" t="s">
        <v>379</v>
      </c>
      <c r="K112" s="0" t="s">
        <v>66</v>
      </c>
    </row>
    <row r="113" customFormat="false" ht="15" hidden="false" customHeight="false" outlineLevel="0" collapsed="false">
      <c r="A113" s="0" t="s">
        <v>380</v>
      </c>
      <c r="B113" s="0" t="s">
        <v>381</v>
      </c>
      <c r="C113" s="0" t="n">
        <v>51.594</v>
      </c>
      <c r="D113" s="0" t="n">
        <v>3.46</v>
      </c>
      <c r="E113" s="0" t="n">
        <v>1</v>
      </c>
      <c r="F113" s="0" t="s">
        <v>63</v>
      </c>
      <c r="G113" s="0" t="n">
        <v>16</v>
      </c>
      <c r="H113" s="0" t="n">
        <v>178.52</v>
      </c>
      <c r="I113" s="0" t="s">
        <v>382</v>
      </c>
      <c r="J113" s="0" t="s">
        <v>379</v>
      </c>
      <c r="K113" s="0" t="s">
        <v>66</v>
      </c>
    </row>
    <row r="114" customFormat="false" ht="15" hidden="false" customHeight="false" outlineLevel="0" collapsed="false">
      <c r="A114" s="0" t="s">
        <v>383</v>
      </c>
      <c r="B114" s="0" t="s">
        <v>384</v>
      </c>
      <c r="C114" s="0" t="n">
        <v>51.594</v>
      </c>
      <c r="D114" s="0" t="n">
        <v>1.131</v>
      </c>
      <c r="E114" s="0" t="n">
        <v>1</v>
      </c>
      <c r="F114" s="0" t="s">
        <v>63</v>
      </c>
      <c r="G114" s="0" t="n">
        <v>16</v>
      </c>
      <c r="H114" s="0" t="n">
        <v>58.35</v>
      </c>
      <c r="I114" s="0" t="s">
        <v>385</v>
      </c>
      <c r="J114" s="0" t="s">
        <v>379</v>
      </c>
      <c r="K114" s="0" t="s">
        <v>66</v>
      </c>
    </row>
    <row r="115" customFormat="false" ht="15" hidden="false" customHeight="false" outlineLevel="0" collapsed="false">
      <c r="A115" s="0" t="s">
        <v>386</v>
      </c>
      <c r="B115" s="0" t="s">
        <v>387</v>
      </c>
      <c r="C115" s="0" t="n">
        <v>7.487</v>
      </c>
      <c r="D115" s="0" t="n">
        <v>12.192</v>
      </c>
      <c r="E115" s="0" t="n">
        <v>1.8</v>
      </c>
      <c r="F115" s="0" t="s">
        <v>63</v>
      </c>
      <c r="G115" s="0" t="n">
        <v>16</v>
      </c>
      <c r="H115" s="0" t="n">
        <v>121.38</v>
      </c>
      <c r="I115" s="0" t="s">
        <v>388</v>
      </c>
      <c r="J115" s="0" t="s">
        <v>65</v>
      </c>
      <c r="K115" s="0" t="s">
        <v>66</v>
      </c>
    </row>
    <row r="116" customFormat="false" ht="15" hidden="false" customHeight="false" outlineLevel="0" collapsed="false">
      <c r="A116" s="0" t="s">
        <v>389</v>
      </c>
      <c r="B116" s="0" t="s">
        <v>390</v>
      </c>
      <c r="C116" s="0" t="n">
        <v>0.333</v>
      </c>
      <c r="D116" s="0" t="n">
        <v>15.375</v>
      </c>
      <c r="E116" s="0" t="n">
        <v>0</v>
      </c>
      <c r="F116" s="0" t="s">
        <v>189</v>
      </c>
      <c r="G116" s="0" t="n">
        <v>16</v>
      </c>
      <c r="H116" s="0" t="n">
        <v>0</v>
      </c>
      <c r="I116" s="0" t="s">
        <v>391</v>
      </c>
      <c r="J116" s="0" t="s">
        <v>191</v>
      </c>
      <c r="K116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392</v>
      </c>
    </row>
    <row r="2" customFormat="false" ht="15" hidden="false" customHeight="false" outlineLevel="0" collapsed="false">
      <c r="A2" s="0" t="s">
        <v>393</v>
      </c>
    </row>
    <row r="3" customFormat="false" ht="15" hidden="false" customHeight="false" outlineLevel="0" collapsed="false">
      <c r="A3" s="2" t="s">
        <v>394</v>
      </c>
      <c r="B3" s="2" t="s">
        <v>395</v>
      </c>
      <c r="C3" s="2" t="s">
        <v>396</v>
      </c>
      <c r="D3" s="2" t="s">
        <v>397</v>
      </c>
      <c r="E3" s="2" t="s">
        <v>398</v>
      </c>
      <c r="F3" s="2" t="s">
        <v>399</v>
      </c>
      <c r="G3" s="2" t="s">
        <v>400</v>
      </c>
      <c r="H3" s="2" t="s">
        <v>401</v>
      </c>
      <c r="I3" s="2" t="s">
        <v>402</v>
      </c>
      <c r="J3" s="2" t="s">
        <v>403</v>
      </c>
    </row>
    <row r="4" customFormat="false" ht="15" hidden="false" customHeight="false" outlineLevel="0" collapsed="false">
      <c r="A4" s="0" t="s">
        <v>404</v>
      </c>
      <c r="B4" s="0" t="s">
        <v>405</v>
      </c>
      <c r="C4" s="0" t="n">
        <v>4490.17</v>
      </c>
      <c r="D4" s="0" t="n">
        <f aca="false">Inputs!$B$5</f>
        <v>0.15</v>
      </c>
      <c r="E4" s="0" t="n">
        <f aca="false">C4*D4</f>
        <v>673.5255</v>
      </c>
      <c r="F4" s="0" t="n">
        <f aca="false">C4+E4</f>
        <v>5163.6955</v>
      </c>
      <c r="G4" s="0" t="s">
        <v>406</v>
      </c>
      <c r="H4" s="0" t="n">
        <f aca="false">ROUNDUP(F4/Inputs!$B$10,0)</f>
        <v>259</v>
      </c>
      <c r="I4" s="0" t="s">
        <v>407</v>
      </c>
    </row>
    <row r="5" customFormat="false" ht="15" hidden="false" customHeight="false" outlineLevel="0" collapsed="false">
      <c r="A5" s="0" t="s">
        <v>408</v>
      </c>
      <c r="B5" s="0" t="s">
        <v>405</v>
      </c>
      <c r="C5" s="0" t="n">
        <v>6980.52</v>
      </c>
      <c r="D5" s="0" t="n">
        <f aca="false">Inputs!$B$5</f>
        <v>0.15</v>
      </c>
      <c r="E5" s="0" t="n">
        <f aca="false">C5*D5</f>
        <v>1047.078</v>
      </c>
      <c r="F5" s="0" t="n">
        <f aca="false">C5+E5</f>
        <v>8027.598</v>
      </c>
      <c r="G5" s="0" t="s">
        <v>406</v>
      </c>
      <c r="H5" s="0" t="n">
        <f aca="false">ROUNDUP(F5/Inputs!$B$10,0)</f>
        <v>402</v>
      </c>
      <c r="I5" s="0" t="s">
        <v>409</v>
      </c>
    </row>
    <row r="6" customFormat="false" ht="15" hidden="false" customHeight="false" outlineLevel="0" collapsed="false">
      <c r="A6" s="0" t="s">
        <v>410</v>
      </c>
      <c r="B6" s="0" t="s">
        <v>405</v>
      </c>
      <c r="C6" s="0" t="n">
        <v>4052.22</v>
      </c>
      <c r="D6" s="0" t="n">
        <f aca="false">Inputs!$B$5</f>
        <v>0.15</v>
      </c>
      <c r="E6" s="0" t="n">
        <f aca="false">C6*D6</f>
        <v>607.833</v>
      </c>
      <c r="F6" s="0" t="n">
        <f aca="false">C6+E6</f>
        <v>4660.053</v>
      </c>
      <c r="G6" s="0" t="s">
        <v>406</v>
      </c>
      <c r="H6" s="0" t="n">
        <f aca="false">ROUNDUP(F6/Inputs!$B$10,0)</f>
        <v>234</v>
      </c>
      <c r="I6" s="0" t="s">
        <v>411</v>
      </c>
    </row>
    <row r="7" customFormat="false" ht="15" hidden="false" customHeight="false" outlineLevel="0" collapsed="false">
      <c r="A7" s="0" t="s">
        <v>412</v>
      </c>
      <c r="B7" s="0" t="s">
        <v>405</v>
      </c>
      <c r="C7" s="0" t="n">
        <v>1014.52</v>
      </c>
      <c r="D7" s="0" t="n">
        <f aca="false">Inputs!$B$5</f>
        <v>0.15</v>
      </c>
      <c r="E7" s="0" t="n">
        <f aca="false">C7*D7</f>
        <v>152.178</v>
      </c>
      <c r="F7" s="0" t="n">
        <f aca="false">C7+E7</f>
        <v>1166.698</v>
      </c>
      <c r="G7" s="0" t="s">
        <v>406</v>
      </c>
      <c r="H7" s="0" t="n">
        <f aca="false">ROUNDUP(F7/Inputs!$B$10,0)</f>
        <v>59</v>
      </c>
      <c r="I7" s="0" t="s">
        <v>413</v>
      </c>
    </row>
    <row r="8" customFormat="false" ht="15" hidden="false" customHeight="false" outlineLevel="0" collapsed="false">
      <c r="A8" s="0" t="s">
        <v>414</v>
      </c>
      <c r="B8" s="0" t="s">
        <v>405</v>
      </c>
      <c r="C8" s="0" t="n">
        <v>1298.75</v>
      </c>
      <c r="D8" s="0" t="n">
        <f aca="false">Inputs!$B$5</f>
        <v>0.15</v>
      </c>
      <c r="E8" s="0" t="n">
        <f aca="false">C8*D8</f>
        <v>194.8125</v>
      </c>
      <c r="F8" s="0" t="n">
        <f aca="false">C8+E8</f>
        <v>1493.5625</v>
      </c>
      <c r="G8" s="0" t="s">
        <v>415</v>
      </c>
      <c r="H8" s="0" t="n">
        <f aca="false">ROUNDUP(F8/Inputs!$B$11,0)</f>
        <v>150</v>
      </c>
      <c r="I8" s="0" t="s">
        <v>416</v>
      </c>
    </row>
    <row r="9" customFormat="false" ht="15" hidden="false" customHeight="false" outlineLevel="0" collapsed="false">
      <c r="A9" s="0" t="s">
        <v>417</v>
      </c>
      <c r="B9" s="0" t="s">
        <v>405</v>
      </c>
      <c r="C9" s="0" t="n">
        <v>2516.87</v>
      </c>
      <c r="D9" s="0" t="n">
        <f aca="false">Inputs!$B$5</f>
        <v>0.15</v>
      </c>
      <c r="E9" s="0" t="n">
        <f aca="false">C9*D9</f>
        <v>377.5305</v>
      </c>
      <c r="F9" s="0" t="n">
        <f aca="false">C9+E9</f>
        <v>2894.4005</v>
      </c>
      <c r="G9" s="0" t="s">
        <v>418</v>
      </c>
      <c r="H9" s="0" t="n">
        <f aca="false">ROUNDUP(F9/Inputs!$B$16,0)</f>
        <v>181</v>
      </c>
      <c r="I9" s="0" t="s">
        <v>419</v>
      </c>
    </row>
    <row r="10" customFormat="false" ht="15" hidden="false" customHeight="false" outlineLevel="0" collapsed="false">
      <c r="A10" s="0" t="s">
        <v>420</v>
      </c>
      <c r="B10" s="0" t="s">
        <v>405</v>
      </c>
      <c r="C10" s="0" t="n">
        <v>246.9</v>
      </c>
      <c r="D10" s="0" t="n">
        <f aca="false">Inputs!$B$5</f>
        <v>0.15</v>
      </c>
      <c r="E10" s="0" t="n">
        <f aca="false">C10*D10</f>
        <v>37.035</v>
      </c>
      <c r="F10" s="0" t="n">
        <f aca="false">C10+E10</f>
        <v>283.935</v>
      </c>
      <c r="G10" s="0" t="s">
        <v>415</v>
      </c>
      <c r="H10" s="0" t="n">
        <f aca="false">ROUNDUP(F10/Inputs!$B$11,0)</f>
        <v>29</v>
      </c>
      <c r="I10" s="0" t="s">
        <v>421</v>
      </c>
    </row>
    <row r="11" customFormat="false" ht="15" hidden="false" customHeight="false" outlineLevel="0" collapsed="false">
      <c r="A11" s="0" t="s">
        <v>422</v>
      </c>
      <c r="B11" s="0" t="s">
        <v>405</v>
      </c>
      <c r="C11" s="0" t="n">
        <v>796.71</v>
      </c>
      <c r="D11" s="0" t="n">
        <f aca="false">Inputs!$B$5</f>
        <v>0.15</v>
      </c>
      <c r="E11" s="0" t="n">
        <f aca="false">C11*D11</f>
        <v>119.5065</v>
      </c>
      <c r="F11" s="0" t="n">
        <f aca="false">C11+E11</f>
        <v>916.2165</v>
      </c>
      <c r="G11" s="0" t="s">
        <v>406</v>
      </c>
      <c r="H11" s="0" t="n">
        <f aca="false">ROUNDUP(F11/Inputs!$B$10,0)</f>
        <v>46</v>
      </c>
      <c r="I11" s="0" t="s">
        <v>423</v>
      </c>
    </row>
    <row r="12" customFormat="false" ht="15" hidden="false" customHeight="false" outlineLevel="0" collapsed="false">
      <c r="A12" s="0" t="s">
        <v>424</v>
      </c>
      <c r="B12" s="0" t="s">
        <v>405</v>
      </c>
      <c r="C12" s="0" t="n">
        <v>119.12</v>
      </c>
      <c r="D12" s="0" t="n">
        <f aca="false">Inputs!$B$5</f>
        <v>0.15</v>
      </c>
      <c r="E12" s="0" t="n">
        <f aca="false">C12*D12</f>
        <v>17.868</v>
      </c>
      <c r="F12" s="0" t="n">
        <f aca="false">C12+E12</f>
        <v>136.988</v>
      </c>
      <c r="G12" s="0" t="s">
        <v>415</v>
      </c>
      <c r="H12" s="0" t="n">
        <f aca="false">ROUNDUP(F12/Inputs!$B$11,0)</f>
        <v>14</v>
      </c>
      <c r="I12" s="0" t="s">
        <v>425</v>
      </c>
    </row>
    <row r="13" customFormat="false" ht="15" hidden="false" customHeight="false" outlineLevel="0" collapsed="false">
      <c r="A13" s="0" t="s">
        <v>426</v>
      </c>
      <c r="B13" s="0" t="s">
        <v>405</v>
      </c>
      <c r="C13" s="0" t="n">
        <v>779.51</v>
      </c>
      <c r="D13" s="0" t="n">
        <f aca="false">Inputs!$B$5</f>
        <v>0.15</v>
      </c>
      <c r="E13" s="0" t="n">
        <f aca="false">C13*D13</f>
        <v>116.9265</v>
      </c>
      <c r="F13" s="0" t="n">
        <f aca="false">C13+E13</f>
        <v>896.4365</v>
      </c>
      <c r="G13" s="0" t="s">
        <v>427</v>
      </c>
      <c r="H13" s="0" t="n">
        <f aca="false">ROUNDUP(F13/Inputs!$B$17,0)</f>
        <v>75</v>
      </c>
      <c r="I13" s="0" t="s">
        <v>428</v>
      </c>
    </row>
    <row r="14" customFormat="false" ht="15" hidden="false" customHeight="false" outlineLevel="0" collapsed="false">
      <c r="A14" s="0" t="s">
        <v>429</v>
      </c>
      <c r="B14" s="0" t="s">
        <v>405</v>
      </c>
      <c r="C14" s="0" t="n">
        <v>323.56</v>
      </c>
      <c r="D14" s="0" t="n">
        <f aca="false">Inputs!$B$5</f>
        <v>0.15</v>
      </c>
      <c r="E14" s="0" t="n">
        <f aca="false">C14*D14</f>
        <v>48.534</v>
      </c>
      <c r="F14" s="0" t="n">
        <f aca="false">C14+E14</f>
        <v>372.094</v>
      </c>
      <c r="G14" s="0" t="s">
        <v>418</v>
      </c>
      <c r="H14" s="0" t="n">
        <f aca="false">ROUNDUP(F14/Inputs!$B$16,0)</f>
        <v>24</v>
      </c>
      <c r="I14" s="0" t="s">
        <v>430</v>
      </c>
    </row>
    <row r="15" customFormat="false" ht="15" hidden="false" customHeight="false" outlineLevel="0" collapsed="false">
      <c r="A15" s="0" t="s">
        <v>431</v>
      </c>
      <c r="B15" s="0" t="s">
        <v>405</v>
      </c>
      <c r="C15" s="0" t="n">
        <v>530.15</v>
      </c>
      <c r="D15" s="0" t="n">
        <f aca="false">Inputs!$B$5</f>
        <v>0.15</v>
      </c>
      <c r="E15" s="0" t="n">
        <f aca="false">C15*D15</f>
        <v>79.5225</v>
      </c>
      <c r="F15" s="0" t="n">
        <f aca="false">C15+E15</f>
        <v>609.6725</v>
      </c>
      <c r="G15" s="0" t="s">
        <v>33</v>
      </c>
      <c r="H15" s="0" t="n">
        <f aca="false">ROUNDUP(F15,0)</f>
        <v>610</v>
      </c>
      <c r="I15" s="0" t="s">
        <v>432</v>
      </c>
    </row>
    <row r="16" customFormat="false" ht="15" hidden="false" customHeight="false" outlineLevel="0" collapsed="false">
      <c r="A16" s="0" t="s">
        <v>433</v>
      </c>
      <c r="B16" s="0" t="s">
        <v>434</v>
      </c>
      <c r="C16" s="0" t="n">
        <v>17364.35</v>
      </c>
      <c r="D16" s="0" t="n">
        <f aca="false">Inputs!$B$6</f>
        <v>0.06</v>
      </c>
      <c r="E16" s="0" t="n">
        <f aca="false">C16*D16</f>
        <v>1041.861</v>
      </c>
      <c r="F16" s="0" t="n">
        <f aca="false">C16+E16</f>
        <v>18406.211</v>
      </c>
      <c r="G16" s="0" t="s">
        <v>435</v>
      </c>
      <c r="H16" s="0" t="n">
        <f aca="false">ROUNDUP(F16/Inputs!$B$9,0)</f>
        <v>384</v>
      </c>
      <c r="I16" s="0" t="s">
        <v>436</v>
      </c>
    </row>
    <row r="17" customFormat="false" ht="15" hidden="false" customHeight="false" outlineLevel="0" collapsed="false">
      <c r="A17" s="0" t="s">
        <v>437</v>
      </c>
      <c r="B17" s="0" t="s">
        <v>434</v>
      </c>
      <c r="C17" s="0" t="n">
        <v>258.81</v>
      </c>
      <c r="D17" s="0" t="n">
        <f aca="false">Inputs!$B$6</f>
        <v>0.06</v>
      </c>
      <c r="E17" s="0" t="n">
        <f aca="false">C17*D17</f>
        <v>15.5286</v>
      </c>
      <c r="F17" s="0" t="n">
        <f aca="false">C17+E17</f>
        <v>274.3386</v>
      </c>
      <c r="G17" s="0" t="s">
        <v>435</v>
      </c>
      <c r="H17" s="0" t="n">
        <f aca="false">ROUNDUP(F17/Inputs!$B$9,0)</f>
        <v>6</v>
      </c>
      <c r="I17" s="0" t="s">
        <v>438</v>
      </c>
    </row>
    <row r="18" customFormat="false" ht="15" hidden="false" customHeight="false" outlineLevel="0" collapsed="false">
      <c r="A18" s="0" t="s">
        <v>439</v>
      </c>
      <c r="B18" s="0" t="s">
        <v>434</v>
      </c>
      <c r="C18" s="0" t="n">
        <v>83.13</v>
      </c>
      <c r="D18" s="0" t="n">
        <f aca="false">Inputs!$B$6</f>
        <v>0.06</v>
      </c>
      <c r="E18" s="0" t="n">
        <f aca="false">C18*D18</f>
        <v>4.9878</v>
      </c>
      <c r="F18" s="0" t="n">
        <f aca="false">C18+E18</f>
        <v>88.1178</v>
      </c>
      <c r="G18" s="0" t="s">
        <v>440</v>
      </c>
      <c r="H18" s="0" t="n">
        <f aca="false">ROUNDUP(F18/32,0)</f>
        <v>3</v>
      </c>
      <c r="I18" s="0" t="s">
        <v>441</v>
      </c>
    </row>
    <row r="19" customFormat="false" ht="15" hidden="false" customHeight="false" outlineLevel="0" collapsed="false">
      <c r="A19" s="0" t="s">
        <v>442</v>
      </c>
      <c r="B19" s="0" t="s">
        <v>434</v>
      </c>
      <c r="C19" s="0" t="n">
        <v>63.6</v>
      </c>
      <c r="D19" s="0" t="n">
        <f aca="false">Inputs!$B$6</f>
        <v>0.06</v>
      </c>
      <c r="E19" s="0" t="n">
        <f aca="false">C19*D19</f>
        <v>3.816</v>
      </c>
      <c r="F19" s="0" t="n">
        <f aca="false">C19+E19</f>
        <v>67.416</v>
      </c>
      <c r="G19" s="0" t="s">
        <v>435</v>
      </c>
      <c r="H19" s="0" t="n">
        <f aca="false">ROUNDUP(F19/Inputs!$B$9,0)</f>
        <v>2</v>
      </c>
      <c r="I19" s="0" t="s">
        <v>443</v>
      </c>
    </row>
    <row r="20" customFormat="false" ht="15" hidden="false" customHeight="false" outlineLevel="0" collapsed="false">
      <c r="A20" s="0" t="s">
        <v>444</v>
      </c>
      <c r="B20" s="0" t="s">
        <v>434</v>
      </c>
      <c r="C20" s="0" t="n">
        <v>368.75</v>
      </c>
      <c r="D20" s="0" t="n">
        <f aca="false">Inputs!$B$6</f>
        <v>0.06</v>
      </c>
      <c r="E20" s="0" t="n">
        <f aca="false">C20*D20</f>
        <v>22.125</v>
      </c>
      <c r="F20" s="0" t="n">
        <f aca="false">C20+E20</f>
        <v>390.875</v>
      </c>
      <c r="G20" s="0" t="s">
        <v>440</v>
      </c>
      <c r="H20" s="0" t="n">
        <f aca="false">ROUNDUP(F20/32,0)</f>
        <v>13</v>
      </c>
      <c r="I20" s="0" t="s">
        <v>445</v>
      </c>
    </row>
    <row r="21" customFormat="false" ht="15" hidden="false" customHeight="false" outlineLevel="0" collapsed="false">
      <c r="A21" s="0" t="s">
        <v>446</v>
      </c>
      <c r="B21" s="0" t="s">
        <v>434</v>
      </c>
      <c r="C21" s="0" t="n">
        <v>961.09</v>
      </c>
      <c r="D21" s="0" t="n">
        <f aca="false">Inputs!$B$6</f>
        <v>0.06</v>
      </c>
      <c r="E21" s="0" t="n">
        <f aca="false">C21*D21</f>
        <v>57.6654</v>
      </c>
      <c r="F21" s="0" t="n">
        <f aca="false">C21+E21</f>
        <v>1018.7554</v>
      </c>
      <c r="G21" s="0" t="s">
        <v>440</v>
      </c>
      <c r="H21" s="0" t="n">
        <f aca="false">ROUNDUP(F21/32,0)</f>
        <v>32</v>
      </c>
      <c r="I21" s="0" t="s">
        <v>447</v>
      </c>
    </row>
    <row r="22" customFormat="false" ht="15" hidden="false" customHeight="false" outlineLevel="0" collapsed="false">
      <c r="A22" s="0" t="s">
        <v>448</v>
      </c>
      <c r="B22" s="0" t="s">
        <v>405</v>
      </c>
      <c r="C22" s="0" t="n">
        <v>1002.63</v>
      </c>
      <c r="D22" s="0" t="n">
        <f aca="false">Inputs!$B$6</f>
        <v>0.06</v>
      </c>
      <c r="E22" s="0" t="n">
        <f aca="false">C22*D22</f>
        <v>60.1578</v>
      </c>
      <c r="F22" s="0" t="n">
        <f aca="false">C22+E22</f>
        <v>1062.7878</v>
      </c>
      <c r="G22" s="0" t="s">
        <v>449</v>
      </c>
      <c r="H22" s="0" t="n">
        <f aca="false">ROUNDUP(F22/8,0)</f>
        <v>133</v>
      </c>
      <c r="I22" s="0" t="s">
        <v>450</v>
      </c>
    </row>
    <row r="23" customFormat="false" ht="15" hidden="false" customHeight="false" outlineLevel="0" collapsed="false">
      <c r="A23" s="0" t="s">
        <v>451</v>
      </c>
      <c r="B23" s="0" t="s">
        <v>405</v>
      </c>
      <c r="C23" s="0" t="n">
        <v>574.93</v>
      </c>
      <c r="D23" s="0" t="n">
        <f aca="false">Inputs!$B$5</f>
        <v>0.15</v>
      </c>
      <c r="E23" s="0" t="n">
        <f aca="false">C23*D23</f>
        <v>86.2395</v>
      </c>
      <c r="F23" s="0" t="n">
        <f aca="false">C23+E23</f>
        <v>661.1695</v>
      </c>
      <c r="G23" s="0" t="s">
        <v>406</v>
      </c>
      <c r="H23" s="0" t="n">
        <f aca="false">ROUNDUP(F23/Inputs!$B$10,0)</f>
        <v>34</v>
      </c>
      <c r="I23" s="0" t="s">
        <v>452</v>
      </c>
    </row>
    <row r="24" customFormat="false" ht="15" hidden="false" customHeight="false" outlineLevel="0" collapsed="false">
      <c r="A24" s="0" t="s">
        <v>453</v>
      </c>
      <c r="B24" s="0" t="s">
        <v>405</v>
      </c>
      <c r="C24" s="0" t="n">
        <v>74.39</v>
      </c>
      <c r="D24" s="0" t="n">
        <f aca="false">Inputs!$B$5</f>
        <v>0.15</v>
      </c>
      <c r="E24" s="0" t="n">
        <f aca="false">C24*D24</f>
        <v>11.1585</v>
      </c>
      <c r="F24" s="0" t="n">
        <f aca="false">C24+E24</f>
        <v>85.5485</v>
      </c>
      <c r="G24" s="0" t="s">
        <v>406</v>
      </c>
      <c r="H24" s="0" t="n">
        <f aca="false">ROUNDUP(F24/Inputs!$B$10,0)</f>
        <v>5</v>
      </c>
      <c r="I24" s="0" t="s">
        <v>454</v>
      </c>
    </row>
    <row r="25" customFormat="false" ht="15" hidden="false" customHeight="false" outlineLevel="0" collapsed="false">
      <c r="A25" s="0" t="s">
        <v>455</v>
      </c>
      <c r="B25" s="0" t="s">
        <v>405</v>
      </c>
      <c r="C25" s="0" t="n">
        <v>1041.42</v>
      </c>
      <c r="D25" s="0" t="n">
        <f aca="false">Inputs!$B$5</f>
        <v>0.15</v>
      </c>
      <c r="E25" s="0" t="n">
        <f aca="false">C25*D25</f>
        <v>156.213</v>
      </c>
      <c r="F25" s="0" t="n">
        <f aca="false">C25+E25</f>
        <v>1197.633</v>
      </c>
      <c r="G25" s="0" t="s">
        <v>456</v>
      </c>
      <c r="H25" s="0" t="n">
        <f aca="false">ROUNDUP(F25/Inputs!$B$18,0)</f>
        <v>120</v>
      </c>
      <c r="I25" s="0" t="s">
        <v>457</v>
      </c>
    </row>
    <row r="26" customFormat="false" ht="15" hidden="false" customHeight="false" outlineLevel="0" collapsed="false">
      <c r="A26" s="0" t="s">
        <v>458</v>
      </c>
      <c r="B26" s="0" t="s">
        <v>434</v>
      </c>
      <c r="C26" s="0" t="n">
        <v>31.37</v>
      </c>
      <c r="D26" s="0" t="n">
        <f aca="false">Inputs!$B$6</f>
        <v>0.06</v>
      </c>
      <c r="E26" s="0" t="n">
        <f aca="false">C26*D26</f>
        <v>1.8822</v>
      </c>
      <c r="F26" s="0" t="n">
        <f aca="false">C26+E26</f>
        <v>33.2522</v>
      </c>
      <c r="G26" s="0" t="s">
        <v>459</v>
      </c>
      <c r="H26" s="0" t="n">
        <f aca="false">ROUNDUP(F26/15,0)</f>
        <v>3</v>
      </c>
      <c r="I26" s="0" t="s">
        <v>460</v>
      </c>
    </row>
    <row r="27" customFormat="false" ht="15" hidden="false" customHeight="false" outlineLevel="0" collapsed="false">
      <c r="A27" s="0" t="s">
        <v>461</v>
      </c>
      <c r="B27" s="0" t="s">
        <v>434</v>
      </c>
      <c r="C27" s="0" t="n">
        <v>329.74</v>
      </c>
      <c r="D27" s="0" t="n">
        <f aca="false">Inputs!$B$6</f>
        <v>0.06</v>
      </c>
      <c r="E27" s="0" t="n">
        <f aca="false">C27*D27</f>
        <v>19.7844</v>
      </c>
      <c r="F27" s="0" t="n">
        <f aca="false">C27+E27</f>
        <v>349.5244</v>
      </c>
      <c r="G27" s="0" t="s">
        <v>440</v>
      </c>
      <c r="H27" s="0" t="n">
        <f aca="false">ROUNDUP(F27/32,0)</f>
        <v>11</v>
      </c>
      <c r="I27" s="0" t="s">
        <v>462</v>
      </c>
    </row>
    <row r="28" customFormat="false" ht="15" hidden="false" customHeight="false" outlineLevel="0" collapsed="false">
      <c r="A28" s="0" t="s">
        <v>463</v>
      </c>
      <c r="B28" s="0" t="s">
        <v>405</v>
      </c>
      <c r="C28" s="0" t="n">
        <v>928.25</v>
      </c>
      <c r="D28" s="0" t="n">
        <f aca="false">Inputs!$B$5</f>
        <v>0.15</v>
      </c>
      <c r="E28" s="0" t="n">
        <f aca="false">C28*D28</f>
        <v>139.2375</v>
      </c>
      <c r="F28" s="0" t="n">
        <f aca="false">C28+E28</f>
        <v>1067.4875</v>
      </c>
      <c r="G28" s="0" t="s">
        <v>406</v>
      </c>
      <c r="H28" s="0" t="n">
        <f aca="false">ROUNDUP(F28/Inputs!$B$10,0)</f>
        <v>54</v>
      </c>
      <c r="I28" s="0" t="s">
        <v>464</v>
      </c>
    </row>
    <row r="29" customFormat="false" ht="15" hidden="false" customHeight="false" outlineLevel="0" collapsed="false">
      <c r="A29" s="0" t="s">
        <v>465</v>
      </c>
      <c r="B29" s="0" t="s">
        <v>405</v>
      </c>
      <c r="C29" s="0" t="n">
        <v>249.43</v>
      </c>
      <c r="D29" s="0" t="n">
        <f aca="false">Inputs!$B$5</f>
        <v>0.15</v>
      </c>
      <c r="E29" s="0" t="n">
        <f aca="false">C29*D29</f>
        <v>37.4145</v>
      </c>
      <c r="F29" s="0" t="n">
        <f aca="false">C29+E29</f>
        <v>286.8445</v>
      </c>
      <c r="G29" s="0" t="s">
        <v>415</v>
      </c>
      <c r="H29" s="0" t="n">
        <f aca="false">ROUNDUP(F29/Inputs!$B$11,0)</f>
        <v>29</v>
      </c>
      <c r="I29" s="0" t="s">
        <v>466</v>
      </c>
    </row>
    <row r="30" customFormat="false" ht="15" hidden="false" customHeight="false" outlineLevel="0" collapsed="false">
      <c r="A30" s="0" t="s">
        <v>467</v>
      </c>
      <c r="B30" s="0" t="s">
        <v>405</v>
      </c>
      <c r="C30" s="0" t="n">
        <v>308.02</v>
      </c>
      <c r="D30" s="0" t="n">
        <f aca="false">Inputs!$B$5</f>
        <v>0.15</v>
      </c>
      <c r="E30" s="0" t="n">
        <f aca="false">C30*D30</f>
        <v>46.203</v>
      </c>
      <c r="F30" s="0" t="n">
        <f aca="false">C30+E30</f>
        <v>354.223</v>
      </c>
      <c r="G30" s="0" t="s">
        <v>415</v>
      </c>
      <c r="H30" s="0" t="n">
        <f aca="false">ROUNDUP(F30/Inputs!$B$11,0)</f>
        <v>36</v>
      </c>
      <c r="I30" s="0" t="s">
        <v>466</v>
      </c>
    </row>
    <row r="31" customFormat="false" ht="15" hidden="false" customHeight="false" outlineLevel="0" collapsed="false">
      <c r="A31" s="0" t="s">
        <v>468</v>
      </c>
      <c r="B31" s="0" t="s">
        <v>405</v>
      </c>
      <c r="C31" s="0" t="n">
        <v>293.1</v>
      </c>
      <c r="D31" s="0" t="n">
        <f aca="false">Inputs!$B$5</f>
        <v>0.15</v>
      </c>
      <c r="E31" s="0" t="n">
        <f aca="false">C31*D31</f>
        <v>43.965</v>
      </c>
      <c r="F31" s="0" t="n">
        <f aca="false">C31+E31</f>
        <v>337.065</v>
      </c>
      <c r="G31" s="0" t="s">
        <v>415</v>
      </c>
      <c r="H31" s="0" t="n">
        <f aca="false">ROUNDUP(F31/Inputs!$B$11,0)</f>
        <v>34</v>
      </c>
      <c r="I31" s="0" t="s">
        <v>466</v>
      </c>
    </row>
    <row r="32" customFormat="false" ht="15" hidden="false" customHeight="false" outlineLevel="0" collapsed="false">
      <c r="A32" s="0" t="s">
        <v>469</v>
      </c>
      <c r="B32" s="0" t="s">
        <v>405</v>
      </c>
      <c r="C32" s="0" t="n">
        <v>58.64</v>
      </c>
      <c r="D32" s="0" t="n">
        <f aca="false">Inputs!$B$5</f>
        <v>0.15</v>
      </c>
      <c r="E32" s="0" t="n">
        <f aca="false">C32*D32</f>
        <v>8.796</v>
      </c>
      <c r="F32" s="0" t="n">
        <f aca="false">C32+E32</f>
        <v>67.436</v>
      </c>
      <c r="G32" s="0" t="s">
        <v>415</v>
      </c>
      <c r="H32" s="0" t="n">
        <f aca="false">ROUNDUP(F32/Inputs!$B$11,0)</f>
        <v>7</v>
      </c>
      <c r="I32" s="0" t="s">
        <v>466</v>
      </c>
    </row>
    <row r="33" customFormat="false" ht="15" hidden="false" customHeight="false" outlineLevel="0" collapsed="false">
      <c r="A33" s="0" t="s">
        <v>470</v>
      </c>
      <c r="B33" s="0" t="s">
        <v>405</v>
      </c>
      <c r="C33" s="0" t="n">
        <v>268.94</v>
      </c>
      <c r="D33" s="0" t="n">
        <f aca="false">Inputs!$B$5</f>
        <v>0.15</v>
      </c>
      <c r="E33" s="0" t="n">
        <f aca="false">C33*D33</f>
        <v>40.341</v>
      </c>
      <c r="F33" s="0" t="n">
        <f aca="false">C33+E33</f>
        <v>309.281</v>
      </c>
      <c r="G33" s="0" t="s">
        <v>415</v>
      </c>
      <c r="H33" s="0" t="n">
        <f aca="false">ROUNDUP(F33/Inputs!$B$11,0)</f>
        <v>31</v>
      </c>
      <c r="I33" s="0" t="s">
        <v>466</v>
      </c>
    </row>
    <row r="34" customFormat="false" ht="15" hidden="false" customHeight="false" outlineLevel="0" collapsed="false">
      <c r="A34" s="0" t="s">
        <v>471</v>
      </c>
      <c r="B34" s="0" t="s">
        <v>405</v>
      </c>
      <c r="C34" s="0" t="n">
        <v>176.84</v>
      </c>
      <c r="D34" s="0" t="n">
        <f aca="false">Inputs!$B$5</f>
        <v>0.15</v>
      </c>
      <c r="E34" s="0" t="n">
        <f aca="false">C34*D34</f>
        <v>26.526</v>
      </c>
      <c r="F34" s="0" t="n">
        <f aca="false">C34+E34</f>
        <v>203.366</v>
      </c>
      <c r="G34" s="0" t="s">
        <v>415</v>
      </c>
      <c r="H34" s="0" t="n">
        <f aca="false">ROUNDUP(F34/Inputs!$B$11,0)</f>
        <v>21</v>
      </c>
      <c r="I34" s="0" t="s">
        <v>466</v>
      </c>
    </row>
    <row r="35" customFormat="false" ht="15" hidden="false" customHeight="false" outlineLevel="0" collapsed="false">
      <c r="A35" s="0" t="s">
        <v>472</v>
      </c>
      <c r="B35" s="0" t="s">
        <v>405</v>
      </c>
      <c r="C35" s="0" t="n">
        <v>249.43</v>
      </c>
      <c r="D35" s="0" t="n">
        <f aca="false">Inputs!$B$5</f>
        <v>0.15</v>
      </c>
      <c r="E35" s="0" t="n">
        <f aca="false">C35*D35</f>
        <v>37.4145</v>
      </c>
      <c r="F35" s="0" t="n">
        <f aca="false">C35+E35</f>
        <v>286.8445</v>
      </c>
      <c r="G35" s="0" t="s">
        <v>415</v>
      </c>
      <c r="H35" s="0" t="n">
        <f aca="false">ROUNDUP(F35/Inputs!$B$11,0)</f>
        <v>29</v>
      </c>
      <c r="I35" s="0" t="s">
        <v>473</v>
      </c>
    </row>
    <row r="36" customFormat="false" ht="15" hidden="false" customHeight="false" outlineLevel="0" collapsed="false">
      <c r="A36" s="0" t="s">
        <v>474</v>
      </c>
      <c r="B36" s="0" t="s">
        <v>405</v>
      </c>
      <c r="C36" s="0" t="n">
        <v>308.02</v>
      </c>
      <c r="D36" s="0" t="n">
        <f aca="false">Inputs!$B$5</f>
        <v>0.15</v>
      </c>
      <c r="E36" s="0" t="n">
        <f aca="false">C36*D36</f>
        <v>46.203</v>
      </c>
      <c r="F36" s="0" t="n">
        <f aca="false">C36+E36</f>
        <v>354.223</v>
      </c>
      <c r="G36" s="0" t="s">
        <v>415</v>
      </c>
      <c r="H36" s="0" t="n">
        <f aca="false">ROUNDUP(F36/Inputs!$B$11,0)</f>
        <v>36</v>
      </c>
      <c r="I36" s="0" t="s">
        <v>473</v>
      </c>
    </row>
    <row r="37" customFormat="false" ht="15" hidden="false" customHeight="false" outlineLevel="0" collapsed="false">
      <c r="A37" s="0" t="s">
        <v>475</v>
      </c>
      <c r="B37" s="0" t="s">
        <v>405</v>
      </c>
      <c r="C37" s="0" t="n">
        <v>293.1</v>
      </c>
      <c r="D37" s="0" t="n">
        <f aca="false">Inputs!$B$5</f>
        <v>0.15</v>
      </c>
      <c r="E37" s="0" t="n">
        <f aca="false">C37*D37</f>
        <v>43.965</v>
      </c>
      <c r="F37" s="0" t="n">
        <f aca="false">C37+E37</f>
        <v>337.065</v>
      </c>
      <c r="G37" s="0" t="s">
        <v>415</v>
      </c>
      <c r="H37" s="0" t="n">
        <f aca="false">ROUNDUP(F37/Inputs!$B$11,0)</f>
        <v>34</v>
      </c>
      <c r="I37" s="0" t="s">
        <v>473</v>
      </c>
    </row>
    <row r="38" customFormat="false" ht="15" hidden="false" customHeight="false" outlineLevel="0" collapsed="false">
      <c r="A38" s="0" t="s">
        <v>476</v>
      </c>
      <c r="B38" s="0" t="s">
        <v>405</v>
      </c>
      <c r="C38" s="0" t="n">
        <v>58.64</v>
      </c>
      <c r="D38" s="0" t="n">
        <f aca="false">Inputs!$B$5</f>
        <v>0.15</v>
      </c>
      <c r="E38" s="0" t="n">
        <f aca="false">C38*D38</f>
        <v>8.796</v>
      </c>
      <c r="F38" s="0" t="n">
        <f aca="false">C38+E38</f>
        <v>67.436</v>
      </c>
      <c r="G38" s="0" t="s">
        <v>415</v>
      </c>
      <c r="H38" s="0" t="n">
        <f aca="false">ROUNDUP(F38/Inputs!$B$11,0)</f>
        <v>7</v>
      </c>
      <c r="I38" s="0" t="s">
        <v>473</v>
      </c>
    </row>
    <row r="39" customFormat="false" ht="15" hidden="false" customHeight="false" outlineLevel="0" collapsed="false">
      <c r="A39" s="0" t="s">
        <v>477</v>
      </c>
      <c r="B39" s="0" t="s">
        <v>405</v>
      </c>
      <c r="C39" s="0" t="n">
        <v>268.94</v>
      </c>
      <c r="D39" s="0" t="n">
        <f aca="false">Inputs!$B$5</f>
        <v>0.15</v>
      </c>
      <c r="E39" s="0" t="n">
        <f aca="false">C39*D39</f>
        <v>40.341</v>
      </c>
      <c r="F39" s="0" t="n">
        <f aca="false">C39+E39</f>
        <v>309.281</v>
      </c>
      <c r="G39" s="0" t="s">
        <v>415</v>
      </c>
      <c r="H39" s="0" t="n">
        <f aca="false">ROUNDUP(F39/Inputs!$B$11,0)</f>
        <v>31</v>
      </c>
      <c r="I39" s="0" t="s">
        <v>473</v>
      </c>
    </row>
    <row r="40" customFormat="false" ht="15" hidden="false" customHeight="false" outlineLevel="0" collapsed="false">
      <c r="A40" s="0" t="s">
        <v>478</v>
      </c>
      <c r="B40" s="0" t="s">
        <v>405</v>
      </c>
      <c r="C40" s="0" t="n">
        <v>176.84</v>
      </c>
      <c r="D40" s="0" t="n">
        <f aca="false">Inputs!$B$5</f>
        <v>0.15</v>
      </c>
      <c r="E40" s="0" t="n">
        <f aca="false">C40*D40</f>
        <v>26.526</v>
      </c>
      <c r="F40" s="0" t="n">
        <f aca="false">C40+E40</f>
        <v>203.366</v>
      </c>
      <c r="G40" s="0" t="s">
        <v>415</v>
      </c>
      <c r="H40" s="0" t="n">
        <f aca="false">ROUNDUP(F40/Inputs!$B$11,0)</f>
        <v>21</v>
      </c>
      <c r="I40" s="0" t="s">
        <v>473</v>
      </c>
    </row>
    <row r="41" customFormat="false" ht="15" hidden="false" customHeight="false" outlineLevel="0" collapsed="false">
      <c r="A41" s="0" t="s">
        <v>479</v>
      </c>
      <c r="B41" s="0" t="s">
        <v>405</v>
      </c>
      <c r="C41" s="0" t="n">
        <v>37.58</v>
      </c>
      <c r="D41" s="0" t="n">
        <f aca="false">Inputs!$B$5</f>
        <v>0.15</v>
      </c>
      <c r="E41" s="0" t="n">
        <f aca="false">C41*D41</f>
        <v>5.637</v>
      </c>
      <c r="F41" s="0" t="n">
        <f aca="false">C41+E41</f>
        <v>43.217</v>
      </c>
      <c r="G41" s="0" t="s">
        <v>406</v>
      </c>
      <c r="H41" s="0" t="n">
        <f aca="false">ROUNDUP(F41/Inputs!$B$10,0)</f>
        <v>3</v>
      </c>
      <c r="I41" s="0" t="s">
        <v>480</v>
      </c>
    </row>
    <row r="42" customFormat="false" ht="15" hidden="false" customHeight="false" outlineLevel="0" collapsed="false">
      <c r="A42" s="0" t="s">
        <v>481</v>
      </c>
      <c r="B42" s="0" t="s">
        <v>405</v>
      </c>
      <c r="C42" s="0" t="n">
        <v>4</v>
      </c>
      <c r="D42" s="0" t="n">
        <f aca="false">Inputs!$B$6</f>
        <v>0.06</v>
      </c>
      <c r="E42" s="0" t="n">
        <f aca="false">C42*D42</f>
        <v>0.24</v>
      </c>
      <c r="F42" s="0" t="n">
        <f aca="false">C42+E42</f>
        <v>4.24</v>
      </c>
      <c r="G42" s="0" t="s">
        <v>449</v>
      </c>
      <c r="H42" s="0" t="n">
        <f aca="false">ROUNDUP(F42/8,0)</f>
        <v>1</v>
      </c>
      <c r="I42" s="0" t="s">
        <v>482</v>
      </c>
    </row>
    <row r="43" customFormat="false" ht="15" hidden="false" customHeight="false" outlineLevel="0" collapsed="false">
      <c r="A43" s="0" t="s">
        <v>483</v>
      </c>
      <c r="B43" s="0" t="s">
        <v>434</v>
      </c>
      <c r="C43" s="0" t="n">
        <v>2143.09</v>
      </c>
      <c r="D43" s="0" t="n">
        <f aca="false">Inputs!$B$6</f>
        <v>0.06</v>
      </c>
      <c r="E43" s="0" t="n">
        <f aca="false">C43*D43</f>
        <v>128.5854</v>
      </c>
      <c r="F43" s="0" t="n">
        <f aca="false">C43+E43</f>
        <v>2271.6754</v>
      </c>
      <c r="G43" s="0" t="s">
        <v>435</v>
      </c>
      <c r="H43" s="0" t="n">
        <f aca="false">ROUNDUP(F43/Inputs!$B$9,0)</f>
        <v>48</v>
      </c>
      <c r="I43" s="0" t="s">
        <v>484</v>
      </c>
    </row>
    <row r="44" customFormat="false" ht="15" hidden="false" customHeight="false" outlineLevel="0" collapsed="false">
      <c r="A44" s="0" t="s">
        <v>485</v>
      </c>
      <c r="B44" s="0" t="s">
        <v>434</v>
      </c>
      <c r="C44" s="0" t="n">
        <v>4015.65</v>
      </c>
      <c r="D44" s="0" t="n">
        <f aca="false">Inputs!$B$6</f>
        <v>0.06</v>
      </c>
      <c r="E44" s="0" t="n">
        <f aca="false">C44*D44</f>
        <v>240.939</v>
      </c>
      <c r="F44" s="0" t="n">
        <f aca="false">C44+E44</f>
        <v>4256.589</v>
      </c>
      <c r="G44" s="0" t="s">
        <v>435</v>
      </c>
      <c r="H44" s="0" t="n">
        <f aca="false">ROUNDUP(F44/Inputs!$B$9,0)</f>
        <v>89</v>
      </c>
      <c r="I44" s="0" t="s">
        <v>484</v>
      </c>
    </row>
    <row r="45" customFormat="false" ht="15" hidden="false" customHeight="false" outlineLevel="0" collapsed="false">
      <c r="A45" s="0" t="s">
        <v>486</v>
      </c>
      <c r="B45" s="0" t="s">
        <v>434</v>
      </c>
      <c r="C45" s="0" t="n">
        <v>344.74</v>
      </c>
      <c r="D45" s="0" t="n">
        <f aca="false">Inputs!$B$6</f>
        <v>0.06</v>
      </c>
      <c r="E45" s="0" t="n">
        <f aca="false">C45*D45</f>
        <v>20.6844</v>
      </c>
      <c r="F45" s="0" t="n">
        <f aca="false">C45+E45</f>
        <v>365.4244</v>
      </c>
      <c r="G45" s="0" t="s">
        <v>435</v>
      </c>
      <c r="H45" s="0" t="n">
        <f aca="false">ROUNDUP(F45/Inputs!$B$9,0)</f>
        <v>8</v>
      </c>
      <c r="I45" s="0" t="s">
        <v>484</v>
      </c>
    </row>
    <row r="46" customFormat="false" ht="15" hidden="false" customHeight="false" outlineLevel="0" collapsed="false">
      <c r="A46" s="0" t="s">
        <v>487</v>
      </c>
      <c r="B46" s="0" t="s">
        <v>434</v>
      </c>
      <c r="C46" s="0" t="n">
        <v>23.6</v>
      </c>
      <c r="D46" s="0" t="n">
        <f aca="false">Inputs!$B$6</f>
        <v>0.06</v>
      </c>
      <c r="E46" s="0" t="n">
        <f aca="false">C46*D46</f>
        <v>1.416</v>
      </c>
      <c r="F46" s="0" t="n">
        <f aca="false">C46+E46</f>
        <v>25.016</v>
      </c>
      <c r="G46" s="0" t="s">
        <v>435</v>
      </c>
      <c r="H46" s="0" t="n">
        <f aca="false">ROUNDUP(F46/Inputs!$B$9,0)</f>
        <v>1</v>
      </c>
      <c r="I46" s="0" t="s">
        <v>484</v>
      </c>
    </row>
    <row r="47" customFormat="false" ht="15" hidden="false" customHeight="false" outlineLevel="0" collapsed="false">
      <c r="A47" s="0" t="s">
        <v>488</v>
      </c>
      <c r="B47" s="0" t="s">
        <v>434</v>
      </c>
      <c r="C47" s="0" t="n">
        <v>238.06</v>
      </c>
      <c r="D47" s="0" t="n">
        <f aca="false">Inputs!$B$6</f>
        <v>0.06</v>
      </c>
      <c r="E47" s="0" t="n">
        <f aca="false">C47*D47</f>
        <v>14.2836</v>
      </c>
      <c r="F47" s="0" t="n">
        <f aca="false">C47+E47</f>
        <v>252.3436</v>
      </c>
      <c r="G47" s="0" t="s">
        <v>435</v>
      </c>
      <c r="H47" s="0" t="n">
        <f aca="false">ROUNDUP(F47/Inputs!$B$9,0)</f>
        <v>6</v>
      </c>
      <c r="I47" s="0" t="s">
        <v>484</v>
      </c>
    </row>
    <row r="48" customFormat="false" ht="15" hidden="false" customHeight="false" outlineLevel="0" collapsed="false">
      <c r="A48" s="0" t="s">
        <v>489</v>
      </c>
      <c r="B48" s="0" t="s">
        <v>434</v>
      </c>
      <c r="C48" s="0" t="n">
        <v>6.03</v>
      </c>
      <c r="D48" s="0" t="n">
        <f aca="false">Inputs!$B$6</f>
        <v>0.06</v>
      </c>
      <c r="E48" s="0" t="n">
        <f aca="false">C48*D48</f>
        <v>0.3618</v>
      </c>
      <c r="F48" s="0" t="n">
        <f aca="false">C48+E48</f>
        <v>6.3918</v>
      </c>
      <c r="G48" s="0" t="s">
        <v>435</v>
      </c>
      <c r="H48" s="0" t="n">
        <f aca="false">ROUNDUP(F48/Inputs!$B$9,0)</f>
        <v>1</v>
      </c>
      <c r="I48" s="0" t="s">
        <v>484</v>
      </c>
    </row>
    <row r="49" customFormat="false" ht="15" hidden="false" customHeight="false" outlineLevel="0" collapsed="false">
      <c r="A49" s="0" t="s">
        <v>490</v>
      </c>
      <c r="B49" s="0" t="s">
        <v>405</v>
      </c>
      <c r="C49" s="0" t="n">
        <v>210.88</v>
      </c>
      <c r="D49" s="0" t="n">
        <f aca="false">Inputs!$B$6</f>
        <v>0.06</v>
      </c>
      <c r="E49" s="0" t="n">
        <f aca="false">C49*D49</f>
        <v>12.6528</v>
      </c>
      <c r="F49" s="0" t="n">
        <f aca="false">C49+E49</f>
        <v>223.5328</v>
      </c>
      <c r="G49" s="0" t="s">
        <v>491</v>
      </c>
      <c r="H49" s="0" t="n">
        <f aca="false">ROUNDUP(F49/Inputs!$B$15,0)</f>
        <v>9</v>
      </c>
      <c r="I49" s="0" t="s">
        <v>492</v>
      </c>
    </row>
    <row r="50" customFormat="false" ht="15" hidden="false" customHeight="false" outlineLevel="0" collapsed="false">
      <c r="A50" s="0" t="s">
        <v>493</v>
      </c>
      <c r="B50" s="0" t="s">
        <v>494</v>
      </c>
      <c r="C50" s="0" t="n">
        <v>113</v>
      </c>
      <c r="D50" s="0" t="n">
        <v>0</v>
      </c>
      <c r="E50" s="0" t="n">
        <f aca="false">C50*D50</f>
        <v>0</v>
      </c>
      <c r="F50" s="0" t="n">
        <f aca="false">C50+E50</f>
        <v>113</v>
      </c>
      <c r="H50" s="0" t="n">
        <f aca="false">ROUNDUP(F50,0)</f>
        <v>113</v>
      </c>
      <c r="I50" s="0" t="s">
        <v>495</v>
      </c>
    </row>
    <row r="51" customFormat="false" ht="15" hidden="false" customHeight="false" outlineLevel="0" collapsed="false">
      <c r="A51" s="0" t="s">
        <v>496</v>
      </c>
      <c r="B51" s="0" t="s">
        <v>405</v>
      </c>
      <c r="C51" s="0" t="n">
        <v>56</v>
      </c>
      <c r="D51" s="0" t="n">
        <f aca="false">Inputs!$B$5</f>
        <v>0.15</v>
      </c>
      <c r="E51" s="0" t="n">
        <f aca="false">C51*D51</f>
        <v>8.4</v>
      </c>
      <c r="F51" s="0" t="n">
        <f aca="false">C51+E51</f>
        <v>64.4</v>
      </c>
      <c r="G51" s="0" t="s">
        <v>415</v>
      </c>
      <c r="H51" s="0" t="n">
        <f aca="false">ROUNDUP(F51/Inputs!$B$11,0)</f>
        <v>7</v>
      </c>
      <c r="I51" s="0" t="s">
        <v>497</v>
      </c>
    </row>
    <row r="52" customFormat="false" ht="15" hidden="false" customHeight="false" outlineLevel="0" collapsed="false">
      <c r="A52" s="0" t="s">
        <v>498</v>
      </c>
      <c r="B52" s="0" t="s">
        <v>494</v>
      </c>
      <c r="C52" s="0" t="n">
        <v>32</v>
      </c>
      <c r="D52" s="0" t="n">
        <v>0</v>
      </c>
      <c r="E52" s="0" t="n">
        <f aca="false">C52*D52</f>
        <v>0</v>
      </c>
      <c r="F52" s="0" t="n">
        <f aca="false">C52+E52</f>
        <v>32</v>
      </c>
      <c r="G52" s="0" t="s">
        <v>499</v>
      </c>
      <c r="H52" s="0" t="n">
        <f aca="false">ROUNDUP(F52,0)</f>
        <v>32</v>
      </c>
      <c r="I52" s="0" t="s">
        <v>500</v>
      </c>
    </row>
    <row r="53" customFormat="false" ht="15" hidden="false" customHeight="false" outlineLevel="0" collapsed="false">
      <c r="A53" s="0" t="s">
        <v>501</v>
      </c>
      <c r="B53" s="0" t="s">
        <v>405</v>
      </c>
      <c r="C53" s="0" t="n">
        <v>32.37</v>
      </c>
      <c r="D53" s="0" t="n">
        <f aca="false">Inputs!$B$5</f>
        <v>0.15</v>
      </c>
      <c r="E53" s="0" t="n">
        <f aca="false">C53*D53</f>
        <v>4.8555</v>
      </c>
      <c r="F53" s="0" t="n">
        <f aca="false">C53+E53</f>
        <v>37.2255</v>
      </c>
      <c r="G53" s="0" t="s">
        <v>406</v>
      </c>
      <c r="H53" s="0" t="n">
        <f aca="false">ROUNDUP(F53/Inputs!$B$10,0)</f>
        <v>2</v>
      </c>
      <c r="I53" s="0" t="s">
        <v>502</v>
      </c>
    </row>
    <row r="54" customFormat="false" ht="15" hidden="false" customHeight="false" outlineLevel="0" collapsed="false">
      <c r="A54" s="0" t="s">
        <v>503</v>
      </c>
      <c r="B54" s="0" t="s">
        <v>405</v>
      </c>
      <c r="C54" s="0" t="n">
        <v>10.43</v>
      </c>
      <c r="D54" s="0" t="n">
        <f aca="false">Inputs!$B$5</f>
        <v>0.15</v>
      </c>
      <c r="E54" s="0" t="n">
        <f aca="false">C54*D54</f>
        <v>1.5645</v>
      </c>
      <c r="F54" s="0" t="n">
        <f aca="false">C54+E54</f>
        <v>11.9945</v>
      </c>
      <c r="G54" s="0" t="s">
        <v>406</v>
      </c>
      <c r="H54" s="0" t="n">
        <f aca="false">ROUNDUP(F54/Inputs!$B$10,0)</f>
        <v>1</v>
      </c>
      <c r="I54" s="0" t="s">
        <v>504</v>
      </c>
    </row>
    <row r="55" customFormat="false" ht="15" hidden="false" customHeight="false" outlineLevel="0" collapsed="false">
      <c r="A55" s="0" t="s">
        <v>505</v>
      </c>
      <c r="B55" s="0" t="s">
        <v>434</v>
      </c>
      <c r="C55" s="0" t="n">
        <v>67.16</v>
      </c>
      <c r="D55" s="0" t="n">
        <f aca="false">Inputs!$B$6</f>
        <v>0.06</v>
      </c>
      <c r="E55" s="0" t="n">
        <f aca="false">C55*D55</f>
        <v>4.0296</v>
      </c>
      <c r="F55" s="0" t="n">
        <f aca="false">C55+E55</f>
        <v>71.1896</v>
      </c>
      <c r="G55" s="0" t="s">
        <v>435</v>
      </c>
      <c r="H55" s="0" t="n">
        <f aca="false">ROUNDUP(F55/Inputs!$B$9,0)</f>
        <v>2</v>
      </c>
      <c r="I55" s="0" t="s">
        <v>506</v>
      </c>
    </row>
    <row r="56" customFormat="false" ht="15" hidden="false" customHeight="false" outlineLevel="0" collapsed="false">
      <c r="A56" s="0" t="s">
        <v>507</v>
      </c>
      <c r="B56" s="0" t="s">
        <v>405</v>
      </c>
      <c r="C56" s="0" t="n">
        <v>221.49</v>
      </c>
      <c r="D56" s="0" t="n">
        <f aca="false">Inputs!$B$6</f>
        <v>0.06</v>
      </c>
      <c r="E56" s="0" t="n">
        <f aca="false">C56*D56</f>
        <v>13.2894</v>
      </c>
      <c r="F56" s="0" t="n">
        <f aca="false">C56+E56</f>
        <v>234.7794</v>
      </c>
      <c r="G56" s="0" t="s">
        <v>456</v>
      </c>
      <c r="H56" s="0" t="n">
        <f aca="false">ROUNDUP(F56/Inputs!$B$18,0)</f>
        <v>24</v>
      </c>
      <c r="I56" s="0" t="s">
        <v>508</v>
      </c>
    </row>
    <row r="57" customFormat="false" ht="15" hidden="false" customHeight="false" outlineLevel="0" collapsed="false">
      <c r="A57" s="0" t="s">
        <v>509</v>
      </c>
      <c r="B57" s="0" t="s">
        <v>494</v>
      </c>
      <c r="C57" s="0" t="n">
        <v>301</v>
      </c>
      <c r="D57" s="0" t="n">
        <v>0</v>
      </c>
      <c r="E57" s="0" t="n">
        <f aca="false">C57*D57</f>
        <v>0</v>
      </c>
      <c r="F57" s="0" t="n">
        <f aca="false">C57+E57</f>
        <v>301</v>
      </c>
      <c r="G57" s="0" t="s">
        <v>499</v>
      </c>
      <c r="H57" s="0" t="n">
        <f aca="false">ROUNDUP(F57,0)</f>
        <v>301</v>
      </c>
      <c r="I57" s="0" t="s">
        <v>510</v>
      </c>
    </row>
    <row r="58" customFormat="false" ht="15" hidden="false" customHeight="false" outlineLevel="0" collapsed="false">
      <c r="A58" s="0" t="s">
        <v>511</v>
      </c>
      <c r="B58" s="0" t="s">
        <v>494</v>
      </c>
      <c r="C58" s="0" t="n">
        <v>1</v>
      </c>
      <c r="D58" s="0" t="n">
        <v>0</v>
      </c>
      <c r="E58" s="0" t="n">
        <f aca="false">C58*D58</f>
        <v>0</v>
      </c>
      <c r="F58" s="0" t="n">
        <f aca="false">C58+E58</f>
        <v>1</v>
      </c>
      <c r="G58" s="0" t="s">
        <v>499</v>
      </c>
      <c r="H58" s="0" t="n">
        <f aca="false">ROUNDUP(F58,0)</f>
        <v>1</v>
      </c>
      <c r="I58" s="0" t="s">
        <v>512</v>
      </c>
    </row>
    <row r="59" customFormat="false" ht="15" hidden="false" customHeight="false" outlineLevel="0" collapsed="false">
      <c r="A59" s="0" t="s">
        <v>513</v>
      </c>
      <c r="B59" s="0" t="s">
        <v>494</v>
      </c>
      <c r="C59" s="0" t="n">
        <v>21224.11</v>
      </c>
      <c r="D59" s="0" t="n">
        <v>0</v>
      </c>
      <c r="E59" s="0" t="n">
        <f aca="false">C59*D59</f>
        <v>0</v>
      </c>
      <c r="F59" s="0" t="n">
        <f aca="false">C59+E59</f>
        <v>21224.11</v>
      </c>
      <c r="G59" s="0" t="s">
        <v>499</v>
      </c>
      <c r="H59" s="0" t="n">
        <f aca="false">ROUNDUP(F59,0)</f>
        <v>21225</v>
      </c>
      <c r="I59" s="0" t="s">
        <v>514</v>
      </c>
      <c r="J59" s="0" t="n">
        <f aca="false">Inputs!$B$20*17686.8</f>
        <v>21224.16</v>
      </c>
    </row>
    <row r="60" customFormat="false" ht="15" hidden="false" customHeight="false" outlineLevel="0" collapsed="false">
      <c r="A60" s="0" t="s">
        <v>515</v>
      </c>
      <c r="B60" s="0" t="s">
        <v>494</v>
      </c>
      <c r="C60" s="0" t="n">
        <v>7092</v>
      </c>
      <c r="D60" s="0" t="n">
        <v>0</v>
      </c>
      <c r="E60" s="0" t="n">
        <f aca="false">C60*D60</f>
        <v>0</v>
      </c>
      <c r="F60" s="0" t="n">
        <f aca="false">C60+E60</f>
        <v>7092</v>
      </c>
      <c r="G60" s="0" t="s">
        <v>499</v>
      </c>
      <c r="H60" s="0" t="n">
        <f aca="false">ROUNDUP(F60,0)</f>
        <v>7092</v>
      </c>
      <c r="I60" s="0" t="s">
        <v>516</v>
      </c>
      <c r="J60" s="0" t="n">
        <f aca="false">Inputs!$B$21*1773</f>
        <v>7092</v>
      </c>
    </row>
    <row r="61" customFormat="false" ht="15" hidden="false" customHeight="false" outlineLevel="0" collapsed="false">
      <c r="A61" s="0" t="s">
        <v>517</v>
      </c>
      <c r="B61" s="0" t="s">
        <v>494</v>
      </c>
      <c r="C61" s="0" t="n">
        <v>546.29</v>
      </c>
      <c r="D61" s="0" t="n">
        <v>0</v>
      </c>
      <c r="E61" s="0" t="n">
        <f aca="false">C61*D61</f>
        <v>0</v>
      </c>
      <c r="F61" s="0" t="n">
        <f aca="false">C61+E61</f>
        <v>546.29</v>
      </c>
      <c r="G61" s="0" t="s">
        <v>499</v>
      </c>
      <c r="H61" s="0" t="n">
        <f aca="false">ROUNDUP(F61,0)</f>
        <v>547</v>
      </c>
      <c r="I61" s="0" t="s">
        <v>518</v>
      </c>
      <c r="J61" s="0" t="n">
        <f aca="false">546.29/Inputs!$B$22</f>
        <v>546.29</v>
      </c>
    </row>
    <row r="62" customFormat="false" ht="15" hidden="false" customHeight="false" outlineLevel="0" collapsed="false">
      <c r="A62" s="0" t="s">
        <v>519</v>
      </c>
      <c r="B62" s="0" t="s">
        <v>494</v>
      </c>
      <c r="C62" s="0" t="n">
        <v>321.3</v>
      </c>
      <c r="D62" s="0" t="n">
        <v>0</v>
      </c>
      <c r="E62" s="0" t="n">
        <f aca="false">C62*D62</f>
        <v>0</v>
      </c>
      <c r="F62" s="0" t="n">
        <f aca="false">C62+E62</f>
        <v>321.3</v>
      </c>
      <c r="G62" s="0" t="s">
        <v>499</v>
      </c>
      <c r="H62" s="0" t="n">
        <f aca="false">ROUNDUP(F62,0)</f>
        <v>322</v>
      </c>
      <c r="I62" s="0" t="s">
        <v>520</v>
      </c>
      <c r="J62" s="0" t="n">
        <f aca="false">214.21/Inputs!$B$25</f>
        <v>321.298935053247</v>
      </c>
    </row>
    <row r="63" customFormat="false" ht="15" hidden="false" customHeight="false" outlineLevel="0" collapsed="false">
      <c r="A63" s="0" t="s">
        <v>521</v>
      </c>
      <c r="B63" s="0" t="s">
        <v>522</v>
      </c>
      <c r="C63" s="0" t="n">
        <v>1273.45</v>
      </c>
      <c r="D63" s="0" t="n">
        <v>0</v>
      </c>
      <c r="E63" s="0" t="n">
        <f aca="false">C63*D63</f>
        <v>0</v>
      </c>
      <c r="F63" s="0" t="n">
        <f aca="false">C63+E63</f>
        <v>1273.45</v>
      </c>
      <c r="G63" s="0" t="s">
        <v>523</v>
      </c>
      <c r="H63" s="0" t="n">
        <f aca="false">ROUNDUP(F63,0)</f>
        <v>1274</v>
      </c>
      <c r="I63" s="0" t="s">
        <v>524</v>
      </c>
      <c r="J63" s="0" t="n">
        <f aca="false">Inputs!$B$23*17686.8</f>
        <v>1273.4496</v>
      </c>
    </row>
    <row r="64" customFormat="false" ht="15" hidden="false" customHeight="false" outlineLevel="0" collapsed="false">
      <c r="A64" s="0" t="s">
        <v>525</v>
      </c>
      <c r="B64" s="0" t="s">
        <v>405</v>
      </c>
      <c r="C64" s="0" t="n">
        <v>6544.1</v>
      </c>
      <c r="D64" s="0" t="n">
        <v>0</v>
      </c>
      <c r="E64" s="0" t="n">
        <f aca="false">C64*D64</f>
        <v>0</v>
      </c>
      <c r="F64" s="0" t="n">
        <f aca="false">C64+E64</f>
        <v>6544.1</v>
      </c>
      <c r="G64" s="0" t="s">
        <v>405</v>
      </c>
      <c r="H64" s="0" t="n">
        <f aca="false">ROUNDUP(F64,0)</f>
        <v>6545</v>
      </c>
      <c r="I64" s="0" t="s">
        <v>526</v>
      </c>
      <c r="J64" s="0" t="n">
        <f aca="false">Inputs!$B$24*17686.8</f>
        <v>6544.116</v>
      </c>
    </row>
    <row r="65" customFormat="false" ht="15" hidden="false" customHeight="false" outlineLevel="0" collapsed="false">
      <c r="A65" s="0" t="s">
        <v>527</v>
      </c>
      <c r="B65" s="0" t="s">
        <v>434</v>
      </c>
      <c r="C65" s="0" t="n">
        <v>859.26</v>
      </c>
      <c r="D65" s="0" t="n">
        <f aca="false">Inputs!$B$6</f>
        <v>0.06</v>
      </c>
      <c r="E65" s="0" t="n">
        <f aca="false">C65*D65</f>
        <v>51.5556</v>
      </c>
      <c r="F65" s="0" t="n">
        <f aca="false">C65+E65</f>
        <v>910.8156</v>
      </c>
      <c r="G65" s="0" t="s">
        <v>434</v>
      </c>
      <c r="H65" s="0" t="n">
        <f aca="false">ROUNDUP(F65,0)</f>
        <v>911</v>
      </c>
      <c r="I65" s="0" t="s">
        <v>528</v>
      </c>
    </row>
    <row r="66" customFormat="false" ht="15" hidden="false" customHeight="false" outlineLevel="0" collapsed="false">
      <c r="A66" s="0" t="s">
        <v>529</v>
      </c>
      <c r="B66" s="0" t="s">
        <v>494</v>
      </c>
      <c r="C66" s="0" t="n">
        <v>0</v>
      </c>
      <c r="D66" s="0" t="n">
        <v>0</v>
      </c>
      <c r="E66" s="0" t="n">
        <f aca="false">C66*D66</f>
        <v>0</v>
      </c>
      <c r="F66" s="0" t="n">
        <f aca="false">C66+E66</f>
        <v>0</v>
      </c>
      <c r="G66" s="0" t="s">
        <v>499</v>
      </c>
      <c r="H66" s="0" t="n">
        <f aca="false">ROUNDUP(F66,0)</f>
        <v>0</v>
      </c>
      <c r="I66" s="0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531</v>
      </c>
      <c r="B1" s="2" t="s">
        <v>532</v>
      </c>
      <c r="C1" s="2" t="s">
        <v>533</v>
      </c>
    </row>
    <row r="2" customFormat="false" ht="15" hidden="false" customHeight="false" outlineLevel="0" collapsed="false">
      <c r="A2" s="0" t="s">
        <v>534</v>
      </c>
      <c r="B2" s="0" t="s">
        <v>535</v>
      </c>
      <c r="C2" s="0" t="s">
        <v>536</v>
      </c>
    </row>
    <row r="3" customFormat="false" ht="15" hidden="false" customHeight="false" outlineLevel="0" collapsed="false">
      <c r="A3" s="0" t="s">
        <v>537</v>
      </c>
      <c r="B3" s="0" t="s">
        <v>538</v>
      </c>
      <c r="C3" s="0" t="s">
        <v>539</v>
      </c>
    </row>
    <row r="4" customFormat="false" ht="15" hidden="false" customHeight="false" outlineLevel="0" collapsed="false">
      <c r="A4" s="0" t="s">
        <v>540</v>
      </c>
      <c r="B4" s="0" t="s">
        <v>541</v>
      </c>
      <c r="C4" s="0" t="s">
        <v>542</v>
      </c>
    </row>
    <row r="5" customFormat="false" ht="15" hidden="false" customHeight="false" outlineLevel="0" collapsed="false">
      <c r="A5" s="0" t="s">
        <v>543</v>
      </c>
      <c r="B5" s="0" t="s">
        <v>544</v>
      </c>
      <c r="C5" s="0" t="s">
        <v>545</v>
      </c>
    </row>
    <row r="6" customFormat="false" ht="15" hidden="false" customHeight="false" outlineLevel="0" collapsed="false">
      <c r="A6" s="0" t="s">
        <v>546</v>
      </c>
      <c r="B6" s="0" t="s">
        <v>547</v>
      </c>
      <c r="C6" s="0" t="s">
        <v>548</v>
      </c>
    </row>
    <row r="7" customFormat="false" ht="15" hidden="false" customHeight="false" outlineLevel="0" collapsed="false">
      <c r="A7" s="0" t="s">
        <v>549</v>
      </c>
      <c r="B7" s="0" t="s">
        <v>550</v>
      </c>
      <c r="C7" s="0" t="s">
        <v>551</v>
      </c>
    </row>
    <row r="8" customFormat="false" ht="15" hidden="false" customHeight="false" outlineLevel="0" collapsed="false">
      <c r="A8" s="0" t="s">
        <v>552</v>
      </c>
      <c r="B8" s="0" t="s">
        <v>553</v>
      </c>
      <c r="C8" s="0" t="s">
        <v>554</v>
      </c>
    </row>
    <row r="9" customFormat="false" ht="15" hidden="false" customHeight="false" outlineLevel="0" collapsed="false">
      <c r="A9" s="0" t="s">
        <v>555</v>
      </c>
      <c r="B9" s="0" t="s">
        <v>556</v>
      </c>
      <c r="C9" s="0" t="s">
        <v>557</v>
      </c>
    </row>
    <row r="10" customFormat="false" ht="15" hidden="false" customHeight="false" outlineLevel="0" collapsed="false">
      <c r="A10" s="0" t="s">
        <v>558</v>
      </c>
      <c r="B10" s="0" t="s">
        <v>559</v>
      </c>
      <c r="C10" s="0" t="s">
        <v>560</v>
      </c>
    </row>
    <row r="11" customFormat="false" ht="15" hidden="false" customHeight="false" outlineLevel="0" collapsed="false">
      <c r="A11" s="0" t="s">
        <v>561</v>
      </c>
      <c r="B11" s="0" t="s">
        <v>562</v>
      </c>
      <c r="C11" s="0" t="s">
        <v>563</v>
      </c>
    </row>
    <row r="12" customFormat="false" ht="15" hidden="false" customHeight="false" outlineLevel="0" collapsed="false">
      <c r="A12" s="0" t="s">
        <v>564</v>
      </c>
      <c r="B12" s="0" t="s">
        <v>565</v>
      </c>
      <c r="C12" s="0" t="s">
        <v>566</v>
      </c>
    </row>
    <row r="13" customFormat="false" ht="15" hidden="false" customHeight="false" outlineLevel="0" collapsed="false">
      <c r="A13" s="0" t="s">
        <v>567</v>
      </c>
      <c r="B13" s="0" t="s">
        <v>568</v>
      </c>
      <c r="C13" s="0" t="s">
        <v>569</v>
      </c>
    </row>
    <row r="14" customFormat="false" ht="15" hidden="false" customHeight="false" outlineLevel="0" collapsed="false">
      <c r="A14" s="0" t="s">
        <v>570</v>
      </c>
      <c r="B14" s="0" t="s">
        <v>571</v>
      </c>
      <c r="C14" s="0" t="s">
        <v>572</v>
      </c>
    </row>
    <row r="15" customFormat="false" ht="15" hidden="false" customHeight="false" outlineLevel="0" collapsed="false">
      <c r="A15" s="0" t="s">
        <v>573</v>
      </c>
      <c r="B15" s="0" t="s">
        <v>574</v>
      </c>
      <c r="C15" s="0" t="s">
        <v>575</v>
      </c>
    </row>
    <row r="16" customFormat="false" ht="15" hidden="false" customHeight="false" outlineLevel="0" collapsed="false">
      <c r="A16" s="0" t="s">
        <v>576</v>
      </c>
      <c r="B16" s="0" t="s">
        <v>577</v>
      </c>
      <c r="C16" s="0" t="s">
        <v>578</v>
      </c>
    </row>
    <row r="17" customFormat="false" ht="15" hidden="false" customHeight="false" outlineLevel="0" collapsed="false">
      <c r="A17" s="0" t="s">
        <v>579</v>
      </c>
      <c r="B17" s="0" t="s">
        <v>580</v>
      </c>
      <c r="C17" s="0" t="s">
        <v>581</v>
      </c>
    </row>
    <row r="18" customFormat="false" ht="15" hidden="false" customHeight="false" outlineLevel="0" collapsed="false">
      <c r="A18" s="0" t="s">
        <v>582</v>
      </c>
      <c r="B18" s="0" t="s">
        <v>583</v>
      </c>
      <c r="C18" s="0" t="s">
        <v>584</v>
      </c>
    </row>
    <row r="19" customFormat="false" ht="15" hidden="false" customHeight="false" outlineLevel="0" collapsed="false">
      <c r="A19" s="0" t="s">
        <v>585</v>
      </c>
      <c r="B19" s="0" t="s">
        <v>586</v>
      </c>
      <c r="C19" s="0" t="s">
        <v>587</v>
      </c>
    </row>
    <row r="20" customFormat="false" ht="15" hidden="false" customHeight="false" outlineLevel="0" collapsed="false">
      <c r="A20" s="0" t="s">
        <v>588</v>
      </c>
      <c r="B20" s="0" t="s">
        <v>589</v>
      </c>
      <c r="C20" s="0" t="s">
        <v>590</v>
      </c>
    </row>
    <row r="21" customFormat="false" ht="15" hidden="false" customHeight="false" outlineLevel="0" collapsed="false">
      <c r="A21" s="0" t="s">
        <v>591</v>
      </c>
      <c r="B21" s="0" t="s">
        <v>592</v>
      </c>
      <c r="C21" s="0" t="s">
        <v>593</v>
      </c>
    </row>
    <row r="22" customFormat="false" ht="15" hidden="false" customHeight="false" outlineLevel="0" collapsed="false">
      <c r="A22" s="0" t="s">
        <v>594</v>
      </c>
      <c r="B22" s="0" t="s">
        <v>595</v>
      </c>
      <c r="C22" s="0" t="s">
        <v>596</v>
      </c>
    </row>
    <row r="23" customFormat="false" ht="15" hidden="false" customHeight="false" outlineLevel="0" collapsed="false">
      <c r="A23" s="0" t="s">
        <v>597</v>
      </c>
      <c r="B23" s="0" t="s">
        <v>598</v>
      </c>
      <c r="C23" s="0" t="s">
        <v>599</v>
      </c>
    </row>
    <row r="24" customFormat="false" ht="15" hidden="false" customHeight="false" outlineLevel="0" collapsed="false">
      <c r="A24" s="0" t="s">
        <v>600</v>
      </c>
      <c r="B24" s="0" t="s">
        <v>601</v>
      </c>
      <c r="C24" s="0" t="s">
        <v>602</v>
      </c>
    </row>
    <row r="25" customFormat="false" ht="15" hidden="false" customHeight="false" outlineLevel="0" collapsed="false">
      <c r="A25" s="0" t="s">
        <v>603</v>
      </c>
      <c r="B25" s="0" t="s">
        <v>604</v>
      </c>
      <c r="C25" s="0" t="s">
        <v>605</v>
      </c>
    </row>
    <row r="26" customFormat="false" ht="15" hidden="false" customHeight="false" outlineLevel="0" collapsed="false">
      <c r="A26" s="0" t="s">
        <v>606</v>
      </c>
      <c r="B26" s="0" t="s">
        <v>607</v>
      </c>
      <c r="C26" s="0" t="s">
        <v>608</v>
      </c>
    </row>
    <row r="27" customFormat="false" ht="15" hidden="false" customHeight="false" outlineLevel="0" collapsed="false">
      <c r="A27" s="0" t="s">
        <v>609</v>
      </c>
      <c r="B27" s="0" t="s">
        <v>610</v>
      </c>
      <c r="C27" s="0" t="s">
        <v>611</v>
      </c>
    </row>
    <row r="28" customFormat="false" ht="15" hidden="false" customHeight="false" outlineLevel="0" collapsed="false">
      <c r="A28" s="0" t="s">
        <v>612</v>
      </c>
      <c r="B28" s="0" t="s">
        <v>613</v>
      </c>
      <c r="C28" s="0" t="s">
        <v>614</v>
      </c>
    </row>
    <row r="29" customFormat="false" ht="15" hidden="false" customHeight="false" outlineLevel="0" collapsed="false">
      <c r="A29" s="0" t="s">
        <v>615</v>
      </c>
      <c r="B29" s="0" t="s">
        <v>616</v>
      </c>
      <c r="C29" s="0" t="s">
        <v>617</v>
      </c>
    </row>
    <row r="30" customFormat="false" ht="15" hidden="false" customHeight="false" outlineLevel="0" collapsed="false">
      <c r="A30" s="0" t="s">
        <v>618</v>
      </c>
      <c r="B30" s="0" t="s">
        <v>619</v>
      </c>
      <c r="C30" s="0" t="s">
        <v>620</v>
      </c>
    </row>
    <row r="31" customFormat="false" ht="15" hidden="false" customHeight="false" outlineLevel="0" collapsed="false">
      <c r="A31" s="0" t="s">
        <v>621</v>
      </c>
      <c r="B31" s="0" t="s">
        <v>622</v>
      </c>
      <c r="C31" s="0" t="s">
        <v>623</v>
      </c>
    </row>
    <row r="32" customFormat="false" ht="15" hidden="false" customHeight="false" outlineLevel="0" collapsed="false">
      <c r="A32" s="0" t="s">
        <v>624</v>
      </c>
      <c r="B32" s="0" t="s">
        <v>625</v>
      </c>
      <c r="C32" s="0" t="s">
        <v>626</v>
      </c>
    </row>
    <row r="33" customFormat="false" ht="15" hidden="false" customHeight="false" outlineLevel="0" collapsed="false">
      <c r="A33" s="0" t="s">
        <v>627</v>
      </c>
      <c r="B33" s="0" t="s">
        <v>628</v>
      </c>
      <c r="C33" s="0" t="s">
        <v>629</v>
      </c>
    </row>
    <row r="34" customFormat="false" ht="15" hidden="false" customHeight="false" outlineLevel="0" collapsed="false">
      <c r="A34" s="0" t="s">
        <v>630</v>
      </c>
      <c r="B34" s="0" t="s">
        <v>631</v>
      </c>
      <c r="C34" s="0" t="s">
        <v>632</v>
      </c>
    </row>
    <row r="35" customFormat="false" ht="15" hidden="false" customHeight="false" outlineLevel="0" collapsed="false">
      <c r="A35" s="0" t="s">
        <v>633</v>
      </c>
      <c r="B35" s="0" t="s">
        <v>634</v>
      </c>
      <c r="C35" s="0" t="s">
        <v>635</v>
      </c>
    </row>
    <row r="36" customFormat="false" ht="15" hidden="false" customHeight="false" outlineLevel="0" collapsed="false">
      <c r="A36" s="0" t="s">
        <v>636</v>
      </c>
      <c r="B36" s="0" t="s">
        <v>637</v>
      </c>
      <c r="C36" s="0" t="s">
        <v>638</v>
      </c>
    </row>
    <row r="37" customFormat="false" ht="15" hidden="false" customHeight="false" outlineLevel="0" collapsed="false">
      <c r="A37" s="0" t="s">
        <v>639</v>
      </c>
      <c r="B37" s="0" t="s">
        <v>640</v>
      </c>
      <c r="C37" s="0" t="s">
        <v>641</v>
      </c>
    </row>
    <row r="38" customFormat="false" ht="15" hidden="false" customHeight="false" outlineLevel="0" collapsed="false">
      <c r="A38" s="0" t="s">
        <v>642</v>
      </c>
      <c r="B38" s="0" t="s">
        <v>643</v>
      </c>
      <c r="C38" s="0" t="s">
        <v>644</v>
      </c>
    </row>
    <row r="39" customFormat="false" ht="15" hidden="false" customHeight="false" outlineLevel="0" collapsed="false">
      <c r="A39" s="0" t="s">
        <v>645</v>
      </c>
      <c r="B39" s="0" t="s">
        <v>646</v>
      </c>
      <c r="C39" s="0" t="s">
        <v>647</v>
      </c>
    </row>
    <row r="40" customFormat="false" ht="15" hidden="false" customHeight="false" outlineLevel="0" collapsed="false">
      <c r="A40" s="0" t="s">
        <v>648</v>
      </c>
      <c r="B40" s="0" t="s">
        <v>649</v>
      </c>
      <c r="C40" s="0" t="s">
        <v>650</v>
      </c>
    </row>
    <row r="41" customFormat="false" ht="15" hidden="false" customHeight="false" outlineLevel="0" collapsed="false">
      <c r="A41" s="0" t="s">
        <v>651</v>
      </c>
      <c r="B41" s="0" t="s">
        <v>652</v>
      </c>
      <c r="C41" s="0" t="s">
        <v>653</v>
      </c>
    </row>
    <row r="42" customFormat="false" ht="15" hidden="false" customHeight="false" outlineLevel="0" collapsed="false">
      <c r="A42" s="0" t="s">
        <v>654</v>
      </c>
      <c r="B42" s="0" t="s">
        <v>655</v>
      </c>
      <c r="C42" s="0" t="s">
        <v>656</v>
      </c>
    </row>
    <row r="43" customFormat="false" ht="15" hidden="false" customHeight="false" outlineLevel="0" collapsed="false">
      <c r="A43" s="0" t="s">
        <v>657</v>
      </c>
      <c r="B43" s="0" t="s">
        <v>658</v>
      </c>
      <c r="C43" s="0" t="s">
        <v>659</v>
      </c>
    </row>
    <row r="44" customFormat="false" ht="15" hidden="false" customHeight="false" outlineLevel="0" collapsed="false">
      <c r="A44" s="0" t="s">
        <v>660</v>
      </c>
      <c r="B44" s="0" t="s">
        <v>661</v>
      </c>
      <c r="C44" s="0" t="s">
        <v>662</v>
      </c>
    </row>
    <row r="45" customFormat="false" ht="15" hidden="false" customHeight="false" outlineLevel="0" collapsed="false">
      <c r="A45" s="0" t="s">
        <v>663</v>
      </c>
      <c r="B45" s="0" t="s">
        <v>664</v>
      </c>
      <c r="C45" s="0" t="s">
        <v>665</v>
      </c>
    </row>
    <row r="46" customFormat="false" ht="15" hidden="false" customHeight="false" outlineLevel="0" collapsed="false">
      <c r="A46" s="0" t="s">
        <v>666</v>
      </c>
      <c r="B46" s="0" t="s">
        <v>667</v>
      </c>
      <c r="C46" s="0" t="s">
        <v>668</v>
      </c>
    </row>
    <row r="47" customFormat="false" ht="15" hidden="false" customHeight="false" outlineLevel="0" collapsed="false">
      <c r="A47" s="0" t="s">
        <v>669</v>
      </c>
      <c r="B47" s="0" t="s">
        <v>670</v>
      </c>
      <c r="C47" s="0" t="s">
        <v>671</v>
      </c>
    </row>
    <row r="48" customFormat="false" ht="15" hidden="false" customHeight="false" outlineLevel="0" collapsed="false">
      <c r="A48" s="0" t="s">
        <v>672</v>
      </c>
      <c r="B48" s="0" t="s">
        <v>673</v>
      </c>
      <c r="C48" s="0" t="s">
        <v>674</v>
      </c>
    </row>
    <row r="49" customFormat="false" ht="15" hidden="false" customHeight="false" outlineLevel="0" collapsed="false">
      <c r="A49" s="0" t="s">
        <v>675</v>
      </c>
      <c r="B49" s="0" t="s">
        <v>676</v>
      </c>
      <c r="C49" s="0" t="s">
        <v>677</v>
      </c>
    </row>
    <row r="50" customFormat="false" ht="15" hidden="false" customHeight="false" outlineLevel="0" collapsed="false">
      <c r="A50" s="0" t="s">
        <v>678</v>
      </c>
      <c r="B50" s="0" t="s">
        <v>679</v>
      </c>
      <c r="C50" s="0" t="s">
        <v>680</v>
      </c>
    </row>
    <row r="51" customFormat="false" ht="15" hidden="false" customHeight="false" outlineLevel="0" collapsed="false">
      <c r="A51" s="0" t="s">
        <v>681</v>
      </c>
      <c r="B51" s="0" t="s">
        <v>682</v>
      </c>
      <c r="C51" s="0" t="s">
        <v>683</v>
      </c>
    </row>
    <row r="52" customFormat="false" ht="15" hidden="false" customHeight="false" outlineLevel="0" collapsed="false">
      <c r="A52" s="0" t="s">
        <v>684</v>
      </c>
      <c r="B52" s="0" t="s">
        <v>685</v>
      </c>
      <c r="C52" s="0" t="s">
        <v>686</v>
      </c>
    </row>
    <row r="53" customFormat="false" ht="15" hidden="false" customHeight="false" outlineLevel="0" collapsed="false">
      <c r="A53" s="0" t="s">
        <v>687</v>
      </c>
      <c r="B53" s="0" t="s">
        <v>688</v>
      </c>
      <c r="C53" s="0" t="s">
        <v>689</v>
      </c>
    </row>
    <row r="54" customFormat="false" ht="15" hidden="false" customHeight="false" outlineLevel="0" collapsed="false">
      <c r="A54" s="0" t="s">
        <v>690</v>
      </c>
      <c r="B54" s="0" t="s">
        <v>691</v>
      </c>
      <c r="C54" s="0" t="s">
        <v>692</v>
      </c>
    </row>
    <row r="55" customFormat="false" ht="15" hidden="false" customHeight="false" outlineLevel="0" collapsed="false">
      <c r="A55" s="0" t="s">
        <v>693</v>
      </c>
      <c r="B55" s="0" t="s">
        <v>694</v>
      </c>
      <c r="C55" s="0" t="s">
        <v>695</v>
      </c>
    </row>
    <row r="56" customFormat="false" ht="15" hidden="false" customHeight="false" outlineLevel="0" collapsed="false">
      <c r="A56" s="0" t="s">
        <v>696</v>
      </c>
      <c r="B56" s="0" t="s">
        <v>697</v>
      </c>
      <c r="C56" s="0" t="s">
        <v>698</v>
      </c>
    </row>
    <row r="57" customFormat="false" ht="15" hidden="false" customHeight="false" outlineLevel="0" collapsed="false">
      <c r="A57" s="0" t="s">
        <v>699</v>
      </c>
      <c r="B57" s="0" t="s">
        <v>700</v>
      </c>
      <c r="C57" s="0" t="s">
        <v>701</v>
      </c>
    </row>
    <row r="58" customFormat="false" ht="15" hidden="false" customHeight="false" outlineLevel="0" collapsed="false">
      <c r="A58" s="0" t="s">
        <v>702</v>
      </c>
      <c r="B58" s="0" t="s">
        <v>703</v>
      </c>
      <c r="C58" s="0" t="s">
        <v>698</v>
      </c>
    </row>
    <row r="59" customFormat="false" ht="15" hidden="false" customHeight="false" outlineLevel="0" collapsed="false">
      <c r="A59" s="0" t="s">
        <v>704</v>
      </c>
      <c r="B59" s="0" t="s">
        <v>705</v>
      </c>
      <c r="C59" s="0" t="s">
        <v>701</v>
      </c>
    </row>
    <row r="60" customFormat="false" ht="15" hidden="false" customHeight="false" outlineLevel="0" collapsed="false">
      <c r="A60" s="0" t="s">
        <v>706</v>
      </c>
      <c r="B60" s="0" t="s">
        <v>707</v>
      </c>
      <c r="C60" s="0" t="s">
        <v>698</v>
      </c>
    </row>
    <row r="61" customFormat="false" ht="15" hidden="false" customHeight="false" outlineLevel="0" collapsed="false">
      <c r="A61" s="0" t="s">
        <v>708</v>
      </c>
      <c r="B61" s="0" t="s">
        <v>709</v>
      </c>
      <c r="C61" s="0" t="s">
        <v>710</v>
      </c>
    </row>
    <row r="62" customFormat="false" ht="15" hidden="false" customHeight="false" outlineLevel="0" collapsed="false">
      <c r="A62" s="0" t="s">
        <v>711</v>
      </c>
      <c r="B62" s="0" t="s">
        <v>712</v>
      </c>
      <c r="C62" s="0" t="s">
        <v>710</v>
      </c>
    </row>
    <row r="63" customFormat="false" ht="15" hidden="false" customHeight="false" outlineLevel="0" collapsed="false">
      <c r="A63" s="0" t="s">
        <v>713</v>
      </c>
      <c r="B63" s="0" t="s">
        <v>714</v>
      </c>
      <c r="C63" s="0" t="s">
        <v>715</v>
      </c>
    </row>
    <row r="64" customFormat="false" ht="15" hidden="false" customHeight="false" outlineLevel="0" collapsed="false">
      <c r="A64" s="0" t="s">
        <v>716</v>
      </c>
      <c r="B64" s="0" t="s">
        <v>717</v>
      </c>
      <c r="C64" s="0" t="s">
        <v>718</v>
      </c>
    </row>
    <row r="65" customFormat="false" ht="15" hidden="false" customHeight="false" outlineLevel="0" collapsed="false">
      <c r="A65" s="0" t="s">
        <v>719</v>
      </c>
      <c r="B65" s="0" t="s">
        <v>720</v>
      </c>
      <c r="C65" s="0" t="s">
        <v>721</v>
      </c>
    </row>
    <row r="66" customFormat="false" ht="15" hidden="false" customHeight="false" outlineLevel="0" collapsed="false">
      <c r="A66" s="0" t="s">
        <v>722</v>
      </c>
      <c r="B66" s="0" t="s">
        <v>723</v>
      </c>
      <c r="C66" s="0" t="s">
        <v>710</v>
      </c>
    </row>
    <row r="67" customFormat="false" ht="15" hidden="false" customHeight="false" outlineLevel="0" collapsed="false">
      <c r="A67" s="0" t="s">
        <v>724</v>
      </c>
      <c r="B67" s="0" t="s">
        <v>725</v>
      </c>
      <c r="C67" s="0" t="s">
        <v>715</v>
      </c>
    </row>
    <row r="68" customFormat="false" ht="15" hidden="false" customHeight="false" outlineLevel="0" collapsed="false">
      <c r="A68" s="0" t="s">
        <v>726</v>
      </c>
      <c r="B68" s="0" t="s">
        <v>727</v>
      </c>
      <c r="C68" s="0" t="s">
        <v>715</v>
      </c>
    </row>
    <row r="69" customFormat="false" ht="15" hidden="false" customHeight="false" outlineLevel="0" collapsed="false">
      <c r="A69" s="0" t="s">
        <v>728</v>
      </c>
      <c r="B69" s="0" t="s">
        <v>729</v>
      </c>
      <c r="C69" s="0" t="s">
        <v>730</v>
      </c>
    </row>
    <row r="70" customFormat="false" ht="15" hidden="false" customHeight="false" outlineLevel="0" collapsed="false">
      <c r="A70" s="0" t="s">
        <v>731</v>
      </c>
      <c r="B70" s="0" t="s">
        <v>732</v>
      </c>
      <c r="C70" s="0" t="s">
        <v>733</v>
      </c>
    </row>
    <row r="71" customFormat="false" ht="15" hidden="false" customHeight="false" outlineLevel="0" collapsed="false">
      <c r="A71" s="0" t="s">
        <v>734</v>
      </c>
      <c r="B71" s="0" t="s">
        <v>735</v>
      </c>
      <c r="C71" s="0" t="s">
        <v>736</v>
      </c>
    </row>
    <row r="72" customFormat="false" ht="15" hidden="false" customHeight="false" outlineLevel="0" collapsed="false">
      <c r="A72" s="0" t="s">
        <v>737</v>
      </c>
      <c r="B72" s="0" t="s">
        <v>738</v>
      </c>
      <c r="C72" s="0" t="s">
        <v>739</v>
      </c>
    </row>
    <row r="73" customFormat="false" ht="15" hidden="false" customHeight="false" outlineLevel="0" collapsed="false">
      <c r="A73" s="0" t="s">
        <v>740</v>
      </c>
      <c r="B73" s="0" t="s">
        <v>741</v>
      </c>
      <c r="C73" s="0" t="s">
        <v>742</v>
      </c>
    </row>
    <row r="74" customFormat="false" ht="15" hidden="false" customHeight="false" outlineLevel="0" collapsed="false">
      <c r="A74" s="0" t="s">
        <v>743</v>
      </c>
      <c r="B74" s="0" t="s">
        <v>744</v>
      </c>
      <c r="C74" s="0" t="s">
        <v>745</v>
      </c>
    </row>
    <row r="75" customFormat="false" ht="15" hidden="false" customHeight="false" outlineLevel="0" collapsed="false">
      <c r="A75" s="0" t="s">
        <v>746</v>
      </c>
      <c r="B75" s="0" t="s">
        <v>747</v>
      </c>
      <c r="C75" s="0" t="s">
        <v>748</v>
      </c>
    </row>
    <row r="76" customFormat="false" ht="15" hidden="false" customHeight="false" outlineLevel="0" collapsed="false">
      <c r="A76" s="0" t="s">
        <v>749</v>
      </c>
      <c r="B76" s="0" t="s">
        <v>750</v>
      </c>
      <c r="C76" s="0" t="s">
        <v>751</v>
      </c>
    </row>
    <row r="77" customFormat="false" ht="15" hidden="false" customHeight="false" outlineLevel="0" collapsed="false">
      <c r="A77" s="0" t="s">
        <v>752</v>
      </c>
      <c r="B77" s="0" t="s">
        <v>753</v>
      </c>
      <c r="C77" s="0" t="s">
        <v>754</v>
      </c>
    </row>
    <row r="78" customFormat="false" ht="15" hidden="false" customHeight="false" outlineLevel="0" collapsed="false">
      <c r="A78" s="0" t="s">
        <v>755</v>
      </c>
      <c r="B78" s="0" t="s">
        <v>756</v>
      </c>
      <c r="C78" s="0" t="s">
        <v>757</v>
      </c>
    </row>
    <row r="79" customFormat="false" ht="15" hidden="false" customHeight="false" outlineLevel="0" collapsed="false">
      <c r="A79" s="0" t="s">
        <v>758</v>
      </c>
      <c r="B79" s="0" t="s">
        <v>759</v>
      </c>
      <c r="C79" s="0" t="s">
        <v>760</v>
      </c>
    </row>
    <row r="80" customFormat="false" ht="15" hidden="false" customHeight="false" outlineLevel="0" collapsed="false">
      <c r="A80" s="0" t="s">
        <v>761</v>
      </c>
      <c r="B80" s="0" t="s">
        <v>762</v>
      </c>
      <c r="C80" s="0" t="s">
        <v>763</v>
      </c>
    </row>
    <row r="81" customFormat="false" ht="15" hidden="false" customHeight="false" outlineLevel="0" collapsed="false">
      <c r="A81" s="0" t="s">
        <v>764</v>
      </c>
      <c r="B81" s="0" t="s">
        <v>765</v>
      </c>
      <c r="C81" s="0" t="s">
        <v>766</v>
      </c>
    </row>
    <row r="82" customFormat="false" ht="15" hidden="false" customHeight="false" outlineLevel="0" collapsed="false">
      <c r="A82" s="0" t="s">
        <v>767</v>
      </c>
      <c r="B82" s="0" t="s">
        <v>768</v>
      </c>
      <c r="C82" s="0" t="s">
        <v>760</v>
      </c>
    </row>
    <row r="83" customFormat="false" ht="15" hidden="false" customHeight="false" outlineLevel="0" collapsed="false">
      <c r="A83" s="0" t="s">
        <v>769</v>
      </c>
      <c r="B83" s="0" t="s">
        <v>770</v>
      </c>
      <c r="C83" s="0" t="s">
        <v>760</v>
      </c>
    </row>
    <row r="84" customFormat="false" ht="15" hidden="false" customHeight="false" outlineLevel="0" collapsed="false">
      <c r="A84" s="0" t="s">
        <v>771</v>
      </c>
      <c r="B84" s="0" t="s">
        <v>772</v>
      </c>
      <c r="C84" s="0" t="s">
        <v>760</v>
      </c>
    </row>
    <row r="85" customFormat="false" ht="15" hidden="false" customHeight="false" outlineLevel="0" collapsed="false">
      <c r="A85" s="0" t="s">
        <v>773</v>
      </c>
      <c r="B85" s="0" t="s">
        <v>774</v>
      </c>
      <c r="C85" s="0" t="s">
        <v>760</v>
      </c>
    </row>
    <row r="86" customFormat="false" ht="15" hidden="false" customHeight="false" outlineLevel="0" collapsed="false">
      <c r="A86" s="0" t="s">
        <v>775</v>
      </c>
      <c r="B86" s="0" t="s">
        <v>776</v>
      </c>
      <c r="C86" s="0" t="s">
        <v>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0"/>
    <col collapsed="false" customWidth="true" hidden="false" outlineLevel="0" max="5" min="5" style="0" width="21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0" t="s">
        <v>778</v>
      </c>
    </row>
    <row r="2" customFormat="false" ht="15" hidden="false" customHeight="false" outlineLevel="0" collapsed="false">
      <c r="A2" s="0" t="s">
        <v>779</v>
      </c>
      <c r="B2" s="0" t="s">
        <v>780</v>
      </c>
      <c r="C2" s="0" t="s">
        <v>781</v>
      </c>
      <c r="D2" s="0" t="s">
        <v>782</v>
      </c>
      <c r="E2" s="0" t="s">
        <v>783</v>
      </c>
      <c r="F2" s="0" t="s">
        <v>784</v>
      </c>
    </row>
    <row r="3" customFormat="false" ht="15" hidden="false" customHeight="false" outlineLevel="0" collapsed="false">
      <c r="A3" s="0" t="s">
        <v>785</v>
      </c>
      <c r="B3" s="0" t="s">
        <v>786</v>
      </c>
      <c r="C3" s="0" t="s">
        <v>787</v>
      </c>
      <c r="D3" s="0" t="s">
        <v>788</v>
      </c>
      <c r="E3" s="0" t="s">
        <v>789</v>
      </c>
      <c r="F3" s="0" t="s">
        <v>790</v>
      </c>
    </row>
    <row r="4" customFormat="false" ht="15" hidden="false" customHeight="false" outlineLevel="0" collapsed="false">
      <c r="A4" s="0" t="s">
        <v>791</v>
      </c>
      <c r="B4" s="0" t="s">
        <v>786</v>
      </c>
      <c r="C4" s="0" t="s">
        <v>787</v>
      </c>
      <c r="D4" s="0" t="s">
        <v>792</v>
      </c>
      <c r="E4" s="0" t="s">
        <v>789</v>
      </c>
      <c r="F4" s="0" t="s">
        <v>793</v>
      </c>
    </row>
    <row r="5" customFormat="false" ht="15" hidden="false" customHeight="false" outlineLevel="0" collapsed="false">
      <c r="A5" s="0" t="s">
        <v>794</v>
      </c>
      <c r="B5" s="0" t="s">
        <v>786</v>
      </c>
      <c r="C5" s="0" t="s">
        <v>787</v>
      </c>
      <c r="D5" s="0" t="s">
        <v>795</v>
      </c>
      <c r="E5" s="0" t="s">
        <v>789</v>
      </c>
      <c r="F5" s="0" t="s">
        <v>796</v>
      </c>
    </row>
    <row r="6" customFormat="false" ht="15" hidden="false" customHeight="false" outlineLevel="0" collapsed="false">
      <c r="A6" s="0" t="s">
        <v>797</v>
      </c>
      <c r="B6" s="0" t="s">
        <v>786</v>
      </c>
      <c r="C6" s="0" t="s">
        <v>787</v>
      </c>
      <c r="D6" s="0" t="s">
        <v>798</v>
      </c>
      <c r="E6" s="0" t="s">
        <v>789</v>
      </c>
      <c r="F6" s="0" t="s">
        <v>799</v>
      </c>
    </row>
    <row r="7" customFormat="false" ht="15" hidden="false" customHeight="false" outlineLevel="0" collapsed="false">
      <c r="A7" s="0" t="s">
        <v>800</v>
      </c>
      <c r="B7" s="0" t="s">
        <v>786</v>
      </c>
      <c r="C7" s="0" t="s">
        <v>787</v>
      </c>
      <c r="D7" s="0" t="s">
        <v>801</v>
      </c>
      <c r="E7" s="0" t="s">
        <v>802</v>
      </c>
      <c r="F7" s="0" t="s">
        <v>803</v>
      </c>
    </row>
    <row r="8" customFormat="false" ht="15" hidden="false" customHeight="false" outlineLevel="0" collapsed="false">
      <c r="A8" s="0" t="s">
        <v>804</v>
      </c>
      <c r="B8" s="0" t="s">
        <v>786</v>
      </c>
      <c r="C8" s="0" t="s">
        <v>805</v>
      </c>
      <c r="D8" s="0" t="s">
        <v>806</v>
      </c>
      <c r="E8" s="0" t="s">
        <v>802</v>
      </c>
      <c r="F8" s="0" t="s">
        <v>807</v>
      </c>
    </row>
    <row r="9" customFormat="false" ht="15" hidden="false" customHeight="false" outlineLevel="0" collapsed="false">
      <c r="A9" s="0" t="s">
        <v>808</v>
      </c>
      <c r="B9" s="0" t="s">
        <v>786</v>
      </c>
      <c r="C9" s="0" t="s">
        <v>809</v>
      </c>
      <c r="D9" s="0" t="s">
        <v>810</v>
      </c>
      <c r="E9" s="0" t="s">
        <v>789</v>
      </c>
      <c r="F9" s="0" t="s">
        <v>811</v>
      </c>
    </row>
    <row r="10" customFormat="false" ht="15" hidden="false" customHeight="false" outlineLevel="0" collapsed="false">
      <c r="A10" s="0" t="s">
        <v>812</v>
      </c>
      <c r="B10" s="0" t="s">
        <v>786</v>
      </c>
      <c r="C10" s="0" t="s">
        <v>809</v>
      </c>
      <c r="D10" s="0" t="s">
        <v>813</v>
      </c>
      <c r="E10" s="0" t="s">
        <v>789</v>
      </c>
      <c r="F10" s="0" t="s">
        <v>814</v>
      </c>
    </row>
    <row r="11" customFormat="false" ht="15" hidden="false" customHeight="false" outlineLevel="0" collapsed="false">
      <c r="A11" s="0" t="s">
        <v>815</v>
      </c>
      <c r="B11" s="0" t="s">
        <v>786</v>
      </c>
      <c r="C11" s="0" t="s">
        <v>816</v>
      </c>
      <c r="D11" s="0" t="s">
        <v>817</v>
      </c>
      <c r="E11" s="0" t="s">
        <v>818</v>
      </c>
      <c r="F11" s="0" t="s">
        <v>819</v>
      </c>
    </row>
    <row r="12" customFormat="false" ht="15" hidden="false" customHeight="false" outlineLevel="0" collapsed="false">
      <c r="A12" s="0" t="s">
        <v>820</v>
      </c>
      <c r="B12" s="0" t="s">
        <v>786</v>
      </c>
      <c r="C12" s="0" t="s">
        <v>816</v>
      </c>
      <c r="D12" s="0" t="s">
        <v>821</v>
      </c>
      <c r="E12" s="0" t="s">
        <v>818</v>
      </c>
      <c r="F12" s="0" t="s">
        <v>819</v>
      </c>
    </row>
    <row r="13" customFormat="false" ht="15" hidden="false" customHeight="false" outlineLevel="0" collapsed="false">
      <c r="A13" s="0" t="s">
        <v>822</v>
      </c>
      <c r="B13" s="0" t="s">
        <v>786</v>
      </c>
      <c r="C13" s="0" t="s">
        <v>823</v>
      </c>
      <c r="D13" s="0" t="s">
        <v>824</v>
      </c>
      <c r="E13" s="0" t="s">
        <v>789</v>
      </c>
      <c r="F13" s="0" t="s">
        <v>825</v>
      </c>
    </row>
    <row r="14" customFormat="false" ht="15" hidden="false" customHeight="false" outlineLevel="0" collapsed="false">
      <c r="A14" s="0" t="s">
        <v>826</v>
      </c>
      <c r="B14" s="0" t="s">
        <v>786</v>
      </c>
      <c r="C14" s="0" t="s">
        <v>823</v>
      </c>
      <c r="D14" s="0" t="s">
        <v>827</v>
      </c>
      <c r="E14" s="0" t="s">
        <v>789</v>
      </c>
      <c r="F14" s="0" t="s">
        <v>828</v>
      </c>
    </row>
    <row r="15" customFormat="false" ht="15" hidden="false" customHeight="false" outlineLevel="0" collapsed="false">
      <c r="A15" s="0" t="s">
        <v>829</v>
      </c>
      <c r="B15" s="0" t="s">
        <v>786</v>
      </c>
      <c r="C15" s="0" t="s">
        <v>823</v>
      </c>
      <c r="D15" s="0" t="s">
        <v>830</v>
      </c>
      <c r="E15" s="0" t="s">
        <v>789</v>
      </c>
      <c r="F15" s="0" t="s">
        <v>831</v>
      </c>
    </row>
    <row r="16" customFormat="false" ht="15" hidden="false" customHeight="false" outlineLevel="0" collapsed="false">
      <c r="A16" s="0" t="s">
        <v>832</v>
      </c>
      <c r="B16" s="0" t="s">
        <v>786</v>
      </c>
      <c r="C16" s="0" t="s">
        <v>833</v>
      </c>
      <c r="D16" s="0" t="s">
        <v>834</v>
      </c>
      <c r="E16" s="0" t="s">
        <v>789</v>
      </c>
      <c r="F16" s="0" t="s">
        <v>835</v>
      </c>
    </row>
    <row r="17" customFormat="false" ht="15" hidden="false" customHeight="false" outlineLevel="0" collapsed="false">
      <c r="A17" s="0" t="s">
        <v>836</v>
      </c>
      <c r="B17" s="0" t="s">
        <v>786</v>
      </c>
      <c r="C17" s="0" t="s">
        <v>837</v>
      </c>
      <c r="D17" s="0" t="s">
        <v>838</v>
      </c>
      <c r="E17" s="0" t="s">
        <v>789</v>
      </c>
      <c r="F17" s="0" t="s">
        <v>839</v>
      </c>
    </row>
    <row r="18" customFormat="false" ht="15" hidden="false" customHeight="false" outlineLevel="0" collapsed="false">
      <c r="A18" s="0" t="s">
        <v>840</v>
      </c>
      <c r="B18" s="0" t="s">
        <v>786</v>
      </c>
      <c r="C18" s="0" t="s">
        <v>837</v>
      </c>
      <c r="D18" s="0" t="s">
        <v>841</v>
      </c>
      <c r="E18" s="0" t="s">
        <v>789</v>
      </c>
      <c r="F18" s="0" t="s">
        <v>842</v>
      </c>
    </row>
    <row r="19" customFormat="false" ht="15" hidden="false" customHeight="false" outlineLevel="0" collapsed="false">
      <c r="A19" s="0" t="s">
        <v>843</v>
      </c>
      <c r="B19" s="0" t="s">
        <v>786</v>
      </c>
      <c r="C19" s="0" t="s">
        <v>837</v>
      </c>
      <c r="D19" s="0" t="s">
        <v>844</v>
      </c>
      <c r="E19" s="0" t="s">
        <v>789</v>
      </c>
      <c r="F19" s="0" t="s">
        <v>845</v>
      </c>
    </row>
    <row r="20" customFormat="false" ht="15" hidden="false" customHeight="false" outlineLevel="0" collapsed="false">
      <c r="A20" s="0" t="s">
        <v>846</v>
      </c>
      <c r="B20" s="0" t="s">
        <v>786</v>
      </c>
      <c r="C20" s="0" t="s">
        <v>837</v>
      </c>
      <c r="D20" s="0" t="s">
        <v>847</v>
      </c>
      <c r="E20" s="0" t="s">
        <v>789</v>
      </c>
      <c r="F20" s="0" t="s">
        <v>848</v>
      </c>
    </row>
    <row r="21" customFormat="false" ht="15" hidden="false" customHeight="false" outlineLevel="0" collapsed="false">
      <c r="A21" s="0" t="s">
        <v>849</v>
      </c>
      <c r="B21" s="0" t="s">
        <v>786</v>
      </c>
      <c r="C21" s="0" t="s">
        <v>837</v>
      </c>
      <c r="D21" s="0" t="s">
        <v>850</v>
      </c>
      <c r="E21" s="0" t="s">
        <v>789</v>
      </c>
      <c r="F21" s="0" t="s">
        <v>851</v>
      </c>
    </row>
    <row r="22" customFormat="false" ht="15" hidden="false" customHeight="false" outlineLevel="0" collapsed="false">
      <c r="A22" s="0" t="s">
        <v>852</v>
      </c>
      <c r="B22" s="0" t="s">
        <v>786</v>
      </c>
      <c r="C22" s="0" t="s">
        <v>837</v>
      </c>
      <c r="D22" s="0" t="s">
        <v>853</v>
      </c>
      <c r="E22" s="0" t="s">
        <v>789</v>
      </c>
      <c r="F22" s="0" t="s">
        <v>854</v>
      </c>
    </row>
    <row r="23" customFormat="false" ht="15" hidden="false" customHeight="false" outlineLevel="0" collapsed="false">
      <c r="A23" s="0" t="s">
        <v>855</v>
      </c>
      <c r="B23" s="0" t="s">
        <v>786</v>
      </c>
      <c r="C23" s="0" t="s">
        <v>837</v>
      </c>
      <c r="D23" s="0" t="s">
        <v>856</v>
      </c>
      <c r="E23" s="0" t="s">
        <v>789</v>
      </c>
      <c r="F23" s="0" t="s">
        <v>857</v>
      </c>
    </row>
    <row r="24" customFormat="false" ht="15" hidden="false" customHeight="false" outlineLevel="0" collapsed="false">
      <c r="A24" s="0" t="s">
        <v>858</v>
      </c>
      <c r="B24" s="0" t="s">
        <v>786</v>
      </c>
      <c r="C24" s="0" t="s">
        <v>837</v>
      </c>
      <c r="D24" s="0" t="s">
        <v>859</v>
      </c>
      <c r="E24" s="0" t="s">
        <v>789</v>
      </c>
      <c r="F24" s="0" t="s">
        <v>860</v>
      </c>
    </row>
    <row r="25" customFormat="false" ht="15" hidden="false" customHeight="false" outlineLevel="0" collapsed="false">
      <c r="A25" s="0" t="s">
        <v>861</v>
      </c>
      <c r="B25" s="0" t="s">
        <v>786</v>
      </c>
      <c r="C25" s="0" t="s">
        <v>862</v>
      </c>
      <c r="D25" s="0" t="s">
        <v>863</v>
      </c>
      <c r="E25" s="0" t="s">
        <v>818</v>
      </c>
      <c r="F25" s="0" t="s">
        <v>819</v>
      </c>
    </row>
    <row r="26" customFormat="false" ht="15" hidden="false" customHeight="false" outlineLevel="0" collapsed="false">
      <c r="A26" s="0" t="s">
        <v>864</v>
      </c>
      <c r="B26" s="0" t="s">
        <v>786</v>
      </c>
      <c r="C26" s="0" t="s">
        <v>865</v>
      </c>
      <c r="D26" s="0" t="s">
        <v>866</v>
      </c>
      <c r="E26" s="0" t="s">
        <v>789</v>
      </c>
      <c r="F26" s="0" t="s">
        <v>867</v>
      </c>
    </row>
    <row r="27" customFormat="false" ht="15" hidden="false" customHeight="false" outlineLevel="0" collapsed="false">
      <c r="A27" s="0" t="s">
        <v>868</v>
      </c>
      <c r="B27" s="0" t="s">
        <v>786</v>
      </c>
      <c r="C27" s="0" t="s">
        <v>865</v>
      </c>
      <c r="D27" s="0" t="s">
        <v>869</v>
      </c>
      <c r="E27" s="0" t="s">
        <v>789</v>
      </c>
      <c r="F27" s="0" t="s">
        <v>870</v>
      </c>
    </row>
    <row r="28" customFormat="false" ht="15" hidden="false" customHeight="false" outlineLevel="0" collapsed="false">
      <c r="A28" s="0" t="s">
        <v>871</v>
      </c>
      <c r="B28" s="0" t="s">
        <v>786</v>
      </c>
      <c r="C28" s="0" t="s">
        <v>865</v>
      </c>
      <c r="D28" s="0" t="s">
        <v>872</v>
      </c>
      <c r="E28" s="0" t="s">
        <v>789</v>
      </c>
      <c r="F28" s="0" t="s">
        <v>873</v>
      </c>
    </row>
    <row r="29" customFormat="false" ht="15" hidden="false" customHeight="false" outlineLevel="0" collapsed="false">
      <c r="A29" s="0" t="s">
        <v>874</v>
      </c>
      <c r="B29" s="0" t="s">
        <v>786</v>
      </c>
      <c r="C29" s="0" t="s">
        <v>865</v>
      </c>
      <c r="D29" s="0" t="s">
        <v>875</v>
      </c>
      <c r="E29" s="0" t="s">
        <v>789</v>
      </c>
      <c r="F29" s="0" t="s">
        <v>876</v>
      </c>
    </row>
    <row r="30" customFormat="false" ht="15" hidden="false" customHeight="false" outlineLevel="0" collapsed="false">
      <c r="A30" s="0" t="s">
        <v>877</v>
      </c>
      <c r="B30" s="0" t="s">
        <v>786</v>
      </c>
      <c r="C30" s="0" t="s">
        <v>865</v>
      </c>
      <c r="D30" s="0" t="s">
        <v>878</v>
      </c>
      <c r="E30" s="0" t="s">
        <v>789</v>
      </c>
      <c r="F30" s="0" t="s">
        <v>879</v>
      </c>
    </row>
    <row r="31" customFormat="false" ht="15" hidden="false" customHeight="false" outlineLevel="0" collapsed="false">
      <c r="A31" s="0" t="s">
        <v>880</v>
      </c>
      <c r="B31" s="0" t="s">
        <v>786</v>
      </c>
      <c r="C31" s="0" t="s">
        <v>865</v>
      </c>
      <c r="D31" s="0" t="s">
        <v>881</v>
      </c>
      <c r="E31" s="0" t="s">
        <v>789</v>
      </c>
      <c r="F31" s="0" t="s">
        <v>882</v>
      </c>
    </row>
    <row r="32" customFormat="false" ht="15" hidden="false" customHeight="false" outlineLevel="0" collapsed="false">
      <c r="A32" s="0" t="s">
        <v>883</v>
      </c>
      <c r="B32" s="0" t="s">
        <v>786</v>
      </c>
      <c r="C32" s="0" t="s">
        <v>865</v>
      </c>
      <c r="D32" s="0" t="s">
        <v>884</v>
      </c>
      <c r="E32" s="0" t="s">
        <v>789</v>
      </c>
      <c r="F32" s="0" t="s">
        <v>885</v>
      </c>
    </row>
    <row r="33" customFormat="false" ht="15" hidden="false" customHeight="false" outlineLevel="0" collapsed="false">
      <c r="A33" s="0" t="s">
        <v>886</v>
      </c>
      <c r="B33" s="0" t="s">
        <v>786</v>
      </c>
      <c r="C33" s="0" t="s">
        <v>865</v>
      </c>
      <c r="D33" s="0" t="s">
        <v>887</v>
      </c>
      <c r="E33" s="0" t="s">
        <v>888</v>
      </c>
      <c r="F33" s="0" t="s">
        <v>889</v>
      </c>
    </row>
    <row r="34" customFormat="false" ht="15" hidden="false" customHeight="false" outlineLevel="0" collapsed="false">
      <c r="A34" s="0" t="s">
        <v>890</v>
      </c>
      <c r="B34" s="0" t="s">
        <v>786</v>
      </c>
      <c r="C34" s="0" t="s">
        <v>865</v>
      </c>
      <c r="D34" s="0" t="s">
        <v>891</v>
      </c>
      <c r="E34" s="0" t="s">
        <v>888</v>
      </c>
      <c r="F34" s="0" t="s">
        <v>892</v>
      </c>
    </row>
    <row r="35" customFormat="false" ht="15" hidden="false" customHeight="false" outlineLevel="0" collapsed="false">
      <c r="A35" s="0" t="s">
        <v>893</v>
      </c>
      <c r="B35" s="0" t="s">
        <v>786</v>
      </c>
      <c r="C35" s="0" t="s">
        <v>865</v>
      </c>
      <c r="D35" s="0" t="s">
        <v>894</v>
      </c>
      <c r="E35" s="0" t="s">
        <v>888</v>
      </c>
      <c r="F35" s="0" t="s">
        <v>895</v>
      </c>
    </row>
    <row r="36" customFormat="false" ht="15" hidden="false" customHeight="false" outlineLevel="0" collapsed="false">
      <c r="A36" s="0" t="s">
        <v>896</v>
      </c>
      <c r="B36" s="0" t="s">
        <v>786</v>
      </c>
      <c r="C36" s="0" t="s">
        <v>865</v>
      </c>
      <c r="D36" s="0" t="s">
        <v>897</v>
      </c>
      <c r="E36" s="0" t="s">
        <v>888</v>
      </c>
      <c r="F36" s="0" t="s">
        <v>898</v>
      </c>
    </row>
    <row r="37" customFormat="false" ht="15" hidden="false" customHeight="false" outlineLevel="0" collapsed="false">
      <c r="A37" s="0" t="s">
        <v>899</v>
      </c>
      <c r="B37" s="0" t="s">
        <v>786</v>
      </c>
      <c r="C37" s="0" t="s">
        <v>865</v>
      </c>
      <c r="D37" s="0" t="s">
        <v>900</v>
      </c>
      <c r="E37" s="0" t="s">
        <v>888</v>
      </c>
      <c r="F37" s="0" t="s">
        <v>901</v>
      </c>
    </row>
    <row r="38" customFormat="false" ht="15" hidden="false" customHeight="false" outlineLevel="0" collapsed="false">
      <c r="A38" s="0" t="s">
        <v>902</v>
      </c>
      <c r="B38" s="0" t="s">
        <v>786</v>
      </c>
      <c r="C38" s="0" t="s">
        <v>865</v>
      </c>
      <c r="D38" s="0" t="s">
        <v>903</v>
      </c>
      <c r="E38" s="0" t="s">
        <v>888</v>
      </c>
      <c r="F38" s="0" t="s">
        <v>904</v>
      </c>
    </row>
    <row r="39" customFormat="false" ht="15" hidden="false" customHeight="false" outlineLevel="0" collapsed="false">
      <c r="A39" s="0" t="s">
        <v>905</v>
      </c>
      <c r="B39" s="0" t="s">
        <v>786</v>
      </c>
      <c r="C39" s="0" t="s">
        <v>865</v>
      </c>
      <c r="D39" s="0" t="s">
        <v>906</v>
      </c>
      <c r="E39" s="0" t="s">
        <v>888</v>
      </c>
      <c r="F39" s="0" t="s">
        <v>907</v>
      </c>
    </row>
    <row r="40" customFormat="false" ht="15" hidden="false" customHeight="false" outlineLevel="0" collapsed="false">
      <c r="A40" s="0" t="s">
        <v>908</v>
      </c>
      <c r="B40" s="0" t="s">
        <v>786</v>
      </c>
      <c r="C40" s="0" t="s">
        <v>865</v>
      </c>
      <c r="D40" s="0" t="s">
        <v>909</v>
      </c>
      <c r="E40" s="0" t="s">
        <v>888</v>
      </c>
      <c r="F40" s="0" t="s">
        <v>910</v>
      </c>
    </row>
    <row r="41" customFormat="false" ht="15" hidden="false" customHeight="false" outlineLevel="0" collapsed="false">
      <c r="A41" s="0" t="s">
        <v>911</v>
      </c>
      <c r="B41" s="0" t="s">
        <v>786</v>
      </c>
      <c r="C41" s="0" t="s">
        <v>912</v>
      </c>
      <c r="D41" s="0" t="s">
        <v>913</v>
      </c>
      <c r="E41" s="0" t="s">
        <v>789</v>
      </c>
      <c r="F41" s="0" t="s">
        <v>914</v>
      </c>
    </row>
    <row r="42" customFormat="false" ht="15" hidden="false" customHeight="false" outlineLevel="0" collapsed="false">
      <c r="A42" s="0" t="s">
        <v>915</v>
      </c>
      <c r="B42" s="0" t="s">
        <v>786</v>
      </c>
      <c r="C42" s="0" t="s">
        <v>912</v>
      </c>
      <c r="D42" s="0" t="s">
        <v>916</v>
      </c>
      <c r="E42" s="0" t="s">
        <v>789</v>
      </c>
      <c r="F42" s="0" t="s">
        <v>917</v>
      </c>
    </row>
    <row r="43" customFormat="false" ht="15" hidden="false" customHeight="false" outlineLevel="0" collapsed="false">
      <c r="A43" s="0" t="s">
        <v>918</v>
      </c>
      <c r="B43" s="0" t="s">
        <v>786</v>
      </c>
      <c r="C43" s="0" t="s">
        <v>912</v>
      </c>
      <c r="D43" s="0" t="s">
        <v>919</v>
      </c>
      <c r="E43" s="0" t="s">
        <v>818</v>
      </c>
      <c r="F43" s="0" t="s">
        <v>819</v>
      </c>
    </row>
    <row r="44" customFormat="false" ht="15" hidden="false" customHeight="false" outlineLevel="0" collapsed="false">
      <c r="A44" s="0" t="s">
        <v>920</v>
      </c>
      <c r="B44" s="0" t="s">
        <v>786</v>
      </c>
      <c r="C44" s="0" t="s">
        <v>912</v>
      </c>
      <c r="D44" s="0" t="s">
        <v>921</v>
      </c>
      <c r="E44" s="0" t="s">
        <v>818</v>
      </c>
      <c r="F44" s="0" t="s">
        <v>819</v>
      </c>
    </row>
    <row r="45" customFormat="false" ht="15" hidden="false" customHeight="false" outlineLevel="0" collapsed="false">
      <c r="A45" s="0" t="s">
        <v>922</v>
      </c>
      <c r="B45" s="0" t="s">
        <v>786</v>
      </c>
      <c r="C45" s="0" t="s">
        <v>912</v>
      </c>
      <c r="D45" s="0" t="s">
        <v>923</v>
      </c>
      <c r="E45" s="0" t="s">
        <v>818</v>
      </c>
      <c r="F45" s="0" t="s">
        <v>819</v>
      </c>
    </row>
    <row r="46" customFormat="false" ht="15" hidden="false" customHeight="false" outlineLevel="0" collapsed="false">
      <c r="A46" s="0" t="s">
        <v>924</v>
      </c>
      <c r="B46" s="0" t="s">
        <v>786</v>
      </c>
      <c r="C46" s="0" t="s">
        <v>925</v>
      </c>
      <c r="D46" s="0" t="s">
        <v>926</v>
      </c>
      <c r="E46" s="0" t="s">
        <v>818</v>
      </c>
      <c r="F46" s="0" t="s">
        <v>819</v>
      </c>
    </row>
    <row r="47" customFormat="false" ht="15" hidden="false" customHeight="false" outlineLevel="0" collapsed="false">
      <c r="A47" s="0" t="s">
        <v>927</v>
      </c>
      <c r="B47" s="0" t="s">
        <v>786</v>
      </c>
      <c r="C47" s="0" t="s">
        <v>925</v>
      </c>
      <c r="D47" s="0" t="s">
        <v>928</v>
      </c>
      <c r="E47" s="0" t="s">
        <v>802</v>
      </c>
      <c r="F47" s="0" t="s">
        <v>929</v>
      </c>
    </row>
    <row r="48" customFormat="false" ht="15" hidden="false" customHeight="false" outlineLevel="0" collapsed="false">
      <c r="A48" s="0" t="s">
        <v>930</v>
      </c>
      <c r="B48" s="0" t="s">
        <v>786</v>
      </c>
      <c r="C48" s="0" t="s">
        <v>931</v>
      </c>
      <c r="D48" s="0" t="s">
        <v>932</v>
      </c>
      <c r="E48" s="0" t="s">
        <v>802</v>
      </c>
      <c r="F48" s="0" t="s">
        <v>933</v>
      </c>
    </row>
    <row r="49" customFormat="false" ht="15" hidden="false" customHeight="false" outlineLevel="0" collapsed="false">
      <c r="A49" s="0" t="s">
        <v>934</v>
      </c>
      <c r="B49" s="0" t="s">
        <v>786</v>
      </c>
      <c r="C49" s="0" t="s">
        <v>931</v>
      </c>
      <c r="D49" s="0" t="s">
        <v>935</v>
      </c>
      <c r="E49" s="0" t="s">
        <v>802</v>
      </c>
      <c r="F49" s="0" t="s">
        <v>936</v>
      </c>
    </row>
    <row r="50" customFormat="false" ht="15" hidden="false" customHeight="false" outlineLevel="0" collapsed="false">
      <c r="A50" s="0" t="s">
        <v>937</v>
      </c>
      <c r="B50" s="0" t="s">
        <v>786</v>
      </c>
      <c r="C50" s="0" t="s">
        <v>931</v>
      </c>
      <c r="D50" s="0" t="s">
        <v>938</v>
      </c>
      <c r="E50" s="0" t="s">
        <v>802</v>
      </c>
      <c r="F50" s="0" t="s">
        <v>939</v>
      </c>
    </row>
    <row r="51" customFormat="false" ht="15" hidden="false" customHeight="false" outlineLevel="0" collapsed="false">
      <c r="A51" s="0" t="s">
        <v>940</v>
      </c>
      <c r="B51" s="0" t="s">
        <v>786</v>
      </c>
      <c r="C51" s="0" t="s">
        <v>931</v>
      </c>
      <c r="D51" s="0" t="s">
        <v>941</v>
      </c>
      <c r="E51" s="0" t="s">
        <v>818</v>
      </c>
      <c r="F51" s="0" t="s">
        <v>819</v>
      </c>
    </row>
    <row r="52" customFormat="false" ht="15" hidden="false" customHeight="false" outlineLevel="0" collapsed="false">
      <c r="A52" s="0" t="s">
        <v>942</v>
      </c>
      <c r="B52" s="0" t="s">
        <v>786</v>
      </c>
      <c r="C52" s="0" t="s">
        <v>931</v>
      </c>
      <c r="D52" s="0" t="s">
        <v>943</v>
      </c>
      <c r="E52" s="0" t="s">
        <v>802</v>
      </c>
      <c r="F52" s="0" t="s">
        <v>944</v>
      </c>
    </row>
    <row r="53" customFormat="false" ht="15" hidden="false" customHeight="false" outlineLevel="0" collapsed="false">
      <c r="A53" s="0" t="s">
        <v>945</v>
      </c>
      <c r="B53" s="0" t="s">
        <v>786</v>
      </c>
      <c r="C53" s="0" t="s">
        <v>931</v>
      </c>
      <c r="D53" s="0" t="s">
        <v>946</v>
      </c>
      <c r="E53" s="0" t="s">
        <v>802</v>
      </c>
      <c r="F53" s="0" t="s">
        <v>947</v>
      </c>
    </row>
    <row r="54" customFormat="false" ht="15" hidden="false" customHeight="false" outlineLevel="0" collapsed="false">
      <c r="A54" s="0" t="s">
        <v>948</v>
      </c>
      <c r="B54" s="0" t="s">
        <v>786</v>
      </c>
      <c r="C54" s="0" t="s">
        <v>931</v>
      </c>
      <c r="D54" s="0" t="s">
        <v>949</v>
      </c>
      <c r="E54" s="0" t="s">
        <v>802</v>
      </c>
      <c r="F54" s="0" t="s">
        <v>950</v>
      </c>
    </row>
    <row r="55" customFormat="false" ht="15" hidden="false" customHeight="false" outlineLevel="0" collapsed="false">
      <c r="A55" s="0" t="s">
        <v>951</v>
      </c>
      <c r="B55" s="0" t="s">
        <v>786</v>
      </c>
      <c r="C55" s="0" t="s">
        <v>931</v>
      </c>
      <c r="D55" s="0" t="s">
        <v>952</v>
      </c>
      <c r="E55" s="0" t="s">
        <v>802</v>
      </c>
      <c r="F55" s="0" t="s">
        <v>953</v>
      </c>
    </row>
    <row r="56" customFormat="false" ht="15" hidden="false" customHeight="false" outlineLevel="0" collapsed="false">
      <c r="A56" s="0" t="s">
        <v>954</v>
      </c>
      <c r="B56" s="0" t="s">
        <v>786</v>
      </c>
      <c r="C56" s="0" t="s">
        <v>931</v>
      </c>
      <c r="D56" s="0" t="s">
        <v>955</v>
      </c>
      <c r="E56" s="0" t="s">
        <v>802</v>
      </c>
      <c r="F56" s="0" t="s">
        <v>956</v>
      </c>
    </row>
    <row r="57" customFormat="false" ht="15" hidden="false" customHeight="false" outlineLevel="0" collapsed="false">
      <c r="A57" s="0" t="s">
        <v>957</v>
      </c>
      <c r="B57" s="0" t="s">
        <v>786</v>
      </c>
      <c r="C57" s="0" t="s">
        <v>931</v>
      </c>
      <c r="D57" s="0" t="s">
        <v>958</v>
      </c>
      <c r="E57" s="0" t="s">
        <v>802</v>
      </c>
      <c r="F57" s="0" t="s">
        <v>944</v>
      </c>
    </row>
    <row r="58" customFormat="false" ht="15" hidden="false" customHeight="false" outlineLevel="0" collapsed="false">
      <c r="A58" s="0" t="s">
        <v>959</v>
      </c>
      <c r="B58" s="0" t="s">
        <v>786</v>
      </c>
      <c r="C58" s="0" t="s">
        <v>931</v>
      </c>
      <c r="D58" s="0" t="s">
        <v>960</v>
      </c>
      <c r="E58" s="0" t="s">
        <v>802</v>
      </c>
    </row>
    <row r="59" customFormat="false" ht="15" hidden="false" customHeight="false" outlineLevel="0" collapsed="false">
      <c r="A59" s="0" t="s">
        <v>961</v>
      </c>
      <c r="B59" s="0" t="s">
        <v>786</v>
      </c>
      <c r="C59" s="0" t="s">
        <v>931</v>
      </c>
      <c r="D59" s="0" t="s">
        <v>962</v>
      </c>
      <c r="E59" s="0" t="s">
        <v>802</v>
      </c>
    </row>
    <row r="60" customFormat="false" ht="15" hidden="false" customHeight="false" outlineLevel="0" collapsed="false">
      <c r="A60" s="0" t="s">
        <v>963</v>
      </c>
      <c r="B60" s="0" t="s">
        <v>786</v>
      </c>
      <c r="C60" s="0" t="s">
        <v>931</v>
      </c>
      <c r="D60" s="0" t="s">
        <v>964</v>
      </c>
      <c r="E60" s="0" t="s">
        <v>802</v>
      </c>
    </row>
    <row r="61" customFormat="false" ht="15" hidden="false" customHeight="false" outlineLevel="0" collapsed="false">
      <c r="A61" s="0" t="s">
        <v>965</v>
      </c>
      <c r="B61" s="0" t="s">
        <v>786</v>
      </c>
      <c r="C61" s="0" t="s">
        <v>931</v>
      </c>
      <c r="D61" s="0" t="s">
        <v>966</v>
      </c>
      <c r="E61" s="0" t="s">
        <v>802</v>
      </c>
    </row>
    <row r="62" customFormat="false" ht="15" hidden="false" customHeight="false" outlineLevel="0" collapsed="false">
      <c r="A62" s="0" t="s">
        <v>967</v>
      </c>
      <c r="B62" s="0" t="s">
        <v>786</v>
      </c>
      <c r="C62" s="0" t="s">
        <v>931</v>
      </c>
      <c r="D62" s="0" t="s">
        <v>968</v>
      </c>
      <c r="E62" s="0" t="s">
        <v>802</v>
      </c>
    </row>
    <row r="63" customFormat="false" ht="15" hidden="false" customHeight="false" outlineLevel="0" collapsed="false">
      <c r="A63" s="0" t="s">
        <v>969</v>
      </c>
      <c r="B63" s="0" t="s">
        <v>786</v>
      </c>
      <c r="C63" s="0" t="s">
        <v>931</v>
      </c>
      <c r="D63" s="0" t="s">
        <v>970</v>
      </c>
      <c r="E63" s="0" t="s">
        <v>802</v>
      </c>
    </row>
    <row r="64" customFormat="false" ht="15" hidden="false" customHeight="false" outlineLevel="0" collapsed="false">
      <c r="A64" s="0" t="s">
        <v>971</v>
      </c>
      <c r="B64" s="0" t="s">
        <v>786</v>
      </c>
      <c r="C64" s="0" t="s">
        <v>931</v>
      </c>
      <c r="D64" s="0" t="s">
        <v>972</v>
      </c>
      <c r="E64" s="0" t="s">
        <v>802</v>
      </c>
    </row>
    <row r="65" customFormat="false" ht="15" hidden="false" customHeight="false" outlineLevel="0" collapsed="false">
      <c r="A65" s="0" t="s">
        <v>973</v>
      </c>
      <c r="B65" s="0" t="s">
        <v>786</v>
      </c>
      <c r="C65" s="0" t="s">
        <v>931</v>
      </c>
      <c r="D65" s="0" t="s">
        <v>974</v>
      </c>
      <c r="E65" s="0" t="s">
        <v>802</v>
      </c>
    </row>
    <row r="66" customFormat="false" ht="15" hidden="false" customHeight="false" outlineLevel="0" collapsed="false">
      <c r="A66" s="0" t="s">
        <v>975</v>
      </c>
      <c r="B66" s="0" t="s">
        <v>786</v>
      </c>
      <c r="C66" s="0" t="s">
        <v>931</v>
      </c>
      <c r="D66" s="0" t="s">
        <v>976</v>
      </c>
      <c r="E66" s="0" t="s">
        <v>802</v>
      </c>
    </row>
    <row r="67" customFormat="false" ht="15" hidden="false" customHeight="false" outlineLevel="0" collapsed="false">
      <c r="A67" s="0" t="s">
        <v>977</v>
      </c>
      <c r="B67" s="0" t="s">
        <v>786</v>
      </c>
      <c r="C67" s="0" t="s">
        <v>931</v>
      </c>
      <c r="D67" s="0" t="s">
        <v>978</v>
      </c>
      <c r="E67" s="0" t="s">
        <v>802</v>
      </c>
    </row>
    <row r="68" customFormat="false" ht="15" hidden="false" customHeight="false" outlineLevel="0" collapsed="false">
      <c r="A68" s="0" t="s">
        <v>979</v>
      </c>
      <c r="B68" s="0" t="s">
        <v>786</v>
      </c>
      <c r="C68" s="0" t="s">
        <v>931</v>
      </c>
      <c r="D68" s="0" t="s">
        <v>980</v>
      </c>
      <c r="E68" s="0" t="s">
        <v>802</v>
      </c>
    </row>
    <row r="69" customFormat="false" ht="15" hidden="false" customHeight="false" outlineLevel="0" collapsed="false">
      <c r="A69" s="0" t="s">
        <v>981</v>
      </c>
      <c r="B69" s="0" t="s">
        <v>786</v>
      </c>
      <c r="C69" s="0" t="s">
        <v>931</v>
      </c>
      <c r="D69" s="0" t="s">
        <v>982</v>
      </c>
      <c r="E69" s="0" t="s">
        <v>802</v>
      </c>
    </row>
    <row r="70" customFormat="false" ht="15" hidden="false" customHeight="false" outlineLevel="0" collapsed="false">
      <c r="A70" s="0" t="s">
        <v>983</v>
      </c>
      <c r="B70" s="0" t="s">
        <v>786</v>
      </c>
      <c r="C70" s="0" t="s">
        <v>931</v>
      </c>
      <c r="D70" s="0" t="s">
        <v>984</v>
      </c>
      <c r="E70" s="0" t="s">
        <v>802</v>
      </c>
    </row>
    <row r="71" customFormat="false" ht="15" hidden="false" customHeight="false" outlineLevel="0" collapsed="false">
      <c r="A71" s="0" t="s">
        <v>985</v>
      </c>
      <c r="B71" s="0" t="s">
        <v>786</v>
      </c>
      <c r="C71" s="0" t="s">
        <v>931</v>
      </c>
      <c r="D71" s="0" t="s">
        <v>986</v>
      </c>
      <c r="E71" s="0" t="s">
        <v>802</v>
      </c>
    </row>
    <row r="72" customFormat="false" ht="15" hidden="false" customHeight="false" outlineLevel="0" collapsed="false">
      <c r="A72" s="0" t="s">
        <v>987</v>
      </c>
      <c r="B72" s="0" t="s">
        <v>786</v>
      </c>
      <c r="C72" s="0" t="s">
        <v>931</v>
      </c>
      <c r="D72" s="0" t="s">
        <v>988</v>
      </c>
      <c r="E72" s="0" t="s">
        <v>802</v>
      </c>
    </row>
    <row r="73" customFormat="false" ht="15" hidden="false" customHeight="false" outlineLevel="0" collapsed="false">
      <c r="A73" s="0" t="s">
        <v>989</v>
      </c>
      <c r="B73" s="0" t="s">
        <v>786</v>
      </c>
      <c r="C73" s="0" t="s">
        <v>931</v>
      </c>
      <c r="D73" s="0" t="s">
        <v>990</v>
      </c>
      <c r="E73" s="0" t="s">
        <v>802</v>
      </c>
    </row>
    <row r="74" customFormat="false" ht="15" hidden="false" customHeight="false" outlineLevel="0" collapsed="false">
      <c r="A74" s="0" t="s">
        <v>991</v>
      </c>
      <c r="B74" s="0" t="s">
        <v>786</v>
      </c>
      <c r="C74" s="0" t="s">
        <v>992</v>
      </c>
      <c r="D74" s="0" t="s">
        <v>993</v>
      </c>
      <c r="E74" s="0" t="s">
        <v>789</v>
      </c>
    </row>
    <row r="75" customFormat="false" ht="15" hidden="false" customHeight="false" outlineLevel="0" collapsed="false">
      <c r="A75" s="0" t="s">
        <v>994</v>
      </c>
      <c r="B75" s="0" t="s">
        <v>786</v>
      </c>
      <c r="C75" s="0" t="s">
        <v>992</v>
      </c>
      <c r="D75" s="0" t="s">
        <v>995</v>
      </c>
      <c r="E75" s="0" t="s">
        <v>789</v>
      </c>
    </row>
    <row r="76" customFormat="false" ht="15" hidden="false" customHeight="false" outlineLevel="0" collapsed="false">
      <c r="A76" s="0" t="s">
        <v>996</v>
      </c>
      <c r="B76" s="0" t="s">
        <v>997</v>
      </c>
      <c r="C76" s="0" t="n">
        <v>24</v>
      </c>
      <c r="D76" s="0" t="s">
        <v>998</v>
      </c>
      <c r="E76" s="0" t="s">
        <v>999</v>
      </c>
      <c r="F76" s="0" t="s">
        <v>1000</v>
      </c>
    </row>
    <row r="77" customFormat="false" ht="15" hidden="false" customHeight="false" outlineLevel="0" collapsed="false">
      <c r="A77" s="0" t="s">
        <v>1001</v>
      </c>
      <c r="B77" s="0" t="s">
        <v>997</v>
      </c>
      <c r="C77" s="0" t="n">
        <v>25</v>
      </c>
      <c r="D77" s="0" t="s">
        <v>1002</v>
      </c>
      <c r="E77" s="0" t="s">
        <v>1003</v>
      </c>
    </row>
    <row r="78" customFormat="false" ht="15" hidden="false" customHeight="false" outlineLevel="0" collapsed="false">
      <c r="A78" s="0" t="s">
        <v>1004</v>
      </c>
      <c r="B78" s="0" t="s">
        <v>997</v>
      </c>
      <c r="C78" s="0" t="n">
        <v>52</v>
      </c>
      <c r="D78" s="0" t="s">
        <v>1005</v>
      </c>
      <c r="E78" s="0" t="s">
        <v>95</v>
      </c>
    </row>
    <row r="79" customFormat="false" ht="15" hidden="false" customHeight="false" outlineLevel="0" collapsed="false">
      <c r="A79" s="0" t="s">
        <v>1006</v>
      </c>
      <c r="B79" s="0" t="s">
        <v>997</v>
      </c>
      <c r="C79" s="0" t="n">
        <v>52</v>
      </c>
      <c r="D79" s="0" t="s">
        <v>1007</v>
      </c>
      <c r="E79" s="0" t="s">
        <v>191</v>
      </c>
    </row>
    <row r="80" customFormat="false" ht="15" hidden="false" customHeight="false" outlineLevel="0" collapsed="false">
      <c r="A80" s="0" t="s">
        <v>1008</v>
      </c>
      <c r="B80" s="0" t="s">
        <v>997</v>
      </c>
      <c r="C80" s="0" t="n">
        <v>52</v>
      </c>
      <c r="D80" s="0" t="s">
        <v>1009</v>
      </c>
      <c r="E80" s="0" t="s">
        <v>65</v>
      </c>
    </row>
    <row r="81" customFormat="false" ht="15" hidden="false" customHeight="false" outlineLevel="0" collapsed="false">
      <c r="A81" s="0" t="s">
        <v>1010</v>
      </c>
      <c r="B81" s="0" t="s">
        <v>997</v>
      </c>
      <c r="C81" s="0" t="n">
        <v>52</v>
      </c>
      <c r="D81" s="0" t="s">
        <v>1011</v>
      </c>
      <c r="E81" s="0" t="s">
        <v>95</v>
      </c>
    </row>
    <row r="82" customFormat="false" ht="15" hidden="false" customHeight="false" outlineLevel="0" collapsed="false">
      <c r="A82" s="0" t="s">
        <v>1012</v>
      </c>
      <c r="B82" s="0" t="s">
        <v>997</v>
      </c>
      <c r="C82" s="0" t="n">
        <v>53</v>
      </c>
      <c r="D82" s="0" t="s">
        <v>1013</v>
      </c>
      <c r="E82" s="0" t="s">
        <v>1014</v>
      </c>
    </row>
    <row r="83" customFormat="false" ht="15" hidden="false" customHeight="false" outlineLevel="0" collapsed="false">
      <c r="A83" s="0" t="s">
        <v>1015</v>
      </c>
      <c r="B83" s="0" t="s">
        <v>997</v>
      </c>
      <c r="C83" s="0" t="n">
        <v>54</v>
      </c>
      <c r="D83" s="0" t="s">
        <v>1016</v>
      </c>
      <c r="E83" s="0" t="s">
        <v>1017</v>
      </c>
    </row>
    <row r="84" customFormat="false" ht="15" hidden="false" customHeight="false" outlineLevel="0" collapsed="false">
      <c r="A84" s="0" t="s">
        <v>1018</v>
      </c>
      <c r="B84" s="0" t="s">
        <v>997</v>
      </c>
      <c r="C84" s="0" t="n">
        <v>75</v>
      </c>
      <c r="D84" s="0" t="s">
        <v>1019</v>
      </c>
      <c r="E84" s="0" t="s">
        <v>1020</v>
      </c>
    </row>
    <row r="85" customFormat="false" ht="15" hidden="false" customHeight="false" outlineLevel="0" collapsed="false">
      <c r="A85" s="0" t="s">
        <v>1021</v>
      </c>
      <c r="B85" s="0" t="s">
        <v>997</v>
      </c>
      <c r="C85" s="0" t="n">
        <v>75</v>
      </c>
      <c r="D85" s="0" t="s">
        <v>1022</v>
      </c>
      <c r="E85" s="0" t="s">
        <v>1020</v>
      </c>
    </row>
    <row r="86" customFormat="false" ht="15" hidden="false" customHeight="false" outlineLevel="0" collapsed="false">
      <c r="A86" s="0" t="s">
        <v>1023</v>
      </c>
      <c r="B86" s="0" t="s">
        <v>997</v>
      </c>
      <c r="C86" s="0" t="n">
        <v>76</v>
      </c>
      <c r="D86" s="0" t="s">
        <v>1024</v>
      </c>
      <c r="E86" s="0" t="s">
        <v>157</v>
      </c>
    </row>
    <row r="87" customFormat="false" ht="15" hidden="false" customHeight="false" outlineLevel="0" collapsed="false">
      <c r="A87" s="0" t="s">
        <v>1025</v>
      </c>
      <c r="B87" s="0" t="s">
        <v>997</v>
      </c>
      <c r="C87" s="0" t="n">
        <v>76</v>
      </c>
      <c r="D87" s="0" t="s">
        <v>1026</v>
      </c>
      <c r="E87" s="0" t="s">
        <v>157</v>
      </c>
    </row>
    <row r="88" customFormat="false" ht="15" hidden="false" customHeight="false" outlineLevel="0" collapsed="false">
      <c r="A88" s="0" t="s">
        <v>1027</v>
      </c>
      <c r="B88" s="0" t="s">
        <v>997</v>
      </c>
      <c r="C88" s="0" t="n">
        <v>76</v>
      </c>
      <c r="D88" s="0" t="s">
        <v>1028</v>
      </c>
      <c r="E88" s="0" t="s">
        <v>161</v>
      </c>
    </row>
    <row r="89" customFormat="false" ht="15" hidden="false" customHeight="false" outlineLevel="0" collapsed="false">
      <c r="A89" s="0" t="s">
        <v>1029</v>
      </c>
      <c r="B89" s="0" t="s">
        <v>997</v>
      </c>
      <c r="C89" s="0" t="n">
        <v>76</v>
      </c>
      <c r="D89" s="0" t="s">
        <v>1030</v>
      </c>
      <c r="E89" s="0" t="s">
        <v>161</v>
      </c>
    </row>
    <row r="90" customFormat="false" ht="15" hidden="false" customHeight="false" outlineLevel="0" collapsed="false">
      <c r="A90" s="0" t="s">
        <v>1031</v>
      </c>
      <c r="B90" s="0" t="s">
        <v>997</v>
      </c>
      <c r="C90" s="0" t="n">
        <v>101</v>
      </c>
      <c r="D90" s="0" t="s">
        <v>1032</v>
      </c>
      <c r="E90" s="0" t="s">
        <v>1033</v>
      </c>
    </row>
    <row r="91" customFormat="false" ht="15" hidden="false" customHeight="false" outlineLevel="0" collapsed="false">
      <c r="A91" s="0" t="s">
        <v>1034</v>
      </c>
      <c r="B91" s="0" t="s">
        <v>997</v>
      </c>
      <c r="C91" s="0" t="n">
        <v>302</v>
      </c>
      <c r="D91" s="0" t="s">
        <v>1035</v>
      </c>
      <c r="E91" s="0" t="s">
        <v>379</v>
      </c>
      <c r="F91" s="0" t="s">
        <v>1036</v>
      </c>
    </row>
    <row r="92" customFormat="false" ht="15" hidden="false" customHeight="false" outlineLevel="0" collapsed="false">
      <c r="A92" s="0" t="s">
        <v>1037</v>
      </c>
      <c r="B92" s="0" t="s">
        <v>997</v>
      </c>
      <c r="C92" s="0" t="n">
        <v>302</v>
      </c>
      <c r="D92" s="0" t="s">
        <v>1038</v>
      </c>
      <c r="E92" s="0" t="s">
        <v>379</v>
      </c>
      <c r="F92" s="0" t="s">
        <v>1039</v>
      </c>
    </row>
    <row r="93" customFormat="false" ht="15" hidden="false" customHeight="false" outlineLevel="0" collapsed="false">
      <c r="A93" s="0" t="s">
        <v>1040</v>
      </c>
      <c r="B93" s="0" t="s">
        <v>997</v>
      </c>
      <c r="C93" s="0" t="n">
        <v>302</v>
      </c>
      <c r="D93" s="0" t="s">
        <v>1041</v>
      </c>
      <c r="E93" s="0" t="s">
        <v>1042</v>
      </c>
    </row>
    <row r="94" customFormat="false" ht="15" hidden="false" customHeight="false" outlineLevel="0" collapsed="false">
      <c r="A94" s="0" t="s">
        <v>1043</v>
      </c>
      <c r="B94" s="0" t="s">
        <v>997</v>
      </c>
      <c r="C94" s="0" t="n">
        <v>302</v>
      </c>
      <c r="D94" s="0" t="s">
        <v>1044</v>
      </c>
      <c r="E94" s="0" t="s">
        <v>1042</v>
      </c>
    </row>
    <row r="95" customFormat="false" ht="15" hidden="false" customHeight="false" outlineLevel="0" collapsed="false">
      <c r="A95" s="0" t="s">
        <v>1045</v>
      </c>
      <c r="B95" s="0" t="s">
        <v>997</v>
      </c>
      <c r="C95" s="0" t="n">
        <v>304</v>
      </c>
      <c r="D95" s="0" t="s">
        <v>1046</v>
      </c>
      <c r="E95" s="0" t="s">
        <v>1047</v>
      </c>
      <c r="F95" s="0" t="s">
        <v>1048</v>
      </c>
    </row>
    <row r="96" customFormat="false" ht="15" hidden="false" customHeight="false" outlineLevel="0" collapsed="false">
      <c r="A96" s="0" t="s">
        <v>1049</v>
      </c>
      <c r="B96" s="0" t="s">
        <v>997</v>
      </c>
      <c r="C96" s="0" t="n">
        <v>304</v>
      </c>
      <c r="D96" s="0" t="s">
        <v>1050</v>
      </c>
      <c r="E96" s="0" t="s">
        <v>1051</v>
      </c>
      <c r="F96" s="0" t="s">
        <v>1052</v>
      </c>
    </row>
    <row r="97" customFormat="false" ht="15" hidden="false" customHeight="false" outlineLevel="0" collapsed="false">
      <c r="A97" s="0" t="s">
        <v>1053</v>
      </c>
      <c r="B97" s="0" t="s">
        <v>997</v>
      </c>
      <c r="C97" s="0" t="n">
        <v>304</v>
      </c>
      <c r="D97" s="0" t="s">
        <v>1054</v>
      </c>
      <c r="E97" s="0" t="s">
        <v>1047</v>
      </c>
      <c r="F97" s="0" t="s">
        <v>1048</v>
      </c>
    </row>
    <row r="98" customFormat="false" ht="15" hidden="false" customHeight="false" outlineLevel="0" collapsed="false">
      <c r="A98" s="0" t="s">
        <v>1055</v>
      </c>
      <c r="B98" s="0" t="s">
        <v>997</v>
      </c>
      <c r="C98" s="0" t="n">
        <v>304</v>
      </c>
      <c r="D98" s="0" t="s">
        <v>1056</v>
      </c>
      <c r="E98" s="0" t="s">
        <v>1047</v>
      </c>
    </row>
    <row r="99" customFormat="false" ht="15" hidden="false" customHeight="false" outlineLevel="0" collapsed="false">
      <c r="A99" s="0" t="s">
        <v>1057</v>
      </c>
      <c r="B99" s="0" t="s">
        <v>997</v>
      </c>
      <c r="C99" s="0" t="n">
        <v>620</v>
      </c>
      <c r="D99" s="0" t="s">
        <v>1058</v>
      </c>
      <c r="E99" s="0" t="s">
        <v>1059</v>
      </c>
      <c r="F99" s="0" t="s">
        <v>1060</v>
      </c>
    </row>
    <row r="100" customFormat="false" ht="15" hidden="false" customHeight="false" outlineLevel="0" collapsed="false">
      <c r="A100" s="0" t="s">
        <v>1061</v>
      </c>
      <c r="B100" s="0" t="s">
        <v>997</v>
      </c>
      <c r="C100" s="0" t="n">
        <v>620</v>
      </c>
      <c r="D100" s="0" t="s">
        <v>1062</v>
      </c>
      <c r="E100" s="0" t="s">
        <v>1063</v>
      </c>
    </row>
    <row r="101" customFormat="false" ht="15" hidden="false" customHeight="false" outlineLevel="0" collapsed="false">
      <c r="A101" s="0" t="s">
        <v>1064</v>
      </c>
      <c r="B101" s="0" t="s">
        <v>997</v>
      </c>
      <c r="C101" s="0" t="n">
        <v>921</v>
      </c>
      <c r="D101" s="0" t="s">
        <v>1065</v>
      </c>
      <c r="E101" s="0" t="s">
        <v>375</v>
      </c>
    </row>
    <row r="102" customFormat="false" ht="15" hidden="false" customHeight="false" outlineLevel="0" collapsed="false">
      <c r="A102" s="0" t="s">
        <v>1066</v>
      </c>
      <c r="B102" s="0" t="s">
        <v>997</v>
      </c>
      <c r="C102" s="0" t="n">
        <v>921</v>
      </c>
      <c r="D102" s="0" t="s">
        <v>1067</v>
      </c>
      <c r="E102" s="0" t="s">
        <v>1068</v>
      </c>
    </row>
    <row r="103" customFormat="false" ht="15" hidden="false" customHeight="false" outlineLevel="0" collapsed="false">
      <c r="A103" s="0" t="s">
        <v>1069</v>
      </c>
      <c r="B103" s="0" t="s">
        <v>997</v>
      </c>
      <c r="C103" s="0" t="n">
        <v>1001</v>
      </c>
      <c r="D103" s="0" t="s">
        <v>1070</v>
      </c>
      <c r="E103" s="0" t="s">
        <v>1071</v>
      </c>
    </row>
    <row r="104" customFormat="false" ht="15" hidden="false" customHeight="false" outlineLevel="0" collapsed="false">
      <c r="A104" s="0" t="s">
        <v>1072</v>
      </c>
      <c r="B104" s="0" t="s">
        <v>997</v>
      </c>
      <c r="C104" s="0" t="n">
        <v>1002</v>
      </c>
      <c r="D104" s="0" t="s">
        <v>1073</v>
      </c>
      <c r="E104" s="0" t="s">
        <v>1074</v>
      </c>
      <c r="F104" s="0" t="s">
        <v>1075</v>
      </c>
    </row>
    <row r="105" customFormat="false" ht="15" hidden="false" customHeight="false" outlineLevel="0" collapsed="false">
      <c r="A105" s="0" t="s">
        <v>1076</v>
      </c>
      <c r="B105" s="0" t="s">
        <v>997</v>
      </c>
      <c r="C105" s="0" t="n">
        <v>1021</v>
      </c>
      <c r="D105" s="0" t="s">
        <v>1077</v>
      </c>
      <c r="E105" s="0" t="s">
        <v>244</v>
      </c>
    </row>
    <row r="106" customFormat="false" ht="15" hidden="false" customHeight="false" outlineLevel="0" collapsed="false">
      <c r="A106" s="0" t="s">
        <v>1078</v>
      </c>
      <c r="B106" s="0" t="s">
        <v>997</v>
      </c>
      <c r="C106" s="0" t="n">
        <v>1026</v>
      </c>
      <c r="D106" s="0" t="s">
        <v>1079</v>
      </c>
      <c r="E106" s="0" t="s">
        <v>324</v>
      </c>
      <c r="F106" s="0" t="s">
        <v>1080</v>
      </c>
    </row>
    <row r="107" customFormat="false" ht="15" hidden="false" customHeight="false" outlineLevel="0" collapsed="false">
      <c r="A107" s="0" t="s">
        <v>1081</v>
      </c>
      <c r="B107" s="0" t="s">
        <v>997</v>
      </c>
      <c r="C107" s="0" t="n">
        <v>1026</v>
      </c>
      <c r="D107" s="0" t="s">
        <v>1082</v>
      </c>
      <c r="E107" s="0" t="s">
        <v>324</v>
      </c>
      <c r="F107" s="0" t="s">
        <v>1080</v>
      </c>
    </row>
    <row r="108" customFormat="false" ht="15" hidden="false" customHeight="false" outlineLevel="0" collapsed="false">
      <c r="A108" s="0" t="s">
        <v>1083</v>
      </c>
      <c r="B108" s="0" t="s">
        <v>997</v>
      </c>
      <c r="C108" s="0" t="n">
        <v>1027</v>
      </c>
      <c r="D108" s="0" t="s">
        <v>1084</v>
      </c>
      <c r="E108" s="0" t="s">
        <v>1085</v>
      </c>
      <c r="F108" s="0" t="s">
        <v>956</v>
      </c>
    </row>
    <row r="109" customFormat="false" ht="15" hidden="false" customHeight="false" outlineLevel="0" collapsed="false">
      <c r="A109" s="0" t="s">
        <v>1086</v>
      </c>
      <c r="B109" s="0" t="s">
        <v>997</v>
      </c>
      <c r="C109" s="0" t="n">
        <v>1027</v>
      </c>
      <c r="D109" s="0" t="s">
        <v>1087</v>
      </c>
      <c r="E109" s="0" t="s">
        <v>1088</v>
      </c>
    </row>
    <row r="110" customFormat="false" ht="15" hidden="false" customHeight="false" outlineLevel="0" collapsed="false">
      <c r="A110" s="0" t="s">
        <v>1089</v>
      </c>
      <c r="B110" s="0" t="s">
        <v>997</v>
      </c>
      <c r="C110" s="0" t="n">
        <v>1027</v>
      </c>
      <c r="D110" s="0" t="s">
        <v>1090</v>
      </c>
      <c r="E110" s="0" t="s">
        <v>328</v>
      </c>
    </row>
    <row r="111" customFormat="false" ht="15" hidden="false" customHeight="false" outlineLevel="0" collapsed="false">
      <c r="A111" s="0" t="s">
        <v>1091</v>
      </c>
      <c r="B111" s="0" t="s">
        <v>997</v>
      </c>
      <c r="C111" s="0" t="n">
        <v>1030</v>
      </c>
      <c r="D111" s="0" t="s">
        <v>1092</v>
      </c>
      <c r="E111" s="0" t="s">
        <v>1093</v>
      </c>
      <c r="F111" s="0" t="s">
        <v>1094</v>
      </c>
    </row>
    <row r="112" customFormat="false" ht="15" hidden="false" customHeight="false" outlineLevel="0" collapsed="false">
      <c r="A112" s="0" t="s">
        <v>1095</v>
      </c>
      <c r="B112" s="0" t="s">
        <v>997</v>
      </c>
      <c r="C112" s="0" t="n">
        <v>1030</v>
      </c>
      <c r="D112" s="0" t="s">
        <v>1096</v>
      </c>
      <c r="E112" s="0" t="s">
        <v>1097</v>
      </c>
    </row>
    <row r="113" customFormat="false" ht="15" hidden="false" customHeight="false" outlineLevel="0" collapsed="false">
      <c r="A113" s="0" t="s">
        <v>1098</v>
      </c>
      <c r="B113" s="0" t="s">
        <v>997</v>
      </c>
      <c r="C113" s="0" t="n">
        <v>1033</v>
      </c>
      <c r="D113" s="0" t="s">
        <v>1099</v>
      </c>
      <c r="E113" s="0" t="s">
        <v>343</v>
      </c>
      <c r="F113" s="0" t="s">
        <v>1100</v>
      </c>
    </row>
    <row r="114" customFormat="false" ht="15" hidden="false" customHeight="false" outlineLevel="0" collapsed="false">
      <c r="A114" s="0" t="s">
        <v>1101</v>
      </c>
      <c r="B114" s="0" t="s">
        <v>997</v>
      </c>
      <c r="C114" s="0" t="n">
        <v>1033</v>
      </c>
      <c r="D114" s="0" t="s">
        <v>1102</v>
      </c>
      <c r="E114" s="0" t="s">
        <v>353</v>
      </c>
      <c r="F114" s="0" t="s">
        <v>1103</v>
      </c>
    </row>
    <row r="115" customFormat="false" ht="15" hidden="false" customHeight="false" outlineLevel="0" collapsed="false">
      <c r="A115" s="0" t="s">
        <v>1104</v>
      </c>
      <c r="B115" s="0" t="s">
        <v>997</v>
      </c>
      <c r="C115" s="0" t="n">
        <v>1033</v>
      </c>
      <c r="D115" s="0" t="s">
        <v>1105</v>
      </c>
      <c r="E115" s="0" t="s">
        <v>1106</v>
      </c>
      <c r="F115" s="0" t="s">
        <v>1107</v>
      </c>
    </row>
    <row r="116" customFormat="false" ht="15" hidden="false" customHeight="false" outlineLevel="0" collapsed="false">
      <c r="A116" s="0" t="s">
        <v>1108</v>
      </c>
      <c r="B116" s="0" t="s">
        <v>997</v>
      </c>
      <c r="C116" s="0" t="n">
        <v>1033</v>
      </c>
      <c r="D116" s="0" t="s">
        <v>1109</v>
      </c>
      <c r="E116" s="0" t="s">
        <v>1110</v>
      </c>
    </row>
    <row r="117" customFormat="false" ht="15" hidden="false" customHeight="false" outlineLevel="0" collapsed="false">
      <c r="A117" s="0" t="s">
        <v>1111</v>
      </c>
      <c r="B117" s="0" t="s">
        <v>997</v>
      </c>
      <c r="C117" s="0" t="n">
        <v>1033</v>
      </c>
      <c r="D117" s="0" t="s">
        <v>1112</v>
      </c>
      <c r="E117" s="0" t="s">
        <v>1106</v>
      </c>
    </row>
    <row r="118" customFormat="false" ht="15" hidden="false" customHeight="false" outlineLevel="0" collapsed="false">
      <c r="A118" s="0" t="s">
        <v>1113</v>
      </c>
      <c r="B118" s="0" t="s">
        <v>997</v>
      </c>
      <c r="C118" s="0" t="n">
        <v>1033</v>
      </c>
      <c r="D118" s="0" t="s">
        <v>1114</v>
      </c>
      <c r="E118" s="0" t="s">
        <v>1106</v>
      </c>
    </row>
    <row r="119" customFormat="false" ht="15" hidden="false" customHeight="false" outlineLevel="0" collapsed="false">
      <c r="A119" s="0" t="s">
        <v>1115</v>
      </c>
      <c r="B119" s="0" t="s">
        <v>997</v>
      </c>
      <c r="C119" s="0" t="n">
        <v>1033</v>
      </c>
      <c r="D119" s="0" t="s">
        <v>1116</v>
      </c>
      <c r="E119" s="0" t="s">
        <v>1106</v>
      </c>
    </row>
    <row r="120" customFormat="false" ht="15" hidden="false" customHeight="false" outlineLevel="0" collapsed="false">
      <c r="A120" s="0" t="s">
        <v>1117</v>
      </c>
      <c r="B120" s="0" t="s">
        <v>997</v>
      </c>
      <c r="C120" s="0" t="n">
        <v>1033</v>
      </c>
      <c r="D120" s="0" t="s">
        <v>1118</v>
      </c>
      <c r="E120" s="0" t="s">
        <v>1106</v>
      </c>
    </row>
    <row r="121" customFormat="false" ht="15" hidden="false" customHeight="false" outlineLevel="0" collapsed="false">
      <c r="A121" s="0" t="s">
        <v>1119</v>
      </c>
      <c r="B121" s="0" t="s">
        <v>997</v>
      </c>
      <c r="C121" s="0" t="n">
        <v>1033</v>
      </c>
      <c r="D121" s="0" t="s">
        <v>1120</v>
      </c>
      <c r="E121" s="0" t="s">
        <v>1106</v>
      </c>
    </row>
    <row r="122" customFormat="false" ht="15" hidden="false" customHeight="false" outlineLevel="0" collapsed="false">
      <c r="A122" s="0" t="s">
        <v>1121</v>
      </c>
      <c r="B122" s="0" t="s">
        <v>997</v>
      </c>
      <c r="C122" s="0" t="n">
        <v>1033</v>
      </c>
      <c r="D122" s="0" t="s">
        <v>1122</v>
      </c>
      <c r="E122" s="0" t="s">
        <v>1106</v>
      </c>
    </row>
    <row r="123" customFormat="false" ht="15" hidden="false" customHeight="false" outlineLevel="0" collapsed="false">
      <c r="A123" s="0" t="s">
        <v>1123</v>
      </c>
      <c r="B123" s="0" t="s">
        <v>997</v>
      </c>
      <c r="C123" s="0" t="n">
        <v>1033</v>
      </c>
      <c r="D123" s="0" t="s">
        <v>1124</v>
      </c>
      <c r="E123" s="0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1125</v>
      </c>
      <c r="B1" s="0" t="s">
        <v>1126</v>
      </c>
      <c r="C1" s="0" t="s">
        <v>59</v>
      </c>
      <c r="D1" s="0" t="s">
        <v>1127</v>
      </c>
    </row>
    <row r="2" customFormat="false" ht="15" hidden="false" customHeight="false" outlineLevel="0" collapsed="false">
      <c r="A2" s="0" t="s">
        <v>1128</v>
      </c>
      <c r="B2" s="0" t="s">
        <v>1129</v>
      </c>
      <c r="C2" s="0" t="s">
        <v>1130</v>
      </c>
      <c r="D2" s="0" t="s">
        <v>1131</v>
      </c>
    </row>
    <row r="3" customFormat="false" ht="15" hidden="false" customHeight="false" outlineLevel="0" collapsed="false">
      <c r="A3" s="0" t="s">
        <v>1132</v>
      </c>
      <c r="B3" s="0" t="s">
        <v>1133</v>
      </c>
      <c r="C3" s="0" t="s">
        <v>1130</v>
      </c>
      <c r="D3" s="0" t="s">
        <v>1134</v>
      </c>
    </row>
    <row r="4" customFormat="false" ht="15" hidden="false" customHeight="false" outlineLevel="0" collapsed="false">
      <c r="A4" s="0" t="s">
        <v>1135</v>
      </c>
      <c r="B4" s="0" t="s">
        <v>1136</v>
      </c>
      <c r="C4" s="0" t="s">
        <v>1130</v>
      </c>
      <c r="D4" s="0" t="s">
        <v>1137</v>
      </c>
    </row>
    <row r="5" customFormat="false" ht="15" hidden="false" customHeight="false" outlineLevel="0" collapsed="false">
      <c r="A5" s="0" t="s">
        <v>1138</v>
      </c>
      <c r="B5" s="0" t="s">
        <v>1139</v>
      </c>
      <c r="C5" s="0" t="s">
        <v>1130</v>
      </c>
      <c r="D5" s="0" t="s">
        <v>1140</v>
      </c>
    </row>
    <row r="6" customFormat="false" ht="15" hidden="false" customHeight="false" outlineLevel="0" collapsed="false">
      <c r="A6" s="0" t="s">
        <v>1141</v>
      </c>
      <c r="B6" s="0" t="s">
        <v>1142</v>
      </c>
      <c r="C6" s="0" t="s">
        <v>1130</v>
      </c>
      <c r="D6" s="0" t="s">
        <v>1143</v>
      </c>
    </row>
    <row r="7" customFormat="false" ht="15" hidden="false" customHeight="false" outlineLevel="0" collapsed="false">
      <c r="A7" s="0" t="s">
        <v>1144</v>
      </c>
      <c r="B7" s="0" t="s">
        <v>1145</v>
      </c>
      <c r="C7" s="0" t="s">
        <v>1130</v>
      </c>
      <c r="D7" s="0" t="s">
        <v>1146</v>
      </c>
    </row>
    <row r="8" customFormat="false" ht="15" hidden="false" customHeight="false" outlineLevel="0" collapsed="false">
      <c r="A8" s="0" t="s">
        <v>1147</v>
      </c>
      <c r="B8" s="0" t="s">
        <v>1148</v>
      </c>
      <c r="C8" s="0" t="s">
        <v>1130</v>
      </c>
      <c r="D8" s="0" t="s">
        <v>1149</v>
      </c>
    </row>
    <row r="9" customFormat="false" ht="15" hidden="false" customHeight="false" outlineLevel="0" collapsed="false">
      <c r="A9" s="0" t="s">
        <v>1150</v>
      </c>
      <c r="B9" s="0" t="s">
        <v>1151</v>
      </c>
      <c r="C9" s="0" t="s">
        <v>1130</v>
      </c>
      <c r="D9" s="0" t="s">
        <v>1152</v>
      </c>
    </row>
    <row r="10" customFormat="false" ht="15" hidden="false" customHeight="false" outlineLevel="0" collapsed="false">
      <c r="A10" s="0" t="s">
        <v>1153</v>
      </c>
      <c r="B10" s="0" t="s">
        <v>1154</v>
      </c>
      <c r="C10" s="0" t="s">
        <v>1130</v>
      </c>
      <c r="D10" s="0" t="s">
        <v>1155</v>
      </c>
    </row>
    <row r="11" customFormat="false" ht="15" hidden="false" customHeight="false" outlineLevel="0" collapsed="false">
      <c r="A11" s="0" t="s">
        <v>1156</v>
      </c>
      <c r="B11" s="0" t="s">
        <v>1157</v>
      </c>
      <c r="C11" s="0" t="s">
        <v>1130</v>
      </c>
      <c r="D11" s="0" t="s">
        <v>1158</v>
      </c>
    </row>
    <row r="12" customFormat="false" ht="15" hidden="false" customHeight="false" outlineLevel="0" collapsed="false">
      <c r="A12" s="0" t="s">
        <v>1159</v>
      </c>
      <c r="B12" s="0" t="s">
        <v>1160</v>
      </c>
      <c r="C12" s="0" t="s">
        <v>1130</v>
      </c>
      <c r="D12" s="0" t="s">
        <v>1161</v>
      </c>
    </row>
    <row r="13" customFormat="false" ht="15" hidden="false" customHeight="false" outlineLevel="0" collapsed="false">
      <c r="A13" s="0" t="s">
        <v>1162</v>
      </c>
      <c r="B13" s="0" t="s">
        <v>1163</v>
      </c>
      <c r="C13" s="0" t="s">
        <v>1130</v>
      </c>
      <c r="D13" s="0" t="s">
        <v>1164</v>
      </c>
    </row>
    <row r="14" customFormat="false" ht="15" hidden="false" customHeight="false" outlineLevel="0" collapsed="false">
      <c r="A14" s="0" t="s">
        <v>1165</v>
      </c>
      <c r="B14" s="0" t="s">
        <v>1166</v>
      </c>
      <c r="C14" s="0" t="s">
        <v>1130</v>
      </c>
      <c r="D14" s="0" t="s">
        <v>1167</v>
      </c>
    </row>
    <row r="15" customFormat="false" ht="15" hidden="false" customHeight="false" outlineLevel="0" collapsed="false">
      <c r="A15" s="0" t="s">
        <v>1168</v>
      </c>
      <c r="B15" s="0" t="s">
        <v>1169</v>
      </c>
      <c r="C15" s="0" t="s">
        <v>1130</v>
      </c>
      <c r="D15" s="0" t="s">
        <v>1170</v>
      </c>
    </row>
    <row r="16" customFormat="false" ht="15" hidden="false" customHeight="false" outlineLevel="0" collapsed="false">
      <c r="A16" s="0" t="s">
        <v>1171</v>
      </c>
      <c r="B16" s="0" t="s">
        <v>1172</v>
      </c>
      <c r="C16" s="0" t="s">
        <v>1130</v>
      </c>
      <c r="D16" s="0" t="s">
        <v>1173</v>
      </c>
    </row>
    <row r="17" customFormat="false" ht="15" hidden="false" customHeight="false" outlineLevel="0" collapsed="false">
      <c r="A17" s="0" t="s">
        <v>1174</v>
      </c>
      <c r="B17" s="0" t="s">
        <v>1175</v>
      </c>
      <c r="C17" s="0" t="s">
        <v>1130</v>
      </c>
      <c r="D17" s="0" t="s">
        <v>1176</v>
      </c>
    </row>
    <row r="18" customFormat="false" ht="15" hidden="false" customHeight="false" outlineLevel="0" collapsed="false">
      <c r="A18" s="0" t="s">
        <v>1177</v>
      </c>
      <c r="B18" s="0" t="s">
        <v>1178</v>
      </c>
      <c r="C18" s="0" t="s">
        <v>1130</v>
      </c>
      <c r="D18" s="0" t="s">
        <v>1179</v>
      </c>
    </row>
    <row r="19" customFormat="false" ht="15" hidden="false" customHeight="false" outlineLevel="0" collapsed="false">
      <c r="A19" s="0" t="s">
        <v>1180</v>
      </c>
      <c r="B19" s="0" t="s">
        <v>1181</v>
      </c>
      <c r="C19" s="0" t="s">
        <v>1130</v>
      </c>
      <c r="D19" s="0" t="s">
        <v>1182</v>
      </c>
    </row>
    <row r="20" customFormat="false" ht="15" hidden="false" customHeight="false" outlineLevel="0" collapsed="false">
      <c r="A20" s="0" t="s">
        <v>1183</v>
      </c>
      <c r="B20" s="0" t="s">
        <v>1184</v>
      </c>
      <c r="C20" s="0" t="s">
        <v>1185</v>
      </c>
      <c r="D20" s="0" t="s">
        <v>1186</v>
      </c>
    </row>
    <row r="21" customFormat="false" ht="15" hidden="false" customHeight="false" outlineLevel="0" collapsed="false">
      <c r="A21" s="0" t="s">
        <v>1187</v>
      </c>
      <c r="B21" s="0" t="s">
        <v>1188</v>
      </c>
      <c r="C21" s="0" t="s">
        <v>1130</v>
      </c>
      <c r="D21" s="0" t="s">
        <v>1189</v>
      </c>
    </row>
    <row r="22" customFormat="false" ht="15" hidden="false" customHeight="false" outlineLevel="0" collapsed="false">
      <c r="A22" s="0" t="s">
        <v>1190</v>
      </c>
      <c r="B22" s="0" t="s">
        <v>1191</v>
      </c>
      <c r="C22" s="0" t="s">
        <v>1185</v>
      </c>
      <c r="D22" s="0" t="s">
        <v>1192</v>
      </c>
    </row>
    <row r="23" customFormat="false" ht="15" hidden="false" customHeight="false" outlineLevel="0" collapsed="false">
      <c r="A23" s="0" t="s">
        <v>1193</v>
      </c>
      <c r="B23" s="0" t="s">
        <v>1194</v>
      </c>
      <c r="C23" s="0" t="s">
        <v>1185</v>
      </c>
      <c r="D23" s="0" t="s">
        <v>1195</v>
      </c>
    </row>
    <row r="24" customFormat="false" ht="15" hidden="false" customHeight="false" outlineLevel="0" collapsed="false">
      <c r="A24" s="0" t="s">
        <v>1196</v>
      </c>
      <c r="B24" s="0" t="s">
        <v>1197</v>
      </c>
      <c r="C24" s="0" t="s">
        <v>1130</v>
      </c>
      <c r="D24" s="0" t="s">
        <v>1198</v>
      </c>
    </row>
    <row r="25" customFormat="false" ht="15" hidden="false" customHeight="false" outlineLevel="0" collapsed="false">
      <c r="A25" s="0" t="s">
        <v>1199</v>
      </c>
      <c r="B25" s="0" t="s">
        <v>1200</v>
      </c>
      <c r="C25" s="0" t="s">
        <v>1130</v>
      </c>
      <c r="D25" s="0" t="s">
        <v>1201</v>
      </c>
    </row>
    <row r="26" customFormat="false" ht="15" hidden="false" customHeight="false" outlineLevel="0" collapsed="false">
      <c r="A26" s="0" t="s">
        <v>1202</v>
      </c>
      <c r="B26" s="0" t="s">
        <v>1203</v>
      </c>
      <c r="C26" s="0" t="s">
        <v>1185</v>
      </c>
      <c r="D26" s="0" t="s">
        <v>1204</v>
      </c>
    </row>
    <row r="27" customFormat="false" ht="15" hidden="false" customHeight="false" outlineLevel="0" collapsed="false">
      <c r="A27" s="0" t="s">
        <v>1205</v>
      </c>
      <c r="B27" s="0" t="s">
        <v>1206</v>
      </c>
      <c r="C27" s="0" t="s">
        <v>1185</v>
      </c>
      <c r="D27" s="0" t="s">
        <v>1207</v>
      </c>
    </row>
    <row r="28" customFormat="false" ht="15" hidden="false" customHeight="false" outlineLevel="0" collapsed="false">
      <c r="A28" s="0" t="s">
        <v>1208</v>
      </c>
      <c r="B28" s="0" t="s">
        <v>1209</v>
      </c>
      <c r="C28" s="0" t="s">
        <v>1185</v>
      </c>
      <c r="D28" s="0" t="s">
        <v>1210</v>
      </c>
    </row>
    <row r="29" customFormat="false" ht="15" hidden="false" customHeight="false" outlineLevel="0" collapsed="false">
      <c r="A29" s="0" t="s">
        <v>1211</v>
      </c>
      <c r="B29" s="0" t="s">
        <v>1212</v>
      </c>
      <c r="C29" s="0" t="s">
        <v>1185</v>
      </c>
      <c r="D29" s="0" t="s">
        <v>1213</v>
      </c>
    </row>
    <row r="30" customFormat="false" ht="15" hidden="false" customHeight="false" outlineLevel="0" collapsed="false">
      <c r="A30" s="0" t="s">
        <v>1214</v>
      </c>
      <c r="B30" s="0" t="s">
        <v>1215</v>
      </c>
      <c r="C30" s="0" t="s">
        <v>1185</v>
      </c>
      <c r="D30" s="0" t="s">
        <v>1216</v>
      </c>
    </row>
    <row r="31" customFormat="false" ht="15" hidden="false" customHeight="false" outlineLevel="0" collapsed="false">
      <c r="A31" s="0" t="s">
        <v>1217</v>
      </c>
      <c r="B31" s="0" t="s">
        <v>1218</v>
      </c>
      <c r="C31" s="0" t="s">
        <v>1185</v>
      </c>
      <c r="D31" s="0" t="s">
        <v>1219</v>
      </c>
    </row>
    <row r="32" customFormat="false" ht="15" hidden="false" customHeight="false" outlineLevel="0" collapsed="false">
      <c r="A32" s="0" t="s">
        <v>1220</v>
      </c>
      <c r="B32" s="0" t="s">
        <v>1221</v>
      </c>
      <c r="C32" s="0" t="s">
        <v>1185</v>
      </c>
      <c r="D32" s="0" t="s">
        <v>1222</v>
      </c>
    </row>
    <row r="33" customFormat="false" ht="15" hidden="false" customHeight="false" outlineLevel="0" collapsed="false">
      <c r="A33" s="0" t="s">
        <v>1223</v>
      </c>
      <c r="B33" s="0" t="s">
        <v>1224</v>
      </c>
      <c r="C33" s="0" t="s">
        <v>1130</v>
      </c>
      <c r="D33" s="0" t="s">
        <v>1225</v>
      </c>
    </row>
    <row r="34" customFormat="false" ht="15" hidden="false" customHeight="false" outlineLevel="0" collapsed="false">
      <c r="A34" s="0" t="s">
        <v>1226</v>
      </c>
      <c r="B34" s="0" t="s">
        <v>1227</v>
      </c>
      <c r="C34" s="0" t="s">
        <v>1130</v>
      </c>
      <c r="D34" s="0" t="s">
        <v>1228</v>
      </c>
    </row>
    <row r="35" customFormat="false" ht="15" hidden="false" customHeight="false" outlineLevel="0" collapsed="false">
      <c r="A35" s="0" t="s">
        <v>1229</v>
      </c>
      <c r="B35" s="0" t="s">
        <v>1230</v>
      </c>
      <c r="C35" s="0" t="s">
        <v>1130</v>
      </c>
      <c r="D35" s="0" t="s">
        <v>1231</v>
      </c>
    </row>
    <row r="36" customFormat="false" ht="15" hidden="false" customHeight="false" outlineLevel="0" collapsed="false">
      <c r="A36" s="0" t="s">
        <v>1232</v>
      </c>
      <c r="B36" s="0" t="s">
        <v>1233</v>
      </c>
      <c r="C36" s="0" t="s">
        <v>1130</v>
      </c>
      <c r="D36" s="0" t="s">
        <v>1234</v>
      </c>
    </row>
    <row r="37" customFormat="false" ht="15" hidden="false" customHeight="false" outlineLevel="0" collapsed="false">
      <c r="A37" s="0" t="s">
        <v>1235</v>
      </c>
      <c r="B37" s="0" t="s">
        <v>1236</v>
      </c>
      <c r="C37" s="0" t="s">
        <v>1130</v>
      </c>
      <c r="D37" s="0" t="s">
        <v>1237</v>
      </c>
    </row>
    <row r="38" customFormat="false" ht="15" hidden="false" customHeight="false" outlineLevel="0" collapsed="false">
      <c r="A38" s="0" t="s">
        <v>1238</v>
      </c>
      <c r="B38" s="0" t="s">
        <v>1239</v>
      </c>
      <c r="C38" s="0" t="s">
        <v>1185</v>
      </c>
      <c r="D38" s="0" t="s">
        <v>1240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1241</v>
      </c>
    </row>
    <row r="2" customFormat="false" ht="15" hidden="false" customHeight="false" outlineLevel="0" collapsed="false">
      <c r="A2" s="0" t="s">
        <v>1242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2026-10-21T22:04:12Z</dcterms:created>
  <dc:creator>openpyxl</dc:creator>
  <dc:description/>
  <dc:language>en-US</dc:language>
  <cp:lastModifiedBy/>
  <dcterms:modified xsi:type="dcterms:W3CDTF">2026-10-21T22:04:12Z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