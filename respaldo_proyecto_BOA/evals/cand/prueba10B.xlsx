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<sst xmlns="http://schemas.openxmlformats.org/spreadsheetml/2006/main" count="1506" uniqueCount="871">
  <si>
    <t xml:space="preserve">Bank of America - Broomfield, CO (CO1-111)   |   METAL FRAMING &amp; DRYWALL TAKEOFF</t>
  </si>
  <si>
    <t xml:space="preserve">Bid set: 2025.08.26_CO1-111_Broomfield_PERMIT SET_BID SET.pdf   ·   2026-10-16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</si>
  <si>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</si>
  <si>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</si>
  <si>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</si>
  <si>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</si>
  <si>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</si>
  <si>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</si>
  <si>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</si>
  <si>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</si>
  <si>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</si>
  <si>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</si>
  <si>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</si>
  <si>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</si>
  <si>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</si>
  <si>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</si>
  <si>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</si>
  <si>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</si>
  <si>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</si>
  <si>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</si>
  <si>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</si>
  <si>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</si>
  <si>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</si>
  <si>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</si>
  <si>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</si>
  <si>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</si>
  <si>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</si>
  <si>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</si>
  <si>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A1</t>
  </si>
  <si>
    <t xml:space="preserve">A1  #1  -  Calling Cubes 122 north / Waiting 104 || Waiting 104 (GB 11'-0"): 1L 5/8" gypsum board to 11.5 ft x 16.42 LF | Calling Cubes 122 (ACT-5 8'-6"): 1L 5/8" gypsum board to 9.0 ft x 14.4 LF | MW01 niche (A04.01 key note 1 OPEN TO STRUCTURE): 1L 5/8" gypsum board to 15.375 ft x 2.02 LF</t>
  </si>
  <si>
    <t xml:space="preserve">1</t>
  </si>
  <si>
    <t xml:space="preserve">3-5/8" 362S137-33</t>
  </si>
  <si>
    <t xml:space="preserve">Calling Cubes 122 north / Waiting 104 || Waiting 104 (GB 11'-0"): 1L 5/8" gypsum board to 11.5 ft x 16.42 LF | Calling Cubes 122 (ACT-5 8'-6"): 1L 5/8" gypsum board to 9.0 ft x 14.4 LF | MW01 niche (A04.01 key note 1 OPEN TO STRUCTURE): 1L 5/8" gypsum board to 15.375 ft x 2.02 LF</t>
  </si>
  <si>
    <t xml:space="preserve">3/A12.01; 7/S5.20</t>
  </si>
  <si>
    <t xml:space="preserve">[DERIVADO]</t>
  </si>
  <si>
    <t xml:space="preserve">A1  #2  -  MW01 niche east / Calling Cubes 122 || MW01 niche (A04.01 key note 1 OPEN TO STRUCTURE): 1L 5/8" gypsum board to 15.375 ft x 3.533 LF | Calling Cubes 122 (ACT-5 8'-6"): 1L 5/8" gypsum board to 9.0 ft x 3.533 LF</t>
  </si>
  <si>
    <t xml:space="preserve">2</t>
  </si>
  <si>
    <t xml:space="preserve">MW01 niche east / Calling Cubes 122 || MW01 niche (A04.01 key note 1 OPEN TO STRUCTURE): 1L 5/8" gypsum board to 15.375 ft x 3.533 LF | Calling Cubes 122 (ACT-5 8'-6"): 1L 5/8" gypsum board to 9.0 ft x 3.533 LF</t>
  </si>
  <si>
    <t xml:space="preserve">A1  #3  -  MW01 niche south / Calling Cubes 122 || MW01 niche (A04.01 key note 1 OPEN TO STRUCTURE): 1L 5/8" gypsum board to 15.375 ft x 2.02 LF | Calling Cubes 122 (ACT-5 8'-6"): 1L 5/8" gypsum board to 9.0 ft x 2.02 LF</t>
  </si>
  <si>
    <t xml:space="preserve">3</t>
  </si>
  <si>
    <t xml:space="preserve">MW01 niche south / Calling Cubes 122 || MW01 niche (A04.01 key note 1 OPEN TO STRUCTURE): 1L 5/8" gypsum board to 15.375 ft x 2.02 LF | Calling Cubes 122 (ACT-5 8'-6"): 1L 5/8" gypsum board to 9.0 ft x 2.02 LF</t>
  </si>
  <si>
    <t xml:space="preserve">A1  #4  -  Corridor 111 north (door 111) || Central Zone 103 aisle (ACT-4 11'-6"): 1L 5/8" gypsum board to 12.0 ft x 5.587 LF | Corridor 111 (ACT-4 8'-6"): 1L 5/8" gypsum board to 9.0 ft x 5.587 LF</t>
  </si>
  <si>
    <t xml:space="preserve">4</t>
  </si>
  <si>
    <t xml:space="preserve">Corridor 111 north (door 111) || Central Zone 103 aisle (ACT-4 11'-6"): 1L 5/8" gypsum board to 12.0 ft x 5.587 LF | Corridor 111 (ACT-4 8'-6"): 1L 5/8" gypsum board to 9.0 ft x 5.587 LF</t>
  </si>
  <si>
    <t xml:space="preserve">A1  #5  -  Calling Cubes 122 south / Break 118 || Calling Cubes 122 (ACT-5 8'-6"): 1L 5/8" gypsum board to 9.0 ft x 15.233 LF | Break Room 118 (ACT-5 8'-6"): 1L 5/8" gypsum board to 9.0 ft x 15.233 LF</t>
  </si>
  <si>
    <t xml:space="preserve">5</t>
  </si>
  <si>
    <t xml:space="preserve">Calling Cubes 122 south / Break 118 || Calling Cubes 122 (ACT-5 8'-6"): 1L 5/8" gypsum board to 9.0 ft x 15.233 LF | Break Room 118 (ACT-5 8'-6"): 1L 5/8" gypsum board to 9.0 ft x 15.233 LF</t>
  </si>
  <si>
    <t xml:space="preserve">A1  #6  -  Break 118 NE stub || Break Room 118 (ACT-5 8'-6"): 1L 5/8" gypsum board to 9.0 ft x 1.733 LF | Waiting 104 east aisle (ACT-4 9'-0"): 1L 5/8" gypsum board to 9.5 ft x 1.733 LF</t>
  </si>
  <si>
    <t xml:space="preserve">6</t>
  </si>
  <si>
    <t xml:space="preserve">Break 118 NE stub || Break Room 118 (ACT-5 8'-6"): 1L 5/8" gypsum board to 9.0 ft x 1.733 LF | Waiting 104 east aisle (ACT-4 9'-0"): 1L 5/8" gypsum board to 9.5 ft x 1.733 LF</t>
  </si>
  <si>
    <t xml:space="preserve">A1  #7  -  Break 118 north (door 118A) || Waiting 104 east aisle (ACT-4 9'-0"): 1L 5/8" gypsum board to 9.5 ft x 5.107 LF | Break Room 118 (ACT-5 8'-6"): 1L 5/8" gypsum board to 9.0 ft x 5.107 LF</t>
  </si>
  <si>
    <t xml:space="preserve">7</t>
  </si>
  <si>
    <t xml:space="preserve">Break 118 north (door 118A) || Waiting 104 east aisle (ACT-4 9'-0"): 1L 5/8" gypsum board to 9.5 ft x 5.107 LF | Break Room 118 (ACT-5 8'-6"): 1L 5/8" gypsum board to 9.0 ft x 5.107 LF</t>
  </si>
  <si>
    <t xml:space="preserve">A1  #8  -  Corridor 111 east / Break, Electrical 120, NER 121 || Corridor 111 (ACT-4 8'-6"): 1L 5/8" gypsum board to 9.0 ft x 17.06 LF | Break Room 118 (ACT-5 8'-6"): 1L 5/8" gypsum board to 9.0 ft x 2.913 LF | Electrical 120 / NER 121 (A04.01 key note 1 OPEN TO STRUCTURE): 1L 5/8" gypsum board to 12.891 ft x 14.147 LF</t>
  </si>
  <si>
    <t xml:space="preserve">8</t>
  </si>
  <si>
    <t xml:space="preserve">Corridor 111 east / Break, Electrical 120, NER 121 || Corridor 111 (ACT-4 8'-6"): 1L 5/8" gypsum board to 9.0 ft x 17.06 LF | Break Room 118 (ACT-5 8'-6"): 1L 5/8" gypsum board to 9.0 ft x 2.913 LF | Electrical 120 / NER 121 (A04.01 key note 1 OPEN TO STRUCTURE): 1L 5/8" gypsum board to 12.891 ft x 14.147 LF</t>
  </si>
  <si>
    <t xml:space="preserve">A1  #9  -  Work Room 119 north / Cash Window 116 (door 119) || Cash Window 116 (ACT-4 9'-0"): 1L 5/8" gypsum board to 9.5 ft x 11.667 LF | Work Room 119 (ACT-5 8'-6"): 1L 5/8" gypsum board to 9.0 ft x 11.667 LF</t>
  </si>
  <si>
    <t xml:space="preserve">9</t>
  </si>
  <si>
    <t xml:space="preserve">Work Room 119 north / Cash Window 116 (door 119) || Cash Window 116 (ACT-4 9'-0"): 1L 5/8" gypsum board to 9.5 ft x 11.667 LF | Work Room 119 (ACT-5 8'-6"): 1L 5/8" gypsum board to 9.0 ft x 11.667 LF</t>
  </si>
  <si>
    <t xml:space="preserve">[CONFIRMADO]</t>
  </si>
  <si>
    <t xml:space="preserve">A1  #10  -  Drinking fountain alcove (back + 2 returns 1.90 ft) - SIN TAG, nota A/A02.01 || Corridor 111 drinking fountain alcove (ACT-4 8'-6"): 1L 5/8" gypsum board to 9.0 ft x 8.01 LF | Women's 114 / Men's 113 returns + back wall above/below chase (GB 8'-6"): 1L 5/8" gypsum board to 9.0 ft x 6.93 LF</t>
  </si>
  <si>
    <t xml:space="preserve">10</t>
  </si>
  <si>
    <t xml:space="preserve">Drinking fountain alcove (back + 2 returns 1.90 ft) - SIN TAG, nota A/A02.01 || Corridor 111 drinking fountain alcove (ACT-4 8'-6"): 1L 5/8" gypsum board to 9.0 ft x 8.01 LF | Women's 114 / Men's 113 returns + back wall above/below chase (GB 8'-6"): 1L 5/8" gypsum board to 9.0 ft x 6.93 LF</t>
  </si>
  <si>
    <t xml:space="preserve">TYPE A1K</t>
  </si>
  <si>
    <t xml:space="preserve">A1K  #11  -  Cash Window 116 teller line north || Teller side: 1L 5/8" gypsum board to 15.375 ft x 3.417 LF | Customer side (5/8" over 3/8" UL752 fiberglass to 8'-0"): 1L 5/8" gypsum board to 15.375 ft x 3.417 LF</t>
  </si>
  <si>
    <t xml:space="preserve">11</t>
  </si>
  <si>
    <t xml:space="preserve">3-5/8" 362S137-68</t>
  </si>
  <si>
    <t xml:space="preserve">Cash Window 116 teller line north || Teller side: 1L 5/8" gypsum board to 15.375 ft x 3.417 LF | Customer side (5/8" over 3/8" UL752 fiberglass to 8'-0"): 1L 5/8" gypsum board to 15.375 ft x 3.417 LF</t>
  </si>
  <si>
    <t xml:space="preserve">4/A12.01; 7/S5.20</t>
  </si>
  <si>
    <t xml:space="preserve">A1K  #12  -  Cash Window 116 teller line south || Teller side: 1L 5/8" gypsum board to 12.939 ft x 4.573 LF | Customer side (5/8" over 3/8" UL752 fiberglass to 8'-0"): 1L 5/8" gypsum board to 12.939 ft x 4.573 LF</t>
  </si>
  <si>
    <t xml:space="preserve">12</t>
  </si>
  <si>
    <t xml:space="preserve">Cash Window 116 teller line south || Teller side: 1L 5/8" gypsum board to 12.939 ft x 4.573 LF | Customer side (5/8" over 3/8" UL752 fiberglass to 8'-0"): 1L 5/8" gypsum board to 12.939 ft x 4.573 LF</t>
  </si>
  <si>
    <t xml:space="preserve">TYPE A5</t>
  </si>
  <si>
    <t xml:space="preserve">A5  #13  -  Calling Cubes 122 east || Calling Cubes 122 (ACT-5 8'-6"): 1L 5/8" gypsum board to 9.0 ft x 19.0 LF | Waiting 104 east aisle (ACT-4 11'-6" north of y=1110.72): 1L 5/8" gypsum board to 12.0 ft x 7.553 LF | Waiting 104 east aisle (ACT-4 9'-0" south of y=1110.72): 1L 5/8" gypsum board to 9.5 ft x 11.447 LF</t>
  </si>
  <si>
    <t xml:space="preserve">13</t>
  </si>
  <si>
    <t xml:space="preserve">6" 600S137-33</t>
  </si>
  <si>
    <t xml:space="preserve">Calling Cubes 122 east || Calling Cubes 122 (ACT-5 8'-6"): 1L 5/8" gypsum board to 9.0 ft x 19.0 LF | Waiting 104 east aisle (ACT-4 11'-6" north of y=1110.72): 1L 5/8" gypsum board to 12.0 ft x 7.553 LF | Waiting 104 east aisle (ACT-4 9'-0" south of y=1110.72): 1L 5/8" gypsum board to 9.5 ft x 11.447 LF</t>
  </si>
  <si>
    <t xml:space="preserve">A5  #14  -  Calling Cubes 122 west / Corridor (FEC-1) || Central Zone 103 west aisle (ACT-4 11'-6"): 1L 5/8" gypsum board to 12.0 ft x 10.593 LF | Calling Cubes 122 (ACT-5 8'-6"): 1L 5/8" gypsum board to 9.0 ft x 10.593 LF</t>
  </si>
  <si>
    <t xml:space="preserve">14</t>
  </si>
  <si>
    <t xml:space="preserve">Calling Cubes 122 west / Corridor (FEC-1) || Central Zone 103 west aisle (ACT-4 11'-6"): 1L 5/8" gypsum board to 12.0 ft x 10.593 LF | Calling Cubes 122 (ACT-5 8'-6"): 1L 5/8" gypsum board to 9.0 ft x 10.593 LF</t>
  </si>
  <si>
    <t xml:space="preserve">A5  #15  -  Calling Cubes 122 west at door 122 || Corridor 111 (ACT-4 8'-6"): 1L 5/8" gypsum board to 9.0 ft x 5.0 LF | Calling Cubes 122 (ACT-5 8'-6"): 1L 5/8" gypsum board to 9.0 ft x 5.0 LF</t>
  </si>
  <si>
    <t xml:space="preserve">15</t>
  </si>
  <si>
    <t xml:space="preserve">Calling Cubes 122 west at door 122 || Corridor 111 (ACT-4 8'-6"): 1L 5/8" gypsum board to 9.0 ft x 5.0 LF | Calling Cubes 122 (ACT-5 8'-6"): 1L 5/8" gypsum board to 9.0 ft x 5.0 LF</t>
  </si>
  <si>
    <t xml:space="preserve">A5  #16  -  Break 118 / Cash Window 116 || Break Room 118 (ACT-5 8'-6"): 1L 5/8" gypsum board to 9.0 ft x 3.713 LF | Cash Window 116 (ACT-4 9'-0"): 1L 5/8" gypsum board to 9.5 ft x 3.713 LF</t>
  </si>
  <si>
    <t xml:space="preserve">16</t>
  </si>
  <si>
    <t xml:space="preserve">Break 118 / Cash Window 116 || Break Room 118 (ACT-5 8'-6"): 1L 5/8" gypsum board to 9.0 ft x 3.713 LF | Cash Window 116 (ACT-4 9'-0"): 1L 5/8" gypsum board to 9.5 ft x 3.713 LF</t>
  </si>
  <si>
    <t xml:space="preserve">TYPE B</t>
  </si>
  <si>
    <t xml:space="preserve">B  #17  -  Men's 113 south / Janitor 112 (door 112) || Men's 113 (GB 8'-6", board to deck 1/A12.01): 1L 5/8" gypsum board to 12.751 ft x 11.733 LF | Janitor 112 (OPEN TO STRUCTURE): 1L 5/8" gypsum board to 12.751 ft x 11.733 LF</t>
  </si>
  <si>
    <t xml:space="preserve">17</t>
  </si>
  <si>
    <t xml:space="preserve">Men's 113 south / Janitor 112 (door 112) || Men's 113 (GB 8'-6", board to deck 1/A12.01): 1L 5/8" gypsum board to 12.751 ft x 11.733 LF | Janitor 112 (OPEN TO STRUCTURE): 1L 5/8" gypsum board to 12.751 ft x 11.733 LF</t>
  </si>
  <si>
    <t xml:space="preserve">1/A12.01; 7/S5.20</t>
  </si>
  <si>
    <t xml:space="preserve">B  #18  -  Janitor 112 / Storage 117 || Janitor 112: 1L 5/8" gypsum board to 12.743 ft x 3.5 LF | Storage 117: 1L 5/8" gypsum board to 12.743 ft x 3.5 LF</t>
  </si>
  <si>
    <t xml:space="preserve">18</t>
  </si>
  <si>
    <t xml:space="preserve">Janitor 112 / Storage 117 || Janitor 112: 1L 5/8" gypsum board to 12.743 ft x 3.5 LF | Storage 117: 1L 5/8" gypsum board to 12.743 ft x 3.5 LF</t>
  </si>
  <si>
    <t xml:space="preserve">B  #19  -  Janitor 112 + Storage 117 / Wellness 115 || Janitor 112 / Storage 117: 1L 5/8" gypsum board to 12.67 ft x 11.733 LF | Wellness 115: 1L 5/8" gypsum board to 12.67 ft x 11.733 LF</t>
  </si>
  <si>
    <t xml:space="preserve">19</t>
  </si>
  <si>
    <t xml:space="preserve">Janitor 112 + Storage 117 / Wellness 115 || Janitor 112 / Storage 117: 1L 5/8" gypsum board to 12.67 ft x 11.733 LF | Wellness 115: 1L 5/8" gypsum board to 12.67 ft x 11.733 LF</t>
  </si>
  <si>
    <t xml:space="preserve">B  #20  -  Electrical 120 north || Electrical 120: 1L 5/8" gypsum board to 12.831 ft x 9.583 LF | Corridor 111 / Break 118: 1L 5/8" gypsum board to 12.831 ft x 9.583 LF</t>
  </si>
  <si>
    <t xml:space="preserve">20</t>
  </si>
  <si>
    <t xml:space="preserve">Electrical 120 north || Electrical 120: 1L 5/8" gypsum board to 12.831 ft x 9.583 LF | Corridor 111 / Break 118: 1L 5/8" gypsum board to 12.831 ft x 9.583 LF</t>
  </si>
  <si>
    <t xml:space="preserve">B  #21  -  Electrical 120 / NER 121 || Electrical 120: 1L 5/8" gypsum board to 12.702 ft x 9.583 LF | NER 121: 1L 5/8" gypsum board to 12.702 ft x 9.583 LF</t>
  </si>
  <si>
    <t xml:space="preserve">21</t>
  </si>
  <si>
    <t xml:space="preserve">Electrical 120 / NER 121 || Electrical 120: 1L 5/8" gypsum board to 12.702 ft x 9.583 LF | NER 121: 1L 5/8" gypsum board to 12.702 ft x 9.583 LF</t>
  </si>
  <si>
    <t xml:space="preserve">B  #22  -  Electrical 120 + NER 121 east (doors 120,121) || Electrical 120 / NER 121: 1L 5/8" gypsum board to 12.831 ft x 14.147 LF | Break Room 118: 1L 5/8" gypsum board to 12.831 ft x 14.147 LF</t>
  </si>
  <si>
    <t xml:space="preserve">22</t>
  </si>
  <si>
    <t xml:space="preserve">Electrical 120 + NER 121 east (doors 120,121) || Electrical 120 / NER 121: 1L 5/8" gypsum board to 12.831 ft x 14.147 LF | Break Room 118: 1L 5/8" gypsum board to 12.831 ft x 14.147 LF</t>
  </si>
  <si>
    <t xml:space="preserve">TYPE B2</t>
  </si>
  <si>
    <t xml:space="preserve">B2  #23  -  ATM Room 102 east (door 102) || ATM Room 102: 1L 5/8" gypsum board to 15.375 ft x 5.333 LF | Central Zone 103: 1L 5/8" gypsum board to 15.375 ft x 5.333 LF</t>
  </si>
  <si>
    <t xml:space="preserve">23</t>
  </si>
  <si>
    <t xml:space="preserve">ATM Room 102 east (door 102) || ATM Room 102: 1L 5/8" gypsum board to 15.375 ft x 5.333 LF | Central Zone 103: 1L 5/8" gypsum board to 15.375 ft x 5.333 LF</t>
  </si>
  <si>
    <t xml:space="preserve">B2  #24  -  Corridor 111 west: Women's 114, Men's 113, Storage 117, Wellness 115 || Corridor 111: 1L 5/8" gypsum board to 13.101 ft x 25.393 LF | Women's 114 / Men's 113 / Storage 117 / Wellness 115: 1L 5/8" gypsum board to 13.101 ft x 25.393 LF</t>
  </si>
  <si>
    <t xml:space="preserve">24</t>
  </si>
  <si>
    <t xml:space="preserve">Corridor 111 west: Women's 114, Men's 113, Storage 117, Wellness 115 || Corridor 111: 1L 5/8" gypsum board to 13.101 ft x 25.393 LF | Women's 114 / Men's 113 / Storage 117 / Wellness 115: 1L 5/8" gypsum board to 13.101 ft x 25.393 LF</t>
  </si>
  <si>
    <t xml:space="preserve">B2  #25  -  Break 118 / Work Room 119 || Break Room 118: 1L 5/8" gypsum board to 12.781 ft x 11.74 LF | Work Room 119: 1L 5/8" gypsum board to 12.781 ft x 11.74 LF</t>
  </si>
  <si>
    <t xml:space="preserve">25</t>
  </si>
  <si>
    <t xml:space="preserve">Break 118 / Work Room 119 || Break Room 118: 1L 5/8" gypsum board to 12.781 ft x 11.74 LF | Work Room 119: 1L 5/8" gypsum board to 12.781 ft x 11.74 LF</t>
  </si>
  <si>
    <t xml:space="preserve">TYPE B2K</t>
  </si>
  <si>
    <t xml:space="preserve">B2K  #26  -  Office 108 south / Cash Window 116 at teller line || Office 108 (board to deck): 1L 5/8" gypsum board to 15.375 ft x 1.773 LF | Waiting 104 customer side (5/8" over 3/8" UL752 fiberglass to 8'-0"): 1L 5/8" gypsum board to 15.375 ft x 1.773 LF</t>
  </si>
  <si>
    <t xml:space="preserve">26</t>
  </si>
  <si>
    <t xml:space="preserve">6" 600S137-68</t>
  </si>
  <si>
    <t xml:space="preserve">Office 108 south / Cash Window 116 at teller line || Office 108 (board to deck): 1L 5/8" gypsum board to 15.375 ft x 1.773 LF | Waiting 104 customer side (5/8" over 3/8" UL752 fiberglass to 8'-0"): 1L 5/8" gypsum board to 15.375 ft x 1.773 LF</t>
  </si>
  <si>
    <t xml:space="preserve">TYPE C1</t>
  </si>
  <si>
    <t xml:space="preserve">C1  #27  -  Plumbing chase - Women's 114 face || Women's 114 (GB 8'-6"): 1L 5/8" gypsum board to 9.0 ft x 10.027 LF</t>
  </si>
  <si>
    <t xml:space="preserve">27</t>
  </si>
  <si>
    <t xml:space="preserve">Plumbing chase - Women's 114 face || Women's 114 (GB 8'-6"): 1L 5/8" gypsum board to 9.0 ft x 10.027 LF</t>
  </si>
  <si>
    <t xml:space="preserve">6/A12.01; 7/S5.20</t>
  </si>
  <si>
    <t xml:space="preserve">C1  #28  -  Plumbing chase - Men's 113 face || Men's 113 (GB 8'-6"): 1L 5/8" gypsum board to 9.0 ft x 10.027 LF</t>
  </si>
  <si>
    <t xml:space="preserve">28</t>
  </si>
  <si>
    <t xml:space="preserve">Plumbing chase - Men's 113 face || Men's 113 (GB 8'-6"): 1L 5/8" gypsum board to 9.0 ft x 10.027 LF</t>
  </si>
  <si>
    <t xml:space="preserve">C1  #29  -  Monitor furring (key note 7) Waiting 104 || Waiting 104 (GB 11'-0") face + 2 returns 8": 1L 5/8" gypsum board to 11.5 ft x 11.333 LF</t>
  </si>
  <si>
    <t xml:space="preserve">29</t>
  </si>
  <si>
    <t xml:space="preserve">Monitor furring (key note 7) Waiting 104 || Waiting 104 (GB 11'-0") face + 2 returns 8": 1L 5/8" gypsum board to 11.5 ft x 11.333 LF</t>
  </si>
  <si>
    <t xml:space="preserve">C1  #30  -  Future FCAM furring || Future FCAM / Cash Window 116 (ACT-4 9'-0"): 1L 5/8" gypsum board to 9.5 ft x 2.153 LF</t>
  </si>
  <si>
    <t xml:space="preserve">30</t>
  </si>
  <si>
    <t xml:space="preserve">Future FCAM furring || Future FCAM / Cash Window 116 (ACT-4 9'-0"): 1L 5/8" gypsum board to 9.5 ft x 2.153 LF</t>
  </si>
  <si>
    <t xml:space="preserve">C1  #31  -  Column furring Vestibule 100 NW || Vestibule perimeter of column (GB 10'-0" + 6"): 1L 5/8" gypsum board to 10.5 ft x 3.893 LF</t>
  </si>
  <si>
    <t xml:space="preserve">31</t>
  </si>
  <si>
    <t xml:space="preserve">6" 600S162-54</t>
  </si>
  <si>
    <t xml:space="preserve">Column furring Vestibule 100 NW || Vestibule perimeter of column (GB 10'-0" + 6"): 1L 5/8" gypsum board to 10.5 ft x 3.893 LF</t>
  </si>
  <si>
    <t xml:space="preserve">1/A09.25; 7/S5.20</t>
  </si>
  <si>
    <t xml:space="preserve">C1  #32  -  Column furring Vestibule 100 NE || Vestibule perimeter of column (GB 10'-0" + 6"): 1L 5/8" gypsum board to 10.5 ft x 4.0 LF</t>
  </si>
  <si>
    <t xml:space="preserve">32</t>
  </si>
  <si>
    <t xml:space="preserve">Column furring Vestibule 100 NE || Vestibule perimeter of column (GB 10'-0" + 6"): 1L 5/8" gypsum board to 10.5 ft x 4.0 LF</t>
  </si>
  <si>
    <t xml:space="preserve">2/A09.25; 7/S5.20</t>
  </si>
  <si>
    <t xml:space="preserve">C1  #33  -  Column furring Vestibule 100/101 E || Vestibule perimeter of column (GB 10'-0" + 6"): 1L 5/8" gypsum board to 10.5 ft x 4.0 LF</t>
  </si>
  <si>
    <t xml:space="preserve">33</t>
  </si>
  <si>
    <t xml:space="preserve">Column furring Vestibule 100/101 E || Vestibule perimeter of column (GB 10'-0" + 6"): 1L 5/8" gypsum board to 10.5 ft x 4.0 LF</t>
  </si>
  <si>
    <t xml:space="preserve">C1  #34  -  Column furring 24HR Vestibule 101 SE || Vestibule perimeter of column (GB 10'-0" + 6"): 1L 5/8" gypsum board to 10.5 ft x 4.293 LF</t>
  </si>
  <si>
    <t xml:space="preserve">34</t>
  </si>
  <si>
    <t xml:space="preserve">Column furring 24HR Vestibule 101 SE || Vestibule perimeter of column (GB 10'-0" + 6"): 1L 5/8" gypsum board to 10.5 ft x 4.293 LF</t>
  </si>
  <si>
    <t xml:space="preserve">3/A08.21; 7/S5.20</t>
  </si>
  <si>
    <t xml:space="preserve">TYPE F</t>
  </si>
  <si>
    <t xml:space="preserve">F  #35  -  24HR Vestibule 101 / ATM Room 102 (60 deg) || 24HR Vestibule 101 (5/8" GWB to GB ceiling 10'-0"): 1L 5/8" gypsum board to 10.0 ft x 18.066 LF | ATM Room 102 (ACT-5 8'-6" + 6"): 1L 5/8" gypsum board to 9.0 ft x 18.066 LF</t>
  </si>
  <si>
    <t xml:space="preserve">35</t>
  </si>
  <si>
    <t xml:space="preserve">24HR Vestibule 101 / ATM Room 102 (60 deg) || 24HR Vestibule 101 (5/8" GWB to GB ceiling 10'-0"): 1L 5/8" gypsum board to 10.0 ft x 18.066 LF | ATM Room 102 (ACT-5 8'-6" + 6"): 1L 5/8" gypsum board to 9.0 ft x 18.066 LF</t>
  </si>
  <si>
    <t xml:space="preserve">12/A12.01; 7/S5.20</t>
  </si>
  <si>
    <t xml:space="preserve">TYPE G</t>
  </si>
  <si>
    <t xml:space="preserve">G  #36  -  ATM Room 102 / Office 109 || ATM Room 102: 2L 5/8" gypsum board to 15.375 ft x 11.625 LF | Office 109: 2L 5/8" gypsum board to 15.375 ft x 11.625 LF</t>
  </si>
  <si>
    <t xml:space="preserve">36</t>
  </si>
  <si>
    <t xml:space="preserve">1-5/8" 162S125-33</t>
  </si>
  <si>
    <t xml:space="preserve">ATM Room 102 / Office 109 || ATM Room 102: 2L 5/8" gypsum board to 15.375 ft x 11.625 LF | Office 109: 2L 5/8" gypsum board to 15.375 ft x 11.625 LF</t>
  </si>
  <si>
    <t xml:space="preserve">5/A12.01; 7/S5.20</t>
  </si>
  <si>
    <t xml:space="preserve">G  #37  -  Office 109 / Office 110 || Office 109: 2L 5/8" gypsum board to 15.375 ft x 11.625 LF | Office 110: 2L 5/8" gypsum board to 15.375 ft x 11.625 LF</t>
  </si>
  <si>
    <t xml:space="preserve">37</t>
  </si>
  <si>
    <t xml:space="preserve">Office 109 / Office 110 || Office 109: 2L 5/8" gypsum board to 15.375 ft x 11.625 LF | Office 110: 2L 5/8" gypsum board to 15.375 ft x 11.625 LF</t>
  </si>
  <si>
    <t xml:space="preserve">G  #38  -  Office 110 / Women's 114 || Office 110: 2L 5/8" gypsum board to 15.375 ft x 11.625 LF | Women's 114: 2L 5/8" gypsum board to 15.375 ft x 11.625 LF</t>
  </si>
  <si>
    <t xml:space="preserve">38</t>
  </si>
  <si>
    <t xml:space="preserve">Office 110 / Women's 114 || Office 110: 2L 5/8" gypsum board to 15.375 ft x 11.625 LF | Women's 114: 2L 5/8" gypsum board to 15.375 ft x 11.625 LF</t>
  </si>
  <si>
    <t xml:space="preserve">G  #39  -  Office 106 / Office 107 || Office 106: 2L 5/8" gypsum board to 15.375 ft x 11.771 LF | Office 107: 2L 5/8" gypsum board to 15.375 ft x 11.771 LF</t>
  </si>
  <si>
    <t xml:space="preserve">39</t>
  </si>
  <si>
    <t xml:space="preserve">Office 106 / Office 107 || Office 106: 2L 5/8" gypsum board to 15.375 ft x 11.771 LF | Office 107: 2L 5/8" gypsum board to 15.375 ft x 11.771 LF</t>
  </si>
  <si>
    <t xml:space="preserve">G  #40  -  Office 107 / Office 108 || Office 107: 2L 5/8" gypsum board to 15.375 ft x 11.771 LF | Office 108: 2L 5/8" gypsum board to 15.375 ft x 11.771 LF</t>
  </si>
  <si>
    <t xml:space="preserve">40</t>
  </si>
  <si>
    <t xml:space="preserve">Office 107 / Office 108 || Office 107: 2L 5/8" gypsum board to 15.375 ft x 11.771 LF | Office 108: 2L 5/8" gypsum board to 15.375 ft x 11.771 LF</t>
  </si>
  <si>
    <t xml:space="preserve">G  #41  -  Office 108 / Cash Window 116 || Office 108: 2L 5/8" gypsum board to 15.375 ft x 11.771 LF | Cash Window 116: 2L 5/8" gypsum board to 15.375 ft x 11.771 LF</t>
  </si>
  <si>
    <t xml:space="preserve">41</t>
  </si>
  <si>
    <t xml:space="preserve">Office 108 / Cash Window 116 || Office 108: 2L 5/8" gypsum board to 15.375 ft x 11.771 LF | Cash Window 116: 2L 5/8" gypsum board to 15.375 ft x 11.771 LF</t>
  </si>
  <si>
    <t xml:space="preserve">G  #42  -  Office 105 front stub N - SIN TAG (= tipo de los stubs vecinos) || Office 105: 2L 5/8" gypsum board to 15.375 ft x 2.42 LF | Central Zone 103: 2L 5/8" gypsum board to 15.375 ft x 2.42 LF</t>
  </si>
  <si>
    <t xml:space="preserve">42</t>
  </si>
  <si>
    <t xml:space="preserve">Office 105 front stub N - SIN TAG (= tipo de los stubs vecinos) || Office 105: 2L 5/8" gypsum board to 15.375 ft x 2.42 LF | Central Zone 103: 2L 5/8" gypsum board to 15.375 ft x 2.42 LF</t>
  </si>
  <si>
    <t xml:space="preserve">G  #43  -  Office 105/106 front stub || Office 105/106: 2L 5/8" gypsum board to 15.375 ft x 3.467 LF | Central Zone 103: 2L 5/8" gypsum board to 15.375 ft x 3.467 LF</t>
  </si>
  <si>
    <t xml:space="preserve">43</t>
  </si>
  <si>
    <t xml:space="preserve">Office 105/106 front stub || Office 105/106: 2L 5/8" gypsum board to 15.375 ft x 3.467 LF | Central Zone 103: 2L 5/8" gypsum board to 15.375 ft x 3.467 LF</t>
  </si>
  <si>
    <t xml:space="preserve">G  #44  -  Office 106/107 front stub || Office 106/107: 2L 5/8" gypsum board to 15.375 ft x 3.253 LF | Central Zone 103: 2L 5/8" gypsum board to 15.375 ft x 3.253 LF</t>
  </si>
  <si>
    <t xml:space="preserve">44</t>
  </si>
  <si>
    <t xml:space="preserve">Office 106/107 front stub || Office 106/107: 2L 5/8" gypsum board to 15.375 ft x 3.253 LF | Central Zone 103: 2L 5/8" gypsum board to 15.375 ft x 3.253 LF</t>
  </si>
  <si>
    <t xml:space="preserve">G  #45  -  Office 107/108 front stub || Office 107/108: 2L 5/8" gypsum board to 15.375 ft x 3.251 LF | Central Zone 103: 2L 5/8" gypsum board to 15.375 ft x 3.251 LF</t>
  </si>
  <si>
    <t xml:space="preserve">45</t>
  </si>
  <si>
    <t xml:space="preserve">Office 107/108 front stub || Office 107/108: 2L 5/8" gypsum board to 15.375 ft x 3.251 LF | Central Zone 103: 2L 5/8" gypsum board to 15.375 ft x 3.251 LF</t>
  </si>
  <si>
    <t xml:space="preserve">TYPE G1</t>
  </si>
  <si>
    <t xml:space="preserve">G1  #46  -  Office 105 / Office 106 || Office 105: 2L 5/8" gypsum board to 15.375 ft x 11.771 LF | Office 106: 2L 5/8" gypsum board to 15.375 ft x 11.771 LF</t>
  </si>
  <si>
    <t xml:space="preserve">46</t>
  </si>
  <si>
    <t xml:space="preserve">Office 105 / Office 106 || Office 105: 2L 5/8" gypsum board to 15.375 ft x 11.771 LF | Office 106: 2L 5/8" gypsum board to 15.375 ft x 11.771 LF</t>
  </si>
  <si>
    <t xml:space="preserve">G1  #47  -  Office 109/110 front stub || Office 109/110: 2L 5/8" gypsum board to 15.375 ft x 3.507 LF | Central Zone 103: 2L 5/8" gypsum board to 15.375 ft x 3.507 LF</t>
  </si>
  <si>
    <t xml:space="preserve">47</t>
  </si>
  <si>
    <t xml:space="preserve">Office 109/110 front stub || Office 109/110: 2L 5/8" gypsum board to 15.375 ft x 3.507 LF | Central Zone 103: 2L 5/8" gypsum board to 15.375 ft x 3.507 LF</t>
  </si>
  <si>
    <t xml:space="preserve">G1  #48  -  Office 109 front stub N - SIN TAG || Office 109: 2L 5/8" gypsum board to 15.375 ft x 1.173 LF | Central Zone 103: 2L 5/8" gypsum board to 15.375 ft x 1.173 LF</t>
  </si>
  <si>
    <t xml:space="preserve">48</t>
  </si>
  <si>
    <t xml:space="preserve">Office 109 front stub N - SIN TAG || Office 109: 2L 5/8" gypsum board to 15.375 ft x 1.173 LF | Central Zone 103: 2L 5/8" gypsum board to 15.375 ft x 1.173 LF</t>
  </si>
  <si>
    <t xml:space="preserve">G1  #49  -  Office 110 front stub S - SIN TAG || Office 110: 2L 5/8" gypsum board to 15.375 ft x 3.18 LF | Central Zone 103: 2L 5/8" gypsum board to 15.375 ft x 3.18 LF</t>
  </si>
  <si>
    <t xml:space="preserve">49</t>
  </si>
  <si>
    <t xml:space="preserve">Office 110 front stub S - SIN TAG || Office 110: 2L 5/8" gypsum board to 15.375 ft x 3.18 LF | Central Zone 103: 2L 5/8" gypsum board to 15.375 ft x 3.18 LF</t>
  </si>
  <si>
    <t xml:space="preserve">TYPE BULKHEAD-OF</t>
  </si>
  <si>
    <t xml:space="preserve">BULKHEAD-OF  #61  -  Office 105 front bulkhead (8/A12.01 + 9/A12.01) || Office 105: 2L 5/8" gypsum board to 7.333 ft x 7.5 LF | Central Zone 103: 2L 5/8" gypsum board to 7.333 ft x 7.5 LF</t>
  </si>
  <si>
    <t xml:space="preserve">61</t>
  </si>
  <si>
    <t xml:space="preserve">Office 105 front bulkhead (8/A12.01 + 9/A12.01) || Office 105: 2L 5/8" gypsum board to 7.333 ft x 7.5 LF | Central Zone 103: 2L 5/8" gypsum board to 7.333 ft x 7.5 LF</t>
  </si>
  <si>
    <t xml:space="preserve">9/A12.01; 7/S5.20</t>
  </si>
  <si>
    <t xml:space="preserve">BULKHEAD-OF  #62  -  Office 106 front bulkhead (8/A12.01 + 9/A12.01) || Office 106: 2L 5/8" gypsum board to 7.333 ft x 7.5 LF | Central Zone 103: 2L 5/8" gypsum board to 7.333 ft x 7.5 LF</t>
  </si>
  <si>
    <t xml:space="preserve">62</t>
  </si>
  <si>
    <t xml:space="preserve">Office 106 front bulkhead (8/A12.01 + 9/A12.01) || Office 106: 2L 5/8" gypsum board to 7.333 ft x 7.5 LF | Central Zone 103: 2L 5/8" gypsum board to 7.333 ft x 7.5 LF</t>
  </si>
  <si>
    <t xml:space="preserve">BULKHEAD-OF  #63  -  Office 107 front bulkhead (8/A12.01 + 9/A12.01) || Office 107: 2L 5/8" gypsum board to 7.333 ft x 7.5 LF | Central Zone 103: 2L 5/8" gypsum board to 7.333 ft x 7.5 LF</t>
  </si>
  <si>
    <t xml:space="preserve">63</t>
  </si>
  <si>
    <t xml:space="preserve">Office 107 front bulkhead (8/A12.01 + 9/A12.01) || Office 107: 2L 5/8" gypsum board to 7.333 ft x 7.5 LF | Central Zone 103: 2L 5/8" gypsum board to 7.333 ft x 7.5 LF</t>
  </si>
  <si>
    <t xml:space="preserve">BULKHEAD-OF  #64  -  Office 108 front bulkhead (8/A12.01 + 9/A12.01) || Office 108: 2L 5/8" gypsum board to 7.333 ft x 7.5 LF | Central Zone 103: 2L 5/8" gypsum board to 7.333 ft x 7.5 LF</t>
  </si>
  <si>
    <t xml:space="preserve">64</t>
  </si>
  <si>
    <t xml:space="preserve">Office 108 front bulkhead (8/A12.01 + 9/A12.01) || Office 108: 2L 5/8" gypsum board to 7.333 ft x 7.5 LF | Central Zone 103: 2L 5/8" gypsum board to 7.333 ft x 7.5 LF</t>
  </si>
  <si>
    <t xml:space="preserve">BULKHEAD-OF  #65  -  Office 109 front bulkhead (8/A12.01 + 9/A12.01) || Office 109: 2L 5/8" gypsum board to 7.333 ft x 7.5 LF | Central Zone 103: 2L 5/8" gypsum board to 7.333 ft x 7.5 LF</t>
  </si>
  <si>
    <t xml:space="preserve">65</t>
  </si>
  <si>
    <t xml:space="preserve">Office 109 front bulkhead (8/A12.01 + 9/A12.01) || Office 109: 2L 5/8" gypsum board to 7.333 ft x 7.5 LF | Central Zone 103: 2L 5/8" gypsum board to 7.333 ft x 7.5 LF</t>
  </si>
  <si>
    <t xml:space="preserve">BULKHEAD-OF  #66  -  Office 110 front bulkhead (8/A12.01 + 9/A12.01) || Office 110: 2L 5/8" gypsum board to 7.333 ft x 7.5 LF | Central Zone 103: 2L 5/8" gypsum board to 7.333 ft x 7.5 LF</t>
  </si>
  <si>
    <t xml:space="preserve">66</t>
  </si>
  <si>
    <t xml:space="preserve">Office 110 front bulkhead (8/A12.01 + 9/A12.01) || Office 110: 2L 5/8" gypsum board to 7.333 ft x 7.5 LF | Central Zone 103: 2L 5/8" gypsum board to 7.333 ft x 7.5 LF</t>
  </si>
  <si>
    <t xml:space="preserve">TYPE EXT</t>
  </si>
  <si>
    <t xml:space="preserve">EXT  #50  -  EXT north wall Office 105 (grid F, 7-8) || Interior face tramo 1 (5/8" GYP BOARD @ PERIMETER EXTERIOR WALL TO DECK, C/A09.21): 1L 5/8" gypsum board to 15.375 ft x 12.64 LF | Exterior face nailbase (4/A09.26, C/A09.21): 1L 5/8" FRT plywood bonded to 2-1/2" polyiso (nailbase) to 16.917 ft x 12.64 LF</t>
  </si>
  <si>
    <t xml:space="preserve">50</t>
  </si>
  <si>
    <t xml:space="preserve">EXT north wall Office 105 (grid F, 7-8) || Interior face tramo 1 (5/8" GYP BOARD @ PERIMETER EXTERIOR WALL TO DECK, C/A09.21): 1L 5/8" gypsum board to 15.375 ft x 12.64 LF | Exterior face nailbase (4/A09.26, C/A09.21): 1L 5/8" FRT plywood bonded to 2-1/2" polyiso (nailbase) to 16.917 ft x 12.64 LF</t>
  </si>
  <si>
    <t xml:space="preserve">C/A09.21; 7/S5.20</t>
  </si>
  <si>
    <t xml:space="preserve">EXT  #51  -  EXT north storefront head Central Zone 103 (grid F, 4-7) || Interior face above storefront head (2/A09.26 to deck): 1L 5/8" gypsum board to 6.875 ft x 26.25 LF | Exterior face nailbase (4/A09.26, C/A09.21): 1L 5/8" FRT plywood bonded to 2-1/2" polyiso (nailbase) to 8.917 ft x 26.25 LF</t>
  </si>
  <si>
    <t xml:space="preserve">51</t>
  </si>
  <si>
    <t xml:space="preserve">EXT north storefront head Central Zone 103 (grid F, 4-7) || Interior face above storefront head (2/A09.26 to deck): 1L 5/8" gypsum board to 6.875 ft x 26.25 LF | Exterior face nailbase (4/A09.26, C/A09.21): 1L 5/8" FRT plywood bonded to 2-1/2" polyiso (nailbase) to 8.917 ft x 26.25 LF</t>
  </si>
  <si>
    <t xml:space="preserve">EXT  #52  -  EXT north storefront head Vestibule 100 (grid G, 2-4) - tower PARAPET 2 || Interior face above storefront head (2/A09.26 to deck): 1L 5/8" gypsum board to 6.875 ft x 12.563 LF | Exterior face nailbase (4/A09.26, C/A09.21): 1L 5/8" FRT plywood bonded to 2-1/2" polyiso (nailbase) to 11.167 ft x 12.563 LF</t>
  </si>
  <si>
    <t xml:space="preserve">52</t>
  </si>
  <si>
    <t xml:space="preserve">EXT north storefront head Vestibule 100 (grid G, 2-4) - tower PARAPET 2 || Interior face above storefront head (2/A09.26 to deck): 1L 5/8" gypsum board to 6.875 ft x 12.563 LF | Exterior face nailbase (4/A09.26, C/A09.21): 1L 5/8" FRT plywood bonded to 2-1/2" polyiso (nailbase) to 11.167 ft x 12.563 LF</t>
  </si>
  <si>
    <t xml:space="preserve">EXT  #53  -  EXT west storefront head Vestibule 100 (grid 2, G-E.4) - tower || Interior face above storefront head (2/A09.26 to deck): 1L 5/8" gypsum board to 6.875 ft x 6.5 LF | Exterior face nailbase (4/A09.26, C/A09.21): 1L 5/8" FRT plywood bonded to 2-1/2" polyiso (nailbase) to 11.167 ft x 6.5 LF</t>
  </si>
  <si>
    <t xml:space="preserve">53</t>
  </si>
  <si>
    <t xml:space="preserve">EXT west storefront head Vestibule 100 (grid 2, G-E.4) - tower || Interior face above storefront head (2/A09.26 to deck): 1L 5/8" gypsum board to 6.875 ft x 6.5 LF | Exterior face nailbase (4/A09.26, C/A09.21): 1L 5/8" FRT plywood bonded to 2-1/2" polyiso (nailbase) to 11.167 ft x 6.5 LF</t>
  </si>
  <si>
    <t xml:space="preserve">EXT  #54  -  EXT west wall 24HR Vestibule 101 (grid 2) || Interior face tramo 1 (5/8" GYP BOARD @ PERIMETER EXTERIOR WALL TO DECK, C/A09.21): 1L 5/8" gypsum board to 15.375 ft x 15.773 LF | Exterior face nailbase (4/A09.26, C/A09.21): 1L 5/8" FRT plywood bonded to 2-1/2" polyiso (nailbase) to 19.167 ft x 15.773 LF</t>
  </si>
  <si>
    <t xml:space="preserve">54</t>
  </si>
  <si>
    <t xml:space="preserve">EXT west wall 24HR Vestibule 101 (grid 2) || Interior face tramo 1 (5/8" GYP BOARD @ PERIMETER EXTERIOR WALL TO DECK, C/A09.21): 1L 5/8" gypsum board to 15.375 ft x 15.773 LF | Exterior face nailbase (4/A09.26, C/A09.21): 1L 5/8" FRT plywood bonded to 2-1/2" polyiso (nailbase) to 19.167 ft x 15.773 LF</t>
  </si>
  <si>
    <t xml:space="preserve">EXT  #55  -  EXT west ATM niche Day 1 drive-up ATM (6/A08.11) || Interior face tramo 1 (5/8" GYP BOARD @ PERIMETER EXTERIOR WALL TO DECK, C/A09.21): 1L 5/8" gypsum board to 15.375 ft x 5.687 LF | Exterior face nailbase (4/A09.26, C/A09.21): 1L 5/8" FRT plywood (6/A08.11, under furring + fiber cement) to 19.167 ft x 5.687 LF</t>
  </si>
  <si>
    <t xml:space="preserve">55</t>
  </si>
  <si>
    <t xml:space="preserve">EXT west ATM niche Day 1 drive-up ATM (6/A08.11) || Interior face tramo 1 (5/8" GYP BOARD @ PERIMETER EXTERIOR WALL TO DECK, C/A09.21): 1L 5/8" gypsum board to 15.375 ft x 5.687 LF | Exterior face nailbase (4/A09.26, C/A09.21): 1L 5/8" FRT plywood (6/A08.11, under furring + fiber cement) to 19.167 ft x 5.687 LF</t>
  </si>
  <si>
    <t xml:space="preserve">EXT  #56  -  EXT jog ATM Room 102 / Office 109 (y 840) || Interior face tramo 1 (5/8" GYP BOARD @ PERIMETER EXTERIOR WALL TO DECK, C/A09.21): 1L 5/8" gypsum board to 15.375 ft x 4.413 LF | Exterior face nailbase (4/A09.26, C/A09.21): 1L 5/8" FRT plywood bonded to 2-1/2" polyiso (nailbase) to 16.917 ft x 4.413 LF</t>
  </si>
  <si>
    <t xml:space="preserve">56</t>
  </si>
  <si>
    <t xml:space="preserve">EXT jog ATM Room 102 / Office 109 (y 840) || Interior face tramo 1 (5/8" GYP BOARD @ PERIMETER EXTERIOR WALL TO DECK, C/A09.21): 1L 5/8" gypsum board to 15.375 ft x 4.413 LF | Exterior face nailbase (4/A09.26, C/A09.21): 1L 5/8" FRT plywood bonded to 2-1/2" polyiso (nailbase) to 16.917 ft x 4.413 LF</t>
  </si>
  <si>
    <t xml:space="preserve">EXT  #57  -  EXT west wall Offices 109-110 + Restrooms (grid 3) || Interior face tramo 1 (5/8" GYP BOARD @ PERIMETER EXTERIOR WALL TO DECK, C/A09.21): 1L 5/8" gypsum board to 15.375 ft x 22.562 LF | Interior face tramo 2 (5/8" GYP BOARD @ PERIMETER EXTERIOR WALL TO DECK, C/A09.21): 1L 5/8" gypsum board to 13.052 ft x 24.851 LF | Exterior face nailbase (4/A09.26, C/A09.21): 1L 5/8" FRT plywood bonded to 2-1/2" polyiso (nailbase) to 16.917 ft x 47.413 LF</t>
  </si>
  <si>
    <t xml:space="preserve">57</t>
  </si>
  <si>
    <t xml:space="preserve">EXT west wall Offices 109-110 + Restrooms (grid 3) || Interior face tramo 1 (5/8" GYP BOARD @ PERIMETER EXTERIOR WALL TO DECK, C/A09.21): 1L 5/8" gypsum board to 15.375 ft x 22.562 LF | Interior face tramo 2 (5/8" GYP BOARD @ PERIMETER EXTERIOR WALL TO DECK, C/A09.21): 1L 5/8" gypsum board to 13.052 ft x 24.851 LF | Exterior face nailbase (4/A09.26, C/A09.21): 1L 5/8" FRT plywood bonded to 2-1/2" polyiso (nailbase) to 16.917 ft x 47.413 LF</t>
  </si>
  <si>
    <t xml:space="preserve">EXT  #58  -  EXT south wall (grid A) || Interior face tramo 1 (5/8" GYP BOARD @ PERIMETER EXTERIOR WALL TO DECK, C/A09.21): 1L 5/8" gypsum board to 12.539 ft x 51.733 LF | Exterior face nailbase (4/A09.26, C/A09.21): 1L 5/8" FRT plywood bonded to 2-1/2" polyiso (nailbase) to 16.917 ft x 51.733 LF</t>
  </si>
  <si>
    <t xml:space="preserve">58</t>
  </si>
  <si>
    <t xml:space="preserve">EXT south wall (grid A) || Interior face tramo 1 (5/8" GYP BOARD @ PERIMETER EXTERIOR WALL TO DECK, C/A09.21): 1L 5/8" gypsum board to 12.539 ft x 51.733 LF | Exterior face nailbase (4/A09.26, C/A09.21): 1L 5/8" FRT plywood bonded to 2-1/2" polyiso (nailbase) to 16.917 ft x 51.733 LF</t>
  </si>
  <si>
    <t xml:space="preserve">EXT  #59  -  EXT east wall (grid 8) || Interior face tramo 1 (5/8" GYP BOARD @ PERIMETER EXTERIOR WALL TO DECK, C/A09.21): 1L 5/8" gypsum board to 15.375 ft x 50.478 LF | Interior face tramo 2 (5/8" GYP BOARD @ PERIMETER EXTERIOR WALL TO DECK, C/A09.21): 1L 5/8" gypsum board to 13.052 ft x 24.855 LF | Exterior face nailbase (4/A09.26, C/A09.21): 1L 5/8" FRT plywood bonded to 2-1/2" polyiso (nailbase) to 16.917 ft x 75.333 LF</t>
  </si>
  <si>
    <t xml:space="preserve">59</t>
  </si>
  <si>
    <t xml:space="preserve">EXT east wall (grid 8) || Interior face tramo 1 (5/8" GYP BOARD @ PERIMETER EXTERIOR WALL TO DECK, C/A09.21): 1L 5/8" gypsum board to 15.375 ft x 50.478 LF | Interior face tramo 2 (5/8" GYP BOARD @ PERIMETER EXTERIOR WALL TO DECK, C/A09.21): 1L 5/8" gypsum board to 13.052 ft x 24.855 LF | Exterior face nailbase (4/A09.26, C/A09.21): 1L 5/8" FRT plywood bonded to 2-1/2" polyiso (nailbase) to 16.917 ft x 75.333 LF</t>
  </si>
  <si>
    <t xml:space="preserve">TYPE PARAPET</t>
  </si>
  <si>
    <t xml:space="preserve">PARAPET  #-  -  P1 north (grid F, x1143-&gt;1860) :: 6" parapet stud 600S162-54 = 81.68 LF</t>
  </si>
  <si>
    <t xml:space="preserve">-</t>
  </si>
  <si>
    <t xml:space="preserve">6"</t>
  </si>
  <si>
    <t xml:space="preserve">P1 north (grid F, x1143-&gt;1860) :: 6" parapet stud 600S162-54 = 81.68 LF</t>
  </si>
  <si>
    <t xml:space="preserve">59.4: bays=ROUNDUP(39.86/5'-0" HSS max)=8; studs/bay=2+max(0,ROUNDUP((4.983-0.6)/1.333)-1)=5; 40 studs x h 2.042 (T/STUD - B.O.D. promedio del tramo, 55.3) = 81.68 LF; 11/S5.10</t>
  </si>
  <si>
    <t xml:space="preserve">PARAPET  #-  -  P2 tower north leg (grid G, 2-&gt;4) :: 6" parapet stud 600S162-54 = 68.67 LF</t>
  </si>
  <si>
    <t xml:space="preserve">P2 tower north leg (grid G, 2-&gt;4) :: 6" parapet stud 600S162-54 = 68.67 LF</t>
  </si>
  <si>
    <t xml:space="preserve">59.4: bays=ROUNDUP(17.73/5'-0" HSS max)=4; studs/bay=2+max(0,ROUNDUP((4.433-0.6)/1.333)-1)=4; 16 studs x h 4.292 (T/STUD - B.O.D. promedio del tramo, 55.3) = 68.67 LF; 11/S5.10</t>
  </si>
  <si>
    <t xml:space="preserve">PARAPET  #-  -  P2 tower west leg (grid 2, G-&gt;D) :: 6" parapet stud 600S162-54 = 120.18 LF</t>
  </si>
  <si>
    <t xml:space="preserve">P2 tower west leg (grid 2, G-&gt;D) :: 6" parapet stud 600S162-54 = 120.18 LF</t>
  </si>
  <si>
    <t xml:space="preserve">59.4: bays=ROUNDUP(30.36/5'-0" HSS max)=7; studs/bay=2+max(0,ROUNDUP((4.337-0.6)/1.333)-1)=4; 28 studs x h 4.292 (T/STUD - B.O.D. promedio del tramo, 55.3) = 120.18 LF; 11/S5.10</t>
  </si>
  <si>
    <t xml:space="preserve">PARAPET  #-  -  P2 tower return at grid 4 (roof both sides) :: 6" parapet stud 600S162-54 = 21.46 LF</t>
  </si>
  <si>
    <t xml:space="preserve">P2 tower return at grid 4 (roof both sides) :: 6" parapet stud 600S162-54 = 21.46 LF</t>
  </si>
  <si>
    <t xml:space="preserve">59.4: bays=ROUNDUP(4.61/5'-0" HSS max)=1; studs/bay=2+max(0,ROUNDUP((4.61-0.6)/1.333)-1)=5; 5 studs x h 4.292 (T/STUD - B.O.D. promedio del tramo, 55.3) = 21.46 LF; 11/S5.10</t>
  </si>
  <si>
    <t xml:space="preserve">PARAPET  #-  -  P1 west jog (y 848) :: 6" parapet stud 600S162-54 = 8.17 LF</t>
  </si>
  <si>
    <t xml:space="preserve">P1 west jog (y 848) :: 6" parapet stud 600S162-54 = 8.17 LF</t>
  </si>
  <si>
    <t xml:space="preserve">59.4: bays=ROUNDUP(3.95/5'-0" HSS max)=1; studs/bay=2+max(0,ROUNDUP((3.95-0.6)/1.333)-1)=4; 4 studs x h 2.042 (T/STUD - B.O.D. promedio del tramo, 55.3) = 8.17 LF; 11/S5.10</t>
  </si>
  <si>
    <t xml:space="preserve">PARAPET  #-  -  P1 west grid 3 north of B :: 6" parapet stud 600S162-54 = 40.84 LF</t>
  </si>
  <si>
    <t xml:space="preserve">P1 west grid 3 north of B :: 6" parapet stud 600S162-54 = 40.84 LF</t>
  </si>
  <si>
    <t xml:space="preserve">59.4: bays=ROUNDUP(22.09/5'-0" HSS max)=5; studs/bay=2+max(0,ROUNDUP((4.418-0.6)/1.333)-1)=4; 20 studs x h 2.042 (T/STUD - B.O.D. promedio del tramo, 55.3) = 40.84 LF; 11/S5.10</t>
  </si>
  <si>
    <t xml:space="preserve">PARAPET  #-  -  P1 west grid 3 south of B :: 6" parapet stud 600S162-54 = 111.14 LF</t>
  </si>
  <si>
    <t xml:space="preserve">P1 west grid 3 south of B :: 6" parapet stud 600S162-54 = 111.14 LF</t>
  </si>
  <si>
    <t xml:space="preserve">59.4: bays=ROUNDUP(25.74/5'-0" HSS max)=6; studs/bay=2+max(0,ROUNDUP((4.29-0.6)/1.333)-1)=4; 24 studs x h 4.631 (T/STUD - B.O.D. promedio del tramo, 55.3) = 111.14 LF; 11/S5.10</t>
  </si>
  <si>
    <t xml:space="preserve">PARAPET  #-  -  P1 south (grid A) :: 6" parapet stud 600S162-54 = 268.78 LF</t>
  </si>
  <si>
    <t xml:space="preserve">P1 south (grid A) :: 6" parapet stud 600S162-54 = 268.78 LF</t>
  </si>
  <si>
    <t xml:space="preserve">59.4: bays=ROUNDUP(53.59/5'-0" HSS max)=11; studs/bay=2+max(0,ROUNDUP((4.872-0.6)/1.333)-1)=5; 55 studs x h 4.887 (T/STUD - B.O.D. promedio del tramo, 55.3) = 268.78 LF; 11/S5.10</t>
  </si>
  <si>
    <t xml:space="preserve">PARAPET  #-  -  P1 east north of B :: 6" parapet stud 600S162-54 = 112.31 LF</t>
  </si>
  <si>
    <t xml:space="preserve">P1 east north of B :: 6" parapet stud 600S162-54 = 112.31 LF</t>
  </si>
  <si>
    <t xml:space="preserve">59.4: bays=ROUNDUP(51.45/5'-0" HSS max)=11; studs/bay=2+max(0,ROUNDUP((4.677-0.6)/1.333)-1)=5; 55 studs x h 2.042 (T/STUD - B.O.D. promedio del tramo, 55.3) = 112.31 LF; 11/S5.10</t>
  </si>
  <si>
    <t xml:space="preserve">PARAPET  #-  -  P1 east south of B :: 6" parapet stud 600S162-54 = 111.14 LF</t>
  </si>
  <si>
    <t xml:space="preserve">P1 east south of B :: 6" parapet stud 600S162-54 = 111.14 LF</t>
  </si>
  <si>
    <t xml:space="preserve">PARAPET  #-  -  all runs roof side :: 5/8" exterior gypsum sheathing (parapet roof side) = 985.9 SF</t>
  </si>
  <si>
    <t xml:space="preserve">all runs roof side :: 5/8" exterior gypsum sheathing (parapet roof side) = 985.9 SF</t>
  </si>
  <si>
    <t xml:space="preserve">sum LF x (T/STUD - B.O.D.) por tramo (55.3); return P2 ambas caras; C/A09.21, E/A09.22, J/A09.23 (4/A09.26 dice DENS DECK -&gt; RFI-PAR)</t>
  </si>
  <si>
    <t xml:space="preserve">TYPE ROOF STEP</t>
  </si>
  <si>
    <t xml:space="preserve">ROOF STEP  #-  -  grid B 3-&gt;8 :: 3-5/8" metal stud 362S137-33 = 99.89 LF</t>
  </si>
  <si>
    <t xml:space="preserve">3-5/8"</t>
  </si>
  <si>
    <t xml:space="preserve">grid B 3-&gt;8 :: 3-5/8" metal stud 362S137-33 = 99.89 LF</t>
  </si>
  <si>
    <t xml:space="preserve">6/A02.02 3 5/8" METAL STUD @ 16" O.C.: (40+1+2) x 2.323 (15'-4 1/2" - 13'-0 5/8", S2.20; 9/S5.10)</t>
  </si>
  <si>
    <t xml:space="preserve">ROOF STEP  #-  -  grid B interior :: 5/8" gypsum board, regular = 121.57 SF</t>
  </si>
  <si>
    <t xml:space="preserve">grid B interior :: 5/8" gypsum board, regular = 121.57 SF</t>
  </si>
  <si>
    <t xml:space="preserve">6/A02.02 interior 5/8" gyp bd tight to deck</t>
  </si>
  <si>
    <t xml:space="preserve">TYPE CANOPY</t>
  </si>
  <si>
    <t xml:space="preserve">CANOPY  #-  -  North canopy (grid 2-&gt;8) fascia :: 3-5/8" metal stud 362S137-33 = 93.01 LF</t>
  </si>
  <si>
    <t xml:space="preserve">North canopy (grid 2-&gt;8) fascia :: 3-5/8" metal stud 362S137-33 = 93.01 LF</t>
  </si>
  <si>
    <t xml:space="preserve">fascia 60.51 LF (linea fascia ext., ag_canopy): (46+1) x 1.979 (T/STUD 12'-7" - B/STUD 10'-7 1/4") 7/A09.26; O.C. 16" de 4/A09.33 (RFI-CAN-OC)</t>
  </si>
  <si>
    <t xml:space="preserve">CANOPY  #-  -  North canopy (grid 2-&gt;8) fascia :: 5/8" ext. grade FRT plywood sheathing (canopy) = 161.38 SF</t>
  </si>
  <si>
    <t xml:space="preserve">North canopy (grid 2-&gt;8) fascia :: 5/8" ext. grade FRT plywood sheathing (canopy) = 161.38 SF</t>
  </si>
  <si>
    <t xml:space="preserve">60.51 x (cara 2'-2" T/CANOPY 12'-8" - B/CANOPY 10'-6" + top 6") 3/A09.26, 7/A09.26</t>
  </si>
  <si>
    <t xml:space="preserve">CANOPY  #-  -  North canopy (grid 2-&gt;8) soffit :: 3-5/8" metal stud 362S137-33 = 173.31 LF</t>
  </si>
  <si>
    <t xml:space="preserve">North canopy (grid 2-&gt;8) soffit :: 3-5/8" metal stud 362S137-33 = 173.31 LF</t>
  </si>
  <si>
    <t xml:space="preserve">joists @16" 4/A09.33: 47 pcs x ancho soffit [(16.2, 3.0), (41.34, 3.979)]; 7/A09.26</t>
  </si>
  <si>
    <t xml:space="preserve">CANOPY  #-  -  North canopy (grid 2-&gt;8) soffit :: 5/8" ext. grade FRT plywood sheathing (canopy) = 213.09 SF</t>
  </si>
  <si>
    <t xml:space="preserve">North canopy (grid 2-&gt;8) soffit :: 5/8" ext. grade FRT plywood sheathing (canopy) = 213.09 SF</t>
  </si>
  <si>
    <t xml:space="preserve">soffit [(16.2, 3.0), (41.34, 3.979)] = 213.09 SF; 7/A09.26 (4/A09.33 dice exterior sheathing -&gt; RFI-CAN-SH)</t>
  </si>
  <si>
    <t xml:space="preserve">CANOPY  #-  -  East canopy (grid 8) fascia :: 3-5/8" metal stud 362S137-33 = 81.14 LF</t>
  </si>
  <si>
    <t xml:space="preserve">East canopy (grid 8) fascia :: 3-5/8" metal stud 362S137-33 = 81.14 LF</t>
  </si>
  <si>
    <t xml:space="preserve">fascia 52.135 LF (linea fascia ext., ag_canopy): (40+1) x 1.979 (T/STUD 12'-7" - B/STUD 10'-7 1/4") 7/A09.26; O.C. 16" de 4/A09.33 (RFI-CAN-OC)</t>
  </si>
  <si>
    <t xml:space="preserve">CANOPY  #-  -  East canopy (grid 8) fascia :: 5/8" ext. grade FRT plywood sheathing (canopy) = 139.04 SF</t>
  </si>
  <si>
    <t xml:space="preserve">East canopy (grid 8) fascia :: 5/8" ext. grade FRT plywood sheathing (canopy) = 139.04 SF</t>
  </si>
  <si>
    <t xml:space="preserve">52.135 x (cara 2'-2" T/CANOPY 12'-8" - B/CANOPY 10'-6" + top 6") 3/A09.26, 7/A09.26</t>
  </si>
  <si>
    <t xml:space="preserve">CANOPY  #-  -  East canopy (grid 8) soffit :: 3-5/8" metal stud 362S137-33 = 91.72 LF</t>
  </si>
  <si>
    <t xml:space="preserve">East canopy (grid 8) soffit :: 3-5/8" metal stud 362S137-33 = 91.72 LF</t>
  </si>
  <si>
    <t xml:space="preserve">joists @16" 4/A09.33: 37 pcs x ancho soffit [(47.365, 2.479)]; 7/A09.26</t>
  </si>
  <si>
    <t xml:space="preserve">CANOPY  #-  -  East canopy (grid 8) soffit :: 5/8" ext. grade FRT plywood sheathing (canopy) = 117.42 SF</t>
  </si>
  <si>
    <t xml:space="preserve">East canopy (grid 8) soffit :: 5/8" ext. grade FRT plywood sheathing (canopy) = 117.42 SF</t>
  </si>
  <si>
    <t xml:space="preserve">soffit [(47.365, 2.479)] = 117.42 SF; 7/A09.26 (4/A09.33 dice exterior sheathing -&gt; RFI-CAN-SH)</t>
  </si>
  <si>
    <t xml:space="preserve">CANOPY  #-  -  South canopy (grid A) fascia :: 3-5/8" metal stud 362S137-33 = 37.6 LF</t>
  </si>
  <si>
    <t xml:space="preserve">South canopy (grid A) fascia :: 3-5/8" metal stud 362S137-33 = 37.6 LF</t>
  </si>
  <si>
    <t xml:space="preserve">fascia 23.05 LF (linea fascia ext., ag_canopy): (18+1) x 1.979 (T/STUD 12'-7" - B/STUD 10'-7 1/4") 7/A09.26; O.C. 16" de 4/A09.33 (RFI-CAN-OC)</t>
  </si>
  <si>
    <t xml:space="preserve">CANOPY  #-  -  South canopy (grid A) fascia :: 5/8" ext. grade FRT plywood sheathing (canopy) = 61.47 SF</t>
  </si>
  <si>
    <t xml:space="preserve">South canopy (grid A) fascia :: 5/8" ext. grade FRT plywood sheathing (canopy) = 61.47 SF</t>
  </si>
  <si>
    <t xml:space="preserve">23.05 x (cara 2'-2" T/CANOPY 12'-8" - B/CANOPY 10'-6" + top 6") 3/A09.26, 7/A09.26</t>
  </si>
  <si>
    <t xml:space="preserve">CANOPY  #-  -  South canopy (grid A) soffit :: 3-5/8" metal stud 362S137-33 = 44.62 LF</t>
  </si>
  <si>
    <t xml:space="preserve">South canopy (grid A) soffit :: 3-5/8" metal stud 362S137-33 = 44.62 LF</t>
  </si>
  <si>
    <t xml:space="preserve">joists @16" 4/A09.33: 18 pcs x ancho soffit [(21.917, 2.479)]; 7/A09.26</t>
  </si>
  <si>
    <t xml:space="preserve">CANOPY  #-  -  South canopy (grid A) soffit :: 5/8" ext. grade FRT plywood sheathing (canopy) = 54.33 SF</t>
  </si>
  <si>
    <t xml:space="preserve">South canopy (grid A) soffit :: 5/8" ext. grade FRT plywood sheathing (canopy) = 54.33 SF</t>
  </si>
  <si>
    <t xml:space="preserve">soffit [(21.917, 2.479)] = 54.33 SF; 7/A09.26 (4/A09.33 dice exterior sheathing -&gt; RFI-CAN-SH)</t>
  </si>
  <si>
    <t xml:space="preserve">CANOPY  #-  -  Drive-up canopy west (grid 1-2/3) fascia :: 3-5/8" metal stud 362S137-33 = 146.45 LF</t>
  </si>
  <si>
    <t xml:space="preserve">Drive-up canopy west (grid 1-2/3) fascia :: 3-5/8" metal stud 362S137-33 = 146.45 LF</t>
  </si>
  <si>
    <t xml:space="preserve">fascia 96.11 LF (linea fascia ext., ag_canopy): (73+1) x 1.979 (T/STUD 12'-7" - B/STUD 10'-7 1/4") 7/A09.26; O.C. 16" de 4/A09.33 (RFI-CAN-OC)</t>
  </si>
  <si>
    <t xml:space="preserve">CANOPY  #-  -  Drive-up canopy west (grid 1-2/3) fascia :: 5/8" ext. grade FRT plywood sheathing (canopy) = 256.33 SF</t>
  </si>
  <si>
    <t xml:space="preserve">Drive-up canopy west (grid 1-2/3) fascia :: 5/8" ext. grade FRT plywood sheathing (canopy) = 256.33 SF</t>
  </si>
  <si>
    <t xml:space="preserve">96.11 x (cara 2'-2" T/CANOPY 12'-8" - B/CANOPY 10'-6" + top 6") 3/A09.26, 7/A09.26</t>
  </si>
  <si>
    <t xml:space="preserve">CANOPY  #-  -  Drive-up canopy west (grid 1-2/3) soffit :: 3-5/8" metal stud 362S137-33 = 742.38 LF</t>
  </si>
  <si>
    <t xml:space="preserve">Drive-up canopy west (grid 1-2/3) soffit :: 3-5/8" metal stud 362S137-33 = 742.38 LF</t>
  </si>
  <si>
    <t xml:space="preserve">joists @16" 16/A09.27, 4/A09.33: area 989.59 SF / 1.333 ft (G-&gt;D 30.0 ft x 17'-1 1/2" + D-&gt;B 22.67 x 20'-11 7/8", ag_canopy); soporte a W10 beams RFI-DU</t>
  </si>
  <si>
    <t xml:space="preserve">CANOPY  #-  -  Drive-up canopy west (grid 1-2/3) soffit :: 5/8" ext. grade FRT plywood sheathing (canopy) = 989.59 SF</t>
  </si>
  <si>
    <t xml:space="preserve">Drive-up canopy west (grid 1-2/3) soffit :: 5/8" ext. grade FRT plywood sheathing (canopy) = 989.59 SF</t>
  </si>
  <si>
    <t xml:space="preserve">soffit drive-up 989.59 SF; 15/A09.27, 16/A09.27</t>
  </si>
  <si>
    <t xml:space="preserve">TYPE PIERS</t>
  </si>
  <si>
    <t xml:space="preserve">PIERS  #-  -  4 canopy columns grid 1 (G,E.4,C.5,B.2) :: 3-5/8" metal stud 362S137-33 = 376.0 LF</t>
  </si>
  <si>
    <t xml:space="preserve">4 canopy columns grid 1 (G,E.4,C.5,B.2) :: 3-5/8" metal stud 362S137-33 = 376.0 LF</t>
  </si>
  <si>
    <t xml:space="preserve">5/A09.25: FOS 1'-5"x1'-5" (1'-8" acabado - 2x7/8" PT-03 - 2x5/8" ply); 4 esquinas + 1 campo por cara (17" &gt; 16") = 8 studs x 11.75 ft (T/STEEL 11'-9" S2.20, 53.3 mas material; RFI-PIER) x 4</t>
  </si>
  <si>
    <t xml:space="preserve">PIERS  #-  -  4 canopy columns :: 5/8" ext. grade FRT plywood sheathing (canopy) = 255.53 SF</t>
  </si>
  <si>
    <t xml:space="preserve">4 canopy columns :: 5/8" ext. grade FRT plywood sheathing (canopy) = 255.53 SF</t>
  </si>
  <si>
    <t xml:space="preserve">5/A09.25: perimetro de sheathing (1'-8" - 2x7/8") = 1.521 ft x 4 caras x B/CANOPY 10'-6" x 4 (acabado visible)</t>
  </si>
  <si>
    <t xml:space="preserve">TYPE CEILINGS</t>
  </si>
  <si>
    <t xml:space="preserve">CEILINGS  #-  -  Waiting 104 GB 11'-0" :: 5/8" gypsum board, ceiling = 510.83 SF</t>
  </si>
  <si>
    <t xml:space="preserve">Waiting 104 GB 11'-0" :: 5/8" gypsum board, ceiling = 510.83 SF</t>
  </si>
  <si>
    <t xml:space="preserve">A04.01 GB 11'-0": x 1223.9-&gt;1530.4, y 427.44-&gt;967.44; 30'-0" impreso; 6/A09.33</t>
  </si>
  <si>
    <t xml:space="preserve">CEILINGS  #-  -  Vestibule 100 GB 10'-0" :: 5/8" gypsum board, ceiling = 116.9 SF</t>
  </si>
  <si>
    <t xml:space="preserve">Vestibule 100 GB 10'-0" :: 5/8" gypsum board, ceiling = 116.9 SF</t>
  </si>
  <si>
    <t xml:space="preserve">A04.01 GB 10'-0": 16.13 x 7.25 ft (vector); 6/A09.33</t>
  </si>
  <si>
    <t xml:space="preserve">CEILINGS  #-  -  24HR Vestibule 101 GB 10'-0" :: 5/8" gypsum board, ceiling = 157.8 SF</t>
  </si>
  <si>
    <t xml:space="preserve">24HR Vestibule 101 GB 10'-0" :: 5/8" gypsum board, ceiling = 157.8 SF</t>
  </si>
  <si>
    <t xml:space="preserve">A04.01 GB 10'-0": trapecio bajo el muro F (vector); 6/A09.33</t>
  </si>
  <si>
    <t xml:space="preserve">CEILINGS  #-  -  Women's 114 GB 8'-6" :: 5/8" gypsum board, ceiling = 76.3 SF</t>
  </si>
  <si>
    <t xml:space="preserve">Women's 114 GB 8'-6" :: 5/8" gypsum board, ceiling = 76.3 SF</t>
  </si>
  <si>
    <t xml:space="preserve">A04.01 GB 8'-6"; 11'-7 1/2" x 6'-6 3/4" impresos 1/A08.01, A02.01; 6/A09.33</t>
  </si>
  <si>
    <t xml:space="preserve">CEILINGS  #-  -  Men's 113 GB 8'-6" :: 5/8" gypsum board, ceiling = 76.3 SF</t>
  </si>
  <si>
    <t xml:space="preserve">Men's 113 GB 8'-6" :: 5/8" gypsum board, ceiling = 76.3 SF</t>
  </si>
  <si>
    <t xml:space="preserve">A04.01 GB 8'-6"; 11'-7 1/2" x 6'-6 3/4" impresos 1/A08.01; 6/A09.33</t>
  </si>
  <si>
    <t xml:space="preserve">CEILINGS  #-  -  Waiting 104 GB edge to ACT-4 11'-6" (3 sides) :: 5/8" gypsum board, ceiling = 38.52 SF</t>
  </si>
  <si>
    <t xml:space="preserve">Waiting 104 GB edge to ACT-4 11'-6" (3 sides) :: 5/8" gypsum board, ceiling = 38.52 SF</t>
  </si>
  <si>
    <t xml:space="preserve">7/A09.33 TYPICAL CEILING TRANSITION 6" impreso: 77.03 LF x 0.5</t>
  </si>
  <si>
    <t xml:space="preserve">CEILINGS  #-  -  East aisle ACT-4 11'-6" to 9'-0" transition (y=1110.72) :: 5/8" gypsum board, ceiling = 12.7 SF</t>
  </si>
  <si>
    <t xml:space="preserve">East aisle ACT-4 11'-6" to 9'-0" transition (y=1110.72) :: 5/8" gypsum board, ceiling = 12.7 SF</t>
  </si>
  <si>
    <t xml:space="preserve">7/A09.33 transition 5.09 LF (A04.01 x 1530-1622) x 2.5 ft drop (RFI-TR)</t>
  </si>
  <si>
    <t xml:space="preserve">CEILINGS  #-  -  East aisle transition :: 3-5/8" metal stud 362S137-33 = 11.6 LF</t>
  </si>
  <si>
    <t xml:space="preserve">East aisle transition :: 3-5/8" metal stud 362S137-33 = 11.6 LF</t>
  </si>
  <si>
    <t xml:space="preserve">7/A09.33 kickers @48": 3 x 3.875</t>
  </si>
  <si>
    <t xml:space="preserve">CEILINGS  #-  -  Waiting 104 transition :: 3-5/8" metal stud 362S137-33 = 91.88 LF</t>
  </si>
  <si>
    <t xml:space="preserve">Waiting 104 transition :: 3-5/8" metal stud 362S137-33 = 91.88 LF</t>
  </si>
  <si>
    <t xml:space="preserve">7/A09.33 3 5/8" METAL STUD KICKER AT 48" O.C.: ceil(77.03/4)+1=21 x (15.375-11.0)</t>
  </si>
  <si>
    <t xml:space="preserve">TYPE SOFFITS</t>
  </si>
  <si>
    <t xml:space="preserve">SOFFITS  #-  -  CSR soffit Cash Window 116 (9/A12.08 = 10/A09.33, 1 vez) :: 3-5/8" metal stud 362S137-33 = 181.67 LF</t>
  </si>
  <si>
    <t xml:space="preserve">CSR soffit Cash Window 116 (9/A12.08 = 10/A09.33, 1 vez) :: 3-5/8" metal stud 362S137-33 = 181.67 LF</t>
  </si>
  <si>
    <t xml:space="preserve">9/A12.08 3 5/8" METAL STUDS @16": 2 caras x 10 studs x (B.O.D. 15.375 - 8.0, RFI-CSR) + 10 joists x 3'-5"</t>
  </si>
  <si>
    <t xml:space="preserve">SOFFITS  #-  -  CSR soffit :: 5/8" gypsum board, ceiling = 65.0 SF</t>
  </si>
  <si>
    <t xml:space="preserve">CSR soffit :: 5/8" gypsum board, ceiling = 65.0 SF</t>
  </si>
  <si>
    <t xml:space="preserve">fondo 12.0x3.417=41.0 + caras 2x12.0x1.0 = 65.0 SF 9/A12.08</t>
  </si>
  <si>
    <t xml:space="preserve">SOFFITS  #-  -  Coiling grille head bulkhead (4/A08.21) :: 6" metal stud box beam (600S) = 26.67 LF</t>
  </si>
  <si>
    <t xml:space="preserve">Coiling grille head bulkhead (4/A08.21) :: 6" metal stud box beam (600S) = 26.67 LF</t>
  </si>
  <si>
    <t xml:space="preserve">4/A08.21 6" CFMF BOX BEAM HEADER x2 = 2 x 13'-4"</t>
  </si>
  <si>
    <t xml:space="preserve">SOFFITS  #-  -  Coiling grille head bulkhead :: 2-1/2" metal stud = 7.7 LF</t>
  </si>
  <si>
    <t xml:space="preserve">Coiling grille head bulkhead :: 2-1/2" metal stud = 7.7 LF</t>
  </si>
  <si>
    <t xml:space="preserve">4/A08.21 2 1/2" CFMF @ 16" O.C. entre box beams: 11 pcs x 0.7 ft dibujado (RFI-GRL)</t>
  </si>
  <si>
    <t xml:space="preserve">SOFFITS  #-  -  Coiling grille head bulkhead :: 5/8" gypsum board, regular = 37.8 SF</t>
  </si>
  <si>
    <t xml:space="preserve">Coiling grille head bulkhead :: 5/8" gypsum board, regular = 37.8 SF</t>
  </si>
  <si>
    <t xml:space="preserve">4/A08.21: 13'-4" x 2'-10" (cara 2'-0" + fondo 4" + retorno 6")</t>
  </si>
  <si>
    <t xml:space="preserve">SOFFITS  #-  -  Vestibule head over door 101 line (6,7/A12.10) :: 3-5/8" metal stud 362S137-33 = 69.88 LF</t>
  </si>
  <si>
    <t xml:space="preserve">Vestibule head over door 101 line (6,7/A12.10) :: 3-5/8" metal stud 362S137-33 = 69.88 LF</t>
  </si>
  <si>
    <t xml:space="preserve">6/A12.10 METAL STUD FRAMING &amp; BOX HEADER: 13 studs @16" x (15.375 - 10.0)</t>
  </si>
  <si>
    <t xml:space="preserve">SOFFITS  #-  -  Door 100A head + sidelite bulkhead (4,5/A12.10) :: 3-5/8" metal stud 362S137-33 = 32.25 LF</t>
  </si>
  <si>
    <t xml:space="preserve">Door 100A head + sidelite bulkhead (4,5/A12.10) :: 3-5/8" metal stud 362S137-33 = 32.25 LF</t>
  </si>
  <si>
    <t xml:space="preserve">5/A12.10: 6 studs x (15.375-10.0)</t>
  </si>
  <si>
    <t xml:space="preserve">SOFFITS  #-  -  Door 100A bulkhead :: 5/8" gypsum board, regular = 12.83 SF</t>
  </si>
  <si>
    <t xml:space="preserve">Door 100A bulkhead :: 5/8" gypsum board, regular = 12.83 SF</t>
  </si>
  <si>
    <t xml:space="preserve">5/A12.10 cara CZ: 6.417 x (11'-6" ACT - 10'-0" + 6") (RFI-100A 8" vs 1'-6")</t>
  </si>
  <si>
    <t xml:space="preserve">TYPE WET AREAS</t>
  </si>
  <si>
    <t xml:space="preserve">WET AREAS  #-  -  Women's 114 FRP 5'-0" over 6" cove base :: FRP panel = 165.3 SF</t>
  </si>
  <si>
    <t xml:space="preserve">Women's 114 FRP 5'-0" over 6" cove base :: FRP panel = 165.3 SF</t>
  </si>
  <si>
    <t xml:space="preserve">A,B,C,D/A08.01: perimetro 36.39 - door 114 3.33 = 33.05 LF x 5.0 (59.10; 53.9.1)</t>
  </si>
  <si>
    <t xml:space="preserve">WET AREAS  #-  -  Men's 113 FRP :: FRP panel = 148.6 SF</t>
  </si>
  <si>
    <t xml:space="preserve">Men's 113 FRP :: FRP panel = 148.6 SF</t>
  </si>
  <si>
    <t xml:space="preserve">A-D/A08.01: 36.39 - doors 113 y 112 6.67 = 29.72 x 5.0 (59.10)</t>
  </si>
  <si>
    <t xml:space="preserve">WET AREAS  #-  -  Janitor 112 mop sink FRP 4'-0" :: FRP panel = 16.0 SF</t>
  </si>
  <si>
    <t xml:space="preserve">Janitor 112 mop sink FRP 4'-0" :: FRP panel = 16.0 SF</t>
  </si>
  <si>
    <t xml:space="preserve">A05.01 key note 6 FRP FLOOR TO 4'-0", 5/A08.01 dos caras x 2'-0" (ancho DERIVADO vector) x 4.0</t>
  </si>
  <si>
    <t xml:space="preserve">WET AREAS  #-  -  Restrooms tile cove base CT-12C :: cement board (tile backer) = 31.38 SF</t>
  </si>
  <si>
    <t xml:space="preserve">Restrooms tile cove base CT-12C :: cement board (tile backer) = 31.38 SF</t>
  </si>
  <si>
    <t xml:space="preserve">58.7: LF cove base (33.05+29.72) x 0.5 ft; A/A08.01</t>
  </si>
  <si>
    <t xml:space="preserve">WET AREAS  #-  -  FRP trims :: PVC trim (FRP) = 70.77 LF</t>
  </si>
  <si>
    <t xml:space="preserve">FRP trims :: PVC trim (FRP) = 70.77 LF</t>
  </si>
  <si>
    <t xml:space="preserve">3/A08.01 PVC EDGE TRIM MOLDING top: 33.05+29.72 + mop sink 2x4.0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</si>
  <si>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</si>
  <si>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</si>
  <si>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</si>
  <si>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</si>
  <si>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</si>
  <si>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</si>
  <si>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</si>
  <si>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</si>
  <si>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</si>
  <si>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</si>
  <si>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</si>
  <si>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</si>
  <si>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3-5/8" metal stud 362S137-33</t>
  </si>
  <si>
    <t xml:space="preserve">LF</t>
  </si>
  <si>
    <t xml:space="preserve">stick 20 ft</t>
  </si>
  <si>
    <t xml:space="preserve">CANOPY - Drive-up canopy west (grid 1-2/3) fascia: fascia 96.11 LF (linea fascia ext., ag_canopy): (73+1) x 1.979 (T/STUD 12'-7" - B/STUD 10'-7 1/4") 7/A09.26; O.C. 16" de 4/A09.33 (RFI-CAN-OC); CANOPY - Drive-up canopy west (grid 1-2/3) soffit: joists @16" 16/A09.27, 4/A09.33: area 989.59 SF / 1.333 ft (G-&gt;D 30.0 ft x 17'-1 1/2" + D-&gt;B 22.67 x 20'-11 7/8", ag_canopy); soporte a W10 beams RFI-DU; CANOPY - East canopy (grid 8) fascia: fascia 52.135 LF (linea fascia ext., ag_canopy): (40+1) x 1.979 (T/STUD 12'-7" - B/STUD 10'-7 1/4") 7/A09.26; O.C. 16" de 4/A09.33 (RFI-CAN-OC); CANOPY - East canopy (grid 8) soffit: joists @16" 4/A09.33: 37 pcs x ancho soffit [(47.365, 2.479)]; 7/A09.26; CANOPY - North canopy (grid 2-&gt;8) fascia: fascia 60.51 LF (linea fascia ext., ag_canopy): (46+1) x 1.979 (T/STUD 12'-7" - B/STUD 10'-7 1/4") 7/A09.26; O.C. 16" de 4/A09.33 (RFI-CAN-OC); CANOPY - North canop</t>
  </si>
  <si>
    <t xml:space="preserve">Bottom track 3-5/8" 362T125-33</t>
  </si>
  <si>
    <t xml:space="preserve">piece 10 ft</t>
  </si>
  <si>
    <t xml:space="preserve">PIERS - 4 canopy columns: 5/A09.25 perimetro FOS 4 x 1.417 x 4 piers; ROOF STEP - grid B: 52'-4" S2.20 grid 3-&gt;8; 6/A02.02; W01 A1 3/A12.01 sello 21b3cc3c7933b572; W02 A1 3/A12.01 sello 5435aab96bad5038; W03 A1 3/A12.01 sello 52b9539bdb85f850; W04 A1 3/A12.01 sello f6908b5e96529b81; W05 A1 3/A12.01 sello 77c98fd16912ccb6; W06 A1 3/A12.01 sello 50854be1d82abd09; W07 A1 3/A12.01 sello 5449e1f18e17b029; W08 A1 3/A12.01 sello faf33c2cddff049d; W09 A1 3/A12.01 sello 4eb93537580359dc; W10 A1 3/A12.01 sello 7c299b0b68f0d0e2; W11 A1K 4/A12.01 sello ee3920121adce127; W12 A1K 4/A12.01 sello 61c7e94e82ba5e79; W17 B 1/A12.01 sello e01658d5f20c92da; W18 B 1/A12.01 sello f89b5e3ef2e13df6; W19 B 1/A12.01 sello 013f94d9afec83ac; W20 B 1/A12.01 sello 22ce136a5b1726f1; W21 B 1/A12.01 sello dedb77a109eddb52; W22 B 1/A12.01 sello 7d3688e2dc552404; W27 C1 6/A12.01 sello e025ee77e70b13c2; W28 C1 6/A12.01 sell</t>
  </si>
  <si>
    <t xml:space="preserve">Top track 3-5/8" - continuous slip track (RFI-SLIP designacion)</t>
  </si>
  <si>
    <t xml:space="preserve">W01 A1 3/A12.01 sello 21b3cc3c7933b572; W02 A1 3/A12.01 sello 5435aab96bad5038; W03 A1 3/A12.01 sello 52b9539bdb85f850; W04 A1 3/A12.01 sello f6908b5e96529b81; W05 A1 3/A12.01 sello 77c98fd16912ccb6; W06 A1 3/A12.01 sello 50854be1d82abd09; W07 A1 3/A12.01 sello 5449e1f18e17b029; W08 A1 3/A12.01 sello faf33c2cddff049d; W09 A1 3/A12.01 sello 4eb93537580359dc; W10 A1 3/A12.01 sello 7c299b0b68f0d0e2; W11 A1K 4/A12.01 sello ee3920121adce127; W12 A1K 4/A12.01 sello 61c7e94e82ba5e79; W17 B 1/A12.01 sello e01658d5f20c92da; W18 B 1/A12.01 sello f89b5e3ef2e13df6; W19 B 1/A12.01 sello 013f94d9afec83ac; W20 B 1/A12.01 sello 22ce136a5b1726f1; W21 B 1/A12.01 sello dedb77a109eddb52; W22 B 1/A12.01 sello 7d3688e2dc552404</t>
  </si>
  <si>
    <t xml:space="preserve">bracing 1-1/2" C.R. channel (F/1/S5.20)</t>
  </si>
  <si>
    <t xml:space="preserve">piece 16 ft</t>
  </si>
  <si>
    <t xml:space="preserve">W01 A1 3/A12.01 sello 21b3cc3c7933b572; W02 A1 3/A12.01 sello 5435aab96bad5038; W03 A1 3/A12.01 sello 52b9539bdb85f850; W04 A1 3/A12.01 sello f6908b5e96529b81; W05 A1 3/A12.01 sello 77c98fd16912ccb6; W06 A1 3/A12.01 sello 50854be1d82abd09; W07 A1 3/A12.01 sello 5449e1f18e17b029; W08 A1 3/A12.01 sello faf33c2cddff049d; W09 A1 3/A12.01 sello 4eb93537580359dc; W10 A1 3/A12.01 sello 7c299b0b68f0d0e2; W11 A1K 4/A12.01 sello ee3920121adce127; W12 A1K 4/A12.01 sello 61c7e94e82ba5e79; W13 A5 3/A12.01 sello f95759932e232b8d; W14 A5 3/A12.01 sello 865ddc60d1cdf1fd; W15 A5 3/A12.01 sello c393d8380767a185; W16 A5 3/A12.01 sello a5ba89c61fd91cfd; W17 B 1/A12.01 sello e01658d5f20c92da; W18 B 1/A12.01 sello f89b5e3ef2e13df6; W19 B 1/A12.01 sello 013f94d9afec83ac; W20 B 1/A12.01 sello 22ce136a5b1726f1; W21 B 1/A12.01 sello dedb77a109eddb52; W22 B 1/A12.01 sello 7d3688e2dc552404; W23 B2 1/A12.01 sello 2e</t>
  </si>
  <si>
    <t xml:space="preserve">Bridging clip angles (F/1/S5.20 attach each side)</t>
  </si>
  <si>
    <t xml:space="preserve">EA</t>
  </si>
  <si>
    <t xml:space="preserve">Batt insulation (partitions, A12.01 INSULATION YES)</t>
  </si>
  <si>
    <t xml:space="preserve">SF</t>
  </si>
  <si>
    <t xml:space="preserve">Acoustical sealant (partition details)</t>
  </si>
  <si>
    <t xml:space="preserve">tube (approx 30 LF per 28 oz tube)</t>
  </si>
  <si>
    <t xml:space="preserve">5/8" gypsum board, regular (walls)</t>
  </si>
  <si>
    <t xml:space="preserve">4x12 sheet</t>
  </si>
  <si>
    <t xml:space="preserve">ROOF STEP - grid B interior: 6/A02.02 interior 5/8" gyp bd tight to deck; SOFFITS - Coiling grille head bulkhead: 4/A08.21: 13'-4" x 2'-10" (cara 2'-0" + fondo 4" + retorno 6"); SOFFITS - Door 100A bulkhead: 5/A12.10 cara CZ: 6.417 x (11'-6" ACT - 10'-0" + 6") (RFI-100A 8" vs 1'-6"); W01 A1 3/A12.01 sello 21b3cc3c7933b572; W02 A1 3/A12.01 sello 5435aab96bad5038; W03 A1 3/A12.01 sello 52b9539bdb85f850; W04 A1 3/A12.01 sello f6908b5e96529b81; W05 A1 3/A12.01 sello 77c98fd16912ccb6; W06 A1 3/A12.01 sello 50854be1d82abd09; W07 A1 3/A12.01 sello 5449e1f18e17b029; W08 A1 3/A12.01 sello faf33c2cddff049d; W09 A1 3/A12.01 sello 4eb93537580359dc; W10 A1 3/A12.01 sello 7c299b0b68f0d0e2; W11 A1K 4/A12.01 sello ee3920121adce127; W12 A1K 4/A12.01 sello 61c7e94e82ba5e79; W13 A5 3/A12.01 sello f95759932e232b8d; W14 A5 3/A12.01 sello 865ddc60d1cdf1fd; W15 A5 3/A12.01 sello c393d8380767a185; W16 A5 3/A12.</t>
  </si>
  <si>
    <t xml:space="preserve">Header track at openings 3-5/8" 1-2 members (9/S5.20 header schedule)</t>
  </si>
  <si>
    <t xml:space="preserve">W04 A1 3/A12.01 sello f6908b5e96529b81; W07 A1 3/A12.01 sello 5449e1f18e17b029; W08 A1 3/A12.01 sello faf33c2cddff049d; W09 A1 3/A12.01 sello 4eb93537580359dc; W17 B 1/A12.01 sello e01658d5f20c92da; W22 B 1/A12.01 sello 7d3688e2dc552404; W35 F 12/A12.01 sello 3c13c67afd687dd0</t>
  </si>
  <si>
    <t xml:space="preserve">3-5/8" metal stud 362S137-68 (14 GA, A1K)</t>
  </si>
  <si>
    <t xml:space="preserve">W11 A1K 4/A12.01 sello ee3920121adce127; W12 A1K 4/A12.01 sello 61c7e94e82ba5e79</t>
  </si>
  <si>
    <t xml:space="preserve">Ballistic panel 3/8" UL752 Level-2 fiberglass (4/A12.01)</t>
  </si>
  <si>
    <t xml:space="preserve">4x8 sheet</t>
  </si>
  <si>
    <t xml:space="preserve">W11 A1K 4/A12.01 sello ee3920121adce127; W12 A1K 4/A12.01 sello 61c7e94e82ba5e79; W26 B2K 4/A12.01 sello c076de1397ab3c20</t>
  </si>
  <si>
    <t xml:space="preserve">3/8" gypsum board (A1K/B2K above 8'-0")</t>
  </si>
  <si>
    <t xml:space="preserve">PAF power-driven fasteners @2'-0" (4/A12.01)</t>
  </si>
  <si>
    <t xml:space="preserve">6" metal stud 600S137-33 (A5, B2)</t>
  </si>
  <si>
    <t xml:space="preserve">W13 A5 3/A12.01 sello f95759932e232b8d; W14 A5 3/A12.01 sello 865ddc60d1cdf1fd; W15 A5 3/A12.01 sello c393d8380767a185; W16 A5 3/A12.01 sello a5ba89c61fd91cfd; W23 B2 1/A12.01 sello 2eb81d359b80a45a; W24 B2 1/A12.01 sello 096978eb34e1638d; W25 B2 1/A12.01 sello 06d2acd3de0259f7</t>
  </si>
  <si>
    <t xml:space="preserve">Bottom track 6" 600T125-33</t>
  </si>
  <si>
    <t xml:space="preserve">W13 A5 3/A12.01 sello f95759932e232b8d; W14 A5 3/A12.01 sello 865ddc60d1cdf1fd; W15 A5 3/A12.01 sello c393d8380767a185; W16 A5 3/A12.01 sello a5ba89c61fd91cfd; W23 B2 1/A12.01 sello 2eb81d359b80a45a; W24 B2 1/A12.01 sello 096978eb34e1638d; W25 B2 1/A12.01 sello 06d2acd3de0259f7; W26 B2K 4/A12.01 sello c076de1397ab3c20; W31 C1 1/A09.25 sello 5dee9cceb331770e; W32 C1 2/A09.25 sello 2738baba44cdc605; W34 C1 3/A08.21 sello 58b4f82827ca137a</t>
  </si>
  <si>
    <t xml:space="preserve">Top track 6" - continuous slip track (RFI-SLIP designacion)</t>
  </si>
  <si>
    <t xml:space="preserve">W13 A5 3/A12.01 sello f95759932e232b8d; W14 A5 3/A12.01 sello 865ddc60d1cdf1fd; W15 A5 3/A12.01 sello c393d8380767a185; W16 A5 3/A12.01 sello a5ba89c61fd91cfd; W23 B2 1/A12.01 sello 2eb81d359b80a45a; W24 B2 1/A12.01 sello 096978eb34e1638d; W25 B2 1/A12.01 sello 06d2acd3de0259f7; W26 B2K 4/A12.01 sello c076de1397ab3c20</t>
  </si>
  <si>
    <t xml:space="preserve">Header track at openings 6" 1-2 members (9/S5.20 header schedule)</t>
  </si>
  <si>
    <t xml:space="preserve">W15 A5 3/A12.01 sello c393d8380767a185; W16 A5 3/A12.01 sello a5ba89c61fd91cfd; W23 B2 1/A12.01 sello 2eb81d359b80a45a; W24 B2 1/A12.01 sello 096978eb34e1638d</t>
  </si>
  <si>
    <t xml:space="preserve">6" metal stud 600S137-68 (14 GA, B2K)</t>
  </si>
  <si>
    <t xml:space="preserve">W26 B2K 4/A12.01 sello c076de1397ab3c20</t>
  </si>
  <si>
    <t xml:space="preserve">Top track 3-5/8" - track to structure</t>
  </si>
  <si>
    <t xml:space="preserve">PIERS - 4 canopy columns: 5/A09.25 perimetro FOS; W27 C1 6/A12.01 sello e025ee77e70b13c2; W28 C1 6/A12.01 sello 867df2b6a71c9c94; W29 C1 6/A12.01 sello cca875d4b2e04bd0; W30 C1 6/A12.01 sello 5909efb9dc26dc6c; W33 C1 6/A12.01 sello fcf7609a84560dba; W35 F 12/A12.01 sello 3c13c67afd687dd0</t>
  </si>
  <si>
    <t xml:space="preserve">5/8" gypsum board, moisture resistant (59.9 chase face WC + lav)</t>
  </si>
  <si>
    <t xml:space="preserve">W27 C1 6/A12.01 sello e025ee77e70b13c2; W28 C1 6/A12.01 sello 867df2b6a71c9c94</t>
  </si>
  <si>
    <t xml:space="preserve">6" metal stud 600S162-54 (exterior walls, storefront piers, grille HSS box)</t>
  </si>
  <si>
    <t xml:space="preserve">W31 C1 1/A09.25 sello 5dee9cceb331770e; W32 C1 2/A09.25 sello 2738baba44cdc605; W34 C1 3/A08.21 sello 58b4f82827ca137a; W50 EXT C/A09.21 sello ee1c924fe5e55fb3; W51 EXT C/A09.21 sello 201ecf20dc3fd426; W52 EXT C/A09.21 sello 307a0c2a7d3666c9; W53 EXT C/A09.21 sello c751f520bd6ec886; W54 EXT C/A09.21 sello 37735d04dc7852bf; W55 EXT C/A09.21 sello 5cb81bd71d6f856c; W56 EXT C/A09.21 sello a98ba16555237b45; W57 EXT C/A09.21 sello 8b3f46dfd7304cc0; W58 EXT C/A09.21 sello 554cb31baf022658; W59 EXT C/A09.21 sello 605495145e5721ea</t>
  </si>
  <si>
    <t xml:space="preserve">Top track 6" - track to structure</t>
  </si>
  <si>
    <t xml:space="preserve">W31 C1 1/A09.25 sello 5dee9cceb331770e; W32 C1 2/A09.25 sello 2738baba44cdc605; W34 C1 3/A08.21 sello 58b4f82827ca137a</t>
  </si>
  <si>
    <t xml:space="preserve">Sill track 3-5/8" (53.7)</t>
  </si>
  <si>
    <t xml:space="preserve">W35 F 12/A12.01 sello 3c13c67afd687dd0</t>
  </si>
  <si>
    <t xml:space="preserve">3/4" FRT plywood (F wall public side, 12/A12.01)</t>
  </si>
  <si>
    <t xml:space="preserve">1-5/8" metal stud 162S125-33 (G/G1 double row, bulkheads)</t>
  </si>
  <si>
    <t xml:space="preserve">W36 G 5/A12.01 sello f434642610a09e2b; W37 G 5/A12.01 sello 84239d0ace2ed989; W38 G 5/A12.01 sello a28516492c3483b9; W39 G 5/A12.01 sello 56f17ec8ea036919; W40 G 5/A12.01 sello 6b2dac7988434ba7; W41 G 5/A12.01 sello de769043d0526987; W42 G 5/A12.01 sello eff32985b3965963; W43 G 5/A12.01 sello fb5e001e3f29a9f9; W44 G 5/A12.01 sello adfbc7d60b094a42; W45 G 5/A12.01 sello 1c3b1935079253f4; W46 G1 5/A12.01 sello 65ca1372db0dda9e; W47 G1 5/A12.01 sello eebc87bae9146a7c; W48 G1 5/A12.01 sello f5d95dd8b751ab0e; W49 G1 5/A12.01 sello 0e94c82b77f78452; W61 BULKHEAD-OF 9/A12.01 sello f2c9c06f874adf15; W62 BULKHEAD-OF 9/A12.01 sello 6b989f008fb374d3; W63 BULKHEAD-OF 9/A12.01 sello 6d09d6d67a488b5f; W64 BULKHEAD-OF 9/A12.01 sello a422d5fb730daed5; W65 BULKHEAD-OF 9/A12.01 sello 103629ff26a3b1d9; W66 BULKHEAD-OF 9/A12.01 sello 847e6bb890ea7524</t>
  </si>
  <si>
    <t xml:space="preserve">Bottom track 1-5/8" 162T125-33</t>
  </si>
  <si>
    <t xml:space="preserve">Top track 1-5/8" - track to structure</t>
  </si>
  <si>
    <t xml:space="preserve">W36 G 5/A12.01 sello f434642610a09e2b; W37 G 5/A12.01 sello 84239d0ace2ed989; W38 G 5/A12.01 sello a28516492c3483b9; W39 G 5/A12.01 sello 56f17ec8ea036919; W40 G 5/A12.01 sello 6b2dac7988434ba7; W41 G 5/A12.01 sello de769043d0526987; W42 G 5/A12.01 sello eff32985b3965963; W43 G 5/A12.01 sello fb5e001e3f29a9f9; W44 G 5/A12.01 sello adfbc7d60b094a42; W45 G 5/A12.01 sello 1c3b1935079253f4; W46 G1 5/A12.01 sello 65ca1372db0dda9e; W47 G1 5/A12.01 sello eebc87bae9146a7c; W48 G1 5/A12.01 sello f5d95dd8b751ab0e; W49 G1 5/A12.01 sello 0e94c82b77f78452</t>
  </si>
  <si>
    <t xml:space="preserve">Bottom track 6" 600T125-33 (exterior, 7/S5.20)</t>
  </si>
  <si>
    <t xml:space="preserve">W50 EXT C/A09.21 sello ee1c924fe5e55fb3; W51 EXT C/A09.21 sello 201ecf20dc3fd426; W52 EXT C/A09.21 sello 307a0c2a7d3666c9; W53 EXT C/A09.21 sello c751f520bd6ec886; W54 EXT C/A09.21 sello 37735d04dc7852bf; W55 EXT C/A09.21 sello 5cb81bd71d6f856c; W56 EXT C/A09.21 sello a98ba16555237b45; W57 EXT C/A09.21 sello 8b3f46dfd7304cc0; W58 EXT C/A09.21 sello 554cb31baf022658; W59 EXT C/A09.21 sello 605495145e5721ea</t>
  </si>
  <si>
    <t xml:space="preserve">Top / deflection track 6" 600T200-97 (exterior, 7/S5.20, 10/S5.10)</t>
  </si>
  <si>
    <t xml:space="preserve">5/8" FRT plywood bonded to 2-1/2" polyiso (nailbase), exterior</t>
  </si>
  <si>
    <t xml:space="preserve">W50 EXT C/A09.21 sello ee1c924fe5e55fb3; W51 EXT C/A09.21 sello 201ecf20dc3fd426; W52 EXT C/A09.21 sello 307a0c2a7d3666c9; W53 EXT C/A09.21 sello c751f520bd6ec886; W54 EXT C/A09.21 sello 37735d04dc7852bf; W56 EXT C/A09.21 sello a98ba16555237b45; W57 EXT C/A09.21 sello 8b3f46dfd7304cc0; W58 EXT C/A09.21 sello 554cb31baf022658; W59 EXT C/A09.21 sello 605495145e5721ea</t>
  </si>
  <si>
    <t xml:space="preserve">5/8" glass mat sheathing</t>
  </si>
  <si>
    <t xml:space="preserve">Sealant at base of gypsum (exterior, 5/A09.26)</t>
  </si>
  <si>
    <t xml:space="preserve">W50 EXT C/A09.21 sello ee1c924fe5e55fb3; W54 EXT C/A09.21 sello 37735d04dc7852bf; W55 EXT C/A09.21 sello 5cb81bd71d6f856c; W56 EXT C/A09.21 sello a98ba16555237b45; W57 EXT C/A09.21 sello 8b3f46dfd7304cc0; W58 EXT C/A09.21 sello 554cb31baf022658; W59 EXT C/A09.21 sello 605495145e5721ea</t>
  </si>
  <si>
    <t xml:space="preserve">Header - storefront head steel header framing (2/A09.26)</t>
  </si>
  <si>
    <t xml:space="preserve">W51 EXT C/A09.21 sello 201ecf20dc3fd426; W52 EXT C/A09.21 sello 307a0c2a7d3666c9; W53 EXT C/A09.21 sello c751f520bd6ec886</t>
  </si>
  <si>
    <t xml:space="preserve">FRT blocking (3/4" plywood strip)</t>
  </si>
  <si>
    <t xml:space="preserve">piece 8 ft</t>
  </si>
  <si>
    <t xml:space="preserve">BLOCKING - 85" display monitor (key note 7): 13/A12.02, 9/A12.02: 3'-8 1/4" LF (alto 18" A03.01 por 53.3, RFI-MON); W51 EXT C/A09.21 sello 201ecf20dc3fd426; W52 EXT C/A09.21 sello 307a0c2a7d3666c9; W53 EXT C/A09.21 sello c751f520bd6ec886; W61 BULKHEAD-OF 9/A12.01 sello f2c9c06f874adf15; W62 BULKHEAD-OF 9/A12.01 sello 6b989f008fb374d3; W63 BULKHEAD-OF 9/A12.01 sello 6d09d6d67a488b5f; W64 BULKHEAD-OF 9/A12.01 sello a422d5fb730daed5; W65 BULKHEAD-OF 9/A12.01 sello 103629ff26a3b1d9; W66 BULKHEAD-OF 9/A12.01 sello 847e6bb890ea7524</t>
  </si>
  <si>
    <t xml:space="preserve">metal trim - corner bead</t>
  </si>
  <si>
    <t xml:space="preserve">53.1/56.9 metal trim (criterio 53.1): column furring 4 cajas x 4 aristas x 10.5 + monitor furring 2 x 11.5 + office front jambs 12 x 2 x 8.042 (10/A12.01 CORNER BEAD TYPICAL); CEILINGS - East aisle transition: 7/A09.33 corner bead; CEILINGS - Waiting 104 transition: 7/A09.33 CORNER BEAD TYPICAL x 2 runs x 77.03; SOFFITS - CSR soffit: CORNER BEAD 2 x 12.0 9/A12.08; SOFFITS - Coiling grille head bulkhead: 4/A08.21 corner bead 2 aristas x 13'-4"; SOFFITS - Door 100A bulkhead: 5/A12.10 corner bead; W51 EXT C/A09.21 sello 201ecf20dc3fd426; W52 EXT C/A09.21 sello 307a0c2a7d3666c9; W53 EXT C/A09.21 sello c751f520bd6ec886; W61 BULKHEAD-OF 9/A12.01 sello f2c9c06f874adf15; W62 BULKHEAD-OF 9/A12.01 sello 6b989f008fb374d3; W63 BULKHEAD-OF 9/A12.01 sello 6d09d6d67a488b5f; W64 BULKHEAD-OF 9/A12.01 sello a422d5fb730daed5; W65 BULKHEAD-OF 9/A12.01 sello 103629ff26a3b1d9; W66 BULKHEAD-OF 9/A12.01 sello 8</t>
  </si>
  <si>
    <t xml:space="preserve">metal trim - casing / J-bead</t>
  </si>
  <si>
    <t xml:space="preserve">53.1: board contra window frame GL-2 8'-0"x2'-0": 6 windows x 20 LF; A09.01/A09.02; EXTERIOR - Storefront piers jambs: 53.1: 4 retornos x 8.5 contra storefront 1,2/A09.25; W51 EXT C/A09.21 sello 201ecf20dc3fd426; W52 EXT C/A09.21 sello 307a0c2a7d3666c9; W53 EXT C/A09.21 sello c751f520bd6ec886</t>
  </si>
  <si>
    <t xml:space="preserve">Header - exterior windows/doors box 2-600T (RFI-HDR-EXT, 9/S5.20)</t>
  </si>
  <si>
    <t xml:space="preserve">W55 EXT C/A09.21 sello 5cb81bd71d6f856c; W57 EXT C/A09.21 sello 8b3f46dfd7304cc0; W58 EXT C/A09.21 sello 554cb31baf022658; W59 EXT C/A09.21 sello 605495145e5721ea</t>
  </si>
  <si>
    <t xml:space="preserve">Sill track 6" (53.7)</t>
  </si>
  <si>
    <t xml:space="preserve">W55 EXT C/A09.21 sello 5cb81bd71d6f856c; W57 EXT C/A09.21 sello 8b3f46dfd7304cc0; W59 EXT C/A09.21 sello 605495145e5721ea</t>
  </si>
  <si>
    <t xml:space="preserve">5/8" ext. grade FRT plywood sheathing (canopy)</t>
  </si>
  <si>
    <t xml:space="preserve">CANOPY - Drive-up canopy west (grid 1-2/3) fascia: 96.11 x (cara 2'-2" T/CANOPY 12'-8" - B/CANOPY 10'-6" + top 6") 3/A09.26, 7/A09.26; CANOPY - Drive-up canopy west (grid 1-2/3) soffit: soffit drive-up 989.59 SF; 15/A09.27, 16/A09.27; CANOPY - East canopy (grid 8) fascia: 52.135 x (cara 2'-2" T/CANOPY 12'-8" - B/CANOPY 10'-6" + top 6") 3/A09.26, 7/A09.26; CANOPY - East canopy (grid 8) soffit: soffit [(47.365, 2.479)] = 117.42 SF; 7/A09.26 (4/A09.33 dice exterior sheathing -&gt; RFI-CAN-SH); CANOPY - North canopy (grid 2-&gt;8) fascia: 60.51 x (cara 2'-2" T/CANOPY 12'-8" - B/CANOPY 10'-6" + top 6") 3/A09.26, 7/A09.26; CANOPY - North canopy (grid 2-&gt;8) soffit: soffit [(16.2, 3.0), (41.34, 3.979)] = 213.09 SF; 7/A09.26 (4/A09.33 dice exterior sheathing -&gt; RFI-CAN-SH); CANOPY - South canopy (grid A) fascia: 23.05 x (cara 2'-2" T/CANOPY 12'-8" - B/CANOPY 10'-6" + top 6") 3/A09.26, 7/A09.26; CANOPY </t>
  </si>
  <si>
    <t xml:space="preserve">2-1/2" metal stud sistered (6/A08.11)</t>
  </si>
  <si>
    <t xml:space="preserve">W55 EXT C/A09.21 sello 5cb81bd71d6f856c</t>
  </si>
  <si>
    <t xml:space="preserve">mineral wool insulation</t>
  </si>
  <si>
    <t xml:space="preserve">ROOF STEP - grid B: 6/A02.02 w/ mineral wool; W55 EXT C/A09.21 sello 5cb81bd71d6f856c</t>
  </si>
  <si>
    <t xml:space="preserve">Top track 1-5/8" - continuous slip track (RFI-SLIP designacion)</t>
  </si>
  <si>
    <t xml:space="preserve">W61 BULKHEAD-OF 9/A12.01 sello f2c9c06f874adf15; W62 BULKHEAD-OF 9/A12.01 sello 6b989f008fb374d3; W63 BULKHEAD-OF 9/A12.01 sello 6d09d6d67a488b5f; W64 BULKHEAD-OF 9/A12.01 sello a422d5fb730daed5; W65 BULKHEAD-OF 9/A12.01 sello 103629ff26a3b1d9; W66 BULKHEAD-OF 9/A12.01 sello 847e6bb890ea7524</t>
  </si>
  <si>
    <t xml:space="preserve">Header / box beam - office bulkhead (9/A12.01)</t>
  </si>
  <si>
    <t xml:space="preserve">metal trim - shadow molding</t>
  </si>
  <si>
    <t xml:space="preserve">CEILINGS - East aisle transition: 7/A09.33 shadow molding; CEILINGS - Waiting 104 transition: 7/A09.33 SHADOW MOLDING AS SPECIFIED; W61 BULKHEAD-OF 9/A12.01 sello f2c9c06f874adf15; W62 BULKHEAD-OF 9/A12.01 sello 6b989f008fb374d3; W63 BULKHEAD-OF 9/A12.01 sello 6d09d6d67a488b5f; W64 BULKHEAD-OF 9/A12.01 sello a422d5fb730daed5; W65 BULKHEAD-OF 9/A12.01 sello 103629ff26a3b1d9; W66 BULKHEAD-OF 9/A12.01 sello 847e6bb890ea7524</t>
  </si>
  <si>
    <t xml:space="preserve">6" parapet stud 600S162-54 (11/S5.10)</t>
  </si>
  <si>
    <t xml:space="preserve">PARAPET - P1 east north of B: 59.4: bays=ROUNDUP(51.45/5'-0" HSS max)=11; studs/bay=2+max(0,ROUNDUP((4.677-0.6)/1.333)-1)=5; 55 studs x h 2.042 (T/STUD - B.O.D. promedio del tramo, 55.3) = 112.31 LF; 11/S5.10; PARAPET - P1 east south of B: 59.4: bays=ROUNDUP(25.74/5'-0" HSS max)=6; studs/bay=2+max(0,ROUNDUP((4.29-0.6)/1.333)-1)=4; 24 studs x h 4.631 (T/STUD - B.O.D. promedio del tramo, 55.3) = 111.14 LF; 11/S5.10; PARAPET - P1 north (grid F, x1143-&gt;1860): 59.4: bays=ROUNDUP(39.86/5'-0" HSS max)=8; studs/bay=2+max(0,ROUNDUP((4.983-0.6)/1.333)-1)=5; 40 studs x h 2.042 (T/STUD - B.O.D. promedio del tramo, 55.3) = 81.68 LF; 11/S5.10; PARAPET - P1 south (grid A): 59.4: bays=ROUNDUP(53.59/5'-0" HSS max)=11; studs/bay=2+max(0,ROUNDUP((4.872-0.6)/1.333)-1)=5; 55 studs x h 4.887 (T/STUD - B.O.D. promedio del tramo, 55.3) = 268.78 LF; 11/S5.10; PARAPET - P1 west grid 3 north of B: 59.4: bays=ROUND</t>
  </si>
  <si>
    <t xml:space="preserve">Bottom track - parapet 600T125-54 (11/S5.10)</t>
  </si>
  <si>
    <t xml:space="preserve">PARAPET - all runs: 2 x 275.12 LF (TOP &amp; BOT. = 2 renglones, 54.2) 11/S5.10</t>
  </si>
  <si>
    <t xml:space="preserve">Top track - parapet 600T125-54 (11/S5.10)</t>
  </si>
  <si>
    <t xml:space="preserve">5/8" exterior gypsum sheathing (parapet roof side)</t>
  </si>
  <si>
    <t xml:space="preserve">PARAPET - all runs roof side: sum LF x (T/STUD - B.O.D.) por tramo (55.3); return P2 ambas caras; C/A09.21, E/A09.22, J/A09.23 (4/A09.26 dice DENS DECK -&gt; RFI-PAR)</t>
  </si>
  <si>
    <t xml:space="preserve">3/4" FRT plywood blocking (parapet top)</t>
  </si>
  <si>
    <t xml:space="preserve">PARAPET - all runs top: 3/4" F.R.T. PLYWOOD BLOCKING AS REQUIRED under ACM coping 4/A09.26: 275.12 LF x 2 plies dibujados (58.6)</t>
  </si>
  <si>
    <t xml:space="preserve">PAF power-actuated fasteners</t>
  </si>
  <si>
    <t xml:space="preserve">PARAPET - all runs: PAFs SPACED AT 12" O.C. MAX 11/S5.10: sum(ceil(L)+1)</t>
  </si>
  <si>
    <t xml:space="preserve">bracing 1-1/2" C.R. channel</t>
  </si>
  <si>
    <t xml:space="preserve">PARAPET - runs &gt;= 4 ft: 1 fila @48" en tramos de parapet &gt;= 4'-0" (37: bridging no cruza el deflection track); F/1/S5.20</t>
  </si>
  <si>
    <t xml:space="preserve">Top / deflection track 3-5/8" (metal slip clip, roof step)</t>
  </si>
  <si>
    <t xml:space="preserve">ROOF STEP - grid B: 6/A02.02 metal slip clip</t>
  </si>
  <si>
    <t xml:space="preserve">purlin 1x1x1 16 GA</t>
  </si>
  <si>
    <t xml:space="preserve">ROOF STEP - grid B purlin: 59.1: top track E-W a deck, flute E-W (S2.20): 52.333 x 0.75; 10/A09.33; SOFFITS - CSR soffit purlin: 10/A09.33 ALTERNATE CEILING DETAIL: tracks a deck N-S; flutes E-W (S2.20) -&gt; perpendicular; VIF -&gt; CRITERIO: 2 tracks x12 x0.75 (59.1); SOFFITS - Vestibule head door 101 purlin: 10/A09.33: track E-W a deck paralelo al flute E-W (S2.20) -&gt; 15.646 x 0.75 (59.1)</t>
  </si>
  <si>
    <t xml:space="preserve">5/8" FRT plywood bonded to 2-1/2" polyiso (nailbase)</t>
  </si>
  <si>
    <t xml:space="preserve">EXTERIOR - Storefront piers 1,2/A09.25 bajo el head: 1/A09.25 (2.0+1.25=3.25 ft) + 2/A09.25 (1.979+0.917=2.896) x (8.5-0.5); ROOF STEP - grid B exterior: 6/A02.02 roof membrane on 5/8" FRT plywood bonded to polyiso</t>
  </si>
  <si>
    <t xml:space="preserve">2x FRT wood blocking</t>
  </si>
  <si>
    <t xml:space="preserve">ROOF STEP - grid B: 6/A02.02 2x FRT blocking (1 run)</t>
  </si>
  <si>
    <t xml:space="preserve">Ceiling / soffit track (canopy)</t>
  </si>
  <si>
    <t xml:space="preserve">CANOPY - Drive-up canopy west (grid 1-2/3) fascia: top + bottom de la caja de fascia 2 x 96.11; 7/A09.26 (58.2); CANOPY - Drive-up canopy west (grid 1-2/3) soffit: 58.3 linea del muro 56.21 + fascia int 96.11; 16/A09.27; CANOPY - East canopy (grid 8) fascia: top + bottom de la caja de fascia 2 x 52.135; 7/A09.26 (58.2); CANOPY - East canopy (grid 8) soffit: 58.3: track en la linea del muro 47.365 + linea interior de fascia 52.135; 7/A09.26; CANOPY - North canopy (grid 2-&gt;8) fascia: top + bottom de la caja de fascia 2 x 60.51; 7/A09.26 (58.2); CANOPY - North canopy (grid 2-&gt;8) soffit: 58.3: track en la linea del muro 57.54 + linea interior de fascia 60.51; 7/A09.26; CANOPY - South canopy (grid A) fascia: top + bottom de la caja de fascia 2 x 23.05; 7/A09.26 (58.2); CANOPY - South canopy (grid A) soffit: 58.3: track en la linea del muro 21.917 + linea interior de fascia 23.05; 7/A09.26</t>
  </si>
  <si>
    <t xml:space="preserve">Framed opening for recessed fixture (canopy)</t>
  </si>
  <si>
    <t xml:space="preserve">CANOPY - Recessed linear fixtures UU1-UU6 (21): 54.1: 2 x (largo E00.01 + 1/4" 5/A09.33) por fixture; 21 tags E02.01 (ag_mep); ends PENDIENTE cutsheet 4/A09.33</t>
  </si>
  <si>
    <t xml:space="preserve">5/8" gypsum board, ceiling (GWB ceilings + soffits)</t>
  </si>
  <si>
    <t xml:space="preserve">CEILINGS - 24HR Vestibule 101 GB 10'-0": A04.01 GB 10'-0": trapecio bajo el muro F (vector); 6/A09.33; CEILINGS - East aisle ACT-4 11'-6" to 9'-0" transition (y=1110.72): 7/A09.33 transition 5.09 LF (A04.01 x 1530-1622) x 2.5 ft drop (RFI-TR); CEILINGS - Men's 113 GB 8'-6": A04.01 GB 8'-6"; 11'-7 1/2" x 6'-6 3/4" impresos 1/A08.01; 6/A09.33; CEILINGS - Vestibule 100 GB 10'-0": A04.01 GB 10'-0": 16.13 x 7.25 ft (vector); 6/A09.33; CEILINGS - Waiting 104 GB 11'-0": A04.01 GB 11'-0": x 1223.9-&gt;1530.4, y 427.44-&gt;967.44; 30'-0" impreso; 6/A09.33; CEILINGS - Waiting 104 GB edge to ACT-4 11'-6" (3 sides): 7/A09.33 TYPICAL CEILING TRANSITION 6" impreso: 77.03 LF x 0.5; CEILINGS - Women's 114 GB 8'-6": A04.01 GB 8'-6"; 11'-7 1/2" x 6'-6 3/4" impresos 1/A08.01, A02.01; 6/A09.33; SOFFITS - CSR soffit: fondo 12.0x3.417=41.0 + caras 2x12.0x1.0 = 65.0 SF 9/A12.08</t>
  </si>
  <si>
    <t xml:space="preserve">carrying channel 1-1/2" C.R.</t>
  </si>
  <si>
    <t xml:space="preserve">CEILINGS - 24HR Vestibule 101 GB 10'-0": A/4 ft (@48" O.C.) ASTM C754 tipico; ningun detalle especifica suspension (ag_mep) RFI-SUSP; 6/A09.33; CEILINGS - Men's 113 GB 8'-6": A/4 ft (@48" O.C.) ASTM C754 tipico; ningun detalle especifica suspension (ag_mep) RFI-SUSP; 6/A09.33; CEILINGS - Vestibule 100 GB 10'-0": A/4 ft (@48" O.C.) ASTM C754 tipico; ningun detalle especifica suspension (ag_mep) RFI-SUSP; 6/A09.33; CEILINGS - Waiting 104 GB 11'-0": A/4 ft (@48" O.C.) ASTM C754 tipico; ningun detalle especifica suspension (ag_mep) RFI-SUSP; 6/A09.33; CEILINGS - Women's 114 GB 8'-6": A/4 ft (@48" O.C.) ASTM C754 tipico; ningun detalle especifica suspension (ag_mep) RFI-SUSP; 6/A09.33</t>
  </si>
  <si>
    <t xml:space="preserve">furring channel 7/8"</t>
  </si>
  <si>
    <t xml:space="preserve">CEILINGS - 24HR Vestibule 101 GB 10'-0": A/1.333 (@16" O.C., 6/A09.33 '@ 16" O.C.') RFI-SUSP; CEILINGS - Men's 113 GB 8'-6": A/1.333 (@16" O.C., 6/A09.33 '@ 16" O.C.') RFI-SUSP; CEILINGS - Vestibule 100 GB 10'-0": A/1.333 (@16" O.C., 6/A09.33 '@ 16" O.C.') RFI-SUSP; CEILINGS - Waiting 104 GB 11'-0": A/1.333 (@16" O.C., 6/A09.33 '@ 16" O.C.') RFI-SUSP; CEILINGS - Women's 114 GB 8'-6": A/1.333 (@16" O.C., 6/A09.33 '@ 16" O.C.') RFI-SUSP</t>
  </si>
  <si>
    <t xml:space="preserve">hanger wire 12 ga</t>
  </si>
  <si>
    <t xml:space="preserve">LF (coil)</t>
  </si>
  <si>
    <t xml:space="preserve">CEILINGS - 24HR Vestibule 101 GB 10'-0": 10 hangers (@48"x48") x (B.O.D.-ceiling 5.375 + 1.0 vuelta) ; 12 GAUGE HANGER WIRE 3/A09.33; RFI-SUSP; CEILINGS - Men's 113 GB 8'-6": 5 hangers (@48"x48") x (B.O.D.-ceiling 4.5 + 1.0 vuelta) ; 12 GAUGE HANGER WIRE 3/A09.33; RFI-SUSP; CEILINGS - Vestibule 100 GB 10'-0": 8 hangers (@48"x48") x (B.O.D.-ceiling 5.375 + 1.0 vuelta) ; 12 GAUGE HANGER WIRE 3/A09.33; RFI-SUSP; CEILINGS - Waiting 104 GB 11'-0": 32 hangers (@48"x48") x (B.O.D.-ceiling 4.375 + 1.0 vuelta) ; 12 GAUGE HANGER WIRE 3/A09.33; RFI-SUSP; CEILINGS - Women's 114 GB 8'-6": 5 hangers (@48"x48") x (B.O.D.-ceiling 4.5 + 1.0 vuelta) ; 12 GAUGE HANGER WIRE 3/A09.33; RFI-SUSP</t>
  </si>
  <si>
    <t xml:space="preserve">Ceiling / soffit track (ceiling perimeter)</t>
  </si>
  <si>
    <t xml:space="preserve">CEILINGS - 24HR Vestibule 101 GB 10'-0": perimetro 53.7 LF ceiling track; 7/A09.33; CEILINGS - Men's 113 GB 8'-6": perimetro 36.38 LF ceiling track; 7/A09.33; CEILINGS - Vestibule 100 GB 10'-0": perimetro 46.76 LF ceiling track; 7/A09.33; CEILINGS - Waiting 104 GB 11'-0": perimetro 94.06 LF ceiling track; 7/A09.33; CEILINGS - Women's 114 GB 8'-6": perimetro 36.38 LF ceiling track; 7/A09.33</t>
  </si>
  <si>
    <t xml:space="preserve">Framed opening for recessed fixture (GWB ceiling)</t>
  </si>
  <si>
    <t xml:space="preserve">CEILINGS - 24 R-14 downlights en GB (vestibulos + restrooms): 24 x 4 lados x 3.5" (E00.01 R-14 3.5" square) ag_mep; 6/A09.33; CEILINGS - Air devices en GB ceilings (slot diffusers vestibulos + 4 restrooms): 58.5: SD TBDI-10 2 x 53.8 ft (M01.01) + restrooms 4 x 8.0 (A04.01 2'x2', 53.3); ends PENDIENTE; 6/A09.33; CEILINGS - Interior GWB fixtures R-11C/CE (4) + R-11A CSR (2): 54.1/58.5: 4 x 2 x 20'-0" (E00.01 modelo; conflicto con 12' -&gt; 53.3 mas material, RFI-R11C) + 2 x 2 x 4'; ends PENDIENTE; 6/A09.33</t>
  </si>
  <si>
    <t xml:space="preserve">metal trim - gypsum edge trim</t>
  </si>
  <si>
    <t xml:space="preserve">CEILINGS - Interior GWB fixtures: GYPSUM EDGE TRIM 6/A09.33 en los lados de los fixtures lineales</t>
  </si>
  <si>
    <t xml:space="preserve">access panel 2'x2' (framed opening)</t>
  </si>
  <si>
    <t xml:space="preserve">CEILINGS - Access panel 2x2 Vestibule 100: A04.01 key note 4 2' X 2' LOCKING ACCESS PANEL; 6/A09.33 framing</t>
  </si>
  <si>
    <t xml:space="preserve">Ceiling / soffit track (soffit)</t>
  </si>
  <si>
    <t xml:space="preserve">SOFFITS - CSR soffit: 4 corridas x 12.0 ft 9/A12.08, 10/A09.33 (58.2); SOFFITS - Door 100A bulkhead: 5/A12.10 2 x 6'-5" (3'-4"+3'-1" 1/A12.10); SOFFITS - Vestibule head door 101: 6/A12.10 track top+bottom 2 x 15'-7 3/4" (impreso 1/A12.10)</t>
  </si>
  <si>
    <t xml:space="preserve">FRT blocking (5/8" FRT plywood)</t>
  </si>
  <si>
    <t xml:space="preserve">SOFFITS - CSR soffit: 5/8" FRT PLYWOOD BLOCKING 9/A12.08: 12.0 LF x 1 (RFI-CSR cobertura)</t>
  </si>
  <si>
    <t xml:space="preserve">Header / box beam - coiling grille 6" CFMF (4/A08.21)</t>
  </si>
  <si>
    <t xml:space="preserve">SOFFITS - Coiling grille head bulkhead (4/A08.21): 4/A08.21 6" CFMF BOX BEAM HEADER x2 = 2 x 13'-4"</t>
  </si>
  <si>
    <t xml:space="preserve">2-1/2" metal stud</t>
  </si>
  <si>
    <t xml:space="preserve">SOFFITS - Coiling grille head bulkhead: 4/A08.21 2 1/2" CFMF @ 16" O.C. entre box beams: 11 pcs x 0.7 ft dibujado (RFI-GRL)</t>
  </si>
  <si>
    <t xml:space="preserve">Ceiling / soffit track (soffit) 2-1/2"</t>
  </si>
  <si>
    <t xml:space="preserve">SOFFITS - Coiling grille head bulkhead: 4/A08.21 track arriba y abajo de los 2 1/2" (58.2): 2 x 13'-4"</t>
  </si>
  <si>
    <t xml:space="preserve">Header / box header 3-5/8" (A12.10)</t>
  </si>
  <si>
    <t xml:space="preserve">SOFFITS - Door 100A bulkhead: 5/A12.10 box header 53.6; SOFFITS - Vestibule head door 101: 6/A12.10 BOX HEADER AS NEEDED 2 members x (15.646 + 1'-4" 53.6) (RFI-VH)</t>
  </si>
  <si>
    <t xml:space="preserve">FRP panel</t>
  </si>
  <si>
    <t xml:space="preserve">WET AREAS - Janitor 112 mop sink FRP 4'-0": A05.01 key note 6 FRP FLOOR TO 4'-0", 5/A08.01 dos caras x 2'-0" (ancho DERIVADO vector) x 4.0; WET AREAS - Men's 113 FRP: A-D/A08.01: 36.39 - doors 113 y 112 6.67 = 29.72 x 5.0 (59.10); WET AREAS - Women's 114 FRP 5'-0" over 6" cove base: A,B,C,D/A08.01: perimetro 36.39 - door 114 3.33 = 33.05 LF x 5.0 (59.10; 53.9.1)</t>
  </si>
  <si>
    <t xml:space="preserve">cement board (tile backer)</t>
  </si>
  <si>
    <t xml:space="preserve">3x5 sheet</t>
  </si>
  <si>
    <t xml:space="preserve">WET AREAS - Restrooms tile cove base CT-12C: 58.7: LF cove base (33.05+29.72) x 0.5 ft; A/A08.01</t>
  </si>
  <si>
    <t xml:space="preserve">PVC trim (FRP)</t>
  </si>
  <si>
    <t xml:space="preserve">WET AREAS - FRP trims: 3/A08.01 PVC EDGE TRIM MOLDING top: 33.05+29.72 + mop sink 2x4.0</t>
  </si>
  <si>
    <t xml:space="preserve">FRT blocking (2x FRT wood)</t>
  </si>
  <si>
    <t xml:space="preserve">BLOCKING - Coiling grille guides 3/A08.21: 3/A08.21 FRT WOOD BLOCKING (TYP): 4 piezas x 10'-0" (58.6); BLOCKING - Millwork MW01-MW21 (nota D A12.03-A12.06 FRTW): nota D/A12.03 (ag_blocking): MW07 13.25+MW08 7.583+MW11 13.5+MW12 16.8+MW13 7.21+MW21 10.0+MW05 3.5+MW06A 2x3.458 (A06.01 2 tags)+MW18 6.67+MW01 3.125 = 88.6 base + 2a fila en uppers/standards 40.0 (53.3, RFI-MW); 7/A12.04; BLOCKING - Roof ladder Janitor 112: 3/A09.30 2X FRT WOOD BLOCKING BEHIND GWB: 3 brackets x 1.333 (RFI-LAD); BLOCKING - Toilet accessories Men's 113: nota E/A08.01: igual sin TA-9; BLOCKING - Toilet accessories Women's 114 (nota E/A08.01): nota E/A08.01 FRT BLOCKING: TA-3 3.5+TA-5 1.5+TA-4 3.0+TA-10 1.0+TA-9 1.0+TA-17 1.33+TA-7 2x2.0+TA-8 0.67+TA-16 2x2.83 + lav 2.0 (largos minimos, RFI-TA); BLOCKING - Vestibule glass termination 8/A12.10: 8/A12.10 FRT blocking: 2 x 10'-0"; BLOCKING - WH-1 platform Janitor 112</t>
  </si>
  <si>
    <t xml:space="preserve">3/4" FRT plywood blocking (strips)</t>
  </si>
  <si>
    <t xml:space="preserve">BLOCKING - Office front jambs (12) 10/A12.01: 10/A12.01 3/4" FRT PLYWOOD BLOCKING en cada jamb del office front: 12 jambs x HOLD 8'-0 1/2" (7/A11.01)</t>
  </si>
  <si>
    <t xml:space="preserve">3/4" FRT plywood backboard</t>
  </si>
  <si>
    <t xml:space="preserve">BLOCKING - Electrical 120 / NER 121 plywood backboard (key note 6): A02.01 key note 6; 4/A11.03, 3/A11.03, 2/A11.03, 5/A11.03: 6" AFF a 8'-0" (7'-6") x (9.583+5.833+9.583+7.5)</t>
  </si>
  <si>
    <t xml:space="preserve">metal stud blocking 362CR22</t>
  </si>
  <si>
    <t xml:space="preserve">BLOCKING - Artwork 6 offices (A11.01-A11.04): 1/A11.01 y elevaciones A11.01-A11.04 artwork 6 x 4'-0"; nota C/A02.01; 4/S5.20 362CR22 (58.6) RFI-BLK; BLOCKING - Lockers CW-16 Break 118 (key note 5): key note 5 A02.01 PROVIDE BLOCKING FOR LOCKERS: 2 runs x 4'-10 3/8" (vector A11.02); 4/S5.20 362CR22; BLOCKING - Wall stops 9 doors (nota D/A00.30): nota D/A00.30 PROVIDE BLOCKING AT EACH WALL STOP: 9 doors (HW groups 04A,08,10,11,11B,12,16) x 2'-0"; sin material -&gt; 362CR22 4/S5.20 (58.6) RFI-BLK; BLOCKING - Wall-mounted equipment A11.02 (cork boards, combo board, coat hooks, phones, sanitizers, clock, FE, security monitor): nota C/A02.01; 5/A11.02, 8/A11.02 etc.: 25.7 LF verificados + 9.5 A11.01 (adv_completitud B8); 4/S5.20 362CR22 RFI-BLK</t>
  </si>
  <si>
    <t xml:space="preserve">Header track - recessed accessories (58.4)</t>
  </si>
  <si>
    <t xml:space="preserve">FRAMED OPENINGS - TA-13 hand dryer recess kit (2, chase C1): 58.4: ancho 1.43 ft (A/A08.01) &gt; 14 3/8": header + sill (1.43+1.333) x 2 x 2 restrooms; FRAMED OPENINGS - TA-2 recessed paper towel (Break 118, Wellness 115): 58.4: sin ancho impreso -&gt; 2'-0" x (header+sill) x 2 (RFI-TA2); 8/A11.02, 15/A11.02</t>
  </si>
  <si>
    <t xml:space="preserve">Sill track - recessed accessories (58.4)</t>
  </si>
  <si>
    <t xml:space="preserve">7/8" hat channel (furring channel) @16" O.C.</t>
  </si>
  <si>
    <t xml:space="preserve">EXTERIOR - EPS-5 formed metal panel substrate (4 facades): 3/A09.31, 1/A09.31, 7/A09.26 EPS-5 ON 7/8" HAT CHANNEL @16": ~994 SF EPS-5 (A09.01/A09.02 vector, adv_completitud) / 1.333 (RFI-HAT alcance)</t>
  </si>
  <si>
    <t xml:space="preserve">3/4" FRT plywood (jambs)</t>
  </si>
  <si>
    <t xml:space="preserve">EXTERIOR - Storefront piers jambs: 1/A09.25, 2/A09.25 3/4" FRT PLYWOOD: 4 jambs x 0.67 x 8.5</t>
  </si>
  <si>
    <t xml:space="preserve">Batt insulation (sound batt above ceiling)</t>
  </si>
  <si>
    <t xml:space="preserve">CEILINGS - Restrooms 113/114 sound batt above ceiling: A04.01 key note 11 INSTALL SOUND BATT INSULATION ABOVE CEILING: 76.3 + 76.3; 1/A08.01</t>
  </si>
  <si>
    <t xml:space="preserve">purlin 1x1x1 16 GA (top track to deck parallel to flute, 10/A09.33)</t>
  </si>
  <si>
    <t xml:space="preserve">59.1: sum LF top track de muros E-W a deck [1, 3, 4, 5, 7, 9, 11, 12, 17, 19, 20, 21, 26, 27, 28, 29, 30, 36, 37, 38, 39, 40, 41, 46] x (1'-6" pieza / 2'-0" PAF 4/A12.01 = 0.75); doble fila = una pieza; flute E-W S2.20 (VIF -&gt; RFI-PUR)</t>
  </si>
  <si>
    <t xml:space="preserve">Stud blocking 362CR22 at edge of gypboard (4/S5.20)</t>
  </si>
  <si>
    <t xml:space="preserve">59.14 cifra (b) toda cara con board &gt; 12 ft (hoja 4x12): 669.84 LF; cifra (a) exteriores + doble capa = 405.52 LF (RFI-SB); 4/S5.20 PROVIDE BLOCKING AT THE EDGE OF GYPBOARD</t>
  </si>
  <si>
    <t xml:space="preserve">Level 5 finish (wallcovering WC-20 / WC-22 prep)</t>
  </si>
  <si>
    <t xml:space="preserve">A05.01 key note 9 (WC-20, 24HR Vestibule 101 F wall: 18.07x10.0-2.25x2.69=174.6) + key note 10 (WC-22 monitor furring 11.333x11.5=130.3); A00.40 LEVEL 5; 12/A12.01 (RFI-L5 extension)</t>
  </si>
  <si>
    <t xml:space="preserve">RFI</t>
  </si>
  <si>
    <t xml:space="preserve">Question / condition</t>
  </si>
  <si>
    <t xml:space="preserve">Delta of each alternative</t>
  </si>
  <si>
    <t xml:space="preserve">RFI-56.2</t>
  </si>
  <si>
    <t xml:space="preserve">Exterior studs: S1.11 LGS note 5 pide 600S162-54 @16" y @12" a 6 ft de esquinas; 7/S5.20 METAL STUD PROPERTIES da 600S137-33 @16". Se carga 600S162-54 (53.3/56.2).</t>
  </si>
  <si>
    <t xml:space="preserve">600S137-33: mismo LF menos ~9 studs de zona de esquina (~135 LF) y calibre 33 mil en ~4,244 LF (3,299 muro + 944 parapet ya es -54 por 11/S5.10)</t>
  </si>
  <si>
    <t xml:space="preserve">RFI-SLIP</t>
  </si>
  <si>
    <t xml:space="preserve">CONTINUOUS SLIP TRACK (1,3,4/A12.01) sin designacion en ningun schedule. Se carga track del tamano del stud (362T/600T/162T-33).</t>
  </si>
  <si>
    <t xml:space="preserve">Alterno deep-leg slip track 2" leg: mismo LF (~617 LF) a mayor precio por LF</t>
  </si>
  <si>
    <t xml:space="preserve">RFI-G</t>
  </si>
  <si>
    <t xml:space="preserve">Tipos G/G1 y bulkheads de oficina: stud 1-5/8" sin designacion (A12.01, S5.20). Se usa 162S125-33.</t>
  </si>
  <si>
    <t xml:space="preserve">Ninguno en LF; cambia precio si es 25 ga o 20 ga</t>
  </si>
  <si>
    <t xml:space="preserve">RFI-SUSP</t>
  </si>
  <si>
    <t xml:space="preserve">GWB ceilings (A04.01): ningun detalle especifica suspension. Se carga ASTM C754: carrying 1-1/2" @48", furring 7/8" @16", hanger 12 ga @48"x48", track perimetral.</t>
  </si>
  <si>
    <t xml:space="preserve">Si el arquitecto pide stud framing 3 5/8" @16" (6/A09.33): ~703 LF de 3-5/8" en vez de furring channel</t>
  </si>
  <si>
    <t xml:space="preserve">RFI-PUR</t>
  </si>
  <si>
    <t xml:space="preserve">Purlin 1X1X1 16GA (10/A09.33 ALTERNATE CEILING DETAIL, VIF FLUTE DIRECTION). Flute E-W en ambas zonas (S2.20): tracks E-W a deck llevan purlin (59.1).</t>
  </si>
  <si>
    <t xml:space="preserve">+196.7 LF purlin si se confirma; 0 si el flute resulta perpendicular</t>
  </si>
  <si>
    <t xml:space="preserve">RFI-SB</t>
  </si>
  <si>
    <t xml:space="preserve">4/S5.20 PROVIDE BLOCKING AT THE EDGE OF GYPBOARD sin ubicacion (NTS). Cifra (b) cargada = toda cara con board &gt; 12 ft.</t>
  </si>
  <si>
    <t xml:space="preserve">Cifra (a) exteriores + doble capa = 405.52 LF vs (b) 669.84 LF cargada (59.14)</t>
  </si>
  <si>
    <t xml:space="preserve">RFI-ELEV</t>
  </si>
  <si>
    <t xml:space="preserve">A09.01 'SOUTH ELEVATION' dibuja la fachada norte y A09.02 'NORTH ELEVATION' la sur (orden de grids + contenido). E/W correctos.</t>
  </si>
  <si>
    <t xml:space="preserve">Sin delta en cantidades; otros trades leen las mismas hojas</t>
  </si>
  <si>
    <t xml:space="preserve">RFI-CAN-SH</t>
  </si>
  <si>
    <t xml:space="preserve">Soffit/fascia del canopy: 5/8" EXT. GRADE FRT PLYWOOD (3,7/A09.26; 15,16/A09.27) vs 5/8" EXTERIOR SHEATHING (4,5/A09.33). Se carga FRT plywood.</t>
  </si>
  <si>
    <t xml:space="preserve">Si es exterior gyp sheathing: ~2,352 SF pasan de FRT plywood a exterior gyp sheathing</t>
  </si>
  <si>
    <t xml:space="preserve">RFI-PAR</t>
  </si>
  <si>
    <t xml:space="preserve">Parapet roof side: 5/8" EXTERIOR GYPSUM SHEATHING (secciones A09.21-23) vs 5/8" DENS DECK (4/A09.26, material del roofer). Se carga exterior gyp sheathing.</t>
  </si>
  <si>
    <t xml:space="preserve">-986 SF si es del roofer</t>
  </si>
  <si>
    <t xml:space="preserve">RFI-PIER</t>
  </si>
  <si>
    <t xml:space="preserve">Canopy columns 5/A09.25: altura del stud a B/CANOPY 10'-6" o a T/STEEL 11'-9".</t>
  </si>
  <si>
    <t xml:space="preserve">+40 LF 3-5/8" stud y +30 SF FRT plywood si va a 11'-9"</t>
  </si>
  <si>
    <t xml:space="preserve">RFI-COL</t>
  </si>
  <si>
    <t xml:space="preserve">C1 column furring en vestibulos (4 cajas): se cargan todas las caras a deck.</t>
  </si>
  <si>
    <t xml:space="preserve">Solo caras expuestas a 10'-6": -~80 SF board</t>
  </si>
  <si>
    <t xml:space="preserve">RFI-CSR</t>
  </si>
  <si>
    <t xml:space="preserve">CSR soffit 9/A12.08 = 10/A09.33: studs hasta deck o colgado; cobertura del 5/8" FRT plywood blocking.</t>
  </si>
  <si>
    <t xml:space="preserve">Studs a 9'-0" en vez de deck: -~127 LF 3-5/8"</t>
  </si>
  <si>
    <t xml:space="preserve">RFI-GRL</t>
  </si>
  <si>
    <t xml:space="preserve">Coiling grille head 4/A08.21: alto de studs 2-1/2" (a deck cargado) y GYP en cara del vestibulo; alto de cajas de jamb (3/A08.21).</t>
  </si>
  <si>
    <t xml:space="preserve">-~48 LF 2-1/2" si el bulkhead cuelga de la estructura del vendor</t>
  </si>
  <si>
    <t xml:space="preserve">RFI-MON</t>
  </si>
  <si>
    <t xml:space="preserve">Monitor 85": 3/4" FRT plywood 11" alto (13/A12.02) vs 18" HIGH (A03.01). Se carga 11".</t>
  </si>
  <si>
    <t xml:space="preserve">+2.6 SF plywood si es 18"</t>
  </si>
  <si>
    <t xml:space="preserve">RFI-BLK</t>
  </si>
  <si>
    <t xml:space="preserve">Blocking de wall stops (nota D/A00.30), artwork, lockers: sin material rotulado -&gt; 362CR22 (58.6).</t>
  </si>
  <si>
    <t xml:space="preserve">Si FRT wood: 51.7 LF pasan a FRT blocking</t>
  </si>
  <si>
    <t xml:space="preserve">RFI-TA</t>
  </si>
  <si>
    <t xml:space="preserve">Toilet accessories (nota E/A08.01 FRT BLOCKING AS REQUIRED): largos minimos por accesorio (ag_banos).</t>
  </si>
  <si>
    <t xml:space="preserve">2x6 FRT continuo a cada altura: +~40 LF</t>
  </si>
  <si>
    <t xml:space="preserve">RFI-TA2</t>
  </si>
  <si>
    <t xml:space="preserve">TA-2 recessed paper towel sin ancho impreso: se carga 2'-0" header+sill (58.4).</t>
  </si>
  <si>
    <t xml:space="preserve">0 si cabe en stud bay (59.8)</t>
  </si>
  <si>
    <t xml:space="preserve">RFI-L5</t>
  </si>
  <si>
    <t xml:space="preserve">Level 5 (A05.01 key notes 9 y 10, A00.40): extension de WC-20/WC-22 no acotada.</t>
  </si>
  <si>
    <t xml:space="preserve">+/- 100 SF segun extension</t>
  </si>
  <si>
    <t xml:space="preserve">RFI-DU</t>
  </si>
  <si>
    <t xml:space="preserve">Drive-up canopy soffit (16/A09.27): soporte de joists 3-5/8" entre W10 beams E-W a 3EQ SPA (S2.20); vanos 15'-9".</t>
  </si>
  <si>
    <t xml:space="preserve">Si se requiere 6" joist o hangers: cambio de perfil en ~742 LF</t>
  </si>
  <si>
    <t xml:space="preserve">RFI-HDR-EXT</t>
  </si>
  <si>
    <t xml:space="preserve">Headers de windows exteriores (8'-0" y 7'-8"): el header schedule (S5.20) solo cubre interior NLB; se carga box 2 tracks 600T.</t>
  </si>
  <si>
    <t xml:space="preserve">2-600S162-54 box: mismo LF, distinto perfil</t>
  </si>
  <si>
    <t xml:space="preserve">RFI-SFH</t>
  </si>
  <si>
    <t xml:space="preserve">2/A09.26 STEEL HEADER FRAMING sobre storefront: tamano/gauge; si es acero estructural no es nuestro.</t>
  </si>
  <si>
    <t xml:space="preserve">-99 LF header si es misc. metals</t>
  </si>
  <si>
    <t xml:space="preserve">RFI-CJ</t>
  </si>
  <si>
    <t xml:space="preserve">Control joints en gypsum board: no rotuladas (solo CJ del estuco). ASTM C840 &gt; 30 ft.</t>
  </si>
  <si>
    <t xml:space="preserve">Alterno por LF si el arquitecto las pide</t>
  </si>
  <si>
    <t xml:space="preserve">RFI-ALC</t>
  </si>
  <si>
    <t xml:space="preserve">Alcove de drinking fountain: muro B2 sobre la abertura de 4'-1"; se carga header a 7'-0".</t>
  </si>
  <si>
    <t xml:space="preserve">Si el B2 corre completo: +~29 SF board</t>
  </si>
  <si>
    <t xml:space="preserve">RFI-VH</t>
  </si>
  <si>
    <t xml:space="preserve">Head sobre puerta 101 (6/A12.10): box header 'as needed' y si lleva board sobre ceiling.</t>
  </si>
  <si>
    <t xml:space="preserve">+168 SF board si va a deck ambas caras</t>
  </si>
  <si>
    <t xml:space="preserve">RFI-100A</t>
  </si>
  <si>
    <t xml:space="preserve">Bulkhead puerta 100A: caida dibujada ~8" vs 1'-6" derivado (ACT 11'-6" - GB 10'-0").</t>
  </si>
  <si>
    <t xml:space="preserve">-6 SF board con 8"</t>
  </si>
  <si>
    <t xml:space="preserve">RFI-MW</t>
  </si>
  <si>
    <t xml:space="preserve">Millwork: filas de blocking en standards/uppers (nota D/A12.03 FRTW) no acotadas; se carga 1 run por elemento.</t>
  </si>
  <si>
    <t xml:space="preserve">+~40 LF FRT con 2 filas en uppers/standards</t>
  </si>
  <si>
    <t xml:space="preserve">RFI-LAD</t>
  </si>
  <si>
    <t xml:space="preserve">Roof ladder 3/A09.30: numero de brackets.</t>
  </si>
  <si>
    <t xml:space="preserve">+/- 2.7 LF FRT</t>
  </si>
  <si>
    <t xml:space="preserve">RFI-CAN-OC</t>
  </si>
  <si>
    <t xml:space="preserve">Fascia del canopy: O.C. y gauge de studs no impresos; se usa 16" (4/A09.33).</t>
  </si>
  <si>
    <t xml:space="preserve">@12": +~45 studs x 2 ft</t>
  </si>
  <si>
    <t xml:space="preserve">RFI-C1</t>
  </si>
  <si>
    <t xml:space="preserve">6/A12.01 rotula BLOCK PARTITION en el tipo C1; planta y 8/S5.20 indican stud. Se carga stud 3-5/8" una cara.</t>
  </si>
  <si>
    <t xml:space="preserve">Si es block: -~420 LF 3-5/8" (Div 04)</t>
  </si>
  <si>
    <t xml:space="preserve">RFI-R11C</t>
  </si>
  <si>
    <t xml:space="preserve">R-11C/CE: descripcion 12' vs modelo 20'-0" (E00.01). Se usa 12' (A04.01 R-11 (12')).</t>
  </si>
  <si>
    <t xml:space="preserve">+64 LF framed opening si son 20'</t>
  </si>
  <si>
    <t xml:space="preserve">RFI-FD</t>
  </si>
  <si>
    <t xml:space="preserve">Fire dampers R-2 14x14, S-2 12x8 / 12x12 en muros de Electrical/NER (M01.01): caben en stud bay; sleeve/framing por confirmar (59.8).</t>
  </si>
  <si>
    <t xml:space="preserve">4 x header+sill 2'-0": +27 LF track</t>
  </si>
  <si>
    <t xml:space="preserve">RFI-A1K</t>
  </si>
  <si>
    <t xml:space="preserve">A1K/B2K: lado customer/teller y extension del panel balistico (4/A12.01).</t>
  </si>
  <si>
    <t xml:space="preserve">Ninguno en SF total</t>
  </si>
  <si>
    <t xml:space="preserve">RFI-DECK</t>
  </si>
  <si>
    <t xml:space="preserve">Ubicacion exacta de los B.O.D. 13'-0 5/8" y 12'-6 3/8" (S2.20): se asumen en grid B y grid A (pendiente 1/4":12" comprobada).</t>
  </si>
  <si>
    <t xml:space="preserve">+/- 0.1 ft de stud en muros del sur</t>
  </si>
  <si>
    <t xml:space="preserve">RFI-HAT</t>
  </si>
  <si>
    <t xml:space="preserve">7/8" hat channel bajo EPS-5 (3/A09.31, 7/A09.26): se carga en la base (746 LF). Confirmar si lo instala el framer o el panelero (Div 07 42).</t>
  </si>
  <si>
    <t xml:space="preserve">-746 LF si es del panelero</t>
  </si>
  <si>
    <t xml:space="preserve">RFI-DELEG</t>
  </si>
  <si>
    <t xml:space="preserve">S1.10 DELEGATED STRUCTURAL DESIGN: COLD FORMED STEEL FRAMING y METAL CANOPIES -&gt; ingenieria sellada, calcs y shop drawings del framer (1 LS, no es material).</t>
  </si>
  <si>
    <t xml:space="preserve">Partida de costo LS a cotizar aparte</t>
  </si>
  <si>
    <t xml:space="preserve">RFI-BRACE</t>
  </si>
  <si>
    <t xml:space="preserve">S5.30 braced frames (HSS X-braces) dentro de muros EXT 6" en grids A(6-8), 8(A-B), 3(B-A), G/F(7-8): interferencia stud/brace sin detalle.</t>
  </si>
  <si>
    <t xml:space="preserve">Cortes, cripples y clips adicionales por bay</t>
  </si>
  <si>
    <t xml:space="preserve">RFI-AP</t>
  </si>
  <si>
    <t xml:space="preserve">Access panels adicionales (M00.01 GN16, P00.01 GN15) en GWB ceilings: cantidad/ubicacion.</t>
  </si>
  <si>
    <t xml:space="preserve">+8 LF framed opening por panel</t>
  </si>
  <si>
    <t xml:space="preserve">RFI-EUH</t>
  </si>
  <si>
    <t xml:space="preserve">EUH-1 (M00.03, E02.04) en Janitor 112: si va en muro, blocking 2.0 LF.</t>
  </si>
  <si>
    <t xml:space="preserve">+2.0 LF 362CR22</t>
  </si>
  <si>
    <t xml:space="preserve">RFI-SFBATT</t>
  </si>
  <si>
    <t xml:space="preserve">Storefront head PACK W/ BATT (2/A09.26): altura de la caja no impresa.</t>
  </si>
  <si>
    <t xml:space="preserve">+~82 SF batt</t>
  </si>
  <si>
    <t xml:space="preserve">RFI-TR</t>
  </si>
  <si>
    <t xml:space="preserve">Transicion ACT-4 11'-6" a 9'-0" en east aisle (A04.01 y=1110.72) sin detalle propio; se usa 7/A09.33.</t>
  </si>
  <si>
    <t xml:space="preserve">+/- 5 SF</t>
  </si>
  <si>
    <t xml:space="preserve">RFI-HSS-DU</t>
  </si>
  <si>
    <t xml:space="preserve">Joists del drive-up D-&gt;B miden ~20'-11 7/8": no salen de stick de 20 ft (58.0).</t>
  </si>
  <si>
    <t xml:space="preserve">Comprar stock 22-24 ft o empalmar</t>
  </si>
  <si>
    <t xml:space="preserve">RFI-DOC</t>
  </si>
  <si>
    <t xml:space="preserve">A00.60 remite a A08.12 y A03.01/A05.01 a A00.31: hojas que no existen en el set ni en el indice A00.00.</t>
  </si>
  <si>
    <t xml:space="preserve">Sin delta</t>
  </si>
  <si>
    <t xml:space="preserve">RFI-ENDS</t>
  </si>
  <si>
    <t xml:space="preserve">Ancho de los ends de los framed openings de fixtures lineales (cutsheet, 4/A09.33).</t>
  </si>
  <si>
    <t xml:space="preserve">+~4" x 54 ends</t>
  </si>
  <si>
    <t xml:space="preserve">#</t>
  </si>
  <si>
    <t xml:space="preserve">Punto</t>
  </si>
  <si>
    <t xml:space="preserve">Hoja + detalle</t>
  </si>
  <si>
    <t xml:space="preserve">Imagen</t>
  </si>
  <si>
    <t xml:space="preserve">RFI-56.2: Exterior studs: S1.11 LGS note 5 pide 600S162-54 @16" y @12" a 6 ft de esquinas; 7/S5.20 METAL STUD PROPERTIES da 600S137-33 @16". Se carga 600S162-54 (53.3/56.2). | delta: 600S137-33: mismo LF menos ~9 studs de zona de esquina (~135 LF) y calibre 33 mil en ~4,244 LF (3,299 muro + 944 parapet ya es -54 por 11/S5.10)</t>
  </si>
  <si>
    <t xml:space="preserve">7/S5.20</t>
  </si>
  <si>
    <t xml:space="preserve">Planos marcados/</t>
  </si>
  <si>
    <t xml:space="preserve">RFI-SLIP: CONTINUOUS SLIP TRACK (1,3,4/A12.01) sin designacion en ningun schedule. Se carga track del tamano del stud (362T/600T/162T-33). | delta: Alterno deep-leg slip track 2" leg: mismo LF (~617 LF) a mayor precio por LF</t>
  </si>
  <si>
    <t xml:space="preserve">4/A12.01</t>
  </si>
  <si>
    <t xml:space="preserve">RFI-G: Tipos G/G1 y bulkheads de oficina: stud 1-5/8" sin designacion (A12.01, S5.20). Se usa 162S125-33. | delta: Ninguno en LF; cambia precio si es 25 ga o 20 ga</t>
  </si>
  <si>
    <t xml:space="preserve">A02.01</t>
  </si>
  <si>
    <t xml:space="preserve">RFI-SUSP: GWB ceilings (A04.01): ningun detalle especifica suspension. Se carga ASTM C754: carrying 1-1/2" @48", furring 7/8" @16", hanger 12 ga @48"x48", track perimetral. | delta: Si el arquitecto pide stud framing 3 5/8" @16" (6/A09.33): ~703 LF de 3-5/8" en vez de furring channel</t>
  </si>
  <si>
    <t xml:space="preserve">RFI-PUR: Purlin 1X1X1 16GA (10/A09.33 ALTERNATE CEILING DETAIL, VIF FLUTE DIRECTION). Flute E-W en ambas zonas (S2.20): tracks E-W a deck llevan purlin (59.1). | delta: +196.7 LF purlin si se confirma; 0 si el flute resulta perpendicular</t>
  </si>
  <si>
    <t xml:space="preserve">10/A09.33</t>
  </si>
  <si>
    <t xml:space="preserve">RFI-SB: 4/S5.20 PROVIDE BLOCKING AT THE EDGE OF GYPBOARD sin ubicacion (NTS). Cifra (b) cargada = toda cara con board &gt; 12 ft. | delta: Cifra (a) exteriores + doble capa = 405.52 LF vs (b) 669.84 LF cargada (59.14)</t>
  </si>
  <si>
    <t xml:space="preserve">4/S5.20</t>
  </si>
  <si>
    <t xml:space="preserve">RFI-ELEV: A09.01 'SOUTH ELEVATION' dibuja la fachada norte y A09.02 'NORTH ELEVATION' la sur (orden de grids + contenido). E/W correctos. | delta: Sin delta en cantidades; otros trades leen las mismas hojas</t>
  </si>
  <si>
    <t xml:space="preserve">RFI-CAN-SH: Soffit/fascia del canopy: 5/8" EXT. GRADE FRT PLYWOOD (3,7/A09.26; 15,16/A09.27) vs 5/8" EXTERIOR SHEATHING (4,5/A09.33). Se carga FRT plywood. | delta: Si es exterior gyp sheathing: ~2,352 SF pasan de FRT plywood a exterior gyp sheathing</t>
  </si>
  <si>
    <t xml:space="preserve">7/A09.26</t>
  </si>
  <si>
    <t xml:space="preserve">RFI-PAR: Parapet roof side: 5/8" EXTERIOR GYPSUM SHEATHING (secciones A09.21-23) vs 5/8" DENS DECK (4/A09.26, material del roofer). Se carga exterior gyp sheathing. | delta: -986 SF si es del roofer</t>
  </si>
  <si>
    <t xml:space="preserve">4/A09.26</t>
  </si>
  <si>
    <t xml:space="preserve">RFI-PIER: Canopy columns 5/A09.25: altura del stud a B/CANOPY 10'-6" o a T/STEEL 11'-9". | delta: +40 LF 3-5/8" stud y +30 SF FRT plywood si va a 11'-9"</t>
  </si>
  <si>
    <t xml:space="preserve">5/A09.25:</t>
  </si>
  <si>
    <t xml:space="preserve">RFI-COL: C1 column furring en vestibulos (4 cajas): se cargan todas las caras a deck. | delta: Solo caras expuestas a 10'-6": -~80 SF board</t>
  </si>
  <si>
    <t xml:space="preserve">RFI-CSR: CSR soffit 9/A12.08 = 10/A09.33: studs hasta deck o colgado; cobertura del 5/8" FRT plywood blocking. | delta: Studs a 9'-0" en vez de deck: -~127 LF 3-5/8"</t>
  </si>
  <si>
    <t xml:space="preserve">9/A12.08</t>
  </si>
  <si>
    <t xml:space="preserve">RFI-GRL: Coiling grille head 4/A08.21: alto de studs 2-1/2" (a deck cargado) y GYP en cara del vestibulo; alto de cajas de jamb (3/A08.21). | delta: -~48 LF 2-1/2" si el bulkhead cuelga de la estructura del vendor</t>
  </si>
  <si>
    <t xml:space="preserve">4/A08.21:</t>
  </si>
  <si>
    <t xml:space="preserve">RFI-MON: Monitor 85": 3/4" FRT plywood 11" alto (13/A12.02) vs 18" HIGH (A03.01). Se carga 11". | delta: +2.6 SF plywood si es 18"</t>
  </si>
  <si>
    <t xml:space="preserve">13/A12.02</t>
  </si>
  <si>
    <t xml:space="preserve">RFI-BLK: Blocking de wall stops (nota D/A00.30), artwork, lockers: sin material rotulado -&gt; 362CR22 (58.6). | delta: Si FRT wood: 51.7 LF pasan a FRT blocking</t>
  </si>
  <si>
    <t xml:space="preserve">RFI-TA: Toilet accessories (nota E/A08.01 FRT BLOCKING AS REQUIRED): largos minimos por accesorio (ag_banos). | delta: 2x6 FRT continuo a cada altura: +~40 LF</t>
  </si>
  <si>
    <t xml:space="preserve">RFI-TA2: TA-2 recessed paper towel sin ancho impreso: se carga 2'-0" header+sill (58.4). | delta: 0 si cabe en stud bay (59.8)</t>
  </si>
  <si>
    <t xml:space="preserve">RFI-L5: Level 5 (A05.01 key notes 9 y 10, A00.40): extension de WC-20/WC-22 no acotada. | delta: +/- 100 SF segun extension</t>
  </si>
  <si>
    <t xml:space="preserve">RFI-DU: Drive-up canopy soffit (16/A09.27): soporte de joists 3-5/8" entre W10 beams E-W a 3EQ SPA (S2.20); vanos 15'-9". | delta: Si se requiere 6" joist o hangers: cambio de perfil en ~742 LF</t>
  </si>
  <si>
    <t xml:space="preserve">16/A09.27</t>
  </si>
  <si>
    <t xml:space="preserve">RFI-HDR-EXT: Headers de windows exteriores (8'-0" y 7'-8"): el header schedule (S5.20) solo cubre interior NLB; se carga box 2 tracks 600T. | delta: 2-600S162-54 box: mismo LF, distinto perfil</t>
  </si>
  <si>
    <t xml:space="preserve">RFI-SFH: 2/A09.26 STEEL HEADER FRAMING sobre storefront: tamano/gauge; si es acero estructural no es nuestro. | delta: -99 LF header si es misc. metals</t>
  </si>
  <si>
    <t xml:space="preserve">2/A09.26</t>
  </si>
  <si>
    <t xml:space="preserve">RFI-CJ: Control joints en gypsum board: no rotuladas (solo CJ del estuco). ASTM C840 &gt; 30 ft. | delta: Alterno por LF si el arquitecto las pide</t>
  </si>
  <si>
    <t xml:space="preserve">RFI-ALC: Alcove de drinking fountain: muro B2 sobre la abertura de 4'-1"; se carga header a 7'-0". | delta: Si el B2 corre completo: +~29 SF board</t>
  </si>
  <si>
    <t xml:space="preserve">RFI-VH: Head sobre puerta 101 (6/A12.10): box header 'as needed' y si lleva board sobre ceiling. | delta: +168 SF board si va a deck ambas caras</t>
  </si>
  <si>
    <t xml:space="preserve">6/A12.10</t>
  </si>
  <si>
    <t xml:space="preserve">RFI-100A: Bulkhead puerta 100A: caida dibujada ~8" vs 1'-6" derivado (ACT 11'-6" - GB 10'-0"). | delta: -6 SF board con 8"</t>
  </si>
  <si>
    <t xml:space="preserve">RFI-MW: Millwork: filas de blocking en standards/uppers (nota D/A12.03 FRTW) no acotadas; se carga 1 run por elemento. | delta: +~40 LF FRT con 2 filas en uppers/standards</t>
  </si>
  <si>
    <t xml:space="preserve">RFI-LAD: Roof ladder 3/A09.30: numero de brackets. | delta: +/- 2.7 LF FRT</t>
  </si>
  <si>
    <t xml:space="preserve">3/A09.30:</t>
  </si>
  <si>
    <t xml:space="preserve">RFI-CAN-OC: Fascia del canopy: O.C. y gauge de studs no impresos; se usa 16" (4/A09.33). | delta: @12": +~45 studs x 2 ft</t>
  </si>
  <si>
    <t xml:space="preserve">4/A09.33</t>
  </si>
  <si>
    <t xml:space="preserve">RFI-C1: 6/A12.01 rotula BLOCK PARTITION en el tipo C1; planta y 8/S5.20 indican stud. Se carga stud 3-5/8" una cara. | delta: Si es block: -~420 LF 3-5/8" (Div 04)</t>
  </si>
  <si>
    <t xml:space="preserve">6/A12.01</t>
  </si>
  <si>
    <t xml:space="preserve">RFI-R11C: R-11C/CE: descripcion 12' vs modelo 20'-0" (E00.01). Se usa 12' (A04.01 R-11 (12')). | delta: +64 LF framed opening si son 20'</t>
  </si>
  <si>
    <t xml:space="preserve">RFI-FD: Fire dampers R-2 14x14, S-2 12x8 / 12x12 en muros de Electrical/NER (M01.01): caben en stud bay; sleeve/framing por confirmar (59.8). | delta: 4 x header+sill 2'-0": +27 LF track</t>
  </si>
  <si>
    <t xml:space="preserve">RFI-A1K: A1K/B2K: lado customer/teller y extension del panel balistico (4/A12.01). | delta: Ninguno en SF total</t>
  </si>
  <si>
    <t xml:space="preserve">RFI-DECK: Ubicacion exacta de los B.O.D. 13'-0 5/8" y 12'-6 3/8" (S2.20): se asumen en grid B y grid A (pendiente 1/4":12" comprobada). | delta: +/- 0.1 ft de stud en muros del sur</t>
  </si>
  <si>
    <t xml:space="preserve">RFI-HAT: 7/8" hat channel bajo EPS-5 (3/A09.31, 7/A09.26): se carga en la base (746 LF). Confirmar si lo instala el framer o el panelero (Div 07 42). | delta: -746 LF si es del panelero</t>
  </si>
  <si>
    <t xml:space="preserve">3/A09.31</t>
  </si>
  <si>
    <t xml:space="preserve">RFI-DELEG: S1.10 DELEGATED STRUCTURAL DESIGN: COLD FORMED STEEL FRAMING y METAL CANOPIES -&gt; ingenieria sellada, calcs y shop drawings del framer (1 LS, no es material). | delta: Partida de costo LS a cotizar aparte</t>
  </si>
  <si>
    <t xml:space="preserve">RFI-BRACE: S5.30 braced frames (HSS X-braces) dentro de muros EXT 6" en grids A(6-8), 8(A-B), 3(B-A), G/F(7-8): interferencia stud/brace sin detalle. | delta: Cortes, cripples y clips adicionales por bay</t>
  </si>
  <si>
    <t xml:space="preserve">RFI-AP: Access panels adicionales (M00.01 GN16, P00.01 GN15) en GWB ceilings: cantidad/ubicacion. | delta: +8 LF framed opening por panel</t>
  </si>
  <si>
    <t xml:space="preserve">RFI-EUH: EUH-1 (M00.03, E02.04) en Janitor 112: si va en muro, blocking 2.0 LF. | delta: +2.0 LF 362CR22</t>
  </si>
  <si>
    <t xml:space="preserve">RFI-SFBATT: Storefront head PACK W/ BATT (2/A09.26): altura de la caja no impresa. | delta: +~82 SF batt</t>
  </si>
  <si>
    <t xml:space="preserve">RFI-TR: Transicion ACT-4 11'-6" a 9'-0" en east aisle (A04.01 y=1110.72) sin detalle propio; se usa 7/A09.33. | delta: +/- 5 SF</t>
  </si>
  <si>
    <t xml:space="preserve">7/A09.33.</t>
  </si>
  <si>
    <t xml:space="preserve">RFI-HSS-DU: Joists del drive-up D-&gt;B miden ~20'-11 7/8": no salen de stick de 20 ft (58.0). | delta: Comprar stock 22-24 ft o empalmar</t>
  </si>
  <si>
    <t xml:space="preserve">RFI-DOC: A00.60 remite a A08.12 y A03.01/A05.01 a A00.31: hojas que no existen en el set ni en el indice A00.00. | delta: Sin delta</t>
  </si>
  <si>
    <t xml:space="preserve">A03.01/A05.01</t>
  </si>
  <si>
    <t xml:space="preserve">RFI-ENDS: Ancho de los ends de los framed openings de fixtures lineales (cutsheet, 4/A09.33). | delta: +~4" x 54 ends</t>
  </si>
  <si>
    <t xml:space="preserve">Barrido por tag (A02.01): 49 walls interiores + 10 exteriores + 6 bulkheads; los 47 tags del censo caen en walls (ver BARRIDO_*.png). Confirmar que no falta ninguno.</t>
  </si>
  <si>
    <t xml:space="preserve">Planos marcados/BARRIDO_*.png</t>
  </si>
  <si>
    <t xml:space="preserve">Walls sin tag: #10 alcove (A1 por nota A), #42 stub G, #48/#49 stubs G1: tipo derivado por espesor medido (55.4).</t>
  </si>
  <si>
    <t xml:space="preserve">Door 116 cargada a A5 #16 (opening entre dos tipos, regla 29); 118B cargada a A1 #8.</t>
  </si>
  <si>
    <t xml:space="preserve">MR board solo en la cara del chase (C1 #27/#28) donde apoyan WC y lavatory (59.9); resto regular.</t>
  </si>
  <si>
    <t xml:space="preserve">FRP: 165.3 SF Women's + 148.6 Men's + 16 Janitor; puertas 112/113/114 descontadas (59.10).</t>
  </si>
  <si>
    <t xml:space="preserve">Parapet infill por formula cerrada por bay (59.4); P2 tower L 52.7 ft (ag_canopy).</t>
  </si>
  <si>
    <t xml:space="preserve">Glass mat solo base 0'-6" y banda del canopy; nailbase desde T/BASE menos banda (56.3, 59.2, 59.11).</t>
  </si>
  <si>
    <t xml:space="preserve">PASO 8 aplicado: adv_reglas (2 plies parapet, 59.7 stubs, cripples, corner bead jambs, purlin roof step, track grille, puertas 116/118B fuera del muro), adv_muros (board exterior por tramo, studs bajo viga 56.4, windows oeste 8'-0", storefront 12'-6 3/4", limite RCP y=1110.72), back-check (G #41 11.77, transicion 6"), completitud (hat channel, air devices, WH-1, piers 1,2/A09.25, grille FRT, sound batt, equipment blocking, mineral wool).</t>
  </si>
  <si>
    <t xml:space="preserve">SOSPECHAS NO APLICADAS (decidir): stud de T en exteriores 53.2 (+223 LF 6"); clips de bridging en cripples (-338 EA); bracing en soffits verticales (+91 LF); shadow molding bulkhead solo lado lobby (-45 LF); jog oeste 3.86 vs 4.41; storefront head norte vs piers; caras en T (-123 SF); capa extra exterior 4" al sur de B; '@ LOW ROOF' en grid E (S2.20); bottom track sobre doors (50 LF).</t>
  </si>
  <si>
    <t xml:space="preserve">PROPUESTAS 53.3 NO APLICADAS por no ser medida sino alcance: board sobre ceiling en head de door 101 (RFI-VH +168 SF); blocking continuo 2x6 en toilet accessories (RFI-TA +40 LF).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</si>
  <si>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</si>
  <si>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</si>
  <si>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</si>
  <si>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</si>
  <si>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</si>
  <si>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CUANTIFICADO</t>
  </si>
  <si>
    <t xml:space="preserve">Partition Takeoff walls #1-#49; 3-5/8", 6", 1-5/8" studs + tracks; A12.01, 7/S5.20</t>
  </si>
  <si>
    <t xml:space="preserve">ALC-02</t>
  </si>
  <si>
    <t xml:space="preserve">EXT #50-#59: 600S162-54, C/A09.21, S1.11</t>
  </si>
  <si>
    <t xml:space="preserve">ALC-03</t>
  </si>
  <si>
    <t xml:space="preserve">6" parapet stud 600S162-54 11/S5.10, 59.4</t>
  </si>
  <si>
    <t xml:space="preserve">ALC-04</t>
  </si>
  <si>
    <t xml:space="preserve">Bottom / top / deflection tracks por renglon (7/S5.20, 10/S5.10, A12.01)</t>
  </si>
  <si>
    <t xml:space="preserve">ALC-05</t>
  </si>
  <si>
    <t xml:space="preserve">Header track, sill track, box beams (9/S5.20, 9/A12.01, 6/A08.11, 4/A08.21)</t>
  </si>
  <si>
    <t xml:space="preserve">ALC-06</t>
  </si>
  <si>
    <t xml:space="preserve">bracing 1-1/2" C.R. channel F/1/S5.20 (53.4)</t>
  </si>
  <si>
    <t xml:space="preserve">ALC-07</t>
  </si>
  <si>
    <t xml:space="preserve">5/8" gypsum board por cara A12.01</t>
  </si>
  <si>
    <t xml:space="preserve">ALC-08</t>
  </si>
  <si>
    <t xml:space="preserve">5/8" moisture resistant: cara del chase (nota F/A08.01, 59.9)</t>
  </si>
  <si>
    <t xml:space="preserve">ALC-09</t>
  </si>
  <si>
    <t xml:space="preserve">glass mat base y banda (5/A09.26, 7/A09.26); exterior gyp sheathing parapet (C/A09.21)</t>
  </si>
  <si>
    <t xml:space="preserve">ALC-10</t>
  </si>
  <si>
    <t xml:space="preserve">FRT plywood nailbase, canopy, backboards, F wall (4/A09.26, 7/A09.26, 12/A12.01)</t>
  </si>
  <si>
    <t xml:space="preserve">ALC-11</t>
  </si>
  <si>
    <t xml:space="preserve">GWB ceilings A04.01: waiting, vestibules, restrooms</t>
  </si>
  <si>
    <t xml:space="preserve">ALC-12</t>
  </si>
  <si>
    <t xml:space="preserve">furring channel, carrying channel, hanger wire, ceiling track (ASTM C754, RFI-SUSP)</t>
  </si>
  <si>
    <t xml:space="preserve">ALC-13</t>
  </si>
  <si>
    <t xml:space="preserve">CSR soffit 9/A12.08, office bulkheads 9/A12.01, grille head 4/A08.21, transitions 7/A09.33</t>
  </si>
  <si>
    <t xml:space="preserve">ALC-14</t>
  </si>
  <si>
    <t xml:space="preserve">canopy fascia + soffit + framed openings (3,7/A09.26; 16/A09.27)</t>
  </si>
  <si>
    <t xml:space="preserve">ALC-15</t>
  </si>
  <si>
    <t xml:space="preserve">column furring C1 #31-#34 (vestibule) y canopy columns 5/A09.25</t>
  </si>
  <si>
    <t xml:space="preserve">ALC-16</t>
  </si>
  <si>
    <t xml:space="preserve">FRT blocking, metal stud blocking 362CR22, stud blocking 4/S5.20</t>
  </si>
  <si>
    <t xml:space="preserve">ALC-17</t>
  </si>
  <si>
    <t xml:space="preserve">framed opening for recessed fixture, access panel (A04.01 key note 4)</t>
  </si>
  <si>
    <t xml:space="preserve">ALC-18</t>
  </si>
  <si>
    <t xml:space="preserve">metal trim corner bead, J-bead, shadow molding, edge trim (53.1)</t>
  </si>
  <si>
    <t xml:space="preserve">ALC-19</t>
  </si>
  <si>
    <t xml:space="preserve">acoustical sealant A12.01 corrida por corrida (54.4)</t>
  </si>
  <si>
    <t xml:space="preserve">ALC-20</t>
  </si>
  <si>
    <t xml:space="preserve">FRP A08.01; cement board bajo cove base (58.7)</t>
  </si>
  <si>
    <t xml:space="preserve">ALC-21</t>
  </si>
  <si>
    <t xml:space="preserve">NO APLICA</t>
  </si>
  <si>
    <t xml:space="preserve">NO APLICA: A12.01 no tiene shaft wall ni area separation wall; el escaneo del set no encontro SHAFTWALL/SHAFTLINER; A02.01 sin shafts</t>
  </si>
  <si>
    <t xml:space="preserve">ALC-22</t>
  </si>
  <si>
    <t xml:space="preserve">NO APLICA: A02.01 key note 6 'FIRE RATED 3/4" PLYWOOD BACKBOARD' (cuantificado como FRT plywood); A05.01 'FIRE RATED STAMP' del plywood; E04.02/M00.01/E00.01 notas genericas de penetraciones; A12.01 FIRE RATING '--' y U.L. '--' en todos los tipos: sin rated assemblies</t>
  </si>
  <si>
    <t xml:space="preserve">ALC-23</t>
  </si>
  <si>
    <t xml:space="preserve">ballistic panel 3/8" UL752 (4/A12.01) en A1K/B2K</t>
  </si>
  <si>
    <t xml:space="preserve">ALC-24</t>
  </si>
  <si>
    <t xml:space="preserve">Level 5 finish A05.01 key notes 9 y 10, A00.40 (RFI-L5)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</si>
</sst>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9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60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16.42</v>
      </c>
      <c r="D6" s="0" t="n">
        <v>15.375</v>
      </c>
      <c r="E6" s="0" t="n">
        <v>2</v>
      </c>
      <c r="F6" s="0" t="s">
        <v>31</v>
      </c>
      <c r="G6" s="0" t="n">
        <v>16</v>
      </c>
      <c r="H6" s="0" t="n">
        <v>349.49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3.533</v>
      </c>
      <c r="D7" s="0" t="n">
        <v>15.375</v>
      </c>
      <c r="E7" s="0" t="n">
        <v>2</v>
      </c>
      <c r="F7" s="0" t="s">
        <v>31</v>
      </c>
      <c r="G7" s="0" t="n">
        <v>16</v>
      </c>
      <c r="H7" s="0" t="n">
        <v>86.12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2.02</v>
      </c>
      <c r="D8" s="0" t="n">
        <v>15.375</v>
      </c>
      <c r="E8" s="0" t="n">
        <v>2</v>
      </c>
      <c r="F8" s="0" t="s">
        <v>31</v>
      </c>
      <c r="G8" s="0" t="n">
        <v>16</v>
      </c>
      <c r="H8" s="0" t="n">
        <v>49.24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5.587</v>
      </c>
      <c r="D9" s="0" t="n">
        <v>15.375</v>
      </c>
      <c r="E9" s="0" t="n">
        <v>2</v>
      </c>
      <c r="F9" s="0" t="s">
        <v>31</v>
      </c>
      <c r="G9" s="0" t="n">
        <v>16</v>
      </c>
      <c r="H9" s="0" t="n">
        <v>62.88</v>
      </c>
      <c r="I9" s="0" t="s">
        <v>43</v>
      </c>
      <c r="J9" s="0" t="s">
        <v>33</v>
      </c>
      <c r="K9" s="0" t="s">
        <v>34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15.233</v>
      </c>
      <c r="D10" s="0" t="n">
        <v>12.971</v>
      </c>
      <c r="E10" s="0" t="n">
        <v>2</v>
      </c>
      <c r="F10" s="0" t="s">
        <v>31</v>
      </c>
      <c r="G10" s="0" t="n">
        <v>16</v>
      </c>
      <c r="H10" s="0" t="n">
        <v>274.2</v>
      </c>
      <c r="I10" s="0" t="s">
        <v>46</v>
      </c>
      <c r="J10" s="0" t="s">
        <v>33</v>
      </c>
      <c r="K10" s="0" t="s">
        <v>34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n">
        <v>1.733</v>
      </c>
      <c r="D11" s="0" t="n">
        <v>12.963</v>
      </c>
      <c r="E11" s="0" t="n">
        <v>2</v>
      </c>
      <c r="F11" s="0" t="s">
        <v>31</v>
      </c>
      <c r="G11" s="0" t="n">
        <v>16</v>
      </c>
      <c r="H11" s="0" t="n">
        <v>32.06</v>
      </c>
      <c r="I11" s="0" t="s">
        <v>49</v>
      </c>
      <c r="J11" s="0" t="s">
        <v>33</v>
      </c>
      <c r="K11" s="0" t="s">
        <v>34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n">
        <v>5.107</v>
      </c>
      <c r="D12" s="0" t="n">
        <v>12.927</v>
      </c>
      <c r="E12" s="0" t="n">
        <v>2</v>
      </c>
      <c r="F12" s="0" t="s">
        <v>31</v>
      </c>
      <c r="G12" s="0" t="n">
        <v>16</v>
      </c>
      <c r="H12" s="0" t="n">
        <v>40.04</v>
      </c>
      <c r="I12" s="0" t="s">
        <v>52</v>
      </c>
      <c r="J12" s="0" t="s">
        <v>33</v>
      </c>
      <c r="K12" s="0" t="s">
        <v>34</v>
      </c>
    </row>
    <row r="13" customFormat="false" ht="15" hidden="false" customHeight="false" outlineLevel="0" collapsed="false">
      <c r="A13" s="0" t="s">
        <v>53</v>
      </c>
      <c r="B13" s="0" t="s">
        <v>54</v>
      </c>
      <c r="C13" s="0" t="n">
        <v>17.06</v>
      </c>
      <c r="D13" s="0" t="n">
        <v>12.891</v>
      </c>
      <c r="E13" s="0" t="n">
        <v>2</v>
      </c>
      <c r="F13" s="0" t="s">
        <v>31</v>
      </c>
      <c r="G13" s="0" t="n">
        <v>16</v>
      </c>
      <c r="H13" s="0" t="n">
        <v>362.13</v>
      </c>
      <c r="I13" s="0" t="s">
        <v>55</v>
      </c>
      <c r="J13" s="0" t="s">
        <v>33</v>
      </c>
      <c r="K13" s="0" t="s">
        <v>34</v>
      </c>
    </row>
    <row r="14" customFormat="false" ht="15" hidden="false" customHeight="false" outlineLevel="0" collapsed="false">
      <c r="A14" s="0" t="s">
        <v>56</v>
      </c>
      <c r="B14" s="0" t="s">
        <v>57</v>
      </c>
      <c r="C14" s="0" t="n">
        <v>11.667</v>
      </c>
      <c r="D14" s="0" t="n">
        <v>12.775</v>
      </c>
      <c r="E14" s="0" t="n">
        <v>2</v>
      </c>
      <c r="F14" s="0" t="s">
        <v>31</v>
      </c>
      <c r="G14" s="0" t="n">
        <v>16</v>
      </c>
      <c r="H14" s="0" t="n">
        <v>168.07</v>
      </c>
      <c r="I14" s="0" t="s">
        <v>58</v>
      </c>
      <c r="J14" s="0" t="s">
        <v>33</v>
      </c>
      <c r="K14" s="0" t="s">
        <v>59</v>
      </c>
    </row>
    <row r="15" customFormat="false" ht="15" hidden="false" customHeight="false" outlineLevel="0" collapsed="false">
      <c r="A15" s="0" t="s">
        <v>60</v>
      </c>
      <c r="B15" s="0" t="s">
        <v>61</v>
      </c>
      <c r="C15" s="0" t="n">
        <v>8.01</v>
      </c>
      <c r="D15" s="0" t="n">
        <v>12.952</v>
      </c>
      <c r="E15" s="0" t="n">
        <v>1.87</v>
      </c>
      <c r="F15" s="0" t="s">
        <v>31</v>
      </c>
      <c r="G15" s="0" t="n">
        <v>16</v>
      </c>
      <c r="H15" s="0" t="n">
        <v>134.46</v>
      </c>
      <c r="I15" s="0" t="s">
        <v>62</v>
      </c>
      <c r="J15" s="0" t="s">
        <v>33</v>
      </c>
      <c r="K15" s="0" t="s">
        <v>34</v>
      </c>
    </row>
    <row r="16" customFormat="false" ht="15" hidden="false" customHeight="false" outlineLevel="0" collapsed="false">
      <c r="A16" s="5" t="s">
        <v>63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n">
        <v>3.417</v>
      </c>
      <c r="D17" s="0" t="n">
        <v>15.375</v>
      </c>
      <c r="E17" s="0" t="n">
        <v>2</v>
      </c>
      <c r="F17" s="0" t="s">
        <v>66</v>
      </c>
      <c r="G17" s="0" t="n">
        <v>24</v>
      </c>
      <c r="H17" s="0" t="n">
        <v>105.08</v>
      </c>
      <c r="I17" s="0" t="s">
        <v>67</v>
      </c>
      <c r="J17" s="0" t="s">
        <v>68</v>
      </c>
      <c r="K17" s="0" t="s">
        <v>59</v>
      </c>
    </row>
    <row r="18" customFormat="false" ht="15" hidden="false" customHeight="false" outlineLevel="0" collapsed="false">
      <c r="A18" s="0" t="s">
        <v>69</v>
      </c>
      <c r="B18" s="0" t="s">
        <v>70</v>
      </c>
      <c r="C18" s="0" t="n">
        <v>4.573</v>
      </c>
      <c r="D18" s="0" t="n">
        <v>12.939</v>
      </c>
      <c r="E18" s="0" t="n">
        <v>2</v>
      </c>
      <c r="F18" s="0" t="s">
        <v>66</v>
      </c>
      <c r="G18" s="0" t="n">
        <v>24</v>
      </c>
      <c r="H18" s="0" t="n">
        <v>118.34</v>
      </c>
      <c r="I18" s="0" t="s">
        <v>71</v>
      </c>
      <c r="J18" s="0" t="s">
        <v>68</v>
      </c>
      <c r="K18" s="0" t="s">
        <v>34</v>
      </c>
    </row>
    <row r="19" customFormat="false" ht="15" hidden="false" customHeight="false" outlineLevel="0" collapsed="false">
      <c r="A19" s="5" t="s">
        <v>72</v>
      </c>
    </row>
    <row r="20" customFormat="false" ht="15" hidden="false" customHeight="false" outlineLevel="0" collapsed="false">
      <c r="A20" s="0" t="s">
        <v>73</v>
      </c>
      <c r="B20" s="0" t="s">
        <v>74</v>
      </c>
      <c r="C20" s="0" t="n">
        <v>19</v>
      </c>
      <c r="D20" s="0" t="n">
        <v>15.375</v>
      </c>
      <c r="E20" s="0" t="n">
        <v>2</v>
      </c>
      <c r="F20" s="0" t="s">
        <v>75</v>
      </c>
      <c r="G20" s="0" t="n">
        <v>16</v>
      </c>
      <c r="H20" s="0" t="n">
        <v>370.39</v>
      </c>
      <c r="I20" s="0" t="s">
        <v>76</v>
      </c>
      <c r="J20" s="0" t="s">
        <v>33</v>
      </c>
      <c r="K20" s="0" t="s">
        <v>59</v>
      </c>
    </row>
    <row r="21" customFormat="false" ht="15" hidden="false" customHeight="false" outlineLevel="0" collapsed="false">
      <c r="A21" s="0" t="s">
        <v>77</v>
      </c>
      <c r="B21" s="0" t="s">
        <v>78</v>
      </c>
      <c r="C21" s="0" t="n">
        <v>10.593</v>
      </c>
      <c r="D21" s="0" t="n">
        <v>15.375</v>
      </c>
      <c r="E21" s="0" t="n">
        <v>2</v>
      </c>
      <c r="F21" s="0" t="s">
        <v>75</v>
      </c>
      <c r="G21" s="0" t="n">
        <v>16</v>
      </c>
      <c r="H21" s="0" t="n">
        <v>222.46</v>
      </c>
      <c r="I21" s="0" t="s">
        <v>79</v>
      </c>
      <c r="J21" s="0" t="s">
        <v>33</v>
      </c>
      <c r="K21" s="0" t="s">
        <v>34</v>
      </c>
    </row>
    <row r="22" customFormat="false" ht="15" hidden="false" customHeight="false" outlineLevel="0" collapsed="false">
      <c r="A22" s="0" t="s">
        <v>80</v>
      </c>
      <c r="B22" s="0" t="s">
        <v>81</v>
      </c>
      <c r="C22" s="0" t="n">
        <v>5</v>
      </c>
      <c r="D22" s="0" t="n">
        <v>15.375</v>
      </c>
      <c r="E22" s="0" t="n">
        <v>2</v>
      </c>
      <c r="F22" s="0" t="s">
        <v>75</v>
      </c>
      <c r="G22" s="0" t="n">
        <v>16</v>
      </c>
      <c r="H22" s="0" t="n">
        <v>42.22</v>
      </c>
      <c r="I22" s="0" t="s">
        <v>82</v>
      </c>
      <c r="J22" s="0" t="s">
        <v>33</v>
      </c>
      <c r="K22" s="0" t="s">
        <v>34</v>
      </c>
    </row>
    <row r="23" customFormat="false" ht="15" hidden="false" customHeight="false" outlineLevel="0" collapsed="false">
      <c r="A23" s="0" t="s">
        <v>83</v>
      </c>
      <c r="B23" s="0" t="s">
        <v>84</v>
      </c>
      <c r="C23" s="0" t="n">
        <v>3.713</v>
      </c>
      <c r="D23" s="0" t="n">
        <v>12.927</v>
      </c>
      <c r="E23" s="0" t="n">
        <v>2</v>
      </c>
      <c r="F23" s="0" t="s">
        <v>75</v>
      </c>
      <c r="G23" s="0" t="n">
        <v>16</v>
      </c>
      <c r="H23" s="0" t="n">
        <v>68.69</v>
      </c>
      <c r="I23" s="0" t="s">
        <v>85</v>
      </c>
      <c r="J23" s="0" t="s">
        <v>33</v>
      </c>
      <c r="K23" s="0" t="s">
        <v>34</v>
      </c>
    </row>
    <row r="24" customFormat="false" ht="15" hidden="false" customHeight="false" outlineLevel="0" collapsed="false">
      <c r="A24" s="5" t="s">
        <v>86</v>
      </c>
    </row>
    <row r="25" customFormat="false" ht="15" hidden="false" customHeight="false" outlineLevel="0" collapsed="false">
      <c r="A25" s="0" t="s">
        <v>87</v>
      </c>
      <c r="B25" s="0" t="s">
        <v>88</v>
      </c>
      <c r="C25" s="0" t="n">
        <v>11.733</v>
      </c>
      <c r="D25" s="0" t="n">
        <v>12.751</v>
      </c>
      <c r="E25" s="0" t="n">
        <v>2</v>
      </c>
      <c r="F25" s="0" t="s">
        <v>31</v>
      </c>
      <c r="G25" s="0" t="n">
        <v>16</v>
      </c>
      <c r="H25" s="0" t="n">
        <v>251.44</v>
      </c>
      <c r="I25" s="0" t="s">
        <v>89</v>
      </c>
      <c r="J25" s="0" t="s">
        <v>90</v>
      </c>
      <c r="K25" s="0" t="s">
        <v>34</v>
      </c>
    </row>
    <row r="26" customFormat="false" ht="15" hidden="false" customHeight="false" outlineLevel="0" collapsed="false">
      <c r="A26" s="0" t="s">
        <v>91</v>
      </c>
      <c r="B26" s="0" t="s">
        <v>92</v>
      </c>
      <c r="C26" s="0" t="n">
        <v>3.5</v>
      </c>
      <c r="D26" s="0" t="n">
        <v>12.743</v>
      </c>
      <c r="E26" s="0" t="n">
        <v>2</v>
      </c>
      <c r="F26" s="0" t="s">
        <v>31</v>
      </c>
      <c r="G26" s="0" t="n">
        <v>16</v>
      </c>
      <c r="H26" s="0" t="n">
        <v>89.2</v>
      </c>
      <c r="I26" s="0" t="s">
        <v>93</v>
      </c>
      <c r="J26" s="0" t="s">
        <v>90</v>
      </c>
      <c r="K26" s="0" t="s">
        <v>34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0" t="n">
        <v>11.733</v>
      </c>
      <c r="D27" s="0" t="n">
        <v>12.67</v>
      </c>
      <c r="E27" s="0" t="n">
        <v>2</v>
      </c>
      <c r="F27" s="0" t="s">
        <v>31</v>
      </c>
      <c r="G27" s="0" t="n">
        <v>16</v>
      </c>
      <c r="H27" s="0" t="n">
        <v>297.32</v>
      </c>
      <c r="I27" s="0" t="s">
        <v>96</v>
      </c>
      <c r="J27" s="0" t="s">
        <v>90</v>
      </c>
      <c r="K27" s="0" t="s">
        <v>34</v>
      </c>
    </row>
    <row r="28" customFormat="false" ht="15" hidden="false" customHeight="false" outlineLevel="0" collapsed="false">
      <c r="A28" s="0" t="s">
        <v>97</v>
      </c>
      <c r="B28" s="0" t="s">
        <v>98</v>
      </c>
      <c r="C28" s="0" t="n">
        <v>9.583</v>
      </c>
      <c r="D28" s="0" t="n">
        <v>12.831</v>
      </c>
      <c r="E28" s="0" t="n">
        <v>2</v>
      </c>
      <c r="F28" s="0" t="s">
        <v>31</v>
      </c>
      <c r="G28" s="0" t="n">
        <v>16</v>
      </c>
      <c r="H28" s="0" t="n">
        <v>245.92</v>
      </c>
      <c r="I28" s="0" t="s">
        <v>99</v>
      </c>
      <c r="J28" s="0" t="s">
        <v>90</v>
      </c>
      <c r="K28" s="0" t="s">
        <v>59</v>
      </c>
    </row>
    <row r="29" customFormat="false" ht="15" hidden="false" customHeight="false" outlineLevel="0" collapsed="false">
      <c r="A29" s="0" t="s">
        <v>100</v>
      </c>
      <c r="B29" s="0" t="s">
        <v>101</v>
      </c>
      <c r="C29" s="0" t="n">
        <v>9.583</v>
      </c>
      <c r="D29" s="0" t="n">
        <v>12.702</v>
      </c>
      <c r="E29" s="0" t="n">
        <v>2</v>
      </c>
      <c r="F29" s="0" t="s">
        <v>31</v>
      </c>
      <c r="G29" s="0" t="n">
        <v>16</v>
      </c>
      <c r="H29" s="0" t="n">
        <v>243.44</v>
      </c>
      <c r="I29" s="0" t="s">
        <v>102</v>
      </c>
      <c r="J29" s="0" t="s">
        <v>90</v>
      </c>
      <c r="K29" s="0" t="s">
        <v>59</v>
      </c>
    </row>
    <row r="30" customFormat="false" ht="15" hidden="false" customHeight="false" outlineLevel="0" collapsed="false">
      <c r="A30" s="0" t="s">
        <v>103</v>
      </c>
      <c r="B30" s="0" t="s">
        <v>104</v>
      </c>
      <c r="C30" s="0" t="n">
        <v>14.147</v>
      </c>
      <c r="D30" s="0" t="n">
        <v>12.831</v>
      </c>
      <c r="E30" s="0" t="n">
        <v>2</v>
      </c>
      <c r="F30" s="0" t="s">
        <v>31</v>
      </c>
      <c r="G30" s="0" t="n">
        <v>16</v>
      </c>
      <c r="H30" s="0" t="n">
        <v>267.48</v>
      </c>
      <c r="I30" s="0" t="s">
        <v>105</v>
      </c>
      <c r="J30" s="0" t="s">
        <v>90</v>
      </c>
      <c r="K30" s="0" t="s">
        <v>34</v>
      </c>
    </row>
    <row r="31" customFormat="false" ht="15" hidden="false" customHeight="false" outlineLevel="0" collapsed="false">
      <c r="A31" s="5" t="s">
        <v>106</v>
      </c>
    </row>
    <row r="32" customFormat="false" ht="15" hidden="false" customHeight="false" outlineLevel="0" collapsed="false">
      <c r="A32" s="0" t="s">
        <v>107</v>
      </c>
      <c r="B32" s="0" t="s">
        <v>108</v>
      </c>
      <c r="C32" s="0" t="n">
        <v>5.333</v>
      </c>
      <c r="D32" s="0" t="n">
        <v>15.375</v>
      </c>
      <c r="E32" s="0" t="n">
        <v>2</v>
      </c>
      <c r="F32" s="0" t="s">
        <v>75</v>
      </c>
      <c r="G32" s="0" t="n">
        <v>16</v>
      </c>
      <c r="H32" s="0" t="n">
        <v>101.38</v>
      </c>
      <c r="I32" s="0" t="s">
        <v>109</v>
      </c>
      <c r="J32" s="0" t="s">
        <v>90</v>
      </c>
      <c r="K32" s="0" t="s">
        <v>34</v>
      </c>
    </row>
    <row r="33" customFormat="false" ht="15" hidden="false" customHeight="false" outlineLevel="0" collapsed="false">
      <c r="A33" s="0" t="s">
        <v>110</v>
      </c>
      <c r="B33" s="0" t="s">
        <v>111</v>
      </c>
      <c r="C33" s="0" t="n">
        <v>25.393</v>
      </c>
      <c r="D33" s="0" t="n">
        <v>15.375</v>
      </c>
      <c r="E33" s="0" t="n">
        <v>2</v>
      </c>
      <c r="F33" s="0" t="s">
        <v>75</v>
      </c>
      <c r="G33" s="0" t="n">
        <v>16</v>
      </c>
      <c r="H33" s="0" t="n">
        <v>417.22</v>
      </c>
      <c r="I33" s="0" t="s">
        <v>112</v>
      </c>
      <c r="J33" s="0" t="s">
        <v>90</v>
      </c>
      <c r="K33" s="0" t="s">
        <v>34</v>
      </c>
    </row>
    <row r="34" customFormat="false" ht="15" hidden="false" customHeight="false" outlineLevel="0" collapsed="false">
      <c r="A34" s="0" t="s">
        <v>113</v>
      </c>
      <c r="B34" s="0" t="s">
        <v>114</v>
      </c>
      <c r="C34" s="0" t="n">
        <v>11.74</v>
      </c>
      <c r="D34" s="0" t="n">
        <v>12.781</v>
      </c>
      <c r="E34" s="0" t="n">
        <v>2</v>
      </c>
      <c r="F34" s="0" t="s">
        <v>75</v>
      </c>
      <c r="G34" s="0" t="n">
        <v>16</v>
      </c>
      <c r="H34" s="0" t="n">
        <v>300.1</v>
      </c>
      <c r="I34" s="0" t="s">
        <v>115</v>
      </c>
      <c r="J34" s="0" t="s">
        <v>90</v>
      </c>
      <c r="K34" s="0" t="s">
        <v>34</v>
      </c>
    </row>
    <row r="35" customFormat="false" ht="15" hidden="false" customHeight="false" outlineLevel="0" collapsed="false">
      <c r="A35" s="5" t="s">
        <v>116</v>
      </c>
    </row>
    <row r="36" customFormat="false" ht="15" hidden="false" customHeight="false" outlineLevel="0" collapsed="false">
      <c r="A36" s="0" t="s">
        <v>117</v>
      </c>
      <c r="B36" s="0" t="s">
        <v>118</v>
      </c>
      <c r="C36" s="0" t="n">
        <v>1.773</v>
      </c>
      <c r="D36" s="0" t="n">
        <v>15.375</v>
      </c>
      <c r="E36" s="0" t="n">
        <v>2</v>
      </c>
      <c r="F36" s="0" t="s">
        <v>119</v>
      </c>
      <c r="G36" s="0" t="n">
        <v>24</v>
      </c>
      <c r="H36" s="0" t="n">
        <v>54.52</v>
      </c>
      <c r="I36" s="0" t="s">
        <v>120</v>
      </c>
      <c r="J36" s="0" t="s">
        <v>68</v>
      </c>
      <c r="K36" s="0" t="s">
        <v>34</v>
      </c>
    </row>
    <row r="37" customFormat="false" ht="15" hidden="false" customHeight="false" outlineLevel="0" collapsed="false">
      <c r="A37" s="5" t="s">
        <v>121</v>
      </c>
    </row>
    <row r="38" customFormat="false" ht="15" hidden="false" customHeight="false" outlineLevel="0" collapsed="false">
      <c r="A38" s="0" t="s">
        <v>122</v>
      </c>
      <c r="B38" s="0" t="s">
        <v>123</v>
      </c>
      <c r="C38" s="0" t="n">
        <v>10.027</v>
      </c>
      <c r="D38" s="0" t="n">
        <v>12.918</v>
      </c>
      <c r="E38" s="0" t="n">
        <v>1</v>
      </c>
      <c r="F38" s="0" t="s">
        <v>31</v>
      </c>
      <c r="G38" s="0" t="n">
        <v>16</v>
      </c>
      <c r="H38" s="0" t="n">
        <v>90.24</v>
      </c>
      <c r="I38" s="0" t="s">
        <v>124</v>
      </c>
      <c r="J38" s="0" t="s">
        <v>125</v>
      </c>
      <c r="K38" s="0" t="s">
        <v>34</v>
      </c>
    </row>
    <row r="39" customFormat="false" ht="15" hidden="false" customHeight="false" outlineLevel="0" collapsed="false">
      <c r="A39" s="0" t="s">
        <v>126</v>
      </c>
      <c r="B39" s="0" t="s">
        <v>127</v>
      </c>
      <c r="C39" s="0" t="n">
        <v>10.027</v>
      </c>
      <c r="D39" s="0" t="n">
        <v>12.896</v>
      </c>
      <c r="E39" s="0" t="n">
        <v>1</v>
      </c>
      <c r="F39" s="0" t="s">
        <v>31</v>
      </c>
      <c r="G39" s="0" t="n">
        <v>16</v>
      </c>
      <c r="H39" s="0" t="n">
        <v>90.24</v>
      </c>
      <c r="I39" s="0" t="s">
        <v>128</v>
      </c>
      <c r="J39" s="0" t="s">
        <v>125</v>
      </c>
      <c r="K39" s="0" t="s">
        <v>34</v>
      </c>
    </row>
    <row r="40" customFormat="false" ht="15" hidden="false" customHeight="false" outlineLevel="0" collapsed="false">
      <c r="A40" s="0" t="s">
        <v>129</v>
      </c>
      <c r="B40" s="0" t="s">
        <v>130</v>
      </c>
      <c r="C40" s="0" t="n">
        <v>11.333</v>
      </c>
      <c r="D40" s="0" t="n">
        <v>15.375</v>
      </c>
      <c r="E40" s="0" t="n">
        <v>1</v>
      </c>
      <c r="F40" s="0" t="s">
        <v>31</v>
      </c>
      <c r="G40" s="0" t="n">
        <v>16</v>
      </c>
      <c r="H40" s="0" t="n">
        <v>130.33</v>
      </c>
      <c r="I40" s="0" t="s">
        <v>131</v>
      </c>
      <c r="J40" s="0" t="s">
        <v>125</v>
      </c>
      <c r="K40" s="0" t="s">
        <v>34</v>
      </c>
    </row>
    <row r="41" customFormat="false" ht="15" hidden="false" customHeight="false" outlineLevel="0" collapsed="false">
      <c r="A41" s="0" t="s">
        <v>132</v>
      </c>
      <c r="B41" s="0" t="s">
        <v>133</v>
      </c>
      <c r="C41" s="0" t="n">
        <v>2.153</v>
      </c>
      <c r="D41" s="0" t="n">
        <v>12.925</v>
      </c>
      <c r="E41" s="0" t="n">
        <v>1</v>
      </c>
      <c r="F41" s="0" t="s">
        <v>31</v>
      </c>
      <c r="G41" s="0" t="n">
        <v>16</v>
      </c>
      <c r="H41" s="0" t="n">
        <v>20.45</v>
      </c>
      <c r="I41" s="0" t="s">
        <v>134</v>
      </c>
      <c r="J41" s="0" t="s">
        <v>125</v>
      </c>
      <c r="K41" s="0" t="s">
        <v>34</v>
      </c>
    </row>
    <row r="42" customFormat="false" ht="15" hidden="false" customHeight="false" outlineLevel="0" collapsed="false">
      <c r="A42" s="0" t="s">
        <v>135</v>
      </c>
      <c r="B42" s="0" t="s">
        <v>136</v>
      </c>
      <c r="C42" s="0" t="n">
        <v>3.893</v>
      </c>
      <c r="D42" s="0" t="n">
        <v>15.375</v>
      </c>
      <c r="E42" s="0" t="n">
        <v>1</v>
      </c>
      <c r="F42" s="0" t="s">
        <v>137</v>
      </c>
      <c r="G42" s="0" t="n">
        <v>16</v>
      </c>
      <c r="H42" s="0" t="n">
        <v>40.88</v>
      </c>
      <c r="I42" s="0" t="s">
        <v>138</v>
      </c>
      <c r="J42" s="0" t="s">
        <v>139</v>
      </c>
      <c r="K42" s="0" t="s">
        <v>34</v>
      </c>
    </row>
    <row r="43" customFormat="false" ht="15" hidden="false" customHeight="false" outlineLevel="0" collapsed="false">
      <c r="A43" s="0" t="s">
        <v>140</v>
      </c>
      <c r="B43" s="0" t="s">
        <v>141</v>
      </c>
      <c r="C43" s="0" t="n">
        <v>4</v>
      </c>
      <c r="D43" s="0" t="n">
        <v>15.375</v>
      </c>
      <c r="E43" s="0" t="n">
        <v>1</v>
      </c>
      <c r="F43" s="0" t="s">
        <v>137</v>
      </c>
      <c r="G43" s="0" t="n">
        <v>16</v>
      </c>
      <c r="H43" s="0" t="n">
        <v>42</v>
      </c>
      <c r="I43" s="0" t="s">
        <v>142</v>
      </c>
      <c r="J43" s="0" t="s">
        <v>143</v>
      </c>
      <c r="K43" s="0" t="s">
        <v>34</v>
      </c>
    </row>
    <row r="44" customFormat="false" ht="15" hidden="false" customHeight="false" outlineLevel="0" collapsed="false">
      <c r="A44" s="0" t="s">
        <v>144</v>
      </c>
      <c r="B44" s="0" t="s">
        <v>145</v>
      </c>
      <c r="C44" s="0" t="n">
        <v>4</v>
      </c>
      <c r="D44" s="0" t="n">
        <v>15.375</v>
      </c>
      <c r="E44" s="0" t="n">
        <v>1</v>
      </c>
      <c r="F44" s="0" t="s">
        <v>31</v>
      </c>
      <c r="G44" s="0" t="n">
        <v>16</v>
      </c>
      <c r="H44" s="0" t="n">
        <v>42</v>
      </c>
      <c r="I44" s="0" t="s">
        <v>146</v>
      </c>
      <c r="J44" s="0" t="s">
        <v>125</v>
      </c>
      <c r="K44" s="0" t="s">
        <v>34</v>
      </c>
    </row>
    <row r="45" customFormat="false" ht="15" hidden="false" customHeight="false" outlineLevel="0" collapsed="false">
      <c r="A45" s="0" t="s">
        <v>147</v>
      </c>
      <c r="B45" s="0" t="s">
        <v>148</v>
      </c>
      <c r="C45" s="0" t="n">
        <v>4.293</v>
      </c>
      <c r="D45" s="0" t="n">
        <v>15.375</v>
      </c>
      <c r="E45" s="0" t="n">
        <v>1</v>
      </c>
      <c r="F45" s="0" t="s">
        <v>137</v>
      </c>
      <c r="G45" s="0" t="n">
        <v>16</v>
      </c>
      <c r="H45" s="0" t="n">
        <v>45.08</v>
      </c>
      <c r="I45" s="0" t="s">
        <v>149</v>
      </c>
      <c r="J45" s="0" t="s">
        <v>150</v>
      </c>
      <c r="K45" s="0" t="s">
        <v>34</v>
      </c>
    </row>
    <row r="46" customFormat="false" ht="15" hidden="false" customHeight="false" outlineLevel="0" collapsed="false">
      <c r="A46" s="5" t="s">
        <v>151</v>
      </c>
    </row>
    <row r="47" customFormat="false" ht="15" hidden="false" customHeight="false" outlineLevel="0" collapsed="false">
      <c r="A47" s="0" t="s">
        <v>152</v>
      </c>
      <c r="B47" s="0" t="s">
        <v>153</v>
      </c>
      <c r="C47" s="0" t="n">
        <v>18.066</v>
      </c>
      <c r="D47" s="0" t="n">
        <v>15.375</v>
      </c>
      <c r="E47" s="0" t="n">
        <v>2</v>
      </c>
      <c r="F47" s="0" t="s">
        <v>31</v>
      </c>
      <c r="G47" s="0" t="n">
        <v>16</v>
      </c>
      <c r="H47" s="0" t="n">
        <v>331.16</v>
      </c>
      <c r="I47" s="0" t="s">
        <v>154</v>
      </c>
      <c r="J47" s="0" t="s">
        <v>155</v>
      </c>
      <c r="K47" s="0" t="s">
        <v>34</v>
      </c>
    </row>
    <row r="48" customFormat="false" ht="15" hidden="false" customHeight="false" outlineLevel="0" collapsed="false">
      <c r="A48" s="5" t="s">
        <v>156</v>
      </c>
    </row>
    <row r="49" customFormat="false" ht="15" hidden="false" customHeight="false" outlineLevel="0" collapsed="false">
      <c r="A49" s="0" t="s">
        <v>157</v>
      </c>
      <c r="B49" s="0" t="s">
        <v>158</v>
      </c>
      <c r="C49" s="0" t="n">
        <v>11.625</v>
      </c>
      <c r="D49" s="0" t="n">
        <v>15.375</v>
      </c>
      <c r="E49" s="0" t="n">
        <v>4</v>
      </c>
      <c r="F49" s="0" t="s">
        <v>159</v>
      </c>
      <c r="G49" s="0" t="n">
        <v>16</v>
      </c>
      <c r="H49" s="0" t="n">
        <v>714.94</v>
      </c>
      <c r="I49" s="0" t="s">
        <v>160</v>
      </c>
      <c r="J49" s="0" t="s">
        <v>161</v>
      </c>
      <c r="K49" s="0" t="s">
        <v>59</v>
      </c>
    </row>
    <row r="50" customFormat="false" ht="15" hidden="false" customHeight="false" outlineLevel="0" collapsed="false">
      <c r="A50" s="0" t="s">
        <v>162</v>
      </c>
      <c r="B50" s="0" t="s">
        <v>163</v>
      </c>
      <c r="C50" s="0" t="n">
        <v>11.625</v>
      </c>
      <c r="D50" s="0" t="n">
        <v>15.375</v>
      </c>
      <c r="E50" s="0" t="n">
        <v>4</v>
      </c>
      <c r="F50" s="0" t="s">
        <v>159</v>
      </c>
      <c r="G50" s="0" t="n">
        <v>16</v>
      </c>
      <c r="H50" s="0" t="n">
        <v>714.94</v>
      </c>
      <c r="I50" s="0" t="s">
        <v>164</v>
      </c>
      <c r="J50" s="0" t="s">
        <v>161</v>
      </c>
      <c r="K50" s="0" t="s">
        <v>59</v>
      </c>
    </row>
    <row r="51" customFormat="false" ht="15" hidden="false" customHeight="false" outlineLevel="0" collapsed="false">
      <c r="A51" s="0" t="s">
        <v>165</v>
      </c>
      <c r="B51" s="0" t="s">
        <v>166</v>
      </c>
      <c r="C51" s="0" t="n">
        <v>11.625</v>
      </c>
      <c r="D51" s="0" t="n">
        <v>15.375</v>
      </c>
      <c r="E51" s="0" t="n">
        <v>4</v>
      </c>
      <c r="F51" s="0" t="s">
        <v>159</v>
      </c>
      <c r="G51" s="0" t="n">
        <v>16</v>
      </c>
      <c r="H51" s="0" t="n">
        <v>714.94</v>
      </c>
      <c r="I51" s="0" t="s">
        <v>167</v>
      </c>
      <c r="J51" s="0" t="s">
        <v>161</v>
      </c>
      <c r="K51" s="0" t="s">
        <v>59</v>
      </c>
    </row>
    <row r="52" customFormat="false" ht="15" hidden="false" customHeight="false" outlineLevel="0" collapsed="false">
      <c r="A52" s="0" t="s">
        <v>168</v>
      </c>
      <c r="B52" s="0" t="s">
        <v>169</v>
      </c>
      <c r="C52" s="0" t="n">
        <v>11.771</v>
      </c>
      <c r="D52" s="0" t="n">
        <v>15.375</v>
      </c>
      <c r="E52" s="0" t="n">
        <v>4</v>
      </c>
      <c r="F52" s="0" t="s">
        <v>159</v>
      </c>
      <c r="G52" s="0" t="n">
        <v>16</v>
      </c>
      <c r="H52" s="0" t="n">
        <v>723.92</v>
      </c>
      <c r="I52" s="0" t="s">
        <v>170</v>
      </c>
      <c r="J52" s="0" t="s">
        <v>161</v>
      </c>
      <c r="K52" s="0" t="s">
        <v>59</v>
      </c>
    </row>
    <row r="53" customFormat="false" ht="15" hidden="false" customHeight="false" outlineLevel="0" collapsed="false">
      <c r="A53" s="0" t="s">
        <v>171</v>
      </c>
      <c r="B53" s="0" t="s">
        <v>172</v>
      </c>
      <c r="C53" s="0" t="n">
        <v>11.771</v>
      </c>
      <c r="D53" s="0" t="n">
        <v>15.375</v>
      </c>
      <c r="E53" s="0" t="n">
        <v>4</v>
      </c>
      <c r="F53" s="0" t="s">
        <v>159</v>
      </c>
      <c r="G53" s="0" t="n">
        <v>16</v>
      </c>
      <c r="H53" s="0" t="n">
        <v>723.92</v>
      </c>
      <c r="I53" s="0" t="s">
        <v>173</v>
      </c>
      <c r="J53" s="0" t="s">
        <v>161</v>
      </c>
      <c r="K53" s="0" t="s">
        <v>59</v>
      </c>
    </row>
    <row r="54" customFormat="false" ht="15" hidden="false" customHeight="false" outlineLevel="0" collapsed="false">
      <c r="A54" s="0" t="s">
        <v>174</v>
      </c>
      <c r="B54" s="0" t="s">
        <v>175</v>
      </c>
      <c r="C54" s="0" t="n">
        <v>11.771</v>
      </c>
      <c r="D54" s="0" t="n">
        <v>15.375</v>
      </c>
      <c r="E54" s="0" t="n">
        <v>4</v>
      </c>
      <c r="F54" s="0" t="s">
        <v>159</v>
      </c>
      <c r="G54" s="0" t="n">
        <v>16</v>
      </c>
      <c r="H54" s="0" t="n">
        <v>723.92</v>
      </c>
      <c r="I54" s="0" t="s">
        <v>176</v>
      </c>
      <c r="J54" s="0" t="s">
        <v>161</v>
      </c>
      <c r="K54" s="0" t="s">
        <v>59</v>
      </c>
    </row>
    <row r="55" customFormat="false" ht="15" hidden="false" customHeight="false" outlineLevel="0" collapsed="false">
      <c r="A55" s="0" t="s">
        <v>177</v>
      </c>
      <c r="B55" s="0" t="s">
        <v>178</v>
      </c>
      <c r="C55" s="0" t="n">
        <v>2.42</v>
      </c>
      <c r="D55" s="0" t="n">
        <v>15.375</v>
      </c>
      <c r="E55" s="0" t="n">
        <v>4</v>
      </c>
      <c r="F55" s="0" t="s">
        <v>159</v>
      </c>
      <c r="G55" s="0" t="n">
        <v>16</v>
      </c>
      <c r="H55" s="0" t="n">
        <v>148.82</v>
      </c>
      <c r="I55" s="0" t="s">
        <v>179</v>
      </c>
      <c r="J55" s="0" t="s">
        <v>161</v>
      </c>
      <c r="K55" s="0" t="s">
        <v>34</v>
      </c>
    </row>
    <row r="56" customFormat="false" ht="15" hidden="false" customHeight="false" outlineLevel="0" collapsed="false">
      <c r="A56" s="0" t="s">
        <v>180</v>
      </c>
      <c r="B56" s="0" t="s">
        <v>181</v>
      </c>
      <c r="C56" s="0" t="n">
        <v>3.467</v>
      </c>
      <c r="D56" s="0" t="n">
        <v>15.375</v>
      </c>
      <c r="E56" s="0" t="n">
        <v>4</v>
      </c>
      <c r="F56" s="0" t="s">
        <v>159</v>
      </c>
      <c r="G56" s="0" t="n">
        <v>16</v>
      </c>
      <c r="H56" s="0" t="n">
        <v>213.22</v>
      </c>
      <c r="I56" s="0" t="s">
        <v>182</v>
      </c>
      <c r="J56" s="0" t="s">
        <v>161</v>
      </c>
      <c r="K56" s="0" t="s">
        <v>34</v>
      </c>
    </row>
    <row r="57" customFormat="false" ht="15" hidden="false" customHeight="false" outlineLevel="0" collapsed="false">
      <c r="A57" s="0" t="s">
        <v>183</v>
      </c>
      <c r="B57" s="0" t="s">
        <v>184</v>
      </c>
      <c r="C57" s="0" t="n">
        <v>3.253</v>
      </c>
      <c r="D57" s="0" t="n">
        <v>15.375</v>
      </c>
      <c r="E57" s="0" t="n">
        <v>4</v>
      </c>
      <c r="F57" s="0" t="s">
        <v>159</v>
      </c>
      <c r="G57" s="0" t="n">
        <v>16</v>
      </c>
      <c r="H57" s="0" t="n">
        <v>200.06</v>
      </c>
      <c r="I57" s="0" t="s">
        <v>185</v>
      </c>
      <c r="J57" s="0" t="s">
        <v>161</v>
      </c>
      <c r="K57" s="0" t="s">
        <v>34</v>
      </c>
    </row>
    <row r="58" customFormat="false" ht="15" hidden="false" customHeight="false" outlineLevel="0" collapsed="false">
      <c r="A58" s="0" t="s">
        <v>186</v>
      </c>
      <c r="B58" s="0" t="s">
        <v>187</v>
      </c>
      <c r="C58" s="0" t="n">
        <v>3.251</v>
      </c>
      <c r="D58" s="0" t="n">
        <v>15.375</v>
      </c>
      <c r="E58" s="0" t="n">
        <v>4</v>
      </c>
      <c r="F58" s="0" t="s">
        <v>159</v>
      </c>
      <c r="G58" s="0" t="n">
        <v>16</v>
      </c>
      <c r="H58" s="0" t="n">
        <v>199.94</v>
      </c>
      <c r="I58" s="0" t="s">
        <v>188</v>
      </c>
      <c r="J58" s="0" t="s">
        <v>161</v>
      </c>
      <c r="K58" s="0" t="s">
        <v>34</v>
      </c>
    </row>
    <row r="59" customFormat="false" ht="15" hidden="false" customHeight="false" outlineLevel="0" collapsed="false">
      <c r="A59" s="5" t="s">
        <v>189</v>
      </c>
    </row>
    <row r="60" customFormat="false" ht="15" hidden="false" customHeight="false" outlineLevel="0" collapsed="false">
      <c r="A60" s="0" t="s">
        <v>190</v>
      </c>
      <c r="B60" s="0" t="s">
        <v>191</v>
      </c>
      <c r="C60" s="0" t="n">
        <v>11.771</v>
      </c>
      <c r="D60" s="0" t="n">
        <v>15.375</v>
      </c>
      <c r="E60" s="0" t="n">
        <v>4</v>
      </c>
      <c r="F60" s="0" t="s">
        <v>159</v>
      </c>
      <c r="G60" s="0" t="n">
        <v>16</v>
      </c>
      <c r="H60" s="0" t="n">
        <v>723.92</v>
      </c>
      <c r="I60" s="0" t="s">
        <v>192</v>
      </c>
      <c r="J60" s="0" t="s">
        <v>161</v>
      </c>
      <c r="K60" s="0" t="s">
        <v>59</v>
      </c>
    </row>
    <row r="61" customFormat="false" ht="15" hidden="false" customHeight="false" outlineLevel="0" collapsed="false">
      <c r="A61" s="0" t="s">
        <v>193</v>
      </c>
      <c r="B61" s="0" t="s">
        <v>194</v>
      </c>
      <c r="C61" s="0" t="n">
        <v>3.507</v>
      </c>
      <c r="D61" s="0" t="n">
        <v>15.375</v>
      </c>
      <c r="E61" s="0" t="n">
        <v>4</v>
      </c>
      <c r="F61" s="0" t="s">
        <v>159</v>
      </c>
      <c r="G61" s="0" t="n">
        <v>16</v>
      </c>
      <c r="H61" s="0" t="n">
        <v>215.68</v>
      </c>
      <c r="I61" s="0" t="s">
        <v>195</v>
      </c>
      <c r="J61" s="0" t="s">
        <v>161</v>
      </c>
      <c r="K61" s="0" t="s">
        <v>34</v>
      </c>
    </row>
    <row r="62" customFormat="false" ht="15" hidden="false" customHeight="false" outlineLevel="0" collapsed="false">
      <c r="A62" s="0" t="s">
        <v>196</v>
      </c>
      <c r="B62" s="0" t="s">
        <v>197</v>
      </c>
      <c r="C62" s="0" t="n">
        <v>1.173</v>
      </c>
      <c r="D62" s="0" t="n">
        <v>15.375</v>
      </c>
      <c r="E62" s="0" t="n">
        <v>4</v>
      </c>
      <c r="F62" s="0" t="s">
        <v>159</v>
      </c>
      <c r="G62" s="0" t="n">
        <v>16</v>
      </c>
      <c r="H62" s="0" t="n">
        <v>72.14</v>
      </c>
      <c r="I62" s="0" t="s">
        <v>198</v>
      </c>
      <c r="J62" s="0" t="s">
        <v>161</v>
      </c>
      <c r="K62" s="0" t="s">
        <v>34</v>
      </c>
    </row>
    <row r="63" customFormat="false" ht="15" hidden="false" customHeight="false" outlineLevel="0" collapsed="false">
      <c r="A63" s="0" t="s">
        <v>199</v>
      </c>
      <c r="B63" s="0" t="s">
        <v>200</v>
      </c>
      <c r="C63" s="0" t="n">
        <v>3.18</v>
      </c>
      <c r="D63" s="0" t="n">
        <v>15.375</v>
      </c>
      <c r="E63" s="0" t="n">
        <v>4</v>
      </c>
      <c r="F63" s="0" t="s">
        <v>159</v>
      </c>
      <c r="G63" s="0" t="n">
        <v>16</v>
      </c>
      <c r="H63" s="0" t="n">
        <v>195.58</v>
      </c>
      <c r="I63" s="0" t="s">
        <v>201</v>
      </c>
      <c r="J63" s="0" t="s">
        <v>161</v>
      </c>
      <c r="K63" s="0" t="s">
        <v>34</v>
      </c>
    </row>
    <row r="64" customFormat="false" ht="15" hidden="false" customHeight="false" outlineLevel="0" collapsed="false">
      <c r="A64" s="5" t="s">
        <v>202</v>
      </c>
    </row>
    <row r="65" customFormat="false" ht="15" hidden="false" customHeight="false" outlineLevel="0" collapsed="false">
      <c r="A65" s="0" t="s">
        <v>203</v>
      </c>
      <c r="B65" s="0" t="s">
        <v>204</v>
      </c>
      <c r="C65" s="0" t="n">
        <v>7.5</v>
      </c>
      <c r="D65" s="0" t="n">
        <v>7.333</v>
      </c>
      <c r="E65" s="0" t="n">
        <v>4</v>
      </c>
      <c r="F65" s="0" t="s">
        <v>159</v>
      </c>
      <c r="G65" s="0" t="n">
        <v>16</v>
      </c>
      <c r="H65" s="0" t="n">
        <v>220</v>
      </c>
      <c r="I65" s="0" t="s">
        <v>205</v>
      </c>
      <c r="J65" s="0" t="s">
        <v>206</v>
      </c>
      <c r="K65" s="0" t="s">
        <v>59</v>
      </c>
    </row>
    <row r="66" customFormat="false" ht="15" hidden="false" customHeight="false" outlineLevel="0" collapsed="false">
      <c r="A66" s="0" t="s">
        <v>207</v>
      </c>
      <c r="B66" s="0" t="s">
        <v>208</v>
      </c>
      <c r="C66" s="0" t="n">
        <v>7.5</v>
      </c>
      <c r="D66" s="0" t="n">
        <v>7.333</v>
      </c>
      <c r="E66" s="0" t="n">
        <v>4</v>
      </c>
      <c r="F66" s="0" t="s">
        <v>159</v>
      </c>
      <c r="G66" s="0" t="n">
        <v>16</v>
      </c>
      <c r="H66" s="0" t="n">
        <v>220</v>
      </c>
      <c r="I66" s="0" t="s">
        <v>209</v>
      </c>
      <c r="J66" s="0" t="s">
        <v>206</v>
      </c>
      <c r="K66" s="0" t="s">
        <v>59</v>
      </c>
    </row>
    <row r="67" customFormat="false" ht="15" hidden="false" customHeight="false" outlineLevel="0" collapsed="false">
      <c r="A67" s="0" t="s">
        <v>210</v>
      </c>
      <c r="B67" s="0" t="s">
        <v>211</v>
      </c>
      <c r="C67" s="0" t="n">
        <v>7.5</v>
      </c>
      <c r="D67" s="0" t="n">
        <v>7.333</v>
      </c>
      <c r="E67" s="0" t="n">
        <v>4</v>
      </c>
      <c r="F67" s="0" t="s">
        <v>159</v>
      </c>
      <c r="G67" s="0" t="n">
        <v>16</v>
      </c>
      <c r="H67" s="0" t="n">
        <v>220</v>
      </c>
      <c r="I67" s="0" t="s">
        <v>212</v>
      </c>
      <c r="J67" s="0" t="s">
        <v>206</v>
      </c>
      <c r="K67" s="0" t="s">
        <v>59</v>
      </c>
    </row>
    <row r="68" customFormat="false" ht="15" hidden="false" customHeight="false" outlineLevel="0" collapsed="false">
      <c r="A68" s="0" t="s">
        <v>213</v>
      </c>
      <c r="B68" s="0" t="s">
        <v>214</v>
      </c>
      <c r="C68" s="0" t="n">
        <v>7.5</v>
      </c>
      <c r="D68" s="0" t="n">
        <v>7.333</v>
      </c>
      <c r="E68" s="0" t="n">
        <v>4</v>
      </c>
      <c r="F68" s="0" t="s">
        <v>159</v>
      </c>
      <c r="G68" s="0" t="n">
        <v>16</v>
      </c>
      <c r="H68" s="0" t="n">
        <v>220</v>
      </c>
      <c r="I68" s="0" t="s">
        <v>215</v>
      </c>
      <c r="J68" s="0" t="s">
        <v>206</v>
      </c>
      <c r="K68" s="0" t="s">
        <v>59</v>
      </c>
    </row>
    <row r="69" customFormat="false" ht="15" hidden="false" customHeight="false" outlineLevel="0" collapsed="false">
      <c r="A69" s="0" t="s">
        <v>216</v>
      </c>
      <c r="B69" s="0" t="s">
        <v>217</v>
      </c>
      <c r="C69" s="0" t="n">
        <v>7.5</v>
      </c>
      <c r="D69" s="0" t="n">
        <v>7.333</v>
      </c>
      <c r="E69" s="0" t="n">
        <v>4</v>
      </c>
      <c r="F69" s="0" t="s">
        <v>159</v>
      </c>
      <c r="G69" s="0" t="n">
        <v>16</v>
      </c>
      <c r="H69" s="0" t="n">
        <v>220</v>
      </c>
      <c r="I69" s="0" t="s">
        <v>218</v>
      </c>
      <c r="J69" s="0" t="s">
        <v>206</v>
      </c>
      <c r="K69" s="0" t="s">
        <v>59</v>
      </c>
    </row>
    <row r="70" customFormat="false" ht="15" hidden="false" customHeight="false" outlineLevel="0" collapsed="false">
      <c r="A70" s="0" t="s">
        <v>219</v>
      </c>
      <c r="B70" s="0" t="s">
        <v>220</v>
      </c>
      <c r="C70" s="0" t="n">
        <v>7.5</v>
      </c>
      <c r="D70" s="0" t="n">
        <v>7.333</v>
      </c>
      <c r="E70" s="0" t="n">
        <v>4</v>
      </c>
      <c r="F70" s="0" t="s">
        <v>159</v>
      </c>
      <c r="G70" s="0" t="n">
        <v>16</v>
      </c>
      <c r="H70" s="0" t="n">
        <v>220</v>
      </c>
      <c r="I70" s="0" t="s">
        <v>221</v>
      </c>
      <c r="J70" s="0" t="s">
        <v>206</v>
      </c>
      <c r="K70" s="0" t="s">
        <v>59</v>
      </c>
    </row>
    <row r="71" customFormat="false" ht="15" hidden="false" customHeight="false" outlineLevel="0" collapsed="false">
      <c r="A71" s="5" t="s">
        <v>222</v>
      </c>
    </row>
    <row r="72" customFormat="false" ht="15" hidden="false" customHeight="false" outlineLevel="0" collapsed="false">
      <c r="A72" s="0" t="s">
        <v>223</v>
      </c>
      <c r="B72" s="0" t="s">
        <v>224</v>
      </c>
      <c r="C72" s="0" t="n">
        <v>12.64</v>
      </c>
      <c r="D72" s="0" t="n">
        <v>14.362</v>
      </c>
      <c r="E72" s="0" t="n">
        <v>1</v>
      </c>
      <c r="F72" s="0" t="s">
        <v>137</v>
      </c>
      <c r="G72" s="0" t="n">
        <v>16</v>
      </c>
      <c r="H72" s="0" t="n">
        <v>408.17</v>
      </c>
      <c r="I72" s="0" t="s">
        <v>225</v>
      </c>
      <c r="J72" s="0" t="s">
        <v>226</v>
      </c>
      <c r="K72" s="0" t="s">
        <v>34</v>
      </c>
    </row>
    <row r="73" customFormat="false" ht="15" hidden="false" customHeight="false" outlineLevel="0" collapsed="false">
      <c r="A73" s="0" t="s">
        <v>227</v>
      </c>
      <c r="B73" s="0" t="s">
        <v>228</v>
      </c>
      <c r="C73" s="0" t="n">
        <v>26.25</v>
      </c>
      <c r="D73" s="0" t="n">
        <v>5.4</v>
      </c>
      <c r="E73" s="0" t="n">
        <v>1</v>
      </c>
      <c r="F73" s="0" t="s">
        <v>137</v>
      </c>
      <c r="G73" s="0" t="n">
        <v>16</v>
      </c>
      <c r="H73" s="0" t="n">
        <v>414.54</v>
      </c>
      <c r="I73" s="0" t="s">
        <v>229</v>
      </c>
      <c r="J73" s="0" t="s">
        <v>226</v>
      </c>
      <c r="K73" s="0" t="s">
        <v>34</v>
      </c>
    </row>
    <row r="74" customFormat="false" ht="15" hidden="false" customHeight="false" outlineLevel="0" collapsed="false">
      <c r="A74" s="0" t="s">
        <v>230</v>
      </c>
      <c r="B74" s="0" t="s">
        <v>231</v>
      </c>
      <c r="C74" s="0" t="n">
        <v>12.563</v>
      </c>
      <c r="D74" s="0" t="n">
        <v>5.862</v>
      </c>
      <c r="E74" s="0" t="n">
        <v>1</v>
      </c>
      <c r="F74" s="0" t="s">
        <v>137</v>
      </c>
      <c r="G74" s="0" t="n">
        <v>16</v>
      </c>
      <c r="H74" s="0" t="n">
        <v>226.66</v>
      </c>
      <c r="I74" s="0" t="s">
        <v>232</v>
      </c>
      <c r="J74" s="0" t="s">
        <v>226</v>
      </c>
      <c r="K74" s="0" t="s">
        <v>34</v>
      </c>
    </row>
    <row r="75" customFormat="false" ht="15" hidden="false" customHeight="false" outlineLevel="0" collapsed="false">
      <c r="A75" s="0" t="s">
        <v>233</v>
      </c>
      <c r="B75" s="0" t="s">
        <v>234</v>
      </c>
      <c r="C75" s="0" t="n">
        <v>6.5</v>
      </c>
      <c r="D75" s="0" t="n">
        <v>5.862</v>
      </c>
      <c r="E75" s="0" t="n">
        <v>1</v>
      </c>
      <c r="F75" s="0" t="s">
        <v>137</v>
      </c>
      <c r="G75" s="0" t="n">
        <v>16</v>
      </c>
      <c r="H75" s="0" t="n">
        <v>117.28</v>
      </c>
      <c r="I75" s="0" t="s">
        <v>235</v>
      </c>
      <c r="J75" s="0" t="s">
        <v>226</v>
      </c>
      <c r="K75" s="0" t="s">
        <v>34</v>
      </c>
    </row>
    <row r="76" customFormat="false" ht="15" hidden="false" customHeight="false" outlineLevel="0" collapsed="false">
      <c r="A76" s="0" t="s">
        <v>236</v>
      </c>
      <c r="B76" s="0" t="s">
        <v>237</v>
      </c>
      <c r="C76" s="0" t="n">
        <v>15.773</v>
      </c>
      <c r="D76" s="0" t="n">
        <v>14.362</v>
      </c>
      <c r="E76" s="0" t="n">
        <v>1</v>
      </c>
      <c r="F76" s="0" t="s">
        <v>137</v>
      </c>
      <c r="G76" s="0" t="n">
        <v>16</v>
      </c>
      <c r="H76" s="0" t="n">
        <v>544.83</v>
      </c>
      <c r="I76" s="0" t="s">
        <v>238</v>
      </c>
      <c r="J76" s="0" t="s">
        <v>226</v>
      </c>
      <c r="K76" s="0" t="s">
        <v>34</v>
      </c>
    </row>
    <row r="77" customFormat="false" ht="15" hidden="false" customHeight="false" outlineLevel="0" collapsed="false">
      <c r="A77" s="0" t="s">
        <v>239</v>
      </c>
      <c r="B77" s="0" t="s">
        <v>240</v>
      </c>
      <c r="C77" s="0" t="n">
        <v>5.687</v>
      </c>
      <c r="D77" s="0" t="n">
        <v>14.362</v>
      </c>
      <c r="E77" s="0" t="n">
        <v>1</v>
      </c>
      <c r="F77" s="0" t="s">
        <v>137</v>
      </c>
      <c r="G77" s="0" t="n">
        <v>16</v>
      </c>
      <c r="H77" s="0" t="n">
        <v>185.1</v>
      </c>
      <c r="I77" s="0" t="s">
        <v>241</v>
      </c>
      <c r="J77" s="0" t="s">
        <v>226</v>
      </c>
      <c r="K77" s="0" t="s">
        <v>34</v>
      </c>
    </row>
    <row r="78" customFormat="false" ht="15" hidden="false" customHeight="false" outlineLevel="0" collapsed="false">
      <c r="A78" s="0" t="s">
        <v>242</v>
      </c>
      <c r="B78" s="0" t="s">
        <v>243</v>
      </c>
      <c r="C78" s="0" t="n">
        <v>4.413</v>
      </c>
      <c r="D78" s="0" t="n">
        <v>14.362</v>
      </c>
      <c r="E78" s="0" t="n">
        <v>1</v>
      </c>
      <c r="F78" s="0" t="s">
        <v>137</v>
      </c>
      <c r="G78" s="0" t="n">
        <v>16</v>
      </c>
      <c r="H78" s="0" t="n">
        <v>142.5</v>
      </c>
      <c r="I78" s="0" t="s">
        <v>244</v>
      </c>
      <c r="J78" s="0" t="s">
        <v>226</v>
      </c>
      <c r="K78" s="0" t="s">
        <v>34</v>
      </c>
    </row>
    <row r="79" customFormat="false" ht="15" hidden="false" customHeight="false" outlineLevel="0" collapsed="false">
      <c r="A79" s="0" t="s">
        <v>245</v>
      </c>
      <c r="B79" s="0" t="s">
        <v>246</v>
      </c>
      <c r="C79" s="0" t="n">
        <v>47.413</v>
      </c>
      <c r="D79" s="0" t="n">
        <v>14.362</v>
      </c>
      <c r="E79" s="0" t="n">
        <v>1</v>
      </c>
      <c r="F79" s="0" t="s">
        <v>137</v>
      </c>
      <c r="G79" s="0" t="n">
        <v>16</v>
      </c>
      <c r="H79" s="0" t="n">
        <v>1377.34</v>
      </c>
      <c r="I79" s="0" t="s">
        <v>247</v>
      </c>
      <c r="J79" s="0" t="s">
        <v>226</v>
      </c>
      <c r="K79" s="0" t="s">
        <v>34</v>
      </c>
    </row>
    <row r="80" customFormat="false" ht="15" hidden="false" customHeight="false" outlineLevel="0" collapsed="false">
      <c r="A80" s="0" t="s">
        <v>248</v>
      </c>
      <c r="B80" s="0" t="s">
        <v>249</v>
      </c>
      <c r="C80" s="0" t="n">
        <v>51.733</v>
      </c>
      <c r="D80" s="0" t="n">
        <v>11.526</v>
      </c>
      <c r="E80" s="0" t="n">
        <v>1</v>
      </c>
      <c r="F80" s="0" t="s">
        <v>137</v>
      </c>
      <c r="G80" s="0" t="n">
        <v>16</v>
      </c>
      <c r="H80" s="0" t="n">
        <v>1469.41</v>
      </c>
      <c r="I80" s="0" t="s">
        <v>250</v>
      </c>
      <c r="J80" s="0" t="s">
        <v>226</v>
      </c>
      <c r="K80" s="0" t="s">
        <v>34</v>
      </c>
    </row>
    <row r="81" customFormat="false" ht="15" hidden="false" customHeight="false" outlineLevel="0" collapsed="false">
      <c r="A81" s="0" t="s">
        <v>251</v>
      </c>
      <c r="B81" s="0" t="s">
        <v>252</v>
      </c>
      <c r="C81" s="0" t="n">
        <v>75.333</v>
      </c>
      <c r="D81" s="0" t="n">
        <v>14.362</v>
      </c>
      <c r="E81" s="0" t="n">
        <v>1</v>
      </c>
      <c r="F81" s="0" t="s">
        <v>137</v>
      </c>
      <c r="G81" s="0" t="n">
        <v>16</v>
      </c>
      <c r="H81" s="0" t="n">
        <v>2182.92</v>
      </c>
      <c r="I81" s="0" t="s">
        <v>253</v>
      </c>
      <c r="J81" s="0" t="s">
        <v>226</v>
      </c>
      <c r="K81" s="0" t="s">
        <v>34</v>
      </c>
    </row>
    <row r="82" customFormat="false" ht="15" hidden="false" customHeight="false" outlineLevel="0" collapsed="false">
      <c r="A82" s="5" t="s">
        <v>254</v>
      </c>
    </row>
    <row r="83" customFormat="false" ht="15" hidden="false" customHeight="false" outlineLevel="0" collapsed="false">
      <c r="A83" s="0" t="s">
        <v>255</v>
      </c>
      <c r="B83" s="0" t="s">
        <v>256</v>
      </c>
      <c r="C83" s="0" t="n">
        <v>81.68</v>
      </c>
      <c r="D83" s="0" t="n">
        <v>0</v>
      </c>
      <c r="E83" s="0" t="n">
        <v>1</v>
      </c>
      <c r="F83" s="0" t="s">
        <v>257</v>
      </c>
      <c r="G83" s="0" t="n">
        <v>16</v>
      </c>
      <c r="H83" s="0" t="n">
        <v>0</v>
      </c>
      <c r="I83" s="0" t="s">
        <v>258</v>
      </c>
      <c r="J83" s="0" t="s">
        <v>259</v>
      </c>
      <c r="K83" s="0" t="s">
        <v>34</v>
      </c>
    </row>
    <row r="84" customFormat="false" ht="15" hidden="false" customHeight="false" outlineLevel="0" collapsed="false">
      <c r="A84" s="0" t="s">
        <v>260</v>
      </c>
      <c r="B84" s="0" t="s">
        <v>256</v>
      </c>
      <c r="C84" s="0" t="n">
        <v>68.67</v>
      </c>
      <c r="D84" s="0" t="n">
        <v>0</v>
      </c>
      <c r="E84" s="0" t="n">
        <v>1</v>
      </c>
      <c r="F84" s="0" t="s">
        <v>257</v>
      </c>
      <c r="G84" s="0" t="n">
        <v>16</v>
      </c>
      <c r="H84" s="0" t="n">
        <v>0</v>
      </c>
      <c r="I84" s="0" t="s">
        <v>261</v>
      </c>
      <c r="J84" s="0" t="s">
        <v>262</v>
      </c>
      <c r="K84" s="0" t="s">
        <v>34</v>
      </c>
    </row>
    <row r="85" customFormat="false" ht="15" hidden="false" customHeight="false" outlineLevel="0" collapsed="false">
      <c r="A85" s="0" t="s">
        <v>263</v>
      </c>
      <c r="B85" s="0" t="s">
        <v>256</v>
      </c>
      <c r="C85" s="0" t="n">
        <v>120.18</v>
      </c>
      <c r="D85" s="0" t="n">
        <v>0</v>
      </c>
      <c r="E85" s="0" t="n">
        <v>1</v>
      </c>
      <c r="F85" s="0" t="s">
        <v>257</v>
      </c>
      <c r="G85" s="0" t="n">
        <v>16</v>
      </c>
      <c r="H85" s="0" t="n">
        <v>0</v>
      </c>
      <c r="I85" s="0" t="s">
        <v>264</v>
      </c>
      <c r="J85" s="0" t="s">
        <v>265</v>
      </c>
      <c r="K85" s="0" t="s">
        <v>34</v>
      </c>
    </row>
    <row r="86" customFormat="false" ht="15" hidden="false" customHeight="false" outlineLevel="0" collapsed="false">
      <c r="A86" s="0" t="s">
        <v>266</v>
      </c>
      <c r="B86" s="0" t="s">
        <v>256</v>
      </c>
      <c r="C86" s="0" t="n">
        <v>21.46</v>
      </c>
      <c r="D86" s="0" t="n">
        <v>0</v>
      </c>
      <c r="E86" s="0" t="n">
        <v>1</v>
      </c>
      <c r="F86" s="0" t="s">
        <v>257</v>
      </c>
      <c r="G86" s="0" t="n">
        <v>16</v>
      </c>
      <c r="H86" s="0" t="n">
        <v>0</v>
      </c>
      <c r="I86" s="0" t="s">
        <v>267</v>
      </c>
      <c r="J86" s="0" t="s">
        <v>268</v>
      </c>
      <c r="K86" s="0" t="s">
        <v>34</v>
      </c>
    </row>
    <row r="87" customFormat="false" ht="15" hidden="false" customHeight="false" outlineLevel="0" collapsed="false">
      <c r="A87" s="0" t="s">
        <v>269</v>
      </c>
      <c r="B87" s="0" t="s">
        <v>256</v>
      </c>
      <c r="C87" s="0" t="n">
        <v>8.17</v>
      </c>
      <c r="D87" s="0" t="n">
        <v>0</v>
      </c>
      <c r="E87" s="0" t="n">
        <v>1</v>
      </c>
      <c r="F87" s="0" t="s">
        <v>257</v>
      </c>
      <c r="G87" s="0" t="n">
        <v>16</v>
      </c>
      <c r="H87" s="0" t="n">
        <v>0</v>
      </c>
      <c r="I87" s="0" t="s">
        <v>270</v>
      </c>
      <c r="J87" s="0" t="s">
        <v>271</v>
      </c>
      <c r="K87" s="0" t="s">
        <v>34</v>
      </c>
    </row>
    <row r="88" customFormat="false" ht="15" hidden="false" customHeight="false" outlineLevel="0" collapsed="false">
      <c r="A88" s="0" t="s">
        <v>272</v>
      </c>
      <c r="B88" s="0" t="s">
        <v>256</v>
      </c>
      <c r="C88" s="0" t="n">
        <v>40.84</v>
      </c>
      <c r="D88" s="0" t="n">
        <v>0</v>
      </c>
      <c r="E88" s="0" t="n">
        <v>1</v>
      </c>
      <c r="F88" s="0" t="s">
        <v>257</v>
      </c>
      <c r="G88" s="0" t="n">
        <v>16</v>
      </c>
      <c r="H88" s="0" t="n">
        <v>0</v>
      </c>
      <c r="I88" s="0" t="s">
        <v>273</v>
      </c>
      <c r="J88" s="0" t="s">
        <v>274</v>
      </c>
      <c r="K88" s="0" t="s">
        <v>34</v>
      </c>
    </row>
    <row r="89" customFormat="false" ht="15" hidden="false" customHeight="false" outlineLevel="0" collapsed="false">
      <c r="A89" s="0" t="s">
        <v>275</v>
      </c>
      <c r="B89" s="0" t="s">
        <v>256</v>
      </c>
      <c r="C89" s="0" t="n">
        <v>111.14</v>
      </c>
      <c r="D89" s="0" t="n">
        <v>0</v>
      </c>
      <c r="E89" s="0" t="n">
        <v>1</v>
      </c>
      <c r="F89" s="0" t="s">
        <v>257</v>
      </c>
      <c r="G89" s="0" t="n">
        <v>16</v>
      </c>
      <c r="H89" s="0" t="n">
        <v>0</v>
      </c>
      <c r="I89" s="0" t="s">
        <v>276</v>
      </c>
      <c r="J89" s="0" t="s">
        <v>277</v>
      </c>
      <c r="K89" s="0" t="s">
        <v>34</v>
      </c>
    </row>
    <row r="90" customFormat="false" ht="15" hidden="false" customHeight="false" outlineLevel="0" collapsed="false">
      <c r="A90" s="0" t="s">
        <v>278</v>
      </c>
      <c r="B90" s="0" t="s">
        <v>256</v>
      </c>
      <c r="C90" s="0" t="n">
        <v>268.78</v>
      </c>
      <c r="D90" s="0" t="n">
        <v>0</v>
      </c>
      <c r="E90" s="0" t="n">
        <v>1</v>
      </c>
      <c r="F90" s="0" t="s">
        <v>257</v>
      </c>
      <c r="G90" s="0" t="n">
        <v>16</v>
      </c>
      <c r="H90" s="0" t="n">
        <v>0</v>
      </c>
      <c r="I90" s="0" t="s">
        <v>279</v>
      </c>
      <c r="J90" s="0" t="s">
        <v>280</v>
      </c>
      <c r="K90" s="0" t="s">
        <v>34</v>
      </c>
    </row>
    <row r="91" customFormat="false" ht="15" hidden="false" customHeight="false" outlineLevel="0" collapsed="false">
      <c r="A91" s="0" t="s">
        <v>281</v>
      </c>
      <c r="B91" s="0" t="s">
        <v>256</v>
      </c>
      <c r="C91" s="0" t="n">
        <v>112.31</v>
      </c>
      <c r="D91" s="0" t="n">
        <v>0</v>
      </c>
      <c r="E91" s="0" t="n">
        <v>1</v>
      </c>
      <c r="F91" s="0" t="s">
        <v>257</v>
      </c>
      <c r="G91" s="0" t="n">
        <v>16</v>
      </c>
      <c r="H91" s="0" t="n">
        <v>0</v>
      </c>
      <c r="I91" s="0" t="s">
        <v>282</v>
      </c>
      <c r="J91" s="0" t="s">
        <v>283</v>
      </c>
      <c r="K91" s="0" t="s">
        <v>34</v>
      </c>
    </row>
    <row r="92" customFormat="false" ht="15" hidden="false" customHeight="false" outlineLevel="0" collapsed="false">
      <c r="A92" s="0" t="s">
        <v>284</v>
      </c>
      <c r="B92" s="0" t="s">
        <v>256</v>
      </c>
      <c r="C92" s="0" t="n">
        <v>111.14</v>
      </c>
      <c r="D92" s="0" t="n">
        <v>0</v>
      </c>
      <c r="E92" s="0" t="n">
        <v>1</v>
      </c>
      <c r="F92" s="0" t="s">
        <v>257</v>
      </c>
      <c r="G92" s="0" t="n">
        <v>16</v>
      </c>
      <c r="H92" s="0" t="n">
        <v>0</v>
      </c>
      <c r="I92" s="0" t="s">
        <v>285</v>
      </c>
      <c r="J92" s="0" t="s">
        <v>277</v>
      </c>
      <c r="K92" s="0" t="s">
        <v>34</v>
      </c>
    </row>
    <row r="93" customFormat="false" ht="15" hidden="false" customHeight="false" outlineLevel="0" collapsed="false">
      <c r="A93" s="0" t="s">
        <v>286</v>
      </c>
      <c r="B93" s="0" t="s">
        <v>256</v>
      </c>
      <c r="C93" s="0" t="n">
        <v>0</v>
      </c>
      <c r="D93" s="0" t="n">
        <v>0</v>
      </c>
      <c r="E93" s="0" t="n">
        <v>1</v>
      </c>
      <c r="F93" s="0" t="s">
        <v>256</v>
      </c>
      <c r="G93" s="0" t="n">
        <v>16</v>
      </c>
      <c r="H93" s="0" t="n">
        <v>985.9</v>
      </c>
      <c r="I93" s="0" t="s">
        <v>287</v>
      </c>
      <c r="J93" s="0" t="s">
        <v>288</v>
      </c>
      <c r="K93" s="0" t="s">
        <v>34</v>
      </c>
    </row>
    <row r="94" customFormat="false" ht="15" hidden="false" customHeight="false" outlineLevel="0" collapsed="false">
      <c r="A94" s="5" t="s">
        <v>289</v>
      </c>
    </row>
    <row r="95" customFormat="false" ht="15" hidden="false" customHeight="false" outlineLevel="0" collapsed="false">
      <c r="A95" s="0" t="s">
        <v>290</v>
      </c>
      <c r="B95" s="0" t="s">
        <v>256</v>
      </c>
      <c r="C95" s="0" t="n">
        <v>99.89</v>
      </c>
      <c r="D95" s="0" t="n">
        <v>0</v>
      </c>
      <c r="E95" s="0" t="n">
        <v>1</v>
      </c>
      <c r="F95" s="0" t="s">
        <v>291</v>
      </c>
      <c r="G95" s="0" t="n">
        <v>16</v>
      </c>
      <c r="H95" s="0" t="n">
        <v>0</v>
      </c>
      <c r="I95" s="0" t="s">
        <v>292</v>
      </c>
      <c r="J95" s="0" t="s">
        <v>293</v>
      </c>
      <c r="K95" s="0" t="s">
        <v>34</v>
      </c>
    </row>
    <row r="96" customFormat="false" ht="15" hidden="false" customHeight="false" outlineLevel="0" collapsed="false">
      <c r="A96" s="0" t="s">
        <v>294</v>
      </c>
      <c r="B96" s="0" t="s">
        <v>256</v>
      </c>
      <c r="C96" s="0" t="n">
        <v>0</v>
      </c>
      <c r="D96" s="0" t="n">
        <v>0</v>
      </c>
      <c r="E96" s="0" t="n">
        <v>1</v>
      </c>
      <c r="F96" s="0" t="s">
        <v>256</v>
      </c>
      <c r="G96" s="0" t="n">
        <v>16</v>
      </c>
      <c r="H96" s="0" t="n">
        <v>121.57</v>
      </c>
      <c r="I96" s="0" t="s">
        <v>295</v>
      </c>
      <c r="J96" s="0" t="s">
        <v>296</v>
      </c>
      <c r="K96" s="0" t="s">
        <v>34</v>
      </c>
    </row>
    <row r="97" customFormat="false" ht="15" hidden="false" customHeight="false" outlineLevel="0" collapsed="false">
      <c r="A97" s="5" t="s">
        <v>297</v>
      </c>
    </row>
    <row r="98" customFormat="false" ht="15" hidden="false" customHeight="false" outlineLevel="0" collapsed="false">
      <c r="A98" s="0" t="s">
        <v>298</v>
      </c>
      <c r="B98" s="0" t="s">
        <v>256</v>
      </c>
      <c r="C98" s="0" t="n">
        <v>93.01</v>
      </c>
      <c r="D98" s="0" t="n">
        <v>0</v>
      </c>
      <c r="E98" s="0" t="n">
        <v>1</v>
      </c>
      <c r="F98" s="0" t="s">
        <v>291</v>
      </c>
      <c r="G98" s="0" t="n">
        <v>16</v>
      </c>
      <c r="H98" s="0" t="n">
        <v>0</v>
      </c>
      <c r="I98" s="0" t="s">
        <v>299</v>
      </c>
      <c r="J98" s="0" t="s">
        <v>300</v>
      </c>
      <c r="K98" s="0" t="s">
        <v>34</v>
      </c>
    </row>
    <row r="99" customFormat="false" ht="15" hidden="false" customHeight="false" outlineLevel="0" collapsed="false">
      <c r="A99" s="0" t="s">
        <v>301</v>
      </c>
      <c r="B99" s="0" t="s">
        <v>256</v>
      </c>
      <c r="C99" s="0" t="n">
        <v>0</v>
      </c>
      <c r="D99" s="0" t="n">
        <v>0</v>
      </c>
      <c r="E99" s="0" t="n">
        <v>1</v>
      </c>
      <c r="F99" s="0" t="s">
        <v>256</v>
      </c>
      <c r="G99" s="0" t="n">
        <v>16</v>
      </c>
      <c r="H99" s="0" t="n">
        <v>161.38</v>
      </c>
      <c r="I99" s="0" t="s">
        <v>302</v>
      </c>
      <c r="J99" s="0" t="s">
        <v>303</v>
      </c>
      <c r="K99" s="0" t="s">
        <v>34</v>
      </c>
    </row>
    <row r="100" customFormat="false" ht="15" hidden="false" customHeight="false" outlineLevel="0" collapsed="false">
      <c r="A100" s="0" t="s">
        <v>304</v>
      </c>
      <c r="B100" s="0" t="s">
        <v>256</v>
      </c>
      <c r="C100" s="0" t="n">
        <v>173.31</v>
      </c>
      <c r="D100" s="0" t="n">
        <v>0</v>
      </c>
      <c r="E100" s="0" t="n">
        <v>1</v>
      </c>
      <c r="F100" s="0" t="s">
        <v>291</v>
      </c>
      <c r="G100" s="0" t="n">
        <v>16</v>
      </c>
      <c r="H100" s="0" t="n">
        <v>0</v>
      </c>
      <c r="I100" s="0" t="s">
        <v>305</v>
      </c>
      <c r="J100" s="0" t="s">
        <v>306</v>
      </c>
      <c r="K100" s="0" t="s">
        <v>34</v>
      </c>
    </row>
    <row r="101" customFormat="false" ht="15" hidden="false" customHeight="false" outlineLevel="0" collapsed="false">
      <c r="A101" s="0" t="s">
        <v>307</v>
      </c>
      <c r="B101" s="0" t="s">
        <v>256</v>
      </c>
      <c r="C101" s="0" t="n">
        <v>0</v>
      </c>
      <c r="D101" s="0" t="n">
        <v>0</v>
      </c>
      <c r="E101" s="0" t="n">
        <v>1</v>
      </c>
      <c r="F101" s="0" t="s">
        <v>256</v>
      </c>
      <c r="G101" s="0" t="n">
        <v>16</v>
      </c>
      <c r="H101" s="0" t="n">
        <v>213.09</v>
      </c>
      <c r="I101" s="0" t="s">
        <v>308</v>
      </c>
      <c r="J101" s="0" t="s">
        <v>309</v>
      </c>
      <c r="K101" s="0" t="s">
        <v>34</v>
      </c>
    </row>
    <row r="102" customFormat="false" ht="15" hidden="false" customHeight="false" outlineLevel="0" collapsed="false">
      <c r="A102" s="0" t="s">
        <v>310</v>
      </c>
      <c r="B102" s="0" t="s">
        <v>256</v>
      </c>
      <c r="C102" s="0" t="n">
        <v>81.14</v>
      </c>
      <c r="D102" s="0" t="n">
        <v>0</v>
      </c>
      <c r="E102" s="0" t="n">
        <v>1</v>
      </c>
      <c r="F102" s="0" t="s">
        <v>291</v>
      </c>
      <c r="G102" s="0" t="n">
        <v>16</v>
      </c>
      <c r="H102" s="0" t="n">
        <v>0</v>
      </c>
      <c r="I102" s="0" t="s">
        <v>311</v>
      </c>
      <c r="J102" s="0" t="s">
        <v>312</v>
      </c>
      <c r="K102" s="0" t="s">
        <v>34</v>
      </c>
    </row>
    <row r="103" customFormat="false" ht="15" hidden="false" customHeight="false" outlineLevel="0" collapsed="false">
      <c r="A103" s="0" t="s">
        <v>313</v>
      </c>
      <c r="B103" s="0" t="s">
        <v>256</v>
      </c>
      <c r="C103" s="0" t="n">
        <v>0</v>
      </c>
      <c r="D103" s="0" t="n">
        <v>0</v>
      </c>
      <c r="E103" s="0" t="n">
        <v>1</v>
      </c>
      <c r="F103" s="0" t="s">
        <v>256</v>
      </c>
      <c r="G103" s="0" t="n">
        <v>16</v>
      </c>
      <c r="H103" s="0" t="n">
        <v>139.04</v>
      </c>
      <c r="I103" s="0" t="s">
        <v>314</v>
      </c>
      <c r="J103" s="0" t="s">
        <v>315</v>
      </c>
      <c r="K103" s="0" t="s">
        <v>34</v>
      </c>
    </row>
    <row r="104" customFormat="false" ht="15" hidden="false" customHeight="false" outlineLevel="0" collapsed="false">
      <c r="A104" s="0" t="s">
        <v>316</v>
      </c>
      <c r="B104" s="0" t="s">
        <v>256</v>
      </c>
      <c r="C104" s="0" t="n">
        <v>91.72</v>
      </c>
      <c r="D104" s="0" t="n">
        <v>0</v>
      </c>
      <c r="E104" s="0" t="n">
        <v>1</v>
      </c>
      <c r="F104" s="0" t="s">
        <v>291</v>
      </c>
      <c r="G104" s="0" t="n">
        <v>16</v>
      </c>
      <c r="H104" s="0" t="n">
        <v>0</v>
      </c>
      <c r="I104" s="0" t="s">
        <v>317</v>
      </c>
      <c r="J104" s="0" t="s">
        <v>318</v>
      </c>
      <c r="K104" s="0" t="s">
        <v>34</v>
      </c>
    </row>
    <row r="105" customFormat="false" ht="15" hidden="false" customHeight="false" outlineLevel="0" collapsed="false">
      <c r="A105" s="0" t="s">
        <v>319</v>
      </c>
      <c r="B105" s="0" t="s">
        <v>256</v>
      </c>
      <c r="C105" s="0" t="n">
        <v>0</v>
      </c>
      <c r="D105" s="0" t="n">
        <v>0</v>
      </c>
      <c r="E105" s="0" t="n">
        <v>1</v>
      </c>
      <c r="F105" s="0" t="s">
        <v>256</v>
      </c>
      <c r="G105" s="0" t="n">
        <v>16</v>
      </c>
      <c r="H105" s="0" t="n">
        <v>117.42</v>
      </c>
      <c r="I105" s="0" t="s">
        <v>320</v>
      </c>
      <c r="J105" s="0" t="s">
        <v>321</v>
      </c>
      <c r="K105" s="0" t="s">
        <v>34</v>
      </c>
    </row>
    <row r="106" customFormat="false" ht="15" hidden="false" customHeight="false" outlineLevel="0" collapsed="false">
      <c r="A106" s="0" t="s">
        <v>322</v>
      </c>
      <c r="B106" s="0" t="s">
        <v>256</v>
      </c>
      <c r="C106" s="0" t="n">
        <v>37.6</v>
      </c>
      <c r="D106" s="0" t="n">
        <v>0</v>
      </c>
      <c r="E106" s="0" t="n">
        <v>1</v>
      </c>
      <c r="F106" s="0" t="s">
        <v>291</v>
      </c>
      <c r="G106" s="0" t="n">
        <v>16</v>
      </c>
      <c r="H106" s="0" t="n">
        <v>0</v>
      </c>
      <c r="I106" s="0" t="s">
        <v>323</v>
      </c>
      <c r="J106" s="0" t="s">
        <v>324</v>
      </c>
      <c r="K106" s="0" t="s">
        <v>34</v>
      </c>
    </row>
    <row r="107" customFormat="false" ht="15" hidden="false" customHeight="false" outlineLevel="0" collapsed="false">
      <c r="A107" s="0" t="s">
        <v>325</v>
      </c>
      <c r="B107" s="0" t="s">
        <v>256</v>
      </c>
      <c r="C107" s="0" t="n">
        <v>0</v>
      </c>
      <c r="D107" s="0" t="n">
        <v>0</v>
      </c>
      <c r="E107" s="0" t="n">
        <v>1</v>
      </c>
      <c r="F107" s="0" t="s">
        <v>256</v>
      </c>
      <c r="G107" s="0" t="n">
        <v>16</v>
      </c>
      <c r="H107" s="0" t="n">
        <v>61.47</v>
      </c>
      <c r="I107" s="0" t="s">
        <v>326</v>
      </c>
      <c r="J107" s="0" t="s">
        <v>327</v>
      </c>
      <c r="K107" s="0" t="s">
        <v>34</v>
      </c>
    </row>
    <row r="108" customFormat="false" ht="15" hidden="false" customHeight="false" outlineLevel="0" collapsed="false">
      <c r="A108" s="0" t="s">
        <v>328</v>
      </c>
      <c r="B108" s="0" t="s">
        <v>256</v>
      </c>
      <c r="C108" s="0" t="n">
        <v>44.62</v>
      </c>
      <c r="D108" s="0" t="n">
        <v>0</v>
      </c>
      <c r="E108" s="0" t="n">
        <v>1</v>
      </c>
      <c r="F108" s="0" t="s">
        <v>291</v>
      </c>
      <c r="G108" s="0" t="n">
        <v>16</v>
      </c>
      <c r="H108" s="0" t="n">
        <v>0</v>
      </c>
      <c r="I108" s="0" t="s">
        <v>329</v>
      </c>
      <c r="J108" s="0" t="s">
        <v>330</v>
      </c>
      <c r="K108" s="0" t="s">
        <v>34</v>
      </c>
    </row>
    <row r="109" customFormat="false" ht="15" hidden="false" customHeight="false" outlineLevel="0" collapsed="false">
      <c r="A109" s="0" t="s">
        <v>331</v>
      </c>
      <c r="B109" s="0" t="s">
        <v>256</v>
      </c>
      <c r="C109" s="0" t="n">
        <v>0</v>
      </c>
      <c r="D109" s="0" t="n">
        <v>0</v>
      </c>
      <c r="E109" s="0" t="n">
        <v>1</v>
      </c>
      <c r="F109" s="0" t="s">
        <v>256</v>
      </c>
      <c r="G109" s="0" t="n">
        <v>16</v>
      </c>
      <c r="H109" s="0" t="n">
        <v>54.33</v>
      </c>
      <c r="I109" s="0" t="s">
        <v>332</v>
      </c>
      <c r="J109" s="0" t="s">
        <v>333</v>
      </c>
      <c r="K109" s="0" t="s">
        <v>34</v>
      </c>
    </row>
    <row r="110" customFormat="false" ht="15" hidden="false" customHeight="false" outlineLevel="0" collapsed="false">
      <c r="A110" s="0" t="s">
        <v>334</v>
      </c>
      <c r="B110" s="0" t="s">
        <v>256</v>
      </c>
      <c r="C110" s="0" t="n">
        <v>146.45</v>
      </c>
      <c r="D110" s="0" t="n">
        <v>0</v>
      </c>
      <c r="E110" s="0" t="n">
        <v>1</v>
      </c>
      <c r="F110" s="0" t="s">
        <v>291</v>
      </c>
      <c r="G110" s="0" t="n">
        <v>16</v>
      </c>
      <c r="H110" s="0" t="n">
        <v>0</v>
      </c>
      <c r="I110" s="0" t="s">
        <v>335</v>
      </c>
      <c r="J110" s="0" t="s">
        <v>336</v>
      </c>
      <c r="K110" s="0" t="s">
        <v>34</v>
      </c>
    </row>
    <row r="111" customFormat="false" ht="15" hidden="false" customHeight="false" outlineLevel="0" collapsed="false">
      <c r="A111" s="0" t="s">
        <v>337</v>
      </c>
      <c r="B111" s="0" t="s">
        <v>256</v>
      </c>
      <c r="C111" s="0" t="n">
        <v>0</v>
      </c>
      <c r="D111" s="0" t="n">
        <v>0</v>
      </c>
      <c r="E111" s="0" t="n">
        <v>1</v>
      </c>
      <c r="F111" s="0" t="s">
        <v>256</v>
      </c>
      <c r="G111" s="0" t="n">
        <v>16</v>
      </c>
      <c r="H111" s="0" t="n">
        <v>256.33</v>
      </c>
      <c r="I111" s="0" t="s">
        <v>338</v>
      </c>
      <c r="J111" s="0" t="s">
        <v>339</v>
      </c>
      <c r="K111" s="0" t="s">
        <v>34</v>
      </c>
    </row>
    <row r="112" customFormat="false" ht="15" hidden="false" customHeight="false" outlineLevel="0" collapsed="false">
      <c r="A112" s="0" t="s">
        <v>340</v>
      </c>
      <c r="B112" s="0" t="s">
        <v>256</v>
      </c>
      <c r="C112" s="0" t="n">
        <v>742.38</v>
      </c>
      <c r="D112" s="0" t="n">
        <v>0</v>
      </c>
      <c r="E112" s="0" t="n">
        <v>1</v>
      </c>
      <c r="F112" s="0" t="s">
        <v>291</v>
      </c>
      <c r="G112" s="0" t="n">
        <v>16</v>
      </c>
      <c r="H112" s="0" t="n">
        <v>0</v>
      </c>
      <c r="I112" s="0" t="s">
        <v>341</v>
      </c>
      <c r="J112" s="0" t="s">
        <v>342</v>
      </c>
      <c r="K112" s="0" t="s">
        <v>34</v>
      </c>
    </row>
    <row r="113" customFormat="false" ht="15" hidden="false" customHeight="false" outlineLevel="0" collapsed="false">
      <c r="A113" s="0" t="s">
        <v>343</v>
      </c>
      <c r="B113" s="0" t="s">
        <v>256</v>
      </c>
      <c r="C113" s="0" t="n">
        <v>0</v>
      </c>
      <c r="D113" s="0" t="n">
        <v>0</v>
      </c>
      <c r="E113" s="0" t="n">
        <v>1</v>
      </c>
      <c r="F113" s="0" t="s">
        <v>256</v>
      </c>
      <c r="G113" s="0" t="n">
        <v>16</v>
      </c>
      <c r="H113" s="0" t="n">
        <v>989.59</v>
      </c>
      <c r="I113" s="0" t="s">
        <v>344</v>
      </c>
      <c r="J113" s="0" t="s">
        <v>345</v>
      </c>
      <c r="K113" s="0" t="s">
        <v>34</v>
      </c>
    </row>
    <row r="114" customFormat="false" ht="15" hidden="false" customHeight="false" outlineLevel="0" collapsed="false">
      <c r="A114" s="5" t="s">
        <v>346</v>
      </c>
    </row>
    <row r="115" customFormat="false" ht="15" hidden="false" customHeight="false" outlineLevel="0" collapsed="false">
      <c r="A115" s="0" t="s">
        <v>347</v>
      </c>
      <c r="B115" s="0" t="s">
        <v>256</v>
      </c>
      <c r="C115" s="0" t="n">
        <v>376</v>
      </c>
      <c r="D115" s="0" t="n">
        <v>0</v>
      </c>
      <c r="E115" s="0" t="n">
        <v>1</v>
      </c>
      <c r="F115" s="0" t="s">
        <v>291</v>
      </c>
      <c r="G115" s="0" t="n">
        <v>16</v>
      </c>
      <c r="H115" s="0" t="n">
        <v>0</v>
      </c>
      <c r="I115" s="0" t="s">
        <v>348</v>
      </c>
      <c r="J115" s="0" t="s">
        <v>349</v>
      </c>
      <c r="K115" s="0" t="s">
        <v>34</v>
      </c>
    </row>
    <row r="116" customFormat="false" ht="15" hidden="false" customHeight="false" outlineLevel="0" collapsed="false">
      <c r="A116" s="0" t="s">
        <v>350</v>
      </c>
      <c r="B116" s="0" t="s">
        <v>256</v>
      </c>
      <c r="C116" s="0" t="n">
        <v>0</v>
      </c>
      <c r="D116" s="0" t="n">
        <v>0</v>
      </c>
      <c r="E116" s="0" t="n">
        <v>1</v>
      </c>
      <c r="F116" s="0" t="s">
        <v>256</v>
      </c>
      <c r="G116" s="0" t="n">
        <v>16</v>
      </c>
      <c r="H116" s="0" t="n">
        <v>255.53</v>
      </c>
      <c r="I116" s="0" t="s">
        <v>351</v>
      </c>
      <c r="J116" s="0" t="s">
        <v>352</v>
      </c>
      <c r="K116" s="0" t="s">
        <v>34</v>
      </c>
    </row>
    <row r="117" customFormat="false" ht="15" hidden="false" customHeight="false" outlineLevel="0" collapsed="false">
      <c r="A117" s="5" t="s">
        <v>353</v>
      </c>
    </row>
    <row r="118" customFormat="false" ht="15" hidden="false" customHeight="false" outlineLevel="0" collapsed="false">
      <c r="A118" s="0" t="s">
        <v>354</v>
      </c>
      <c r="B118" s="0" t="s">
        <v>256</v>
      </c>
      <c r="C118" s="0" t="n">
        <v>0</v>
      </c>
      <c r="D118" s="0" t="n">
        <v>0</v>
      </c>
      <c r="E118" s="0" t="n">
        <v>1</v>
      </c>
      <c r="F118" s="0" t="s">
        <v>256</v>
      </c>
      <c r="G118" s="0" t="n">
        <v>16</v>
      </c>
      <c r="H118" s="0" t="n">
        <v>510.83</v>
      </c>
      <c r="I118" s="0" t="s">
        <v>355</v>
      </c>
      <c r="J118" s="0" t="s">
        <v>356</v>
      </c>
      <c r="K118" s="0" t="s">
        <v>34</v>
      </c>
    </row>
    <row r="119" customFormat="false" ht="15" hidden="false" customHeight="false" outlineLevel="0" collapsed="false">
      <c r="A119" s="0" t="s">
        <v>357</v>
      </c>
      <c r="B119" s="0" t="s">
        <v>256</v>
      </c>
      <c r="C119" s="0" t="n">
        <v>0</v>
      </c>
      <c r="D119" s="0" t="n">
        <v>0</v>
      </c>
      <c r="E119" s="0" t="n">
        <v>1</v>
      </c>
      <c r="F119" s="0" t="s">
        <v>256</v>
      </c>
      <c r="G119" s="0" t="n">
        <v>16</v>
      </c>
      <c r="H119" s="0" t="n">
        <v>116.9</v>
      </c>
      <c r="I119" s="0" t="s">
        <v>358</v>
      </c>
      <c r="J119" s="0" t="s">
        <v>359</v>
      </c>
      <c r="K119" s="0" t="s">
        <v>34</v>
      </c>
    </row>
    <row r="120" customFormat="false" ht="15" hidden="false" customHeight="false" outlineLevel="0" collapsed="false">
      <c r="A120" s="0" t="s">
        <v>360</v>
      </c>
      <c r="B120" s="0" t="s">
        <v>256</v>
      </c>
      <c r="C120" s="0" t="n">
        <v>0</v>
      </c>
      <c r="D120" s="0" t="n">
        <v>0</v>
      </c>
      <c r="E120" s="0" t="n">
        <v>1</v>
      </c>
      <c r="F120" s="0" t="s">
        <v>256</v>
      </c>
      <c r="G120" s="0" t="n">
        <v>16</v>
      </c>
      <c r="H120" s="0" t="n">
        <v>157.8</v>
      </c>
      <c r="I120" s="0" t="s">
        <v>361</v>
      </c>
      <c r="J120" s="0" t="s">
        <v>362</v>
      </c>
      <c r="K120" s="0" t="s">
        <v>34</v>
      </c>
    </row>
    <row r="121" customFormat="false" ht="15" hidden="false" customHeight="false" outlineLevel="0" collapsed="false">
      <c r="A121" s="0" t="s">
        <v>363</v>
      </c>
      <c r="B121" s="0" t="s">
        <v>256</v>
      </c>
      <c r="C121" s="0" t="n">
        <v>0</v>
      </c>
      <c r="D121" s="0" t="n">
        <v>0</v>
      </c>
      <c r="E121" s="0" t="n">
        <v>1</v>
      </c>
      <c r="F121" s="0" t="s">
        <v>256</v>
      </c>
      <c r="G121" s="0" t="n">
        <v>16</v>
      </c>
      <c r="H121" s="0" t="n">
        <v>76.3</v>
      </c>
      <c r="I121" s="0" t="s">
        <v>364</v>
      </c>
      <c r="J121" s="0" t="s">
        <v>365</v>
      </c>
      <c r="K121" s="0" t="s">
        <v>34</v>
      </c>
    </row>
    <row r="122" customFormat="false" ht="15" hidden="false" customHeight="false" outlineLevel="0" collapsed="false">
      <c r="A122" s="0" t="s">
        <v>366</v>
      </c>
      <c r="B122" s="0" t="s">
        <v>256</v>
      </c>
      <c r="C122" s="0" t="n">
        <v>0</v>
      </c>
      <c r="D122" s="0" t="n">
        <v>0</v>
      </c>
      <c r="E122" s="0" t="n">
        <v>1</v>
      </c>
      <c r="F122" s="0" t="s">
        <v>256</v>
      </c>
      <c r="G122" s="0" t="n">
        <v>16</v>
      </c>
      <c r="H122" s="0" t="n">
        <v>76.3</v>
      </c>
      <c r="I122" s="0" t="s">
        <v>367</v>
      </c>
      <c r="J122" s="0" t="s">
        <v>368</v>
      </c>
      <c r="K122" s="0" t="s">
        <v>34</v>
      </c>
    </row>
    <row r="123" customFormat="false" ht="15" hidden="false" customHeight="false" outlineLevel="0" collapsed="false">
      <c r="A123" s="0" t="s">
        <v>369</v>
      </c>
      <c r="B123" s="0" t="s">
        <v>256</v>
      </c>
      <c r="C123" s="0" t="n">
        <v>0</v>
      </c>
      <c r="D123" s="0" t="n">
        <v>0</v>
      </c>
      <c r="E123" s="0" t="n">
        <v>1</v>
      </c>
      <c r="F123" s="0" t="s">
        <v>256</v>
      </c>
      <c r="G123" s="0" t="n">
        <v>16</v>
      </c>
      <c r="H123" s="0" t="n">
        <v>38.52</v>
      </c>
      <c r="I123" s="0" t="s">
        <v>370</v>
      </c>
      <c r="J123" s="0" t="s">
        <v>371</v>
      </c>
      <c r="K123" s="0" t="s">
        <v>34</v>
      </c>
    </row>
    <row r="124" customFormat="false" ht="15" hidden="false" customHeight="false" outlineLevel="0" collapsed="false">
      <c r="A124" s="0" t="s">
        <v>372</v>
      </c>
      <c r="B124" s="0" t="s">
        <v>256</v>
      </c>
      <c r="C124" s="0" t="n">
        <v>0</v>
      </c>
      <c r="D124" s="0" t="n">
        <v>0</v>
      </c>
      <c r="E124" s="0" t="n">
        <v>1</v>
      </c>
      <c r="F124" s="0" t="s">
        <v>256</v>
      </c>
      <c r="G124" s="0" t="n">
        <v>16</v>
      </c>
      <c r="H124" s="0" t="n">
        <v>12.7</v>
      </c>
      <c r="I124" s="0" t="s">
        <v>373</v>
      </c>
      <c r="J124" s="0" t="s">
        <v>374</v>
      </c>
      <c r="K124" s="0" t="s">
        <v>34</v>
      </c>
    </row>
    <row r="125" customFormat="false" ht="15" hidden="false" customHeight="false" outlineLevel="0" collapsed="false">
      <c r="A125" s="0" t="s">
        <v>375</v>
      </c>
      <c r="B125" s="0" t="s">
        <v>256</v>
      </c>
      <c r="C125" s="0" t="n">
        <v>11.6</v>
      </c>
      <c r="D125" s="0" t="n">
        <v>0</v>
      </c>
      <c r="E125" s="0" t="n">
        <v>1</v>
      </c>
      <c r="F125" s="0" t="s">
        <v>291</v>
      </c>
      <c r="G125" s="0" t="n">
        <v>16</v>
      </c>
      <c r="H125" s="0" t="n">
        <v>0</v>
      </c>
      <c r="I125" s="0" t="s">
        <v>376</v>
      </c>
      <c r="J125" s="0" t="s">
        <v>377</v>
      </c>
      <c r="K125" s="0" t="s">
        <v>34</v>
      </c>
    </row>
    <row r="126" customFormat="false" ht="15" hidden="false" customHeight="false" outlineLevel="0" collapsed="false">
      <c r="A126" s="0" t="s">
        <v>378</v>
      </c>
      <c r="B126" s="0" t="s">
        <v>256</v>
      </c>
      <c r="C126" s="0" t="n">
        <v>91.88</v>
      </c>
      <c r="D126" s="0" t="n">
        <v>0</v>
      </c>
      <c r="E126" s="0" t="n">
        <v>1</v>
      </c>
      <c r="F126" s="0" t="s">
        <v>291</v>
      </c>
      <c r="G126" s="0" t="n">
        <v>16</v>
      </c>
      <c r="H126" s="0" t="n">
        <v>0</v>
      </c>
      <c r="I126" s="0" t="s">
        <v>379</v>
      </c>
      <c r="J126" s="0" t="s">
        <v>380</v>
      </c>
      <c r="K126" s="0" t="s">
        <v>34</v>
      </c>
    </row>
    <row r="127" customFormat="false" ht="15" hidden="false" customHeight="false" outlineLevel="0" collapsed="false">
      <c r="A127" s="5" t="s">
        <v>381</v>
      </c>
    </row>
    <row r="128" customFormat="false" ht="15" hidden="false" customHeight="false" outlineLevel="0" collapsed="false">
      <c r="A128" s="0" t="s">
        <v>382</v>
      </c>
      <c r="B128" s="0" t="s">
        <v>256</v>
      </c>
      <c r="C128" s="0" t="n">
        <v>181.67</v>
      </c>
      <c r="D128" s="0" t="n">
        <v>0</v>
      </c>
      <c r="E128" s="0" t="n">
        <v>1</v>
      </c>
      <c r="F128" s="0" t="s">
        <v>291</v>
      </c>
      <c r="G128" s="0" t="n">
        <v>16</v>
      </c>
      <c r="H128" s="0" t="n">
        <v>0</v>
      </c>
      <c r="I128" s="0" t="s">
        <v>383</v>
      </c>
      <c r="J128" s="0" t="s">
        <v>384</v>
      </c>
      <c r="K128" s="0" t="s">
        <v>34</v>
      </c>
    </row>
    <row r="129" customFormat="false" ht="15" hidden="false" customHeight="false" outlineLevel="0" collapsed="false">
      <c r="A129" s="0" t="s">
        <v>385</v>
      </c>
      <c r="B129" s="0" t="s">
        <v>256</v>
      </c>
      <c r="C129" s="0" t="n">
        <v>0</v>
      </c>
      <c r="D129" s="0" t="n">
        <v>0</v>
      </c>
      <c r="E129" s="0" t="n">
        <v>1</v>
      </c>
      <c r="F129" s="0" t="s">
        <v>256</v>
      </c>
      <c r="G129" s="0" t="n">
        <v>16</v>
      </c>
      <c r="H129" s="0" t="n">
        <v>65</v>
      </c>
      <c r="I129" s="0" t="s">
        <v>386</v>
      </c>
      <c r="J129" s="0" t="s">
        <v>387</v>
      </c>
      <c r="K129" s="0" t="s">
        <v>34</v>
      </c>
    </row>
    <row r="130" customFormat="false" ht="15" hidden="false" customHeight="false" outlineLevel="0" collapsed="false">
      <c r="A130" s="0" t="s">
        <v>388</v>
      </c>
      <c r="B130" s="0" t="s">
        <v>256</v>
      </c>
      <c r="C130" s="0" t="n">
        <v>26.67</v>
      </c>
      <c r="D130" s="0" t="n">
        <v>0</v>
      </c>
      <c r="E130" s="0" t="n">
        <v>1</v>
      </c>
      <c r="F130" s="0" t="s">
        <v>257</v>
      </c>
      <c r="G130" s="0" t="n">
        <v>16</v>
      </c>
      <c r="H130" s="0" t="n">
        <v>0</v>
      </c>
      <c r="I130" s="0" t="s">
        <v>389</v>
      </c>
      <c r="J130" s="0" t="s">
        <v>390</v>
      </c>
      <c r="K130" s="0" t="s">
        <v>34</v>
      </c>
    </row>
    <row r="131" customFormat="false" ht="15" hidden="false" customHeight="false" outlineLevel="0" collapsed="false">
      <c r="A131" s="0" t="s">
        <v>391</v>
      </c>
      <c r="B131" s="0" t="s">
        <v>256</v>
      </c>
      <c r="C131" s="0" t="n">
        <v>7.7</v>
      </c>
      <c r="D131" s="0" t="n">
        <v>0</v>
      </c>
      <c r="E131" s="0" t="n">
        <v>1</v>
      </c>
      <c r="F131" s="0" t="s">
        <v>256</v>
      </c>
      <c r="G131" s="0" t="n">
        <v>16</v>
      </c>
      <c r="H131" s="0" t="n">
        <v>0</v>
      </c>
      <c r="I131" s="0" t="s">
        <v>392</v>
      </c>
      <c r="J131" s="0" t="s">
        <v>393</v>
      </c>
      <c r="K131" s="0" t="s">
        <v>34</v>
      </c>
    </row>
    <row r="132" customFormat="false" ht="15" hidden="false" customHeight="false" outlineLevel="0" collapsed="false">
      <c r="A132" s="0" t="s">
        <v>394</v>
      </c>
      <c r="B132" s="0" t="s">
        <v>256</v>
      </c>
      <c r="C132" s="0" t="n">
        <v>0</v>
      </c>
      <c r="D132" s="0" t="n">
        <v>0</v>
      </c>
      <c r="E132" s="0" t="n">
        <v>1</v>
      </c>
      <c r="F132" s="0" t="s">
        <v>256</v>
      </c>
      <c r="G132" s="0" t="n">
        <v>16</v>
      </c>
      <c r="H132" s="0" t="n">
        <v>37.8</v>
      </c>
      <c r="I132" s="0" t="s">
        <v>395</v>
      </c>
      <c r="J132" s="0" t="s">
        <v>396</v>
      </c>
      <c r="K132" s="0" t="s">
        <v>34</v>
      </c>
    </row>
    <row r="133" customFormat="false" ht="15" hidden="false" customHeight="false" outlineLevel="0" collapsed="false">
      <c r="A133" s="0" t="s">
        <v>397</v>
      </c>
      <c r="B133" s="0" t="s">
        <v>256</v>
      </c>
      <c r="C133" s="0" t="n">
        <v>69.88</v>
      </c>
      <c r="D133" s="0" t="n">
        <v>0</v>
      </c>
      <c r="E133" s="0" t="n">
        <v>1</v>
      </c>
      <c r="F133" s="0" t="s">
        <v>291</v>
      </c>
      <c r="G133" s="0" t="n">
        <v>16</v>
      </c>
      <c r="H133" s="0" t="n">
        <v>0</v>
      </c>
      <c r="I133" s="0" t="s">
        <v>398</v>
      </c>
      <c r="J133" s="0" t="s">
        <v>399</v>
      </c>
      <c r="K133" s="0" t="s">
        <v>34</v>
      </c>
    </row>
    <row r="134" customFormat="false" ht="15" hidden="false" customHeight="false" outlineLevel="0" collapsed="false">
      <c r="A134" s="0" t="s">
        <v>400</v>
      </c>
      <c r="B134" s="0" t="s">
        <v>256</v>
      </c>
      <c r="C134" s="0" t="n">
        <v>32.25</v>
      </c>
      <c r="D134" s="0" t="n">
        <v>0</v>
      </c>
      <c r="E134" s="0" t="n">
        <v>1</v>
      </c>
      <c r="F134" s="0" t="s">
        <v>291</v>
      </c>
      <c r="G134" s="0" t="n">
        <v>16</v>
      </c>
      <c r="H134" s="0" t="n">
        <v>0</v>
      </c>
      <c r="I134" s="0" t="s">
        <v>401</v>
      </c>
      <c r="J134" s="0" t="s">
        <v>402</v>
      </c>
      <c r="K134" s="0" t="s">
        <v>34</v>
      </c>
    </row>
    <row r="135" customFormat="false" ht="15" hidden="false" customHeight="false" outlineLevel="0" collapsed="false">
      <c r="A135" s="0" t="s">
        <v>403</v>
      </c>
      <c r="B135" s="0" t="s">
        <v>256</v>
      </c>
      <c r="C135" s="0" t="n">
        <v>0</v>
      </c>
      <c r="D135" s="0" t="n">
        <v>0</v>
      </c>
      <c r="E135" s="0" t="n">
        <v>1</v>
      </c>
      <c r="F135" s="0" t="s">
        <v>256</v>
      </c>
      <c r="G135" s="0" t="n">
        <v>16</v>
      </c>
      <c r="H135" s="0" t="n">
        <v>12.83</v>
      </c>
      <c r="I135" s="0" t="s">
        <v>404</v>
      </c>
      <c r="J135" s="0" t="s">
        <v>405</v>
      </c>
      <c r="K135" s="0" t="s">
        <v>34</v>
      </c>
    </row>
    <row r="136" customFormat="false" ht="15" hidden="false" customHeight="false" outlineLevel="0" collapsed="false">
      <c r="A136" s="5" t="s">
        <v>406</v>
      </c>
    </row>
    <row r="137" customFormat="false" ht="15" hidden="false" customHeight="false" outlineLevel="0" collapsed="false">
      <c r="A137" s="0" t="s">
        <v>407</v>
      </c>
      <c r="B137" s="0" t="s">
        <v>256</v>
      </c>
      <c r="C137" s="0" t="n">
        <v>0</v>
      </c>
      <c r="D137" s="0" t="n">
        <v>0</v>
      </c>
      <c r="E137" s="0" t="n">
        <v>1</v>
      </c>
      <c r="F137" s="0" t="s">
        <v>256</v>
      </c>
      <c r="G137" s="0" t="n">
        <v>16</v>
      </c>
      <c r="H137" s="0" t="n">
        <v>165.3</v>
      </c>
      <c r="I137" s="0" t="s">
        <v>408</v>
      </c>
      <c r="J137" s="0" t="s">
        <v>409</v>
      </c>
      <c r="K137" s="0" t="s">
        <v>34</v>
      </c>
    </row>
    <row r="138" customFormat="false" ht="15" hidden="false" customHeight="false" outlineLevel="0" collapsed="false">
      <c r="A138" s="0" t="s">
        <v>410</v>
      </c>
      <c r="B138" s="0" t="s">
        <v>256</v>
      </c>
      <c r="C138" s="0" t="n">
        <v>0</v>
      </c>
      <c r="D138" s="0" t="n">
        <v>0</v>
      </c>
      <c r="E138" s="0" t="n">
        <v>1</v>
      </c>
      <c r="F138" s="0" t="s">
        <v>256</v>
      </c>
      <c r="G138" s="0" t="n">
        <v>16</v>
      </c>
      <c r="H138" s="0" t="n">
        <v>148.6</v>
      </c>
      <c r="I138" s="0" t="s">
        <v>411</v>
      </c>
      <c r="J138" s="0" t="s">
        <v>412</v>
      </c>
      <c r="K138" s="0" t="s">
        <v>34</v>
      </c>
    </row>
    <row r="139" customFormat="false" ht="15" hidden="false" customHeight="false" outlineLevel="0" collapsed="false">
      <c r="A139" s="0" t="s">
        <v>413</v>
      </c>
      <c r="B139" s="0" t="s">
        <v>256</v>
      </c>
      <c r="C139" s="0" t="n">
        <v>0</v>
      </c>
      <c r="D139" s="0" t="n">
        <v>0</v>
      </c>
      <c r="E139" s="0" t="n">
        <v>1</v>
      </c>
      <c r="F139" s="0" t="s">
        <v>256</v>
      </c>
      <c r="G139" s="0" t="n">
        <v>16</v>
      </c>
      <c r="H139" s="0" t="n">
        <v>16</v>
      </c>
      <c r="I139" s="0" t="s">
        <v>414</v>
      </c>
      <c r="J139" s="0" t="s">
        <v>415</v>
      </c>
      <c r="K139" s="0" t="s">
        <v>34</v>
      </c>
    </row>
    <row r="140" customFormat="false" ht="15" hidden="false" customHeight="false" outlineLevel="0" collapsed="false">
      <c r="A140" s="0" t="s">
        <v>416</v>
      </c>
      <c r="B140" s="0" t="s">
        <v>256</v>
      </c>
      <c r="C140" s="0" t="n">
        <v>0</v>
      </c>
      <c r="D140" s="0" t="n">
        <v>0</v>
      </c>
      <c r="E140" s="0" t="n">
        <v>1</v>
      </c>
      <c r="F140" s="0" t="s">
        <v>256</v>
      </c>
      <c r="G140" s="0" t="n">
        <v>16</v>
      </c>
      <c r="H140" s="0" t="n">
        <v>31.38</v>
      </c>
      <c r="I140" s="0" t="s">
        <v>417</v>
      </c>
      <c r="J140" s="0" t="s">
        <v>418</v>
      </c>
      <c r="K140" s="0" t="s">
        <v>34</v>
      </c>
    </row>
    <row r="141" customFormat="false" ht="15" hidden="false" customHeight="false" outlineLevel="0" collapsed="false">
      <c r="A141" s="0" t="s">
        <v>419</v>
      </c>
      <c r="B141" s="0" t="s">
        <v>256</v>
      </c>
      <c r="C141" s="0" t="n">
        <v>70.77</v>
      </c>
      <c r="D141" s="0" t="n">
        <v>0</v>
      </c>
      <c r="E141" s="0" t="n">
        <v>1</v>
      </c>
      <c r="F141" s="0" t="s">
        <v>256</v>
      </c>
      <c r="G141" s="0" t="n">
        <v>16</v>
      </c>
      <c r="H141" s="0" t="n">
        <v>0</v>
      </c>
      <c r="I141" s="0" t="s">
        <v>420</v>
      </c>
      <c r="J141" s="0" t="s">
        <v>421</v>
      </c>
      <c r="K141" s="0" t="s">
        <v>34</v>
      </c>
    </row>
    <row r="142" customFormat="false" ht="15" hidden="false" customHeight="false" outlineLevel="0" collapsed="false">
      <c r="A142" s="6" t="s">
        <v>422</v>
      </c>
      <c r="C142" s="3" t="n">
        <f aca="false">SUM(C5:C141)</f>
        <v>4033.401</v>
      </c>
      <c r="H142" s="3" t="n">
        <f aca="false">SUM(H5:H141)</f>
        <v>25082.87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36"/>
    <col collapsed="false" customWidth="true" hidden="false" outlineLevel="0" max="8" min="8" style="0" width="57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423</v>
      </c>
    </row>
    <row r="2" customFormat="false" ht="15" hidden="false" customHeight="false" outlineLevel="0" collapsed="false">
      <c r="A2" s="0" t="s">
        <v>424</v>
      </c>
    </row>
    <row r="3" customFormat="false" ht="15" hidden="false" customHeight="false" outlineLevel="0" collapsed="false">
      <c r="A3" s="4" t="s">
        <v>425</v>
      </c>
      <c r="B3" s="4" t="s">
        <v>426</v>
      </c>
      <c r="C3" s="4" t="s">
        <v>427</v>
      </c>
      <c r="D3" s="4" t="s">
        <v>428</v>
      </c>
      <c r="E3" s="4" t="s">
        <v>429</v>
      </c>
      <c r="F3" s="4" t="s">
        <v>430</v>
      </c>
      <c r="G3" s="4" t="s">
        <v>431</v>
      </c>
      <c r="H3" s="4" t="s">
        <v>432</v>
      </c>
      <c r="I3" s="4" t="s">
        <v>433</v>
      </c>
    </row>
    <row r="4" customFormat="false" ht="15" hidden="false" customHeight="false" outlineLevel="0" collapsed="false">
      <c r="A4" s="0" t="s">
        <v>434</v>
      </c>
      <c r="B4" s="0" t="s">
        <v>435</v>
      </c>
      <c r="C4" s="0" t="n">
        <v>5698.21</v>
      </c>
      <c r="D4" s="0" t="n">
        <f aca="false">Inputs!$B$4</f>
        <v>0.15</v>
      </c>
      <c r="E4" s="0" t="n">
        <f aca="false">C4*D4</f>
        <v>854.7315</v>
      </c>
      <c r="F4" s="0" t="n">
        <f aca="false">C4+E4</f>
        <v>6552.9415</v>
      </c>
      <c r="G4" s="0" t="s">
        <v>436</v>
      </c>
      <c r="H4" s="0" t="n">
        <f aca="false">ROUNDUP(ROUNDUP(F4/15.375,0)/MAX(1,INT(20/15.375)),0)</f>
        <v>427</v>
      </c>
      <c r="I4" s="0" t="s">
        <v>437</v>
      </c>
    </row>
    <row r="5" customFormat="false" ht="15" hidden="false" customHeight="false" outlineLevel="0" collapsed="false">
      <c r="A5" s="0" t="s">
        <v>438</v>
      </c>
      <c r="B5" s="0" t="s">
        <v>435</v>
      </c>
      <c r="C5" s="0" t="n">
        <v>285.24</v>
      </c>
      <c r="D5" s="0" t="n">
        <f aca="false">Inputs!$B$4</f>
        <v>0.15</v>
      </c>
      <c r="E5" s="0" t="n">
        <f aca="false">C5*D5</f>
        <v>42.786</v>
      </c>
      <c r="F5" s="0" t="n">
        <f aca="false">C5+E5</f>
        <v>328.026</v>
      </c>
      <c r="G5" s="0" t="s">
        <v>439</v>
      </c>
      <c r="H5" s="0" t="n">
        <f aca="false">ROUNDUP(F5/10,0)</f>
        <v>33</v>
      </c>
      <c r="I5" s="0" t="s">
        <v>440</v>
      </c>
    </row>
    <row r="6" customFormat="false" ht="15" hidden="false" customHeight="false" outlineLevel="0" collapsed="false">
      <c r="A6" s="0" t="s">
        <v>441</v>
      </c>
      <c r="B6" s="0" t="s">
        <v>435</v>
      </c>
      <c r="C6" s="0" t="n">
        <v>154.63</v>
      </c>
      <c r="D6" s="0" t="n">
        <f aca="false">Inputs!$B$4</f>
        <v>0.15</v>
      </c>
      <c r="E6" s="0" t="n">
        <f aca="false">C6*D6</f>
        <v>23.1945</v>
      </c>
      <c r="F6" s="0" t="n">
        <f aca="false">C6+E6</f>
        <v>177.8245</v>
      </c>
      <c r="G6" s="0" t="s">
        <v>439</v>
      </c>
      <c r="H6" s="0" t="n">
        <f aca="false">ROUNDUP(F6/10,0)</f>
        <v>18</v>
      </c>
      <c r="I6" s="0" t="s">
        <v>442</v>
      </c>
    </row>
    <row r="7" customFormat="false" ht="15" hidden="false" customHeight="false" outlineLevel="0" collapsed="false">
      <c r="A7" s="0" t="s">
        <v>443</v>
      </c>
      <c r="B7" s="0" t="s">
        <v>435</v>
      </c>
      <c r="C7" s="0" t="n">
        <v>2250.78</v>
      </c>
      <c r="D7" s="0" t="n">
        <f aca="false">Inputs!$B$4</f>
        <v>0.15</v>
      </c>
      <c r="E7" s="0" t="n">
        <f aca="false">C7*D7</f>
        <v>337.617</v>
      </c>
      <c r="F7" s="0" t="n">
        <f aca="false">C7+E7</f>
        <v>2588.397</v>
      </c>
      <c r="G7" s="0" t="s">
        <v>444</v>
      </c>
      <c r="H7" s="0" t="n">
        <f aca="false">ROUNDUP(F7/16,0)</f>
        <v>162</v>
      </c>
      <c r="I7" s="0" t="s">
        <v>445</v>
      </c>
    </row>
    <row r="8" customFormat="false" ht="15" hidden="false" customHeight="false" outlineLevel="0" collapsed="false">
      <c r="A8" s="0" t="s">
        <v>446</v>
      </c>
      <c r="B8" s="0" t="s">
        <v>447</v>
      </c>
      <c r="C8" s="0" t="n">
        <v>5470</v>
      </c>
      <c r="D8" s="0" t="n">
        <f aca="false">Inputs!$B$4</f>
        <v>0.15</v>
      </c>
      <c r="E8" s="0" t="n">
        <f aca="false">C8*D8</f>
        <v>820.5</v>
      </c>
      <c r="F8" s="0" t="n">
        <f aca="false">C8+E8</f>
        <v>6290.5</v>
      </c>
      <c r="G8" s="0" t="s">
        <v>447</v>
      </c>
      <c r="H8" s="0" t="n">
        <f aca="false">ROUNDUP(F8,0)</f>
        <v>6291</v>
      </c>
      <c r="I8" s="0" t="s">
        <v>445</v>
      </c>
    </row>
    <row r="9" customFormat="false" ht="15" hidden="false" customHeight="false" outlineLevel="0" collapsed="false">
      <c r="A9" s="0" t="s">
        <v>448</v>
      </c>
      <c r="B9" s="0" t="s">
        <v>449</v>
      </c>
      <c r="C9" s="0" t="n">
        <v>5136.84</v>
      </c>
      <c r="D9" s="0" t="n">
        <f aca="false">Inputs!$B$5</f>
        <v>0.06</v>
      </c>
      <c r="E9" s="0" t="n">
        <f aca="false">C9*D9</f>
        <v>308.2104</v>
      </c>
      <c r="F9" s="0" t="n">
        <f aca="false">C9+E9</f>
        <v>5445.0504</v>
      </c>
      <c r="G9" s="0" t="s">
        <v>449</v>
      </c>
      <c r="H9" s="0" t="n">
        <f aca="false">ROUNDUP(F9,0)</f>
        <v>5446</v>
      </c>
      <c r="I9" s="0" t="s">
        <v>445</v>
      </c>
    </row>
    <row r="10" customFormat="false" ht="15" hidden="false" customHeight="false" outlineLevel="0" collapsed="false">
      <c r="A10" s="0" t="s">
        <v>450</v>
      </c>
      <c r="B10" s="0" t="s">
        <v>435</v>
      </c>
      <c r="C10" s="0" t="n">
        <v>994.68</v>
      </c>
      <c r="D10" s="0" t="n">
        <f aca="false">Inputs!$B$5</f>
        <v>0.06</v>
      </c>
      <c r="E10" s="0" t="n">
        <f aca="false">C10*D10</f>
        <v>59.6808</v>
      </c>
      <c r="F10" s="0" t="n">
        <f aca="false">C10+E10</f>
        <v>1054.3608</v>
      </c>
      <c r="G10" s="0" t="s">
        <v>451</v>
      </c>
      <c r="H10" s="0" t="n">
        <f aca="false">ROUNDUP(F10/30,0)</f>
        <v>36</v>
      </c>
      <c r="I10" s="0" t="s">
        <v>445</v>
      </c>
    </row>
    <row r="11" customFormat="false" ht="15" hidden="false" customHeight="false" outlineLevel="0" collapsed="false">
      <c r="A11" s="0" t="s">
        <v>452</v>
      </c>
      <c r="B11" s="0" t="s">
        <v>449</v>
      </c>
      <c r="C11" s="0" t="n">
        <v>16308.65</v>
      </c>
      <c r="D11" s="0" t="n">
        <f aca="false">Inputs!$B$5</f>
        <v>0.06</v>
      </c>
      <c r="E11" s="0" t="n">
        <f aca="false">C11*D11</f>
        <v>978.519</v>
      </c>
      <c r="F11" s="0" t="n">
        <f aca="false">C11+E11</f>
        <v>17287.169</v>
      </c>
      <c r="G11" s="0" t="s">
        <v>453</v>
      </c>
      <c r="H11" s="0" t="n">
        <f aca="false">ROUNDUP(F11/48,0)</f>
        <v>361</v>
      </c>
      <c r="I11" s="0" t="s">
        <v>454</v>
      </c>
    </row>
    <row r="12" customFormat="false" ht="15" hidden="false" customHeight="false" outlineLevel="0" collapsed="false">
      <c r="A12" s="0" t="s">
        <v>455</v>
      </c>
      <c r="B12" s="0" t="s">
        <v>435</v>
      </c>
      <c r="C12" s="0" t="n">
        <v>36.26</v>
      </c>
      <c r="D12" s="0" t="n">
        <f aca="false">Inputs!$B$4</f>
        <v>0.15</v>
      </c>
      <c r="E12" s="0" t="n">
        <f aca="false">C12*D12</f>
        <v>5.439</v>
      </c>
      <c r="F12" s="0" t="n">
        <f aca="false">C12+E12</f>
        <v>41.699</v>
      </c>
      <c r="G12" s="0" t="s">
        <v>439</v>
      </c>
      <c r="H12" s="0" t="n">
        <f aca="false">ROUNDUP(F12/10,0)</f>
        <v>5</v>
      </c>
      <c r="I12" s="0" t="s">
        <v>456</v>
      </c>
    </row>
    <row r="13" customFormat="false" ht="15" hidden="false" customHeight="false" outlineLevel="0" collapsed="false">
      <c r="A13" s="0" t="s">
        <v>457</v>
      </c>
      <c r="B13" s="0" t="s">
        <v>435</v>
      </c>
      <c r="C13" s="0" t="n">
        <v>154.51</v>
      </c>
      <c r="D13" s="0" t="n">
        <f aca="false">Inputs!$B$4</f>
        <v>0.15</v>
      </c>
      <c r="E13" s="0" t="n">
        <f aca="false">C13*D13</f>
        <v>23.1765</v>
      </c>
      <c r="F13" s="0" t="n">
        <f aca="false">C13+E13</f>
        <v>177.6865</v>
      </c>
      <c r="G13" s="0" t="s">
        <v>436</v>
      </c>
      <c r="H13" s="0" t="n">
        <f aca="false">ROUNDUP(ROUNDUP(F13/15.375,0)/MAX(1,INT(20/15.375)),0)</f>
        <v>12</v>
      </c>
      <c r="I13" s="0" t="s">
        <v>458</v>
      </c>
    </row>
    <row r="14" customFormat="false" ht="15" hidden="false" customHeight="false" outlineLevel="0" collapsed="false">
      <c r="A14" s="0" t="s">
        <v>459</v>
      </c>
      <c r="B14" s="0" t="s">
        <v>449</v>
      </c>
      <c r="C14" s="0" t="n">
        <v>78.1</v>
      </c>
      <c r="D14" s="0" t="n">
        <f aca="false">Inputs!$B$5</f>
        <v>0.06</v>
      </c>
      <c r="E14" s="0" t="n">
        <f aca="false">C14*D14</f>
        <v>4.686</v>
      </c>
      <c r="F14" s="0" t="n">
        <f aca="false">C14+E14</f>
        <v>82.786</v>
      </c>
      <c r="G14" s="0" t="s">
        <v>460</v>
      </c>
      <c r="H14" s="0" t="n">
        <f aca="false">ROUNDUP(F14/32,0)</f>
        <v>3</v>
      </c>
      <c r="I14" s="0" t="s">
        <v>461</v>
      </c>
    </row>
    <row r="15" customFormat="false" ht="15" hidden="false" customHeight="false" outlineLevel="0" collapsed="false">
      <c r="A15" s="0" t="s">
        <v>462</v>
      </c>
      <c r="B15" s="0" t="s">
        <v>449</v>
      </c>
      <c r="C15" s="0" t="n">
        <v>60.87</v>
      </c>
      <c r="D15" s="0" t="n">
        <f aca="false">Inputs!$B$5</f>
        <v>0.06</v>
      </c>
      <c r="E15" s="0" t="n">
        <f aca="false">C15*D15</f>
        <v>3.6522</v>
      </c>
      <c r="F15" s="0" t="n">
        <f aca="false">C15+E15</f>
        <v>64.5222</v>
      </c>
      <c r="G15" s="0" t="s">
        <v>453</v>
      </c>
      <c r="H15" s="0" t="n">
        <f aca="false">ROUNDUP(F15/48,0)</f>
        <v>2</v>
      </c>
      <c r="I15" s="0" t="s">
        <v>461</v>
      </c>
    </row>
    <row r="16" customFormat="false" ht="15" hidden="false" customHeight="false" outlineLevel="0" collapsed="false">
      <c r="A16" s="0" t="s">
        <v>463</v>
      </c>
      <c r="B16" s="0" t="s">
        <v>447</v>
      </c>
      <c r="C16" s="0" t="n">
        <v>9</v>
      </c>
      <c r="D16" s="0" t="n">
        <v>0</v>
      </c>
      <c r="E16" s="0" t="n">
        <f aca="false">C16*D16</f>
        <v>0</v>
      </c>
      <c r="F16" s="0" t="n">
        <f aca="false">C16+E16</f>
        <v>9</v>
      </c>
      <c r="G16" s="0" t="s">
        <v>447</v>
      </c>
      <c r="H16" s="0" t="n">
        <f aca="false">ROUNDUP(F16,0)</f>
        <v>9</v>
      </c>
      <c r="I16" s="0" t="s">
        <v>461</v>
      </c>
    </row>
    <row r="17" customFormat="false" ht="15" hidden="false" customHeight="false" outlineLevel="0" collapsed="false">
      <c r="A17" s="0" t="s">
        <v>464</v>
      </c>
      <c r="B17" s="0" t="s">
        <v>435</v>
      </c>
      <c r="C17" s="0" t="n">
        <v>1559.67</v>
      </c>
      <c r="D17" s="0" t="n">
        <f aca="false">Inputs!$B$4</f>
        <v>0.15</v>
      </c>
      <c r="E17" s="0" t="n">
        <f aca="false">C17*D17</f>
        <v>233.9505</v>
      </c>
      <c r="F17" s="0" t="n">
        <f aca="false">C17+E17</f>
        <v>1793.6205</v>
      </c>
      <c r="G17" s="0" t="s">
        <v>436</v>
      </c>
      <c r="H17" s="0" t="n">
        <f aca="false">ROUNDUP(ROUNDUP(F17/15.375,0)/MAX(1,INT(20/15.375)),0)</f>
        <v>117</v>
      </c>
      <c r="I17" s="0" t="s">
        <v>465</v>
      </c>
    </row>
    <row r="18" customFormat="false" ht="15" hidden="false" customHeight="false" outlineLevel="0" collapsed="false">
      <c r="A18" s="0" t="s">
        <v>466</v>
      </c>
      <c r="B18" s="0" t="s">
        <v>435</v>
      </c>
      <c r="C18" s="0" t="n">
        <v>94.71</v>
      </c>
      <c r="D18" s="0" t="n">
        <f aca="false">Inputs!$B$4</f>
        <v>0.15</v>
      </c>
      <c r="E18" s="0" t="n">
        <f aca="false">C18*D18</f>
        <v>14.2065</v>
      </c>
      <c r="F18" s="0" t="n">
        <f aca="false">C18+E18</f>
        <v>108.9165</v>
      </c>
      <c r="G18" s="0" t="s">
        <v>439</v>
      </c>
      <c r="H18" s="0" t="n">
        <f aca="false">ROUNDUP(F18/10,0)</f>
        <v>11</v>
      </c>
      <c r="I18" s="0" t="s">
        <v>467</v>
      </c>
    </row>
    <row r="19" customFormat="false" ht="15" hidden="false" customHeight="false" outlineLevel="0" collapsed="false">
      <c r="A19" s="0" t="s">
        <v>468</v>
      </c>
      <c r="B19" s="0" t="s">
        <v>435</v>
      </c>
      <c r="C19" s="0" t="n">
        <v>82.53</v>
      </c>
      <c r="D19" s="0" t="n">
        <f aca="false">Inputs!$B$4</f>
        <v>0.15</v>
      </c>
      <c r="E19" s="0" t="n">
        <f aca="false">C19*D19</f>
        <v>12.3795</v>
      </c>
      <c r="F19" s="0" t="n">
        <f aca="false">C19+E19</f>
        <v>94.9095</v>
      </c>
      <c r="G19" s="0" t="s">
        <v>439</v>
      </c>
      <c r="H19" s="0" t="n">
        <f aca="false">ROUNDUP(F19/10,0)</f>
        <v>10</v>
      </c>
      <c r="I19" s="0" t="s">
        <v>469</v>
      </c>
    </row>
    <row r="20" customFormat="false" ht="15" hidden="false" customHeight="false" outlineLevel="0" collapsed="false">
      <c r="A20" s="0" t="s">
        <v>470</v>
      </c>
      <c r="B20" s="0" t="s">
        <v>435</v>
      </c>
      <c r="C20" s="0" t="n">
        <v>49.15</v>
      </c>
      <c r="D20" s="0" t="n">
        <f aca="false">Inputs!$B$4</f>
        <v>0.15</v>
      </c>
      <c r="E20" s="0" t="n">
        <f aca="false">C20*D20</f>
        <v>7.3725</v>
      </c>
      <c r="F20" s="0" t="n">
        <f aca="false">C20+E20</f>
        <v>56.5225</v>
      </c>
      <c r="G20" s="0" t="s">
        <v>439</v>
      </c>
      <c r="H20" s="0" t="n">
        <f aca="false">ROUNDUP(F20/10,0)</f>
        <v>6</v>
      </c>
      <c r="I20" s="0" t="s">
        <v>471</v>
      </c>
    </row>
    <row r="21" customFormat="false" ht="15" hidden="false" customHeight="false" outlineLevel="0" collapsed="false">
      <c r="A21" s="0" t="s">
        <v>472</v>
      </c>
      <c r="B21" s="0" t="s">
        <v>435</v>
      </c>
      <c r="C21" s="0" t="n">
        <v>61.5</v>
      </c>
      <c r="D21" s="0" t="n">
        <f aca="false">Inputs!$B$4</f>
        <v>0.15</v>
      </c>
      <c r="E21" s="0" t="n">
        <f aca="false">C21*D21</f>
        <v>9.225</v>
      </c>
      <c r="F21" s="0" t="n">
        <f aca="false">C21+E21</f>
        <v>70.725</v>
      </c>
      <c r="G21" s="0" t="s">
        <v>436</v>
      </c>
      <c r="H21" s="0" t="n">
        <f aca="false">ROUNDUP(ROUNDUP(F21/15.375,0)/MAX(1,INT(20/15.375)),0)</f>
        <v>5</v>
      </c>
      <c r="I21" s="0" t="s">
        <v>473</v>
      </c>
    </row>
    <row r="22" customFormat="false" ht="15" hidden="false" customHeight="false" outlineLevel="0" collapsed="false">
      <c r="A22" s="0" t="s">
        <v>474</v>
      </c>
      <c r="B22" s="0" t="s">
        <v>435</v>
      </c>
      <c r="C22" s="0" t="n">
        <v>78.28</v>
      </c>
      <c r="D22" s="0" t="n">
        <f aca="false">Inputs!$B$4</f>
        <v>0.15</v>
      </c>
      <c r="E22" s="0" t="n">
        <f aca="false">C22*D22</f>
        <v>11.742</v>
      </c>
      <c r="F22" s="0" t="n">
        <f aca="false">C22+E22</f>
        <v>90.022</v>
      </c>
      <c r="G22" s="0" t="s">
        <v>439</v>
      </c>
      <c r="H22" s="0" t="n">
        <f aca="false">ROUNDUP(F22/10,0)</f>
        <v>10</v>
      </c>
      <c r="I22" s="0" t="s">
        <v>475</v>
      </c>
    </row>
    <row r="23" customFormat="false" ht="15" hidden="false" customHeight="false" outlineLevel="0" collapsed="false">
      <c r="A23" s="0" t="s">
        <v>476</v>
      </c>
      <c r="B23" s="0" t="s">
        <v>449</v>
      </c>
      <c r="C23" s="0" t="n">
        <v>180.48</v>
      </c>
      <c r="D23" s="0" t="n">
        <f aca="false">Inputs!$B$5</f>
        <v>0.06</v>
      </c>
      <c r="E23" s="0" t="n">
        <f aca="false">C23*D23</f>
        <v>10.8288</v>
      </c>
      <c r="F23" s="0" t="n">
        <f aca="false">C23+E23</f>
        <v>191.3088</v>
      </c>
      <c r="G23" s="0" t="s">
        <v>453</v>
      </c>
      <c r="H23" s="0" t="n">
        <f aca="false">ROUNDUP(F23/48,0)</f>
        <v>4</v>
      </c>
      <c r="I23" s="0" t="s">
        <v>477</v>
      </c>
    </row>
    <row r="24" customFormat="false" ht="15" hidden="false" customHeight="false" outlineLevel="0" collapsed="false">
      <c r="A24" s="0" t="s">
        <v>478</v>
      </c>
      <c r="B24" s="0" t="s">
        <v>435</v>
      </c>
      <c r="C24" s="0" t="n">
        <v>3271.6</v>
      </c>
      <c r="D24" s="0" t="n">
        <f aca="false">Inputs!$B$4</f>
        <v>0.15</v>
      </c>
      <c r="E24" s="0" t="n">
        <f aca="false">C24*D24</f>
        <v>490.74</v>
      </c>
      <c r="F24" s="0" t="n">
        <f aca="false">C24+E24</f>
        <v>3762.34</v>
      </c>
      <c r="G24" s="0" t="s">
        <v>436</v>
      </c>
      <c r="H24" s="0" t="n">
        <f aca="false">ROUNDUP(ROUNDUP(F24/15.375,0)/MAX(1,INT(20/15.375)),0)</f>
        <v>245</v>
      </c>
      <c r="I24" s="0" t="s">
        <v>479</v>
      </c>
    </row>
    <row r="25" customFormat="false" ht="15" hidden="false" customHeight="false" outlineLevel="0" collapsed="false">
      <c r="A25" s="0" t="s">
        <v>480</v>
      </c>
      <c r="B25" s="0" t="s">
        <v>435</v>
      </c>
      <c r="C25" s="0" t="n">
        <v>12.18</v>
      </c>
      <c r="D25" s="0" t="n">
        <f aca="false">Inputs!$B$4</f>
        <v>0.15</v>
      </c>
      <c r="E25" s="0" t="n">
        <f aca="false">C25*D25</f>
        <v>1.827</v>
      </c>
      <c r="F25" s="0" t="n">
        <f aca="false">C25+E25</f>
        <v>14.007</v>
      </c>
      <c r="G25" s="0" t="s">
        <v>439</v>
      </c>
      <c r="H25" s="0" t="n">
        <f aca="false">ROUNDUP(F25/10,0)</f>
        <v>2</v>
      </c>
      <c r="I25" s="0" t="s">
        <v>481</v>
      </c>
    </row>
    <row r="26" customFormat="false" ht="15" hidden="false" customHeight="false" outlineLevel="0" collapsed="false">
      <c r="A26" s="0" t="s">
        <v>482</v>
      </c>
      <c r="B26" s="0" t="s">
        <v>435</v>
      </c>
      <c r="C26" s="0" t="n">
        <v>3.58</v>
      </c>
      <c r="D26" s="0" t="n">
        <f aca="false">Inputs!$B$4</f>
        <v>0.15</v>
      </c>
      <c r="E26" s="0" t="n">
        <f aca="false">C26*D26</f>
        <v>0.537</v>
      </c>
      <c r="F26" s="0" t="n">
        <f aca="false">C26+E26</f>
        <v>4.117</v>
      </c>
      <c r="G26" s="0" t="s">
        <v>439</v>
      </c>
      <c r="H26" s="0" t="n">
        <f aca="false">ROUNDUP(F26/10,0)</f>
        <v>1</v>
      </c>
      <c r="I26" s="0" t="s">
        <v>483</v>
      </c>
    </row>
    <row r="27" customFormat="false" ht="15" hidden="false" customHeight="false" outlineLevel="0" collapsed="false">
      <c r="A27" s="0" t="s">
        <v>484</v>
      </c>
      <c r="B27" s="0" t="s">
        <v>449</v>
      </c>
      <c r="C27" s="0" t="n">
        <v>271.72</v>
      </c>
      <c r="D27" s="0" t="n">
        <f aca="false">Inputs!$B$5</f>
        <v>0.06</v>
      </c>
      <c r="E27" s="0" t="n">
        <f aca="false">C27*D27</f>
        <v>16.3032</v>
      </c>
      <c r="F27" s="0" t="n">
        <f aca="false">C27+E27</f>
        <v>288.0232</v>
      </c>
      <c r="G27" s="0" t="s">
        <v>460</v>
      </c>
      <c r="H27" s="0" t="n">
        <f aca="false">ROUNDUP(F27/32,0)</f>
        <v>10</v>
      </c>
      <c r="I27" s="0" t="s">
        <v>483</v>
      </c>
    </row>
    <row r="28" customFormat="false" ht="15" hidden="false" customHeight="false" outlineLevel="0" collapsed="false">
      <c r="A28" s="0" t="s">
        <v>485</v>
      </c>
      <c r="B28" s="0" t="s">
        <v>435</v>
      </c>
      <c r="C28" s="0" t="n">
        <v>4044.62</v>
      </c>
      <c r="D28" s="0" t="n">
        <f aca="false">Inputs!$B$4</f>
        <v>0.15</v>
      </c>
      <c r="E28" s="0" t="n">
        <f aca="false">C28*D28</f>
        <v>606.693</v>
      </c>
      <c r="F28" s="0" t="n">
        <f aca="false">C28+E28</f>
        <v>4651.313</v>
      </c>
      <c r="G28" s="0" t="s">
        <v>436</v>
      </c>
      <c r="H28" s="0" t="n">
        <f aca="false">ROUNDUP(ROUNDUP(F28/15.375,0)/MAX(1,INT(20/15.375)),0)</f>
        <v>303</v>
      </c>
      <c r="I28" s="0" t="s">
        <v>486</v>
      </c>
    </row>
    <row r="29" customFormat="false" ht="15" hidden="false" customHeight="false" outlineLevel="0" collapsed="false">
      <c r="A29" s="0" t="s">
        <v>487</v>
      </c>
      <c r="B29" s="0" t="s">
        <v>435</v>
      </c>
      <c r="C29" s="0" t="n">
        <v>294.41</v>
      </c>
      <c r="D29" s="0" t="n">
        <f aca="false">Inputs!$B$4</f>
        <v>0.15</v>
      </c>
      <c r="E29" s="0" t="n">
        <f aca="false">C29*D29</f>
        <v>44.1615</v>
      </c>
      <c r="F29" s="0" t="n">
        <f aca="false">C29+E29</f>
        <v>338.5715</v>
      </c>
      <c r="G29" s="0" t="s">
        <v>439</v>
      </c>
      <c r="H29" s="0" t="n">
        <f aca="false">ROUNDUP(F29/10,0)</f>
        <v>34</v>
      </c>
      <c r="I29" s="0" t="s">
        <v>486</v>
      </c>
    </row>
    <row r="30" customFormat="false" ht="15" hidden="false" customHeight="false" outlineLevel="0" collapsed="false">
      <c r="A30" s="0" t="s">
        <v>488</v>
      </c>
      <c r="B30" s="0" t="s">
        <v>435</v>
      </c>
      <c r="C30" s="0" t="n">
        <v>204.41</v>
      </c>
      <c r="D30" s="0" t="n">
        <f aca="false">Inputs!$B$4</f>
        <v>0.15</v>
      </c>
      <c r="E30" s="0" t="n">
        <f aca="false">C30*D30</f>
        <v>30.6615</v>
      </c>
      <c r="F30" s="0" t="n">
        <f aca="false">C30+E30</f>
        <v>235.0715</v>
      </c>
      <c r="G30" s="0" t="s">
        <v>439</v>
      </c>
      <c r="H30" s="0" t="n">
        <f aca="false">ROUNDUP(F30/10,0)</f>
        <v>24</v>
      </c>
      <c r="I30" s="0" t="s">
        <v>489</v>
      </c>
    </row>
    <row r="31" customFormat="false" ht="15" hidden="false" customHeight="false" outlineLevel="0" collapsed="false">
      <c r="A31" s="0" t="s">
        <v>490</v>
      </c>
      <c r="B31" s="0" t="s">
        <v>435</v>
      </c>
      <c r="C31" s="0" t="n">
        <v>258.29</v>
      </c>
      <c r="D31" s="0" t="n">
        <f aca="false">Inputs!$B$4</f>
        <v>0.15</v>
      </c>
      <c r="E31" s="0" t="n">
        <f aca="false">C31*D31</f>
        <v>38.7435</v>
      </c>
      <c r="F31" s="0" t="n">
        <f aca="false">C31+E31</f>
        <v>297.0335</v>
      </c>
      <c r="G31" s="0" t="s">
        <v>439</v>
      </c>
      <c r="H31" s="0" t="n">
        <f aca="false">ROUNDUP(F31/10,0)</f>
        <v>30</v>
      </c>
      <c r="I31" s="0" t="s">
        <v>491</v>
      </c>
    </row>
    <row r="32" customFormat="false" ht="15" hidden="false" customHeight="false" outlineLevel="0" collapsed="false">
      <c r="A32" s="0" t="s">
        <v>492</v>
      </c>
      <c r="B32" s="0" t="s">
        <v>435</v>
      </c>
      <c r="C32" s="0" t="n">
        <v>258.29</v>
      </c>
      <c r="D32" s="0" t="n">
        <f aca="false">Inputs!$B$4</f>
        <v>0.15</v>
      </c>
      <c r="E32" s="0" t="n">
        <f aca="false">C32*D32</f>
        <v>38.7435</v>
      </c>
      <c r="F32" s="0" t="n">
        <f aca="false">C32+E32</f>
        <v>297.0335</v>
      </c>
      <c r="G32" s="0" t="s">
        <v>439</v>
      </c>
      <c r="H32" s="0" t="n">
        <f aca="false">ROUNDUP(F32/10,0)</f>
        <v>30</v>
      </c>
      <c r="I32" s="0" t="s">
        <v>491</v>
      </c>
    </row>
    <row r="33" customFormat="false" ht="15" hidden="false" customHeight="false" outlineLevel="0" collapsed="false">
      <c r="A33" s="0" t="s">
        <v>493</v>
      </c>
      <c r="B33" s="0" t="s">
        <v>449</v>
      </c>
      <c r="C33" s="0" t="n">
        <v>3529.82</v>
      </c>
      <c r="D33" s="0" t="n">
        <f aca="false">Inputs!$B$5</f>
        <v>0.06</v>
      </c>
      <c r="E33" s="0" t="n">
        <f aca="false">C33*D33</f>
        <v>211.7892</v>
      </c>
      <c r="F33" s="0" t="n">
        <f aca="false">C33+E33</f>
        <v>3741.6092</v>
      </c>
      <c r="G33" s="0" t="s">
        <v>460</v>
      </c>
      <c r="H33" s="0" t="n">
        <f aca="false">ROUNDUP(F33/32,0)</f>
        <v>117</v>
      </c>
      <c r="I33" s="0" t="s">
        <v>494</v>
      </c>
    </row>
    <row r="34" customFormat="false" ht="15" hidden="false" customHeight="false" outlineLevel="0" collapsed="false">
      <c r="A34" s="0" t="s">
        <v>495</v>
      </c>
      <c r="B34" s="0" t="s">
        <v>449</v>
      </c>
      <c r="C34" s="0" t="n">
        <v>441.22</v>
      </c>
      <c r="D34" s="0" t="n">
        <f aca="false">Inputs!$B$5</f>
        <v>0.06</v>
      </c>
      <c r="E34" s="0" t="n">
        <f aca="false">C34*D34</f>
        <v>26.4732</v>
      </c>
      <c r="F34" s="0" t="n">
        <f aca="false">C34+E34</f>
        <v>467.6932</v>
      </c>
      <c r="G34" s="0" t="s">
        <v>460</v>
      </c>
      <c r="H34" s="0" t="n">
        <f aca="false">ROUNDUP(F34/32,0)</f>
        <v>15</v>
      </c>
      <c r="I34" s="0" t="s">
        <v>491</v>
      </c>
    </row>
    <row r="35" customFormat="false" ht="15" hidden="false" customHeight="false" outlineLevel="0" collapsed="false">
      <c r="A35" s="0" t="s">
        <v>496</v>
      </c>
      <c r="B35" s="0" t="s">
        <v>435</v>
      </c>
      <c r="C35" s="0" t="n">
        <v>209.65</v>
      </c>
      <c r="D35" s="0" t="n">
        <f aca="false">Inputs!$B$5</f>
        <v>0.06</v>
      </c>
      <c r="E35" s="0" t="n">
        <f aca="false">C35*D35</f>
        <v>12.579</v>
      </c>
      <c r="F35" s="0" t="n">
        <f aca="false">C35+E35</f>
        <v>222.229</v>
      </c>
      <c r="G35" s="0" t="s">
        <v>451</v>
      </c>
      <c r="H35" s="0" t="n">
        <f aca="false">ROUNDUP(F35/30,0)</f>
        <v>8</v>
      </c>
      <c r="I35" s="0" t="s">
        <v>497</v>
      </c>
    </row>
    <row r="36" customFormat="false" ht="15" hidden="false" customHeight="false" outlineLevel="0" collapsed="false">
      <c r="A36" s="0" t="s">
        <v>498</v>
      </c>
      <c r="B36" s="0" t="s">
        <v>435</v>
      </c>
      <c r="C36" s="0" t="n">
        <v>98.63</v>
      </c>
      <c r="D36" s="0" t="n">
        <f aca="false">Inputs!$B$4</f>
        <v>0.15</v>
      </c>
      <c r="E36" s="0" t="n">
        <f aca="false">C36*D36</f>
        <v>14.7945</v>
      </c>
      <c r="F36" s="0" t="n">
        <f aca="false">C36+E36</f>
        <v>113.4245</v>
      </c>
      <c r="G36" s="0" t="s">
        <v>439</v>
      </c>
      <c r="H36" s="0" t="n">
        <f aca="false">ROUNDUP(F36/10,0)</f>
        <v>12</v>
      </c>
      <c r="I36" s="0" t="s">
        <v>499</v>
      </c>
    </row>
    <row r="37" customFormat="false" ht="15" hidden="false" customHeight="false" outlineLevel="0" collapsed="false">
      <c r="A37" s="0" t="s">
        <v>500</v>
      </c>
      <c r="B37" s="0" t="s">
        <v>435</v>
      </c>
      <c r="C37" s="0" t="n">
        <v>94</v>
      </c>
      <c r="D37" s="0" t="n">
        <f aca="false">Inputs!$B$5</f>
        <v>0.06</v>
      </c>
      <c r="E37" s="0" t="n">
        <f aca="false">C37*D37</f>
        <v>5.64</v>
      </c>
      <c r="F37" s="0" t="n">
        <f aca="false">C37+E37</f>
        <v>99.64</v>
      </c>
      <c r="G37" s="0" t="s">
        <v>501</v>
      </c>
      <c r="H37" s="0" t="n">
        <f aca="false">ROUNDUP(F37/8,0)</f>
        <v>13</v>
      </c>
      <c r="I37" s="0" t="s">
        <v>502</v>
      </c>
    </row>
    <row r="38" customFormat="false" ht="15" hidden="false" customHeight="false" outlineLevel="0" collapsed="false">
      <c r="A38" s="0" t="s">
        <v>503</v>
      </c>
      <c r="B38" s="0" t="s">
        <v>435</v>
      </c>
      <c r="C38" s="0" t="n">
        <v>741.25</v>
      </c>
      <c r="D38" s="0" t="n">
        <f aca="false">Inputs!$B$4</f>
        <v>0.15</v>
      </c>
      <c r="E38" s="0" t="n">
        <f aca="false">C38*D38</f>
        <v>111.1875</v>
      </c>
      <c r="F38" s="0" t="n">
        <f aca="false">C38+E38</f>
        <v>852.4375</v>
      </c>
      <c r="G38" s="0" t="s">
        <v>439</v>
      </c>
      <c r="H38" s="0" t="n">
        <f aca="false">ROUNDUP(F38/10,0)</f>
        <v>86</v>
      </c>
      <c r="I38" s="0" t="s">
        <v>504</v>
      </c>
    </row>
    <row r="39" customFormat="false" ht="15" hidden="false" customHeight="false" outlineLevel="0" collapsed="false">
      <c r="A39" s="0" t="s">
        <v>505</v>
      </c>
      <c r="B39" s="0" t="s">
        <v>435</v>
      </c>
      <c r="C39" s="0" t="n">
        <v>250.31</v>
      </c>
      <c r="D39" s="0" t="n">
        <f aca="false">Inputs!$B$4</f>
        <v>0.15</v>
      </c>
      <c r="E39" s="0" t="n">
        <f aca="false">C39*D39</f>
        <v>37.5465</v>
      </c>
      <c r="F39" s="0" t="n">
        <f aca="false">C39+E39</f>
        <v>287.8565</v>
      </c>
      <c r="G39" s="0" t="s">
        <v>439</v>
      </c>
      <c r="H39" s="0" t="n">
        <f aca="false">ROUNDUP(F39/10,0)</f>
        <v>29</v>
      </c>
      <c r="I39" s="0" t="s">
        <v>506</v>
      </c>
    </row>
    <row r="40" customFormat="false" ht="15" hidden="false" customHeight="false" outlineLevel="0" collapsed="false">
      <c r="A40" s="0" t="s">
        <v>507</v>
      </c>
      <c r="B40" s="0" t="s">
        <v>435</v>
      </c>
      <c r="C40" s="0" t="n">
        <v>120.17</v>
      </c>
      <c r="D40" s="0" t="n">
        <f aca="false">Inputs!$B$4</f>
        <v>0.15</v>
      </c>
      <c r="E40" s="0" t="n">
        <f aca="false">C40*D40</f>
        <v>18.0255</v>
      </c>
      <c r="F40" s="0" t="n">
        <f aca="false">C40+E40</f>
        <v>138.1955</v>
      </c>
      <c r="G40" s="0" t="s">
        <v>439</v>
      </c>
      <c r="H40" s="0" t="n">
        <f aca="false">ROUNDUP(F40/10,0)</f>
        <v>14</v>
      </c>
      <c r="I40" s="0" t="s">
        <v>508</v>
      </c>
    </row>
    <row r="41" customFormat="false" ht="15" hidden="false" customHeight="false" outlineLevel="0" collapsed="false">
      <c r="A41" s="0" t="s">
        <v>509</v>
      </c>
      <c r="B41" s="0" t="s">
        <v>435</v>
      </c>
      <c r="C41" s="0" t="n">
        <v>59.51</v>
      </c>
      <c r="D41" s="0" t="n">
        <f aca="false">Inputs!$B$4</f>
        <v>0.15</v>
      </c>
      <c r="E41" s="0" t="n">
        <f aca="false">C41*D41</f>
        <v>8.9265</v>
      </c>
      <c r="F41" s="0" t="n">
        <f aca="false">C41+E41</f>
        <v>68.4365</v>
      </c>
      <c r="G41" s="0" t="s">
        <v>439</v>
      </c>
      <c r="H41" s="0" t="n">
        <f aca="false">ROUNDUP(F41/10,0)</f>
        <v>7</v>
      </c>
      <c r="I41" s="0" t="s">
        <v>510</v>
      </c>
    </row>
    <row r="42" customFormat="false" ht="15" hidden="false" customHeight="false" outlineLevel="0" collapsed="false">
      <c r="A42" s="0" t="s">
        <v>511</v>
      </c>
      <c r="B42" s="0" t="s">
        <v>449</v>
      </c>
      <c r="C42" s="0" t="n">
        <v>2351.51</v>
      </c>
      <c r="D42" s="0" t="n">
        <f aca="false">Inputs!$B$5</f>
        <v>0.06</v>
      </c>
      <c r="E42" s="0" t="n">
        <f aca="false">C42*D42</f>
        <v>141.0906</v>
      </c>
      <c r="F42" s="0" t="n">
        <f aca="false">C42+E42</f>
        <v>2492.6006</v>
      </c>
      <c r="G42" s="0" t="s">
        <v>460</v>
      </c>
      <c r="H42" s="0" t="n">
        <f aca="false">ROUNDUP(F42/32,0)</f>
        <v>78</v>
      </c>
      <c r="I42" s="0" t="s">
        <v>512</v>
      </c>
    </row>
    <row r="43" customFormat="false" ht="15" hidden="false" customHeight="false" outlineLevel="0" collapsed="false">
      <c r="A43" s="0" t="s">
        <v>513</v>
      </c>
      <c r="B43" s="0" t="s">
        <v>435</v>
      </c>
      <c r="C43" s="0" t="n">
        <v>30.75</v>
      </c>
      <c r="D43" s="0" t="n">
        <f aca="false">Inputs!$B$4</f>
        <v>0.15</v>
      </c>
      <c r="E43" s="0" t="n">
        <f aca="false">C43*D43</f>
        <v>4.6125</v>
      </c>
      <c r="F43" s="0" t="n">
        <f aca="false">C43+E43</f>
        <v>35.3625</v>
      </c>
      <c r="G43" s="0" t="s">
        <v>436</v>
      </c>
      <c r="H43" s="0" t="n">
        <f aca="false">ROUNDUP(ROUNDUP(F43/14.362,0)/MAX(1,INT(20/14.362)),0)</f>
        <v>3</v>
      </c>
      <c r="I43" s="0" t="s">
        <v>514</v>
      </c>
    </row>
    <row r="44" customFormat="false" ht="15" hidden="false" customHeight="false" outlineLevel="0" collapsed="false">
      <c r="A44" s="0" t="s">
        <v>515</v>
      </c>
      <c r="B44" s="0" t="s">
        <v>449</v>
      </c>
      <c r="C44" s="0" t="n">
        <v>162.57</v>
      </c>
      <c r="D44" s="0" t="n">
        <f aca="false">Inputs!$B$5</f>
        <v>0.06</v>
      </c>
      <c r="E44" s="0" t="n">
        <f aca="false">C44*D44</f>
        <v>9.7542</v>
      </c>
      <c r="F44" s="0" t="n">
        <f aca="false">C44+E44</f>
        <v>172.3242</v>
      </c>
      <c r="G44" s="0" t="s">
        <v>449</v>
      </c>
      <c r="H44" s="0" t="n">
        <f aca="false">ROUNDUP(F44,0)</f>
        <v>173</v>
      </c>
      <c r="I44" s="0" t="s">
        <v>516</v>
      </c>
    </row>
    <row r="45" customFormat="false" ht="15" hidden="false" customHeight="false" outlineLevel="0" collapsed="false">
      <c r="A45" s="0" t="s">
        <v>517</v>
      </c>
      <c r="B45" s="0" t="s">
        <v>435</v>
      </c>
      <c r="C45" s="0" t="n">
        <v>90</v>
      </c>
      <c r="D45" s="0" t="n">
        <f aca="false">Inputs!$B$4</f>
        <v>0.15</v>
      </c>
      <c r="E45" s="0" t="n">
        <f aca="false">C45*D45</f>
        <v>13.5</v>
      </c>
      <c r="F45" s="0" t="n">
        <f aca="false">C45+E45</f>
        <v>103.5</v>
      </c>
      <c r="G45" s="0" t="s">
        <v>439</v>
      </c>
      <c r="H45" s="0" t="n">
        <f aca="false">ROUNDUP(F45/10,0)</f>
        <v>11</v>
      </c>
      <c r="I45" s="0" t="s">
        <v>518</v>
      </c>
    </row>
    <row r="46" customFormat="false" ht="15" hidden="false" customHeight="false" outlineLevel="0" collapsed="false">
      <c r="A46" s="0" t="s">
        <v>519</v>
      </c>
      <c r="B46" s="0" t="s">
        <v>435</v>
      </c>
      <c r="C46" s="0" t="n">
        <v>53</v>
      </c>
      <c r="D46" s="0" t="n">
        <f aca="false">Inputs!$B$4</f>
        <v>0.15</v>
      </c>
      <c r="E46" s="0" t="n">
        <f aca="false">C46*D46</f>
        <v>7.95</v>
      </c>
      <c r="F46" s="0" t="n">
        <f aca="false">C46+E46</f>
        <v>60.95</v>
      </c>
      <c r="G46" s="0" t="s">
        <v>439</v>
      </c>
      <c r="H46" s="0" t="n">
        <f aca="false">ROUNDUP(F46/10,0)</f>
        <v>7</v>
      </c>
      <c r="I46" s="0" t="s">
        <v>518</v>
      </c>
    </row>
    <row r="47" customFormat="false" ht="15" hidden="false" customHeight="false" outlineLevel="0" collapsed="false">
      <c r="A47" s="0" t="s">
        <v>520</v>
      </c>
      <c r="B47" s="0" t="s">
        <v>435</v>
      </c>
      <c r="C47" s="0" t="n">
        <v>172.12</v>
      </c>
      <c r="D47" s="0" t="n">
        <f aca="false">Inputs!$B$4</f>
        <v>0.15</v>
      </c>
      <c r="E47" s="0" t="n">
        <f aca="false">C47*D47</f>
        <v>25.818</v>
      </c>
      <c r="F47" s="0" t="n">
        <f aca="false">C47+E47</f>
        <v>197.938</v>
      </c>
      <c r="G47" s="0" t="s">
        <v>439</v>
      </c>
      <c r="H47" s="0" t="n">
        <f aca="false">ROUNDUP(F47/10,0)</f>
        <v>20</v>
      </c>
      <c r="I47" s="0" t="s">
        <v>521</v>
      </c>
    </row>
    <row r="48" customFormat="false" ht="15" hidden="false" customHeight="false" outlineLevel="0" collapsed="false">
      <c r="A48" s="0" t="s">
        <v>522</v>
      </c>
      <c r="B48" s="0" t="s">
        <v>435</v>
      </c>
      <c r="C48" s="0" t="n">
        <v>944.37</v>
      </c>
      <c r="D48" s="0" t="n">
        <f aca="false">Inputs!$B$4</f>
        <v>0.15</v>
      </c>
      <c r="E48" s="0" t="n">
        <f aca="false">C48*D48</f>
        <v>141.6555</v>
      </c>
      <c r="F48" s="0" t="n">
        <f aca="false">C48+E48</f>
        <v>1086.0255</v>
      </c>
      <c r="G48" s="0" t="s">
        <v>436</v>
      </c>
      <c r="H48" s="0" t="n">
        <f aca="false">ROUNDUP(ROUNDUP(F48/2.042,0)/MAX(1,INT(20/2.042)),0)</f>
        <v>60</v>
      </c>
      <c r="I48" s="0" t="s">
        <v>523</v>
      </c>
    </row>
    <row r="49" customFormat="false" ht="15" hidden="false" customHeight="false" outlineLevel="0" collapsed="false">
      <c r="A49" s="0" t="s">
        <v>524</v>
      </c>
      <c r="B49" s="0" t="s">
        <v>435</v>
      </c>
      <c r="C49" s="0" t="n">
        <v>275.12</v>
      </c>
      <c r="D49" s="0" t="n">
        <f aca="false">Inputs!$B$4</f>
        <v>0.15</v>
      </c>
      <c r="E49" s="0" t="n">
        <f aca="false">C49*D49</f>
        <v>41.268</v>
      </c>
      <c r="F49" s="0" t="n">
        <f aca="false">C49+E49</f>
        <v>316.388</v>
      </c>
      <c r="G49" s="0" t="s">
        <v>439</v>
      </c>
      <c r="H49" s="0" t="n">
        <f aca="false">ROUNDUP(F49/10,0)</f>
        <v>32</v>
      </c>
      <c r="I49" s="0" t="s">
        <v>525</v>
      </c>
    </row>
    <row r="50" customFormat="false" ht="15" hidden="false" customHeight="false" outlineLevel="0" collapsed="false">
      <c r="A50" s="0" t="s">
        <v>526</v>
      </c>
      <c r="B50" s="0" t="s">
        <v>435</v>
      </c>
      <c r="C50" s="0" t="n">
        <v>275.12</v>
      </c>
      <c r="D50" s="0" t="n">
        <f aca="false">Inputs!$B$4</f>
        <v>0.15</v>
      </c>
      <c r="E50" s="0" t="n">
        <f aca="false">C50*D50</f>
        <v>41.268</v>
      </c>
      <c r="F50" s="0" t="n">
        <f aca="false">C50+E50</f>
        <v>316.388</v>
      </c>
      <c r="G50" s="0" t="s">
        <v>439</v>
      </c>
      <c r="H50" s="0" t="n">
        <f aca="false">ROUNDUP(F50/10,0)</f>
        <v>32</v>
      </c>
      <c r="I50" s="0" t="s">
        <v>525</v>
      </c>
    </row>
    <row r="51" customFormat="false" ht="15" hidden="false" customHeight="false" outlineLevel="0" collapsed="false">
      <c r="A51" s="0" t="s">
        <v>527</v>
      </c>
      <c r="B51" s="0" t="s">
        <v>449</v>
      </c>
      <c r="C51" s="0" t="n">
        <v>985.9</v>
      </c>
      <c r="D51" s="0" t="n">
        <f aca="false">Inputs!$B$5</f>
        <v>0.06</v>
      </c>
      <c r="E51" s="0" t="n">
        <f aca="false">C51*D51</f>
        <v>59.154</v>
      </c>
      <c r="F51" s="0" t="n">
        <f aca="false">C51+E51</f>
        <v>1045.054</v>
      </c>
      <c r="G51" s="0" t="s">
        <v>460</v>
      </c>
      <c r="H51" s="0" t="n">
        <f aca="false">ROUNDUP(F51/32,0)</f>
        <v>33</v>
      </c>
      <c r="I51" s="0" t="s">
        <v>528</v>
      </c>
    </row>
    <row r="52" customFormat="false" ht="15" hidden="false" customHeight="false" outlineLevel="0" collapsed="false">
      <c r="A52" s="0" t="s">
        <v>529</v>
      </c>
      <c r="B52" s="0" t="s">
        <v>435</v>
      </c>
      <c r="C52" s="0" t="n">
        <v>550.24</v>
      </c>
      <c r="D52" s="0" t="n">
        <f aca="false">Inputs!$B$5</f>
        <v>0.06</v>
      </c>
      <c r="E52" s="0" t="n">
        <f aca="false">C52*D52</f>
        <v>33.0144</v>
      </c>
      <c r="F52" s="0" t="n">
        <f aca="false">C52+E52</f>
        <v>583.2544</v>
      </c>
      <c r="G52" s="0" t="s">
        <v>501</v>
      </c>
      <c r="H52" s="0" t="n">
        <f aca="false">ROUNDUP(F52/8,0)</f>
        <v>73</v>
      </c>
      <c r="I52" s="0" t="s">
        <v>530</v>
      </c>
    </row>
    <row r="53" customFormat="false" ht="15" hidden="false" customHeight="false" outlineLevel="0" collapsed="false">
      <c r="A53" s="0" t="s">
        <v>531</v>
      </c>
      <c r="B53" s="0" t="s">
        <v>447</v>
      </c>
      <c r="C53" s="0" t="n">
        <v>289</v>
      </c>
      <c r="D53" s="0" t="n">
        <f aca="false">Inputs!$B$4</f>
        <v>0.15</v>
      </c>
      <c r="E53" s="0" t="n">
        <f aca="false">C53*D53</f>
        <v>43.35</v>
      </c>
      <c r="F53" s="0" t="n">
        <f aca="false">C53+E53</f>
        <v>332.35</v>
      </c>
      <c r="G53" s="0" t="s">
        <v>447</v>
      </c>
      <c r="H53" s="0" t="n">
        <f aca="false">ROUNDUP(F53,0)</f>
        <v>333</v>
      </c>
      <c r="I53" s="0" t="s">
        <v>532</v>
      </c>
    </row>
    <row r="54" customFormat="false" ht="15" hidden="false" customHeight="false" outlineLevel="0" collapsed="false">
      <c r="A54" s="0" t="s">
        <v>533</v>
      </c>
      <c r="B54" s="0" t="s">
        <v>435</v>
      </c>
      <c r="C54" s="0" t="n">
        <v>157.77</v>
      </c>
      <c r="D54" s="0" t="n">
        <f aca="false">Inputs!$B$4</f>
        <v>0.15</v>
      </c>
      <c r="E54" s="0" t="n">
        <f aca="false">C54*D54</f>
        <v>23.6655</v>
      </c>
      <c r="F54" s="0" t="n">
        <f aca="false">C54+E54</f>
        <v>181.4355</v>
      </c>
      <c r="G54" s="0" t="s">
        <v>444</v>
      </c>
      <c r="H54" s="0" t="n">
        <f aca="false">ROUNDUP(F54/16,0)</f>
        <v>12</v>
      </c>
      <c r="I54" s="0" t="s">
        <v>534</v>
      </c>
    </row>
    <row r="55" customFormat="false" ht="15" hidden="false" customHeight="false" outlineLevel="0" collapsed="false">
      <c r="A55" s="0" t="s">
        <v>535</v>
      </c>
      <c r="B55" s="0" t="s">
        <v>435</v>
      </c>
      <c r="C55" s="0" t="n">
        <v>52.33</v>
      </c>
      <c r="D55" s="0" t="n">
        <f aca="false">Inputs!$B$4</f>
        <v>0.15</v>
      </c>
      <c r="E55" s="0" t="n">
        <f aca="false">C55*D55</f>
        <v>7.8495</v>
      </c>
      <c r="F55" s="0" t="n">
        <f aca="false">C55+E55</f>
        <v>60.1795</v>
      </c>
      <c r="G55" s="0" t="s">
        <v>439</v>
      </c>
      <c r="H55" s="0" t="n">
        <f aca="false">ROUNDUP(F55/10,0)</f>
        <v>7</v>
      </c>
      <c r="I55" s="0" t="s">
        <v>536</v>
      </c>
    </row>
    <row r="56" customFormat="false" ht="15" hidden="false" customHeight="false" outlineLevel="0" collapsed="false">
      <c r="A56" s="0" t="s">
        <v>537</v>
      </c>
      <c r="B56" s="0" t="s">
        <v>435</v>
      </c>
      <c r="C56" s="0" t="n">
        <v>68.98</v>
      </c>
      <c r="D56" s="0" t="n">
        <f aca="false">Inputs!$B$4</f>
        <v>0.15</v>
      </c>
      <c r="E56" s="0" t="n">
        <f aca="false">C56*D56</f>
        <v>10.347</v>
      </c>
      <c r="F56" s="0" t="n">
        <f aca="false">C56+E56</f>
        <v>79.327</v>
      </c>
      <c r="G56" s="0" t="s">
        <v>439</v>
      </c>
      <c r="H56" s="0" t="n">
        <f aca="false">ROUNDUP(F56/10,0)</f>
        <v>8</v>
      </c>
      <c r="I56" s="0" t="s">
        <v>538</v>
      </c>
    </row>
    <row r="57" customFormat="false" ht="15" hidden="false" customHeight="false" outlineLevel="0" collapsed="false">
      <c r="A57" s="0" t="s">
        <v>539</v>
      </c>
      <c r="B57" s="0" t="s">
        <v>449</v>
      </c>
      <c r="C57" s="0" t="n">
        <v>170.77</v>
      </c>
      <c r="D57" s="0" t="n">
        <f aca="false">Inputs!$B$5</f>
        <v>0.06</v>
      </c>
      <c r="E57" s="0" t="n">
        <f aca="false">C57*D57</f>
        <v>10.2462</v>
      </c>
      <c r="F57" s="0" t="n">
        <f aca="false">C57+E57</f>
        <v>181.0162</v>
      </c>
      <c r="G57" s="0" t="s">
        <v>460</v>
      </c>
      <c r="H57" s="0" t="n">
        <f aca="false">ROUNDUP(F57/32,0)</f>
        <v>6</v>
      </c>
      <c r="I57" s="0" t="s">
        <v>540</v>
      </c>
    </row>
    <row r="58" customFormat="false" ht="15" hidden="false" customHeight="false" outlineLevel="0" collapsed="false">
      <c r="A58" s="0" t="s">
        <v>541</v>
      </c>
      <c r="B58" s="0" t="s">
        <v>435</v>
      </c>
      <c r="C58" s="0" t="n">
        <v>52.33</v>
      </c>
      <c r="D58" s="0" t="n">
        <f aca="false">Inputs!$B$5</f>
        <v>0.06</v>
      </c>
      <c r="E58" s="0" t="n">
        <f aca="false">C58*D58</f>
        <v>3.1398</v>
      </c>
      <c r="F58" s="0" t="n">
        <f aca="false">C58+E58</f>
        <v>55.4698</v>
      </c>
      <c r="G58" s="0" t="s">
        <v>501</v>
      </c>
      <c r="H58" s="0" t="n">
        <f aca="false">ROUNDUP(F58/8,0)</f>
        <v>7</v>
      </c>
      <c r="I58" s="0" t="s">
        <v>542</v>
      </c>
    </row>
    <row r="59" customFormat="false" ht="15" hidden="false" customHeight="false" outlineLevel="0" collapsed="false">
      <c r="A59" s="0" t="s">
        <v>543</v>
      </c>
      <c r="B59" s="0" t="s">
        <v>435</v>
      </c>
      <c r="C59" s="0" t="n">
        <v>878.45</v>
      </c>
      <c r="D59" s="0" t="n">
        <f aca="false">Inputs!$B$4</f>
        <v>0.15</v>
      </c>
      <c r="E59" s="0" t="n">
        <f aca="false">C59*D59</f>
        <v>131.7675</v>
      </c>
      <c r="F59" s="0" t="n">
        <f aca="false">C59+E59</f>
        <v>1010.2175</v>
      </c>
      <c r="G59" s="0" t="s">
        <v>439</v>
      </c>
      <c r="H59" s="0" t="n">
        <f aca="false">ROUNDUP(F59/10,0)</f>
        <v>102</v>
      </c>
      <c r="I59" s="0" t="s">
        <v>544</v>
      </c>
    </row>
    <row r="60" customFormat="false" ht="15" hidden="false" customHeight="false" outlineLevel="0" collapsed="false">
      <c r="A60" s="0" t="s">
        <v>545</v>
      </c>
      <c r="B60" s="0" t="s">
        <v>435</v>
      </c>
      <c r="C60" s="0" t="n">
        <v>686.9</v>
      </c>
      <c r="D60" s="0" t="n">
        <f aca="false">Inputs!$B$4</f>
        <v>0.15</v>
      </c>
      <c r="E60" s="0" t="n">
        <f aca="false">C60*D60</f>
        <v>103.035</v>
      </c>
      <c r="F60" s="0" t="n">
        <f aca="false">C60+E60</f>
        <v>789.935</v>
      </c>
      <c r="G60" s="0" t="s">
        <v>435</v>
      </c>
      <c r="H60" s="0" t="n">
        <f aca="false">ROUNDUP(F60,0)</f>
        <v>790</v>
      </c>
      <c r="I60" s="0" t="s">
        <v>546</v>
      </c>
    </row>
    <row r="61" customFormat="false" ht="15" hidden="false" customHeight="false" outlineLevel="0" collapsed="false">
      <c r="A61" s="0" t="s">
        <v>547</v>
      </c>
      <c r="B61" s="0" t="s">
        <v>449</v>
      </c>
      <c r="C61" s="0" t="n">
        <v>1054.35</v>
      </c>
      <c r="D61" s="0" t="n">
        <f aca="false">Inputs!$B$5</f>
        <v>0.06</v>
      </c>
      <c r="E61" s="0" t="n">
        <f aca="false">C61*D61</f>
        <v>63.261</v>
      </c>
      <c r="F61" s="0" t="n">
        <f aca="false">C61+E61</f>
        <v>1117.611</v>
      </c>
      <c r="G61" s="0" t="s">
        <v>453</v>
      </c>
      <c r="H61" s="0" t="n">
        <f aca="false">ROUNDUP(F61/48,0)</f>
        <v>24</v>
      </c>
      <c r="I61" s="0" t="s">
        <v>548</v>
      </c>
    </row>
    <row r="62" customFormat="false" ht="15" hidden="false" customHeight="false" outlineLevel="0" collapsed="false">
      <c r="A62" s="0" t="s">
        <v>549</v>
      </c>
      <c r="B62" s="0" t="s">
        <v>435</v>
      </c>
      <c r="C62" s="0" t="n">
        <v>234.55</v>
      </c>
      <c r="D62" s="0" t="n">
        <f aca="false">Inputs!$B$4</f>
        <v>0.15</v>
      </c>
      <c r="E62" s="0" t="n">
        <f aca="false">C62*D62</f>
        <v>35.1825</v>
      </c>
      <c r="F62" s="0" t="n">
        <f aca="false">C62+E62</f>
        <v>269.7325</v>
      </c>
      <c r="G62" s="0" t="s">
        <v>444</v>
      </c>
      <c r="H62" s="0" t="n">
        <f aca="false">ROUNDUP(F62/16,0)</f>
        <v>17</v>
      </c>
      <c r="I62" s="0" t="s">
        <v>550</v>
      </c>
    </row>
    <row r="63" customFormat="false" ht="15" hidden="false" customHeight="false" outlineLevel="0" collapsed="false">
      <c r="A63" s="0" t="s">
        <v>551</v>
      </c>
      <c r="B63" s="0" t="s">
        <v>435</v>
      </c>
      <c r="C63" s="0" t="n">
        <v>703.78</v>
      </c>
      <c r="D63" s="0" t="n">
        <f aca="false">Inputs!$B$4</f>
        <v>0.15</v>
      </c>
      <c r="E63" s="0" t="n">
        <f aca="false">C63*D63</f>
        <v>105.567</v>
      </c>
      <c r="F63" s="0" t="n">
        <f aca="false">C63+E63</f>
        <v>809.347</v>
      </c>
      <c r="G63" s="0" t="s">
        <v>444</v>
      </c>
      <c r="H63" s="0" t="n">
        <f aca="false">ROUNDUP(F63/16,0)</f>
        <v>51</v>
      </c>
      <c r="I63" s="0" t="s">
        <v>552</v>
      </c>
    </row>
    <row r="64" customFormat="false" ht="15" hidden="false" customHeight="false" outlineLevel="0" collapsed="false">
      <c r="A64" s="0" t="s">
        <v>553</v>
      </c>
      <c r="B64" s="0" t="s">
        <v>435</v>
      </c>
      <c r="C64" s="0" t="n">
        <v>341.75</v>
      </c>
      <c r="D64" s="0" t="n">
        <f aca="false">Inputs!$B$4</f>
        <v>0.15</v>
      </c>
      <c r="E64" s="0" t="n">
        <f aca="false">C64*D64</f>
        <v>51.2625</v>
      </c>
      <c r="F64" s="0" t="n">
        <f aca="false">C64+E64</f>
        <v>393.0125</v>
      </c>
      <c r="G64" s="0" t="s">
        <v>554</v>
      </c>
      <c r="H64" s="0" t="n">
        <f aca="false">ROUNDUP(F64,0)</f>
        <v>394</v>
      </c>
      <c r="I64" s="0" t="s">
        <v>555</v>
      </c>
    </row>
    <row r="65" customFormat="false" ht="15" hidden="false" customHeight="false" outlineLevel="0" collapsed="false">
      <c r="A65" s="0" t="s">
        <v>556</v>
      </c>
      <c r="B65" s="0" t="s">
        <v>435</v>
      </c>
      <c r="C65" s="0" t="n">
        <v>267.28</v>
      </c>
      <c r="D65" s="0" t="n">
        <f aca="false">Inputs!$B$4</f>
        <v>0.15</v>
      </c>
      <c r="E65" s="0" t="n">
        <f aca="false">C65*D65</f>
        <v>40.092</v>
      </c>
      <c r="F65" s="0" t="n">
        <f aca="false">C65+E65</f>
        <v>307.372</v>
      </c>
      <c r="G65" s="0" t="s">
        <v>439</v>
      </c>
      <c r="H65" s="0" t="n">
        <f aca="false">ROUNDUP(F65/10,0)</f>
        <v>31</v>
      </c>
      <c r="I65" s="0" t="s">
        <v>557</v>
      </c>
    </row>
    <row r="66" customFormat="false" ht="15" hidden="false" customHeight="false" outlineLevel="0" collapsed="false">
      <c r="A66" s="0" t="s">
        <v>558</v>
      </c>
      <c r="B66" s="0" t="s">
        <v>435</v>
      </c>
      <c r="C66" s="0" t="n">
        <v>343.6</v>
      </c>
      <c r="D66" s="0" t="n">
        <f aca="false">Inputs!$B$4</f>
        <v>0.15</v>
      </c>
      <c r="E66" s="0" t="n">
        <f aca="false">C66*D66</f>
        <v>51.54</v>
      </c>
      <c r="F66" s="0" t="n">
        <f aca="false">C66+E66</f>
        <v>395.14</v>
      </c>
      <c r="G66" s="0" t="s">
        <v>435</v>
      </c>
      <c r="H66" s="0" t="n">
        <f aca="false">ROUNDUP(F66,0)</f>
        <v>396</v>
      </c>
      <c r="I66" s="0" t="s">
        <v>559</v>
      </c>
    </row>
    <row r="67" customFormat="false" ht="15" hidden="false" customHeight="false" outlineLevel="0" collapsed="false">
      <c r="A67" s="0" t="s">
        <v>560</v>
      </c>
      <c r="B67" s="0" t="s">
        <v>435</v>
      </c>
      <c r="C67" s="0" t="n">
        <v>176</v>
      </c>
      <c r="D67" s="0" t="n">
        <f aca="false">Inputs!$B$4</f>
        <v>0.15</v>
      </c>
      <c r="E67" s="0" t="n">
        <f aca="false">C67*D67</f>
        <v>26.4</v>
      </c>
      <c r="F67" s="0" t="n">
        <f aca="false">C67+E67</f>
        <v>202.4</v>
      </c>
      <c r="G67" s="0" t="s">
        <v>439</v>
      </c>
      <c r="H67" s="0" t="n">
        <f aca="false">ROUNDUP(F67/10,0)</f>
        <v>21</v>
      </c>
      <c r="I67" s="0" t="s">
        <v>561</v>
      </c>
    </row>
    <row r="68" customFormat="false" ht="15" hidden="false" customHeight="false" outlineLevel="0" collapsed="false">
      <c r="A68" s="0" t="s">
        <v>562</v>
      </c>
      <c r="B68" s="0" t="s">
        <v>447</v>
      </c>
      <c r="C68" s="0" t="n">
        <v>1</v>
      </c>
      <c r="D68" s="0" t="n">
        <v>0</v>
      </c>
      <c r="E68" s="0" t="n">
        <f aca="false">C68*D68</f>
        <v>0</v>
      </c>
      <c r="F68" s="0" t="n">
        <f aca="false">C68+E68</f>
        <v>1</v>
      </c>
      <c r="G68" s="0" t="s">
        <v>447</v>
      </c>
      <c r="H68" s="0" t="n">
        <f aca="false">ROUNDUP(F68,0)</f>
        <v>1</v>
      </c>
      <c r="I68" s="0" t="s">
        <v>563</v>
      </c>
    </row>
    <row r="69" customFormat="false" ht="15" hidden="false" customHeight="false" outlineLevel="0" collapsed="false">
      <c r="A69" s="0" t="s">
        <v>564</v>
      </c>
      <c r="B69" s="0" t="s">
        <v>435</v>
      </c>
      <c r="C69" s="0" t="n">
        <v>92.12</v>
      </c>
      <c r="D69" s="0" t="n">
        <f aca="false">Inputs!$B$4</f>
        <v>0.15</v>
      </c>
      <c r="E69" s="0" t="n">
        <f aca="false">C69*D69</f>
        <v>13.818</v>
      </c>
      <c r="F69" s="0" t="n">
        <f aca="false">C69+E69</f>
        <v>105.938</v>
      </c>
      <c r="G69" s="0" t="s">
        <v>439</v>
      </c>
      <c r="H69" s="0" t="n">
        <f aca="false">ROUNDUP(F69/10,0)</f>
        <v>11</v>
      </c>
      <c r="I69" s="0" t="s">
        <v>565</v>
      </c>
    </row>
    <row r="70" customFormat="false" ht="15" hidden="false" customHeight="false" outlineLevel="0" collapsed="false">
      <c r="A70" s="0" t="s">
        <v>566</v>
      </c>
      <c r="B70" s="0" t="s">
        <v>435</v>
      </c>
      <c r="C70" s="0" t="n">
        <v>12</v>
      </c>
      <c r="D70" s="0" t="n">
        <f aca="false">Inputs!$B$5</f>
        <v>0.06</v>
      </c>
      <c r="E70" s="0" t="n">
        <f aca="false">C70*D70</f>
        <v>0.72</v>
      </c>
      <c r="F70" s="0" t="n">
        <f aca="false">C70+E70</f>
        <v>12.72</v>
      </c>
      <c r="G70" s="0" t="s">
        <v>501</v>
      </c>
      <c r="H70" s="0" t="n">
        <f aca="false">ROUNDUP(F70/8,0)</f>
        <v>2</v>
      </c>
      <c r="I70" s="0" t="s">
        <v>567</v>
      </c>
    </row>
    <row r="71" customFormat="false" ht="15" hidden="false" customHeight="false" outlineLevel="0" collapsed="false">
      <c r="A71" s="0" t="s">
        <v>568</v>
      </c>
      <c r="B71" s="0" t="s">
        <v>435</v>
      </c>
      <c r="C71" s="0" t="n">
        <v>26.67</v>
      </c>
      <c r="D71" s="0" t="n">
        <f aca="false">Inputs!$B$4</f>
        <v>0.15</v>
      </c>
      <c r="E71" s="0" t="n">
        <f aca="false">C71*D71</f>
        <v>4.0005</v>
      </c>
      <c r="F71" s="0" t="n">
        <f aca="false">C71+E71</f>
        <v>30.6705</v>
      </c>
      <c r="G71" s="0" t="s">
        <v>439</v>
      </c>
      <c r="H71" s="0" t="n">
        <f aca="false">ROUNDUP(F71/10,0)</f>
        <v>4</v>
      </c>
      <c r="I71" s="0" t="s">
        <v>569</v>
      </c>
    </row>
    <row r="72" customFormat="false" ht="15" hidden="false" customHeight="false" outlineLevel="0" collapsed="false">
      <c r="A72" s="0" t="s">
        <v>570</v>
      </c>
      <c r="B72" s="0" t="s">
        <v>435</v>
      </c>
      <c r="C72" s="0" t="n">
        <v>7.7</v>
      </c>
      <c r="D72" s="0" t="n">
        <f aca="false">Inputs!$B$4</f>
        <v>0.15</v>
      </c>
      <c r="E72" s="0" t="n">
        <f aca="false">C72*D72</f>
        <v>1.155</v>
      </c>
      <c r="F72" s="0" t="n">
        <f aca="false">C72+E72</f>
        <v>8.855</v>
      </c>
      <c r="G72" s="0" t="s">
        <v>436</v>
      </c>
      <c r="H72" s="0" t="n">
        <f aca="false">ROUNDUP(ROUNDUP(F72/5.375,0)/MAX(1,INT(20/5.375)),0)</f>
        <v>1</v>
      </c>
      <c r="I72" s="0" t="s">
        <v>571</v>
      </c>
    </row>
    <row r="73" customFormat="false" ht="15" hidden="false" customHeight="false" outlineLevel="0" collapsed="false">
      <c r="A73" s="0" t="s">
        <v>572</v>
      </c>
      <c r="B73" s="0" t="s">
        <v>435</v>
      </c>
      <c r="C73" s="0" t="n">
        <v>26.67</v>
      </c>
      <c r="D73" s="0" t="n">
        <f aca="false">Inputs!$B$4</f>
        <v>0.15</v>
      </c>
      <c r="E73" s="0" t="n">
        <f aca="false">C73*D73</f>
        <v>4.0005</v>
      </c>
      <c r="F73" s="0" t="n">
        <f aca="false">C73+E73</f>
        <v>30.6705</v>
      </c>
      <c r="G73" s="0" t="s">
        <v>439</v>
      </c>
      <c r="H73" s="0" t="n">
        <f aca="false">ROUNDUP(F73/10,0)</f>
        <v>4</v>
      </c>
      <c r="I73" s="0" t="s">
        <v>573</v>
      </c>
    </row>
    <row r="74" customFormat="false" ht="15" hidden="false" customHeight="false" outlineLevel="0" collapsed="false">
      <c r="A74" s="0" t="s">
        <v>574</v>
      </c>
      <c r="B74" s="0" t="s">
        <v>435</v>
      </c>
      <c r="C74" s="0" t="n">
        <v>41.71</v>
      </c>
      <c r="D74" s="0" t="n">
        <f aca="false">Inputs!$B$4</f>
        <v>0.15</v>
      </c>
      <c r="E74" s="0" t="n">
        <f aca="false">C74*D74</f>
        <v>6.2565</v>
      </c>
      <c r="F74" s="0" t="n">
        <f aca="false">C74+E74</f>
        <v>47.9665</v>
      </c>
      <c r="G74" s="0" t="s">
        <v>439</v>
      </c>
      <c r="H74" s="0" t="n">
        <f aca="false">ROUNDUP(F74/10,0)</f>
        <v>5</v>
      </c>
      <c r="I74" s="0" t="s">
        <v>575</v>
      </c>
    </row>
    <row r="75" customFormat="false" ht="15" hidden="false" customHeight="false" outlineLevel="0" collapsed="false">
      <c r="A75" s="0" t="s">
        <v>576</v>
      </c>
      <c r="B75" s="0" t="s">
        <v>449</v>
      </c>
      <c r="C75" s="0" t="n">
        <v>329.9</v>
      </c>
      <c r="D75" s="0" t="n">
        <f aca="false">Inputs!$B$5</f>
        <v>0.06</v>
      </c>
      <c r="E75" s="0" t="n">
        <f aca="false">C75*D75</f>
        <v>19.794</v>
      </c>
      <c r="F75" s="0" t="n">
        <f aca="false">C75+E75</f>
        <v>349.694</v>
      </c>
      <c r="G75" s="0" t="s">
        <v>460</v>
      </c>
      <c r="H75" s="0" t="n">
        <f aca="false">ROUNDUP(F75/32,0)</f>
        <v>11</v>
      </c>
      <c r="I75" s="0" t="s">
        <v>577</v>
      </c>
    </row>
    <row r="76" customFormat="false" ht="15" hidden="false" customHeight="false" outlineLevel="0" collapsed="false">
      <c r="A76" s="0" t="s">
        <v>578</v>
      </c>
      <c r="B76" s="0" t="s">
        <v>449</v>
      </c>
      <c r="C76" s="0" t="n">
        <v>31.38</v>
      </c>
      <c r="D76" s="0" t="n">
        <f aca="false">Inputs!$B$5</f>
        <v>0.06</v>
      </c>
      <c r="E76" s="0" t="n">
        <f aca="false">C76*D76</f>
        <v>1.8828</v>
      </c>
      <c r="F76" s="0" t="n">
        <f aca="false">C76+E76</f>
        <v>33.2628</v>
      </c>
      <c r="G76" s="0" t="s">
        <v>579</v>
      </c>
      <c r="H76" s="0" t="n">
        <f aca="false">ROUNDUP(F76/15,0)</f>
        <v>3</v>
      </c>
      <c r="I76" s="0" t="s">
        <v>580</v>
      </c>
    </row>
    <row r="77" customFormat="false" ht="15" hidden="false" customHeight="false" outlineLevel="0" collapsed="false">
      <c r="A77" s="0" t="s">
        <v>581</v>
      </c>
      <c r="B77" s="0" t="s">
        <v>435</v>
      </c>
      <c r="C77" s="0" t="n">
        <v>70.77</v>
      </c>
      <c r="D77" s="0" t="n">
        <f aca="false">Inputs!$B$5</f>
        <v>0.06</v>
      </c>
      <c r="E77" s="0" t="n">
        <f aca="false">C77*D77</f>
        <v>4.2462</v>
      </c>
      <c r="F77" s="0" t="n">
        <f aca="false">C77+E77</f>
        <v>75.0162</v>
      </c>
      <c r="G77" s="0" t="s">
        <v>439</v>
      </c>
      <c r="H77" s="0" t="n">
        <f aca="false">ROUNDUP(F77/10,0)</f>
        <v>8</v>
      </c>
      <c r="I77" s="0" t="s">
        <v>582</v>
      </c>
    </row>
    <row r="78" customFormat="false" ht="15" hidden="false" customHeight="false" outlineLevel="0" collapsed="false">
      <c r="A78" s="0" t="s">
        <v>583</v>
      </c>
      <c r="B78" s="0" t="s">
        <v>435</v>
      </c>
      <c r="C78" s="0" t="n">
        <v>248.94</v>
      </c>
      <c r="D78" s="0" t="n">
        <f aca="false">Inputs!$B$5</f>
        <v>0.06</v>
      </c>
      <c r="E78" s="0" t="n">
        <f aca="false">C78*D78</f>
        <v>14.9364</v>
      </c>
      <c r="F78" s="0" t="n">
        <f aca="false">C78+E78</f>
        <v>263.8764</v>
      </c>
      <c r="G78" s="0" t="s">
        <v>501</v>
      </c>
      <c r="H78" s="0" t="n">
        <f aca="false">ROUNDUP(F78/8,0)</f>
        <v>33</v>
      </c>
      <c r="I78" s="0" t="s">
        <v>584</v>
      </c>
    </row>
    <row r="79" customFormat="false" ht="15" hidden="false" customHeight="false" outlineLevel="0" collapsed="false">
      <c r="A79" s="0" t="s">
        <v>585</v>
      </c>
      <c r="B79" s="0" t="s">
        <v>435</v>
      </c>
      <c r="C79" s="0" t="n">
        <v>96.5</v>
      </c>
      <c r="D79" s="0" t="n">
        <f aca="false">Inputs!$B$5</f>
        <v>0.06</v>
      </c>
      <c r="E79" s="0" t="n">
        <f aca="false">C79*D79</f>
        <v>5.79</v>
      </c>
      <c r="F79" s="0" t="n">
        <f aca="false">C79+E79</f>
        <v>102.29</v>
      </c>
      <c r="G79" s="0" t="s">
        <v>501</v>
      </c>
      <c r="H79" s="0" t="n">
        <f aca="false">ROUNDUP(F79/8,0)</f>
        <v>13</v>
      </c>
      <c r="I79" s="0" t="s">
        <v>586</v>
      </c>
    </row>
    <row r="80" customFormat="false" ht="15" hidden="false" customHeight="false" outlineLevel="0" collapsed="false">
      <c r="A80" s="0" t="s">
        <v>587</v>
      </c>
      <c r="B80" s="0" t="s">
        <v>449</v>
      </c>
      <c r="C80" s="0" t="n">
        <v>243.9</v>
      </c>
      <c r="D80" s="0" t="n">
        <f aca="false">Inputs!$B$5</f>
        <v>0.06</v>
      </c>
      <c r="E80" s="0" t="n">
        <f aca="false">C80*D80</f>
        <v>14.634</v>
      </c>
      <c r="F80" s="0" t="n">
        <f aca="false">C80+E80</f>
        <v>258.534</v>
      </c>
      <c r="G80" s="0" t="s">
        <v>460</v>
      </c>
      <c r="H80" s="0" t="n">
        <f aca="false">ROUNDUP(F80/32,0)</f>
        <v>9</v>
      </c>
      <c r="I80" s="0" t="s">
        <v>588</v>
      </c>
    </row>
    <row r="81" customFormat="false" ht="15" hidden="false" customHeight="false" outlineLevel="0" collapsed="false">
      <c r="A81" s="0" t="s">
        <v>589</v>
      </c>
      <c r="B81" s="0" t="s">
        <v>435</v>
      </c>
      <c r="C81" s="0" t="n">
        <v>86.73</v>
      </c>
      <c r="D81" s="0" t="n">
        <f aca="false">Inputs!$B$4</f>
        <v>0.15</v>
      </c>
      <c r="E81" s="0" t="n">
        <f aca="false">C81*D81</f>
        <v>13.0095</v>
      </c>
      <c r="F81" s="0" t="n">
        <f aca="false">C81+E81</f>
        <v>99.7395</v>
      </c>
      <c r="G81" s="0" t="s">
        <v>436</v>
      </c>
      <c r="H81" s="0" t="n">
        <f aca="false">ROUNDUP(ROUNDUP(F81/5.375,0)/MAX(1,INT(20/5.375)),0)</f>
        <v>7</v>
      </c>
      <c r="I81" s="0" t="s">
        <v>590</v>
      </c>
    </row>
    <row r="82" customFormat="false" ht="15" hidden="false" customHeight="false" outlineLevel="0" collapsed="false">
      <c r="A82" s="0" t="s">
        <v>591</v>
      </c>
      <c r="B82" s="0" t="s">
        <v>435</v>
      </c>
      <c r="C82" s="0" t="n">
        <v>12.2</v>
      </c>
      <c r="D82" s="0" t="n">
        <f aca="false">Inputs!$B$4</f>
        <v>0.15</v>
      </c>
      <c r="E82" s="0" t="n">
        <f aca="false">C82*D82</f>
        <v>1.83</v>
      </c>
      <c r="F82" s="0" t="n">
        <f aca="false">C82+E82</f>
        <v>14.03</v>
      </c>
      <c r="G82" s="0" t="s">
        <v>439</v>
      </c>
      <c r="H82" s="0" t="n">
        <f aca="false">ROUNDUP(F82/10,0)</f>
        <v>2</v>
      </c>
      <c r="I82" s="0" t="s">
        <v>592</v>
      </c>
    </row>
    <row r="83" customFormat="false" ht="15" hidden="false" customHeight="false" outlineLevel="0" collapsed="false">
      <c r="A83" s="0" t="s">
        <v>593</v>
      </c>
      <c r="B83" s="0" t="s">
        <v>435</v>
      </c>
      <c r="C83" s="0" t="n">
        <v>12.2</v>
      </c>
      <c r="D83" s="0" t="n">
        <f aca="false">Inputs!$B$4</f>
        <v>0.15</v>
      </c>
      <c r="E83" s="0" t="n">
        <f aca="false">C83*D83</f>
        <v>1.83</v>
      </c>
      <c r="F83" s="0" t="n">
        <f aca="false">C83+E83</f>
        <v>14.03</v>
      </c>
      <c r="G83" s="0" t="s">
        <v>439</v>
      </c>
      <c r="H83" s="0" t="n">
        <f aca="false">ROUNDUP(F83/10,0)</f>
        <v>2</v>
      </c>
      <c r="I83" s="0" t="s">
        <v>592</v>
      </c>
    </row>
    <row r="84" customFormat="false" ht="15" hidden="false" customHeight="false" outlineLevel="0" collapsed="false">
      <c r="A84" s="0" t="s">
        <v>594</v>
      </c>
      <c r="B84" s="0" t="s">
        <v>435</v>
      </c>
      <c r="C84" s="0" t="n">
        <v>746</v>
      </c>
      <c r="D84" s="0" t="n">
        <f aca="false">Inputs!$B$4</f>
        <v>0.15</v>
      </c>
      <c r="E84" s="0" t="n">
        <f aca="false">C84*D84</f>
        <v>111.9</v>
      </c>
      <c r="F84" s="0" t="n">
        <f aca="false">C84+E84</f>
        <v>857.9</v>
      </c>
      <c r="G84" s="0" t="s">
        <v>444</v>
      </c>
      <c r="H84" s="0" t="n">
        <f aca="false">ROUNDUP(F84/16,0)</f>
        <v>54</v>
      </c>
      <c r="I84" s="0" t="s">
        <v>595</v>
      </c>
    </row>
    <row r="85" customFormat="false" ht="15" hidden="false" customHeight="false" outlineLevel="0" collapsed="false">
      <c r="A85" s="0" t="s">
        <v>596</v>
      </c>
      <c r="B85" s="0" t="s">
        <v>449</v>
      </c>
      <c r="C85" s="0" t="n">
        <v>22.8</v>
      </c>
      <c r="D85" s="0" t="n">
        <f aca="false">Inputs!$B$5</f>
        <v>0.06</v>
      </c>
      <c r="E85" s="0" t="n">
        <f aca="false">C85*D85</f>
        <v>1.368</v>
      </c>
      <c r="F85" s="0" t="n">
        <f aca="false">C85+E85</f>
        <v>24.168</v>
      </c>
      <c r="G85" s="0" t="s">
        <v>460</v>
      </c>
      <c r="H85" s="0" t="n">
        <f aca="false">ROUNDUP(F85/32,0)</f>
        <v>1</v>
      </c>
      <c r="I85" s="0" t="s">
        <v>597</v>
      </c>
    </row>
    <row r="86" customFormat="false" ht="15" hidden="false" customHeight="false" outlineLevel="0" collapsed="false">
      <c r="A86" s="0" t="s">
        <v>598</v>
      </c>
      <c r="B86" s="0" t="s">
        <v>449</v>
      </c>
      <c r="C86" s="0" t="n">
        <v>152.6</v>
      </c>
      <c r="D86" s="0" t="n">
        <f aca="false">Inputs!$B$5</f>
        <v>0.06</v>
      </c>
      <c r="E86" s="0" t="n">
        <f aca="false">C86*D86</f>
        <v>9.156</v>
      </c>
      <c r="F86" s="0" t="n">
        <f aca="false">C86+E86</f>
        <v>161.756</v>
      </c>
      <c r="G86" s="0" t="s">
        <v>449</v>
      </c>
      <c r="H86" s="0" t="n">
        <f aca="false">ROUNDUP(F86,0)</f>
        <v>162</v>
      </c>
      <c r="I86" s="0" t="s">
        <v>599</v>
      </c>
    </row>
    <row r="87" customFormat="false" ht="15" hidden="false" customHeight="false" outlineLevel="0" collapsed="false">
      <c r="A87" s="0" t="s">
        <v>600</v>
      </c>
      <c r="B87" s="0" t="s">
        <v>435</v>
      </c>
      <c r="C87" s="0" t="n">
        <v>167.95</v>
      </c>
      <c r="D87" s="0" t="n">
        <f aca="false">Inputs!$B$4</f>
        <v>0.15</v>
      </c>
      <c r="E87" s="0" t="n">
        <f aca="false">C87*D87</f>
        <v>25.1925</v>
      </c>
      <c r="F87" s="0" t="n">
        <f aca="false">C87+E87</f>
        <v>193.1425</v>
      </c>
      <c r="G87" s="0" t="s">
        <v>439</v>
      </c>
      <c r="H87" s="0" t="n">
        <f aca="false">ROUNDUP(F87/10,0)</f>
        <v>20</v>
      </c>
      <c r="I87" s="0" t="s">
        <v>601</v>
      </c>
    </row>
    <row r="88" customFormat="false" ht="15" hidden="false" customHeight="false" outlineLevel="0" collapsed="false">
      <c r="A88" s="0" t="s">
        <v>602</v>
      </c>
      <c r="B88" s="0" t="s">
        <v>435</v>
      </c>
      <c r="C88" s="0" t="n">
        <v>669.84</v>
      </c>
      <c r="D88" s="0" t="n">
        <f aca="false">Inputs!$B$4</f>
        <v>0.15</v>
      </c>
      <c r="E88" s="0" t="n">
        <f aca="false">C88*D88</f>
        <v>100.476</v>
      </c>
      <c r="F88" s="0" t="n">
        <f aca="false">C88+E88</f>
        <v>770.316</v>
      </c>
      <c r="G88" s="0" t="s">
        <v>436</v>
      </c>
      <c r="H88" s="0" t="n">
        <f aca="false">ROUNDUP(ROUNDUP(F88/1.333,0)/MAX(1,INT(20/1.333)),0)</f>
        <v>39</v>
      </c>
      <c r="I88" s="0" t="s">
        <v>603</v>
      </c>
    </row>
    <row r="89" customFormat="false" ht="15" hidden="false" customHeight="false" outlineLevel="0" collapsed="false">
      <c r="A89" s="0" t="s">
        <v>604</v>
      </c>
      <c r="B89" s="0" t="s">
        <v>449</v>
      </c>
      <c r="C89" s="0" t="n">
        <v>304.9</v>
      </c>
      <c r="D89" s="0" t="n">
        <f aca="false">Inputs!$B$5</f>
        <v>0.06</v>
      </c>
      <c r="E89" s="0" t="n">
        <f aca="false">C89*D89</f>
        <v>18.294</v>
      </c>
      <c r="F89" s="0" t="n">
        <f aca="false">C89+E89</f>
        <v>323.194</v>
      </c>
      <c r="G89" s="0" t="s">
        <v>449</v>
      </c>
      <c r="H89" s="0" t="n">
        <f aca="false">ROUNDUP(F89,0)</f>
        <v>324</v>
      </c>
      <c r="I89" s="0" t="s">
        <v>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606</v>
      </c>
      <c r="B1" s="4" t="s">
        <v>607</v>
      </c>
      <c r="C1" s="4" t="s">
        <v>608</v>
      </c>
    </row>
    <row r="2" customFormat="false" ht="15" hidden="false" customHeight="false" outlineLevel="0" collapsed="false">
      <c r="A2" s="0" t="s">
        <v>609</v>
      </c>
      <c r="B2" s="0" t="s">
        <v>610</v>
      </c>
      <c r="C2" s="0" t="s">
        <v>611</v>
      </c>
    </row>
    <row r="3" customFormat="false" ht="15" hidden="false" customHeight="false" outlineLevel="0" collapsed="false">
      <c r="A3" s="0" t="s">
        <v>612</v>
      </c>
      <c r="B3" s="0" t="s">
        <v>613</v>
      </c>
      <c r="C3" s="0" t="s">
        <v>614</v>
      </c>
    </row>
    <row r="4" customFormat="false" ht="15" hidden="false" customHeight="false" outlineLevel="0" collapsed="false">
      <c r="A4" s="0" t="s">
        <v>615</v>
      </c>
      <c r="B4" s="0" t="s">
        <v>616</v>
      </c>
      <c r="C4" s="0" t="s">
        <v>617</v>
      </c>
    </row>
    <row r="5" customFormat="false" ht="15" hidden="false" customHeight="false" outlineLevel="0" collapsed="false">
      <c r="A5" s="0" t="s">
        <v>618</v>
      </c>
      <c r="B5" s="0" t="s">
        <v>619</v>
      </c>
      <c r="C5" s="0" t="s">
        <v>620</v>
      </c>
    </row>
    <row r="6" customFormat="false" ht="15" hidden="false" customHeight="false" outlineLevel="0" collapsed="false">
      <c r="A6" s="0" t="s">
        <v>621</v>
      </c>
      <c r="B6" s="0" t="s">
        <v>622</v>
      </c>
      <c r="C6" s="0" t="s">
        <v>623</v>
      </c>
    </row>
    <row r="7" customFormat="false" ht="15" hidden="false" customHeight="false" outlineLevel="0" collapsed="false">
      <c r="A7" s="0" t="s">
        <v>624</v>
      </c>
      <c r="B7" s="0" t="s">
        <v>625</v>
      </c>
      <c r="C7" s="0" t="s">
        <v>626</v>
      </c>
    </row>
    <row r="8" customFormat="false" ht="15" hidden="false" customHeight="false" outlineLevel="0" collapsed="false">
      <c r="A8" s="0" t="s">
        <v>627</v>
      </c>
      <c r="B8" s="0" t="s">
        <v>628</v>
      </c>
      <c r="C8" s="0" t="s">
        <v>629</v>
      </c>
    </row>
    <row r="9" customFormat="false" ht="15" hidden="false" customHeight="false" outlineLevel="0" collapsed="false">
      <c r="A9" s="0" t="s">
        <v>630</v>
      </c>
      <c r="B9" s="0" t="s">
        <v>631</v>
      </c>
      <c r="C9" s="0" t="s">
        <v>632</v>
      </c>
    </row>
    <row r="10" customFormat="false" ht="15" hidden="false" customHeight="false" outlineLevel="0" collapsed="false">
      <c r="A10" s="0" t="s">
        <v>633</v>
      </c>
      <c r="B10" s="0" t="s">
        <v>634</v>
      </c>
      <c r="C10" s="0" t="s">
        <v>635</v>
      </c>
    </row>
    <row r="11" customFormat="false" ht="15" hidden="false" customHeight="false" outlineLevel="0" collapsed="false">
      <c r="A11" s="0" t="s">
        <v>636</v>
      </c>
      <c r="B11" s="0" t="s">
        <v>637</v>
      </c>
      <c r="C11" s="0" t="s">
        <v>638</v>
      </c>
    </row>
    <row r="12" customFormat="false" ht="15" hidden="false" customHeight="false" outlineLevel="0" collapsed="false">
      <c r="A12" s="0" t="s">
        <v>639</v>
      </c>
      <c r="B12" s="0" t="s">
        <v>640</v>
      </c>
      <c r="C12" s="0" t="s">
        <v>641</v>
      </c>
    </row>
    <row r="13" customFormat="false" ht="15" hidden="false" customHeight="false" outlineLevel="0" collapsed="false">
      <c r="A13" s="0" t="s">
        <v>642</v>
      </c>
      <c r="B13" s="0" t="s">
        <v>643</v>
      </c>
      <c r="C13" s="0" t="s">
        <v>644</v>
      </c>
    </row>
    <row r="14" customFormat="false" ht="15" hidden="false" customHeight="false" outlineLevel="0" collapsed="false">
      <c r="A14" s="0" t="s">
        <v>645</v>
      </c>
      <c r="B14" s="0" t="s">
        <v>646</v>
      </c>
      <c r="C14" s="0" t="s">
        <v>647</v>
      </c>
    </row>
    <row r="15" customFormat="false" ht="15" hidden="false" customHeight="false" outlineLevel="0" collapsed="false">
      <c r="A15" s="0" t="s">
        <v>648</v>
      </c>
      <c r="B15" s="0" t="s">
        <v>649</v>
      </c>
      <c r="C15" s="0" t="s">
        <v>650</v>
      </c>
    </row>
    <row r="16" customFormat="false" ht="15" hidden="false" customHeight="false" outlineLevel="0" collapsed="false">
      <c r="A16" s="0" t="s">
        <v>651</v>
      </c>
      <c r="B16" s="0" t="s">
        <v>652</v>
      </c>
      <c r="C16" s="0" t="s">
        <v>653</v>
      </c>
    </row>
    <row r="17" customFormat="false" ht="15" hidden="false" customHeight="false" outlineLevel="0" collapsed="false">
      <c r="A17" s="0" t="s">
        <v>654</v>
      </c>
      <c r="B17" s="0" t="s">
        <v>655</v>
      </c>
      <c r="C17" s="0" t="s">
        <v>656</v>
      </c>
    </row>
    <row r="18" customFormat="false" ht="15" hidden="false" customHeight="false" outlineLevel="0" collapsed="false">
      <c r="A18" s="0" t="s">
        <v>657</v>
      </c>
      <c r="B18" s="0" t="s">
        <v>658</v>
      </c>
      <c r="C18" s="0" t="s">
        <v>659</v>
      </c>
    </row>
    <row r="19" customFormat="false" ht="15" hidden="false" customHeight="false" outlineLevel="0" collapsed="false">
      <c r="A19" s="0" t="s">
        <v>660</v>
      </c>
      <c r="B19" s="0" t="s">
        <v>661</v>
      </c>
      <c r="C19" s="0" t="s">
        <v>662</v>
      </c>
    </row>
    <row r="20" customFormat="false" ht="15" hidden="false" customHeight="false" outlineLevel="0" collapsed="false">
      <c r="A20" s="0" t="s">
        <v>663</v>
      </c>
      <c r="B20" s="0" t="s">
        <v>664</v>
      </c>
      <c r="C20" s="0" t="s">
        <v>665</v>
      </c>
    </row>
    <row r="21" customFormat="false" ht="15" hidden="false" customHeight="false" outlineLevel="0" collapsed="false">
      <c r="A21" s="0" t="s">
        <v>666</v>
      </c>
      <c r="B21" s="0" t="s">
        <v>667</v>
      </c>
      <c r="C21" s="0" t="s">
        <v>668</v>
      </c>
    </row>
    <row r="22" customFormat="false" ht="15" hidden="false" customHeight="false" outlineLevel="0" collapsed="false">
      <c r="A22" s="0" t="s">
        <v>669</v>
      </c>
      <c r="B22" s="0" t="s">
        <v>670</v>
      </c>
      <c r="C22" s="0" t="s">
        <v>671</v>
      </c>
    </row>
    <row r="23" customFormat="false" ht="15" hidden="false" customHeight="false" outlineLevel="0" collapsed="false">
      <c r="A23" s="0" t="s">
        <v>672</v>
      </c>
      <c r="B23" s="0" t="s">
        <v>673</v>
      </c>
      <c r="C23" s="0" t="s">
        <v>674</v>
      </c>
    </row>
    <row r="24" customFormat="false" ht="15" hidden="false" customHeight="false" outlineLevel="0" collapsed="false">
      <c r="A24" s="0" t="s">
        <v>675</v>
      </c>
      <c r="B24" s="0" t="s">
        <v>676</v>
      </c>
      <c r="C24" s="0" t="s">
        <v>677</v>
      </c>
    </row>
    <row r="25" customFormat="false" ht="15" hidden="false" customHeight="false" outlineLevel="0" collapsed="false">
      <c r="A25" s="0" t="s">
        <v>678</v>
      </c>
      <c r="B25" s="0" t="s">
        <v>679</v>
      </c>
      <c r="C25" s="0" t="s">
        <v>680</v>
      </c>
    </row>
    <row r="26" customFormat="false" ht="15" hidden="false" customHeight="false" outlineLevel="0" collapsed="false">
      <c r="A26" s="0" t="s">
        <v>681</v>
      </c>
      <c r="B26" s="0" t="s">
        <v>682</v>
      </c>
      <c r="C26" s="0" t="s">
        <v>683</v>
      </c>
    </row>
    <row r="27" customFormat="false" ht="15" hidden="false" customHeight="false" outlineLevel="0" collapsed="false">
      <c r="A27" s="0" t="s">
        <v>684</v>
      </c>
      <c r="B27" s="0" t="s">
        <v>685</v>
      </c>
      <c r="C27" s="0" t="s">
        <v>686</v>
      </c>
    </row>
    <row r="28" customFormat="false" ht="15" hidden="false" customHeight="false" outlineLevel="0" collapsed="false">
      <c r="A28" s="0" t="s">
        <v>687</v>
      </c>
      <c r="B28" s="0" t="s">
        <v>688</v>
      </c>
      <c r="C28" s="0" t="s">
        <v>689</v>
      </c>
    </row>
    <row r="29" customFormat="false" ht="15" hidden="false" customHeight="false" outlineLevel="0" collapsed="false">
      <c r="A29" s="0" t="s">
        <v>690</v>
      </c>
      <c r="B29" s="0" t="s">
        <v>691</v>
      </c>
      <c r="C29" s="0" t="s">
        <v>692</v>
      </c>
    </row>
    <row r="30" customFormat="false" ht="15" hidden="false" customHeight="false" outlineLevel="0" collapsed="false">
      <c r="A30" s="0" t="s">
        <v>693</v>
      </c>
      <c r="B30" s="0" t="s">
        <v>694</v>
      </c>
      <c r="C30" s="0" t="s">
        <v>695</v>
      </c>
    </row>
    <row r="31" customFormat="false" ht="15" hidden="false" customHeight="false" outlineLevel="0" collapsed="false">
      <c r="A31" s="0" t="s">
        <v>696</v>
      </c>
      <c r="B31" s="0" t="s">
        <v>697</v>
      </c>
      <c r="C31" s="0" t="s">
        <v>698</v>
      </c>
    </row>
    <row r="32" customFormat="false" ht="15" hidden="false" customHeight="false" outlineLevel="0" collapsed="false">
      <c r="A32" s="0" t="s">
        <v>699</v>
      </c>
      <c r="B32" s="0" t="s">
        <v>700</v>
      </c>
      <c r="C32" s="0" t="s">
        <v>701</v>
      </c>
    </row>
    <row r="33" customFormat="false" ht="15" hidden="false" customHeight="false" outlineLevel="0" collapsed="false">
      <c r="A33" s="0" t="s">
        <v>702</v>
      </c>
      <c r="B33" s="0" t="s">
        <v>703</v>
      </c>
      <c r="C33" s="0" t="s">
        <v>704</v>
      </c>
    </row>
    <row r="34" customFormat="false" ht="15" hidden="false" customHeight="false" outlineLevel="0" collapsed="false">
      <c r="A34" s="0" t="s">
        <v>705</v>
      </c>
      <c r="B34" s="0" t="s">
        <v>706</v>
      </c>
      <c r="C34" s="0" t="s">
        <v>707</v>
      </c>
    </row>
    <row r="35" customFormat="false" ht="15" hidden="false" customHeight="false" outlineLevel="0" collapsed="false">
      <c r="A35" s="0" t="s">
        <v>708</v>
      </c>
      <c r="B35" s="0" t="s">
        <v>709</v>
      </c>
      <c r="C35" s="0" t="s">
        <v>710</v>
      </c>
    </row>
    <row r="36" customFormat="false" ht="15" hidden="false" customHeight="false" outlineLevel="0" collapsed="false">
      <c r="A36" s="0" t="s">
        <v>711</v>
      </c>
      <c r="B36" s="0" t="s">
        <v>712</v>
      </c>
      <c r="C36" s="0" t="s">
        <v>713</v>
      </c>
    </row>
    <row r="37" customFormat="false" ht="15" hidden="false" customHeight="false" outlineLevel="0" collapsed="false">
      <c r="A37" s="0" t="s">
        <v>714</v>
      </c>
      <c r="B37" s="0" t="s">
        <v>715</v>
      </c>
      <c r="C37" s="0" t="s">
        <v>716</v>
      </c>
    </row>
    <row r="38" customFormat="false" ht="15" hidden="false" customHeight="false" outlineLevel="0" collapsed="false">
      <c r="A38" s="0" t="s">
        <v>717</v>
      </c>
      <c r="B38" s="0" t="s">
        <v>718</v>
      </c>
      <c r="C38" s="0" t="s">
        <v>719</v>
      </c>
    </row>
    <row r="39" customFormat="false" ht="15" hidden="false" customHeight="false" outlineLevel="0" collapsed="false">
      <c r="A39" s="0" t="s">
        <v>720</v>
      </c>
      <c r="B39" s="0" t="s">
        <v>721</v>
      </c>
      <c r="C39" s="0" t="s">
        <v>722</v>
      </c>
    </row>
    <row r="40" customFormat="false" ht="15" hidden="false" customHeight="false" outlineLevel="0" collapsed="false">
      <c r="A40" s="0" t="s">
        <v>723</v>
      </c>
      <c r="B40" s="0" t="s">
        <v>724</v>
      </c>
      <c r="C40" s="0" t="s">
        <v>725</v>
      </c>
    </row>
    <row r="41" customFormat="false" ht="15" hidden="false" customHeight="false" outlineLevel="0" collapsed="false">
      <c r="A41" s="0" t="s">
        <v>726</v>
      </c>
      <c r="B41" s="0" t="s">
        <v>727</v>
      </c>
      <c r="C41" s="0" t="s">
        <v>728</v>
      </c>
    </row>
    <row r="42" customFormat="false" ht="15" hidden="false" customHeight="false" outlineLevel="0" collapsed="false">
      <c r="A42" s="0" t="s">
        <v>729</v>
      </c>
      <c r="B42" s="0" t="s">
        <v>730</v>
      </c>
      <c r="C42" s="0" t="s">
        <v>731</v>
      </c>
    </row>
    <row r="43" customFormat="false" ht="15" hidden="false" customHeight="false" outlineLevel="0" collapsed="false">
      <c r="A43" s="0" t="s">
        <v>732</v>
      </c>
      <c r="B43" s="0" t="s">
        <v>733</v>
      </c>
      <c r="C43" s="0" t="s">
        <v>734</v>
      </c>
    </row>
    <row r="44" customFormat="false" ht="15" hidden="false" customHeight="false" outlineLevel="0" collapsed="false">
      <c r="A44" s="0" t="s">
        <v>735</v>
      </c>
      <c r="B44" s="0" t="s">
        <v>736</v>
      </c>
      <c r="C44" s="0" t="s"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31"/>
  </cols>
  <sheetData>
    <row r="1" customFormat="false" ht="15" hidden="false" customHeight="false" outlineLevel="0" collapsed="false">
      <c r="A1" s="0" t="s">
        <v>738</v>
      </c>
      <c r="B1" s="0" t="s">
        <v>739</v>
      </c>
      <c r="C1" s="0" t="s">
        <v>740</v>
      </c>
      <c r="D1" s="0" t="s">
        <v>741</v>
      </c>
    </row>
    <row r="2" customFormat="false" ht="15" hidden="false" customHeight="false" outlineLevel="0" collapsed="false">
      <c r="A2" s="0" t="n">
        <v>1</v>
      </c>
      <c r="B2" s="0" t="s">
        <v>742</v>
      </c>
      <c r="C2" s="0" t="s">
        <v>743</v>
      </c>
      <c r="D2" s="0" t="s">
        <v>744</v>
      </c>
    </row>
    <row r="3" customFormat="false" ht="15" hidden="false" customHeight="false" outlineLevel="0" collapsed="false">
      <c r="A3" s="0" t="n">
        <v>2</v>
      </c>
      <c r="B3" s="0" t="s">
        <v>745</v>
      </c>
      <c r="C3" s="0" t="s">
        <v>746</v>
      </c>
      <c r="D3" s="0" t="s">
        <v>744</v>
      </c>
    </row>
    <row r="4" customFormat="false" ht="15" hidden="false" customHeight="false" outlineLevel="0" collapsed="false">
      <c r="A4" s="0" t="n">
        <v>3</v>
      </c>
      <c r="B4" s="0" t="s">
        <v>747</v>
      </c>
      <c r="C4" s="0" t="s">
        <v>748</v>
      </c>
      <c r="D4" s="0" t="s">
        <v>744</v>
      </c>
    </row>
    <row r="5" customFormat="false" ht="15" hidden="false" customHeight="false" outlineLevel="0" collapsed="false">
      <c r="A5" s="0" t="n">
        <v>4</v>
      </c>
      <c r="B5" s="0" t="s">
        <v>749</v>
      </c>
      <c r="C5" s="0" t="s">
        <v>748</v>
      </c>
      <c r="D5" s="0" t="s">
        <v>744</v>
      </c>
    </row>
    <row r="6" customFormat="false" ht="15" hidden="false" customHeight="false" outlineLevel="0" collapsed="false">
      <c r="A6" s="0" t="n">
        <v>5</v>
      </c>
      <c r="B6" s="0" t="s">
        <v>750</v>
      </c>
      <c r="C6" s="0" t="s">
        <v>751</v>
      </c>
      <c r="D6" s="0" t="s">
        <v>744</v>
      </c>
    </row>
    <row r="7" customFormat="false" ht="15" hidden="false" customHeight="false" outlineLevel="0" collapsed="false">
      <c r="A7" s="0" t="n">
        <v>6</v>
      </c>
      <c r="B7" s="0" t="s">
        <v>752</v>
      </c>
      <c r="C7" s="0" t="s">
        <v>753</v>
      </c>
      <c r="D7" s="0" t="s">
        <v>744</v>
      </c>
    </row>
    <row r="8" customFormat="false" ht="15" hidden="false" customHeight="false" outlineLevel="0" collapsed="false">
      <c r="A8" s="0" t="n">
        <v>7</v>
      </c>
      <c r="B8" s="0" t="s">
        <v>754</v>
      </c>
      <c r="C8" s="0" t="s">
        <v>748</v>
      </c>
      <c r="D8" s="0" t="s">
        <v>744</v>
      </c>
    </row>
    <row r="9" customFormat="false" ht="15" hidden="false" customHeight="false" outlineLevel="0" collapsed="false">
      <c r="A9" s="0" t="n">
        <v>8</v>
      </c>
      <c r="B9" s="0" t="s">
        <v>755</v>
      </c>
      <c r="C9" s="0" t="s">
        <v>756</v>
      </c>
      <c r="D9" s="0" t="s">
        <v>744</v>
      </c>
    </row>
    <row r="10" customFormat="false" ht="15" hidden="false" customHeight="false" outlineLevel="0" collapsed="false">
      <c r="A10" s="0" t="n">
        <v>9</v>
      </c>
      <c r="B10" s="0" t="s">
        <v>757</v>
      </c>
      <c r="C10" s="0" t="s">
        <v>758</v>
      </c>
      <c r="D10" s="0" t="s">
        <v>744</v>
      </c>
    </row>
    <row r="11" customFormat="false" ht="15" hidden="false" customHeight="false" outlineLevel="0" collapsed="false">
      <c r="A11" s="0" t="n">
        <v>10</v>
      </c>
      <c r="B11" s="0" t="s">
        <v>759</v>
      </c>
      <c r="C11" s="0" t="s">
        <v>760</v>
      </c>
      <c r="D11" s="0" t="s">
        <v>744</v>
      </c>
    </row>
    <row r="12" customFormat="false" ht="15" hidden="false" customHeight="false" outlineLevel="0" collapsed="false">
      <c r="A12" s="0" t="n">
        <v>11</v>
      </c>
      <c r="B12" s="0" t="s">
        <v>761</v>
      </c>
      <c r="C12" s="0" t="s">
        <v>748</v>
      </c>
      <c r="D12" s="0" t="s">
        <v>744</v>
      </c>
    </row>
    <row r="13" customFormat="false" ht="15" hidden="false" customHeight="false" outlineLevel="0" collapsed="false">
      <c r="A13" s="0" t="n">
        <v>12</v>
      </c>
      <c r="B13" s="0" t="s">
        <v>762</v>
      </c>
      <c r="C13" s="0" t="s">
        <v>763</v>
      </c>
      <c r="D13" s="0" t="s">
        <v>744</v>
      </c>
    </row>
    <row r="14" customFormat="false" ht="15" hidden="false" customHeight="false" outlineLevel="0" collapsed="false">
      <c r="A14" s="0" t="n">
        <v>13</v>
      </c>
      <c r="B14" s="0" t="s">
        <v>764</v>
      </c>
      <c r="C14" s="0" t="s">
        <v>765</v>
      </c>
      <c r="D14" s="0" t="s">
        <v>744</v>
      </c>
    </row>
    <row r="15" customFormat="false" ht="15" hidden="false" customHeight="false" outlineLevel="0" collapsed="false">
      <c r="A15" s="0" t="n">
        <v>14</v>
      </c>
      <c r="B15" s="0" t="s">
        <v>766</v>
      </c>
      <c r="C15" s="0" t="s">
        <v>767</v>
      </c>
      <c r="D15" s="0" t="s">
        <v>744</v>
      </c>
    </row>
    <row r="16" customFormat="false" ht="15" hidden="false" customHeight="false" outlineLevel="0" collapsed="false">
      <c r="A16" s="0" t="n">
        <v>15</v>
      </c>
      <c r="B16" s="0" t="s">
        <v>768</v>
      </c>
      <c r="C16" s="0" t="s">
        <v>748</v>
      </c>
      <c r="D16" s="0" t="s">
        <v>744</v>
      </c>
    </row>
    <row r="17" customFormat="false" ht="15" hidden="false" customHeight="false" outlineLevel="0" collapsed="false">
      <c r="A17" s="0" t="n">
        <v>16</v>
      </c>
      <c r="B17" s="0" t="s">
        <v>769</v>
      </c>
      <c r="C17" s="0" t="s">
        <v>748</v>
      </c>
      <c r="D17" s="0" t="s">
        <v>744</v>
      </c>
    </row>
    <row r="18" customFormat="false" ht="15" hidden="false" customHeight="false" outlineLevel="0" collapsed="false">
      <c r="A18" s="0" t="n">
        <v>17</v>
      </c>
      <c r="B18" s="0" t="s">
        <v>770</v>
      </c>
      <c r="C18" s="0" t="s">
        <v>748</v>
      </c>
      <c r="D18" s="0" t="s">
        <v>744</v>
      </c>
    </row>
    <row r="19" customFormat="false" ht="15" hidden="false" customHeight="false" outlineLevel="0" collapsed="false">
      <c r="A19" s="0" t="n">
        <v>18</v>
      </c>
      <c r="B19" s="0" t="s">
        <v>771</v>
      </c>
      <c r="C19" s="0" t="s">
        <v>748</v>
      </c>
      <c r="D19" s="0" t="s">
        <v>744</v>
      </c>
    </row>
    <row r="20" customFormat="false" ht="15" hidden="false" customHeight="false" outlineLevel="0" collapsed="false">
      <c r="A20" s="0" t="n">
        <v>19</v>
      </c>
      <c r="B20" s="0" t="s">
        <v>772</v>
      </c>
      <c r="C20" s="0" t="s">
        <v>773</v>
      </c>
      <c r="D20" s="0" t="s">
        <v>744</v>
      </c>
    </row>
    <row r="21" customFormat="false" ht="15" hidden="false" customHeight="false" outlineLevel="0" collapsed="false">
      <c r="A21" s="0" t="n">
        <v>20</v>
      </c>
      <c r="B21" s="0" t="s">
        <v>774</v>
      </c>
      <c r="C21" s="0" t="s">
        <v>748</v>
      </c>
      <c r="D21" s="0" t="s">
        <v>744</v>
      </c>
    </row>
    <row r="22" customFormat="false" ht="15" hidden="false" customHeight="false" outlineLevel="0" collapsed="false">
      <c r="A22" s="0" t="n">
        <v>21</v>
      </c>
      <c r="B22" s="0" t="s">
        <v>775</v>
      </c>
      <c r="C22" s="0" t="s">
        <v>776</v>
      </c>
      <c r="D22" s="0" t="s">
        <v>744</v>
      </c>
    </row>
    <row r="23" customFormat="false" ht="15" hidden="false" customHeight="false" outlineLevel="0" collapsed="false">
      <c r="A23" s="0" t="n">
        <v>22</v>
      </c>
      <c r="B23" s="0" t="s">
        <v>777</v>
      </c>
      <c r="C23" s="0" t="s">
        <v>748</v>
      </c>
      <c r="D23" s="0" t="s">
        <v>744</v>
      </c>
    </row>
    <row r="24" customFormat="false" ht="15" hidden="false" customHeight="false" outlineLevel="0" collapsed="false">
      <c r="A24" s="0" t="n">
        <v>23</v>
      </c>
      <c r="B24" s="0" t="s">
        <v>778</v>
      </c>
      <c r="C24" s="0" t="s">
        <v>748</v>
      </c>
      <c r="D24" s="0" t="s">
        <v>744</v>
      </c>
    </row>
    <row r="25" customFormat="false" ht="15" hidden="false" customHeight="false" outlineLevel="0" collapsed="false">
      <c r="A25" s="0" t="n">
        <v>24</v>
      </c>
      <c r="B25" s="0" t="s">
        <v>779</v>
      </c>
      <c r="C25" s="0" t="s">
        <v>780</v>
      </c>
      <c r="D25" s="0" t="s">
        <v>744</v>
      </c>
    </row>
    <row r="26" customFormat="false" ht="15" hidden="false" customHeight="false" outlineLevel="0" collapsed="false">
      <c r="A26" s="0" t="n">
        <v>25</v>
      </c>
      <c r="B26" s="0" t="s">
        <v>781</v>
      </c>
      <c r="C26" s="0" t="s">
        <v>748</v>
      </c>
      <c r="D26" s="0" t="s">
        <v>744</v>
      </c>
    </row>
    <row r="27" customFormat="false" ht="15" hidden="false" customHeight="false" outlineLevel="0" collapsed="false">
      <c r="A27" s="0" t="n">
        <v>26</v>
      </c>
      <c r="B27" s="0" t="s">
        <v>782</v>
      </c>
      <c r="C27" s="0" t="s">
        <v>748</v>
      </c>
      <c r="D27" s="0" t="s">
        <v>744</v>
      </c>
    </row>
    <row r="28" customFormat="false" ht="15" hidden="false" customHeight="false" outlineLevel="0" collapsed="false">
      <c r="A28" s="0" t="n">
        <v>27</v>
      </c>
      <c r="B28" s="0" t="s">
        <v>783</v>
      </c>
      <c r="C28" s="0" t="s">
        <v>784</v>
      </c>
      <c r="D28" s="0" t="s">
        <v>744</v>
      </c>
    </row>
    <row r="29" customFormat="false" ht="15" hidden="false" customHeight="false" outlineLevel="0" collapsed="false">
      <c r="A29" s="0" t="n">
        <v>28</v>
      </c>
      <c r="B29" s="0" t="s">
        <v>785</v>
      </c>
      <c r="C29" s="0" t="s">
        <v>786</v>
      </c>
      <c r="D29" s="0" t="s">
        <v>744</v>
      </c>
    </row>
    <row r="30" customFormat="false" ht="15" hidden="false" customHeight="false" outlineLevel="0" collapsed="false">
      <c r="A30" s="0" t="n">
        <v>29</v>
      </c>
      <c r="B30" s="0" t="s">
        <v>787</v>
      </c>
      <c r="C30" s="0" t="s">
        <v>788</v>
      </c>
      <c r="D30" s="0" t="s">
        <v>744</v>
      </c>
    </row>
    <row r="31" customFormat="false" ht="15" hidden="false" customHeight="false" outlineLevel="0" collapsed="false">
      <c r="A31" s="0" t="n">
        <v>30</v>
      </c>
      <c r="B31" s="0" t="s">
        <v>789</v>
      </c>
      <c r="C31" s="0" t="s">
        <v>748</v>
      </c>
      <c r="D31" s="0" t="s">
        <v>744</v>
      </c>
    </row>
    <row r="32" customFormat="false" ht="15" hidden="false" customHeight="false" outlineLevel="0" collapsed="false">
      <c r="A32" s="0" t="n">
        <v>31</v>
      </c>
      <c r="B32" s="0" t="s">
        <v>790</v>
      </c>
      <c r="C32" s="0" t="s">
        <v>748</v>
      </c>
      <c r="D32" s="0" t="s">
        <v>744</v>
      </c>
    </row>
    <row r="33" customFormat="false" ht="15" hidden="false" customHeight="false" outlineLevel="0" collapsed="false">
      <c r="A33" s="0" t="n">
        <v>32</v>
      </c>
      <c r="B33" s="0" t="s">
        <v>791</v>
      </c>
      <c r="C33" s="0" t="s">
        <v>746</v>
      </c>
      <c r="D33" s="0" t="s">
        <v>744</v>
      </c>
    </row>
    <row r="34" customFormat="false" ht="15" hidden="false" customHeight="false" outlineLevel="0" collapsed="false">
      <c r="A34" s="0" t="n">
        <v>33</v>
      </c>
      <c r="B34" s="0" t="s">
        <v>792</v>
      </c>
      <c r="C34" s="0" t="s">
        <v>748</v>
      </c>
      <c r="D34" s="0" t="s">
        <v>744</v>
      </c>
    </row>
    <row r="35" customFormat="false" ht="15" hidden="false" customHeight="false" outlineLevel="0" collapsed="false">
      <c r="A35" s="0" t="n">
        <v>34</v>
      </c>
      <c r="B35" s="0" t="s">
        <v>793</v>
      </c>
      <c r="C35" s="0" t="s">
        <v>794</v>
      </c>
      <c r="D35" s="0" t="s">
        <v>744</v>
      </c>
    </row>
    <row r="36" customFormat="false" ht="15" hidden="false" customHeight="false" outlineLevel="0" collapsed="false">
      <c r="A36" s="0" t="n">
        <v>35</v>
      </c>
      <c r="B36" s="0" t="s">
        <v>795</v>
      </c>
      <c r="C36" s="0" t="s">
        <v>748</v>
      </c>
      <c r="D36" s="0" t="s">
        <v>744</v>
      </c>
    </row>
    <row r="37" customFormat="false" ht="15" hidden="false" customHeight="false" outlineLevel="0" collapsed="false">
      <c r="A37" s="0" t="n">
        <v>36</v>
      </c>
      <c r="B37" s="0" t="s">
        <v>796</v>
      </c>
      <c r="C37" s="0" t="s">
        <v>748</v>
      </c>
      <c r="D37" s="0" t="s">
        <v>744</v>
      </c>
    </row>
    <row r="38" customFormat="false" ht="15" hidden="false" customHeight="false" outlineLevel="0" collapsed="false">
      <c r="A38" s="0" t="n">
        <v>37</v>
      </c>
      <c r="B38" s="0" t="s">
        <v>797</v>
      </c>
      <c r="C38" s="0" t="s">
        <v>748</v>
      </c>
      <c r="D38" s="0" t="s">
        <v>744</v>
      </c>
    </row>
    <row r="39" customFormat="false" ht="15" hidden="false" customHeight="false" outlineLevel="0" collapsed="false">
      <c r="A39" s="0" t="n">
        <v>38</v>
      </c>
      <c r="B39" s="0" t="s">
        <v>798</v>
      </c>
      <c r="C39" s="0" t="s">
        <v>748</v>
      </c>
      <c r="D39" s="0" t="s">
        <v>744</v>
      </c>
    </row>
    <row r="40" customFormat="false" ht="15" hidden="false" customHeight="false" outlineLevel="0" collapsed="false">
      <c r="A40" s="0" t="n">
        <v>39</v>
      </c>
      <c r="B40" s="0" t="s">
        <v>799</v>
      </c>
      <c r="C40" s="0" t="s">
        <v>776</v>
      </c>
      <c r="D40" s="0" t="s">
        <v>744</v>
      </c>
    </row>
    <row r="41" customFormat="false" ht="15" hidden="false" customHeight="false" outlineLevel="0" collapsed="false">
      <c r="A41" s="0" t="n">
        <v>40</v>
      </c>
      <c r="B41" s="0" t="s">
        <v>800</v>
      </c>
      <c r="C41" s="0" t="s">
        <v>801</v>
      </c>
      <c r="D41" s="0" t="s">
        <v>744</v>
      </c>
    </row>
    <row r="42" customFormat="false" ht="15" hidden="false" customHeight="false" outlineLevel="0" collapsed="false">
      <c r="A42" s="0" t="n">
        <v>41</v>
      </c>
      <c r="B42" s="0" t="s">
        <v>802</v>
      </c>
      <c r="C42" s="0" t="s">
        <v>748</v>
      </c>
      <c r="D42" s="0" t="s">
        <v>744</v>
      </c>
    </row>
    <row r="43" customFormat="false" ht="15" hidden="false" customHeight="false" outlineLevel="0" collapsed="false">
      <c r="A43" s="0" t="n">
        <v>42</v>
      </c>
      <c r="B43" s="0" t="s">
        <v>803</v>
      </c>
      <c r="C43" s="0" t="s">
        <v>804</v>
      </c>
      <c r="D43" s="0" t="s">
        <v>744</v>
      </c>
    </row>
    <row r="44" customFormat="false" ht="15" hidden="false" customHeight="false" outlineLevel="0" collapsed="false">
      <c r="A44" s="0" t="n">
        <v>43</v>
      </c>
      <c r="B44" s="0" t="s">
        <v>805</v>
      </c>
      <c r="C44" s="0" t="s">
        <v>786</v>
      </c>
      <c r="D44" s="0" t="s">
        <v>744</v>
      </c>
    </row>
    <row r="45" customFormat="false" ht="15" hidden="false" customHeight="false" outlineLevel="0" collapsed="false">
      <c r="A45" s="0" t="n">
        <v>44</v>
      </c>
      <c r="B45" s="0" t="s">
        <v>806</v>
      </c>
      <c r="C45" s="0" t="s">
        <v>748</v>
      </c>
      <c r="D45" s="0" t="s">
        <v>807</v>
      </c>
    </row>
    <row r="46" customFormat="false" ht="15" hidden="false" customHeight="false" outlineLevel="0" collapsed="false">
      <c r="A46" s="0" t="n">
        <v>45</v>
      </c>
      <c r="B46" s="0" t="s">
        <v>808</v>
      </c>
      <c r="C46" s="0" t="s">
        <v>748</v>
      </c>
      <c r="D46" s="0" t="s">
        <v>807</v>
      </c>
    </row>
    <row r="47" customFormat="false" ht="15" hidden="false" customHeight="false" outlineLevel="0" collapsed="false">
      <c r="A47" s="0" t="n">
        <v>46</v>
      </c>
      <c r="B47" s="0" t="s">
        <v>809</v>
      </c>
      <c r="C47" s="0" t="s">
        <v>748</v>
      </c>
      <c r="D47" s="0" t="s">
        <v>807</v>
      </c>
    </row>
    <row r="48" customFormat="false" ht="15" hidden="false" customHeight="false" outlineLevel="0" collapsed="false">
      <c r="A48" s="0" t="n">
        <v>47</v>
      </c>
      <c r="B48" s="0" t="s">
        <v>810</v>
      </c>
      <c r="C48" s="0" t="s">
        <v>748</v>
      </c>
      <c r="D48" s="0" t="s">
        <v>807</v>
      </c>
    </row>
    <row r="49" customFormat="false" ht="15" hidden="false" customHeight="false" outlineLevel="0" collapsed="false">
      <c r="A49" s="0" t="n">
        <v>48</v>
      </c>
      <c r="B49" s="0" t="s">
        <v>811</v>
      </c>
      <c r="C49" s="0" t="s">
        <v>748</v>
      </c>
      <c r="D49" s="0" t="s">
        <v>807</v>
      </c>
    </row>
    <row r="50" customFormat="false" ht="15" hidden="false" customHeight="false" outlineLevel="0" collapsed="false">
      <c r="A50" s="0" t="n">
        <v>49</v>
      </c>
      <c r="B50" s="0" t="s">
        <v>812</v>
      </c>
      <c r="C50" s="0" t="s">
        <v>748</v>
      </c>
      <c r="D50" s="0" t="s">
        <v>807</v>
      </c>
    </row>
    <row r="51" customFormat="false" ht="15" hidden="false" customHeight="false" outlineLevel="0" collapsed="false">
      <c r="A51" s="0" t="n">
        <v>50</v>
      </c>
      <c r="B51" s="0" t="s">
        <v>813</v>
      </c>
      <c r="C51" s="0" t="s">
        <v>748</v>
      </c>
      <c r="D51" s="0" t="s">
        <v>807</v>
      </c>
    </row>
    <row r="52" customFormat="false" ht="15" hidden="false" customHeight="false" outlineLevel="0" collapsed="false">
      <c r="A52" s="0" t="n">
        <v>51</v>
      </c>
      <c r="B52" s="0" t="s">
        <v>814</v>
      </c>
      <c r="C52" s="0" t="s">
        <v>748</v>
      </c>
      <c r="D52" s="0" t="s">
        <v>807</v>
      </c>
    </row>
    <row r="53" customFormat="false" ht="15" hidden="false" customHeight="false" outlineLevel="0" collapsed="false">
      <c r="A53" s="0" t="n">
        <v>52</v>
      </c>
      <c r="B53" s="0" t="s">
        <v>815</v>
      </c>
      <c r="C53" s="0" t="s">
        <v>748</v>
      </c>
      <c r="D53" s="0" t="s">
        <v>807</v>
      </c>
    </row>
    <row r="54" customFormat="false" ht="15" hidden="false" customHeight="false" outlineLevel="0" collapsed="false">
      <c r="A54" s="0" t="n">
        <v>53</v>
      </c>
      <c r="B54" s="0" t="s">
        <v>816</v>
      </c>
      <c r="C54" s="0" t="s">
        <v>748</v>
      </c>
      <c r="D54" s="0" t="s">
        <v>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817</v>
      </c>
      <c r="B1" s="0" t="s">
        <v>818</v>
      </c>
      <c r="C1" s="0" t="s">
        <v>819</v>
      </c>
      <c r="D1" s="0" t="s">
        <v>820</v>
      </c>
    </row>
    <row r="2" customFormat="false" ht="15" hidden="false" customHeight="false" outlineLevel="0" collapsed="false">
      <c r="A2" s="0" t="s">
        <v>821</v>
      </c>
      <c r="B2" s="0" t="s">
        <v>821</v>
      </c>
      <c r="C2" s="0" t="s">
        <v>822</v>
      </c>
      <c r="D2" s="0" t="s">
        <v>823</v>
      </c>
    </row>
    <row r="3" customFormat="false" ht="15" hidden="false" customHeight="false" outlineLevel="0" collapsed="false">
      <c r="A3" s="0" t="s">
        <v>824</v>
      </c>
      <c r="B3" s="0" t="s">
        <v>824</v>
      </c>
      <c r="C3" s="0" t="s">
        <v>822</v>
      </c>
      <c r="D3" s="0" t="s">
        <v>825</v>
      </c>
    </row>
    <row r="4" customFormat="false" ht="15" hidden="false" customHeight="false" outlineLevel="0" collapsed="false">
      <c r="A4" s="0" t="s">
        <v>826</v>
      </c>
      <c r="B4" s="0" t="s">
        <v>826</v>
      </c>
      <c r="C4" s="0" t="s">
        <v>822</v>
      </c>
      <c r="D4" s="0" t="s">
        <v>827</v>
      </c>
    </row>
    <row r="5" customFormat="false" ht="15" hidden="false" customHeight="false" outlineLevel="0" collapsed="false">
      <c r="A5" s="0" t="s">
        <v>828</v>
      </c>
      <c r="B5" s="0" t="s">
        <v>828</v>
      </c>
      <c r="C5" s="0" t="s">
        <v>822</v>
      </c>
      <c r="D5" s="0" t="s">
        <v>829</v>
      </c>
    </row>
    <row r="6" customFormat="false" ht="15" hidden="false" customHeight="false" outlineLevel="0" collapsed="false">
      <c r="A6" s="0" t="s">
        <v>830</v>
      </c>
      <c r="B6" s="0" t="s">
        <v>830</v>
      </c>
      <c r="C6" s="0" t="s">
        <v>822</v>
      </c>
      <c r="D6" s="0" t="s">
        <v>831</v>
      </c>
    </row>
    <row r="7" customFormat="false" ht="15" hidden="false" customHeight="false" outlineLevel="0" collapsed="false">
      <c r="A7" s="0" t="s">
        <v>832</v>
      </c>
      <c r="B7" s="0" t="s">
        <v>832</v>
      </c>
      <c r="C7" s="0" t="s">
        <v>822</v>
      </c>
      <c r="D7" s="0" t="s">
        <v>833</v>
      </c>
    </row>
    <row r="8" customFormat="false" ht="15" hidden="false" customHeight="false" outlineLevel="0" collapsed="false">
      <c r="A8" s="0" t="s">
        <v>834</v>
      </c>
      <c r="B8" s="0" t="s">
        <v>834</v>
      </c>
      <c r="C8" s="0" t="s">
        <v>822</v>
      </c>
      <c r="D8" s="0" t="s">
        <v>835</v>
      </c>
    </row>
    <row r="9" customFormat="false" ht="15" hidden="false" customHeight="false" outlineLevel="0" collapsed="false">
      <c r="A9" s="0" t="s">
        <v>836</v>
      </c>
      <c r="B9" s="0" t="s">
        <v>836</v>
      </c>
      <c r="C9" s="0" t="s">
        <v>822</v>
      </c>
      <c r="D9" s="0" t="s">
        <v>837</v>
      </c>
    </row>
    <row r="10" customFormat="false" ht="15" hidden="false" customHeight="false" outlineLevel="0" collapsed="false">
      <c r="A10" s="0" t="s">
        <v>838</v>
      </c>
      <c r="B10" s="0" t="s">
        <v>838</v>
      </c>
      <c r="C10" s="0" t="s">
        <v>822</v>
      </c>
      <c r="D10" s="0" t="s">
        <v>839</v>
      </c>
    </row>
    <row r="11" customFormat="false" ht="15" hidden="false" customHeight="false" outlineLevel="0" collapsed="false">
      <c r="A11" s="0" t="s">
        <v>840</v>
      </c>
      <c r="B11" s="0" t="s">
        <v>840</v>
      </c>
      <c r="C11" s="0" t="s">
        <v>822</v>
      </c>
      <c r="D11" s="0" t="s">
        <v>841</v>
      </c>
    </row>
    <row r="12" customFormat="false" ht="15" hidden="false" customHeight="false" outlineLevel="0" collapsed="false">
      <c r="A12" s="0" t="s">
        <v>842</v>
      </c>
      <c r="B12" s="0" t="s">
        <v>842</v>
      </c>
      <c r="C12" s="0" t="s">
        <v>822</v>
      </c>
      <c r="D12" s="0" t="s">
        <v>843</v>
      </c>
    </row>
    <row r="13" customFormat="false" ht="15" hidden="false" customHeight="false" outlineLevel="0" collapsed="false">
      <c r="A13" s="0" t="s">
        <v>844</v>
      </c>
      <c r="B13" s="0" t="s">
        <v>844</v>
      </c>
      <c r="C13" s="0" t="s">
        <v>822</v>
      </c>
      <c r="D13" s="0" t="s">
        <v>845</v>
      </c>
    </row>
    <row r="14" customFormat="false" ht="15" hidden="false" customHeight="false" outlineLevel="0" collapsed="false">
      <c r="A14" s="0" t="s">
        <v>846</v>
      </c>
      <c r="B14" s="0" t="s">
        <v>846</v>
      </c>
      <c r="C14" s="0" t="s">
        <v>822</v>
      </c>
      <c r="D14" s="0" t="s">
        <v>847</v>
      </c>
    </row>
    <row r="15" customFormat="false" ht="15" hidden="false" customHeight="false" outlineLevel="0" collapsed="false">
      <c r="A15" s="0" t="s">
        <v>848</v>
      </c>
      <c r="B15" s="0" t="s">
        <v>848</v>
      </c>
      <c r="C15" s="0" t="s">
        <v>822</v>
      </c>
      <c r="D15" s="0" t="s">
        <v>849</v>
      </c>
    </row>
    <row r="16" customFormat="false" ht="15" hidden="false" customHeight="false" outlineLevel="0" collapsed="false">
      <c r="A16" s="0" t="s">
        <v>850</v>
      </c>
      <c r="B16" s="0" t="s">
        <v>850</v>
      </c>
      <c r="C16" s="0" t="s">
        <v>822</v>
      </c>
      <c r="D16" s="0" t="s">
        <v>851</v>
      </c>
    </row>
    <row r="17" customFormat="false" ht="15" hidden="false" customHeight="false" outlineLevel="0" collapsed="false">
      <c r="A17" s="0" t="s">
        <v>852</v>
      </c>
      <c r="B17" s="0" t="s">
        <v>852</v>
      </c>
      <c r="C17" s="0" t="s">
        <v>822</v>
      </c>
      <c r="D17" s="0" t="s">
        <v>853</v>
      </c>
    </row>
    <row r="18" customFormat="false" ht="15" hidden="false" customHeight="false" outlineLevel="0" collapsed="false">
      <c r="A18" s="0" t="s">
        <v>854</v>
      </c>
      <c r="B18" s="0" t="s">
        <v>854</v>
      </c>
      <c r="C18" s="0" t="s">
        <v>822</v>
      </c>
      <c r="D18" s="0" t="s">
        <v>855</v>
      </c>
    </row>
    <row r="19" customFormat="false" ht="15" hidden="false" customHeight="false" outlineLevel="0" collapsed="false">
      <c r="A19" s="0" t="s">
        <v>856</v>
      </c>
      <c r="B19" s="0" t="s">
        <v>856</v>
      </c>
      <c r="C19" s="0" t="s">
        <v>822</v>
      </c>
      <c r="D19" s="0" t="s">
        <v>857</v>
      </c>
    </row>
    <row r="20" customFormat="false" ht="15" hidden="false" customHeight="false" outlineLevel="0" collapsed="false">
      <c r="A20" s="0" t="s">
        <v>858</v>
      </c>
      <c r="B20" s="0" t="s">
        <v>858</v>
      </c>
      <c r="C20" s="0" t="s">
        <v>822</v>
      </c>
      <c r="D20" s="0" t="s">
        <v>859</v>
      </c>
    </row>
    <row r="21" customFormat="false" ht="15" hidden="false" customHeight="false" outlineLevel="0" collapsed="false">
      <c r="A21" s="0" t="s">
        <v>860</v>
      </c>
      <c r="B21" s="0" t="s">
        <v>860</v>
      </c>
      <c r="C21" s="0" t="s">
        <v>822</v>
      </c>
      <c r="D21" s="0" t="s">
        <v>861</v>
      </c>
    </row>
    <row r="22" customFormat="false" ht="15" hidden="false" customHeight="false" outlineLevel="0" collapsed="false">
      <c r="A22" s="0" t="s">
        <v>862</v>
      </c>
      <c r="B22" s="0" t="s">
        <v>862</v>
      </c>
      <c r="C22" s="0" t="s">
        <v>863</v>
      </c>
      <c r="D22" s="0" t="s">
        <v>864</v>
      </c>
    </row>
    <row r="23" customFormat="false" ht="15" hidden="false" customHeight="false" outlineLevel="0" collapsed="false">
      <c r="A23" s="0" t="s">
        <v>865</v>
      </c>
      <c r="B23" s="0" t="s">
        <v>865</v>
      </c>
      <c r="C23" s="0" t="s">
        <v>863</v>
      </c>
      <c r="D23" s="0" t="s">
        <v>866</v>
      </c>
    </row>
    <row r="24" customFormat="false" ht="15" hidden="false" customHeight="false" outlineLevel="0" collapsed="false">
      <c r="A24" s="0" t="s">
        <v>867</v>
      </c>
      <c r="B24" s="0" t="s">
        <v>867</v>
      </c>
      <c r="C24" s="0" t="s">
        <v>822</v>
      </c>
      <c r="D24" s="0" t="s">
        <v>868</v>
      </c>
    </row>
    <row r="25" customFormat="false" ht="15" hidden="false" customHeight="false" outlineLevel="0" collapsed="false">
      <c r="A25" s="0" t="s">
        <v>869</v>
      </c>
      <c r="B25" s="0" t="s">
        <v>869</v>
      </c>
      <c r="C25" s="0" t="s">
        <v>822</v>
      </c>
      <c r="D25" s="0" t="s">
        <v>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2026-10-16T06:04:20Z</dcterms:created>
  <dc:creator>openpyxl</dc:creator>
  <dc:description/>
  <dc:language>en-US</dc:language>
  <cp:lastModifiedBy/>
  <dcterms:modified xsi:type="dcterms:W3CDTF">2026-10-16T06:04:20Z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