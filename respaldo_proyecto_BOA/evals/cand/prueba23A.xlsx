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<sst xmlns="http://schemas.openxmlformats.org/spreadsheetml/2006/main" count="1469" uniqueCount="1007">
  <si>
    <t xml:space="preserve">Bank of America - Broomfield, CO (CO1-111)   |   METAL FRAMING &amp; DRYWALL TAKEOFF</t>
  </si>
  <si>
    <t xml:space="preserve">Bid set: boa.pdf   ·   2026-10-20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</si>
  <si>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</si>
  <si>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</si>
  <si>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</si>
  <si>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</si>
  <si>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</si>
  <si>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</si>
  <si>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</si>
  <si>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</si>
  <si>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</si>
  <si>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</si>
  <si>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</si>
  <si>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</si>
  <si>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</si>
  <si>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</si>
  <si>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</si>
  <si>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</si>
  <si>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</si>
  <si>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</si>
  <si>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</si>
  <si>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</si>
  <si>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</si>
  <si>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</si>
  <si>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</si>
  <si>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</si>
  <si>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</si>
  <si>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</si>
  <si>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</si>
  <si>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</si>
  <si>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</si>
  <si>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</si>
  <si>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</si>
  <si>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</si>
  <si>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</si>
  <si>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</si>
  <si>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</si>
  <si>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</si>
  <si>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</si>
  <si>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</si>
  <si>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</si>
  <si>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</si>
  <si>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</si>
  <si>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</si>
  <si>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</si>
  <si>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</si>
  <si>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</si>
  <si>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</si>
  <si>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</si>
  <si>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</si>
  <si>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</si>
  <si>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</si>
  <si>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</si>
  <si>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</si>
  <si>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</si>
  <si>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</si>
  <si>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</si>
  <si>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</si>
  <si>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</si>
  <si>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</si>
  <si>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</si>
  <si>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#A-T1-001  -  North wall of CALLING CUBES 122 / central zone 103 side (C1 low element 7 abuts on north face)</t>
  </si>
  <si>
    <t xml:space="preserve">A-T1-001</t>
  </si>
  <si>
    <t xml:space="preserve">3-5/8"</t>
  </si>
  <si>
    <t xml:space="preserve">North wall of CALLING CUBES 122 / central zone 103 side (C1 low element 7 abuts on north face)</t>
  </si>
  <si>
    <t xml:space="preserve">3/A12.01</t>
  </si>
  <si>
    <t xml:space="preserve">[DERIVED]</t>
  </si>
  <si>
    <t xml:space="preserve">A1  #A-T1-002  -  Back wall of MW01 millwork alcove (MW01 alcove west / calling cubes 122 east)</t>
  </si>
  <si>
    <t xml:space="preserve">A-T1-002</t>
  </si>
  <si>
    <t xml:space="preserve">Back wall of MW01 millwork alcove (MW01 alcove west / calling cubes 122 east)</t>
  </si>
  <si>
    <t xml:space="preserve">A1  #A-T1-003  -  Return wall south of MW01 alcove (between MW01 and MW07, calling cubes west side)</t>
  </si>
  <si>
    <t xml:space="preserve">A-T1-003</t>
  </si>
  <si>
    <t xml:space="preserve">Return wall south of MW01 alcove (between MW01 and MW07, calling cubes west side)</t>
  </si>
  <si>
    <t xml:space="preserve">[CONFIRMED]</t>
  </si>
  <si>
    <t xml:space="preserve">A1  #A-T1-005  -  North wall of CORRIDOR 111 with door 111 (between women restroom 114 and calling cubes)</t>
  </si>
  <si>
    <t xml:space="preserve">A-T1-005</t>
  </si>
  <si>
    <t xml:space="preserve">North wall of CORRIDOR 111 with door 111 (between women restroom 114 and calling cubes)</t>
  </si>
  <si>
    <t xml:space="preserve">A1  #A-T1-007  -  South wall of CALLING CUBES 122 / north of BREAK ROOM 118 (MW21 below)</t>
  </si>
  <si>
    <t xml:space="preserve">A-T1-007</t>
  </si>
  <si>
    <t xml:space="preserve">South wall of CALLING CUBES 122 / north of BREAK ROOM 118 (MW21 below)</t>
  </si>
  <si>
    <t xml:space="preserve">A1  #A-T1-009  -  East end wall of MW21 (break room 118 / central zone 103)</t>
  </si>
  <si>
    <t xml:space="preserve">A-T1-009</t>
  </si>
  <si>
    <t xml:space="preserve">East end wall of MW21 (break room 118 / central zone 103)</t>
  </si>
  <si>
    <t xml:space="preserve">A1  #A-T1-010  -  North wall of BREAK ROOM 118 / central zone 103 with door 118A</t>
  </si>
  <si>
    <t xml:space="preserve">A-T1-010</t>
  </si>
  <si>
    <t xml:space="preserve">North wall of BREAK ROOM 118 / central zone 103 with door 118A</t>
  </si>
  <si>
    <t xml:space="preserve">A1  #A-T1-016  -  East wall of CORRIDOR 111 / west wall of BREAK ROOM 118, ELECTRICAL 120 and NER 121 (to exterior)</t>
  </si>
  <si>
    <t xml:space="preserve">A-T1-016</t>
  </si>
  <si>
    <t xml:space="preserve">East wall of CORRIDOR 111 / west wall of BREAK ROOM 118, ELECTRICAL 120 and NER 121 (to exterior)</t>
  </si>
  <si>
    <t xml:space="preserve">A1  #A-T1-017  -  North wall of WORK ROOM 119 / cash window 116 with door 119</t>
  </si>
  <si>
    <t xml:space="preserve">A-T1-017</t>
  </si>
  <si>
    <t xml:space="preserve">North wall of WORK ROOM 119 / cash window 116 with door 119</t>
  </si>
  <si>
    <t xml:space="preserve">TYPE A5</t>
  </si>
  <si>
    <t xml:space="preserve">A5  #A-T1-004  -  West wall of CALLING CUBES 122 / central zone 103 (FEC-1 recess on west face), upper run</t>
  </si>
  <si>
    <t xml:space="preserve">A-T1-004</t>
  </si>
  <si>
    <t xml:space="preserve">6"</t>
  </si>
  <si>
    <t xml:space="preserve">West wall of CALLING CUBES 122 / central zone 103 (FEC-1 recess on west face), upper run</t>
  </si>
  <si>
    <t xml:space="preserve">A5  #A-T1-006+A-T1-006-S  -  West wall of CALLING CUBES 122 / corridor 111, lower run with door 122</t>
  </si>
  <si>
    <t xml:space="preserve">A-T1-006+A-T1-006-S</t>
  </si>
  <si>
    <t xml:space="preserve">West wall of CALLING CUBES 122 / corridor 111, lower run with door 122</t>
  </si>
  <si>
    <t xml:space="preserve">A5  #A-T1-008+A-T1-008-S  -  East wall of CALLING CUBES 122 / central zone 103</t>
  </si>
  <si>
    <t xml:space="preserve">A-T1-008+A-T1-008-S</t>
  </si>
  <si>
    <t xml:space="preserve">East wall of CALLING CUBES 122 / central zone 103</t>
  </si>
  <si>
    <t xml:space="preserve">A5  #A-T1-012  -  West wall of CASH WINDOW 116 / break room 118 (below FUTURE FCAM) incl. door 116</t>
  </si>
  <si>
    <t xml:space="preserve">A-T1-012</t>
  </si>
  <si>
    <t xml:space="preserve">West wall of CASH WINDOW 116 / break room 118 (below FUTURE FCAM) incl. door 116</t>
  </si>
  <si>
    <t xml:space="preserve">TYPE A1K</t>
  </si>
  <si>
    <t xml:space="preserve">A1K  #A-T1-011  -  Bullet-resistant wall south end of teller line (cash window 116 / break room 118 side), west part</t>
  </si>
  <si>
    <t xml:space="preserve">A-T1-011</t>
  </si>
  <si>
    <t xml:space="preserve">Bullet-resistant wall south end of teller line (cash window 116 / break room 118 side), west part</t>
  </si>
  <si>
    <t xml:space="preserve">4/A12.01</t>
  </si>
  <si>
    <t xml:space="preserve">A1K  #A-T1-013  -  Bullet-resistant wall south end of teller line (cash window 116 / central zone), east part</t>
  </si>
  <si>
    <t xml:space="preserve">A-T1-013</t>
  </si>
  <si>
    <t xml:space="preserve">Bullet-resistant wall south end of teller line (cash window 116 / central zone), east part</t>
  </si>
  <si>
    <t xml:space="preserve">A1K  #A-T1-014  -  Bullet-resistant wall north end of teller line (cash window 116 / office 108 G wall above)</t>
  </si>
  <si>
    <t xml:space="preserve">A-T1-014</t>
  </si>
  <si>
    <t xml:space="preserve">Bullet-resistant wall north end of teller line (cash window 116 / office 108 G wall above)</t>
  </si>
  <si>
    <t xml:space="preserve">TYPE B2K</t>
  </si>
  <si>
    <t xml:space="preserve">B2K  #A-T1-015  -  Bullet-resistant wall north of teller line, under office 108 front / central zone 103</t>
  </si>
  <si>
    <t xml:space="preserve">A-T1-015</t>
  </si>
  <si>
    <t xml:space="preserve">Bullet-resistant wall north of teller line, under office 108 front / central zone 103</t>
  </si>
  <si>
    <t xml:space="preserve">TYPE B</t>
  </si>
  <si>
    <t xml:space="preserve">B  #A-T2-001  -  North wall of Electrical 120; Corridor 111 (east-west leg with FEC-2) to the north</t>
  </si>
  <si>
    <t xml:space="preserve">A-T2-001</t>
  </si>
  <si>
    <t xml:space="preserve">North wall of Electrical 120; Corridor 111 (east-west leg with FEC-2) to the north</t>
  </si>
  <si>
    <t xml:space="preserve">1/A12.01</t>
  </si>
  <si>
    <t xml:space="preserve">B  #A-T2-002  -  Between Electrical 120 (north) and NER 121 (south)</t>
  </si>
  <si>
    <t xml:space="preserve">A-T2-002</t>
  </si>
  <si>
    <t xml:space="preserve">Between Electrical 120 (north) and NER 121 (south)</t>
  </si>
  <si>
    <t xml:space="preserve">B  #A-T2-003  -  East wall of Electrical 120 and NER 121, Break Room 118 side to the east (doors 120 and 121 in this wall)</t>
  </si>
  <si>
    <t xml:space="preserve">A-T2-003</t>
  </si>
  <si>
    <t xml:space="preserve">East wall of Electrical 120 and NER 121, Break Room 118 side to the east (doors 120 and 121 in this wall)</t>
  </si>
  <si>
    <t xml:space="preserve">B  #A-T2-004  -  Between Men's Restroom 113 (north) and Janitor Closet 112 / Storage 117 (south); door 112 in this wall</t>
  </si>
  <si>
    <t xml:space="preserve">A-T2-004</t>
  </si>
  <si>
    <t xml:space="preserve">Between Men's Restroom 113 (north) and Janitor Closet 112 / Storage 117 (south); door 112 in this wall</t>
  </si>
  <si>
    <t xml:space="preserve">B  #A-T2-005  -  Between Janitor Closet 112 / Storage 117 (north) and Wellness 115 (south)</t>
  </si>
  <si>
    <t xml:space="preserve">A-T2-005</t>
  </si>
  <si>
    <t xml:space="preserve">Between Janitor Closet 112 / Storage 117 (north) and Wellness 115 (south)</t>
  </si>
  <si>
    <t xml:space="preserve">B  #A-T2-006  -  Between Janitor Closet 112 (west) and Storage 117 (east), behind MW06A / MW05</t>
  </si>
  <si>
    <t xml:space="preserve">A-T2-006</t>
  </si>
  <si>
    <t xml:space="preserve">Between Janitor Closet 112 (west) and Storage 117 (east), behind MW06A / MW05</t>
  </si>
  <si>
    <t xml:space="preserve">TYPE B2</t>
  </si>
  <si>
    <t xml:space="preserve">B2  #A-T2-007  -  East wall of ATM Room 102 to Central Zone 103, between C1 pier box (A-T2-024) and office 109 G wall; door 102</t>
  </si>
  <si>
    <t xml:space="preserve">A-T2-007</t>
  </si>
  <si>
    <t xml:space="preserve">East wall of ATM Room 102 to Central Zone 103, between C1 pier box (A-T2-024) and office 109 G wall; door 102</t>
  </si>
  <si>
    <t xml:space="preserve">B2  #A-T2-008  -  East wall of Women's Restroom 114 to Corridor 111, north of drinking fountain alcove; door 114</t>
  </si>
  <si>
    <t xml:space="preserve">A-T2-008</t>
  </si>
  <si>
    <t xml:space="preserve">East wall of Women's Restroom 114 to Corridor 111, north of drinking fountain alcove; door 114</t>
  </si>
  <si>
    <t xml:space="preserve">B2  #A-T2-012  -  East wall of Men's Restroom 113, Storage 117 and Wellness 115 to Corridor 111; doors 113, 117, 115</t>
  </si>
  <si>
    <t xml:space="preserve">A-T2-012</t>
  </si>
  <si>
    <t xml:space="preserve">East wall of Men's Restroom 113, Storage 117 and Wellness 115 to Corridor 111; doors 113, 117, 115</t>
  </si>
  <si>
    <t xml:space="preserve">B2  #A-T2-013  -  Between Break Room 118 (west) and Work Room 119 (east)</t>
  </si>
  <si>
    <t xml:space="preserve">A-T2-013</t>
  </si>
  <si>
    <t xml:space="preserve">Between Break Room 118 (west) and Work Room 119 (east)</t>
  </si>
  <si>
    <t xml:space="preserve">TYPE C1</t>
  </si>
  <si>
    <t xml:space="preserve">C1  #A-T2-014  -  Plumbing chase furring, Women's Restroom 114 face (north side of chase)</t>
  </si>
  <si>
    <t xml:space="preserve">A-T2-014</t>
  </si>
  <si>
    <t xml:space="preserve">Plumbing chase furring, Women's Restroom 114 face (north side of chase)</t>
  </si>
  <si>
    <t xml:space="preserve">6/A12.01</t>
  </si>
  <si>
    <t xml:space="preserve">C1  #A-T2-015  -  Plumbing chase furring, Men's Restroom 113 face (south side of chase)</t>
  </si>
  <si>
    <t xml:space="preserve">A-T2-015</t>
  </si>
  <si>
    <t xml:space="preserve">Plumbing chase furring, Men's Restroom 113 face (south side of chase)</t>
  </si>
  <si>
    <t xml:space="preserve">C1  #A-T2-016+A-T2-017+A-T2-018  -  C1 furring for 85" display monitor (keynote 7) on the Central Zone 103 face of the Calling Cubes 122 north A1 wall + west return leg of C1 monitor furring A-T2-016 back to the Calling Cubes 122 north A1 wall + east return leg of C1 monitor furring A-T2-016 back to the Calling Cubes 122 north A1 wall</t>
  </si>
  <si>
    <t xml:space="preserve">A-T2-016+A-T2-017+A-T2-018</t>
  </si>
  <si>
    <t xml:space="preserve">C1 furring for 85" display monitor (keynote 7) on the Central Zone 103 face of the Calling Cubes 122 north A1 wall + west return leg of C1 monitor furring A-T2-016 back to the Calling Cubes 122 north A1 wall + east return leg of C1 monitor furring A-T2-016 back to the Calling Cubes 122 north A1 wall</t>
  </si>
  <si>
    <t xml:space="preserve">C1  #A-T2-019+A-T2-020  -  C1 furring at Future FCAM (Central Zone 103 side), south of the A1K wall of Cash Window 116 + East closure of C1 furring A-T2-019 at Future FCAM, back to the A1K wall</t>
  </si>
  <si>
    <t xml:space="preserve">A-T2-019+A-T2-020</t>
  </si>
  <si>
    <t xml:space="preserve">C1 furring at Future FCAM (Central Zone 103 side), south of the A1K wall of Cash Window 116 + East closure of C1 furring A-T2-019 at Future FCAM, back to the A1K wall</t>
  </si>
  <si>
    <t xml:space="preserve">C1  #A-T2-024  -  Pier box at the east end of F diagonal wall, south jamb of coiling grille door 103 (13'-4" R.O.), above B2 wall A-T2-007; wraps one HSS post (7.44 pt square at 1124.8-1132.2, 728.4-735.8)</t>
  </si>
  <si>
    <t xml:space="preserve">A-T2-024</t>
  </si>
  <si>
    <t xml:space="preserve">Pier box at the east end of F diagonal wall, south jamb of coiling grille door 103 (13'-4" R.O.), above B2 wall A-T2-007; wraps one HSS post (7.44 pt square at 1124.8-1132.2, 728.4-735.8)</t>
  </si>
  <si>
    <t xml:space="preserve">C1  #A-T4-008  -  Storefront pier at grid 2 / F, west end of SF-1 (vestibule 100)</t>
  </si>
  <si>
    <t xml:space="preserve">A-T4-008</t>
  </si>
  <si>
    <t xml:space="preserve">3-5/8" metal framing + 6" CFMF</t>
  </si>
  <si>
    <t xml:space="preserve">Storefront pier at grid 2 / F, west end of SF-1 (vestibule 100)</t>
  </si>
  <si>
    <t xml:space="preserve">1/A09.25</t>
  </si>
  <si>
    <t xml:space="preserve">C1  #A-T4-009  -  Storefront pier at grid 4 / F, between SF-1 and SF-2 (vestibule 100 / central zone 103)</t>
  </si>
  <si>
    <t xml:space="preserve">A-T4-009</t>
  </si>
  <si>
    <t xml:space="preserve">Storefront pier at grid 4 / F, between SF-1 and SF-2 (vestibule 100 / central zone 103)</t>
  </si>
  <si>
    <t xml:space="preserve">2/A09.25</t>
  </si>
  <si>
    <t xml:space="preserve">C1  #A-T4-010  -  1'-0" vestibule pier at grid 4, end of GF-1 / GF-2 glass fronts (vestibule 100 / 24 HR vestibule 101 / central zone 103)</t>
  </si>
  <si>
    <t xml:space="preserve">A-T4-010</t>
  </si>
  <si>
    <t xml:space="preserve">1'-0" vestibule pier at grid 4, end of GF-1 / GF-2 glass fronts (vestibule 100 / 24 HR vestibule 101 / central zone 103)</t>
  </si>
  <si>
    <t xml:space="preserve">TYPE F</t>
  </si>
  <si>
    <t xml:space="preserve">F  #A-T2-025  -  Diagonal (60 deg to the left exterior wall) wall between 24 HR Vestibule 101 (ATM lobby, FRT plywood side) and ATM Room 102; ATM-WU through-the-wall opening</t>
  </si>
  <si>
    <t xml:space="preserve">A-T2-025</t>
  </si>
  <si>
    <t xml:space="preserve">Diagonal (60 deg to the left exterior wall) wall between 24 HR Vestibule 101 (ATM lobby, FRT plywood side) and ATM Room 102; ATM-WU through-the-wall opening</t>
  </si>
  <si>
    <t xml:space="preserve">12/A12.01</t>
  </si>
  <si>
    <t xml:space="preserve">TYPE G</t>
  </si>
  <si>
    <t xml:space="preserve">G  #A-T3-001  -  Office 105 front, north end stub between exterior storefront/wall (north of office 105) and clear finished opening 105; central zone 103 west side / office 105 east side</t>
  </si>
  <si>
    <t xml:space="preserve">A-T3-001</t>
  </si>
  <si>
    <t xml:space="preserve">1-5/8"</t>
  </si>
  <si>
    <t xml:space="preserve">Office 105 front, north end stub between exterior storefront/wall (north of office 105) and clear finished opening 105; central zone 103 west side / office 105 east side</t>
  </si>
  <si>
    <t xml:space="preserve">5/A12.01</t>
  </si>
  <si>
    <t xml:space="preserve">G  #A-T3-002  -  Office front between openings 105 and 106 (central zone 103 side / offices 105-106), stub receiving G1 demising wall</t>
  </si>
  <si>
    <t xml:space="preserve">A-T3-002</t>
  </si>
  <si>
    <t xml:space="preserve">Office front between openings 105 and 106 (central zone 103 side / offices 105-106), stub receiving G1 demising wall</t>
  </si>
  <si>
    <t xml:space="preserve">G  #A-T3-003  -  Office front between openings 106 and 107 (central zone 103 side / offices 106-107)</t>
  </si>
  <si>
    <t xml:space="preserve">A-T3-003</t>
  </si>
  <si>
    <t xml:space="preserve">Office front between openings 106 and 107 (central zone 103 side / offices 106-107)</t>
  </si>
  <si>
    <t xml:space="preserve">G  #A-T3-004  -  Office front between openings 107 and 108 (central zone 103 side / offices 107-108)</t>
  </si>
  <si>
    <t xml:space="preserve">A-T3-004</t>
  </si>
  <si>
    <t xml:space="preserve">Office front between openings 107 and 108 (central zone 103 side / offices 107-108)</t>
  </si>
  <si>
    <t xml:space="preserve">G  #A-T3-006  -  Demising wall between office 106 and office 107, east offices</t>
  </si>
  <si>
    <t xml:space="preserve">A-T3-006</t>
  </si>
  <si>
    <t xml:space="preserve">Demising wall between office 106 and office 107, east offices</t>
  </si>
  <si>
    <t xml:space="preserve">G  #A-T3-007  -  Demising wall between office 107 and office 108, east offices</t>
  </si>
  <si>
    <t xml:space="preserve">A-T3-007</t>
  </si>
  <si>
    <t xml:space="preserve">Demising wall between office 107 and office 108, east offices</t>
  </si>
  <si>
    <t xml:space="preserve">G  #A-T3-008  -  Wall between office 108 (north) and cash window 116 (south), east offices</t>
  </si>
  <si>
    <t xml:space="preserve">A-T3-008</t>
  </si>
  <si>
    <t xml:space="preserve">Wall between office 108 (north) and cash window 116 (south), east offices</t>
  </si>
  <si>
    <t xml:space="preserve">G  #A-T3-012  -  Wall between ATM room 102 (north) and office 109 (south), west offices</t>
  </si>
  <si>
    <t xml:space="preserve">A-T3-012</t>
  </si>
  <si>
    <t xml:space="preserve">Wall between ATM room 102 (north) and office 109 (south), west offices</t>
  </si>
  <si>
    <t xml:space="preserve">G  #A-T3-013  -  Demising wall between office 109 (north) and office 110 (south), west offices</t>
  </si>
  <si>
    <t xml:space="preserve">A-T3-013</t>
  </si>
  <si>
    <t xml:space="preserve">Demising wall between office 109 (north) and office 110 (south), west offices</t>
  </si>
  <si>
    <t xml:space="preserve">G  #A-T3-014  -  Wall between office 110 (north) and women restroom 114 (south), west offices</t>
  </si>
  <si>
    <t xml:space="preserve">A-T3-014</t>
  </si>
  <si>
    <t xml:space="preserve">Wall between office 110 (north) and women restroom 114 (south), west offices</t>
  </si>
  <si>
    <t xml:space="preserve">TYPE G1</t>
  </si>
  <si>
    <t xml:space="preserve">G1  #A-T3-005  -  Demising wall between office 105 (north) and office 106 (south), east offices</t>
  </si>
  <si>
    <t xml:space="preserve">A-T3-005</t>
  </si>
  <si>
    <t xml:space="preserve">Demising wall between office 105 (north) and office 106 (south), east offices</t>
  </si>
  <si>
    <t xml:space="preserve">G1  #A-T3-010  -  Office front between openings 109 and 110 (central zone side / offices 109-110), stub receiving G demising wall</t>
  </si>
  <si>
    <t xml:space="preserve">A-T3-010</t>
  </si>
  <si>
    <t xml:space="preserve">Office front between openings 109 and 110 (central zone side / offices 109-110), stub receiving G demising wall</t>
  </si>
  <si>
    <t xml:space="preserve">G1  #A-T3-011  -  Office 110 front, south stub between clear finished opening 110 and corner with G wall office 110/women restroom 114</t>
  </si>
  <si>
    <t xml:space="preserve">A-T3-011</t>
  </si>
  <si>
    <t xml:space="preserve">Office 110 front, south stub between clear finished opening 110 and corner with G wall office 110/women restroom 114</t>
  </si>
  <si>
    <t xml:space="preserve">TYPE BULKHEAD-G</t>
  </si>
  <si>
    <t xml:space="preserve">BULKHEAD-G  #A-T3-015+A-T3-016+A-T3-017+A-T3-018  -  Bulkhead over office 105 clear finished opening (DFC-1A office front + door 105), east offices, central zone 103 side + Bulkhead over office 106 clear finished opening (DFC-1A office front + door 106), east offices, central zone 103 side + Bulkhead over office 107 clear finished opening (DFC-1A office front + door 107), east offices, central zone 103 side + Bulkhead over office 108 clear finished opening (DFC-1A office front + door 108), east offices, central zone 103 side</t>
  </si>
  <si>
    <t xml:space="preserve">A-T3-015+A-T3-016+A-T3-017+A-T3-018</t>
  </si>
  <si>
    <t xml:space="preserve">Bulkhead over office 105 clear finished opening (DFC-1A office front + door 105), east offices, central zone 103 side + Bulkhead over office 106 clear finished opening (DFC-1A office front + door 106), east offices, central zone 103 side + Bulkhead over office 107 clear finished opening (DFC-1A office front + door 107), east offices, central zone 103 side + Bulkhead over office 108 clear finished opening (DFC-1A office front + door 108), east offices, central zone 103 side</t>
  </si>
  <si>
    <t xml:space="preserve">9/A12.01</t>
  </si>
  <si>
    <t xml:space="preserve">BULKHEAD-G  #A-T3-019+A-T3-020  -  Bulkhead over office 109 clear finished opening (DFC-1A office front + door 109), west offices, central zone 103 side + Bulkhead over office 110 clear finished opening (DFC-1A office front + door 110), west offices, central zone 103 side</t>
  </si>
  <si>
    <t xml:space="preserve">A-T3-019+A-T3-020</t>
  </si>
  <si>
    <t xml:space="preserve">Bulkhead over office 109 clear finished opening (DFC-1A office front + door 109), west offices, central zone 103 side + Bulkhead over office 110 clear finished opening (DFC-1A office front + door 110), west offices, central zone 103 side</t>
  </si>
  <si>
    <t xml:space="preserve">TYPE EXT-6CFMF</t>
  </si>
  <si>
    <t xml:space="preserve">EXT-6CFMF  #A-T4-001  -  West facade grid 2: 24 HR vestibule 101 / ATM room 102 north part, between SF-3 storefront jamb and ATM wall jog (grids F-E)</t>
  </si>
  <si>
    <t xml:space="preserve">A-T4-001</t>
  </si>
  <si>
    <t xml:space="preserve">West facade grid 2: 24 HR vestibule 101 / ATM room 102 north part, between SF-3 storefront jamb and ATM wall jog (grids F-E)</t>
  </si>
  <si>
    <t xml:space="preserve">J/A09.23</t>
  </si>
  <si>
    <t xml:space="preserve">EXT-6CFMF  #A-T4-003  -  ATM room 102 south exterior wall (grid D) between grid 2 wall and grid 3 office wall outer face</t>
  </si>
  <si>
    <t xml:space="preserve">A-T4-003</t>
  </si>
  <si>
    <t xml:space="preserve">ATM room 102 south exterior wall (grid D) between grid 2 wall and grid 3 office wall outer face</t>
  </si>
  <si>
    <t xml:space="preserve">A/A09.21</t>
  </si>
  <si>
    <t xml:space="preserve">EXT-6CFMF  #A-T4-004+A-T4-004-S  -  West facade grid 3: offices 109, 110, women's 114, men's 113, janitor 112, wellness 115 (grids D-A)</t>
  </si>
  <si>
    <t xml:space="preserve">A-T4-004+A-T4-004-S</t>
  </si>
  <si>
    <t xml:space="preserve">West facade grid 3: offices 109, 110, women's 114, men's 113, janitor 112, wellness 115 (grids D-A)</t>
  </si>
  <si>
    <t xml:space="preserve">H/A09.23</t>
  </si>
  <si>
    <t xml:space="preserve">EXT-6CFMF  #A-T4-005+A-T4-005-E  -  North facade grid A (bottom of sheet): wellness 115, corridor/door 123, NER 121, break room 118 area, work room 119 (grids 3-8)</t>
  </si>
  <si>
    <t xml:space="preserve">A-T4-005+A-T4-005-E</t>
  </si>
  <si>
    <t xml:space="preserve">North facade grid A (bottom of sheet): wellness 115, corridor/door 123, NER 121, break room 118 area, work room 119 (grids 3-8)</t>
  </si>
  <si>
    <t xml:space="preserve">F/A09.22</t>
  </si>
  <si>
    <t xml:space="preserve">EXT-6CFMF  #A-T4-006+A-T4-006-S  -  East facade grid 8: offices 105-108, cash window 116, work room 119 (grids F-A)</t>
  </si>
  <si>
    <t xml:space="preserve">A-T4-006+A-T4-006-S</t>
  </si>
  <si>
    <t xml:space="preserve">East facade grid 8: offices 105-108, cash window 116, work room 119 (grids F-A)</t>
  </si>
  <si>
    <t xml:space="preserve">D/A09.22</t>
  </si>
  <si>
    <t xml:space="preserve">EXT-6CFMF  #A-T4-007  -  South facade (top of sheet) at office 105, from SF-2 storefront east jamb to east wall (grids 7-8)</t>
  </si>
  <si>
    <t xml:space="preserve">A-T4-007</t>
  </si>
  <si>
    <t xml:space="preserve">South facade (top of sheet) at office 105, from SF-2 storefront east jamb to east wall (grids 7-8)</t>
  </si>
  <si>
    <t xml:space="preserve">C/A09.21</t>
  </si>
  <si>
    <t xml:space="preserve">TYPE CANOPY-COL</t>
  </si>
  <si>
    <t xml:space="preserve">CANOPY-COL  #A-T4-011  -  Drive-up canopy column wrap at grid 1 / F (exterior, west canopy)</t>
  </si>
  <si>
    <t xml:space="preserve">A-T4-011</t>
  </si>
  <si>
    <t xml:space="preserve">Drive-up canopy column wrap at grid 1 / F (exterior, west canopy)</t>
  </si>
  <si>
    <t xml:space="preserve">5/A09.25</t>
  </si>
  <si>
    <t xml:space="preserve">CANOPY-COL  #A-T4-012  -  Drive-up canopy column wrap at grid 1 / E.4 (exterior, west canopy)</t>
  </si>
  <si>
    <t xml:space="preserve">A-T4-012</t>
  </si>
  <si>
    <t xml:space="preserve">Drive-up canopy column wrap at grid 1 / E.4 (exterior, west canopy)</t>
  </si>
  <si>
    <t xml:space="preserve">CANOPY-COL  #A-T4-013  -  Drive-up canopy column wrap at grid 1 / C.5 (exterior, west canopy)</t>
  </si>
  <si>
    <t xml:space="preserve">A-T4-013</t>
  </si>
  <si>
    <t xml:space="preserve">Drive-up canopy column wrap at grid 1 / C.5 (exterior, west canopy)</t>
  </si>
  <si>
    <t xml:space="preserve">CANOPY-COL  #A-T4-014  -  Drive-up canopy column wrap at grid 1 / B.2 (exterior, west canopy)</t>
  </si>
  <si>
    <t xml:space="preserve">A-T4-014</t>
  </si>
  <si>
    <t xml:space="preserve">Drive-up canopy column wrap at grid 1 / B.2 (exterior, west canopy)</t>
  </si>
  <si>
    <t xml:space="preserve">TYPE EXT-PARAPET</t>
  </si>
  <si>
    <t xml:space="preserve">EXT-PARAPET  #A-X-P01  -  A-X-P01</t>
  </si>
  <si>
    <t xml:space="preserve">A-X-P01</t>
  </si>
  <si>
    <t xml:space="preserve">11/S5.10</t>
  </si>
  <si>
    <t xml:space="preserve">EXT-PARAPET  #A-X-P02  -  A-X-P02</t>
  </si>
  <si>
    <t xml:space="preserve">A-X-P02</t>
  </si>
  <si>
    <t xml:space="preserve">EXT-PARAPET  #A-X-P03  -  A-X-P03</t>
  </si>
  <si>
    <t xml:space="preserve">A-X-P03</t>
  </si>
  <si>
    <t xml:space="preserve">EXT-PARAPET  #A-X-P04+A-X-P05  -  A-X-P04 + A-X-P05</t>
  </si>
  <si>
    <t xml:space="preserve">A-X-P04+A-X-P05</t>
  </si>
  <si>
    <t xml:space="preserve">A-X-P04 + A-X-P05</t>
  </si>
  <si>
    <t xml:space="preserve">EXT-PARAPET  #A-X-P06  -  A-X-P06</t>
  </si>
  <si>
    <t xml:space="preserve">A-X-P06</t>
  </si>
  <si>
    <t xml:space="preserve">EXT-PARAPET  #A-X-P07+A-X-P08  -  A-X-P07 + A-X-P08</t>
  </si>
  <si>
    <t xml:space="preserve">A-X-P07+A-X-P08</t>
  </si>
  <si>
    <t xml:space="preserve">A-X-P07 + A-X-P08</t>
  </si>
  <si>
    <t xml:space="preserve">EXT-PARAPET  #A-X-P09  -  A-X-P09</t>
  </si>
  <si>
    <t xml:space="preserve">A-X-P09</t>
  </si>
  <si>
    <t xml:space="preserve">EXT-PARAPET  #A-X-P10  -  A-X-P10</t>
  </si>
  <si>
    <t xml:space="preserve">A-X-P10</t>
  </si>
  <si>
    <t xml:space="preserve">TOTAL - PARTITIONS</t>
  </si>
  <si>
    <t xml:space="preserve">TYPE OTHER FRAMING (NOT A PARTITION)</t>
  </si>
  <si>
    <t xml:space="preserve">soffit_side  #A-C-001  -  103</t>
  </si>
  <si>
    <t xml:space="preserve">A-C-001</t>
  </si>
  <si>
    <t xml:space="preserve">103</t>
  </si>
  <si>
    <t xml:space="preserve">10/A09.33</t>
  </si>
  <si>
    <t xml:space="preserve">soffit_side  #A-C-002  -  103</t>
  </si>
  <si>
    <t xml:space="preserve">A-C-002</t>
  </si>
  <si>
    <t xml:space="preserve">soffit_side  #A-C-003  -  116</t>
  </si>
  <si>
    <t xml:space="preserve">A-C-003</t>
  </si>
  <si>
    <t xml:space="preserve">116</t>
  </si>
  <si>
    <t xml:space="preserve">soffit_side  #A-C-004  -  116</t>
  </si>
  <si>
    <t xml:space="preserve">A-C-004</t>
  </si>
  <si>
    <t xml:space="preserve">ceiling_transition  #A-C-005  -  103</t>
  </si>
  <si>
    <t xml:space="preserve">A-C-005</t>
  </si>
  <si>
    <t xml:space="preserve">7/A09.33</t>
  </si>
  <si>
    <t xml:space="preserve">ceiling_transition  #A-C-006  -  103</t>
  </si>
  <si>
    <t xml:space="preserve">A-C-006</t>
  </si>
  <si>
    <t xml:space="preserve">ceiling_transition  #A-C-007  -  103</t>
  </si>
  <si>
    <t xml:space="preserve">A-C-007</t>
  </si>
  <si>
    <t xml:space="preserve">ceiling_transition  #A-C-008  -  103</t>
  </si>
  <si>
    <t xml:space="preserve">A-C-008</t>
  </si>
  <si>
    <t xml:space="preserve">ceiling_transition  #A-C-009  -  103</t>
  </si>
  <si>
    <t xml:space="preserve">A-C-009</t>
  </si>
  <si>
    <t xml:space="preserve">ceiling_transition  #A-C-010  -  103</t>
  </si>
  <si>
    <t xml:space="preserve">A-C-010</t>
  </si>
  <si>
    <t xml:space="preserve">storefront_cripples  #A-T4-015  -  South facade (top) between storefront piers grids 2-4, over SF-1 (vestibule 100)</t>
  </si>
  <si>
    <t xml:space="preserve">A-T4-015</t>
  </si>
  <si>
    <t xml:space="preserve">South facade (top) between storefront piers grids 2-4, over SF-1 (vestibule 100)</t>
  </si>
  <si>
    <t xml:space="preserve">2/A09.26</t>
  </si>
  <si>
    <t xml:space="preserve">storefront_cripples  #A-T4-016  -  South facade (top) grids 4-7 over SF-2 (central zone 103 / waiting 104)</t>
  </si>
  <si>
    <t xml:space="preserve">A-T4-016</t>
  </si>
  <si>
    <t xml:space="preserve">South facade (top) grids 4-7 over SF-2 (central zone 103 / waiting 104)</t>
  </si>
  <si>
    <t xml:space="preserve">storefront_cripples  #A-T4-017  -  West facade grid 2 over SF-3 (vestibule 100), between pier P1 and wall A-T4-001</t>
  </si>
  <si>
    <t xml:space="preserve">A-T4-017</t>
  </si>
  <si>
    <t xml:space="preserve">West facade grid 2 over SF-3 (vestibule 100), between pier P1 and wall A-T4-001</t>
  </si>
  <si>
    <t xml:space="preserve">vestibule_head  #A-T4-018  -  Between vestibule 100 and 24 HR vestibule 101, from west wall A-T4-001 to 1'-0" pier</t>
  </si>
  <si>
    <t xml:space="preserve">A-T4-018</t>
  </si>
  <si>
    <t xml:space="preserve">Between vestibule 100 and 24 HR vestibule 101, from west wall A-T4-001 to 1'-0" pier</t>
  </si>
  <si>
    <t xml:space="preserve">6/A12.10, 7/A12.10</t>
  </si>
  <si>
    <t xml:space="preserve">vestibule_head  #A-T4-019  -  Between vestibule 100 and central zone 103 at grid 4, from pier P2 to 1'-0" pier</t>
  </si>
  <si>
    <t xml:space="preserve">A-T4-019</t>
  </si>
  <si>
    <t xml:space="preserve">Between vestibule 100 and central zone 103 at grid 4, from pier P2 to 1'-0" pier</t>
  </si>
  <si>
    <t xml:space="preserve">4/A12.10</t>
  </si>
  <si>
    <t xml:space="preserve">roof_step  #A-X-RS1  -  grid B, grid 3 to grid 8, row A</t>
  </si>
  <si>
    <t xml:space="preserve">A-X-RS1</t>
  </si>
  <si>
    <t xml:space="preserve">grid B, grid 3 to grid 8, row A</t>
  </si>
  <si>
    <t xml:space="preserve">4/A02.02</t>
  </si>
  <si>
    <t xml:space="preserve">roof_step  #A-X-RS2  -  grid B, grid 3 to grid 8, row B</t>
  </si>
  <si>
    <t xml:space="preserve">A-X-RS2</t>
  </si>
  <si>
    <t xml:space="preserve">grid B, grid 3 to grid 8, row B</t>
  </si>
  <si>
    <t xml:space="preserve">roof_step  #A-X-RS3  -  grid B, grid 3 to grid 8, row C</t>
  </si>
  <si>
    <t xml:space="preserve">A-X-RS3</t>
  </si>
  <si>
    <t xml:space="preserve">grid B, grid 3 to grid 8, row C</t>
  </si>
  <si>
    <t xml:space="preserve">fascia_box  #A-X-FB-N  -  canopy fascia N</t>
  </si>
  <si>
    <t xml:space="preserve">A-X-FB-N</t>
  </si>
  <si>
    <t xml:space="preserve">canopy fascia N</t>
  </si>
  <si>
    <t xml:space="preserve">3/A09.26</t>
  </si>
  <si>
    <t xml:space="preserve">fascia_box  #A-X-FB-W  -  canopy fascia W</t>
  </si>
  <si>
    <t xml:space="preserve">A-X-FB-W</t>
  </si>
  <si>
    <t xml:space="preserve">canopy fascia W</t>
  </si>
  <si>
    <t xml:space="preserve">16/A09.27</t>
  </si>
  <si>
    <t xml:space="preserve">fascia_box  #A-X-FB-E  -  canopy fascia E</t>
  </si>
  <si>
    <t xml:space="preserve">A-X-FB-E</t>
  </si>
  <si>
    <t xml:space="preserve">canopy fascia E</t>
  </si>
  <si>
    <t xml:space="preserve">7/A09.26</t>
  </si>
  <si>
    <t xml:space="preserve">fascia_box  #A-X-FB-S  -  canopy fascia S</t>
  </si>
  <si>
    <t xml:space="preserve">A-X-FB-S</t>
  </si>
  <si>
    <t xml:space="preserve">canopy fascia S</t>
  </si>
  <si>
    <t xml:space="preserve">7/A09.26 SIM (F/A09.22)</t>
  </si>
  <si>
    <t xml:space="preserve">grille_head  #A-X-GH1  -  coiling grille door 103, grid 4 (24 HR vestibule 101)</t>
  </si>
  <si>
    <t xml:space="preserve">A-X-GH1</t>
  </si>
  <si>
    <t xml:space="preserve">2-1/2"</t>
  </si>
  <si>
    <t xml:space="preserve">coiling grille door 103, grid 4 (24 HR vestibule 101)</t>
  </si>
  <si>
    <t xml:space="preserve">4/A08.21</t>
  </si>
  <si>
    <t xml:space="preserve">alcove  #A-T2-009+A-T2-010+A-T2-011  -  Drinking fountain alcove off Corridor 111: north return (Women's Restroom 114 side) + Drinking fountain alcove back wall (Corridor 111 side) / east end of plumbing chase between Restrooms 114 and 113 + Drinking fountain alcove off Corridor 111: south return (Men's Restroom 113 side)</t>
  </si>
  <si>
    <t xml:space="preserve">A-T2-009+A-T2-010+A-T2-011</t>
  </si>
  <si>
    <t xml:space="preserve">Drinking fountain alcove off Corridor 111: north return (Women's Restroom 114 side) + Drinking fountain alcove back wall (Corridor 111 side) / east end of plumbing chase between Restrooms 114 and 113 + Drinking fountain alcove off Corridor 111: south return (Men's Restroom 113 side)</t>
  </si>
  <si>
    <t xml:space="preserve">stub  #A-V5-G01  -  G stub between the last vendor jamb of office front 108 and the north face of B2K A-T1-015 (A02.01 plan coordinates 1100.52 to 1106.52 pt), east offices</t>
  </si>
  <si>
    <t xml:space="preserve">A-V5-G01</t>
  </si>
  <si>
    <t xml:space="preserve">G stub between the last vendor jamb of office front 108 and the north face of B2K A-T1-015 (A02.01 plan coordinates 1100.52 to 1106.52 pt), east offices</t>
  </si>
  <si>
    <t xml:space="preserve">stub  #A-T3-009  -  Office 109 front, north stub between G wall ATM 102/office 109 and clear finished opening 109 (central zone side)</t>
  </si>
  <si>
    <t xml:space="preserve">A-T3-009</t>
  </si>
  <si>
    <t xml:space="preserve">Office 109 front, north stub between G wall ATM 102/office 109 and clear finished opening 109 (central zone side)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</si>
  <si>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</si>
  <si>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</si>
  <si>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</si>
  <si>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</si>
  <si>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</si>
  <si>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</si>
  <si>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</si>
  <si>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</si>
  <si>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</si>
  <si>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</si>
  <si>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</si>
  <si>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</si>
  <si>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(LF of material)</t>
  </si>
  <si>
    <t xml:space="preserve">LF</t>
  </si>
  <si>
    <t xml:space="preserve">stick 20 ft</t>
  </si>
  <si>
    <t xml:space="preserve">familias_out.json familias '6" stud (all gauges)'</t>
  </si>
  <si>
    <t xml:space="preserve">3-5/8" metal stud (LF of material)</t>
  </si>
  <si>
    <t xml:space="preserve">familias_out.json familias '3-5/8" stud (all gauges)'</t>
  </si>
  <si>
    <t xml:space="preserve">1-5/8" metal stud (LF of material)</t>
  </si>
  <si>
    <t xml:space="preserve">familias_out.json familias '1-5/8" stud'</t>
  </si>
  <si>
    <t xml:space="preserve">6" parapet infill stud (LF of material)</t>
  </si>
  <si>
    <t xml:space="preserve">familias_out.json familias '6" parapet stud'</t>
  </si>
  <si>
    <t xml:space="preserve">Track, ceilings / soffits / canopy</t>
  </si>
  <si>
    <t xml:space="preserve">run 10 ft</t>
  </si>
  <si>
    <t xml:space="preserve">familias_out.json familias 'ceiling / soffit track'</t>
  </si>
  <si>
    <t xml:space="preserve">Bracing 1-1/2" C.R. channel @ 48" O.C.</t>
  </si>
  <si>
    <t xml:space="preserve">C.R. channel 16 ft</t>
  </si>
  <si>
    <t xml:space="preserve">familias_out.json familias 'bracing C.R. channel'</t>
  </si>
  <si>
    <t xml:space="preserve">Purlin, top track to deck</t>
  </si>
  <si>
    <t xml:space="preserve">familias_out.json familias 'purlin (track to deck)'</t>
  </si>
  <si>
    <t xml:space="preserve">Header / metal stud box beam</t>
  </si>
  <si>
    <t xml:space="preserve">familias_out.json familias 'header / box beam'</t>
  </si>
  <si>
    <t xml:space="preserve">Sill track</t>
  </si>
  <si>
    <t xml:space="preserve">familias_out.json familias 'sill track'</t>
  </si>
  <si>
    <t xml:space="preserve">Furring channel (ceilings)</t>
  </si>
  <si>
    <t xml:space="preserve">hat channel 12 ft</t>
  </si>
  <si>
    <t xml:space="preserve">familias_out.json familias 'furring channel'</t>
  </si>
  <si>
    <t xml:space="preserve">Carrying channel (ceilings)</t>
  </si>
  <si>
    <t xml:space="preserve">familias_out.json familias 'carrying channel'</t>
  </si>
  <si>
    <t xml:space="preserve">Hanger wire</t>
  </si>
  <si>
    <t xml:space="preserve">familias_out.json familias 'hanger wire'</t>
  </si>
  <si>
    <t xml:space="preserve">5/8" gypsum board, regular</t>
  </si>
  <si>
    <t xml:space="preserve">SF</t>
  </si>
  <si>
    <t xml:space="preserve">4x12 ft sheet</t>
  </si>
  <si>
    <t xml:space="preserve">familias_out.json familias '5/8" gyp board regular (walls + ceilings)'</t>
  </si>
  <si>
    <t xml:space="preserve">5/8" gypsum board, MOISTURE RESISTANT</t>
  </si>
  <si>
    <t xml:space="preserve">4x8 ft sheet</t>
  </si>
  <si>
    <t xml:space="preserve">familias_out.json familias '5/8" gyp MOISTURE RESISTANT'</t>
  </si>
  <si>
    <t xml:space="preserve">Ballistic panel 3/8" UL752</t>
  </si>
  <si>
    <t xml:space="preserve">familias_out.json familias 'ballistic panel'</t>
  </si>
  <si>
    <t xml:space="preserve">3/8" gypsum board</t>
  </si>
  <si>
    <t xml:space="preserve">familias_out.json familias '3/8" gyp board'</t>
  </si>
  <si>
    <t xml:space="preserve">5/8" glass mat sheathing (exterior face of the stud)</t>
  </si>
  <si>
    <t xml:space="preserve">familias_out.json familias '5/8" glass mat sheathing'</t>
  </si>
  <si>
    <t xml:space="preserve">5/8" EXTERIOR gypsum sheathing</t>
  </si>
  <si>
    <t xml:space="preserve">familias_out.json familias '5/8" EXTERIOR gyp sheathing'</t>
  </si>
  <si>
    <t xml:space="preserve">Blocking FRT / 2X FRT wood</t>
  </si>
  <si>
    <t xml:space="preserve">familias_out.json familias 'FRT blocking'</t>
  </si>
  <si>
    <t xml:space="preserve">Stud blocking at edge of gypboard (structural detail)</t>
  </si>
  <si>
    <t xml:space="preserve">familias_out.json metal_blocking_by_origin 'metal stud blocking (362CR / STUD BLOCKING)' (edge)</t>
  </si>
  <si>
    <t xml:space="preserve">Metal stud blocking at wall-mounted items (notes)</t>
  </si>
  <si>
    <t xml:space="preserve">familias_out.json metal_blocking_by_origin 'metal stud blocking (362CR / STUD BLOCKING)' (items)</t>
  </si>
  <si>
    <t xml:space="preserve">METAL trim - corner bead, casing bead, shadow molding, gypsum edge trim</t>
  </si>
  <si>
    <t xml:space="preserve">trim stick 10 ft</t>
  </si>
  <si>
    <t xml:space="preserve">familias_out.json familias 'metal trim (corner bead, casing, shadow molding)'</t>
  </si>
  <si>
    <t xml:space="preserve">Cement board (substrate under the FRP cove base band)</t>
  </si>
  <si>
    <t xml:space="preserve">familias_out.json familias 'cement board'</t>
  </si>
  <si>
    <t xml:space="preserve">FRP panels</t>
  </si>
  <si>
    <t xml:space="preserve">familias_out.json familias 'FRP'</t>
  </si>
  <si>
    <t xml:space="preserve">Acoustical sealant</t>
  </si>
  <si>
    <t xml:space="preserve">tube (25 LF per tube)</t>
  </si>
  <si>
    <t xml:space="preserve">familias_out.json familias 'acoustical sealant'</t>
  </si>
  <si>
    <t xml:space="preserve">framed openings MEP</t>
  </si>
  <si>
    <t xml:space="preserve">framed_openings_out.json totales_lf 'framed openings MEP' (E00.01, E02.01, A04.01, M01.01)</t>
  </si>
  <si>
    <t xml:space="preserve">Bottom track 3-5/8"</t>
  </si>
  <si>
    <t xml:space="preserve">familias_out.json track_by_element 'bottom track (all)' (R73.3)</t>
  </si>
  <si>
    <t xml:space="preserve">Bottom track 6"</t>
  </si>
  <si>
    <t xml:space="preserve">Bottom track 1-5/8"</t>
  </si>
  <si>
    <t xml:space="preserve">Bottom track - roof step and heads (vestibule / soffit)</t>
  </si>
  <si>
    <t xml:space="preserve">Parapet bottom track</t>
  </si>
  <si>
    <t xml:space="preserve">Bottom track 2-1/2"</t>
  </si>
  <si>
    <t xml:space="preserve">Top / deflection track 3-5/8"</t>
  </si>
  <si>
    <t xml:space="preserve">familias_out.json track_by_element 'top / deflection track (all)' (R73.3)</t>
  </si>
  <si>
    <t xml:space="preserve">Top / deflection track 6"</t>
  </si>
  <si>
    <t xml:space="preserve">Top / deflection track 1-5/8"</t>
  </si>
  <si>
    <t xml:space="preserve">Top track - roof step and heads (vestibule / soffit)</t>
  </si>
  <si>
    <t xml:space="preserve">Parapet top track</t>
  </si>
  <si>
    <t xml:space="preserve">Top / deflection track 2-1/2"</t>
  </si>
  <si>
    <t xml:space="preserve">5/8" FRT plywood sheathing (canopy and soffits)</t>
  </si>
  <si>
    <t xml:space="preserve">4x12 ft sheet (Inputs)</t>
  </si>
  <si>
    <t xml:space="preserve">familias_out.json FRT plywood by material; canon rows</t>
  </si>
  <si>
    <t xml:space="preserve">Exterior sheathing 5/8" FRT plywood bonded to polyiso (nailbase)</t>
  </si>
  <si>
    <t xml:space="preserve">5/8" FRT plywood at canopy column wraps</t>
  </si>
  <si>
    <t xml:space="preserve">FRT plywood substrate (3/4 in.)</t>
  </si>
  <si>
    <t xml:space="preserve">Sealant at base of gypsum (exterior, not acoustical)</t>
  </si>
  <si>
    <t xml:space="preserve">familias_out.json acoustical sealant rows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</si>
  <si>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</si>
  <si>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</si>
  <si>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</si>
  <si>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</si>
  <si>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</si>
  <si>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</si>
  <si>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</si>
  <si>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M01.01; 6/S5.20; M00.01; M00.03; M01.01</t>
  </si>
  <si>
    <t xml:space="preserve">Extra framing - sistered stud and furring at the ATM recess</t>
  </si>
  <si>
    <t xml:space="preserve">accesorios.py [CRITERION]: 6/A08.11</t>
  </si>
  <si>
    <t xml:space="preserve">2-1/2" CFMF @ 16" O.C. at coiling grille head (4/A08.21)</t>
  </si>
  <si>
    <t xml:space="preserve">accesorios.py [DERIVED]: 4/A08.21 COILING GRILLE HEAD DETAIL: 1'-6" + 6" chain; 6" CFMF BOX BEAM HEADER top and bottom; 2 1/2" CFMF @ 16" O.C.; 5/8" GYP. BD.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</si>
  <si>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</si>
  <si>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</si>
  <si>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</si>
  <si>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elevations A, B, C, D/A08.01 '5'-0" TO TOP OF FRP' stacked over the 6" cove base (top of FRP = 5'-6" AFF); 3/A08.01 FRP over tile cove base; A08.01 floor plan vector polygon (L-shape: 4 room corners + 1 step jog; key note 6 'PROVIDE OUTSIDE</t>
  </si>
  <si>
    <t xml:space="preserve">Power-driven fasteners and duct sleeves</t>
  </si>
  <si>
    <t xml:space="preserve">accesorios.py [DERIVED]: Parapet infill: PAFs SPACED AT 12" O.C. MAX to the steel beam; M00.01; M00.03; M01.01; M01.01</t>
  </si>
  <si>
    <t xml:space="preserve">Access panel 2' x 2' locking access panel, keyed to match main entry</t>
  </si>
  <si>
    <t xml:space="preserve">accesorios.py [CONFIRMED]: A04.01 (symbol ACCESS DOOR + keynote 4 in VESTIBULE 100 GB ceiling)</t>
  </si>
  <si>
    <t xml:space="preserve">Drywall screws 1-1/4" bugle head</t>
  </si>
  <si>
    <t xml:space="preserve">accesorios.py [DERIVED]: Inputs!B20 (Drywall screws per SF of board = 1.2) x 17764.9 SF of board</t>
  </si>
  <si>
    <t xml:space="preserve">Framing screws, pan head self-drilling</t>
  </si>
  <si>
    <t xml:space="preserve">accesorios.py [DERIVED]: Inputs!B21 (Framing screws per stud piece = 4) x 1773 stud pieces</t>
  </si>
  <si>
    <t xml:space="preserve">Power-driven fasteners, slab pins for the bottom track</t>
  </si>
  <si>
    <t xml:space="preserve">accesorios.py [DERIVED]: 543.73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</si>
  <si>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</si>
  <si>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215.13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</si>
  <si>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</si>
  <si>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</si>
  <si>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</si>
  <si>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17764.9 SF of board</t>
  </si>
  <si>
    <t xml:space="preserve">Joint tape, paper</t>
  </si>
  <si>
    <t xml:space="preserve">accesorios.py [DERIVED]: Inputs!B24 (Joint tape (LF per SF) = 0.37) x 17764.9 SF of board</t>
  </si>
  <si>
    <t xml:space="preserve">Level 5 finish</t>
  </si>
  <si>
    <t xml:space="preserve">accesorios.py [CRITERION]: A05.01 WC-18 tag + extent arrows (office 105); 1/A11.04 11'-9 1/4" V.I.F.; A00.40 WC-18 'WALL SURFACE TO BE LEVEL 5'; A05.01 WC-18 tag + extent arrows (office 106); 6/A11.01 11'-9 1/4" V.I.F.; A00.40 WC-18 'WALL SURFACE TO BE LEVEL 5'; A05.</t>
  </si>
  <si>
    <t xml:space="preserve">Deflection clips at non-load-bearing walls to structure</t>
  </si>
  <si>
    <t xml:space="preserve">accesorios.py [CRITERION]: S1.11 LIGHT GAUGE STEEL FRAMING note 2 'PROVIDE MANUFACTURER'S STANDARD VERTICAL DEFLECTION CLIPS AT NON-LOAD-BEARING WALLS'; 1/A12.01 (B, B2), 3/A12.01 (A1, A5), 4/A12.01 (A1K, A5K), 8, 9/A12.01 'CONTINUOUS SLIP TRACK'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</si>
  <si>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</si>
  <si>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</si>
  <si>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</si>
  <si>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</si>
  <si>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</si>
  <si>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100.54 lf</t>
  </si>
  <si>
    <t xml:space="preserve">RFI-ACC-stud-reinforcement-mep</t>
  </si>
  <si>
    <t xml:space="preserve">stud reinforcement MEP: plates at double-row stud walls: one per cut row (R72.9) vs one per crossing</t>
  </si>
  <si>
    <t xml:space="preserve">-9 pcs</t>
  </si>
  <si>
    <t xml:space="preserve">RFI-ACC-stud-reinforcement-mep-2</t>
  </si>
  <si>
    <t xml:space="preserve">stud reinforcement MEP: duct / fire damper openings listed outside the registered MEP sweep (R73.5)</t>
  </si>
  <si>
    <t xml:space="preserve">4 pcs</t>
  </si>
  <si>
    <t xml:space="preserve">RFI-ACC-extra-framing-atm</t>
  </si>
  <si>
    <t xml:space="preserve">extra framing ATM: ATM-DU NHA 9D TTW (drive-up, grid 2): ATM recess not fully dimensioned (width CRITERION, sistered height CRITERION, furring rows CRITERION)</t>
  </si>
  <si>
    <t xml:space="preserve">15.84 lf</t>
  </si>
  <si>
    <t xml:space="preserve">RFI-ACC-gypsum-board-jamb-return</t>
  </si>
  <si>
    <t xml:space="preserve">gypsum board jamb return: jamb return width not dimensioned</t>
  </si>
  <si>
    <t xml:space="preserve">-41.9 sf</t>
  </si>
  <si>
    <t xml:space="preserve">RFI-ACC-slab-pins</t>
  </si>
  <si>
    <t xml:space="preserve">slab pins: pin spacing: 12" (interior anchorage) vs 16" (fastener schedule) vs 24" (type K box)</t>
  </si>
  <si>
    <t xml:space="preserve">16in: -135.93 pcs; 24in: -271.86 pcs</t>
  </si>
  <si>
    <t xml:space="preserve">RFI-ACC-deflection-clips</t>
  </si>
  <si>
    <t xml:space="preserve">deflection clips: deflection clips: the general note asks for them at non-load-bearing walls and the partition details draw a slip / deflection track (R73.6)</t>
  </si>
  <si>
    <t xml:space="preserve">516 pcs</t>
  </si>
  <si>
    <t xml:space="preserve">RFI-ACC-stud-reinforcement-mep-3</t>
  </si>
  <si>
    <t xml:space="preserve">stud reinforcement MEP: Plumbing sheets P01.01 / P01.02 could not be registered (mep.registro &lt; 25 votes): pipes over 1 in. crossing stud walls (4" W / 2-3" V outside the restroom chase, 3"-4" ST storm runs across offices and central zone) are not counted</t>
  </si>
  <si>
    <t xml:space="preserve">+3 to +8 pcs (manual read of P01.01, not registered)</t>
  </si>
  <si>
    <t xml:space="preserve">RFI-ACC-access-panel</t>
  </si>
  <si>
    <t xml:space="preserve">access panel: M00.01 general note 16 asks access panels for all equipment and dampers above ceilings; quantity and location not shown</t>
  </si>
  <si>
    <t xml:space="preserve">+4 pcs (one per fire damper in walls, if above a GWB ceiling)</t>
  </si>
  <si>
    <t xml:space="preserve">RFI-ACC-pvc-trim-at-frp</t>
  </si>
  <si>
    <t xml:space="preserve">PVC trim at FRP: top_ft read as FRP height above the 6" cove base (5'-0"); if read as top of FRP AFF (5'-6") every vertical PVC trim grows 0.5 ft</t>
  </si>
  <si>
    <t xml:space="preserve">+0.5 ft x (inside corners + door jambs) per room = +0.5 x (5 + 2) x 2 rooms = +7.0 LF</t>
  </si>
  <si>
    <t xml:space="preserve">RFI-C-01</t>
  </si>
  <si>
    <t xml:space="preserve">Provide the framing for the NEW SUSPENDED GYPSUM WALL BOARD CEILINGS (rooms 100, 101, 104, 113, 114): furring channel size/O.C., carrying channel size/O.C./direction, hanger wire gauge/O.C. No detail on A09.33 or elsewhere; assumed industry standard (7/8" furring @16" O.C., 1-1/2" CRC @48" O.C., hangers @48" O.C.) only for pricing.</t>
  </si>
  <si>
    <t xml:space="preserve">carried furring 16" O.C. / carrying 48" O.C. / hangers 48" O.C.; furring at 24" O.C. would be about -1/3 of the furring channel LF; carrying direction E-W alternative (canon.py run in 4_canon/carry_EW): furring channel -37.29 LF, carrying channel +3.08 LF, 3-5/8" stud +10.47 LF</t>
  </si>
  <si>
    <t xml:space="preserve">RFI-C-02</t>
  </si>
  <si>
    <t xml:space="preserve">Confirm B.O.D. elevation of the low roof between grid B and grid E (solar zone) - needed for hanger drop of WAITING 104 south part, CSR soffit side studs north of grid B and transitions A-C-007/009/010.</t>
  </si>
  <si>
    <t xml:space="preserve">same as RFI-E-03: -2.323 ft per stud and per face height in zone E-B if B.O.D. = 13'-0 5/8"</t>
  </si>
  <si>
    <t xml:space="preserve">RFI-C-03</t>
  </si>
  <si>
    <t xml:space="preserve">R-11C/R-11CE: E00.01 description says 12' linear slot, catalog number ends 20'-0"; RCP shows R-11 (12'). Confirm length (affects framed opening LF in WAITING 104 GWB ceiling).</t>
  </si>
  <si>
    <t xml:space="preserve">R-11C at 20'-0" instead of 12'-0": +2 x 8 ft x 4 fixtures = +64 LF of framed opening</t>
  </si>
  <si>
    <t xml:space="preserve">RFI-C-04</t>
  </si>
  <si>
    <t xml:space="preserve">Vestibules 100/101: M01.01 shows TBDI-10 linear slot diffusers (size SEE DRAWING) that are not on A04.01; restrooms show 2'x2' on A04.01 but linear SD on M01.01. Confirm diffuser type/size in GWB ceilings for framed openings.</t>
  </si>
  <si>
    <t xml:space="preserve">linear slot diffusers in vestibules 100/101 not carried as framed openings: + perimeter of each slot (size per M01.01)</t>
  </si>
  <si>
    <t xml:space="preserve">RFI-C-05</t>
  </si>
  <si>
    <t xml:space="preserve">No detail is called on A04.01 for the GB-to-ACT edges of WAITING 104 (11'-0" vs 11'-6") and the ACT 9'-0"/11'-6" change north of the CSR line; confirm 7/A09.33 TYPICAL CEILING TRANSITION DETAIL applies.</t>
  </si>
  <si>
    <t xml:space="preserve">if the ACT/GB edges need no framing: -(kickers + vertical studs + track) of transitions A-C-005..010</t>
  </si>
  <si>
    <t xml:space="preserve">RFI-E-01</t>
  </si>
  <si>
    <t xml:space="preserve">Partition tag B2K (A02.01, PC0011) has no row in the A12.01 partition schedule. Confirm B2K = B2 (6" studs, 5/8" GB each face to deck, slip track) plus 3/8" UL752 Level-2 fiberglass panel to 8'-0" and 3/8" GB above to deck on customer side per 4/A12.01, wall thickness 7 5/8", studs 14 GA @ 24" O.C.</t>
  </si>
  <si>
    <t xml:space="preserve">Derived 7 5/8" thickness (measured 7.68 in on A02.01); stud gauge 14 GA vs 6" interior gauge not printed</t>
  </si>
  <si>
    <t xml:space="preserve">RFI-E-02</t>
  </si>
  <si>
    <t xml:space="preserve">5/A12.01 (Partition G/G1) and 6/A12.01 (C1): top horizontal line and top track are not labeled. Confirm boards and studs extend to underside of structure and whether a slip (deflection) track is required per S1.11 note 2.</t>
  </si>
  <si>
    <t xml:space="preserve">Board height ceiling vs deck; slip vs fixed top track</t>
  </si>
  <si>
    <t xml:space="preserve">RFI-E-04</t>
  </si>
  <si>
    <t xml:space="preserve">Stud gauge for interior 6" studs (A5, A8, B2) and for 1 5/8" studs (G, G1, office bulkheads) is not printed; 7/S5.20 lists only 362S137-33 interior and 600S137-33 exterior. Confirm gauge and spacing.</t>
  </si>
  <si>
    <t xml:space="preserve">Stud gauge / O.C. for 6" interior and 1 5/8" studs</t>
  </si>
  <si>
    <t xml:space="preserve">RFI-E-05</t>
  </si>
  <si>
    <t xml:space="preserve">S2.20 note 'B.O.D. ELEV. 111'-9" TYP. @ CANOPY' appears to be a typo; confirm canopy B.O.D. = 11'-9" (matches T.O.S. ELEV. 11'-9" on S2.20 and T/STEEL 11'-9" on A09.23).</t>
  </si>
  <si>
    <t xml:space="preserve">Canopy deck elevation 11'-9" vs printed 111'-9"</t>
  </si>
  <si>
    <t xml:space="preserve">RFI-E-06</t>
  </si>
  <si>
    <t xml:space="preserve">Exterior stud size conflict: S1.11 LGS note 5 requires 600S162-54 @ 16" O.C. (12" O.C. within 6 ft of corners) while 7/S5.20 Metal Stud Properties lists 600S137-33 @ 16" O.C. for exterior walls. Confirm.</t>
  </si>
  <si>
    <t xml:space="preserve">Exterior stud gauge 54 mil vs 33 mil; corner spacing 12" O.C.</t>
  </si>
  <si>
    <t xml:space="preserve">RFI-E-07</t>
  </si>
  <si>
    <t xml:space="preserve">Office bulkhead 8/A12.01 and 9/A12.01 measure 7 1/2" overall (2 rows 1 5/8" studs, 1 3/4" gap, 2 layers 5/8" each face) which matches neither G (6 1/8") nor G1 (8"). Confirm the bulkhead partition type.</t>
  </si>
  <si>
    <t xml:space="preserve">Bulkhead type / thickness</t>
  </si>
  <si>
    <t xml:space="preserve">RFI-E-08</t>
  </si>
  <si>
    <t xml:space="preserve">Track-to-slab fastener spacing conflict: 3/S5.20 (0.157" PAF @ 16" O.C.) vs 7/S5.20 sill track anchorage interior (Hilti DNI 32 P8 @ 12" O.C.) vs 4/A12.01 (power driven fasteners @ 2'-0" O.C. alternating). Confirm governing spacing.</t>
  </si>
  <si>
    <t xml:space="preserve">Bottom track fastener count</t>
  </si>
  <si>
    <t xml:space="preserve">RFI-K-01</t>
  </si>
  <si>
    <t xml:space="preserve">WC-20 wall covering (A05.01 key note 9) has no tag, legend entry or elevation: extent and height assumed full 24 HR vestibule face of the diagonal wall to the 10'-0" ceiling</t>
  </si>
  <si>
    <t xml:space="preserve">Level 5 17.46 x (10.0 - 0.375) = 168.0 SF if not applicable</t>
  </si>
  <si>
    <t xml:space="preserve">RFI-K-02</t>
  </si>
  <si>
    <t xml:space="preserve">A03.01 key note 24 TV mounts: 5 wall locations without TV size; 10 more '24' references sit in floor-box diamonds (offices, calling cubes, work room) and are not counted as wall blocking</t>
  </si>
  <si>
    <t xml:space="preserve">5 x 1.47 = 7.4 LF (minimum, 2 studs) to 5 x 3.69 = 18.4 LF (85" blocking of 13/A12.02)</t>
  </si>
  <si>
    <t xml:space="preserve">RFI-K-03</t>
  </si>
  <si>
    <t xml:space="preserve">Lockers CW-16 blocking (A02.01 key note 5): number of rows and material not stated</t>
  </si>
  <si>
    <t xml:space="preserve">+4.86 LF per extra row</t>
  </si>
  <si>
    <t xml:space="preserve">RFI-K-04</t>
  </si>
  <si>
    <t xml:space="preserve">Wall stop blocking (A00.30 note D): stop location not drawn; 2'-0" per stop carried at the door host wall</t>
  </si>
  <si>
    <t xml:space="preserve">9 stops x 2.0 = 18 LF</t>
  </si>
  <si>
    <t xml:space="preserve">RFI-K-05</t>
  </si>
  <si>
    <t xml:space="preserve">Millwork FRTW blocking (A12.03-06 note D) and shelving blocking: wall-mounted run lengths not measured</t>
  </si>
  <si>
    <t xml:space="preserve">PENDING (sum of wall-mounted millwork lengths)</t>
  </si>
  <si>
    <t xml:space="preserve">RFI-K-06</t>
  </si>
  <si>
    <t xml:space="preserve">Bulkhead shadow molding (8, 9/A12.01): leader only on the lobby side; carried on both sides</t>
  </si>
  <si>
    <t xml:space="preserve">-45 LF if one side only</t>
  </si>
  <si>
    <t xml:space="preserve">RFI-K-07</t>
  </si>
  <si>
    <t xml:space="preserve">Generic blocking notes without material ('PROVIDE BLOCKING' - A02.01 note C / key notes 5, 7; A04.01 key note 9; A00.30 note D; 4/S5.20) carried as metal; the set asks FRT where it names a material (A08.01 note E, A12.0x note D, A03.01 key note 24, 13/A12.02)</t>
  </si>
  <si>
    <t xml:space="preserve">material change only</t>
  </si>
  <si>
    <t xml:space="preserve">RFI-O-01</t>
  </si>
  <si>
    <t xml:space="preserve">Coiling grille 103: A00.30 lists HEIGHT 13'-6 1/2" while 4/A08.21 places the grille head under a 1'-6" bulkhead below the ACT ceiling and A04.01 shows 24 HR VESTIBULE GB 10'-0". Confirm grille clear height / head elevation for the CFMF box beam headers.</t>
  </si>
  <si>
    <t xml:space="preserve">grille head framing carried from the 4/A08.21 head chain; a 13'-6 1/2" head would remove the 2-1/2" studs (-10.4 LF)</t>
  </si>
  <si>
    <t xml:space="preserve">RFI-O-02</t>
  </si>
  <si>
    <t xml:space="preserve">Office fronts DFC-1A (105-110): height of the Allsteel front / underside of CONT. BOX BEAM bulkhead is not dimensioned (A00.30 SEE SCHEDULE, door 7'-10"; 8/9 A12.01 no elevation). Confirm head elevation.</t>
  </si>
  <si>
    <t xml:space="preserve">bulkhead height carried from 8'-0 1/2" HOLD (7/A11.01); +/- 1 ft of bulkhead = +/- 45 LF x 2 faces x 2 layers of board</t>
  </si>
  <si>
    <t xml:space="preserve">RFI-O-03</t>
  </si>
  <si>
    <t xml:space="preserve">Walk-up TTW ATM opening 2'-3" x 2'-8 1/4" R.O. in diagonal wall: 4/A08.11 and 1/A08.11 do not call a header (6/A08.11 calls METAL STUD BOX BEAM only for the drive-up ATM). Confirm header at WU ATM opening.</t>
  </si>
  <si>
    <t xml:space="preserve">single-track header carried by 7/S5.20 schedule (2'-3" + 1'-4") x 1 = 3.58 LF; 0 if the ATM sleeve needs none</t>
  </si>
  <si>
    <t xml:space="preserve">RFI-O-04</t>
  </si>
  <si>
    <t xml:space="preserve">Teller line opening 12'-0 1/4" R.O.: 9/A12.08 shows a soffit of 3 5/8" studs @ 16" o.c. only; 7/S5.20 HEADER SCHEDULE - WALLS covers non-load-bearing interior spans up to 8'-0" (2-362CSJ20). Provide header size and soffit/head height.</t>
  </si>
  <si>
    <t xml:space="preserve">0 LF carried (R71.10); a 2-362CSJ20 header would add (12.02 + 1.33) x 2 = 26.7 LF</t>
  </si>
  <si>
    <t xml:space="preserve">RFI-O-05</t>
  </si>
  <si>
    <t xml:space="preserve">A00.30 door 101 (pair, type E) cites HEAD/SILL 04/A12.10 SECTION @ VESTIBULE SINGLE DOOR; 6/A12.10 is SECTION @ VESTIBULE DOUBLE DOOR. Confirm detail reference.</t>
  </si>
  <si>
    <t xml:space="preserve">no quantity change (same vestibule head framing); detail citation only</t>
  </si>
  <si>
    <t xml:space="preserve">RFI-O-07</t>
  </si>
  <si>
    <t xml:space="preserve">M01.01 places S-2 sidewall registers with FD on the east walls of electrical 120 and NER 121 where A02.01 shows doors 120 and 121. Confirm register/damper elevation (above door head?) and wall location.</t>
  </si>
  <si>
    <t xml:space="preserve">no framing change (E12, not framed); 1 stud reinforcement plate per damper</t>
  </si>
  <si>
    <t xml:space="preserve">RFI-O-06</t>
  </si>
  <si>
    <t xml:space="preserve">Recessed items FEC-1, TA-2, TA-13 (recess kit), TA-14: rough-in widths not printed on A00.40 / A08.01 (refer to specifications). Provide rough opening sizes for stud-bay check.</t>
  </si>
  <si>
    <t xml:space="preserve">per recessed item wider than the 14 5/8" stud bay: + header and sill (width + 1'-4") x 2</t>
  </si>
  <si>
    <t xml:space="preserve">RFI-X-27</t>
  </si>
  <si>
    <t xml:space="preserve">G1 wall thickness drawn 8 1/2" on A02.01 vs 8" in A12.01 schedule</t>
  </si>
  <si>
    <t xml:space="preserve">see question (quantity effect described in Review Items)</t>
  </si>
  <si>
    <t xml:space="preserve">RFI-X-28</t>
  </si>
  <si>
    <t xml:space="preserve">Gauge for 1 5/8" studs of partition G/G1 not scheduled (7/S5.20 lists only 362S137-33 for interior walls)</t>
  </si>
  <si>
    <t xml:space="preserve">RFI-X-29</t>
  </si>
  <si>
    <t xml:space="preserve">Office front / bulkhead underside height not dimensioned (8/9/A12.01, A00.30 DFC-1A, A11.04)</t>
  </si>
  <si>
    <t xml:space="preserve">RFI-T4-A-01</t>
  </si>
  <si>
    <t xml:space="preserve">ATM room 102 west exterior wall (grid 2, grids E-D) is drawn 5.76 in thick on A02.01 while 6/A08.11 shows 6" metal stud framing + 5/8" GB + 2 1/2" sistered stud. Confirm wall build-up at the drive-up ATM.</t>
  </si>
  <si>
    <t xml:space="preserve">RFI-T4-A-02</t>
  </si>
  <si>
    <t xml:space="preserve">Stud size/gauge for vestibule glass-front box headers (4-7/A12.10 'METAL STUD FRAMING &amp; BOX HEADER AS NEEDED') not given. Confirm.</t>
  </si>
  <si>
    <t xml:space="preserve">RFI-X-01</t>
  </si>
  <si>
    <t xml:space="preserve">Cladding sub-framing (7/8" hat channel under EPS-5 per 9/A09.27, ACM rainscreen clips, stucco lath) is EXCLUDED from metal framing; confirm by others.</t>
  </si>
  <si>
    <t xml:space="preserve">RFI-X-02</t>
  </si>
  <si>
    <t xml:space="preserve">Stud spacing of canopy fascia, canopy soffit joists and canopy column wraps not printed (3/, 7/A09.26, 16/A09.27, 5/A09.25); 16" O.C. assumed.</t>
  </si>
  <si>
    <t xml:space="preserve">RFI-X-03</t>
  </si>
  <si>
    <t xml:space="preserve">Elevation titles disagree with the A02.01 north arrow: 1/A09.01 'SOUTH ELEVATION' shows the north face and 2/A09.02 'NORTH ELEVATION' shows the south face (callouts on A02.01 match the faces). Facades assigned by the plan.</t>
  </si>
  <si>
    <t xml:space="preserve">RFI-X-04</t>
  </si>
  <si>
    <t xml:space="preserve">Low-roof perimeter beam elevation along grid 3 (B to A) not sectioned; assumed same slope as grid 8 (13'-0 5/8" at B to 12'-6 3/8" at A, E/A09.22 12'-11 1/8").</t>
  </si>
  <si>
    <t xml:space="preserve">RFI-X-05</t>
  </si>
  <si>
    <t xml:space="preserve">Roof step 4/A02.02 has no printed heights; row heights measured in vector at 1 1/2"=1'-0". Confirm bulkhead bottom elevation.</t>
  </si>
  <si>
    <t xml:space="preserve">RFI-X-06</t>
  </si>
  <si>
    <t xml:space="preserve">Parapet roof-side board: sections A09.21-23 say 5/8" EXTERIOR GYPSUM SHEATHING, 4/A09.26 says 5/8" DENS DECK OR EQUAL.</t>
  </si>
  <si>
    <t xml:space="preserve">RFI-X-07</t>
  </si>
  <si>
    <t xml:space="preserve">Glass-mat band behind canopies taken T/STUD 12'-7" to soffit B/STUD 10'-7 1/4" (7/A09.26 prints two B/STUD values; fascia studs stop at 10'-8 5/8").</t>
  </si>
  <si>
    <t xml:space="preserve">RFI-X-08</t>
  </si>
  <si>
    <t xml:space="preserve">Drive-up ATM wall opening taken as R.O. 2'-7 1/4" x 2'-2 1/8" (A08.11); ATM surround (fiber cement on furring on 5/8" FRT plywood) not separated from nailbase.</t>
  </si>
  <si>
    <t xml:space="preserve">RFI-X-09</t>
  </si>
  <si>
    <t xml:space="preserve">Storefront heads 3/4" FRT plywood (2/A09.26, 11/A09.27) and jambs (A09.25) belong to openings (T_O); vestibule box headers 4-7/A12.10 left to T4/A12.10.</t>
  </si>
  <si>
    <t xml:space="preserve">RFI-X-41</t>
  </si>
  <si>
    <t xml:space="preserve">RFI-E-03 (B.O.D. between grids E and B) affects A-T2-007, 016, 017, 018 (15.375 used per rule 53.3; alt 13.052)</t>
  </si>
  <si>
    <t xml:space="preserve">RFI-X-42</t>
  </si>
  <si>
    <t xml:space="preserve">Partial beams over A-T2-004 (W8x10) and A-T2-005 (W14x22): west 5.29 ft studs stop under the beam; confirm deflection track at beam</t>
  </si>
  <si>
    <t xml:space="preserve">RFI-X-44</t>
  </si>
  <si>
    <t xml:space="preserve">Piers A-T2-021/022/023 duplicate T4 records A-T4-009/008/010 (same footprint)</t>
  </si>
  <si>
    <t xml:space="preserve">RFI-X-45</t>
  </si>
  <si>
    <t xml:space="preserve">RFI-E-03: B.O.D. of roof zone between grids E and B not printed; 15.375 used per rule 53.3 for A-T3-003(south),004,007-014,017-020; delta if 13.052 (grid B): -2.323 ft per stud/face height</t>
  </si>
  <si>
    <t xml:space="preserve">RFI-X-46</t>
  </si>
  <si>
    <t xml:space="preserve">Office front walls on east line (x 1622-1631) lie under W12x14 (north of E) / W14x30 (south of E, partial flange): confirm deflection track at beam vs deck</t>
  </si>
  <si>
    <t xml:space="preserve">RFI-ORQ-04</t>
  </si>
  <si>
    <t xml:space="preserve">Walls partly under beams (S2.20): stud height carried at the higher side (53.2); confirm deflection track at beam bottom vs deck for the covered length</t>
  </si>
  <si>
    <t xml:space="preserve">W8X10 0.66 ft, W14X30 vs W12X14 0.16 ft, W18X35 vs W14X22 0.33 ft per stud on the covered length</t>
  </si>
  <si>
    <t xml:space="preserve">RFI-ORQ-01</t>
  </si>
  <si>
    <t xml:space="preserve">CSR soffit at 116: A04.01 shows the soffit hatch without a detail bubble; 1/A12.08 calls 9/A12.08 (framed 3-5/8" studs) and 10/A09.33. Confirm framed soffit (carried) vs suspended furring.</t>
  </si>
  <si>
    <t xml:space="preserve">furring alternative: carrying + hangers + furring on 41 SF instead of 3-5/8" joists</t>
  </si>
  <si>
    <t xml:space="preserve">RFI-ORQ-02-A-T3-015</t>
  </si>
  <si>
    <t xml:space="preserve">Office front office front CONT. BOX BEAM run (105-106-107-108): CONT. BOX BEAM run ends not drawn (8, 9/A12.01). Carried jamb to jamb 39.9733 ft.</t>
  </si>
  <si>
    <t xml:space="preserve">wall to wall 42.3933 ft: +9.68 LF of box beam (4 pieces)</t>
  </si>
  <si>
    <t xml:space="preserve">RFI-ORQ-02-A-T3-019</t>
  </si>
  <si>
    <t xml:space="preserve">Office front office front CONT. BOX BEAM run (109-110): CONT. BOX BEAM run ends not drawn (8, 9/A12.01). Carried jamb to jamb 18.5067 ft.</t>
  </si>
  <si>
    <t xml:space="preserve">wall to wall 22.02 ft: +14.05 LF of box beam (4 pieces)</t>
  </si>
  <si>
    <t xml:space="preserve">RFI-T4-A-02-b</t>
  </si>
  <si>
    <t xml:space="preserve">Vestibule head framing (A12.10 'METAL STUD FRAMING &amp; BOX HEADER AS NEEDED'): stud size and spacing not printed; carried 3-5/8" @ 16" O.C.</t>
  </si>
  <si>
    <t xml:space="preserve">6" studs: same LF in the 6" family instead of 3-5/8" (A-T4-018, A-T4-019)</t>
  </si>
  <si>
    <t xml:space="preserve">RFI-ORQ-05</t>
  </si>
  <si>
    <t xml:space="preserve">4/S5.20 blocking at the edge of gypboard: location not given; carried one row of 362CR22 stud blocking per stud row where a face is taller than a 12 ft sheet (59.14 b)</t>
  </si>
  <si>
    <t xml:space="preserve">carried (b) every stud row with a face &gt; 12.0 ft sheet = 597.09 LF; option (a) exterior + double-layer walls only = 416.56 LF; delta (a) - (b) = -180.52 LF</t>
  </si>
  <si>
    <t xml:space="preserve">RFI-C-01-b</t>
  </si>
  <si>
    <t xml:space="preserve">Suspended GWB ceilings: furring / carrying / hanger spacing and carrying direction not detailed; carried furring 16" O.C., carrying 48" O.C., hangers 48" O.C.</t>
  </si>
  <si>
    <t xml:space="preserve">see Review Items (carrying direction alternative computed)</t>
  </si>
  <si>
    <t xml:space="preserve">RFI-K2-01</t>
  </si>
  <si>
    <t xml:space="preserve">A03.01 key note 24 (TV mount + 3/4" FRT plywood) appears as a key-note circle only at the media wall (with key note 25), already carried as 13/A12.02 85" monitor blocking. The other "24" marks on walls (ATM 102, cash window 116, wellness 115, break room 118, NER 121) are equipment tag 24 diamonds = CISCO 8862 WALL MOUNT PHONE (A00.40), carried as note C blocking. Confirm no other TVs.</t>
  </si>
  <si>
    <t xml:space="preserve">+3.69 LF FRT per TV location if any phone location is really a TV (5 x 3.69 = 18.45 LF)</t>
  </si>
  <si>
    <t xml:space="preserve">RFI-K2-02</t>
  </si>
  <si>
    <t xml:space="preserve">Millwork FRTW blocking (note D/A12.03-06) run criteria: base cabinet / counter = 1 run, upper = 2 runs, standards = vertical, counter on edge = 1 cleat; MW01 tall printer cabinet carried as 2 runs; MW12 west upper reduced by the 1'-3" corner of the north upper.</t>
  </si>
  <si>
    <t xml:space="preserve">MW01 at 1 run: -3.125 LF; MW12 west upper full 4.27 ft: +2.5 LF</t>
  </si>
  <si>
    <t xml:space="preserve">RFI-K2-03</t>
  </si>
  <si>
    <t xml:space="preserve">Shelving blocking material: 11/A12.04, 3/A12.06, 4/A12.06 say "PROVIDE ADDITIONAL BLOCKING" without material, 3/A12.04 says "PRESSURE TREATED", sheet note D says FRTW; carried FRT. MW13: blocking carried over the full 11'-8" including the 4'-4" HOLD bay of the cash safe (41a).</t>
  </si>
  <si>
    <t xml:space="preserve">material only; MW13 without the safe bay: -2 x 4.3333 = -8.67 LF</t>
  </si>
  <si>
    <t xml:space="preserve">RFI-K2-04</t>
  </si>
  <si>
    <t xml:space="preserve">Roof ladder (3/A09.30): number of wall bracket rows not dimensioned (3 drawn with a break line) and blocking row length "between studs" not given; carried 3 rows x 3 stud bays (4.0 LF) at A-T2-005, janitor 112 face.</t>
  </si>
  <si>
    <t xml:space="preserve">2 bays per row: -4.0 LF; +4.0 LF per extra bracket row</t>
  </si>
  <si>
    <t xml:space="preserve">RFI-K2-05</t>
  </si>
  <si>
    <t xml:space="preserve">Water heater platform (3/P00.01 NTS): platform width and host wall not dimensioned; WH-1 drawn against the west wall of janitor 112 (2/P01.02) -&gt; A-T4-004; 3 rows x 3 bays. Detail says "2X BLOCKING" (wood, no FRT) - carried FRT.</t>
  </si>
  <si>
    <t xml:space="preserve">2 bays per row: -4.0 LF; material wood 2X vs FRT</t>
  </si>
  <si>
    <t xml:space="preserve">RFI-K2-06</t>
  </si>
  <si>
    <t xml:space="preserve">Note C/A02.01 blocking for wall-mounted equipment: no lengths in the set; carried 2'-0" per device (phones, sanitizers, clock, hooks, FE bracket, TA-2, security monitor) and 2 runs x width for boards / artwork / mirror. Low-voltage devices on electrical boxes (61 hold-up, 62 robbery light, 94 keypad, 99/102 motion, 101/103 card reader / fob, cameras 59/63, thermostats) NOT carried. Security monitor 58 in the MW13 surround (9/A11.02) covered by the MW13 rows.</t>
  </si>
  <si>
    <t xml:space="preserve">boards / artwork / mirror at 1 run: -(4 + 4 + 6 x 4 + 1.5) = -33.5 LF; +2.0 LF per low-voltage device if required</t>
  </si>
  <si>
    <t xml:space="preserve">RFI-K2-07</t>
  </si>
  <si>
    <t xml:space="preserve">Note C says "PROVIDE BLOCKING" without material: carried metal (362 stud blocking) per R58.6; FRT only where labelled.</t>
  </si>
  <si>
    <t xml:space="preserve">material change only (105.0 LF note C rows)</t>
  </si>
  <si>
    <t xml:space="preserve">RFI-K2-08</t>
  </si>
  <si>
    <t xml:space="preserve">For the orchestrator (not replaced here): K row "Break room TV (equipment 69) north wall" - equipment 69 is a CORK BOARD (A00.40), and A03.01 places 69, coat hooks 3 and FEC-2 of the break room north elevation (5/A11.02) on A-T2-001, not A-T4-005; the K rows for lockers CW-16 / 69 may be on the wrong host wall.</t>
  </si>
  <si>
    <t xml:space="preserve">wall id only</t>
  </si>
  <si>
    <t xml:space="preserve">RFI-ORQ-06</t>
  </si>
  <si>
    <t xml:space="preserve">4/A12.01 'APPROPRIATE METAL TRIM AND CASING BEADS': locations not drawn; carried one run of casing bead at the 8'-0" panel edge along the ballistic contour</t>
  </si>
  <si>
    <t xml:space="preserve">+ vertical casing at each exposed K-wall end (8 ft each)</t>
  </si>
  <si>
    <t xml:space="preserve">RFI-ADV-01</t>
  </si>
  <si>
    <t xml:space="preserve">CSR soffit 116: 10/A09.33 draws 2X FRTW blocking (3 1/2" + 5 1/2") 'FOR FUTURE'; 9/A12.08 calls 5/8" FIRE TREATED PLYWOOD BLOCKING. Which governs?</t>
  </si>
  <si>
    <t xml:space="preserve">carried 24.03 LF FRT blocking; alternative 41.05 SF 5/8" FRT plywood (and -24.03 LF FRT blocking)</t>
  </si>
  <si>
    <t xml:space="preserve">RFI-ADV-02</t>
  </si>
  <si>
    <t xml:space="preserve">Walk-up ATM plinth 3/A08.11 / 4/A08.11 'GC BUILT PLINTH' (2'-8" x 3'-9", height not dimensioned): rough carpentry by GC, not wall framing; excluded from drywall/framing scope</t>
  </si>
  <si>
    <t xml:space="preserve">if carried: +12.83 LF 2x4 FRT, +5.33 LF 4x4 FRT, +10.0 SF FRT plywood</t>
  </si>
  <si>
    <t xml:space="preserve">RFI-ADV-03</t>
  </si>
  <si>
    <t xml:space="preserve">Pier A-T4-008 (2/F) outside corner of the interior gypsum (1/A09.25): corner bead not drawn</t>
  </si>
  <si>
    <t xml:space="preserve">+15.4 LF corner bead if required</t>
  </si>
  <si>
    <t xml:space="preserve">RFI-ADV-04</t>
  </si>
  <si>
    <t xml:space="preserve">Gypsum edge trim at trimless recessed slots R-11A / R-11C / R-11CE (6/A09.33): by fixture manufacturer or drywall?</t>
  </si>
  <si>
    <t xml:space="preserve">+112 LF metal trim (V2/V8 estimate) if by drywall</t>
  </si>
  <si>
    <t xml:space="preserve">RFI-ADV-05</t>
  </si>
  <si>
    <t xml:space="preserve">8/A12.10 'DETAIL @ WALL TERMINATION' is bubbled only once (GF-1 west end, 3/A12.10); carried as typical at the 3 glass-front terminations (GF-1 west, GF-1 east and GF-2 south at the 1'-0" pier)</t>
  </si>
  <si>
    <t xml:space="preserve">if only the bubbled end: -20.0 LF FRT blocking (30.0 -&gt; 10.0); FRT plywood width of the same detail not dimensioned (not carried)</t>
  </si>
  <si>
    <t xml:space="preserve">RFI-ADV-06</t>
  </si>
  <si>
    <t xml:space="preserve">A09.25 labels '3/4" FRT PLYWOOD @ JAMBS' at storefront jambs: not dimensioned, not carried</t>
  </si>
  <si>
    <t xml:space="preserve">jamb height x 9" per jamb if required (about 0.75 SF per LF of jamb)</t>
  </si>
  <si>
    <t xml:space="preserve">RFI-BC-01</t>
  </si>
  <si>
    <t xml:space="preserve">Exterior 6" CFMF: A09.21 C/A and A09.23 J draw the stud continuous (bypass) to T/STUD 17'-5" / 19'-8" outside the beam; 11/S5.10 draws parapet infill on top of the beam (600S162-54 @ 16" + HSS 5x5 @ 5'). Carried per 11/S5.10 (wall stud = B.O.D. - beam depth, parapet separate). Which governs?</t>
  </si>
  <si>
    <t xml:space="preserve">if bypass governs: about +197 LF 6" stud (beam-depth zone, 1.01-1.48 ft per stud) and wall studs cut from 17'-5" / 19'-8" pieces (back-check X7)</t>
  </si>
  <si>
    <t xml:space="preserve">RFI-BC-02</t>
  </si>
  <si>
    <t xml:space="preserve">High parapet return at grid 4 (A02.02 key note 10): back-check measured 3.572 ft (interior face) vs 1.051 ft carried for A-X-P02 (S2.20 grid jog)</t>
  </si>
  <si>
    <t xml:space="preserve">+2.52 LF parapet x 4.292 ft (about +10.8 SF exterior sheathing and 2-3 parapet studs) if the return runs 3.572 ft</t>
  </si>
  <si>
    <t xml:space="preserve">RFI-ORQ-08</t>
  </si>
  <si>
    <t xml:space="preserve">Blocking labeled 2X / wood without FRT (e.g. 3/P00.01 water heater platform): confirm material (metal stud blocking carried vs 2X FRT wood)</t>
  </si>
  <si>
    <t xml:space="preserve">material only, same LF (12.0 LF water heater platform 112)</t>
  </si>
  <si>
    <t xml:space="preserve">RFI-FO-R-11C</t>
  </si>
  <si>
    <t xml:space="preserve">RFI R-11C: schedule description 12.0 ft vs catalog 20.0 ft; carried 12.0 ft (desc = drawn); alternate 20.0 ft (E00.01 LIGHT FIXTURE SCHEDULE; E02.01 R-11C,d x2; A04.01 'R-11 (12')' drawn 215.9 pt = 12.0 ft; room 104)</t>
  </si>
  <si>
    <t xml:space="preserve">+32.0 LF framed openings MEP</t>
  </si>
  <si>
    <t xml:space="preserve">RFI-FO-R-11CE</t>
  </si>
  <si>
    <t xml:space="preserve">RFI R-11CE: schedule description 12.0 ft vs catalog 20.0 ft; carried 12.0 ft (desc = drawn); alternate 20.0 ft (E00.01 LIGHT FIXTURE SCHEDULE; E02.01 R-11CE,d x2; A04.01 drawn 12.0 ft; room 104)</t>
  </si>
  <si>
    <t xml:space="preserve">#</t>
  </si>
  <si>
    <t xml:space="preserve">Item</t>
  </si>
  <si>
    <t xml:space="preserve">Sheet + detail</t>
  </si>
  <si>
    <t xml:space="preserve">Image</t>
  </si>
  <si>
    <t xml:space="preserve">RFI-C-01: Provide the framing for the NEW SUSPENDED GYPSUM WALL BOARD CEILINGS (rooms 100, 101, 104, 113, 114): furring channel size/O.C., carrying channel size/O.C./direction, hanger wire gauge/O.C. No detail on A09.33 or elsewhere; assumed industry standard (7/8" furring @16" O.C., 1-1/2" CRC @48" O.C., hangers @48" O.C.) only for pricing.</t>
  </si>
  <si>
    <t xml:space="preserve">A04.01, A09.33</t>
  </si>
  <si>
    <t xml:space="preserve">sheet_A04.01.png</t>
  </si>
  <si>
    <t xml:space="preserve">RFI-C-02: Confirm B.O.D. elevation of the low roof between grid B and grid E (solar zone) - needed for hanger drop of WAITING 104 south part, CSR soffit side studs north of grid B and transitions A-C-007/009/010.</t>
  </si>
  <si>
    <t xml:space="preserve">S2.20</t>
  </si>
  <si>
    <t xml:space="preserve">sheet_S2.20.png</t>
  </si>
  <si>
    <t xml:space="preserve">RFI-C-03: R-11C/R-11CE: E00.01 description says 12' linear slot, catalog number ends 20'-0"; RCP shows R-11 (12'). Confirm length (affects framed opening LF in WAITING 104 GWB ceiling).</t>
  </si>
  <si>
    <t xml:space="preserve">E00.01, A04.01</t>
  </si>
  <si>
    <t xml:space="preserve">sheet_E00.01.png</t>
  </si>
  <si>
    <t xml:space="preserve">RFI-C-04: Vestibules 100/101: M01.01 shows TBDI-10 linear slot diffusers (size SEE DRAWING) that are not on A04.01; restrooms show 2'x2' on A04.01 but linear SD on M01.01. Confirm diffuser type/size in GWB ceilings for framed openings.</t>
  </si>
  <si>
    <t xml:space="preserve">M01.01, M00.03, A04.01</t>
  </si>
  <si>
    <t xml:space="preserve">sheet_M01.01.png</t>
  </si>
  <si>
    <t xml:space="preserve">RFI-C-05: No detail is called on A04.01 for the GB-to-ACT edges of WAITING 104 (11'-0" vs 11'-6") and the ACT 9'-0"/11'-6" change north of the CSR line; confirm 7/A09.33 TYPICAL CEILING TRANSITION DETAIL applies.</t>
  </si>
  <si>
    <t xml:space="preserve">RFI-E-01: Partition tag B2K (A02.01, PC0011) has no row in the A12.01 partition schedule. Confirm B2K = B2 (6" studs, 5/8" GB each face to deck, slip track) plus 3/8" UL752 Level-2 fiberglass panel to 8'-0" and 3/8" GB above to deck on customer side per 4/A12.01, wall thickness 7 5/8", studs 14 GA @ 24" O.C.</t>
  </si>
  <si>
    <t xml:space="preserve">A02.01, 1/A12.01, 4/A12.01</t>
  </si>
  <si>
    <t xml:space="preserve">det_1_A12.01.png</t>
  </si>
  <si>
    <t xml:space="preserve">RFI-E-02: 5/A12.01 (Partition G/G1) and 6/A12.01 (C1): top horizontal line and top track are not labeled. Confirm boards and studs extend to underside of structure and whether a slip (deflection) track is required per S1.11 note 2.</t>
  </si>
  <si>
    <t xml:space="preserve">5/A12.01, 6/A12.01, S1.11</t>
  </si>
  <si>
    <t xml:space="preserve">det_5_A12.01.png</t>
  </si>
  <si>
    <t xml:space="preserve">RFI-E-04: Stud gauge for interior 6" studs (A5, A8, B2) and for 1 5/8" studs (G, G1, office bulkheads) is not printed; 7/S5.20 lists only 362S137-33 interior and 600S137-33 exterior. Confirm gauge and spacing.</t>
  </si>
  <si>
    <t xml:space="preserve">7/S5.20, A12.01</t>
  </si>
  <si>
    <t xml:space="preserve">det_7_S5.20.png</t>
  </si>
  <si>
    <t xml:space="preserve">RFI-E-05: S2.20 note 'B.O.D. ELEV. 111'-9" TYP. @ CANOPY' appears to be a typo; confirm canopy B.O.D. = 11'-9" (matches T.O.S. ELEV. 11'-9" on S2.20 and T/STEEL 11'-9" on A09.23).</t>
  </si>
  <si>
    <t xml:space="preserve">S2.20, A09.23</t>
  </si>
  <si>
    <t xml:space="preserve">RFI-E-06: Exterior stud size conflict: S1.11 LGS note 5 requires 600S162-54 @ 16" O.C. (12" O.C. within 6 ft of corners) while 7/S5.20 Metal Stud Properties lists 600S137-33 @ 16" O.C. for exterior walls. Confirm.</t>
  </si>
  <si>
    <t xml:space="preserve">S1.11, 7/S5.20</t>
  </si>
  <si>
    <t xml:space="preserve">RFI-E-07: Office bulkhead 8/A12.01 and 9/A12.01 measure 7 1/2" overall (2 rows 1 5/8" studs, 1 3/4" gap, 2 layers 5/8" each face) which matches neither G (6 1/8") nor G1 (8"). Confirm the bulkhead partition type.</t>
  </si>
  <si>
    <t xml:space="preserve">8/A12.01, 9/A12.01</t>
  </si>
  <si>
    <t xml:space="preserve">det_8_A12.01.png</t>
  </si>
  <si>
    <t xml:space="preserve">RFI-E-08: Track-to-slab fastener spacing conflict: 3/S5.20 (0.157" PAF @ 16" O.C.) vs 7/S5.20 sill track anchorage interior (Hilti DNI 32 P8 @ 12" O.C.) vs 4/A12.01 (power driven fasteners @ 2'-0" O.C. alternating). Confirm governing spacing.</t>
  </si>
  <si>
    <t xml:space="preserve">3/S5.20, 7/S5.20, 4/A12.01</t>
  </si>
  <si>
    <t xml:space="preserve">det_3_S5.20.png</t>
  </si>
  <si>
    <t xml:space="preserve">RFI-K-01: WC-20 wall covering (A05.01 key note 9) has no tag, legend entry or elevation: extent and height assumed full 24 HR vestibule face of the diagonal wall to the 10'-0" ceiling</t>
  </si>
  <si>
    <t xml:space="preserve">A05.01 key note 9; A00.40</t>
  </si>
  <si>
    <t xml:space="preserve">sheet_A05.01.png</t>
  </si>
  <si>
    <t xml:space="preserve">RFI-K-02: A03.01 key note 24 TV mounts: 5 wall locations without TV size; 10 more '24' references sit in floor-box diamonds (offices, calling cubes, work room) and are not counted as wall blocking</t>
  </si>
  <si>
    <t xml:space="preserve">A03.01 key note 24</t>
  </si>
  <si>
    <t xml:space="preserve">A03.01_keynote24_TV_mounts.png</t>
  </si>
  <si>
    <t xml:space="preserve">RFI-K-03: Lockers CW-16 blocking (A02.01 key note 5): number of rows and material not stated</t>
  </si>
  <si>
    <t xml:space="preserve">A02.01 key note 5; 6/A11.02</t>
  </si>
  <si>
    <t xml:space="preserve">det_6_A11.02.png</t>
  </si>
  <si>
    <t xml:space="preserve">RFI-K-04: Wall stop blocking (A00.30 note D): stop location not drawn; 2'-0" per stop carried at the door host wall</t>
  </si>
  <si>
    <t xml:space="preserve">A00.30</t>
  </si>
  <si>
    <t xml:space="preserve">sheet_A00.30.png</t>
  </si>
  <si>
    <t xml:space="preserve">RFI-K-05: Millwork FRTW blocking (A12.03-06 note D) and shelving blocking: wall-mounted run lengths not measured</t>
  </si>
  <si>
    <t xml:space="preserve">A12.03-A12.06; A00.30 millwork schedule</t>
  </si>
  <si>
    <t xml:space="preserve">sheet_A12.03.png</t>
  </si>
  <si>
    <t xml:space="preserve">RFI-K-06: Bulkhead shadow molding (8, 9/A12.01): leader only on the lobby side; carried on both sides</t>
  </si>
  <si>
    <t xml:space="preserve">8, 9/A12.01</t>
  </si>
  <si>
    <t xml:space="preserve">det_9_A12.01.png</t>
  </si>
  <si>
    <t xml:space="preserve">RFI-K-07: Generic blocking notes without material ('PROVIDE BLOCKING' - A02.01 note C / key notes 5, 7; A04.01 key note 9; A00.30 note D; 4/S5.20) carried as metal; the set asks FRT where it names a material (A08.01 note E, A12.0x note D, A03.01 key note 24, 13/A12.02)</t>
  </si>
  <si>
    <t xml:space="preserve">A02.01, A00.30, A04.01, S5.20</t>
  </si>
  <si>
    <t xml:space="preserve">sheet_A02.01.png</t>
  </si>
  <si>
    <t xml:space="preserve">RFI-O-01: Coiling grille 103: A00.30 lists HEIGHT 13'-6 1/2" while 4/A08.21 places the grille head under a 1'-6" bulkhead below the ACT ceiling and A04.01 shows 24 HR VESTIBULE GB 10'-0". Confirm grille clear height / head elevation for the CFMF box beam headers.</t>
  </si>
  <si>
    <t xml:space="preserve">grille_103.png</t>
  </si>
  <si>
    <t xml:space="preserve">RFI-O-02: Office fronts DFC-1A (105-110): height of the Allsteel front / underside of CONT. BOX BEAM bulkhead is not dimensioned (A00.30 SEE SCHEDULE, door 7'-10"; 8/9 A12.01 no elevation). Confirm head elevation.</t>
  </si>
  <si>
    <t xml:space="preserve">office_front_105.png</t>
  </si>
  <si>
    <t xml:space="preserve">RFI-O-03: Walk-up TTW ATM opening 2'-3" x 2'-8 1/4" R.O. in diagonal wall: 4/A08.11 and 1/A08.11 do not call a header (6/A08.11 calls METAL STUD BOX BEAM only for the drive-up ATM). Confirm header at WU ATM opening.</t>
  </si>
  <si>
    <t xml:space="preserve">4/A08.11</t>
  </si>
  <si>
    <t xml:space="preserve">ATM_WU.png</t>
  </si>
  <si>
    <t xml:space="preserve">RFI-O-04: Teller line opening 12'-0 1/4" R.O.: 9/A12.08 shows a soffit of 3 5/8" studs @ 16" o.c. only; 7/S5.20 HEADER SCHEDULE - WALLS covers non-load-bearing interior spans up to 8'-0" (2-362CSJ20). Provide header size and soffit/head height.</t>
  </si>
  <si>
    <t xml:space="preserve">9/A12.08</t>
  </si>
  <si>
    <t xml:space="preserve">CSR_opening.png</t>
  </si>
  <si>
    <t xml:space="preserve">RFI-O-05: A00.30 door 101 (pair, type E) cites HEAD/SILL 04/A12.10 SECTION @ VESTIBULE SINGLE DOOR; 6/A12.10 is SECTION @ VESTIBULE DOUBLE DOOR. Confirm detail reference.</t>
  </si>
  <si>
    <t xml:space="preserve">door_101.png</t>
  </si>
  <si>
    <t xml:space="preserve">RFI-O-07: M01.01 places S-2 sidewall registers with FD on the east walls of electrical 120 and NER 121 where A02.01 shows doors 120 and 121. Confirm register/damper elevation (above door head?) and wall location.</t>
  </si>
  <si>
    <t xml:space="preserve">M01.01</t>
  </si>
  <si>
    <t xml:space="preserve">M01.01_FD.png</t>
  </si>
  <si>
    <t xml:space="preserve">RFI-O-06: Recessed items FEC-1, TA-2, TA-13 (recess kit), TA-14: rough-in widths not printed on A00.40 / A08.01 (refer to specifications). Provide rough opening sizes for stud-bay check.</t>
  </si>
  <si>
    <t xml:space="preserve">A08.01</t>
  </si>
  <si>
    <t xml:space="preserve">A08.01_TA_legend.png</t>
  </si>
  <si>
    <t xml:space="preserve">RFI-X-27: G1 wall thickness drawn 8 1/2" on A02.01 vs 8" in A12.01 schedule</t>
  </si>
  <si>
    <t xml:space="preserve">A02.01</t>
  </si>
  <si>
    <t xml:space="preserve">RFI-X-28: Gauge for 1 5/8" studs of partition G/G1 not scheduled (7/S5.20 lists only 362S137-33 for interior walls)</t>
  </si>
  <si>
    <t xml:space="preserve">RFI-X-29: Office front / bulkhead underside height not dimensioned (8/9/A12.01, A00.30 DFC-1A, A11.04)</t>
  </si>
  <si>
    <t xml:space="preserve">RFI-T4-A-01: ATM room 102 west exterior wall (grid 2, grids E-D) is drawn 5.76 in thick on A02.01 while 6/A08.11 shows 6" metal stud framing + 5/8" GB + 2 1/2" sistered stud. Confirm wall build-up at the drive-up ATM.</t>
  </si>
  <si>
    <t xml:space="preserve">A02.01, 6/A08.11</t>
  </si>
  <si>
    <t xml:space="preserve">det_6_A08.11.png</t>
  </si>
  <si>
    <t xml:space="preserve">RFI-T4-A-02: Stud size/gauge for vestibule glass-front box headers (4-7/A12.10 'METAL STUD FRAMING &amp; BOX HEADER AS NEEDED') not given. Confirm.</t>
  </si>
  <si>
    <t xml:space="preserve">A12.10</t>
  </si>
  <si>
    <t xml:space="preserve">sheet_A12.10.png</t>
  </si>
  <si>
    <t xml:space="preserve">RFI-X-01: Cladding sub-framing (7/8" hat channel under EPS-5 per 9/A09.27, ACM rainscreen clips, stucco lath) is EXCLUDED from metal framing; confirm by others.</t>
  </si>
  <si>
    <t xml:space="preserve">9/A09.27, 7/A09.26, A09.01</t>
  </si>
  <si>
    <t xml:space="preserve">det_9_A09.27.png</t>
  </si>
  <si>
    <t xml:space="preserve">RFI-X-02: Stud spacing of canopy fascia, canopy soffit joists and canopy column wraps not printed (3/, 7/A09.26, 16/A09.27, 5/A09.25); 16" O.C. assumed.</t>
  </si>
  <si>
    <t xml:space="preserve">3/A09.26, 7/A09.26, 5/A09.25</t>
  </si>
  <si>
    <t xml:space="preserve">det_3_A09.26.png</t>
  </si>
  <si>
    <t xml:space="preserve">RFI-X-03: Elevation titles disagree with the A02.01 north arrow: 1/A09.01 'SOUTH ELEVATION' shows the north face and 2/A09.02 'NORTH ELEVATION' shows the south face (callouts on A02.01 match the faces). Facades assigned by the plan.</t>
  </si>
  <si>
    <t xml:space="preserve">A02.01, A09.01, A09.02</t>
  </si>
  <si>
    <t xml:space="preserve">RFI-X-04: Low-roof perimeter beam elevation along grid 3 (B to A) not sectioned; assumed same slope as grid 8 (13'-0 5/8" at B to 12'-6 3/8" at A, E/A09.22 12'-11 1/8").</t>
  </si>
  <si>
    <t xml:space="preserve">S2.20, E/A09.22, F/A09.22</t>
  </si>
  <si>
    <t xml:space="preserve">det_E_A09.22.png</t>
  </si>
  <si>
    <t xml:space="preserve">RFI-X-05: Roof step 4/A02.02 has no printed heights; row heights measured in vector at 1 1/2"=1'-0". Confirm bulkhead bottom elevation.</t>
  </si>
  <si>
    <t xml:space="preserve">det_4_A02.02.png</t>
  </si>
  <si>
    <t xml:space="preserve">RFI-X-06: Parapet roof-side board: sections A09.21-23 say 5/8" EXTERIOR GYPSUM SHEATHING, 4/A09.26 says 5/8" DENS DECK OR EQUAL.</t>
  </si>
  <si>
    <t xml:space="preserve">4/A09.26, A09.21</t>
  </si>
  <si>
    <t xml:space="preserve">det_4_A09.26.png</t>
  </si>
  <si>
    <t xml:space="preserve">RFI-X-07: Glass-mat band behind canopies taken T/STUD 12'-7" to soffit B/STUD 10'-7 1/4" (7/A09.26 prints two B/STUD values; fascia studs stop at 10'-8 5/8").</t>
  </si>
  <si>
    <t xml:space="preserve">det_7_A09.26.png</t>
  </si>
  <si>
    <t xml:space="preserve">RFI-X-08: Drive-up ATM wall opening taken as R.O. 2'-7 1/4" x 2'-2 1/8" (A08.11); ATM surround (fiber cement on furring on 5/8" FRT plywood) not separated from nailbase.</t>
  </si>
  <si>
    <t xml:space="preserve">A08.11</t>
  </si>
  <si>
    <t xml:space="preserve">sheet_A08.11.png</t>
  </si>
  <si>
    <t xml:space="preserve">RFI-X-09: Storefront heads 3/4" FRT plywood (2/A09.26, 11/A09.27) and jambs (A09.25) belong to openings (T_O); vestibule box headers 4-7/A12.10 left to T4/A12.10.</t>
  </si>
  <si>
    <t xml:space="preserve">A09.25, A09.26, A09.27, A12.10</t>
  </si>
  <si>
    <t xml:space="preserve">sheet_A09.25.png</t>
  </si>
  <si>
    <t xml:space="preserve">RFI-X-41: RFI-E-03 (B.O.D. between grids E and B) affects A-T2-007, 016, 017, 018 (15.375 used per rule 53.3; alt 13.052)</t>
  </si>
  <si>
    <t xml:space="preserve">RFI-X-42: Partial beams over A-T2-004 (W8x10) and A-T2-005 (W14x22): west 5.29 ft studs stop under the beam; confirm deflection track at beam</t>
  </si>
  <si>
    <t xml:space="preserve">RFI-X-44: Piers A-T2-021/022/023 duplicate T4 records A-T4-009/008/010 (same footprint)</t>
  </si>
  <si>
    <t xml:space="preserve">RFI-X-45: RFI-E-03: B.O.D. of roof zone between grids E and B not printed; 15.375 used per rule 53.3 for A-T3-003(south),004,007-014,017-020; delta if 13.052 (grid B): -2.323 ft per stud/face height</t>
  </si>
  <si>
    <t xml:space="preserve">RFI-X-46: Office front walls on east line (x 1622-1631) lie under W12x14 (north of E) / W14x30 (south of E, partial flange): confirm deflection track at beam vs deck</t>
  </si>
  <si>
    <t xml:space="preserve">RFI-ORQ-04: Walls partly under beams (S2.20): stud height carried at the higher side (53.2); confirm deflection track at beam bottom vs deck for the covered length</t>
  </si>
  <si>
    <t xml:space="preserve">S2.20; vigas_out.json</t>
  </si>
  <si>
    <t xml:space="preserve">RFI-ORQ-01: CSR soffit at 116: A04.01 shows the soffit hatch without a detail bubble; 1/A12.08 calls 9/A12.08 (framed 3-5/8" studs) and 10/A09.33. Confirm framed soffit (carried) vs suspended furring.</t>
  </si>
  <si>
    <t xml:space="preserve">A04.01; 1/A12.08; 9/A12.08; 10/A09.33</t>
  </si>
  <si>
    <t xml:space="preserve">det_1_A12.08.png</t>
  </si>
  <si>
    <t xml:space="preserve">RFI-ORQ-02-A-T3-015: Office front office front CONT. BOX BEAM run (105-106-107-108): CONT. BOX BEAM run ends not drawn (8, 9/A12.01). Carried jamb to jamb 39.9733 ft.</t>
  </si>
  <si>
    <t xml:space="preserve">8/A12.01; 9/A12.01; A02.01</t>
  </si>
  <si>
    <t xml:space="preserve">RFI-ORQ-02-A-T3-019: Office front office front CONT. BOX BEAM run (109-110): CONT. BOX BEAM run ends not drawn (8, 9/A12.01). Carried jamb to jamb 18.5067 ft.</t>
  </si>
  <si>
    <t xml:space="preserve">RFI-T4-A-02-b: Vestibule head framing (A12.10 'METAL STUD FRAMING &amp; BOX HEADER AS NEEDED'): stud size and spacing not printed; carried 3-5/8" @ 16" O.C.</t>
  </si>
  <si>
    <t xml:space="preserve">A12.10; A12.01; S5.20</t>
  </si>
  <si>
    <t xml:space="preserve">RFI-ORQ-05: 4/S5.20 blocking at the edge of gypboard: location not given; carried one row of 362CR22 stud blocking per stud row where a face is taller than a 12 ft sheet (59.14 b)</t>
  </si>
  <si>
    <t xml:space="preserve">4/S5.20</t>
  </si>
  <si>
    <t xml:space="preserve">det_4_S5.20.png</t>
  </si>
  <si>
    <t xml:space="preserve">RFI-C-01-b: Suspended GWB ceilings: furring / carrying / hanger spacing and carrying direction not detailed; carried furring 16" O.C., carrying 48" O.C., hangers 48" O.C.</t>
  </si>
  <si>
    <t xml:space="preserve">A04.01; A09.33</t>
  </si>
  <si>
    <t xml:space="preserve">RFI-K2-01: A03.01 key note 24 (TV mount + 3/4" FRT plywood) appears as a key-note circle only at the media wall (with key note 25), already carried as 13/A12.02 85" monitor blocking. The other "24" marks on walls (ATM 102, cash window 116, wellness 115, break room 118, NER 121) are equipment tag 24 diamonds = CISCO 8862 WALL MOUNT PHONE (A00.40), carried as note C blocking. Confirm no other TVs.</t>
  </si>
  <si>
    <t xml:space="preserve">A03.01 legend + key notes 24/25; A00.40 eq. 24</t>
  </si>
  <si>
    <t xml:space="preserve">K2_A03.01_keynote24_vs_equipment24.png</t>
  </si>
  <si>
    <t xml:space="preserve">RFI-K2-02: Millwork FRTW blocking (note D/A12.03-06) run criteria: base cabinet / counter = 1 run, upper = 2 runs, standards = vertical, counter on edge = 1 cleat; MW01 tall printer cabinet carried as 2 runs; MW12 west upper reduced by the 1'-3" corner of the north upper.</t>
  </si>
  <si>
    <t xml:space="preserve">A12.03, A12.05, A12.06; A00.30 millwork schedule</t>
  </si>
  <si>
    <t xml:space="preserve">RFI-K2-03: Shelving blocking material: 11/A12.04, 3/A12.06, 4/A12.06 say "PROVIDE ADDITIONAL BLOCKING" without material, 3/A12.04 says "PRESSURE TREATED", sheet note D says FRTW; carried FRT. MW13: blocking carried over the full 11'-8" including the 4'-4" HOLD bay of the cash safe (41a).</t>
  </si>
  <si>
    <t xml:space="preserve">A12.04, A12.06</t>
  </si>
  <si>
    <t xml:space="preserve">sheet_A12.04.png</t>
  </si>
  <si>
    <t xml:space="preserve">RFI-K2-04: Roof ladder (3/A09.30): number of wall bracket rows not dimensioned (3 drawn with a break line) and blocking row length "between studs" not given; carried 3 rows x 3 stud bays (4.0 LF) at A-T2-005, janitor 112 face.</t>
  </si>
  <si>
    <t xml:space="preserve">3/A09.30; A02.01 key notes 3, 4</t>
  </si>
  <si>
    <t xml:space="preserve">det_3_A09.30.png</t>
  </si>
  <si>
    <t xml:space="preserve">RFI-K2-05: Water heater platform (3/P00.01 NTS): platform width and host wall not dimensioned; WH-1 drawn against the west wall of janitor 112 (2/P01.02) -&gt; A-T4-004; 3 rows x 3 bays. Detail says "2X BLOCKING" (wood, no FRT) - carried FRT.</t>
  </si>
  <si>
    <t xml:space="preserve">3/P00.01; 2/P01.02</t>
  </si>
  <si>
    <t xml:space="preserve">det_3_P00.01.png</t>
  </si>
  <si>
    <t xml:space="preserve">RFI-K2-06: Note C/A02.01 blocking for wall-mounted equipment: no lengths in the set; carried 2'-0" per device (phones, sanitizers, clock, hooks, FE bracket, TA-2, security monitor) and 2 runs x width for boards / artwork / mirror. Low-voltage devices on electrical boxes (61 hold-up, 62 robbery light, 94 keypad, 99/102 motion, 101/103 card reader / fob, cameras 59/63, thermostats) NOT carried. Security monitor 58 in the MW13 surround (9/A11.02) covered by the MW13 rows.</t>
  </si>
  <si>
    <t xml:space="preserve">note C/A02.01; A11.01-A11.04; A03.01; A00.40</t>
  </si>
  <si>
    <t xml:space="preserve">det_C_A02.01.png</t>
  </si>
  <si>
    <t xml:space="preserve">RFI-K2-07: Note C says "PROVIDE BLOCKING" without material: carried metal (362 stud blocking) per R58.6; FRT only where labelled.</t>
  </si>
  <si>
    <t xml:space="preserve">note C/A02.01</t>
  </si>
  <si>
    <t xml:space="preserve">RFI-K2-08: For the orchestrator (not replaced here): K row "Break room TV (equipment 69) north wall" - equipment 69 is a CORK BOARD (A00.40), and A03.01 places 69, coat hooks 3 and FEC-2 of the break room north elevation (5/A11.02) on A-T2-001, not A-T4-005; the K rows for lockers CW-16 / 69 may be on the wrong host wall.</t>
  </si>
  <si>
    <t xml:space="preserve">A03.01; 5/A11.02; A00.40</t>
  </si>
  <si>
    <t xml:space="preserve">det_5_A11.02.png</t>
  </si>
  <si>
    <t xml:space="preserve">RFI-ORQ-06: 4/A12.01 'APPROPRIATE METAL TRIM AND CASING BEADS': locations not drawn; carried one run of casing bead at the 8'-0" panel edge along the ballistic contour</t>
  </si>
  <si>
    <t xml:space="preserve">det_4_A12.01.png</t>
  </si>
  <si>
    <t xml:space="preserve">RFI-ADV-01: CSR soffit 116: 10/A09.33 draws 2X FRTW blocking (3 1/2" + 5 1/2") 'FOR FUTURE'; 9/A12.08 calls 5/8" FIRE TREATED PLYWOOD BLOCKING. Which governs?</t>
  </si>
  <si>
    <t xml:space="preserve">10/A09.33; 9/A12.08</t>
  </si>
  <si>
    <t xml:space="preserve">V3_det10_blocking.png</t>
  </si>
  <si>
    <t xml:space="preserve">RFI-ADV-02: Walk-up ATM plinth 3/A08.11 / 4/A08.11 'GC BUILT PLINTH' (2'-8" x 3'-9", height not dimensioned): rough carpentry by GC, not wall framing; excluded from drywall/framing scope</t>
  </si>
  <si>
    <t xml:space="preserve">3/A08.11; 4/A08.11</t>
  </si>
  <si>
    <t xml:space="preserve">A08.11_det3_plinth.png</t>
  </si>
  <si>
    <t xml:space="preserve">RFI-ADV-03: Pier A-T4-008 (2/F) outside corner of the interior gypsum (1/A09.25): corner bead not drawn</t>
  </si>
  <si>
    <t xml:space="preserve">H5_A0925_det1.png</t>
  </si>
  <si>
    <t xml:space="preserve">RFI-ADV-04: Gypsum edge trim at trimless recessed slots R-11A / R-11C / R-11CE (6/A09.33): by fixture manufacturer or drywall?</t>
  </si>
  <si>
    <t xml:space="preserve">6/A09.33; E00.01</t>
  </si>
  <si>
    <t xml:space="preserve">det_6_A09.33.png</t>
  </si>
  <si>
    <t xml:space="preserve">RFI-ADV-05: 8/A12.10 'DETAIL @ WALL TERMINATION' is bubbled only once (GF-1 west end, 3/A12.10); carried as typical at the 3 glass-front terminations (GF-1 west, GF-1 east and GF-2 south at the 1'-0" pier)</t>
  </si>
  <si>
    <t xml:space="preserve">8/A12.10; 3/A12.10</t>
  </si>
  <si>
    <t xml:space="preserve">R4_8_A12.10.png</t>
  </si>
  <si>
    <t xml:space="preserve">RFI-ADV-06: A09.25 labels '3/4" FRT PLYWOOD @ JAMBS' at storefront jambs: not dimensioned, not carried</t>
  </si>
  <si>
    <t xml:space="preserve">A09.25</t>
  </si>
  <si>
    <t xml:space="preserve">R4_2_A09.26.png</t>
  </si>
  <si>
    <t xml:space="preserve">RFI-BC-01: Exterior 6" CFMF: A09.21 C/A and A09.23 J draw the stud continuous (bypass) to T/STUD 17'-5" / 19'-8" outside the beam; 11/S5.10 draws parapet infill on top of the beam (600S162-54 @ 16" + HSS 5x5 @ 5'). Carried per 11/S5.10 (wall stud = B.O.D. - beam depth, parapet separate). Which governs?</t>
  </si>
  <si>
    <t xml:space="preserve">A09.21; A09.23; 11/S5.10</t>
  </si>
  <si>
    <t xml:space="preserve">BC07_A09.21_TSTUD_board_to_deck.png</t>
  </si>
  <si>
    <t xml:space="preserve">RFI-BC-02: High parapet return at grid 4 (A02.02 key note 10): back-check measured 3.572 ft (interior face) vs 1.051 ft carried for A-X-P02 (S2.20 grid jog)</t>
  </si>
  <si>
    <t xml:space="preserve">A02.02; S2.20</t>
  </si>
  <si>
    <t xml:space="preserve">BC01_parapetos_A02.02.png</t>
  </si>
  <si>
    <t xml:space="preserve">RFI-ORQ-08: Blocking labeled 2X / wood without FRT (e.g. 3/P00.01 water heater platform): confirm material (metal stud blocking carried vs 2X FRT wood)</t>
  </si>
  <si>
    <t xml:space="preserve">3/P00.01</t>
  </si>
  <si>
    <t xml:space="preserve">K2_water_heater_platform_112.png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</si>
  <si>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</si>
  <si>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</si>
  <si>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</si>
  <si>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</si>
  <si>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</si>
  <si>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</si>
  <si>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Partition Takeoff types A1/A1K/A5/B/B2/B2K/C1/F/G/G1 (3/A12.01 partition schedule; A02.01)</t>
  </si>
  <si>
    <t xml:space="preserve">ALC-02</t>
  </si>
  <si>
    <t xml:space="preserve">Exterior wall framing (CFMF)</t>
  </si>
  <si>
    <t xml:space="preserve">6" CFMF exterior walls EXT-6CFMF (A02.01; 1/A09.21-A09.27 wall sections; S2.20)</t>
  </si>
  <si>
    <t xml:space="preserve">ALC-03</t>
  </si>
  <si>
    <t xml:space="preserve">Parapet framing</t>
  </si>
  <si>
    <t xml:space="preserve">EXT-PARAPET 10 runs, A02.02 roof plan + A09.26/A09.30; bay by bay</t>
  </si>
  <si>
    <t xml:space="preserve">ALC-04</t>
  </si>
  <si>
    <t xml:space="preserve">Top / deflection and bottom track</t>
  </si>
  <si>
    <t xml:space="preserve">Track rows by element (A12.01 CONT. SLIP TRACK; S5.20); deflection clips S1.11 -&gt; RFI</t>
  </si>
  <si>
    <t xml:space="preserve">ALC-05</t>
  </si>
  <si>
    <t xml:space="preserve">Headers, sills and jambs at openings</t>
  </si>
  <si>
    <t xml:space="preserve">Header / box beam (S5.20 header schedule), sill track; A00.30 door schedule</t>
  </si>
  <si>
    <t xml:space="preserve">ALC-06</t>
  </si>
  <si>
    <t xml:space="preserve">Bracing / bridging</t>
  </si>
  <si>
    <t xml:space="preserve">Bracing 1-1/2" C.R. channel @ 48" O.C. (A09.33, S5.20 F)</t>
  </si>
  <si>
    <t xml:space="preserve">ALC-07</t>
  </si>
  <si>
    <t xml:space="preserve">Gypsum board on walls (layers per type)</t>
  </si>
  <si>
    <t xml:space="preserve">5/8" gypsum board by face (3/A12.01 layers per face)</t>
  </si>
  <si>
    <t xml:space="preserve">ALC-08</t>
  </si>
  <si>
    <t xml:space="preserve">Moisture / abuse / special board at wet zones</t>
  </si>
  <si>
    <t xml:space="preserve">5/8" MR behind toilets and lavatories (note F/A08.01)</t>
  </si>
  <si>
    <t xml:space="preserve">ALC-09</t>
  </si>
  <si>
    <t xml:space="preserve">Exterior gypsum / glass mat sheathing</t>
  </si>
  <si>
    <t xml:space="preserve">Exterior sheathing A09.26 / A09.27 / A09.33</t>
  </si>
  <si>
    <t xml:space="preserve">ALC-10</t>
  </si>
  <si>
    <t xml:space="preserve">FRT plywood sheathing / substrate</t>
  </si>
  <si>
    <t xml:space="preserve">FRT plywood nailbase A02.02, canopy/fascia/column wraps A09.26, 3/4" backboards A11.03 note 6, E02.02 note 29</t>
  </si>
  <si>
    <t xml:space="preserve">ALC-11</t>
  </si>
  <si>
    <t xml:space="preserve">Gypsum board ceilings</t>
  </si>
  <si>
    <t xml:space="preserve">GWB ceilings A04.01 RCP (A9.22 legend NEW SUSPENDED GYPSUM WALL BOARD)</t>
  </si>
  <si>
    <t xml:space="preserve">ALC-12</t>
  </si>
  <si>
    <t xml:space="preserve">Ceiling suspension (furring / carrying channel / hanger wire / ceiling track)</t>
  </si>
  <si>
    <t xml:space="preserve">furring / carrying / hanger wire / ceiling track; A09.33 HANGER WIRE; spacing criterion RFI-C-01</t>
  </si>
  <si>
    <t xml:space="preserve">ALC-13</t>
  </si>
  <si>
    <t xml:space="preserve">Soffits and bulkheads (framing + board)</t>
  </si>
  <si>
    <t xml:space="preserve">bulkheads 8/A09.33, CSR soffit 10/A09.33, A12.02 note F</t>
  </si>
  <si>
    <t xml:space="preserve">ALC-14</t>
  </si>
  <si>
    <t xml:space="preserve">Canopy / marquee framing and sheathing</t>
  </si>
  <si>
    <t xml:space="preserve">canopy soffit + fascia + column wraps A02.02 / A09.26 / A00.60</t>
  </si>
  <si>
    <t xml:space="preserve">ALC-15</t>
  </si>
  <si>
    <t xml:space="preserve">Column furring / wraps</t>
  </si>
  <si>
    <t xml:space="preserve">canopy column wraps CANOPY-COL (A02.01, A09.26) in FRT plywood row 'column wraps'</t>
  </si>
  <si>
    <t xml:space="preserve">ALC-16</t>
  </si>
  <si>
    <t xml:space="preserve">Blocking (FRT wood / metal) for millwork and accessories</t>
  </si>
  <si>
    <t xml:space="preserve">FRT blocking (A12.03 note D FRTW, A02.02 2X FRT) + metal stud blocking (note C/A11.03, D/A12.02 wall stops, 4/S5.20 edge)</t>
  </si>
  <si>
    <t xml:space="preserve">ALC-17</t>
  </si>
  <si>
    <t xml:space="preserve">Framed openings (MEP, access panels, diffusers)</t>
  </si>
  <si>
    <t xml:space="preserve">framed_openings.py: E00.01/E02.01 slots, A04.01 2x2 grilles, M01.01 SD; access panel A9.22 keynote 4</t>
  </si>
  <si>
    <t xml:space="preserve">ALC-18</t>
  </si>
  <si>
    <t xml:space="preserve">Trim: corner bead, casing bead, control joints, reveals</t>
  </si>
  <si>
    <t xml:space="preserve">metal trim rows; control joints: CJ only in A00.00 abbreviations, civil p17 and stucco legend A09.01/A09.22 (Div 09 plaster) -&gt; no gypsum CJ specified, EXCLUDED in Clarifications</t>
  </si>
  <si>
    <t xml:space="preserve">ALC-19</t>
  </si>
  <si>
    <t xml:space="preserve">Acoustical sealant / sound attenuation</t>
  </si>
  <si>
    <t xml:space="preserve">A12.01 CONTINUOUS ACOUSTICAL SEALANT; insulation EXCLUDED (estimator criterion)</t>
  </si>
  <si>
    <t xml:space="preserve">ALC-20</t>
  </si>
  <si>
    <t xml:space="preserve">FRP / cement board / tile backer</t>
  </si>
  <si>
    <t xml:space="preserve">FRP A12.02 note 6 / A08.01; cement board A09.26/A09.27 exterior = by cladding? see Clarifications; interior cement board under FRP cove band</t>
  </si>
  <si>
    <t xml:space="preserve">ALC-21</t>
  </si>
  <si>
    <t xml:space="preserve">Shaft walls / area separation walls</t>
  </si>
  <si>
    <t xml:space="preserve">NOT APPLICABLE</t>
  </si>
  <si>
    <t xml:space="preserve">NOT APPLICABLE: A02.01 and A12.01 partition schedule have no shaft wall or area separation type; PDF text scan has no SHAFT WALL / AREA SEPARATION / SHAFTLINER hits</t>
  </si>
  <si>
    <t xml:space="preserve">ALC-22</t>
  </si>
  <si>
    <t xml:space="preserve">Rated assemblies (UL designs) and their board type</t>
  </si>
  <si>
    <t xml:space="preserve">NOT APPLICABLE: A12.01 partition schedule lists no UL design, hour rating or Type X board; FIRE RATED hits are plywood backboards (A11.03 note 6, A12.02 NER, E02.02 note 29 -&gt; carried as 3/4" FRT plywood) and MEP penetration notes (M00.01, M03.01, E00.01)</t>
  </si>
  <si>
    <t xml:space="preserve">ALC-23</t>
  </si>
  <si>
    <t xml:space="preserve">Special panels (ballistic, lead-lined, abuse)</t>
  </si>
  <si>
    <t xml:space="preserve">3/8" UL752 Level 2 fiberglass ballistic panel, K types (A12.01)</t>
  </si>
  <si>
    <t xml:space="preserve">ALC-24</t>
  </si>
  <si>
    <t xml:space="preserve">Finish level (Level 4 / Level 5)</t>
  </si>
  <si>
    <t xml:space="preserve">Level 5 at wallcovering WC-20 (A12.02) and A08.11 'WALL SURFACE TO BE LEVEL 5'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</si>
  <si>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</si>
  <si>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</si>
  <si>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</si>
  <si>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</si>
  <si>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"ffd73e34693dd2dde090d2918bc876266ede5f0591420dabc78885dc6cb558f9", "evidencias": "931bb74db4d43b13ba4d7ac333f17c605ede5ca131aacefa6829fe6edd3712e2", "familias_out": "781b918595016b918d262144ae595398071d80e245fc98d70442edaeed263417", "reglas": "75fc3a1e7e9494ea8e921a2ddff795151d8517d8c0c5af62119c993aa891e3af",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</si>
</sst>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7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5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17.021</v>
      </c>
      <c r="D6" s="0" t="n">
        <v>15.375</v>
      </c>
      <c r="E6" s="0" t="n">
        <v>2</v>
      </c>
      <c r="F6" s="0" t="s">
        <v>63</v>
      </c>
      <c r="G6" s="0" t="n">
        <v>16</v>
      </c>
      <c r="H6" s="0" t="n">
        <v>366.97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3.531</v>
      </c>
      <c r="D7" s="0" t="n">
        <v>15.375</v>
      </c>
      <c r="E7" s="0" t="n">
        <v>2</v>
      </c>
      <c r="F7" s="0" t="s">
        <v>63</v>
      </c>
      <c r="G7" s="0" t="n">
        <v>16</v>
      </c>
      <c r="H7" s="0" t="n">
        <v>86.07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2.625</v>
      </c>
      <c r="D8" s="0" t="n">
        <v>15.375</v>
      </c>
      <c r="E8" s="0" t="n">
        <v>2</v>
      </c>
      <c r="F8" s="0" t="s">
        <v>63</v>
      </c>
      <c r="G8" s="0" t="n">
        <v>16</v>
      </c>
      <c r="H8" s="0" t="n">
        <v>63.98</v>
      </c>
      <c r="I8" s="0" t="s">
        <v>72</v>
      </c>
      <c r="J8" s="0" t="s">
        <v>65</v>
      </c>
      <c r="K8" s="0" t="s">
        <v>73</v>
      </c>
    </row>
    <row r="9" customFormat="false" ht="15" hidden="false" customHeight="false" outlineLevel="0" collapsed="false">
      <c r="A9" s="0" t="s">
        <v>74</v>
      </c>
      <c r="B9" s="0" t="s">
        <v>75</v>
      </c>
      <c r="C9" s="0" t="n">
        <v>5.587</v>
      </c>
      <c r="D9" s="0" t="n">
        <v>15.375</v>
      </c>
      <c r="E9" s="0" t="n">
        <v>2</v>
      </c>
      <c r="F9" s="0" t="s">
        <v>63</v>
      </c>
      <c r="G9" s="0" t="n">
        <v>16</v>
      </c>
      <c r="H9" s="0" t="n">
        <v>62.88</v>
      </c>
      <c r="I9" s="0" t="s">
        <v>76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77</v>
      </c>
      <c r="B10" s="0" t="s">
        <v>78</v>
      </c>
      <c r="C10" s="0" t="n">
        <v>15.233</v>
      </c>
      <c r="D10" s="0" t="n">
        <v>12.965</v>
      </c>
      <c r="E10" s="0" t="n">
        <v>2</v>
      </c>
      <c r="F10" s="0" t="s">
        <v>63</v>
      </c>
      <c r="G10" s="0" t="n">
        <v>16</v>
      </c>
      <c r="H10" s="0" t="n">
        <v>274.2</v>
      </c>
      <c r="I10" s="0" t="s">
        <v>79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80</v>
      </c>
      <c r="B11" s="0" t="s">
        <v>81</v>
      </c>
      <c r="C11" s="0" t="n">
        <v>1.733</v>
      </c>
      <c r="D11" s="0" t="n">
        <v>11.819</v>
      </c>
      <c r="E11" s="0" t="n">
        <v>2</v>
      </c>
      <c r="F11" s="0" t="s">
        <v>63</v>
      </c>
      <c r="G11" s="0" t="n">
        <v>16</v>
      </c>
      <c r="H11" s="0" t="n">
        <v>32.07</v>
      </c>
      <c r="I11" s="0" t="s">
        <v>82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83</v>
      </c>
      <c r="B12" s="0" t="s">
        <v>84</v>
      </c>
      <c r="C12" s="0" t="n">
        <v>5.5</v>
      </c>
      <c r="D12" s="0" t="n">
        <v>12.921</v>
      </c>
      <c r="E12" s="0" t="n">
        <v>2</v>
      </c>
      <c r="F12" s="0" t="s">
        <v>63</v>
      </c>
      <c r="G12" s="0" t="n">
        <v>16</v>
      </c>
      <c r="H12" s="0" t="n">
        <v>47.31</v>
      </c>
      <c r="I12" s="0" t="s">
        <v>85</v>
      </c>
      <c r="J12" s="0" t="s">
        <v>65</v>
      </c>
      <c r="K12" s="0" t="s">
        <v>73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n">
        <v>20.521</v>
      </c>
      <c r="D13" s="0" t="n">
        <v>11.819</v>
      </c>
      <c r="E13" s="0" t="n">
        <v>2</v>
      </c>
      <c r="F13" s="0" t="s">
        <v>63</v>
      </c>
      <c r="G13" s="0" t="n">
        <v>16</v>
      </c>
      <c r="H13" s="0" t="n">
        <v>357.01</v>
      </c>
      <c r="I13" s="0" t="s">
        <v>88</v>
      </c>
      <c r="J13" s="0" t="s">
        <v>65</v>
      </c>
      <c r="K13" s="0" t="s">
        <v>66</v>
      </c>
    </row>
    <row r="14" customFormat="false" ht="15" hidden="false" customHeight="false" outlineLevel="0" collapsed="false">
      <c r="A14" s="0" t="s">
        <v>89</v>
      </c>
      <c r="B14" s="0" t="s">
        <v>90</v>
      </c>
      <c r="C14" s="0" t="n">
        <v>11.667</v>
      </c>
      <c r="D14" s="0" t="n">
        <v>12.769</v>
      </c>
      <c r="E14" s="0" t="n">
        <v>2</v>
      </c>
      <c r="F14" s="0" t="s">
        <v>63</v>
      </c>
      <c r="G14" s="0" t="n">
        <v>16</v>
      </c>
      <c r="H14" s="0" t="n">
        <v>168.05</v>
      </c>
      <c r="I14" s="0" t="s">
        <v>91</v>
      </c>
      <c r="J14" s="0" t="s">
        <v>65</v>
      </c>
      <c r="K14" s="0" t="s">
        <v>73</v>
      </c>
    </row>
    <row r="15" customFormat="false" ht="15" hidden="false" customHeight="false" outlineLevel="0" collapsed="false">
      <c r="A15" s="5" t="s">
        <v>92</v>
      </c>
    </row>
    <row r="16" customFormat="false" ht="15" hidden="false" customHeight="false" outlineLevel="0" collapsed="false">
      <c r="A16" s="0" t="s">
        <v>93</v>
      </c>
      <c r="B16" s="0" t="s">
        <v>94</v>
      </c>
      <c r="C16" s="0" t="n">
        <v>10.593</v>
      </c>
      <c r="D16" s="0" t="n">
        <v>15.375</v>
      </c>
      <c r="E16" s="0" t="n">
        <v>2</v>
      </c>
      <c r="F16" s="0" t="s">
        <v>95</v>
      </c>
      <c r="G16" s="0" t="n">
        <v>16</v>
      </c>
      <c r="H16" s="0" t="n">
        <v>222.46</v>
      </c>
      <c r="I16" s="0" t="s">
        <v>96</v>
      </c>
      <c r="J16" s="0" t="s">
        <v>65</v>
      </c>
      <c r="K16" s="0" t="s">
        <v>66</v>
      </c>
    </row>
    <row r="17" customFormat="false" ht="15" hidden="false" customHeight="false" outlineLevel="0" collapsed="false">
      <c r="A17" s="0" t="s">
        <v>97</v>
      </c>
      <c r="B17" s="0" t="s">
        <v>98</v>
      </c>
      <c r="C17" s="0" t="n">
        <v>5.28</v>
      </c>
      <c r="D17" s="0" t="n">
        <v>12.284</v>
      </c>
      <c r="E17" s="0" t="n">
        <v>2</v>
      </c>
      <c r="F17" s="0" t="s">
        <v>95</v>
      </c>
      <c r="G17" s="0" t="n">
        <v>16</v>
      </c>
      <c r="H17" s="0" t="n">
        <v>47.26</v>
      </c>
      <c r="I17" s="0" t="s">
        <v>99</v>
      </c>
      <c r="J17" s="0" t="s">
        <v>65</v>
      </c>
      <c r="K17" s="0" t="s">
        <v>66</v>
      </c>
    </row>
    <row r="18" customFormat="false" ht="15" hidden="false" customHeight="false" outlineLevel="0" collapsed="false">
      <c r="A18" s="0" t="s">
        <v>100</v>
      </c>
      <c r="B18" s="0" t="s">
        <v>101</v>
      </c>
      <c r="C18" s="0" t="n">
        <v>19.406</v>
      </c>
      <c r="D18" s="0" t="n">
        <v>13.697</v>
      </c>
      <c r="E18" s="0" t="n">
        <v>2</v>
      </c>
      <c r="F18" s="0" t="s">
        <v>95</v>
      </c>
      <c r="G18" s="0" t="n">
        <v>16</v>
      </c>
      <c r="H18" s="0" t="n">
        <v>378.91</v>
      </c>
      <c r="I18" s="0" t="s">
        <v>102</v>
      </c>
      <c r="J18" s="0" t="s">
        <v>65</v>
      </c>
      <c r="K18" s="0" t="s">
        <v>66</v>
      </c>
    </row>
    <row r="19" customFormat="false" ht="15" hidden="false" customHeight="false" outlineLevel="0" collapsed="false">
      <c r="A19" s="0" t="s">
        <v>103</v>
      </c>
      <c r="B19" s="0" t="s">
        <v>104</v>
      </c>
      <c r="C19" s="0" t="n">
        <v>6.947</v>
      </c>
      <c r="D19" s="0" t="n">
        <v>11.774</v>
      </c>
      <c r="E19" s="0" t="n">
        <v>2</v>
      </c>
      <c r="F19" s="0" t="s">
        <v>95</v>
      </c>
      <c r="G19" s="0" t="n">
        <v>16</v>
      </c>
      <c r="H19" s="0" t="n">
        <v>80.73</v>
      </c>
      <c r="I19" s="0" t="s">
        <v>105</v>
      </c>
      <c r="J19" s="0" t="s">
        <v>65</v>
      </c>
      <c r="K19" s="0" t="s">
        <v>66</v>
      </c>
    </row>
    <row r="20" customFormat="false" ht="15" hidden="false" customHeight="false" outlineLevel="0" collapsed="false">
      <c r="A20" s="5" t="s">
        <v>106</v>
      </c>
    </row>
    <row r="21" customFormat="false" ht="15" hidden="false" customHeight="false" outlineLevel="0" collapsed="false">
      <c r="A21" s="0" t="s">
        <v>107</v>
      </c>
      <c r="B21" s="0" t="s">
        <v>108</v>
      </c>
      <c r="C21" s="0" t="n">
        <v>1.767</v>
      </c>
      <c r="D21" s="0" t="n">
        <v>12.921</v>
      </c>
      <c r="E21" s="0" t="n">
        <v>2</v>
      </c>
      <c r="F21" s="0" t="s">
        <v>63</v>
      </c>
      <c r="G21" s="0" t="n">
        <v>24</v>
      </c>
      <c r="H21" s="0" t="n">
        <v>45.66</v>
      </c>
      <c r="I21" s="0" t="s">
        <v>109</v>
      </c>
      <c r="J21" s="0" t="s">
        <v>110</v>
      </c>
      <c r="K21" s="0" t="s">
        <v>66</v>
      </c>
    </row>
    <row r="22" customFormat="false" ht="15" hidden="false" customHeight="false" outlineLevel="0" collapsed="false">
      <c r="A22" s="0" t="s">
        <v>111</v>
      </c>
      <c r="B22" s="0" t="s">
        <v>112</v>
      </c>
      <c r="C22" s="0" t="n">
        <v>3.333</v>
      </c>
      <c r="D22" s="0" t="n">
        <v>12.933</v>
      </c>
      <c r="E22" s="0" t="n">
        <v>2</v>
      </c>
      <c r="F22" s="0" t="s">
        <v>63</v>
      </c>
      <c r="G22" s="0" t="n">
        <v>24</v>
      </c>
      <c r="H22" s="0" t="n">
        <v>86.22</v>
      </c>
      <c r="I22" s="0" t="s">
        <v>113</v>
      </c>
      <c r="J22" s="0" t="s">
        <v>110</v>
      </c>
      <c r="K22" s="0" t="s">
        <v>66</v>
      </c>
    </row>
    <row r="23" customFormat="false" ht="15" hidden="false" customHeight="false" outlineLevel="0" collapsed="false">
      <c r="A23" s="0" t="s">
        <v>114</v>
      </c>
      <c r="B23" s="0" t="s">
        <v>115</v>
      </c>
      <c r="C23" s="0" t="n">
        <v>3.417</v>
      </c>
      <c r="D23" s="0" t="n">
        <v>15.375</v>
      </c>
      <c r="E23" s="0" t="n">
        <v>2</v>
      </c>
      <c r="F23" s="0" t="s">
        <v>63</v>
      </c>
      <c r="G23" s="0" t="n">
        <v>24</v>
      </c>
      <c r="H23" s="0" t="n">
        <v>105.06</v>
      </c>
      <c r="I23" s="0" t="s">
        <v>116</v>
      </c>
      <c r="J23" s="0" t="s">
        <v>110</v>
      </c>
      <c r="K23" s="0" t="s">
        <v>73</v>
      </c>
    </row>
    <row r="24" customFormat="false" ht="15" hidden="false" customHeight="false" outlineLevel="0" collapsed="false">
      <c r="A24" s="5" t="s">
        <v>117</v>
      </c>
    </row>
    <row r="25" customFormat="false" ht="15" hidden="false" customHeight="false" outlineLevel="0" collapsed="false">
      <c r="A25" s="0" t="s">
        <v>118</v>
      </c>
      <c r="B25" s="0" t="s">
        <v>119</v>
      </c>
      <c r="C25" s="0" t="n">
        <v>1.5</v>
      </c>
      <c r="D25" s="0" t="n">
        <v>15.375</v>
      </c>
      <c r="E25" s="0" t="n">
        <v>2</v>
      </c>
      <c r="F25" s="0" t="s">
        <v>95</v>
      </c>
      <c r="G25" s="0" t="n">
        <v>24</v>
      </c>
      <c r="H25" s="0" t="n">
        <v>46.12</v>
      </c>
      <c r="I25" s="0" t="s">
        <v>120</v>
      </c>
      <c r="J25" s="0" t="s">
        <v>110</v>
      </c>
      <c r="K25" s="0" t="s">
        <v>66</v>
      </c>
    </row>
    <row r="26" customFormat="false" ht="15" hidden="false" customHeight="false" outlineLevel="0" collapsed="false">
      <c r="A26" s="5" t="s">
        <v>121</v>
      </c>
    </row>
    <row r="27" customFormat="false" ht="15" hidden="false" customHeight="false" outlineLevel="0" collapsed="false">
      <c r="A27" s="0" t="s">
        <v>122</v>
      </c>
      <c r="B27" s="0" t="s">
        <v>123</v>
      </c>
      <c r="C27" s="0" t="n">
        <v>9.99</v>
      </c>
      <c r="D27" s="0" t="n">
        <v>12.825</v>
      </c>
      <c r="E27" s="0" t="n">
        <v>2</v>
      </c>
      <c r="F27" s="0" t="s">
        <v>63</v>
      </c>
      <c r="G27" s="0" t="n">
        <v>16</v>
      </c>
      <c r="H27" s="0" t="n">
        <v>256.24</v>
      </c>
      <c r="I27" s="0" t="s">
        <v>124</v>
      </c>
      <c r="J27" s="0" t="s">
        <v>125</v>
      </c>
      <c r="K27" s="0" t="s">
        <v>66</v>
      </c>
    </row>
    <row r="28" customFormat="false" ht="15" hidden="false" customHeight="false" outlineLevel="0" collapsed="false">
      <c r="A28" s="0" t="s">
        <v>126</v>
      </c>
      <c r="B28" s="0" t="s">
        <v>127</v>
      </c>
      <c r="C28" s="0" t="n">
        <v>9.583</v>
      </c>
      <c r="D28" s="0" t="n">
        <v>12.696</v>
      </c>
      <c r="E28" s="0" t="n">
        <v>2</v>
      </c>
      <c r="F28" s="0" t="s">
        <v>63</v>
      </c>
      <c r="G28" s="0" t="n">
        <v>16</v>
      </c>
      <c r="H28" s="0" t="n">
        <v>243.34</v>
      </c>
      <c r="I28" s="0" t="s">
        <v>128</v>
      </c>
      <c r="J28" s="0" t="s">
        <v>125</v>
      </c>
      <c r="K28" s="0" t="s">
        <v>73</v>
      </c>
    </row>
    <row r="29" customFormat="false" ht="15" hidden="false" customHeight="false" outlineLevel="0" collapsed="false">
      <c r="A29" s="0" t="s">
        <v>129</v>
      </c>
      <c r="B29" s="0" t="s">
        <v>130</v>
      </c>
      <c r="C29" s="0" t="n">
        <v>13.74</v>
      </c>
      <c r="D29" s="0" t="n">
        <v>12.821</v>
      </c>
      <c r="E29" s="0" t="n">
        <v>2</v>
      </c>
      <c r="F29" s="0" t="s">
        <v>63</v>
      </c>
      <c r="G29" s="0" t="n">
        <v>16</v>
      </c>
      <c r="H29" s="0" t="n">
        <v>252.86</v>
      </c>
      <c r="I29" s="0" t="s">
        <v>131</v>
      </c>
      <c r="J29" s="0" t="s">
        <v>125</v>
      </c>
      <c r="K29" s="0" t="s">
        <v>66</v>
      </c>
    </row>
    <row r="30" customFormat="false" ht="15" hidden="false" customHeight="false" outlineLevel="0" collapsed="false">
      <c r="A30" s="0" t="s">
        <v>132</v>
      </c>
      <c r="B30" s="0" t="s">
        <v>133</v>
      </c>
      <c r="C30" s="0" t="n">
        <v>11.729</v>
      </c>
      <c r="D30" s="0" t="n">
        <v>12.745</v>
      </c>
      <c r="E30" s="0" t="n">
        <v>2</v>
      </c>
      <c r="F30" s="0" t="s">
        <v>63</v>
      </c>
      <c r="G30" s="0" t="n">
        <v>16</v>
      </c>
      <c r="H30" s="0" t="n">
        <v>251.2</v>
      </c>
      <c r="I30" s="0" t="s">
        <v>134</v>
      </c>
      <c r="J30" s="0" t="s">
        <v>125</v>
      </c>
      <c r="K30" s="0" t="s">
        <v>66</v>
      </c>
    </row>
    <row r="31" customFormat="false" ht="15" hidden="false" customHeight="false" outlineLevel="0" collapsed="false">
      <c r="A31" s="0" t="s">
        <v>135</v>
      </c>
      <c r="B31" s="0" t="s">
        <v>136</v>
      </c>
      <c r="C31" s="0" t="n">
        <v>11.729</v>
      </c>
      <c r="D31" s="0" t="n">
        <v>12.665</v>
      </c>
      <c r="E31" s="0" t="n">
        <v>2</v>
      </c>
      <c r="F31" s="0" t="s">
        <v>63</v>
      </c>
      <c r="G31" s="0" t="n">
        <v>16</v>
      </c>
      <c r="H31" s="0" t="n">
        <v>297.1</v>
      </c>
      <c r="I31" s="0" t="s">
        <v>137</v>
      </c>
      <c r="J31" s="0" t="s">
        <v>125</v>
      </c>
      <c r="K31" s="0" t="s">
        <v>66</v>
      </c>
    </row>
    <row r="32" customFormat="false" ht="15" hidden="false" customHeight="false" outlineLevel="0" collapsed="false">
      <c r="A32" s="0" t="s">
        <v>138</v>
      </c>
      <c r="B32" s="0" t="s">
        <v>139</v>
      </c>
      <c r="C32" s="0" t="n">
        <v>3.5</v>
      </c>
      <c r="D32" s="0" t="n">
        <v>12.741</v>
      </c>
      <c r="E32" s="0" t="n">
        <v>2</v>
      </c>
      <c r="F32" s="0" t="s">
        <v>63</v>
      </c>
      <c r="G32" s="0" t="n">
        <v>16</v>
      </c>
      <c r="H32" s="0" t="n">
        <v>88.94</v>
      </c>
      <c r="I32" s="0" t="s">
        <v>140</v>
      </c>
      <c r="J32" s="0" t="s">
        <v>125</v>
      </c>
      <c r="K32" s="0" t="s">
        <v>73</v>
      </c>
    </row>
    <row r="33" customFormat="false" ht="15" hidden="false" customHeight="false" outlineLevel="0" collapsed="false">
      <c r="A33" s="5" t="s">
        <v>141</v>
      </c>
    </row>
    <row r="34" customFormat="false" ht="15" hidden="false" customHeight="false" outlineLevel="0" collapsed="false">
      <c r="A34" s="0" t="s">
        <v>142</v>
      </c>
      <c r="B34" s="0" t="s">
        <v>143</v>
      </c>
      <c r="C34" s="0" t="n">
        <v>5.667</v>
      </c>
      <c r="D34" s="0" t="n">
        <v>15.375</v>
      </c>
      <c r="E34" s="0" t="n">
        <v>2</v>
      </c>
      <c r="F34" s="0" t="s">
        <v>95</v>
      </c>
      <c r="G34" s="0" t="n">
        <v>16</v>
      </c>
      <c r="H34" s="0" t="n">
        <v>111.64</v>
      </c>
      <c r="I34" s="0" t="s">
        <v>144</v>
      </c>
      <c r="J34" s="0" t="s">
        <v>125</v>
      </c>
      <c r="K34" s="0" t="s">
        <v>73</v>
      </c>
    </row>
    <row r="35" customFormat="false" ht="15" hidden="false" customHeight="false" outlineLevel="0" collapsed="false">
      <c r="A35" s="0" t="s">
        <v>145</v>
      </c>
      <c r="B35" s="0" t="s">
        <v>146</v>
      </c>
      <c r="C35" s="0" t="n">
        <v>5.542</v>
      </c>
      <c r="D35" s="0" t="n">
        <v>13.052</v>
      </c>
      <c r="E35" s="0" t="n">
        <v>2</v>
      </c>
      <c r="F35" s="0" t="s">
        <v>95</v>
      </c>
      <c r="G35" s="0" t="n">
        <v>16</v>
      </c>
      <c r="H35" s="0" t="n">
        <v>96.36</v>
      </c>
      <c r="I35" s="0" t="s">
        <v>147</v>
      </c>
      <c r="J35" s="0" t="s">
        <v>125</v>
      </c>
      <c r="K35" s="0" t="s">
        <v>73</v>
      </c>
    </row>
    <row r="36" customFormat="false" ht="15" hidden="false" customHeight="false" outlineLevel="0" collapsed="false">
      <c r="A36" s="0" t="s">
        <v>148</v>
      </c>
      <c r="B36" s="0" t="s">
        <v>149</v>
      </c>
      <c r="C36" s="0" t="n">
        <v>15.787</v>
      </c>
      <c r="D36" s="0" t="n">
        <v>12.863</v>
      </c>
      <c r="E36" s="0" t="n">
        <v>2</v>
      </c>
      <c r="F36" s="0" t="s">
        <v>95</v>
      </c>
      <c r="G36" s="0" t="n">
        <v>16</v>
      </c>
      <c r="H36" s="0" t="n">
        <v>257.66</v>
      </c>
      <c r="I36" s="0" t="s">
        <v>150</v>
      </c>
      <c r="J36" s="0" t="s">
        <v>125</v>
      </c>
      <c r="K36" s="0" t="s">
        <v>66</v>
      </c>
    </row>
    <row r="37" customFormat="false" ht="15" hidden="false" customHeight="false" outlineLevel="0" collapsed="false">
      <c r="A37" s="0" t="s">
        <v>151</v>
      </c>
      <c r="B37" s="0" t="s">
        <v>152</v>
      </c>
      <c r="C37" s="0" t="n">
        <v>11.406</v>
      </c>
      <c r="D37" s="0" t="n">
        <v>11.631</v>
      </c>
      <c r="E37" s="0" t="n">
        <v>2</v>
      </c>
      <c r="F37" s="0" t="s">
        <v>95</v>
      </c>
      <c r="G37" s="0" t="n">
        <v>16</v>
      </c>
      <c r="H37" s="0" t="n">
        <v>262.66</v>
      </c>
      <c r="I37" s="0" t="s">
        <v>153</v>
      </c>
      <c r="J37" s="0" t="s">
        <v>125</v>
      </c>
      <c r="K37" s="0" t="s">
        <v>66</v>
      </c>
    </row>
    <row r="38" customFormat="false" ht="15" hidden="false" customHeight="false" outlineLevel="0" collapsed="false">
      <c r="A38" s="5" t="s">
        <v>154</v>
      </c>
    </row>
    <row r="39" customFormat="false" ht="15" hidden="false" customHeight="false" outlineLevel="0" collapsed="false">
      <c r="A39" s="0" t="s">
        <v>155</v>
      </c>
      <c r="B39" s="0" t="s">
        <v>156</v>
      </c>
      <c r="C39" s="0" t="n">
        <v>10.027</v>
      </c>
      <c r="D39" s="0" t="n">
        <v>12.92</v>
      </c>
      <c r="E39" s="0" t="n">
        <v>1</v>
      </c>
      <c r="F39" s="0" t="s">
        <v>63</v>
      </c>
      <c r="G39" s="0" t="n">
        <v>16</v>
      </c>
      <c r="H39" s="0" t="n">
        <v>129.55</v>
      </c>
      <c r="I39" s="0" t="s">
        <v>157</v>
      </c>
      <c r="J39" s="0" t="s">
        <v>158</v>
      </c>
      <c r="K39" s="0" t="s">
        <v>66</v>
      </c>
    </row>
    <row r="40" customFormat="false" ht="15" hidden="false" customHeight="false" outlineLevel="0" collapsed="false">
      <c r="A40" s="0" t="s">
        <v>159</v>
      </c>
      <c r="B40" s="0" t="s">
        <v>160</v>
      </c>
      <c r="C40" s="0" t="n">
        <v>10.027</v>
      </c>
      <c r="D40" s="0" t="n">
        <v>12.89</v>
      </c>
      <c r="E40" s="0" t="n">
        <v>1</v>
      </c>
      <c r="F40" s="0" t="s">
        <v>63</v>
      </c>
      <c r="G40" s="0" t="n">
        <v>16</v>
      </c>
      <c r="H40" s="0" t="n">
        <v>129.25</v>
      </c>
      <c r="I40" s="0" t="s">
        <v>161</v>
      </c>
      <c r="J40" s="0" t="s">
        <v>158</v>
      </c>
      <c r="K40" s="0" t="s">
        <v>66</v>
      </c>
    </row>
    <row r="41" customFormat="false" ht="15" hidden="false" customHeight="false" outlineLevel="0" collapsed="false">
      <c r="A41" s="0" t="s">
        <v>162</v>
      </c>
      <c r="B41" s="0" t="s">
        <v>163</v>
      </c>
      <c r="C41" s="0" t="n">
        <v>10.625</v>
      </c>
      <c r="D41" s="0" t="n">
        <v>15.375</v>
      </c>
      <c r="E41" s="0" t="n">
        <v>1</v>
      </c>
      <c r="F41" s="0" t="s">
        <v>63</v>
      </c>
      <c r="G41" s="0" t="n">
        <v>16</v>
      </c>
      <c r="H41" s="0" t="n">
        <v>163.35</v>
      </c>
      <c r="I41" s="0" t="s">
        <v>164</v>
      </c>
      <c r="J41" s="0" t="s">
        <v>158</v>
      </c>
      <c r="K41" s="0" t="s">
        <v>66</v>
      </c>
    </row>
    <row r="42" customFormat="false" ht="15" hidden="false" customHeight="false" outlineLevel="0" collapsed="false">
      <c r="A42" s="0" t="s">
        <v>165</v>
      </c>
      <c r="B42" s="0" t="s">
        <v>166</v>
      </c>
      <c r="C42" s="0" t="n">
        <v>3.207</v>
      </c>
      <c r="D42" s="0" t="n">
        <v>12.92</v>
      </c>
      <c r="E42" s="0" t="n">
        <v>1</v>
      </c>
      <c r="F42" s="0" t="s">
        <v>63</v>
      </c>
      <c r="G42" s="0" t="n">
        <v>16</v>
      </c>
      <c r="H42" s="0" t="n">
        <v>41.43</v>
      </c>
      <c r="I42" s="0" t="s">
        <v>167</v>
      </c>
      <c r="J42" s="0" t="s">
        <v>158</v>
      </c>
      <c r="K42" s="0" t="s">
        <v>66</v>
      </c>
    </row>
    <row r="43" customFormat="false" ht="15" hidden="false" customHeight="false" outlineLevel="0" collapsed="false">
      <c r="A43" s="0" t="s">
        <v>168</v>
      </c>
      <c r="B43" s="0" t="s">
        <v>169</v>
      </c>
      <c r="C43" s="0" t="n">
        <v>2.94</v>
      </c>
      <c r="D43" s="0" t="n">
        <v>14.383</v>
      </c>
      <c r="E43" s="0" t="n">
        <v>1</v>
      </c>
      <c r="F43" s="0" t="s">
        <v>63</v>
      </c>
      <c r="G43" s="0" t="n">
        <v>16</v>
      </c>
      <c r="H43" s="0" t="n">
        <v>42.28</v>
      </c>
      <c r="I43" s="0" t="s">
        <v>170</v>
      </c>
      <c r="J43" s="0" t="s">
        <v>158</v>
      </c>
      <c r="K43" s="0" t="s">
        <v>66</v>
      </c>
    </row>
    <row r="44" customFormat="false" ht="15" hidden="false" customHeight="false" outlineLevel="0" collapsed="false">
      <c r="A44" s="0" t="s">
        <v>171</v>
      </c>
      <c r="B44" s="0" t="s">
        <v>172</v>
      </c>
      <c r="C44" s="0" t="n">
        <v>3.133</v>
      </c>
      <c r="D44" s="0" t="n">
        <v>14.358</v>
      </c>
      <c r="E44" s="0" t="n">
        <v>1</v>
      </c>
      <c r="F44" s="0" t="s">
        <v>173</v>
      </c>
      <c r="G44" s="0" t="n">
        <v>16</v>
      </c>
      <c r="H44" s="0" t="n">
        <v>48.17</v>
      </c>
      <c r="I44" s="0" t="s">
        <v>174</v>
      </c>
      <c r="J44" s="0" t="s">
        <v>175</v>
      </c>
      <c r="K44" s="0" t="s">
        <v>66</v>
      </c>
    </row>
    <row r="45" customFormat="false" ht="15" hidden="false" customHeight="false" outlineLevel="0" collapsed="false">
      <c r="A45" s="0" t="s">
        <v>176</v>
      </c>
      <c r="B45" s="0" t="s">
        <v>177</v>
      </c>
      <c r="C45" s="0" t="n">
        <v>2.396</v>
      </c>
      <c r="D45" s="0" t="n">
        <v>14.358</v>
      </c>
      <c r="E45" s="0" t="n">
        <v>1</v>
      </c>
      <c r="F45" s="0" t="s">
        <v>173</v>
      </c>
      <c r="G45" s="0" t="n">
        <v>16</v>
      </c>
      <c r="H45" s="0" t="n">
        <v>36.84</v>
      </c>
      <c r="I45" s="0" t="s">
        <v>178</v>
      </c>
      <c r="J45" s="0" t="s">
        <v>179</v>
      </c>
      <c r="K45" s="0" t="s">
        <v>66</v>
      </c>
    </row>
    <row r="46" customFormat="false" ht="15" hidden="false" customHeight="false" outlineLevel="0" collapsed="false">
      <c r="A46" s="0" t="s">
        <v>180</v>
      </c>
      <c r="B46" s="0" t="s">
        <v>181</v>
      </c>
      <c r="C46" s="0" t="n">
        <v>4</v>
      </c>
      <c r="D46" s="0" t="n">
        <v>14.383</v>
      </c>
      <c r="E46" s="0" t="n">
        <v>1</v>
      </c>
      <c r="F46" s="0" t="s">
        <v>63</v>
      </c>
      <c r="G46" s="0" t="n">
        <v>16</v>
      </c>
      <c r="H46" s="0" t="n">
        <v>61.5</v>
      </c>
      <c r="I46" s="0" t="s">
        <v>182</v>
      </c>
      <c r="J46" s="0" t="s">
        <v>158</v>
      </c>
      <c r="K46" s="0" t="s">
        <v>66</v>
      </c>
    </row>
    <row r="47" customFormat="false" ht="15" hidden="false" customHeight="false" outlineLevel="0" collapsed="false">
      <c r="A47" s="5" t="s">
        <v>183</v>
      </c>
    </row>
    <row r="48" customFormat="false" ht="15" hidden="false" customHeight="false" outlineLevel="0" collapsed="false">
      <c r="A48" s="0" t="s">
        <v>184</v>
      </c>
      <c r="B48" s="0" t="s">
        <v>185</v>
      </c>
      <c r="C48" s="0" t="n">
        <v>17.762</v>
      </c>
      <c r="D48" s="0" t="n">
        <v>15.375</v>
      </c>
      <c r="E48" s="0" t="n">
        <v>2</v>
      </c>
      <c r="F48" s="0" t="s">
        <v>63</v>
      </c>
      <c r="G48" s="0" t="n">
        <v>16</v>
      </c>
      <c r="H48" s="0" t="n">
        <v>325.39</v>
      </c>
      <c r="I48" s="0" t="s">
        <v>186</v>
      </c>
      <c r="J48" s="0" t="s">
        <v>187</v>
      </c>
      <c r="K48" s="0" t="s">
        <v>66</v>
      </c>
    </row>
    <row r="49" customFormat="false" ht="15" hidden="false" customHeight="false" outlineLevel="0" collapsed="false">
      <c r="A49" s="5" t="s">
        <v>188</v>
      </c>
    </row>
    <row r="50" customFormat="false" ht="15" hidden="false" customHeight="false" outlineLevel="0" collapsed="false">
      <c r="A50" s="0" t="s">
        <v>189</v>
      </c>
      <c r="B50" s="0" t="s">
        <v>190</v>
      </c>
      <c r="C50" s="0" t="n">
        <v>2.42</v>
      </c>
      <c r="D50" s="0" t="n">
        <v>14.383</v>
      </c>
      <c r="E50" s="0" t="n">
        <v>4</v>
      </c>
      <c r="F50" s="0" t="s">
        <v>191</v>
      </c>
      <c r="G50" s="0" t="n">
        <v>16</v>
      </c>
      <c r="H50" s="0" t="n">
        <v>139.24</v>
      </c>
      <c r="I50" s="0" t="s">
        <v>192</v>
      </c>
      <c r="J50" s="0" t="s">
        <v>193</v>
      </c>
      <c r="K50" s="0" t="s">
        <v>66</v>
      </c>
    </row>
    <row r="51" customFormat="false" ht="15" hidden="false" customHeight="false" outlineLevel="0" collapsed="false">
      <c r="A51" s="0" t="s">
        <v>194</v>
      </c>
      <c r="B51" s="0" t="s">
        <v>195</v>
      </c>
      <c r="C51" s="0" t="n">
        <v>3.467</v>
      </c>
      <c r="D51" s="0" t="n">
        <v>14.383</v>
      </c>
      <c r="E51" s="0" t="n">
        <v>4</v>
      </c>
      <c r="F51" s="0" t="s">
        <v>191</v>
      </c>
      <c r="G51" s="0" t="n">
        <v>16</v>
      </c>
      <c r="H51" s="0" t="n">
        <v>199.46</v>
      </c>
      <c r="I51" s="0" t="s">
        <v>196</v>
      </c>
      <c r="J51" s="0" t="s">
        <v>193</v>
      </c>
      <c r="K51" s="0" t="s">
        <v>66</v>
      </c>
    </row>
    <row r="52" customFormat="false" ht="15" hidden="false" customHeight="false" outlineLevel="0" collapsed="false">
      <c r="A52" s="0" t="s">
        <v>197</v>
      </c>
      <c r="B52" s="0" t="s">
        <v>198</v>
      </c>
      <c r="C52" s="0" t="n">
        <v>3.253</v>
      </c>
      <c r="D52" s="0" t="n">
        <v>14.225</v>
      </c>
      <c r="E52" s="0" t="n">
        <v>4</v>
      </c>
      <c r="F52" s="0" t="s">
        <v>191</v>
      </c>
      <c r="G52" s="0" t="n">
        <v>16</v>
      </c>
      <c r="H52" s="0" t="n">
        <v>185.78</v>
      </c>
      <c r="I52" s="0" t="s">
        <v>199</v>
      </c>
      <c r="J52" s="0" t="s">
        <v>193</v>
      </c>
      <c r="K52" s="0" t="s">
        <v>66</v>
      </c>
    </row>
    <row r="53" customFormat="false" ht="15" hidden="false" customHeight="false" outlineLevel="0" collapsed="false">
      <c r="A53" s="0" t="s">
        <v>200</v>
      </c>
      <c r="B53" s="0" t="s">
        <v>201</v>
      </c>
      <c r="C53" s="0" t="n">
        <v>3.253</v>
      </c>
      <c r="D53" s="0" t="n">
        <v>14.225</v>
      </c>
      <c r="E53" s="0" t="n">
        <v>4</v>
      </c>
      <c r="F53" s="0" t="s">
        <v>191</v>
      </c>
      <c r="G53" s="0" t="n">
        <v>16</v>
      </c>
      <c r="H53" s="0" t="n">
        <v>185.12</v>
      </c>
      <c r="I53" s="0" t="s">
        <v>202</v>
      </c>
      <c r="J53" s="0" t="s">
        <v>193</v>
      </c>
      <c r="K53" s="0" t="s">
        <v>66</v>
      </c>
    </row>
    <row r="54" customFormat="false" ht="15" hidden="false" customHeight="false" outlineLevel="0" collapsed="false">
      <c r="A54" s="0" t="s">
        <v>203</v>
      </c>
      <c r="B54" s="0" t="s">
        <v>204</v>
      </c>
      <c r="C54" s="0" t="n">
        <v>11.771</v>
      </c>
      <c r="D54" s="0" t="n">
        <v>15.375</v>
      </c>
      <c r="E54" s="0" t="n">
        <v>4</v>
      </c>
      <c r="F54" s="0" t="s">
        <v>191</v>
      </c>
      <c r="G54" s="0" t="n">
        <v>16</v>
      </c>
      <c r="H54" s="0" t="n">
        <v>723.9</v>
      </c>
      <c r="I54" s="0" t="s">
        <v>205</v>
      </c>
      <c r="J54" s="0" t="s">
        <v>193</v>
      </c>
      <c r="K54" s="0" t="s">
        <v>73</v>
      </c>
    </row>
    <row r="55" customFormat="false" ht="15" hidden="false" customHeight="false" outlineLevel="0" collapsed="false">
      <c r="A55" s="0" t="s">
        <v>206</v>
      </c>
      <c r="B55" s="0" t="s">
        <v>207</v>
      </c>
      <c r="C55" s="0" t="n">
        <v>11.771</v>
      </c>
      <c r="D55" s="0" t="n">
        <v>15.375</v>
      </c>
      <c r="E55" s="0" t="n">
        <v>4</v>
      </c>
      <c r="F55" s="0" t="s">
        <v>191</v>
      </c>
      <c r="G55" s="0" t="n">
        <v>16</v>
      </c>
      <c r="H55" s="0" t="n">
        <v>723.9</v>
      </c>
      <c r="I55" s="0" t="s">
        <v>208</v>
      </c>
      <c r="J55" s="0" t="s">
        <v>193</v>
      </c>
      <c r="K55" s="0" t="s">
        <v>73</v>
      </c>
    </row>
    <row r="56" customFormat="false" ht="15" hidden="false" customHeight="false" outlineLevel="0" collapsed="false">
      <c r="A56" s="0" t="s">
        <v>209</v>
      </c>
      <c r="B56" s="0" t="s">
        <v>210</v>
      </c>
      <c r="C56" s="0" t="n">
        <v>10.073</v>
      </c>
      <c r="D56" s="0" t="n">
        <v>15.375</v>
      </c>
      <c r="E56" s="0" t="n">
        <v>4</v>
      </c>
      <c r="F56" s="0" t="s">
        <v>191</v>
      </c>
      <c r="G56" s="0" t="n">
        <v>16</v>
      </c>
      <c r="H56" s="0" t="n">
        <v>619.5</v>
      </c>
      <c r="I56" s="0" t="s">
        <v>211</v>
      </c>
      <c r="J56" s="0" t="s">
        <v>193</v>
      </c>
      <c r="K56" s="0" t="s">
        <v>66</v>
      </c>
    </row>
    <row r="57" customFormat="false" ht="15" hidden="false" customHeight="false" outlineLevel="0" collapsed="false">
      <c r="A57" s="0" t="s">
        <v>212</v>
      </c>
      <c r="B57" s="0" t="s">
        <v>213</v>
      </c>
      <c r="C57" s="0" t="n">
        <v>12.333</v>
      </c>
      <c r="D57" s="0" t="n">
        <v>15.375</v>
      </c>
      <c r="E57" s="0" t="n">
        <v>4</v>
      </c>
      <c r="F57" s="0" t="s">
        <v>191</v>
      </c>
      <c r="G57" s="0" t="n">
        <v>16</v>
      </c>
      <c r="H57" s="0" t="n">
        <v>736.14</v>
      </c>
      <c r="I57" s="0" t="s">
        <v>214</v>
      </c>
      <c r="J57" s="0" t="s">
        <v>193</v>
      </c>
      <c r="K57" s="0" t="s">
        <v>66</v>
      </c>
    </row>
    <row r="58" customFormat="false" ht="15" hidden="false" customHeight="false" outlineLevel="0" collapsed="false">
      <c r="A58" s="0" t="s">
        <v>215</v>
      </c>
      <c r="B58" s="0" t="s">
        <v>216</v>
      </c>
      <c r="C58" s="0" t="n">
        <v>11.625</v>
      </c>
      <c r="D58" s="0" t="n">
        <v>15.375</v>
      </c>
      <c r="E58" s="0" t="n">
        <v>4</v>
      </c>
      <c r="F58" s="0" t="s">
        <v>191</v>
      </c>
      <c r="G58" s="0" t="n">
        <v>16</v>
      </c>
      <c r="H58" s="0" t="n">
        <v>714.94</v>
      </c>
      <c r="I58" s="0" t="s">
        <v>217</v>
      </c>
      <c r="J58" s="0" t="s">
        <v>193</v>
      </c>
      <c r="K58" s="0" t="s">
        <v>73</v>
      </c>
    </row>
    <row r="59" customFormat="false" ht="15" hidden="false" customHeight="false" outlineLevel="0" collapsed="false">
      <c r="A59" s="0" t="s">
        <v>218</v>
      </c>
      <c r="B59" s="0" t="s">
        <v>219</v>
      </c>
      <c r="C59" s="0" t="n">
        <v>11.625</v>
      </c>
      <c r="D59" s="0" t="n">
        <v>15.375</v>
      </c>
      <c r="E59" s="0" t="n">
        <v>4</v>
      </c>
      <c r="F59" s="0" t="s">
        <v>191</v>
      </c>
      <c r="G59" s="0" t="n">
        <v>16</v>
      </c>
      <c r="H59" s="0" t="n">
        <v>714.94</v>
      </c>
      <c r="I59" s="0" t="s">
        <v>220</v>
      </c>
      <c r="J59" s="0" t="s">
        <v>193</v>
      </c>
      <c r="K59" s="0" t="s">
        <v>73</v>
      </c>
    </row>
    <row r="60" customFormat="false" ht="15" hidden="false" customHeight="false" outlineLevel="0" collapsed="false">
      <c r="A60" s="5" t="s">
        <v>221</v>
      </c>
    </row>
    <row r="61" customFormat="false" ht="15" hidden="false" customHeight="false" outlineLevel="0" collapsed="false">
      <c r="A61" s="0" t="s">
        <v>222</v>
      </c>
      <c r="B61" s="0" t="s">
        <v>223</v>
      </c>
      <c r="C61" s="0" t="n">
        <v>11.771</v>
      </c>
      <c r="D61" s="0" t="n">
        <v>15.375</v>
      </c>
      <c r="E61" s="0" t="n">
        <v>4</v>
      </c>
      <c r="F61" s="0" t="s">
        <v>191</v>
      </c>
      <c r="G61" s="0" t="n">
        <v>16</v>
      </c>
      <c r="H61" s="0" t="n">
        <v>714.9</v>
      </c>
      <c r="I61" s="0" t="s">
        <v>224</v>
      </c>
      <c r="J61" s="0" t="s">
        <v>193</v>
      </c>
      <c r="K61" s="0" t="s">
        <v>73</v>
      </c>
    </row>
    <row r="62" customFormat="false" ht="15" hidden="false" customHeight="false" outlineLevel="0" collapsed="false">
      <c r="A62" s="0" t="s">
        <v>225</v>
      </c>
      <c r="B62" s="0" t="s">
        <v>226</v>
      </c>
      <c r="C62" s="0" t="n">
        <v>3.507</v>
      </c>
      <c r="D62" s="0" t="n">
        <v>15.375</v>
      </c>
      <c r="E62" s="0" t="n">
        <v>4</v>
      </c>
      <c r="F62" s="0" t="s">
        <v>191</v>
      </c>
      <c r="G62" s="0" t="n">
        <v>16</v>
      </c>
      <c r="H62" s="0" t="n">
        <v>215.66</v>
      </c>
      <c r="I62" s="0" t="s">
        <v>227</v>
      </c>
      <c r="J62" s="0" t="s">
        <v>193</v>
      </c>
      <c r="K62" s="0" t="s">
        <v>66</v>
      </c>
    </row>
    <row r="63" customFormat="false" ht="15" hidden="false" customHeight="false" outlineLevel="0" collapsed="false">
      <c r="A63" s="0" t="s">
        <v>228</v>
      </c>
      <c r="B63" s="0" t="s">
        <v>229</v>
      </c>
      <c r="C63" s="0" t="n">
        <v>3.18</v>
      </c>
      <c r="D63" s="0" t="n">
        <v>15.375</v>
      </c>
      <c r="E63" s="0" t="n">
        <v>4</v>
      </c>
      <c r="F63" s="0" t="s">
        <v>191</v>
      </c>
      <c r="G63" s="0" t="n">
        <v>16</v>
      </c>
      <c r="H63" s="0" t="n">
        <v>195.58</v>
      </c>
      <c r="I63" s="0" t="s">
        <v>230</v>
      </c>
      <c r="J63" s="0" t="s">
        <v>193</v>
      </c>
      <c r="K63" s="0" t="s">
        <v>66</v>
      </c>
    </row>
    <row r="64" customFormat="false" ht="15" hidden="false" customHeight="false" outlineLevel="0" collapsed="false">
      <c r="A64" s="5" t="s">
        <v>231</v>
      </c>
    </row>
    <row r="65" customFormat="false" ht="15" hidden="false" customHeight="false" outlineLevel="0" collapsed="false">
      <c r="A65" s="0" t="s">
        <v>232</v>
      </c>
      <c r="B65" s="0" t="s">
        <v>233</v>
      </c>
      <c r="C65" s="0" t="n">
        <v>30</v>
      </c>
      <c r="D65" s="0" t="n">
        <v>6.262</v>
      </c>
      <c r="E65" s="0" t="n">
        <v>5</v>
      </c>
      <c r="F65" s="0" t="s">
        <v>191</v>
      </c>
      <c r="G65" s="0" t="n">
        <v>16</v>
      </c>
      <c r="H65" s="0" t="n">
        <v>770.24</v>
      </c>
      <c r="I65" s="0" t="s">
        <v>234</v>
      </c>
      <c r="J65" s="0" t="s">
        <v>235</v>
      </c>
      <c r="K65" s="0" t="s">
        <v>73</v>
      </c>
    </row>
    <row r="66" customFormat="false" ht="15" hidden="false" customHeight="false" outlineLevel="0" collapsed="false">
      <c r="A66" s="0" t="s">
        <v>236</v>
      </c>
      <c r="B66" s="0" t="s">
        <v>237</v>
      </c>
      <c r="C66" s="0" t="n">
        <v>15</v>
      </c>
      <c r="D66" s="0" t="n">
        <v>7.333</v>
      </c>
      <c r="E66" s="0" t="n">
        <v>5</v>
      </c>
      <c r="F66" s="0" t="s">
        <v>191</v>
      </c>
      <c r="G66" s="0" t="n">
        <v>16</v>
      </c>
      <c r="H66" s="0" t="n">
        <v>449.38</v>
      </c>
      <c r="I66" s="0" t="s">
        <v>238</v>
      </c>
      <c r="J66" s="0" t="s">
        <v>235</v>
      </c>
      <c r="K66" s="0" t="s">
        <v>73</v>
      </c>
    </row>
    <row r="67" customFormat="false" ht="15" hidden="false" customHeight="false" outlineLevel="0" collapsed="false">
      <c r="A67" s="5" t="s">
        <v>239</v>
      </c>
    </row>
    <row r="68" customFormat="false" ht="15" hidden="false" customHeight="false" outlineLevel="0" collapsed="false">
      <c r="A68" s="0" t="s">
        <v>240</v>
      </c>
      <c r="B68" s="0" t="s">
        <v>241</v>
      </c>
      <c r="C68" s="0" t="n">
        <v>21.46</v>
      </c>
      <c r="D68" s="0" t="n">
        <v>14.358</v>
      </c>
      <c r="E68" s="0" t="n">
        <v>1</v>
      </c>
      <c r="F68" s="0" t="s">
        <v>95</v>
      </c>
      <c r="G68" s="0" t="n">
        <v>16</v>
      </c>
      <c r="H68" s="0" t="n">
        <v>324.27</v>
      </c>
      <c r="I68" s="0" t="s">
        <v>242</v>
      </c>
      <c r="J68" s="0" t="s">
        <v>243</v>
      </c>
      <c r="K68" s="0" t="s">
        <v>66</v>
      </c>
    </row>
    <row r="69" customFormat="false" ht="15" hidden="false" customHeight="false" outlineLevel="0" collapsed="false">
      <c r="A69" s="0" t="s">
        <v>244</v>
      </c>
      <c r="B69" s="0" t="s">
        <v>245</v>
      </c>
      <c r="C69" s="0" t="n">
        <v>3.853</v>
      </c>
      <c r="D69" s="0" t="n">
        <v>14.358</v>
      </c>
      <c r="E69" s="0" t="n">
        <v>1</v>
      </c>
      <c r="F69" s="0" t="s">
        <v>95</v>
      </c>
      <c r="G69" s="0" t="n">
        <v>16</v>
      </c>
      <c r="H69" s="0" t="n">
        <v>59.24</v>
      </c>
      <c r="I69" s="0" t="s">
        <v>246</v>
      </c>
      <c r="J69" s="0" t="s">
        <v>247</v>
      </c>
      <c r="K69" s="0" t="s">
        <v>66</v>
      </c>
    </row>
    <row r="70" customFormat="false" ht="15" hidden="false" customHeight="false" outlineLevel="0" collapsed="false">
      <c r="A70" s="0" t="s">
        <v>248</v>
      </c>
      <c r="B70" s="0" t="s">
        <v>249</v>
      </c>
      <c r="C70" s="0" t="n">
        <v>48.26</v>
      </c>
      <c r="D70" s="0" t="n">
        <v>13.048</v>
      </c>
      <c r="E70" s="0" t="n">
        <v>1</v>
      </c>
      <c r="F70" s="0" t="s">
        <v>95</v>
      </c>
      <c r="G70" s="0" t="n">
        <v>16</v>
      </c>
      <c r="H70" s="0" t="n">
        <v>632.54</v>
      </c>
      <c r="I70" s="0" t="s">
        <v>250</v>
      </c>
      <c r="J70" s="0" t="s">
        <v>251</v>
      </c>
      <c r="K70" s="0" t="s">
        <v>66</v>
      </c>
    </row>
    <row r="71" customFormat="false" ht="15" hidden="false" customHeight="false" outlineLevel="0" collapsed="false">
      <c r="A71" s="0" t="s">
        <v>252</v>
      </c>
      <c r="B71" s="0" t="s">
        <v>253</v>
      </c>
      <c r="C71" s="0" t="n">
        <v>51.729</v>
      </c>
      <c r="D71" s="0" t="n">
        <v>11.174</v>
      </c>
      <c r="E71" s="0" t="n">
        <v>1</v>
      </c>
      <c r="F71" s="0" t="s">
        <v>95</v>
      </c>
      <c r="G71" s="0" t="n">
        <v>16</v>
      </c>
      <c r="H71" s="0" t="n">
        <v>621.01</v>
      </c>
      <c r="I71" s="0" t="s">
        <v>254</v>
      </c>
      <c r="J71" s="0" t="s">
        <v>255</v>
      </c>
      <c r="K71" s="0" t="s">
        <v>66</v>
      </c>
    </row>
    <row r="72" customFormat="false" ht="15" hidden="false" customHeight="false" outlineLevel="0" collapsed="false">
      <c r="A72" s="0" t="s">
        <v>256</v>
      </c>
      <c r="B72" s="0" t="s">
        <v>257</v>
      </c>
      <c r="C72" s="0" t="n">
        <v>76.22</v>
      </c>
      <c r="D72" s="0" t="n">
        <v>13.529</v>
      </c>
      <c r="E72" s="0" t="n">
        <v>1</v>
      </c>
      <c r="F72" s="0" t="s">
        <v>95</v>
      </c>
      <c r="G72" s="0" t="n">
        <v>16</v>
      </c>
      <c r="H72" s="0" t="n">
        <v>1029.81</v>
      </c>
      <c r="I72" s="0" t="s">
        <v>258</v>
      </c>
      <c r="J72" s="0" t="s">
        <v>259</v>
      </c>
      <c r="K72" s="0" t="s">
        <v>66</v>
      </c>
    </row>
    <row r="73" customFormat="false" ht="15" hidden="false" customHeight="false" outlineLevel="0" collapsed="false">
      <c r="A73" s="0" t="s">
        <v>260</v>
      </c>
      <c r="B73" s="0" t="s">
        <v>261</v>
      </c>
      <c r="C73" s="0" t="n">
        <v>13.607</v>
      </c>
      <c r="D73" s="0" t="n">
        <v>14.358</v>
      </c>
      <c r="E73" s="0" t="n">
        <v>1</v>
      </c>
      <c r="F73" s="0" t="s">
        <v>95</v>
      </c>
      <c r="G73" s="0" t="n">
        <v>16</v>
      </c>
      <c r="H73" s="0" t="n">
        <v>194.34</v>
      </c>
      <c r="I73" s="0" t="s">
        <v>262</v>
      </c>
      <c r="J73" s="0" t="s">
        <v>263</v>
      </c>
      <c r="K73" s="0" t="s">
        <v>66</v>
      </c>
    </row>
    <row r="74" customFormat="false" ht="15" hidden="false" customHeight="false" outlineLevel="0" collapsed="false">
      <c r="A74" s="5" t="s">
        <v>264</v>
      </c>
    </row>
    <row r="75" customFormat="false" ht="15" hidden="false" customHeight="false" outlineLevel="0" collapsed="false">
      <c r="A75" s="0" t="s">
        <v>265</v>
      </c>
      <c r="B75" s="0" t="s">
        <v>266</v>
      </c>
      <c r="C75" s="0" t="n">
        <v>5.667</v>
      </c>
      <c r="D75" s="0" t="n">
        <v>10.604</v>
      </c>
      <c r="E75" s="0" t="n">
        <v>0</v>
      </c>
      <c r="F75" s="0" t="s">
        <v>63</v>
      </c>
      <c r="G75" s="0" t="n">
        <v>16</v>
      </c>
      <c r="H75" s="0" t="n">
        <v>0</v>
      </c>
      <c r="I75" s="0" t="s">
        <v>267</v>
      </c>
      <c r="J75" s="0" t="s">
        <v>268</v>
      </c>
      <c r="K75" s="0" t="s">
        <v>66</v>
      </c>
    </row>
    <row r="76" customFormat="false" ht="15" hidden="false" customHeight="false" outlineLevel="0" collapsed="false">
      <c r="A76" s="0" t="s">
        <v>269</v>
      </c>
      <c r="B76" s="0" t="s">
        <v>270</v>
      </c>
      <c r="C76" s="0" t="n">
        <v>5.667</v>
      </c>
      <c r="D76" s="0" t="n">
        <v>10.604</v>
      </c>
      <c r="E76" s="0" t="n">
        <v>0</v>
      </c>
      <c r="F76" s="0" t="s">
        <v>63</v>
      </c>
      <c r="G76" s="0" t="n">
        <v>16</v>
      </c>
      <c r="H76" s="0" t="n">
        <v>0</v>
      </c>
      <c r="I76" s="0" t="s">
        <v>271</v>
      </c>
      <c r="J76" s="0" t="s">
        <v>268</v>
      </c>
      <c r="K76" s="0" t="s">
        <v>66</v>
      </c>
    </row>
    <row r="77" customFormat="false" ht="15" hidden="false" customHeight="false" outlineLevel="0" collapsed="false">
      <c r="A77" s="0" t="s">
        <v>272</v>
      </c>
      <c r="B77" s="0" t="s">
        <v>273</v>
      </c>
      <c r="C77" s="0" t="n">
        <v>5.667</v>
      </c>
      <c r="D77" s="0" t="n">
        <v>10.604</v>
      </c>
      <c r="E77" s="0" t="n">
        <v>0</v>
      </c>
      <c r="F77" s="0" t="s">
        <v>63</v>
      </c>
      <c r="G77" s="0" t="n">
        <v>16</v>
      </c>
      <c r="H77" s="0" t="n">
        <v>0</v>
      </c>
      <c r="I77" s="0" t="s">
        <v>274</v>
      </c>
      <c r="J77" s="0" t="s">
        <v>268</v>
      </c>
      <c r="K77" s="0" t="s">
        <v>66</v>
      </c>
    </row>
    <row r="78" customFormat="false" ht="15" hidden="false" customHeight="false" outlineLevel="0" collapsed="false">
      <c r="A78" s="0" t="s">
        <v>275</v>
      </c>
      <c r="B78" s="0" t="s">
        <v>276</v>
      </c>
      <c r="C78" s="0" t="n">
        <v>5.667</v>
      </c>
      <c r="D78" s="0" t="n">
        <v>10.604</v>
      </c>
      <c r="E78" s="0" t="n">
        <v>0</v>
      </c>
      <c r="F78" s="0" t="s">
        <v>63</v>
      </c>
      <c r="G78" s="0" t="n">
        <v>16</v>
      </c>
      <c r="H78" s="0" t="n">
        <v>0</v>
      </c>
      <c r="I78" s="0" t="s">
        <v>277</v>
      </c>
      <c r="J78" s="0" t="s">
        <v>268</v>
      </c>
      <c r="K78" s="0" t="s">
        <v>66</v>
      </c>
    </row>
    <row r="79" customFormat="false" ht="15" hidden="false" customHeight="false" outlineLevel="0" collapsed="false">
      <c r="A79" s="5" t="s">
        <v>278</v>
      </c>
    </row>
    <row r="80" customFormat="false" ht="15" hidden="false" customHeight="false" outlineLevel="0" collapsed="false">
      <c r="A80" s="0" t="s">
        <v>279</v>
      </c>
      <c r="B80" s="0" t="s">
        <v>280</v>
      </c>
      <c r="C80" s="0" t="n">
        <v>16.198</v>
      </c>
      <c r="D80" s="0" t="n">
        <v>4.292</v>
      </c>
      <c r="E80" s="0" t="n">
        <v>0</v>
      </c>
      <c r="F80" s="0" t="s">
        <v>95</v>
      </c>
      <c r="G80" s="0" t="n">
        <v>16</v>
      </c>
      <c r="H80" s="0" t="n">
        <v>0</v>
      </c>
      <c r="I80" s="0" t="s">
        <v>280</v>
      </c>
      <c r="J80" s="0" t="s">
        <v>281</v>
      </c>
      <c r="K80" s="0" t="s">
        <v>66</v>
      </c>
    </row>
    <row r="81" customFormat="false" ht="15" hidden="false" customHeight="false" outlineLevel="0" collapsed="false">
      <c r="A81" s="0" t="s">
        <v>282</v>
      </c>
      <c r="B81" s="0" t="s">
        <v>283</v>
      </c>
      <c r="C81" s="0" t="n">
        <v>1.051</v>
      </c>
      <c r="D81" s="0" t="n">
        <v>4.292</v>
      </c>
      <c r="E81" s="0" t="n">
        <v>0</v>
      </c>
      <c r="F81" s="0" t="s">
        <v>95</v>
      </c>
      <c r="G81" s="0" t="n">
        <v>16</v>
      </c>
      <c r="H81" s="0" t="n">
        <v>0</v>
      </c>
      <c r="I81" s="0" t="s">
        <v>283</v>
      </c>
      <c r="J81" s="0" t="s">
        <v>281</v>
      </c>
      <c r="K81" s="0" t="s">
        <v>66</v>
      </c>
    </row>
    <row r="82" customFormat="false" ht="15" hidden="false" customHeight="false" outlineLevel="0" collapsed="false">
      <c r="A82" s="0" t="s">
        <v>284</v>
      </c>
      <c r="B82" s="0" t="s">
        <v>285</v>
      </c>
      <c r="C82" s="0" t="n">
        <v>40</v>
      </c>
      <c r="D82" s="0" t="n">
        <v>2.042</v>
      </c>
      <c r="E82" s="0" t="n">
        <v>0</v>
      </c>
      <c r="F82" s="0" t="s">
        <v>95</v>
      </c>
      <c r="G82" s="0" t="n">
        <v>16</v>
      </c>
      <c r="H82" s="0" t="n">
        <v>0</v>
      </c>
      <c r="I82" s="0" t="s">
        <v>285</v>
      </c>
      <c r="J82" s="0" t="s">
        <v>281</v>
      </c>
      <c r="K82" s="0" t="s">
        <v>66</v>
      </c>
    </row>
    <row r="83" customFormat="false" ht="15" hidden="false" customHeight="false" outlineLevel="0" collapsed="false">
      <c r="A83" s="0" t="s">
        <v>286</v>
      </c>
      <c r="B83" s="0" t="s">
        <v>287</v>
      </c>
      <c r="C83" s="0" t="n">
        <v>75.938</v>
      </c>
      <c r="D83" s="0" t="n">
        <v>2.901</v>
      </c>
      <c r="E83" s="0" t="n">
        <v>0</v>
      </c>
      <c r="F83" s="0" t="s">
        <v>95</v>
      </c>
      <c r="G83" s="0" t="n">
        <v>16</v>
      </c>
      <c r="H83" s="0" t="n">
        <v>0</v>
      </c>
      <c r="I83" s="0" t="s">
        <v>288</v>
      </c>
      <c r="J83" s="0" t="s">
        <v>281</v>
      </c>
      <c r="K83" s="0" t="s">
        <v>66</v>
      </c>
    </row>
    <row r="84" customFormat="false" ht="15" hidden="false" customHeight="false" outlineLevel="0" collapsed="false">
      <c r="A84" s="0" t="s">
        <v>289</v>
      </c>
      <c r="B84" s="0" t="s">
        <v>290</v>
      </c>
      <c r="C84" s="0" t="n">
        <v>52.333</v>
      </c>
      <c r="D84" s="0" t="n">
        <v>4.885</v>
      </c>
      <c r="E84" s="0" t="n">
        <v>0</v>
      </c>
      <c r="F84" s="0" t="s">
        <v>95</v>
      </c>
      <c r="G84" s="0" t="n">
        <v>16</v>
      </c>
      <c r="H84" s="0" t="n">
        <v>0</v>
      </c>
      <c r="I84" s="0" t="s">
        <v>290</v>
      </c>
      <c r="J84" s="0" t="s">
        <v>281</v>
      </c>
      <c r="K84" s="0" t="s">
        <v>66</v>
      </c>
    </row>
    <row r="85" customFormat="false" ht="15" hidden="false" customHeight="false" outlineLevel="0" collapsed="false">
      <c r="A85" s="0" t="s">
        <v>291</v>
      </c>
      <c r="B85" s="0" t="s">
        <v>292</v>
      </c>
      <c r="C85" s="0" t="n">
        <v>47.927</v>
      </c>
      <c r="D85" s="0" t="n">
        <v>3.403</v>
      </c>
      <c r="E85" s="0" t="n">
        <v>0</v>
      </c>
      <c r="F85" s="0" t="s">
        <v>95</v>
      </c>
      <c r="G85" s="0" t="n">
        <v>16</v>
      </c>
      <c r="H85" s="0" t="n">
        <v>0</v>
      </c>
      <c r="I85" s="0" t="s">
        <v>293</v>
      </c>
      <c r="J85" s="0" t="s">
        <v>281</v>
      </c>
      <c r="K85" s="0" t="s">
        <v>66</v>
      </c>
    </row>
    <row r="86" customFormat="false" ht="15" hidden="false" customHeight="false" outlineLevel="0" collapsed="false">
      <c r="A86" s="0" t="s">
        <v>294</v>
      </c>
      <c r="B86" s="0" t="s">
        <v>295</v>
      </c>
      <c r="C86" s="0" t="n">
        <v>3.865</v>
      </c>
      <c r="D86" s="0" t="n">
        <v>4.292</v>
      </c>
      <c r="E86" s="0" t="n">
        <v>0</v>
      </c>
      <c r="F86" s="0" t="s">
        <v>95</v>
      </c>
      <c r="G86" s="0" t="n">
        <v>16</v>
      </c>
      <c r="H86" s="0" t="n">
        <v>0</v>
      </c>
      <c r="I86" s="0" t="s">
        <v>295</v>
      </c>
      <c r="J86" s="0" t="s">
        <v>281</v>
      </c>
      <c r="K86" s="0" t="s">
        <v>66</v>
      </c>
    </row>
    <row r="87" customFormat="false" ht="15" hidden="false" customHeight="false" outlineLevel="0" collapsed="false">
      <c r="A87" s="0" t="s">
        <v>296</v>
      </c>
      <c r="B87" s="0" t="s">
        <v>297</v>
      </c>
      <c r="C87" s="0" t="n">
        <v>29.061</v>
      </c>
      <c r="D87" s="0" t="n">
        <v>4.292</v>
      </c>
      <c r="E87" s="0" t="n">
        <v>0</v>
      </c>
      <c r="F87" s="0" t="s">
        <v>95</v>
      </c>
      <c r="G87" s="0" t="n">
        <v>16</v>
      </c>
      <c r="H87" s="0" t="n">
        <v>0</v>
      </c>
      <c r="I87" s="0" t="s">
        <v>297</v>
      </c>
      <c r="J87" s="0" t="s">
        <v>281</v>
      </c>
      <c r="K87" s="0" t="s">
        <v>66</v>
      </c>
    </row>
    <row r="88" customFormat="false" ht="15" hidden="false" customHeight="false" outlineLevel="0" collapsed="false">
      <c r="B88" s="6" t="s">
        <v>298</v>
      </c>
      <c r="C88" s="4" t="n">
        <f aca="false">SUM(C5:C87)</f>
        <v>947.67</v>
      </c>
      <c r="H88" s="4" t="n">
        <f aca="false">SUM(H5:H87)</f>
        <v>15716.61</v>
      </c>
    </row>
    <row r="90" customFormat="false" ht="15" hidden="false" customHeight="false" outlineLevel="0" collapsed="false">
      <c r="A90" s="5" t="s">
        <v>299</v>
      </c>
    </row>
    <row r="91" customFormat="false" ht="15" hidden="false" customHeight="false" outlineLevel="0" collapsed="false">
      <c r="A91" s="0" t="s">
        <v>300</v>
      </c>
      <c r="B91" s="0" t="s">
        <v>301</v>
      </c>
      <c r="C91" s="0" t="n">
        <v>6.44</v>
      </c>
      <c r="D91" s="0" t="n">
        <v>7.375</v>
      </c>
      <c r="E91" s="0" t="n">
        <v>1</v>
      </c>
      <c r="F91" s="0" t="s">
        <v>63</v>
      </c>
      <c r="G91" s="0" t="n">
        <v>16</v>
      </c>
      <c r="H91" s="0" t="n">
        <v>9.66</v>
      </c>
      <c r="I91" s="0" t="s">
        <v>302</v>
      </c>
      <c r="J91" s="0" t="s">
        <v>303</v>
      </c>
      <c r="K91" s="0" t="s">
        <v>66</v>
      </c>
    </row>
    <row r="92" customFormat="false" ht="15" hidden="false" customHeight="false" outlineLevel="0" collapsed="false">
      <c r="A92" s="0" t="s">
        <v>304</v>
      </c>
      <c r="B92" s="0" t="s">
        <v>305</v>
      </c>
      <c r="C92" s="0" t="n">
        <v>5.573</v>
      </c>
      <c r="D92" s="0" t="n">
        <v>5.052</v>
      </c>
      <c r="E92" s="0" t="n">
        <v>1</v>
      </c>
      <c r="F92" s="0" t="s">
        <v>63</v>
      </c>
      <c r="G92" s="0" t="n">
        <v>16</v>
      </c>
      <c r="H92" s="0" t="n">
        <v>8.36</v>
      </c>
      <c r="I92" s="0" t="s">
        <v>302</v>
      </c>
      <c r="J92" s="0" t="s">
        <v>303</v>
      </c>
      <c r="K92" s="0" t="s">
        <v>66</v>
      </c>
    </row>
    <row r="93" customFormat="false" ht="15" hidden="false" customHeight="false" outlineLevel="0" collapsed="false">
      <c r="A93" s="0" t="s">
        <v>306</v>
      </c>
      <c r="B93" s="0" t="s">
        <v>307</v>
      </c>
      <c r="C93" s="0" t="n">
        <v>6.44</v>
      </c>
      <c r="D93" s="0" t="n">
        <v>7.375</v>
      </c>
      <c r="E93" s="0" t="n">
        <v>1</v>
      </c>
      <c r="F93" s="0" t="s">
        <v>63</v>
      </c>
      <c r="G93" s="0" t="n">
        <v>16</v>
      </c>
      <c r="H93" s="0" t="n">
        <v>9.66</v>
      </c>
      <c r="I93" s="0" t="s">
        <v>308</v>
      </c>
      <c r="J93" s="0" t="s">
        <v>303</v>
      </c>
      <c r="K93" s="0" t="s">
        <v>66</v>
      </c>
    </row>
    <row r="94" customFormat="false" ht="15" hidden="false" customHeight="false" outlineLevel="0" collapsed="false">
      <c r="A94" s="0" t="s">
        <v>309</v>
      </c>
      <c r="B94" s="0" t="s">
        <v>310</v>
      </c>
      <c r="C94" s="0" t="n">
        <v>5.573</v>
      </c>
      <c r="D94" s="0" t="n">
        <v>5.052</v>
      </c>
      <c r="E94" s="0" t="n">
        <v>1</v>
      </c>
      <c r="F94" s="0" t="s">
        <v>63</v>
      </c>
      <c r="G94" s="0" t="n">
        <v>16</v>
      </c>
      <c r="H94" s="0" t="n">
        <v>8.36</v>
      </c>
      <c r="I94" s="0" t="s">
        <v>308</v>
      </c>
      <c r="J94" s="0" t="s">
        <v>303</v>
      </c>
      <c r="K94" s="0" t="s">
        <v>66</v>
      </c>
    </row>
    <row r="95" customFormat="false" ht="15" hidden="false" customHeight="false" outlineLevel="0" collapsed="false">
      <c r="A95" s="0" t="s">
        <v>311</v>
      </c>
      <c r="B95" s="0" t="s">
        <v>312</v>
      </c>
      <c r="C95" s="0" t="n">
        <v>17.027</v>
      </c>
      <c r="D95" s="0" t="n">
        <v>4.375</v>
      </c>
      <c r="E95" s="0" t="n">
        <v>1</v>
      </c>
      <c r="F95" s="0" t="s">
        <v>63</v>
      </c>
      <c r="G95" s="0" t="n">
        <v>16</v>
      </c>
      <c r="H95" s="0" t="n">
        <v>17.03</v>
      </c>
      <c r="I95" s="0" t="s">
        <v>302</v>
      </c>
      <c r="J95" s="0" t="s">
        <v>313</v>
      </c>
      <c r="K95" s="0" t="s">
        <v>66</v>
      </c>
    </row>
    <row r="96" customFormat="false" ht="15" hidden="false" customHeight="false" outlineLevel="0" collapsed="false">
      <c r="A96" s="0" t="s">
        <v>314</v>
      </c>
      <c r="B96" s="0" t="s">
        <v>315</v>
      </c>
      <c r="C96" s="0" t="n">
        <v>16.926</v>
      </c>
      <c r="D96" s="0" t="n">
        <v>4.375</v>
      </c>
      <c r="E96" s="0" t="n">
        <v>1</v>
      </c>
      <c r="F96" s="0" t="s">
        <v>63</v>
      </c>
      <c r="G96" s="0" t="n">
        <v>16</v>
      </c>
      <c r="H96" s="0" t="n">
        <v>16.93</v>
      </c>
      <c r="I96" s="0" t="s">
        <v>302</v>
      </c>
      <c r="J96" s="0" t="s">
        <v>313</v>
      </c>
      <c r="K96" s="0" t="s">
        <v>66</v>
      </c>
    </row>
    <row r="97" customFormat="false" ht="15" hidden="false" customHeight="false" outlineLevel="0" collapsed="false">
      <c r="A97" s="0" t="s">
        <v>316</v>
      </c>
      <c r="B97" s="0" t="s">
        <v>317</v>
      </c>
      <c r="C97" s="0" t="n">
        <v>13.074</v>
      </c>
      <c r="D97" s="0" t="n">
        <v>4.375</v>
      </c>
      <c r="E97" s="0" t="n">
        <v>1</v>
      </c>
      <c r="F97" s="0" t="s">
        <v>63</v>
      </c>
      <c r="G97" s="0" t="n">
        <v>16</v>
      </c>
      <c r="H97" s="0" t="n">
        <v>13.07</v>
      </c>
      <c r="I97" s="0" t="s">
        <v>302</v>
      </c>
      <c r="J97" s="0" t="s">
        <v>313</v>
      </c>
      <c r="K97" s="0" t="s">
        <v>66</v>
      </c>
    </row>
    <row r="98" customFormat="false" ht="15" hidden="false" customHeight="false" outlineLevel="0" collapsed="false">
      <c r="A98" s="0" t="s">
        <v>318</v>
      </c>
      <c r="B98" s="0" t="s">
        <v>319</v>
      </c>
      <c r="C98" s="0" t="n">
        <v>16.926</v>
      </c>
      <c r="D98" s="0" t="n">
        <v>4.375</v>
      </c>
      <c r="E98" s="0" t="n">
        <v>1</v>
      </c>
      <c r="F98" s="0" t="s">
        <v>63</v>
      </c>
      <c r="G98" s="0" t="n">
        <v>16</v>
      </c>
      <c r="H98" s="0" t="n">
        <v>16.93</v>
      </c>
      <c r="I98" s="0" t="s">
        <v>302</v>
      </c>
      <c r="J98" s="0" t="s">
        <v>313</v>
      </c>
      <c r="K98" s="0" t="s">
        <v>66</v>
      </c>
    </row>
    <row r="99" customFormat="false" ht="15" hidden="false" customHeight="false" outlineLevel="0" collapsed="false">
      <c r="A99" s="0" t="s">
        <v>320</v>
      </c>
      <c r="B99" s="0" t="s">
        <v>321</v>
      </c>
      <c r="C99" s="0" t="n">
        <v>13.074</v>
      </c>
      <c r="D99" s="0" t="n">
        <v>4.375</v>
      </c>
      <c r="E99" s="0" t="n">
        <v>1</v>
      </c>
      <c r="F99" s="0" t="s">
        <v>63</v>
      </c>
      <c r="G99" s="0" t="n">
        <v>16</v>
      </c>
      <c r="H99" s="0" t="n">
        <v>13.07</v>
      </c>
      <c r="I99" s="0" t="s">
        <v>302</v>
      </c>
      <c r="J99" s="0" t="s">
        <v>313</v>
      </c>
      <c r="K99" s="0" t="s">
        <v>66</v>
      </c>
    </row>
    <row r="100" customFormat="false" ht="15" hidden="false" customHeight="false" outlineLevel="0" collapsed="false">
      <c r="A100" s="0" t="s">
        <v>322</v>
      </c>
      <c r="B100" s="0" t="s">
        <v>323</v>
      </c>
      <c r="C100" s="0" t="n">
        <v>5.091</v>
      </c>
      <c r="D100" s="0" t="n">
        <v>6.375</v>
      </c>
      <c r="E100" s="0" t="n">
        <v>2</v>
      </c>
      <c r="F100" s="0" t="s">
        <v>63</v>
      </c>
      <c r="G100" s="0" t="n">
        <v>16</v>
      </c>
      <c r="H100" s="0" t="n">
        <v>19.88</v>
      </c>
      <c r="I100" s="0" t="s">
        <v>302</v>
      </c>
      <c r="J100" s="0" t="s">
        <v>313</v>
      </c>
      <c r="K100" s="0" t="s">
        <v>66</v>
      </c>
    </row>
    <row r="101" customFormat="false" ht="15" hidden="false" customHeight="false" outlineLevel="0" collapsed="false">
      <c r="A101" s="0" t="s">
        <v>324</v>
      </c>
      <c r="B101" s="0" t="s">
        <v>325</v>
      </c>
      <c r="C101" s="0" t="n">
        <v>12.562</v>
      </c>
      <c r="D101" s="0" t="n">
        <v>4.983</v>
      </c>
      <c r="E101" s="0" t="n">
        <v>1</v>
      </c>
      <c r="F101" s="0" t="s">
        <v>95</v>
      </c>
      <c r="G101" s="0" t="n">
        <v>16</v>
      </c>
      <c r="H101" s="0" t="n">
        <v>86.37</v>
      </c>
      <c r="I101" s="0" t="s">
        <v>326</v>
      </c>
      <c r="J101" s="0" t="s">
        <v>327</v>
      </c>
      <c r="K101" s="0" t="s">
        <v>73</v>
      </c>
    </row>
    <row r="102" customFormat="false" ht="15" hidden="false" customHeight="false" outlineLevel="0" collapsed="false">
      <c r="A102" s="0" t="s">
        <v>328</v>
      </c>
      <c r="B102" s="0" t="s">
        <v>329</v>
      </c>
      <c r="C102" s="0" t="n">
        <v>26.25</v>
      </c>
      <c r="D102" s="0" t="n">
        <v>4.525</v>
      </c>
      <c r="E102" s="0" t="n">
        <v>1</v>
      </c>
      <c r="F102" s="0" t="s">
        <v>95</v>
      </c>
      <c r="G102" s="0" t="n">
        <v>16</v>
      </c>
      <c r="H102" s="0" t="n">
        <v>180.47</v>
      </c>
      <c r="I102" s="0" t="s">
        <v>330</v>
      </c>
      <c r="J102" s="0" t="s">
        <v>327</v>
      </c>
      <c r="K102" s="0" t="s">
        <v>73</v>
      </c>
    </row>
    <row r="103" customFormat="false" ht="15" hidden="false" customHeight="false" outlineLevel="0" collapsed="false">
      <c r="A103" s="0" t="s">
        <v>331</v>
      </c>
      <c r="B103" s="0" t="s">
        <v>332</v>
      </c>
      <c r="C103" s="0" t="n">
        <v>6.5</v>
      </c>
      <c r="D103" s="0" t="n">
        <v>4.983</v>
      </c>
      <c r="E103" s="0" t="n">
        <v>1</v>
      </c>
      <c r="F103" s="0" t="s">
        <v>95</v>
      </c>
      <c r="G103" s="0" t="n">
        <v>16</v>
      </c>
      <c r="H103" s="0" t="n">
        <v>44.69</v>
      </c>
      <c r="I103" s="0" t="s">
        <v>333</v>
      </c>
      <c r="J103" s="0" t="s">
        <v>327</v>
      </c>
      <c r="K103" s="0" t="s">
        <v>73</v>
      </c>
    </row>
    <row r="104" customFormat="false" ht="15" hidden="false" customHeight="false" outlineLevel="0" collapsed="false">
      <c r="A104" s="0" t="s">
        <v>334</v>
      </c>
      <c r="B104" s="0" t="s">
        <v>335</v>
      </c>
      <c r="C104" s="0" t="n">
        <v>15.646</v>
      </c>
      <c r="D104" s="0" t="n">
        <v>5.375</v>
      </c>
      <c r="E104" s="0" t="n">
        <v>0</v>
      </c>
      <c r="F104" s="0" t="s">
        <v>63</v>
      </c>
      <c r="G104" s="0" t="n">
        <v>16</v>
      </c>
      <c r="H104" s="0" t="n">
        <v>0</v>
      </c>
      <c r="I104" s="0" t="s">
        <v>336</v>
      </c>
      <c r="J104" s="0" t="s">
        <v>337</v>
      </c>
      <c r="K104" s="0" t="s">
        <v>66</v>
      </c>
    </row>
    <row r="105" customFormat="false" ht="15" hidden="false" customHeight="false" outlineLevel="0" collapsed="false">
      <c r="A105" s="0" t="s">
        <v>338</v>
      </c>
      <c r="B105" s="0" t="s">
        <v>339</v>
      </c>
      <c r="C105" s="0" t="n">
        <v>6.417</v>
      </c>
      <c r="D105" s="0" t="n">
        <v>4.383</v>
      </c>
      <c r="E105" s="0" t="n">
        <v>1</v>
      </c>
      <c r="F105" s="0" t="s">
        <v>63</v>
      </c>
      <c r="G105" s="0" t="n">
        <v>16</v>
      </c>
      <c r="H105" s="0" t="n">
        <v>9.62</v>
      </c>
      <c r="I105" s="0" t="s">
        <v>340</v>
      </c>
      <c r="J105" s="0" t="s">
        <v>341</v>
      </c>
      <c r="K105" s="0" t="s">
        <v>66</v>
      </c>
    </row>
    <row r="106" customFormat="false" ht="15" hidden="false" customHeight="false" outlineLevel="0" collapsed="false">
      <c r="A106" s="0" t="s">
        <v>342</v>
      </c>
      <c r="B106" s="0" t="s">
        <v>343</v>
      </c>
      <c r="C106" s="0" t="n">
        <v>51.833</v>
      </c>
      <c r="D106" s="0" t="n">
        <v>3.113</v>
      </c>
      <c r="E106" s="0" t="n">
        <v>0</v>
      </c>
      <c r="F106" s="0" t="s">
        <v>63</v>
      </c>
      <c r="G106" s="0" t="n">
        <v>16</v>
      </c>
      <c r="H106" s="0" t="n">
        <v>0</v>
      </c>
      <c r="I106" s="0" t="s">
        <v>344</v>
      </c>
      <c r="J106" s="0" t="s">
        <v>345</v>
      </c>
      <c r="K106" s="0" t="s">
        <v>66</v>
      </c>
    </row>
    <row r="107" customFormat="false" ht="15" hidden="false" customHeight="false" outlineLevel="0" collapsed="false">
      <c r="A107" s="0" t="s">
        <v>346</v>
      </c>
      <c r="B107" s="0" t="s">
        <v>347</v>
      </c>
      <c r="C107" s="0" t="n">
        <v>51.833</v>
      </c>
      <c r="D107" s="0" t="n">
        <v>3.46</v>
      </c>
      <c r="E107" s="0" t="n">
        <v>1</v>
      </c>
      <c r="F107" s="0" t="s">
        <v>63</v>
      </c>
      <c r="G107" s="0" t="n">
        <v>16</v>
      </c>
      <c r="H107" s="0" t="n">
        <v>179.34</v>
      </c>
      <c r="I107" s="0" t="s">
        <v>348</v>
      </c>
      <c r="J107" s="0" t="s">
        <v>345</v>
      </c>
      <c r="K107" s="0" t="s">
        <v>66</v>
      </c>
    </row>
    <row r="108" customFormat="false" ht="15" hidden="false" customHeight="false" outlineLevel="0" collapsed="false">
      <c r="A108" s="0" t="s">
        <v>349</v>
      </c>
      <c r="B108" s="0" t="s">
        <v>350</v>
      </c>
      <c r="C108" s="0" t="n">
        <v>51.833</v>
      </c>
      <c r="D108" s="0" t="n">
        <v>1.131</v>
      </c>
      <c r="E108" s="0" t="n">
        <v>2</v>
      </c>
      <c r="F108" s="0" t="s">
        <v>63</v>
      </c>
      <c r="G108" s="0" t="n">
        <v>16</v>
      </c>
      <c r="H108" s="0" t="n">
        <v>125.55</v>
      </c>
      <c r="I108" s="0" t="s">
        <v>351</v>
      </c>
      <c r="J108" s="0" t="s">
        <v>345</v>
      </c>
      <c r="K108" s="0" t="s">
        <v>66</v>
      </c>
    </row>
    <row r="109" customFormat="false" ht="15" hidden="false" customHeight="false" outlineLevel="0" collapsed="false">
      <c r="A109" s="0" t="s">
        <v>352</v>
      </c>
      <c r="B109" s="0" t="s">
        <v>353</v>
      </c>
      <c r="C109" s="0" t="n">
        <v>78.167</v>
      </c>
      <c r="D109" s="0" t="n">
        <v>1.865</v>
      </c>
      <c r="E109" s="0" t="n">
        <v>0</v>
      </c>
      <c r="F109" s="0" t="s">
        <v>63</v>
      </c>
      <c r="G109" s="0" t="n">
        <v>16</v>
      </c>
      <c r="H109" s="0" t="n">
        <v>0</v>
      </c>
      <c r="I109" s="0" t="s">
        <v>354</v>
      </c>
      <c r="J109" s="0" t="s">
        <v>355</v>
      </c>
      <c r="K109" s="0" t="s">
        <v>66</v>
      </c>
    </row>
    <row r="110" customFormat="false" ht="15" hidden="false" customHeight="false" outlineLevel="0" collapsed="false">
      <c r="A110" s="0" t="s">
        <v>356</v>
      </c>
      <c r="B110" s="0" t="s">
        <v>357</v>
      </c>
      <c r="C110" s="0" t="n">
        <v>77.021</v>
      </c>
      <c r="D110" s="0" t="n">
        <v>1.865</v>
      </c>
      <c r="E110" s="0" t="n">
        <v>0</v>
      </c>
      <c r="F110" s="0" t="s">
        <v>63</v>
      </c>
      <c r="G110" s="0" t="n">
        <v>16</v>
      </c>
      <c r="H110" s="0" t="n">
        <v>0</v>
      </c>
      <c r="I110" s="0" t="s">
        <v>358</v>
      </c>
      <c r="J110" s="0" t="s">
        <v>359</v>
      </c>
      <c r="K110" s="0" t="s">
        <v>66</v>
      </c>
    </row>
    <row r="111" customFormat="false" ht="15" hidden="false" customHeight="false" outlineLevel="0" collapsed="false">
      <c r="A111" s="0" t="s">
        <v>360</v>
      </c>
      <c r="B111" s="0" t="s">
        <v>361</v>
      </c>
      <c r="C111" s="0" t="n">
        <v>54.583</v>
      </c>
      <c r="D111" s="0" t="n">
        <v>1.865</v>
      </c>
      <c r="E111" s="0" t="n">
        <v>0</v>
      </c>
      <c r="F111" s="0" t="s">
        <v>63</v>
      </c>
      <c r="G111" s="0" t="n">
        <v>16</v>
      </c>
      <c r="H111" s="0" t="n">
        <v>0</v>
      </c>
      <c r="I111" s="0" t="s">
        <v>362</v>
      </c>
      <c r="J111" s="0" t="s">
        <v>363</v>
      </c>
      <c r="K111" s="0" t="s">
        <v>66</v>
      </c>
    </row>
    <row r="112" customFormat="false" ht="15" hidden="false" customHeight="false" outlineLevel="0" collapsed="false">
      <c r="A112" s="0" t="s">
        <v>364</v>
      </c>
      <c r="B112" s="0" t="s">
        <v>365</v>
      </c>
      <c r="C112" s="0" t="n">
        <v>28</v>
      </c>
      <c r="D112" s="0" t="n">
        <v>1.865</v>
      </c>
      <c r="E112" s="0" t="n">
        <v>0</v>
      </c>
      <c r="F112" s="0" t="s">
        <v>63</v>
      </c>
      <c r="G112" s="0" t="n">
        <v>16</v>
      </c>
      <c r="H112" s="0" t="n">
        <v>0</v>
      </c>
      <c r="I112" s="0" t="s">
        <v>366</v>
      </c>
      <c r="J112" s="0" t="s">
        <v>367</v>
      </c>
      <c r="K112" s="0" t="s">
        <v>66</v>
      </c>
    </row>
    <row r="113" customFormat="false" ht="15" hidden="false" customHeight="false" outlineLevel="0" collapsed="false">
      <c r="A113" s="0" t="s">
        <v>368</v>
      </c>
      <c r="B113" s="0" t="s">
        <v>369</v>
      </c>
      <c r="C113" s="0" t="n">
        <v>13.333</v>
      </c>
      <c r="D113" s="0" t="n">
        <v>2</v>
      </c>
      <c r="E113" s="0" t="n">
        <v>3</v>
      </c>
      <c r="F113" s="0" t="s">
        <v>370</v>
      </c>
      <c r="G113" s="0" t="n">
        <v>16</v>
      </c>
      <c r="H113" s="0" t="n">
        <v>44.44</v>
      </c>
      <c r="I113" s="0" t="s">
        <v>371</v>
      </c>
      <c r="J113" s="0" t="s">
        <v>372</v>
      </c>
      <c r="K113" s="0" t="s">
        <v>66</v>
      </c>
    </row>
    <row r="114" customFormat="false" ht="15" hidden="false" customHeight="false" outlineLevel="0" collapsed="false">
      <c r="A114" s="0" t="s">
        <v>373</v>
      </c>
      <c r="B114" s="0" t="s">
        <v>374</v>
      </c>
      <c r="C114" s="0" t="n">
        <v>7.47</v>
      </c>
      <c r="D114" s="0" t="n">
        <v>12.191</v>
      </c>
      <c r="E114" s="0" t="n">
        <v>2</v>
      </c>
      <c r="F114" s="0" t="s">
        <v>63</v>
      </c>
      <c r="G114" s="0" t="n">
        <v>16</v>
      </c>
      <c r="H114" s="0" t="n">
        <v>134.48</v>
      </c>
      <c r="I114" s="0" t="s">
        <v>375</v>
      </c>
      <c r="J114" s="0" t="s">
        <v>65</v>
      </c>
      <c r="K114" s="0" t="s">
        <v>66</v>
      </c>
    </row>
    <row r="115" customFormat="false" ht="15" hidden="false" customHeight="false" outlineLevel="0" collapsed="false">
      <c r="A115" s="0" t="s">
        <v>376</v>
      </c>
      <c r="B115" s="0" t="s">
        <v>377</v>
      </c>
      <c r="C115" s="0" t="n">
        <v>0.333</v>
      </c>
      <c r="D115" s="0" t="n">
        <v>14.383</v>
      </c>
      <c r="E115" s="0" t="n">
        <v>8.66</v>
      </c>
      <c r="F115" s="0" t="s">
        <v>191</v>
      </c>
      <c r="G115" s="0" t="n">
        <v>16</v>
      </c>
      <c r="H115" s="0" t="n">
        <v>41.06</v>
      </c>
      <c r="I115" s="0" t="s">
        <v>378</v>
      </c>
      <c r="J115" s="0" t="s">
        <v>193</v>
      </c>
      <c r="K115" s="0" t="s">
        <v>73</v>
      </c>
    </row>
    <row r="116" customFormat="false" ht="15" hidden="false" customHeight="false" outlineLevel="0" collapsed="false">
      <c r="A116" s="0" t="s">
        <v>379</v>
      </c>
      <c r="B116" s="0" t="s">
        <v>380</v>
      </c>
      <c r="C116" s="0" t="n">
        <v>0.333</v>
      </c>
      <c r="D116" s="0" t="n">
        <v>15.375</v>
      </c>
      <c r="E116" s="0" t="n">
        <v>4</v>
      </c>
      <c r="F116" s="0" t="s">
        <v>191</v>
      </c>
      <c r="G116" s="0" t="n">
        <v>16</v>
      </c>
      <c r="H116" s="0" t="n">
        <v>20.5</v>
      </c>
      <c r="I116" s="0" t="s">
        <v>381</v>
      </c>
      <c r="J116" s="0" t="s">
        <v>193</v>
      </c>
      <c r="K116" s="0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382</v>
      </c>
    </row>
    <row r="2" customFormat="false" ht="15" hidden="false" customHeight="false" outlineLevel="0" collapsed="false">
      <c r="A2" s="0" t="s">
        <v>383</v>
      </c>
    </row>
    <row r="3" customFormat="false" ht="15" hidden="false" customHeight="false" outlineLevel="0" collapsed="false">
      <c r="A3" s="2" t="s">
        <v>384</v>
      </c>
      <c r="B3" s="2" t="s">
        <v>385</v>
      </c>
      <c r="C3" s="2" t="s">
        <v>386</v>
      </c>
      <c r="D3" s="2" t="s">
        <v>387</v>
      </c>
      <c r="E3" s="2" t="s">
        <v>388</v>
      </c>
      <c r="F3" s="2" t="s">
        <v>389</v>
      </c>
      <c r="G3" s="2" t="s">
        <v>390</v>
      </c>
      <c r="H3" s="2" t="s">
        <v>391</v>
      </c>
      <c r="I3" s="2" t="s">
        <v>392</v>
      </c>
      <c r="J3" s="2" t="s">
        <v>393</v>
      </c>
    </row>
    <row r="4" customFormat="false" ht="15" hidden="false" customHeight="false" outlineLevel="0" collapsed="false">
      <c r="A4" s="0" t="s">
        <v>394</v>
      </c>
      <c r="B4" s="0" t="s">
        <v>395</v>
      </c>
      <c r="C4" s="0" t="n">
        <v>4645.06</v>
      </c>
      <c r="D4" s="0" t="n">
        <f aca="false">Inputs!$B$5</f>
        <v>0.15</v>
      </c>
      <c r="E4" s="0" t="n">
        <f aca="false">C4*D4</f>
        <v>696.759</v>
      </c>
      <c r="F4" s="0" t="n">
        <f aca="false">C4+E4</f>
        <v>5341.819</v>
      </c>
      <c r="G4" s="0" t="s">
        <v>396</v>
      </c>
      <c r="H4" s="0" t="n">
        <f aca="false">ROUNDUP(F4/Inputs!$B$10,0)</f>
        <v>268</v>
      </c>
      <c r="I4" s="0" t="s">
        <v>397</v>
      </c>
    </row>
    <row r="5" customFormat="false" ht="15" hidden="false" customHeight="false" outlineLevel="0" collapsed="false">
      <c r="A5" s="0" t="s">
        <v>398</v>
      </c>
      <c r="B5" s="0" t="s">
        <v>395</v>
      </c>
      <c r="C5" s="0" t="n">
        <v>6749.04</v>
      </c>
      <c r="D5" s="0" t="n">
        <f aca="false">Inputs!$B$5</f>
        <v>0.15</v>
      </c>
      <c r="E5" s="0" t="n">
        <f aca="false">C5*D5</f>
        <v>1012.356</v>
      </c>
      <c r="F5" s="0" t="n">
        <f aca="false">C5+E5</f>
        <v>7761.396</v>
      </c>
      <c r="G5" s="0" t="s">
        <v>396</v>
      </c>
      <c r="H5" s="0" t="n">
        <f aca="false">ROUNDUP(F5/Inputs!$B$10,0)</f>
        <v>389</v>
      </c>
      <c r="I5" s="0" t="s">
        <v>399</v>
      </c>
    </row>
    <row r="6" customFormat="false" ht="15" hidden="false" customHeight="false" outlineLevel="0" collapsed="false">
      <c r="A6" s="0" t="s">
        <v>400</v>
      </c>
      <c r="B6" s="0" t="s">
        <v>395</v>
      </c>
      <c r="C6" s="0" t="n">
        <v>4034.64</v>
      </c>
      <c r="D6" s="0" t="n">
        <f aca="false">Inputs!$B$5</f>
        <v>0.15</v>
      </c>
      <c r="E6" s="0" t="n">
        <f aca="false">C6*D6</f>
        <v>605.196</v>
      </c>
      <c r="F6" s="0" t="n">
        <f aca="false">C6+E6</f>
        <v>4639.836</v>
      </c>
      <c r="G6" s="0" t="s">
        <v>396</v>
      </c>
      <c r="H6" s="0" t="n">
        <f aca="false">ROUNDUP(F6/Inputs!$B$10,0)</f>
        <v>232</v>
      </c>
      <c r="I6" s="0" t="s">
        <v>401</v>
      </c>
    </row>
    <row r="7" customFormat="false" ht="15" hidden="false" customHeight="false" outlineLevel="0" collapsed="false">
      <c r="A7" s="0" t="s">
        <v>402</v>
      </c>
      <c r="B7" s="0" t="s">
        <v>395</v>
      </c>
      <c r="C7" s="0" t="n">
        <v>992.89</v>
      </c>
      <c r="D7" s="0" t="n">
        <f aca="false">Inputs!$B$5</f>
        <v>0.15</v>
      </c>
      <c r="E7" s="0" t="n">
        <f aca="false">C7*D7</f>
        <v>148.9335</v>
      </c>
      <c r="F7" s="0" t="n">
        <f aca="false">C7+E7</f>
        <v>1141.8235</v>
      </c>
      <c r="G7" s="0" t="s">
        <v>396</v>
      </c>
      <c r="H7" s="0" t="n">
        <f aca="false">ROUNDUP(F7/Inputs!$B$10,0)</f>
        <v>58</v>
      </c>
      <c r="I7" s="0" t="s">
        <v>403</v>
      </c>
    </row>
    <row r="8" customFormat="false" ht="15" hidden="false" customHeight="false" outlineLevel="0" collapsed="false">
      <c r="A8" s="0" t="s">
        <v>404</v>
      </c>
      <c r="B8" s="0" t="s">
        <v>395</v>
      </c>
      <c r="C8" s="0" t="n">
        <v>1278.95</v>
      </c>
      <c r="D8" s="0" t="n">
        <f aca="false">Inputs!$B$5</f>
        <v>0.15</v>
      </c>
      <c r="E8" s="0" t="n">
        <f aca="false">C8*D8</f>
        <v>191.8425</v>
      </c>
      <c r="F8" s="0" t="n">
        <f aca="false">C8+E8</f>
        <v>1470.7925</v>
      </c>
      <c r="G8" s="0" t="s">
        <v>405</v>
      </c>
      <c r="H8" s="0" t="n">
        <f aca="false">ROUNDUP(F8/Inputs!$B$11,0)</f>
        <v>148</v>
      </c>
      <c r="I8" s="0" t="s">
        <v>406</v>
      </c>
    </row>
    <row r="9" customFormat="false" ht="15" hidden="false" customHeight="false" outlineLevel="0" collapsed="false">
      <c r="A9" s="0" t="s">
        <v>407</v>
      </c>
      <c r="B9" s="0" t="s">
        <v>395</v>
      </c>
      <c r="C9" s="0" t="n">
        <v>2512.69</v>
      </c>
      <c r="D9" s="0" t="n">
        <f aca="false">Inputs!$B$5</f>
        <v>0.15</v>
      </c>
      <c r="E9" s="0" t="n">
        <f aca="false">C9*D9</f>
        <v>376.9035</v>
      </c>
      <c r="F9" s="0" t="n">
        <f aca="false">C9+E9</f>
        <v>2889.5935</v>
      </c>
      <c r="G9" s="0" t="s">
        <v>408</v>
      </c>
      <c r="H9" s="0" t="n">
        <f aca="false">ROUNDUP(F9/Inputs!$B$16,0)</f>
        <v>181</v>
      </c>
      <c r="I9" s="0" t="s">
        <v>409</v>
      </c>
    </row>
    <row r="10" customFormat="false" ht="15" hidden="false" customHeight="false" outlineLevel="0" collapsed="false">
      <c r="A10" s="0" t="s">
        <v>410</v>
      </c>
      <c r="B10" s="0" t="s">
        <v>395</v>
      </c>
      <c r="C10" s="0" t="n">
        <v>182.18</v>
      </c>
      <c r="D10" s="0" t="n">
        <f aca="false">Inputs!$B$5</f>
        <v>0.15</v>
      </c>
      <c r="E10" s="0" t="n">
        <f aca="false">C10*D10</f>
        <v>27.327</v>
      </c>
      <c r="F10" s="0" t="n">
        <f aca="false">C10+E10</f>
        <v>209.507</v>
      </c>
      <c r="G10" s="0" t="s">
        <v>405</v>
      </c>
      <c r="H10" s="0" t="n">
        <f aca="false">ROUNDUP(F10/Inputs!$B$11,0)</f>
        <v>21</v>
      </c>
      <c r="I10" s="0" t="s">
        <v>411</v>
      </c>
    </row>
    <row r="11" customFormat="false" ht="15" hidden="false" customHeight="false" outlineLevel="0" collapsed="false">
      <c r="A11" s="0" t="s">
        <v>412</v>
      </c>
      <c r="B11" s="0" t="s">
        <v>395</v>
      </c>
      <c r="C11" s="0" t="n">
        <v>792.13</v>
      </c>
      <c r="D11" s="0" t="n">
        <f aca="false">Inputs!$B$5</f>
        <v>0.15</v>
      </c>
      <c r="E11" s="0" t="n">
        <f aca="false">C11*D11</f>
        <v>118.8195</v>
      </c>
      <c r="F11" s="0" t="n">
        <f aca="false">C11+E11</f>
        <v>910.9495</v>
      </c>
      <c r="G11" s="0" t="s">
        <v>396</v>
      </c>
      <c r="H11" s="0" t="n">
        <f aca="false">ROUNDUP(F11/Inputs!$B$10,0)</f>
        <v>46</v>
      </c>
      <c r="I11" s="0" t="s">
        <v>413</v>
      </c>
    </row>
    <row r="12" customFormat="false" ht="15" hidden="false" customHeight="false" outlineLevel="0" collapsed="false">
      <c r="A12" s="0" t="s">
        <v>414</v>
      </c>
      <c r="B12" s="0" t="s">
        <v>395</v>
      </c>
      <c r="C12" s="0" t="n">
        <v>119.09</v>
      </c>
      <c r="D12" s="0" t="n">
        <f aca="false">Inputs!$B$5</f>
        <v>0.15</v>
      </c>
      <c r="E12" s="0" t="n">
        <f aca="false">C12*D12</f>
        <v>17.8635</v>
      </c>
      <c r="F12" s="0" t="n">
        <f aca="false">C12+E12</f>
        <v>136.9535</v>
      </c>
      <c r="G12" s="0" t="s">
        <v>405</v>
      </c>
      <c r="H12" s="0" t="n">
        <f aca="false">ROUNDUP(F12/Inputs!$B$11,0)</f>
        <v>14</v>
      </c>
      <c r="I12" s="0" t="s">
        <v>415</v>
      </c>
    </row>
    <row r="13" customFormat="false" ht="15" hidden="false" customHeight="false" outlineLevel="0" collapsed="false">
      <c r="A13" s="0" t="s">
        <v>416</v>
      </c>
      <c r="B13" s="0" t="s">
        <v>395</v>
      </c>
      <c r="C13" s="0" t="n">
        <v>811.23</v>
      </c>
      <c r="D13" s="0" t="n">
        <f aca="false">Inputs!$B$5</f>
        <v>0.15</v>
      </c>
      <c r="E13" s="0" t="n">
        <f aca="false">C13*D13</f>
        <v>121.6845</v>
      </c>
      <c r="F13" s="0" t="n">
        <f aca="false">C13+E13</f>
        <v>932.9145</v>
      </c>
      <c r="G13" s="0" t="s">
        <v>417</v>
      </c>
      <c r="H13" s="0" t="n">
        <f aca="false">ROUNDUP(F13/Inputs!$B$17,0)</f>
        <v>78</v>
      </c>
      <c r="I13" s="0" t="s">
        <v>418</v>
      </c>
    </row>
    <row r="14" customFormat="false" ht="15" hidden="false" customHeight="false" outlineLevel="0" collapsed="false">
      <c r="A14" s="0" t="s">
        <v>419</v>
      </c>
      <c r="B14" s="0" t="s">
        <v>395</v>
      </c>
      <c r="C14" s="0" t="n">
        <v>319.34</v>
      </c>
      <c r="D14" s="0" t="n">
        <f aca="false">Inputs!$B$5</f>
        <v>0.15</v>
      </c>
      <c r="E14" s="0" t="n">
        <f aca="false">C14*D14</f>
        <v>47.901</v>
      </c>
      <c r="F14" s="0" t="n">
        <f aca="false">C14+E14</f>
        <v>367.241</v>
      </c>
      <c r="G14" s="0" t="s">
        <v>408</v>
      </c>
      <c r="H14" s="0" t="n">
        <f aca="false">ROUNDUP(F14/Inputs!$B$16,0)</f>
        <v>23</v>
      </c>
      <c r="I14" s="0" t="s">
        <v>420</v>
      </c>
    </row>
    <row r="15" customFormat="false" ht="15" hidden="false" customHeight="false" outlineLevel="0" collapsed="false">
      <c r="A15" s="0" t="s">
        <v>421</v>
      </c>
      <c r="B15" s="0" t="s">
        <v>395</v>
      </c>
      <c r="C15" s="0" t="n">
        <v>530.1</v>
      </c>
      <c r="D15" s="0" t="n">
        <f aca="false">Inputs!$B$5</f>
        <v>0.15</v>
      </c>
      <c r="E15" s="0" t="n">
        <f aca="false">C15*D15</f>
        <v>79.515</v>
      </c>
      <c r="F15" s="0" t="n">
        <f aca="false">C15+E15</f>
        <v>609.615</v>
      </c>
      <c r="G15" s="0" t="s">
        <v>33</v>
      </c>
      <c r="H15" s="0" t="n">
        <f aca="false">ROUNDUP(F15,0)</f>
        <v>610</v>
      </c>
      <c r="I15" s="0" t="s">
        <v>422</v>
      </c>
    </row>
    <row r="16" customFormat="false" ht="15" hidden="false" customHeight="false" outlineLevel="0" collapsed="false">
      <c r="A16" s="0" t="s">
        <v>423</v>
      </c>
      <c r="B16" s="0" t="s">
        <v>424</v>
      </c>
      <c r="C16" s="0" t="n">
        <v>17442.93</v>
      </c>
      <c r="D16" s="0" t="n">
        <f aca="false">Inputs!$B$6</f>
        <v>0.06</v>
      </c>
      <c r="E16" s="0" t="n">
        <f aca="false">C16*D16</f>
        <v>1046.5758</v>
      </c>
      <c r="F16" s="0" t="n">
        <f aca="false">C16+E16</f>
        <v>18489.5058</v>
      </c>
      <c r="G16" s="0" t="s">
        <v>425</v>
      </c>
      <c r="H16" s="0" t="n">
        <f aca="false">ROUNDUP(F16/Inputs!$B$9,0)</f>
        <v>386</v>
      </c>
      <c r="I16" s="0" t="s">
        <v>426</v>
      </c>
    </row>
    <row r="17" customFormat="false" ht="15" hidden="false" customHeight="false" outlineLevel="0" collapsed="false">
      <c r="A17" s="0" t="s">
        <v>427</v>
      </c>
      <c r="B17" s="0" t="s">
        <v>424</v>
      </c>
      <c r="C17" s="0" t="n">
        <v>258.8</v>
      </c>
      <c r="D17" s="0" t="n">
        <f aca="false">Inputs!$B$6</f>
        <v>0.06</v>
      </c>
      <c r="E17" s="0" t="n">
        <f aca="false">C17*D17</f>
        <v>15.528</v>
      </c>
      <c r="F17" s="0" t="n">
        <f aca="false">C17+E17</f>
        <v>274.328</v>
      </c>
      <c r="G17" s="0" t="s">
        <v>428</v>
      </c>
      <c r="H17" s="0" t="n">
        <f aca="false">ROUNDUP(F17/32,0)</f>
        <v>9</v>
      </c>
      <c r="I17" s="0" t="s">
        <v>429</v>
      </c>
    </row>
    <row r="18" customFormat="false" ht="15" hidden="false" customHeight="false" outlineLevel="0" collapsed="false">
      <c r="A18" s="0" t="s">
        <v>430</v>
      </c>
      <c r="B18" s="0" t="s">
        <v>424</v>
      </c>
      <c r="C18" s="0" t="n">
        <v>82.48</v>
      </c>
      <c r="D18" s="0" t="n">
        <f aca="false">Inputs!$B$6</f>
        <v>0.06</v>
      </c>
      <c r="E18" s="0" t="n">
        <f aca="false">C18*D18</f>
        <v>4.9488</v>
      </c>
      <c r="F18" s="0" t="n">
        <f aca="false">C18+E18</f>
        <v>87.4288</v>
      </c>
      <c r="G18" s="0" t="s">
        <v>428</v>
      </c>
      <c r="H18" s="0" t="n">
        <f aca="false">ROUNDUP(F18/32,0)</f>
        <v>3</v>
      </c>
      <c r="I18" s="0" t="s">
        <v>431</v>
      </c>
    </row>
    <row r="19" customFormat="false" ht="15" hidden="false" customHeight="false" outlineLevel="0" collapsed="false">
      <c r="A19" s="0" t="s">
        <v>432</v>
      </c>
      <c r="B19" s="0" t="s">
        <v>424</v>
      </c>
      <c r="C19" s="0" t="n">
        <v>63.21</v>
      </c>
      <c r="D19" s="0" t="n">
        <f aca="false">Inputs!$B$6</f>
        <v>0.06</v>
      </c>
      <c r="E19" s="0" t="n">
        <f aca="false">C19*D19</f>
        <v>3.7926</v>
      </c>
      <c r="F19" s="0" t="n">
        <f aca="false">C19+E19</f>
        <v>67.0026</v>
      </c>
      <c r="G19" s="0" t="s">
        <v>425</v>
      </c>
      <c r="H19" s="0" t="n">
        <f aca="false">ROUNDUP(F19/Inputs!$B$9,0)</f>
        <v>2</v>
      </c>
      <c r="I19" s="0" t="s">
        <v>433</v>
      </c>
    </row>
    <row r="20" customFormat="false" ht="15" hidden="false" customHeight="false" outlineLevel="0" collapsed="false">
      <c r="A20" s="0" t="s">
        <v>434</v>
      </c>
      <c r="B20" s="0" t="s">
        <v>424</v>
      </c>
      <c r="C20" s="0" t="n">
        <v>479.24</v>
      </c>
      <c r="D20" s="0" t="n">
        <f aca="false">Inputs!$B$6</f>
        <v>0.06</v>
      </c>
      <c r="E20" s="0" t="n">
        <f aca="false">C20*D20</f>
        <v>28.7544</v>
      </c>
      <c r="F20" s="0" t="n">
        <f aca="false">C20+E20</f>
        <v>507.9944</v>
      </c>
      <c r="G20" s="0" t="s">
        <v>428</v>
      </c>
      <c r="H20" s="0" t="n">
        <f aca="false">ROUNDUP(F20/32,0)</f>
        <v>16</v>
      </c>
      <c r="I20" s="0" t="s">
        <v>435</v>
      </c>
    </row>
    <row r="21" customFormat="false" ht="15" hidden="false" customHeight="false" outlineLevel="0" collapsed="false">
      <c r="A21" s="0" t="s">
        <v>436</v>
      </c>
      <c r="B21" s="0" t="s">
        <v>424</v>
      </c>
      <c r="C21" s="0" t="n">
        <v>936.02</v>
      </c>
      <c r="D21" s="0" t="n">
        <f aca="false">Inputs!$B$6</f>
        <v>0.06</v>
      </c>
      <c r="E21" s="0" t="n">
        <f aca="false">C21*D21</f>
        <v>56.1612</v>
      </c>
      <c r="F21" s="0" t="n">
        <f aca="false">C21+E21</f>
        <v>992.1812</v>
      </c>
      <c r="G21" s="0" t="s">
        <v>428</v>
      </c>
      <c r="H21" s="0" t="n">
        <f aca="false">ROUNDUP(F21/32,0)</f>
        <v>32</v>
      </c>
      <c r="I21" s="0" t="s">
        <v>437</v>
      </c>
    </row>
    <row r="22" customFormat="false" ht="15" hidden="false" customHeight="false" outlineLevel="0" collapsed="false">
      <c r="A22" s="0" t="s">
        <v>438</v>
      </c>
      <c r="B22" s="0" t="s">
        <v>395</v>
      </c>
      <c r="C22" s="0" t="n">
        <v>1001.04</v>
      </c>
      <c r="D22" s="0" t="n">
        <f aca="false">Inputs!$B$6</f>
        <v>0.06</v>
      </c>
      <c r="E22" s="0" t="n">
        <f aca="false">C22*D22</f>
        <v>60.0624</v>
      </c>
      <c r="F22" s="0" t="n">
        <f aca="false">C22+E22</f>
        <v>1061.1024</v>
      </c>
      <c r="H22" s="0" t="n">
        <f aca="false">ROUNDUP(F22,0)</f>
        <v>1062</v>
      </c>
      <c r="I22" s="0" t="s">
        <v>439</v>
      </c>
    </row>
    <row r="23" customFormat="false" ht="15" hidden="false" customHeight="false" outlineLevel="0" collapsed="false">
      <c r="A23" s="0" t="s">
        <v>440</v>
      </c>
      <c r="B23" s="0" t="s">
        <v>395</v>
      </c>
      <c r="C23" s="0" t="n">
        <v>597.09</v>
      </c>
      <c r="D23" s="0" t="n">
        <f aca="false">Inputs!$B$5</f>
        <v>0.15</v>
      </c>
      <c r="E23" s="0" t="n">
        <f aca="false">C23*D23</f>
        <v>89.5635</v>
      </c>
      <c r="F23" s="0" t="n">
        <f aca="false">C23+E23</f>
        <v>686.6535</v>
      </c>
      <c r="G23" s="0" t="s">
        <v>396</v>
      </c>
      <c r="H23" s="0" t="n">
        <f aca="false">ROUNDUP(F23/Inputs!$B$10,0)</f>
        <v>35</v>
      </c>
      <c r="I23" s="0" t="s">
        <v>441</v>
      </c>
    </row>
    <row r="24" customFormat="false" ht="15" hidden="false" customHeight="false" outlineLevel="0" collapsed="false">
      <c r="A24" s="0" t="s">
        <v>442</v>
      </c>
      <c r="B24" s="0" t="s">
        <v>395</v>
      </c>
      <c r="C24" s="0" t="n">
        <v>150.94</v>
      </c>
      <c r="D24" s="0" t="n">
        <f aca="false">Inputs!$B$5</f>
        <v>0.15</v>
      </c>
      <c r="E24" s="0" t="n">
        <f aca="false">C24*D24</f>
        <v>22.641</v>
      </c>
      <c r="F24" s="0" t="n">
        <f aca="false">C24+E24</f>
        <v>173.581</v>
      </c>
      <c r="G24" s="0" t="s">
        <v>396</v>
      </c>
      <c r="H24" s="0" t="n">
        <f aca="false">ROUNDUP(F24/Inputs!$B$10,0)</f>
        <v>9</v>
      </c>
      <c r="I24" s="0" t="s">
        <v>443</v>
      </c>
    </row>
    <row r="25" customFormat="false" ht="15" hidden="false" customHeight="false" outlineLevel="0" collapsed="false">
      <c r="A25" s="0" t="s">
        <v>444</v>
      </c>
      <c r="B25" s="0" t="s">
        <v>395</v>
      </c>
      <c r="C25" s="0" t="n">
        <v>861.09</v>
      </c>
      <c r="D25" s="0" t="n">
        <f aca="false">Inputs!$B$6</f>
        <v>0.06</v>
      </c>
      <c r="E25" s="0" t="n">
        <f aca="false">C25*D25</f>
        <v>51.6654</v>
      </c>
      <c r="F25" s="0" t="n">
        <f aca="false">C25+E25</f>
        <v>912.7554</v>
      </c>
      <c r="G25" s="0" t="s">
        <v>445</v>
      </c>
      <c r="H25" s="0" t="n">
        <f aca="false">ROUNDUP(F25/Inputs!$B$18,0)</f>
        <v>92</v>
      </c>
      <c r="I25" s="0" t="s">
        <v>446</v>
      </c>
    </row>
    <row r="26" customFormat="false" ht="15" hidden="false" customHeight="false" outlineLevel="0" collapsed="false">
      <c r="A26" s="0" t="s">
        <v>447</v>
      </c>
      <c r="B26" s="0" t="s">
        <v>424</v>
      </c>
      <c r="C26" s="0" t="n">
        <v>33.04</v>
      </c>
      <c r="D26" s="0" t="n">
        <f aca="false">Inputs!$B$6</f>
        <v>0.06</v>
      </c>
      <c r="E26" s="0" t="n">
        <f aca="false">C26*D26</f>
        <v>1.9824</v>
      </c>
      <c r="F26" s="0" t="n">
        <f aca="false">C26+E26</f>
        <v>35.0224</v>
      </c>
      <c r="G26" s="0" t="s">
        <v>428</v>
      </c>
      <c r="H26" s="0" t="n">
        <f aca="false">ROUNDUP(F26/32,0)</f>
        <v>2</v>
      </c>
      <c r="I26" s="0" t="s">
        <v>448</v>
      </c>
    </row>
    <row r="27" customFormat="false" ht="15" hidden="false" customHeight="false" outlineLevel="0" collapsed="false">
      <c r="A27" s="0" t="s">
        <v>449</v>
      </c>
      <c r="B27" s="0" t="s">
        <v>424</v>
      </c>
      <c r="C27" s="0" t="n">
        <v>346.42</v>
      </c>
      <c r="D27" s="0" t="n">
        <f aca="false">Inputs!$B$6</f>
        <v>0.06</v>
      </c>
      <c r="E27" s="0" t="n">
        <f aca="false">C27*D27</f>
        <v>20.7852</v>
      </c>
      <c r="F27" s="0" t="n">
        <f aca="false">C27+E27</f>
        <v>367.2052</v>
      </c>
      <c r="G27" s="0" t="s">
        <v>424</v>
      </c>
      <c r="H27" s="0" t="n">
        <f aca="false">ROUNDUP(F27,0)</f>
        <v>368</v>
      </c>
      <c r="I27" s="0" t="s">
        <v>450</v>
      </c>
    </row>
    <row r="28" customFormat="false" ht="15" hidden="false" customHeight="false" outlineLevel="0" collapsed="false">
      <c r="A28" s="0" t="s">
        <v>451</v>
      </c>
      <c r="B28" s="0" t="s">
        <v>395</v>
      </c>
      <c r="C28" s="0" t="n">
        <v>1181.09</v>
      </c>
      <c r="D28" s="0" t="n">
        <f aca="false">Inputs!$B$6</f>
        <v>0.06</v>
      </c>
      <c r="E28" s="0" t="n">
        <f aca="false">C28*D28</f>
        <v>70.8654</v>
      </c>
      <c r="F28" s="0" t="n">
        <f aca="false">C28+E28</f>
        <v>1251.9554</v>
      </c>
      <c r="G28" s="0" t="s">
        <v>452</v>
      </c>
      <c r="H28" s="0" t="n">
        <f aca="false">ROUNDUP(F28/Inputs!$B$15,0)</f>
        <v>51</v>
      </c>
      <c r="I28" s="0" t="s">
        <v>453</v>
      </c>
    </row>
    <row r="29" customFormat="false" ht="15" hidden="false" customHeight="false" outlineLevel="0" collapsed="false">
      <c r="A29" s="0" t="s">
        <v>454</v>
      </c>
      <c r="B29" s="0" t="s">
        <v>395</v>
      </c>
      <c r="C29" s="0" t="n">
        <v>273.52</v>
      </c>
      <c r="D29" s="0" t="n">
        <f aca="false">Inputs!$B$5</f>
        <v>0.15</v>
      </c>
      <c r="E29" s="0" t="n">
        <f aca="false">C29*D29</f>
        <v>41.028</v>
      </c>
      <c r="F29" s="0" t="n">
        <f aca="false">C29+E29</f>
        <v>314.548</v>
      </c>
      <c r="G29" s="0" t="s">
        <v>396</v>
      </c>
      <c r="H29" s="0" t="n">
        <f aca="false">ROUNDUP(F29/Inputs!$B$10,0)</f>
        <v>16</v>
      </c>
      <c r="I29" s="0" t="s">
        <v>455</v>
      </c>
    </row>
    <row r="30" customFormat="false" ht="15" hidden="false" customHeight="false" outlineLevel="0" collapsed="false">
      <c r="A30" s="0" t="s">
        <v>456</v>
      </c>
      <c r="B30" s="0" t="s">
        <v>395</v>
      </c>
      <c r="C30" s="0" t="n">
        <v>260.17</v>
      </c>
      <c r="D30" s="0" t="n">
        <f aca="false">Inputs!$B$5</f>
        <v>0.15</v>
      </c>
      <c r="E30" s="0" t="n">
        <f aca="false">C30*D30</f>
        <v>39.0255</v>
      </c>
      <c r="F30" s="0" t="n">
        <f aca="false">C30+E30</f>
        <v>299.1955</v>
      </c>
      <c r="G30" s="0" t="s">
        <v>405</v>
      </c>
      <c r="H30" s="0" t="n">
        <f aca="false">ROUNDUP(F30/Inputs!$B$11,0)</f>
        <v>30</v>
      </c>
      <c r="I30" s="0" t="s">
        <v>457</v>
      </c>
    </row>
    <row r="31" customFormat="false" ht="15" hidden="false" customHeight="false" outlineLevel="0" collapsed="false">
      <c r="A31" s="0" t="s">
        <v>458</v>
      </c>
      <c r="B31" s="0" t="s">
        <v>395</v>
      </c>
      <c r="C31" s="0" t="n">
        <v>342.58</v>
      </c>
      <c r="D31" s="0" t="n">
        <f aca="false">Inputs!$B$5</f>
        <v>0.15</v>
      </c>
      <c r="E31" s="0" t="n">
        <f aca="false">C31*D31</f>
        <v>51.387</v>
      </c>
      <c r="F31" s="0" t="n">
        <f aca="false">C31+E31</f>
        <v>393.967</v>
      </c>
      <c r="G31" s="0" t="s">
        <v>405</v>
      </c>
      <c r="H31" s="0" t="n">
        <f aca="false">ROUNDUP(F31/Inputs!$B$11,0)</f>
        <v>40</v>
      </c>
      <c r="I31" s="0" t="s">
        <v>457</v>
      </c>
    </row>
    <row r="32" customFormat="false" ht="15" hidden="false" customHeight="false" outlineLevel="0" collapsed="false">
      <c r="A32" s="0" t="s">
        <v>459</v>
      </c>
      <c r="B32" s="0" t="s">
        <v>395</v>
      </c>
      <c r="C32" s="0" t="n">
        <v>291.44</v>
      </c>
      <c r="D32" s="0" t="n">
        <f aca="false">Inputs!$B$5</f>
        <v>0.15</v>
      </c>
      <c r="E32" s="0" t="n">
        <f aca="false">C32*D32</f>
        <v>43.716</v>
      </c>
      <c r="F32" s="0" t="n">
        <f aca="false">C32+E32</f>
        <v>335.156</v>
      </c>
      <c r="G32" s="0" t="s">
        <v>405</v>
      </c>
      <c r="H32" s="0" t="n">
        <f aca="false">ROUNDUP(F32/Inputs!$B$11,0)</f>
        <v>34</v>
      </c>
      <c r="I32" s="0" t="s">
        <v>457</v>
      </c>
    </row>
    <row r="33" customFormat="false" ht="15" hidden="false" customHeight="false" outlineLevel="0" collapsed="false">
      <c r="A33" s="0" t="s">
        <v>460</v>
      </c>
      <c r="B33" s="0" t="s">
        <v>395</v>
      </c>
      <c r="C33" s="0" t="n">
        <v>177.56</v>
      </c>
      <c r="D33" s="0" t="n">
        <f aca="false">Inputs!$B$5</f>
        <v>0.15</v>
      </c>
      <c r="E33" s="0" t="n">
        <f aca="false">C33*D33</f>
        <v>26.634</v>
      </c>
      <c r="F33" s="0" t="n">
        <f aca="false">C33+E33</f>
        <v>204.194</v>
      </c>
      <c r="G33" s="0" t="s">
        <v>405</v>
      </c>
      <c r="H33" s="0" t="n">
        <f aca="false">ROUNDUP(F33/Inputs!$B$11,0)</f>
        <v>21</v>
      </c>
      <c r="I33" s="0" t="s">
        <v>457</v>
      </c>
    </row>
    <row r="34" customFormat="false" ht="15" hidden="false" customHeight="false" outlineLevel="0" collapsed="false">
      <c r="A34" s="0" t="s">
        <v>461</v>
      </c>
      <c r="B34" s="0" t="s">
        <v>395</v>
      </c>
      <c r="C34" s="0" t="n">
        <v>266.37</v>
      </c>
      <c r="D34" s="0" t="n">
        <f aca="false">Inputs!$B$5</f>
        <v>0.15</v>
      </c>
      <c r="E34" s="0" t="n">
        <f aca="false">C34*D34</f>
        <v>39.9555</v>
      </c>
      <c r="F34" s="0" t="n">
        <f aca="false">C34+E34</f>
        <v>306.3255</v>
      </c>
      <c r="G34" s="0" t="s">
        <v>405</v>
      </c>
      <c r="H34" s="0" t="n">
        <f aca="false">ROUNDUP(F34/Inputs!$B$11,0)</f>
        <v>31</v>
      </c>
      <c r="I34" s="0" t="s">
        <v>457</v>
      </c>
    </row>
    <row r="35" customFormat="false" ht="15" hidden="false" customHeight="false" outlineLevel="0" collapsed="false">
      <c r="A35" s="0" t="s">
        <v>462</v>
      </c>
      <c r="B35" s="0" t="s">
        <v>395</v>
      </c>
      <c r="C35" s="0" t="n">
        <v>13.33</v>
      </c>
      <c r="D35" s="0" t="n">
        <f aca="false">Inputs!$B$5</f>
        <v>0.15</v>
      </c>
      <c r="E35" s="0" t="n">
        <f aca="false">C35*D35</f>
        <v>1.9995</v>
      </c>
      <c r="F35" s="0" t="n">
        <f aca="false">C35+E35</f>
        <v>15.3295</v>
      </c>
      <c r="G35" s="0" t="s">
        <v>405</v>
      </c>
      <c r="H35" s="0" t="n">
        <f aca="false">ROUNDUP(F35/Inputs!$B$11,0)</f>
        <v>2</v>
      </c>
      <c r="I35" s="0" t="s">
        <v>457</v>
      </c>
    </row>
    <row r="36" customFormat="false" ht="15" hidden="false" customHeight="false" outlineLevel="0" collapsed="false">
      <c r="A36" s="0" t="s">
        <v>463</v>
      </c>
      <c r="B36" s="0" t="s">
        <v>395</v>
      </c>
      <c r="C36" s="0" t="n">
        <v>260.17</v>
      </c>
      <c r="D36" s="0" t="n">
        <f aca="false">Inputs!$B$5</f>
        <v>0.15</v>
      </c>
      <c r="E36" s="0" t="n">
        <f aca="false">C36*D36</f>
        <v>39.0255</v>
      </c>
      <c r="F36" s="0" t="n">
        <f aca="false">C36+E36</f>
        <v>299.1955</v>
      </c>
      <c r="G36" s="0" t="s">
        <v>405</v>
      </c>
      <c r="H36" s="0" t="n">
        <f aca="false">ROUNDUP(F36/Inputs!$B$11,0)</f>
        <v>30</v>
      </c>
      <c r="I36" s="0" t="s">
        <v>464</v>
      </c>
    </row>
    <row r="37" customFormat="false" ht="15" hidden="false" customHeight="false" outlineLevel="0" collapsed="false">
      <c r="A37" s="0" t="s">
        <v>465</v>
      </c>
      <c r="B37" s="0" t="s">
        <v>395</v>
      </c>
      <c r="C37" s="0" t="n">
        <v>342.58</v>
      </c>
      <c r="D37" s="0" t="n">
        <f aca="false">Inputs!$B$5</f>
        <v>0.15</v>
      </c>
      <c r="E37" s="0" t="n">
        <f aca="false">C37*D37</f>
        <v>51.387</v>
      </c>
      <c r="F37" s="0" t="n">
        <f aca="false">C37+E37</f>
        <v>393.967</v>
      </c>
      <c r="G37" s="0" t="s">
        <v>405</v>
      </c>
      <c r="H37" s="0" t="n">
        <f aca="false">ROUNDUP(F37/Inputs!$B$11,0)</f>
        <v>40</v>
      </c>
      <c r="I37" s="0" t="s">
        <v>464</v>
      </c>
    </row>
    <row r="38" customFormat="false" ht="15" hidden="false" customHeight="false" outlineLevel="0" collapsed="false">
      <c r="A38" s="0" t="s">
        <v>466</v>
      </c>
      <c r="B38" s="0" t="s">
        <v>395</v>
      </c>
      <c r="C38" s="0" t="n">
        <v>291.44</v>
      </c>
      <c r="D38" s="0" t="n">
        <f aca="false">Inputs!$B$5</f>
        <v>0.15</v>
      </c>
      <c r="E38" s="0" t="n">
        <f aca="false">C38*D38</f>
        <v>43.716</v>
      </c>
      <c r="F38" s="0" t="n">
        <f aca="false">C38+E38</f>
        <v>335.156</v>
      </c>
      <c r="G38" s="0" t="s">
        <v>405</v>
      </c>
      <c r="H38" s="0" t="n">
        <f aca="false">ROUNDUP(F38/Inputs!$B$11,0)</f>
        <v>34</v>
      </c>
      <c r="I38" s="0" t="s">
        <v>464</v>
      </c>
    </row>
    <row r="39" customFormat="false" ht="15" hidden="false" customHeight="false" outlineLevel="0" collapsed="false">
      <c r="A39" s="0" t="s">
        <v>467</v>
      </c>
      <c r="B39" s="0" t="s">
        <v>395</v>
      </c>
      <c r="C39" s="0" t="n">
        <v>177.56</v>
      </c>
      <c r="D39" s="0" t="n">
        <f aca="false">Inputs!$B$5</f>
        <v>0.15</v>
      </c>
      <c r="E39" s="0" t="n">
        <f aca="false">C39*D39</f>
        <v>26.634</v>
      </c>
      <c r="F39" s="0" t="n">
        <f aca="false">C39+E39</f>
        <v>204.194</v>
      </c>
      <c r="G39" s="0" t="s">
        <v>405</v>
      </c>
      <c r="H39" s="0" t="n">
        <f aca="false">ROUNDUP(F39/Inputs!$B$11,0)</f>
        <v>21</v>
      </c>
      <c r="I39" s="0" t="s">
        <v>464</v>
      </c>
    </row>
    <row r="40" customFormat="false" ht="15" hidden="false" customHeight="false" outlineLevel="0" collapsed="false">
      <c r="A40" s="0" t="s">
        <v>468</v>
      </c>
      <c r="B40" s="0" t="s">
        <v>395</v>
      </c>
      <c r="C40" s="0" t="n">
        <v>266.37</v>
      </c>
      <c r="D40" s="0" t="n">
        <f aca="false">Inputs!$B$5</f>
        <v>0.15</v>
      </c>
      <c r="E40" s="0" t="n">
        <f aca="false">C40*D40</f>
        <v>39.9555</v>
      </c>
      <c r="F40" s="0" t="n">
        <f aca="false">C40+E40</f>
        <v>306.3255</v>
      </c>
      <c r="G40" s="0" t="s">
        <v>405</v>
      </c>
      <c r="H40" s="0" t="n">
        <f aca="false">ROUNDUP(F40/Inputs!$B$11,0)</f>
        <v>31</v>
      </c>
      <c r="I40" s="0" t="s">
        <v>464</v>
      </c>
    </row>
    <row r="41" customFormat="false" ht="15" hidden="false" customHeight="false" outlineLevel="0" collapsed="false">
      <c r="A41" s="0" t="s">
        <v>469</v>
      </c>
      <c r="B41" s="0" t="s">
        <v>395</v>
      </c>
      <c r="C41" s="0" t="n">
        <v>13.33</v>
      </c>
      <c r="D41" s="0" t="n">
        <f aca="false">Inputs!$B$5</f>
        <v>0.15</v>
      </c>
      <c r="E41" s="0" t="n">
        <f aca="false">C41*D41</f>
        <v>1.9995</v>
      </c>
      <c r="F41" s="0" t="n">
        <f aca="false">C41+E41</f>
        <v>15.3295</v>
      </c>
      <c r="G41" s="0" t="s">
        <v>405</v>
      </c>
      <c r="H41" s="0" t="n">
        <f aca="false">ROUNDUP(F41/Inputs!$B$11,0)</f>
        <v>2</v>
      </c>
      <c r="I41" s="0" t="s">
        <v>464</v>
      </c>
    </row>
    <row r="42" customFormat="false" ht="15" hidden="false" customHeight="false" outlineLevel="0" collapsed="false">
      <c r="A42" s="0" t="s">
        <v>470</v>
      </c>
      <c r="B42" s="0" t="s">
        <v>424</v>
      </c>
      <c r="C42" s="0" t="n">
        <v>1855.07</v>
      </c>
      <c r="D42" s="0" t="n">
        <f aca="false">Inputs!$B$6</f>
        <v>0.06</v>
      </c>
      <c r="E42" s="0" t="n">
        <f aca="false">C42*D42</f>
        <v>111.3042</v>
      </c>
      <c r="F42" s="0" t="n">
        <f aca="false">C42+E42</f>
        <v>1966.3742</v>
      </c>
      <c r="G42" s="0" t="s">
        <v>471</v>
      </c>
      <c r="H42" s="0" t="n">
        <f aca="false">ROUNDUP(F42/Inputs!$B$9,0)</f>
        <v>41</v>
      </c>
      <c r="I42" s="0" t="s">
        <v>472</v>
      </c>
    </row>
    <row r="43" customFormat="false" ht="15" hidden="false" customHeight="false" outlineLevel="0" collapsed="false">
      <c r="A43" s="0" t="s">
        <v>473</v>
      </c>
      <c r="B43" s="0" t="s">
        <v>424</v>
      </c>
      <c r="C43" s="0" t="n">
        <v>3920.2</v>
      </c>
      <c r="D43" s="0" t="n">
        <f aca="false">Inputs!$B$6</f>
        <v>0.06</v>
      </c>
      <c r="E43" s="0" t="n">
        <f aca="false">C43*D43</f>
        <v>235.212</v>
      </c>
      <c r="F43" s="0" t="n">
        <f aca="false">C43+E43</f>
        <v>4155.412</v>
      </c>
      <c r="G43" s="0" t="s">
        <v>471</v>
      </c>
      <c r="H43" s="0" t="n">
        <f aca="false">ROUNDUP(F43/Inputs!$B$9,0)</f>
        <v>87</v>
      </c>
      <c r="I43" s="0" t="s">
        <v>472</v>
      </c>
    </row>
    <row r="44" customFormat="false" ht="15" hidden="false" customHeight="false" outlineLevel="0" collapsed="false">
      <c r="A44" s="0" t="s">
        <v>474</v>
      </c>
      <c r="B44" s="0" t="s">
        <v>424</v>
      </c>
      <c r="C44" s="0" t="n">
        <v>240.36</v>
      </c>
      <c r="D44" s="0" t="n">
        <f aca="false">Inputs!$B$6</f>
        <v>0.06</v>
      </c>
      <c r="E44" s="0" t="n">
        <f aca="false">C44*D44</f>
        <v>14.4216</v>
      </c>
      <c r="F44" s="0" t="n">
        <f aca="false">C44+E44</f>
        <v>254.7816</v>
      </c>
      <c r="G44" s="0" t="s">
        <v>471</v>
      </c>
      <c r="H44" s="0" t="n">
        <f aca="false">ROUNDUP(F44/Inputs!$B$9,0)</f>
        <v>6</v>
      </c>
      <c r="I44" s="0" t="s">
        <v>472</v>
      </c>
    </row>
    <row r="45" customFormat="false" ht="15" hidden="false" customHeight="false" outlineLevel="0" collapsed="false">
      <c r="A45" s="0" t="s">
        <v>475</v>
      </c>
      <c r="B45" s="0" t="s">
        <v>424</v>
      </c>
      <c r="C45" s="0" t="n">
        <v>561.82</v>
      </c>
      <c r="D45" s="0" t="n">
        <f aca="false">Inputs!$B$6</f>
        <v>0.06</v>
      </c>
      <c r="E45" s="0" t="n">
        <f aca="false">C45*D45</f>
        <v>33.7092</v>
      </c>
      <c r="F45" s="0" t="n">
        <f aca="false">C45+E45</f>
        <v>595.5292</v>
      </c>
      <c r="G45" s="0" t="s">
        <v>471</v>
      </c>
      <c r="H45" s="0" t="n">
        <f aca="false">ROUNDUP(F45/Inputs!$B$9,0)</f>
        <v>13</v>
      </c>
      <c r="I45" s="0" t="s">
        <v>472</v>
      </c>
    </row>
    <row r="46" customFormat="false" ht="15" hidden="false" customHeight="false" outlineLevel="0" collapsed="false">
      <c r="A46" s="0" t="s">
        <v>476</v>
      </c>
      <c r="B46" s="0" t="s">
        <v>395</v>
      </c>
      <c r="C46" s="0" t="n">
        <v>217.71</v>
      </c>
      <c r="D46" s="0" t="n">
        <f aca="false">Inputs!$B$6</f>
        <v>0.06</v>
      </c>
      <c r="E46" s="0" t="n">
        <f aca="false">C46*D46</f>
        <v>13.0626</v>
      </c>
      <c r="F46" s="0" t="n">
        <f aca="false">C46+E46</f>
        <v>230.7726</v>
      </c>
      <c r="G46" s="0" t="s">
        <v>452</v>
      </c>
      <c r="H46" s="0" t="n">
        <f aca="false">ROUNDUP(F46/Inputs!$B$15,0)</f>
        <v>10</v>
      </c>
      <c r="I46" s="0" t="s">
        <v>477</v>
      </c>
    </row>
    <row r="47" customFormat="false" ht="15" hidden="false" customHeight="false" outlineLevel="0" collapsed="false">
      <c r="A47" s="0" t="s">
        <v>478</v>
      </c>
      <c r="B47" s="0" t="s">
        <v>479</v>
      </c>
      <c r="C47" s="0" t="n">
        <v>113</v>
      </c>
      <c r="D47" s="0" t="n">
        <v>0</v>
      </c>
      <c r="E47" s="0" t="n">
        <f aca="false">C47*D47</f>
        <v>0</v>
      </c>
      <c r="F47" s="0" t="n">
        <f aca="false">C47+E47</f>
        <v>113</v>
      </c>
      <c r="H47" s="0" t="n">
        <f aca="false">ROUNDUP(F47,0)</f>
        <v>113</v>
      </c>
      <c r="I47" s="0" t="s">
        <v>480</v>
      </c>
    </row>
    <row r="48" customFormat="false" ht="15" hidden="false" customHeight="false" outlineLevel="0" collapsed="false">
      <c r="A48" s="0" t="s">
        <v>481</v>
      </c>
      <c r="B48" s="0" t="s">
        <v>395</v>
      </c>
      <c r="C48" s="0" t="n">
        <v>56</v>
      </c>
      <c r="D48" s="0" t="n">
        <f aca="false">Inputs!$B$5</f>
        <v>0.15</v>
      </c>
      <c r="E48" s="0" t="n">
        <f aca="false">C48*D48</f>
        <v>8.4</v>
      </c>
      <c r="F48" s="0" t="n">
        <f aca="false">C48+E48</f>
        <v>64.4</v>
      </c>
      <c r="G48" s="0" t="s">
        <v>405</v>
      </c>
      <c r="H48" s="0" t="n">
        <f aca="false">ROUNDUP(F48/Inputs!$B$11,0)</f>
        <v>7</v>
      </c>
      <c r="I48" s="0" t="s">
        <v>482</v>
      </c>
    </row>
    <row r="49" customFormat="false" ht="15" hidden="false" customHeight="false" outlineLevel="0" collapsed="false">
      <c r="A49" s="0" t="s">
        <v>483</v>
      </c>
      <c r="B49" s="0" t="s">
        <v>479</v>
      </c>
      <c r="C49" s="0" t="n">
        <v>36</v>
      </c>
      <c r="D49" s="0" t="n">
        <v>0</v>
      </c>
      <c r="E49" s="0" t="n">
        <f aca="false">C49*D49</f>
        <v>0</v>
      </c>
      <c r="F49" s="0" t="n">
        <f aca="false">C49+E49</f>
        <v>36</v>
      </c>
      <c r="G49" s="0" t="s">
        <v>484</v>
      </c>
      <c r="H49" s="0" t="n">
        <f aca="false">ROUNDUP(F49,0)</f>
        <v>36</v>
      </c>
      <c r="I49" s="0" t="s">
        <v>485</v>
      </c>
    </row>
    <row r="50" customFormat="false" ht="15" hidden="false" customHeight="false" outlineLevel="0" collapsed="false">
      <c r="A50" s="0" t="s">
        <v>486</v>
      </c>
      <c r="B50" s="0" t="s">
        <v>395</v>
      </c>
      <c r="C50" s="0" t="n">
        <v>20.2</v>
      </c>
      <c r="D50" s="0" t="n">
        <f aca="false">Inputs!$B$5</f>
        <v>0.15</v>
      </c>
      <c r="E50" s="0" t="n">
        <f aca="false">C50*D50</f>
        <v>3.03</v>
      </c>
      <c r="F50" s="0" t="n">
        <f aca="false">C50+E50</f>
        <v>23.23</v>
      </c>
      <c r="G50" s="0" t="s">
        <v>396</v>
      </c>
      <c r="H50" s="0" t="n">
        <f aca="false">ROUNDUP(F50/Inputs!$B$10,0)</f>
        <v>2</v>
      </c>
      <c r="I50" s="0" t="s">
        <v>487</v>
      </c>
    </row>
    <row r="51" customFormat="false" ht="15" hidden="false" customHeight="false" outlineLevel="0" collapsed="false">
      <c r="A51" s="0" t="s">
        <v>488</v>
      </c>
      <c r="B51" s="0" t="s">
        <v>395</v>
      </c>
      <c r="C51" s="0" t="n">
        <v>10.43</v>
      </c>
      <c r="D51" s="0" t="n">
        <f aca="false">Inputs!$B$5</f>
        <v>0.15</v>
      </c>
      <c r="E51" s="0" t="n">
        <f aca="false">C51*D51</f>
        <v>1.5645</v>
      </c>
      <c r="F51" s="0" t="n">
        <f aca="false">C51+E51</f>
        <v>11.9945</v>
      </c>
      <c r="G51" s="0" t="s">
        <v>396</v>
      </c>
      <c r="H51" s="0" t="n">
        <f aca="false">ROUNDUP(F51/Inputs!$B$10,0)</f>
        <v>1</v>
      </c>
      <c r="I51" s="0" t="s">
        <v>489</v>
      </c>
    </row>
    <row r="52" customFormat="false" ht="15" hidden="false" customHeight="false" outlineLevel="0" collapsed="false">
      <c r="A52" s="0" t="s">
        <v>490</v>
      </c>
      <c r="B52" s="0" t="s">
        <v>424</v>
      </c>
      <c r="C52" s="0" t="n">
        <v>69.83</v>
      </c>
      <c r="D52" s="0" t="n">
        <f aca="false">Inputs!$B$6</f>
        <v>0.06</v>
      </c>
      <c r="E52" s="0" t="n">
        <f aca="false">C52*D52</f>
        <v>4.1898</v>
      </c>
      <c r="F52" s="0" t="n">
        <f aca="false">C52+E52</f>
        <v>74.0198</v>
      </c>
      <c r="G52" s="0" t="s">
        <v>471</v>
      </c>
      <c r="H52" s="0" t="n">
        <f aca="false">ROUNDUP(F52/Inputs!$B$9,0)</f>
        <v>2</v>
      </c>
      <c r="I52" s="0" t="s">
        <v>491</v>
      </c>
    </row>
    <row r="53" customFormat="false" ht="15" hidden="false" customHeight="false" outlineLevel="0" collapsed="false">
      <c r="A53" s="0" t="s">
        <v>492</v>
      </c>
      <c r="B53" s="0" t="s">
        <v>395</v>
      </c>
      <c r="C53" s="0" t="n">
        <v>218.17</v>
      </c>
      <c r="D53" s="0" t="n">
        <f aca="false">Inputs!$B$6</f>
        <v>0.06</v>
      </c>
      <c r="E53" s="0" t="n">
        <f aca="false">C53*D53</f>
        <v>13.0902</v>
      </c>
      <c r="F53" s="0" t="n">
        <f aca="false">C53+E53</f>
        <v>231.2602</v>
      </c>
      <c r="G53" s="0" t="s">
        <v>445</v>
      </c>
      <c r="H53" s="0" t="n">
        <f aca="false">ROUNDUP(F53/Inputs!$B$18,0)</f>
        <v>24</v>
      </c>
      <c r="I53" s="0" t="s">
        <v>493</v>
      </c>
    </row>
    <row r="54" customFormat="false" ht="15" hidden="false" customHeight="false" outlineLevel="0" collapsed="false">
      <c r="A54" s="0" t="s">
        <v>494</v>
      </c>
      <c r="B54" s="0" t="s">
        <v>479</v>
      </c>
      <c r="C54" s="0" t="n">
        <v>301</v>
      </c>
      <c r="D54" s="0" t="n">
        <v>0</v>
      </c>
      <c r="E54" s="0" t="n">
        <f aca="false">C54*D54</f>
        <v>0</v>
      </c>
      <c r="F54" s="0" t="n">
        <f aca="false">C54+E54</f>
        <v>301</v>
      </c>
      <c r="G54" s="0" t="s">
        <v>484</v>
      </c>
      <c r="H54" s="0" t="n">
        <f aca="false">ROUNDUP(F54,0)</f>
        <v>301</v>
      </c>
      <c r="I54" s="0" t="s">
        <v>495</v>
      </c>
    </row>
    <row r="55" customFormat="false" ht="15" hidden="false" customHeight="false" outlineLevel="0" collapsed="false">
      <c r="A55" s="0" t="s">
        <v>496</v>
      </c>
      <c r="B55" s="0" t="s">
        <v>479</v>
      </c>
      <c r="C55" s="0" t="n">
        <v>1</v>
      </c>
      <c r="D55" s="0" t="n">
        <v>0</v>
      </c>
      <c r="E55" s="0" t="n">
        <f aca="false">C55*D55</f>
        <v>0</v>
      </c>
      <c r="F55" s="0" t="n">
        <f aca="false">C55+E55</f>
        <v>1</v>
      </c>
      <c r="G55" s="0" t="s">
        <v>484</v>
      </c>
      <c r="H55" s="0" t="n">
        <f aca="false">ROUNDUP(F55,0)</f>
        <v>1</v>
      </c>
      <c r="I55" s="0" t="s">
        <v>497</v>
      </c>
    </row>
    <row r="56" customFormat="false" ht="15" hidden="false" customHeight="false" outlineLevel="0" collapsed="false">
      <c r="A56" s="0" t="s">
        <v>498</v>
      </c>
      <c r="B56" s="0" t="s">
        <v>479</v>
      </c>
      <c r="C56" s="0" t="n">
        <v>21317.93</v>
      </c>
      <c r="D56" s="0" t="n">
        <v>0</v>
      </c>
      <c r="E56" s="0" t="n">
        <f aca="false">C56*D56</f>
        <v>0</v>
      </c>
      <c r="F56" s="0" t="n">
        <f aca="false">C56+E56</f>
        <v>21317.93</v>
      </c>
      <c r="G56" s="0" t="s">
        <v>484</v>
      </c>
      <c r="H56" s="0" t="n">
        <f aca="false">ROUNDUP(F56,0)</f>
        <v>21318</v>
      </c>
      <c r="I56" s="0" t="s">
        <v>499</v>
      </c>
      <c r="J56" s="0" t="n">
        <f aca="false">Inputs!$B$20*17764.9</f>
        <v>21317.88</v>
      </c>
    </row>
    <row r="57" customFormat="false" ht="15" hidden="false" customHeight="false" outlineLevel="0" collapsed="false">
      <c r="A57" s="0" t="s">
        <v>500</v>
      </c>
      <c r="B57" s="0" t="s">
        <v>479</v>
      </c>
      <c r="C57" s="0" t="n">
        <v>7092</v>
      </c>
      <c r="D57" s="0" t="n">
        <v>0</v>
      </c>
      <c r="E57" s="0" t="n">
        <f aca="false">C57*D57</f>
        <v>0</v>
      </c>
      <c r="F57" s="0" t="n">
        <f aca="false">C57+E57</f>
        <v>7092</v>
      </c>
      <c r="G57" s="0" t="s">
        <v>484</v>
      </c>
      <c r="H57" s="0" t="n">
        <f aca="false">ROUNDUP(F57,0)</f>
        <v>7092</v>
      </c>
      <c r="I57" s="0" t="s">
        <v>501</v>
      </c>
      <c r="J57" s="0" t="n">
        <f aca="false">Inputs!$B$21*1773</f>
        <v>7092</v>
      </c>
    </row>
    <row r="58" customFormat="false" ht="15" hidden="false" customHeight="false" outlineLevel="0" collapsed="false">
      <c r="A58" s="0" t="s">
        <v>502</v>
      </c>
      <c r="B58" s="0" t="s">
        <v>479</v>
      </c>
      <c r="C58" s="0" t="n">
        <v>543.73</v>
      </c>
      <c r="D58" s="0" t="n">
        <v>0</v>
      </c>
      <c r="E58" s="0" t="n">
        <f aca="false">C58*D58</f>
        <v>0</v>
      </c>
      <c r="F58" s="0" t="n">
        <f aca="false">C58+E58</f>
        <v>543.73</v>
      </c>
      <c r="G58" s="0" t="s">
        <v>484</v>
      </c>
      <c r="H58" s="0" t="n">
        <f aca="false">ROUNDUP(F58,0)</f>
        <v>544</v>
      </c>
      <c r="I58" s="0" t="s">
        <v>503</v>
      </c>
      <c r="J58" s="0" t="n">
        <f aca="false">543.73/Inputs!$B$22</f>
        <v>543.73</v>
      </c>
    </row>
    <row r="59" customFormat="false" ht="15" hidden="false" customHeight="false" outlineLevel="0" collapsed="false">
      <c r="A59" s="0" t="s">
        <v>504</v>
      </c>
      <c r="B59" s="0" t="s">
        <v>479</v>
      </c>
      <c r="C59" s="0" t="n">
        <v>322.69</v>
      </c>
      <c r="D59" s="0" t="n">
        <v>0</v>
      </c>
      <c r="E59" s="0" t="n">
        <f aca="false">C59*D59</f>
        <v>0</v>
      </c>
      <c r="F59" s="0" t="n">
        <f aca="false">C59+E59</f>
        <v>322.69</v>
      </c>
      <c r="G59" s="0" t="s">
        <v>484</v>
      </c>
      <c r="H59" s="0" t="n">
        <f aca="false">ROUNDUP(F59,0)</f>
        <v>323</v>
      </c>
      <c r="I59" s="0" t="s">
        <v>505</v>
      </c>
      <c r="J59" s="0" t="n">
        <f aca="false">215.13/Inputs!$B$25</f>
        <v>322.678866056697</v>
      </c>
    </row>
    <row r="60" customFormat="false" ht="15" hidden="false" customHeight="false" outlineLevel="0" collapsed="false">
      <c r="A60" s="0" t="s">
        <v>506</v>
      </c>
      <c r="B60" s="0" t="s">
        <v>507</v>
      </c>
      <c r="C60" s="0" t="n">
        <v>1279.08</v>
      </c>
      <c r="D60" s="0" t="n">
        <v>0</v>
      </c>
      <c r="E60" s="0" t="n">
        <f aca="false">C60*D60</f>
        <v>0</v>
      </c>
      <c r="F60" s="0" t="n">
        <f aca="false">C60+E60</f>
        <v>1279.08</v>
      </c>
      <c r="G60" s="0" t="s">
        <v>508</v>
      </c>
      <c r="H60" s="0" t="n">
        <f aca="false">ROUNDUP(F60,0)</f>
        <v>1280</v>
      </c>
      <c r="I60" s="0" t="s">
        <v>509</v>
      </c>
      <c r="J60" s="0" t="n">
        <f aca="false">Inputs!$B$23*17764.9</f>
        <v>1279.0728</v>
      </c>
    </row>
    <row r="61" customFormat="false" ht="15" hidden="false" customHeight="false" outlineLevel="0" collapsed="false">
      <c r="A61" s="0" t="s">
        <v>510</v>
      </c>
      <c r="B61" s="0" t="s">
        <v>395</v>
      </c>
      <c r="C61" s="0" t="n">
        <v>6573.03</v>
      </c>
      <c r="D61" s="0" t="n">
        <v>0</v>
      </c>
      <c r="E61" s="0" t="n">
        <f aca="false">C61*D61</f>
        <v>0</v>
      </c>
      <c r="F61" s="0" t="n">
        <f aca="false">C61+E61</f>
        <v>6573.03</v>
      </c>
      <c r="G61" s="0" t="s">
        <v>395</v>
      </c>
      <c r="H61" s="0" t="n">
        <f aca="false">ROUNDUP(F61,0)</f>
        <v>6574</v>
      </c>
      <c r="I61" s="0" t="s">
        <v>511</v>
      </c>
      <c r="J61" s="0" t="n">
        <f aca="false">Inputs!$B$24*17764.9</f>
        <v>6573.013</v>
      </c>
    </row>
    <row r="62" customFormat="false" ht="15" hidden="false" customHeight="false" outlineLevel="0" collapsed="false">
      <c r="A62" s="0" t="s">
        <v>512</v>
      </c>
      <c r="B62" s="0" t="s">
        <v>424</v>
      </c>
      <c r="C62" s="0" t="n">
        <v>880.9</v>
      </c>
      <c r="D62" s="0" t="n">
        <f aca="false">Inputs!$B$6</f>
        <v>0.06</v>
      </c>
      <c r="E62" s="0" t="n">
        <f aca="false">C62*D62</f>
        <v>52.854</v>
      </c>
      <c r="F62" s="0" t="n">
        <f aca="false">C62+E62</f>
        <v>933.754</v>
      </c>
      <c r="G62" s="0" t="s">
        <v>424</v>
      </c>
      <c r="H62" s="0" t="n">
        <f aca="false">ROUNDUP(F62,0)</f>
        <v>934</v>
      </c>
      <c r="I62" s="0" t="s">
        <v>513</v>
      </c>
    </row>
    <row r="63" customFormat="false" ht="15" hidden="false" customHeight="false" outlineLevel="0" collapsed="false">
      <c r="A63" s="0" t="s">
        <v>514</v>
      </c>
      <c r="B63" s="0" t="s">
        <v>479</v>
      </c>
      <c r="C63" s="0" t="n">
        <v>0</v>
      </c>
      <c r="D63" s="0" t="n">
        <v>0</v>
      </c>
      <c r="E63" s="0" t="n">
        <f aca="false">C63*D63</f>
        <v>0</v>
      </c>
      <c r="F63" s="0" t="n">
        <f aca="false">C63+E63</f>
        <v>0</v>
      </c>
      <c r="G63" s="0" t="s">
        <v>484</v>
      </c>
      <c r="H63" s="0" t="n">
        <f aca="false">ROUNDUP(F63,0)</f>
        <v>0</v>
      </c>
      <c r="I63" s="0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516</v>
      </c>
      <c r="B1" s="2" t="s">
        <v>517</v>
      </c>
      <c r="C1" s="2" t="s">
        <v>518</v>
      </c>
    </row>
    <row r="2" customFormat="false" ht="15" hidden="false" customHeight="false" outlineLevel="0" collapsed="false">
      <c r="A2" s="0" t="s">
        <v>519</v>
      </c>
      <c r="B2" s="0" t="s">
        <v>520</v>
      </c>
      <c r="C2" s="0" t="s">
        <v>521</v>
      </c>
    </row>
    <row r="3" customFormat="false" ht="15" hidden="false" customHeight="false" outlineLevel="0" collapsed="false">
      <c r="A3" s="0" t="s">
        <v>522</v>
      </c>
      <c r="B3" s="0" t="s">
        <v>523</v>
      </c>
      <c r="C3" s="0" t="s">
        <v>524</v>
      </c>
    </row>
    <row r="4" customFormat="false" ht="15" hidden="false" customHeight="false" outlineLevel="0" collapsed="false">
      <c r="A4" s="0" t="s">
        <v>525</v>
      </c>
      <c r="B4" s="0" t="s">
        <v>526</v>
      </c>
      <c r="C4" s="0" t="s">
        <v>527</v>
      </c>
    </row>
    <row r="5" customFormat="false" ht="15" hidden="false" customHeight="false" outlineLevel="0" collapsed="false">
      <c r="A5" s="0" t="s">
        <v>528</v>
      </c>
      <c r="B5" s="0" t="s">
        <v>529</v>
      </c>
      <c r="C5" s="0" t="s">
        <v>530</v>
      </c>
    </row>
    <row r="6" customFormat="false" ht="15" hidden="false" customHeight="false" outlineLevel="0" collapsed="false">
      <c r="A6" s="0" t="s">
        <v>531</v>
      </c>
      <c r="B6" s="0" t="s">
        <v>532</v>
      </c>
      <c r="C6" s="0" t="s">
        <v>533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536</v>
      </c>
    </row>
    <row r="8" customFormat="false" ht="15" hidden="false" customHeight="false" outlineLevel="0" collapsed="false">
      <c r="A8" s="0" t="s">
        <v>537</v>
      </c>
      <c r="B8" s="0" t="s">
        <v>538</v>
      </c>
      <c r="C8" s="0" t="s">
        <v>539</v>
      </c>
    </row>
    <row r="9" customFormat="false" ht="15" hidden="false" customHeight="false" outlineLevel="0" collapsed="false">
      <c r="A9" s="0" t="s">
        <v>540</v>
      </c>
      <c r="B9" s="0" t="s">
        <v>541</v>
      </c>
      <c r="C9" s="0" t="s">
        <v>542</v>
      </c>
    </row>
    <row r="10" customFormat="false" ht="15" hidden="false" customHeight="false" outlineLevel="0" collapsed="false">
      <c r="A10" s="0" t="s">
        <v>543</v>
      </c>
      <c r="B10" s="0" t="s">
        <v>544</v>
      </c>
      <c r="C10" s="0" t="s">
        <v>545</v>
      </c>
    </row>
    <row r="11" customFormat="false" ht="15" hidden="false" customHeight="false" outlineLevel="0" collapsed="false">
      <c r="A11" s="0" t="s">
        <v>546</v>
      </c>
      <c r="B11" s="0" t="s">
        <v>547</v>
      </c>
      <c r="C11" s="0" t="s">
        <v>548</v>
      </c>
    </row>
    <row r="12" customFormat="false" ht="15" hidden="false" customHeight="false" outlineLevel="0" collapsed="false">
      <c r="A12" s="0" t="s">
        <v>549</v>
      </c>
      <c r="B12" s="0" t="s">
        <v>550</v>
      </c>
      <c r="C12" s="0" t="s">
        <v>551</v>
      </c>
    </row>
    <row r="13" customFormat="false" ht="15" hidden="false" customHeight="false" outlineLevel="0" collapsed="false">
      <c r="A13" s="0" t="s">
        <v>552</v>
      </c>
      <c r="B13" s="0" t="s">
        <v>553</v>
      </c>
      <c r="C13" s="0" t="s">
        <v>554</v>
      </c>
    </row>
    <row r="14" customFormat="false" ht="15" hidden="false" customHeight="false" outlineLevel="0" collapsed="false">
      <c r="A14" s="0" t="s">
        <v>555</v>
      </c>
      <c r="B14" s="0" t="s">
        <v>556</v>
      </c>
      <c r="C14" s="0" t="s">
        <v>557</v>
      </c>
    </row>
    <row r="15" customFormat="false" ht="15" hidden="false" customHeight="false" outlineLevel="0" collapsed="false">
      <c r="A15" s="0" t="s">
        <v>558</v>
      </c>
      <c r="B15" s="0" t="s">
        <v>559</v>
      </c>
      <c r="C15" s="0" t="s">
        <v>560</v>
      </c>
    </row>
    <row r="16" customFormat="false" ht="15" hidden="false" customHeight="false" outlineLevel="0" collapsed="false">
      <c r="A16" s="0" t="s">
        <v>561</v>
      </c>
      <c r="B16" s="0" t="s">
        <v>562</v>
      </c>
      <c r="C16" s="0" t="s">
        <v>563</v>
      </c>
    </row>
    <row r="17" customFormat="false" ht="15" hidden="false" customHeight="false" outlineLevel="0" collapsed="false">
      <c r="A17" s="0" t="s">
        <v>564</v>
      </c>
      <c r="B17" s="0" t="s">
        <v>565</v>
      </c>
      <c r="C17" s="0" t="s">
        <v>566</v>
      </c>
    </row>
    <row r="18" customFormat="false" ht="15" hidden="false" customHeight="false" outlineLevel="0" collapsed="false">
      <c r="A18" s="0" t="s">
        <v>567</v>
      </c>
      <c r="B18" s="0" t="s">
        <v>568</v>
      </c>
      <c r="C18" s="0" t="s">
        <v>569</v>
      </c>
    </row>
    <row r="19" customFormat="false" ht="15" hidden="false" customHeight="false" outlineLevel="0" collapsed="false">
      <c r="A19" s="0" t="s">
        <v>570</v>
      </c>
      <c r="B19" s="0" t="s">
        <v>571</v>
      </c>
      <c r="C19" s="0" t="s">
        <v>572</v>
      </c>
    </row>
    <row r="20" customFormat="false" ht="15" hidden="false" customHeight="false" outlineLevel="0" collapsed="false">
      <c r="A20" s="0" t="s">
        <v>573</v>
      </c>
      <c r="B20" s="0" t="s">
        <v>574</v>
      </c>
      <c r="C20" s="0" t="s">
        <v>575</v>
      </c>
    </row>
    <row r="21" customFormat="false" ht="15" hidden="false" customHeight="false" outlineLevel="0" collapsed="false">
      <c r="A21" s="0" t="s">
        <v>576</v>
      </c>
      <c r="B21" s="0" t="s">
        <v>577</v>
      </c>
      <c r="C21" s="0" t="s">
        <v>578</v>
      </c>
    </row>
    <row r="22" customFormat="false" ht="15" hidden="false" customHeight="false" outlineLevel="0" collapsed="false">
      <c r="A22" s="0" t="s">
        <v>579</v>
      </c>
      <c r="B22" s="0" t="s">
        <v>580</v>
      </c>
      <c r="C22" s="0" t="s">
        <v>581</v>
      </c>
    </row>
    <row r="23" customFormat="false" ht="15" hidden="false" customHeight="false" outlineLevel="0" collapsed="false">
      <c r="A23" s="0" t="s">
        <v>582</v>
      </c>
      <c r="B23" s="0" t="s">
        <v>583</v>
      </c>
      <c r="C23" s="0" t="s">
        <v>584</v>
      </c>
    </row>
    <row r="24" customFormat="false" ht="15" hidden="false" customHeight="false" outlineLevel="0" collapsed="false">
      <c r="A24" s="0" t="s">
        <v>585</v>
      </c>
      <c r="B24" s="0" t="s">
        <v>586</v>
      </c>
      <c r="C24" s="0" t="s">
        <v>587</v>
      </c>
    </row>
    <row r="25" customFormat="false" ht="15" hidden="false" customHeight="false" outlineLevel="0" collapsed="false">
      <c r="A25" s="0" t="s">
        <v>588</v>
      </c>
      <c r="B25" s="0" t="s">
        <v>589</v>
      </c>
      <c r="C25" s="0" t="s">
        <v>590</v>
      </c>
    </row>
    <row r="26" customFormat="false" ht="15" hidden="false" customHeight="false" outlineLevel="0" collapsed="false">
      <c r="A26" s="0" t="s">
        <v>591</v>
      </c>
      <c r="B26" s="0" t="s">
        <v>592</v>
      </c>
      <c r="C26" s="0" t="s">
        <v>593</v>
      </c>
    </row>
    <row r="27" customFormat="false" ht="15" hidden="false" customHeight="false" outlineLevel="0" collapsed="false">
      <c r="A27" s="0" t="s">
        <v>594</v>
      </c>
      <c r="B27" s="0" t="s">
        <v>595</v>
      </c>
      <c r="C27" s="0" t="s">
        <v>596</v>
      </c>
    </row>
    <row r="28" customFormat="false" ht="15" hidden="false" customHeight="false" outlineLevel="0" collapsed="false">
      <c r="A28" s="0" t="s">
        <v>597</v>
      </c>
      <c r="B28" s="0" t="s">
        <v>598</v>
      </c>
      <c r="C28" s="0" t="s">
        <v>599</v>
      </c>
    </row>
    <row r="29" customFormat="false" ht="15" hidden="false" customHeight="false" outlineLevel="0" collapsed="false">
      <c r="A29" s="0" t="s">
        <v>600</v>
      </c>
      <c r="B29" s="0" t="s">
        <v>601</v>
      </c>
      <c r="C29" s="0" t="s">
        <v>602</v>
      </c>
    </row>
    <row r="30" customFormat="false" ht="15" hidden="false" customHeight="false" outlineLevel="0" collapsed="false">
      <c r="A30" s="0" t="s">
        <v>603</v>
      </c>
      <c r="B30" s="0" t="s">
        <v>604</v>
      </c>
      <c r="C30" s="0" t="s">
        <v>605</v>
      </c>
    </row>
    <row r="31" customFormat="false" ht="15" hidden="false" customHeight="false" outlineLevel="0" collapsed="false">
      <c r="A31" s="0" t="s">
        <v>606</v>
      </c>
      <c r="B31" s="0" t="s">
        <v>607</v>
      </c>
      <c r="C31" s="0" t="s">
        <v>608</v>
      </c>
    </row>
    <row r="32" customFormat="false" ht="15" hidden="false" customHeight="false" outlineLevel="0" collapsed="false">
      <c r="A32" s="0" t="s">
        <v>609</v>
      </c>
      <c r="B32" s="0" t="s">
        <v>610</v>
      </c>
      <c r="C32" s="0" t="s">
        <v>611</v>
      </c>
    </row>
    <row r="33" customFormat="false" ht="15" hidden="false" customHeight="false" outlineLevel="0" collapsed="false">
      <c r="A33" s="0" t="s">
        <v>612</v>
      </c>
      <c r="B33" s="0" t="s">
        <v>613</v>
      </c>
      <c r="C33" s="0" t="s">
        <v>614</v>
      </c>
    </row>
    <row r="34" customFormat="false" ht="15" hidden="false" customHeight="false" outlineLevel="0" collapsed="false">
      <c r="A34" s="0" t="s">
        <v>615</v>
      </c>
      <c r="B34" s="0" t="s">
        <v>616</v>
      </c>
      <c r="C34" s="0" t="s">
        <v>617</v>
      </c>
    </row>
    <row r="35" customFormat="false" ht="15" hidden="false" customHeight="false" outlineLevel="0" collapsed="false">
      <c r="A35" s="0" t="s">
        <v>618</v>
      </c>
      <c r="B35" s="0" t="s">
        <v>619</v>
      </c>
      <c r="C35" s="0" t="s">
        <v>620</v>
      </c>
    </row>
    <row r="36" customFormat="false" ht="15" hidden="false" customHeight="false" outlineLevel="0" collapsed="false">
      <c r="A36" s="0" t="s">
        <v>621</v>
      </c>
      <c r="B36" s="0" t="s">
        <v>622</v>
      </c>
      <c r="C36" s="0" t="s">
        <v>623</v>
      </c>
    </row>
    <row r="37" customFormat="false" ht="15" hidden="false" customHeight="false" outlineLevel="0" collapsed="false">
      <c r="A37" s="0" t="s">
        <v>624</v>
      </c>
      <c r="B37" s="0" t="s">
        <v>625</v>
      </c>
      <c r="C37" s="0" t="s">
        <v>626</v>
      </c>
    </row>
    <row r="38" customFormat="false" ht="15" hidden="false" customHeight="false" outlineLevel="0" collapsed="false">
      <c r="A38" s="0" t="s">
        <v>627</v>
      </c>
      <c r="B38" s="0" t="s">
        <v>628</v>
      </c>
      <c r="C38" s="0" t="s">
        <v>629</v>
      </c>
    </row>
    <row r="39" customFormat="false" ht="15" hidden="false" customHeight="false" outlineLevel="0" collapsed="false">
      <c r="A39" s="0" t="s">
        <v>630</v>
      </c>
      <c r="B39" s="0" t="s">
        <v>631</v>
      </c>
      <c r="C39" s="0" t="s">
        <v>629</v>
      </c>
    </row>
    <row r="40" customFormat="false" ht="15" hidden="false" customHeight="false" outlineLevel="0" collapsed="false">
      <c r="A40" s="0" t="s">
        <v>632</v>
      </c>
      <c r="B40" s="0" t="s">
        <v>633</v>
      </c>
      <c r="C40" s="0" t="s">
        <v>629</v>
      </c>
    </row>
    <row r="41" customFormat="false" ht="15" hidden="false" customHeight="false" outlineLevel="0" collapsed="false">
      <c r="A41" s="0" t="s">
        <v>634</v>
      </c>
      <c r="B41" s="0" t="s">
        <v>635</v>
      </c>
      <c r="C41" s="0" t="s">
        <v>629</v>
      </c>
    </row>
    <row r="42" customFormat="false" ht="15" hidden="false" customHeight="false" outlineLevel="0" collapsed="false">
      <c r="A42" s="0" t="s">
        <v>636</v>
      </c>
      <c r="B42" s="0" t="s">
        <v>637</v>
      </c>
      <c r="C42" s="0" t="s">
        <v>629</v>
      </c>
    </row>
    <row r="43" customFormat="false" ht="15" hidden="false" customHeight="false" outlineLevel="0" collapsed="false">
      <c r="A43" s="0" t="s">
        <v>638</v>
      </c>
      <c r="B43" s="0" t="s">
        <v>639</v>
      </c>
      <c r="C43" s="0" t="s">
        <v>629</v>
      </c>
    </row>
    <row r="44" customFormat="false" ht="15" hidden="false" customHeight="false" outlineLevel="0" collapsed="false">
      <c r="A44" s="0" t="s">
        <v>640</v>
      </c>
      <c r="B44" s="0" t="s">
        <v>641</v>
      </c>
      <c r="C44" s="0" t="s">
        <v>629</v>
      </c>
    </row>
    <row r="45" customFormat="false" ht="15" hidden="false" customHeight="false" outlineLevel="0" collapsed="false">
      <c r="A45" s="0" t="s">
        <v>642</v>
      </c>
      <c r="B45" s="0" t="s">
        <v>643</v>
      </c>
      <c r="C45" s="0" t="s">
        <v>629</v>
      </c>
    </row>
    <row r="46" customFormat="false" ht="15" hidden="false" customHeight="false" outlineLevel="0" collapsed="false">
      <c r="A46" s="0" t="s">
        <v>644</v>
      </c>
      <c r="B46" s="0" t="s">
        <v>645</v>
      </c>
      <c r="C46" s="0" t="s">
        <v>629</v>
      </c>
    </row>
    <row r="47" customFormat="false" ht="15" hidden="false" customHeight="false" outlineLevel="0" collapsed="false">
      <c r="A47" s="0" t="s">
        <v>646</v>
      </c>
      <c r="B47" s="0" t="s">
        <v>647</v>
      </c>
      <c r="C47" s="0" t="s">
        <v>629</v>
      </c>
    </row>
    <row r="48" customFormat="false" ht="15" hidden="false" customHeight="false" outlineLevel="0" collapsed="false">
      <c r="A48" s="0" t="s">
        <v>648</v>
      </c>
      <c r="B48" s="0" t="s">
        <v>649</v>
      </c>
      <c r="C48" s="0" t="s">
        <v>629</v>
      </c>
    </row>
    <row r="49" customFormat="false" ht="15" hidden="false" customHeight="false" outlineLevel="0" collapsed="false">
      <c r="A49" s="0" t="s">
        <v>650</v>
      </c>
      <c r="B49" s="0" t="s">
        <v>651</v>
      </c>
      <c r="C49" s="0" t="s">
        <v>629</v>
      </c>
    </row>
    <row r="50" customFormat="false" ht="15" hidden="false" customHeight="false" outlineLevel="0" collapsed="false">
      <c r="A50" s="0" t="s">
        <v>652</v>
      </c>
      <c r="B50" s="0" t="s">
        <v>653</v>
      </c>
      <c r="C50" s="0" t="s">
        <v>629</v>
      </c>
    </row>
    <row r="51" customFormat="false" ht="15" hidden="false" customHeight="false" outlineLevel="0" collapsed="false">
      <c r="A51" s="0" t="s">
        <v>654</v>
      </c>
      <c r="B51" s="0" t="s">
        <v>655</v>
      </c>
      <c r="C51" s="0" t="s">
        <v>629</v>
      </c>
    </row>
    <row r="52" customFormat="false" ht="15" hidden="false" customHeight="false" outlineLevel="0" collapsed="false">
      <c r="A52" s="0" t="s">
        <v>656</v>
      </c>
      <c r="B52" s="0" t="s">
        <v>657</v>
      </c>
      <c r="C52" s="0" t="s">
        <v>629</v>
      </c>
    </row>
    <row r="53" customFormat="false" ht="15" hidden="false" customHeight="false" outlineLevel="0" collapsed="false">
      <c r="A53" s="0" t="s">
        <v>658</v>
      </c>
      <c r="B53" s="0" t="s">
        <v>659</v>
      </c>
      <c r="C53" s="0" t="s">
        <v>629</v>
      </c>
    </row>
    <row r="54" customFormat="false" ht="15" hidden="false" customHeight="false" outlineLevel="0" collapsed="false">
      <c r="A54" s="0" t="s">
        <v>660</v>
      </c>
      <c r="B54" s="0" t="s">
        <v>661</v>
      </c>
      <c r="C54" s="0" t="s">
        <v>629</v>
      </c>
    </row>
    <row r="55" customFormat="false" ht="15" hidden="false" customHeight="false" outlineLevel="0" collapsed="false">
      <c r="A55" s="0" t="s">
        <v>662</v>
      </c>
      <c r="B55" s="0" t="s">
        <v>663</v>
      </c>
      <c r="C55" s="0" t="s">
        <v>629</v>
      </c>
    </row>
    <row r="56" customFormat="false" ht="15" hidden="false" customHeight="false" outlineLevel="0" collapsed="false">
      <c r="A56" s="0" t="s">
        <v>664</v>
      </c>
      <c r="B56" s="0" t="s">
        <v>665</v>
      </c>
      <c r="C56" s="0" t="s">
        <v>629</v>
      </c>
    </row>
    <row r="57" customFormat="false" ht="15" hidden="false" customHeight="false" outlineLevel="0" collapsed="false">
      <c r="A57" s="0" t="s">
        <v>666</v>
      </c>
      <c r="B57" s="0" t="s">
        <v>667</v>
      </c>
      <c r="C57" s="0" t="s">
        <v>668</v>
      </c>
    </row>
    <row r="58" customFormat="false" ht="15" hidden="false" customHeight="false" outlineLevel="0" collapsed="false">
      <c r="A58" s="0" t="s">
        <v>669</v>
      </c>
      <c r="B58" s="0" t="s">
        <v>670</v>
      </c>
      <c r="C58" s="0" t="s">
        <v>671</v>
      </c>
    </row>
    <row r="59" customFormat="false" ht="15" hidden="false" customHeight="false" outlineLevel="0" collapsed="false">
      <c r="A59" s="0" t="s">
        <v>672</v>
      </c>
      <c r="B59" s="0" t="s">
        <v>673</v>
      </c>
      <c r="C59" s="0" t="s">
        <v>674</v>
      </c>
    </row>
    <row r="60" customFormat="false" ht="15" hidden="false" customHeight="false" outlineLevel="0" collapsed="false">
      <c r="A60" s="0" t="s">
        <v>675</v>
      </c>
      <c r="B60" s="0" t="s">
        <v>676</v>
      </c>
      <c r="C60" s="0" t="s">
        <v>677</v>
      </c>
    </row>
    <row r="61" customFormat="false" ht="15" hidden="false" customHeight="false" outlineLevel="0" collapsed="false">
      <c r="A61" s="0" t="s">
        <v>678</v>
      </c>
      <c r="B61" s="0" t="s">
        <v>679</v>
      </c>
      <c r="C61" s="0" t="s">
        <v>680</v>
      </c>
    </row>
    <row r="62" customFormat="false" ht="15" hidden="false" customHeight="false" outlineLevel="0" collapsed="false">
      <c r="A62" s="0" t="s">
        <v>681</v>
      </c>
      <c r="B62" s="0" t="s">
        <v>682</v>
      </c>
      <c r="C62" s="0" t="s">
        <v>683</v>
      </c>
    </row>
    <row r="63" customFormat="false" ht="15" hidden="false" customHeight="false" outlineLevel="0" collapsed="false">
      <c r="A63" s="0" t="s">
        <v>684</v>
      </c>
      <c r="B63" s="0" t="s">
        <v>685</v>
      </c>
      <c r="C63" s="0" t="s">
        <v>686</v>
      </c>
    </row>
    <row r="64" customFormat="false" ht="15" hidden="false" customHeight="false" outlineLevel="0" collapsed="false">
      <c r="A64" s="0" t="s">
        <v>687</v>
      </c>
      <c r="B64" s="0" t="s">
        <v>688</v>
      </c>
      <c r="C64" s="0" t="s">
        <v>689</v>
      </c>
    </row>
    <row r="65" customFormat="false" ht="15" hidden="false" customHeight="false" outlineLevel="0" collapsed="false">
      <c r="A65" s="0" t="s">
        <v>690</v>
      </c>
      <c r="B65" s="0" t="s">
        <v>691</v>
      </c>
      <c r="C65" s="0" t="s">
        <v>692</v>
      </c>
    </row>
    <row r="66" customFormat="false" ht="15" hidden="false" customHeight="false" outlineLevel="0" collapsed="false">
      <c r="A66" s="0" t="s">
        <v>693</v>
      </c>
      <c r="B66" s="0" t="s">
        <v>694</v>
      </c>
      <c r="C66" s="0" t="s">
        <v>695</v>
      </c>
    </row>
    <row r="67" customFormat="false" ht="15" hidden="false" customHeight="false" outlineLevel="0" collapsed="false">
      <c r="A67" s="0" t="s">
        <v>696</v>
      </c>
      <c r="B67" s="0" t="s">
        <v>697</v>
      </c>
      <c r="C67" s="0" t="s">
        <v>698</v>
      </c>
    </row>
    <row r="68" customFormat="false" ht="15" hidden="false" customHeight="false" outlineLevel="0" collapsed="false">
      <c r="A68" s="0" t="s">
        <v>699</v>
      </c>
      <c r="B68" s="0" t="s">
        <v>700</v>
      </c>
      <c r="C68" s="0" t="s">
        <v>701</v>
      </c>
    </row>
    <row r="69" customFormat="false" ht="15" hidden="false" customHeight="false" outlineLevel="0" collapsed="false">
      <c r="A69" s="0" t="s">
        <v>702</v>
      </c>
      <c r="B69" s="0" t="s">
        <v>703</v>
      </c>
      <c r="C69" s="0" t="s">
        <v>704</v>
      </c>
    </row>
    <row r="70" customFormat="false" ht="15" hidden="false" customHeight="false" outlineLevel="0" collapsed="false">
      <c r="A70" s="0" t="s">
        <v>705</v>
      </c>
      <c r="B70" s="0" t="s">
        <v>706</v>
      </c>
      <c r="C70" s="0" t="s">
        <v>707</v>
      </c>
    </row>
    <row r="71" customFormat="false" ht="15" hidden="false" customHeight="false" outlineLevel="0" collapsed="false">
      <c r="A71" s="0" t="s">
        <v>708</v>
      </c>
      <c r="B71" s="0" t="s">
        <v>709</v>
      </c>
      <c r="C71" s="0" t="s">
        <v>710</v>
      </c>
    </row>
    <row r="72" customFormat="false" ht="15" hidden="false" customHeight="false" outlineLevel="0" collapsed="false">
      <c r="A72" s="0" t="s">
        <v>711</v>
      </c>
      <c r="B72" s="0" t="s">
        <v>712</v>
      </c>
      <c r="C72" s="0" t="s">
        <v>713</v>
      </c>
    </row>
    <row r="73" customFormat="false" ht="15" hidden="false" customHeight="false" outlineLevel="0" collapsed="false">
      <c r="A73" s="0" t="s">
        <v>714</v>
      </c>
      <c r="B73" s="0" t="s">
        <v>715</v>
      </c>
      <c r="C73" s="0" t="s">
        <v>716</v>
      </c>
    </row>
    <row r="74" customFormat="false" ht="15" hidden="false" customHeight="false" outlineLevel="0" collapsed="false">
      <c r="A74" s="0" t="s">
        <v>717</v>
      </c>
      <c r="B74" s="0" t="s">
        <v>718</v>
      </c>
      <c r="C74" s="0" t="s">
        <v>719</v>
      </c>
    </row>
    <row r="75" customFormat="false" ht="15" hidden="false" customHeight="false" outlineLevel="0" collapsed="false">
      <c r="A75" s="0" t="s">
        <v>720</v>
      </c>
      <c r="B75" s="0" t="s">
        <v>721</v>
      </c>
      <c r="C75" s="0" t="s">
        <v>722</v>
      </c>
    </row>
    <row r="76" customFormat="false" ht="15" hidden="false" customHeight="false" outlineLevel="0" collapsed="false">
      <c r="A76" s="0" t="s">
        <v>723</v>
      </c>
      <c r="B76" s="0" t="s">
        <v>724</v>
      </c>
      <c r="C76" s="0" t="s">
        <v>725</v>
      </c>
    </row>
    <row r="77" customFormat="false" ht="15" hidden="false" customHeight="false" outlineLevel="0" collapsed="false">
      <c r="A77" s="0" t="s">
        <v>726</v>
      </c>
      <c r="B77" s="0" t="s">
        <v>727</v>
      </c>
      <c r="C77" s="0" t="s">
        <v>728</v>
      </c>
    </row>
    <row r="78" customFormat="false" ht="15" hidden="false" customHeight="false" outlineLevel="0" collapsed="false">
      <c r="A78" s="0" t="s">
        <v>729</v>
      </c>
      <c r="B78" s="0" t="s">
        <v>730</v>
      </c>
      <c r="C78" s="0" t="s">
        <v>731</v>
      </c>
    </row>
    <row r="79" customFormat="false" ht="15" hidden="false" customHeight="false" outlineLevel="0" collapsed="false">
      <c r="A79" s="0" t="s">
        <v>732</v>
      </c>
      <c r="B79" s="0" t="s">
        <v>733</v>
      </c>
      <c r="C79" s="0" t="s">
        <v>734</v>
      </c>
    </row>
    <row r="80" customFormat="false" ht="15" hidden="false" customHeight="false" outlineLevel="0" collapsed="false">
      <c r="A80" s="0" t="s">
        <v>735</v>
      </c>
      <c r="B80" s="0" t="s">
        <v>736</v>
      </c>
      <c r="C80" s="0" t="s">
        <v>737</v>
      </c>
    </row>
    <row r="81" customFormat="false" ht="15" hidden="false" customHeight="false" outlineLevel="0" collapsed="false">
      <c r="A81" s="0" t="s">
        <v>738</v>
      </c>
      <c r="B81" s="0" t="s">
        <v>739</v>
      </c>
      <c r="C81" s="0" t="s">
        <v>740</v>
      </c>
    </row>
    <row r="82" customFormat="false" ht="15" hidden="false" customHeight="false" outlineLevel="0" collapsed="false">
      <c r="A82" s="0" t="s">
        <v>741</v>
      </c>
      <c r="B82" s="0" t="s">
        <v>742</v>
      </c>
      <c r="C82" s="0" t="s">
        <v>743</v>
      </c>
    </row>
    <row r="83" customFormat="false" ht="15" hidden="false" customHeight="false" outlineLevel="0" collapsed="false">
      <c r="A83" s="0" t="s">
        <v>744</v>
      </c>
      <c r="B83" s="0" t="s">
        <v>745</v>
      </c>
      <c r="C83" s="0" t="s">
        <v>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0" t="s">
        <v>746</v>
      </c>
      <c r="B1" s="0" t="s">
        <v>747</v>
      </c>
      <c r="C1" s="0" t="s">
        <v>748</v>
      </c>
      <c r="D1" s="0" t="s">
        <v>749</v>
      </c>
    </row>
    <row r="2" customFormat="false" ht="15" hidden="false" customHeight="false" outlineLevel="0" collapsed="false">
      <c r="A2" s="0" t="n">
        <v>1</v>
      </c>
      <c r="B2" s="0" t="s">
        <v>750</v>
      </c>
      <c r="C2" s="0" t="s">
        <v>751</v>
      </c>
      <c r="D2" s="0" t="s">
        <v>752</v>
      </c>
    </row>
    <row r="3" customFormat="false" ht="15" hidden="false" customHeight="false" outlineLevel="0" collapsed="false">
      <c r="A3" s="0" t="n">
        <v>2</v>
      </c>
      <c r="B3" s="0" t="s">
        <v>753</v>
      </c>
      <c r="C3" s="0" t="s">
        <v>754</v>
      </c>
      <c r="D3" s="0" t="s">
        <v>755</v>
      </c>
    </row>
    <row r="4" customFormat="false" ht="15" hidden="false" customHeight="false" outlineLevel="0" collapsed="false">
      <c r="A4" s="0" t="n">
        <v>3</v>
      </c>
      <c r="B4" s="0" t="s">
        <v>756</v>
      </c>
      <c r="C4" s="0" t="s">
        <v>757</v>
      </c>
      <c r="D4" s="0" t="s">
        <v>758</v>
      </c>
    </row>
    <row r="5" customFormat="false" ht="15" hidden="false" customHeight="false" outlineLevel="0" collapsed="false">
      <c r="A5" s="0" t="n">
        <v>4</v>
      </c>
      <c r="B5" s="0" t="s">
        <v>759</v>
      </c>
      <c r="C5" s="0" t="s">
        <v>760</v>
      </c>
      <c r="D5" s="0" t="s">
        <v>761</v>
      </c>
    </row>
    <row r="6" customFormat="false" ht="15" hidden="false" customHeight="false" outlineLevel="0" collapsed="false">
      <c r="A6" s="0" t="n">
        <v>5</v>
      </c>
      <c r="B6" s="0" t="s">
        <v>762</v>
      </c>
      <c r="C6" s="0" t="s">
        <v>751</v>
      </c>
      <c r="D6" s="0" t="s">
        <v>752</v>
      </c>
    </row>
    <row r="7" customFormat="false" ht="15" hidden="false" customHeight="false" outlineLevel="0" collapsed="false">
      <c r="A7" s="0" t="n">
        <v>6</v>
      </c>
      <c r="B7" s="0" t="s">
        <v>763</v>
      </c>
      <c r="C7" s="0" t="s">
        <v>764</v>
      </c>
      <c r="D7" s="0" t="s">
        <v>765</v>
      </c>
    </row>
    <row r="8" customFormat="false" ht="15" hidden="false" customHeight="false" outlineLevel="0" collapsed="false">
      <c r="A8" s="0" t="n">
        <v>7</v>
      </c>
      <c r="B8" s="0" t="s">
        <v>766</v>
      </c>
      <c r="C8" s="0" t="s">
        <v>767</v>
      </c>
      <c r="D8" s="0" t="s">
        <v>768</v>
      </c>
    </row>
    <row r="9" customFormat="false" ht="15" hidden="false" customHeight="false" outlineLevel="0" collapsed="false">
      <c r="A9" s="0" t="n">
        <v>8</v>
      </c>
      <c r="B9" s="0" t="s">
        <v>769</v>
      </c>
      <c r="C9" s="0" t="s">
        <v>770</v>
      </c>
      <c r="D9" s="0" t="s">
        <v>771</v>
      </c>
    </row>
    <row r="10" customFormat="false" ht="15" hidden="false" customHeight="false" outlineLevel="0" collapsed="false">
      <c r="A10" s="0" t="n">
        <v>9</v>
      </c>
      <c r="B10" s="0" t="s">
        <v>772</v>
      </c>
      <c r="C10" s="0" t="s">
        <v>773</v>
      </c>
      <c r="D10" s="0" t="s">
        <v>755</v>
      </c>
    </row>
    <row r="11" customFormat="false" ht="15" hidden="false" customHeight="false" outlineLevel="0" collapsed="false">
      <c r="A11" s="0" t="n">
        <v>10</v>
      </c>
      <c r="B11" s="0" t="s">
        <v>774</v>
      </c>
      <c r="C11" s="0" t="s">
        <v>775</v>
      </c>
      <c r="D11" s="0" t="s">
        <v>771</v>
      </c>
    </row>
    <row r="12" customFormat="false" ht="15" hidden="false" customHeight="false" outlineLevel="0" collapsed="false">
      <c r="A12" s="0" t="n">
        <v>11</v>
      </c>
      <c r="B12" s="0" t="s">
        <v>776</v>
      </c>
      <c r="C12" s="0" t="s">
        <v>777</v>
      </c>
      <c r="D12" s="0" t="s">
        <v>778</v>
      </c>
    </row>
    <row r="13" customFormat="false" ht="15" hidden="false" customHeight="false" outlineLevel="0" collapsed="false">
      <c r="A13" s="0" t="n">
        <v>12</v>
      </c>
      <c r="B13" s="0" t="s">
        <v>779</v>
      </c>
      <c r="C13" s="0" t="s">
        <v>780</v>
      </c>
      <c r="D13" s="0" t="s">
        <v>781</v>
      </c>
    </row>
    <row r="14" customFormat="false" ht="15" hidden="false" customHeight="false" outlineLevel="0" collapsed="false">
      <c r="A14" s="0" t="n">
        <v>13</v>
      </c>
      <c r="B14" s="0" t="s">
        <v>782</v>
      </c>
      <c r="C14" s="0" t="s">
        <v>783</v>
      </c>
      <c r="D14" s="0" t="s">
        <v>784</v>
      </c>
    </row>
    <row r="15" customFormat="false" ht="15" hidden="false" customHeight="false" outlineLevel="0" collapsed="false">
      <c r="A15" s="0" t="n">
        <v>14</v>
      </c>
      <c r="B15" s="0" t="s">
        <v>785</v>
      </c>
      <c r="C15" s="0" t="s">
        <v>786</v>
      </c>
      <c r="D15" s="0" t="s">
        <v>787</v>
      </c>
    </row>
    <row r="16" customFormat="false" ht="15" hidden="false" customHeight="false" outlineLevel="0" collapsed="false">
      <c r="A16" s="0" t="n">
        <v>15</v>
      </c>
      <c r="B16" s="0" t="s">
        <v>788</v>
      </c>
      <c r="C16" s="0" t="s">
        <v>789</v>
      </c>
      <c r="D16" s="0" t="s">
        <v>790</v>
      </c>
    </row>
    <row r="17" customFormat="false" ht="15" hidden="false" customHeight="false" outlineLevel="0" collapsed="false">
      <c r="A17" s="0" t="n">
        <v>16</v>
      </c>
      <c r="B17" s="0" t="s">
        <v>791</v>
      </c>
      <c r="C17" s="0" t="s">
        <v>792</v>
      </c>
      <c r="D17" s="0" t="s">
        <v>793</v>
      </c>
    </row>
    <row r="18" customFormat="false" ht="15" hidden="false" customHeight="false" outlineLevel="0" collapsed="false">
      <c r="A18" s="0" t="n">
        <v>17</v>
      </c>
      <c r="B18" s="0" t="s">
        <v>794</v>
      </c>
      <c r="C18" s="0" t="s">
        <v>795</v>
      </c>
      <c r="D18" s="0" t="s">
        <v>796</v>
      </c>
    </row>
    <row r="19" customFormat="false" ht="15" hidden="false" customHeight="false" outlineLevel="0" collapsed="false">
      <c r="A19" s="0" t="n">
        <v>18</v>
      </c>
      <c r="B19" s="0" t="s">
        <v>797</v>
      </c>
      <c r="C19" s="0" t="s">
        <v>798</v>
      </c>
      <c r="D19" s="0" t="s">
        <v>799</v>
      </c>
    </row>
    <row r="20" customFormat="false" ht="15" hidden="false" customHeight="false" outlineLevel="0" collapsed="false">
      <c r="A20" s="0" t="n">
        <v>19</v>
      </c>
      <c r="B20" s="0" t="s">
        <v>800</v>
      </c>
      <c r="C20" s="0" t="s">
        <v>801</v>
      </c>
      <c r="D20" s="0" t="s">
        <v>802</v>
      </c>
    </row>
    <row r="21" customFormat="false" ht="15" hidden="false" customHeight="false" outlineLevel="0" collapsed="false">
      <c r="A21" s="0" t="n">
        <v>20</v>
      </c>
      <c r="B21" s="0" t="s">
        <v>803</v>
      </c>
      <c r="C21" s="0" t="s">
        <v>792</v>
      </c>
      <c r="D21" s="0" t="s">
        <v>804</v>
      </c>
    </row>
    <row r="22" customFormat="false" ht="15" hidden="false" customHeight="false" outlineLevel="0" collapsed="false">
      <c r="A22" s="0" t="n">
        <v>21</v>
      </c>
      <c r="B22" s="0" t="s">
        <v>805</v>
      </c>
      <c r="C22" s="0" t="s">
        <v>792</v>
      </c>
      <c r="D22" s="0" t="s">
        <v>806</v>
      </c>
    </row>
    <row r="23" customFormat="false" ht="15" hidden="false" customHeight="false" outlineLevel="0" collapsed="false">
      <c r="A23" s="0" t="n">
        <v>22</v>
      </c>
      <c r="B23" s="0" t="s">
        <v>807</v>
      </c>
      <c r="C23" s="0" t="s">
        <v>808</v>
      </c>
      <c r="D23" s="0" t="s">
        <v>809</v>
      </c>
    </row>
    <row r="24" customFormat="false" ht="15" hidden="false" customHeight="false" outlineLevel="0" collapsed="false">
      <c r="A24" s="0" t="n">
        <v>23</v>
      </c>
      <c r="B24" s="0" t="s">
        <v>810</v>
      </c>
      <c r="C24" s="0" t="s">
        <v>811</v>
      </c>
      <c r="D24" s="0" t="s">
        <v>812</v>
      </c>
    </row>
    <row r="25" customFormat="false" ht="15" hidden="false" customHeight="false" outlineLevel="0" collapsed="false">
      <c r="A25" s="0" t="n">
        <v>24</v>
      </c>
      <c r="B25" s="0" t="s">
        <v>813</v>
      </c>
      <c r="C25" s="0" t="s">
        <v>792</v>
      </c>
      <c r="D25" s="0" t="s">
        <v>814</v>
      </c>
    </row>
    <row r="26" customFormat="false" ht="15" hidden="false" customHeight="false" outlineLevel="0" collapsed="false">
      <c r="A26" s="0" t="n">
        <v>25</v>
      </c>
      <c r="B26" s="0" t="s">
        <v>815</v>
      </c>
      <c r="C26" s="0" t="s">
        <v>816</v>
      </c>
      <c r="D26" s="0" t="s">
        <v>817</v>
      </c>
    </row>
    <row r="27" customFormat="false" ht="15" hidden="false" customHeight="false" outlineLevel="0" collapsed="false">
      <c r="A27" s="0" t="n">
        <v>26</v>
      </c>
      <c r="B27" s="0" t="s">
        <v>818</v>
      </c>
      <c r="C27" s="0" t="s">
        <v>819</v>
      </c>
      <c r="D27" s="0" t="s">
        <v>820</v>
      </c>
    </row>
    <row r="28" customFormat="false" ht="15" hidden="false" customHeight="false" outlineLevel="0" collapsed="false">
      <c r="A28" s="0" t="n">
        <v>27</v>
      </c>
      <c r="B28" s="0" t="s">
        <v>821</v>
      </c>
      <c r="C28" s="0" t="s">
        <v>822</v>
      </c>
      <c r="D28" s="0" t="s">
        <v>802</v>
      </c>
    </row>
    <row r="29" customFormat="false" ht="15" hidden="false" customHeight="false" outlineLevel="0" collapsed="false">
      <c r="A29" s="0" t="n">
        <v>28</v>
      </c>
      <c r="B29" s="0" t="s">
        <v>823</v>
      </c>
      <c r="C29" s="0" t="s">
        <v>822</v>
      </c>
      <c r="D29" s="0" t="s">
        <v>802</v>
      </c>
    </row>
    <row r="30" customFormat="false" ht="15" hidden="false" customHeight="false" outlineLevel="0" collapsed="false">
      <c r="A30" s="0" t="n">
        <v>29</v>
      </c>
      <c r="B30" s="0" t="s">
        <v>824</v>
      </c>
      <c r="C30" s="0" t="s">
        <v>822</v>
      </c>
      <c r="D30" s="0" t="s">
        <v>802</v>
      </c>
    </row>
    <row r="31" customFormat="false" ht="15" hidden="false" customHeight="false" outlineLevel="0" collapsed="false">
      <c r="A31" s="0" t="n">
        <v>30</v>
      </c>
      <c r="B31" s="0" t="s">
        <v>825</v>
      </c>
      <c r="C31" s="0" t="s">
        <v>826</v>
      </c>
      <c r="D31" s="0" t="s">
        <v>827</v>
      </c>
    </row>
    <row r="32" customFormat="false" ht="15" hidden="false" customHeight="false" outlineLevel="0" collapsed="false">
      <c r="A32" s="0" t="n">
        <v>31</v>
      </c>
      <c r="B32" s="0" t="s">
        <v>828</v>
      </c>
      <c r="C32" s="0" t="s">
        <v>829</v>
      </c>
      <c r="D32" s="0" t="s">
        <v>830</v>
      </c>
    </row>
    <row r="33" customFormat="false" ht="15" hidden="false" customHeight="false" outlineLevel="0" collapsed="false">
      <c r="A33" s="0" t="n">
        <v>32</v>
      </c>
      <c r="B33" s="0" t="s">
        <v>831</v>
      </c>
      <c r="C33" s="0" t="s">
        <v>832</v>
      </c>
      <c r="D33" s="0" t="s">
        <v>833</v>
      </c>
    </row>
    <row r="34" customFormat="false" ht="15" hidden="false" customHeight="false" outlineLevel="0" collapsed="false">
      <c r="A34" s="0" t="n">
        <v>33</v>
      </c>
      <c r="B34" s="0" t="s">
        <v>834</v>
      </c>
      <c r="C34" s="0" t="s">
        <v>835</v>
      </c>
      <c r="D34" s="0" t="s">
        <v>836</v>
      </c>
    </row>
    <row r="35" customFormat="false" ht="15" hidden="false" customHeight="false" outlineLevel="0" collapsed="false">
      <c r="A35" s="0" t="n">
        <v>34</v>
      </c>
      <c r="B35" s="0" t="s">
        <v>837</v>
      </c>
      <c r="C35" s="0" t="s">
        <v>838</v>
      </c>
      <c r="D35" s="0" t="s">
        <v>802</v>
      </c>
    </row>
    <row r="36" customFormat="false" ht="15" hidden="false" customHeight="false" outlineLevel="0" collapsed="false">
      <c r="A36" s="0" t="n">
        <v>35</v>
      </c>
      <c r="B36" s="0" t="s">
        <v>839</v>
      </c>
      <c r="C36" s="0" t="s">
        <v>840</v>
      </c>
      <c r="D36" s="0" t="s">
        <v>841</v>
      </c>
    </row>
    <row r="37" customFormat="false" ht="15" hidden="false" customHeight="false" outlineLevel="0" collapsed="false">
      <c r="A37" s="0" t="n">
        <v>36</v>
      </c>
      <c r="B37" s="0" t="s">
        <v>842</v>
      </c>
      <c r="C37" s="0" t="s">
        <v>345</v>
      </c>
      <c r="D37" s="0" t="s">
        <v>843</v>
      </c>
    </row>
    <row r="38" customFormat="false" ht="15" hidden="false" customHeight="false" outlineLevel="0" collapsed="false">
      <c r="A38" s="0" t="n">
        <v>37</v>
      </c>
      <c r="B38" s="0" t="s">
        <v>844</v>
      </c>
      <c r="C38" s="0" t="s">
        <v>845</v>
      </c>
      <c r="D38" s="0" t="s">
        <v>846</v>
      </c>
    </row>
    <row r="39" customFormat="false" ht="15" hidden="false" customHeight="false" outlineLevel="0" collapsed="false">
      <c r="A39" s="0" t="n">
        <v>38</v>
      </c>
      <c r="B39" s="0" t="s">
        <v>847</v>
      </c>
      <c r="C39" s="0" t="s">
        <v>363</v>
      </c>
      <c r="D39" s="0" t="s">
        <v>848</v>
      </c>
    </row>
    <row r="40" customFormat="false" ht="15" hidden="false" customHeight="false" outlineLevel="0" collapsed="false">
      <c r="A40" s="0" t="n">
        <v>39</v>
      </c>
      <c r="B40" s="0" t="s">
        <v>849</v>
      </c>
      <c r="C40" s="0" t="s">
        <v>850</v>
      </c>
      <c r="D40" s="0" t="s">
        <v>851</v>
      </c>
    </row>
    <row r="41" customFormat="false" ht="15" hidden="false" customHeight="false" outlineLevel="0" collapsed="false">
      <c r="A41" s="0" t="n">
        <v>40</v>
      </c>
      <c r="B41" s="0" t="s">
        <v>852</v>
      </c>
      <c r="C41" s="0" t="s">
        <v>853</v>
      </c>
      <c r="D41" s="0" t="s">
        <v>854</v>
      </c>
    </row>
    <row r="42" customFormat="false" ht="15" hidden="false" customHeight="false" outlineLevel="0" collapsed="false">
      <c r="A42" s="0" t="n">
        <v>41</v>
      </c>
      <c r="B42" s="0" t="s">
        <v>855</v>
      </c>
      <c r="C42" s="0" t="s">
        <v>822</v>
      </c>
      <c r="D42" s="0" t="s">
        <v>802</v>
      </c>
    </row>
    <row r="43" customFormat="false" ht="15" hidden="false" customHeight="false" outlineLevel="0" collapsed="false">
      <c r="A43" s="0" t="n">
        <v>42</v>
      </c>
      <c r="B43" s="0" t="s">
        <v>856</v>
      </c>
      <c r="C43" s="0" t="s">
        <v>822</v>
      </c>
      <c r="D43" s="0" t="s">
        <v>802</v>
      </c>
    </row>
    <row r="44" customFormat="false" ht="15" hidden="false" customHeight="false" outlineLevel="0" collapsed="false">
      <c r="A44" s="0" t="n">
        <v>43</v>
      </c>
      <c r="B44" s="0" t="s">
        <v>857</v>
      </c>
      <c r="C44" s="0" t="s">
        <v>822</v>
      </c>
      <c r="D44" s="0" t="s">
        <v>802</v>
      </c>
    </row>
    <row r="45" customFormat="false" ht="15" hidden="false" customHeight="false" outlineLevel="0" collapsed="false">
      <c r="A45" s="0" t="n">
        <v>44</v>
      </c>
      <c r="B45" s="0" t="s">
        <v>858</v>
      </c>
      <c r="C45" s="0" t="s">
        <v>822</v>
      </c>
      <c r="D45" s="0" t="s">
        <v>802</v>
      </c>
    </row>
    <row r="46" customFormat="false" ht="15" hidden="false" customHeight="false" outlineLevel="0" collapsed="false">
      <c r="A46" s="0" t="n">
        <v>45</v>
      </c>
      <c r="B46" s="0" t="s">
        <v>859</v>
      </c>
      <c r="C46" s="0" t="s">
        <v>822</v>
      </c>
      <c r="D46" s="0" t="s">
        <v>802</v>
      </c>
    </row>
    <row r="47" customFormat="false" ht="15" hidden="false" customHeight="false" outlineLevel="0" collapsed="false">
      <c r="A47" s="0" t="n">
        <v>46</v>
      </c>
      <c r="B47" s="0" t="s">
        <v>860</v>
      </c>
      <c r="C47" s="0" t="s">
        <v>861</v>
      </c>
      <c r="D47" s="0" t="s">
        <v>755</v>
      </c>
    </row>
    <row r="48" customFormat="false" ht="15" hidden="false" customHeight="false" outlineLevel="0" collapsed="false">
      <c r="A48" s="0" t="n">
        <v>47</v>
      </c>
      <c r="B48" s="0" t="s">
        <v>862</v>
      </c>
      <c r="C48" s="0" t="s">
        <v>863</v>
      </c>
      <c r="D48" s="0" t="s">
        <v>864</v>
      </c>
    </row>
    <row r="49" customFormat="false" ht="15" hidden="false" customHeight="false" outlineLevel="0" collapsed="false">
      <c r="A49" s="0" t="n">
        <v>48</v>
      </c>
      <c r="B49" s="0" t="s">
        <v>865</v>
      </c>
      <c r="C49" s="0" t="s">
        <v>866</v>
      </c>
      <c r="D49" s="0" t="s">
        <v>778</v>
      </c>
    </row>
    <row r="50" customFormat="false" ht="15" hidden="false" customHeight="false" outlineLevel="0" collapsed="false">
      <c r="A50" s="0" t="n">
        <v>49</v>
      </c>
      <c r="B50" s="0" t="s">
        <v>867</v>
      </c>
      <c r="C50" s="0" t="s">
        <v>866</v>
      </c>
      <c r="D50" s="0" t="s">
        <v>778</v>
      </c>
    </row>
    <row r="51" customFormat="false" ht="15" hidden="false" customHeight="false" outlineLevel="0" collapsed="false">
      <c r="A51" s="0" t="n">
        <v>50</v>
      </c>
      <c r="B51" s="0" t="s">
        <v>868</v>
      </c>
      <c r="C51" s="0" t="s">
        <v>869</v>
      </c>
      <c r="D51" s="0" t="s">
        <v>830</v>
      </c>
    </row>
    <row r="52" customFormat="false" ht="15" hidden="false" customHeight="false" outlineLevel="0" collapsed="false">
      <c r="A52" s="0" t="n">
        <v>51</v>
      </c>
      <c r="B52" s="0" t="s">
        <v>870</v>
      </c>
      <c r="C52" s="0" t="s">
        <v>871</v>
      </c>
      <c r="D52" s="0" t="s">
        <v>872</v>
      </c>
    </row>
    <row r="53" customFormat="false" ht="15" hidden="false" customHeight="false" outlineLevel="0" collapsed="false">
      <c r="A53" s="0" t="n">
        <v>52</v>
      </c>
      <c r="B53" s="0" t="s">
        <v>873</v>
      </c>
      <c r="C53" s="0" t="s">
        <v>874</v>
      </c>
      <c r="D53" s="0" t="s">
        <v>752</v>
      </c>
    </row>
    <row r="54" customFormat="false" ht="15" hidden="false" customHeight="false" outlineLevel="0" collapsed="false">
      <c r="A54" s="0" t="n">
        <v>53</v>
      </c>
      <c r="B54" s="0" t="s">
        <v>875</v>
      </c>
      <c r="C54" s="0" t="s">
        <v>876</v>
      </c>
      <c r="D54" s="0" t="s">
        <v>877</v>
      </c>
    </row>
    <row r="55" customFormat="false" ht="15" hidden="false" customHeight="false" outlineLevel="0" collapsed="false">
      <c r="A55" s="0" t="n">
        <v>54</v>
      </c>
      <c r="B55" s="0" t="s">
        <v>878</v>
      </c>
      <c r="C55" s="0" t="s">
        <v>879</v>
      </c>
      <c r="D55" s="0" t="s">
        <v>796</v>
      </c>
    </row>
    <row r="56" customFormat="false" ht="15" hidden="false" customHeight="false" outlineLevel="0" collapsed="false">
      <c r="A56" s="0" t="n">
        <v>55</v>
      </c>
      <c r="B56" s="0" t="s">
        <v>880</v>
      </c>
      <c r="C56" s="0" t="s">
        <v>881</v>
      </c>
      <c r="D56" s="0" t="s">
        <v>882</v>
      </c>
    </row>
    <row r="57" customFormat="false" ht="15" hidden="false" customHeight="false" outlineLevel="0" collapsed="false">
      <c r="A57" s="0" t="n">
        <v>56</v>
      </c>
      <c r="B57" s="0" t="s">
        <v>883</v>
      </c>
      <c r="C57" s="0" t="s">
        <v>884</v>
      </c>
      <c r="D57" s="0" t="s">
        <v>885</v>
      </c>
    </row>
    <row r="58" customFormat="false" ht="15" hidden="false" customHeight="false" outlineLevel="0" collapsed="false">
      <c r="A58" s="0" t="n">
        <v>57</v>
      </c>
      <c r="B58" s="0" t="s">
        <v>886</v>
      </c>
      <c r="C58" s="0" t="s">
        <v>887</v>
      </c>
      <c r="D58" s="0" t="s">
        <v>888</v>
      </c>
    </row>
    <row r="59" customFormat="false" ht="15" hidden="false" customHeight="false" outlineLevel="0" collapsed="false">
      <c r="A59" s="0" t="n">
        <v>58</v>
      </c>
      <c r="B59" s="0" t="s">
        <v>889</v>
      </c>
      <c r="C59" s="0" t="s">
        <v>890</v>
      </c>
      <c r="D59" s="0" t="s">
        <v>891</v>
      </c>
    </row>
    <row r="60" customFormat="false" ht="15" hidden="false" customHeight="false" outlineLevel="0" collapsed="false">
      <c r="A60" s="0" t="n">
        <v>59</v>
      </c>
      <c r="B60" s="0" t="s">
        <v>892</v>
      </c>
      <c r="C60" s="0" t="s">
        <v>893</v>
      </c>
      <c r="D60" s="0" t="s">
        <v>891</v>
      </c>
    </row>
    <row r="61" customFormat="false" ht="15" hidden="false" customHeight="false" outlineLevel="0" collapsed="false">
      <c r="A61" s="0" t="n">
        <v>60</v>
      </c>
      <c r="B61" s="0" t="s">
        <v>894</v>
      </c>
      <c r="C61" s="0" t="s">
        <v>895</v>
      </c>
      <c r="D61" s="0" t="s">
        <v>896</v>
      </c>
    </row>
    <row r="62" customFormat="false" ht="15" hidden="false" customHeight="false" outlineLevel="0" collapsed="false">
      <c r="A62" s="0" t="n">
        <v>61</v>
      </c>
      <c r="B62" s="0" t="s">
        <v>897</v>
      </c>
      <c r="C62" s="0" t="s">
        <v>110</v>
      </c>
      <c r="D62" s="0" t="s">
        <v>898</v>
      </c>
    </row>
    <row r="63" customFormat="false" ht="15" hidden="false" customHeight="false" outlineLevel="0" collapsed="false">
      <c r="A63" s="0" t="n">
        <v>62</v>
      </c>
      <c r="B63" s="0" t="s">
        <v>899</v>
      </c>
      <c r="C63" s="0" t="s">
        <v>900</v>
      </c>
      <c r="D63" s="0" t="s">
        <v>901</v>
      </c>
    </row>
    <row r="64" customFormat="false" ht="15" hidden="false" customHeight="false" outlineLevel="0" collapsed="false">
      <c r="A64" s="0" t="n">
        <v>63</v>
      </c>
      <c r="B64" s="0" t="s">
        <v>902</v>
      </c>
      <c r="C64" s="0" t="s">
        <v>903</v>
      </c>
      <c r="D64" s="0" t="s">
        <v>904</v>
      </c>
    </row>
    <row r="65" customFormat="false" ht="15" hidden="false" customHeight="false" outlineLevel="0" collapsed="false">
      <c r="A65" s="0" t="n">
        <v>64</v>
      </c>
      <c r="B65" s="0" t="s">
        <v>905</v>
      </c>
      <c r="C65" s="0" t="s">
        <v>175</v>
      </c>
      <c r="D65" s="0" t="s">
        <v>906</v>
      </c>
    </row>
    <row r="66" customFormat="false" ht="15" hidden="false" customHeight="false" outlineLevel="0" collapsed="false">
      <c r="A66" s="0" t="n">
        <v>65</v>
      </c>
      <c r="B66" s="0" t="s">
        <v>907</v>
      </c>
      <c r="C66" s="0" t="s">
        <v>908</v>
      </c>
      <c r="D66" s="0" t="s">
        <v>909</v>
      </c>
    </row>
    <row r="67" customFormat="false" ht="15" hidden="false" customHeight="false" outlineLevel="0" collapsed="false">
      <c r="A67" s="0" t="n">
        <v>66</v>
      </c>
      <c r="B67" s="0" t="s">
        <v>910</v>
      </c>
      <c r="C67" s="0" t="s">
        <v>911</v>
      </c>
      <c r="D67" s="0" t="s">
        <v>912</v>
      </c>
    </row>
    <row r="68" customFormat="false" ht="15" hidden="false" customHeight="false" outlineLevel="0" collapsed="false">
      <c r="A68" s="0" t="n">
        <v>67</v>
      </c>
      <c r="B68" s="0" t="s">
        <v>913</v>
      </c>
      <c r="C68" s="0" t="s">
        <v>914</v>
      </c>
      <c r="D68" s="0" t="s">
        <v>915</v>
      </c>
    </row>
    <row r="69" customFormat="false" ht="15" hidden="false" customHeight="false" outlineLevel="0" collapsed="false">
      <c r="A69" s="0" t="n">
        <v>68</v>
      </c>
      <c r="B69" s="0" t="s">
        <v>916</v>
      </c>
      <c r="C69" s="0" t="s">
        <v>917</v>
      </c>
      <c r="D69" s="0" t="s">
        <v>918</v>
      </c>
    </row>
    <row r="70" customFormat="false" ht="15" hidden="false" customHeight="false" outlineLevel="0" collapsed="false">
      <c r="A70" s="0" t="n">
        <v>69</v>
      </c>
      <c r="B70" s="0" t="s">
        <v>919</v>
      </c>
      <c r="C70" s="0" t="s">
        <v>920</v>
      </c>
      <c r="D70" s="0" t="s">
        <v>921</v>
      </c>
    </row>
    <row r="71" customFormat="false" ht="15" hidden="false" customHeight="false" outlineLevel="0" collapsed="false">
      <c r="A71" s="0" t="n">
        <v>70</v>
      </c>
      <c r="B71" s="0" t="s">
        <v>922</v>
      </c>
      <c r="C71" s="0" t="s">
        <v>923</v>
      </c>
      <c r="D71" s="0" t="s">
        <v>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925</v>
      </c>
      <c r="B1" s="0" t="s">
        <v>926</v>
      </c>
      <c r="C1" s="0" t="s">
        <v>59</v>
      </c>
      <c r="D1" s="0" t="s">
        <v>927</v>
      </c>
    </row>
    <row r="2" customFormat="false" ht="15" hidden="false" customHeight="false" outlineLevel="0" collapsed="false">
      <c r="A2" s="0" t="s">
        <v>928</v>
      </c>
      <c r="B2" s="0" t="s">
        <v>929</v>
      </c>
      <c r="C2" s="0" t="s">
        <v>930</v>
      </c>
      <c r="D2" s="0" t="s">
        <v>931</v>
      </c>
    </row>
    <row r="3" customFormat="false" ht="15" hidden="false" customHeight="false" outlineLevel="0" collapsed="false">
      <c r="A3" s="0" t="s">
        <v>932</v>
      </c>
      <c r="B3" s="0" t="s">
        <v>933</v>
      </c>
      <c r="C3" s="0" t="s">
        <v>930</v>
      </c>
      <c r="D3" s="0" t="s">
        <v>934</v>
      </c>
    </row>
    <row r="4" customFormat="false" ht="15" hidden="false" customHeight="false" outlineLevel="0" collapsed="false">
      <c r="A4" s="0" t="s">
        <v>935</v>
      </c>
      <c r="B4" s="0" t="s">
        <v>936</v>
      </c>
      <c r="C4" s="0" t="s">
        <v>930</v>
      </c>
      <c r="D4" s="0" t="s">
        <v>937</v>
      </c>
    </row>
    <row r="5" customFormat="false" ht="15" hidden="false" customHeight="false" outlineLevel="0" collapsed="false">
      <c r="A5" s="0" t="s">
        <v>938</v>
      </c>
      <c r="B5" s="0" t="s">
        <v>939</v>
      </c>
      <c r="C5" s="0" t="s">
        <v>930</v>
      </c>
      <c r="D5" s="0" t="s">
        <v>940</v>
      </c>
    </row>
    <row r="6" customFormat="false" ht="15" hidden="false" customHeight="false" outlineLevel="0" collapsed="false">
      <c r="A6" s="0" t="s">
        <v>941</v>
      </c>
      <c r="B6" s="0" t="s">
        <v>942</v>
      </c>
      <c r="C6" s="0" t="s">
        <v>930</v>
      </c>
      <c r="D6" s="0" t="s">
        <v>943</v>
      </c>
    </row>
    <row r="7" customFormat="false" ht="15" hidden="false" customHeight="false" outlineLevel="0" collapsed="false">
      <c r="A7" s="0" t="s">
        <v>944</v>
      </c>
      <c r="B7" s="0" t="s">
        <v>945</v>
      </c>
      <c r="C7" s="0" t="s">
        <v>930</v>
      </c>
      <c r="D7" s="0" t="s">
        <v>946</v>
      </c>
    </row>
    <row r="8" customFormat="false" ht="15" hidden="false" customHeight="false" outlineLevel="0" collapsed="false">
      <c r="A8" s="0" t="s">
        <v>947</v>
      </c>
      <c r="B8" s="0" t="s">
        <v>948</v>
      </c>
      <c r="C8" s="0" t="s">
        <v>930</v>
      </c>
      <c r="D8" s="0" t="s">
        <v>949</v>
      </c>
    </row>
    <row r="9" customFormat="false" ht="15" hidden="false" customHeight="false" outlineLevel="0" collapsed="false">
      <c r="A9" s="0" t="s">
        <v>950</v>
      </c>
      <c r="B9" s="0" t="s">
        <v>951</v>
      </c>
      <c r="C9" s="0" t="s">
        <v>930</v>
      </c>
      <c r="D9" s="0" t="s">
        <v>952</v>
      </c>
    </row>
    <row r="10" customFormat="false" ht="15" hidden="false" customHeight="false" outlineLevel="0" collapsed="false">
      <c r="A10" s="0" t="s">
        <v>953</v>
      </c>
      <c r="B10" s="0" t="s">
        <v>954</v>
      </c>
      <c r="C10" s="0" t="s">
        <v>930</v>
      </c>
      <c r="D10" s="0" t="s">
        <v>955</v>
      </c>
    </row>
    <row r="11" customFormat="false" ht="15" hidden="false" customHeight="false" outlineLevel="0" collapsed="false">
      <c r="A11" s="0" t="s">
        <v>956</v>
      </c>
      <c r="B11" s="0" t="s">
        <v>957</v>
      </c>
      <c r="C11" s="0" t="s">
        <v>930</v>
      </c>
      <c r="D11" s="0" t="s">
        <v>958</v>
      </c>
    </row>
    <row r="12" customFormat="false" ht="15" hidden="false" customHeight="false" outlineLevel="0" collapsed="false">
      <c r="A12" s="0" t="s">
        <v>959</v>
      </c>
      <c r="B12" s="0" t="s">
        <v>960</v>
      </c>
      <c r="C12" s="0" t="s">
        <v>930</v>
      </c>
      <c r="D12" s="0" t="s">
        <v>961</v>
      </c>
    </row>
    <row r="13" customFormat="false" ht="15" hidden="false" customHeight="false" outlineLevel="0" collapsed="false">
      <c r="A13" s="0" t="s">
        <v>962</v>
      </c>
      <c r="B13" s="0" t="s">
        <v>963</v>
      </c>
      <c r="C13" s="0" t="s">
        <v>930</v>
      </c>
      <c r="D13" s="0" t="s">
        <v>964</v>
      </c>
    </row>
    <row r="14" customFormat="false" ht="15" hidden="false" customHeight="false" outlineLevel="0" collapsed="false">
      <c r="A14" s="0" t="s">
        <v>965</v>
      </c>
      <c r="B14" s="0" t="s">
        <v>966</v>
      </c>
      <c r="C14" s="0" t="s">
        <v>930</v>
      </c>
      <c r="D14" s="0" t="s">
        <v>967</v>
      </c>
    </row>
    <row r="15" customFormat="false" ht="15" hidden="false" customHeight="false" outlineLevel="0" collapsed="false">
      <c r="A15" s="0" t="s">
        <v>968</v>
      </c>
      <c r="B15" s="0" t="s">
        <v>969</v>
      </c>
      <c r="C15" s="0" t="s">
        <v>930</v>
      </c>
      <c r="D15" s="0" t="s">
        <v>970</v>
      </c>
    </row>
    <row r="16" customFormat="false" ht="15" hidden="false" customHeight="false" outlineLevel="0" collapsed="false">
      <c r="A16" s="0" t="s">
        <v>971</v>
      </c>
      <c r="B16" s="0" t="s">
        <v>972</v>
      </c>
      <c r="C16" s="0" t="s">
        <v>930</v>
      </c>
      <c r="D16" s="0" t="s">
        <v>973</v>
      </c>
    </row>
    <row r="17" customFormat="false" ht="15" hidden="false" customHeight="false" outlineLevel="0" collapsed="false">
      <c r="A17" s="0" t="s">
        <v>974</v>
      </c>
      <c r="B17" s="0" t="s">
        <v>975</v>
      </c>
      <c r="C17" s="0" t="s">
        <v>930</v>
      </c>
      <c r="D17" s="0" t="s">
        <v>976</v>
      </c>
    </row>
    <row r="18" customFormat="false" ht="15" hidden="false" customHeight="false" outlineLevel="0" collapsed="false">
      <c r="A18" s="0" t="s">
        <v>977</v>
      </c>
      <c r="B18" s="0" t="s">
        <v>978</v>
      </c>
      <c r="C18" s="0" t="s">
        <v>930</v>
      </c>
      <c r="D18" s="0" t="s">
        <v>979</v>
      </c>
    </row>
    <row r="19" customFormat="false" ht="15" hidden="false" customHeight="false" outlineLevel="0" collapsed="false">
      <c r="A19" s="0" t="s">
        <v>980</v>
      </c>
      <c r="B19" s="0" t="s">
        <v>981</v>
      </c>
      <c r="C19" s="0" t="s">
        <v>930</v>
      </c>
      <c r="D19" s="0" t="s">
        <v>982</v>
      </c>
    </row>
    <row r="20" customFormat="false" ht="15" hidden="false" customHeight="false" outlineLevel="0" collapsed="false">
      <c r="A20" s="0" t="s">
        <v>983</v>
      </c>
      <c r="B20" s="0" t="s">
        <v>984</v>
      </c>
      <c r="C20" s="0" t="s">
        <v>930</v>
      </c>
      <c r="D20" s="0" t="s">
        <v>985</v>
      </c>
    </row>
    <row r="21" customFormat="false" ht="15" hidden="false" customHeight="false" outlineLevel="0" collapsed="false">
      <c r="A21" s="0" t="s">
        <v>986</v>
      </c>
      <c r="B21" s="0" t="s">
        <v>987</v>
      </c>
      <c r="C21" s="0" t="s">
        <v>930</v>
      </c>
      <c r="D21" s="0" t="s">
        <v>988</v>
      </c>
    </row>
    <row r="22" customFormat="false" ht="15" hidden="false" customHeight="false" outlineLevel="0" collapsed="false">
      <c r="A22" s="0" t="s">
        <v>989</v>
      </c>
      <c r="B22" s="0" t="s">
        <v>990</v>
      </c>
      <c r="C22" s="0" t="s">
        <v>991</v>
      </c>
      <c r="D22" s="0" t="s">
        <v>992</v>
      </c>
    </row>
    <row r="23" customFormat="false" ht="15" hidden="false" customHeight="false" outlineLevel="0" collapsed="false">
      <c r="A23" s="0" t="s">
        <v>993</v>
      </c>
      <c r="B23" s="0" t="s">
        <v>994</v>
      </c>
      <c r="C23" s="0" t="s">
        <v>991</v>
      </c>
      <c r="D23" s="0" t="s">
        <v>995</v>
      </c>
    </row>
    <row r="24" customFormat="false" ht="15" hidden="false" customHeight="false" outlineLevel="0" collapsed="false">
      <c r="A24" s="0" t="s">
        <v>996</v>
      </c>
      <c r="B24" s="0" t="s">
        <v>997</v>
      </c>
      <c r="C24" s="0" t="s">
        <v>930</v>
      </c>
      <c r="D24" s="0" t="s">
        <v>998</v>
      </c>
    </row>
    <row r="25" customFormat="false" ht="15" hidden="false" customHeight="false" outlineLevel="0" collapsed="false">
      <c r="A25" s="0" t="s">
        <v>999</v>
      </c>
      <c r="B25" s="0" t="s">
        <v>1000</v>
      </c>
      <c r="C25" s="0" t="s">
        <v>930</v>
      </c>
      <c r="D25" s="0" t="s">
        <v>1001</v>
      </c>
    </row>
    <row r="26" customFormat="false" ht="15" hidden="false" customHeight="false" outlineLevel="0" collapsed="false">
      <c r="A26" s="0" t="s">
        <v>1002</v>
      </c>
      <c r="B26" s="0" t="s">
        <v>1003</v>
      </c>
      <c r="C26" s="0" t="s">
        <v>991</v>
      </c>
      <c r="D26" s="0" t="s">
        <v>1004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1005</v>
      </c>
    </row>
    <row r="2" customFormat="false" ht="15" hidden="false" customHeight="false" outlineLevel="0" collapsed="false">
      <c r="A2" s="0" t="s">
        <v>1006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2026-10-20T10:28:07Z</dcterms:created>
  <dc:creator>openpyxl</dc:creator>
  <dc:description/>
  <dc:language>en-US</dc:language>
  <cp:lastModifiedBy/>
  <dcterms:modified xsi:type="dcterms:W3CDTF">2026-10-20T10:28:07Z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