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puts" sheetId="1" state="visible" r:id="rId3"/>
    <sheet name="Partition Takeoff" sheetId="2" state="visible" r:id="rId4"/>
    <sheet name="Material Summary" sheetId="3" state="visible" r:id="rId5"/>
    <sheet name="Pending Items" sheetId="4" state="visible" r:id="rId6"/>
    <sheet name="Review Items" sheetId="5" state="visible" r:id="rId7"/>
    <sheet name="Scope Checklist" sheetId="6" state="visible" r:id="rId8"/>
    <sheet name="_reglas"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<sst xmlns="http://schemas.openxmlformats.org/spreadsheetml/2006/main" count="1202" uniqueCount="745">
  <si>
    <t xml:space="preserve">Bank of America - Broomfield, CO   |   METAL FRAMING &amp; DRYWALL TAKEOFF</t>
  </si>
  <si>
    <t xml:space="preserve">Bid set: BOA Broomfield bid set CO1-111 (boa.pdf)   ·   2026-10-21   ·   Edit ONLY the yellow cells.</t>
  </si>
  <si>
    <t xml:space="preserve">PARAMETER</t>
  </si>
  <si>
    <t xml:space="preserve">VALUE</t>
  </si>
  <si>
    <t xml:space="preserve">NOTE / SOURCE</t>
  </si>
  <si>
    <t xml:space="preserve">Waste - ALL METAL, any type</t>
  </si>
  <si>
    <t xml:space="preserve">Estimator standing rule: 15% on everything that is metal.</t>
  </si>
  <si>
    <t xml:space="preserve">Waste - EVERYTHING THAT IS NOT METAL</t>
  </si>
  <si>
    <t xml:space="preserve">Estimator standing rule: same figure as board.</t>
  </si>
  <si>
    <t xml:space="preserve">Board sheet width (ft)</t>
  </si>
  <si>
    <t xml:space="preserve">Sheet size is a parameter; buy the size that wastes least.</t>
  </si>
  <si>
    <t xml:space="preserve">Board sheet length (ft)</t>
  </si>
  <si>
    <t xml:space="preserve">Change it and every sheet count re-rounds.</t>
  </si>
  <si>
    <t xml:space="preserve">SF per board sheet</t>
  </si>
  <si>
    <t xml:space="preserve">Width x length.</t>
  </si>
  <si>
    <t xml:space="preserve">Stud stock length (ft)</t>
  </si>
  <si>
    <t xml:space="preserve">Stud, header, framed opening and stud blocking: sticks.</t>
  </si>
  <si>
    <t xml:space="preserve">Track stock length (ft)</t>
  </si>
  <si>
    <t xml:space="preserve">Track, sill track and purlin: runs.</t>
  </si>
  <si>
    <t xml:space="preserve">Floor plan scale (pt/ft)</t>
  </si>
  <si>
    <t xml:space="preserve">Project value (canon constants).</t>
  </si>
  <si>
    <t xml:space="preserve">B.O. Deck (ft)</t>
  </si>
  <si>
    <t xml:space="preserve">T.O. Parapet (ft)</t>
  </si>
  <si>
    <t xml:space="preserve">Sealant coverage (LF per tube)</t>
  </si>
  <si>
    <t xml:space="preserve">Sealant yield per tube - set your supplier's figure.</t>
  </si>
  <si>
    <t xml:space="preserve">C.R. channel stock length (ft)</t>
  </si>
  <si>
    <t xml:space="preserve">1-1/2" cold-rolled channel (bracing, carrying channel).</t>
  </si>
  <si>
    <t xml:space="preserve">Hat / furring channel stock (ft)</t>
  </si>
  <si>
    <t xml:space="preserve">7/8" hat furring channel.</t>
  </si>
  <si>
    <t xml:space="preserve">Trim stick length (ft)</t>
  </si>
  <si>
    <t xml:space="preserve">Corner bead, casing bead, shadow molding, PVC trim.</t>
  </si>
  <si>
    <t xml:space="preserve">Hanger wire purchase</t>
  </si>
  <si>
    <t xml:space="preserve">continuous coil (LF)</t>
  </si>
  <si>
    <t xml:space="preserve">Bought by LF from a continuous coil; the hanger count goes on its own PCS row.</t>
  </si>
  <si>
    <t xml:space="preserve">Drywall screws per SF of board</t>
  </si>
  <si>
    <t xml:space="preserve">YIELD (GA-216 field / perimeter spacing).</t>
  </si>
  <si>
    <t xml:space="preserve">Framing screws per stud piece</t>
  </si>
  <si>
    <t xml:space="preserve">YIELD: 2 per stud-to-track connection, each end.</t>
  </si>
  <si>
    <t xml:space="preserve">Power-driven pin spacing (ft)</t>
  </si>
  <si>
    <t xml:space="preserve">YIELD: bottom track on slab, interior walls.</t>
  </si>
  <si>
    <t xml:space="preserve">Joint compound (lb per SF)</t>
  </si>
  <si>
    <t xml:space="preserve">YIELD: 72 lb per 1,000 SF, level 4 (estimator criterion).</t>
  </si>
  <si>
    <t xml:space="preserve">Joint tape (LF per SF)</t>
  </si>
  <si>
    <t xml:space="preserve">YIELD: 370 LF per 1,000 SF.</t>
  </si>
  <si>
    <t xml:space="preserve">Expansion anchor spacing (ft)</t>
  </si>
  <si>
    <t xml:space="preserve">YIELD: exterior bottom track on slab.</t>
  </si>
  <si>
    <t xml:space="preserve">ORGANIZED PARTITION TAKEOFF - Bank of America - Broomfield, CO</t>
  </si>
  <si>
    <t xml:space="preserve">Grouped by partition type. Every row cites its DETAIL/SHEET and its status.</t>
  </si>
  <si>
    <t xml:space="preserve">Partition / Scope</t>
  </si>
  <si>
    <t xml:space="preserve">Wall #</t>
  </si>
  <si>
    <t xml:space="preserve">Length (LF)</t>
  </si>
  <si>
    <t xml:space="preserve">Height (FT)</t>
  </si>
  <si>
    <t xml:space="preserve">Layers</t>
  </si>
  <si>
    <t xml:space="preserve">Stud Size</t>
  </si>
  <si>
    <t xml:space="preserve">Stud O.C. (in)</t>
  </si>
  <si>
    <t xml:space="preserve">Board (SF)</t>
  </si>
  <si>
    <t xml:space="preserve">Location</t>
  </si>
  <si>
    <t xml:space="preserve">Source (DETAIL/SHEET)</t>
  </si>
  <si>
    <t xml:space="preserve">Status</t>
  </si>
  <si>
    <t xml:space="preserve">TYPE EXT-6CFMF</t>
  </si>
  <si>
    <t xml:space="preserve">EXT-6CFMF  #A-AE-01  -  CENTRAL ZONE 103 / OFFICE 1 ME 105 / T-junction / no exposed face</t>
  </si>
  <si>
    <t xml:space="preserve">A-AE-01</t>
  </si>
  <si>
    <t xml:space="preserve">6"</t>
  </si>
  <si>
    <t xml:space="preserve">CENTRAL ZONE 103 / OFFICE 1 ME 105 / T-junction / no exposed face</t>
  </si>
  <si>
    <t xml:space="preserve">C/A09.21</t>
  </si>
  <si>
    <t xml:space="preserve">[DERIVED]</t>
  </si>
  <si>
    <t xml:space="preserve">EXT-6CFMF  #A-AE-03a+A-AE-03b+A-AE-03c  -  WELLNESS 115 / CORRIDOR 111 / T-junction / no exposed face + NER 121 / BREAK ROOM 118 / T-junction / no exposed face + BREAK ROOM 118 / WORK ROOM 119 / T-junction / no exposed face</t>
  </si>
  <si>
    <t xml:space="preserve">A-AE-03a+A-AE-03b+A-AE-03c</t>
  </si>
  <si>
    <t xml:space="preserve">WELLNESS 115 / CORRIDOR 111 / T-junction / no exposed face + NER 121 / BREAK ROOM 118 / T-junction / no exposed face + BREAK ROOM 118 / WORK ROOM 119 / T-junction / no exposed face</t>
  </si>
  <si>
    <t xml:space="preserve">EXT-6CFMF  #A-AE-05  -  ATM ROOM 102</t>
  </si>
  <si>
    <t xml:space="preserve">A-AE-05</t>
  </si>
  <si>
    <t xml:space="preserve">ATM ROOM 102</t>
  </si>
  <si>
    <t xml:space="preserve">EXT-6CFMF  #R-2-1a+R-2-1b  -  VESTIBULE 100 / 24 HR VESTIBULE 101 / ATM ROOM 102 / T-junction / no exposed face + ATM ROOM 102 / T-junction / no exposed face</t>
  </si>
  <si>
    <t xml:space="preserve">R-2-1a+R-2-1b</t>
  </si>
  <si>
    <t xml:space="preserve">VESTIBULE 100 / 24 HR VESTIBULE 101 / ATM ROOM 102 / T-junction / no exposed face + ATM ROOM 102 / T-junction / no exposed face</t>
  </si>
  <si>
    <t xml:space="preserve">EXT-6CFMF  #R-EXT-E-1a+R-EXT-E-1b  -  OFFICE 1 ME 105 / OFFICE 2 CL 106 / OFFICE 3 SB 107 / OFFICE 4 CB 108 / CASH WINDOW 116 / T-junction / no exposed face + CASH WINDOW 116 / WORK ROOM 119 / T-junction / no exposed face</t>
  </si>
  <si>
    <t xml:space="preserve">R-EXT-E-1a+R-EXT-E-1b</t>
  </si>
  <si>
    <t xml:space="preserve">OFFICE 1 ME 105 / OFFICE 2 CL 106 / OFFICE 3 SB 107 / OFFICE 4 CB 108 / CASH WINDOW 116 / T-junction / no exposed face + CASH WINDOW 116 / WORK ROOM 119 / T-junction / no exposed face</t>
  </si>
  <si>
    <t xml:space="preserve">EXT-6CFMF  #R-EXT-W3-1a+R-EXT-W3-1b  -  OFFICE 5 CB 109 / OFFICE 6 CB 110 / WOMEN'S RESTROOM 114 / T-junction / no exposed face + WOMEN'S RESTROOM 114 / CAVITY (plumbing chase between C1 R-21-1 and R-21-2) / MEN'S RESTROOM 113 / JANITOR CLOSET 112 / WELLNESS 115 / T-junction / no exposed face</t>
  </si>
  <si>
    <t xml:space="preserve">R-EXT-W3-1a+R-EXT-W3-1b</t>
  </si>
  <si>
    <t xml:space="preserve">OFFICE 5 CB 109 / OFFICE 6 CB 110 / WOMEN'S RESTROOM 114 / T-junction / no exposed face + WOMEN'S RESTROOM 114 / CAVITY (plumbing chase between C1 R-21-1 and R-21-2) / MEN'S RESTROOM 113 / JANITOR CLOSET 112 / WELLNESS 115 / T-junction / no exposed face</t>
  </si>
  <si>
    <t xml:space="preserve">TYPE CANOPY-COL</t>
  </si>
  <si>
    <t xml:space="preserve">CANOPY-COL  #A-AE-09  -  A-AE-09</t>
  </si>
  <si>
    <t xml:space="preserve">A-AE-09</t>
  </si>
  <si>
    <t xml:space="preserve">3-5/8"</t>
  </si>
  <si>
    <t xml:space="preserve">5/A09.25</t>
  </si>
  <si>
    <t xml:space="preserve">CANOPY-COL  #A-AE-10  -  A-AE-10</t>
  </si>
  <si>
    <t xml:space="preserve">A-AE-10</t>
  </si>
  <si>
    <t xml:space="preserve">CANOPY-COL  #A-AE-11  -  A-AE-11</t>
  </si>
  <si>
    <t xml:space="preserve">A-AE-11</t>
  </si>
  <si>
    <t xml:space="preserve">CANOPY-COL  #A-AE-12  -  A-AE-12</t>
  </si>
  <si>
    <t xml:space="preserve">A-AE-12</t>
  </si>
  <si>
    <t xml:space="preserve">TYPE F</t>
  </si>
  <si>
    <t xml:space="preserve">F  #A-AN-01  -  Diagonal ATM wall (60 deg from west exterior wall) between 24 HR VESTIBULE 101 and ATM ROOM 102</t>
  </si>
  <si>
    <t xml:space="preserve">A-AN-01</t>
  </si>
  <si>
    <t xml:space="preserve">Diagonal ATM wall (60 deg from west exterior wall) between 24 HR VESTIBULE 101 and ATM ROOM 102</t>
  </si>
  <si>
    <t xml:space="preserve">12/A12.01</t>
  </si>
  <si>
    <t xml:space="preserve">TYPE C1</t>
  </si>
  <si>
    <t xml:space="preserve">C1  #A-AN-02  -  Column enclosure / wall head at junction of ATM diagonal wall, B2 wall and R.O. 103 (24 HR VESTIBULE 101 / ATM ROOM 102 / CENTRAL ZONE 103)</t>
  </si>
  <si>
    <t xml:space="preserve">A-AN-02</t>
  </si>
  <si>
    <t xml:space="preserve">Column enclosure / wall head at junction of ATM diagonal wall, B2 wall and R.O. 103 (24 HR VESTIBULE 101 / ATM ROOM 102 / CENTRAL ZONE 103)</t>
  </si>
  <si>
    <t xml:space="preserve">6/A12.01</t>
  </si>
  <si>
    <t xml:space="preserve">C1  #A-AN-08  -  Column enclosure at junction of storefront VESTIBULE 100 / 24 HR VESTIBULE 101 and R.O. 103</t>
  </si>
  <si>
    <t xml:space="preserve">A-AN-08</t>
  </si>
  <si>
    <t xml:space="preserve">Column enclosure at junction of storefront VESTIBULE 100 / 24 HR VESTIBULE 101 and R.O. 103</t>
  </si>
  <si>
    <t xml:space="preserve">C1  #A-AN-13  -  C1 fur-out on north face of CALLING CUBES 122 wall, WAITING 104 side (keynote 7, display monitor)</t>
  </si>
  <si>
    <t xml:space="preserve">A-AN-13</t>
  </si>
  <si>
    <t xml:space="preserve">C1 fur-out on north face of CALLING CUBES 122 wall, WAITING 104 side (keynote 7, display monitor)</t>
  </si>
  <si>
    <t xml:space="preserve">[CONFIRMED]</t>
  </si>
  <si>
    <t xml:space="preserve">C1  #A-AS-16  -  within CASH WINDOW 116</t>
  </si>
  <si>
    <t xml:space="preserve">A-AS-16</t>
  </si>
  <si>
    <t xml:space="preserve">within CASH WINDOW 116</t>
  </si>
  <si>
    <t xml:space="preserve">C1  #R-16-1  -  storefront pier NW (grid 2, G-F) of VESTIBULE 100 - interior lining (3-5/8" metal stud + 5/8" GWB) on the faces toward VESTIBULE 100</t>
  </si>
  <si>
    <t xml:space="preserve">R-16-1</t>
  </si>
  <si>
    <t xml:space="preserve">storefront pier NW (grid 2, G-F) of VESTIBULE 100 - interior lining (3-5/8" metal stud + 5/8" GWB) on the faces toward VESTIBULE 100</t>
  </si>
  <si>
    <t xml:space="preserve">C1  #R-17-1  -  storefront pier NE (grid 4, G-F) of VESTIBULE 100 - interior lining (3-5/8" metal stud + 5/8" GWB) on the faces toward VESTIBULE 100</t>
  </si>
  <si>
    <t xml:space="preserve">R-17-1</t>
  </si>
  <si>
    <t xml:space="preserve">storefront pier NE (grid 4, G-F) of VESTIBULE 100 - interior lining (3-5/8" metal stud + 5/8" GWB) on the faces toward VESTIBULE 100</t>
  </si>
  <si>
    <t xml:space="preserve">C1  #R-21-1  -  N face of plumbing chase, WOMEN'S RESTROOM 114 side</t>
  </si>
  <si>
    <t xml:space="preserve">R-21-1</t>
  </si>
  <si>
    <t xml:space="preserve">N face of plumbing chase, WOMEN'S RESTROOM 114 side</t>
  </si>
  <si>
    <t xml:space="preserve">C1  #R-21-2  -  S face of plumbing chase, MEN'S RESTROOM 113 side</t>
  </si>
  <si>
    <t xml:space="preserve">R-21-2</t>
  </si>
  <si>
    <t xml:space="preserve">S face of plumbing chase, MEN'S RESTROOM 113 side</t>
  </si>
  <si>
    <t xml:space="preserve">TYPE B2</t>
  </si>
  <si>
    <t xml:space="preserve">B2  #A-AN-03  -  East wall of ATM ROOM 102 (between ATM ROOM 102 and CENTRAL ZONE 103 / WAITING 104 open area), with door 102</t>
  </si>
  <si>
    <t xml:space="preserve">A-AN-03</t>
  </si>
  <si>
    <t xml:space="preserve">East wall of ATM ROOM 102 (between ATM ROOM 102 and CENTRAL ZONE 103 / WAITING 104 open area), with door 102</t>
  </si>
  <si>
    <t xml:space="preserve">1/A12.01</t>
  </si>
  <si>
    <t xml:space="preserve">B2  #A-AS-12  -  between BREAK ROOM 118 and WORK ROOM 119</t>
  </si>
  <si>
    <t xml:space="preserve">A-AS-12</t>
  </si>
  <si>
    <t xml:space="preserve">between BREAK ROOM 118 and WORK ROOM 119</t>
  </si>
  <si>
    <t xml:space="preserve">B2  #A-AS-27a+A-AS-27b  -  between WOMEN'S RESTROOM 114 and CORRIDOR 111</t>
  </si>
  <si>
    <t xml:space="preserve">A-AS-27a+A-AS-27b</t>
  </si>
  <si>
    <t xml:space="preserve">between WOMEN'S RESTROOM 114 and CORRIDOR 111</t>
  </si>
  <si>
    <t xml:space="preserve">B2  #A-AS-28+A-AS-29+A-AS-30  -  between MEN'S RESTROOM 113 and CORRIDOR 111 + between STORAGE 117 and CORRIDOR 111 + between WELLNESS 115 and CORRIDOR 111</t>
  </si>
  <si>
    <t xml:space="preserve">A-AS-28+A-AS-29+A-AS-30</t>
  </si>
  <si>
    <t xml:space="preserve">between MEN'S RESTROOM 113 and CORRIDOR 111 + between STORAGE 117 and CORRIDOR 111 + between WELLNESS 115 and CORRIDOR 111</t>
  </si>
  <si>
    <t xml:space="preserve">TYPE G1</t>
  </si>
  <si>
    <t xml:space="preserve">G1  #A-AN-07  -  Office-front stub between OFFICE 5 CB 109 and OFFICE 6 CB 110 (east end of demising wall)</t>
  </si>
  <si>
    <t xml:space="preserve">A-AN-07</t>
  </si>
  <si>
    <t xml:space="preserve">1-5/8"</t>
  </si>
  <si>
    <t xml:space="preserve">Office-front stub between OFFICE 5 CB 109 and OFFICE 6 CB 110 (east end of demising wall)</t>
  </si>
  <si>
    <t xml:space="preserve">5/A12.01</t>
  </si>
  <si>
    <t xml:space="preserve">G1  #A-AN-16a+A-AN-16b  -  Between OFFICE 1 ME 105 and OFFICE 2 CL 106</t>
  </si>
  <si>
    <t xml:space="preserve">A-AN-16a+A-AN-16b</t>
  </si>
  <si>
    <t xml:space="preserve">Between OFFICE 1 ME 105 and OFFICE 2 CL 106</t>
  </si>
  <si>
    <t xml:space="preserve">G1  #R-6-1  -  jamb stub at S end of OFFICE 6 CB 110 office front DFC-1A, corner with G (110/114), corridor 111 side</t>
  </si>
  <si>
    <t xml:space="preserve">R-6-1</t>
  </si>
  <si>
    <t xml:space="preserve">jamb stub at S end of OFFICE 6 CB 110 office front DFC-1A, corner with G (110/114), corridor 111 side</t>
  </si>
  <si>
    <t xml:space="preserve">TYPE G</t>
  </si>
  <si>
    <t xml:space="preserve">G  #A-AN-06a+A-AN-06b  -  Between OFFICE 5 CB 109 and OFFICE 6 CB 110</t>
  </si>
  <si>
    <t xml:space="preserve">A-AN-06a+A-AN-06b</t>
  </si>
  <si>
    <t xml:space="preserve">Between OFFICE 5 CB 109 and OFFICE 6 CB 110</t>
  </si>
  <si>
    <t xml:space="preserve">G  #A-AN-17  -  Between OFFICE 2 CL 106 and OFFICE 3 SB 107</t>
  </si>
  <si>
    <t xml:space="preserve">A-AN-17</t>
  </si>
  <si>
    <t xml:space="preserve">Between OFFICE 2 CL 106 and OFFICE 3 SB 107</t>
  </si>
  <si>
    <t xml:space="preserve">G  #A-AN-18  -  Between OFFICE 3 SB 107 and OFFICE 4 CB 108</t>
  </si>
  <si>
    <t xml:space="preserve">A-AN-18</t>
  </si>
  <si>
    <t xml:space="preserve">Between OFFICE 3 SB 107 and OFFICE 4 CB 108</t>
  </si>
  <si>
    <t xml:space="preserve">G  #A-AN-19  -  Office-front stub at NW corner of OFFICE 1 ME 105 (north end of DFC-1A front)</t>
  </si>
  <si>
    <t xml:space="preserve">A-AN-19</t>
  </si>
  <si>
    <t xml:space="preserve">Office-front stub at NW corner of OFFICE 1 ME 105 (north end of DFC-1A front)</t>
  </si>
  <si>
    <t xml:space="preserve">G  #A-AN-20  -  Office-front stub at OFFICE 1 ME 105 / OFFICE 2 CL 106 (west end of demising wall)</t>
  </si>
  <si>
    <t xml:space="preserve">A-AN-20</t>
  </si>
  <si>
    <t xml:space="preserve">Office-front stub at OFFICE 1 ME 105 / OFFICE 2 CL 106 (west end of demising wall)</t>
  </si>
  <si>
    <t xml:space="preserve">G  #A-AN-21a+A-AN-21b  -  Office-front stub at OFFICE 2 CL 106 / OFFICE 3 SB 107 (west end of demising wall)</t>
  </si>
  <si>
    <t xml:space="preserve">A-AN-21a+A-AN-21b</t>
  </si>
  <si>
    <t xml:space="preserve">Office-front stub at OFFICE 2 CL 106 / OFFICE 3 SB 107 (west end of demising wall)</t>
  </si>
  <si>
    <t xml:space="preserve">G  #A-AN-22  -  Office-front stub at OFFICE 3 SB 107 / OFFICE 4 CB 108 (west end of demising wall)</t>
  </si>
  <si>
    <t xml:space="preserve">A-AN-22</t>
  </si>
  <si>
    <t xml:space="preserve">Office-front stub at OFFICE 3 SB 107 / OFFICE 4 CB 108 (west end of demising wall)</t>
  </si>
  <si>
    <t xml:space="preserve">G  #A-AS-01  -  between OFFICE 6 CB 110 and WOMEN'S RESTROOM 114</t>
  </si>
  <si>
    <t xml:space="preserve">A-AS-01</t>
  </si>
  <si>
    <t xml:space="preserve">between OFFICE 6 CB 110 and WOMEN'S RESTROOM 114</t>
  </si>
  <si>
    <t xml:space="preserve">G  #A-AS-19  -  between OFFICE 4 CB 108 and CASH WINDOW 116</t>
  </si>
  <si>
    <t xml:space="preserve">A-AS-19</t>
  </si>
  <si>
    <t xml:space="preserve">between OFFICE 4 CB 108 and CASH WINDOW 116</t>
  </si>
  <si>
    <t xml:space="preserve">G  #B-BN-07a+B-BN-07b+B-BN-07c  -  between ATM ROOM 102 (N) and OFFICE 5 CB 109 (S)</t>
  </si>
  <si>
    <t xml:space="preserve">B-BN-07a+B-BN-07b+B-BN-07c</t>
  </si>
  <si>
    <t xml:space="preserve">between ATM ROOM 102 (N) and OFFICE 5 CB 109 (S)</t>
  </si>
  <si>
    <t xml:space="preserve">TYPE A1</t>
  </si>
  <si>
    <t xml:space="preserve">A1  #A-AN-12+A-AN-11  -  North wall of MW01 closet, between WAITING 104 and MW01 closet (west of CALLING CUBES 122) + North wall of CALLING CUBES 122, between WAITING 104 and CALLING CUBES 122</t>
  </si>
  <si>
    <t xml:space="preserve">A-AN-12+A-AN-11</t>
  </si>
  <si>
    <t xml:space="preserve">North wall of MW01 closet, between WAITING 104 and MW01 closet (west of CALLING CUBES 122) + North wall of CALLING CUBES 122, between WAITING 104 and CALLING CUBES 122</t>
  </si>
  <si>
    <t xml:space="preserve">3/A12.01</t>
  </si>
  <si>
    <t xml:space="preserve">A1  #A-AN-14  -  Between MW01 closet and CALLING CUBES 122</t>
  </si>
  <si>
    <t xml:space="preserve">A-AN-14</t>
  </si>
  <si>
    <t xml:space="preserve">Between MW01 closet and CALLING CUBES 122</t>
  </si>
  <si>
    <t xml:space="preserve">A1  #A-AS-03  -  within CORRIDOR 111</t>
  </si>
  <si>
    <t xml:space="preserve">A-AS-03</t>
  </si>
  <si>
    <t xml:space="preserve">within CORRIDOR 111</t>
  </si>
  <si>
    <t xml:space="preserve">A1  #A-AS-06  -  between MW01 millwork alcove (no room name printed) and CALLING CUBES 122</t>
  </si>
  <si>
    <t xml:space="preserve">A-AS-06</t>
  </si>
  <si>
    <t xml:space="preserve">between MW01 millwork alcove (no room name printed) and CALLING CUBES 122</t>
  </si>
  <si>
    <t xml:space="preserve">A1  #A-AS-08  -  between CALLING CUBES 122 and BREAK ROOM 118</t>
  </si>
  <si>
    <t xml:space="preserve">A-AS-08</t>
  </si>
  <si>
    <t xml:space="preserve">between CALLING CUBES 122 and BREAK ROOM 118</t>
  </si>
  <si>
    <t xml:space="preserve">A1  #A-AS-09  -  between BREAK ROOM 118 and unlabeled circulation (public side of teller line)</t>
  </si>
  <si>
    <t xml:space="preserve">A-AS-09</t>
  </si>
  <si>
    <t xml:space="preserve">between BREAK ROOM 118 and unlabeled circulation (public side of teller line)</t>
  </si>
  <si>
    <t xml:space="preserve">A1  #A-AS-10  -  between unlabeled circulation (public side of teller line) and BREAK ROOM 118</t>
  </si>
  <si>
    <t xml:space="preserve">A-AS-10</t>
  </si>
  <si>
    <t xml:space="preserve">between unlabeled circulation (public side of teller line) and BREAK ROOM 118</t>
  </si>
  <si>
    <t xml:space="preserve">A1  #A-AS-13  -  between CASH WINDOW 116 and WORK ROOM 119</t>
  </si>
  <si>
    <t xml:space="preserve">A-AS-13</t>
  </si>
  <si>
    <t xml:space="preserve">between CASH WINDOW 116 and WORK ROOM 119</t>
  </si>
  <si>
    <t xml:space="preserve">A1  #A-AS-24+A-AS-25+A-AS-26  -  between CORRIDOR 111 and BREAK ROOM 118 + between CORRIDOR 111 and ELECTRICAL 120 + between CORRIDOR 111 and NER 121</t>
  </si>
  <si>
    <t xml:space="preserve">A-AS-24+A-AS-25+A-AS-26</t>
  </si>
  <si>
    <t xml:space="preserve">between CORRIDOR 111 and BREAK ROOM 118 + between CORRIDOR 111 and ELECTRICAL 120 + between CORRIDOR 111 and NER 121</t>
  </si>
  <si>
    <t xml:space="preserve">TYPE A5</t>
  </si>
  <si>
    <t xml:space="preserve">A5  #A-AS-04  -  between CORRIDOR 111 and CALLING CUBES 122</t>
  </si>
  <si>
    <t xml:space="preserve">A-AS-04</t>
  </si>
  <si>
    <t xml:space="preserve">between CORRIDOR 111 and CALLING CUBES 122</t>
  </si>
  <si>
    <t xml:space="preserve">A5  #A-AS-05a+A-AS-05b  -  between CORRIDOR 111 and CALLING CUBES 122</t>
  </si>
  <si>
    <t xml:space="preserve">A-AS-05a+A-AS-05b</t>
  </si>
  <si>
    <t xml:space="preserve">A5  #A-AS-07a+A-AS-07b  -  between CALLING CUBES 122 and unlabeled circulation (public side of teller line)</t>
  </si>
  <si>
    <t xml:space="preserve">A-AS-07a+A-AS-07b</t>
  </si>
  <si>
    <t xml:space="preserve">between CALLING CUBES 122 and unlabeled circulation (public side of teller line)</t>
  </si>
  <si>
    <t xml:space="preserve">A5  #A-AS-11  -  between BREAK ROOM 118 and CASH WINDOW 116</t>
  </si>
  <si>
    <t xml:space="preserve">A-AS-11</t>
  </si>
  <si>
    <t xml:space="preserve">between BREAK ROOM 118 and CASH WINDOW 116</t>
  </si>
  <si>
    <t xml:space="preserve">TYPE A1K</t>
  </si>
  <si>
    <t xml:space="preserve">A1K  #A-AS-14  -  between unlabeled circulation (public side of teller line) and CASH WINDOW 116</t>
  </si>
  <si>
    <t xml:space="preserve">A-AS-14</t>
  </si>
  <si>
    <t xml:space="preserve">between unlabeled circulation (public side of teller line) and CASH WINDOW 116</t>
  </si>
  <si>
    <t xml:space="preserve">4/A12.01</t>
  </si>
  <si>
    <t xml:space="preserve">A1K  #A-AS-15  -  within CASH WINDOW 116</t>
  </si>
  <si>
    <t xml:space="preserve">A-AS-15</t>
  </si>
  <si>
    <t xml:space="preserve">A1K  #B-BS-31  -  cierre N de teller stations de CASH WINDOW 116</t>
  </si>
  <si>
    <t xml:space="preserve">B-BS-31</t>
  </si>
  <si>
    <t xml:space="preserve">cierre N de teller stations de CASH WINDOW 116</t>
  </si>
  <si>
    <t xml:space="preserve">TYPE B2K</t>
  </si>
  <si>
    <t xml:space="preserve">B2K  #A-AS-18  -  between OFFICE 4 CB 108 and unlabeled circulation (public side of teller line)</t>
  </si>
  <si>
    <t xml:space="preserve">A-AS-18</t>
  </si>
  <si>
    <t xml:space="preserve">between OFFICE 4 CB 108 and unlabeled circulation (public side of teller line)</t>
  </si>
  <si>
    <t xml:space="preserve">TYPE B</t>
  </si>
  <si>
    <t xml:space="preserve">B  #A-AS-20  -  between BREAK ROOM 118 and ELECTRICAL 120</t>
  </si>
  <si>
    <t xml:space="preserve">A-AS-20</t>
  </si>
  <si>
    <t xml:space="preserve">between BREAK ROOM 118 and ELECTRICAL 120</t>
  </si>
  <si>
    <t xml:space="preserve">B  #A-AS-21  -  between ELECTRICAL 120 and NER 121</t>
  </si>
  <si>
    <t xml:space="preserve">A-AS-21</t>
  </si>
  <si>
    <t xml:space="preserve">between ELECTRICAL 120 and NER 121</t>
  </si>
  <si>
    <t xml:space="preserve">B  #A-AS-22+A-AS-23  -  between ELECTRICAL 120 and BREAK ROOM 118 + between NER 121 and BREAK ROOM 118</t>
  </si>
  <si>
    <t xml:space="preserve">A-AS-22+A-AS-23</t>
  </si>
  <si>
    <t xml:space="preserve">between ELECTRICAL 120 and BREAK ROOM 118 + between NER 121 and BREAK ROOM 118</t>
  </si>
  <si>
    <t xml:space="preserve">B  #A-AS-36a+A-AS-36b+A-AS-37  -  between MEN'S RESTROOM 113 and JANITOR CLOSET 112 + between MEN'S RESTROOM 113 and STORAGE 117</t>
  </si>
  <si>
    <t xml:space="preserve">A-AS-36a+A-AS-36b+A-AS-37</t>
  </si>
  <si>
    <t xml:space="preserve">between MEN'S RESTROOM 113 and JANITOR CLOSET 112 + between MEN'S RESTROOM 113 and STORAGE 117</t>
  </si>
  <si>
    <t xml:space="preserve">B  #A-AS-38  -  between JANITOR CLOSET 112 and STORAGE 117</t>
  </si>
  <si>
    <t xml:space="preserve">A-AS-38</t>
  </si>
  <si>
    <t xml:space="preserve">between JANITOR CLOSET 112 and STORAGE 117</t>
  </si>
  <si>
    <t xml:space="preserve">B  #A-AS-39a+A-AS-39b+A-AS-40  -  between JANITOR CLOSET 112 and WELLNESS 115 + between STORAGE 117 and WELLNESS 115</t>
  </si>
  <si>
    <t xml:space="preserve">A-AS-39a+A-AS-39b+A-AS-40</t>
  </si>
  <si>
    <t xml:space="preserve">between JANITOR CLOSET 112 and WELLNESS 115 + between STORAGE 117 and WELLNESS 115</t>
  </si>
  <si>
    <t xml:space="preserve">TYPE BULKHEAD-G</t>
  </si>
  <si>
    <t xml:space="preserve">BULKHEAD-G  #DB-1+DB-2+DB-3+DB-4  -  CENTRAL ZONE 103 / OFFICE 1 ME 105 + CENTRAL ZONE 103 / OFFICE 2 CL 106 + CENTRAL ZONE 103 / OFFICE 3 SB 107 + CENTRAL ZONE 103 / OFFICE 4 CB 108</t>
  </si>
  <si>
    <t xml:space="preserve">DB-1+DB-2+DB-3+DB-4</t>
  </si>
  <si>
    <t xml:space="preserve">CENTRAL ZONE 103 / OFFICE 1 ME 105 + CENTRAL ZONE 103 / OFFICE 2 CL 106 + CENTRAL ZONE 103 / OFFICE 3 SB 107 + CENTRAL ZONE 103 / OFFICE 4 CB 108</t>
  </si>
  <si>
    <t xml:space="preserve">8/A12.01</t>
  </si>
  <si>
    <t xml:space="preserve">BULKHEAD-G  #DB-5+DB-6  -  CENTRAL ZONE 103 / OFFICE 5 CB 109 + CENTRAL ZONE 103 / OFFICE 6 CB 110</t>
  </si>
  <si>
    <t xml:space="preserve">DB-5+DB-6</t>
  </si>
  <si>
    <t xml:space="preserve">CENTRAL ZONE 103 / OFFICE 5 CB 109 + CENTRAL ZONE 103 / OFFICE 6 CB 110</t>
  </si>
  <si>
    <t xml:space="preserve">TYPE EXT-PARAPET</t>
  </si>
  <si>
    <t xml:space="preserve">EXT-PARAPET  #PAR-G  -  PAR-G</t>
  </si>
  <si>
    <t xml:space="preserve">PAR-G</t>
  </si>
  <si>
    <t xml:space="preserve">11/S5.10</t>
  </si>
  <si>
    <t xml:space="preserve">EXT-PARAPET  #PAR-4  -  PAR-4</t>
  </si>
  <si>
    <t xml:space="preserve">PAR-4</t>
  </si>
  <si>
    <t xml:space="preserve">EXT-PARAPET  #PAR-2  -  PAR-2</t>
  </si>
  <si>
    <t xml:space="preserve">PAR-2</t>
  </si>
  <si>
    <t xml:space="preserve">EXT-PARAPET  #PAR-D  -  PAR-D</t>
  </si>
  <si>
    <t xml:space="preserve">PAR-D</t>
  </si>
  <si>
    <t xml:space="preserve">EXT-PARAPET  #PAR-F  -  PAR-F</t>
  </si>
  <si>
    <t xml:space="preserve">PAR-F</t>
  </si>
  <si>
    <t xml:space="preserve">EXT-PARAPET  #PAR-8a+PAR-8b  -  PAR-8a + PAR-8b</t>
  </si>
  <si>
    <t xml:space="preserve">PAR-8a+PAR-8b</t>
  </si>
  <si>
    <t xml:space="preserve">PAR-8a + PAR-8b</t>
  </si>
  <si>
    <t xml:space="preserve">EXT-PARAPET  #PAR-A  -  PAR-A</t>
  </si>
  <si>
    <t xml:space="preserve">PAR-A</t>
  </si>
  <si>
    <t xml:space="preserve">EXT-PARAPET  #PAR-3a+PAR-3b  -  PAR-3a + PAR-3b</t>
  </si>
  <si>
    <t xml:space="preserve">PAR-3a+PAR-3b</t>
  </si>
  <si>
    <t xml:space="preserve">PAR-3a + PAR-3b</t>
  </si>
  <si>
    <t xml:space="preserve">TOTAL - PARTITIONS</t>
  </si>
  <si>
    <t xml:space="preserve">TYPE OTHER FRAMING (NOT A PARTITION)</t>
  </si>
  <si>
    <t xml:space="preserve">pier_part  #R-16-2  -  storefront pier NW (grid 2, G-F) of VESTIBULE 100 - exterior 6" CFMF L (faces N+W)</t>
  </si>
  <si>
    <t xml:space="preserve">R-16-2</t>
  </si>
  <si>
    <t xml:space="preserve">storefront pier NW (grid 2, G-F) of VESTIBULE 100 - exterior 6" CFMF L (faces N+W)</t>
  </si>
  <si>
    <t xml:space="preserve">pier_part  #R-17-2  -  storefront pier NE (grid 4, G-F) of VESTIBULE 100 - exterior 6" CFMF L (faces N+E)</t>
  </si>
  <si>
    <t xml:space="preserve">R-17-2</t>
  </si>
  <si>
    <t xml:space="preserve">storefront pier NE (grid 4, G-F) of VESTIBULE 100 - exterior 6" CFMF L (faces N+E)</t>
  </si>
  <si>
    <t xml:space="preserve">storefront_cripples  #SFC-SF-V  -  VESTIBULE 100</t>
  </si>
  <si>
    <t xml:space="preserve">SFC-SF-V</t>
  </si>
  <si>
    <t xml:space="preserve">VESTIBULE 100</t>
  </si>
  <si>
    <t xml:space="preserve">2/A09.26</t>
  </si>
  <si>
    <t xml:space="preserve">storefront_cripples  #SFC-SF-S  -  CENTRAL ZONE 103</t>
  </si>
  <si>
    <t xml:space="preserve">SFC-SF-S</t>
  </si>
  <si>
    <t xml:space="preserve">CENTRAL ZONE 103</t>
  </si>
  <si>
    <t xml:space="preserve">storefront_cripples  #SFC-SF-W  -  VESTIBULE 100</t>
  </si>
  <si>
    <t xml:space="preserve">SFC-SF-W</t>
  </si>
  <si>
    <t xml:space="preserve">vestibule_head  #VH-1  -  VH-1</t>
  </si>
  <si>
    <t xml:space="preserve">VH-1</t>
  </si>
  <si>
    <t xml:space="preserve">6/A12.10</t>
  </si>
  <si>
    <t xml:space="preserve">vestibule_head  #VH-2  -  CENTRAL ZONE 103</t>
  </si>
  <si>
    <t xml:space="preserve">VH-2</t>
  </si>
  <si>
    <t xml:space="preserve">grille_head  #GH-1  -  CENTRAL ZONE 103 / 24 HR VESTIBULE 101</t>
  </si>
  <si>
    <t xml:space="preserve">GH-1</t>
  </si>
  <si>
    <t xml:space="preserve">2-1/2"</t>
  </si>
  <si>
    <t xml:space="preserve">CENTRAL ZONE 103 / 24 HR VESTIBULE 101</t>
  </si>
  <si>
    <t xml:space="preserve">4/A08.21</t>
  </si>
  <si>
    <t xml:space="preserve">fascia_box  #FB-N  -  FB-N</t>
  </si>
  <si>
    <t xml:space="preserve">FB-N</t>
  </si>
  <si>
    <t xml:space="preserve">16/A09.27</t>
  </si>
  <si>
    <t xml:space="preserve">fascia_box  #FB-W  -  FB-W</t>
  </si>
  <si>
    <t xml:space="preserve">FB-W</t>
  </si>
  <si>
    <t xml:space="preserve">fascia_box  #FB-WS  -  FB-WS</t>
  </si>
  <si>
    <t xml:space="preserve">FB-WS</t>
  </si>
  <si>
    <t xml:space="preserve">fascia_box  #FB-E  -  FB-E</t>
  </si>
  <si>
    <t xml:space="preserve">FB-E</t>
  </si>
  <si>
    <t xml:space="preserve">fascia_box  #FB-ES  -  FB-ES</t>
  </si>
  <si>
    <t xml:space="preserve">FB-ES</t>
  </si>
  <si>
    <t xml:space="preserve">fascia_box  #FB-S  -  FB-S</t>
  </si>
  <si>
    <t xml:space="preserve">FB-S</t>
  </si>
  <si>
    <t xml:space="preserve">fascia_box  #FB-SR  -  FB-SR</t>
  </si>
  <si>
    <t xml:space="preserve">FB-SR</t>
  </si>
  <si>
    <t xml:space="preserve">roof_step  #RS-1  -  roof step at grid B (above the low roof)</t>
  </si>
  <si>
    <t xml:space="preserve">RS-1</t>
  </si>
  <si>
    <t xml:space="preserve">roof step at grid B (above the low roof)</t>
  </si>
  <si>
    <t xml:space="preserve">4/A02.02</t>
  </si>
  <si>
    <t xml:space="preserve">roof_step  #RS-2  -  bulkhead under the deck at grid B</t>
  </si>
  <si>
    <t xml:space="preserve">RS-2</t>
  </si>
  <si>
    <t xml:space="preserve">bulkhead under the deck at grid B</t>
  </si>
  <si>
    <t xml:space="preserve">roof_step  #RS-3  -  bulkhead under the deck at grid B, S row</t>
  </si>
  <si>
    <t xml:space="preserve">RS-3</t>
  </si>
  <si>
    <t xml:space="preserve">bulkhead under the deck at grid B, S row</t>
  </si>
  <si>
    <t xml:space="preserve">ceiling_transition  #TR-104N  -  CENTRAL ZONE 103</t>
  </si>
  <si>
    <t xml:space="preserve">TR-104N</t>
  </si>
  <si>
    <t xml:space="preserve">7/A09.33</t>
  </si>
  <si>
    <t xml:space="preserve">ceiling_transition  #TR-104E  -  CENTRAL ZONE 103</t>
  </si>
  <si>
    <t xml:space="preserve">TR-104E</t>
  </si>
  <si>
    <t xml:space="preserve">ceiling_transition  #TR-104W  -  CENTRAL ZONE 103</t>
  </si>
  <si>
    <t xml:space="preserve">TR-104W</t>
  </si>
  <si>
    <t xml:space="preserve">ceiling_bulkhead  #BH-CSR  -  CENTRAL ZONE 103 (ACT 11'-6") / CENTRAL ZONE 103 (ACT 9'-0")</t>
  </si>
  <si>
    <t xml:space="preserve">BH-CSR</t>
  </si>
  <si>
    <t xml:space="preserve">CENTRAL ZONE 103 (ACT 11'-6") / CENTRAL ZONE 103 (ACT 9'-0")</t>
  </si>
  <si>
    <t xml:space="preserve">8/A09.33</t>
  </si>
  <si>
    <t xml:space="preserve">soffit_side  #SS-Wa  -  CENTRAL ZONE 103</t>
  </si>
  <si>
    <t xml:space="preserve">SS-Wa</t>
  </si>
  <si>
    <t xml:space="preserve">10/A09.33</t>
  </si>
  <si>
    <t xml:space="preserve">soffit_side  #SS-Wb  -  CENTRAL ZONE 103</t>
  </si>
  <si>
    <t xml:space="preserve">SS-Wb</t>
  </si>
  <si>
    <t xml:space="preserve">soffit_side  #SS-Ea  -  CASH WINDOW 116</t>
  </si>
  <si>
    <t xml:space="preserve">SS-Ea</t>
  </si>
  <si>
    <t xml:space="preserve">CASH WINDOW 116</t>
  </si>
  <si>
    <t xml:space="preserve">soffit_side  #SS-Eb  -  CASH WINDOW 116</t>
  </si>
  <si>
    <t xml:space="preserve">SS-Eb</t>
  </si>
  <si>
    <t xml:space="preserve">stub  #A-AN-05  -  Office-front end stub below south wall of ATM ROOM 102 (OFFICE 5 CB 109 side)</t>
  </si>
  <si>
    <t xml:space="preserve">A-AN-05</t>
  </si>
  <si>
    <t xml:space="preserve">Office-front end stub below south wall of ATM ROOM 102 (OFFICE 5 CB 109 side)</t>
  </si>
  <si>
    <t xml:space="preserve">alcove  #A-AS-32+A-AS-33+A-AS-34+A-AS-35  -  between WOMEN'S RESTROOM 114 and LAVATORY ALCOVE (open to CORRIDOR 111) + between MEN'S RESTROOM 113 and LAVATORY ALCOVE (open to CORRIDOR 111) + between LAVATORY ALCOVE (open to CORRIDOR 111) and MEN'S RESTROOM 113</t>
  </si>
  <si>
    <t xml:space="preserve">A-AS-32+A-AS-33+A-AS-34+A-AS-35</t>
  </si>
  <si>
    <t xml:space="preserve">between WOMEN'S RESTROOM 114 and LAVATORY ALCOVE (open to CORRIDOR 111) + between MEN'S RESTROOM 113 and LAVATORY ALCOVE (open to CORRIDOR 111) + between LAVATORY ALCOVE (open to CORRIDOR 111) and MEN'S RESTROOM 113</t>
  </si>
  <si>
    <t xml:space="preserve">MATERIAL SUMMARY - NET / WASTE / PURCHASE</t>
  </si>
  <si>
    <t xml:space="preserve">Waste lives HERE, in its own column, applied ONCE: Pieces = ROUNDUP(Net x (1 + waste) / stock). Every stock length, coverage and yield is an Inputs cell.</t>
  </si>
  <si>
    <t xml:space="preserve">Material</t>
  </si>
  <si>
    <t xml:space="preserve">Unit</t>
  </si>
  <si>
    <t xml:space="preserve">Net</t>
  </si>
  <si>
    <t xml:space="preserve">Waste %</t>
  </si>
  <si>
    <t xml:space="preserve">Waste</t>
  </si>
  <si>
    <t xml:space="preserve">Purchase</t>
  </si>
  <si>
    <t xml:space="preserve">Selling unit</t>
  </si>
  <si>
    <t xml:space="preserve">Pieces to buy</t>
  </si>
  <si>
    <t xml:space="preserve">Where it comes from</t>
  </si>
  <si>
    <t xml:space="preserve">Yield check (live formula)</t>
  </si>
  <si>
    <t xml:space="preserve">Framed openings - MEP, light slots and diffusers</t>
  </si>
  <si>
    <t xml:space="preserve">LF</t>
  </si>
  <si>
    <t xml:space="preserve">stick 20 ft</t>
  </si>
  <si>
    <t xml:space="preserve">framed_openings_out.json 'framed openings MEP' (framed_openings.py; E02.01, A04.01)</t>
  </si>
  <si>
    <t xml:space="preserve">Bottom track 6"</t>
  </si>
  <si>
    <t xml:space="preserve">run 10 ft</t>
  </si>
  <si>
    <t xml:space="preserve">familias_out.json track_by_element 'bottom track (all)' (R73.3)</t>
  </si>
  <si>
    <t xml:space="preserve">Bottom track 3-5/8"</t>
  </si>
  <si>
    <t xml:space="preserve">Bottom track 1-5/8"</t>
  </si>
  <si>
    <t xml:space="preserve">Bottom track - other framing (not a partition type, see source)</t>
  </si>
  <si>
    <t xml:space="preserve">Bottom track - roof step and heads (vestibule / bulkhead)</t>
  </si>
  <si>
    <t xml:space="preserve">Parapet bottom track</t>
  </si>
  <si>
    <t xml:space="preserve">Top / deflection track 6"</t>
  </si>
  <si>
    <t xml:space="preserve">familias_out.json track_by_element 'top / deflection track (all)' (R73.3)</t>
  </si>
  <si>
    <t xml:space="preserve">Top / deflection track 3-5/8"</t>
  </si>
  <si>
    <t xml:space="preserve">Top / deflection track 1-5/8"</t>
  </si>
  <si>
    <t xml:space="preserve">Top / deflection track - other framing (not a partition type, see source)</t>
  </si>
  <si>
    <t xml:space="preserve">Top track - roof step and heads (vestibule / bulkhead)</t>
  </si>
  <si>
    <t xml:space="preserve">Parapet top track</t>
  </si>
  <si>
    <t xml:space="preserve">6" metal stud (LF of material)</t>
  </si>
  <si>
    <t xml:space="preserve">familias_out.json '6" stud (all gauges)' (R80.4: canon family the run did not write)</t>
  </si>
  <si>
    <t xml:space="preserve">3-5/8" metal stud (LF of material)</t>
  </si>
  <si>
    <t xml:space="preserve">familias_out.json '3-5/8" stud (all gauges)' (R80.4: canon family the run did not write)</t>
  </si>
  <si>
    <t xml:space="preserve">1-5/8" metal stud (LF of material)</t>
  </si>
  <si>
    <t xml:space="preserve">familias_out.json '1-5/8" stud' (R80.4: canon family the run did not write)</t>
  </si>
  <si>
    <t xml:space="preserve">6" parapet infill stud (LF of material)</t>
  </si>
  <si>
    <t xml:space="preserve">familias_out.json '6" parapet stud' (R80.4: canon family the run did not write)</t>
  </si>
  <si>
    <t xml:space="preserve">Track, ceilings / soffits / canopy</t>
  </si>
  <si>
    <t xml:space="preserve">familias_out.json 'ceiling / soffit track' (R80.4: canon family the run did not write)</t>
  </si>
  <si>
    <t xml:space="preserve">Bracing 1-1/2" C.R. channel @ 48" O.C.</t>
  </si>
  <si>
    <t xml:space="preserve">C.R. channel 16 ft</t>
  </si>
  <si>
    <t xml:space="preserve">familias_out.json 'bracing C.R. channel' (R80.4: canon family the run did not write)</t>
  </si>
  <si>
    <t xml:space="preserve">Purlin, top track to deck</t>
  </si>
  <si>
    <t xml:space="preserve">familias_out.json 'purlin (track to deck)' (R80.4: canon family the run did not write)</t>
  </si>
  <si>
    <t xml:space="preserve">Header / metal stud box beam</t>
  </si>
  <si>
    <t xml:space="preserve">familias_out.json 'header / box beam' (R80.4: canon family the run did not write)</t>
  </si>
  <si>
    <t xml:space="preserve">Sill track</t>
  </si>
  <si>
    <t xml:space="preserve">familias_out.json 'sill track' (R80.4: canon family the run did not write)</t>
  </si>
  <si>
    <t xml:space="preserve">Furring channel (ceilings)</t>
  </si>
  <si>
    <t xml:space="preserve">hat channel 12 ft</t>
  </si>
  <si>
    <t xml:space="preserve">familias_out.json 'furring channel' (R80.4: canon family the run did not write)</t>
  </si>
  <si>
    <t xml:space="preserve">Carrying channel (ceilings)</t>
  </si>
  <si>
    <t xml:space="preserve">familias_out.json 'carrying channel' (R80.4: canon family the run did not write)</t>
  </si>
  <si>
    <t xml:space="preserve">Hanger wire</t>
  </si>
  <si>
    <t xml:space="preserve">familias_out.json 'hanger wire' (R80.4: canon family the run did not write)</t>
  </si>
  <si>
    <t xml:space="preserve">5/8" gypsum board, regular</t>
  </si>
  <si>
    <t xml:space="preserve">SF</t>
  </si>
  <si>
    <t xml:space="preserve">piece</t>
  </si>
  <si>
    <t xml:space="preserve">familias_out.json '5/8" gyp board regular (walls + ceilings)' (R80.4: canon family the run did not write)</t>
  </si>
  <si>
    <t xml:space="preserve">5/8" gypsum board, MOISTURE RESISTANT</t>
  </si>
  <si>
    <t xml:space="preserve">familias_out.json '5/8" gyp MOISTURE RESISTANT' (R80.4: canon family the run did not write)</t>
  </si>
  <si>
    <t xml:space="preserve">Ballistic panel 3/8" UL752</t>
  </si>
  <si>
    <t xml:space="preserve">familias_out.json 'ballistic panel' (R80.4: canon family the run did not write)</t>
  </si>
  <si>
    <t xml:space="preserve">3/8" gypsum board</t>
  </si>
  <si>
    <t xml:space="preserve">familias_out.json '3/8" gyp board' (R80.4: canon family the run did not write)</t>
  </si>
  <si>
    <t xml:space="preserve">5/8" glass mat sheathing (exterior face of the stud)</t>
  </si>
  <si>
    <t xml:space="preserve">familias_out.json '5/8" glass mat sheathing' (R80.4: canon family the run did not write)</t>
  </si>
  <si>
    <t xml:space="preserve">5/8" EXTERIOR gypsum sheathing</t>
  </si>
  <si>
    <t xml:space="preserve">familias_out.json '5/8" EXTERIOR gyp sheathing' (R80.4: canon family the run did not write)</t>
  </si>
  <si>
    <t xml:space="preserve">Blocking FRT / 2X FRT wood</t>
  </si>
  <si>
    <t xml:space="preserve">familias_out.json 'FRT blocking' (R80.4: canon family the run did not write)</t>
  </si>
  <si>
    <t xml:space="preserve">Stud blocking at edge of gypboard (structural detail)</t>
  </si>
  <si>
    <t xml:space="preserve">familias_out.json metal_blocking_by_origin 'metal stud blocking (362CR / STUD BLOCKING)' (edge) (R80.4)</t>
  </si>
  <si>
    <t xml:space="preserve">Metal stud blocking at wall-mounted items (notes)</t>
  </si>
  <si>
    <t xml:space="preserve">familias_out.json metal_blocking_by_origin 'metal stud blocking (362CR / STUD BLOCKING)' (items) (R80.4)</t>
  </si>
  <si>
    <t xml:space="preserve">METAL trim - corner bead, casing bead, shadow molding, gypsum edge trim</t>
  </si>
  <si>
    <t xml:space="preserve">trim stick 10 ft</t>
  </si>
  <si>
    <t xml:space="preserve">familias_out.json 'metal trim (corner bead, casing, shadow molding)' (R80.4: canon family the run did not write)</t>
  </si>
  <si>
    <t xml:space="preserve">Cement board (substrate under the FRP cove base band)</t>
  </si>
  <si>
    <t xml:space="preserve">familias_out.json 'cement board' (R80.4: canon family the run did not write)</t>
  </si>
  <si>
    <t xml:space="preserve">FRP panels</t>
  </si>
  <si>
    <t xml:space="preserve">familias_out.json 'FRP' (R80.4: canon family the run did not write)</t>
  </si>
  <si>
    <t xml:space="preserve">3-5/8" stud, framed soffit 9/A12.08 (LF)</t>
  </si>
  <si>
    <t xml:space="preserve">familias_out.json stud_by_element '3-5/8" stud (all gauges)' (v76)</t>
  </si>
  <si>
    <t xml:space="preserve">5/8" FRT plywood sheathing (canopy and soffits)</t>
  </si>
  <si>
    <t xml:space="preserve">4x12 ft sheet (Inputs)</t>
  </si>
  <si>
    <t xml:space="preserve">familias_out.json FRT plywood by material; canon rows</t>
  </si>
  <si>
    <t xml:space="preserve">Exterior sheathing 5/8" FRT plywood bonded to 2-1/2" polyiso</t>
  </si>
  <si>
    <t xml:space="preserve">FRT plywood substrate (3/4 in.)</t>
  </si>
  <si>
    <t xml:space="preserve">3/4" FRT plywood at storefront piers</t>
  </si>
  <si>
    <t xml:space="preserve">5/8" FRT plywood at canopy column wraps</t>
  </si>
  <si>
    <t xml:space="preserve">FRT plywood substrate (5/8 in.)</t>
  </si>
  <si>
    <t xml:space="preserve">Sealant at base of gypsum (exterior, not acoustical)</t>
  </si>
  <si>
    <t xml:space="preserve">tube (25 LF per tube)</t>
  </si>
  <si>
    <t xml:space="preserve">familias_out.json sealant_exterior_lf 'base of gypsum (exterior)'</t>
  </si>
  <si>
    <t xml:space="preserve">Hanger wire 12 ga - hanger count (one per hanger, height per room)</t>
  </si>
  <si>
    <t xml:space="preserve">PCS</t>
  </si>
  <si>
    <t xml:space="preserve">familias_out.json hanger_pcs.total_pcs; wire bought on the LF row</t>
  </si>
  <si>
    <t xml:space="preserve">Additional head track at openings over 4'-0" wide</t>
  </si>
  <si>
    <t xml:space="preserve">accesorios.py [CRITERION]: HEAD TRACK @ NON LOAD BRG: ADD FULL LENGTH ADDL HEAD TRACK @ OPNG &gt; 4'-0"; Estimator user decision #1: R.O. + 1'-4" (8" bearing each side)</t>
  </si>
  <si>
    <t xml:space="preserve">Stud reinforcement at MEP penetrations</t>
  </si>
  <si>
    <t xml:space="preserve">each</t>
  </si>
  <si>
    <t xml:space="preserve">accesorios.py [CRITERION]: S5.20; M01.01 R-2 14x14 / FD (registered dx -571.92 dy 21.84); S5.20; M01.01 R-2 14x14, TYP. 2 / FD (registered dx -571.92 dy 21.84); S5.20; M01.01 S-2, 12x8 200 CFM / FD (registered dx -571.92 dy 21.84); S5.20; M01.01 S-2, 12x12 600 CFM / </t>
  </si>
  <si>
    <t xml:space="preserve">Extra framing - ATM recess (only what a detail prints at the recess; the wall stays in its type)</t>
  </si>
  <si>
    <t xml:space="preserve">accesorios.py [DERIVED]: 4/A08.11; 12/A12.01; 6/A08.11; C/A09.21; 6/A08.11: "2 1/2" METAL STUD SISTERED TO 6" METAL STUD W/ MINERAL WOOL INSULATION"; 6/A08.11: "FIBER CEMENT PANEL ON FURRING ON 5/8" FRT PLYWOOD"</t>
  </si>
  <si>
    <t xml:space="preserve">2-1/2" CFMF @ 16" O.C. at coiling grille head (4/A08.21)</t>
  </si>
  <si>
    <t xml:space="preserve">accesorios.py [DERIVED]: 4/A08.21</t>
  </si>
  <si>
    <t xml:space="preserve">Gypsum board jamb return at openings</t>
  </si>
  <si>
    <t xml:space="preserve">accesorios.py [CRITERION]: 11/A09.27; 3/A09.25 (return over 9.1" FRT plywood, measured)</t>
  </si>
  <si>
    <t xml:space="preserve">PVC trim - edge trim molding and inside corner molding at the FRP</t>
  </si>
  <si>
    <t xml:space="preserve">accesorios.py [DERIVED]: A,B,C,D/A08.01 5'-0" TO TOP OF FRP; 1/A08.01; KN6/A05.01; 6/A12.04</t>
  </si>
  <si>
    <t xml:space="preserve">Power-driven fasteners and duct sleeves</t>
  </si>
  <si>
    <t xml:space="preserve">accesorios.py [DERIVED]: 11/S5.10 PAFs SPACED AT 12" O.C. MAX.; M01.01 R-2 14x14 / FD (registered dx -571.92 dy 21.84); M01.01 R-2 14x14, TYP. 2 / FD (registered dx -571.92 dy 21.84); M01.01 S-2, 12x12 600 CFM / FD (registered dx -571.92 dy 21.84); M01.01 S-2, 12x8</t>
  </si>
  <si>
    <t xml:space="preserve">Access panel 2' x 2'</t>
  </si>
  <si>
    <t xml:space="preserve">accesorios.py [CONFIRMED]: KN4/A04.01</t>
  </si>
  <si>
    <t xml:space="preserve">Drywall screws 1-1/4" bugle head</t>
  </si>
  <si>
    <t xml:space="preserve">accesorios.py [DERIVED]: Inputs!B20 (Drywall screws per SF of board = 1.2) x 17462.1 SF of board</t>
  </si>
  <si>
    <t xml:space="preserve">Framing screws, pan head self-drilling</t>
  </si>
  <si>
    <t xml:space="preserve">accesorios.py [DERIVED]: Inputs!B21 (Framing screws per stud piece = 4) x 1807 stud pieces</t>
  </si>
  <si>
    <t xml:space="preserve">Power-driven fasteners, slab pins for the bottom track</t>
  </si>
  <si>
    <t xml:space="preserve">accesorios.py [DERIVED]: 527.79 LF of interior bottom track on slab / Inputs!B22 (Power-driven pin spacing (ft) = 1)</t>
  </si>
  <si>
    <t xml:space="preserve">Expansion anchors Hilti 1/4" Kwik Bolt II, exterior bottom track @ 8" O.C.</t>
  </si>
  <si>
    <t xml:space="preserve">accesorios.py [DERIVED]: 215.19 LF of exterior bottom track on slab / Inputs!B25 (Expansion anchor spacing (ft) = 0.667)</t>
  </si>
  <si>
    <t xml:space="preserve">Joint compound, all purpose</t>
  </si>
  <si>
    <t xml:space="preserve">LB</t>
  </si>
  <si>
    <t xml:space="preserve">lb</t>
  </si>
  <si>
    <t xml:space="preserve">accesorios.py [DERIVED]: Inputs!B23 (Joint compound (lb per SF) = 0.072) x 17462.1 SF of board</t>
  </si>
  <si>
    <t xml:space="preserve">Joint tape, paper</t>
  </si>
  <si>
    <t xml:space="preserve">accesorios.py [DERIVED]: Inputs!B24 (Joint tape (LF per SF) = 0.37) x 17462.1 SF of board</t>
  </si>
  <si>
    <t xml:space="preserve">Level 5 finish</t>
  </si>
  <si>
    <t xml:space="preserve">accesorios.py [DERIVED]: 1/A11.04; 6/A11.01; 5/A11.04; 11/A11.04; 14/A11.04; 10/A11.03; 1/A11.01</t>
  </si>
  <si>
    <t xml:space="preserve">Deflection clips at non-load-bearing walls to structure</t>
  </si>
  <si>
    <t xml:space="preserve">accesorios.py [CRITERION]: S1.11 LGSF note 2; 1/A12.01; 3/A12.01; 4/A12.01</t>
  </si>
  <si>
    <t xml:space="preserve">RFI</t>
  </si>
  <si>
    <t xml:space="preserve">Question / condition</t>
  </si>
  <si>
    <t xml:space="preserve">Delta of each alternative</t>
  </si>
  <si>
    <t xml:space="preserve">RFI-ACC-additional-head-track</t>
  </si>
  <si>
    <t xml:space="preserve">additional head track: openings with their own box (openings_extra) &gt; 4'-0": do they also take the additional head track of HEAD TRACK @ NON LOAD BRG: ADD FULL LENGTH ADDL HEAD TRACK @ OPNG &gt; 4'-0"?</t>
  </si>
  <si>
    <t xml:space="preserve">100.54 lf</t>
  </si>
  <si>
    <t xml:space="preserve">RFI-ACC-stud-reinforcement-mep</t>
  </si>
  <si>
    <t xml:space="preserve">stud reinforcement MEP: crossings read by hand (not found by mep.cruces): confirm each one on the M / P sheets (R73.5)</t>
  </si>
  <si>
    <t xml:space="preserve">4 pcs</t>
  </si>
  <si>
    <t xml:space="preserve">RFI-ACC-stud-reinforcement-mep-2</t>
  </si>
  <si>
    <t xml:space="preserve">stud reinforcement MEP: duct / fire damper openings listed outside the registered MEP sweep (R73.5)</t>
  </si>
  <si>
    <t xml:space="preserve">2 pcs</t>
  </si>
  <si>
    <t xml:space="preserve">RFI-ACC-gypsum-board-jamb-return</t>
  </si>
  <si>
    <t xml:space="preserve">gypsum board jamb return: jamb return width not dimensioned</t>
  </si>
  <si>
    <t xml:space="preserve">-93.55 sf</t>
  </si>
  <si>
    <t xml:space="preserve">RFI-ACC-expansion-anchors</t>
  </si>
  <si>
    <t xml:space="preserve">expansion anchors: untagged parts of piers / boxes (R-16-2, R-17-2) without anchorage in the schedule (R72.8)</t>
  </si>
  <si>
    <t xml:space="preserve">13.6 pcs</t>
  </si>
  <si>
    <t xml:space="preserve">RFI-ACC-slab-pins</t>
  </si>
  <si>
    <t xml:space="preserve">slab pins: pin spacing: 12" (interior anchorage) vs 16" (fastener schedule) vs 24" (type K box)</t>
  </si>
  <si>
    <t xml:space="preserve">16in: -131.95 pcs; 24in: -263.89 pcs</t>
  </si>
  <si>
    <t xml:space="preserve">RFI-ACC-deflection-clips</t>
  </si>
  <si>
    <t xml:space="preserve">deflection clips: deflection clips: the general note asks for them at non-load-bearing walls and the partition details draw a slip / deflection track (R73.6)</t>
  </si>
  <si>
    <t xml:space="preserve">495 pcs</t>
  </si>
  <si>
    <t xml:space="preserve">RFI-BEAM-R-2-1</t>
  </si>
  <si>
    <t xml:space="preserve">R-2-1 454.44-732.8 pt: S2.20 labels two beams on the same line (W16X26 (CANOPY) and W12X19 (HI)). Which beam does the exterior stud stop under?</t>
  </si>
  <si>
    <t xml:space="preserve">carried under W12X19 (HI): stud 14.358 ft; under the canopy beam: 10.442 ft (delta 3.916 ft per stud)</t>
  </si>
  <si>
    <t xml:space="preserve">RFI-BEAM-R-EXT-W3-1</t>
  </si>
  <si>
    <t xml:space="preserve">R-EXT-W3-1 848.4-1244.4 pt: S2.20 labels two beams on the same line (W16X26 (CANOPY) and W12X19 (HI)). Which beam does the exterior stud stop under?</t>
  </si>
  <si>
    <t xml:space="preserve">RFI-EXT-GAUGE</t>
  </si>
  <si>
    <t xml:space="preserve">Exterior stud gauge: 7/S5.20 lists 600S137-33 @ 16" O.C.; S1.11 note 5 lists 600S162-54 @ 12" within 6 ft of building corners and @ 16" elsewhere. Which gauge governs?</t>
  </si>
  <si>
    <t xml:space="preserve">LF unchanged (spacing @ 12" within 6 ft of corners already carried); gauge 33 mil vs 54 mil changes the material grade only</t>
  </si>
  <si>
    <t xml:space="preserve">RFI-EXT-STOP</t>
  </si>
  <si>
    <t xml:space="preserve">Architectural sections (C/A09.21, F/A09.22) run the 6" CFMF continuous outside the perimeter beam to T/STUD; structural 6/S5.10 and 10/S5.10 stop the light gauge framing under the perimeter beam with a deflection track and add HSS posts + 600S162-54 parapet infill above. Which governs?</t>
  </si>
  <si>
    <t xml:space="preserve">carried per S5.10 (wall studs B.O.D. - d + parapet infill by bay); per architecture each exterior stud runs T/STUD (17'-5" LP / 19'-8" HP) continuous</t>
  </si>
  <si>
    <t xml:space="preserve">RFI-05</t>
  </si>
  <si>
    <t xml:space="preserve">Door 102 R.O. 3'-10": 7/S5.20 header schedule row 3'-4" &lt; span &lt;= 6'-0" = DOUBLE TRACK 18 GA; 2/S5.20 and 9/S5.20 call DOUBLE head track only at openings &gt; 4'-0". Which governs?</t>
  </si>
  <si>
    <t xml:space="preserve">carried DOUBLE (schedule, user decision #21): (3.833 + 1.333) x 2 = 10.33 LF; single = 5.17 LF (delta 5.17 LF)</t>
  </si>
  <si>
    <t xml:space="preserve">RFI-02</t>
  </si>
  <si>
    <t xml:space="preserve">ATM-2 R.O.: 5/A08.11 prints 2'-2 1/8" (26.4"), 7/A08.11 prints 2'-2 1/2". Confirm.</t>
  </si>
  <si>
    <t xml:space="preserve">header/sill (R.O. + 1'-4") x pieces: 3/8" x (4 + 2) = 0.19 LF</t>
  </si>
  <si>
    <t xml:space="preserve">RFI-ATM2-SISTER</t>
  </si>
  <si>
    <t xml:space="preserve">6/A08.11 draws 2 1/2" metal studs sistered to the 6" studs around the drive-up ATM recess without count or length. Provide count / length.</t>
  </si>
  <si>
    <t xml:space="preserve">not carried (no printed quantity); if one sistered 2 1/2" stud per jamb full height ~ 2 x 14.4 = 28.7 LF</t>
  </si>
  <si>
    <t xml:space="preserve">RFI-VEST-BOX</t>
  </si>
  <si>
    <t xml:space="preserve">Vestibule glass VEST-GL-1 / VEST-GL-2: 4-7/A12.10 'METAL STUD FRAMING &amp; BOX HEADER AS NEEDED' with no box size. Confirm box beam size.</t>
  </si>
  <si>
    <t xml:space="preserve">carried box 4 pieces 3-5/8" (E11): (15.646 + 1.333) x 4 + (6.417 + 1.333) x 4 = 98.9 LF; 0 if not needed</t>
  </si>
  <si>
    <t xml:space="preserve">RFI-01</t>
  </si>
  <si>
    <t xml:space="preserve">Coiling grille 103: A00.30 height 13'-6 1/2" vs 2/A08.21 head at 10'-0" (8/A11.01). Confirm head.</t>
  </si>
  <si>
    <t xml:space="preserve">grille head stud and board per 4/A08.21 chain; head at 13'-6 1/2" would remove the 2 1/2" infill above the lower box</t>
  </si>
  <si>
    <t xml:space="preserve">RFI-04</t>
  </si>
  <si>
    <t xml:space="preserve">Office fronts: CONT. BOX BEAM (8/A12.01, 9/A12.01) carried as ONE continuous run per front line, first to last jamb (E line 39.97 ft, W line 18.51 ft). Confirm it is continuous across the G partitions between offices and whether it ends at the jamb or at the 4" stub face.</t>
  </si>
  <si>
    <t xml:space="preserve">per front: (L + 1.333) x 4; if per opening only (6 x (7.5 + 1.333) x 4 = 212.0 LF) vs continuous (41.30 + 19.84) x 4 = 244.6 LF; to the 4" stub faces +0.333 x 4 per end</t>
  </si>
  <si>
    <t xml:space="preserve">RFI-08</t>
  </si>
  <si>
    <t xml:space="preserve">CASH-1 teller line opening 12'-0 1/4" (1/A12.08): 9/A12.08 draws a 3 5/8" stud soffit with FRT blocking and no header; span exceeds 7/S5.20 max 8'-0". Header required?</t>
  </si>
  <si>
    <t xml:space="preserve">not carried; a box beam 4 pieces would add (12.021 + 1.333) x 4 = 53.4 LF</t>
  </si>
  <si>
    <t xml:space="preserve">RFI-OF-BOX</t>
  </si>
  <si>
    <t xml:space="preserve">Office front CONT. BOX BEAM size not dimensioned (8/A12.01 drawn ~5" x 5"). Confirm members.</t>
  </si>
  <si>
    <t xml:space="preserve">bulkhead stud height carried from top of the drawn box (8'-7"); +/- 1" box = +/- 0.08 ft per stud</t>
  </si>
  <si>
    <t xml:space="preserve">RFI-D4-02</t>
  </si>
  <si>
    <t xml:space="preserve">Parapet: 11/S5.10 HSS 5x5x1/4 posts @ 5'-0" max with 600S162-54 infill @ 16"; architectural sections show the 6" stud continuous to T/STUD. Confirm infill by bay between posts.</t>
  </si>
  <si>
    <t xml:space="preserve">carried bay by bay (E3, 5 studs per bay min) x (T/STUD - B.O.D.)</t>
  </si>
  <si>
    <t xml:space="preserve">RFI-D4-W2</t>
  </si>
  <si>
    <t xml:space="preserve">Canopy band on the grid D jog (W2, 3'-10 1/2") under the drive-up canopy: confirm glass mat band.</t>
  </si>
  <si>
    <t xml:space="preserve">carried 3.875 x 1.271 = 4.93 SF glass mat</t>
  </si>
  <si>
    <t xml:space="preserve">RFI-CANOPY-DIR</t>
  </si>
  <si>
    <t xml:space="preserve">Canopy soffit framing direction not drawn (16/A09.27). Carried joists spanning wall to fascia (user decision #13, track at both ends).</t>
  </si>
  <si>
    <t xml:space="preserve">drive-up W legs: joists E-W 17.1 / 21.0 ft long; if N-S, joists 33.4 / 22.1 ft long and the count changes</t>
  </si>
  <si>
    <t xml:space="preserve">RFI-ROOFSTEP</t>
  </si>
  <si>
    <t xml:space="preserve">Roof step at grid B (4/A02.02, 9/S5.10): no printed heights. Carried the detail measured to scale (scale verified: T/STEEL lines 2.319 ft vs S2.20 2.323): wall above the low roof 3.112 ft; bulkhead under the high deck two stud rows 3.460 / 1.131 ft + bottom 1.291 ft. Confirm.</t>
  </si>
  <si>
    <t xml:space="preserve">vs one row at the deck step 2.323 ft each: about -124 LF 3-5/8" stud, -103 LF track, -64 SF GWB, -41 SF nailbase</t>
  </si>
  <si>
    <t xml:space="preserve">RFI-CEIL-SYS</t>
  </si>
  <si>
    <t xml:space="preserve">GB ceilings (Vestibule 100, 24 HR Vestibule 101, Waiting 104, Restrooms 113/114): no suspension detail in the set. Carried 7/8" furring @ 16" on 1-1/2" carrying @ 48" with hangers @ 48" (E14).</t>
  </si>
  <si>
    <t xml:space="preserve">if framed with 3-5/8" stud joists (6/A09.33 fixture detail) the furring becomes stud joists of the same count</t>
  </si>
  <si>
    <t xml:space="preserve">RFI-D3-09</t>
  </si>
  <si>
    <t xml:space="preserve">ACT 11'-6" / 9'-0" step in front of the CSR line (A04.01, 5'-1" long): no detail called. Carried as a bulkhead per 8/A09.33 to structure.</t>
  </si>
  <si>
    <t xml:space="preserve">studs ROUNDUP(5.093/1.333)+1 = 5 x 6.375 = 31.9 LF + track; 0 if ACT wall angle only</t>
  </si>
  <si>
    <t xml:space="preserve">RFI-CEIL-DIR</t>
  </si>
  <si>
    <t xml:space="preserve">Carrying channel direction for the GB ceilings is not printed.</t>
  </si>
  <si>
    <t xml:space="preserve">carried E-W (more material, 53.3): carrying 326.9 LF / hangers 113 pcs; N-S: 321.0 LF / 113 pcs</t>
  </si>
  <si>
    <t xml:space="preserve">RFI-CSR-PLY</t>
  </si>
  <si>
    <t xml:space="preserve">CSR soffit: 9/A12.08 labels 5/8" FIRE TREATED PLYWOOD BLOCKING across the soffit bottom; 10/A09.33 draws 2 FRTW members. Carried 2 members (24.04 LF).</t>
  </si>
  <si>
    <t xml:space="preserve">full-width 5/8" FRT plywood = 3.4167 x 12.021 = 41.07 SF instead</t>
  </si>
  <si>
    <t xml:space="preserve">RFI-BLK-TA</t>
  </si>
  <si>
    <t xml:space="preserve">Blocking length for toilet accessories / wall stops is not dimensioned. Carried grab bar length or one 16" stud bay per item.</t>
  </si>
  <si>
    <t xml:space="preserve">34 items; +/- 1.333 LF per item if a 32" piece is required</t>
  </si>
  <si>
    <t xml:space="preserve">RFI-MW08</t>
  </si>
  <si>
    <t xml:space="preserve">MW08: 3/A12.04 'PRESSURE TREATED BLOCKING' vs millwork note D 'FRTW BLOCKING'. Carried FRT.</t>
  </si>
  <si>
    <t xml:space="preserve">7.583 LF moves between FRT and wood blocking</t>
  </si>
  <si>
    <t xml:space="preserve">RFI-BLK-LOCKERS</t>
  </si>
  <si>
    <t xml:space="preserve">KN5 lockers blocking: locker width not dimensioned (HOLD box 4'-10 3/4").</t>
  </si>
  <si>
    <t xml:space="preserve">carried 4.889 LF metal blocking</t>
  </si>
  <si>
    <t xml:space="preserve">RFI-KN6</t>
  </si>
  <si>
    <t xml:space="preserve">Electrical / NER plywood backboards (KN6): height not dimensioned. Carried 8'-0".</t>
  </si>
  <si>
    <t xml:space="preserve">32.39 LF x 1 ft = SF per foot of height</t>
  </si>
  <si>
    <t xml:space="preserve">RFI-L5-WC20</t>
  </si>
  <si>
    <t xml:space="preserve">KN9/A05.01 WC-20 Level 5 in 24 HR Vestibule 101: the KN9 circle has no leader; the note 'PRIMER TINTED WITH P-15 BEHIND WC' sits by the diagonal ATM wall A-AN-01. Which wall gets WC-20 / Level 5?</t>
  </si>
  <si>
    <t xml:space="preserve">not carried; diagonal wall A-AN-01 face A: 17.458 x (10.0 - 0.333) - ATM 6.047 = +162.7 SF Level 5</t>
  </si>
  <si>
    <t xml:space="preserve">RFI-SHEET</t>
  </si>
  <si>
    <t xml:space="preserve">Gypsum board sheet length for the 4/S5.20 edge blocking is not printed. Carried 12'-0".</t>
  </si>
  <si>
    <t xml:space="preserve">faces taller than 10'-0" / 8'-0" would add one blocking row each if shorter sheets are used</t>
  </si>
  <si>
    <t xml:space="preserve">RFI-RATED</t>
  </si>
  <si>
    <t xml:space="preserve">Fire dampers FD-1..FD-4 (M01.01) sit in the type B walls of ELECTRICAL 120 and NER 121, but A12.01 gives no fire rating or UL design. Are these partitions rated (type X board, rated joints)?</t>
  </si>
  <si>
    <t xml:space="preserve">board type change only (5/8" regular -&gt; type X) on the B walls of rooms 120 / 121</t>
  </si>
  <si>
    <t xml:space="preserve">RFI-ELEV</t>
  </si>
  <si>
    <t xml:space="preserve">Elevation titles inverted: 1/A09.01 titled SOUTH shows the north face (grid F/G); 2/A09.02 titled NORTH shows the south face (grid A).</t>
  </si>
  <si>
    <t xml:space="preserve">no quantity change (faces assigned by plan callout + north arrow)</t>
  </si>
  <si>
    <t xml:space="preserve">RFI-D6-01</t>
  </si>
  <si>
    <t xml:space="preserve">G / G1 demising walls between offices (A-AN-06, A-AN-16, A-AN-17, A-AN-18, A-AS-01, A-AS-19, B-BN-07): 5/A12.01 shows the 2 layers 5/8" GWB rising above "SCHEDULED CEILING" to an unlabeled top line; 9/A12.01 and 10/A12.01 print "2 LAYERS 5/8" GYPSUM WALL BOARD TO EXTEND TO UNDERSIDE OF DECK" only for the bulkhead over the office front and the jamb stubs. Do the demising G/G1 boards go to the underside of deck (15'-4 1/2") or to scheduled ceiling + 6" (9'-6" in the offices, 9'-0" ATM side, 9'-0" Women's side)?</t>
  </si>
  <si>
    <t xml:space="preserve">board SF (all layers, both faces) deck vs ceiling+6": 1914.0 SF</t>
  </si>
  <si>
    <t xml:space="preserve">RFI-D6-02</t>
  </si>
  <si>
    <t xml:space="preserve">C1 (6/A12.01) GWB face height: the detail is cut with a break line and gives no top. Applies to the restroom chase linings R-21-1/R-21-2 (5/8" MR), the C1 fur-out A-AN-13 (waiting display wall), the column enclosures A-AN-02/A-AN-08, the storefront pier linings R-16-1/R-17-1 and the FCAM box A-AS-16. Ceiling + 6" or underside of deck?</t>
  </si>
  <si>
    <t xml:space="preserve">GWB SF deck vs ceiling+6": 198.8 SF</t>
  </si>
  <si>
    <t xml:space="preserve">RFI-D6-03</t>
  </si>
  <si>
    <t xml:space="preserve">Teller pod (CASH WINDOW 116): the K-type closures have no exposed customer face. B-BS-31 (A1K, N closure) sits 4.92 pt (~3-1/4") from the G wall A-AS-19 (gap rectangle drawn x 1661.76-1708.08) and abuts B2K A-AS-18; A-AS-15 (A1K, S closure) abuts C1 A-AS-16 (FUTURE FCAM) face to face. Which face receives the 3/8" ballistic panel + 5/8" GWB (customer side) and can the G south face (2.98 LF) and the A1K north face be boarded in a ~3" gap?</t>
  </si>
  <si>
    <t xml:space="preserve">B-BS-31 A 3.417 LF + A-AS-15 B 3.333 LF of ballistic + 5/8" to deck (customer build-up) vs teller side; G A-AS-19 B 2.98 LF x 2 layers to deck or none</t>
  </si>
  <si>
    <t xml:space="preserve">RFI-D6-04</t>
  </si>
  <si>
    <t xml:space="preserve">Partition type F (12/A12.01) ATM LOBBY side: the 5/8" GWB over 3/4" FRT plywood is drawn stopping under the lobby gyp ceiling (no dimension) while the plywood runs "EXTEND TO DECK ABOVE". Confirm the lobby GWB stops at the 24 HR VESTIBULE GB ceiling (10'-0") and is not carried to deck.</t>
  </si>
  <si>
    <t xml:space="preserve">A-AN-01 side A: 17.458 LF x (15.375 - 10.0) = 93.8 SF of 5/8" GWB</t>
  </si>
  <si>
    <t xml:space="preserve">RFI-D6-05</t>
  </si>
  <si>
    <t xml:space="preserve">Deck height between grid E and grid B (S2.20 "@ LOW ROOF" under W16x31 at grid E without B.O.D., D2 RFI-D2-06 / D3 D3-RFI-02). All faces N of grid B were taken at B.O.D. 15'-4 1/2" (H/A09.23 T/STEEL 15'-4 1/2" at D-B). If E-B is low roof, every deck face between y 734.1 and 1244.4 drops ~2.3 ft.</t>
  </si>
  <si>
    <t xml:space="preserve">all deck-height faces between grid E and grid B (B2 A-AN-03, B2K A-AS-18, A1K B-BS-31, EXT faces of Offices 5/6 and Office 4 / Cash Window N part, A1 faces in MW01 alcove, G jamb stubs A-AN-05/07/22, R-6-1) up to ~2.32 ft each</t>
  </si>
  <si>
    <t xml:space="preserve">RFI-D6-06</t>
  </si>
  <si>
    <t xml:space="preserve">A1 A-AN-11 north face is covered for 10.0 LF (x 1287.24-1467.24) by the C1 fur-out A-AN-13 (display wall, keynote 7). Is the A1 board installed behind the fur-out (C1 "block partition" side) or omitted there?</t>
  </si>
  <si>
    <t xml:space="preserve">10.0 LF x 11.5 ft = 115 SF of 5/8" GWB</t>
  </si>
  <si>
    <t xml:space="preserve">RFI-D6-07</t>
  </si>
  <si>
    <t xml:space="preserve">MW01 printer-cabinet alcove (x 1223.88-1271.16, y 974.76-1031.04): A04.01 places key note 1 "OPEN TO STRUCTURE ABOVE" inside it (not listed in D3). The A1 faces inside (A-AN-12 S, A-AN-14 W, A-AS-06 N, A-AS-04 N end) were taken to deck (15'-4 1/2"). Confirm (vs ceiling of the adjacent CENTRAL ZONE 11'-6" + 6").</t>
  </si>
  <si>
    <t xml:space="preserve">(2.543 + 3.127 + 2.02 + 0.607) LF x (15.375 - 12.0) = 28.0 SF</t>
  </si>
  <si>
    <t xml:space="preserve">RFI-D6-08</t>
  </si>
  <si>
    <t xml:space="preserve">Faces inside the restroom plumbing chase (between C1 R-21-1 and R-21-2): EXT R-EXT-W3-1 interior face (1.08 LF) and the A1 ends A-AS-32/A-AS-33 (0.54 LF each) face the closed cavity. Board required there ("5/8" GYP. BOARD @ PERIMETER EXTERIOR WALL TO DECK" / A1 both faces) or omitted?</t>
  </si>
  <si>
    <t xml:space="preserve">(1.08 + 0.54 + 0.54) LF x ~12.9 ft = 27.9 SF</t>
  </si>
  <si>
    <t xml:space="preserve">7 questions in total, asked ONE at a time in this order: floor plan (partition types A-Z), then the details the floor plan calls, in order</t>
  </si>
  <si>
    <t xml:space="preserve">#</t>
  </si>
  <si>
    <t xml:space="preserve">Phase</t>
  </si>
  <si>
    <t xml:space="preserve">Type / order</t>
  </si>
  <si>
    <t xml:space="preserve">Item</t>
  </si>
  <si>
    <t xml:space="preserve">Sheet + detail</t>
  </si>
  <si>
    <t xml:space="preserve">Image</t>
  </si>
  <si>
    <t xml:space="preserve">1/7</t>
  </si>
  <si>
    <t xml:space="preserve">Floor plan</t>
  </si>
  <si>
    <t xml:space="preserve">B2K</t>
  </si>
  <si>
    <t xml:space="preserve">B2K tag (A-AS-18) is not in the A12.01 schedule: carried as B2 (6") + ballistic customer face (4/A12.01). Confirm type.</t>
  </si>
  <si>
    <t xml:space="preserve">/home/user/boa29a/work/etapas/2_lectura/A_hechos/img/D2/A02.01_B2K_tag.png</t>
  </si>
  <si>
    <t xml:space="preserve">2/7</t>
  </si>
  <si>
    <t xml:space="preserve">C1</t>
  </si>
  <si>
    <t xml:space="preserve">C1 lining height not labeled (6/A12.01 break line): carried to deck. Ceiling + 6" alternative in RFI-D6-02.</t>
  </si>
  <si>
    <t xml:space="preserve">/home/user/boa29a/work/etapas/2_lectura/A_hechos/img/D2/A12.01_d6_C1.png</t>
  </si>
  <si>
    <t xml:space="preserve">3/7</t>
  </si>
  <si>
    <t xml:space="preserve">EXT</t>
  </si>
  <si>
    <t xml:space="preserve">Exterior studs carried stopping under the perimeter beam (6/S5.10, 10/S5.10) + parapet infill by bay (11/S5.10); architecture runs the 6" stud to T/STUD (RFI-EXT-STOP). Grid 2 and grid 3 N lines carry two beams (CANOPY / HI): carried under (HI).</t>
  </si>
  <si>
    <t xml:space="preserve">6/S5.10</t>
  </si>
  <si>
    <t xml:space="preserve">/home/user/boa29a/work/etapas/2_lectura/A_hechos/img/D2/S5.10_d10_d6_perimeter.png</t>
  </si>
  <si>
    <t xml:space="preserve">4/7</t>
  </si>
  <si>
    <t xml:space="preserve">G</t>
  </si>
  <si>
    <t xml:space="preserve">G / G1 demising board height (5/A12.01 unlabeled top): carried to deck, alternative ceiling + 6" (RFI-D6-01, about 1,914 SF).</t>
  </si>
  <si>
    <t xml:space="preserve">/home/user/boa29a/work/etapas/2_lectura/A_hechos/img/D2/A12.01_d5_G_G1.png</t>
  </si>
  <si>
    <t xml:space="preserve">5/7</t>
  </si>
  <si>
    <t xml:space="preserve">Detail</t>
  </si>
  <si>
    <t xml:space="preserve">Office front CONT. BOX BEAM carried as one run per front line, first to last jamb (8/A12.01, 9/A12.01; RFI-04).</t>
  </si>
  <si>
    <t xml:space="preserve">/home/user/boa29a/work/etapas/2_lectura/A_hechos/img/D1/A0201_office_fronts_marked.png</t>
  </si>
  <si>
    <t xml:space="preserve">6/7</t>
  </si>
  <si>
    <t xml:space="preserve">Roof step at grid B (4/A02.02): wall height above the low roof not dimensioned; carried at the deck step 2'-3 7/8" (RFI-ROOFSTEP).</t>
  </si>
  <si>
    <t xml:space="preserve">/home/user/boa29a/work/etapas/2_lectura/A_hechos/img/D4/4_A0202_roof_step.png</t>
  </si>
  <si>
    <t xml:space="preserve">7/7</t>
  </si>
  <si>
    <t xml:space="preserve">Canopy soffit framing direction not drawn (16/A09.27): carried joists wall to fascia (user decision #13).</t>
  </si>
  <si>
    <t xml:space="preserve">/home/user/boa29a/work/etapas/2_lectura/A_hechos/img/D4/16_A0927_driveup_canopy.png</t>
  </si>
  <si>
    <t xml:space="preserve">Scope ID</t>
  </si>
  <si>
    <t xml:space="preserve">Scope</t>
  </si>
  <si>
    <t xml:space="preserve">Note (quantity, NOT APPLICABLE + sheet, or RFI)</t>
  </si>
  <si>
    <t xml:space="preserve">ALC-01</t>
  </si>
  <si>
    <t xml:space="preserve">Interior partition framing (studs + tracks)</t>
  </si>
  <si>
    <t xml:space="preserve">QUANTIFIED</t>
  </si>
  <si>
    <t xml:space="preserve">Partition Takeoff + studs / tracks (familias_out.json)</t>
  </si>
  <si>
    <t xml:space="preserve">ALC-02</t>
  </si>
  <si>
    <t xml:space="preserve">Exterior wall framing (CFMF)</t>
  </si>
  <si>
    <t xml:space="preserve">EXT-6CFMF walls, 6" stud (C/A09.21, 6/S5.10)</t>
  </si>
  <si>
    <t xml:space="preserve">ALC-03</t>
  </si>
  <si>
    <t xml:space="preserve">Parapet framing</t>
  </si>
  <si>
    <t xml:space="preserve">6" parapet infill by bay (11/S5.10, E3)</t>
  </si>
  <si>
    <t xml:space="preserve">ALC-04</t>
  </si>
  <si>
    <t xml:space="preserve">Top / deflection and bottom track</t>
  </si>
  <si>
    <t xml:space="preserve">bottom + top / deflection track (corridas)</t>
  </si>
  <si>
    <t xml:space="preserve">ALC-05</t>
  </si>
  <si>
    <t xml:space="preserve">Headers, sills and jambs at openings</t>
  </si>
  <si>
    <t xml:space="preserve">header / box beam by pieces + sill track (headers.py, 7/S5.20, 2/S5.20)</t>
  </si>
  <si>
    <t xml:space="preserve">ALC-06</t>
  </si>
  <si>
    <t xml:space="preserve">Bracing / bridging</t>
  </si>
  <si>
    <t xml:space="preserve">bracing 1-1/2" C.R. @ 48" (1F/S5.20)</t>
  </si>
  <si>
    <t xml:space="preserve">ALC-07</t>
  </si>
  <si>
    <t xml:space="preserve">Gypsum board on walls (layers per type)</t>
  </si>
  <si>
    <t xml:space="preserve">board face by face (board_caras.py, A12.01)</t>
  </si>
  <si>
    <t xml:space="preserve">ALC-08</t>
  </si>
  <si>
    <t xml:space="preserve">Moisture / abuse / special board at wet zones</t>
  </si>
  <si>
    <t xml:space="preserve">5/8" MR behind toilet and lavatory only (F/A08.01)</t>
  </si>
  <si>
    <t xml:space="preserve">ALC-09</t>
  </si>
  <si>
    <t xml:space="preserve">Exterior gypsum / glass mat sheathing</t>
  </si>
  <si>
    <t xml:space="preserve">glass mat base + canopy band; exterior gyp sheathing roof side of parapets (5/A09.26, 4/A09.26)</t>
  </si>
  <si>
    <t xml:space="preserve">ALC-10</t>
  </si>
  <si>
    <t xml:space="preserve">FRT plywood sheathing / substrate</t>
  </si>
  <si>
    <t xml:space="preserve">FRT plywood by material and use (nailbase, canopy, substrate, pier, KN6)</t>
  </si>
  <si>
    <t xml:space="preserve">ALC-11</t>
  </si>
  <si>
    <t xml:space="preserve">Gypsum board ceilings</t>
  </si>
  <si>
    <t xml:space="preserve">GB ceilings A04.01 (Vestibules 100/101, Waiting 104, Restrooms 113/114, CSR soffit)</t>
  </si>
  <si>
    <t xml:space="preserve">ALC-12</t>
  </si>
  <si>
    <t xml:space="preserve">Ceiling suspension (furring / carrying channel / hanger wire / ceiling track)</t>
  </si>
  <si>
    <t xml:space="preserve">furring + carrying + hanger wire carried; system not detailed (RFI-CEIL-SYS, RFI-CEIL-DIR) A04.01</t>
  </si>
  <si>
    <t xml:space="preserve">ALC-13</t>
  </si>
  <si>
    <t xml:space="preserve">Soffits and bulkheads (framing + board)</t>
  </si>
  <si>
    <t xml:space="preserve">CSR framed soffit 10/A09.33, bulkhead 8/A09.33, office front bulkheads 8/A12.01, transitions 7/A09.33</t>
  </si>
  <si>
    <t xml:space="preserve">ALC-14</t>
  </si>
  <si>
    <t xml:space="preserve">Canopy / marquee framing and sheathing</t>
  </si>
  <si>
    <t xml:space="preserve">canopy joists, fascia box, canopy soffit track, ext. FRT plywood (16/A09.27)</t>
  </si>
  <si>
    <t xml:space="preserve">ALC-15</t>
  </si>
  <si>
    <t xml:space="preserve">Column furring / wraps</t>
  </si>
  <si>
    <t xml:space="preserve">canopy column wraps 5/A09.25, storefront piers 1/A09.25 2/A09.25</t>
  </si>
  <si>
    <t xml:space="preserve">ALC-16</t>
  </si>
  <si>
    <t xml:space="preserve">Blocking (FRT wood / metal) for millwork and accessories</t>
  </si>
  <si>
    <t xml:space="preserve">blocking items FRT / metal (A12.0x note D, E/A08.01, D/A00.30, KN5/KN7)</t>
  </si>
  <si>
    <t xml:space="preserve">ALC-17</t>
  </si>
  <si>
    <t xml:space="preserve">Framed openings (MEP, access panels, diffusers)</t>
  </si>
  <si>
    <t xml:space="preserve">framed_openings.py (E02.01 fixtures, A04.01 diffusers, KN4 access panel)</t>
  </si>
  <si>
    <t xml:space="preserve">ALC-18</t>
  </si>
  <si>
    <t xml:space="preserve">Trim: corner bead, casing bead, control joints, reveals</t>
  </si>
  <si>
    <t xml:space="preserve">corner bead / casing / shadow molding; control joints EXCLUDED: only stucco CJ (5/A09.31) and civil, A04.01 canopy plaster</t>
  </si>
  <si>
    <t xml:space="preserve">ALC-19</t>
  </si>
  <si>
    <t xml:space="preserve">Acoustical sealant / sound attenuation (EXCLUDED: estimator standing order, all projects)</t>
  </si>
  <si>
    <t xml:space="preserve">NOT APPLICABLE</t>
  </si>
  <si>
    <t xml:space="preserve">EXCLUDED: EXCLUDED in all projects (estimator standing order): no acoustical sealant row and no quantity</t>
  </si>
  <si>
    <t xml:space="preserve">ALC-20</t>
  </si>
  <si>
    <t xml:space="preserve">FRP / cement board / tile backer</t>
  </si>
  <si>
    <t xml:space="preserve">FRP WC-3 (A08.01) + mop sink (KN6/A05.01); cement board under CT cove base</t>
  </si>
  <si>
    <t xml:space="preserve">ALC-21</t>
  </si>
  <si>
    <t xml:space="preserve">Shaft walls / area separation walls</t>
  </si>
  <si>
    <t xml:space="preserve">no shaft / area separation walls: 'SHAFT' only in drilled shaft piers (S1.10, S3.10 foundations)</t>
  </si>
  <si>
    <t xml:space="preserve">ALC-22</t>
  </si>
  <si>
    <t xml:space="preserve">Rated assemblies (UL designs) and their board type</t>
  </si>
  <si>
    <t xml:space="preserve">A12.01 lists no UL designs or ratings; mentions on A11.03, A12.02, E00.01, E02.02, E04.02, M00.01, M03.01 are not wall ratings; FDs on M01.01 in B walls of 120 / 121 -&gt; RFI-RATED</t>
  </si>
  <si>
    <t xml:space="preserve">ALC-23</t>
  </si>
  <si>
    <t xml:space="preserve">Special panels (ballistic, lead-lined, abuse)</t>
  </si>
  <si>
    <t xml:space="preserve">ballistic panel 4/A12.01 (A1K, B2K) to 8'-0" + 3/8" gyp above</t>
  </si>
  <si>
    <t xml:space="preserve">ALC-24</t>
  </si>
  <si>
    <t xml:space="preserve">Finish level (Level 4 / Level 5)</t>
  </si>
  <si>
    <t xml:space="preserve">Level 5 WC-18 / WC-22 (A00.40, KN10/A05.01); mentions A08.11, A12.02 checked</t>
  </si>
  <si>
    <t xml:space="preserve">ALC-X25</t>
  </si>
  <si>
    <t xml:space="preserve">batt insulation</t>
  </si>
  <si>
    <t xml:space="preserve">EXCLUDED (estimator criterion: no insulation)</t>
  </si>
  <si>
    <t xml:space="preserve">reglas.py compuerta OK</t>
  </si>
  <si>
    <t xml:space="preserve">{"canon": "aee923136692a7c4db031a1fe7885b85dfa23bbf80497ae85b29cd8d3a741a48", "evidencias": "f5913df7da541ffc709b1f9b176795dc380f8a64268a3470b6ef9f6dbee30fd4", "familias_out": "8e9be99bfb68cbf8a79c030b7194a825c93d31998d15025540413f6c80657b9c", "reglas": "267acd5189f2c8edd3c442d4188cc010f12edb50daaf890c1d7cadf926793146", "version": "v73"}</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</si>
</sst>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60"/>
  </cols>
  <sheetData>
    <row r="1" customFormat="false" ht="16.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row>
    <row r="5" customFormat="false" ht="15" hidden="false" customHeight="false" outlineLevel="0" collapsed="false">
      <c r="A5" s="0" t="s">
        <v>5</v>
      </c>
      <c r="B5" s="3" t="n">
        <v>0.15</v>
      </c>
      <c r="C5" s="4" t="s">
        <v>6</v>
      </c>
    </row>
    <row r="6" customFormat="false" ht="15" hidden="false" customHeight="false" outlineLevel="0" collapsed="false">
      <c r="A6" s="0" t="s">
        <v>7</v>
      </c>
      <c r="B6" s="3" t="n">
        <v>0.06</v>
      </c>
      <c r="C6" s="4" t="s">
        <v>8</v>
      </c>
    </row>
    <row r="7" customFormat="false" ht="15" hidden="false" customHeight="false" outlineLevel="0" collapsed="false">
      <c r="A7" s="0" t="s">
        <v>9</v>
      </c>
      <c r="B7" s="3" t="n">
        <v>4</v>
      </c>
      <c r="C7" s="4" t="s">
        <v>10</v>
      </c>
    </row>
    <row r="8" customFormat="false" ht="15" hidden="false" customHeight="false" outlineLevel="0" collapsed="false">
      <c r="A8" s="0" t="s">
        <v>11</v>
      </c>
      <c r="B8" s="3" t="n">
        <v>12</v>
      </c>
      <c r="C8" s="4" t="s">
        <v>12</v>
      </c>
    </row>
    <row r="9" customFormat="false" ht="15" hidden="false" customHeight="false" outlineLevel="0" collapsed="false">
      <c r="A9" s="0" t="s">
        <v>13</v>
      </c>
      <c r="B9" s="0" t="n">
        <f aca="false">B7*B8</f>
        <v>48</v>
      </c>
      <c r="C9" s="0" t="s">
        <v>14</v>
      </c>
    </row>
    <row r="10" customFormat="false" ht="15" hidden="false" customHeight="false" outlineLevel="0" collapsed="false">
      <c r="A10" s="0" t="s">
        <v>15</v>
      </c>
      <c r="B10" s="3" t="n">
        <v>20</v>
      </c>
      <c r="C10" s="4" t="s">
        <v>16</v>
      </c>
    </row>
    <row r="11" customFormat="false" ht="15" hidden="false" customHeight="false" outlineLevel="0" collapsed="false">
      <c r="A11" s="0" t="s">
        <v>17</v>
      </c>
      <c r="B11" s="3" t="n">
        <v>10</v>
      </c>
      <c r="C11" s="4" t="s">
        <v>18</v>
      </c>
    </row>
    <row r="12" customFormat="false" ht="15" hidden="false" customHeight="false" outlineLevel="0" collapsed="false">
      <c r="A12" s="0" t="s">
        <v>19</v>
      </c>
      <c r="B12" s="3" t="n">
        <v>18</v>
      </c>
      <c r="C12" s="4" t="s">
        <v>20</v>
      </c>
    </row>
    <row r="13" customFormat="false" ht="15" hidden="false" customHeight="false" outlineLevel="0" collapsed="false">
      <c r="A13" s="0" t="s">
        <v>21</v>
      </c>
      <c r="B13" s="3" t="n">
        <v>15.375</v>
      </c>
      <c r="C13" s="4" t="s">
        <v>20</v>
      </c>
    </row>
    <row r="14" customFormat="false" ht="15" hidden="false" customHeight="false" outlineLevel="0" collapsed="false">
      <c r="A14" s="0" t="s">
        <v>22</v>
      </c>
      <c r="B14" s="3" t="n">
        <v>20</v>
      </c>
      <c r="C14" s="4" t="s">
        <v>20</v>
      </c>
    </row>
    <row r="15" customFormat="false" ht="15" hidden="false" customHeight="false" outlineLevel="0" collapsed="false">
      <c r="A15" s="0" t="s">
        <v>23</v>
      </c>
      <c r="B15" s="3" t="n">
        <v>25</v>
      </c>
      <c r="C15" s="4" t="s">
        <v>24</v>
      </c>
    </row>
    <row r="16" customFormat="false" ht="15" hidden="false" customHeight="false" outlineLevel="0" collapsed="false">
      <c r="A16" s="0" t="s">
        <v>25</v>
      </c>
      <c r="B16" s="3" t="n">
        <v>16</v>
      </c>
      <c r="C16" s="4" t="s">
        <v>26</v>
      </c>
    </row>
    <row r="17" customFormat="false" ht="15" hidden="false" customHeight="false" outlineLevel="0" collapsed="false">
      <c r="A17" s="0" t="s">
        <v>27</v>
      </c>
      <c r="B17" s="3" t="n">
        <v>12</v>
      </c>
      <c r="C17" s="4" t="s">
        <v>28</v>
      </c>
    </row>
    <row r="18" customFormat="false" ht="15" hidden="false" customHeight="false" outlineLevel="0" collapsed="false">
      <c r="A18" s="0" t="s">
        <v>29</v>
      </c>
      <c r="B18" s="3" t="n">
        <v>10</v>
      </c>
      <c r="C18" s="4" t="s">
        <v>30</v>
      </c>
    </row>
    <row r="19" customFormat="false" ht="15" hidden="false" customHeight="false" outlineLevel="0" collapsed="false">
      <c r="A19" s="0" t="s">
        <v>31</v>
      </c>
      <c r="B19" s="3" t="s">
        <v>32</v>
      </c>
      <c r="C19" s="4" t="s">
        <v>33</v>
      </c>
    </row>
    <row r="20" customFormat="false" ht="15" hidden="false" customHeight="false" outlineLevel="0" collapsed="false">
      <c r="A20" s="0" t="s">
        <v>34</v>
      </c>
      <c r="B20" s="3" t="n">
        <v>1.2</v>
      </c>
      <c r="C20" s="4" t="s">
        <v>35</v>
      </c>
    </row>
    <row r="21" customFormat="false" ht="15" hidden="false" customHeight="false" outlineLevel="0" collapsed="false">
      <c r="A21" s="0" t="s">
        <v>36</v>
      </c>
      <c r="B21" s="3" t="n">
        <v>4</v>
      </c>
      <c r="C21" s="4" t="s">
        <v>37</v>
      </c>
    </row>
    <row r="22" customFormat="false" ht="15" hidden="false" customHeight="false" outlineLevel="0" collapsed="false">
      <c r="A22" s="0" t="s">
        <v>38</v>
      </c>
      <c r="B22" s="3" t="n">
        <v>1</v>
      </c>
      <c r="C22" s="4" t="s">
        <v>39</v>
      </c>
    </row>
    <row r="23" customFormat="false" ht="15" hidden="false" customHeight="false" outlineLevel="0" collapsed="false">
      <c r="A23" s="0" t="s">
        <v>40</v>
      </c>
      <c r="B23" s="3" t="n">
        <v>0.072</v>
      </c>
      <c r="C23" s="4" t="s">
        <v>41</v>
      </c>
    </row>
    <row r="24" customFormat="false" ht="15" hidden="false" customHeight="false" outlineLevel="0" collapsed="false">
      <c r="A24" s="0" t="s">
        <v>42</v>
      </c>
      <c r="B24" s="3" t="n">
        <v>0.37</v>
      </c>
      <c r="C24" s="4" t="s">
        <v>43</v>
      </c>
    </row>
    <row r="25" customFormat="false" ht="15" hidden="false" customHeight="false" outlineLevel="0" collapsed="false">
      <c r="A25" s="0" t="s">
        <v>44</v>
      </c>
      <c r="B25" s="3" t="n">
        <v>0.667</v>
      </c>
      <c r="C25"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3"/>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6" min="6" style="0" width="11"/>
    <col collapsed="false" customWidth="true" hidden="false" outlineLevel="0" max="7" min="7" style="0" width="16"/>
    <col collapsed="false" customWidth="true" hidden="false" outlineLevel="0" max="8" min="8" style="0" width="14"/>
    <col collapsed="false" customWidth="true" hidden="false" outlineLevel="0" max="9" min="9" style="0" width="60"/>
    <col collapsed="false" customWidth="true" hidden="false" outlineLevel="0" max="10" min="10" style="0" width="23"/>
    <col collapsed="false" customWidth="true" hidden="false" outlineLevel="0" max="11" min="11" style="0" width="13"/>
  </cols>
  <sheetData>
    <row r="1" customFormat="false" ht="16.15" hidden="false" customHeight="false" outlineLevel="0" collapsed="false">
      <c r="A1" s="1" t="s">
        <v>46</v>
      </c>
    </row>
    <row r="2" customFormat="false" ht="15" hidden="false" customHeight="false" outlineLevel="0" collapsed="false">
      <c r="A2" s="0" t="s">
        <v>47</v>
      </c>
    </row>
    <row r="4" customFormat="false" ht="15" hidden="false" customHeight="false" outlineLevel="0" collapsed="false">
      <c r="A4" s="2" t="s">
        <v>48</v>
      </c>
      <c r="B4" s="2" t="s">
        <v>49</v>
      </c>
      <c r="C4" s="2" t="s">
        <v>50</v>
      </c>
      <c r="D4" s="2" t="s">
        <v>51</v>
      </c>
      <c r="E4" s="2" t="s">
        <v>52</v>
      </c>
      <c r="F4" s="2" t="s">
        <v>53</v>
      </c>
      <c r="G4" s="2" t="s">
        <v>54</v>
      </c>
      <c r="H4" s="2" t="s">
        <v>55</v>
      </c>
      <c r="I4" s="2" t="s">
        <v>56</v>
      </c>
      <c r="J4" s="2" t="s">
        <v>57</v>
      </c>
      <c r="K4" s="2" t="s">
        <v>58</v>
      </c>
    </row>
    <row r="5" customFormat="false" ht="15" hidden="false" customHeight="false" outlineLevel="0" collapsed="false">
      <c r="A5" s="5" t="s">
        <v>59</v>
      </c>
    </row>
    <row r="6" customFormat="false" ht="15" hidden="false" customHeight="false" outlineLevel="0" collapsed="false">
      <c r="A6" s="0" t="s">
        <v>60</v>
      </c>
      <c r="B6" s="0" t="s">
        <v>61</v>
      </c>
      <c r="C6" s="0" t="n">
        <v>12.64</v>
      </c>
      <c r="D6" s="0" t="n">
        <v>14.358</v>
      </c>
      <c r="E6" s="0" t="n">
        <v>0.96</v>
      </c>
      <c r="F6" s="0" t="s">
        <v>62</v>
      </c>
      <c r="G6" s="0" t="n">
        <v>16</v>
      </c>
      <c r="H6" s="0" t="n">
        <v>186.46</v>
      </c>
      <c r="I6" s="0" t="s">
        <v>63</v>
      </c>
      <c r="J6" s="0" t="s">
        <v>64</v>
      </c>
      <c r="K6" s="0" t="s">
        <v>65</v>
      </c>
    </row>
    <row r="7" customFormat="false" ht="15" hidden="false" customHeight="false" outlineLevel="0" collapsed="false">
      <c r="A7" s="0" t="s">
        <v>66</v>
      </c>
      <c r="B7" s="0" t="s">
        <v>67</v>
      </c>
      <c r="C7" s="0" t="n">
        <v>51.733</v>
      </c>
      <c r="D7" s="0" t="n">
        <v>11.17</v>
      </c>
      <c r="E7" s="0" t="n">
        <v>0.96</v>
      </c>
      <c r="F7" s="0" t="s">
        <v>62</v>
      </c>
      <c r="G7" s="0" t="n">
        <v>16</v>
      </c>
      <c r="H7" s="0" t="n">
        <v>596.23</v>
      </c>
      <c r="I7" s="0" t="s">
        <v>68</v>
      </c>
      <c r="J7" s="0" t="s">
        <v>64</v>
      </c>
      <c r="K7" s="0" t="s">
        <v>65</v>
      </c>
    </row>
    <row r="8" customFormat="false" ht="15" hidden="false" customHeight="false" outlineLevel="0" collapsed="false">
      <c r="A8" s="0" t="s">
        <v>69</v>
      </c>
      <c r="B8" s="0" t="s">
        <v>70</v>
      </c>
      <c r="C8" s="0" t="n">
        <v>3.907</v>
      </c>
      <c r="D8" s="0" t="n">
        <v>14.358</v>
      </c>
      <c r="E8" s="0" t="n">
        <v>1</v>
      </c>
      <c r="F8" s="0" t="s">
        <v>62</v>
      </c>
      <c r="G8" s="0" t="n">
        <v>16</v>
      </c>
      <c r="H8" s="0" t="n">
        <v>60.07</v>
      </c>
      <c r="I8" s="0" t="s">
        <v>71</v>
      </c>
      <c r="J8" s="0" t="s">
        <v>64</v>
      </c>
      <c r="K8" s="0" t="s">
        <v>65</v>
      </c>
    </row>
    <row r="9" customFormat="false" ht="15" hidden="false" customHeight="false" outlineLevel="0" collapsed="false">
      <c r="A9" s="0" t="s">
        <v>72</v>
      </c>
      <c r="B9" s="0" t="s">
        <v>73</v>
      </c>
      <c r="C9" s="0" t="n">
        <v>21.887</v>
      </c>
      <c r="D9" s="0" t="n">
        <v>14.358</v>
      </c>
      <c r="E9" s="0" t="n">
        <v>0.92</v>
      </c>
      <c r="F9" s="0" t="s">
        <v>62</v>
      </c>
      <c r="G9" s="0" t="n">
        <v>16</v>
      </c>
      <c r="H9" s="0" t="n">
        <v>303.32</v>
      </c>
      <c r="I9" s="0" t="s">
        <v>74</v>
      </c>
      <c r="J9" s="0" t="s">
        <v>64</v>
      </c>
      <c r="K9" s="0" t="s">
        <v>65</v>
      </c>
    </row>
    <row r="10" customFormat="false" ht="15" hidden="false" customHeight="false" outlineLevel="0" collapsed="false">
      <c r="A10" s="0" t="s">
        <v>75</v>
      </c>
      <c r="B10" s="0" t="s">
        <v>76</v>
      </c>
      <c r="C10" s="0" t="n">
        <v>77.187</v>
      </c>
      <c r="D10" s="0" t="n">
        <v>13.539</v>
      </c>
      <c r="E10" s="0" t="n">
        <v>0.94</v>
      </c>
      <c r="F10" s="0" t="s">
        <v>62</v>
      </c>
      <c r="G10" s="0" t="n">
        <v>16</v>
      </c>
      <c r="H10" s="0" t="n">
        <v>993.99</v>
      </c>
      <c r="I10" s="0" t="s">
        <v>77</v>
      </c>
      <c r="J10" s="0" t="s">
        <v>64</v>
      </c>
      <c r="K10" s="0" t="s">
        <v>65</v>
      </c>
    </row>
    <row r="11" customFormat="false" ht="15" hidden="false" customHeight="false" outlineLevel="0" collapsed="false">
      <c r="A11" s="0" t="s">
        <v>78</v>
      </c>
      <c r="B11" s="0" t="s">
        <v>79</v>
      </c>
      <c r="C11" s="0" t="n">
        <v>47.833</v>
      </c>
      <c r="D11" s="0" t="n">
        <v>13.036</v>
      </c>
      <c r="E11" s="0" t="n">
        <v>0.93</v>
      </c>
      <c r="F11" s="0" t="s">
        <v>62</v>
      </c>
      <c r="G11" s="0" t="n">
        <v>16</v>
      </c>
      <c r="H11" s="0" t="n">
        <v>590.61</v>
      </c>
      <c r="I11" s="0" t="s">
        <v>80</v>
      </c>
      <c r="J11" s="0" t="s">
        <v>64</v>
      </c>
      <c r="K11" s="0" t="s">
        <v>65</v>
      </c>
    </row>
    <row r="12" customFormat="false" ht="15" hidden="false" customHeight="false" outlineLevel="0" collapsed="false">
      <c r="A12" s="5" t="s">
        <v>81</v>
      </c>
    </row>
    <row r="13" customFormat="false" ht="15" hidden="false" customHeight="false" outlineLevel="0" collapsed="false">
      <c r="A13" s="0" t="s">
        <v>82</v>
      </c>
      <c r="B13" s="0" t="s">
        <v>83</v>
      </c>
      <c r="C13" s="0" t="n">
        <v>5.667</v>
      </c>
      <c r="D13" s="0" t="n">
        <v>10.604</v>
      </c>
      <c r="E13" s="0" t="n">
        <v>0</v>
      </c>
      <c r="F13" s="0" t="s">
        <v>84</v>
      </c>
      <c r="G13" s="0" t="n">
        <v>16</v>
      </c>
      <c r="H13" s="0" t="n">
        <v>0</v>
      </c>
      <c r="I13" s="0" t="s">
        <v>83</v>
      </c>
      <c r="J13" s="0" t="s">
        <v>85</v>
      </c>
      <c r="K13" s="0" t="s">
        <v>65</v>
      </c>
    </row>
    <row r="14" customFormat="false" ht="15" hidden="false" customHeight="false" outlineLevel="0" collapsed="false">
      <c r="A14" s="0" t="s">
        <v>86</v>
      </c>
      <c r="B14" s="0" t="s">
        <v>87</v>
      </c>
      <c r="C14" s="0" t="n">
        <v>5.667</v>
      </c>
      <c r="D14" s="0" t="n">
        <v>10.604</v>
      </c>
      <c r="E14" s="0" t="n">
        <v>0</v>
      </c>
      <c r="F14" s="0" t="s">
        <v>84</v>
      </c>
      <c r="G14" s="0" t="n">
        <v>16</v>
      </c>
      <c r="H14" s="0" t="n">
        <v>0</v>
      </c>
      <c r="I14" s="0" t="s">
        <v>87</v>
      </c>
      <c r="J14" s="0" t="s">
        <v>85</v>
      </c>
      <c r="K14" s="0" t="s">
        <v>65</v>
      </c>
    </row>
    <row r="15" customFormat="false" ht="15" hidden="false" customHeight="false" outlineLevel="0" collapsed="false">
      <c r="A15" s="0" t="s">
        <v>88</v>
      </c>
      <c r="B15" s="0" t="s">
        <v>89</v>
      </c>
      <c r="C15" s="0" t="n">
        <v>5.667</v>
      </c>
      <c r="D15" s="0" t="n">
        <v>10.604</v>
      </c>
      <c r="E15" s="0" t="n">
        <v>0</v>
      </c>
      <c r="F15" s="0" t="s">
        <v>84</v>
      </c>
      <c r="G15" s="0" t="n">
        <v>16</v>
      </c>
      <c r="H15" s="0" t="n">
        <v>0</v>
      </c>
      <c r="I15" s="0" t="s">
        <v>89</v>
      </c>
      <c r="J15" s="0" t="s">
        <v>85</v>
      </c>
      <c r="K15" s="0" t="s">
        <v>65</v>
      </c>
    </row>
    <row r="16" customFormat="false" ht="15" hidden="false" customHeight="false" outlineLevel="0" collapsed="false">
      <c r="A16" s="0" t="s">
        <v>90</v>
      </c>
      <c r="B16" s="0" t="s">
        <v>91</v>
      </c>
      <c r="C16" s="0" t="n">
        <v>5.667</v>
      </c>
      <c r="D16" s="0" t="n">
        <v>10.604</v>
      </c>
      <c r="E16" s="0" t="n">
        <v>0</v>
      </c>
      <c r="F16" s="0" t="s">
        <v>84</v>
      </c>
      <c r="G16" s="0" t="n">
        <v>16</v>
      </c>
      <c r="H16" s="0" t="n">
        <v>0</v>
      </c>
      <c r="I16" s="0" t="s">
        <v>91</v>
      </c>
      <c r="J16" s="0" t="s">
        <v>85</v>
      </c>
      <c r="K16" s="0" t="s">
        <v>65</v>
      </c>
    </row>
    <row r="17" customFormat="false" ht="15" hidden="false" customHeight="false" outlineLevel="0" collapsed="false">
      <c r="A17" s="5" t="s">
        <v>92</v>
      </c>
    </row>
    <row r="18" customFormat="false" ht="15" hidden="false" customHeight="false" outlineLevel="0" collapsed="false">
      <c r="A18" s="0" t="s">
        <v>93</v>
      </c>
      <c r="B18" s="0" t="s">
        <v>94</v>
      </c>
      <c r="C18" s="0" t="n">
        <v>17.76</v>
      </c>
      <c r="D18" s="0" t="n">
        <v>15.375</v>
      </c>
      <c r="E18" s="0" t="n">
        <v>1.96</v>
      </c>
      <c r="F18" s="0" t="s">
        <v>84</v>
      </c>
      <c r="G18" s="0" t="n">
        <v>16</v>
      </c>
      <c r="H18" s="0" t="n">
        <v>318.58</v>
      </c>
      <c r="I18" s="0" t="s">
        <v>95</v>
      </c>
      <c r="J18" s="0" t="s">
        <v>96</v>
      </c>
      <c r="K18" s="0" t="s">
        <v>65</v>
      </c>
    </row>
    <row r="19" customFormat="false" ht="15" hidden="false" customHeight="false" outlineLevel="0" collapsed="false">
      <c r="A19" s="5" t="s">
        <v>97</v>
      </c>
    </row>
    <row r="20" customFormat="false" ht="15" hidden="false" customHeight="false" outlineLevel="0" collapsed="false">
      <c r="A20" s="0" t="s">
        <v>98</v>
      </c>
      <c r="B20" s="0" t="s">
        <v>99</v>
      </c>
      <c r="C20" s="0" t="n">
        <v>1.53</v>
      </c>
      <c r="D20" s="0" t="n">
        <v>15.375</v>
      </c>
      <c r="E20" s="0" t="n">
        <v>2.26</v>
      </c>
      <c r="F20" s="0" t="s">
        <v>84</v>
      </c>
      <c r="G20" s="0" t="n">
        <v>16</v>
      </c>
      <c r="H20" s="0" t="n">
        <v>53.26</v>
      </c>
      <c r="I20" s="0" t="s">
        <v>100</v>
      </c>
      <c r="J20" s="0" t="s">
        <v>101</v>
      </c>
      <c r="K20" s="0" t="s">
        <v>65</v>
      </c>
    </row>
    <row r="21" customFormat="false" ht="15" hidden="false" customHeight="false" outlineLevel="0" collapsed="false">
      <c r="A21" s="0" t="s">
        <v>102</v>
      </c>
      <c r="B21" s="0" t="s">
        <v>103</v>
      </c>
      <c r="C21" s="0" t="n">
        <v>1</v>
      </c>
      <c r="D21" s="0" t="n">
        <v>14.383</v>
      </c>
      <c r="E21" s="0" t="n">
        <v>2</v>
      </c>
      <c r="F21" s="0" t="s">
        <v>84</v>
      </c>
      <c r="G21" s="0" t="n">
        <v>16</v>
      </c>
      <c r="H21" s="0" t="n">
        <v>28.77</v>
      </c>
      <c r="I21" s="0" t="s">
        <v>104</v>
      </c>
      <c r="J21" s="0" t="s">
        <v>101</v>
      </c>
      <c r="K21" s="0" t="s">
        <v>65</v>
      </c>
    </row>
    <row r="22" customFormat="false" ht="15" hidden="false" customHeight="false" outlineLevel="0" collapsed="false">
      <c r="A22" s="0" t="s">
        <v>105</v>
      </c>
      <c r="B22" s="0" t="s">
        <v>106</v>
      </c>
      <c r="C22" s="0" t="n">
        <v>10</v>
      </c>
      <c r="D22" s="0" t="n">
        <v>15.375</v>
      </c>
      <c r="E22" s="0" t="n">
        <v>1.13</v>
      </c>
      <c r="F22" s="0" t="s">
        <v>84</v>
      </c>
      <c r="G22" s="0" t="n">
        <v>16</v>
      </c>
      <c r="H22" s="0" t="n">
        <v>174.27</v>
      </c>
      <c r="I22" s="0" t="s">
        <v>107</v>
      </c>
      <c r="J22" s="0" t="s">
        <v>101</v>
      </c>
      <c r="K22" s="0" t="s">
        <v>108</v>
      </c>
    </row>
    <row r="23" customFormat="false" ht="15" hidden="false" customHeight="false" outlineLevel="0" collapsed="false">
      <c r="A23" s="0" t="s">
        <v>109</v>
      </c>
      <c r="B23" s="0" t="s">
        <v>110</v>
      </c>
      <c r="C23" s="0" t="n">
        <v>2.98</v>
      </c>
      <c r="D23" s="0" t="n">
        <v>12.928</v>
      </c>
      <c r="E23" s="0" t="n">
        <v>1.19</v>
      </c>
      <c r="F23" s="0" t="s">
        <v>84</v>
      </c>
      <c r="G23" s="0" t="n">
        <v>16</v>
      </c>
      <c r="H23" s="0" t="n">
        <v>45.97</v>
      </c>
      <c r="I23" s="0" t="s">
        <v>111</v>
      </c>
      <c r="J23" s="0" t="s">
        <v>101</v>
      </c>
      <c r="K23" s="0" t="s">
        <v>65</v>
      </c>
    </row>
    <row r="24" customFormat="false" ht="15" hidden="false" customHeight="false" outlineLevel="0" collapsed="false">
      <c r="A24" s="0" t="s">
        <v>112</v>
      </c>
      <c r="B24" s="0" t="s">
        <v>113</v>
      </c>
      <c r="C24" s="0" t="n">
        <v>4.533</v>
      </c>
      <c r="D24" s="0" t="n">
        <v>14.358</v>
      </c>
      <c r="E24" s="0" t="n">
        <v>1</v>
      </c>
      <c r="F24" s="0" t="s">
        <v>84</v>
      </c>
      <c r="G24" s="0" t="n">
        <v>16</v>
      </c>
      <c r="H24" s="0" t="n">
        <v>69.69</v>
      </c>
      <c r="I24" s="0" t="s">
        <v>114</v>
      </c>
      <c r="J24" s="0" t="s">
        <v>101</v>
      </c>
      <c r="K24" s="0" t="s">
        <v>65</v>
      </c>
    </row>
    <row r="25" customFormat="false" ht="15" hidden="false" customHeight="false" outlineLevel="0" collapsed="false">
      <c r="A25" s="0" t="s">
        <v>115</v>
      </c>
      <c r="B25" s="0" t="s">
        <v>116</v>
      </c>
      <c r="C25" s="0" t="n">
        <v>4.54</v>
      </c>
      <c r="D25" s="0" t="n">
        <v>14.358</v>
      </c>
      <c r="E25" s="0" t="n">
        <v>1</v>
      </c>
      <c r="F25" s="0" t="s">
        <v>84</v>
      </c>
      <c r="G25" s="0" t="n">
        <v>16</v>
      </c>
      <c r="H25" s="0" t="n">
        <v>69.81</v>
      </c>
      <c r="I25" s="0" t="s">
        <v>117</v>
      </c>
      <c r="J25" s="0" t="s">
        <v>101</v>
      </c>
      <c r="K25" s="0" t="s">
        <v>65</v>
      </c>
    </row>
    <row r="26" customFormat="false" ht="15" hidden="false" customHeight="false" outlineLevel="0" collapsed="false">
      <c r="A26" s="0" t="s">
        <v>118</v>
      </c>
      <c r="B26" s="0" t="s">
        <v>119</v>
      </c>
      <c r="C26" s="0" t="n">
        <v>10.027</v>
      </c>
      <c r="D26" s="0" t="n">
        <v>12.924</v>
      </c>
      <c r="E26" s="0" t="n">
        <v>1</v>
      </c>
      <c r="F26" s="0" t="s">
        <v>84</v>
      </c>
      <c r="G26" s="0" t="n">
        <v>16</v>
      </c>
      <c r="H26" s="0" t="n">
        <v>129.62</v>
      </c>
      <c r="I26" s="0" t="s">
        <v>120</v>
      </c>
      <c r="J26" s="0" t="s">
        <v>101</v>
      </c>
      <c r="K26" s="0" t="s">
        <v>65</v>
      </c>
    </row>
    <row r="27" customFormat="false" ht="15" hidden="false" customHeight="false" outlineLevel="0" collapsed="false">
      <c r="A27" s="0" t="s">
        <v>121</v>
      </c>
      <c r="B27" s="0" t="s">
        <v>122</v>
      </c>
      <c r="C27" s="0" t="n">
        <v>10.027</v>
      </c>
      <c r="D27" s="0" t="n">
        <v>12.894</v>
      </c>
      <c r="E27" s="0" t="n">
        <v>1</v>
      </c>
      <c r="F27" s="0" t="s">
        <v>84</v>
      </c>
      <c r="G27" s="0" t="n">
        <v>16</v>
      </c>
      <c r="H27" s="0" t="n">
        <v>129.18</v>
      </c>
      <c r="I27" s="0" t="s">
        <v>123</v>
      </c>
      <c r="J27" s="0" t="s">
        <v>101</v>
      </c>
      <c r="K27" s="0" t="s">
        <v>65</v>
      </c>
    </row>
    <row r="28" customFormat="false" ht="15" hidden="false" customHeight="false" outlineLevel="0" collapsed="false">
      <c r="A28" s="5" t="s">
        <v>124</v>
      </c>
    </row>
    <row r="29" customFormat="false" ht="15" hidden="false" customHeight="false" outlineLevel="0" collapsed="false">
      <c r="A29" s="0" t="s">
        <v>125</v>
      </c>
      <c r="B29" s="0" t="s">
        <v>126</v>
      </c>
      <c r="C29" s="0" t="n">
        <v>5.67</v>
      </c>
      <c r="D29" s="0" t="n">
        <v>15.375</v>
      </c>
      <c r="E29" s="0" t="n">
        <v>2</v>
      </c>
      <c r="F29" s="0" t="s">
        <v>62</v>
      </c>
      <c r="G29" s="0" t="n">
        <v>16</v>
      </c>
      <c r="H29" s="0" t="n">
        <v>111.8</v>
      </c>
      <c r="I29" s="0" t="s">
        <v>127</v>
      </c>
      <c r="J29" s="0" t="s">
        <v>128</v>
      </c>
      <c r="K29" s="0" t="s">
        <v>108</v>
      </c>
    </row>
    <row r="30" customFormat="false" ht="15" hidden="false" customHeight="false" outlineLevel="0" collapsed="false">
      <c r="A30" s="0" t="s">
        <v>129</v>
      </c>
      <c r="B30" s="0" t="s">
        <v>130</v>
      </c>
      <c r="C30" s="0" t="n">
        <v>11.407</v>
      </c>
      <c r="D30" s="0" t="n">
        <v>11.63</v>
      </c>
      <c r="E30" s="0" t="n">
        <v>1.96</v>
      </c>
      <c r="F30" s="0" t="s">
        <v>62</v>
      </c>
      <c r="G30" s="0" t="n">
        <v>16</v>
      </c>
      <c r="H30" s="0" t="n">
        <v>260.59</v>
      </c>
      <c r="I30" s="0" t="s">
        <v>131</v>
      </c>
      <c r="J30" s="0" t="s">
        <v>128</v>
      </c>
      <c r="K30" s="0" t="s">
        <v>65</v>
      </c>
    </row>
    <row r="31" customFormat="false" ht="15" hidden="false" customHeight="false" outlineLevel="0" collapsed="false">
      <c r="A31" s="0" t="s">
        <v>132</v>
      </c>
      <c r="B31" s="0" t="s">
        <v>133</v>
      </c>
      <c r="C31" s="0" t="n">
        <v>5.542</v>
      </c>
      <c r="D31" s="0" t="n">
        <v>13.24</v>
      </c>
      <c r="E31" s="0" t="n">
        <v>1.93</v>
      </c>
      <c r="F31" s="0" t="s">
        <v>62</v>
      </c>
      <c r="G31" s="0" t="n">
        <v>16</v>
      </c>
      <c r="H31" s="0" t="n">
        <v>91.58</v>
      </c>
      <c r="I31" s="0" t="s">
        <v>134</v>
      </c>
      <c r="J31" s="0" t="s">
        <v>128</v>
      </c>
      <c r="K31" s="0" t="s">
        <v>65</v>
      </c>
    </row>
    <row r="32" customFormat="false" ht="15" hidden="false" customHeight="false" outlineLevel="0" collapsed="false">
      <c r="A32" s="0" t="s">
        <v>135</v>
      </c>
      <c r="B32" s="0" t="s">
        <v>136</v>
      </c>
      <c r="C32" s="0" t="n">
        <v>15.787</v>
      </c>
      <c r="D32" s="0" t="n">
        <v>12.756</v>
      </c>
      <c r="E32" s="0" t="n">
        <v>1.97</v>
      </c>
      <c r="F32" s="0" t="s">
        <v>62</v>
      </c>
      <c r="G32" s="0" t="n">
        <v>16</v>
      </c>
      <c r="H32" s="0" t="n">
        <v>254.03</v>
      </c>
      <c r="I32" s="0" t="s">
        <v>137</v>
      </c>
      <c r="J32" s="0" t="s">
        <v>128</v>
      </c>
      <c r="K32" s="0" t="s">
        <v>65</v>
      </c>
    </row>
    <row r="33" customFormat="false" ht="15" hidden="false" customHeight="false" outlineLevel="0" collapsed="false">
      <c r="A33" s="5" t="s">
        <v>138</v>
      </c>
    </row>
    <row r="34" customFormat="false" ht="15" hidden="false" customHeight="false" outlineLevel="0" collapsed="false">
      <c r="A34" s="0" t="s">
        <v>139</v>
      </c>
      <c r="B34" s="0" t="s">
        <v>140</v>
      </c>
      <c r="C34" s="0" t="n">
        <v>3.51</v>
      </c>
      <c r="D34" s="0" t="n">
        <v>15.375</v>
      </c>
      <c r="E34" s="0" t="n">
        <v>3.71</v>
      </c>
      <c r="F34" s="0" t="s">
        <v>141</v>
      </c>
      <c r="G34" s="0" t="n">
        <v>16</v>
      </c>
      <c r="H34" s="0" t="n">
        <v>200.18</v>
      </c>
      <c r="I34" s="0" t="s">
        <v>142</v>
      </c>
      <c r="J34" s="0" t="s">
        <v>143</v>
      </c>
      <c r="K34" s="0" t="s">
        <v>65</v>
      </c>
    </row>
    <row r="35" customFormat="false" ht="15" hidden="false" customHeight="false" outlineLevel="0" collapsed="false">
      <c r="A35" s="0" t="s">
        <v>144</v>
      </c>
      <c r="B35" s="0" t="s">
        <v>145</v>
      </c>
      <c r="C35" s="0" t="n">
        <v>11.77</v>
      </c>
      <c r="D35" s="0" t="n">
        <v>15.163</v>
      </c>
      <c r="E35" s="0" t="n">
        <v>4</v>
      </c>
      <c r="F35" s="0" t="s">
        <v>141</v>
      </c>
      <c r="G35" s="0" t="n">
        <v>16</v>
      </c>
      <c r="H35" s="0" t="n">
        <v>713.88</v>
      </c>
      <c r="I35" s="0" t="s">
        <v>146</v>
      </c>
      <c r="J35" s="0" t="s">
        <v>143</v>
      </c>
      <c r="K35" s="0" t="s">
        <v>65</v>
      </c>
    </row>
    <row r="36" customFormat="false" ht="15" hidden="false" customHeight="false" outlineLevel="0" collapsed="false">
      <c r="A36" s="0" t="s">
        <v>147</v>
      </c>
      <c r="B36" s="0" t="s">
        <v>148</v>
      </c>
      <c r="C36" s="0" t="n">
        <v>3.18</v>
      </c>
      <c r="D36" s="0" t="n">
        <v>15.375</v>
      </c>
      <c r="E36" s="0" t="n">
        <v>3.42</v>
      </c>
      <c r="F36" s="0" t="s">
        <v>141</v>
      </c>
      <c r="G36" s="0" t="n">
        <v>16</v>
      </c>
      <c r="H36" s="0" t="n">
        <v>167.28</v>
      </c>
      <c r="I36" s="0" t="s">
        <v>149</v>
      </c>
      <c r="J36" s="0" t="s">
        <v>143</v>
      </c>
      <c r="K36" s="0" t="s">
        <v>65</v>
      </c>
    </row>
    <row r="37" customFormat="false" ht="15" hidden="false" customHeight="false" outlineLevel="0" collapsed="false">
      <c r="A37" s="5" t="s">
        <v>150</v>
      </c>
    </row>
    <row r="38" customFormat="false" ht="15" hidden="false" customHeight="false" outlineLevel="0" collapsed="false">
      <c r="A38" s="0" t="s">
        <v>151</v>
      </c>
      <c r="B38" s="0" t="s">
        <v>152</v>
      </c>
      <c r="C38" s="0" t="n">
        <v>11.63</v>
      </c>
      <c r="D38" s="0" t="n">
        <v>15.16</v>
      </c>
      <c r="E38" s="0" t="n">
        <v>4</v>
      </c>
      <c r="F38" s="0" t="s">
        <v>141</v>
      </c>
      <c r="G38" s="0" t="n">
        <v>16</v>
      </c>
      <c r="H38" s="0" t="n">
        <v>705.24</v>
      </c>
      <c r="I38" s="0" t="s">
        <v>153</v>
      </c>
      <c r="J38" s="0" t="s">
        <v>143</v>
      </c>
      <c r="K38" s="0" t="s">
        <v>65</v>
      </c>
    </row>
    <row r="39" customFormat="false" ht="15" hidden="false" customHeight="false" outlineLevel="0" collapsed="false">
      <c r="A39" s="0" t="s">
        <v>154</v>
      </c>
      <c r="B39" s="0" t="s">
        <v>155</v>
      </c>
      <c r="C39" s="0" t="n">
        <v>11.77</v>
      </c>
      <c r="D39" s="0" t="n">
        <v>15.375</v>
      </c>
      <c r="E39" s="0" t="n">
        <v>4</v>
      </c>
      <c r="F39" s="0" t="s">
        <v>141</v>
      </c>
      <c r="G39" s="0" t="n">
        <v>16</v>
      </c>
      <c r="H39" s="0" t="n">
        <v>723.86</v>
      </c>
      <c r="I39" s="0" t="s">
        <v>156</v>
      </c>
      <c r="J39" s="0" t="s">
        <v>143</v>
      </c>
      <c r="K39" s="0" t="s">
        <v>65</v>
      </c>
    </row>
    <row r="40" customFormat="false" ht="15" hidden="false" customHeight="false" outlineLevel="0" collapsed="false">
      <c r="A40" s="0" t="s">
        <v>157</v>
      </c>
      <c r="B40" s="0" t="s">
        <v>158</v>
      </c>
      <c r="C40" s="0" t="n">
        <v>11.77</v>
      </c>
      <c r="D40" s="0" t="n">
        <v>15.375</v>
      </c>
      <c r="E40" s="0" t="n">
        <v>4</v>
      </c>
      <c r="F40" s="0" t="s">
        <v>141</v>
      </c>
      <c r="G40" s="0" t="n">
        <v>16</v>
      </c>
      <c r="H40" s="0" t="n">
        <v>723.86</v>
      </c>
      <c r="I40" s="0" t="s">
        <v>159</v>
      </c>
      <c r="J40" s="0" t="s">
        <v>143</v>
      </c>
      <c r="K40" s="0" t="s">
        <v>108</v>
      </c>
    </row>
    <row r="41" customFormat="false" ht="15" hidden="false" customHeight="false" outlineLevel="0" collapsed="false">
      <c r="A41" s="0" t="s">
        <v>160</v>
      </c>
      <c r="B41" s="0" t="s">
        <v>161</v>
      </c>
      <c r="C41" s="0" t="n">
        <v>2.42</v>
      </c>
      <c r="D41" s="0" t="n">
        <v>14.383</v>
      </c>
      <c r="E41" s="0" t="n">
        <v>4</v>
      </c>
      <c r="F41" s="0" t="s">
        <v>141</v>
      </c>
      <c r="G41" s="0" t="n">
        <v>16</v>
      </c>
      <c r="H41" s="0" t="n">
        <v>139.22</v>
      </c>
      <c r="I41" s="0" t="s">
        <v>162</v>
      </c>
      <c r="J41" s="0" t="s">
        <v>143</v>
      </c>
      <c r="K41" s="0" t="s">
        <v>65</v>
      </c>
    </row>
    <row r="42" customFormat="false" ht="15" hidden="false" customHeight="false" outlineLevel="0" collapsed="false">
      <c r="A42" s="0" t="s">
        <v>163</v>
      </c>
      <c r="B42" s="0" t="s">
        <v>164</v>
      </c>
      <c r="C42" s="0" t="n">
        <v>3.47</v>
      </c>
      <c r="D42" s="0" t="n">
        <v>14.383</v>
      </c>
      <c r="E42" s="0" t="n">
        <v>3.59</v>
      </c>
      <c r="F42" s="0" t="s">
        <v>141</v>
      </c>
      <c r="G42" s="0" t="n">
        <v>16</v>
      </c>
      <c r="H42" s="0" t="n">
        <v>179.22</v>
      </c>
      <c r="I42" s="0" t="s">
        <v>165</v>
      </c>
      <c r="J42" s="0" t="s">
        <v>143</v>
      </c>
      <c r="K42" s="0" t="s">
        <v>65</v>
      </c>
    </row>
    <row r="43" customFormat="false" ht="15" hidden="false" customHeight="false" outlineLevel="0" collapsed="false">
      <c r="A43" s="0" t="s">
        <v>166</v>
      </c>
      <c r="B43" s="0" t="s">
        <v>167</v>
      </c>
      <c r="C43" s="0" t="n">
        <v>3.25</v>
      </c>
      <c r="D43" s="0" t="n">
        <v>14.277</v>
      </c>
      <c r="E43" s="0" t="n">
        <v>3.68</v>
      </c>
      <c r="F43" s="0" t="s">
        <v>141</v>
      </c>
      <c r="G43" s="0" t="n">
        <v>16</v>
      </c>
      <c r="H43" s="0" t="n">
        <v>170.85</v>
      </c>
      <c r="I43" s="0" t="s">
        <v>168</v>
      </c>
      <c r="J43" s="0" t="s">
        <v>143</v>
      </c>
      <c r="K43" s="0" t="s">
        <v>65</v>
      </c>
    </row>
    <row r="44" customFormat="false" ht="15" hidden="false" customHeight="false" outlineLevel="0" collapsed="false">
      <c r="A44" s="0" t="s">
        <v>169</v>
      </c>
      <c r="B44" s="0" t="s">
        <v>170</v>
      </c>
      <c r="C44" s="0" t="n">
        <v>3.25</v>
      </c>
      <c r="D44" s="0" t="n">
        <v>14.225</v>
      </c>
      <c r="E44" s="0" t="n">
        <v>3.69</v>
      </c>
      <c r="F44" s="0" t="s">
        <v>141</v>
      </c>
      <c r="G44" s="0" t="n">
        <v>16</v>
      </c>
      <c r="H44" s="0" t="n">
        <v>170.41</v>
      </c>
      <c r="I44" s="0" t="s">
        <v>171</v>
      </c>
      <c r="J44" s="0" t="s">
        <v>143</v>
      </c>
      <c r="K44" s="0" t="s">
        <v>65</v>
      </c>
    </row>
    <row r="45" customFormat="false" ht="15" hidden="false" customHeight="false" outlineLevel="0" collapsed="false">
      <c r="A45" s="0" t="s">
        <v>172</v>
      </c>
      <c r="B45" s="0" t="s">
        <v>173</v>
      </c>
      <c r="C45" s="0" t="n">
        <v>11.625</v>
      </c>
      <c r="D45" s="0" t="n">
        <v>15.375</v>
      </c>
      <c r="E45" s="0" t="n">
        <v>4</v>
      </c>
      <c r="F45" s="0" t="s">
        <v>141</v>
      </c>
      <c r="G45" s="0" t="n">
        <v>16</v>
      </c>
      <c r="H45" s="0" t="n">
        <v>714.94</v>
      </c>
      <c r="I45" s="0" t="s">
        <v>174</v>
      </c>
      <c r="J45" s="0" t="s">
        <v>143</v>
      </c>
      <c r="K45" s="0" t="s">
        <v>108</v>
      </c>
    </row>
    <row r="46" customFormat="false" ht="15" hidden="false" customHeight="false" outlineLevel="0" collapsed="false">
      <c r="A46" s="0" t="s">
        <v>175</v>
      </c>
      <c r="B46" s="0" t="s">
        <v>176</v>
      </c>
      <c r="C46" s="0" t="n">
        <v>10.073</v>
      </c>
      <c r="D46" s="0" t="n">
        <v>15.375</v>
      </c>
      <c r="E46" s="0" t="n">
        <v>4</v>
      </c>
      <c r="F46" s="0" t="s">
        <v>141</v>
      </c>
      <c r="G46" s="0" t="n">
        <v>16</v>
      </c>
      <c r="H46" s="0" t="n">
        <v>619.49</v>
      </c>
      <c r="I46" s="0" t="s">
        <v>177</v>
      </c>
      <c r="J46" s="0" t="s">
        <v>143</v>
      </c>
      <c r="K46" s="0" t="s">
        <v>65</v>
      </c>
    </row>
    <row r="47" customFormat="false" ht="15" hidden="false" customHeight="false" outlineLevel="0" collapsed="false">
      <c r="A47" s="0" t="s">
        <v>178</v>
      </c>
      <c r="B47" s="0" t="s">
        <v>179</v>
      </c>
      <c r="C47" s="0" t="n">
        <v>12.333</v>
      </c>
      <c r="D47" s="0" t="n">
        <v>14.806</v>
      </c>
      <c r="E47" s="0" t="n">
        <v>3.79</v>
      </c>
      <c r="F47" s="0" t="s">
        <v>141</v>
      </c>
      <c r="G47" s="0" t="n">
        <v>16</v>
      </c>
      <c r="H47" s="0" t="n">
        <v>690.25</v>
      </c>
      <c r="I47" s="0" t="s">
        <v>180</v>
      </c>
      <c r="J47" s="0" t="s">
        <v>143</v>
      </c>
      <c r="K47" s="0" t="s">
        <v>65</v>
      </c>
    </row>
    <row r="48" customFormat="false" ht="15" hidden="false" customHeight="false" outlineLevel="0" collapsed="false">
      <c r="A48" s="5" t="s">
        <v>181</v>
      </c>
    </row>
    <row r="49" customFormat="false" ht="15" hidden="false" customHeight="false" outlineLevel="0" collapsed="false">
      <c r="A49" s="0" t="s">
        <v>182</v>
      </c>
      <c r="B49" s="0" t="s">
        <v>183</v>
      </c>
      <c r="C49" s="0" t="n">
        <v>17.02</v>
      </c>
      <c r="D49" s="0" t="n">
        <v>15.375</v>
      </c>
      <c r="E49" s="0" t="n">
        <v>2</v>
      </c>
      <c r="F49" s="0" t="s">
        <v>84</v>
      </c>
      <c r="G49" s="0" t="n">
        <v>16</v>
      </c>
      <c r="H49" s="0" t="n">
        <v>369.49</v>
      </c>
      <c r="I49" s="0" t="s">
        <v>184</v>
      </c>
      <c r="J49" s="0" t="s">
        <v>185</v>
      </c>
      <c r="K49" s="0" t="s">
        <v>65</v>
      </c>
    </row>
    <row r="50" customFormat="false" ht="15" hidden="false" customHeight="false" outlineLevel="0" collapsed="false">
      <c r="A50" s="0" t="s">
        <v>186</v>
      </c>
      <c r="B50" s="0" t="s">
        <v>187</v>
      </c>
      <c r="C50" s="0" t="n">
        <v>3.53</v>
      </c>
      <c r="D50" s="0" t="n">
        <v>15.375</v>
      </c>
      <c r="E50" s="0" t="n">
        <v>2</v>
      </c>
      <c r="F50" s="0" t="s">
        <v>84</v>
      </c>
      <c r="G50" s="0" t="n">
        <v>16</v>
      </c>
      <c r="H50" s="0" t="n">
        <v>83.51</v>
      </c>
      <c r="I50" s="0" t="s">
        <v>188</v>
      </c>
      <c r="J50" s="0" t="s">
        <v>185</v>
      </c>
      <c r="K50" s="0" t="s">
        <v>65</v>
      </c>
    </row>
    <row r="51" customFormat="false" ht="15" hidden="false" customHeight="false" outlineLevel="0" collapsed="false">
      <c r="A51" s="0" t="s">
        <v>189</v>
      </c>
      <c r="B51" s="0" t="s">
        <v>190</v>
      </c>
      <c r="C51" s="0" t="n">
        <v>5.587</v>
      </c>
      <c r="D51" s="0" t="n">
        <v>15.375</v>
      </c>
      <c r="E51" s="0" t="n">
        <v>1.89</v>
      </c>
      <c r="F51" s="0" t="s">
        <v>84</v>
      </c>
      <c r="G51" s="0" t="n">
        <v>16</v>
      </c>
      <c r="H51" s="0" t="n">
        <v>55.84</v>
      </c>
      <c r="I51" s="0" t="s">
        <v>191</v>
      </c>
      <c r="J51" s="0" t="s">
        <v>185</v>
      </c>
      <c r="K51" s="0" t="s">
        <v>65</v>
      </c>
    </row>
    <row r="52" customFormat="false" ht="15" hidden="false" customHeight="false" outlineLevel="0" collapsed="false">
      <c r="A52" s="0" t="s">
        <v>192</v>
      </c>
      <c r="B52" s="0" t="s">
        <v>193</v>
      </c>
      <c r="C52" s="0" t="n">
        <v>2.02</v>
      </c>
      <c r="D52" s="0" t="n">
        <v>15.375</v>
      </c>
      <c r="E52" s="0" t="n">
        <v>2</v>
      </c>
      <c r="F52" s="0" t="s">
        <v>84</v>
      </c>
      <c r="G52" s="0" t="n">
        <v>16</v>
      </c>
      <c r="H52" s="0" t="n">
        <v>49.24</v>
      </c>
      <c r="I52" s="0" t="s">
        <v>194</v>
      </c>
      <c r="J52" s="0" t="s">
        <v>185</v>
      </c>
      <c r="K52" s="0" t="s">
        <v>65</v>
      </c>
    </row>
    <row r="53" customFormat="false" ht="15" hidden="false" customHeight="false" outlineLevel="0" collapsed="false">
      <c r="A53" s="0" t="s">
        <v>195</v>
      </c>
      <c r="B53" s="0" t="s">
        <v>196</v>
      </c>
      <c r="C53" s="0" t="n">
        <v>15.62</v>
      </c>
      <c r="D53" s="0" t="n">
        <v>12.969</v>
      </c>
      <c r="E53" s="0" t="n">
        <v>1.98</v>
      </c>
      <c r="F53" s="0" t="s">
        <v>84</v>
      </c>
      <c r="G53" s="0" t="n">
        <v>16</v>
      </c>
      <c r="H53" s="0" t="n">
        <v>277.68</v>
      </c>
      <c r="I53" s="0" t="s">
        <v>197</v>
      </c>
      <c r="J53" s="0" t="s">
        <v>185</v>
      </c>
      <c r="K53" s="0" t="s">
        <v>65</v>
      </c>
    </row>
    <row r="54" customFormat="false" ht="15" hidden="false" customHeight="false" outlineLevel="0" collapsed="false">
      <c r="A54" s="0" t="s">
        <v>198</v>
      </c>
      <c r="B54" s="0" t="s">
        <v>199</v>
      </c>
      <c r="C54" s="0" t="n">
        <v>2.14</v>
      </c>
      <c r="D54" s="0" t="n">
        <v>11.827</v>
      </c>
      <c r="E54" s="0" t="n">
        <v>1.81</v>
      </c>
      <c r="F54" s="0" t="s">
        <v>84</v>
      </c>
      <c r="G54" s="0" t="n">
        <v>16</v>
      </c>
      <c r="H54" s="0" t="n">
        <v>35.93</v>
      </c>
      <c r="I54" s="0" t="s">
        <v>200</v>
      </c>
      <c r="J54" s="0" t="s">
        <v>185</v>
      </c>
      <c r="K54" s="0" t="s">
        <v>65</v>
      </c>
    </row>
    <row r="55" customFormat="false" ht="15" hidden="false" customHeight="false" outlineLevel="0" collapsed="false">
      <c r="A55" s="0" t="s">
        <v>201</v>
      </c>
      <c r="B55" s="0" t="s">
        <v>202</v>
      </c>
      <c r="C55" s="0" t="n">
        <v>5.5</v>
      </c>
      <c r="D55" s="0" t="n">
        <v>12.925</v>
      </c>
      <c r="E55" s="0" t="n">
        <v>2</v>
      </c>
      <c r="F55" s="0" t="s">
        <v>84</v>
      </c>
      <c r="G55" s="0" t="n">
        <v>16</v>
      </c>
      <c r="H55" s="0" t="n">
        <v>47.24</v>
      </c>
      <c r="I55" s="0" t="s">
        <v>203</v>
      </c>
      <c r="J55" s="0" t="s">
        <v>185</v>
      </c>
      <c r="K55" s="0" t="s">
        <v>108</v>
      </c>
    </row>
    <row r="56" customFormat="false" ht="15" hidden="false" customHeight="false" outlineLevel="0" collapsed="false">
      <c r="A56" s="0" t="s">
        <v>204</v>
      </c>
      <c r="B56" s="0" t="s">
        <v>205</v>
      </c>
      <c r="C56" s="0" t="n">
        <v>11.667</v>
      </c>
      <c r="D56" s="0" t="n">
        <v>12.773</v>
      </c>
      <c r="E56" s="0" t="n">
        <v>2</v>
      </c>
      <c r="F56" s="0" t="s">
        <v>84</v>
      </c>
      <c r="G56" s="0" t="n">
        <v>16</v>
      </c>
      <c r="H56" s="0" t="n">
        <v>168.07</v>
      </c>
      <c r="I56" s="0" t="s">
        <v>206</v>
      </c>
      <c r="J56" s="0" t="s">
        <v>185</v>
      </c>
      <c r="K56" s="0" t="s">
        <v>108</v>
      </c>
    </row>
    <row r="57" customFormat="false" ht="15" hidden="false" customHeight="false" outlineLevel="0" collapsed="false">
      <c r="A57" s="0" t="s">
        <v>207</v>
      </c>
      <c r="B57" s="0" t="s">
        <v>208</v>
      </c>
      <c r="C57" s="0" t="n">
        <v>20.926</v>
      </c>
      <c r="D57" s="0" t="n">
        <v>11.684</v>
      </c>
      <c r="E57" s="0" t="n">
        <v>1.95</v>
      </c>
      <c r="F57" s="0" t="s">
        <v>84</v>
      </c>
      <c r="G57" s="0" t="n">
        <v>16</v>
      </c>
      <c r="H57" s="0" t="n">
        <v>355.07</v>
      </c>
      <c r="I57" s="0" t="s">
        <v>209</v>
      </c>
      <c r="J57" s="0" t="s">
        <v>185</v>
      </c>
      <c r="K57" s="0" t="s">
        <v>65</v>
      </c>
    </row>
    <row r="58" customFormat="false" ht="15" hidden="false" customHeight="false" outlineLevel="0" collapsed="false">
      <c r="A58" s="5" t="s">
        <v>210</v>
      </c>
    </row>
    <row r="59" customFormat="false" ht="15" hidden="false" customHeight="false" outlineLevel="0" collapsed="false">
      <c r="A59" s="0" t="s">
        <v>211</v>
      </c>
      <c r="B59" s="0" t="s">
        <v>212</v>
      </c>
      <c r="C59" s="0" t="n">
        <v>11</v>
      </c>
      <c r="D59" s="0" t="n">
        <v>15.375</v>
      </c>
      <c r="E59" s="0" t="n">
        <v>2.02</v>
      </c>
      <c r="F59" s="0" t="s">
        <v>62</v>
      </c>
      <c r="G59" s="0" t="n">
        <v>16</v>
      </c>
      <c r="H59" s="0" t="n">
        <v>236.42</v>
      </c>
      <c r="I59" s="0" t="s">
        <v>213</v>
      </c>
      <c r="J59" s="0" t="s">
        <v>185</v>
      </c>
      <c r="K59" s="0" t="s">
        <v>65</v>
      </c>
    </row>
    <row r="60" customFormat="false" ht="15" hidden="false" customHeight="false" outlineLevel="0" collapsed="false">
      <c r="A60" s="0" t="s">
        <v>214</v>
      </c>
      <c r="B60" s="0" t="s">
        <v>215</v>
      </c>
      <c r="C60" s="0" t="n">
        <v>4.873</v>
      </c>
      <c r="D60" s="0" t="n">
        <v>12.315</v>
      </c>
      <c r="E60" s="0" t="n">
        <v>1.92</v>
      </c>
      <c r="F60" s="0" t="s">
        <v>62</v>
      </c>
      <c r="G60" s="0" t="n">
        <v>16</v>
      </c>
      <c r="H60" s="0" t="n">
        <v>36.28</v>
      </c>
      <c r="I60" s="0" t="s">
        <v>213</v>
      </c>
      <c r="J60" s="0" t="s">
        <v>185</v>
      </c>
      <c r="K60" s="0" t="s">
        <v>65</v>
      </c>
    </row>
    <row r="61" customFormat="false" ht="15" hidden="false" customHeight="false" outlineLevel="0" collapsed="false">
      <c r="A61" s="0" t="s">
        <v>216</v>
      </c>
      <c r="B61" s="0" t="s">
        <v>217</v>
      </c>
      <c r="C61" s="0" t="n">
        <v>19</v>
      </c>
      <c r="D61" s="0" t="n">
        <v>13.735</v>
      </c>
      <c r="E61" s="0" t="n">
        <v>2</v>
      </c>
      <c r="F61" s="0" t="s">
        <v>62</v>
      </c>
      <c r="G61" s="0" t="n">
        <v>16</v>
      </c>
      <c r="H61" s="0" t="n">
        <v>370.88</v>
      </c>
      <c r="I61" s="0" t="s">
        <v>218</v>
      </c>
      <c r="J61" s="0" t="s">
        <v>185</v>
      </c>
      <c r="K61" s="0" t="s">
        <v>65</v>
      </c>
    </row>
    <row r="62" customFormat="false" ht="15" hidden="false" customHeight="false" outlineLevel="0" collapsed="false">
      <c r="A62" s="0" t="s">
        <v>219</v>
      </c>
      <c r="B62" s="0" t="s">
        <v>220</v>
      </c>
      <c r="C62" s="0" t="n">
        <v>6.947</v>
      </c>
      <c r="D62" s="0" t="n">
        <v>11.774</v>
      </c>
      <c r="E62" s="0" t="n">
        <v>2</v>
      </c>
      <c r="F62" s="0" t="s">
        <v>62</v>
      </c>
      <c r="G62" s="0" t="n">
        <v>16</v>
      </c>
      <c r="H62" s="0" t="n">
        <v>80.75</v>
      </c>
      <c r="I62" s="0" t="s">
        <v>221</v>
      </c>
      <c r="J62" s="0" t="s">
        <v>185</v>
      </c>
      <c r="K62" s="0" t="s">
        <v>65</v>
      </c>
    </row>
    <row r="63" customFormat="false" ht="15" hidden="false" customHeight="false" outlineLevel="0" collapsed="false">
      <c r="A63" s="5" t="s">
        <v>222</v>
      </c>
    </row>
    <row r="64" customFormat="false" ht="15" hidden="false" customHeight="false" outlineLevel="0" collapsed="false">
      <c r="A64" s="0" t="s">
        <v>223</v>
      </c>
      <c r="B64" s="0" t="s">
        <v>224</v>
      </c>
      <c r="C64" s="0" t="n">
        <v>1.713</v>
      </c>
      <c r="D64" s="0" t="n">
        <v>12.925</v>
      </c>
      <c r="E64" s="0" t="n">
        <v>2</v>
      </c>
      <c r="F64" s="0" t="s">
        <v>84</v>
      </c>
      <c r="G64" s="0" t="n">
        <v>24</v>
      </c>
      <c r="H64" s="0" t="n">
        <v>44.27</v>
      </c>
      <c r="I64" s="0" t="s">
        <v>225</v>
      </c>
      <c r="J64" s="0" t="s">
        <v>226</v>
      </c>
      <c r="K64" s="0" t="s">
        <v>65</v>
      </c>
    </row>
    <row r="65" customFormat="false" ht="15" hidden="false" customHeight="false" outlineLevel="0" collapsed="false">
      <c r="A65" s="0" t="s">
        <v>227</v>
      </c>
      <c r="B65" s="0" t="s">
        <v>228</v>
      </c>
      <c r="C65" s="0" t="n">
        <v>3.333</v>
      </c>
      <c r="D65" s="0" t="n">
        <v>12.937</v>
      </c>
      <c r="E65" s="0" t="n">
        <v>3</v>
      </c>
      <c r="F65" s="0" t="s">
        <v>84</v>
      </c>
      <c r="G65" s="0" t="n">
        <v>24</v>
      </c>
      <c r="H65" s="0" t="n">
        <v>129.32</v>
      </c>
      <c r="I65" s="0" t="s">
        <v>111</v>
      </c>
      <c r="J65" s="0" t="s">
        <v>226</v>
      </c>
      <c r="K65" s="0" t="s">
        <v>65</v>
      </c>
    </row>
    <row r="66" customFormat="false" ht="15" hidden="false" customHeight="false" outlineLevel="0" collapsed="false">
      <c r="A66" s="0" t="s">
        <v>229</v>
      </c>
      <c r="B66" s="0" t="s">
        <v>230</v>
      </c>
      <c r="C66" s="0" t="n">
        <v>3.417</v>
      </c>
      <c r="D66" s="0" t="n">
        <v>15.375</v>
      </c>
      <c r="E66" s="0" t="n">
        <v>2.25</v>
      </c>
      <c r="F66" s="0" t="s">
        <v>84</v>
      </c>
      <c r="G66" s="0" t="n">
        <v>24</v>
      </c>
      <c r="H66" s="0" t="n">
        <v>118.38</v>
      </c>
      <c r="I66" s="0" t="s">
        <v>231</v>
      </c>
      <c r="J66" s="0" t="s">
        <v>226</v>
      </c>
      <c r="K66" s="0" t="s">
        <v>108</v>
      </c>
    </row>
    <row r="67" customFormat="false" ht="15" hidden="false" customHeight="false" outlineLevel="0" collapsed="false">
      <c r="A67" s="5" t="s">
        <v>232</v>
      </c>
    </row>
    <row r="68" customFormat="false" ht="15" hidden="false" customHeight="false" outlineLevel="0" collapsed="false">
      <c r="A68" s="0" t="s">
        <v>233</v>
      </c>
      <c r="B68" s="0" t="s">
        <v>234</v>
      </c>
      <c r="C68" s="0" t="n">
        <v>1.5</v>
      </c>
      <c r="D68" s="0" t="n">
        <v>15.375</v>
      </c>
      <c r="E68" s="0" t="n">
        <v>2</v>
      </c>
      <c r="F68" s="0" t="s">
        <v>62</v>
      </c>
      <c r="G68" s="0" t="n">
        <v>24</v>
      </c>
      <c r="H68" s="0" t="n">
        <v>46.12</v>
      </c>
      <c r="I68" s="0" t="s">
        <v>235</v>
      </c>
      <c r="J68" s="0" t="s">
        <v>226</v>
      </c>
      <c r="K68" s="0" t="s">
        <v>65</v>
      </c>
    </row>
    <row r="69" customFormat="false" ht="15" hidden="false" customHeight="false" outlineLevel="0" collapsed="false">
      <c r="A69" s="5" t="s">
        <v>236</v>
      </c>
    </row>
    <row r="70" customFormat="false" ht="15" hidden="false" customHeight="false" outlineLevel="0" collapsed="false">
      <c r="A70" s="0" t="s">
        <v>237</v>
      </c>
      <c r="B70" s="0" t="s">
        <v>238</v>
      </c>
      <c r="C70" s="0" t="n">
        <v>9.583</v>
      </c>
      <c r="D70" s="0" t="n">
        <v>12.829</v>
      </c>
      <c r="E70" s="0" t="n">
        <v>2</v>
      </c>
      <c r="F70" s="0" t="s">
        <v>84</v>
      </c>
      <c r="G70" s="0" t="n">
        <v>16</v>
      </c>
      <c r="H70" s="0" t="n">
        <v>245.81</v>
      </c>
      <c r="I70" s="0" t="s">
        <v>239</v>
      </c>
      <c r="J70" s="0" t="s">
        <v>128</v>
      </c>
      <c r="K70" s="0" t="s">
        <v>108</v>
      </c>
    </row>
    <row r="71" customFormat="false" ht="15" hidden="false" customHeight="false" outlineLevel="0" collapsed="false">
      <c r="A71" s="0" t="s">
        <v>240</v>
      </c>
      <c r="B71" s="0" t="s">
        <v>241</v>
      </c>
      <c r="C71" s="0" t="n">
        <v>9.583</v>
      </c>
      <c r="D71" s="0" t="n">
        <v>12.701</v>
      </c>
      <c r="E71" s="0" t="n">
        <v>2</v>
      </c>
      <c r="F71" s="0" t="s">
        <v>84</v>
      </c>
      <c r="G71" s="0" t="n">
        <v>16</v>
      </c>
      <c r="H71" s="0" t="n">
        <v>243.34</v>
      </c>
      <c r="I71" s="0" t="s">
        <v>242</v>
      </c>
      <c r="J71" s="0" t="s">
        <v>128</v>
      </c>
      <c r="K71" s="0" t="s">
        <v>108</v>
      </c>
    </row>
    <row r="72" customFormat="false" ht="15" hidden="false" customHeight="false" outlineLevel="0" collapsed="false">
      <c r="A72" s="0" t="s">
        <v>243</v>
      </c>
      <c r="B72" s="0" t="s">
        <v>244</v>
      </c>
      <c r="C72" s="0" t="n">
        <v>14.146</v>
      </c>
      <c r="D72" s="0" t="n">
        <v>12.757</v>
      </c>
      <c r="E72" s="0" t="n">
        <v>1.99</v>
      </c>
      <c r="F72" s="0" t="s">
        <v>84</v>
      </c>
      <c r="G72" s="0" t="n">
        <v>16</v>
      </c>
      <c r="H72" s="0" t="n">
        <v>262.67</v>
      </c>
      <c r="I72" s="0" t="s">
        <v>245</v>
      </c>
      <c r="J72" s="0" t="s">
        <v>128</v>
      </c>
      <c r="K72" s="0" t="s">
        <v>65</v>
      </c>
    </row>
    <row r="73" customFormat="false" ht="15" hidden="false" customHeight="false" outlineLevel="0" collapsed="false">
      <c r="A73" s="0" t="s">
        <v>246</v>
      </c>
      <c r="B73" s="0" t="s">
        <v>247</v>
      </c>
      <c r="C73" s="0" t="n">
        <v>11.733</v>
      </c>
      <c r="D73" s="0" t="n">
        <v>12.425</v>
      </c>
      <c r="E73" s="0" t="n">
        <v>2</v>
      </c>
      <c r="F73" s="0" t="s">
        <v>84</v>
      </c>
      <c r="G73" s="0" t="n">
        <v>16</v>
      </c>
      <c r="H73" s="0" t="n">
        <v>243.78</v>
      </c>
      <c r="I73" s="0" t="s">
        <v>248</v>
      </c>
      <c r="J73" s="0" t="s">
        <v>128</v>
      </c>
      <c r="K73" s="0" t="s">
        <v>65</v>
      </c>
    </row>
    <row r="74" customFormat="false" ht="15" hidden="false" customHeight="false" outlineLevel="0" collapsed="false">
      <c r="A74" s="0" t="s">
        <v>249</v>
      </c>
      <c r="B74" s="0" t="s">
        <v>250</v>
      </c>
      <c r="C74" s="0" t="n">
        <v>3.5</v>
      </c>
      <c r="D74" s="0" t="n">
        <v>12.741</v>
      </c>
      <c r="E74" s="0" t="n">
        <v>2</v>
      </c>
      <c r="F74" s="0" t="s">
        <v>84</v>
      </c>
      <c r="G74" s="0" t="n">
        <v>16</v>
      </c>
      <c r="H74" s="0" t="n">
        <v>89.18</v>
      </c>
      <c r="I74" s="0" t="s">
        <v>251</v>
      </c>
      <c r="J74" s="0" t="s">
        <v>128</v>
      </c>
      <c r="K74" s="0" t="s">
        <v>65</v>
      </c>
    </row>
    <row r="75" customFormat="false" ht="15" hidden="false" customHeight="false" outlineLevel="0" collapsed="false">
      <c r="A75" s="0" t="s">
        <v>252</v>
      </c>
      <c r="B75" s="0" t="s">
        <v>253</v>
      </c>
      <c r="C75" s="0" t="n">
        <v>11.733</v>
      </c>
      <c r="D75" s="0" t="n">
        <v>12.108</v>
      </c>
      <c r="E75" s="0" t="n">
        <v>2</v>
      </c>
      <c r="F75" s="0" t="s">
        <v>84</v>
      </c>
      <c r="G75" s="0" t="n">
        <v>16</v>
      </c>
      <c r="H75" s="0" t="n">
        <v>284.11</v>
      </c>
      <c r="I75" s="0" t="s">
        <v>254</v>
      </c>
      <c r="J75" s="0" t="s">
        <v>128</v>
      </c>
      <c r="K75" s="0" t="s">
        <v>65</v>
      </c>
    </row>
    <row r="76" customFormat="false" ht="15" hidden="false" customHeight="false" outlineLevel="0" collapsed="false">
      <c r="A76" s="5" t="s">
        <v>255</v>
      </c>
    </row>
    <row r="77" customFormat="false" ht="15" hidden="false" customHeight="false" outlineLevel="0" collapsed="false">
      <c r="A77" s="0" t="s">
        <v>256</v>
      </c>
      <c r="B77" s="0" t="s">
        <v>257</v>
      </c>
      <c r="C77" s="0" t="n">
        <v>30</v>
      </c>
      <c r="D77" s="0" t="n">
        <v>5.723</v>
      </c>
      <c r="E77" s="0" t="n">
        <v>4</v>
      </c>
      <c r="F77" s="0" t="s">
        <v>141</v>
      </c>
      <c r="G77" s="0" t="n">
        <v>16</v>
      </c>
      <c r="H77" s="0" t="n">
        <v>751.28</v>
      </c>
      <c r="I77" s="0" t="s">
        <v>258</v>
      </c>
      <c r="J77" s="0" t="s">
        <v>259</v>
      </c>
      <c r="K77" s="0" t="s">
        <v>65</v>
      </c>
    </row>
    <row r="78" customFormat="false" ht="15" hidden="false" customHeight="false" outlineLevel="0" collapsed="false">
      <c r="A78" s="0" t="s">
        <v>260</v>
      </c>
      <c r="B78" s="0" t="s">
        <v>261</v>
      </c>
      <c r="C78" s="0" t="n">
        <v>15</v>
      </c>
      <c r="D78" s="0" t="n">
        <v>6.795</v>
      </c>
      <c r="E78" s="0" t="n">
        <v>4</v>
      </c>
      <c r="F78" s="0" t="s">
        <v>141</v>
      </c>
      <c r="G78" s="0" t="n">
        <v>16</v>
      </c>
      <c r="H78" s="0" t="n">
        <v>442.48</v>
      </c>
      <c r="I78" s="0" t="s">
        <v>262</v>
      </c>
      <c r="J78" s="0" t="s">
        <v>259</v>
      </c>
      <c r="K78" s="0" t="s">
        <v>65</v>
      </c>
    </row>
    <row r="79" customFormat="false" ht="15" hidden="false" customHeight="false" outlineLevel="0" collapsed="false">
      <c r="A79" s="5" t="s">
        <v>263</v>
      </c>
    </row>
    <row r="80" customFormat="false" ht="15" hidden="false" customHeight="false" outlineLevel="0" collapsed="false">
      <c r="A80" s="0" t="s">
        <v>264</v>
      </c>
      <c r="B80" s="0" t="s">
        <v>265</v>
      </c>
      <c r="C80" s="0" t="n">
        <v>16.2</v>
      </c>
      <c r="D80" s="0" t="n">
        <v>4.292</v>
      </c>
      <c r="E80" s="0" t="n">
        <v>0</v>
      </c>
      <c r="F80" s="0" t="s">
        <v>62</v>
      </c>
      <c r="G80" s="0" t="n">
        <v>16</v>
      </c>
      <c r="H80" s="0" t="n">
        <v>0</v>
      </c>
      <c r="I80" s="0" t="s">
        <v>265</v>
      </c>
      <c r="J80" s="0" t="s">
        <v>266</v>
      </c>
      <c r="K80" s="0" t="s">
        <v>65</v>
      </c>
    </row>
    <row r="81" customFormat="false" ht="15" hidden="false" customHeight="false" outlineLevel="0" collapsed="false">
      <c r="A81" s="0" t="s">
        <v>267</v>
      </c>
      <c r="B81" s="0" t="s">
        <v>268</v>
      </c>
      <c r="C81" s="0" t="n">
        <v>3.927</v>
      </c>
      <c r="D81" s="0" t="n">
        <v>4.292</v>
      </c>
      <c r="E81" s="0" t="n">
        <v>0</v>
      </c>
      <c r="F81" s="0" t="s">
        <v>62</v>
      </c>
      <c r="G81" s="0" t="n">
        <v>16</v>
      </c>
      <c r="H81" s="0" t="n">
        <v>0</v>
      </c>
      <c r="I81" s="0" t="s">
        <v>268</v>
      </c>
      <c r="J81" s="0" t="s">
        <v>266</v>
      </c>
      <c r="K81" s="0" t="s">
        <v>65</v>
      </c>
    </row>
    <row r="82" customFormat="false" ht="15" hidden="false" customHeight="false" outlineLevel="0" collapsed="false">
      <c r="A82" s="0" t="s">
        <v>269</v>
      </c>
      <c r="B82" s="0" t="s">
        <v>270</v>
      </c>
      <c r="C82" s="0" t="n">
        <v>29</v>
      </c>
      <c r="D82" s="0" t="n">
        <v>4.292</v>
      </c>
      <c r="E82" s="0" t="n">
        <v>0</v>
      </c>
      <c r="F82" s="0" t="s">
        <v>62</v>
      </c>
      <c r="G82" s="0" t="n">
        <v>16</v>
      </c>
      <c r="H82" s="0" t="n">
        <v>0</v>
      </c>
      <c r="I82" s="0" t="s">
        <v>270</v>
      </c>
      <c r="J82" s="0" t="s">
        <v>266</v>
      </c>
      <c r="K82" s="0" t="s">
        <v>65</v>
      </c>
    </row>
    <row r="83" customFormat="false" ht="15" hidden="false" customHeight="false" outlineLevel="0" collapsed="false">
      <c r="A83" s="0" t="s">
        <v>271</v>
      </c>
      <c r="B83" s="0" t="s">
        <v>272</v>
      </c>
      <c r="C83" s="0" t="n">
        <v>3.867</v>
      </c>
      <c r="D83" s="0" t="n">
        <v>4.292</v>
      </c>
      <c r="E83" s="0" t="n">
        <v>0</v>
      </c>
      <c r="F83" s="0" t="s">
        <v>62</v>
      </c>
      <c r="G83" s="0" t="n">
        <v>16</v>
      </c>
      <c r="H83" s="0" t="n">
        <v>0</v>
      </c>
      <c r="I83" s="0" t="s">
        <v>272</v>
      </c>
      <c r="J83" s="0" t="s">
        <v>266</v>
      </c>
      <c r="K83" s="0" t="s">
        <v>65</v>
      </c>
    </row>
    <row r="84" customFormat="false" ht="15" hidden="false" customHeight="false" outlineLevel="0" collapsed="false">
      <c r="A84" s="0" t="s">
        <v>273</v>
      </c>
      <c r="B84" s="0" t="s">
        <v>274</v>
      </c>
      <c r="C84" s="0" t="n">
        <v>39.75</v>
      </c>
      <c r="D84" s="0" t="n">
        <v>2.042</v>
      </c>
      <c r="E84" s="0" t="n">
        <v>0</v>
      </c>
      <c r="F84" s="0" t="s">
        <v>62</v>
      </c>
      <c r="G84" s="0" t="n">
        <v>16</v>
      </c>
      <c r="H84" s="0" t="n">
        <v>0</v>
      </c>
      <c r="I84" s="0" t="s">
        <v>274</v>
      </c>
      <c r="J84" s="0" t="s">
        <v>266</v>
      </c>
      <c r="K84" s="0" t="s">
        <v>65</v>
      </c>
    </row>
    <row r="85" customFormat="false" ht="15" hidden="false" customHeight="false" outlineLevel="0" collapsed="false">
      <c r="A85" s="0" t="s">
        <v>275</v>
      </c>
      <c r="B85" s="0" t="s">
        <v>276</v>
      </c>
      <c r="C85" s="0" t="n">
        <v>75.934</v>
      </c>
      <c r="D85" s="0" t="n">
        <v>2.901</v>
      </c>
      <c r="E85" s="0" t="n">
        <v>0</v>
      </c>
      <c r="F85" s="0" t="s">
        <v>62</v>
      </c>
      <c r="G85" s="0" t="n">
        <v>16</v>
      </c>
      <c r="H85" s="0" t="n">
        <v>0</v>
      </c>
      <c r="I85" s="0" t="s">
        <v>277</v>
      </c>
      <c r="J85" s="0" t="s">
        <v>266</v>
      </c>
      <c r="K85" s="0" t="s">
        <v>65</v>
      </c>
    </row>
    <row r="86" customFormat="false" ht="15" hidden="false" customHeight="false" outlineLevel="0" collapsed="false">
      <c r="A86" s="0" t="s">
        <v>278</v>
      </c>
      <c r="B86" s="0" t="s">
        <v>279</v>
      </c>
      <c r="C86" s="0" t="n">
        <v>52.333</v>
      </c>
      <c r="D86" s="0" t="n">
        <v>4.886</v>
      </c>
      <c r="E86" s="0" t="n">
        <v>0</v>
      </c>
      <c r="F86" s="0" t="s">
        <v>62</v>
      </c>
      <c r="G86" s="0" t="n">
        <v>16</v>
      </c>
      <c r="H86" s="0" t="n">
        <v>0</v>
      </c>
      <c r="I86" s="0" t="s">
        <v>279</v>
      </c>
      <c r="J86" s="0" t="s">
        <v>266</v>
      </c>
      <c r="K86" s="0" t="s">
        <v>65</v>
      </c>
    </row>
    <row r="87" customFormat="false" ht="15" hidden="false" customHeight="false" outlineLevel="0" collapsed="false">
      <c r="A87" s="0" t="s">
        <v>280</v>
      </c>
      <c r="B87" s="0" t="s">
        <v>281</v>
      </c>
      <c r="C87" s="0" t="n">
        <v>47.927</v>
      </c>
      <c r="D87" s="0" t="n">
        <v>3.403</v>
      </c>
      <c r="E87" s="0" t="n">
        <v>0</v>
      </c>
      <c r="F87" s="0" t="s">
        <v>62</v>
      </c>
      <c r="G87" s="0" t="n">
        <v>16</v>
      </c>
      <c r="H87" s="0" t="n">
        <v>0</v>
      </c>
      <c r="I87" s="0" t="s">
        <v>282</v>
      </c>
      <c r="J87" s="0" t="s">
        <v>266</v>
      </c>
      <c r="K87" s="0" t="s">
        <v>65</v>
      </c>
    </row>
    <row r="88" customFormat="false" ht="15" hidden="false" customHeight="false" outlineLevel="0" collapsed="false">
      <c r="B88" s="6" t="s">
        <v>283</v>
      </c>
      <c r="C88" s="4" t="n">
        <f aca="false">SUM(C5:C87)</f>
        <v>948.718</v>
      </c>
      <c r="H88" s="4" t="n">
        <f aca="false">SUM(H5:H87)</f>
        <v>15453.65</v>
      </c>
    </row>
    <row r="90" customFormat="false" ht="15" hidden="false" customHeight="false" outlineLevel="0" collapsed="false">
      <c r="A90" s="5" t="s">
        <v>284</v>
      </c>
    </row>
    <row r="91" customFormat="false" ht="15" hidden="false" customHeight="false" outlineLevel="0" collapsed="false">
      <c r="A91" s="0" t="s">
        <v>285</v>
      </c>
      <c r="B91" s="0" t="s">
        <v>286</v>
      </c>
      <c r="C91" s="0" t="n">
        <v>4.533</v>
      </c>
      <c r="D91" s="0" t="n">
        <v>14.358</v>
      </c>
      <c r="E91" s="0" t="n">
        <v>0</v>
      </c>
      <c r="F91" s="0" t="s">
        <v>62</v>
      </c>
      <c r="G91" s="0" t="n">
        <v>16</v>
      </c>
      <c r="H91" s="0" t="n">
        <v>0</v>
      </c>
      <c r="I91" s="0" t="s">
        <v>287</v>
      </c>
      <c r="J91" s="0" t="s">
        <v>64</v>
      </c>
      <c r="K91" s="0" t="s">
        <v>65</v>
      </c>
    </row>
    <row r="92" customFormat="false" ht="15" hidden="false" customHeight="false" outlineLevel="0" collapsed="false">
      <c r="A92" s="0" t="s">
        <v>288</v>
      </c>
      <c r="B92" s="0" t="s">
        <v>289</v>
      </c>
      <c r="C92" s="0" t="n">
        <v>4.54</v>
      </c>
      <c r="D92" s="0" t="n">
        <v>14.358</v>
      </c>
      <c r="E92" s="0" t="n">
        <v>0</v>
      </c>
      <c r="F92" s="0" t="s">
        <v>62</v>
      </c>
      <c r="G92" s="0" t="n">
        <v>16</v>
      </c>
      <c r="H92" s="0" t="n">
        <v>0</v>
      </c>
      <c r="I92" s="0" t="s">
        <v>290</v>
      </c>
      <c r="J92" s="0" t="s">
        <v>64</v>
      </c>
      <c r="K92" s="0" t="s">
        <v>65</v>
      </c>
    </row>
    <row r="93" customFormat="false" ht="15" hidden="false" customHeight="false" outlineLevel="0" collapsed="false">
      <c r="A93" s="0" t="s">
        <v>291</v>
      </c>
      <c r="B93" s="0" t="s">
        <v>292</v>
      </c>
      <c r="C93" s="0" t="n">
        <v>12.563</v>
      </c>
      <c r="D93" s="0" t="n">
        <v>4.983</v>
      </c>
      <c r="E93" s="0" t="n">
        <v>1</v>
      </c>
      <c r="F93" s="0" t="s">
        <v>62</v>
      </c>
      <c r="G93" s="0" t="n">
        <v>16</v>
      </c>
      <c r="H93" s="0" t="n">
        <v>86.37</v>
      </c>
      <c r="I93" s="0" t="s">
        <v>293</v>
      </c>
      <c r="J93" s="0" t="s">
        <v>294</v>
      </c>
      <c r="K93" s="0" t="s">
        <v>65</v>
      </c>
    </row>
    <row r="94" customFormat="false" ht="15" hidden="false" customHeight="false" outlineLevel="0" collapsed="false">
      <c r="A94" s="0" t="s">
        <v>295</v>
      </c>
      <c r="B94" s="0" t="s">
        <v>296</v>
      </c>
      <c r="C94" s="0" t="n">
        <v>26.25</v>
      </c>
      <c r="D94" s="0" t="n">
        <v>4.525</v>
      </c>
      <c r="E94" s="0" t="n">
        <v>1</v>
      </c>
      <c r="F94" s="0" t="s">
        <v>62</v>
      </c>
      <c r="G94" s="0" t="n">
        <v>16</v>
      </c>
      <c r="H94" s="0" t="n">
        <v>180.47</v>
      </c>
      <c r="I94" s="0" t="s">
        <v>297</v>
      </c>
      <c r="J94" s="0" t="s">
        <v>294</v>
      </c>
      <c r="K94" s="0" t="s">
        <v>65</v>
      </c>
    </row>
    <row r="95" customFormat="false" ht="15" hidden="false" customHeight="false" outlineLevel="0" collapsed="false">
      <c r="A95" s="0" t="s">
        <v>298</v>
      </c>
      <c r="B95" s="0" t="s">
        <v>299</v>
      </c>
      <c r="C95" s="0" t="n">
        <v>6.5</v>
      </c>
      <c r="D95" s="0" t="n">
        <v>4.983</v>
      </c>
      <c r="E95" s="0" t="n">
        <v>1</v>
      </c>
      <c r="F95" s="0" t="s">
        <v>62</v>
      </c>
      <c r="G95" s="0" t="n">
        <v>16</v>
      </c>
      <c r="H95" s="0" t="n">
        <v>44.69</v>
      </c>
      <c r="I95" s="0" t="s">
        <v>293</v>
      </c>
      <c r="J95" s="0" t="s">
        <v>294</v>
      </c>
      <c r="K95" s="0" t="s">
        <v>65</v>
      </c>
    </row>
    <row r="96" customFormat="false" ht="15" hidden="false" customHeight="false" outlineLevel="0" collapsed="false">
      <c r="A96" s="0" t="s">
        <v>300</v>
      </c>
      <c r="B96" s="0" t="s">
        <v>301</v>
      </c>
      <c r="C96" s="0" t="n">
        <v>15.646</v>
      </c>
      <c r="D96" s="0" t="n">
        <v>5.375</v>
      </c>
      <c r="E96" s="0" t="n">
        <v>0</v>
      </c>
      <c r="F96" s="0" t="s">
        <v>84</v>
      </c>
      <c r="G96" s="0" t="n">
        <v>16</v>
      </c>
      <c r="H96" s="0" t="n">
        <v>0</v>
      </c>
      <c r="I96" s="0" t="s">
        <v>301</v>
      </c>
      <c r="J96" s="0" t="s">
        <v>302</v>
      </c>
      <c r="K96" s="0" t="s">
        <v>65</v>
      </c>
    </row>
    <row r="97" customFormat="false" ht="15" hidden="false" customHeight="false" outlineLevel="0" collapsed="false">
      <c r="A97" s="0" t="s">
        <v>303</v>
      </c>
      <c r="B97" s="0" t="s">
        <v>304</v>
      </c>
      <c r="C97" s="0" t="n">
        <v>6.417</v>
      </c>
      <c r="D97" s="0" t="n">
        <v>5.375</v>
      </c>
      <c r="E97" s="0" t="n">
        <v>1</v>
      </c>
      <c r="F97" s="0" t="s">
        <v>84</v>
      </c>
      <c r="G97" s="0" t="n">
        <v>16</v>
      </c>
      <c r="H97" s="0" t="n">
        <v>12.83</v>
      </c>
      <c r="I97" s="0" t="s">
        <v>297</v>
      </c>
      <c r="J97" s="0" t="s">
        <v>302</v>
      </c>
      <c r="K97" s="0" t="s">
        <v>65</v>
      </c>
    </row>
    <row r="98" customFormat="false" ht="15" hidden="false" customHeight="false" outlineLevel="0" collapsed="false">
      <c r="A98" s="0" t="s">
        <v>305</v>
      </c>
      <c r="B98" s="0" t="s">
        <v>306</v>
      </c>
      <c r="C98" s="0" t="n">
        <v>13.333</v>
      </c>
      <c r="D98" s="0" t="n">
        <v>2</v>
      </c>
      <c r="E98" s="0" t="n">
        <v>2</v>
      </c>
      <c r="F98" s="0" t="s">
        <v>307</v>
      </c>
      <c r="G98" s="0" t="n">
        <v>16</v>
      </c>
      <c r="H98" s="0" t="n">
        <v>46.67</v>
      </c>
      <c r="I98" s="0" t="s">
        <v>308</v>
      </c>
      <c r="J98" s="0" t="s">
        <v>309</v>
      </c>
      <c r="K98" s="0" t="s">
        <v>65</v>
      </c>
    </row>
    <row r="99" customFormat="false" ht="15" hidden="false" customHeight="false" outlineLevel="0" collapsed="false">
      <c r="A99" s="0" t="s">
        <v>310</v>
      </c>
      <c r="B99" s="0" t="s">
        <v>311</v>
      </c>
      <c r="C99" s="0" t="n">
        <v>78.167</v>
      </c>
      <c r="D99" s="0" t="n">
        <v>1.865</v>
      </c>
      <c r="E99" s="0" t="n">
        <v>0</v>
      </c>
      <c r="F99" s="0" t="s">
        <v>84</v>
      </c>
      <c r="G99" s="0" t="n">
        <v>16</v>
      </c>
      <c r="H99" s="0" t="n">
        <v>0</v>
      </c>
      <c r="I99" s="0" t="s">
        <v>311</v>
      </c>
      <c r="J99" s="0" t="s">
        <v>312</v>
      </c>
      <c r="K99" s="0" t="s">
        <v>65</v>
      </c>
    </row>
    <row r="100" customFormat="false" ht="15" hidden="false" customHeight="false" outlineLevel="0" collapsed="false">
      <c r="A100" s="0" t="s">
        <v>313</v>
      </c>
      <c r="B100" s="0" t="s">
        <v>314</v>
      </c>
      <c r="C100" s="0" t="n">
        <v>56.521</v>
      </c>
      <c r="D100" s="0" t="n">
        <v>1.865</v>
      </c>
      <c r="E100" s="0" t="n">
        <v>0</v>
      </c>
      <c r="F100" s="0" t="s">
        <v>84</v>
      </c>
      <c r="G100" s="0" t="n">
        <v>16</v>
      </c>
      <c r="H100" s="0" t="n">
        <v>0</v>
      </c>
      <c r="I100" s="0" t="s">
        <v>314</v>
      </c>
      <c r="J100" s="0" t="s">
        <v>312</v>
      </c>
      <c r="K100" s="0" t="s">
        <v>65</v>
      </c>
    </row>
    <row r="101" customFormat="false" ht="15" hidden="false" customHeight="false" outlineLevel="0" collapsed="false">
      <c r="A101" s="0" t="s">
        <v>315</v>
      </c>
      <c r="B101" s="0" t="s">
        <v>316</v>
      </c>
      <c r="C101" s="0" t="n">
        <v>21.5</v>
      </c>
      <c r="D101" s="0" t="n">
        <v>1.865</v>
      </c>
      <c r="E101" s="0" t="n">
        <v>0</v>
      </c>
      <c r="F101" s="0" t="s">
        <v>84</v>
      </c>
      <c r="G101" s="0" t="n">
        <v>16</v>
      </c>
      <c r="H101" s="0" t="n">
        <v>0</v>
      </c>
      <c r="I101" s="0" t="s">
        <v>316</v>
      </c>
      <c r="J101" s="0" t="s">
        <v>312</v>
      </c>
      <c r="K101" s="0" t="s">
        <v>65</v>
      </c>
    </row>
    <row r="102" customFormat="false" ht="15" hidden="false" customHeight="false" outlineLevel="0" collapsed="false">
      <c r="A102" s="0" t="s">
        <v>317</v>
      </c>
      <c r="B102" s="0" t="s">
        <v>318</v>
      </c>
      <c r="C102" s="0" t="n">
        <v>52.583</v>
      </c>
      <c r="D102" s="0" t="n">
        <v>1.865</v>
      </c>
      <c r="E102" s="0" t="n">
        <v>0</v>
      </c>
      <c r="F102" s="0" t="s">
        <v>84</v>
      </c>
      <c r="G102" s="0" t="n">
        <v>16</v>
      </c>
      <c r="H102" s="0" t="n">
        <v>0</v>
      </c>
      <c r="I102" s="0" t="s">
        <v>318</v>
      </c>
      <c r="J102" s="0" t="s">
        <v>312</v>
      </c>
      <c r="K102" s="0" t="s">
        <v>65</v>
      </c>
    </row>
    <row r="103" customFormat="false" ht="15" hidden="false" customHeight="false" outlineLevel="0" collapsed="false">
      <c r="A103" s="0" t="s">
        <v>319</v>
      </c>
      <c r="B103" s="0" t="s">
        <v>320</v>
      </c>
      <c r="C103" s="0" t="n">
        <v>3</v>
      </c>
      <c r="D103" s="0" t="n">
        <v>1.865</v>
      </c>
      <c r="E103" s="0" t="n">
        <v>0</v>
      </c>
      <c r="F103" s="0" t="s">
        <v>84</v>
      </c>
      <c r="G103" s="0" t="n">
        <v>16</v>
      </c>
      <c r="H103" s="0" t="n">
        <v>0</v>
      </c>
      <c r="I103" s="0" t="s">
        <v>320</v>
      </c>
      <c r="J103" s="0" t="s">
        <v>312</v>
      </c>
      <c r="K103" s="0" t="s">
        <v>65</v>
      </c>
    </row>
    <row r="104" customFormat="false" ht="15" hidden="false" customHeight="false" outlineLevel="0" collapsed="false">
      <c r="A104" s="0" t="s">
        <v>321</v>
      </c>
      <c r="B104" s="0" t="s">
        <v>322</v>
      </c>
      <c r="C104" s="0" t="n">
        <v>23</v>
      </c>
      <c r="D104" s="0" t="n">
        <v>1.865</v>
      </c>
      <c r="E104" s="0" t="n">
        <v>0</v>
      </c>
      <c r="F104" s="0" t="s">
        <v>84</v>
      </c>
      <c r="G104" s="0" t="n">
        <v>16</v>
      </c>
      <c r="H104" s="0" t="n">
        <v>0</v>
      </c>
      <c r="I104" s="0" t="s">
        <v>322</v>
      </c>
      <c r="J104" s="0" t="s">
        <v>312</v>
      </c>
      <c r="K104" s="0" t="s">
        <v>65</v>
      </c>
    </row>
    <row r="105" customFormat="false" ht="15" hidden="false" customHeight="false" outlineLevel="0" collapsed="false">
      <c r="A105" s="0" t="s">
        <v>323</v>
      </c>
      <c r="B105" s="0" t="s">
        <v>324</v>
      </c>
      <c r="C105" s="0" t="n">
        <v>6</v>
      </c>
      <c r="D105" s="0" t="n">
        <v>1.865</v>
      </c>
      <c r="E105" s="0" t="n">
        <v>0</v>
      </c>
      <c r="F105" s="0" t="s">
        <v>84</v>
      </c>
      <c r="G105" s="0" t="n">
        <v>16</v>
      </c>
      <c r="H105" s="0" t="n">
        <v>0</v>
      </c>
      <c r="I105" s="0" t="s">
        <v>324</v>
      </c>
      <c r="J105" s="0" t="s">
        <v>312</v>
      </c>
      <c r="K105" s="0" t="s">
        <v>65</v>
      </c>
    </row>
    <row r="106" customFormat="false" ht="15" hidden="false" customHeight="false" outlineLevel="0" collapsed="false">
      <c r="A106" s="0" t="s">
        <v>325</v>
      </c>
      <c r="B106" s="0" t="s">
        <v>326</v>
      </c>
      <c r="C106" s="0" t="n">
        <v>51.593</v>
      </c>
      <c r="D106" s="0" t="n">
        <v>3.112</v>
      </c>
      <c r="E106" s="0" t="n">
        <v>0</v>
      </c>
      <c r="F106" s="0" t="s">
        <v>84</v>
      </c>
      <c r="G106" s="0" t="n">
        <v>16</v>
      </c>
      <c r="H106" s="0" t="n">
        <v>0</v>
      </c>
      <c r="I106" s="0" t="s">
        <v>327</v>
      </c>
      <c r="J106" s="0" t="s">
        <v>328</v>
      </c>
      <c r="K106" s="0" t="s">
        <v>65</v>
      </c>
    </row>
    <row r="107" customFormat="false" ht="15" hidden="false" customHeight="false" outlineLevel="0" collapsed="false">
      <c r="A107" s="0" t="s">
        <v>329</v>
      </c>
      <c r="B107" s="0" t="s">
        <v>330</v>
      </c>
      <c r="C107" s="0" t="n">
        <v>51.593</v>
      </c>
      <c r="D107" s="0" t="n">
        <v>3.46</v>
      </c>
      <c r="E107" s="0" t="n">
        <v>2</v>
      </c>
      <c r="F107" s="0" t="s">
        <v>84</v>
      </c>
      <c r="G107" s="0" t="n">
        <v>16</v>
      </c>
      <c r="H107" s="0" t="n">
        <v>245.12</v>
      </c>
      <c r="I107" s="0" t="s">
        <v>331</v>
      </c>
      <c r="J107" s="0" t="s">
        <v>328</v>
      </c>
      <c r="K107" s="0" t="s">
        <v>65</v>
      </c>
    </row>
    <row r="108" customFormat="false" ht="15" hidden="false" customHeight="false" outlineLevel="0" collapsed="false">
      <c r="A108" s="0" t="s">
        <v>332</v>
      </c>
      <c r="B108" s="0" t="s">
        <v>333</v>
      </c>
      <c r="C108" s="0" t="n">
        <v>51.593</v>
      </c>
      <c r="D108" s="0" t="n">
        <v>1.131</v>
      </c>
      <c r="E108" s="0" t="n">
        <v>1</v>
      </c>
      <c r="F108" s="0" t="s">
        <v>84</v>
      </c>
      <c r="G108" s="0" t="n">
        <v>16</v>
      </c>
      <c r="H108" s="0" t="n">
        <v>58.35</v>
      </c>
      <c r="I108" s="0" t="s">
        <v>334</v>
      </c>
      <c r="J108" s="0" t="s">
        <v>328</v>
      </c>
      <c r="K108" s="0" t="s">
        <v>65</v>
      </c>
    </row>
    <row r="109" customFormat="false" ht="15" hidden="false" customHeight="false" outlineLevel="0" collapsed="false">
      <c r="A109" s="0" t="s">
        <v>335</v>
      </c>
      <c r="B109" s="0" t="s">
        <v>336</v>
      </c>
      <c r="C109" s="0" t="n">
        <v>17.027</v>
      </c>
      <c r="D109" s="0" t="n">
        <v>4.375</v>
      </c>
      <c r="E109" s="0" t="n">
        <v>1</v>
      </c>
      <c r="F109" s="0" t="s">
        <v>84</v>
      </c>
      <c r="G109" s="0" t="n">
        <v>16</v>
      </c>
      <c r="H109" s="0" t="n">
        <v>17.03</v>
      </c>
      <c r="I109" s="0" t="s">
        <v>297</v>
      </c>
      <c r="J109" s="0" t="s">
        <v>337</v>
      </c>
      <c r="K109" s="0" t="s">
        <v>65</v>
      </c>
    </row>
    <row r="110" customFormat="false" ht="15" hidden="false" customHeight="false" outlineLevel="0" collapsed="false">
      <c r="A110" s="0" t="s">
        <v>338</v>
      </c>
      <c r="B110" s="0" t="s">
        <v>339</v>
      </c>
      <c r="C110" s="0" t="n">
        <v>30</v>
      </c>
      <c r="D110" s="0" t="n">
        <v>4.375</v>
      </c>
      <c r="E110" s="0" t="n">
        <v>1</v>
      </c>
      <c r="F110" s="0" t="s">
        <v>84</v>
      </c>
      <c r="G110" s="0" t="n">
        <v>16</v>
      </c>
      <c r="H110" s="0" t="n">
        <v>30</v>
      </c>
      <c r="I110" s="0" t="s">
        <v>297</v>
      </c>
      <c r="J110" s="0" t="s">
        <v>337</v>
      </c>
      <c r="K110" s="0" t="s">
        <v>65</v>
      </c>
    </row>
    <row r="111" customFormat="false" ht="15" hidden="false" customHeight="false" outlineLevel="0" collapsed="false">
      <c r="A111" s="0" t="s">
        <v>340</v>
      </c>
      <c r="B111" s="0" t="s">
        <v>341</v>
      </c>
      <c r="C111" s="0" t="n">
        <v>30</v>
      </c>
      <c r="D111" s="0" t="n">
        <v>4.375</v>
      </c>
      <c r="E111" s="0" t="n">
        <v>1</v>
      </c>
      <c r="F111" s="0" t="s">
        <v>84</v>
      </c>
      <c r="G111" s="0" t="n">
        <v>16</v>
      </c>
      <c r="H111" s="0" t="n">
        <v>30</v>
      </c>
      <c r="I111" s="0" t="s">
        <v>297</v>
      </c>
      <c r="J111" s="0" t="s">
        <v>337</v>
      </c>
      <c r="K111" s="0" t="s">
        <v>65</v>
      </c>
    </row>
    <row r="112" customFormat="false" ht="15" hidden="false" customHeight="false" outlineLevel="0" collapsed="false">
      <c r="A112" s="0" t="s">
        <v>342</v>
      </c>
      <c r="B112" s="0" t="s">
        <v>343</v>
      </c>
      <c r="C112" s="0" t="n">
        <v>5.093</v>
      </c>
      <c r="D112" s="0" t="n">
        <v>6.375</v>
      </c>
      <c r="E112" s="0" t="n">
        <v>2</v>
      </c>
      <c r="F112" s="0" t="s">
        <v>84</v>
      </c>
      <c r="G112" s="0" t="n">
        <v>16</v>
      </c>
      <c r="H112" s="0" t="n">
        <v>17.83</v>
      </c>
      <c r="I112" s="0" t="s">
        <v>344</v>
      </c>
      <c r="J112" s="0" t="s">
        <v>345</v>
      </c>
      <c r="K112" s="0" t="s">
        <v>65</v>
      </c>
    </row>
    <row r="113" customFormat="false" ht="15" hidden="false" customHeight="false" outlineLevel="0" collapsed="false">
      <c r="A113" s="0" t="s">
        <v>346</v>
      </c>
      <c r="B113" s="0" t="s">
        <v>347</v>
      </c>
      <c r="C113" s="0" t="n">
        <v>6.44</v>
      </c>
      <c r="D113" s="0" t="n">
        <v>7.375</v>
      </c>
      <c r="E113" s="0" t="n">
        <v>1</v>
      </c>
      <c r="F113" s="0" t="s">
        <v>84</v>
      </c>
      <c r="G113" s="0" t="n">
        <v>16</v>
      </c>
      <c r="H113" s="0" t="n">
        <v>9.66</v>
      </c>
      <c r="I113" s="0" t="s">
        <v>297</v>
      </c>
      <c r="J113" s="0" t="s">
        <v>348</v>
      </c>
      <c r="K113" s="0" t="s">
        <v>65</v>
      </c>
    </row>
    <row r="114" customFormat="false" ht="15" hidden="false" customHeight="false" outlineLevel="0" collapsed="false">
      <c r="A114" s="0" t="s">
        <v>349</v>
      </c>
      <c r="B114" s="0" t="s">
        <v>350</v>
      </c>
      <c r="C114" s="0" t="n">
        <v>5.573</v>
      </c>
      <c r="D114" s="0" t="n">
        <v>5.052</v>
      </c>
      <c r="E114" s="0" t="n">
        <v>1</v>
      </c>
      <c r="F114" s="0" t="s">
        <v>84</v>
      </c>
      <c r="G114" s="0" t="n">
        <v>16</v>
      </c>
      <c r="H114" s="0" t="n">
        <v>8.36</v>
      </c>
      <c r="I114" s="0" t="s">
        <v>297</v>
      </c>
      <c r="J114" s="0" t="s">
        <v>348</v>
      </c>
      <c r="K114" s="0" t="s">
        <v>65</v>
      </c>
    </row>
    <row r="115" customFormat="false" ht="15" hidden="false" customHeight="false" outlineLevel="0" collapsed="false">
      <c r="A115" s="0" t="s">
        <v>351</v>
      </c>
      <c r="B115" s="0" t="s">
        <v>352</v>
      </c>
      <c r="C115" s="0" t="n">
        <v>6.44</v>
      </c>
      <c r="D115" s="0" t="n">
        <v>7.375</v>
      </c>
      <c r="E115" s="0" t="n">
        <v>1</v>
      </c>
      <c r="F115" s="0" t="s">
        <v>84</v>
      </c>
      <c r="G115" s="0" t="n">
        <v>16</v>
      </c>
      <c r="H115" s="0" t="n">
        <v>9.66</v>
      </c>
      <c r="I115" s="0" t="s">
        <v>353</v>
      </c>
      <c r="J115" s="0" t="s">
        <v>348</v>
      </c>
      <c r="K115" s="0" t="s">
        <v>65</v>
      </c>
    </row>
    <row r="116" customFormat="false" ht="15" hidden="false" customHeight="false" outlineLevel="0" collapsed="false">
      <c r="A116" s="0" t="s">
        <v>354</v>
      </c>
      <c r="B116" s="0" t="s">
        <v>355</v>
      </c>
      <c r="C116" s="0" t="n">
        <v>5.573</v>
      </c>
      <c r="D116" s="0" t="n">
        <v>5.052</v>
      </c>
      <c r="E116" s="0" t="n">
        <v>1</v>
      </c>
      <c r="F116" s="0" t="s">
        <v>84</v>
      </c>
      <c r="G116" s="0" t="n">
        <v>16</v>
      </c>
      <c r="H116" s="0" t="n">
        <v>8.36</v>
      </c>
      <c r="I116" s="0" t="s">
        <v>353</v>
      </c>
      <c r="J116" s="0" t="s">
        <v>348</v>
      </c>
      <c r="K116" s="0" t="s">
        <v>65</v>
      </c>
    </row>
    <row r="117" customFormat="false" ht="15" hidden="false" customHeight="false" outlineLevel="0" collapsed="false">
      <c r="A117" s="0" t="s">
        <v>356</v>
      </c>
      <c r="B117" s="0" t="s">
        <v>357</v>
      </c>
      <c r="C117" s="0" t="n">
        <v>0.33</v>
      </c>
      <c r="D117" s="0" t="n">
        <v>15.375</v>
      </c>
      <c r="E117" s="0" t="n">
        <v>4</v>
      </c>
      <c r="F117" s="0" t="s">
        <v>141</v>
      </c>
      <c r="G117" s="0" t="n">
        <v>16</v>
      </c>
      <c r="H117" s="0" t="n">
        <v>20.3</v>
      </c>
      <c r="I117" s="0" t="s">
        <v>358</v>
      </c>
      <c r="J117" s="0" t="s">
        <v>143</v>
      </c>
      <c r="K117" s="0" t="s">
        <v>108</v>
      </c>
    </row>
    <row r="118" customFormat="false" ht="15" hidden="false" customHeight="false" outlineLevel="0" collapsed="false">
      <c r="A118" s="0" t="s">
        <v>359</v>
      </c>
      <c r="B118" s="0" t="s">
        <v>360</v>
      </c>
      <c r="C118" s="0" t="n">
        <v>7.486</v>
      </c>
      <c r="D118" s="0" t="n">
        <v>12.177</v>
      </c>
      <c r="E118" s="0" t="n">
        <v>1.91</v>
      </c>
      <c r="F118" s="0" t="s">
        <v>84</v>
      </c>
      <c r="G118" s="0" t="n">
        <v>16</v>
      </c>
      <c r="H118" s="0" t="n">
        <v>131.41</v>
      </c>
      <c r="I118" s="0" t="s">
        <v>361</v>
      </c>
      <c r="J118" s="0" t="s">
        <v>185</v>
      </c>
      <c r="K118" s="0"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0"/>
    <col collapsed="false" customWidth="true" hidden="false" outlineLevel="0" max="4" min="4" style="0" width="14"/>
    <col collapsed="false" customWidth="true" hidden="false" outlineLevel="0" max="6" min="5" style="0" width="10"/>
    <col collapsed="false" customWidth="true" hidden="false" outlineLevel="0" max="7" min="7" style="0" width="24"/>
    <col collapsed="false" customWidth="true" hidden="false" outlineLevel="0" max="8" min="8" style="0" width="30"/>
    <col collapsed="false" customWidth="true" hidden="false" outlineLevel="0" max="9" min="9" style="0" width="60"/>
    <col collapsed="false" customWidth="true" hidden="false" outlineLevel="0" max="10" min="10" style="0" width="28"/>
  </cols>
  <sheetData>
    <row r="1" customFormat="false" ht="16.15" hidden="false" customHeight="false" outlineLevel="0" collapsed="false">
      <c r="A1" s="1" t="s">
        <v>362</v>
      </c>
    </row>
    <row r="2" customFormat="false" ht="15" hidden="false" customHeight="false" outlineLevel="0" collapsed="false">
      <c r="A2" s="0" t="s">
        <v>363</v>
      </c>
    </row>
    <row r="3" customFormat="false" ht="15" hidden="false" customHeight="false" outlineLevel="0" collapsed="false">
      <c r="A3" s="2" t="s">
        <v>364</v>
      </c>
      <c r="B3" s="2" t="s">
        <v>365</v>
      </c>
      <c r="C3" s="2" t="s">
        <v>366</v>
      </c>
      <c r="D3" s="2" t="s">
        <v>367</v>
      </c>
      <c r="E3" s="2" t="s">
        <v>368</v>
      </c>
      <c r="F3" s="2" t="s">
        <v>369</v>
      </c>
      <c r="G3" s="2" t="s">
        <v>370</v>
      </c>
      <c r="H3" s="2" t="s">
        <v>371</v>
      </c>
      <c r="I3" s="2" t="s">
        <v>372</v>
      </c>
      <c r="J3" s="2" t="s">
        <v>373</v>
      </c>
    </row>
    <row r="4" customFormat="false" ht="15" hidden="false" customHeight="false" outlineLevel="0" collapsed="false">
      <c r="A4" s="0" t="s">
        <v>374</v>
      </c>
      <c r="B4" s="0" t="s">
        <v>375</v>
      </c>
      <c r="C4" s="0" t="n">
        <v>908.96</v>
      </c>
      <c r="D4" s="0" t="n">
        <f aca="false">Inputs!$B$5</f>
        <v>0.15</v>
      </c>
      <c r="E4" s="0" t="n">
        <f aca="false">C4*D4</f>
        <v>136.344</v>
      </c>
      <c r="F4" s="0" t="n">
        <f aca="false">C4+E4</f>
        <v>1045.304</v>
      </c>
      <c r="G4" s="0" t="s">
        <v>376</v>
      </c>
      <c r="H4" s="0" t="n">
        <f aca="false">ROUNDUP(F4/Inputs!$B$10,0)</f>
        <v>53</v>
      </c>
      <c r="I4" s="0" t="s">
        <v>377</v>
      </c>
    </row>
    <row r="5" customFormat="false" ht="15" hidden="false" customHeight="false" outlineLevel="0" collapsed="false">
      <c r="A5" s="0" t="s">
        <v>378</v>
      </c>
      <c r="B5" s="0" t="s">
        <v>375</v>
      </c>
      <c r="C5" s="0" t="n">
        <v>296.91</v>
      </c>
      <c r="D5" s="0" t="n">
        <f aca="false">Inputs!$B$5</f>
        <v>0.15</v>
      </c>
      <c r="E5" s="0" t="n">
        <f aca="false">C5*D5</f>
        <v>44.5365</v>
      </c>
      <c r="F5" s="0" t="n">
        <f aca="false">C5+E5</f>
        <v>341.4465</v>
      </c>
      <c r="G5" s="0" t="s">
        <v>379</v>
      </c>
      <c r="H5" s="0" t="n">
        <f aca="false">ROUNDUP(F5/Inputs!$B$11,0)</f>
        <v>35</v>
      </c>
      <c r="I5" s="0" t="s">
        <v>380</v>
      </c>
    </row>
    <row r="6" customFormat="false" ht="15" hidden="false" customHeight="false" outlineLevel="0" collapsed="false">
      <c r="A6" s="0" t="s">
        <v>381</v>
      </c>
      <c r="B6" s="0" t="s">
        <v>375</v>
      </c>
      <c r="C6" s="0" t="n">
        <v>245.29</v>
      </c>
      <c r="D6" s="0" t="n">
        <f aca="false">Inputs!$B$5</f>
        <v>0.15</v>
      </c>
      <c r="E6" s="0" t="n">
        <f aca="false">C6*D6</f>
        <v>36.7935</v>
      </c>
      <c r="F6" s="0" t="n">
        <f aca="false">C6+E6</f>
        <v>282.0835</v>
      </c>
      <c r="G6" s="0" t="s">
        <v>379</v>
      </c>
      <c r="H6" s="0" t="n">
        <f aca="false">ROUNDUP(F6/Inputs!$B$11,0)</f>
        <v>29</v>
      </c>
      <c r="I6" s="0" t="s">
        <v>380</v>
      </c>
    </row>
    <row r="7" customFormat="false" ht="15" hidden="false" customHeight="false" outlineLevel="0" collapsed="false">
      <c r="A7" s="0" t="s">
        <v>382</v>
      </c>
      <c r="B7" s="0" t="s">
        <v>375</v>
      </c>
      <c r="C7" s="0" t="n">
        <v>290.77</v>
      </c>
      <c r="D7" s="0" t="n">
        <f aca="false">Inputs!$B$5</f>
        <v>0.15</v>
      </c>
      <c r="E7" s="0" t="n">
        <f aca="false">C7*D7</f>
        <v>43.6155</v>
      </c>
      <c r="F7" s="0" t="n">
        <f aca="false">C7+E7</f>
        <v>334.3855</v>
      </c>
      <c r="G7" s="0" t="s">
        <v>379</v>
      </c>
      <c r="H7" s="0" t="n">
        <f aca="false">ROUNDUP(F7/Inputs!$B$11,0)</f>
        <v>34</v>
      </c>
      <c r="I7" s="0" t="s">
        <v>380</v>
      </c>
    </row>
    <row r="8" customFormat="false" ht="15" hidden="false" customHeight="false" outlineLevel="0" collapsed="false">
      <c r="A8" s="0" t="s">
        <v>383</v>
      </c>
      <c r="B8" s="0" t="s">
        <v>375</v>
      </c>
      <c r="C8" s="0" t="n">
        <v>67.71</v>
      </c>
      <c r="D8" s="0" t="n">
        <f aca="false">Inputs!$B$5</f>
        <v>0.15</v>
      </c>
      <c r="E8" s="0" t="n">
        <f aca="false">C8*D8</f>
        <v>10.1565</v>
      </c>
      <c r="F8" s="0" t="n">
        <f aca="false">C8+E8</f>
        <v>77.8665</v>
      </c>
      <c r="G8" s="0" t="s">
        <v>379</v>
      </c>
      <c r="H8" s="0" t="n">
        <f aca="false">ROUNDUP(F8/Inputs!$B$11,0)</f>
        <v>8</v>
      </c>
      <c r="I8" s="0" t="s">
        <v>380</v>
      </c>
    </row>
    <row r="9" customFormat="false" ht="15" hidden="false" customHeight="false" outlineLevel="0" collapsed="false">
      <c r="A9" s="0" t="s">
        <v>384</v>
      </c>
      <c r="B9" s="0" t="s">
        <v>375</v>
      </c>
      <c r="C9" s="0" t="n">
        <v>176.84</v>
      </c>
      <c r="D9" s="0" t="n">
        <f aca="false">Inputs!$B$5</f>
        <v>0.15</v>
      </c>
      <c r="E9" s="0" t="n">
        <f aca="false">C9*D9</f>
        <v>26.526</v>
      </c>
      <c r="F9" s="0" t="n">
        <f aca="false">C9+E9</f>
        <v>203.366</v>
      </c>
      <c r="G9" s="0" t="s">
        <v>379</v>
      </c>
      <c r="H9" s="0" t="n">
        <f aca="false">ROUNDUP(F9/Inputs!$B$11,0)</f>
        <v>21</v>
      </c>
      <c r="I9" s="0" t="s">
        <v>380</v>
      </c>
    </row>
    <row r="10" customFormat="false" ht="15" hidden="false" customHeight="false" outlineLevel="0" collapsed="false">
      <c r="A10" s="0" t="s">
        <v>385</v>
      </c>
      <c r="B10" s="0" t="s">
        <v>375</v>
      </c>
      <c r="C10" s="0" t="n">
        <v>268.95</v>
      </c>
      <c r="D10" s="0" t="n">
        <f aca="false">Inputs!$B$5</f>
        <v>0.15</v>
      </c>
      <c r="E10" s="0" t="n">
        <f aca="false">C10*D10</f>
        <v>40.3425</v>
      </c>
      <c r="F10" s="0" t="n">
        <f aca="false">C10+E10</f>
        <v>309.2925</v>
      </c>
      <c r="G10" s="0" t="s">
        <v>379</v>
      </c>
      <c r="H10" s="0" t="n">
        <f aca="false">ROUNDUP(F10/Inputs!$B$11,0)</f>
        <v>31</v>
      </c>
      <c r="I10" s="0" t="s">
        <v>380</v>
      </c>
    </row>
    <row r="11" customFormat="false" ht="15" hidden="false" customHeight="false" outlineLevel="0" collapsed="false">
      <c r="A11" s="0" t="s">
        <v>386</v>
      </c>
      <c r="B11" s="0" t="s">
        <v>375</v>
      </c>
      <c r="C11" s="0" t="n">
        <v>296.91</v>
      </c>
      <c r="D11" s="0" t="n">
        <f aca="false">Inputs!$B$5</f>
        <v>0.15</v>
      </c>
      <c r="E11" s="0" t="n">
        <f aca="false">C11*D11</f>
        <v>44.5365</v>
      </c>
      <c r="F11" s="0" t="n">
        <f aca="false">C11+E11</f>
        <v>341.4465</v>
      </c>
      <c r="G11" s="0" t="s">
        <v>379</v>
      </c>
      <c r="H11" s="0" t="n">
        <f aca="false">ROUNDUP(F11/Inputs!$B$11,0)</f>
        <v>35</v>
      </c>
      <c r="I11" s="0" t="s">
        <v>387</v>
      </c>
    </row>
    <row r="12" customFormat="false" ht="15" hidden="false" customHeight="false" outlineLevel="0" collapsed="false">
      <c r="A12" s="0" t="s">
        <v>388</v>
      </c>
      <c r="B12" s="0" t="s">
        <v>375</v>
      </c>
      <c r="C12" s="0" t="n">
        <v>245.29</v>
      </c>
      <c r="D12" s="0" t="n">
        <f aca="false">Inputs!$B$5</f>
        <v>0.15</v>
      </c>
      <c r="E12" s="0" t="n">
        <f aca="false">C12*D12</f>
        <v>36.7935</v>
      </c>
      <c r="F12" s="0" t="n">
        <f aca="false">C12+E12</f>
        <v>282.0835</v>
      </c>
      <c r="G12" s="0" t="s">
        <v>379</v>
      </c>
      <c r="H12" s="0" t="n">
        <f aca="false">ROUNDUP(F12/Inputs!$B$11,0)</f>
        <v>29</v>
      </c>
      <c r="I12" s="0" t="s">
        <v>387</v>
      </c>
    </row>
    <row r="13" customFormat="false" ht="15" hidden="false" customHeight="false" outlineLevel="0" collapsed="false">
      <c r="A13" s="0" t="s">
        <v>389</v>
      </c>
      <c r="B13" s="0" t="s">
        <v>375</v>
      </c>
      <c r="C13" s="0" t="n">
        <v>290.77</v>
      </c>
      <c r="D13" s="0" t="n">
        <f aca="false">Inputs!$B$5</f>
        <v>0.15</v>
      </c>
      <c r="E13" s="0" t="n">
        <f aca="false">C13*D13</f>
        <v>43.6155</v>
      </c>
      <c r="F13" s="0" t="n">
        <f aca="false">C13+E13</f>
        <v>334.3855</v>
      </c>
      <c r="G13" s="0" t="s">
        <v>379</v>
      </c>
      <c r="H13" s="0" t="n">
        <f aca="false">ROUNDUP(F13/Inputs!$B$11,0)</f>
        <v>34</v>
      </c>
      <c r="I13" s="0" t="s">
        <v>387</v>
      </c>
    </row>
    <row r="14" customFormat="false" ht="15" hidden="false" customHeight="false" outlineLevel="0" collapsed="false">
      <c r="A14" s="0" t="s">
        <v>390</v>
      </c>
      <c r="B14" s="0" t="s">
        <v>375</v>
      </c>
      <c r="C14" s="0" t="n">
        <v>67.71</v>
      </c>
      <c r="D14" s="0" t="n">
        <f aca="false">Inputs!$B$5</f>
        <v>0.15</v>
      </c>
      <c r="E14" s="0" t="n">
        <f aca="false">C14*D14</f>
        <v>10.1565</v>
      </c>
      <c r="F14" s="0" t="n">
        <f aca="false">C14+E14</f>
        <v>77.8665</v>
      </c>
      <c r="G14" s="0" t="s">
        <v>379</v>
      </c>
      <c r="H14" s="0" t="n">
        <f aca="false">ROUNDUP(F14/Inputs!$B$11,0)</f>
        <v>8</v>
      </c>
      <c r="I14" s="0" t="s">
        <v>387</v>
      </c>
    </row>
    <row r="15" customFormat="false" ht="15" hidden="false" customHeight="false" outlineLevel="0" collapsed="false">
      <c r="A15" s="0" t="s">
        <v>391</v>
      </c>
      <c r="B15" s="0" t="s">
        <v>375</v>
      </c>
      <c r="C15" s="0" t="n">
        <v>176.84</v>
      </c>
      <c r="D15" s="0" t="n">
        <f aca="false">Inputs!$B$5</f>
        <v>0.15</v>
      </c>
      <c r="E15" s="0" t="n">
        <f aca="false">C15*D15</f>
        <v>26.526</v>
      </c>
      <c r="F15" s="0" t="n">
        <f aca="false">C15+E15</f>
        <v>203.366</v>
      </c>
      <c r="G15" s="0" t="s">
        <v>379</v>
      </c>
      <c r="H15" s="0" t="n">
        <f aca="false">ROUNDUP(F15/Inputs!$B$11,0)</f>
        <v>21</v>
      </c>
      <c r="I15" s="0" t="s">
        <v>387</v>
      </c>
    </row>
    <row r="16" customFormat="false" ht="15" hidden="false" customHeight="false" outlineLevel="0" collapsed="false">
      <c r="A16" s="0" t="s">
        <v>392</v>
      </c>
      <c r="B16" s="0" t="s">
        <v>375</v>
      </c>
      <c r="C16" s="0" t="n">
        <v>268.95</v>
      </c>
      <c r="D16" s="0" t="n">
        <f aca="false">Inputs!$B$5</f>
        <v>0.15</v>
      </c>
      <c r="E16" s="0" t="n">
        <f aca="false">C16*D16</f>
        <v>40.3425</v>
      </c>
      <c r="F16" s="0" t="n">
        <f aca="false">C16+E16</f>
        <v>309.2925</v>
      </c>
      <c r="G16" s="0" t="s">
        <v>379</v>
      </c>
      <c r="H16" s="0" t="n">
        <f aca="false">ROUNDUP(F16/Inputs!$B$11,0)</f>
        <v>31</v>
      </c>
      <c r="I16" s="0" t="s">
        <v>387</v>
      </c>
    </row>
    <row r="17" customFormat="false" ht="15" hidden="false" customHeight="false" outlineLevel="0" collapsed="false">
      <c r="A17" s="0" t="s">
        <v>393</v>
      </c>
      <c r="B17" s="0" t="s">
        <v>375</v>
      </c>
      <c r="C17" s="0" t="n">
        <v>4713.42</v>
      </c>
      <c r="D17" s="0" t="n">
        <f aca="false">Inputs!$B$5</f>
        <v>0.15</v>
      </c>
      <c r="E17" s="0" t="n">
        <f aca="false">C17*D17</f>
        <v>707.013</v>
      </c>
      <c r="F17" s="0" t="n">
        <f aca="false">C17+E17</f>
        <v>5420.433</v>
      </c>
      <c r="G17" s="0" t="s">
        <v>376</v>
      </c>
      <c r="H17" s="0" t="n">
        <f aca="false">ROUNDUP(F17/Inputs!$B$10,0)</f>
        <v>272</v>
      </c>
      <c r="I17" s="0" t="s">
        <v>394</v>
      </c>
    </row>
    <row r="18" customFormat="false" ht="15" hidden="false" customHeight="false" outlineLevel="0" collapsed="false">
      <c r="A18" s="0" t="s">
        <v>395</v>
      </c>
      <c r="B18" s="0" t="s">
        <v>375</v>
      </c>
      <c r="C18" s="0" t="n">
        <v>7000.99</v>
      </c>
      <c r="D18" s="0" t="n">
        <f aca="false">Inputs!$B$5</f>
        <v>0.15</v>
      </c>
      <c r="E18" s="0" t="n">
        <f aca="false">C18*D18</f>
        <v>1050.1485</v>
      </c>
      <c r="F18" s="0" t="n">
        <f aca="false">C18+E18</f>
        <v>8051.1385</v>
      </c>
      <c r="G18" s="0" t="s">
        <v>376</v>
      </c>
      <c r="H18" s="0" t="n">
        <f aca="false">ROUNDUP(F18/Inputs!$B$10,0)</f>
        <v>403</v>
      </c>
      <c r="I18" s="0" t="s">
        <v>396</v>
      </c>
    </row>
    <row r="19" customFormat="false" ht="15" hidden="false" customHeight="false" outlineLevel="0" collapsed="false">
      <c r="A19" s="0" t="s">
        <v>397</v>
      </c>
      <c r="B19" s="0" t="s">
        <v>375</v>
      </c>
      <c r="C19" s="0" t="n">
        <v>3758.18</v>
      </c>
      <c r="D19" s="0" t="n">
        <f aca="false">Inputs!$B$5</f>
        <v>0.15</v>
      </c>
      <c r="E19" s="0" t="n">
        <f aca="false">C19*D19</f>
        <v>563.727</v>
      </c>
      <c r="F19" s="0" t="n">
        <f aca="false">C19+E19</f>
        <v>4321.907</v>
      </c>
      <c r="G19" s="0" t="s">
        <v>376</v>
      </c>
      <c r="H19" s="0" t="n">
        <f aca="false">ROUNDUP(F19/Inputs!$B$10,0)</f>
        <v>217</v>
      </c>
      <c r="I19" s="0" t="s">
        <v>398</v>
      </c>
    </row>
    <row r="20" customFormat="false" ht="15" hidden="false" customHeight="false" outlineLevel="0" collapsed="false">
      <c r="A20" s="0" t="s">
        <v>399</v>
      </c>
      <c r="B20" s="0" t="s">
        <v>375</v>
      </c>
      <c r="C20" s="0" t="n">
        <v>1001.54</v>
      </c>
      <c r="D20" s="0" t="n">
        <f aca="false">Inputs!$B$5</f>
        <v>0.15</v>
      </c>
      <c r="E20" s="0" t="n">
        <f aca="false">C20*D20</f>
        <v>150.231</v>
      </c>
      <c r="F20" s="0" t="n">
        <f aca="false">C20+E20</f>
        <v>1151.771</v>
      </c>
      <c r="G20" s="0" t="s">
        <v>376</v>
      </c>
      <c r="H20" s="0" t="n">
        <f aca="false">ROUNDUP(F20/Inputs!$B$10,0)</f>
        <v>58</v>
      </c>
      <c r="I20" s="0" t="s">
        <v>400</v>
      </c>
    </row>
    <row r="21" customFormat="false" ht="15" hidden="false" customHeight="false" outlineLevel="0" collapsed="false">
      <c r="A21" s="0" t="s">
        <v>401</v>
      </c>
      <c r="B21" s="0" t="s">
        <v>375</v>
      </c>
      <c r="C21" s="0" t="n">
        <v>1250.95</v>
      </c>
      <c r="D21" s="0" t="n">
        <f aca="false">Inputs!$B$5</f>
        <v>0.15</v>
      </c>
      <c r="E21" s="0" t="n">
        <f aca="false">C21*D21</f>
        <v>187.6425</v>
      </c>
      <c r="F21" s="0" t="n">
        <f aca="false">C21+E21</f>
        <v>1438.5925</v>
      </c>
      <c r="G21" s="0" t="s">
        <v>379</v>
      </c>
      <c r="H21" s="0" t="n">
        <f aca="false">ROUNDUP(F21/Inputs!$B$11,0)</f>
        <v>144</v>
      </c>
      <c r="I21" s="0" t="s">
        <v>402</v>
      </c>
    </row>
    <row r="22" customFormat="false" ht="15" hidden="false" customHeight="false" outlineLevel="0" collapsed="false">
      <c r="A22" s="0" t="s">
        <v>403</v>
      </c>
      <c r="B22" s="0" t="s">
        <v>375</v>
      </c>
      <c r="C22" s="0" t="n">
        <v>2489.35</v>
      </c>
      <c r="D22" s="0" t="n">
        <f aca="false">Inputs!$B$5</f>
        <v>0.15</v>
      </c>
      <c r="E22" s="0" t="n">
        <f aca="false">C22*D22</f>
        <v>373.4025</v>
      </c>
      <c r="F22" s="0" t="n">
        <f aca="false">C22+E22</f>
        <v>2862.7525</v>
      </c>
      <c r="G22" s="0" t="s">
        <v>404</v>
      </c>
      <c r="H22" s="0" t="n">
        <f aca="false">ROUNDUP(F22/Inputs!$B$16,0)</f>
        <v>179</v>
      </c>
      <c r="I22" s="0" t="s">
        <v>405</v>
      </c>
    </row>
    <row r="23" customFormat="false" ht="15" hidden="false" customHeight="false" outlineLevel="0" collapsed="false">
      <c r="A23" s="0" t="s">
        <v>406</v>
      </c>
      <c r="B23" s="0" t="s">
        <v>375</v>
      </c>
      <c r="C23" s="0" t="n">
        <v>256.08</v>
      </c>
      <c r="D23" s="0" t="n">
        <f aca="false">Inputs!$B$5</f>
        <v>0.15</v>
      </c>
      <c r="E23" s="0" t="n">
        <f aca="false">C23*D23</f>
        <v>38.412</v>
      </c>
      <c r="F23" s="0" t="n">
        <f aca="false">C23+E23</f>
        <v>294.492</v>
      </c>
      <c r="G23" s="0" t="s">
        <v>379</v>
      </c>
      <c r="H23" s="0" t="n">
        <f aca="false">ROUNDUP(F23/Inputs!$B$11,0)</f>
        <v>30</v>
      </c>
      <c r="I23" s="0" t="s">
        <v>407</v>
      </c>
    </row>
    <row r="24" customFormat="false" ht="15" hidden="false" customHeight="false" outlineLevel="0" collapsed="false">
      <c r="A24" s="0" t="s">
        <v>408</v>
      </c>
      <c r="B24" s="0" t="s">
        <v>375</v>
      </c>
      <c r="C24" s="0" t="n">
        <v>792.21</v>
      </c>
      <c r="D24" s="0" t="n">
        <f aca="false">Inputs!$B$5</f>
        <v>0.15</v>
      </c>
      <c r="E24" s="0" t="n">
        <f aca="false">C24*D24</f>
        <v>118.8315</v>
      </c>
      <c r="F24" s="0" t="n">
        <f aca="false">C24+E24</f>
        <v>911.0415</v>
      </c>
      <c r="G24" s="0" t="s">
        <v>376</v>
      </c>
      <c r="H24" s="0" t="n">
        <f aca="false">ROUNDUP(F24/Inputs!$B$10,0)</f>
        <v>46</v>
      </c>
      <c r="I24" s="0" t="s">
        <v>409</v>
      </c>
    </row>
    <row r="25" customFormat="false" ht="15" hidden="false" customHeight="false" outlineLevel="0" collapsed="false">
      <c r="A25" s="0" t="s">
        <v>410</v>
      </c>
      <c r="B25" s="0" t="s">
        <v>375</v>
      </c>
      <c r="C25" s="0" t="n">
        <v>119.12</v>
      </c>
      <c r="D25" s="0" t="n">
        <f aca="false">Inputs!$B$5</f>
        <v>0.15</v>
      </c>
      <c r="E25" s="0" t="n">
        <f aca="false">C25*D25</f>
        <v>17.868</v>
      </c>
      <c r="F25" s="0" t="n">
        <f aca="false">C25+E25</f>
        <v>136.988</v>
      </c>
      <c r="G25" s="0" t="s">
        <v>379</v>
      </c>
      <c r="H25" s="0" t="n">
        <f aca="false">ROUNDUP(F25/Inputs!$B$11,0)</f>
        <v>14</v>
      </c>
      <c r="I25" s="0" t="s">
        <v>411</v>
      </c>
    </row>
    <row r="26" customFormat="false" ht="15" hidden="false" customHeight="false" outlineLevel="0" collapsed="false">
      <c r="A26" s="0" t="s">
        <v>412</v>
      </c>
      <c r="B26" s="0" t="s">
        <v>375</v>
      </c>
      <c r="C26" s="0" t="n">
        <v>789.46</v>
      </c>
      <c r="D26" s="0" t="n">
        <f aca="false">Inputs!$B$5</f>
        <v>0.15</v>
      </c>
      <c r="E26" s="0" t="n">
        <f aca="false">C26*D26</f>
        <v>118.419</v>
      </c>
      <c r="F26" s="0" t="n">
        <f aca="false">C26+E26</f>
        <v>907.879</v>
      </c>
      <c r="G26" s="0" t="s">
        <v>413</v>
      </c>
      <c r="H26" s="0" t="n">
        <f aca="false">ROUNDUP(F26/Inputs!$B$17,0)</f>
        <v>76</v>
      </c>
      <c r="I26" s="0" t="s">
        <v>414</v>
      </c>
    </row>
    <row r="27" customFormat="false" ht="15" hidden="false" customHeight="false" outlineLevel="0" collapsed="false">
      <c r="A27" s="0" t="s">
        <v>415</v>
      </c>
      <c r="B27" s="0" t="s">
        <v>375</v>
      </c>
      <c r="C27" s="0" t="n">
        <v>326.88</v>
      </c>
      <c r="D27" s="0" t="n">
        <f aca="false">Inputs!$B$5</f>
        <v>0.15</v>
      </c>
      <c r="E27" s="0" t="n">
        <f aca="false">C27*D27</f>
        <v>49.032</v>
      </c>
      <c r="F27" s="0" t="n">
        <f aca="false">C27+E27</f>
        <v>375.912</v>
      </c>
      <c r="G27" s="0" t="s">
        <v>404</v>
      </c>
      <c r="H27" s="0" t="n">
        <f aca="false">ROUNDUP(F27/Inputs!$B$16,0)</f>
        <v>24</v>
      </c>
      <c r="I27" s="0" t="s">
        <v>416</v>
      </c>
    </row>
    <row r="28" customFormat="false" ht="15" hidden="false" customHeight="false" outlineLevel="0" collapsed="false">
      <c r="A28" s="0" t="s">
        <v>417</v>
      </c>
      <c r="B28" s="0" t="s">
        <v>375</v>
      </c>
      <c r="C28" s="0" t="n">
        <v>531.67</v>
      </c>
      <c r="D28" s="0" t="n">
        <f aca="false">Inputs!$B$5</f>
        <v>0.15</v>
      </c>
      <c r="E28" s="0" t="n">
        <f aca="false">C28*D28</f>
        <v>79.7505</v>
      </c>
      <c r="F28" s="0" t="n">
        <f aca="false">C28+E28</f>
        <v>611.4205</v>
      </c>
      <c r="G28" s="0" t="s">
        <v>32</v>
      </c>
      <c r="H28" s="0" t="n">
        <f aca="false">ROUNDUP(F28,0)</f>
        <v>612</v>
      </c>
      <c r="I28" s="0" t="s">
        <v>418</v>
      </c>
    </row>
    <row r="29" customFormat="false" ht="15" hidden="false" customHeight="false" outlineLevel="0" collapsed="false">
      <c r="A29" s="0" t="s">
        <v>419</v>
      </c>
      <c r="B29" s="0" t="s">
        <v>420</v>
      </c>
      <c r="C29" s="0" t="n">
        <v>17141.07</v>
      </c>
      <c r="D29" s="0" t="n">
        <f aca="false">Inputs!$B$5</f>
        <v>0.15</v>
      </c>
      <c r="E29" s="0" t="n">
        <f aca="false">C29*D29</f>
        <v>2571.1605</v>
      </c>
      <c r="F29" s="0" t="n">
        <f aca="false">C29+E29</f>
        <v>19712.2305</v>
      </c>
      <c r="G29" s="0" t="s">
        <v>421</v>
      </c>
      <c r="H29" s="0" t="n">
        <f aca="false">ROUNDUP(F29,0)</f>
        <v>19713</v>
      </c>
      <c r="I29" s="0" t="s">
        <v>422</v>
      </c>
    </row>
    <row r="30" customFormat="false" ht="15" hidden="false" customHeight="false" outlineLevel="0" collapsed="false">
      <c r="A30" s="0" t="s">
        <v>423</v>
      </c>
      <c r="B30" s="0" t="s">
        <v>420</v>
      </c>
      <c r="C30" s="0" t="n">
        <v>258.8</v>
      </c>
      <c r="D30" s="0" t="n">
        <f aca="false">Inputs!$B$5</f>
        <v>0.15</v>
      </c>
      <c r="E30" s="0" t="n">
        <f aca="false">C30*D30</f>
        <v>38.82</v>
      </c>
      <c r="F30" s="0" t="n">
        <f aca="false">C30+E30</f>
        <v>297.62</v>
      </c>
      <c r="G30" s="0" t="s">
        <v>421</v>
      </c>
      <c r="H30" s="0" t="n">
        <f aca="false">ROUNDUP(F30,0)</f>
        <v>298</v>
      </c>
      <c r="I30" s="0" t="s">
        <v>424</v>
      </c>
    </row>
    <row r="31" customFormat="false" ht="15" hidden="false" customHeight="false" outlineLevel="0" collapsed="false">
      <c r="A31" s="0" t="s">
        <v>425</v>
      </c>
      <c r="B31" s="0" t="s">
        <v>420</v>
      </c>
      <c r="C31" s="0" t="n">
        <v>80.87</v>
      </c>
      <c r="D31" s="0" t="n">
        <f aca="false">Inputs!$B$5</f>
        <v>0.15</v>
      </c>
      <c r="E31" s="0" t="n">
        <f aca="false">C31*D31</f>
        <v>12.1305</v>
      </c>
      <c r="F31" s="0" t="n">
        <f aca="false">C31+E31</f>
        <v>93.0005</v>
      </c>
      <c r="G31" s="0" t="s">
        <v>421</v>
      </c>
      <c r="H31" s="0" t="n">
        <f aca="false">ROUNDUP(F31,0)</f>
        <v>94</v>
      </c>
      <c r="I31" s="0" t="s">
        <v>426</v>
      </c>
    </row>
    <row r="32" customFormat="false" ht="15" hidden="false" customHeight="false" outlineLevel="0" collapsed="false">
      <c r="A32" s="0" t="s">
        <v>427</v>
      </c>
      <c r="B32" s="0" t="s">
        <v>420</v>
      </c>
      <c r="C32" s="0" t="n">
        <v>62.2</v>
      </c>
      <c r="D32" s="0" t="n">
        <f aca="false">Inputs!$B$5</f>
        <v>0.15</v>
      </c>
      <c r="E32" s="0" t="n">
        <f aca="false">C32*D32</f>
        <v>9.33</v>
      </c>
      <c r="F32" s="0" t="n">
        <f aca="false">C32+E32</f>
        <v>71.53</v>
      </c>
      <c r="G32" s="0" t="s">
        <v>421</v>
      </c>
      <c r="H32" s="0" t="n">
        <f aca="false">ROUNDUP(F32,0)</f>
        <v>72</v>
      </c>
      <c r="I32" s="0" t="s">
        <v>428</v>
      </c>
    </row>
    <row r="33" customFormat="false" ht="15" hidden="false" customHeight="false" outlineLevel="0" collapsed="false">
      <c r="A33" s="0" t="s">
        <v>429</v>
      </c>
      <c r="B33" s="0" t="s">
        <v>420</v>
      </c>
      <c r="C33" s="0" t="n">
        <v>346.63</v>
      </c>
      <c r="D33" s="0" t="n">
        <f aca="false">Inputs!$B$5</f>
        <v>0.15</v>
      </c>
      <c r="E33" s="0" t="n">
        <f aca="false">C33*D33</f>
        <v>51.9945</v>
      </c>
      <c r="F33" s="0" t="n">
        <f aca="false">C33+E33</f>
        <v>398.6245</v>
      </c>
      <c r="G33" s="0" t="s">
        <v>421</v>
      </c>
      <c r="H33" s="0" t="n">
        <f aca="false">ROUNDUP(F33,0)</f>
        <v>399</v>
      </c>
      <c r="I33" s="0" t="s">
        <v>430</v>
      </c>
    </row>
    <row r="34" customFormat="false" ht="15" hidden="false" customHeight="false" outlineLevel="0" collapsed="false">
      <c r="A34" s="0" t="s">
        <v>431</v>
      </c>
      <c r="B34" s="0" t="s">
        <v>420</v>
      </c>
      <c r="C34" s="0" t="n">
        <v>947.67</v>
      </c>
      <c r="D34" s="0" t="n">
        <f aca="false">Inputs!$B$5</f>
        <v>0.15</v>
      </c>
      <c r="E34" s="0" t="n">
        <f aca="false">C34*D34</f>
        <v>142.1505</v>
      </c>
      <c r="F34" s="0" t="n">
        <f aca="false">C34+E34</f>
        <v>1089.8205</v>
      </c>
      <c r="G34" s="0" t="s">
        <v>421</v>
      </c>
      <c r="H34" s="0" t="n">
        <f aca="false">ROUNDUP(F34,0)</f>
        <v>1090</v>
      </c>
      <c r="I34" s="0" t="s">
        <v>432</v>
      </c>
    </row>
    <row r="35" customFormat="false" ht="15" hidden="false" customHeight="false" outlineLevel="0" collapsed="false">
      <c r="A35" s="0" t="s">
        <v>433</v>
      </c>
      <c r="B35" s="0" t="s">
        <v>375</v>
      </c>
      <c r="C35" s="0" t="n">
        <v>855.4</v>
      </c>
      <c r="D35" s="0" t="n">
        <f aca="false">Inputs!$B$5</f>
        <v>0.15</v>
      </c>
      <c r="E35" s="0" t="n">
        <f aca="false">C35*D35</f>
        <v>128.31</v>
      </c>
      <c r="F35" s="0" t="n">
        <f aca="false">C35+E35</f>
        <v>983.71</v>
      </c>
      <c r="G35" s="0" t="s">
        <v>421</v>
      </c>
      <c r="H35" s="0" t="n">
        <f aca="false">ROUNDUP(F35,0)</f>
        <v>984</v>
      </c>
      <c r="I35" s="0" t="s">
        <v>434</v>
      </c>
    </row>
    <row r="36" customFormat="false" ht="15" hidden="false" customHeight="false" outlineLevel="0" collapsed="false">
      <c r="A36" s="0" t="s">
        <v>435</v>
      </c>
      <c r="B36" s="0" t="s">
        <v>375</v>
      </c>
      <c r="C36" s="0" t="n">
        <v>544.01</v>
      </c>
      <c r="D36" s="0" t="n">
        <f aca="false">Inputs!$B$5</f>
        <v>0.15</v>
      </c>
      <c r="E36" s="0" t="n">
        <f aca="false">C36*D36</f>
        <v>81.6015</v>
      </c>
      <c r="F36" s="0" t="n">
        <f aca="false">C36+E36</f>
        <v>625.6115</v>
      </c>
      <c r="G36" s="0" t="s">
        <v>376</v>
      </c>
      <c r="H36" s="0" t="n">
        <f aca="false">ROUNDUP(F36/Inputs!$B$10,0)</f>
        <v>32</v>
      </c>
      <c r="I36" s="0" t="s">
        <v>436</v>
      </c>
    </row>
    <row r="37" customFormat="false" ht="15" hidden="false" customHeight="false" outlineLevel="0" collapsed="false">
      <c r="A37" s="0" t="s">
        <v>437</v>
      </c>
      <c r="B37" s="0" t="s">
        <v>375</v>
      </c>
      <c r="C37" s="0" t="n">
        <v>26.89</v>
      </c>
      <c r="D37" s="0" t="n">
        <f aca="false">Inputs!$B$5</f>
        <v>0.15</v>
      </c>
      <c r="E37" s="0" t="n">
        <f aca="false">C37*D37</f>
        <v>4.0335</v>
      </c>
      <c r="F37" s="0" t="n">
        <f aca="false">C37+E37</f>
        <v>30.9235</v>
      </c>
      <c r="G37" s="0" t="s">
        <v>376</v>
      </c>
      <c r="H37" s="0" t="n">
        <f aca="false">ROUNDUP(F37/Inputs!$B$10,0)</f>
        <v>2</v>
      </c>
      <c r="I37" s="0" t="s">
        <v>438</v>
      </c>
    </row>
    <row r="38" customFormat="false" ht="15" hidden="false" customHeight="false" outlineLevel="0" collapsed="false">
      <c r="A38" s="0" t="s">
        <v>439</v>
      </c>
      <c r="B38" s="0" t="s">
        <v>375</v>
      </c>
      <c r="C38" s="0" t="n">
        <v>848.74</v>
      </c>
      <c r="D38" s="0" t="n">
        <f aca="false">Inputs!$B$5</f>
        <v>0.15</v>
      </c>
      <c r="E38" s="0" t="n">
        <f aca="false">C38*D38</f>
        <v>127.311</v>
      </c>
      <c r="F38" s="0" t="n">
        <f aca="false">C38+E38</f>
        <v>976.051</v>
      </c>
      <c r="G38" s="0" t="s">
        <v>440</v>
      </c>
      <c r="H38" s="0" t="n">
        <f aca="false">ROUNDUP(F38/Inputs!$B$18,0)</f>
        <v>98</v>
      </c>
      <c r="I38" s="0" t="s">
        <v>441</v>
      </c>
    </row>
    <row r="39" customFormat="false" ht="15" hidden="false" customHeight="false" outlineLevel="0" collapsed="false">
      <c r="A39" s="0" t="s">
        <v>442</v>
      </c>
      <c r="B39" s="0" t="s">
        <v>420</v>
      </c>
      <c r="C39" s="0" t="n">
        <v>31.61</v>
      </c>
      <c r="D39" s="0" t="n">
        <f aca="false">Inputs!$B$5</f>
        <v>0.15</v>
      </c>
      <c r="E39" s="0" t="n">
        <f aca="false">C39*D39</f>
        <v>4.7415</v>
      </c>
      <c r="F39" s="0" t="n">
        <f aca="false">C39+E39</f>
        <v>36.3515</v>
      </c>
      <c r="G39" s="0" t="s">
        <v>421</v>
      </c>
      <c r="H39" s="0" t="n">
        <f aca="false">ROUNDUP(F39,0)</f>
        <v>37</v>
      </c>
      <c r="I39" s="0" t="s">
        <v>443</v>
      </c>
    </row>
    <row r="40" customFormat="false" ht="15" hidden="false" customHeight="false" outlineLevel="0" collapsed="false">
      <c r="A40" s="0" t="s">
        <v>444</v>
      </c>
      <c r="B40" s="0" t="s">
        <v>420</v>
      </c>
      <c r="C40" s="0" t="n">
        <v>332.1</v>
      </c>
      <c r="D40" s="0" t="n">
        <f aca="false">Inputs!$B$5</f>
        <v>0.15</v>
      </c>
      <c r="E40" s="0" t="n">
        <f aca="false">C40*D40</f>
        <v>49.815</v>
      </c>
      <c r="F40" s="0" t="n">
        <f aca="false">C40+E40</f>
        <v>381.915</v>
      </c>
      <c r="G40" s="0" t="s">
        <v>421</v>
      </c>
      <c r="H40" s="0" t="n">
        <f aca="false">ROUNDUP(F40,0)</f>
        <v>382</v>
      </c>
      <c r="I40" s="0" t="s">
        <v>445</v>
      </c>
    </row>
    <row r="41" customFormat="false" ht="15" hidden="false" customHeight="false" outlineLevel="0" collapsed="false">
      <c r="A41" s="0" t="s">
        <v>446</v>
      </c>
      <c r="B41" s="0" t="s">
        <v>375</v>
      </c>
      <c r="C41" s="0" t="n">
        <v>48.08</v>
      </c>
      <c r="D41" s="0" t="n">
        <f aca="false">Inputs!$B$5</f>
        <v>0.15</v>
      </c>
      <c r="E41" s="0" t="n">
        <f aca="false">C41*D41</f>
        <v>7.212</v>
      </c>
      <c r="F41" s="0" t="n">
        <f aca="false">C41+E41</f>
        <v>55.292</v>
      </c>
      <c r="G41" s="0" t="s">
        <v>376</v>
      </c>
      <c r="H41" s="0" t="n">
        <f aca="false">ROUNDUP(F41/Inputs!$B$10,0)</f>
        <v>3</v>
      </c>
      <c r="I41" s="0" t="s">
        <v>447</v>
      </c>
    </row>
    <row r="42" customFormat="false" ht="15" hidden="false" customHeight="false" outlineLevel="0" collapsed="false">
      <c r="A42" s="0" t="s">
        <v>448</v>
      </c>
      <c r="B42" s="0" t="s">
        <v>420</v>
      </c>
      <c r="C42" s="0" t="n">
        <v>2003.23</v>
      </c>
      <c r="D42" s="0" t="n">
        <f aca="false">Inputs!$B$6</f>
        <v>0.06</v>
      </c>
      <c r="E42" s="0" t="n">
        <f aca="false">C42*D42</f>
        <v>120.1938</v>
      </c>
      <c r="F42" s="0" t="n">
        <f aca="false">C42+E42</f>
        <v>2123.4238</v>
      </c>
      <c r="G42" s="0" t="s">
        <v>449</v>
      </c>
      <c r="H42" s="0" t="n">
        <f aca="false">ROUNDUP(F42/Inputs!$B$9,0)</f>
        <v>45</v>
      </c>
      <c r="I42" s="0" t="s">
        <v>450</v>
      </c>
    </row>
    <row r="43" customFormat="false" ht="15" hidden="false" customHeight="false" outlineLevel="0" collapsed="false">
      <c r="A43" s="0" t="s">
        <v>451</v>
      </c>
      <c r="B43" s="0" t="s">
        <v>420</v>
      </c>
      <c r="C43" s="0" t="n">
        <v>4127.2</v>
      </c>
      <c r="D43" s="0" t="n">
        <f aca="false">Inputs!$B$6</f>
        <v>0.06</v>
      </c>
      <c r="E43" s="0" t="n">
        <f aca="false">C43*D43</f>
        <v>247.632</v>
      </c>
      <c r="F43" s="0" t="n">
        <f aca="false">C43+E43</f>
        <v>4374.832</v>
      </c>
      <c r="G43" s="0" t="s">
        <v>449</v>
      </c>
      <c r="H43" s="0" t="n">
        <f aca="false">ROUNDUP(F43/Inputs!$B$9,0)</f>
        <v>92</v>
      </c>
      <c r="I43" s="0" t="s">
        <v>450</v>
      </c>
    </row>
    <row r="44" customFormat="false" ht="15" hidden="false" customHeight="false" outlineLevel="0" collapsed="false">
      <c r="A44" s="0" t="s">
        <v>452</v>
      </c>
      <c r="B44" s="0" t="s">
        <v>420</v>
      </c>
      <c r="C44" s="0" t="n">
        <v>674.64</v>
      </c>
      <c r="D44" s="0" t="n">
        <f aca="false">Inputs!$B$6</f>
        <v>0.06</v>
      </c>
      <c r="E44" s="0" t="n">
        <f aca="false">C44*D44</f>
        <v>40.4784</v>
      </c>
      <c r="F44" s="0" t="n">
        <f aca="false">C44+E44</f>
        <v>715.1184</v>
      </c>
      <c r="G44" s="0" t="s">
        <v>449</v>
      </c>
      <c r="H44" s="0" t="n">
        <f aca="false">ROUNDUP(F44/Inputs!$B$9,0)</f>
        <v>15</v>
      </c>
      <c r="I44" s="0" t="s">
        <v>450</v>
      </c>
    </row>
    <row r="45" customFormat="false" ht="15" hidden="false" customHeight="false" outlineLevel="0" collapsed="false">
      <c r="A45" s="0" t="s">
        <v>453</v>
      </c>
      <c r="B45" s="0" t="s">
        <v>420</v>
      </c>
      <c r="C45" s="0" t="n">
        <v>23.59</v>
      </c>
      <c r="D45" s="0" t="n">
        <f aca="false">Inputs!$B$6</f>
        <v>0.06</v>
      </c>
      <c r="E45" s="0" t="n">
        <f aca="false">C45*D45</f>
        <v>1.4154</v>
      </c>
      <c r="F45" s="0" t="n">
        <f aca="false">C45+E45</f>
        <v>25.0054</v>
      </c>
      <c r="G45" s="0" t="s">
        <v>449</v>
      </c>
      <c r="H45" s="0" t="n">
        <f aca="false">ROUNDUP(F45/Inputs!$B$9,0)</f>
        <v>1</v>
      </c>
      <c r="I45" s="0" t="s">
        <v>450</v>
      </c>
    </row>
    <row r="46" customFormat="false" ht="15" hidden="false" customHeight="false" outlineLevel="0" collapsed="false">
      <c r="A46" s="0" t="s">
        <v>454</v>
      </c>
      <c r="B46" s="0" t="s">
        <v>420</v>
      </c>
      <c r="C46" s="0" t="n">
        <v>240.36</v>
      </c>
      <c r="D46" s="0" t="n">
        <f aca="false">Inputs!$B$6</f>
        <v>0.06</v>
      </c>
      <c r="E46" s="0" t="n">
        <f aca="false">C46*D46</f>
        <v>14.4216</v>
      </c>
      <c r="F46" s="0" t="n">
        <f aca="false">C46+E46</f>
        <v>254.7816</v>
      </c>
      <c r="G46" s="0" t="s">
        <v>449</v>
      </c>
      <c r="H46" s="0" t="n">
        <f aca="false">ROUNDUP(F46/Inputs!$B$9,0)</f>
        <v>6</v>
      </c>
      <c r="I46" s="0" t="s">
        <v>450</v>
      </c>
    </row>
    <row r="47" customFormat="false" ht="15" hidden="false" customHeight="false" outlineLevel="0" collapsed="false">
      <c r="A47" s="0" t="s">
        <v>455</v>
      </c>
      <c r="B47" s="0" t="s">
        <v>420</v>
      </c>
      <c r="C47" s="0" t="n">
        <v>7.28</v>
      </c>
      <c r="D47" s="0" t="n">
        <f aca="false">Inputs!$B$6</f>
        <v>0.06</v>
      </c>
      <c r="E47" s="0" t="n">
        <f aca="false">C47*D47</f>
        <v>0.4368</v>
      </c>
      <c r="F47" s="0" t="n">
        <f aca="false">C47+E47</f>
        <v>7.7168</v>
      </c>
      <c r="G47" s="0" t="s">
        <v>449</v>
      </c>
      <c r="H47" s="0" t="n">
        <f aca="false">ROUNDUP(F47/Inputs!$B$9,0)</f>
        <v>1</v>
      </c>
      <c r="I47" s="0" t="s">
        <v>450</v>
      </c>
    </row>
    <row r="48" customFormat="false" ht="15" hidden="false" customHeight="false" outlineLevel="0" collapsed="false">
      <c r="A48" s="0" t="s">
        <v>456</v>
      </c>
      <c r="B48" s="0" t="s">
        <v>375</v>
      </c>
      <c r="C48" s="0" t="n">
        <v>211.85</v>
      </c>
      <c r="D48" s="0" t="n">
        <f aca="false">Inputs!$B$6</f>
        <v>0.06</v>
      </c>
      <c r="E48" s="0" t="n">
        <f aca="false">C48*D48</f>
        <v>12.711</v>
      </c>
      <c r="F48" s="0" t="n">
        <f aca="false">C48+E48</f>
        <v>224.561</v>
      </c>
      <c r="G48" s="0" t="s">
        <v>457</v>
      </c>
      <c r="H48" s="0" t="n">
        <f aca="false">ROUNDUP(F48/Inputs!$B$15,0)</f>
        <v>9</v>
      </c>
      <c r="I48" s="0" t="s">
        <v>458</v>
      </c>
    </row>
    <row r="49" customFormat="false" ht="15" hidden="false" customHeight="false" outlineLevel="0" collapsed="false">
      <c r="A49" s="0" t="s">
        <v>459</v>
      </c>
      <c r="B49" s="0" t="s">
        <v>460</v>
      </c>
      <c r="C49" s="0" t="n">
        <v>113</v>
      </c>
      <c r="D49" s="0" t="n">
        <v>0</v>
      </c>
      <c r="E49" s="0" t="n">
        <f aca="false">C49*D49</f>
        <v>0</v>
      </c>
      <c r="F49" s="0" t="n">
        <f aca="false">C49+E49</f>
        <v>113</v>
      </c>
      <c r="H49" s="0" t="n">
        <f aca="false">ROUNDUP(F49,0)</f>
        <v>113</v>
      </c>
      <c r="I49" s="0" t="s">
        <v>461</v>
      </c>
    </row>
    <row r="50" customFormat="false" ht="15" hidden="false" customHeight="false" outlineLevel="0" collapsed="false">
      <c r="A50" s="0" t="s">
        <v>462</v>
      </c>
      <c r="B50" s="0" t="s">
        <v>375</v>
      </c>
      <c r="C50" s="0" t="n">
        <v>56</v>
      </c>
      <c r="D50" s="0" t="n">
        <f aca="false">Inputs!$B$5</f>
        <v>0.15</v>
      </c>
      <c r="E50" s="0" t="n">
        <f aca="false">C50*D50</f>
        <v>8.4</v>
      </c>
      <c r="F50" s="0" t="n">
        <f aca="false">C50+E50</f>
        <v>64.4</v>
      </c>
      <c r="G50" s="0" t="s">
        <v>379</v>
      </c>
      <c r="H50" s="0" t="n">
        <f aca="false">ROUNDUP(F50/Inputs!$B$11,0)</f>
        <v>7</v>
      </c>
      <c r="I50" s="0" t="s">
        <v>463</v>
      </c>
    </row>
    <row r="51" customFormat="false" ht="15" hidden="false" customHeight="false" outlineLevel="0" collapsed="false">
      <c r="A51" s="0" t="s">
        <v>464</v>
      </c>
      <c r="B51" s="0" t="s">
        <v>460</v>
      </c>
      <c r="C51" s="0" t="n">
        <v>0</v>
      </c>
      <c r="D51" s="0" t="n">
        <v>0</v>
      </c>
      <c r="E51" s="0" t="n">
        <f aca="false">C51*D51</f>
        <v>0</v>
      </c>
      <c r="F51" s="0" t="n">
        <f aca="false">C51+E51</f>
        <v>0</v>
      </c>
      <c r="G51" s="0" t="s">
        <v>465</v>
      </c>
      <c r="H51" s="0" t="n">
        <f aca="false">ROUNDUP(F51,0)</f>
        <v>0</v>
      </c>
      <c r="I51" s="0" t="s">
        <v>466</v>
      </c>
    </row>
    <row r="52" customFormat="false" ht="15" hidden="false" customHeight="false" outlineLevel="0" collapsed="false">
      <c r="A52" s="0" t="s">
        <v>467</v>
      </c>
      <c r="B52" s="0" t="s">
        <v>375</v>
      </c>
      <c r="C52" s="0" t="n">
        <v>23</v>
      </c>
      <c r="D52" s="0" t="n">
        <f aca="false">Inputs!$B$5</f>
        <v>0.15</v>
      </c>
      <c r="E52" s="0" t="n">
        <f aca="false">C52*D52</f>
        <v>3.45</v>
      </c>
      <c r="F52" s="0" t="n">
        <f aca="false">C52+E52</f>
        <v>26.45</v>
      </c>
      <c r="G52" s="0" t="s">
        <v>376</v>
      </c>
      <c r="H52" s="0" t="n">
        <f aca="false">ROUNDUP(F52/Inputs!$B$10,0)</f>
        <v>2</v>
      </c>
      <c r="I52" s="0" t="s">
        <v>468</v>
      </c>
    </row>
    <row r="53" customFormat="false" ht="15" hidden="false" customHeight="false" outlineLevel="0" collapsed="false">
      <c r="A53" s="0" t="s">
        <v>469</v>
      </c>
      <c r="B53" s="0" t="s">
        <v>375</v>
      </c>
      <c r="C53" s="0" t="n">
        <v>10.43</v>
      </c>
      <c r="D53" s="0" t="n">
        <f aca="false">Inputs!$B$5</f>
        <v>0.15</v>
      </c>
      <c r="E53" s="0" t="n">
        <f aca="false">C53*D53</f>
        <v>1.5645</v>
      </c>
      <c r="F53" s="0" t="n">
        <f aca="false">C53+E53</f>
        <v>11.9945</v>
      </c>
      <c r="G53" s="0" t="s">
        <v>376</v>
      </c>
      <c r="H53" s="0" t="n">
        <f aca="false">ROUNDUP(F53/Inputs!$B$10,0)</f>
        <v>1</v>
      </c>
      <c r="I53" s="0" t="s">
        <v>470</v>
      </c>
    </row>
    <row r="54" customFormat="false" ht="15" hidden="false" customHeight="false" outlineLevel="0" collapsed="false">
      <c r="A54" s="0" t="s">
        <v>471</v>
      </c>
      <c r="B54" s="0" t="s">
        <v>420</v>
      </c>
      <c r="C54" s="0" t="n">
        <v>127.08</v>
      </c>
      <c r="D54" s="0" t="n">
        <f aca="false">Inputs!$B$6</f>
        <v>0.06</v>
      </c>
      <c r="E54" s="0" t="n">
        <f aca="false">C54*D54</f>
        <v>7.6248</v>
      </c>
      <c r="F54" s="0" t="n">
        <f aca="false">C54+E54</f>
        <v>134.7048</v>
      </c>
      <c r="G54" s="0" t="s">
        <v>449</v>
      </c>
      <c r="H54" s="0" t="n">
        <f aca="false">ROUNDUP(F54/Inputs!$B$9,0)</f>
        <v>3</v>
      </c>
      <c r="I54" s="0" t="s">
        <v>472</v>
      </c>
    </row>
    <row r="55" customFormat="false" ht="15" hidden="false" customHeight="false" outlineLevel="0" collapsed="false">
      <c r="A55" s="0" t="s">
        <v>473</v>
      </c>
      <c r="B55" s="0" t="s">
        <v>375</v>
      </c>
      <c r="C55" s="0" t="n">
        <v>222.44</v>
      </c>
      <c r="D55" s="0" t="n">
        <f aca="false">Inputs!$B$6</f>
        <v>0.06</v>
      </c>
      <c r="E55" s="0" t="n">
        <f aca="false">C55*D55</f>
        <v>13.3464</v>
      </c>
      <c r="F55" s="0" t="n">
        <f aca="false">C55+E55</f>
        <v>235.7864</v>
      </c>
      <c r="G55" s="0" t="s">
        <v>440</v>
      </c>
      <c r="H55" s="0" t="n">
        <f aca="false">ROUNDUP(F55/Inputs!$B$18,0)</f>
        <v>24</v>
      </c>
      <c r="I55" s="0" t="s">
        <v>474</v>
      </c>
    </row>
    <row r="56" customFormat="false" ht="15" hidden="false" customHeight="false" outlineLevel="0" collapsed="false">
      <c r="A56" s="0" t="s">
        <v>475</v>
      </c>
      <c r="B56" s="0" t="s">
        <v>460</v>
      </c>
      <c r="C56" s="0" t="n">
        <v>275</v>
      </c>
      <c r="D56" s="0" t="n">
        <v>0</v>
      </c>
      <c r="E56" s="0" t="n">
        <f aca="false">C56*D56</f>
        <v>0</v>
      </c>
      <c r="F56" s="0" t="n">
        <f aca="false">C56+E56</f>
        <v>275</v>
      </c>
      <c r="G56" s="0" t="s">
        <v>465</v>
      </c>
      <c r="H56" s="0" t="n">
        <f aca="false">ROUNDUP(F56,0)</f>
        <v>275</v>
      </c>
      <c r="I56" s="0" t="s">
        <v>476</v>
      </c>
    </row>
    <row r="57" customFormat="false" ht="15" hidden="false" customHeight="false" outlineLevel="0" collapsed="false">
      <c r="A57" s="0" t="s">
        <v>477</v>
      </c>
      <c r="B57" s="0" t="s">
        <v>460</v>
      </c>
      <c r="C57" s="0" t="n">
        <v>1</v>
      </c>
      <c r="D57" s="0" t="n">
        <v>0</v>
      </c>
      <c r="E57" s="0" t="n">
        <f aca="false">C57*D57</f>
        <v>0</v>
      </c>
      <c r="F57" s="0" t="n">
        <f aca="false">C57+E57</f>
        <v>1</v>
      </c>
      <c r="G57" s="0" t="s">
        <v>465</v>
      </c>
      <c r="H57" s="0" t="n">
        <f aca="false">ROUNDUP(F57,0)</f>
        <v>1</v>
      </c>
      <c r="I57" s="0" t="s">
        <v>478</v>
      </c>
    </row>
    <row r="58" customFormat="false" ht="15" hidden="false" customHeight="false" outlineLevel="0" collapsed="false">
      <c r="A58" s="0" t="s">
        <v>479</v>
      </c>
      <c r="B58" s="0" t="s">
        <v>460</v>
      </c>
      <c r="C58" s="0" t="n">
        <v>20954.48</v>
      </c>
      <c r="D58" s="0" t="n">
        <v>0</v>
      </c>
      <c r="E58" s="0" t="n">
        <f aca="false">C58*D58</f>
        <v>0</v>
      </c>
      <c r="F58" s="0" t="n">
        <f aca="false">C58+E58</f>
        <v>20954.48</v>
      </c>
      <c r="G58" s="0" t="s">
        <v>465</v>
      </c>
      <c r="H58" s="0" t="n">
        <f aca="false">ROUNDUP(F58,0)</f>
        <v>20955</v>
      </c>
      <c r="I58" s="0" t="s">
        <v>480</v>
      </c>
      <c r="J58" s="0" t="n">
        <f aca="false">Inputs!$B$20*17462.1</f>
        <v>20954.52</v>
      </c>
    </row>
    <row r="59" customFormat="false" ht="15" hidden="false" customHeight="false" outlineLevel="0" collapsed="false">
      <c r="A59" s="0" t="s">
        <v>481</v>
      </c>
      <c r="B59" s="0" t="s">
        <v>460</v>
      </c>
      <c r="C59" s="0" t="n">
        <v>7228</v>
      </c>
      <c r="D59" s="0" t="n">
        <v>0</v>
      </c>
      <c r="E59" s="0" t="n">
        <f aca="false">C59*D59</f>
        <v>0</v>
      </c>
      <c r="F59" s="0" t="n">
        <f aca="false">C59+E59</f>
        <v>7228</v>
      </c>
      <c r="G59" s="0" t="s">
        <v>465</v>
      </c>
      <c r="H59" s="0" t="n">
        <f aca="false">ROUNDUP(F59,0)</f>
        <v>7228</v>
      </c>
      <c r="I59" s="0" t="s">
        <v>482</v>
      </c>
      <c r="J59" s="0" t="n">
        <f aca="false">Inputs!$B$21*1807</f>
        <v>7228</v>
      </c>
    </row>
    <row r="60" customFormat="false" ht="15" hidden="false" customHeight="false" outlineLevel="0" collapsed="false">
      <c r="A60" s="0" t="s">
        <v>483</v>
      </c>
      <c r="B60" s="0" t="s">
        <v>460</v>
      </c>
      <c r="C60" s="0" t="n">
        <v>527.79</v>
      </c>
      <c r="D60" s="0" t="n">
        <v>0</v>
      </c>
      <c r="E60" s="0" t="n">
        <f aca="false">C60*D60</f>
        <v>0</v>
      </c>
      <c r="F60" s="0" t="n">
        <f aca="false">C60+E60</f>
        <v>527.79</v>
      </c>
      <c r="G60" s="0" t="s">
        <v>465</v>
      </c>
      <c r="H60" s="0" t="n">
        <f aca="false">ROUNDUP(F60,0)</f>
        <v>528</v>
      </c>
      <c r="I60" s="0" t="s">
        <v>484</v>
      </c>
      <c r="J60" s="0" t="n">
        <f aca="false">527.79/Inputs!$B$22</f>
        <v>527.79</v>
      </c>
    </row>
    <row r="61" customFormat="false" ht="15" hidden="false" customHeight="false" outlineLevel="0" collapsed="false">
      <c r="A61" s="0" t="s">
        <v>485</v>
      </c>
      <c r="B61" s="0" t="s">
        <v>460</v>
      </c>
      <c r="C61" s="0" t="n">
        <v>322.62</v>
      </c>
      <c r="D61" s="0" t="n">
        <v>0</v>
      </c>
      <c r="E61" s="0" t="n">
        <f aca="false">C61*D61</f>
        <v>0</v>
      </c>
      <c r="F61" s="0" t="n">
        <f aca="false">C61+E61</f>
        <v>322.62</v>
      </c>
      <c r="G61" s="0" t="s">
        <v>465</v>
      </c>
      <c r="H61" s="0" t="n">
        <f aca="false">ROUNDUP(F61,0)</f>
        <v>323</v>
      </c>
      <c r="I61" s="0" t="s">
        <v>486</v>
      </c>
      <c r="J61" s="0" t="n">
        <f aca="false">215.19/Inputs!$B$25</f>
        <v>322.623688155922</v>
      </c>
    </row>
    <row r="62" customFormat="false" ht="15" hidden="false" customHeight="false" outlineLevel="0" collapsed="false">
      <c r="A62" s="0" t="s">
        <v>487</v>
      </c>
      <c r="B62" s="0" t="s">
        <v>488</v>
      </c>
      <c r="C62" s="0" t="n">
        <v>1257.27</v>
      </c>
      <c r="D62" s="0" t="n">
        <v>0</v>
      </c>
      <c r="E62" s="0" t="n">
        <f aca="false">C62*D62</f>
        <v>0</v>
      </c>
      <c r="F62" s="0" t="n">
        <f aca="false">C62+E62</f>
        <v>1257.27</v>
      </c>
      <c r="G62" s="0" t="s">
        <v>489</v>
      </c>
      <c r="H62" s="0" t="n">
        <f aca="false">ROUNDUP(F62,0)</f>
        <v>1258</v>
      </c>
      <c r="I62" s="0" t="s">
        <v>490</v>
      </c>
      <c r="J62" s="0" t="n">
        <f aca="false">Inputs!$B$23*17462.1</f>
        <v>1257.2712</v>
      </c>
    </row>
    <row r="63" customFormat="false" ht="15" hidden="false" customHeight="false" outlineLevel="0" collapsed="false">
      <c r="A63" s="0" t="s">
        <v>491</v>
      </c>
      <c r="B63" s="0" t="s">
        <v>375</v>
      </c>
      <c r="C63" s="0" t="n">
        <v>6460.97</v>
      </c>
      <c r="D63" s="0" t="n">
        <v>0</v>
      </c>
      <c r="E63" s="0" t="n">
        <f aca="false">C63*D63</f>
        <v>0</v>
      </c>
      <c r="F63" s="0" t="n">
        <f aca="false">C63+E63</f>
        <v>6460.97</v>
      </c>
      <c r="G63" s="0" t="s">
        <v>375</v>
      </c>
      <c r="H63" s="0" t="n">
        <f aca="false">ROUNDUP(F63,0)</f>
        <v>6461</v>
      </c>
      <c r="I63" s="0" t="s">
        <v>492</v>
      </c>
      <c r="J63" s="0" t="n">
        <f aca="false">Inputs!$B$24*17462.1</f>
        <v>6460.977</v>
      </c>
    </row>
    <row r="64" customFormat="false" ht="15" hidden="false" customHeight="false" outlineLevel="0" collapsed="false">
      <c r="A64" s="0" t="s">
        <v>493</v>
      </c>
      <c r="B64" s="0" t="s">
        <v>420</v>
      </c>
      <c r="C64" s="0" t="n">
        <v>716.15</v>
      </c>
      <c r="D64" s="0" t="n">
        <f aca="false">Inputs!$B$6</f>
        <v>0.06</v>
      </c>
      <c r="E64" s="0" t="n">
        <f aca="false">C64*D64</f>
        <v>42.969</v>
      </c>
      <c r="F64" s="0" t="n">
        <f aca="false">C64+E64</f>
        <v>759.119</v>
      </c>
      <c r="G64" s="0" t="s">
        <v>420</v>
      </c>
      <c r="H64" s="0" t="n">
        <f aca="false">ROUNDUP(F64,0)</f>
        <v>760</v>
      </c>
      <c r="I64" s="0" t="s">
        <v>494</v>
      </c>
    </row>
    <row r="65" customFormat="false" ht="15" hidden="false" customHeight="false" outlineLevel="0" collapsed="false">
      <c r="A65" s="0" t="s">
        <v>495</v>
      </c>
      <c r="B65" s="0" t="s">
        <v>460</v>
      </c>
      <c r="C65" s="0" t="n">
        <v>0</v>
      </c>
      <c r="D65" s="0" t="n">
        <v>0</v>
      </c>
      <c r="E65" s="0" t="n">
        <f aca="false">C65*D65</f>
        <v>0</v>
      </c>
      <c r="F65" s="0" t="n">
        <f aca="false">C65+E65</f>
        <v>0</v>
      </c>
      <c r="G65" s="0" t="s">
        <v>465</v>
      </c>
      <c r="H65" s="0" t="n">
        <f aca="false">ROUNDUP(F65,0)</f>
        <v>0</v>
      </c>
      <c r="I65" s="0"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60"/>
  </cols>
  <sheetData>
    <row r="1" customFormat="false" ht="15" hidden="false" customHeight="false" outlineLevel="0" collapsed="false">
      <c r="A1" s="2" t="s">
        <v>497</v>
      </c>
      <c r="B1" s="2" t="s">
        <v>498</v>
      </c>
      <c r="C1" s="2" t="s">
        <v>499</v>
      </c>
    </row>
    <row r="2" customFormat="false" ht="15" hidden="false" customHeight="false" outlineLevel="0" collapsed="false">
      <c r="A2" s="0" t="s">
        <v>500</v>
      </c>
      <c r="B2" s="0" t="s">
        <v>501</v>
      </c>
      <c r="C2" s="0" t="s">
        <v>502</v>
      </c>
    </row>
    <row r="3" customFormat="false" ht="15" hidden="false" customHeight="false" outlineLevel="0" collapsed="false">
      <c r="A3" s="0" t="s">
        <v>503</v>
      </c>
      <c r="B3" s="0" t="s">
        <v>504</v>
      </c>
      <c r="C3" s="0" t="s">
        <v>505</v>
      </c>
    </row>
    <row r="4" customFormat="false" ht="15" hidden="false" customHeight="false" outlineLevel="0" collapsed="false">
      <c r="A4" s="0" t="s">
        <v>506</v>
      </c>
      <c r="B4" s="0" t="s">
        <v>507</v>
      </c>
      <c r="C4" s="0" t="s">
        <v>508</v>
      </c>
    </row>
    <row r="5" customFormat="false" ht="15" hidden="false" customHeight="false" outlineLevel="0" collapsed="false">
      <c r="A5" s="0" t="s">
        <v>509</v>
      </c>
      <c r="B5" s="0" t="s">
        <v>510</v>
      </c>
      <c r="C5" s="0" t="s">
        <v>511</v>
      </c>
    </row>
    <row r="6" customFormat="false" ht="15" hidden="false" customHeight="false" outlineLevel="0" collapsed="false">
      <c r="A6" s="0" t="s">
        <v>512</v>
      </c>
      <c r="B6" s="0" t="s">
        <v>513</v>
      </c>
      <c r="C6" s="0" t="s">
        <v>514</v>
      </c>
    </row>
    <row r="7" customFormat="false" ht="15" hidden="false" customHeight="false" outlineLevel="0" collapsed="false">
      <c r="A7" s="0" t="s">
        <v>515</v>
      </c>
      <c r="B7" s="0" t="s">
        <v>516</v>
      </c>
      <c r="C7" s="0" t="s">
        <v>517</v>
      </c>
    </row>
    <row r="8" customFormat="false" ht="15" hidden="false" customHeight="false" outlineLevel="0" collapsed="false">
      <c r="A8" s="0" t="s">
        <v>518</v>
      </c>
      <c r="B8" s="0" t="s">
        <v>519</v>
      </c>
      <c r="C8" s="0" t="s">
        <v>520</v>
      </c>
    </row>
    <row r="9" customFormat="false" ht="15" hidden="false" customHeight="false" outlineLevel="0" collapsed="false">
      <c r="A9" s="0" t="s">
        <v>521</v>
      </c>
      <c r="B9" s="0" t="s">
        <v>522</v>
      </c>
      <c r="C9" s="0" t="s">
        <v>523</v>
      </c>
    </row>
    <row r="10" customFormat="false" ht="15" hidden="false" customHeight="false" outlineLevel="0" collapsed="false">
      <c r="A10" s="0" t="s">
        <v>524</v>
      </c>
      <c r="B10" s="0" t="s">
        <v>525</v>
      </c>
      <c r="C10" s="0" t="s">
        <v>523</v>
      </c>
    </row>
    <row r="11" customFormat="false" ht="15" hidden="false" customHeight="false" outlineLevel="0" collapsed="false">
      <c r="A11" s="0" t="s">
        <v>526</v>
      </c>
      <c r="B11" s="0" t="s">
        <v>527</v>
      </c>
      <c r="C11" s="0" t="s">
        <v>528</v>
      </c>
    </row>
    <row r="12" customFormat="false" ht="15" hidden="false" customHeight="false" outlineLevel="0" collapsed="false">
      <c r="A12" s="0" t="s">
        <v>529</v>
      </c>
      <c r="B12" s="0" t="s">
        <v>530</v>
      </c>
      <c r="C12" s="0" t="s">
        <v>531</v>
      </c>
    </row>
    <row r="13" customFormat="false" ht="15" hidden="false" customHeight="false" outlineLevel="0" collapsed="false">
      <c r="A13" s="0" t="s">
        <v>532</v>
      </c>
      <c r="B13" s="0" t="s">
        <v>533</v>
      </c>
      <c r="C13" s="0" t="s">
        <v>534</v>
      </c>
    </row>
    <row r="14" customFormat="false" ht="15" hidden="false" customHeight="false" outlineLevel="0" collapsed="false">
      <c r="A14" s="0" t="s">
        <v>535</v>
      </c>
      <c r="B14" s="0" t="s">
        <v>536</v>
      </c>
      <c r="C14" s="0" t="s">
        <v>537</v>
      </c>
    </row>
    <row r="15" customFormat="false" ht="15" hidden="false" customHeight="false" outlineLevel="0" collapsed="false">
      <c r="A15" s="0" t="s">
        <v>538</v>
      </c>
      <c r="B15" s="0" t="s">
        <v>539</v>
      </c>
      <c r="C15" s="0" t="s">
        <v>540</v>
      </c>
    </row>
    <row r="16" customFormat="false" ht="15" hidden="false" customHeight="false" outlineLevel="0" collapsed="false">
      <c r="A16" s="0" t="s">
        <v>541</v>
      </c>
      <c r="B16" s="0" t="s">
        <v>542</v>
      </c>
      <c r="C16" s="0" t="s">
        <v>543</v>
      </c>
    </row>
    <row r="17" customFormat="false" ht="15" hidden="false" customHeight="false" outlineLevel="0" collapsed="false">
      <c r="A17" s="0" t="s">
        <v>544</v>
      </c>
      <c r="B17" s="0" t="s">
        <v>545</v>
      </c>
      <c r="C17" s="0" t="s">
        <v>546</v>
      </c>
    </row>
    <row r="18" customFormat="false" ht="15" hidden="false" customHeight="false" outlineLevel="0" collapsed="false">
      <c r="A18" s="0" t="s">
        <v>547</v>
      </c>
      <c r="B18" s="0" t="s">
        <v>548</v>
      </c>
      <c r="C18" s="0" t="s">
        <v>549</v>
      </c>
    </row>
    <row r="19" customFormat="false" ht="15" hidden="false" customHeight="false" outlineLevel="0" collapsed="false">
      <c r="A19" s="0" t="s">
        <v>550</v>
      </c>
      <c r="B19" s="0" t="s">
        <v>551</v>
      </c>
      <c r="C19" s="0" t="s">
        <v>552</v>
      </c>
    </row>
    <row r="20" customFormat="false" ht="15" hidden="false" customHeight="false" outlineLevel="0" collapsed="false">
      <c r="A20" s="0" t="s">
        <v>553</v>
      </c>
      <c r="B20" s="0" t="s">
        <v>554</v>
      </c>
      <c r="C20" s="0" t="s">
        <v>555</v>
      </c>
    </row>
    <row r="21" customFormat="false" ht="15" hidden="false" customHeight="false" outlineLevel="0" collapsed="false">
      <c r="A21" s="0" t="s">
        <v>556</v>
      </c>
      <c r="B21" s="0" t="s">
        <v>557</v>
      </c>
      <c r="C21" s="0" t="s">
        <v>558</v>
      </c>
    </row>
    <row r="22" customFormat="false" ht="15" hidden="false" customHeight="false" outlineLevel="0" collapsed="false">
      <c r="A22" s="0" t="s">
        <v>559</v>
      </c>
      <c r="B22" s="0" t="s">
        <v>560</v>
      </c>
      <c r="C22" s="0" t="s">
        <v>561</v>
      </c>
    </row>
    <row r="23" customFormat="false" ht="15" hidden="false" customHeight="false" outlineLevel="0" collapsed="false">
      <c r="A23" s="0" t="s">
        <v>562</v>
      </c>
      <c r="B23" s="0" t="s">
        <v>563</v>
      </c>
      <c r="C23" s="0" t="s">
        <v>564</v>
      </c>
    </row>
    <row r="24" customFormat="false" ht="15" hidden="false" customHeight="false" outlineLevel="0" collapsed="false">
      <c r="A24" s="0" t="s">
        <v>565</v>
      </c>
      <c r="B24" s="0" t="s">
        <v>566</v>
      </c>
      <c r="C24" s="0" t="s">
        <v>567</v>
      </c>
    </row>
    <row r="25" customFormat="false" ht="15" hidden="false" customHeight="false" outlineLevel="0" collapsed="false">
      <c r="A25" s="0" t="s">
        <v>568</v>
      </c>
      <c r="B25" s="0" t="s">
        <v>569</v>
      </c>
      <c r="C25" s="0" t="s">
        <v>570</v>
      </c>
    </row>
    <row r="26" customFormat="false" ht="15" hidden="false" customHeight="false" outlineLevel="0" collapsed="false">
      <c r="A26" s="0" t="s">
        <v>571</v>
      </c>
      <c r="B26" s="0" t="s">
        <v>572</v>
      </c>
      <c r="C26" s="0" t="s">
        <v>573</v>
      </c>
    </row>
    <row r="27" customFormat="false" ht="15" hidden="false" customHeight="false" outlineLevel="0" collapsed="false">
      <c r="A27" s="0" t="s">
        <v>574</v>
      </c>
      <c r="B27" s="0" t="s">
        <v>575</v>
      </c>
      <c r="C27" s="0" t="s">
        <v>576</v>
      </c>
    </row>
    <row r="28" customFormat="false" ht="15" hidden="false" customHeight="false" outlineLevel="0" collapsed="false">
      <c r="A28" s="0" t="s">
        <v>577</v>
      </c>
      <c r="B28" s="0" t="s">
        <v>578</v>
      </c>
      <c r="C28" s="0" t="s">
        <v>579</v>
      </c>
    </row>
    <row r="29" customFormat="false" ht="15" hidden="false" customHeight="false" outlineLevel="0" collapsed="false">
      <c r="A29" s="0" t="s">
        <v>580</v>
      </c>
      <c r="B29" s="0" t="s">
        <v>581</v>
      </c>
      <c r="C29" s="0" t="s">
        <v>582</v>
      </c>
    </row>
    <row r="30" customFormat="false" ht="15" hidden="false" customHeight="false" outlineLevel="0" collapsed="false">
      <c r="A30" s="0" t="s">
        <v>583</v>
      </c>
      <c r="B30" s="0" t="s">
        <v>584</v>
      </c>
      <c r="C30" s="0" t="s">
        <v>585</v>
      </c>
    </row>
    <row r="31" customFormat="false" ht="15" hidden="false" customHeight="false" outlineLevel="0" collapsed="false">
      <c r="A31" s="0" t="s">
        <v>586</v>
      </c>
      <c r="B31" s="0" t="s">
        <v>587</v>
      </c>
      <c r="C31" s="0" t="s">
        <v>588</v>
      </c>
    </row>
    <row r="32" customFormat="false" ht="15" hidden="false" customHeight="false" outlineLevel="0" collapsed="false">
      <c r="A32" s="0" t="s">
        <v>589</v>
      </c>
      <c r="B32" s="0" t="s">
        <v>590</v>
      </c>
      <c r="C32" s="0" t="s">
        <v>591</v>
      </c>
    </row>
    <row r="33" customFormat="false" ht="15" hidden="false" customHeight="false" outlineLevel="0" collapsed="false">
      <c r="A33" s="0" t="s">
        <v>592</v>
      </c>
      <c r="B33" s="0" t="s">
        <v>593</v>
      </c>
      <c r="C33" s="0" t="s">
        <v>594</v>
      </c>
    </row>
    <row r="34" customFormat="false" ht="15" hidden="false" customHeight="false" outlineLevel="0" collapsed="false">
      <c r="A34" s="0" t="s">
        <v>595</v>
      </c>
      <c r="B34" s="0" t="s">
        <v>596</v>
      </c>
      <c r="C34" s="0" t="s">
        <v>597</v>
      </c>
    </row>
    <row r="35" customFormat="false" ht="15" hidden="false" customHeight="false" outlineLevel="0" collapsed="false">
      <c r="A35" s="0" t="s">
        <v>598</v>
      </c>
      <c r="B35" s="0" t="s">
        <v>599</v>
      </c>
      <c r="C35" s="0" t="s">
        <v>600</v>
      </c>
    </row>
    <row r="36" customFormat="false" ht="15" hidden="false" customHeight="false" outlineLevel="0" collapsed="false">
      <c r="A36" s="0" t="s">
        <v>601</v>
      </c>
      <c r="B36" s="0" t="s">
        <v>602</v>
      </c>
      <c r="C36" s="0" t="s">
        <v>603</v>
      </c>
    </row>
    <row r="37" customFormat="false" ht="15" hidden="false" customHeight="false" outlineLevel="0" collapsed="false">
      <c r="A37" s="0" t="s">
        <v>604</v>
      </c>
      <c r="B37" s="0" t="s">
        <v>605</v>
      </c>
      <c r="C37" s="0" t="s">
        <v>606</v>
      </c>
    </row>
    <row r="38" customFormat="false" ht="15" hidden="false" customHeight="false" outlineLevel="0" collapsed="false">
      <c r="A38" s="0" t="s">
        <v>607</v>
      </c>
      <c r="B38" s="0" t="s">
        <v>608</v>
      </c>
      <c r="C38" s="0" t="s">
        <v>609</v>
      </c>
    </row>
    <row r="39" customFormat="false" ht="15" hidden="false" customHeight="false" outlineLevel="0" collapsed="false">
      <c r="A39" s="0" t="s">
        <v>610</v>
      </c>
      <c r="B39" s="0" t="s">
        <v>611</v>
      </c>
      <c r="C39" s="0" t="s">
        <v>612</v>
      </c>
    </row>
    <row r="40" customFormat="false" ht="15" hidden="false" customHeight="false" outlineLevel="0" collapsed="false">
      <c r="A40" s="0" t="s">
        <v>613</v>
      </c>
      <c r="B40" s="0" t="s">
        <v>614</v>
      </c>
      <c r="C40" s="0" t="s">
        <v>615</v>
      </c>
    </row>
    <row r="41" customFormat="false" ht="15" hidden="false" customHeight="false" outlineLevel="0" collapsed="false">
      <c r="A41" s="0" t="s">
        <v>616</v>
      </c>
      <c r="B41" s="0" t="s">
        <v>617</v>
      </c>
      <c r="C41" s="0" t="s">
        <v>618</v>
      </c>
    </row>
    <row r="42" customFormat="false" ht="15" hidden="false" customHeight="false" outlineLevel="0" collapsed="false">
      <c r="A42" s="0" t="s">
        <v>619</v>
      </c>
      <c r="B42" s="0" t="s">
        <v>620</v>
      </c>
      <c r="C42" s="0" t="s">
        <v>621</v>
      </c>
    </row>
    <row r="43" customFormat="false" ht="15" hidden="false" customHeight="false" outlineLevel="0" collapsed="false">
      <c r="A43" s="0" t="s">
        <v>622</v>
      </c>
      <c r="B43" s="0" t="s">
        <v>623</v>
      </c>
      <c r="C43" s="0" t="s">
        <v>624</v>
      </c>
    </row>
    <row r="44" customFormat="false" ht="15" hidden="false" customHeight="false" outlineLevel="0" collapsed="false">
      <c r="A44" s="0" t="s">
        <v>625</v>
      </c>
      <c r="B44" s="0" t="s">
        <v>626</v>
      </c>
      <c r="C44" s="0" t="s">
        <v>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14"/>
    <col collapsed="false" customWidth="true" hidden="false" outlineLevel="0" max="4" min="4" style="0" width="60"/>
    <col collapsed="false" customWidth="true" hidden="false" outlineLevel="0" max="5" min="5" style="0" width="16"/>
    <col collapsed="false" customWidth="true" hidden="false" outlineLevel="0" max="6" min="6" style="0" width="60"/>
  </cols>
  <sheetData>
    <row r="1" customFormat="false" ht="15" hidden="false" customHeight="false" outlineLevel="0" collapsed="false">
      <c r="A1" s="0" t="s">
        <v>628</v>
      </c>
    </row>
    <row r="2" customFormat="false" ht="15" hidden="false" customHeight="false" outlineLevel="0" collapsed="false">
      <c r="A2" s="0" t="s">
        <v>629</v>
      </c>
      <c r="B2" s="0" t="s">
        <v>630</v>
      </c>
      <c r="C2" s="0" t="s">
        <v>631</v>
      </c>
      <c r="D2" s="0" t="s">
        <v>632</v>
      </c>
      <c r="E2" s="0" t="s">
        <v>633</v>
      </c>
      <c r="F2" s="0" t="s">
        <v>634</v>
      </c>
    </row>
    <row r="3" customFormat="false" ht="15" hidden="false" customHeight="false" outlineLevel="0" collapsed="false">
      <c r="A3" s="0" t="s">
        <v>635</v>
      </c>
      <c r="B3" s="0" t="s">
        <v>636</v>
      </c>
      <c r="C3" s="0" t="s">
        <v>637</v>
      </c>
      <c r="D3" s="0" t="s">
        <v>638</v>
      </c>
      <c r="E3" s="0" t="s">
        <v>226</v>
      </c>
      <c r="F3" s="0" t="s">
        <v>639</v>
      </c>
    </row>
    <row r="4" customFormat="false" ht="15" hidden="false" customHeight="false" outlineLevel="0" collapsed="false">
      <c r="A4" s="0" t="s">
        <v>640</v>
      </c>
      <c r="B4" s="0" t="s">
        <v>636</v>
      </c>
      <c r="C4" s="0" t="s">
        <v>641</v>
      </c>
      <c r="D4" s="0" t="s">
        <v>642</v>
      </c>
      <c r="E4" s="0" t="s">
        <v>101</v>
      </c>
      <c r="F4" s="0" t="s">
        <v>643</v>
      </c>
    </row>
    <row r="5" customFormat="false" ht="15" hidden="false" customHeight="false" outlineLevel="0" collapsed="false">
      <c r="A5" s="0" t="s">
        <v>644</v>
      </c>
      <c r="B5" s="0" t="s">
        <v>636</v>
      </c>
      <c r="C5" s="0" t="s">
        <v>645</v>
      </c>
      <c r="D5" s="0" t="s">
        <v>646</v>
      </c>
      <c r="E5" s="0" t="s">
        <v>647</v>
      </c>
      <c r="F5" s="0" t="s">
        <v>648</v>
      </c>
    </row>
    <row r="6" customFormat="false" ht="15" hidden="false" customHeight="false" outlineLevel="0" collapsed="false">
      <c r="A6" s="0" t="s">
        <v>649</v>
      </c>
      <c r="B6" s="0" t="s">
        <v>636</v>
      </c>
      <c r="C6" s="0" t="s">
        <v>650</v>
      </c>
      <c r="D6" s="0" t="s">
        <v>651</v>
      </c>
      <c r="E6" s="0" t="s">
        <v>143</v>
      </c>
      <c r="F6" s="0" t="s">
        <v>652</v>
      </c>
    </row>
    <row r="7" customFormat="false" ht="15" hidden="false" customHeight="false" outlineLevel="0" collapsed="false">
      <c r="A7" s="0" t="s">
        <v>653</v>
      </c>
      <c r="B7" s="0" t="s">
        <v>654</v>
      </c>
      <c r="C7" s="0" t="n">
        <v>1</v>
      </c>
      <c r="D7" s="0" t="s">
        <v>655</v>
      </c>
      <c r="E7" s="0" t="s">
        <v>259</v>
      </c>
      <c r="F7" s="0" t="s">
        <v>656</v>
      </c>
    </row>
    <row r="8" customFormat="false" ht="15" hidden="false" customHeight="false" outlineLevel="0" collapsed="false">
      <c r="A8" s="0" t="s">
        <v>657</v>
      </c>
      <c r="B8" s="0" t="s">
        <v>654</v>
      </c>
      <c r="C8" s="0" t="n">
        <v>2</v>
      </c>
      <c r="D8" s="0" t="s">
        <v>658</v>
      </c>
      <c r="E8" s="0" t="s">
        <v>328</v>
      </c>
      <c r="F8" s="0" t="s">
        <v>659</v>
      </c>
    </row>
    <row r="9" customFormat="false" ht="15" hidden="false" customHeight="false" outlineLevel="0" collapsed="false">
      <c r="A9" s="0" t="s">
        <v>660</v>
      </c>
      <c r="B9" s="0" t="s">
        <v>654</v>
      </c>
      <c r="C9" s="0" t="n">
        <v>3</v>
      </c>
      <c r="D9" s="0" t="s">
        <v>661</v>
      </c>
      <c r="E9" s="0" t="s">
        <v>312</v>
      </c>
      <c r="F9" s="0" t="s">
        <v>662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663</v>
      </c>
      <c r="B1" s="0" t="s">
        <v>664</v>
      </c>
      <c r="C1" s="0" t="s">
        <v>58</v>
      </c>
      <c r="D1" s="0" t="s">
        <v>665</v>
      </c>
    </row>
    <row r="2" customFormat="false" ht="15" hidden="false" customHeight="false" outlineLevel="0" collapsed="false">
      <c r="A2" s="0" t="s">
        <v>666</v>
      </c>
      <c r="B2" s="0" t="s">
        <v>667</v>
      </c>
      <c r="C2" s="0" t="s">
        <v>668</v>
      </c>
      <c r="D2" s="0" t="s">
        <v>669</v>
      </c>
    </row>
    <row r="3" customFormat="false" ht="15" hidden="false" customHeight="false" outlineLevel="0" collapsed="false">
      <c r="A3" s="0" t="s">
        <v>670</v>
      </c>
      <c r="B3" s="0" t="s">
        <v>671</v>
      </c>
      <c r="C3" s="0" t="s">
        <v>668</v>
      </c>
      <c r="D3" s="0" t="s">
        <v>672</v>
      </c>
    </row>
    <row r="4" customFormat="false" ht="15" hidden="false" customHeight="false" outlineLevel="0" collapsed="false">
      <c r="A4" s="0" t="s">
        <v>673</v>
      </c>
      <c r="B4" s="0" t="s">
        <v>674</v>
      </c>
      <c r="C4" s="0" t="s">
        <v>668</v>
      </c>
      <c r="D4" s="0" t="s">
        <v>675</v>
      </c>
    </row>
    <row r="5" customFormat="false" ht="15" hidden="false" customHeight="false" outlineLevel="0" collapsed="false">
      <c r="A5" s="0" t="s">
        <v>676</v>
      </c>
      <c r="B5" s="0" t="s">
        <v>677</v>
      </c>
      <c r="C5" s="0" t="s">
        <v>668</v>
      </c>
      <c r="D5" s="0" t="s">
        <v>678</v>
      </c>
    </row>
    <row r="6" customFormat="false" ht="15" hidden="false" customHeight="false" outlineLevel="0" collapsed="false">
      <c r="A6" s="0" t="s">
        <v>679</v>
      </c>
      <c r="B6" s="0" t="s">
        <v>680</v>
      </c>
      <c r="C6" s="0" t="s">
        <v>668</v>
      </c>
      <c r="D6" s="0" t="s">
        <v>681</v>
      </c>
    </row>
    <row r="7" customFormat="false" ht="15" hidden="false" customHeight="false" outlineLevel="0" collapsed="false">
      <c r="A7" s="0" t="s">
        <v>682</v>
      </c>
      <c r="B7" s="0" t="s">
        <v>683</v>
      </c>
      <c r="C7" s="0" t="s">
        <v>668</v>
      </c>
      <c r="D7" s="0" t="s">
        <v>684</v>
      </c>
    </row>
    <row r="8" customFormat="false" ht="15" hidden="false" customHeight="false" outlineLevel="0" collapsed="false">
      <c r="A8" s="0" t="s">
        <v>685</v>
      </c>
      <c r="B8" s="0" t="s">
        <v>686</v>
      </c>
      <c r="C8" s="0" t="s">
        <v>668</v>
      </c>
      <c r="D8" s="0" t="s">
        <v>687</v>
      </c>
    </row>
    <row r="9" customFormat="false" ht="15" hidden="false" customHeight="false" outlineLevel="0" collapsed="false">
      <c r="A9" s="0" t="s">
        <v>688</v>
      </c>
      <c r="B9" s="0" t="s">
        <v>689</v>
      </c>
      <c r="C9" s="0" t="s">
        <v>668</v>
      </c>
      <c r="D9" s="0" t="s">
        <v>690</v>
      </c>
    </row>
    <row r="10" customFormat="false" ht="15" hidden="false" customHeight="false" outlineLevel="0" collapsed="false">
      <c r="A10" s="0" t="s">
        <v>691</v>
      </c>
      <c r="B10" s="0" t="s">
        <v>692</v>
      </c>
      <c r="C10" s="0" t="s">
        <v>668</v>
      </c>
      <c r="D10" s="0" t="s">
        <v>693</v>
      </c>
    </row>
    <row r="11" customFormat="false" ht="15" hidden="false" customHeight="false" outlineLevel="0" collapsed="false">
      <c r="A11" s="0" t="s">
        <v>694</v>
      </c>
      <c r="B11" s="0" t="s">
        <v>695</v>
      </c>
      <c r="C11" s="0" t="s">
        <v>668</v>
      </c>
      <c r="D11" s="0" t="s">
        <v>696</v>
      </c>
    </row>
    <row r="12" customFormat="false" ht="15" hidden="false" customHeight="false" outlineLevel="0" collapsed="false">
      <c r="A12" s="0" t="s">
        <v>697</v>
      </c>
      <c r="B12" s="0" t="s">
        <v>698</v>
      </c>
      <c r="C12" s="0" t="s">
        <v>668</v>
      </c>
      <c r="D12" s="0" t="s">
        <v>699</v>
      </c>
    </row>
    <row r="13" customFormat="false" ht="15" hidden="false" customHeight="false" outlineLevel="0" collapsed="false">
      <c r="A13" s="0" t="s">
        <v>700</v>
      </c>
      <c r="B13" s="0" t="s">
        <v>701</v>
      </c>
      <c r="C13" s="0" t="s">
        <v>497</v>
      </c>
      <c r="D13" s="0" t="s">
        <v>702</v>
      </c>
    </row>
    <row r="14" customFormat="false" ht="15" hidden="false" customHeight="false" outlineLevel="0" collapsed="false">
      <c r="A14" s="0" t="s">
        <v>703</v>
      </c>
      <c r="B14" s="0" t="s">
        <v>704</v>
      </c>
      <c r="C14" s="0" t="s">
        <v>668</v>
      </c>
      <c r="D14" s="0" t="s">
        <v>705</v>
      </c>
    </row>
    <row r="15" customFormat="false" ht="15" hidden="false" customHeight="false" outlineLevel="0" collapsed="false">
      <c r="A15" s="0" t="s">
        <v>706</v>
      </c>
      <c r="B15" s="0" t="s">
        <v>707</v>
      </c>
      <c r="C15" s="0" t="s">
        <v>668</v>
      </c>
      <c r="D15" s="0" t="s">
        <v>708</v>
      </c>
    </row>
    <row r="16" customFormat="false" ht="15" hidden="false" customHeight="false" outlineLevel="0" collapsed="false">
      <c r="A16" s="0" t="s">
        <v>709</v>
      </c>
      <c r="B16" s="0" t="s">
        <v>710</v>
      </c>
      <c r="C16" s="0" t="s">
        <v>668</v>
      </c>
      <c r="D16" s="0" t="s">
        <v>711</v>
      </c>
    </row>
    <row r="17" customFormat="false" ht="15" hidden="false" customHeight="false" outlineLevel="0" collapsed="false">
      <c r="A17" s="0" t="s">
        <v>712</v>
      </c>
      <c r="B17" s="0" t="s">
        <v>713</v>
      </c>
      <c r="C17" s="0" t="s">
        <v>668</v>
      </c>
      <c r="D17" s="0" t="s">
        <v>714</v>
      </c>
    </row>
    <row r="18" customFormat="false" ht="15" hidden="false" customHeight="false" outlineLevel="0" collapsed="false">
      <c r="A18" s="0" t="s">
        <v>715</v>
      </c>
      <c r="B18" s="0" t="s">
        <v>716</v>
      </c>
      <c r="C18" s="0" t="s">
        <v>668</v>
      </c>
      <c r="D18" s="0" t="s">
        <v>717</v>
      </c>
    </row>
    <row r="19" customFormat="false" ht="15" hidden="false" customHeight="false" outlineLevel="0" collapsed="false">
      <c r="A19" s="0" t="s">
        <v>718</v>
      </c>
      <c r="B19" s="0" t="s">
        <v>719</v>
      </c>
      <c r="C19" s="0" t="s">
        <v>668</v>
      </c>
      <c r="D19" s="0" t="s">
        <v>720</v>
      </c>
    </row>
    <row r="20" customFormat="false" ht="15" hidden="false" customHeight="false" outlineLevel="0" collapsed="false">
      <c r="A20" s="0" t="s">
        <v>721</v>
      </c>
      <c r="B20" s="0" t="s">
        <v>722</v>
      </c>
      <c r="C20" s="0" t="s">
        <v>723</v>
      </c>
      <c r="D20" s="0" t="s">
        <v>724</v>
      </c>
    </row>
    <row r="21" customFormat="false" ht="15" hidden="false" customHeight="false" outlineLevel="0" collapsed="false">
      <c r="A21" s="0" t="s">
        <v>725</v>
      </c>
      <c r="B21" s="0" t="s">
        <v>726</v>
      </c>
      <c r="C21" s="0" t="s">
        <v>668</v>
      </c>
      <c r="D21" s="0" t="s">
        <v>727</v>
      </c>
    </row>
    <row r="22" customFormat="false" ht="15" hidden="false" customHeight="false" outlineLevel="0" collapsed="false">
      <c r="A22" s="0" t="s">
        <v>728</v>
      </c>
      <c r="B22" s="0" t="s">
        <v>729</v>
      </c>
      <c r="C22" s="0" t="s">
        <v>723</v>
      </c>
      <c r="D22" s="0" t="s">
        <v>730</v>
      </c>
    </row>
    <row r="23" customFormat="false" ht="15" hidden="false" customHeight="false" outlineLevel="0" collapsed="false">
      <c r="A23" s="0" t="s">
        <v>731</v>
      </c>
      <c r="B23" s="0" t="s">
        <v>732</v>
      </c>
      <c r="C23" s="0" t="s">
        <v>497</v>
      </c>
      <c r="D23" s="0" t="s">
        <v>733</v>
      </c>
    </row>
    <row r="24" customFormat="false" ht="15" hidden="false" customHeight="false" outlineLevel="0" collapsed="false">
      <c r="A24" s="0" t="s">
        <v>734</v>
      </c>
      <c r="B24" s="0" t="s">
        <v>735</v>
      </c>
      <c r="C24" s="0" t="s">
        <v>668</v>
      </c>
      <c r="D24" s="0" t="s">
        <v>736</v>
      </c>
    </row>
    <row r="25" customFormat="false" ht="15" hidden="false" customHeight="false" outlineLevel="0" collapsed="false">
      <c r="A25" s="0" t="s">
        <v>737</v>
      </c>
      <c r="B25" s="0" t="s">
        <v>738</v>
      </c>
      <c r="C25" s="0" t="s">
        <v>668</v>
      </c>
      <c r="D25" s="0" t="s">
        <v>739</v>
      </c>
    </row>
    <row r="26" customFormat="false" ht="15" hidden="false" customHeight="false" outlineLevel="0" collapsed="false">
      <c r="A26" s="0" t="s">
        <v>740</v>
      </c>
      <c r="B26" s="0" t="s">
        <v>741</v>
      </c>
      <c r="C26" s="0" t="s">
        <v>723</v>
      </c>
      <c r="D26" s="0" t="s">
        <v>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743</v>
      </c>
    </row>
    <row r="2" customFormat="false" ht="15" hidden="false" customHeight="false" outlineLevel="0" collapsed="false">
      <c r="A2" s="0" t="s">
        <v>744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2026-10-21T21:21:35Z</dcterms:created>
  <dc:creator>openpyxl</dc:creator>
  <dc:description/>
  <dc:language>en-US</dc:language>
  <cp:lastModifiedBy/>
  <dcterms:modified xsi:type="dcterms:W3CDTF">2026-10-21T21:21:35Z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