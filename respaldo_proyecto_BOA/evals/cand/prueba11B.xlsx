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<sst xmlns="http://schemas.openxmlformats.org/spreadsheetml/2006/main" count="2735" uniqueCount="1377">
  <si>
    <t xml:space="preserve">Bank of America - Broomfield, CO (CO1-111) - PRUEBA automatica 11B v60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</si>
  <si>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</si>
  <si>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</si>
  <si>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</si>
  <si>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</si>
  <si>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</si>
  <si>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</si>
  <si>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</si>
  <si>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</si>
  <si>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</si>
  <si>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</si>
  <si>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</si>
  <si>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</si>
  <si>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</si>
  <si>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</si>
  <si>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 - PRUEBA automatica 11B v60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</si>
  <si>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</si>
  <si>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</si>
  <si>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</si>
  <si>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</si>
  <si>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</si>
  <si>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</si>
  <si>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</si>
  <si>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</si>
  <si>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</si>
  <si>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</si>
  <si>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</si>
  <si>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</si>
  <si>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</si>
  <si>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#A1-1  -  N wall Calling Cubes 122 (Central Zone 103, Calling Cubes 122)</t>
  </si>
  <si>
    <t xml:space="preserve">A1-1</t>
  </si>
  <si>
    <t xml:space="preserve">per face: Waiting 104 (GWB 11'-0"): 1x 5/8" regular to 11.50 ft | Calling Cubes 122 / MW01 (ACT-5 8'-6"): 1x 5/8" regular to 9.00 ft</t>
  </si>
  <si>
    <t xml:space="preserve">3-5/8"</t>
  </si>
  <si>
    <t xml:space="preserve">N wall Calling Cubes 122 (Central Zone 103, Calling Cubes 122)</t>
  </si>
  <si>
    <t xml:space="preserve">A02.01 -&gt; 3/A12.01 -&gt; 7/S5.20; (1530.24 - 1223.88)/18 pt/ft = 17.020 ft (A02.01 vector, faces 967.44/974.76)</t>
  </si>
  <si>
    <t xml:space="preserve">[DERIVADO]</t>
  </si>
  <si>
    <t xml:space="preserve">A1  #A1-2  -  MW01 closet E wall (MW01 closet (Corridor 111), Calling Cubes 122)</t>
  </si>
  <si>
    <t xml:space="preserve">A1-2</t>
  </si>
  <si>
    <t xml:space="preserve">per face: MW01 closet: 1x 5/8" regular to 9.00 ft | Calling Cubes 122: 1x 5/8" regular to 9.00 ft</t>
  </si>
  <si>
    <t xml:space="preserve">MW01 closet E wall (MW01 closet (Corridor 111), Calling Cubes 122)</t>
  </si>
  <si>
    <t xml:space="preserve">A02.01 -&gt; 3/A12.01 -&gt; 7/S5.20; (1038.36 - 974.76)/18 pt/ft = 3.533 ft (A02.01 vector, faces 1271.16/1278.48)</t>
  </si>
  <si>
    <t xml:space="preserve">A1  #A1-3  -  MW01 closet S wall (MW01 closet (Corridor 111), Calling Cubes 122)</t>
  </si>
  <si>
    <t xml:space="preserve">A1-3</t>
  </si>
  <si>
    <t xml:space="preserve">MW01 closet S wall (MW01 closet (Corridor 111), Calling Cubes 122)</t>
  </si>
  <si>
    <t xml:space="preserve">A02.01 -&gt; 3/A12.01 -&gt; 7/S5.20; (1278.48 - 1234.8)/18 pt/ft = 2.427 ft (A02.01 vector, faces 1031.04/1038.36)</t>
  </si>
  <si>
    <t xml:space="preserve">A1  #A1-4  -  stub N of door 114 + door 111 head (header charged here) (Corridor 111, Corridor 111)</t>
  </si>
  <si>
    <t xml:space="preserve">A1-4</t>
  </si>
  <si>
    <t xml:space="preserve">per face: Central Zone 103 (ACT-4 11'-6"): 1x 5/8" regular to 12.00 ft | Corridor 111 (ACT-4 8'-6"): 1x 5/8" regular to 9.00 ft</t>
  </si>
  <si>
    <t xml:space="preserve">stub N of door 114 + door 111 head (header charged here) (Corridor 111, Corridor 111)</t>
  </si>
  <si>
    <t xml:space="preserve">A02.01 -&gt; 3/A12.01 -&gt; 7/S5.20; printed 5.000 ft</t>
  </si>
  <si>
    <t xml:space="preserve">[CONFIRMADO]</t>
  </si>
  <si>
    <t xml:space="preserve">A1  #A1-5  -  S wall Calling Cubes 122 (Calling Cubes 122, Corridor 111)</t>
  </si>
  <si>
    <t xml:space="preserve">A1-5</t>
  </si>
  <si>
    <t xml:space="preserve">per face: Calling Cubes 122: 1x 5/8" regular to 9.00 ft | Corridor 111: 1x 5/8" regular to 9.00 ft</t>
  </si>
  <si>
    <t xml:space="preserve">S wall Calling Cubes 122 (Calling Cubes 122, Corridor 111)</t>
  </si>
  <si>
    <t xml:space="preserve">A02.01 -&gt; 3/A12.01 -&gt; 7/S5.20; (1519.44 - 1241.76)/18 pt/ft = 15.427 ft (A02.01 vector, faces 1316.76/1324.08)</t>
  </si>
  <si>
    <t xml:space="preserve">A1  #A1-6  -  S of Calling Cubes E wall (Corridor 111, Central Zone 103)</t>
  </si>
  <si>
    <t xml:space="preserve">A1-6</t>
  </si>
  <si>
    <t xml:space="preserve">per face: Corridor 111: 1x 5/8" regular to 9.00 ft | Central Zone 103 (ACT-4 9'-0"): 1x 5/8" regular to 9.50 ft</t>
  </si>
  <si>
    <t xml:space="preserve">S of Calling Cubes E wall (Corridor 111, Central Zone 103)</t>
  </si>
  <si>
    <t xml:space="preserve">A02.01 -&gt; 3/A12.01 -&gt; 7/S5.20; (1362.6 - 1324.08)/18 pt/ft = 2.140 ft (A02.01 vector, faces 1522.92/1530.24)</t>
  </si>
  <si>
    <t xml:space="preserve">A1  #A1-7  -  W jamb door 118A + door 118A head (header charged here) (Central Zone 103, Break Room 118)</t>
  </si>
  <si>
    <t xml:space="preserve">A1-7</t>
  </si>
  <si>
    <t xml:space="preserve">per face: Central Zone 103 (ACT-4 9'-0"): 1x 5/8" regular to 9.50 ft | Break Room 118 (ACT-5 8'-6"): 1x 5/8" regular to 9.00 ft</t>
  </si>
  <si>
    <t xml:space="preserve">W jamb door 118A + door 118A head (header charged here) (Central Zone 103, Break Room 118)</t>
  </si>
  <si>
    <t xml:space="preserve">A02.01 -&gt; 3/A12.01 -&gt; 7/S5.20; (1613.64 - 1530.24)/18 pt/ft = 4.633 ft (A02.01 vector, faces 1355.28/1362.6)</t>
  </si>
  <si>
    <t xml:space="preserve">A1  #A1-8  -  W wall Electrical 120 &amp; NER 121 (Corridor 111, Electrical 120 / NER 121 / Corridor 111)</t>
  </si>
  <si>
    <t xml:space="preserve">A1-8</t>
  </si>
  <si>
    <t xml:space="preserve">per face: Corridor 111: 1x 5/8" regular to 9.00 ft | Corridor 111 (N) / Electrical 120 + NER 121 (open to structure): 1x 5/8" regular to 12.97 ft</t>
  </si>
  <si>
    <t xml:space="preserve">W wall Electrical 120 &amp; NER 121 (Corridor 111, Electrical 120 / NER 121 / Corridor 111)</t>
  </si>
  <si>
    <t xml:space="preserve">A02.01 -&gt; 3/A12.01 -&gt; 7/S5.20; (1693.44 - 1313.76)/18 pt/ft = 21.093 ft (A02.01 vector, faces 1234.44/1241.76)</t>
  </si>
  <si>
    <t xml:space="preserve">A1  #A1-9  -  N wall Work Room 119 (Future FCAM (Cash Window 116), Work Room 119)</t>
  </si>
  <si>
    <t xml:space="preserve">A1-9</t>
  </si>
  <si>
    <t xml:space="preserve">per face: Future FCAM (ACT-4 9'-0" per 116): 1x 5/8" regular to 9.50 ft | Work Room 119 (ACT-5 8'-6"): 1x 5/8" regular to 9.00 ft</t>
  </si>
  <si>
    <t xml:space="preserve">N wall Work Room 119 (Future FCAM (Cash Window 116), Work Room 119)</t>
  </si>
  <si>
    <t xml:space="preserve">A02.01 -&gt; 3/A12.01 -&gt; 7/S5.20; printed 11.667 ft</t>
  </si>
  <si>
    <t xml:space="preserve">TYPE A1K</t>
  </si>
  <si>
    <t xml:space="preserve">A1K  #A1K-1  -  Cash Window 116 N (Customer side (N, against G-10), Cash Window 116 (teller))</t>
  </si>
  <si>
    <t xml:space="preserve">A1K-1</t>
  </si>
  <si>
    <t xml:space="preserve">per face: Customer side (N, against G-10): 1x 5/8" regular to 15.38 ft | Cash Window 116 (teller): 1x 5/8" regular to 15.38 ft</t>
  </si>
  <si>
    <t xml:space="preserve">3-5/8" 14GA</t>
  </si>
  <si>
    <t xml:space="preserve">Cash Window 116 N (Customer side (N, against G-10), Cash Window 116 (teller))</t>
  </si>
  <si>
    <t xml:space="preserve">A02.01 -&gt; 4/A12.01 -&gt; 7/S5.20; printed 3.417 ft</t>
  </si>
  <si>
    <t xml:space="preserve">A1K  #A1K-2  -  Cash Window 116 S (Cash Window 116 (teller), Customer side (S, Future FCAM))</t>
  </si>
  <si>
    <t xml:space="preserve">A1K-2</t>
  </si>
  <si>
    <t xml:space="preserve">per face: Cash Window 116 (teller): 1x 5/8" regular to 12.94 ft | Customer side (S, Future FCAM): 1x 5/8" regular to 12.94 ft</t>
  </si>
  <si>
    <t xml:space="preserve">Cash Window 116 S (Cash Window 116 (teller), Customer side (S, Future FCAM))</t>
  </si>
  <si>
    <t xml:space="preserve">A02.01 -&gt; 4/A12.01 -&gt; 7/S5.20; (1715.4 - 1653.96)/18 pt/ft = 3.413 ft (A02.01 vector, faces 1344.72/1352.64)</t>
  </si>
  <si>
    <t xml:space="preserve">A1K  #A1K-3  -  FCAM N, W piece (Cash Window side (N), Customer side (S, Break Room 118 / FCAM))</t>
  </si>
  <si>
    <t xml:space="preserve">A1K-3</t>
  </si>
  <si>
    <t xml:space="preserve">per face: Cash Window side (N): 1x 5/8" regular to 12.92 ft | Customer side (S, Break Room 118 / FCAM): 1x 5/8" regular to 12.92 ft</t>
  </si>
  <si>
    <t xml:space="preserve">FCAM N, W piece (Cash Window side (N), Customer side (S, Break Room 118 / FCAM))</t>
  </si>
  <si>
    <t xml:space="preserve">A02.01 -&gt; 4/A12.01 -&gt; 7/S5.20; (1653.96 - 1613.64)/18 pt/ft = 2.240 ft (A02.01 vector, faces 1355.28/1363.08)</t>
  </si>
  <si>
    <t xml:space="preserve">TYPE A5</t>
  </si>
  <si>
    <t xml:space="preserve">A5  #A5-1a  -  W wall Calling Cubes 122, N of grid B (Corridor 111, Calling Cubes 122)</t>
  </si>
  <si>
    <t xml:space="preserve">A5-1a</t>
  </si>
  <si>
    <t xml:space="preserve">per face: Central Zone 103 strip (11'-6") / Corridor 111 (8'-6"): 1x 5/8" regular to 12.00 ft | Calling Cubes 122: 1x 5/8" regular to 9.00 ft</t>
  </si>
  <si>
    <t xml:space="preserve">6"</t>
  </si>
  <si>
    <t xml:space="preserve">W wall Calling Cubes 122, N of grid B (Corridor 111, Calling Cubes 122)</t>
  </si>
  <si>
    <t xml:space="preserve">A02.01 -&gt; 3/A12.01 -&gt; 7/S5.20; (1246.1 - 1031.04)/18 pt/ft = 11.948 ft (A02.01 vector, faces 1223.88/1234.8)</t>
  </si>
  <si>
    <t xml:space="preserve">A5  #A5-1b  -  W wall Calling Cubes 122, S of grid B + door 122 head (header charged here) (Corridor 111, Calling Cubes 122)</t>
  </si>
  <si>
    <t xml:space="preserve">A5-1b</t>
  </si>
  <si>
    <t xml:space="preserve">per face: Corridor 111 (ACT-4 8'-6"): 1x 5/8" regular to 9.00 ft | Calling Cubes 122: 1x 5/8" regular to 9.00 ft</t>
  </si>
  <si>
    <t xml:space="preserve">W wall Calling Cubes 122, S of grid B + door 122 head (header charged here) (Corridor 111, Calling Cubes 122)</t>
  </si>
  <si>
    <t xml:space="preserve">A02.01 -&gt; 3/A12.01 -&gt; 7/S5.20; (1313.76 - 1246.1)/18 pt/ft = 3.759 ft (A02.01 vector, faces 1223.88/1234.8)</t>
  </si>
  <si>
    <t xml:space="preserve">A5  #A5-2a  -  E wall Calling Cubes 122, N of grid B (Calling Cubes 122, Central Zone 103)</t>
  </si>
  <si>
    <t xml:space="preserve">A5-2a</t>
  </si>
  <si>
    <t xml:space="preserve">per face: Calling Cubes 122: 1x 5/8" regular to 9.00 ft | Central Zone 103 (11'-6" N / 9'-0" S): 1x 5/8" regular to 12.00 ft</t>
  </si>
  <si>
    <t xml:space="preserve">E wall Calling Cubes 122, N of grid B (Calling Cubes 122, Central Zone 103)</t>
  </si>
  <si>
    <t xml:space="preserve">A02.01 -&gt; 3/A12.01 -&gt; 7/S5.20; (1246.1 - 974.76)/18 pt/ft = 15.074 ft (A02.01 vector, faces 1519.44/1530.24)</t>
  </si>
  <si>
    <t xml:space="preserve">A5  #A5-2b  -  E wall Calling Cubes 122, S of grid B (LOW zone) (Calling Cubes 122, Central Zone 103)</t>
  </si>
  <si>
    <t xml:space="preserve">A5-2b</t>
  </si>
  <si>
    <t xml:space="preserve">per face: Calling Cubes 122: 1x 5/8" regular to 9.00 ft | Central Zone 103 (ACT-4 9'-0"): 1x 5/8" regular to 9.50 ft</t>
  </si>
  <si>
    <t xml:space="preserve">E wall Calling Cubes 122, S of grid B (LOW zone) (Calling Cubes 122, Central Zone 103)</t>
  </si>
  <si>
    <t xml:space="preserve">A02.01 -&gt; 3/A12.01 -&gt; 7/S5.20; (1324.08 - 1246.1)/18 pt/ft = 4.332 ft (A02.01 vector, faces 1519.44/1530.24)</t>
  </si>
  <si>
    <t xml:space="preserve">A5  #A5-3  -  N of door 116 (Break Room 118, Future FCAM)</t>
  </si>
  <si>
    <t xml:space="preserve">A5-3</t>
  </si>
  <si>
    <t xml:space="preserve">per face: Break Room 118: 1x 5/8" regular to 9.00 ft | Future FCAM (9'-0"): 1x 5/8" regular to 9.50 ft</t>
  </si>
  <si>
    <t xml:space="preserve">N of door 116 (Break Room 118, Future FCAM)</t>
  </si>
  <si>
    <t xml:space="preserve">A02.01 -&gt; 3/A12.01 -&gt; 7/S5.20; (1422.12 - 1363.08)/18 pt/ft = 3.280 ft (A02.01 vector, faces 1622.16/1633.08)</t>
  </si>
  <si>
    <t xml:space="preserve">TYPE B</t>
  </si>
  <si>
    <t xml:space="preserve">B  #B-1  -  Men's 113 / Janitor 112 (Men's Restroom 113, Janitor Closet 112)</t>
  </si>
  <si>
    <t xml:space="preserve">B-1</t>
  </si>
  <si>
    <t xml:space="preserve">per face: Men's Restroom 113: 1x 5/8" regular to 12.75 ft | Janitor Closet 112: 1x 5/8" regular to 12.75 ft</t>
  </si>
  <si>
    <t xml:space="preserve">Men's 113 / Janitor 112 (Men's Restroom 113, Janitor Closet 112)</t>
  </si>
  <si>
    <t xml:space="preserve">A02.01 -&gt; 1/A12.01 -&gt; 7/S5.20; (1123.08 - 911.88)/18 pt/ft = 11.733 ft (A02.01 vector, faces 1508.52/1515.84)</t>
  </si>
  <si>
    <t xml:space="preserve">B  #B-2  -  Janitor 112 / Storage 117 (Janitor Closet 112, Storage 117)</t>
  </si>
  <si>
    <t xml:space="preserve">B-2</t>
  </si>
  <si>
    <t xml:space="preserve">per face: Janitor Closet 112: 1x 5/8" regular to 12.74 ft | Storage 117: 1x 5/8" regular to 12.74 ft</t>
  </si>
  <si>
    <t xml:space="preserve">Janitor 112 / Storage 117 (Janitor Closet 112, Storage 117)</t>
  </si>
  <si>
    <t xml:space="preserve">A02.01 -&gt; 1/A12.01 -&gt; 7/S5.20; (1578.84 - 1515.84)/18 pt/ft = 3.500 ft (A02.01 vector, faces 1064.88/1072.2)</t>
  </si>
  <si>
    <t xml:space="preserve">B  #B-3  -  Janitor+Storage / Wellness 115 (Janitor 112 / Storage 117, Wellness 115)</t>
  </si>
  <si>
    <t xml:space="preserve">B-3</t>
  </si>
  <si>
    <t xml:space="preserve">per face: Janitor 112 / Storage 117: 1x 5/8" regular to 12.67 ft | Wellness 115: 1x 5/8" regular to 12.67 ft</t>
  </si>
  <si>
    <t xml:space="preserve">Janitor+Storage / Wellness 115 (Janitor 112 / Storage 117, Wellness 115)</t>
  </si>
  <si>
    <t xml:space="preserve">A02.01 -&gt; 1/A12.01 -&gt; 7/S5.20; (1123.08 - 911.88)/18 pt/ft = 11.733 ft (A02.01 vector, faces 1578.84/1586.16)</t>
  </si>
  <si>
    <t xml:space="preserve">B  #B-4  -  N wall Electrical 120 (Corridor 111, Electrical 120)</t>
  </si>
  <si>
    <t xml:space="preserve">B-4</t>
  </si>
  <si>
    <t xml:space="preserve">per face: Corridor 111: 1x 5/8" regular to 12.83 ft | Electrical 120: 1x 5/8" regular to 12.83 ft</t>
  </si>
  <si>
    <t xml:space="preserve">N wall Electrical 120 (Corridor 111, Electrical 120)</t>
  </si>
  <si>
    <t xml:space="preserve">A02.01 -&gt; 1/A12.01 -&gt; 7/S5.20; (1421.52 - 1241.76)/18 pt/ft = 9.987 ft (A02.01 vector, faces 1438.8/1446.12)</t>
  </si>
  <si>
    <t xml:space="preserve">B  #B-5  -  E wall Electrical 120 &amp; NER 121 (Electrical 120 / NER 121, Break Room 118 / corridor)</t>
  </si>
  <si>
    <t xml:space="preserve">B-5</t>
  </si>
  <si>
    <t xml:space="preserve">per face: Electrical 120 / NER 121: 1x 5/8" regular to 12.82 ft | Break Room 118 / corridor: 1x 5/8" regular to 12.82 ft</t>
  </si>
  <si>
    <t xml:space="preserve">E wall Electrical 120 &amp; NER 121 (Electrical 120 / NER 121, Break Room 118 / corridor)</t>
  </si>
  <si>
    <t xml:space="preserve">A02.01 -&gt; 1/A12.01 -&gt; 7/S5.20; (1693.44 - 1446.12)/18 pt/ft = 13.740 ft (A02.01 vector, faces 1414.2/1421.52)</t>
  </si>
  <si>
    <t xml:space="preserve">B  #B-6  -  Electrical 120 / NER 121 (Electrical 120, NER 121)</t>
  </si>
  <si>
    <t xml:space="preserve">B-6</t>
  </si>
  <si>
    <t xml:space="preserve">per face: Electrical 120: 1x 5/8" regular to 12.70 ft | NER 121: 1x 5/8" regular to 12.70 ft</t>
  </si>
  <si>
    <t xml:space="preserve">Electrical 120 / NER 121 (Electrical 120, NER 121)</t>
  </si>
  <si>
    <t xml:space="preserve">A02.01 -&gt; 1/A12.01 -&gt; 7/S5.20; printed 9.583 ft</t>
  </si>
  <si>
    <t xml:space="preserve">TYPE B2</t>
  </si>
  <si>
    <t xml:space="preserve">B2  #B2-1  -  E wall ATM Room 102 (ATM Room 102, Central Zone 103 / Waiting 104)</t>
  </si>
  <si>
    <t xml:space="preserve">B2-1</t>
  </si>
  <si>
    <t xml:space="preserve">per face: ATM Room 102: 1x 5/8" regular to 15.38 ft | Central Zone 103 / Waiting 104: 1x 5/8" regular to 15.38 ft</t>
  </si>
  <si>
    <t xml:space="preserve">E wall ATM Room 102 (ATM Room 102, Central Zone 103 / Waiting 104)</t>
  </si>
  <si>
    <t xml:space="preserve">A02.01 -&gt; 1/A12.01 -&gt; 7/S5.20; (830.76 - 726.1)/18 pt/ft = 5.814 ft (A02.01 vector, faces 1123.08/1133.88)</t>
  </si>
  <si>
    <t xml:space="preserve">B2  #B2-2  -  E wall restrooms, storage, wellness (Women's 114 / Men's 113 / Storage 117 / Wellness 115, Corridor 111)</t>
  </si>
  <si>
    <t xml:space="preserve">B2-2</t>
  </si>
  <si>
    <t xml:space="preserve">per face: Women's 114 / Men's 113 / Storage 117 / Wellness 115: 1x 5/8" regular to 13.05 ft | Corridor 111: 1x 5/8" regular to 13.05 ft</t>
  </si>
  <si>
    <t xml:space="preserve">E wall restrooms, storage, wellness (Women's 114 / Men's 113 / Storage 117 / Wellness 115, Corridor 111)</t>
  </si>
  <si>
    <t xml:space="preserve">A02.01 -&gt; 1/A12.01 -&gt; 7/S5.20; (1693.44 - 1236.36)/18 pt/ft = 25.393 ft (A02.01 vector, faces 1123.08/1133.88)</t>
  </si>
  <si>
    <t xml:space="preserve">B2  #B2-3  -  Break Room 118 / Work Room 119 + door 116 head (header charged here) (Break Room 118, Work Room 119)</t>
  </si>
  <si>
    <t xml:space="preserve">B2-3</t>
  </si>
  <si>
    <t xml:space="preserve">per face: Break Room 118: 1x 5/8" regular to 12.85 ft | Work Room 119: 1x 5/8" regular to 12.85 ft</t>
  </si>
  <si>
    <t xml:space="preserve">Break Room 118 / Work Room 119 + door 116 head (header charged here) (Break Room 118, Work Room 119)</t>
  </si>
  <si>
    <t xml:space="preserve">A02.01 -&gt; 1/A12.01 -&gt; 7/S5.20; (1693.44 - 1422.12)/18 pt/ft = 15.073 ft (A02.01 vector, faces 1622.16/1633.08)</t>
  </si>
  <si>
    <t xml:space="preserve">TYPE B2K</t>
  </si>
  <si>
    <t xml:space="preserve">B2K  #B2K-1  -  S of Office 4 108 at Cash Window (Office 4 108 / customer side (N), Cash Window 116 (S))</t>
  </si>
  <si>
    <t xml:space="preserve">B2K-1</t>
  </si>
  <si>
    <t xml:space="preserve">per face: Office 4 108 / customer side (N): 1x 5/8" regular to 15.38 ft | Cash Window 116 (S): 1x 5/8" regular to 15.38 ft</t>
  </si>
  <si>
    <t xml:space="preserve">6" 14GA</t>
  </si>
  <si>
    <t xml:space="preserve">S of Office 4 108 at Cash Window (Office 4 108 / customer side (N), Cash Window 116 (S))</t>
  </si>
  <si>
    <t xml:space="preserve">A02.01 -&gt; 4/A12.01 -&gt; 7/S5.20; (1661.76 - 1631.28)/18 pt/ft = 1.693 ft (A02.01 vector, faces 1106.52/1118.04)</t>
  </si>
  <si>
    <t xml:space="preserve">TYPE C1</t>
  </si>
  <si>
    <t xml:space="preserve">C1  #C1-4  -  pier furring ATM Room/Central Zone (Central Zone 103)</t>
  </si>
  <si>
    <t xml:space="preserve">C1-4</t>
  </si>
  <si>
    <t xml:space="preserve">per face: Central Zone 103: 1x 5/8" regular to 15.38 ft</t>
  </si>
  <si>
    <t xml:space="preserve">pier furring ATM Room/Central Zone (Central Zone 103)</t>
  </si>
  <si>
    <t xml:space="preserve">A02.01 -&gt; 6/A12.01 -&gt; 7/S5.20; (728.88 - 710.88)/18 pt/ft = 1.000 ft (A02.01 vector, faces 1134.84/1141.2)</t>
  </si>
  <si>
    <t xml:space="preserve">C1  #C1-5  -  85in display furring key note 7 (10ft-0in + 2 returns 8in) (Waiting 104)</t>
  </si>
  <si>
    <t xml:space="preserve">C1-5</t>
  </si>
  <si>
    <t xml:space="preserve">per face: Waiting 104: 1x 5/8" regular to 15.38 ft</t>
  </si>
  <si>
    <t xml:space="preserve">85in display furring key note 7 (10ft-0in + 2 returns 8in) (Waiting 104)</t>
  </si>
  <si>
    <t xml:space="preserve">A02.01 -&gt; 6/A12.01 -&gt; 7/S5.20; printed 10'-0" (A02.01) + 2 returns x printed 8" (A02.01, 955.44-&gt;967.44 = 12 pt) = 11.333 ft [DERIVADO, suma de cotas]</t>
  </si>
  <si>
    <t xml:space="preserve">C1  #C1-6  -  plumbing chase, Women's face (chase 1'-1" printed, faces 1362.72/1382.16) (Women's Restroom 114)</t>
  </si>
  <si>
    <t xml:space="preserve">C1-6</t>
  </si>
  <si>
    <t xml:space="preserve">per face: Women's Restroom 114: 1x 5/8" moisture resistant to 12.91 ft</t>
  </si>
  <si>
    <t xml:space="preserve">plumbing chase, Women's face (chase 1'-1" printed, faces 1362.72/1382.16) (Women's Restroom 114)</t>
  </si>
  <si>
    <t xml:space="preserve">A02.01 -&gt; 6/A12.01 -&gt; 7/S5.20; (1092.36 - 911.88)/18 pt/ft = 10.027 ft (A02.01 vector, faces 1362.72/1369.08)</t>
  </si>
  <si>
    <t xml:space="preserve">C1  #C1-7  -  plumbing chase, Men's face (Men's Restroom 113)</t>
  </si>
  <si>
    <t xml:space="preserve">C1-7</t>
  </si>
  <si>
    <t xml:space="preserve">per face: Men's Restroom 113: 1x 5/8" moisture resistant to 12.92 ft</t>
  </si>
  <si>
    <t xml:space="preserve">plumbing chase, Men's face (Men's Restroom 113)</t>
  </si>
  <si>
    <t xml:space="preserve">A02.01 -&gt; 6/A12.01 -&gt; 7/S5.20; (1092.36 - 911.88)/18 pt/ft = 10.027 ft (A02.01 vector, faces 1375.8000000000002/1382.16)</t>
  </si>
  <si>
    <t xml:space="preserve">C1  #C1-8  -  Future FCAM furring (Future FCAM)</t>
  </si>
  <si>
    <t xml:space="preserve">C1-8</t>
  </si>
  <si>
    <t xml:space="preserve">per face: Future FCAM: 1x 5/8" regular to 12.92 ft</t>
  </si>
  <si>
    <t xml:space="preserve">Future FCAM furring (Future FCAM)</t>
  </si>
  <si>
    <t xml:space="preserve">A02.01 -&gt; 6/A12.01 -&gt; 7/S5.20; (1709.04 - 1661.76)/18 pt/ft = 2.627 ft (A02.01 vector, faces 1356.72/1363.08)</t>
  </si>
  <si>
    <t xml:space="preserve">C1  #C1-3  -  post at doors 101/100A (Vestibule 100 / 24 HR Vestibule 101)</t>
  </si>
  <si>
    <t xml:space="preserve">C1-3</t>
  </si>
  <si>
    <t xml:space="preserve">per face: 24 HR Vestibule 101 / Vestibule 100 (column wrap, exposed perimeter): 1x 5/8" regular to 15.38 ft</t>
  </si>
  <si>
    <t xml:space="preserve">post at doors 101/100A (Vestibule 100 / 24 HR Vestibule 101)</t>
  </si>
  <si>
    <t xml:space="preserve">A02.01 -&gt; 6/A12.01 -&gt; 7/S5.20; 2x(1141.2-1123.2)+2x(470.88-452.88) pt /18 = 4.000 ft</t>
  </si>
  <si>
    <t xml:space="preserve">TYPE G</t>
  </si>
  <si>
    <t xml:space="preserve">G  #G-1  -  ATM Room 102 / Office 5 109 (ATM Room 102, Office 5 109)</t>
  </si>
  <si>
    <t xml:space="preserve">G-1</t>
  </si>
  <si>
    <t xml:space="preserve">per face: ATM Room 102: 2x 5/8" regular to 15.38 ft | Office 5 109: 2x 5/8" regular to 15.38 ft</t>
  </si>
  <si>
    <t xml:space="preserve">1-5/8"</t>
  </si>
  <si>
    <t xml:space="preserve">ATM Room 102 / Office 5 109 (ATM Room 102, Office 5 109)</t>
  </si>
  <si>
    <t xml:space="preserve">A02.01 -&gt; 5/A12.01 -&gt; 7/S5.20; (1133.88 - 911.88)/18 pt/ft = 12.333 ft (A02.01 vector, faces 830.76/840.0)</t>
  </si>
  <si>
    <t xml:space="preserve">G  #G-2  -  Office 5 / Office 6 (Office 5 109, Office 6 110)</t>
  </si>
  <si>
    <t xml:space="preserve">G-2</t>
  </si>
  <si>
    <t xml:space="preserve">per face: Office 5 109: 2x 5/8" regular to 15.38 ft | Office 6 110: 2x 5/8" regular to 15.38 ft</t>
  </si>
  <si>
    <t xml:space="preserve">Office 5 / Office 6 (Office 5 109, Office 6 110)</t>
  </si>
  <si>
    <t xml:space="preserve">A02.01 -&gt; 5/A12.01 -&gt; 7/S5.20; printed 11.625 ft</t>
  </si>
  <si>
    <t xml:space="preserve">G  #G-3  -  Office 6 / Women's 114 (Office 6 110, Women's Restroom 114)</t>
  </si>
  <si>
    <t xml:space="preserve">G-3</t>
  </si>
  <si>
    <t xml:space="preserve">per face: Office 6 110: 2x 5/8" regular to 15.38 ft | Women's Restroom 114: 2x 5/8" regular to 15.38 ft</t>
  </si>
  <si>
    <t xml:space="preserve">Office 6 / Women's 114 (Office 6 110, Women's Restroom 114)</t>
  </si>
  <si>
    <t xml:space="preserve">G  #G-4  -  office front stub N of Office 1 (Central Zone 103, Office 1 105)</t>
  </si>
  <si>
    <t xml:space="preserve">G-4</t>
  </si>
  <si>
    <t xml:space="preserve">per face: Central Zone 103: 2x 5/8" regular to 15.38 ft | Office 1 105: 2x 5/8" regular to 15.38 ft</t>
  </si>
  <si>
    <t xml:space="preserve">office front stub N of Office 1 (Central Zone 103, Office 1 105)</t>
  </si>
  <si>
    <t xml:space="preserve">A02.01 -&gt; 5/A12.01 -&gt; 7/S5.20; (381.0 - 337.44)/18 pt/ft = 2.420 ft (A02.01 vector, faces 1622.04/1631.28)</t>
  </si>
  <si>
    <t xml:space="preserve">G  #G-5  -  office front stub Office 1/2 (Central Zone 103, Office 1 105 / Office 2 106)</t>
  </si>
  <si>
    <t xml:space="preserve">G-5</t>
  </si>
  <si>
    <t xml:space="preserve">per face: Central Zone 103: 2x 5/8" regular to 15.38 ft | Office 1 105 / Office 2 106: 2x 5/8" regular to 15.38 ft</t>
  </si>
  <si>
    <t xml:space="preserve">office front stub Office 1/2 (Central Zone 103, Office 1 105 / Office 2 106)</t>
  </si>
  <si>
    <t xml:space="preserve">A02.01 -&gt; 5/A12.01 -&gt; 7/S5.20; (578.4 - 516.0)/18 pt/ft = 3.467 ft (A02.01 vector, faces 1622.04/1631.28)</t>
  </si>
  <si>
    <t xml:space="preserve">G  #G-6  -  office front stub Office 2/3 (Central Zone 103, Office 2 106 / Office 3 107)</t>
  </si>
  <si>
    <t xml:space="preserve">G-6</t>
  </si>
  <si>
    <t xml:space="preserve">per face: Central Zone 103: 2x 5/8" regular to 15.38 ft | Office 2 106 / Office 3 107: 2x 5/8" regular to 15.38 ft</t>
  </si>
  <si>
    <t xml:space="preserve">office front stub Office 2/3 (Central Zone 103, Office 2 106 / Office 3 107)</t>
  </si>
  <si>
    <t xml:space="preserve">A02.01 -&gt; 5/A12.01 -&gt; 7/S5.20; (772.0 - 713.4)/18 pt/ft = 3.256 ft (A02.01 vector, faces 1622.04/1631.28)</t>
  </si>
  <si>
    <t xml:space="preserve">G  #G-7  -  office front stub Office 3/4 (Central Zone 103, Office 3 107 / Office 4 108)</t>
  </si>
  <si>
    <t xml:space="preserve">G-7</t>
  </si>
  <si>
    <t xml:space="preserve">per face: Central Zone 103: 2x 5/8" regular to 15.38 ft | Office 3 107 / Office 4 108: 2x 5/8" regular to 15.38 ft</t>
  </si>
  <si>
    <t xml:space="preserve">office front stub Office 3/4 (Central Zone 103, Office 3 107 / Office 4 108)</t>
  </si>
  <si>
    <t xml:space="preserve">A02.01 -&gt; 5/A12.01 -&gt; 7/S5.20; (965.5 - 907.0)/18 pt/ft = 3.250 ft (A02.01 vector, faces 1622.04/1631.28)</t>
  </si>
  <si>
    <t xml:space="preserve">G  #G-8  -  Office 2 / Office 3 (Office 2 106, Office 3 107)</t>
  </si>
  <si>
    <t xml:space="preserve">G-8</t>
  </si>
  <si>
    <t xml:space="preserve">per face: Office 2 106: 2x 5/8" regular to 15.38 ft | Office 3 107: 2x 5/8" regular to 15.38 ft</t>
  </si>
  <si>
    <t xml:space="preserve">Office 2 / Office 3 (Office 2 106, Office 3 107)</t>
  </si>
  <si>
    <t xml:space="preserve">A02.01 -&gt; 5/A12.01 -&gt; 7/S5.20; printed 11.771 ft</t>
  </si>
  <si>
    <t xml:space="preserve">G  #G-9  -  Office 3 / Office 4 (Office 3 107, Office 4 108)</t>
  </si>
  <si>
    <t xml:space="preserve">G-9</t>
  </si>
  <si>
    <t xml:space="preserve">per face: Office 3 107: 2x 5/8" regular to 15.38 ft | Office 4 108: 2x 5/8" regular to 15.38 ft</t>
  </si>
  <si>
    <t xml:space="preserve">Office 3 / Office 4 (Office 3 107, Office 4 108)</t>
  </si>
  <si>
    <t xml:space="preserve">G  #G-10  -  Office 4 / Cash Window 116 (Office 4 108, Cash Window 116)</t>
  </si>
  <si>
    <t xml:space="preserve">G-10</t>
  </si>
  <si>
    <t xml:space="preserve">per face: Office 4 108: 2x 5/8" regular to 15.38 ft | Cash Window 116: 2x 5/8" regular to 15.38 ft</t>
  </si>
  <si>
    <t xml:space="preserve">Office 4 / Cash Window 116 (Office 4 108, Cash Window 116)</t>
  </si>
  <si>
    <t xml:space="preserve">A02.01 -&gt; 5/A12.01 -&gt; 7/S5.20; (1843.08 - 1661.76)/18 pt/ft = 10.073 ft (A02.01 vector, faces 1106.52/1115.76)</t>
  </si>
  <si>
    <t xml:space="preserve">G  #G-11  -  office front stub S of Office 4 (Central Zone 103, Office 4 108)</t>
  </si>
  <si>
    <t xml:space="preserve">G-11</t>
  </si>
  <si>
    <t xml:space="preserve">per face: Central Zone 103: 2x 5/8" regular to 15.38 ft | Office 4 108: 2x 5/8" regular to 15.38 ft</t>
  </si>
  <si>
    <t xml:space="preserve">office front stub S of Office 4 (Central Zone 103, Office 4 108)</t>
  </si>
  <si>
    <t xml:space="preserve">A02.01 -&gt; 5/A12.01 -&gt; 7/S5.20; (1118.04 - 1100.52)/18 pt/ft = 0.973 ft (A02.01 vector, faces 1622.04/1631.28)</t>
  </si>
  <si>
    <t xml:space="preserve">TYPE G1</t>
  </si>
  <si>
    <t xml:space="preserve">G1  #G1-1  -  Office 1 / Office 2 (Office 1 105, Office 2 106)</t>
  </si>
  <si>
    <t xml:space="preserve">G1-1</t>
  </si>
  <si>
    <t xml:space="preserve">per face: Office 1 105: 2x 5/8" regular to 15.38 ft | Office 2 106: 2x 5/8" regular to 15.38 ft</t>
  </si>
  <si>
    <t xml:space="preserve">Office 1 / Office 2 (Office 1 105, Office 2 106)</t>
  </si>
  <si>
    <t xml:space="preserve">G1  #G1-2  -  office front stub Office 5/6 (Office 5 109 / Office 6 110, Corridor 111)</t>
  </si>
  <si>
    <t xml:space="preserve">G1-2</t>
  </si>
  <si>
    <t xml:space="preserve">per face: Office 5 109 / Office 6 110: 2x 5/8" regular to 15.38 ft | Corridor 111: 2x 5/8" regular to 15.38 ft</t>
  </si>
  <si>
    <t xml:space="preserve">office front stub Office 5/6 (Office 5 109 / Office 6 110, Corridor 111)</t>
  </si>
  <si>
    <t xml:space="preserve">A02.01 -&gt; 5/A12.01 -&gt; 7/S5.20; (1044.12 - 981.0)/18 pt/ft = 3.507 ft (A02.01 vector, faces 1121.16/1133.88)</t>
  </si>
  <si>
    <t xml:space="preserve">G1  #G1-3  -  office front stub S of Office 6 (Office 6 110, Corridor 111)</t>
  </si>
  <si>
    <t xml:space="preserve">G1-3</t>
  </si>
  <si>
    <t xml:space="preserve">per face: Office 6 110: 2x 5/8" regular to 15.38 ft | Corridor 111: 2x 5/8" regular to 15.38 ft</t>
  </si>
  <si>
    <t xml:space="preserve">office front stub S of Office 6 (Office 6 110, Corridor 111)</t>
  </si>
  <si>
    <t xml:space="preserve">A02.01 -&gt; 5/A12.01 -&gt; 7/S5.20; (1236.36 - 1179.12)/18 pt/ft = 3.180 ft (A02.01 vector, faces 1121.16/1133.88)</t>
  </si>
  <si>
    <t xml:space="preserve">TYPE F</t>
  </si>
  <si>
    <t xml:space="preserve">F  #F-1  -  diagonal wall 24HR Vestibule 101 / ATM Room 102 (24 HR Vestibule 101 (ATM lobby, public), ATM Room 102)</t>
  </si>
  <si>
    <t xml:space="preserve">F-1</t>
  </si>
  <si>
    <t xml:space="preserve">per face: 24 HR Vestibule 101 (GWB 10'-0") + 3/4" FRT plywood to deck: 1x 5/8" regular to 10.00 ft | ATM Room 102 (ACT-5 8'-6"): 1x 5/8" regular to 9.00 ft</t>
  </si>
  <si>
    <t xml:space="preserve">diagonal wall 24HR Vestibule 101 / ATM Room 102 (24 HR Vestibule 101 (ATM lobby, public), ATM Room 102)</t>
  </si>
  <si>
    <t xml:space="preserve">A02.01 -&gt; 12/A12.01 -&gt; 7/S5.20; axis = (upper face 314.3 pt + lower face 294.7 pt)/2 = 304.5 pt /18 = 16.917 ft (A02.01 vector, 30 deg wall)</t>
  </si>
  <si>
    <t xml:space="preserve">TYPE EXT</t>
  </si>
  <si>
    <t xml:space="preserve">EXT  #N-G  -  Exterior wall N-G (agent ext, A02.01 vector faces)</t>
  </si>
  <si>
    <t xml:space="preserve">N-G</t>
  </si>
  <si>
    <t xml:space="preserve">per face: interior 1x 5/8" to deck | exterior: nailbase/glass mat/sheathing per A09.26-27</t>
  </si>
  <si>
    <t xml:space="preserve">6" 600S162-54</t>
  </si>
  <si>
    <t xml:space="preserve">Exterior wall N-G (agent ext, A02.01 vector faces)</t>
  </si>
  <si>
    <t xml:space="preserve">A09.21/22/23 -&gt; 10/S5.10 -&gt; S1.11 n.5 -&gt; 7/S5.20</t>
  </si>
  <si>
    <t xml:space="preserve">EXT  #N-F  -  Exterior wall N-F (agent ext, A02.01 vector faces)</t>
  </si>
  <si>
    <t xml:space="preserve">N-F</t>
  </si>
  <si>
    <t xml:space="preserve">Exterior wall N-F (agent ext, A02.01 vector faces)</t>
  </si>
  <si>
    <t xml:space="preserve">EXT  #E1  -  Exterior wall E1 (agent ext, A02.01 vector faces)</t>
  </si>
  <si>
    <t xml:space="preserve">E1</t>
  </si>
  <si>
    <t xml:space="preserve">Exterior wall E1 (agent ext, A02.01 vector faces)</t>
  </si>
  <si>
    <t xml:space="preserve">EXT  #E2  -  Exterior wall E2 (agent ext, A02.01 vector faces)</t>
  </si>
  <si>
    <t xml:space="preserve">E2</t>
  </si>
  <si>
    <t xml:space="preserve">Exterior wall E2 (agent ext, A02.01 vector faces)</t>
  </si>
  <si>
    <t xml:space="preserve">EXT  #S1  -  Exterior wall S1 (agent ext, A02.01 vector faces)</t>
  </si>
  <si>
    <t xml:space="preserve">S1</t>
  </si>
  <si>
    <t xml:space="preserve">Exterior wall S1 (agent ext, A02.01 vector faces)</t>
  </si>
  <si>
    <t xml:space="preserve">EXT  #S2  -  Exterior wall S2 (agent ext, A02.01 vector faces)</t>
  </si>
  <si>
    <t xml:space="preserve">S2</t>
  </si>
  <si>
    <t xml:space="preserve">Exterior wall S2 (agent ext, A02.01 vector faces)</t>
  </si>
  <si>
    <t xml:space="preserve">EXT  #W-W1  -  Exterior wall W-W1 (agent ext, A02.01 vector faces)</t>
  </si>
  <si>
    <t xml:space="preserve">W-W1</t>
  </si>
  <si>
    <t xml:space="preserve">Exterior wall W-W1 (agent ext, A02.01 vector faces)</t>
  </si>
  <si>
    <t xml:space="preserve">EXT  #W-D  -  Exterior wall W-D (agent ext, A02.01 vector faces)</t>
  </si>
  <si>
    <t xml:space="preserve">W-D</t>
  </si>
  <si>
    <t xml:space="preserve">Exterior wall W-D (agent ext, A02.01 vector faces)</t>
  </si>
  <si>
    <t xml:space="preserve">EXT  #W-W2a  -  Exterior wall W-W2a (agent ext, A02.01 vector faces)</t>
  </si>
  <si>
    <t xml:space="preserve">W-W2a</t>
  </si>
  <si>
    <t xml:space="preserve">Exterior wall W-W2a (agent ext, A02.01 vector faces)</t>
  </si>
  <si>
    <t xml:space="preserve">EXT  #W-W2b  -  Exterior wall W-W2b (agent ext, A02.01 vector faces)</t>
  </si>
  <si>
    <t xml:space="preserve">W-W2b</t>
  </si>
  <si>
    <t xml:space="preserve">Exterior wall W-W2b (agent ext, A02.01 vector faces)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</si>
  <si>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</si>
  <si>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</si>
  <si>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</si>
  <si>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</si>
  <si>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</si>
  <si>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</si>
  <si>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</si>
  <si>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</si>
  <si>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</si>
  <si>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</si>
  <si>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</si>
  <si>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</si>
  <si>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600S162-54 - exterior walls NORTH (grid G/F)</t>
  </si>
  <si>
    <t xml:space="preserve">LF</t>
  </si>
  <si>
    <t xml:space="preserve">stick 20 ft</t>
  </si>
  <si>
    <t xml:space="preserve">studs_nodos.py -&gt; work/data/studs_nodos_out.json; A02.01 -&gt; A09.21/22/23 -&gt; 10/S5.10 -&gt; S2.20 -&gt; S1.11 n.5 (56.2, 60.3)</t>
  </si>
  <si>
    <t xml:space="preserve">6" metal stud 600S162-54 - exterior walls EAST (grid 8)</t>
  </si>
  <si>
    <t xml:space="preserve">6" metal stud 600S162-54 - exterior walls SOUTH (grid A)</t>
  </si>
  <si>
    <t xml:space="preserve">6" metal stud 600S162-54 - exterior walls WEST (grid 2/D/3)</t>
  </si>
  <si>
    <t xml:space="preserve">3-5/8" metal stud 362S137-33 @16" - interior partitions A1/B/C1/F</t>
  </si>
  <si>
    <t xml:space="preserve">studs_nodos.py -&gt; work/data/studs_nodos_out.json; A02.01 -&gt; 3/A12.01, 1/A12.01, 6/A12.01, 12/A12.01 -&gt; 7/S5.20</t>
  </si>
  <si>
    <t xml:space="preserve">3-5/8" metal stud 362S137-68 (14 GA) @24" - ballistic partitions A1K</t>
  </si>
  <si>
    <t xml:space="preserve">studs_nodos.py -&gt; work/data/studs_nodos_out.json; A02.01 -&gt; 4/A12.01 WALL CONSTRUCTION SHALL INCLUDE 14 GA @24"</t>
  </si>
  <si>
    <t xml:space="preserve">6" metal stud 600S137-33 @16" - interior partitions A5/B2</t>
  </si>
  <si>
    <t xml:space="preserve">studs_nodos.py -&gt; work/data/studs_nodos_out.json; A02.01 -&gt; 3/A12.01, 1/A12.01 -&gt; 7/S5.20</t>
  </si>
  <si>
    <t xml:space="preserve">6" metal stud 600S137-68 (14 GA) @24" - ballistic partition B2K</t>
  </si>
  <si>
    <t xml:space="preserve">studs_nodos.py -&gt; work/data/studs_nodos_out.json; A02.01 -&gt; B2K = A5K row of 4/A12.01 (measured 7.68 in), no B2K row -&gt; RFI-03</t>
  </si>
  <si>
    <t xml:space="preserve">1-5/8" metal stud 162S125-33 @16" double row - partitions G/G1</t>
  </si>
  <si>
    <t xml:space="preserve">studs_nodos.py -&gt; work/data/studs_nodos_out.json; A02.01 -&gt; 5/A12.01, 9/A12.01 -&gt; 7/S5.20 (gauge derived)</t>
  </si>
  <si>
    <t xml:space="preserve">Bottom track 3-5/8" - interior partitions</t>
  </si>
  <si>
    <t xml:space="preserve">piece 10 ft</t>
  </si>
  <si>
    <t xml:space="preserve">closer.py sealed: work/cierres/&lt;wall&gt;.json (A1-1, A1-2, A1-3, A1-4, A1-5, A1-6, A1-7, A1-8, A1-9, A1K-1, A1K-2, A1K-3, B-1, B-2, B-3, B-4, B-5, B-6, C1-3, C1-4, C1-5, C1-6, C1-7, C1-8, F-1); A02.01 -&gt; A12.01 partition details -&gt; S5.20</t>
  </si>
  <si>
    <t xml:space="preserve">Top track 3-5/8" continuous slip track / deflection - interior partitions</t>
  </si>
  <si>
    <t xml:space="preserve">Bracing 1-1/2" C.R. channel @48" - interior partitions</t>
  </si>
  <si>
    <t xml:space="preserve">piece 16 ft</t>
  </si>
  <si>
    <t xml:space="preserve">closer.py sealed: work/cierres/&lt;wall&gt;.json (A1-1, A1-2, A1-3, A1-4, A1-5, A1-6, A1-7, A1-8, A1-9, A1K-1, A1K-2, A1K-3, A5-1a, A5-1b, A5-2a, A5-2b, A5-3, B-1, B-2, B-3, B-4, B-5, B-6, B2-1, B2-2, B2-3, B2K-1, C1-3, C1-4, C1-5, C1-6, C1-7, C1-8, F-1, G-1, G-10, G-11, G-2, G-3, G-4, G-5, G-6, G-7, G-8, G-9, G1-1, G1-2, G1-3); A02.01 -&gt; A12.01 partition details -&gt; S5.20</t>
  </si>
  <si>
    <t xml:space="preserve">Acoustical sealant - interior partitions (beads per partition detail)</t>
  </si>
  <si>
    <t xml:space="preserve">tube (LF yield)</t>
  </si>
  <si>
    <t xml:space="preserve">closer.py sealed: work/cierres/&lt;wall&gt;.json (A1-1, A1-2, A1-3, A1-4, A1-5, A1-6, A1-7, A1-8, A1-9, A1K-1, A1K-2, A1K-3, A5-1a, A5-1b, A5-2a, A5-2b, A5-3, B-1, B-2, B-3, B-4, B-5, B-6, B2-1, B2-2, B2-3, B2K-1, G-1, G-10, G-11, G-2, G-3, G-4, G-5, G-6, G-7, G-8, G-9, G1-1, G1-2, G1-3); A02.01 -&gt; A12.01 partition details -&gt; S5.20</t>
  </si>
  <si>
    <t xml:space="preserve">Purlin 1x1x1 16 GA at top track parallel to flute - interior partitions</t>
  </si>
  <si>
    <t xml:space="preserve">closer.py sealed: work/cierres/&lt;wall&gt;.json (A1-1, A1-3, A1-4, A1-5, A1-7, A1-9, A1K-1, A1K-2, A1K-3, B-1, B-3, B-4, B-6, B2K-1, C1-5, C1-6, C1-7, C1-8, G-1, G-10, G-2, G-3, G-8, G-9, G1-1); A02.01 -&gt; A12.01 partition details -&gt; S5.20</t>
  </si>
  <si>
    <t xml:space="preserve">Batt insulation 3-1/2" - interior partitions</t>
  </si>
  <si>
    <t xml:space="preserve">SF</t>
  </si>
  <si>
    <t xml:space="preserve">closer.py sealed: work/cierres/&lt;wall&gt;.json (A1-1, A1-2, A1-3, A1-4, A1-5, A1-6, A1-7, A1-8, A1-9, A1K-1, A1K-2, A1K-3, B-1, B-2, B-3, B-4, B-5, B-6, F-1); A02.01 -&gt; A12.01 partition details -&gt; S5.20</t>
  </si>
  <si>
    <t xml:space="preserve">Bracing clip (C.R. channel to stud) - interior partitions</t>
  </si>
  <si>
    <t xml:space="preserve">EA</t>
  </si>
  <si>
    <t xml:space="preserve">Header 3-5/8" track header (R.O. + 1'-4") - interior doors</t>
  </si>
  <si>
    <t xml:space="preserve">closer.py sealed: work/cierres/&lt;wall&gt;.json (A1-4, A1-7, A1-8, A1-9, B-1, B-5, F-1); A02.01 -&gt; A12.01 partition details -&gt; S5.20</t>
  </si>
  <si>
    <t xml:space="preserve">Bottom track 6" - interior partitions</t>
  </si>
  <si>
    <t xml:space="preserve">closer.py sealed: work/cierres/&lt;wall&gt;.json (A5-1a, A5-1b, A5-2a, A5-2b, A5-3, B2-1, B2-2, B2-3, B2K-1); A02.01 -&gt; A12.01 partition details -&gt; S5.20</t>
  </si>
  <si>
    <t xml:space="preserve">Top track 6" continuous slip track / deflection - interior partitions</t>
  </si>
  <si>
    <t xml:space="preserve">Batt insulation 6" - interior partitions</t>
  </si>
  <si>
    <t xml:space="preserve">Header 6" track header (R.O. + 1'-4") - interior doors</t>
  </si>
  <si>
    <t xml:space="preserve">closer.py sealed: work/cierres/&lt;wall&gt;.json (A5-1b, B2-1, B2-2, B2-3); A02.01 -&gt; A12.01 partition details -&gt; S5.20</t>
  </si>
  <si>
    <t xml:space="preserve">Bottom track 1-5/8" - interior partitions</t>
  </si>
  <si>
    <t xml:space="preserve">closer.py sealed: work/cierres/&lt;wall&gt;.json (G-1, G-10, G-11, G-2, G-3, G-4, G-5, G-6, G-7, G-8, G-9, G1-1, G1-2, G1-3); A02.01 -&gt; A12.01 partition details -&gt; S5.20</t>
  </si>
  <si>
    <t xml:space="preserve">Top track 1-5/8" continuous slip track / deflection - interior partitions</t>
  </si>
  <si>
    <t xml:space="preserve">Batt insulation 1-1/2" (double row cavity) - G/G1</t>
  </si>
  <si>
    <t xml:space="preserve">Sill track 3-5/8" (R.O. + 1'-4") - ATM walk-up F wall</t>
  </si>
  <si>
    <t xml:space="preserve">closer.py sealed: work/cierres/&lt;wall&gt;.json (F-1); A02.01 -&gt; A12.01 partition details -&gt; S5.20</t>
  </si>
  <si>
    <t xml:space="preserve">5/8" gypsum board regular - interior face of exterior walls NORTH (grid G/F)</t>
  </si>
  <si>
    <t xml:space="preserve">4x12 sheet</t>
  </si>
  <si>
    <t xml:space="preserve">board_caras.py -&gt; work/data/board_caras_out.json; A09.21/22/23 '5/8" GYP. BOARD @ PERIMETER EXTERIOR WALL TO DECK'</t>
  </si>
  <si>
    <t xml:space="preserve">5/8" gypsum board regular - interior face of exterior walls EAST (grid 8)</t>
  </si>
  <si>
    <t xml:space="preserve">5/8" gypsum board regular - interior face of exterior walls SOUTH (grid A)</t>
  </si>
  <si>
    <t xml:space="preserve">5/8" gypsum board regular - interior face of exterior walls WEST (grid 2/D/3)</t>
  </si>
  <si>
    <t xml:space="preserve">5/8" gypsum board regular - interior partitions</t>
  </si>
  <si>
    <t xml:space="preserve">board_caras.py -&gt; work/data/board_caras_out.json; A02.01 -&gt; A12.01 (1,3,4,5,6,12/A12.01) faces by room ceiling (A04.01)</t>
  </si>
  <si>
    <t xml:space="preserve">5/8" gypsum board moisture resistant - interior partitions</t>
  </si>
  <si>
    <t xml:space="preserve">Ballistic panel 3/8" UL752 Level-2 fiberglass (NIJ II) to 8'-0" - customer side A1K/B2K</t>
  </si>
  <si>
    <t xml:space="preserve">4x8 sheet</t>
  </si>
  <si>
    <t xml:space="preserve">board_caras.py -&gt; work/data/board_caras_out.json; 4/A12.01 WALL CONSTRUCTION SHALL INCLUDE</t>
  </si>
  <si>
    <t xml:space="preserve">3/8" gypsum board from 8'-0" to underside of structure - customer side A1K/B2K</t>
  </si>
  <si>
    <t xml:space="preserve">board_caras.py -&gt; work/data/board_caras_out.json; 4/A12.01</t>
  </si>
  <si>
    <t xml:space="preserve">3/4" FRT plywood on public side of partition F, to deck</t>
  </si>
  <si>
    <t xml:space="preserve">12/A12.01 '3/4" FRT PLYWOOD ON PUBLIC SIDE OF PARTITION, EXTEND TO DECK ABOVE': 16.917 x 15.375 - ATM R.O. 2.25 x 3.6875 (1/A08.11)</t>
  </si>
  <si>
    <t xml:space="preserve">6" bottom track 600T125-33 (exterior wall) - NORTH (grid G/F)</t>
  </si>
  <si>
    <t xml:space="preserve">agent ext: A02.01 p24 -&gt; 5/A09.26, 9 &amp; 12/A09.27 (base) -&gt; 7/S5.20 METAL STUD SCHEDULE '600T125-33 BOTTOM TRACK'</t>
  </si>
  <si>
    <t xml:space="preserve">6" bottom track 600T125-33 - cripples sobre steel header storefront - NORTH (grid G/F)</t>
  </si>
  <si>
    <t xml:space="preserve">agent ext: 2/A09.26 (STEEL HEADER FRAMING) -&gt; S2.20 HSS9x5x5/8 (LLV) T.O.S. 9'-4 1/2" -&gt; regla 58.2</t>
  </si>
  <si>
    <t xml:space="preserve">6" deflection (top) track 600T200-97 bajo perimeter beam - NORTH (grid G/F)</t>
  </si>
  <si>
    <t xml:space="preserve">agent ext: 10/S5.10 'DEFLECTION TRACK PER LT GA MFR' -&gt; 7/S5.20 '600T200-97 TOP TRACK CONT.'</t>
  </si>
  <si>
    <t xml:space="preserve">6" bottom track 600T125-33 (exterior wall) - EAST (grid 8)</t>
  </si>
  <si>
    <t xml:space="preserve">6" deflection (top) track 600T200-97 bajo perimeter beam - EAST (grid 8)</t>
  </si>
  <si>
    <t xml:space="preserve">6" bottom track 600T125-33 (exterior wall) - SOUTH (grid A)</t>
  </si>
  <si>
    <t xml:space="preserve">6" deflection (top) track 600T200-97 bajo perimeter beam - SOUTH (grid A)</t>
  </si>
  <si>
    <t xml:space="preserve">6" bottom track 600T125-33 (exterior wall) - WEST (grid 2/D/3)</t>
  </si>
  <si>
    <t xml:space="preserve">6" bottom track 600T125-33 - cripples sobre steel header storefront - WEST (grid 2/D/3)</t>
  </si>
  <si>
    <t xml:space="preserve">6" deflection (top) track 600T200-97 bajo perimeter beam - WEST (grid 2/D/3)</t>
  </si>
  <si>
    <t xml:space="preserve">Bracing 1-1/2" C.R. channel/bridging @48" (exterior wall) - NORTH (grid G/F)</t>
  </si>
  <si>
    <t xml:space="preserve">agent ext: 1/S5.20 F. BRIDGING AND BRACING '1 1/2" C.R. CHANNEL @ 48" O.C.' -&gt; regla 53.4/60.7</t>
  </si>
  <si>
    <t xml:space="preserve">Bracing 1-1/2" C.R. channel/bridging @48" (exterior wall) - EAST (grid 8)</t>
  </si>
  <si>
    <t xml:space="preserve">Bracing 1-1/2" C.R. channel/bridging @48" (exterior wall) - SOUTH (grid A)</t>
  </si>
  <si>
    <t xml:space="preserve">Bracing 1-1/2" C.R. channel/bridging @48" (exterior wall) - WEST (grid 2/D/3)</t>
  </si>
  <si>
    <t xml:space="preserve">Header / box beam CFMF (R.O.+1'-4") - EAST (grid 8)</t>
  </si>
  <si>
    <t xml:space="preserve">agent ext: A02.01 R.O. -&gt; 11/A09.27, 14/A09.27, 6/A08.11 (METAL STUD BOX BEAM) -&gt; 7/S5.20 HEADER SCHEDULE -&gt; regla 53.6/60.5</t>
  </si>
  <si>
    <t xml:space="preserve">Sill track 600T125 (R.O.+1'-4") - EAST (grid 8)</t>
  </si>
  <si>
    <t xml:space="preserve">agent ext: 10/A09.27 STOREFRONT SILL T/STUD 6'-4 1/2" ; 6/A08.11 ATM -&gt; regla 53.7</t>
  </si>
  <si>
    <t xml:space="preserve">Additional head track (opng &gt; 4'-0") - EAST (grid 8)</t>
  </si>
  <si>
    <t xml:space="preserve">agent ext: 2/S5.20 + 9/S5.20 'ADD FULL LENGTH ADDL HEAD TRACK @ OPNG &gt; 4'-0"' -&gt; regla 58.2</t>
  </si>
  <si>
    <t xml:space="preserve">Header / box beam CFMF (R.O.+1'-4") - SOUTH (grid A)</t>
  </si>
  <si>
    <t xml:space="preserve">Header / box beam CFMF (R.O.+1'-4") - WEST (grid 2/D/3)</t>
  </si>
  <si>
    <t xml:space="preserve">Sill track 600T125 (R.O.+1'-4") - WEST (grid 2/D/3)</t>
  </si>
  <si>
    <t xml:space="preserve">Additional head track (opng &gt; 4'-0") - WEST (grid 2/D/3)</t>
  </si>
  <si>
    <t xml:space="preserve">FRT plywood 3/4" opening liner (jambs/head/sill, 1 ply) - NORTH (grid G/F)</t>
  </si>
  <si>
    <t xml:space="preserve">agent ext: 3/A09.25 WINDOW JAMB, 4/A09.25 DOOR JAMB, 1-2/A09.25 STOREFRONT PIER, 2/A09.26 &amp; 11/A09.27 HEAD, 10/A09.27 SILL, 14/A09.27 HM DOOR HEAD '3/4" FRT PLYWOOD'</t>
  </si>
  <si>
    <t xml:space="preserve">FRT plywood 3/4" opening liner (jambs/head/sill, 1 ply) - EAST (grid 8)</t>
  </si>
  <si>
    <t xml:space="preserve">FRT plywood 3/4" opening liner (jambs/head/sill, 1 ply) - SOUTH (grid A)</t>
  </si>
  <si>
    <t xml:space="preserve">FRT plywood 3/4" opening liner (jambs/head/sill, 1 ply) - WEST (grid 2/D/3)</t>
  </si>
  <si>
    <t xml:space="preserve">Sealant at base of gypsum (exterior wall, 1 bead) - NORTH (grid G/F)</t>
  </si>
  <si>
    <t xml:space="preserve">agent ext: 5/A09.26 ACM BASE, 9/A09.27 METAL PANEL BASE, 12/A09.27 STUCCO BASE 'SEALANT AT BASE OF GYPSUM' -&gt; regla 53.9.3/56.6</t>
  </si>
  <si>
    <t xml:space="preserve">Sealant at base of gypsum (exterior wall, 1 bead) - EAST (grid 8)</t>
  </si>
  <si>
    <t xml:space="preserve">Sealant at base of gypsum (exterior wall, 1 bead) - SOUTH (grid A)</t>
  </si>
  <si>
    <t xml:space="preserve">Sealant at base of gypsum (exterior wall, 1 bead) - WEST (grid 2/D/3)</t>
  </si>
  <si>
    <t xml:space="preserve">Stud blocking 362CR22 (junta horizontal board, 1 fila) - NORTH (grid G/F)</t>
  </si>
  <si>
    <t xml:space="preserve">agent ext: 4/S5.20 TYPICAL BLOCKING DETAIL 'PROVIDE BLOCKING AT THE EDGE OF GYPBOARD' -&gt; regla 56.8/59.14</t>
  </si>
  <si>
    <t xml:space="preserve">Stud blocking 362CR22 (junta horizontal board, 1 fila) - EAST (grid 8)</t>
  </si>
  <si>
    <t xml:space="preserve">Stud blocking 362CR22 (junta horizontal board, 1 fila) - SOUTH (grid A)</t>
  </si>
  <si>
    <t xml:space="preserve">Stud blocking 362CR22 (junta horizontal board, 1 fila) - WEST (grid 2/D/3)</t>
  </si>
  <si>
    <t xml:space="preserve">FRT plywood 5/8" bonded to 2-1/2" polyiso (nailbase) - NORTH (grid G/F)</t>
  </si>
  <si>
    <t xml:space="preserve">agent ext: A09.21/22/23 'SHEATHING/INSULATION SYSTEM: 5/8" FRT PLYWOOD BONDED TO 2 1/2" POLYISO' -&gt; 3/A09.25, 2/A09.26, 9-12/A09.27 -&gt; T/BASE 0'-6" a T/STUD (59.11) ; banda canopy = glass mat (3,7/A09.26)</t>
  </si>
  <si>
    <t xml:space="preserve">Glass mat sheathing 5/8" - banda base T/SLAB a T/BASE 0'-6" - NORTH (grid G/F)</t>
  </si>
  <si>
    <t xml:space="preserve">agent ext: 5/A09.26 ACM BASE, 9/A09.27 METAL PANEL BASE, 12/A09.27 STUCCO BASE '5/8" GLASS MAT SHEATHING' T/BASE ELEV 0'-6" -&gt; regla 56.3</t>
  </si>
  <si>
    <t xml:space="preserve">Glass mat sheathing 5/8" - banda canopy (T/STUD 12'-7" - B/STUD 10'-7 1/4") - NORTH (grid G/F)</t>
  </si>
  <si>
    <t xml:space="preserve">agent ext: 3/A09.26 ENTRANCE CANOPY &amp; 7/A09.26 SIDE CANOPY 'SPRAY FOAM INSULATION ON 5/8" GLASS-MAT SHEATHING' -&gt; regla 59.2</t>
  </si>
  <si>
    <t xml:space="preserve">FRT plywood 5/8" bonded to 2-1/2" polyiso (nailbase) - EAST (grid 8)</t>
  </si>
  <si>
    <t xml:space="preserve">Glass mat sheathing 5/8" - banda base T/SLAB a T/BASE 0'-6" - EAST (grid 8)</t>
  </si>
  <si>
    <t xml:space="preserve">Glass mat sheathing 5/8" - banda canopy (T/STUD 12'-7" - B/STUD 10'-7 1/4") - EAST (grid 8)</t>
  </si>
  <si>
    <t xml:space="preserve">FRT plywood 5/8" bonded to 2-1/2" polyiso (nailbase) - SOUTH (grid A)</t>
  </si>
  <si>
    <t xml:space="preserve">Glass mat sheathing 5/8" - banda base T/SLAB a T/BASE 0'-6" - SOUTH (grid A)</t>
  </si>
  <si>
    <t xml:space="preserve">Glass mat sheathing 5/8" - banda canopy (T/STUD 12'-7" - B/STUD 10'-7 1/4") - SOUTH (grid A)</t>
  </si>
  <si>
    <t xml:space="preserve">FRT plywood 5/8" bonded to 2-1/2" polyiso (nailbase) - WEST (grid 2/D/3)</t>
  </si>
  <si>
    <t xml:space="preserve">Glass mat sheathing 5/8" - banda base T/SLAB a T/BASE 0'-6" - WEST (grid 2/D/3)</t>
  </si>
  <si>
    <t xml:space="preserve">Parapet infill stud 600S162-54 @16" - NORTH (grid G/F)</t>
  </si>
  <si>
    <t xml:space="preserve">agent ext: 11/S5.10 PARAPET INFILL FRAMING '600S162-54 @ 16" W/ 600T125-54 TOP &amp; BOT., ONE STUD EA. SIDE OF EA. POST - 5'-0" O.C. MAX' -&gt; 10/S5.10 -&gt; A09.21-23 T/STUD -&gt; S2.20 B.O.D. -&gt; regla 59.4/55.3</t>
  </si>
  <si>
    <t xml:space="preserve">Parapet infill track 600T125-54 TOP - NORTH (grid G/F)</t>
  </si>
  <si>
    <t xml:space="preserve">agent ext: 11/S5.10 '600T125-54 TOP &amp; BOT.' -&gt; regla 54.2</t>
  </si>
  <si>
    <t xml:space="preserve">Parapet infill track 600T125-54 BOTTOM - NORTH (grid G/F)</t>
  </si>
  <si>
    <t xml:space="preserve">Bracing 1-1/2" C.R. channel parapet infill (&gt;= 4 ft) - NORTH (grid G/F)</t>
  </si>
  <si>
    <t xml:space="preserve">agent ext: 1/S5.20 F -&gt; 11/S5.10 -&gt; regla 60.7</t>
  </si>
  <si>
    <t xml:space="preserve">Exterior gypsum sheathing 5/8" parapet cara roof side - NORTH (grid G/F)</t>
  </si>
  <si>
    <t xml:space="preserve">agent ext: A09.21/22/23 '5/8" EXTERIOR GYPSUM SHEATHING' (cara roof) -&gt; 4/A09.26 PARAPET -&gt; regla 53.5/55.3 (LF cara int x (T/STUD - B.O.D.), promedio en pendiente)</t>
  </si>
  <si>
    <t xml:space="preserve">FRT plywood 3/4" parapet blocking (1 ply, top of parapet) - NORTH (grid G/F)</t>
  </si>
  <si>
    <t xml:space="preserve">agent ext: 4/A09.26 SECTION DETAIL @ PARAPET '3/4" F.R.T. PLYWOOD BLOCKING AS REQUIRED' -&gt; regla 54.3/58.6</t>
  </si>
  <si>
    <t xml:space="preserve">Parapet infill stud 600S162-54 @16" - EAST (grid 8)</t>
  </si>
  <si>
    <t xml:space="preserve">Parapet infill track 600T125-54 TOP - EAST (grid 8)</t>
  </si>
  <si>
    <t xml:space="preserve">Parapet infill track 600T125-54 BOTTOM - EAST (grid 8)</t>
  </si>
  <si>
    <t xml:space="preserve">Bracing 1-1/2" C.R. channel parapet infill (&gt;= 4 ft) - EAST (grid 8)</t>
  </si>
  <si>
    <t xml:space="preserve">Exterior gypsum sheathing 5/8" parapet cara roof side - EAST (grid 8)</t>
  </si>
  <si>
    <t xml:space="preserve">FRT plywood 3/4" parapet blocking (1 ply, top of parapet) - EAST (grid 8)</t>
  </si>
  <si>
    <t xml:space="preserve">Parapet infill stud 600S162-54 @16" - SOUTH (grid A)</t>
  </si>
  <si>
    <t xml:space="preserve">Parapet infill track 600T125-54 TOP - SOUTH (grid A)</t>
  </si>
  <si>
    <t xml:space="preserve">Parapet infill track 600T125-54 BOTTOM - SOUTH (grid A)</t>
  </si>
  <si>
    <t xml:space="preserve">Bracing 1-1/2" C.R. channel parapet infill (&gt;= 4 ft) - SOUTH (grid A)</t>
  </si>
  <si>
    <t xml:space="preserve">Exterior gypsum sheathing 5/8" parapet cara roof side - SOUTH (grid A)</t>
  </si>
  <si>
    <t xml:space="preserve">FRT plywood 3/4" parapet blocking (1 ply, top of parapet) - SOUTH (grid A)</t>
  </si>
  <si>
    <t xml:space="preserve">Parapet infill stud 600S162-54 @16" - WEST (grid 2/D/3)</t>
  </si>
  <si>
    <t xml:space="preserve">Parapet infill track 600T125-54 TOP - WEST (grid 2/D/3)</t>
  </si>
  <si>
    <t xml:space="preserve">Parapet infill track 600T125-54 BOTTOM - WEST (grid 2/D/3)</t>
  </si>
  <si>
    <t xml:space="preserve">Bracing 1-1/2" C.R. channel parapet infill (&gt;= 4 ft) - WEST (grid 2/D/3)</t>
  </si>
  <si>
    <t xml:space="preserve">Exterior gypsum sheathing 5/8" parapet cara roof side - WEST (grid 2/D/3)</t>
  </si>
  <si>
    <t xml:space="preserve">FRT plywood 3/4" parapet blocking (1 ply, top of parapet) - WEST (grid 2/D/3)</t>
  </si>
  <si>
    <t xml:space="preserve">3-5/8" stud (362S137-33) storefront piers 1 &amp; 2/A09.25 (framing interior)</t>
  </si>
  <si>
    <t xml:space="preserve">agent ext: 1/A09.25 &amp; 2/A09.25 DETAIL @ STOREFRONT PIER '3 5/8" METAL FRAMING' (1'-9"/1'-8 1/2" x 1'-0") -&gt; regla 59.6/53.2</t>
  </si>
  <si>
    <t xml:space="preserve">3-5/8" track piers 1 &amp; 2/A09.25 (bottom)</t>
  </si>
  <si>
    <t xml:space="preserve">agent ext: 1,2/A09.25</t>
  </si>
  <si>
    <t xml:space="preserve">3-5/8" track piers 1 &amp; 2/A09.25 (top)</t>
  </si>
  <si>
    <t xml:space="preserve">3-5/8" stud as soffit joist @16" canopy - C-G vestibule front (3/A09.26, secc. A/B 3'-8")</t>
  </si>
  <si>
    <t xml:space="preserve">agent ext: 3/A09.26 / 7/A09.26 '5/8" PORTLAND CEMENT PLASTER (PT-4) ... ON 5/8" EXT. GRADE FRT PLYWOOD SHEATHING ON 3 5/8" METAL STUD FRAMING' -&gt; wall sections (profundidad) -&gt; A02.02</t>
  </si>
  <si>
    <t xml:space="preserve">Ceiling/soffit track 3-5/8" ambos extremos de joists - C-G vestibule front (3/A09.26, secc. A/B 3'-8")</t>
  </si>
  <si>
    <t xml:space="preserve">agent ext: 3/A09.26, 7/A09.26 -&gt; regla 58.3/60.8</t>
  </si>
  <si>
    <t xml:space="preserve">FRT plywood 5/8" ext. grade - soffit canopy - C-G vestibule front (3/A09.26, secc. A/B 3'-8")</t>
  </si>
  <si>
    <t xml:space="preserve">agent ext: 3/A09.26, 7/A09.26 '5/8" EXT. GRADE FRT PLYWOOD SHEATHING'</t>
  </si>
  <si>
    <t xml:space="preserve">3-5/8" stud fascia @16" canopy - C-G vestibule front (3/A09.26, secc. A/B 3'-8")</t>
  </si>
  <si>
    <t xml:space="preserve">agent ext: 3/A09.26, 7/A09.26 'COMPOSITE METAL PANEL ON AWB ON 5/8" EXT. GRADE FRT PLYWOOD SHEATHING ON 3 5/8" METAL STUD FRAMING' T/STUD 12'-7" B/STUD 10'-8 5/8"</t>
  </si>
  <si>
    <t xml:space="preserve">Ceiling/soffit track 3-5/8" fascia box (top + bottom) - C-G vestibule front (3/A09.26, secc. A/B 3'-8")</t>
  </si>
  <si>
    <t xml:space="preserve">agent ext: 3/A09.26, 7/A09.26 fascia box -&gt; regla 58.2/60.8 (fascia box = ceiling/soffit track)</t>
  </si>
  <si>
    <t xml:space="preserve">FRT plywood 5/8" ext. grade - fascia canopy - C-G vestibule front (3/A09.26, secc. A/B 3'-8")</t>
  </si>
  <si>
    <t xml:space="preserve">agent ext: 3/A09.26, 7/A09.26 (fascia box 6")</t>
  </si>
  <si>
    <t xml:space="preserve">3-5/8" stud as soffit joist @16" canopy - C-F north 4-&gt;8 (3/A09.26, secc. C 4'-7 3/4")</t>
  </si>
  <si>
    <t xml:space="preserve">Ceiling/soffit track 3-5/8" ambos extremos de joists - C-F north 4-&gt;8 (3/A09.26, secc. C 4'-7 3/4")</t>
  </si>
  <si>
    <t xml:space="preserve">FRT plywood 5/8" ext. grade - soffit canopy - C-F north 4-&gt;8 (3/A09.26, secc. C 4'-7 3/4")</t>
  </si>
  <si>
    <t xml:space="preserve">3-5/8" stud fascia @16" canopy - C-F north 4-&gt;8 (3/A09.26, secc. C 4'-7 3/4")</t>
  </si>
  <si>
    <t xml:space="preserve">Ceiling/soffit track 3-5/8" fascia box (top + bottom) - C-F north 4-&gt;8 (3/A09.26, secc. C 4'-7 3/4")</t>
  </si>
  <si>
    <t xml:space="preserve">FRT plywood 5/8" ext. grade - fascia canopy - C-F north 4-&gt;8 (3/A09.26, secc. C 4'-7 3/4")</t>
  </si>
  <si>
    <t xml:space="preserve">3-5/8" stud as soffit joist @16" canopy - C-E east F-&gt;B.2 (7/A09.26, secc. D 3'-1 3/4")</t>
  </si>
  <si>
    <t xml:space="preserve">Ceiling/soffit track 3-5/8" ambos extremos de joists - C-E east F-&gt;B.2 (7/A09.26, secc. D 3'-1 3/4")</t>
  </si>
  <si>
    <t xml:space="preserve">FRT plywood 5/8" ext. grade - soffit canopy - C-E east F-&gt;B.2 (7/A09.26, secc. D 3'-1 3/4")</t>
  </si>
  <si>
    <t xml:space="preserve">3-5/8" stud fascia @16" canopy - C-E east F-&gt;B.2 (7/A09.26, secc. D 3'-1 3/4")</t>
  </si>
  <si>
    <t xml:space="preserve">Ceiling/soffit track 3-5/8" fascia box (top + bottom) - C-E east F-&gt;B.2 (7/A09.26, secc. D 3'-1 3/4")</t>
  </si>
  <si>
    <t xml:space="preserve">FRT plywood 5/8" ext. grade - fascia canopy - C-E east F-&gt;B.2 (7/A09.26, secc. D 3'-1 3/4")</t>
  </si>
  <si>
    <t xml:space="preserve">3-5/8" stud as soffit joist @16" canopy - C-S south 3.4-&gt;5.6 (7/A09.26 SIM, secc. F; S2.20 22'-2")</t>
  </si>
  <si>
    <t xml:space="preserve">Ceiling/soffit track 3-5/8" ambos extremos de joists - C-S south 3.4-&gt;5.6 (7/A09.26 SIM, secc. F; S2.20 22'-2")</t>
  </si>
  <si>
    <t xml:space="preserve">FRT plywood 5/8" ext. grade - soffit canopy - C-S south 3.4-&gt;5.6 (7/A09.26 SIM, secc. F; S2.20 22'-2")</t>
  </si>
  <si>
    <t xml:space="preserve">3-5/8" stud fascia @16" canopy - C-S south 3.4-&gt;5.6 (7/A09.26 SIM, secc. F; S2.20 22'-2")</t>
  </si>
  <si>
    <t xml:space="preserve">Ceiling/soffit track 3-5/8" fascia box (top + bottom) - C-S south 3.4-&gt;5.6 (7/A09.26 SIM, secc. F; S2.20 22'-2")</t>
  </si>
  <si>
    <t xml:space="preserve">FRT plywood 5/8" ext. grade - fascia canopy - C-S south 3.4-&gt;5.6 (7/A09.26 SIM, secc. F; S2.20 22'-2")</t>
  </si>
  <si>
    <t xml:space="preserve">3-5/8" stud as soffit joist @16" canopy - C-DU drive-up (15,16/A09.27)</t>
  </si>
  <si>
    <t xml:space="preserve">agent ext: A02.02 55'-10 3/4" x (4'-10 1/4"+16'-7 3/4") -&gt; 16/A09.27 &amp; 15/A09.27 '...5/8" EXT. GRADE FRT PLYWOOD SHEATHING ON 3 5/8" METAL STUD FRAMING' -&gt; S2.20 B.O.D. 11'-9" TYP @ CANOPY</t>
  </si>
  <si>
    <t xml:space="preserve">Ceiling/soffit track 3-5/8" ambos extremos de joists - C-DU</t>
  </si>
  <si>
    <t xml:space="preserve">agent ext: 15,16/A09.27 -&gt; regla 58.3/60.8</t>
  </si>
  <si>
    <t xml:space="preserve">FRT plywood 5/8" ext. grade - soffit canopy - C-DU</t>
  </si>
  <si>
    <t xml:space="preserve">agent ext: 16/A09.27</t>
  </si>
  <si>
    <t xml:space="preserve">3-5/8" stud fascia @16" canopy - C-DU</t>
  </si>
  <si>
    <t xml:space="preserve">agent ext: 16/A09.27 T/STUD 12'-7" B/STUD 10'-8 5/8"</t>
  </si>
  <si>
    <t xml:space="preserve">Ceiling/soffit track 3-5/8" fascia box (top + bottom) - C-DU</t>
  </si>
  <si>
    <t xml:space="preserve">agent ext: 16/A09.27 -&gt; 60.8</t>
  </si>
  <si>
    <t xml:space="preserve">FRT plywood 5/8" ext. grade - fascia canopy - C-DU</t>
  </si>
  <si>
    <t xml:space="preserve">3-5/8" stud canopy columns (4) 5/A09.25</t>
  </si>
  <si>
    <t xml:space="preserve">agent ext: A02.01 (4 x 5/A09.25 en grid 1) -&gt; 5/A09.25 DETAIL @ CANOPY COLUMN 'STUCCO SYSTEM (PT-03) ON 5/8" EXTERIOR GRADE FRT PLYWOOD ON 3-5/8" METAL FRAMING' 1'-2 1/2" FOS</t>
  </si>
  <si>
    <t xml:space="preserve">3-5/8" bottom track canopy columns</t>
  </si>
  <si>
    <t xml:space="preserve">agent ext: 5/A09.25</t>
  </si>
  <si>
    <t xml:space="preserve">3-5/8" top track canopy columns</t>
  </si>
  <si>
    <t xml:space="preserve">Bracing 1-1/2" C.R. channel canopy columns</t>
  </si>
  <si>
    <t xml:space="preserve">agent ext: 1/S5.20 F -&gt; 5/A09.25 -&gt; regla 60.7</t>
  </si>
  <si>
    <t xml:space="preserve">FRT plywood 5/8" ext. grade - canopy columns</t>
  </si>
  <si>
    <t xml:space="preserve">Framed opening canopy luminaires - lados (2 x largo schedule) 3-5/8" track</t>
  </si>
  <si>
    <t xml:space="preserve">agent ext: E00.01 p80 LUMINAIRE SCHEDULE (UU1 20', UU2 2', UU3 3', UU4 55', UU5 50', UU6 16') x conteo de tags E02.01 p82 -&gt; regla 54.1</t>
  </si>
  <si>
    <t xml:space="preserve">3-5/8" stud @16" roof step 4/A02.02 (3 corridas)</t>
  </si>
  <si>
    <t xml:space="preserve">agent ext: A02.02 key note 13 ROOF STEP (grid B, 3-&gt;8) -&gt; 4/A02.02 SECTION DETAIL @ ROOF STEP '3 5/8" METAL STUD FRAMING @ 16" O.C.' alturas vectoriales 1 1/2"=1'-0" (108 pt/ft)</t>
  </si>
  <si>
    <t xml:space="preserve">3-5/8" bottom track roof step (3 corridas)</t>
  </si>
  <si>
    <t xml:space="preserve">agent ext: 4/A02.02 -&gt; 60.6</t>
  </si>
  <si>
    <t xml:space="preserve">3-5/8" top track roof step (3 corridas)</t>
  </si>
  <si>
    <t xml:space="preserve">2x FRT blocking roof step (top)</t>
  </si>
  <si>
    <t xml:space="preserve">agent ext: 4/A02.02 '2X FRT BLOCKING'</t>
  </si>
  <si>
    <t xml:space="preserve">FRT plywood 5/8" bonded to polyiso - roof step run 1</t>
  </si>
  <si>
    <t xml:space="preserve">agent ext: 4/A02.02 'ROOF MEMBRANE ON 5/8" FRT PLYWOOD BONDED TO POLYISO INSULATION ON 3 5/8" METAL STUD'</t>
  </si>
  <si>
    <t xml:space="preserve">5/8" gypsum board - roof step interior (run 2 + run 3 + fondo)</t>
  </si>
  <si>
    <t xml:space="preserve">agent ext: 4/A02.02 '5/8" GYP BD ON 3 5/8" METAL STUD FRAMING ... RUN GYP BD TIGHT TO DECK'</t>
  </si>
  <si>
    <t xml:space="preserve">Purlin 1x1x1 16GA track paralelo al flute (roof step, 2 tracks a deck)</t>
  </si>
  <si>
    <t xml:space="preserve">agent ext: S2.20 (vigas N-S -&gt; flute E-W, paralelo a B) -&gt; 10/A09.33 'PURLIN ACROSS MIN (2) FLUTES' -&gt; regla 59.1 (1'-6"/2'-0")</t>
  </si>
  <si>
    <t xml:space="preserve">2x FRT blocking roof hatch curb</t>
  </si>
  <si>
    <t xml:space="preserve">agent ext: A02.01 key note 4 / A09.30 1 ROOF HATCH DETAIL '2x FRT BLOCKING AS REQUIRED' ; hatch 30"x54" (A02.01)</t>
  </si>
  <si>
    <t xml:space="preserve">Metal trim - corner bead (jamb returns de ventanas/storefront, cara interior)</t>
  </si>
  <si>
    <t xml:space="preserve">agent ext: 2/A09.26 &amp; 11/A09.27 'GYPSUM BOARD JAMB RETURN' -&gt; regla 53.1/56.9 (criterio)</t>
  </si>
  <si>
    <t xml:space="preserve">Metal trim - L-bead (board contra storefront/window frame)</t>
  </si>
  <si>
    <t xml:space="preserve">agent ext: 2/A09.26, 11/A09.27, 3/A09.25 -&gt; regla 53.1/56.9 (criterio)</t>
  </si>
  <si>
    <t xml:space="preserve">5/8" gypsum board - ceiling (100 VESTIBULE)</t>
  </si>
  <si>
    <t xml:space="preserve">agent rcp: 1/A04.01 (p29) GB tag -&gt; note E (P-15) -&gt; A09.33 (no GWB suspension detail printed; 3/A09.33 '12 GAUGE HANGER WIRE' for ACT) -&gt; S2.20 (p63) B.O.D. -&gt; S1.11 note 9</t>
  </si>
  <si>
    <t xml:space="preserve">Furring channel 7/8" hat 25ga @16" O.C. - ceiling (100 VESTIBULE)</t>
  </si>
  <si>
    <t xml:space="preserve">piece 12 ft</t>
  </si>
  <si>
    <t xml:space="preserve">Carrying channel 1-1/2" CRC @48" O.C. - ceiling (100 VESTIBULE)</t>
  </si>
  <si>
    <t xml:space="preserve">Hanger wire 12 ga @48" x 48" - ceiling (100 VESTIBULE)</t>
  </si>
  <si>
    <t xml:space="preserve">LF (coil)</t>
  </si>
  <si>
    <t xml:space="preserve">Ceiling track (perimeter) - ceiling (100 VESTIBULE)</t>
  </si>
  <si>
    <t xml:space="preserve">5/8" gypsum board - ceiling (113 MEN'S RESTROOM)</t>
  </si>
  <si>
    <t xml:space="preserve">Furring channel 7/8" hat 25ga @16" O.C. - ceiling (113 MEN'S RESTROOM)</t>
  </si>
  <si>
    <t xml:space="preserve">Carrying channel 1-1/2" CRC @48" O.C. - ceiling (113 MEN'S RESTROOM)</t>
  </si>
  <si>
    <t xml:space="preserve">Hanger wire 12 ga @48" x 48" - ceiling (113 MEN'S RESTROOM)</t>
  </si>
  <si>
    <t xml:space="preserve">Ceiling track (perimeter) - ceiling (113 MEN'S RESTROOM)</t>
  </si>
  <si>
    <t xml:space="preserve">5/8" gypsum board - ceiling (114 WOMEN'S RESTROOM)</t>
  </si>
  <si>
    <t xml:space="preserve">Furring channel 7/8" hat 25ga @16" O.C. - ceiling (114 WOMEN'S RESTROOM)</t>
  </si>
  <si>
    <t xml:space="preserve">Carrying channel 1-1/2" CRC @48" O.C. - ceiling (114 WOMEN'S RESTROOM)</t>
  </si>
  <si>
    <t xml:space="preserve">Hanger wire 12 ga @48" x 48" - ceiling (114 WOMEN'S RESTROOM)</t>
  </si>
  <si>
    <t xml:space="preserve">Ceiling track (perimeter) - ceiling (114 WOMEN'S RESTROOM)</t>
  </si>
  <si>
    <t xml:space="preserve">5/8" gypsum board - ceiling (101 24 HR VESTIBULE)</t>
  </si>
  <si>
    <t xml:space="preserve">Furring channel 7/8" hat 25ga @16" O.C. - ceiling (101 24 HR VESTIBULE)</t>
  </si>
  <si>
    <t xml:space="preserve">Carrying channel 1-1/2" CRC @48" O.C. - ceiling (101 24 HR VESTIBULE)</t>
  </si>
  <si>
    <t xml:space="preserve">Hanger wire 12 ga @48" x 48" - ceiling (101 24 HR VESTIBULE)</t>
  </si>
  <si>
    <t xml:space="preserve">Ceiling track (perimeter) - ceiling (101 24 HR VESTIBULE)</t>
  </si>
  <si>
    <t xml:space="preserve">5/8" gypsum board - ceiling (104 WAITING)</t>
  </si>
  <si>
    <t xml:space="preserve">agent rcp: 1/A04.01 (p29) GB 11'-0" + R-11 (12') trimless -&gt; 6/A09.33 '3 5/8" METAL STUD FRAMING @ 16" O.C.' -&gt; S2.20 B.O.D. 15'-4 1/2"</t>
  </si>
  <si>
    <t xml:space="preserve">3-5/8" stud ceiling joists @16" O.C. (104 WAITING)</t>
  </si>
  <si>
    <t xml:space="preserve">Carrying channel 1-1/2" CRC @48" O.C. (104 WAITING)</t>
  </si>
  <si>
    <t xml:space="preserve">Hanger wire 12 ga @48" x 48" (104 WAITING)</t>
  </si>
  <si>
    <t xml:space="preserve">Ceiling / soffit track 3-5/8" (perimeter joist ends) (104 WAITING)</t>
  </si>
  <si>
    <t xml:space="preserve">agent rcp: 1/A04.01 (p29) GB 11'-0" + R-11 (12') trimless -&gt; 6/A09.33 '3 5/8" METAL STUD FRAMING @ 16" O.C.' -&gt; S2.20 B.O.D. 15'-4 1/2" | 58.3 (adv3-S3): joists E-W -&gt; track only at both joist ends = 2 x 30'-0" printed</t>
  </si>
  <si>
    <t xml:space="preserve">5/8" gypsum board - drop face (104 WAITING drop N edge (E-W, parallel to flute))</t>
  </si>
  <si>
    <t xml:space="preserve">agent rcp: 1/A04.01 (p29) Waiting GB 11'-0" vs Central Zone ACT-4 11'-6" -&gt; 8/A09.33 TYPICAL BULKHEAD DETAIL</t>
  </si>
  <si>
    <t xml:space="preserve">3-5/8" stud vertical @16" O.C. to deck (104 WAITING drop N edge (E-W, parallel to flute))</t>
  </si>
  <si>
    <t xml:space="preserve">3-5/8" stud kicker/bracing @48" O.C. (104 WAITING drop N edge (E-W, parallel to flute))</t>
  </si>
  <si>
    <t xml:space="preserve">Bottom track 3-5/8" (104 WAITING drop N edge (E-W, parallel to flute))</t>
  </si>
  <si>
    <t xml:space="preserve">Top track 3-5/8" at deck (104 WAITING drop N edge (E-W, parallel to flute))</t>
  </si>
  <si>
    <t xml:space="preserve">Purlin 1x1x1 16ga across min 2 flutes (104 WAITING drop N edge (E-W, parallel to flute))</t>
  </si>
  <si>
    <t xml:space="preserve">agent rcp: 10/A09.33 alternate (VIF) + S2.20 flute E-W</t>
  </si>
  <si>
    <t xml:space="preserve">Metal trim - corner L bead (104 WAITING drop N edge (E-W, parallel to flute))</t>
  </si>
  <si>
    <t xml:space="preserve">Metal trim - shadow molding (104 WAITING drop N edge (E-W, parallel to flute))</t>
  </si>
  <si>
    <t xml:space="preserve">5/8" gypsum board - drop face (104 WAITING drop E edge (N-S))</t>
  </si>
  <si>
    <t xml:space="preserve">3-5/8" stud vertical @16" O.C. to deck (104 WAITING drop E edge (N-S))</t>
  </si>
  <si>
    <t xml:space="preserve">3-5/8" stud kicker/bracing @48" O.C. (104 WAITING drop E edge (N-S))</t>
  </si>
  <si>
    <t xml:space="preserve">Bottom track 3-5/8" (104 WAITING drop E edge (N-S))</t>
  </si>
  <si>
    <t xml:space="preserve">Top track 3-5/8" at deck (104 WAITING drop E edge (N-S))</t>
  </si>
  <si>
    <t xml:space="preserve">Metal trim - corner L bead (104 WAITING drop E edge (N-S))</t>
  </si>
  <si>
    <t xml:space="preserve">Metal trim - shadow molding (104 WAITING drop E edge (N-S))</t>
  </si>
  <si>
    <t xml:space="preserve">5/8" gypsum board - drop face (104 WAITING drop W edge (N-S))</t>
  </si>
  <si>
    <t xml:space="preserve">3-5/8" stud vertical @16" O.C. to deck (104 WAITING drop W edge (N-S))</t>
  </si>
  <si>
    <t xml:space="preserve">3-5/8" stud kicker/bracing @48" O.C. (104 WAITING drop W edge (N-S))</t>
  </si>
  <si>
    <t xml:space="preserve">Bottom track 3-5/8" (104 WAITING drop W edge (N-S))</t>
  </si>
  <si>
    <t xml:space="preserve">Top track 3-5/8" at deck (104 WAITING drop W edge (N-S))</t>
  </si>
  <si>
    <t xml:space="preserve">Metal trim - corner L bead (104 WAITING drop W edge (N-S))</t>
  </si>
  <si>
    <t xml:space="preserve">Metal trim - shadow molding (104 WAITING drop W edge (N-S))</t>
  </si>
  <si>
    <t xml:space="preserve">5/8" gypsum board - transition drop (103 CENTRAL ZONE transition 11'-6" -&gt; 9'-0" (E-W, y 1110.7-1118.0, x 1530.36-1622.04))</t>
  </si>
  <si>
    <t xml:space="preserve">agent rcp: 1/A04.01 (p29) double line between ACT-4 11'-6" and ACT-4 9'-0" -&gt; 7/A09.33 TYPICAL CEILING TRANSITION DETAIL</t>
  </si>
  <si>
    <t xml:space="preserve">3-5/8" stud vertical @16" O.C. to deck (103 CENTRAL ZONE transition 11'-6" -&gt; 9'-0" (E-W, y 1110.7-1118.0, x 1530.36-1622.04))</t>
  </si>
  <si>
    <t xml:space="preserve">3-5/8" stud kicker @48" O.C. (103 CENTRAL ZONE transition 11'-6" -&gt; 9'-0" (E-W, y 1110.7-1118.0, x 1530.36-1622.04))</t>
  </si>
  <si>
    <t xml:space="preserve">Bottom track 3-5/8" (103 CENTRAL ZONE transition 11'-6" -&gt; 9'-0" (E-W, y 1110.7-1118.0, x 1530.36-1622.04))</t>
  </si>
  <si>
    <t xml:space="preserve">Top track 3-5/8" at deck (103 CENTRAL ZONE transition 11'-6" -&gt; 9'-0" (E-W, y 1110.7-1118.0, x 1530.36-1622.04))</t>
  </si>
  <si>
    <t xml:space="preserve">Purlin 1x1x1 16ga (103 CENTRAL ZONE transition 11'-6" -&gt; 9'-0" (E-W, y 1110.7-1118.0, x 1530.36-1622.04))</t>
  </si>
  <si>
    <t xml:space="preserve">agent rcp: 10/A09.33 + S2.20</t>
  </si>
  <si>
    <t xml:space="preserve">Metal trim - corner bead (103 CENTRAL ZONE transition 11'-6" -&gt; 9'-0" (E-W, y 1110.7-1118.0, x 1530.36-1622.04))</t>
  </si>
  <si>
    <t xml:space="preserve">Metal trim - shadow molding (103 CENTRAL ZONE transition 11'-6" -&gt; 9'-0" (E-W, y 1110.7-1118.0, x 1530.36-1622.04))</t>
  </si>
  <si>
    <t xml:space="preserve">5/8" gypsum board - soffit bottom (CSR LINE SOFFIT (N-S, x1653.96-1715.40, y1128.48-1344.72))</t>
  </si>
  <si>
    <t xml:space="preserve">agent rcp: 1/A04.01 (p29) GB 8'-0" -&gt; 4/A12.08 + 9/A12.08 CSR LINE SECTION + 10/A09.33 CEILING DETAIL @ CSR SOFFIT (same element, 55.2) -&gt; 6/A09.33 -&gt; S2.20</t>
  </si>
  <si>
    <t xml:space="preserve">5/8" gypsum board - soffit vertical faces (CSR LINE SOFFIT (N-S, x1653.96-1715.40, y1128.48-1344.72))</t>
  </si>
  <si>
    <t xml:space="preserve">3-5/8" stud vertical @16" O.C. to deck, 2 rows (CSR LINE SOFFIT (N-S, x1653.96-1715.40, y1128.48-1344.72)) - north of grid B</t>
  </si>
  <si>
    <t xml:space="preserve">3-5/8" stud vertical @16" O.C. to deck, 2 rows (CSR LINE SOFFIT (N-S, x1653.96-1715.40, y1128.48-1344.72)) - south of grid B</t>
  </si>
  <si>
    <t xml:space="preserve">3-5/8" stud soffit bottom joists @16" O.C. (CSR LINE SOFFIT (N-S, x1653.96-1715.40, y1128.48-1344.72))</t>
  </si>
  <si>
    <t xml:space="preserve">Top track 3-5/8" at deck (cont. track + PDF) (CSR LINE SOFFIT (N-S, x1653.96-1715.40, y1128.48-1344.72))</t>
  </si>
  <si>
    <t xml:space="preserve">Ceiling / soffit track 3-5/8" - soffit bottom + ends (CSR LINE SOFFIT (N-S, x1653.96-1715.40, y1128.48-1344.72))</t>
  </si>
  <si>
    <t xml:space="preserve">Metal trim - corner bead (CSR LINE SOFFIT (N-S, x1653.96-1715.40, y1128.48-1344.72))</t>
  </si>
  <si>
    <t xml:space="preserve">FRT plywood 5/8" blocking - soffit bottom full width (CSR LINE SOFFIT (N-S, x1653.96-1715.40, y1128.48-1344.72))</t>
  </si>
  <si>
    <t xml:space="preserve">agent rcp: 9/A12.08 '5/8" FIRE TREATED PLYWOOD BLOCKING'</t>
  </si>
  <si>
    <t xml:space="preserve">Bracing (C.R. channel bridging) 1 row x 2 stud rows (CSR LINE SOFFIT (N-S, x1653.96-1715.40, y1128.48-1344.72))</t>
  </si>
  <si>
    <t xml:space="preserve">agent rcp: 53.4/60.7 (S5.20 F bridging)</t>
  </si>
  <si>
    <t xml:space="preserve">3-5/8" stud @16" O.C. above head to deck (VESTIBULE HEAD 100/101 glazing (E-W, elev 3/A12.10, sections 6&amp;7))</t>
  </si>
  <si>
    <t xml:space="preserve">agent rcp: 1/A04.01 (p29) vestibules GB 10'-0" -&gt; 1/A12.10 plan 4'-9 1/2"+6'-2"+4'-8 1/4" = 15'-7 3/4" (1/A12.10) -&gt; 2,3/A12.10 elev -&gt; 4-7/A12.10 'METAL STUD FRAMING &amp; BOX HEADER AS NEEDED' -&gt; S2.20 B.O.D. 15'-4 1/2"</t>
  </si>
  <si>
    <t xml:space="preserve">Header / box beam (VESTIBULE HEAD 100/101 glazing (E-W, elev 3/A12.10, sections 6&amp;7))</t>
  </si>
  <si>
    <t xml:space="preserve">Bottom track (VESTIBULE HEAD 100/101 glazing (E-W, elev 3/A12.10, sections 6&amp;7))</t>
  </si>
  <si>
    <t xml:space="preserve">Top track at deck (VESTIBULE HEAD 100/101 glazing (E-W, elev 3/A12.10, sections 6&amp;7))</t>
  </si>
  <si>
    <t xml:space="preserve">Bracing (C.R. channel) 1 row (VESTIBULE HEAD 100/101 glazing (E-W, elev 3/A12.10, sections 6&amp;7))</t>
  </si>
  <si>
    <t xml:space="preserve">agent rcp: 53.4/60.7</t>
  </si>
  <si>
    <t xml:space="preserve">Purlin 1x1x1 16ga (VESTIBULE HEAD 100/101 glazing (E-W, elev 3/A12.10, sections 6&amp;7))</t>
  </si>
  <si>
    <t xml:space="preserve">agent rcp: 10/A09.33 + S2.20 flute E-W</t>
  </si>
  <si>
    <t xml:space="preserve">3-5/8" stud @16" O.C. above head to deck (VESTIBULE HEAD 100/Central Zone glazing grid 4 (N-S, elev 2/A12.10, sections 4&amp;5))</t>
  </si>
  <si>
    <t xml:space="preserve">agent rcp: 1/A04.01 (p29) vestibules GB 10'-0" -&gt; 1/A12.10 plan 3'-4"+3'-1" = 6'-5" (1/A12.10) -&gt; 2,3/A12.10 elev -&gt; 4-7/A12.10 'METAL STUD FRAMING &amp; BOX HEADER AS NEEDED' -&gt; S2.20 B.O.D. 15'-4 1/2"</t>
  </si>
  <si>
    <t xml:space="preserve">Header / box beam (VESTIBULE HEAD 100/Central Zone glazing grid 4 (N-S, elev 2/A12.10, sections 4&amp;5))</t>
  </si>
  <si>
    <t xml:space="preserve">Bottom track (VESTIBULE HEAD 100/Central Zone glazing grid 4 (N-S, elev 2/A12.10, sections 4&amp;5))</t>
  </si>
  <si>
    <t xml:space="preserve">Top track at deck (VESTIBULE HEAD 100/Central Zone glazing grid 4 (N-S, elev 2/A12.10, sections 4&amp;5))</t>
  </si>
  <si>
    <t xml:space="preserve">Bracing (C.R. channel) 1 row (VESTIBULE HEAD 100/Central Zone glazing grid 4 (N-S, elev 2/A12.10, sections 4&amp;5))</t>
  </si>
  <si>
    <t xml:space="preserve">5/8" gypsum board - head face to Central Zone (VESTIBULE HEAD 100/Central Zone glazing grid 4 (N-S, elev 2/A12.10, sections 4&amp;5))</t>
  </si>
  <si>
    <t xml:space="preserve">Metal trim - corner bead at 10'-0" (VESTIBULE HEAD 100/Central Zone glazing grid 4 (N-S, elev 2/A12.10, sections 4&amp;5))</t>
  </si>
  <si>
    <t xml:space="preserve">5/8" gypsum board 2 layers - office face to deck (OFFICE BULKHEAD OFFICE 1 ME 105 (x~1640 N-S; door 3'-0" + glass 4'-6" = 7'-6"))</t>
  </si>
  <si>
    <t xml:space="preserve">agent rcp: A02.01 (p24) DFC-1A 'CLEAR FINISHED OPENING 7'-6" HOLD' -&gt; 2/A11.01 '8'-0 1/2" HOLD TYP. FROM SLAB' (56.7) -&gt; 8/A12.01 @DOOR (3'-0" door, A00.30) + 9/A12.01 @GLASS PANEL -&gt; 5/A12.01 G1 1-5/8" double row -&gt; S2.20 B.O.D. 15'-4 1/2" -&gt; RCP office ACT-4 9'-0" / Central Zone ACT-4 11'-6"</t>
  </si>
  <si>
    <t xml:space="preserve">5/8" gypsum board 2 layers - lobby face to deck (OFFICE BULKHEAD OFFICE 1 ME 105 (x~1640 N-S; door 3'-0" + glass 4'-6" = 7'-6"))</t>
  </si>
  <si>
    <t xml:space="preserve">5/8" gypsum board - bulkhead bottom (OFFICE BULKHEAD OFFICE 1 ME 105 (x~1640 N-S; door 3'-0" + glass 4'-6" = 7'-6"))</t>
  </si>
  <si>
    <t xml:space="preserve">1-5/8" stud cripples double row @16" above box beam (OFFICE BULKHEAD OFFICE 1 ME 105 (x~1640 N-S; door 3'-0" + glass 4'-6" = 7'-6"))</t>
  </si>
  <si>
    <t xml:space="preserve">Header / box beam - cont. box beam (OFFICE BULKHEAD OFFICE 1 ME 105 (x~1640 N-S; door 3'-0" + glass 4'-6" = 7'-6"))</t>
  </si>
  <si>
    <t xml:space="preserve">Top track - cont. slip track at deck, 2 rows (OFFICE BULKHEAD OFFICE 1 ME 105 (x~1640 N-S; door 3'-0" + glass 4'-6" = 7'-6"))</t>
  </si>
  <si>
    <t xml:space="preserve">Bottom track on box beam, 2 rows (OFFICE BULKHEAD OFFICE 1 ME 105 (x~1640 N-S; door 3'-0" + glass 4'-6" = 7'-6"))</t>
  </si>
  <si>
    <t xml:space="preserve">FRT blocking 3/4" plywood under box beam (OFFICE BULKHEAD OFFICE 1 ME 105 (x~1640 N-S; door 3'-0" + glass 4'-6" = 7'-6"))</t>
  </si>
  <si>
    <t xml:space="preserve">Soundguard isolator by Marinoware (OFFICE BULKHEAD OFFICE 1 ME 105 (x~1640 N-S; door 3'-0" + glass 4'-6" = 7'-6"))</t>
  </si>
  <si>
    <t xml:space="preserve">Metal trim - corner bead (OFFICE BULKHEAD OFFICE 1 ME 105 (x~1640 N-S; door 3'-0" + glass 4'-6" = 7'-6"))</t>
  </si>
  <si>
    <t xml:space="preserve">Metal trim - shadow molding (OFFICE BULKHEAD OFFICE 1 ME 105 (x~1640 N-S; door 3'-0" + glass 4'-6" = 7'-6"))</t>
  </si>
  <si>
    <t xml:space="preserve">Acoustical sealant - top at deck, 2 runs (OFFICE BULKHEAD OFFICE 1 ME 105 (x~1640 N-S; door 3'-0" + glass 4'-6" = 7'-6"))</t>
  </si>
  <si>
    <t xml:space="preserve">Acoustical sealant - bottom at office front, 2 runs (OFFICE BULKHEAD OFFICE 1 ME 105 (x~1640 N-S; door 3'-0" + glass 4'-6" = 7'-6"))</t>
  </si>
  <si>
    <t xml:space="preserve">Batt insulation in bulkhead (OFFICE BULKHEAD OFFICE 1 ME 105 (x~1640 N-S; door 3'-0" + glass 4'-6" = 7'-6"))</t>
  </si>
  <si>
    <t xml:space="preserve">Bracing (C.R. channel) 1 row x 2 rows (OFFICE BULKHEAD OFFICE 1 ME 105 (x~1640 N-S; door 3'-0" + glass 4'-6" = 7'-6"))</t>
  </si>
  <si>
    <t xml:space="preserve">5/8" gypsum board 2 layers - office face to deck (OFFICE BULKHEAD OFFICE 2 CL 106 (x~1640 N-S; door 3'-0" + glass 4'-6" = 7'-6"))</t>
  </si>
  <si>
    <t xml:space="preserve">5/8" gypsum board 2 layers - lobby face to deck (OFFICE BULKHEAD OFFICE 2 CL 106 (x~1640 N-S; door 3'-0" + glass 4'-6" = 7'-6"))</t>
  </si>
  <si>
    <t xml:space="preserve">5/8" gypsum board - bulkhead bottom (OFFICE BULKHEAD OFFICE 2 CL 106 (x~1640 N-S; door 3'-0" + glass 4'-6" = 7'-6"))</t>
  </si>
  <si>
    <t xml:space="preserve">1-5/8" stud cripples double row @16" above box beam (OFFICE BULKHEAD OFFICE 2 CL 106 (x~1640 N-S; door 3'-0" + glass 4'-6" = 7'-6"))</t>
  </si>
  <si>
    <t xml:space="preserve">Header / box beam - cont. box beam (OFFICE BULKHEAD OFFICE 2 CL 106 (x~1640 N-S; door 3'-0" + glass 4'-6" = 7'-6"))</t>
  </si>
  <si>
    <t xml:space="preserve">Top track - cont. slip track at deck, 2 rows (OFFICE BULKHEAD OFFICE 2 CL 106 (x~1640 N-S; door 3'-0" + glass 4'-6" = 7'-6"))</t>
  </si>
  <si>
    <t xml:space="preserve">Bottom track on box beam, 2 rows (OFFICE BULKHEAD OFFICE 2 CL 106 (x~1640 N-S; door 3'-0" + glass 4'-6" = 7'-6"))</t>
  </si>
  <si>
    <t xml:space="preserve">FRT blocking 3/4" plywood under box beam (OFFICE BULKHEAD OFFICE 2 CL 106 (x~1640 N-S; door 3'-0" + glass 4'-6" = 7'-6"))</t>
  </si>
  <si>
    <t xml:space="preserve">Soundguard isolator by Marinoware (OFFICE BULKHEAD OFFICE 2 CL 106 (x~1640 N-S; door 3'-0" + glass 4'-6" = 7'-6"))</t>
  </si>
  <si>
    <t xml:space="preserve">Metal trim - corner bead (OFFICE BULKHEAD OFFICE 2 CL 106 (x~1640 N-S; door 3'-0" + glass 4'-6" = 7'-6"))</t>
  </si>
  <si>
    <t xml:space="preserve">Metal trim - shadow molding (OFFICE BULKHEAD OFFICE 2 CL 106 (x~1640 N-S; door 3'-0" + glass 4'-6" = 7'-6"))</t>
  </si>
  <si>
    <t xml:space="preserve">Acoustical sealant - top at deck, 2 runs (OFFICE BULKHEAD OFFICE 2 CL 106 (x~1640 N-S; door 3'-0" + glass 4'-6" = 7'-6"))</t>
  </si>
  <si>
    <t xml:space="preserve">Acoustical sealant - bottom at office front, 2 runs (OFFICE BULKHEAD OFFICE 2 CL 106 (x~1640 N-S; door 3'-0" + glass 4'-6" = 7'-6"))</t>
  </si>
  <si>
    <t xml:space="preserve">Batt insulation in bulkhead (OFFICE BULKHEAD OFFICE 2 CL 106 (x~1640 N-S; door 3'-0" + glass 4'-6" = 7'-6"))</t>
  </si>
  <si>
    <t xml:space="preserve">Bracing (C.R. channel) 1 row x 2 rows (OFFICE BULKHEAD OFFICE 2 CL 106 (x~1640 N-S; door 3'-0" + glass 4'-6" = 7'-6"))</t>
  </si>
  <si>
    <t xml:space="preserve">5/8" gypsum board 2 layers - office face to deck (OFFICE BULKHEAD OFFICE 3 SB 107 (x~1640 N-S; door 3'-0" + glass 4'-6" = 7'-6"))</t>
  </si>
  <si>
    <t xml:space="preserve">5/8" gypsum board 2 layers - lobby face to deck (OFFICE BULKHEAD OFFICE 3 SB 107 (x~1640 N-S; door 3'-0" + glass 4'-6" = 7'-6"))</t>
  </si>
  <si>
    <t xml:space="preserve">5/8" gypsum board - bulkhead bottom (OFFICE BULKHEAD OFFICE 3 SB 107 (x~1640 N-S; door 3'-0" + glass 4'-6" = 7'-6"))</t>
  </si>
  <si>
    <t xml:space="preserve">1-5/8" stud cripples double row @16" above box beam (OFFICE BULKHEAD OFFICE 3 SB 107 (x~1640 N-S; door 3'-0" + glass 4'-6" = 7'-6"))</t>
  </si>
  <si>
    <t xml:space="preserve">Header / box beam - cont. box beam (OFFICE BULKHEAD OFFICE 3 SB 107 (x~1640 N-S; door 3'-0" + glass 4'-6" = 7'-6"))</t>
  </si>
  <si>
    <t xml:space="preserve">Top track - cont. slip track at deck, 2 rows (OFFICE BULKHEAD OFFICE 3 SB 107 (x~1640 N-S; door 3'-0" + glass 4'-6" = 7'-6"))</t>
  </si>
  <si>
    <t xml:space="preserve">Bottom track on box beam, 2 rows (OFFICE BULKHEAD OFFICE 3 SB 107 (x~1640 N-S; door 3'-0" + glass 4'-6" = 7'-6"))</t>
  </si>
  <si>
    <t xml:space="preserve">FRT blocking 3/4" plywood under box beam (OFFICE BULKHEAD OFFICE 3 SB 107 (x~1640 N-S; door 3'-0" + glass 4'-6" = 7'-6"))</t>
  </si>
  <si>
    <t xml:space="preserve">Soundguard isolator by Marinoware (OFFICE BULKHEAD OFFICE 3 SB 107 (x~1640 N-S; door 3'-0" + glass 4'-6" = 7'-6"))</t>
  </si>
  <si>
    <t xml:space="preserve">Metal trim - corner bead (OFFICE BULKHEAD OFFICE 3 SB 107 (x~1640 N-S; door 3'-0" + glass 4'-6" = 7'-6"))</t>
  </si>
  <si>
    <t xml:space="preserve">Metal trim - shadow molding (OFFICE BULKHEAD OFFICE 3 SB 107 (x~1640 N-S; door 3'-0" + glass 4'-6" = 7'-6"))</t>
  </si>
  <si>
    <t xml:space="preserve">Acoustical sealant - top at deck, 2 runs (OFFICE BULKHEAD OFFICE 3 SB 107 (x~1640 N-S; door 3'-0" + glass 4'-6" = 7'-6"))</t>
  </si>
  <si>
    <t xml:space="preserve">Acoustical sealant - bottom at office front, 2 runs (OFFICE BULKHEAD OFFICE 3 SB 107 (x~1640 N-S; door 3'-0" + glass 4'-6" = 7'-6"))</t>
  </si>
  <si>
    <t xml:space="preserve">Batt insulation in bulkhead (OFFICE BULKHEAD OFFICE 3 SB 107 (x~1640 N-S; door 3'-0" + glass 4'-6" = 7'-6"))</t>
  </si>
  <si>
    <t xml:space="preserve">Bracing (C.R. channel) 1 row x 2 rows (OFFICE BULKHEAD OFFICE 3 SB 107 (x~1640 N-S; door 3'-0" + glass 4'-6" = 7'-6"))</t>
  </si>
  <si>
    <t xml:space="preserve">5/8" gypsum board 2 layers - office face to deck (OFFICE BULKHEAD OFFICE 4 CB 108 (x~1640 N-S; door 3'-0" + glass 4'-6" = 7'-6"))</t>
  </si>
  <si>
    <t xml:space="preserve">5/8" gypsum board 2 layers - lobby face to deck (OFFICE BULKHEAD OFFICE 4 CB 108 (x~1640 N-S; door 3'-0" + glass 4'-6" = 7'-6"))</t>
  </si>
  <si>
    <t xml:space="preserve">5/8" gypsum board - bulkhead bottom (OFFICE BULKHEAD OFFICE 4 CB 108 (x~1640 N-S; door 3'-0" + glass 4'-6" = 7'-6"))</t>
  </si>
  <si>
    <t xml:space="preserve">1-5/8" stud cripples double row @16" above box beam (OFFICE BULKHEAD OFFICE 4 CB 108 (x~1640 N-S; door 3'-0" + glass 4'-6" = 7'-6"))</t>
  </si>
  <si>
    <t xml:space="preserve">Header / box beam - cont. box beam (OFFICE BULKHEAD OFFICE 4 CB 108 (x~1640 N-S; door 3'-0" + glass 4'-6" = 7'-6"))</t>
  </si>
  <si>
    <t xml:space="preserve">Top track - cont. slip track at deck, 2 rows (OFFICE BULKHEAD OFFICE 4 CB 108 (x~1640 N-S; door 3'-0" + glass 4'-6" = 7'-6"))</t>
  </si>
  <si>
    <t xml:space="preserve">Bottom track on box beam, 2 rows (OFFICE BULKHEAD OFFICE 4 CB 108 (x~1640 N-S; door 3'-0" + glass 4'-6" = 7'-6"))</t>
  </si>
  <si>
    <t xml:space="preserve">FRT blocking 3/4" plywood under box beam (OFFICE BULKHEAD OFFICE 4 CB 108 (x~1640 N-S; door 3'-0" + glass 4'-6" = 7'-6"))</t>
  </si>
  <si>
    <t xml:space="preserve">Soundguard isolator by Marinoware (OFFICE BULKHEAD OFFICE 4 CB 108 (x~1640 N-S; door 3'-0" + glass 4'-6" = 7'-6"))</t>
  </si>
  <si>
    <t xml:space="preserve">Metal trim - corner bead (OFFICE BULKHEAD OFFICE 4 CB 108 (x~1640 N-S; door 3'-0" + glass 4'-6" = 7'-6"))</t>
  </si>
  <si>
    <t xml:space="preserve">Metal trim - shadow molding (OFFICE BULKHEAD OFFICE 4 CB 108 (x~1640 N-S; door 3'-0" + glass 4'-6" = 7'-6"))</t>
  </si>
  <si>
    <t xml:space="preserve">Acoustical sealant - top at deck, 2 runs (OFFICE BULKHEAD OFFICE 4 CB 108 (x~1640 N-S; door 3'-0" + glass 4'-6" = 7'-6"))</t>
  </si>
  <si>
    <t xml:space="preserve">Acoustical sealant - bottom at office front, 2 runs (OFFICE BULKHEAD OFFICE 4 CB 108 (x~1640 N-S; door 3'-0" + glass 4'-6" = 7'-6"))</t>
  </si>
  <si>
    <t xml:space="preserve">Batt insulation in bulkhead (OFFICE BULKHEAD OFFICE 4 CB 108 (x~1640 N-S; door 3'-0" + glass 4'-6" = 7'-6"))</t>
  </si>
  <si>
    <t xml:space="preserve">Bracing (C.R. channel) 1 row x 2 rows (OFFICE BULKHEAD OFFICE 4 CB 108 (x~1640 N-S; door 3'-0" + glass 4'-6" = 7'-6"))</t>
  </si>
  <si>
    <t xml:space="preserve">5/8" gypsum board 2 layers - office face to deck (OFFICE BULKHEAD OFFICE 5 CB 109 (x~1130 N-S; door 3'-0" + glass 4'-6" = 7'-6"))</t>
  </si>
  <si>
    <t xml:space="preserve">5/8" gypsum board 2 layers - lobby face to deck (OFFICE BULKHEAD OFFICE 5 CB 109 (x~1130 N-S; door 3'-0" + glass 4'-6" = 7'-6"))</t>
  </si>
  <si>
    <t xml:space="preserve">5/8" gypsum board - bulkhead bottom (OFFICE BULKHEAD OFFICE 5 CB 109 (x~1130 N-S; door 3'-0" + glass 4'-6" = 7'-6"))</t>
  </si>
  <si>
    <t xml:space="preserve">1-5/8" stud cripples double row @16" above box beam (OFFICE BULKHEAD OFFICE 5 CB 109 (x~1130 N-S; door 3'-0" + glass 4'-6" = 7'-6"))</t>
  </si>
  <si>
    <t xml:space="preserve">Header / box beam - cont. box beam (OFFICE BULKHEAD OFFICE 5 CB 109 (x~1130 N-S; door 3'-0" + glass 4'-6" = 7'-6"))</t>
  </si>
  <si>
    <t xml:space="preserve">Top track - cont. slip track at deck, 2 rows (OFFICE BULKHEAD OFFICE 5 CB 109 (x~1130 N-S; door 3'-0" + glass 4'-6" = 7'-6"))</t>
  </si>
  <si>
    <t xml:space="preserve">Bottom track on box beam, 2 rows (OFFICE BULKHEAD OFFICE 5 CB 109 (x~1130 N-S; door 3'-0" + glass 4'-6" = 7'-6"))</t>
  </si>
  <si>
    <t xml:space="preserve">FRT blocking 3/4" plywood under box beam (OFFICE BULKHEAD OFFICE 5 CB 109 (x~1130 N-S; door 3'-0" + glass 4'-6" = 7'-6"))</t>
  </si>
  <si>
    <t xml:space="preserve">Soundguard isolator by Marinoware (OFFICE BULKHEAD OFFICE 5 CB 109 (x~1130 N-S; door 3'-0" + glass 4'-6" = 7'-6"))</t>
  </si>
  <si>
    <t xml:space="preserve">Metal trim - corner bead (OFFICE BULKHEAD OFFICE 5 CB 109 (x~1130 N-S; door 3'-0" + glass 4'-6" = 7'-6"))</t>
  </si>
  <si>
    <t xml:space="preserve">Metal trim - shadow molding (OFFICE BULKHEAD OFFICE 5 CB 109 (x~1130 N-S; door 3'-0" + glass 4'-6" = 7'-6"))</t>
  </si>
  <si>
    <t xml:space="preserve">Acoustical sealant - top at deck, 2 runs (OFFICE BULKHEAD OFFICE 5 CB 109 (x~1130 N-S; door 3'-0" + glass 4'-6" = 7'-6"))</t>
  </si>
  <si>
    <t xml:space="preserve">Acoustical sealant - bottom at office front, 2 runs (OFFICE BULKHEAD OFFICE 5 CB 109 (x~1130 N-S; door 3'-0" + glass 4'-6" = 7'-6"))</t>
  </si>
  <si>
    <t xml:space="preserve">Batt insulation in bulkhead (OFFICE BULKHEAD OFFICE 5 CB 109 (x~1130 N-S; door 3'-0" + glass 4'-6" = 7'-6"))</t>
  </si>
  <si>
    <t xml:space="preserve">Bracing (C.R. channel) 1 row x 2 rows (OFFICE BULKHEAD OFFICE 5 CB 109 (x~1130 N-S; door 3'-0" + glass 4'-6" = 7'-6"))</t>
  </si>
  <si>
    <t xml:space="preserve">5/8" gypsum board 2 layers - office face to deck (OFFICE BULKHEAD OFFICE 6 CB 110 (x~1130 N-S; door 3'-0" + glass 4'-6" = 7'-6"))</t>
  </si>
  <si>
    <t xml:space="preserve">5/8" gypsum board 2 layers - lobby face to deck (OFFICE BULKHEAD OFFICE 6 CB 110 (x~1130 N-S; door 3'-0" + glass 4'-6" = 7'-6"))</t>
  </si>
  <si>
    <t xml:space="preserve">5/8" gypsum board - bulkhead bottom (OFFICE BULKHEAD OFFICE 6 CB 110 (x~1130 N-S; door 3'-0" + glass 4'-6" = 7'-6"))</t>
  </si>
  <si>
    <t xml:space="preserve">1-5/8" stud cripples double row @16" above box beam (OFFICE BULKHEAD OFFICE 6 CB 110 (x~1130 N-S; door 3'-0" + glass 4'-6" = 7'-6"))</t>
  </si>
  <si>
    <t xml:space="preserve">Header / box beam - cont. box beam (OFFICE BULKHEAD OFFICE 6 CB 110 (x~1130 N-S; door 3'-0" + glass 4'-6" = 7'-6"))</t>
  </si>
  <si>
    <t xml:space="preserve">Top track - cont. slip track at deck, 2 rows (OFFICE BULKHEAD OFFICE 6 CB 110 (x~1130 N-S; door 3'-0" + glass 4'-6" = 7'-6"))</t>
  </si>
  <si>
    <t xml:space="preserve">Bottom track on box beam, 2 rows (OFFICE BULKHEAD OFFICE 6 CB 110 (x~1130 N-S; door 3'-0" + glass 4'-6" = 7'-6"))</t>
  </si>
  <si>
    <t xml:space="preserve">FRT blocking 3/4" plywood under box beam (OFFICE BULKHEAD OFFICE 6 CB 110 (x~1130 N-S; door 3'-0" + glass 4'-6" = 7'-6"))</t>
  </si>
  <si>
    <t xml:space="preserve">Soundguard isolator by Marinoware (OFFICE BULKHEAD OFFICE 6 CB 110 (x~1130 N-S; door 3'-0" + glass 4'-6" = 7'-6"))</t>
  </si>
  <si>
    <t xml:space="preserve">Metal trim - corner bead (OFFICE BULKHEAD OFFICE 6 CB 110 (x~1130 N-S; door 3'-0" + glass 4'-6" = 7'-6"))</t>
  </si>
  <si>
    <t xml:space="preserve">Metal trim - shadow molding (OFFICE BULKHEAD OFFICE 6 CB 110 (x~1130 N-S; door 3'-0" + glass 4'-6" = 7'-6"))</t>
  </si>
  <si>
    <t xml:space="preserve">Acoustical sealant - top at deck, 2 runs (OFFICE BULKHEAD OFFICE 6 CB 110 (x~1130 N-S; door 3'-0" + glass 4'-6" = 7'-6"))</t>
  </si>
  <si>
    <t xml:space="preserve">Acoustical sealant - bottom at office front, 2 runs (OFFICE BULKHEAD OFFICE 6 CB 110 (x~1130 N-S; door 3'-0" + glass 4'-6" = 7'-6"))</t>
  </si>
  <si>
    <t xml:space="preserve">Batt insulation in bulkhead (OFFICE BULKHEAD OFFICE 6 CB 110 (x~1130 N-S; door 3'-0" + glass 4'-6" = 7'-6"))</t>
  </si>
  <si>
    <t xml:space="preserve">Bracing (C.R. channel) 1 row x 2 rows (OFFICE BULKHEAD OFFICE 6 CB 110 (x~1130 N-S; door 3'-0" + glass 4'-6" = 7'-6"))</t>
  </si>
  <si>
    <t xml:space="preserve">Framed opening - R-11C/R-11CE 12' trimless slot in Waiting GWB (4 pcs: 2 R-11C,d + 2 R-11CE,d)</t>
  </si>
  <si>
    <t xml:space="preserve">agent rcp: E00.01 (p80) luminaire schedule + E02.01 (p82) tags + RCP -&gt; 6/A09.33</t>
  </si>
  <si>
    <t xml:space="preserve">Framed opening - R-11A 4' trimless slot in CSR soffit (2 pcs R-11A,b)</t>
  </si>
  <si>
    <t xml:space="preserve">agent rcp: E00.01 (p80) luminaire schedule + E02.01 (p82) tags + RCP -&gt; 4/A12.08 -&gt; 6/A09.33</t>
  </si>
  <si>
    <t xml:space="preserve">Metal trim - gypsum edge trim at R-11C/CE slots (Waiting)</t>
  </si>
  <si>
    <t xml:space="preserve">agent rcp: 6/A09.33 'GYPSUM EDGE TRIM' (53.1, 56.9)</t>
  </si>
  <si>
    <t xml:space="preserve">Metal trim - gypsum edge trim at R-11A slots (CSR)</t>
  </si>
  <si>
    <t xml:space="preserve">agent rcp: 6/A09.33</t>
  </si>
  <si>
    <t xml:space="preserve">Framed opening - linear slot diffuser 4'-0" (100 VESTIBULE row at storefront (3 sections))</t>
  </si>
  <si>
    <t xml:space="preserve">agent rcp: M01.01 (p76) linear slot diffusers SD/SDR (M00.03 p73 TITUS TBDI-10 (2) 1" slots, size 'SEE DRAWING') measured vector M01.01: 4.00 ft inner x 0.64 ft frame</t>
  </si>
  <si>
    <t xml:space="preserve">Framed opening - linear slot diffuser 4'-0" (100/101 row at glazing (3 sections))</t>
  </si>
  <si>
    <t xml:space="preserve">Framed opening - linear slot diffuser 4'-0" (101 24 HR VESTIBULE straight row (3 sections))</t>
  </si>
  <si>
    <t xml:space="preserve">Framed opening - linear slot diffuser 4'-0" (101 24 HR VESTIBULE diagonal row (3 sections))</t>
  </si>
  <si>
    <t xml:space="preserve">Framed opening - 2'x2' HVAC diffuser/grille in restroom GWB (113: 2, 114: 2)</t>
  </si>
  <si>
    <t xml:space="preserve">agent rcp: 1/A04.01 (p29) legend 'NEW 2'x2' HVAC DIFFUSER/GRILLE' -&gt; M01.01 (slot 2'-0")</t>
  </si>
  <si>
    <t xml:space="preserve">Framed opening - 2'x2' locking access panel (key note 4) in Vestibule 100 GWB</t>
  </si>
  <si>
    <t xml:space="preserve">agent rcp: 1/A04.01 (p29) key note 4</t>
  </si>
  <si>
    <t xml:space="preserve">FRT plywood blocking 3/4" - 85" media monitor (Samsung QP85A-8K + Chief LSTU, equip. 93)</t>
  </si>
  <si>
    <t xml:space="preserve">agent blk: A02.01 keynote 7 -&gt; 1/A11.01 MEDIA WALL ELEVATION -&gt; 13/A12.02 &amp; 9/A12.02 ("3/4" FRT PLYWOOD BLOCKING TO BE PROVIDED AND INSTALLED INLINE WITH METAL STUDS") -&gt; A03.01 note 24 ("OVER 18" HIGH 3/4" FIRE TREATED PLYWOOD BLOCKING ... MIN (2) METAL STUDS")</t>
  </si>
  <si>
    <t xml:space="preserve">Stud blocking 362CR22 (metal, 4/S5.20) - ARTWORK 4'-0" x 4'-0" @ 3'-0" AFF</t>
  </si>
  <si>
    <t xml:space="preserve">agent blk: Note C A02.01 -&gt; 3/A11.04 (ARTWORK 4'-0" W printed)</t>
  </si>
  <si>
    <t xml:space="preserve">Stud blocking 362CR22 (metal, 4/S5.20) - ARTWORK 4'-0" x 4'-0" @ 3'-0" AFF (2)</t>
  </si>
  <si>
    <t xml:space="preserve">agent blk: Note C A02.01 -&gt; 4/A11.01 (ARTWORK 4'-0" W printed)</t>
  </si>
  <si>
    <t xml:space="preserve">Stud blocking 362CR22 (metal, 4/S5.20) - ARTWORK 4'-0" x 4'-0" @ 3'-0" AFF (3)</t>
  </si>
  <si>
    <t xml:space="preserve">agent blk: Note C A02.01 -&gt; 7/A11.04 (ARTWORK 4'-0" W printed)</t>
  </si>
  <si>
    <t xml:space="preserve">Stud blocking 362CR22 (metal, 4/S5.20) - ARTWORK 4'-0" x 4'-0" @ 3'-0" AFF (4)</t>
  </si>
  <si>
    <t xml:space="preserve">agent blk: Note C A02.01 -&gt; 9/A11.04 (ARTWORK 4'-0" W printed)</t>
  </si>
  <si>
    <t xml:space="preserve">Stud blocking 362CR22 (metal, 4/S5.20) - ARTWORK 4'-0" x 4'-0" @ 3'-0" AFF (5)</t>
  </si>
  <si>
    <t xml:space="preserve">agent blk: Note C A02.01 -&gt; 16/A11.04 (ARTWORK 4'-0" W printed)</t>
  </si>
  <si>
    <t xml:space="preserve">Stud blocking 362CR22 (metal, 4/S5.20) - ARTWORK 4'-0" x 4'-0" @ 3'-0" AFF (6)</t>
  </si>
  <si>
    <t xml:space="preserve">agent blk: Note C A02.01 -&gt; 8/A11.03 (ARTWORK 4'-0" W printed)</t>
  </si>
  <si>
    <t xml:space="preserve">Stud blocking 362CR22 (metal, 4/S5.20) - COMBO BOARD equip. 7 (48"W x 36"H)</t>
  </si>
  <si>
    <t xml:space="preserve">agent blk: Note C A02.01 -&gt; 2/A11.02 -&gt; A00.40 equip. 7 (48" W x 36" H)</t>
  </si>
  <si>
    <t xml:space="preserve">Stud blocking 362CR22 (metal, 4/S5.20) - CORK BOARD equip. 69 (36"W x 48"H)</t>
  </si>
  <si>
    <t xml:space="preserve">agent blk: Note C A02.01 -&gt; 6/A11.02 -&gt; A00.40 equip. 69 (36"W x 48"H)</t>
  </si>
  <si>
    <t xml:space="preserve">Stud blocking 362CR22 (metal, 4/S5.20) - CORK BOARD equip. 69 drawn 4'-4" W</t>
  </si>
  <si>
    <t xml:space="preserve">agent blk: Note C A02.01 -&gt; 5/A11.02 (4'-4" printed) vs A00.40 equip. 69 36"W</t>
  </si>
  <si>
    <t xml:space="preserve">Stud blocking 362CR22 (metal, 4/S5.20) - WALL CLOCK equip. 9 (10" dia)</t>
  </si>
  <si>
    <t xml:space="preserve">agent blk: Note C A02.01 -&gt; 5/A11.02 -&gt; A00.40 equip. 9</t>
  </si>
  <si>
    <t xml:space="preserve">Stud blocking 362CR22 (metal, 4/S5.20) - COAT HOOKS equip. 3 bar #1 (1'-6")</t>
  </si>
  <si>
    <t xml:space="preserve">agent blk: Note C A02.01 -&gt; 5/A11.02 (1'-6" + 1'-6" printed) -&gt; A00.40 equip. 3</t>
  </si>
  <si>
    <t xml:space="preserve">Stud blocking 362CR22 (metal, 4/S5.20) - COAT HOOKS equip. 3 bar #2 (1'-6")</t>
  </si>
  <si>
    <t xml:space="preserve">Stud blocking 362CR22 (metal, 4/S5.20) - LOCKERS CW-16 (keynote 5) 4.861 ft W x 6'-0" H</t>
  </si>
  <si>
    <t xml:space="preserve">agent blk: A02.01 keynote 5 "PROVIDE BLOCKING IN WALL AS REQUIRED FOR LOCKERS" -&gt; 5/A11.02 CW-16</t>
  </si>
  <si>
    <t xml:space="preserve">Stud blocking 362CR22 (metal, 4/S5.20) - FIRE EXTINGUISHER BRACKET FEC-2</t>
  </si>
  <si>
    <t xml:space="preserve">agent blk: Note C A02.01 -&gt; 5/A11.02 "FE" -&gt; A02.01 FEC-2 -&gt; A00.40 FEC-2 (bracket)</t>
  </si>
  <si>
    <t xml:space="preserve">Stud blocking 362CR22 (metal, 4/S5.20) - COAT HOOK equip. 3 #1</t>
  </si>
  <si>
    <t xml:space="preserve">agent blk: Note C A02.01 -&gt; 15/A11.02</t>
  </si>
  <si>
    <t xml:space="preserve">Stud blocking 362CR22 (metal, 4/S5.20) - COAT HOOK equip. 3 #2</t>
  </si>
  <si>
    <t xml:space="preserve">Stud blocking 362CR22 (metal, 4/S5.20) - HAND SANITIZER equip. 64 (6.125"W)</t>
  </si>
  <si>
    <t xml:space="preserve">agent blk: Note C A02.01 -&gt; 15/A11.02 -&gt; A00.40 equip. 64</t>
  </si>
  <si>
    <t xml:space="preserve">Stud blocking 362CR22 (metal, 4/S5.20) - HAND SANITIZER equip. 64 (6.125"W) (2)</t>
  </si>
  <si>
    <t xml:space="preserve">agent blk: Note C A02.01 -&gt; 12/A11.02 -&gt; A00.40 equip. 64</t>
  </si>
  <si>
    <t xml:space="preserve">Stud blocking 362CR22 (metal, 4/S5.20) - HAND SANITIZER equip. 64 (6.125"W) (3)</t>
  </si>
  <si>
    <t xml:space="preserve">agent blk: Note C A02.01 -&gt; 9/A11.03 -&gt; A00.40 equip. 64</t>
  </si>
  <si>
    <t xml:space="preserve">Stud blocking 362CR22 (metal, 4/S5.20) - WALL PHONE equip. 24 (Cisco 8862 wall mount, 10.5"W)</t>
  </si>
  <si>
    <t xml:space="preserve">agent blk: Note C A02.01 -&gt; 7/A11.02 -&gt; A00.40 equip. 24</t>
  </si>
  <si>
    <t xml:space="preserve">Stud blocking 362CR22 (metal, 4/S5.20) - WALL PHONE equip. 24 (Cisco 8862 wall mount, 10.5"W) (2)</t>
  </si>
  <si>
    <t xml:space="preserve">agent blk: Note C A02.01 -&gt; 10/A11.02 -&gt; A00.40 equip. 24</t>
  </si>
  <si>
    <t xml:space="preserve">Stud blocking 362CR22 (metal, 4/S5.20) - WALL PHONE equip. 24 (Cisco 8862 wall mount, 10.5"W) (3)</t>
  </si>
  <si>
    <t xml:space="preserve">agent blk: Note C A02.01 -&gt; 14/A11.02 -&gt; A00.40 equip. 24</t>
  </si>
  <si>
    <t xml:space="preserve">Stud blocking 362CR22 (metal, 4/S5.20) - SECURITY MONITOR equip. 58 on mounting arm equip. 113</t>
  </si>
  <si>
    <t xml:space="preserve">agent blk: Note C A02.01 -&gt; 4/A11.02 -&gt; A00.40 equip. 58/113</t>
  </si>
  <si>
    <t xml:space="preserve">Stud blocking 362CR22 (metal, 4/S5.20) - SECURITY MONITOR equip. 58 on mounting arm equip. 113 (2)</t>
  </si>
  <si>
    <t xml:space="preserve">agent blk: Note C A02.01 -&gt; 9/A11.02 -&gt; A00.40 equip. 58/113</t>
  </si>
  <si>
    <t xml:space="preserve">Stud blocking 362CR22 (metal, 4/S5.20) - TA-19 MIRROR (wellness, not toilet room)</t>
  </si>
  <si>
    <t xml:space="preserve">agent blk: Note C A02.01 -&gt; 14/A11.02 -&gt; TA legend A08.01 TA-19 MIRROR</t>
  </si>
  <si>
    <t xml:space="preserve">Stud blocking 362CR22 (metal, 4/S5.20) - WALL STOP door 111</t>
  </si>
  <si>
    <t xml:space="preserve">agent blk: A00.30 door schedule -&gt; hardware group with "WALL STOP WS407CCV/WS406" (A00.30 p20) -&gt; DOOR SHEET NOTE D "PROVIDE BLOCKING AT EACH WALL STOP"</t>
  </si>
  <si>
    <t xml:space="preserve">Stud blocking 362CR22 (metal, 4/S5.20) - WALL STOP door 113</t>
  </si>
  <si>
    <t xml:space="preserve">Stud blocking 362CR22 (metal, 4/S5.20) - WALL STOP door 114</t>
  </si>
  <si>
    <t xml:space="preserve">Stud blocking 362CR22 (metal, 4/S5.20) - WALL STOP door 115</t>
  </si>
  <si>
    <t xml:space="preserve">Stud blocking 362CR22 (metal, 4/S5.20) - WALL STOP door 116</t>
  </si>
  <si>
    <t xml:space="preserve">Stud blocking 362CR22 (metal, 4/S5.20) - WALL STOP door 117</t>
  </si>
  <si>
    <t xml:space="preserve">Stud blocking 362CR22 (metal, 4/S5.20) - WALL STOP door 118A</t>
  </si>
  <si>
    <t xml:space="preserve">Stud blocking 362CR22 (metal, 4/S5.20) - WALL STOP door 118B</t>
  </si>
  <si>
    <t xml:space="preserve">Stud blocking 362CR22 (metal, 4/S5.20) - WALL STOP door 119</t>
  </si>
  <si>
    <t xml:space="preserve">FRT blocking - TA-7 ADA LED backlit mirror 2'-0" W (vector)</t>
  </si>
  <si>
    <t xml:space="preserve">agent blk: A02.01 -&gt; 1/A08.01 ENLARGED RESTROOM FLOOR PLAN -&gt; elev. A/A08.01 -&gt; TOILET ACCESSORY LEGENDS A08.01 -&gt; SHEET NOTE E A08.01 ("CONTRACTOR TO PROVIDE FRT BLOCKING IN WALLS FOR ALL TOILET ROOM ACCESSORIES AND FIXTURES")</t>
  </si>
  <si>
    <t xml:space="preserve">FRT blocking - TA-4 grab bar 36"</t>
  </si>
  <si>
    <t xml:space="preserve">FRT blocking - Lavatory PF-02 wall-hung, no carrier (20" W vector)</t>
  </si>
  <si>
    <t xml:space="preserve">FRT blocking - TA-3 grab bar 42"</t>
  </si>
  <si>
    <t xml:space="preserve">agent blk: A02.01 -&gt; 1/A08.01 ENLARGED RESTROOM FLOOR PLAN -&gt; elev. D/A08.01 -&gt; TOILET ACCESSORY LEGENDS A08.01 -&gt; SHEET NOTE E A08.01 ("CONTRACTOR TO PROVIDE FRT BLOCKING IN WALLS FOR ALL TOILET ROOM ACCESSORIES AND FIXTURES")</t>
  </si>
  <si>
    <t xml:space="preserve">FRT blocking - TA-5 vertical grab bar 18" (top+bottom flange pieces)</t>
  </si>
  <si>
    <t xml:space="preserve">FRT blocking - TA-10 toilet paper dispenser</t>
  </si>
  <si>
    <t xml:space="preserve">FRT blocking - TA-17 seat cover dispenser (15.8" vector)</t>
  </si>
  <si>
    <t xml:space="preserve">FRT blocking - TA-16 KB208 baby changing station (34" vector)</t>
  </si>
  <si>
    <t xml:space="preserve">agent blk: A02.01 -&gt; 1/A08.01 ENLARGED RESTROOM FLOOR PLAN -&gt; elev. C/A08.01 -&gt; TOILET ACCESSORY LEGENDS A08.01 -&gt; SHEET NOTE E A08.01 ("CONTRACTOR TO PROVIDE FRT BLOCKING IN WALLS FOR ALL TOILET ROOM ACCESSORIES AND FIXTURES")</t>
  </si>
  <si>
    <t xml:space="preserve">FRT blocking - TA-8 touchless soap dispenser</t>
  </si>
  <si>
    <t xml:space="preserve">agent blk: A02.01 -&gt; 1/A08.01 ENLARGED RESTROOM FLOOR PLAN -&gt; elev. B/A08.01 -&gt; TOILET ACCESSORY LEGENDS A08.01 -&gt; SHEET NOTE E A08.01 ("CONTRACTOR TO PROVIDE FRT BLOCKING IN WALLS FOR ALL TOILET ROOM ACCESSORIES AND FIXTURES")</t>
  </si>
  <si>
    <t xml:space="preserve">FRT blocking - TA-7 ADA LED backlit mirror 2'-0" W (vector) (2)</t>
  </si>
  <si>
    <t xml:space="preserve">FRT blocking - TA-4 grab bar 36" (2)</t>
  </si>
  <si>
    <t xml:space="preserve">FRT blocking - Lavatory PF-02 wall-hung, no carrier (20" W vector) (2)</t>
  </si>
  <si>
    <t xml:space="preserve">FRT blocking - TA-3 grab bar 42" (2)</t>
  </si>
  <si>
    <t xml:space="preserve">FRT blocking - TA-5 vertical grab bar 18" (top+bottom flange pieces) (2)</t>
  </si>
  <si>
    <t xml:space="preserve">FRT blocking - TA-10 toilet paper dispenser (2)</t>
  </si>
  <si>
    <t xml:space="preserve">FRT blocking - TA-17 seat cover dispenser (15.8" vector) (2)</t>
  </si>
  <si>
    <t xml:space="preserve">FRT blocking - TA-16 KB208 baby changing station (34" vector) (2)</t>
  </si>
  <si>
    <t xml:space="preserve">FRT blocking - TA-8 touchless soap dispenser (2)</t>
  </si>
  <si>
    <t xml:space="preserve">FRT blocking - TA-9 sanitary napkin disposal (10.7" vector)</t>
  </si>
  <si>
    <t xml:space="preserve">FRT blocking (FRTW) - MW01 printer cabinet (full height, in niche)</t>
  </si>
  <si>
    <t xml:space="preserve">agent blk: A02.01 MW tag -&gt; A00.30 MILLWORK schedule -&gt; 6/A12.03 -&gt; SHEET NOTE D A12.03-A12.06 ("PROVIDE FRTW BLOCKING AT ALL MILLWORK VERTICAL SURFACE CLEATS AND MOUNTING LOCATIONS")</t>
  </si>
  <si>
    <t xml:space="preserve">FRT blocking (FRTW) - MW05 storage shelving - standards</t>
  </si>
  <si>
    <t xml:space="preserve">agent blk: A02.01 MW tag -&gt; A00.30 MILLWORK schedule -&gt; 1&amp;2/A12.04 -&gt; SHEET NOTE D A12.03-A12.06 ("PROVIDE FRTW BLOCKING AT ALL MILLWORK VERTICAL SURFACE CLEATS AND MOUNTING LOCATIONS")</t>
  </si>
  <si>
    <t xml:space="preserve">FRT blocking (FRTW) - MW06A janitor shelving #1 - standards</t>
  </si>
  <si>
    <t xml:space="preserve">agent blk: A02.01 MW tag -&gt; A00.30 MILLWORK schedule -&gt; 5&amp;6/A12.04 -&gt; SHEET NOTE D A12.03-A12.06 ("PROVIDE FRTW BLOCKING AT ALL MILLWORK VERTICAL SURFACE CLEATS AND MOUNTING LOCATIONS")</t>
  </si>
  <si>
    <t xml:space="preserve">FRT blocking (FRTW) - MW06A janitor shelving #2 - standards</t>
  </si>
  <si>
    <t xml:space="preserve">FRT blocking (FRTW) - MW06 mop/broom holder on WC-2</t>
  </si>
  <si>
    <t xml:space="preserve">agent blk: A02.01 MW tag -&gt; A00.30 MILLWORK schedule -&gt; 6/A12.04 -&gt; SHEET NOTE D A12.03-A12.06 ("PROVIDE FRTW BLOCKING AT ALL MILLWORK VERTICAL SURFACE CLEATS AND MOUNTING LOCATIONS")</t>
  </si>
  <si>
    <t xml:space="preserve">FRT blocking (FRTW) - MW07 base cabinet (counter)</t>
  </si>
  <si>
    <t xml:space="preserve">agent blk: A02.01 MW tag -&gt; A00.30 MILLWORK schedule -&gt; 1&amp;2/A12.05 -&gt; SHEET NOTE D A12.03-A12.06 ("PROVIDE FRTW BLOCKING AT ALL MILLWORK VERTICAL SURFACE CLEATS AND MOUNTING LOCATIONS")</t>
  </si>
  <si>
    <t xml:space="preserve">FRT blocking (FRTW) - MW07 upper (open shelving)</t>
  </si>
  <si>
    <t xml:space="preserve">agent blk: A02.01 MW tag -&gt; A00.30 MILLWORK schedule -&gt; 2/A12.05 -&gt; SHEET NOTE D A12.03-A12.06 ("PROVIDE FRTW BLOCKING AT ALL MILLWORK VERTICAL SURFACE CLEATS AND MOUNTING LOCATIONS")</t>
  </si>
  <si>
    <t xml:space="preserve">FRT blocking (FRTW) - MW08 base cabinet w/ sink</t>
  </si>
  <si>
    <t xml:space="preserve">agent blk: A02.01 MW tag -&gt; A00.30 MILLWORK schedule -&gt; 9&amp;10/A12.04 -&gt; SHEET NOTE D A12.03-A12.06 ("PROVIDE FRTW BLOCKING AT ALL MILLWORK VERTICAL SURFACE CLEATS AND MOUNTING LOCATIONS")</t>
  </si>
  <si>
    <t xml:space="preserve">FRT blocking (FRTW) - MW11 teller work counter</t>
  </si>
  <si>
    <t xml:space="preserve">agent blk: A02.01 MW tag -&gt; A00.30 MILLWORK schedule -&gt; 5&amp;6/A12.05 -&gt; SHEET NOTE D A12.03-A12.06 ("PROVIDE FRTW BLOCKING AT ALL MILLWORK VERTICAL SURFACE CLEATS AND MOUNTING LOCATIONS")</t>
  </si>
  <si>
    <t xml:space="preserve">FRT blocking (FRTW) - MW12 base L (N 7'-0" + W return 2'-3 1/4")</t>
  </si>
  <si>
    <t xml:space="preserve">agent blk: A02.01 MW tag -&gt; A00.30 MILLWORK schedule -&gt; 9/A12.05 -&gt; SHEET NOTE D A12.03-A12.06 ("PROVIDE FRTW BLOCKING AT ALL MILLWORK VERTICAL SURFACE CLEATS AND MOUNTING LOCATIONS")</t>
  </si>
  <si>
    <t xml:space="preserve">FRT blocking (FRTW) - MW12 uppers (N 5.687 + W 2.869 vector)</t>
  </si>
  <si>
    <t xml:space="preserve">agent blk: A02.01 MW tag -&gt; A00.30 MILLWORK schedule -&gt; 10&amp;11/A12.05 -&gt; SHEET NOTE D A12.03-A12.06 ("PROVIDE FRTW BLOCKING AT ALL MILLWORK VERTICAL SURFACE CLEATS AND MOUNTING LOCATIONS")</t>
  </si>
  <si>
    <t xml:space="preserve">FRT blocking (FRTW) - MW13 shelving/locking cabinets full height</t>
  </si>
  <si>
    <t xml:space="preserve">agent blk: A02.01 MW tag -&gt; A00.30 MILLWORK schedule -&gt; 1&amp;2/A12.06 (4'-4"+3'-3"+3'-11 1/2") -&gt; SHEET NOTE D A12.03-A12.06 ("PROVIDE FRTW BLOCKING AT ALL MILLWORK VERTICAL SURFACE CLEATS AND MOUNTING LOCATIONS")</t>
  </si>
  <si>
    <t xml:space="preserve">FRT blocking (FRTW) - MW18 base cabinet</t>
  </si>
  <si>
    <t xml:space="preserve">agent blk: A02.01 MW tag -&gt; A00.30 MILLWORK schedule -&gt; 8&amp;9/A12.06 -&gt; SHEET NOTE D A12.03-A12.06 ("PROVIDE FRTW BLOCKING AT ALL MILLWORK VERTICAL SURFACE CLEATS AND MOUNTING LOCATIONS")</t>
  </si>
  <si>
    <t xml:space="preserve">FRT blocking (FRTW) - MW18 shelving standards</t>
  </si>
  <si>
    <t xml:space="preserve">agent blk: A02.01 MW tag -&gt; A00.30 MILLWORK schedule -&gt; 9/A12.06 -&gt; SHEET NOTE D A12.03-A12.06 ("PROVIDE FRTW BLOCKING AT ALL MILLWORK VERTICAL SURFACE CLEATS AND MOUNTING LOCATIONS")</t>
  </si>
  <si>
    <t xml:space="preserve">FRT blocking (FRTW) - MW21 break room counter (metal angle both sides)</t>
  </si>
  <si>
    <t xml:space="preserve">agent blk: A02.01 MW tag -&gt; A00.30 MILLWORK schedule -&gt; 5,6,7/A12.06 -&gt; SHEET NOTE D A12.03-A12.06 ("PROVIDE FRTW BLOCKING AT ALL MILLWORK VERTICAL SURFACE CLEATS AND MOUNTING LOCATIONS")</t>
  </si>
  <si>
    <t xml:space="preserve">FRT wood blocking - coiling grille 103 jamb boxes</t>
  </si>
  <si>
    <t xml:space="preserve">agent blk: A02.01 door 103 -&gt; A00.30 (type H, head/jamb A08.21) -&gt; 1/A08.21 -&gt; 3/A08.21 "FRT WOOD BLOCKING (TYP)"</t>
  </si>
  <si>
    <t xml:space="preserve">FRT blocking - vestibule glass wall terminations</t>
  </si>
  <si>
    <t xml:space="preserve">agent blk: A02.01 -&gt; 1/A12.10 -&gt; 3/A12.10 callout 8 -&gt; 8/A12.10 "FRT BLOCKING" (+ "FRT PLYWOOD" in wall)</t>
  </si>
  <si>
    <t xml:space="preserve">FRT blocking 2x - roof ladder brackets</t>
  </si>
  <si>
    <t xml:space="preserve">agent blk: A02.01 keynote 3 -&gt; 3/A09.30 "SECURE TO WALL W/ 2X FRT WOOD BLOCKING BEHIND GWB BETWEEN STUDS"</t>
  </si>
  <si>
    <t xml:space="preserve">FRT 2x4 perimeter framing - WU ATM plinth (9T)</t>
  </si>
  <si>
    <t xml:space="preserve">agent blk: A08.11 -&gt; 3/A08.11 PLINTH FRAMING PLAN (2'-8" x 3'-9")</t>
  </si>
  <si>
    <t xml:space="preserve">FRT 4x4 framing - WU ATM plinth (9T)</t>
  </si>
  <si>
    <t xml:space="preserve">agent blk: 3/A08.11</t>
  </si>
  <si>
    <t xml:space="preserve">FRT plywood on framing - WU ATM plinth (9T)</t>
  </si>
  <si>
    <t xml:space="preserve">FRT plywood backboard 3/4" painted white - ELECTRICAL 120 N wall</t>
  </si>
  <si>
    <t xml:space="preserve">agent blk: A02.01 keynote 6 ("FIRE RATED 3/4" PLYWOOD BACKBOARD ... INSTALL 6" AFF ... SEE A11.03") -&gt; 4/A11.03 ("3/4" FRT PLYWOOD", 8'-0") -&gt; E02.02 note 29 ("8'x7'-6"x3/4" FIRE-RATED PLYWOOD BACKBOARDS")</t>
  </si>
  <si>
    <t xml:space="preserve">FRT plywood backboard 3/4" painted white - ELECTRICAL 120 W wall</t>
  </si>
  <si>
    <t xml:space="preserve">agent blk: A02.01 keynote 6 ("FIRE RATED 3/4" PLYWOOD BACKBOARD ... INSTALL 6" AFF ... SEE A11.03") -&gt; 3/A11.03 ("3/4" FRT PLYWOOD", 8'-0") -&gt; E02.02 note 29 ("8'x7'-6"x3/4" FIRE-RATED PLYWOOD BACKBOARDS")</t>
  </si>
  <si>
    <t xml:space="preserve">FRT plywood backboard 3/4" painted white - ELECTRICAL 120 S wall</t>
  </si>
  <si>
    <t xml:space="preserve">agent blk: A02.01 keynote 6 ("FIRE RATED 3/4" PLYWOOD BACKBOARD ... INSTALL 6" AFF ... SEE A11.03") -&gt; 2/A11.03 ("3/4" FRT PLYWOOD", 8'-0") -&gt; E02.02 note 29 ("8'x7'-6"x3/4" FIRE-RATED PLYWOOD BACKBOARDS")</t>
  </si>
  <si>
    <t xml:space="preserve">FRT plywood backboard 3/4" painted white - NER 121 W wall</t>
  </si>
  <si>
    <t xml:space="preserve">agent blk: A02.01 keynote 6 ("FIRE RATED 3/4" PLYWOOD BACKBOARD ... INSTALL 6" AFF ... SEE A11.03") -&gt; 5/A11.03 ("3/4" FRT PLYWOOD", 8'-0") -&gt; E02.02 note 29 ("8'x7'-6"x3/4" FIRE-RATED PLYWOOD BACKBOARDS")</t>
  </si>
  <si>
    <t xml:space="preserve">FRP WC-3 (Marlite Symmetrix) - MEN'S RESTROOM 113</t>
  </si>
  <si>
    <t xml:space="preserve">agent blk: A05.01 finish plan -&gt; A00.40 finish legend -&gt; 1 &amp; 2/A08.01 -&gt; elev A,B,C,D/A08.01 -&gt; TOILET ROOM FINISH SCHEDULE A08.01</t>
  </si>
  <si>
    <t xml:space="preserve">Cementitious backer board under CT-12C cove base - MEN'S RESTROOM 113</t>
  </si>
  <si>
    <t xml:space="preserve">agent blk: 58.7 standing order -&gt; A05.01 finish plan -&gt; A00.40 finish legend -&gt; 1 &amp; 2/A08.01 -&gt; elev A-D/A08.01 -&gt; TOILET ROOM FINISH SCHEDULE A08.01</t>
  </si>
  <si>
    <t xml:space="preserve">FRP WC-3 (Marlite Symmetrix) - WOMEN'S RESTROOM 114</t>
  </si>
  <si>
    <t xml:space="preserve">Cementitious backer board under CT-12C cove base - WOMEN'S RESTROOM 114</t>
  </si>
  <si>
    <t xml:space="preserve">FRP WC-2 glass fiber reinforced panel - JANITOR CLOSET 112 at mop sink</t>
  </si>
  <si>
    <t xml:space="preserve">agent blk: A05.01 finish key note 6 ("FRP FROM FLOOR TO 4'-0" AFF, WIDTH TO MATCH WIDTH OF MOP SINK AT BOTH SIDES") -&gt; 6/A12.04 WC-2 -&gt; 4&amp;5/A08.01</t>
  </si>
  <si>
    <t xml:space="preserve">Level 5 finish - behind WC-18 felt panels (offices 1-6)</t>
  </si>
  <si>
    <t xml:space="preserve">agent blk: A00.40 finish legend WC-18 "WALL SURFACE TO BE LEVEL 5" -&gt; A05.01 WC-18 tags -&gt; 1,5,11,14/A11.04, 6/A11.01, 10/A11.03 (11'-9 1/4" / 11'-7 1/2" V.I.F.)</t>
  </si>
  <si>
    <t xml:space="preserve">Level 5 finish - WC-22 media wall (A05.01 key note 10)</t>
  </si>
  <si>
    <t xml:space="preserve">agent blk: A00.40 WC-22 "WALL SURFACE TO BE LEVEL 5" + A05.01 key note 10 -&gt; 1/A11.01</t>
  </si>
  <si>
    <t xml:space="preserve">Header 6" CFMF box beam - coiling grille 103 head</t>
  </si>
  <si>
    <t xml:space="preserve">agent extra: A02.01 door 103 -&gt; A00.30 (103 SEE PLAN 13'-6") -&gt; 1/A08.21 -&gt; 4/A08.21 COILING GRILLE HEAD DETAIL -&gt; 3/A08.21</t>
  </si>
  <si>
    <t xml:space="preserve">2-1/2" metal stud 250S125-33 @16" - coiling grille 103 head fascia</t>
  </si>
  <si>
    <t xml:space="preserve">Bottom track 2-1/2" - coiling grille 103 head</t>
  </si>
  <si>
    <t xml:space="preserve">Top track 2-1/2" - coiling grille 103 head</t>
  </si>
  <si>
    <t xml:space="preserve">5/8" gypsum board regular - coiling grille 103 head fascia</t>
  </si>
  <si>
    <t xml:space="preserve">Metal trim - corner bead - coiling grille 103 head</t>
  </si>
  <si>
    <t xml:space="preserve">Metal stud blocking 362CR22 at horizontal board joint - interior partitions (59.14 b)</t>
  </si>
  <si>
    <t xml:space="preserve">agent extra: 4/S5.20 TYPICAL BLOCKING DETAIL 'PROVIDE BLOCKING AT THE EDGE OF GYPBOARD' (NTS, no location) -&gt; 56.8/59.14</t>
  </si>
  <si>
    <t xml:space="preserve">Metal stud blocking 362CR22 - drinking fountain PF-06 bi-level (Corridor 111)</t>
  </si>
  <si>
    <t xml:space="preserve">agent extra: P00.01 fixture schedule PF-06 WALL HUNG BI-LEVEL -&gt; P01.01/P01.02 -&gt; A02.01 note C</t>
  </si>
  <si>
    <t xml:space="preserve">Metal trim - corner bead - office front jambs (10/A12.01)</t>
  </si>
  <si>
    <t xml:space="preserve">agent extra: A02.01 DFC-1A x 6 offices -&gt; 10/A12.01 OFFICE JAMB DETAIL 'CORNER BEAD - TYPICAL' -&gt; 2/A11.01 '8'-0 1/2" HOLD'</t>
  </si>
  <si>
    <t xml:space="preserve">FRT plywood blocking 3/4" - office front jambs (10/A12.01)</t>
  </si>
  <si>
    <t xml:space="preserve">agent extra: 10/A12.01 '3/4" FRT PLYWOOD BLOCKING' at wall end -&gt; 2/A11.01 HOLD</t>
  </si>
  <si>
    <t xml:space="preserve">Sound batt insulation above GWB ceiling - restrooms 113/114 (A04.01 KN 11)</t>
  </si>
  <si>
    <t xml:space="preserve">agent extra: A04.01 key note 11 'INSTALL SOUND BATT INSULATION ABOVE CEILING' tags in 113/114</t>
  </si>
  <si>
    <t xml:space="preserve">FRT blocking 2x - water heater WH-1 platform (Janitor 112)</t>
  </si>
  <si>
    <t xml:space="preserve">agent extra: P00.01 3/ PLATFORM MOUNTED WATER HEATER DETAIL '2X BLOCKING BETWEEN STUDS (TYP)' -&gt; WH-1 schedule JANITOR CLOSET 112</t>
  </si>
  <si>
    <t xml:space="preserve">2-1/2" metal stud 250S125-33 sistered to 6" stud - drive-up ATM 9D (6/A08.11)</t>
  </si>
  <si>
    <t xml:space="preserve">agent extra: 6/A08.11 '2 1/2" METAL STUD SISTERED TO 6" METAL STUD W/ MINERAL WOOL INSULATION' -&gt; 5/A08.11 surround 4.50 x 7.25 ft (54 pt/ft vector)</t>
  </si>
  <si>
    <t xml:space="preserve">Bottom track 2-1/2" - drive-up ATM 9D sister framing</t>
  </si>
  <si>
    <t xml:space="preserve">agent extra: 6/A08.11, 5/A08.11</t>
  </si>
  <si>
    <t xml:space="preserve">Top track 2-1/2" - drive-up ATM 9D sister framing</t>
  </si>
  <si>
    <t xml:space="preserve">Mineral wool insulation - drive-up ATM 9D (6/A08.11)</t>
  </si>
  <si>
    <t xml:space="preserve">agent extra: 6/A08.11</t>
  </si>
  <si>
    <t xml:space="preserve">Metal stud blocking 362CR22 - light fixture on wall over door frame (A04.01 KN 7, rooms 112/117)</t>
  </si>
  <si>
    <t xml:space="preserve">agent extra: A04.01 key note 7 tags in 112 and 117 -&gt; A02.01 note C</t>
  </si>
  <si>
    <t xml:space="preserve">Metal stud blocking 362CR22 - EUH-1 unit heater Janitor 112 (M00.03, E02.04)</t>
  </si>
  <si>
    <t xml:space="preserve">agent extra: M00.03 EUH-1 JANITOR -&gt; E02.04 -&gt; A02.01 note C</t>
  </si>
  <si>
    <t xml:space="preserve">Metal trim - corner bead (criterio 53.1) - interior partition outside corners and C1 furring</t>
  </si>
  <si>
    <t xml:space="preserve">agent extra: 53.1 corner bead at every exterior corner of gypsum board; A02.01 L nodes (studs_in.json), 6/A12.01 C1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</si>
  <si>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</si>
  <si>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</si>
  <si>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</si>
  <si>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</si>
  <si>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Interior CONTINUOUS SLIP TRACK (1,3,4,5/A12.01) has no designation in 7/S5.20 (only 600T200-97 exterior top track). Carried as deep-leg slip track of the stud width/gauge. Confirm profile and gauge.</t>
  </si>
  <si>
    <t xml:space="preserve">440.70 LF of slip track priced as deep-leg (2" leg) instead of standard 1-1/4" track</t>
  </si>
  <si>
    <t xml:space="preserve">RFI-02</t>
  </si>
  <si>
    <t xml:space="preserve">1-5/8" stud of partition G/G1 (5/A12.01 schedule) has no designation/gauge in 7/S5.20. Carried 162S125-33 (derived, 33 mil like interior 362S137-33). Confirm.</t>
  </si>
  <si>
    <t xml:space="preserve">Gauge only; 1-5/8" LF unchanged</t>
  </si>
  <si>
    <t xml:space="preserve">RFI-03</t>
  </si>
  <si>
    <t xml:space="preserve">B2K tagged on A02.01 has no row in A12.01 schedule and no detail. Derived as B2 (1/A12.01, 6" to deck) + ballistic customer side per 4/A12.01 (14 GA, panel to 8'-0", 3/8" GYP above). Carried per 4/A12.01 A5K row (measured 7.68" = A5K 7 5/8"): 6" 14 GA @24" MAX.</t>
  </si>
  <si>
    <t xml:space="preserve">@16": +1 stud (~15 LF 6" 14 GA) on B2K-1 (1.693 LF)</t>
  </si>
  <si>
    <t xml:space="preserve">RFI-04</t>
  </si>
  <si>
    <t xml:space="preserve">B2-2 (restrooms/storage/wellness east wall) starts 9.7 pt (0.54 ft) north of grid B (HI zone 15'-4 1/2") inside door 114 jamb; whole wall carried at LOW B.O.D. 13'-0 5/8" (grid B, W14x22 LOW/HI line).</t>
  </si>
  <si>
    <t xml:space="preserve">If carried at 15.375: +69.69 LF 6" stud and +117.98 SF board</t>
  </si>
  <si>
    <t xml:space="preserve">RFI-05</t>
  </si>
  <si>
    <t xml:space="preserve">Deck flute direction for purlin at interior top tracks (10/A09.33 'ALTERNATE CEILING DETAIL, VIF FLUTE DIRECTION'). Taken east-west (S2.20 deck supports run N-S): purlin on E-W (H) walls only (59.1).</t>
  </si>
  <si>
    <t xml:space="preserve">If flutes run N-S: purlin moves from E-W walls to N-S walls (see Material Summary purlin row)</t>
  </si>
  <si>
    <t xml:space="preserve">RFI-06</t>
  </si>
  <si>
    <t xml:space="preserve">Gypsum board control joints: not shown/specified for interior GWB in A12.01, A09.33; CJ appears only for stucco (A09.01/02 legend, 5/A09.31). ASTM C840 / GA-216 (30 ft runs, 2,500 SF ceilings) - no interior run exceeds 30 ft. Confirm none required.</t>
  </si>
  <si>
    <t xml:space="preserve">0 LF carried; alternate at unit price</t>
  </si>
  <si>
    <t xml:space="preserve">RFI-07</t>
  </si>
  <si>
    <t xml:space="preserve">M01.01: 10"x10" duct drawn running over the top of B2-2 (6" partition to deck, corridor 111). Coordinate duct routing vs. wall to deck.</t>
  </si>
  <si>
    <t xml:space="preserve">Possible framed opening(s) not carried</t>
  </si>
  <si>
    <t xml:space="preserve">RFI-08</t>
  </si>
  <si>
    <t xml:space="preserve">A1K-1 (Cash Window north ballistic wall) is drawn 3.3" south of G-10 (gap 1115.76-1120.68 pt): customer-side ballistic panel faces the G-10 cavity. Confirm customer side / whether A1K-1 replaces the G-10 south face for 3'-5".</t>
  </si>
  <si>
    <t xml:space="preserve">Ballistic + 3/8" GYP on A1K-1 = 3.42 x 8.0 = 27.3 SF + 3.42 x 7.375 = 25.2 SF</t>
  </si>
  <si>
    <t xml:space="preserve">RFI-09</t>
  </si>
  <si>
    <t xml:space="preserve">C1 (6/A12.01) has no height dimension (break line). Board carried to deck per 60.11/53.3 on the exposed face of each C1 furring/wrap.</t>
  </si>
  <si>
    <t xml:space="preserve">If board stops at ceiling + 6": -191.68 SF (C1-5 43.92, C1-6 39.26, C1-7 39.29, C1-8 8.99, C1-3 19.50, C1-4 3.38, C1-1 17.21, C1-2 20.15)</t>
  </si>
  <si>
    <t xml:space="preserve">RFI-10</t>
  </si>
  <si>
    <t xml:space="preserve">Plumbing sheets P01.01/P01.02 could not be registered to A02.01 by wall-segment vote (rotated sheets; the vote gives a spurious offset). Plumbing reviewed visually: piping in C1 chase and walls fits in stud web (6/S5.20, d max 3 1/2" for 6" studs); no framed openings carried.</t>
  </si>
  <si>
    <t xml:space="preserve">None carried</t>
  </si>
  <si>
    <t xml:space="preserve">RFI-11</t>
  </si>
  <si>
    <t xml:space="preserve">Door 119 R.O. measured 3.499 ft between wall end and exterior wall face (A02.01 vector) vs 3'-0" door + 2" frames = 3.333. Confirm frame/return at east jamb.</t>
  </si>
  <si>
    <t xml:space="preserve">Header +0.17 LF</t>
  </si>
  <si>
    <t xml:space="preserve">RFI-12</t>
  </si>
  <si>
    <t xml:space="preserve">West office front stubs G1-2/G1-3 and demising G1-1 drawn 8.48" thick vs 8" in A12.01 schedule (G1). Quantities follow 5/A12.01 (2 rows 1-5/8", 2 layers per face).</t>
  </si>
  <si>
    <t xml:space="preserve">None</t>
  </si>
  <si>
    <t xml:space="preserve">RFI-13</t>
  </si>
  <si>
    <t xml:space="preserve">Spray foam insulation in exterior stud cavity (A09.21/A09.22 '6" CFMF SPRAY FOAM INSULATION', 3/A09.26) - EXCLUDED as Div 07 21 00 (insulation sub). Confirm.</t>
  </si>
  <si>
    <t xml:space="preserve">Proxy 3,255 SF: N 525 / E 1,036 / S 621 / W 1,073 SF</t>
  </si>
  <si>
    <t xml:space="preserve">RFI-14</t>
  </si>
  <si>
    <t xml:space="preserve">2/A09.26 'STEEL HEADER FRAMING. PACK W/ BATT INSULATION' over storefronts: header height not printed. Not carried.</t>
  </si>
  <si>
    <t xml:space="preserve">~45 SF 6" batt (45.3 LF x ~1 ft)</t>
  </si>
  <si>
    <t xml:space="preserve">RFI-15</t>
  </si>
  <si>
    <t xml:space="preserve">Access panels in GWB ceilings of restrooms 113/114 (P00.01 GN 15, M00.01 n.16, valves on P01.02): not shown on A04.01. Not carried.</t>
  </si>
  <si>
    <t xml:space="preserve">+2 EA access panel + 16 LF framed opening</t>
  </si>
  <si>
    <t xml:space="preserve">RFI-16</t>
  </si>
  <si>
    <t xml:space="preserve">Widths not printed for drinking fountain PF-06, WH-1 platform, KN 7 wall fixtures, EUH-1 bracket: blocking carried with 16" stud-bay rounding (53.3 more material).</t>
  </si>
  <si>
    <t xml:space="preserve">DF 12 LF (2 runs = 8 LF); WH-1 8 LF; KN 7 5.3 LF; EUH-1 2.7 LF</t>
  </si>
  <si>
    <t xml:space="preserve">RFI-17</t>
  </si>
  <si>
    <t xml:space="preserve">Interior corner bead (53.1) at partition outside corners and C1 furring: board heights per face vary; carried 7 L corners x ~9.0 ft + C1 corners.</t>
  </si>
  <si>
    <t xml:space="preserve">164.5 LF carried; range 63-230 LF</t>
  </si>
  <si>
    <t xml:space="preserve">EXT-RFI-01</t>
  </si>
  <si>
    <t xml:space="preserve">2/A09.01 titulada SOUTH ELEVATION dibuja la fachada de grid F/G (norte segun north arrow de A02.01 y burbuja de A02.01) y 2/A09.02 titulada NORTH ELEVATION dibuja grid A. Confirmar nombres. Take-off usa la geometria (N = F/G).</t>
  </si>
  <si>
    <t xml:space="preserve">0 (solo nombre)</t>
  </si>
  <si>
    <t xml:space="preserve">EXT-RFI-02</t>
  </si>
  <si>
    <t xml:space="preserve">S1.11 nota 5 pide 600S162-54 @16" y @12" a 6 ft de building corners; 7/S5.20 METAL STUD SCHEDULE da 600S137-33 @16" para EXTERIOR WALLS. Se carga S1.11 (mas material, 56.2).</t>
  </si>
  <si>
    <t xml:space="preserve">Sin zonas @12": -282.19 LF de 6" stud; ademas gauge 54 vs 33 mil (peso)</t>
  </si>
  <si>
    <t xml:space="preserve">EXT-RFI-03</t>
  </si>
  <si>
    <t xml:space="preserve">Building corners para la zona @12": se aplicaron tambien a esquinas re-entrantes (F/4, D/3). Confirmar si solo convexas.</t>
  </si>
  <si>
    <t xml:space="preserve">Solo convexas: -57.45 LF</t>
  </si>
  <si>
    <t xml:space="preserve">EXT-RFI-04</t>
  </si>
  <si>
    <t xml:space="preserve">Perimeter beam bajo cada wall (60.3): N-G (grid G) y W-D (jog D) no legibles en S2.20; N-F cripples bajo W18x35 (4-7) cargados a la altura de W12x19 (14.36 ft).</t>
  </si>
  <si>
    <t xml:space="preserve">N-F cripples: -0.46 ft x cripples (~-12 LF) si W18x35; N-G/W-D +/-0.13 ft/stud por cada 1.5" de peralte</t>
  </si>
  <si>
    <t xml:space="preserve">EXT-RFI-05</t>
  </si>
  <si>
    <t xml:space="preserve">S2.20 rotula '@ LOW ROOF' en zona E-B pero solo imprime B.O.D. 15'-4 1/2" (F-E) y Section H/A09.23 (grid 3 entre C y B.2) da T/STEEL 15'-4 1/2". Se uso 15'-4 1/2" de F a B. Confirmar B.O.D. de E a B.</t>
  </si>
  <si>
    <t xml:space="preserve">Si fuera 13'-0 5/8": -2.32 ft por stud en E1 (parte E-B), W-W2a; board -2.32 ft x LF</t>
  </si>
  <si>
    <t xml:space="preserve">EXT-RFI-06</t>
  </si>
  <si>
    <t xml:space="preserve">En 3/A09.26, 7/A09.26 y 15/A09.27 la canopy beam queda en el plano de los studs. Confirmar si los 6" studs se cortan (track abajo y arriba de la viga) o pasan por fuera.</t>
  </si>
  <si>
    <t xml:space="preserve">Si se cortan: + 2 tracks x linea de canopy (~2 x 214 LF = +428 LF track) y -1 ft aprox por stud en esa linea</t>
  </si>
  <si>
    <t xml:space="preserve">EXT-RFI-07</t>
  </si>
  <si>
    <t xml:space="preserve">Drive-up canopy (15/A09.27): la banda del muro dentro del canopy no rotula ni glass mat ni nailbase (54.5). Confirmar sheathing en esa banda.</t>
  </si>
  <si>
    <t xml:space="preserve">+112.7 SF glass mat (o nailbase)</t>
  </si>
  <si>
    <t xml:space="preserve">EXT-RFI-08</t>
  </si>
  <si>
    <t xml:space="preserve">Canopy sur (grid A, 3.4-5.6, S2.20 C10x15.3 22'-2"): Section F/A09.22 no imprime profundidad. Se uso 3'-1 3/4" (7/A09.26 SIM).</t>
  </si>
  <si>
    <t xml:space="preserve">Cada 6" de profundidad: +11.1 SF soffit/plywood, +9 LF joists</t>
  </si>
  <si>
    <t xml:space="preserve">EXT-RFI-09</t>
  </si>
  <si>
    <t xml:space="preserve">Canopy framing 3-5/8" (fascia y soffit): O.C., gauge y direccion de joists (drive-up) no impresos. Se uso @16" 362S137-33, joists E-W.</t>
  </si>
  <si>
    <t xml:space="preserve">@24": -33% LF joists/fascia studs</t>
  </si>
  <si>
    <t xml:space="preserve">EXT-RFI-10</t>
  </si>
  <si>
    <t xml:space="preserve">Framed openings de luminarias UU1-UU6 en canopy (54.1): ancho de los ends no impreso (CORONET LSR-WET-2.5). 42 ends (21 fixtures).</t>
  </si>
  <si>
    <t xml:space="preserve">42 x ancho (p.ej. 42 x 0.5 ft = 21 LF track)</t>
  </si>
  <si>
    <t xml:space="preserve">EXT-RFI-11</t>
  </si>
  <si>
    <t xml:space="preserve">Drive-up ATM: R.O. 2'-2 1/2" (7/A08.11) vs 2'-2 1/8" (26.4") en 5/A08.11; sill 2'-8 1/8" medido desde FINISHED DRIVE-LANE (no slab). Se uso 2'-2 1/2" (60.9).</t>
  </si>
  <si>
    <t xml:space="preserve">0.03 ft header/sill</t>
  </si>
  <si>
    <t xml:space="preserve">EXT-RFI-12</t>
  </si>
  <si>
    <t xml:space="preserve">Ventanas GL-2 (offices 105-110): se tomo como R.O. la cota interior '8'-0"' entre EQ de A02.01 (frame vectorial 7'-8"). Confirmar R.O.</t>
  </si>
  <si>
    <t xml:space="preserve">Si 7'-8": -0.33 ft x 6 en header/sill/head track (-6 LF)</t>
  </si>
  <si>
    <t xml:space="preserve">EXT-RFI-13</t>
  </si>
  <si>
    <t xml:space="preserve">Tracks 600T125-33 (bottom) y 600T200-97 (top) de 7/S5.20 con studs 54 mil de S1.11; confirmar gauge de track exterior.</t>
  </si>
  <si>
    <t xml:space="preserve">Mismo LF; gauge</t>
  </si>
  <si>
    <t xml:space="preserve">EXT-RFI-14</t>
  </si>
  <si>
    <t xml:space="preserve">Hat channel 7/8" @16" de EPS-5 (3/A09.25, 9-11/A09.27, A09.31) y furring de ACM: EXCLUDED (instalador del cladding, 60.4). Confirmar.</t>
  </si>
  <si>
    <t xml:space="preserve">+748 LF hat channel si fuera nuestro</t>
  </si>
  <si>
    <t xml:space="preserve">EXT-RFI-15</t>
  </si>
  <si>
    <t xml:space="preserve">4/S5.20 'PROVIDE BLOCKING AT THE EDGE OF GYPBOARD' sin ubicacion: se lleva 1 fila 362CR22 en cada exterior wall con board &gt; 12 ft (56.8/59.14).</t>
  </si>
  <si>
    <t xml:space="preserve">0 si no se requiere; +1 fila por wall si board de 8 ft</t>
  </si>
  <si>
    <t xml:space="preserve">EXT-RFI-16</t>
  </si>
  <si>
    <t xml:space="preserve">Roof step 4/A02.02: tracks de run 2 y run 3 a deck paralelos al flute (S2.20). Purlin 10/A09.33 VIF.</t>
  </si>
  <si>
    <t xml:space="preserve">-77.6 LF purlin si flute perpendicular</t>
  </si>
  <si>
    <t xml:space="preserve">EXT-RFI-17</t>
  </si>
  <si>
    <t xml:space="preserve">Roof hatch 1/A09.30 '2x FRT BLOCKING AS REQUIRED': se cargo perimetro 30"x54" (14 LF).</t>
  </si>
  <si>
    <t xml:space="preserve">0 a +14 LF</t>
  </si>
  <si>
    <t xml:space="preserve">EXT-RFI-18</t>
  </si>
  <si>
    <t xml:space="preserve">Canopy norte: Section C/A09.21 4'-7 3/4" vs A02.02 5'-2 1/2" (canopy edge a F). Se uso la wall section.</t>
  </si>
  <si>
    <t xml:space="preserve">+0.06 ft x 42.4 = +2.6 SF</t>
  </si>
  <si>
    <t xml:space="preserve">EXT-RFI-19</t>
  </si>
  <si>
    <t xml:space="preserve">9/S5.20 'ADD FULL LENGTH ADDL HEAD TRACK @ OPNG &gt; 4'-0"': aplica tambien a storefronts con steel header HSS? No cargado en storefronts.</t>
  </si>
  <si>
    <t xml:space="preserve">+49.31 LF additional head track</t>
  </si>
  <si>
    <t xml:space="preserve">EXT-RFI-20</t>
  </si>
  <si>
    <t xml:space="preserve">4/A09.26 rotula la cara roof del parapet como '5/8" DENS DECK OR EQUAL' (roofer) y las wall sections como '5/8" EXTERIOR GYPSUM SHEATHING'. Se carga como nuestro (53.5).</t>
  </si>
  <si>
    <t xml:space="preserve">-918 SF si es del roofer</t>
  </si>
  <si>
    <t xml:space="preserve">EXT-RFI-21</t>
  </si>
  <si>
    <t xml:space="preserve">Infill de parapet (11/S5.10): base del stud = B.O.D. (top of beam). En pendiente B-A se uso el lado alto (A).</t>
  </si>
  <si>
    <t xml:space="preserve">Promedio en E2/W-W2b: -0.26 ft x studs</t>
  </si>
  <si>
    <t xml:space="preserve">EXT-RFI-22</t>
  </si>
  <si>
    <t xml:space="preserve">Canopy columns 5/A09.25 y piers 1-2/A09.25: altura y numero de studs no impresos (se uso B/STUD 10'-7 1/4" y deck 15'-4 1/2").</t>
  </si>
  <si>
    <t xml:space="preserve">Piers a 9'-4 1/2": -60 LF</t>
  </si>
  <si>
    <t xml:space="preserve">EXT-RFI-23</t>
  </si>
  <si>
    <t xml:space="preserve">Fascia box canopy: plywood en returns top/bottom 6" (se incluyo).</t>
  </si>
  <si>
    <t xml:space="preserve">-234.1 SF si solo cara</t>
  </si>
  <si>
    <t xml:space="preserve">EXT-RFI-24</t>
  </si>
  <si>
    <t xml:space="preserve">S2.20 nota 'BUILDING FOOTPRINT MIRRORED NORTH-SOUTH': confirmar que la asignacion de perimeter beams por grid (W18x35 3-6 en A, W12x19 HI en F/8/3) es la del edificio construido.</t>
  </si>
  <si>
    <t xml:space="preserve">Ver RFI-04</t>
  </si>
  <si>
    <t xml:space="preserve">EXT-RFI-25</t>
  </si>
  <si>
    <t xml:space="preserve">4/A09.26 '3/4" F.R.T. PLYWOOD BLOCKING AS REQUIRED' en top del parapet: se cargo 1 ply x LF de parapet.</t>
  </si>
  <si>
    <t xml:space="preserve">0 a +262 LF</t>
  </si>
  <si>
    <t xml:space="preserve">EXT-RFI-26</t>
  </si>
  <si>
    <t xml:space="preserve">Header schedule 7/S5.20 no tiene fila 'NON LOAD BRG - EXTERIOR'; se usaron las filas 'INTERIOR AND EXTERIOR' (2-60CSJ14 @8'-0", 2-60CSJ18 @4'-0").</t>
  </si>
  <si>
    <t xml:space="preserve">Tipo de member, mismo LF (60.5)</t>
  </si>
  <si>
    <t xml:space="preserve">RCP-RFI-C05</t>
  </si>
  <si>
    <t xml:space="preserve">Ceiling transition 7/A09.33 (Central Zone 11'-6" to 9'-0", x1530-1622): stud O.C. not printed; drop board height not dimensioned besides 6" min. Confirm.</t>
  </si>
  <si>
    <t xml:space="preserve">Studs @16" loaded (25.5 LF); @24" = 4 studs = 25.5 LF -&gt; -6.4 LF</t>
  </si>
  <si>
    <t xml:space="preserve">RCP-RFI-C06</t>
  </si>
  <si>
    <t xml:space="preserve">CSR soffit bottom blocking: 9/A12.08 says 5/8" FRT plywood blocking; 10/A09.33 shows FRTW 2x4 + 2x6 'blocking for future'. Same element (55.2). Which governs?</t>
  </si>
  <si>
    <t xml:space="preserve">Loaded 5/8" FRT plywood 12.01 LF (41.04 SF); alt FRTW 2x4+2x6 = 24.03 LF</t>
  </si>
  <si>
    <t xml:space="preserve">RCP-RFI-C08</t>
  </si>
  <si>
    <t xml:space="preserve">Vestibule heads 4-7/A12.10: 'METAL STUD FRAMING &amp; BOX HEADER AS NEEDED' - stud size, O.C., box header size and whether framing goes to deck (break line) not printed.</t>
  </si>
  <si>
    <t xml:space="preserve">Loaded 3-5/8" @16" to deck: 69.88 + 32.25 LF; if framing stops 6" above ceiling: -86.6 LF studs, -22.06 LF top track</t>
  </si>
  <si>
    <t xml:space="preserve">RCP-RFI-C09</t>
  </si>
  <si>
    <t xml:space="preserve">Office bulkheads 8,9/A12.01: box beam size/depth, stud gauge and O.C. of the 1-5/8" double row, and bulkhead bottom width not printed. Confirm (G1 = 8" assumed).</t>
  </si>
  <si>
    <t xml:space="preserve">Cripples loaded full 7.333 ft (440 LF total); with a 12" box beam: 6.333 ft -&gt; -60 LF</t>
  </si>
  <si>
    <t xml:space="preserve">RCP-RFI-C10</t>
  </si>
  <si>
    <t xml:space="preserve">Width of R-11A / R-11C / R-11CE trimless slot housings (Focal Point FSM2L) for framed opening ends not printed; also R-11C catalog shows '-20'-0"' while description/RCP say 12'.</t>
  </si>
  <si>
    <t xml:space="preserve">Ends: 12 ends x width (e.g. 4" -&gt; 4.0 LF). 20' instead of 12': +4 x 2 x 8 = +64 LF FO and +64 LF edge trim</t>
  </si>
  <si>
    <t xml:space="preserve">RCP-RFI-C11</t>
  </si>
  <si>
    <t xml:space="preserve">Restrooms 113/114: RCP shows 2'x2' diffuser/grille symbols in GWB; M01.01 shows 2'-0" linear slots (75 / 60 CFM). Which opening size?</t>
  </si>
  <si>
    <t xml:space="preserve">Loaded 2'x2' = 32 LF; slots = 21.12 LF (-10.88 LF)</t>
  </si>
  <si>
    <t xml:space="preserve">RCP-RFI-C01</t>
  </si>
  <si>
    <t xml:space="preserve">GWB ceiling suspension (vestibules, restrooms, waiting): A09.33 has no GWB suspension detail. Confirm furring 7/8" hat @16" O.C. (vs @24"), 1-1/2" CRC @48" O.C., 12 ga hangers @48" x 48".</t>
  </si>
  <si>
    <t xml:space="preserve">Furring @24": 100: 11x7.91=87.0 (-23.7); 101: 9 runs (-38.6); 113/114: 7x6.667=46.7 each (-20.0 each). Total approx -102 LF</t>
  </si>
  <si>
    <t xml:space="preserve">RCP-RFI-C02</t>
  </si>
  <si>
    <t xml:space="preserve">S1.11 note 9: ceilings shall NOT be supported by the deck. Hanger wires must attach to joists/beams (S2.20 N-S members ~5'-4" O.C.) - confirm attachment and whether trapeze/added length is needed.</t>
  </si>
  <si>
    <t xml:space="preserve">Hanger LF loaded = B.O.D. - ceiling; attaching to beam bottom flange adds approx +1.0 ft per hanger (~+128 LF on 128 hangers)</t>
  </si>
  <si>
    <t xml:space="preserve">RCP-RFI-C03</t>
  </si>
  <si>
    <t xml:space="preserve">Waiting 104: 6/A09.33 shows 3-5/8" metal stud framing @16" O.C. for the GWB ceiling at trimless fixtures. Confirm studs are used for the whole Waiting ceiling (vs 7/8" hat furring) and gauge (S5.20 362S137-33?).</t>
  </si>
  <si>
    <t xml:space="preserve">Studs 408.65 LF loaded; alt hat furring same 408.65 LF (family changes stud -&gt; furring)</t>
  </si>
  <si>
    <t xml:space="preserve">RCP-RFI-C04</t>
  </si>
  <si>
    <t xml:space="preserve">Deck flute direction (S2.20: N-S members -&gt; flute E-W) [DERIVADO]; 10/A09.33 alternate is VIF. Purlin 1x1x1 16ga loaded only on E-W runs to deck (waiting N edge, CZ transition, vestibule head 100/101); fastener spacing not printed (0.75 factor of 59.1 used).</t>
  </si>
  <si>
    <t xml:space="preserve">If flute N-S: purlin moves to N-S runs: CSR 18.02 + waiting E/W 45.0 + vest head grid 4 4.81 + office bulkheads 6x15x0.75=67.5 instead of 12.77+3.82+11.73</t>
  </si>
  <si>
    <t xml:space="preserve">RCP-RFI-C07</t>
  </si>
  <si>
    <t xml:space="preserve">Bracing/bridging type for bulkhead / soffit / drop stud runs (53.4, 60.7) is not printed in A09.33/A12.01; S5.20 'F. BRIDGING AND BRACING' used as reference.</t>
  </si>
  <si>
    <t xml:space="preserve">Loaded 1 row per run (total ~150 LF); none if not required</t>
  </si>
  <si>
    <t xml:space="preserve">RCP-RFI-C12</t>
  </si>
  <si>
    <t xml:space="preserve">Vestibule GWB ceilings (10'-0") vs Central Zone ACT (11'-6"): vertical face above grid-4 glazing modeled per 4,5/A12.10 to 11'-6" + 6" (2'-0"). Confirm height.</t>
  </si>
  <si>
    <t xml:space="preserve">12.83 SF loaded; to deck (5.375 ft) = 34.49 SF (+21.66 SF)</t>
  </si>
  <si>
    <t xml:space="preserve">BLK-RFI-BLK-01</t>
  </si>
  <si>
    <t xml:space="preserve">Blocking length per accessory is not printed. Carried ROUNDUP(width/16")x16" per run (spans studs @16"), panels/mirrors/boards/lockers 2 runs (top+bottom), small devices 1 run. Confirm.</t>
  </si>
  <si>
    <t xml:space="preserve">If 1 run for artwork/boards/mirrors: -48 (artwork) -4 (combo) -4 -5.33 (cork) -5.33 (lockers) -2.67 (TA-19) -2x(2.67+4.0) (TA-7, TA-16) = approx -82.7 LF</t>
  </si>
  <si>
    <t xml:space="preserve">BLK-RFI-BLK-02</t>
  </si>
  <si>
    <t xml:space="preserve">Note C A02.01 and door note D ask for blocking without material. Carried metal stud blocking 362CR22 (4/S5.20). FRT wood instead?</t>
  </si>
  <si>
    <t xml:space="preserve">Same LF, material change only (all rows "Stud blocking 362CR22").</t>
  </si>
  <si>
    <t xml:space="preserve">BLK-RFI-BLK-03</t>
  </si>
  <si>
    <t xml:space="preserve">A08.01 note E (FRT blocking, toilet accessories) and millwork note D (FRTW) give no size/plies. Carried 1 ply 2x6 FRT.</t>
  </si>
  <si>
    <t xml:space="preserve">2 plies = x2 on those rows.</t>
  </si>
  <si>
    <t xml:space="preserve">BLK-RFI-BLK-04</t>
  </si>
  <si>
    <t xml:space="preserve">4/S5.20 "provide blocking at the edge of gypboard" is NTS with no location. Carried (a) exterior + G/G1 faces; (b) adds every face whose board exceeds the 12 ft sheet (B, B2, F, C1 to structure).</t>
  </si>
  <si>
    <t xml:space="preserve">(b) - (a) = partitions LF of B/B2/F/C1 tall faces (pending partitions takeoff) + 19.85 LF C1 chase.</t>
  </si>
  <si>
    <t xml:space="preserve">BLK-RFI-BLK-05</t>
  </si>
  <si>
    <t xml:space="preserve">FRT plywood backboard: keynote 6 says install 6" AFF; 2,3,4/A11.03 dimension 8'-0" to top from floor; NER 5/A11.03 and E02.02 n.29 show 8'-0" x 7'-6" from 6". Carried 8'-0" height.</t>
  </si>
  <si>
    <t xml:space="preserve">Electrical at 7'-6" high: -12.5 SF</t>
  </si>
  <si>
    <t xml:space="preserve">BLK-RFI-BLK-06</t>
  </si>
  <si>
    <t xml:space="preserve">Coiling grille 103: FRT wood blocking height not printed; A00.30 gives 13'-6 1/2" but 2/A08.21 vector puts ACT at ~11.4 ft.</t>
  </si>
  <si>
    <t xml:space="preserve">At 11.38 ft: -10.8 LF</t>
  </si>
  <si>
    <t xml:space="preserve">BLK-RFI-BLK-07</t>
  </si>
  <si>
    <t xml:space="preserve">24 HR vestibule: number of glass terminations needing 8/A12.10 FRT blocking (carried 4) and material of the unlabeled X under box header in 4-7/A12.10 (carried metal).</t>
  </si>
  <si>
    <t xml:space="preserve">3 terminations: -10 LF; heads not blocking: -21.875 LF</t>
  </si>
  <si>
    <t xml:space="preserve">BLK-RFI-BLK-08</t>
  </si>
  <si>
    <t xml:space="preserve">Break room S cork board: equipment 69 is 36"W x 48"H but 5/A11.02 dimensions 4'-4" wide. Carried drawing.</t>
  </si>
  <si>
    <t xml:space="preserve">At 36": -2.67 LF</t>
  </si>
  <si>
    <t xml:space="preserve">BLK-RFI-BLK-09</t>
  </si>
  <si>
    <t xml:space="preserve">Roof ladder 3/A09.30 is drawn with a break line; number of bracket rows not printed (carried 3).</t>
  </si>
  <si>
    <t xml:space="preserve">Each extra row +2.67 LF</t>
  </si>
  <si>
    <t xml:space="preserve">BLK-RFI-BLK-10</t>
  </si>
  <si>
    <t xml:space="preserve">ATM plinths: is FRT plinth framing (3/A08.11) and the (2) layer FRT plywood DU plinth (6/A08.11) in our scope? DU plinth footprint not printed.</t>
  </si>
  <si>
    <t xml:space="preserve">DU plinth unknown SF</t>
  </si>
  <si>
    <t xml:space="preserve">BLK-RFI-BLK-11</t>
  </si>
  <si>
    <t xml:space="preserve">Roof hatch 1/A09.30 "2x FRT blocking as required": hatch size not printed.</t>
  </si>
  <si>
    <t xml:space="preserve">perimeter of hatch x plies</t>
  </si>
  <si>
    <t xml:space="preserve">BLK-RFI-BLK-12</t>
  </si>
  <si>
    <t xml:space="preserve">Tactile exit signage (keynote 1) and restroom signage: blocking required or adhesive mount?</t>
  </si>
  <si>
    <t xml:space="preserve">+1.33 LF per sign</t>
  </si>
  <si>
    <t xml:space="preserve">BLK-RFI-WET-01</t>
  </si>
  <si>
    <t xml:space="preserve">C1 chase (6/A12.01) has no height; MR board carried to B.O.D. (13.0 ft interpolated S2.20). Confirm board height on chase faces.</t>
  </si>
  <si>
    <t xml:space="preserve">If to ceiling + 6" (~10 ft): -2 x 9.923 x 3.0 = -59.5 SF</t>
  </si>
  <si>
    <t xml:space="preserve">BLK-RFI-WET-02</t>
  </si>
  <si>
    <t xml:space="preserve">Janitor key note 6 "FRP ... width to match mop sink at both sides": back wall only, or back + 2 sides? Mop sink size not printed (vector 2'-0").</t>
  </si>
  <si>
    <t xml:space="preserve">Back only: -16 SF</t>
  </si>
  <si>
    <t xml:space="preserve">BLK-RFI-WET-03</t>
  </si>
  <si>
    <t xml:space="preserve">Cement backer board: carried only under CT-12C cove base. Floor tile CT-16 on slab without backer per 8/A08.01 mortar bed.</t>
  </si>
  <si>
    <t xml:space="preserve">Floor 2 restrooms if required: ~2 x 70 SF</t>
  </si>
  <si>
    <t xml:space="preserve">BLK-RFI-REC-01</t>
  </si>
  <si>
    <t xml:space="preserve">FEC-1 recessed cabinet (A00.40, spec 10 44 00) has no size. Carried 0.</t>
  </si>
  <si>
    <t xml:space="preserve">If &gt; 14 3/8" (e.g., 24" W): +2 x (2.0+1.333) = +6.67 LF</t>
  </si>
  <si>
    <t xml:space="preserve">BLK-RFI-REC-02</t>
  </si>
  <si>
    <t xml:space="preserve">TA-13 hand dryer recess kit width not printed (vector 17.2"). Carried 0.</t>
  </si>
  <si>
    <t xml:space="preserve">+2 rooms x 2 x (1.43+1.333) = +11.05 LF</t>
  </si>
  <si>
    <t xml:space="preserve">BLK-RFI-REC-03</t>
  </si>
  <si>
    <t xml:space="preserve">TA-14 recessed waste receptacle width not printed (vector 14.08", fits bay). Carried 0.</t>
  </si>
  <si>
    <t xml:space="preserve">If &gt; 14 3/8": +2 x 2 x (1.17+1.333) = +10.0 LF</t>
  </si>
  <si>
    <t xml:space="preserve">BLK-RFI-REC-04</t>
  </si>
  <si>
    <t xml:space="preserve">TA-2 recessed paper towel dispenser width not printed. Carried 0.</t>
  </si>
  <si>
    <t xml:space="preserve">If ~12" W fits bay: 0; if &gt; 14 3/8": +2 x 2 x (w+1.333)</t>
  </si>
  <si>
    <t xml:space="preserve">BLK-RFI-REC-05</t>
  </si>
  <si>
    <t xml:space="preserve">Fire dampers (M01.01 FD) in electrical/NER walls: grille 14x14 printed; damper sleeve/retaining angles may exceed stud bay.</t>
  </si>
  <si>
    <t xml:space="preserve">If framed: 4 x 2 x (1.17+1.333) = +20.0 LF</t>
  </si>
  <si>
    <t xml:space="preserve">BLK-RFI-L5-01</t>
  </si>
  <si>
    <t xml:space="preserve">A05.01 key note 9 calls WC-20 Level 5 in 24 HR vestibule; WC-20 not in A00.40 and extent not drawn.</t>
  </si>
  <si>
    <t xml:space="preserve">Diagonal wall face x height (unknown)</t>
  </si>
  <si>
    <t xml:space="preserve">BLK-RFI-DOOR-01</t>
  </si>
  <si>
    <t xml:space="preserve">HM door R.O. derived as door + 2 x 2" frame face (10/11 A12.02) and head = door height + 2". Confirm frame profile; 55.4 asks vector check (door 112 opening measures 3.333 ft in 1/A08.01, consistent).</t>
  </si>
  <si>
    <t xml:space="preserve">per door +/- frame face</t>
  </si>
  <si>
    <t xml:space="preserve">BLK-RFI-DOOR-02</t>
  </si>
  <si>
    <t xml:space="preserve">Door 103 coiling grille height: A00.30 13'-6 1/2" vs elevation vector ~11.4 ft to ACT.</t>
  </si>
  <si>
    <t xml:space="preserve">header band changes ~2.1 ft</t>
  </si>
  <si>
    <t xml:space="preserve">BLK-RFI-SP-01</t>
  </si>
  <si>
    <t xml:space="preserve">Elevation titles NORTH/SOUTH (and E/W in office 5) are transposed against the plan rhombus in A11.01-A11.04; rhombus used. Confirm.</t>
  </si>
  <si>
    <t xml:space="preserve">none (location only)</t>
  </si>
  <si>
    <t xml:space="preserve">#</t>
  </si>
  <si>
    <t xml:space="preserve">Punto</t>
  </si>
  <si>
    <t xml:space="preserve">Hoja + detalle</t>
  </si>
  <si>
    <t xml:space="preserve">Imagen</t>
  </si>
  <si>
    <t xml:space="preserve">ADV2-H1 Bracing CRC exterior: ext usa filas x largo total del wall incluyendo aberturas (53.4 literal). Sin studs dentro del R.O. seria -147.5 LF (N -77.6, E -32.0, S -6.7, W -31.2). Va contra 53.4 -&gt; NO aplicado (59.8); decidir.</t>
  </si>
  <si>
    <t xml:space="preserve">53.4 / 2/A09.26, 10-11/A09.27</t>
  </si>
  <si>
    <t xml:space="preserve">-</t>
  </si>
  <si>
    <t xml:space="preserve">ADV2-H3 studs_nodos.py pone un stud a cada lado de un corte 'free' de un mismo wall continuo (E1/E2, S1/S2, W-W2a/W-W2b y A5-2a/A5-2b): +35.2 LF 6" ext y +1 stud 6" int. La tool no tiene nodo 'split' (-1). Regla propuesta 61.x.</t>
  </si>
  <si>
    <t xml:space="preserve">studs_nodos.py / 58.1</t>
  </si>
  <si>
    <t xml:space="preserve">ADV2-H4 N-G (grid G) es pier 2'-6 3/4" + storefront 12'-6 3/4" + pier: los 6" studs de los piers se cuentan por 1&amp;2/A09.25 (59.6); N-G con 13 studs full -&gt; -57.4 a -100 LF 6" (detalle no dibuja studs) -&gt; RFI.</t>
  </si>
  <si>
    <t xml:space="preserve">1/A09.25, 2/A09.25, A02.01</t>
  </si>
  <si>
    <t xml:space="preserve">ADV2-S1 Stud blocking 362CR22 exterior corre sobre storefronts sin junta horizontal: -45.3 LF.</t>
  </si>
  <si>
    <t xml:space="preserve">4/S5.20, 59.14</t>
  </si>
  <si>
    <t xml:space="preserve">ADV2-S3 Alturas de las 3 corridas del roof step (3.113/3.46/1.131 ft) sin cota impresa: escribir cadena B.O.D. HI/LOW - peraltes.</t>
  </si>
  <si>
    <t xml:space="preserve">4/A02.02, 9/S5.10</t>
  </si>
  <si>
    <t xml:space="preserve">ADV2-S5 Canopy beam en plano de studs (RFI-06): +361.7 LF 6" track si 15/A09.27 dibuja tracks.</t>
  </si>
  <si>
    <t xml:space="preserve">15/A09.27</t>
  </si>
  <si>
    <t xml:space="preserve">ADV2-S7 Parapet roof side 'DENS DECK OR EQUAL' (RFI-20): 913 SF puede ser del roofer; 53.5 lo carga.</t>
  </si>
  <si>
    <t xml:space="preserve">4/A09.26</t>
  </si>
  <si>
    <t xml:space="preserve">B2-2 arranca 0.54 ft al norte de grid B (zona HI) dentro del jamb de door 114; se cargo B.O.D. LOW 13.052 (RFI-04, +69.69 LF 6" stud si HI).</t>
  </si>
  <si>
    <t xml:space="preserve">S2.20, A02.01</t>
  </si>
  <si>
    <t xml:space="preserve">C1 sin cota de altura: board a deck en la face expuesta (60.11) -&gt; RFI-09 delta -191.68 SF.</t>
  </si>
  <si>
    <t xml:space="preserve">6/A12.01</t>
  </si>
  <si>
    <t xml:space="preserve">A1-4 cara norte: franja al oeste de Calling Cubes sigue la reticula de Central Zone 11'-6" (A04.01: la reticula se corta en la linea de A1-4) -&gt; board 12.0 ft; si fuera Corridor 8'-6" seria -15 SF.</t>
  </si>
  <si>
    <t xml:space="preserve">A04.01, 3/A12.01</t>
  </si>
  <si>
    <t xml:space="preserve">Walls sin tag clasificados por espesor medido (55.4): G-4 y G-11 (6.16" = G), G1-3 (8.48" = G1).</t>
  </si>
  <si>
    <t xml:space="preserve">A02.01, 5/A12.01</t>
  </si>
  <si>
    <t xml:space="preserve">Rombos de elevacion interior vs titulos N/S (y E/W en office 5) cruzados en A11.01-A11.04: se uso el rombo (agente blk RFI-SP-01).</t>
  </si>
  <si>
    <t xml:space="preserve">A11.01-A11.04</t>
  </si>
  <si>
    <t xml:space="preserve">Titulos de elevaciones exteriores cruzados: 2/A09.01 'SOUTH' dibuja grid F/G (norte) y 2/A09.02 'NORTH' dibuja grid A (RFI-01 ext).</t>
  </si>
  <si>
    <t xml:space="preserve">A09.01, A09.02</t>
  </si>
  <si>
    <t xml:space="preserve">S2.20 B.O.D. canopy impreso '111'-9"' (error tipografico) -&gt; 11'-9" (RFI ext).</t>
  </si>
  <si>
    <t xml:space="preserve">S2.20</t>
  </si>
  <si>
    <t xml:space="preserve">ADV1-S2 Criterio grid B: se parten los walls cuyo tramo en la otra zona supera 1 ft (A5-1 y A5-2 partidos); B2-2 (0.54 ft al norte, dentro del jamb de door 114) queda entero en LOW -&gt; RFI-04.</t>
  </si>
  <si>
    <t xml:space="preserve">S2.20, 59.13</t>
  </si>
  <si>
    <t xml:space="preserve">ADV1-S3 Bottom track no descuenta door R.O. (23.69 LF 3-5/8" y 23.83 LF 6"): se compra el run completo (closer exige 2 runs = 2 x L); el estimador puede descontarlo.</t>
  </si>
  <si>
    <t xml:space="preserve">1/S5.20, 9/S5.20</t>
  </si>
  <si>
    <t xml:space="preserve">ADV1-S6 C1-4 (jamb del coiling grille): cara N hacia 24 HR Vestibule 101 ~0.65 ft sin board (+6 a +10 SF).</t>
  </si>
  <si>
    <t xml:space="preserve">3/A08.21</t>
  </si>
  <si>
    <t xml:space="preserve">ADV1-S7 Elemento de 12 ft en la teller line x 1654-1663 (rect relleno) tomado como millwork CSR (A12.08), no como wall A1K; si fuera A1K: +123 LF stud 14 GA, +369 SF board, +96 SF ballistic.</t>
  </si>
  <si>
    <t xml:space="preserve">A02.01, A12.08</t>
  </si>
  <si>
    <t xml:space="preserve">ADV1-H4 Doors 111 y 119: R.O. vector 3.527 y 3.499 ft vs 3'-4" (A00.30 + frame 10/A12.02); se uso el vector (55.4).</t>
  </si>
  <si>
    <t xml:space="preserve">A00.30, 10/A12.02</t>
  </si>
  <si>
    <t xml:space="preserve">ADV3-S1 Head del coiling grille 103 cuelga 2'-4 1/2" bajo la viga sin soporte dibujado: +26 LF 3-5/8" stud y +13.33 LF top track si se pide (RFI).</t>
  </si>
  <si>
    <t xml:space="preserve">4/A08.21</t>
  </si>
  <si>
    <t xml:space="preserve">ADV3-S2 4/A08.21 rotula DOS 6" CFMF box beam header; se cargo 1 x (R.O.+1'-4") por 60.5 (no se aplica +14.67 LF).</t>
  </si>
  <si>
    <t xml:space="preserve">4/A08.21, 60.5</t>
  </si>
  <si>
    <t xml:space="preserve">ADV3-S5 Level 5 WC-20 (A05.01 KN 9, 24 HR Vestibule 101): extension no dibujada -&gt; 0 + RFI.</t>
  </si>
  <si>
    <t xml:space="preserve">A05.01, A00.40</t>
  </si>
  <si>
    <t xml:space="preserve">ADV3-S4 Ends de framed openings R-11 (~2 3/4" en 6/A09.33) y de luminarias del canopy: PENDIENTE (RFI-C10 / ext RFI-10).</t>
  </si>
  <si>
    <t xml:space="preserve">6/A09.33, E00.01</t>
  </si>
  <si>
    <t xml:space="preserve">ADV4-H6 2/A09.26 STEEL HEADER FRAMING PACK W/ BATT INSULATION sobre storefronts: ~45.3 LF x alto de header no impreso (~45 SF batt 6") -&gt; RFI, no cargado.</t>
  </si>
  <si>
    <t xml:space="preserve">2/A09.26</t>
  </si>
  <si>
    <t xml:space="preserve">ADV4-H9 Spray foam en cavidad exterior (A09.21/22 '6" CFMF SPRAY FOAM INSULATION', 3/A09.26): EXCLUDED, Div 07 21 00 (insulation sub); proxy 3,255 SF por fachada N 525 / E 1,036 / S 621 / W 1,073.</t>
  </si>
  <si>
    <t xml:space="preserve">A09.21, A09.22, 3/A09.26</t>
  </si>
  <si>
    <t xml:space="preserve">ADV4-S2 Access panels en GWB de restrooms 113/114 (P00.01 GN 15, M00.01 n.16, valvulas en P01.02): probable 2 x 2'x2' = +16 LF framed opening + 2 EA -&gt; RFI.</t>
  </si>
  <si>
    <t xml:space="preserve">P00.01, M00.01, P01.02</t>
  </si>
  <si>
    <t xml:space="preserve">ADV4 alcances aplicados como [DERIVADO]: DF PF-06 blocking 12 LF, office jamb corner bead 193 LF + FRT plywood 96.5 LF (10/A12.01), sound batt 151 SF (KN 11), WH-1 2x blocking 8 LF, DU ATM sister 2-1/2" 36.3 LF + mineral wool, KN 7 / EUH-1 blocking, corner bead 53.1 interior 164.5 LF: confirmar anchos no impresos.</t>
  </si>
  <si>
    <t xml:space="preserve">P00.01, 10/A12.01, A04.01, 6/A08.11</t>
  </si>
  <si>
    <t xml:space="preserve">BC-C1 Back-check no ve poche de A5-1b (1246.1-1313.76): el tramo es el jog 1229-1253.76 (recorte z_stub.png) + door 122 (1253.76-1313.76) con su header; se mantiene. Si no existiera: -4.15 LF A5, -52 LF 6" stud, -37 SF.</t>
  </si>
  <si>
    <t xml:space="preserve">A02.01, 3/A12.01</t>
  </si>
  <si>
    <t xml:space="preserve">BC-C2 Stubs de office front cruzan el extremo del demising: el stub es el wall pasante y el demising termina en su cara (59.3, nodo T); el back-check propone -4.1 LF G/G1 (-252 SF, -185 LF 1-5/8") si se descuenta.</t>
  </si>
  <si>
    <t xml:space="preserve">A02.01, 5/A12.01, 10/A12.01</t>
  </si>
  <si>
    <t xml:space="preserve">BC-C3 Cripples de office bulkhead sin descontar box beam (peralte no impreso, 53.3): -30 LF 1-5/8" si box beam ~6".</t>
  </si>
  <si>
    <t xml:space="preserve">8/A12.01, 9/A12.01</t>
  </si>
  <si>
    <t xml:space="preserve">B2K: no hay fila B2K en A12.01; espesor medido 7.68" = A5K (4/A12.01 7 5/8") -&gt; 6" 14 GA @24" MAX + ballistic customer side (RFI-03).</t>
  </si>
  <si>
    <t xml:space="preserve">4/A12.01</t>
  </si>
  <si>
    <t xml:space="preserve">ext: Framed opening canopy luminaires - ends (2 por fixture) [PENDIENTE] Ancho de end no impreso (CORONET LSR-WET-2.5) RFI-10</t>
  </si>
  <si>
    <t xml:space="preserve">E00.01 / E02.01 -&gt; 54.1</t>
  </si>
  <si>
    <t xml:space="preserve">ext: Hat channel 7/8" @16" (EPS-5 formed metal panel) - EXCLUDED [EXCLUDED] Sustrato del cladding: instalador EPS-5. RFI-14</t>
  </si>
  <si>
    <t xml:space="preserve">3/A09.25, 9-11/A09.27, 1-2/A09.31 '7/8" HAT CHANNEL @ 16" O.C.' -&gt; regla 60.4</t>
  </si>
  <si>
    <t xml:space="preserve">ext: Metal lath / stucco accessories (PT-3, PT-4, SA-2, SA-4, CJ) - EXCLUDED [EXCLUDED] Otro trade (53.1)</t>
  </si>
  <si>
    <t xml:space="preserve">A09.01/02 schedule, 5-6/A09.31</t>
  </si>
  <si>
    <t xml:space="preserve">rcp: Furring channel 7/8" hat - (104 WAITING) [NO APLICA] RFI-C03 alt: hat @16" = 24 x 17.027 = 408.65 LF instead of studs</t>
  </si>
  <si>
    <t xml:space="preserve">1/A04.01 (p29) GB 11'-0" + R-11 (12') trimless -&gt; 6/A09.33 '3 5/8" METAL STUD FRAMING @ 16" O.C.' -&gt; S2.20 B.O.D. 15'-4 </t>
  </si>
  <si>
    <t xml:space="preserve">rcp: Purlin 1x1x1 16ga (CSR LINE SOFFIT (N-S, x1653.96-1715.40, y1128.48-1344.72)) [NO APLICA base / RFI-C04] alt if VIF parallel: 24.03 x 0.75 = 18.02 LF</t>
  </si>
  <si>
    <t xml:space="preserve">10/A09.33 alternate VIF</t>
  </si>
  <si>
    <t xml:space="preserve">rcp: Framed opening - R-14A/AE/B, R-15 3.5" downlights in GWB (16 vestibules + 8 restrooms) [NO APLICA 60.10] 24 pcs listed, no FO</t>
  </si>
  <si>
    <t xml:space="preserve">E00.01 (p80) luminaire schedule + E02.01 (p82) tags + RCP</t>
  </si>
  <si>
    <t xml:space="preserve">blk: FRT plywood blocking 5/8" - CSR line soffit underside [DUPLICADO (55.2) - contado en otra fila] </t>
  </si>
  <si>
    <t xml:space="preserve">A02.01 CSR -&gt; 1/A12.08 (13'-2 1/4") -&gt; 9/A12.08 "5/8" FIRE TREATED PLYWOOD BLOCKING"</t>
  </si>
  <si>
    <t xml:space="preserve">blk: Stud blocking 362CR22 (metal, 4/S5.20) - vestibule glass wall heads (unlabeled X under box header) [PENDIENTE] X symbol has no label -&gt; metal + RFI-BLK-07.</t>
  </si>
  <si>
    <t xml:space="preserve">1/A12.10 -&gt; 7,6,5,4/A12.10 (X box under "METAL STUD FRAMING &amp; BOX HEADER AS NEEDED")</t>
  </si>
  <si>
    <t xml:space="preserve">blk: FRT plywood blocking 3/4" - office front bulkheads (DFC-1A) [DUPLICADO (55.2) - contado en otra fila] </t>
  </si>
  <si>
    <t xml:space="preserve">A02.01 note E + DFC-1A tags -&gt; 8 &amp; 9/A12.01 OFFICE BULKHEAD "3/4" FRT PLYWOOD BLOCKING" under cont. box beam</t>
  </si>
  <si>
    <t xml:space="preserve">blk: FRT plywood 3/4" (2) layers - DU ATM plinth (9D) [PENDIENTE] ATM ROOM 102 (drive-up). RFI-BLK-10.</t>
  </si>
  <si>
    <t xml:space="preserve">A08.11 -&gt; 6/A08.11 "(2) LAYERS 3/4" FRT PLYWOOD PLINTH"</t>
  </si>
  <si>
    <t xml:space="preserve">blk: FRT blocking 2x - roof hatch curb [PENDIENTE] Roof/deck element (RCP/ext scope). RFI-BLK-11.</t>
  </si>
  <si>
    <t xml:space="preserve">A02.01 keynote 4 / A02.02 note 9 -&gt; 1/A09.30 "2x FRT BLOCKING AS REQUIRED"</t>
  </si>
  <si>
    <t xml:space="preserve">blk: Stud blocking 362CR22 (metal, 4/S5.20) - tactile exit signage (keynote 1) &amp; restroom signage (A08.01 key note 3) [PENDIENTE] Signs normally adhesive-mounted. RFI-BLK-12.</t>
  </si>
  <si>
    <t xml:space="preserve">A02.01 keynote 1 -&gt; 9/A00.41; A08.01 key note 3 -&gt; 13/A00.41</t>
  </si>
  <si>
    <t xml:space="preserve">blk: Stud blocking 362CR22 (metal, 4/S5.20) - 4/S5.20 edge of gypboard, figure (a) exterior + double-layer G/G1 [DUPLICADO (55.2) - contado en otra fila] </t>
  </si>
  <si>
    <t xml:space="preserve">S5.20 4 TYPICAL BLOCKING DETAIL "STUD BLOCKING 362CR22 ... PROVIDE BLOCKING AT THE EDGE OF GYPBOARD" -&gt; rule 56.8/59.14</t>
  </si>
  <si>
    <t xml:space="preserve">blk: Stud blocking 362CR22 (metal, 4/S5.20) - 4/S5.20 figure (b) = (a) + every other face with board &gt; 12 ft [DUPLICADO (55.2) - contado en otra fila] </t>
  </si>
  <si>
    <t xml:space="preserve">4/S5.20 + A12.01 types B/B2/C1/F (board to structure)</t>
  </si>
  <si>
    <t xml:space="preserve">blk: Ceramic tile cove base CT-12C 6" - MEN'S RESTROOM 113 [DUPLICADO (55.2) - contado en otra fila] </t>
  </si>
  <si>
    <t xml:space="preserve">A05.01 finish plan -&gt; A00.40 finish legend -&gt; 1 &amp; 2/A08.01 -&gt; elev A-D/A08.01 -&gt; TOILET ROOM FINISH SCHEDULE A08.01</t>
  </si>
  <si>
    <t xml:space="preserve">blk: Ceramic tile cove base CT-12C 6" - WOMEN'S RESTROOM 114 [DUPLICADO (55.2) - contado en otra fila] </t>
  </si>
  <si>
    <t xml:space="preserve">blk: Moisture resistant gypsum board 5/8" - MEN'S RESTROOM 113 - N chase face [DUPLICADO (55.2) - contado en otra fila] </t>
  </si>
  <si>
    <t xml:space="preserve">1/A08.01 -&gt; SHEET NOTE F A08.01 ("USE MOISTURE RESISTANT GYPSUM BOARD BEHIND TOILET AND LAVATORY") -&gt; 6/A12.01 C1 (no he</t>
  </si>
  <si>
    <t xml:space="preserve">blk: Moisture resistant gypsum board 5/8" - WOMEN'S RESTROOM 114 - S chase face [DUPLICADO (55.2) - contado en otra fila] </t>
  </si>
  <si>
    <t xml:space="preserve">blk: Header + sill track at recessed item - FEC-1 fire extinguisher cabinet [PENDIENTE] CALLING CUBES 122 / corridor, W wall at MW07 (A1).  RFI-REC-01</t>
  </si>
  <si>
    <t xml:space="preserve">A02.01 FEC-1 tag -&gt; A00.40 FEC-1 "COLOR: WHITE; RECESSED", spec 10 44 00 (no size)</t>
  </si>
  <si>
    <t xml:space="preserve">blk: Header + sill track at recessed item - TA-13 hand dryer w/ ADA recess kit [PENDIENTE] MEN'S 113, chase wall (elev A). Vector 17.2" W x 26.1" H &gt; 14 3/8". RFI-REC-02</t>
  </si>
  <si>
    <t xml:space="preserve">A08.01 legend TA-13 + elev A</t>
  </si>
  <si>
    <t xml:space="preserve">blk: Header + sill track at recessed item - TA-14 recessed waste receptacle [PENDIENTE] MEN'S 113, alcove jog wall (elev A). Vector 14.08" W &lt;= 14 3/8" -&gt; fits stud bay. RFI-REC-03</t>
  </si>
  <si>
    <t xml:space="preserve">A08.01 legend TA-14 + elev A</t>
  </si>
  <si>
    <t xml:space="preserve">blk: Header + sill track at recessed item - TA-13 hand dryer w/ ADA recess kit [PENDIENTE] WOMEN'S 114, chase wall (elev A). Vector 17.2" W x 26.1" H &gt; 14 3/8". RFI-REC-02</t>
  </si>
  <si>
    <t xml:space="preserve">blk: Header + sill track at recessed item - TA-14 recessed waste receptacle [PENDIENTE] WOMEN'S 114, alcove jog wall (elev A). Vector 14.08" W &lt;= 14 3/8" -&gt; fits stud bay. RFI-REC-03</t>
  </si>
  <si>
    <t xml:space="preserve">blk: Header + sill track at recessed item - TA-2 recessed paper towel dispenser [PENDIENTE] BREAK ROOM 118, E.  RFI-REC-04</t>
  </si>
  <si>
    <t xml:space="preserve">A08.01 legend TA-2 + 8/A11.02</t>
  </si>
  <si>
    <t xml:space="preserve">blk: Header + sill track at recessed item - TA-2 recessed paper towel dispenser [PENDIENTE] WELLNESS 115, N.  RFI-REC-04</t>
  </si>
  <si>
    <t xml:space="preserve">A08.01 legend TA-2 + 15/A11.02</t>
  </si>
  <si>
    <t xml:space="preserve">blk: Header + sill track at fire damper FD (R-2 14x14) [CONFIRMADO] ELECTRICAL 120, W wall. Damper sleeve may exceed bay -&gt; RFI-REC-05.</t>
  </si>
  <si>
    <t xml:space="preserve">M01.01 FD tags -&gt; M00.01 legend "FD FIRE DAMPER" -&gt; grille size on M01.01</t>
  </si>
  <si>
    <t xml:space="preserve">blk: Header + sill track at fire damper FD (S-2 12x8) [CONFIRMADO] ELECTRICAL 120, E wall. Damper sleeve may exceed bay -&gt; RFI-REC-05.</t>
  </si>
  <si>
    <t xml:space="preserve">blk: Header + sill track at fire damper FD (R-2 14x14) [CONFIRMADO] NER 121, W wall. Damper sleeve may exceed bay -&gt; RFI-REC-05.</t>
  </si>
  <si>
    <t xml:space="preserve">blk: Header + sill track at fire damper FD (S-2 12x12) [CONFIRMADO] NER 121, E wall. Damper sleeve may exceed bay -&gt; RFI-REC-05.</t>
  </si>
  <si>
    <t xml:space="preserve">blk: Header + sill track at Chief PAC527L in-wall box 14.25"x22" (media wall) [CONFIRMADO] C1 media wall.</t>
  </si>
  <si>
    <t xml:space="preserve">E02.02 note 13 "RECESSED IN MEDIA WALL" -&gt; 13/A12.02 "CHIEF PAC527L IN-WALL BOX 14.25X22"</t>
  </si>
  <si>
    <t xml:space="preserve">blk: Header + sill track at Knox box (equip. 1) 7"W recessed [CONFIRMADO] Exterior wall.</t>
  </si>
  <si>
    <t xml:space="preserve">A02.01 keynote 2 -&gt; A00.40 equip. 1 "7" H x 7" W x 3" D (RECESSED MOUNT)"</t>
  </si>
  <si>
    <t xml:space="preserve">blk: Electrical panels (CBI, LIGHTING, PLN-IG, MDPA, MDPB, JACE) [CONFIRMADO] Mounted on FRT plywood backboard.</t>
  </si>
  <si>
    <t xml:space="preserve">E04.01 panel schedules "MOUNTING: Surface"</t>
  </si>
  <si>
    <t xml:space="preserve">blk: Header + sill track - WU ATM 9T opening 2'-3" R.O. [DUPLICADO (55.2) - contado en otra fila] </t>
  </si>
  <si>
    <t xml:space="preserve">A02.01 -&gt; 1/A08.11 ("2'-3" R.O.", "2'-8 1/4" R.O.") -&gt; 4/A08.11</t>
  </si>
  <si>
    <t xml:space="preserve">blk: Header + sill track - DU ATM 9D opening 2'-2 1/8" R.O. [DUPLICADO (55.2) - contado en otra fila] </t>
  </si>
  <si>
    <t xml:space="preserve">A08.11 -&gt; 5/A08.11 ("2'-2 1/8" (26.4") R.O.", "2'-7 1/4" (31.3") R.O.") -&gt; 6/A08.11 (metal stud box beam)</t>
  </si>
  <si>
    <t xml:space="preserve">blk: Level 5 finish - WC-20 (A05.01 key note 9) [PENDIENTE] RFI-L5-01.</t>
  </si>
  <si>
    <t xml:space="preserve">A05.01 key note 9 ("TO PREP FOR WALLCOVERING WC-20 PROVIDE LEVEL 5 FINISH") at 24 HR VESTIBULE 101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</si>
  <si>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</si>
  <si>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</si>
  <si>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</si>
  <si>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</si>
  <si>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</si>
  <si>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</si>
  <si>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</si>
  <si>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Partition Takeoff + Material Summary studs (studs_nodos.py); A02.01, A12.01</t>
  </si>
  <si>
    <t xml:space="preserve">ALC-02</t>
  </si>
  <si>
    <t xml:space="preserve">Exterior wall framing (CFMF)</t>
  </si>
  <si>
    <t xml:space="preserve">6" metal stud exterior walls per facade; A09.21/22/23, 10/S5.10, S1.11</t>
  </si>
  <si>
    <t xml:space="preserve">ALC-03</t>
  </si>
  <si>
    <t xml:space="preserve">Parapet framing</t>
  </si>
  <si>
    <t xml:space="preserve">11/S5.10 parapet infill per facade</t>
  </si>
  <si>
    <t xml:space="preserve">ALC-04</t>
  </si>
  <si>
    <t xml:space="preserve">Top / deflection and bottom track</t>
  </si>
  <si>
    <t xml:space="preserve">tracks interior/exterior/parapet; 7/S5.20, 10/S5.10</t>
  </si>
  <si>
    <t xml:space="preserve">ALC-05</t>
  </si>
  <si>
    <t xml:space="preserve">Headers, sills and jambs at openings</t>
  </si>
  <si>
    <t xml:space="preserve">headers (R.O.+1'-4") and sill tracks; 9/S5.20, 11/A09.27, 1/A08.11</t>
  </si>
  <si>
    <t xml:space="preserve">ALC-06</t>
  </si>
  <si>
    <t xml:space="preserve">Bracing / bridging</t>
  </si>
  <si>
    <t xml:space="preserve">1-1/2" C.R. channel @48" F/S5.20</t>
  </si>
  <si>
    <t xml:space="preserve">ALC-07</t>
  </si>
  <si>
    <t xml:space="preserve">Gypsum board on walls (layers per type)</t>
  </si>
  <si>
    <t xml:space="preserve">board_caras.py per face; A12.01</t>
  </si>
  <si>
    <t xml:space="preserve">ALC-08</t>
  </si>
  <si>
    <t xml:space="preserve">Moisture / abuse / special board at wet zones</t>
  </si>
  <si>
    <t xml:space="preserve">MR board at toilet/lavatory faces A08.01 note F</t>
  </si>
  <si>
    <t xml:space="preserve">ALC-09</t>
  </si>
  <si>
    <t xml:space="preserve">Exterior gypsum / glass mat sheathing</t>
  </si>
  <si>
    <t xml:space="preserve">A09.26/A09.27 details</t>
  </si>
  <si>
    <t xml:space="preserve">ALC-10</t>
  </si>
  <si>
    <t xml:space="preserve">FRT plywood sheathing / substrate</t>
  </si>
  <si>
    <t xml:space="preserve">nailbase, FRT plywood; A09.26/27, 12/A12.01, A02.01 KN 6</t>
  </si>
  <si>
    <t xml:space="preserve">ALC-11</t>
  </si>
  <si>
    <t xml:space="preserve">Gypsum board ceilings</t>
  </si>
  <si>
    <t xml:space="preserve">A04.01 GWB ceilings 100,101,104,113,114</t>
  </si>
  <si>
    <t xml:space="preserve">ALC-12</t>
  </si>
  <si>
    <t xml:space="preserve">Ceiling suspension (furring / carrying channel / hanger wire / ceiling track)</t>
  </si>
  <si>
    <t xml:space="preserve">A04.01 -&gt; A09.33 (3/A09.33 12 ga hanger) + RFI-C01</t>
  </si>
  <si>
    <t xml:space="preserve">ALC-13</t>
  </si>
  <si>
    <t xml:space="preserve">Soffits and bulkheads (framing + board)</t>
  </si>
  <si>
    <t xml:space="preserve">8,9/A12.01 office bulkheads; 8/A09.33; 10/A09.33 CSR soffit</t>
  </si>
  <si>
    <t xml:space="preserve">ALC-14</t>
  </si>
  <si>
    <t xml:space="preserve">Canopy / marquee framing and sheathing</t>
  </si>
  <si>
    <t xml:space="preserve">3,7/A09.26, 15,16/A09.27 canopies</t>
  </si>
  <si>
    <t xml:space="preserve">ALC-15</t>
  </si>
  <si>
    <t xml:space="preserve">Column furring / wraps</t>
  </si>
  <si>
    <t xml:space="preserve">5/A09.25 canopy columns; C1 wraps A02.01</t>
  </si>
  <si>
    <t xml:space="preserve">ALC-16</t>
  </si>
  <si>
    <t xml:space="preserve">Blocking (FRT wood / metal) for millwork and accessories</t>
  </si>
  <si>
    <t xml:space="preserve">A02.01 note C, A11.0x, A08.01, 4/S5.20</t>
  </si>
  <si>
    <t xml:space="preserve">ALC-17</t>
  </si>
  <si>
    <t xml:space="preserve">Framed openings (MEP, access panels, diffusers)</t>
  </si>
  <si>
    <t xml:space="preserve">E00.01/E02.01 fixtures, M01.01 diffusers, A04.01 KN 4 access panel</t>
  </si>
  <si>
    <t xml:space="preserve">ALC-18</t>
  </si>
  <si>
    <t xml:space="preserve">Trim: corner bead, casing bead, control joints, reveals</t>
  </si>
  <si>
    <t xml:space="preserve">53.1 metal trim; control joints RFI-06</t>
  </si>
  <si>
    <t xml:space="preserve">ALC-19</t>
  </si>
  <si>
    <t xml:space="preserve">Acoustical sealant / sound attenuation</t>
  </si>
  <si>
    <t xml:space="preserve">1,3,4,5/A12.01 beads</t>
  </si>
  <si>
    <t xml:space="preserve">ALC-20</t>
  </si>
  <si>
    <t xml:space="preserve">FRP / cement board / tile backer</t>
  </si>
  <si>
    <t xml:space="preserve">A05.01 finish plan, A08.01</t>
  </si>
  <si>
    <t xml:space="preserve">ALC-21</t>
  </si>
  <si>
    <t xml:space="preserve">Shaft walls / area separation walls</t>
  </si>
  <si>
    <t xml:space="preserve">NO APLICA</t>
  </si>
  <si>
    <t xml:space="preserve">NO APLICA: A02.01 single story, no shaft walls; scan found no SHAFT/AREA SEPARATION in the set</t>
  </si>
  <si>
    <t xml:space="preserve">ALC-22</t>
  </si>
  <si>
    <t xml:space="preserve">Rated assemblies (UL designs) and their board type</t>
  </si>
  <si>
    <t xml:space="preserve">NO APLICA: A12.01 partition schedule FIRE RATING '--' for every type; A02.01 KN 6 'FIRE RATED 3/4" PLYWOOD BACKBOARD' quantified as plywood; A05.01 KN 11 refers to plywood stamp</t>
  </si>
  <si>
    <t xml:space="preserve">ALC-23</t>
  </si>
  <si>
    <t xml:space="preserve">Special panels (ballistic, lead-lined, abuse)</t>
  </si>
  <si>
    <t xml:space="preserve">4/A12.01 ballistic panel A1K/B2K</t>
  </si>
  <si>
    <t xml:space="preserve">ALC-24</t>
  </si>
  <si>
    <t xml:space="preserve">Finish level (Level 4 / Level 5)</t>
  </si>
  <si>
    <t xml:space="preserve">A05.01 KN 9/10 Level 5 at WC-20/WC-22; A00.40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</si>
</sst>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6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17.02</v>
      </c>
      <c r="D6" s="0" t="n">
        <v>15.375</v>
      </c>
      <c r="E6" s="0" t="s">
        <v>31</v>
      </c>
      <c r="F6" s="0" t="s">
        <v>32</v>
      </c>
      <c r="G6" s="0" t="n">
        <v>16</v>
      </c>
      <c r="H6" s="0" t="n">
        <v>348.91</v>
      </c>
      <c r="I6" s="0" t="s">
        <v>33</v>
      </c>
      <c r="J6" s="0" t="s">
        <v>34</v>
      </c>
      <c r="K6" s="0" t="s">
        <v>35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n">
        <v>3.533</v>
      </c>
      <c r="D7" s="0" t="n">
        <v>15.375</v>
      </c>
      <c r="E7" s="0" t="s">
        <v>38</v>
      </c>
      <c r="F7" s="0" t="s">
        <v>32</v>
      </c>
      <c r="G7" s="0" t="n">
        <v>16</v>
      </c>
      <c r="H7" s="0" t="n">
        <v>63.6</v>
      </c>
      <c r="I7" s="0" t="s">
        <v>39</v>
      </c>
      <c r="J7" s="0" t="s">
        <v>40</v>
      </c>
      <c r="K7" s="0" t="s">
        <v>35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n">
        <v>2.427</v>
      </c>
      <c r="D8" s="0" t="n">
        <v>15.375</v>
      </c>
      <c r="E8" s="0" t="s">
        <v>38</v>
      </c>
      <c r="F8" s="0" t="s">
        <v>32</v>
      </c>
      <c r="G8" s="0" t="n">
        <v>16</v>
      </c>
      <c r="H8" s="0" t="n">
        <v>43.68</v>
      </c>
      <c r="I8" s="0" t="s">
        <v>43</v>
      </c>
      <c r="J8" s="0" t="s">
        <v>44</v>
      </c>
      <c r="K8" s="0" t="s">
        <v>35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n">
        <v>5</v>
      </c>
      <c r="D9" s="0" t="n">
        <v>15.375</v>
      </c>
      <c r="E9" s="0" t="s">
        <v>47</v>
      </c>
      <c r="F9" s="0" t="s">
        <v>32</v>
      </c>
      <c r="G9" s="0" t="n">
        <v>16</v>
      </c>
      <c r="H9" s="0" t="n">
        <v>47.4</v>
      </c>
      <c r="I9" s="0" t="s">
        <v>48</v>
      </c>
      <c r="J9" s="0" t="s">
        <v>49</v>
      </c>
      <c r="K9" s="0" t="s">
        <v>50</v>
      </c>
    </row>
    <row r="10" customFormat="false" ht="15" hidden="false" customHeight="false" outlineLevel="0" collapsed="false">
      <c r="A10" s="0" t="s">
        <v>51</v>
      </c>
      <c r="B10" s="0" t="s">
        <v>52</v>
      </c>
      <c r="C10" s="0" t="n">
        <v>15.427</v>
      </c>
      <c r="D10" s="0" t="n">
        <v>12.967</v>
      </c>
      <c r="E10" s="0" t="s">
        <v>53</v>
      </c>
      <c r="F10" s="0" t="s">
        <v>32</v>
      </c>
      <c r="G10" s="0" t="n">
        <v>16</v>
      </c>
      <c r="H10" s="0" t="n">
        <v>277.68</v>
      </c>
      <c r="I10" s="0" t="s">
        <v>54</v>
      </c>
      <c r="J10" s="0" t="s">
        <v>55</v>
      </c>
      <c r="K10" s="0" t="s">
        <v>35</v>
      </c>
    </row>
    <row r="11" customFormat="false" ht="15" hidden="false" customHeight="false" outlineLevel="0" collapsed="false">
      <c r="A11" s="0" t="s">
        <v>56</v>
      </c>
      <c r="B11" s="0" t="s">
        <v>57</v>
      </c>
      <c r="C11" s="0" t="n">
        <v>2.14</v>
      </c>
      <c r="D11" s="0" t="n">
        <v>12.963</v>
      </c>
      <c r="E11" s="0" t="s">
        <v>58</v>
      </c>
      <c r="F11" s="0" t="s">
        <v>32</v>
      </c>
      <c r="G11" s="0" t="n">
        <v>16</v>
      </c>
      <c r="H11" s="0" t="n">
        <v>39.59</v>
      </c>
      <c r="I11" s="0" t="s">
        <v>59</v>
      </c>
      <c r="J11" s="0" t="s">
        <v>60</v>
      </c>
      <c r="K11" s="0" t="s">
        <v>35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n">
        <v>4.633</v>
      </c>
      <c r="D12" s="0" t="n">
        <v>12.923</v>
      </c>
      <c r="E12" s="0" t="s">
        <v>63</v>
      </c>
      <c r="F12" s="0" t="s">
        <v>32</v>
      </c>
      <c r="G12" s="0" t="n">
        <v>16</v>
      </c>
      <c r="H12" s="0" t="n">
        <v>31.27</v>
      </c>
      <c r="I12" s="0" t="s">
        <v>64</v>
      </c>
      <c r="J12" s="0" t="s">
        <v>65</v>
      </c>
      <c r="K12" s="0" t="s">
        <v>35</v>
      </c>
    </row>
    <row r="13" customFormat="false" ht="15" hidden="false" customHeight="false" outlineLevel="0" collapsed="false">
      <c r="A13" s="0" t="s">
        <v>66</v>
      </c>
      <c r="B13" s="0" t="s">
        <v>67</v>
      </c>
      <c r="C13" s="0" t="n">
        <v>21.093</v>
      </c>
      <c r="D13" s="0" t="n">
        <v>12.975</v>
      </c>
      <c r="E13" s="0" t="s">
        <v>68</v>
      </c>
      <c r="F13" s="0" t="s">
        <v>32</v>
      </c>
      <c r="G13" s="0" t="n">
        <v>16</v>
      </c>
      <c r="H13" s="0" t="n">
        <v>386.52</v>
      </c>
      <c r="I13" s="0" t="s">
        <v>69</v>
      </c>
      <c r="J13" s="0" t="s">
        <v>70</v>
      </c>
      <c r="K13" s="0" t="s">
        <v>35</v>
      </c>
    </row>
    <row r="14" customFormat="false" ht="15" hidden="false" customHeight="false" outlineLevel="0" collapsed="false">
      <c r="A14" s="0" t="s">
        <v>71</v>
      </c>
      <c r="B14" s="0" t="s">
        <v>72</v>
      </c>
      <c r="C14" s="0" t="n">
        <v>11.667</v>
      </c>
      <c r="D14" s="0" t="n">
        <v>12.77</v>
      </c>
      <c r="E14" s="0" t="s">
        <v>73</v>
      </c>
      <c r="F14" s="0" t="s">
        <v>32</v>
      </c>
      <c r="G14" s="0" t="n">
        <v>16</v>
      </c>
      <c r="H14" s="0" t="n">
        <v>165.68</v>
      </c>
      <c r="I14" s="0" t="s">
        <v>74</v>
      </c>
      <c r="J14" s="0" t="s">
        <v>75</v>
      </c>
      <c r="K14" s="0" t="s">
        <v>50</v>
      </c>
    </row>
    <row r="15" customFormat="false" ht="15" hidden="false" customHeight="false" outlineLevel="0" collapsed="false">
      <c r="A15" s="5" t="s">
        <v>76</v>
      </c>
    </row>
    <row r="16" customFormat="false" ht="15" hidden="false" customHeight="false" outlineLevel="0" collapsed="false">
      <c r="A16" s="0" t="s">
        <v>77</v>
      </c>
      <c r="B16" s="0" t="s">
        <v>78</v>
      </c>
      <c r="C16" s="0" t="n">
        <v>3.417</v>
      </c>
      <c r="D16" s="0" t="n">
        <v>15.375</v>
      </c>
      <c r="E16" s="0" t="s">
        <v>79</v>
      </c>
      <c r="F16" s="0" t="s">
        <v>80</v>
      </c>
      <c r="G16" s="0" t="n">
        <v>24</v>
      </c>
      <c r="H16" s="0" t="n">
        <v>105.06</v>
      </c>
      <c r="I16" s="0" t="s">
        <v>81</v>
      </c>
      <c r="J16" s="0" t="s">
        <v>82</v>
      </c>
      <c r="K16" s="0" t="s">
        <v>50</v>
      </c>
    </row>
    <row r="17" customFormat="false" ht="15" hidden="false" customHeight="false" outlineLevel="0" collapsed="false">
      <c r="A17" s="0" t="s">
        <v>83</v>
      </c>
      <c r="B17" s="0" t="s">
        <v>84</v>
      </c>
      <c r="C17" s="0" t="n">
        <v>3.413</v>
      </c>
      <c r="D17" s="0" t="n">
        <v>12.935</v>
      </c>
      <c r="E17" s="0" t="s">
        <v>85</v>
      </c>
      <c r="F17" s="0" t="s">
        <v>80</v>
      </c>
      <c r="G17" s="0" t="n">
        <v>24</v>
      </c>
      <c r="H17" s="0" t="n">
        <v>88.3</v>
      </c>
      <c r="I17" s="0" t="s">
        <v>86</v>
      </c>
      <c r="J17" s="0" t="s">
        <v>87</v>
      </c>
      <c r="K17" s="0" t="s">
        <v>35</v>
      </c>
    </row>
    <row r="18" customFormat="false" ht="15" hidden="false" customHeight="false" outlineLevel="0" collapsed="false">
      <c r="A18" s="0" t="s">
        <v>88</v>
      </c>
      <c r="B18" s="0" t="s">
        <v>89</v>
      </c>
      <c r="C18" s="0" t="n">
        <v>2.24</v>
      </c>
      <c r="D18" s="0" t="n">
        <v>12.922</v>
      </c>
      <c r="E18" s="0" t="s">
        <v>90</v>
      </c>
      <c r="F18" s="0" t="s">
        <v>80</v>
      </c>
      <c r="G18" s="0" t="n">
        <v>24</v>
      </c>
      <c r="H18" s="0" t="n">
        <v>57.9</v>
      </c>
      <c r="I18" s="0" t="s">
        <v>91</v>
      </c>
      <c r="J18" s="0" t="s">
        <v>92</v>
      </c>
      <c r="K18" s="0" t="s">
        <v>35</v>
      </c>
    </row>
    <row r="19" customFormat="false" ht="15" hidden="false" customHeight="false" outlineLevel="0" collapsed="false">
      <c r="A19" s="5" t="s">
        <v>93</v>
      </c>
    </row>
    <row r="20" customFormat="false" ht="15" hidden="false" customHeight="false" outlineLevel="0" collapsed="false">
      <c r="A20" s="0" t="s">
        <v>94</v>
      </c>
      <c r="B20" s="0" t="s">
        <v>95</v>
      </c>
      <c r="C20" s="0" t="n">
        <v>11.948</v>
      </c>
      <c r="D20" s="0" t="n">
        <v>15.375</v>
      </c>
      <c r="E20" s="0" t="s">
        <v>96</v>
      </c>
      <c r="F20" s="0" t="s">
        <v>97</v>
      </c>
      <c r="G20" s="0" t="n">
        <v>16</v>
      </c>
      <c r="H20" s="0" t="n">
        <v>249.28</v>
      </c>
      <c r="I20" s="0" t="s">
        <v>98</v>
      </c>
      <c r="J20" s="0" t="s">
        <v>99</v>
      </c>
      <c r="K20" s="0" t="s">
        <v>35</v>
      </c>
    </row>
    <row r="21" customFormat="false" ht="15" hidden="false" customHeight="false" outlineLevel="0" collapsed="false">
      <c r="A21" s="0" t="s">
        <v>100</v>
      </c>
      <c r="B21" s="0" t="s">
        <v>101</v>
      </c>
      <c r="C21" s="0" t="n">
        <v>3.759</v>
      </c>
      <c r="D21" s="0" t="n">
        <v>13.052</v>
      </c>
      <c r="E21" s="0" t="s">
        <v>102</v>
      </c>
      <c r="F21" s="0" t="s">
        <v>97</v>
      </c>
      <c r="G21" s="0" t="n">
        <v>16</v>
      </c>
      <c r="H21" s="0" t="n">
        <v>19.88</v>
      </c>
      <c r="I21" s="0" t="s">
        <v>103</v>
      </c>
      <c r="J21" s="0" t="s">
        <v>104</v>
      </c>
      <c r="K21" s="0" t="s">
        <v>35</v>
      </c>
    </row>
    <row r="22" customFormat="false" ht="15" hidden="false" customHeight="false" outlineLevel="0" collapsed="false">
      <c r="A22" s="0" t="s">
        <v>105</v>
      </c>
      <c r="B22" s="0" t="s">
        <v>106</v>
      </c>
      <c r="C22" s="0" t="n">
        <v>15.074</v>
      </c>
      <c r="D22" s="0" t="n">
        <v>15.375</v>
      </c>
      <c r="E22" s="0" t="s">
        <v>107</v>
      </c>
      <c r="F22" s="0" t="s">
        <v>97</v>
      </c>
      <c r="G22" s="0" t="n">
        <v>16</v>
      </c>
      <c r="H22" s="0" t="n">
        <v>297.66</v>
      </c>
      <c r="I22" s="0" t="s">
        <v>108</v>
      </c>
      <c r="J22" s="0" t="s">
        <v>109</v>
      </c>
      <c r="K22" s="0" t="s">
        <v>35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4.332</v>
      </c>
      <c r="D23" s="0" t="n">
        <v>13.052</v>
      </c>
      <c r="E23" s="0" t="s">
        <v>112</v>
      </c>
      <c r="F23" s="0" t="s">
        <v>97</v>
      </c>
      <c r="G23" s="0" t="n">
        <v>16</v>
      </c>
      <c r="H23" s="0" t="n">
        <v>80.14</v>
      </c>
      <c r="I23" s="0" t="s">
        <v>113</v>
      </c>
      <c r="J23" s="0" t="s">
        <v>114</v>
      </c>
      <c r="K23" s="0" t="s">
        <v>35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n">
        <v>3.28</v>
      </c>
      <c r="D24" s="0" t="n">
        <v>12.918</v>
      </c>
      <c r="E24" s="0" t="s">
        <v>117</v>
      </c>
      <c r="F24" s="0" t="s">
        <v>97</v>
      </c>
      <c r="G24" s="0" t="n">
        <v>16</v>
      </c>
      <c r="H24" s="0" t="n">
        <v>60.68</v>
      </c>
      <c r="I24" s="0" t="s">
        <v>118</v>
      </c>
      <c r="J24" s="0" t="s">
        <v>119</v>
      </c>
      <c r="K24" s="0" t="s">
        <v>35</v>
      </c>
    </row>
    <row r="25" customFormat="false" ht="15" hidden="false" customHeight="false" outlineLevel="0" collapsed="false">
      <c r="A25" s="5" t="s">
        <v>120</v>
      </c>
    </row>
    <row r="26" customFormat="false" ht="15" hidden="false" customHeight="false" outlineLevel="0" collapsed="false">
      <c r="A26" s="0" t="s">
        <v>121</v>
      </c>
      <c r="B26" s="0" t="s">
        <v>122</v>
      </c>
      <c r="C26" s="0" t="n">
        <v>11.733</v>
      </c>
      <c r="D26" s="0" t="n">
        <v>12.747</v>
      </c>
      <c r="E26" s="0" t="s">
        <v>123</v>
      </c>
      <c r="F26" s="0" t="s">
        <v>32</v>
      </c>
      <c r="G26" s="0" t="n">
        <v>16</v>
      </c>
      <c r="H26" s="0" t="n">
        <v>251.34</v>
      </c>
      <c r="I26" s="0" t="s">
        <v>124</v>
      </c>
      <c r="J26" s="0" t="s">
        <v>125</v>
      </c>
      <c r="K26" s="0" t="s">
        <v>35</v>
      </c>
    </row>
    <row r="27" customFormat="false" ht="15" hidden="false" customHeight="false" outlineLevel="0" collapsed="false">
      <c r="A27" s="0" t="s">
        <v>126</v>
      </c>
      <c r="B27" s="0" t="s">
        <v>127</v>
      </c>
      <c r="C27" s="0" t="n">
        <v>3.5</v>
      </c>
      <c r="D27" s="0" t="n">
        <v>12.743</v>
      </c>
      <c r="E27" s="0" t="s">
        <v>128</v>
      </c>
      <c r="F27" s="0" t="s">
        <v>32</v>
      </c>
      <c r="G27" s="0" t="n">
        <v>16</v>
      </c>
      <c r="H27" s="0" t="n">
        <v>89.2</v>
      </c>
      <c r="I27" s="0" t="s">
        <v>129</v>
      </c>
      <c r="J27" s="0" t="s">
        <v>130</v>
      </c>
      <c r="K27" s="0" t="s">
        <v>35</v>
      </c>
    </row>
    <row r="28" customFormat="false" ht="15" hidden="false" customHeight="false" outlineLevel="0" collapsed="false">
      <c r="A28" s="0" t="s">
        <v>131</v>
      </c>
      <c r="B28" s="0" t="s">
        <v>132</v>
      </c>
      <c r="C28" s="0" t="n">
        <v>11.733</v>
      </c>
      <c r="D28" s="0" t="n">
        <v>12.667</v>
      </c>
      <c r="E28" s="0" t="s">
        <v>133</v>
      </c>
      <c r="F28" s="0" t="s">
        <v>32</v>
      </c>
      <c r="G28" s="0" t="n">
        <v>16</v>
      </c>
      <c r="H28" s="0" t="n">
        <v>297.24</v>
      </c>
      <c r="I28" s="0" t="s">
        <v>134</v>
      </c>
      <c r="J28" s="0" t="s">
        <v>135</v>
      </c>
      <c r="K28" s="0" t="s">
        <v>35</v>
      </c>
    </row>
    <row r="29" customFormat="false" ht="15" hidden="false" customHeight="false" outlineLevel="0" collapsed="false">
      <c r="A29" s="0" t="s">
        <v>136</v>
      </c>
      <c r="B29" s="0" t="s">
        <v>137</v>
      </c>
      <c r="C29" s="0" t="n">
        <v>9.987</v>
      </c>
      <c r="D29" s="0" t="n">
        <v>12.827</v>
      </c>
      <c r="E29" s="0" t="s">
        <v>138</v>
      </c>
      <c r="F29" s="0" t="s">
        <v>32</v>
      </c>
      <c r="G29" s="0" t="n">
        <v>16</v>
      </c>
      <c r="H29" s="0" t="n">
        <v>256.2</v>
      </c>
      <c r="I29" s="0" t="s">
        <v>139</v>
      </c>
      <c r="J29" s="0" t="s">
        <v>140</v>
      </c>
      <c r="K29" s="0" t="s">
        <v>35</v>
      </c>
    </row>
    <row r="30" customFormat="false" ht="15" hidden="false" customHeight="false" outlineLevel="0" collapsed="false">
      <c r="A30" s="0" t="s">
        <v>141</v>
      </c>
      <c r="B30" s="0" t="s">
        <v>142</v>
      </c>
      <c r="C30" s="0" t="n">
        <v>13.74</v>
      </c>
      <c r="D30" s="0" t="n">
        <v>12.823</v>
      </c>
      <c r="E30" s="0" t="s">
        <v>143</v>
      </c>
      <c r="F30" s="0" t="s">
        <v>32</v>
      </c>
      <c r="G30" s="0" t="n">
        <v>16</v>
      </c>
      <c r="H30" s="0" t="n">
        <v>256.84</v>
      </c>
      <c r="I30" s="0" t="s">
        <v>144</v>
      </c>
      <c r="J30" s="0" t="s">
        <v>145</v>
      </c>
      <c r="K30" s="0" t="s">
        <v>35</v>
      </c>
    </row>
    <row r="31" customFormat="false" ht="15" hidden="false" customHeight="false" outlineLevel="0" collapsed="false">
      <c r="A31" s="0" t="s">
        <v>146</v>
      </c>
      <c r="B31" s="0" t="s">
        <v>147</v>
      </c>
      <c r="C31" s="0" t="n">
        <v>9.583</v>
      </c>
      <c r="D31" s="0" t="n">
        <v>12.698</v>
      </c>
      <c r="E31" s="0" t="s">
        <v>148</v>
      </c>
      <c r="F31" s="0" t="s">
        <v>32</v>
      </c>
      <c r="G31" s="0" t="n">
        <v>16</v>
      </c>
      <c r="H31" s="0" t="n">
        <v>243.38</v>
      </c>
      <c r="I31" s="0" t="s">
        <v>149</v>
      </c>
      <c r="J31" s="0" t="s">
        <v>150</v>
      </c>
      <c r="K31" s="0" t="s">
        <v>50</v>
      </c>
    </row>
    <row r="32" customFormat="false" ht="15" hidden="false" customHeight="false" outlineLevel="0" collapsed="false">
      <c r="A32" s="5" t="s">
        <v>151</v>
      </c>
    </row>
    <row r="33" customFormat="false" ht="15" hidden="false" customHeight="false" outlineLevel="0" collapsed="false">
      <c r="A33" s="0" t="s">
        <v>152</v>
      </c>
      <c r="B33" s="0" t="s">
        <v>153</v>
      </c>
      <c r="C33" s="0" t="n">
        <v>5.814</v>
      </c>
      <c r="D33" s="0" t="n">
        <v>15.375</v>
      </c>
      <c r="E33" s="0" t="s">
        <v>154</v>
      </c>
      <c r="F33" s="0" t="s">
        <v>97</v>
      </c>
      <c r="G33" s="0" t="n">
        <v>16</v>
      </c>
      <c r="H33" s="0" t="n">
        <v>116.18</v>
      </c>
      <c r="I33" s="0" t="s">
        <v>155</v>
      </c>
      <c r="J33" s="0" t="s">
        <v>156</v>
      </c>
      <c r="K33" s="0" t="s">
        <v>35</v>
      </c>
    </row>
    <row r="34" customFormat="false" ht="15" hidden="false" customHeight="false" outlineLevel="0" collapsed="false">
      <c r="A34" s="0" t="s">
        <v>157</v>
      </c>
      <c r="B34" s="0" t="s">
        <v>158</v>
      </c>
      <c r="C34" s="0" t="n">
        <v>25.393</v>
      </c>
      <c r="D34" s="0" t="n">
        <v>13.052</v>
      </c>
      <c r="E34" s="0" t="s">
        <v>159</v>
      </c>
      <c r="F34" s="0" t="s">
        <v>97</v>
      </c>
      <c r="G34" s="0" t="n">
        <v>16</v>
      </c>
      <c r="H34" s="0" t="n">
        <v>471.76</v>
      </c>
      <c r="I34" s="0" t="s">
        <v>160</v>
      </c>
      <c r="J34" s="0" t="s">
        <v>161</v>
      </c>
      <c r="K34" s="0" t="s">
        <v>35</v>
      </c>
    </row>
    <row r="35" customFormat="false" ht="15" hidden="false" customHeight="false" outlineLevel="0" collapsed="false">
      <c r="A35" s="0" t="s">
        <v>162</v>
      </c>
      <c r="B35" s="0" t="s">
        <v>163</v>
      </c>
      <c r="C35" s="0" t="n">
        <v>15.073</v>
      </c>
      <c r="D35" s="0" t="n">
        <v>12.85</v>
      </c>
      <c r="E35" s="0" t="s">
        <v>164</v>
      </c>
      <c r="F35" s="0" t="s">
        <v>97</v>
      </c>
      <c r="G35" s="0" t="n">
        <v>16</v>
      </c>
      <c r="H35" s="0" t="n">
        <v>339.6</v>
      </c>
      <c r="I35" s="0" t="s">
        <v>165</v>
      </c>
      <c r="J35" s="0" t="s">
        <v>166</v>
      </c>
      <c r="K35" s="0" t="s">
        <v>35</v>
      </c>
    </row>
    <row r="36" customFormat="false" ht="15" hidden="false" customHeight="false" outlineLevel="0" collapsed="false">
      <c r="A36" s="5" t="s">
        <v>167</v>
      </c>
    </row>
    <row r="37" customFormat="false" ht="15" hidden="false" customHeight="false" outlineLevel="0" collapsed="false">
      <c r="A37" s="0" t="s">
        <v>168</v>
      </c>
      <c r="B37" s="0" t="s">
        <v>169</v>
      </c>
      <c r="C37" s="0" t="n">
        <v>1.693</v>
      </c>
      <c r="D37" s="0" t="n">
        <v>15.375</v>
      </c>
      <c r="E37" s="0" t="s">
        <v>170</v>
      </c>
      <c r="F37" s="0" t="s">
        <v>171</v>
      </c>
      <c r="G37" s="0" t="n">
        <v>24</v>
      </c>
      <c r="H37" s="0" t="n">
        <v>52.06</v>
      </c>
      <c r="I37" s="0" t="s">
        <v>172</v>
      </c>
      <c r="J37" s="0" t="s">
        <v>173</v>
      </c>
      <c r="K37" s="0" t="s">
        <v>35</v>
      </c>
    </row>
    <row r="38" customFormat="false" ht="15" hidden="false" customHeight="false" outlineLevel="0" collapsed="false">
      <c r="A38" s="5" t="s">
        <v>174</v>
      </c>
    </row>
    <row r="39" customFormat="false" ht="15" hidden="false" customHeight="false" outlineLevel="0" collapsed="false">
      <c r="A39" s="0" t="s">
        <v>175</v>
      </c>
      <c r="B39" s="0" t="s">
        <v>176</v>
      </c>
      <c r="C39" s="0" t="n">
        <v>1</v>
      </c>
      <c r="D39" s="0" t="n">
        <v>15.375</v>
      </c>
      <c r="E39" s="0" t="s">
        <v>177</v>
      </c>
      <c r="F39" s="0" t="s">
        <v>32</v>
      </c>
      <c r="G39" s="0" t="n">
        <v>16</v>
      </c>
      <c r="H39" s="0" t="n">
        <v>15.38</v>
      </c>
      <c r="I39" s="0" t="s">
        <v>178</v>
      </c>
      <c r="J39" s="0" t="s">
        <v>179</v>
      </c>
      <c r="K39" s="0" t="s">
        <v>35</v>
      </c>
    </row>
    <row r="40" customFormat="false" ht="15" hidden="false" customHeight="false" outlineLevel="0" collapsed="false">
      <c r="A40" s="0" t="s">
        <v>180</v>
      </c>
      <c r="B40" s="0" t="s">
        <v>181</v>
      </c>
      <c r="C40" s="0" t="n">
        <v>11.333</v>
      </c>
      <c r="D40" s="0" t="n">
        <v>15.375</v>
      </c>
      <c r="E40" s="0" t="s">
        <v>182</v>
      </c>
      <c r="F40" s="0" t="s">
        <v>32</v>
      </c>
      <c r="G40" s="0" t="n">
        <v>16</v>
      </c>
      <c r="H40" s="0" t="n">
        <v>174.24</v>
      </c>
      <c r="I40" s="0" t="s">
        <v>183</v>
      </c>
      <c r="J40" s="0" t="s">
        <v>184</v>
      </c>
      <c r="K40" s="0" t="s">
        <v>35</v>
      </c>
    </row>
    <row r="41" customFormat="false" ht="15" hidden="false" customHeight="false" outlineLevel="0" collapsed="false">
      <c r="A41" s="0" t="s">
        <v>185</v>
      </c>
      <c r="B41" s="0" t="s">
        <v>186</v>
      </c>
      <c r="C41" s="0" t="n">
        <v>10.027</v>
      </c>
      <c r="D41" s="0" t="n">
        <v>12.915</v>
      </c>
      <c r="E41" s="0" t="s">
        <v>187</v>
      </c>
      <c r="F41" s="0" t="s">
        <v>32</v>
      </c>
      <c r="G41" s="0" t="n">
        <v>16</v>
      </c>
      <c r="H41" s="0" t="n">
        <v>129.5</v>
      </c>
      <c r="I41" s="0" t="s">
        <v>188</v>
      </c>
      <c r="J41" s="0" t="s">
        <v>189</v>
      </c>
      <c r="K41" s="0" t="s">
        <v>35</v>
      </c>
    </row>
    <row r="42" customFormat="false" ht="15" hidden="false" customHeight="false" outlineLevel="0" collapsed="false">
      <c r="A42" s="0" t="s">
        <v>190</v>
      </c>
      <c r="B42" s="0" t="s">
        <v>191</v>
      </c>
      <c r="C42" s="0" t="n">
        <v>10.027</v>
      </c>
      <c r="D42" s="0" t="n">
        <v>12.918</v>
      </c>
      <c r="E42" s="0" t="s">
        <v>192</v>
      </c>
      <c r="F42" s="0" t="s">
        <v>32</v>
      </c>
      <c r="G42" s="0" t="n">
        <v>16</v>
      </c>
      <c r="H42" s="0" t="n">
        <v>129.53</v>
      </c>
      <c r="I42" s="0" t="s">
        <v>193</v>
      </c>
      <c r="J42" s="0" t="s">
        <v>194</v>
      </c>
      <c r="K42" s="0" t="s">
        <v>35</v>
      </c>
    </row>
    <row r="43" customFormat="false" ht="15" hidden="false" customHeight="false" outlineLevel="0" collapsed="false">
      <c r="A43" s="0" t="s">
        <v>195</v>
      </c>
      <c r="B43" s="0" t="s">
        <v>196</v>
      </c>
      <c r="C43" s="0" t="n">
        <v>2.627</v>
      </c>
      <c r="D43" s="0" t="n">
        <v>12.922</v>
      </c>
      <c r="E43" s="0" t="s">
        <v>197</v>
      </c>
      <c r="F43" s="0" t="s">
        <v>32</v>
      </c>
      <c r="G43" s="0" t="n">
        <v>16</v>
      </c>
      <c r="H43" s="0" t="n">
        <v>33.95</v>
      </c>
      <c r="I43" s="0" t="s">
        <v>198</v>
      </c>
      <c r="J43" s="0" t="s">
        <v>199</v>
      </c>
      <c r="K43" s="0" t="s">
        <v>35</v>
      </c>
    </row>
    <row r="44" customFormat="false" ht="15" hidden="false" customHeight="false" outlineLevel="0" collapsed="false">
      <c r="A44" s="0" t="s">
        <v>200</v>
      </c>
      <c r="B44" s="0" t="s">
        <v>201</v>
      </c>
      <c r="C44" s="0" t="n">
        <v>4</v>
      </c>
      <c r="D44" s="0" t="n">
        <v>15.375</v>
      </c>
      <c r="E44" s="0" t="s">
        <v>202</v>
      </c>
      <c r="F44" s="0" t="s">
        <v>32</v>
      </c>
      <c r="G44" s="0" t="n">
        <v>16</v>
      </c>
      <c r="H44" s="0" t="n">
        <v>61.5</v>
      </c>
      <c r="I44" s="0" t="s">
        <v>203</v>
      </c>
      <c r="J44" s="0" t="s">
        <v>204</v>
      </c>
      <c r="K44" s="0" t="s">
        <v>35</v>
      </c>
    </row>
    <row r="45" customFormat="false" ht="15" hidden="false" customHeight="false" outlineLevel="0" collapsed="false">
      <c r="A45" s="5" t="s">
        <v>205</v>
      </c>
    </row>
    <row r="46" customFormat="false" ht="15" hidden="false" customHeight="false" outlineLevel="0" collapsed="false">
      <c r="A46" s="0" t="s">
        <v>206</v>
      </c>
      <c r="B46" s="0" t="s">
        <v>207</v>
      </c>
      <c r="C46" s="0" t="n">
        <v>12.333</v>
      </c>
      <c r="D46" s="0" t="n">
        <v>15.375</v>
      </c>
      <c r="E46" s="0" t="s">
        <v>208</v>
      </c>
      <c r="F46" s="0" t="s">
        <v>209</v>
      </c>
      <c r="G46" s="0" t="n">
        <v>16</v>
      </c>
      <c r="H46" s="0" t="n">
        <v>758.48</v>
      </c>
      <c r="I46" s="0" t="s">
        <v>210</v>
      </c>
      <c r="J46" s="0" t="s">
        <v>211</v>
      </c>
      <c r="K46" s="0" t="s">
        <v>35</v>
      </c>
    </row>
    <row r="47" customFormat="false" ht="15" hidden="false" customHeight="false" outlineLevel="0" collapsed="false">
      <c r="A47" s="0" t="s">
        <v>212</v>
      </c>
      <c r="B47" s="0" t="s">
        <v>213</v>
      </c>
      <c r="C47" s="0" t="n">
        <v>11.625</v>
      </c>
      <c r="D47" s="0" t="n">
        <v>15.375</v>
      </c>
      <c r="E47" s="0" t="s">
        <v>214</v>
      </c>
      <c r="F47" s="0" t="s">
        <v>209</v>
      </c>
      <c r="G47" s="0" t="n">
        <v>16</v>
      </c>
      <c r="H47" s="0" t="n">
        <v>714.94</v>
      </c>
      <c r="I47" s="0" t="s">
        <v>215</v>
      </c>
      <c r="J47" s="0" t="s">
        <v>216</v>
      </c>
      <c r="K47" s="0" t="s">
        <v>50</v>
      </c>
    </row>
    <row r="48" customFormat="false" ht="15" hidden="false" customHeight="false" outlineLevel="0" collapsed="false">
      <c r="A48" s="0" t="s">
        <v>217</v>
      </c>
      <c r="B48" s="0" t="s">
        <v>218</v>
      </c>
      <c r="C48" s="0" t="n">
        <v>11.625</v>
      </c>
      <c r="D48" s="0" t="n">
        <v>15.375</v>
      </c>
      <c r="E48" s="0" t="s">
        <v>219</v>
      </c>
      <c r="F48" s="0" t="s">
        <v>209</v>
      </c>
      <c r="G48" s="0" t="n">
        <v>16</v>
      </c>
      <c r="H48" s="0" t="n">
        <v>714.94</v>
      </c>
      <c r="I48" s="0" t="s">
        <v>220</v>
      </c>
      <c r="J48" s="0" t="s">
        <v>216</v>
      </c>
      <c r="K48" s="0" t="s">
        <v>50</v>
      </c>
    </row>
    <row r="49" customFormat="false" ht="15" hidden="false" customHeight="false" outlineLevel="0" collapsed="false">
      <c r="A49" s="0" t="s">
        <v>221</v>
      </c>
      <c r="B49" s="0" t="s">
        <v>222</v>
      </c>
      <c r="C49" s="0" t="n">
        <v>2.42</v>
      </c>
      <c r="D49" s="0" t="n">
        <v>15.375</v>
      </c>
      <c r="E49" s="0" t="s">
        <v>223</v>
      </c>
      <c r="F49" s="0" t="s">
        <v>209</v>
      </c>
      <c r="G49" s="0" t="n">
        <v>16</v>
      </c>
      <c r="H49" s="0" t="n">
        <v>148.82</v>
      </c>
      <c r="I49" s="0" t="s">
        <v>224</v>
      </c>
      <c r="J49" s="0" t="s">
        <v>225</v>
      </c>
      <c r="K49" s="0" t="s">
        <v>35</v>
      </c>
    </row>
    <row r="50" customFormat="false" ht="15" hidden="false" customHeight="false" outlineLevel="0" collapsed="false">
      <c r="A50" s="0" t="s">
        <v>226</v>
      </c>
      <c r="B50" s="0" t="s">
        <v>227</v>
      </c>
      <c r="C50" s="0" t="n">
        <v>3.467</v>
      </c>
      <c r="D50" s="0" t="n">
        <v>15.375</v>
      </c>
      <c r="E50" s="0" t="s">
        <v>228</v>
      </c>
      <c r="F50" s="0" t="s">
        <v>209</v>
      </c>
      <c r="G50" s="0" t="n">
        <v>16</v>
      </c>
      <c r="H50" s="0" t="n">
        <v>213.22</v>
      </c>
      <c r="I50" s="0" t="s">
        <v>229</v>
      </c>
      <c r="J50" s="0" t="s">
        <v>230</v>
      </c>
      <c r="K50" s="0" t="s">
        <v>35</v>
      </c>
    </row>
    <row r="51" customFormat="false" ht="15" hidden="false" customHeight="false" outlineLevel="0" collapsed="false">
      <c r="A51" s="0" t="s">
        <v>231</v>
      </c>
      <c r="B51" s="0" t="s">
        <v>232</v>
      </c>
      <c r="C51" s="0" t="n">
        <v>3.256</v>
      </c>
      <c r="D51" s="0" t="n">
        <v>15.375</v>
      </c>
      <c r="E51" s="0" t="s">
        <v>233</v>
      </c>
      <c r="F51" s="0" t="s">
        <v>209</v>
      </c>
      <c r="G51" s="0" t="n">
        <v>16</v>
      </c>
      <c r="H51" s="0" t="n">
        <v>200.24</v>
      </c>
      <c r="I51" s="0" t="s">
        <v>234</v>
      </c>
      <c r="J51" s="0" t="s">
        <v>235</v>
      </c>
      <c r="K51" s="0" t="s">
        <v>35</v>
      </c>
    </row>
    <row r="52" customFormat="false" ht="15" hidden="false" customHeight="false" outlineLevel="0" collapsed="false">
      <c r="A52" s="0" t="s">
        <v>236</v>
      </c>
      <c r="B52" s="0" t="s">
        <v>237</v>
      </c>
      <c r="C52" s="0" t="n">
        <v>3.25</v>
      </c>
      <c r="D52" s="0" t="n">
        <v>15.375</v>
      </c>
      <c r="E52" s="0" t="s">
        <v>238</v>
      </c>
      <c r="F52" s="0" t="s">
        <v>209</v>
      </c>
      <c r="G52" s="0" t="n">
        <v>16</v>
      </c>
      <c r="H52" s="0" t="n">
        <v>199.88</v>
      </c>
      <c r="I52" s="0" t="s">
        <v>239</v>
      </c>
      <c r="J52" s="0" t="s">
        <v>240</v>
      </c>
      <c r="K52" s="0" t="s">
        <v>35</v>
      </c>
    </row>
    <row r="53" customFormat="false" ht="15" hidden="false" customHeight="false" outlineLevel="0" collapsed="false">
      <c r="A53" s="0" t="s">
        <v>241</v>
      </c>
      <c r="B53" s="0" t="s">
        <v>242</v>
      </c>
      <c r="C53" s="0" t="n">
        <v>11.771</v>
      </c>
      <c r="D53" s="0" t="n">
        <v>15.375</v>
      </c>
      <c r="E53" s="0" t="s">
        <v>243</v>
      </c>
      <c r="F53" s="0" t="s">
        <v>209</v>
      </c>
      <c r="G53" s="0" t="n">
        <v>16</v>
      </c>
      <c r="H53" s="0" t="n">
        <v>723.9</v>
      </c>
      <c r="I53" s="0" t="s">
        <v>244</v>
      </c>
      <c r="J53" s="0" t="s">
        <v>245</v>
      </c>
      <c r="K53" s="0" t="s">
        <v>50</v>
      </c>
    </row>
    <row r="54" customFormat="false" ht="15" hidden="false" customHeight="false" outlineLevel="0" collapsed="false">
      <c r="A54" s="0" t="s">
        <v>246</v>
      </c>
      <c r="B54" s="0" t="s">
        <v>247</v>
      </c>
      <c r="C54" s="0" t="n">
        <v>11.771</v>
      </c>
      <c r="D54" s="0" t="n">
        <v>15.375</v>
      </c>
      <c r="E54" s="0" t="s">
        <v>248</v>
      </c>
      <c r="F54" s="0" t="s">
        <v>209</v>
      </c>
      <c r="G54" s="0" t="n">
        <v>16</v>
      </c>
      <c r="H54" s="0" t="n">
        <v>723.9</v>
      </c>
      <c r="I54" s="0" t="s">
        <v>249</v>
      </c>
      <c r="J54" s="0" t="s">
        <v>245</v>
      </c>
      <c r="K54" s="0" t="s">
        <v>50</v>
      </c>
    </row>
    <row r="55" customFormat="false" ht="15" hidden="false" customHeight="false" outlineLevel="0" collapsed="false">
      <c r="A55" s="0" t="s">
        <v>250</v>
      </c>
      <c r="B55" s="0" t="s">
        <v>251</v>
      </c>
      <c r="C55" s="0" t="n">
        <v>10.073</v>
      </c>
      <c r="D55" s="0" t="n">
        <v>15.375</v>
      </c>
      <c r="E55" s="0" t="s">
        <v>252</v>
      </c>
      <c r="F55" s="0" t="s">
        <v>209</v>
      </c>
      <c r="G55" s="0" t="n">
        <v>16</v>
      </c>
      <c r="H55" s="0" t="n">
        <v>619.48</v>
      </c>
      <c r="I55" s="0" t="s">
        <v>253</v>
      </c>
      <c r="J55" s="0" t="s">
        <v>254</v>
      </c>
      <c r="K55" s="0" t="s">
        <v>35</v>
      </c>
    </row>
    <row r="56" customFormat="false" ht="15" hidden="false" customHeight="false" outlineLevel="0" collapsed="false">
      <c r="A56" s="0" t="s">
        <v>255</v>
      </c>
      <c r="B56" s="0" t="s">
        <v>256</v>
      </c>
      <c r="C56" s="0" t="n">
        <v>0.973</v>
      </c>
      <c r="D56" s="0" t="n">
        <v>15.375</v>
      </c>
      <c r="E56" s="0" t="s">
        <v>257</v>
      </c>
      <c r="F56" s="0" t="s">
        <v>209</v>
      </c>
      <c r="G56" s="0" t="n">
        <v>16</v>
      </c>
      <c r="H56" s="0" t="n">
        <v>59.84</v>
      </c>
      <c r="I56" s="0" t="s">
        <v>258</v>
      </c>
      <c r="J56" s="0" t="s">
        <v>259</v>
      </c>
      <c r="K56" s="0" t="s">
        <v>35</v>
      </c>
    </row>
    <row r="57" customFormat="false" ht="15" hidden="false" customHeight="false" outlineLevel="0" collapsed="false">
      <c r="A57" s="5" t="s">
        <v>260</v>
      </c>
    </row>
    <row r="58" customFormat="false" ht="15" hidden="false" customHeight="false" outlineLevel="0" collapsed="false">
      <c r="A58" s="0" t="s">
        <v>261</v>
      </c>
      <c r="B58" s="0" t="s">
        <v>262</v>
      </c>
      <c r="C58" s="0" t="n">
        <v>11.771</v>
      </c>
      <c r="D58" s="0" t="n">
        <v>15.375</v>
      </c>
      <c r="E58" s="0" t="s">
        <v>263</v>
      </c>
      <c r="F58" s="0" t="s">
        <v>209</v>
      </c>
      <c r="G58" s="0" t="n">
        <v>16</v>
      </c>
      <c r="H58" s="0" t="n">
        <v>723.9</v>
      </c>
      <c r="I58" s="0" t="s">
        <v>264</v>
      </c>
      <c r="J58" s="0" t="s">
        <v>245</v>
      </c>
      <c r="K58" s="0" t="s">
        <v>50</v>
      </c>
    </row>
    <row r="59" customFormat="false" ht="15" hidden="false" customHeight="false" outlineLevel="0" collapsed="false">
      <c r="A59" s="0" t="s">
        <v>265</v>
      </c>
      <c r="B59" s="0" t="s">
        <v>266</v>
      </c>
      <c r="C59" s="0" t="n">
        <v>3.507</v>
      </c>
      <c r="D59" s="0" t="n">
        <v>15.375</v>
      </c>
      <c r="E59" s="0" t="s">
        <v>267</v>
      </c>
      <c r="F59" s="0" t="s">
        <v>209</v>
      </c>
      <c r="G59" s="0" t="n">
        <v>16</v>
      </c>
      <c r="H59" s="0" t="n">
        <v>215.68</v>
      </c>
      <c r="I59" s="0" t="s">
        <v>268</v>
      </c>
      <c r="J59" s="0" t="s">
        <v>269</v>
      </c>
      <c r="K59" s="0" t="s">
        <v>35</v>
      </c>
    </row>
    <row r="60" customFormat="false" ht="15" hidden="false" customHeight="false" outlineLevel="0" collapsed="false">
      <c r="A60" s="0" t="s">
        <v>270</v>
      </c>
      <c r="B60" s="0" t="s">
        <v>271</v>
      </c>
      <c r="C60" s="0" t="n">
        <v>3.18</v>
      </c>
      <c r="D60" s="0" t="n">
        <v>15.375</v>
      </c>
      <c r="E60" s="0" t="s">
        <v>272</v>
      </c>
      <c r="F60" s="0" t="s">
        <v>209</v>
      </c>
      <c r="G60" s="0" t="n">
        <v>16</v>
      </c>
      <c r="H60" s="0" t="n">
        <v>195.58</v>
      </c>
      <c r="I60" s="0" t="s">
        <v>273</v>
      </c>
      <c r="J60" s="0" t="s">
        <v>274</v>
      </c>
      <c r="K60" s="0" t="s">
        <v>35</v>
      </c>
    </row>
    <row r="61" customFormat="false" ht="15" hidden="false" customHeight="false" outlineLevel="0" collapsed="false">
      <c r="A61" s="5" t="s">
        <v>275</v>
      </c>
    </row>
    <row r="62" customFormat="false" ht="15" hidden="false" customHeight="false" outlineLevel="0" collapsed="false">
      <c r="A62" s="0" t="s">
        <v>276</v>
      </c>
      <c r="B62" s="0" t="s">
        <v>277</v>
      </c>
      <c r="C62" s="0" t="n">
        <v>16.917</v>
      </c>
      <c r="D62" s="0" t="n">
        <v>15.375</v>
      </c>
      <c r="E62" s="0" t="s">
        <v>278</v>
      </c>
      <c r="F62" s="0" t="s">
        <v>32</v>
      </c>
      <c r="G62" s="0" t="n">
        <v>16</v>
      </c>
      <c r="H62" s="0" t="n">
        <v>304.84</v>
      </c>
      <c r="I62" s="0" t="s">
        <v>279</v>
      </c>
      <c r="J62" s="0" t="s">
        <v>280</v>
      </c>
      <c r="K62" s="0" t="s">
        <v>35</v>
      </c>
    </row>
    <row r="63" customFormat="false" ht="15" hidden="false" customHeight="false" outlineLevel="0" collapsed="false">
      <c r="A63" s="5" t="s">
        <v>281</v>
      </c>
    </row>
    <row r="64" customFormat="false" ht="15" hidden="false" customHeight="false" outlineLevel="0" collapsed="false">
      <c r="A64" s="0" t="s">
        <v>282</v>
      </c>
      <c r="B64" s="0" t="s">
        <v>283</v>
      </c>
      <c r="C64" s="0" t="n">
        <v>16.719</v>
      </c>
      <c r="D64" s="0" t="n">
        <v>14.362</v>
      </c>
      <c r="E64" s="0" t="s">
        <v>284</v>
      </c>
      <c r="F64" s="0" t="s">
        <v>285</v>
      </c>
      <c r="G64" s="0" t="n">
        <v>16</v>
      </c>
      <c r="H64" s="0" t="n">
        <v>150.27</v>
      </c>
      <c r="I64" s="0" t="s">
        <v>286</v>
      </c>
      <c r="J64" s="0" t="s">
        <v>287</v>
      </c>
      <c r="K64" s="0" t="s">
        <v>35</v>
      </c>
    </row>
    <row r="65" customFormat="false" ht="15" hidden="false" customHeight="false" outlineLevel="0" collapsed="false">
      <c r="A65" s="0" t="s">
        <v>288</v>
      </c>
      <c r="B65" s="0" t="s">
        <v>289</v>
      </c>
      <c r="C65" s="0" t="n">
        <v>38.906</v>
      </c>
      <c r="D65" s="0" t="n">
        <v>14.362</v>
      </c>
      <c r="E65" s="0" t="s">
        <v>284</v>
      </c>
      <c r="F65" s="0" t="s">
        <v>285</v>
      </c>
      <c r="G65" s="0" t="n">
        <v>16</v>
      </c>
      <c r="H65" s="0" t="n">
        <v>375.06</v>
      </c>
      <c r="I65" s="0" t="s">
        <v>290</v>
      </c>
      <c r="J65" s="0" t="s">
        <v>287</v>
      </c>
      <c r="K65" s="0" t="s">
        <v>35</v>
      </c>
    </row>
    <row r="66" customFormat="false" ht="15" hidden="false" customHeight="false" outlineLevel="0" collapsed="false">
      <c r="A66" s="0" t="s">
        <v>291</v>
      </c>
      <c r="B66" s="0" t="s">
        <v>292</v>
      </c>
      <c r="C66" s="0" t="n">
        <v>50.385</v>
      </c>
      <c r="D66" s="0" t="n">
        <v>14.362</v>
      </c>
      <c r="E66" s="0" t="s">
        <v>284</v>
      </c>
      <c r="F66" s="0" t="s">
        <v>285</v>
      </c>
      <c r="G66" s="0" t="n">
        <v>16</v>
      </c>
      <c r="H66" s="0" t="n">
        <v>710.67</v>
      </c>
      <c r="I66" s="0" t="s">
        <v>293</v>
      </c>
      <c r="J66" s="0" t="s">
        <v>287</v>
      </c>
      <c r="K66" s="0" t="s">
        <v>35</v>
      </c>
    </row>
    <row r="67" customFormat="false" ht="15" hidden="false" customHeight="false" outlineLevel="0" collapsed="false">
      <c r="A67" s="0" t="s">
        <v>294</v>
      </c>
      <c r="B67" s="0" t="s">
        <v>295</v>
      </c>
      <c r="C67" s="0" t="n">
        <v>24.948</v>
      </c>
      <c r="D67" s="0" t="n">
        <v>11.907</v>
      </c>
      <c r="E67" s="0" t="s">
        <v>284</v>
      </c>
      <c r="F67" s="0" t="s">
        <v>285</v>
      </c>
      <c r="G67" s="0" t="n">
        <v>16</v>
      </c>
      <c r="H67" s="0" t="n">
        <v>325.62</v>
      </c>
      <c r="I67" s="0" t="s">
        <v>296</v>
      </c>
      <c r="J67" s="0" t="s">
        <v>287</v>
      </c>
      <c r="K67" s="0" t="s">
        <v>35</v>
      </c>
    </row>
    <row r="68" customFormat="false" ht="15" hidden="false" customHeight="false" outlineLevel="0" collapsed="false">
      <c r="A68" s="0" t="s">
        <v>297</v>
      </c>
      <c r="B68" s="0" t="s">
        <v>298</v>
      </c>
      <c r="C68" s="0" t="n">
        <v>34.073</v>
      </c>
      <c r="D68" s="0" t="n">
        <v>11.056</v>
      </c>
      <c r="E68" s="0" t="s">
        <v>284</v>
      </c>
      <c r="F68" s="0" t="s">
        <v>285</v>
      </c>
      <c r="G68" s="0" t="n">
        <v>16</v>
      </c>
      <c r="H68" s="0" t="n">
        <v>399.75</v>
      </c>
      <c r="I68" s="0" t="s">
        <v>299</v>
      </c>
      <c r="J68" s="0" t="s">
        <v>287</v>
      </c>
      <c r="K68" s="0" t="s">
        <v>35</v>
      </c>
    </row>
    <row r="69" customFormat="false" ht="15" hidden="false" customHeight="false" outlineLevel="0" collapsed="false">
      <c r="A69" s="0" t="s">
        <v>300</v>
      </c>
      <c r="B69" s="0" t="s">
        <v>301</v>
      </c>
      <c r="C69" s="0" t="n">
        <v>17.656</v>
      </c>
      <c r="D69" s="0" t="n">
        <v>11.386</v>
      </c>
      <c r="E69" s="0" t="s">
        <v>284</v>
      </c>
      <c r="F69" s="0" t="s">
        <v>285</v>
      </c>
      <c r="G69" s="0" t="n">
        <v>16</v>
      </c>
      <c r="H69" s="0" t="n">
        <v>221.25</v>
      </c>
      <c r="I69" s="0" t="s">
        <v>302</v>
      </c>
      <c r="J69" s="0" t="s">
        <v>287</v>
      </c>
      <c r="K69" s="0" t="s">
        <v>35</v>
      </c>
    </row>
    <row r="70" customFormat="false" ht="15" hidden="false" customHeight="false" outlineLevel="0" collapsed="false">
      <c r="A70" s="0" t="s">
        <v>303</v>
      </c>
      <c r="B70" s="0" t="s">
        <v>304</v>
      </c>
      <c r="C70" s="0" t="n">
        <v>28.45</v>
      </c>
      <c r="D70" s="0" t="n">
        <v>14.362</v>
      </c>
      <c r="E70" s="0" t="s">
        <v>284</v>
      </c>
      <c r="F70" s="0" t="s">
        <v>285</v>
      </c>
      <c r="G70" s="0" t="n">
        <v>16</v>
      </c>
      <c r="H70" s="0" t="n">
        <v>374.83</v>
      </c>
      <c r="I70" s="0" t="s">
        <v>305</v>
      </c>
      <c r="J70" s="0" t="s">
        <v>287</v>
      </c>
      <c r="K70" s="0" t="s">
        <v>35</v>
      </c>
    </row>
    <row r="71" customFormat="false" ht="15" hidden="false" customHeight="false" outlineLevel="0" collapsed="false">
      <c r="A71" s="0" t="s">
        <v>306</v>
      </c>
      <c r="B71" s="0" t="s">
        <v>307</v>
      </c>
      <c r="C71" s="0" t="n">
        <v>3.865</v>
      </c>
      <c r="D71" s="0" t="n">
        <v>14.362</v>
      </c>
      <c r="E71" s="0" t="s">
        <v>284</v>
      </c>
      <c r="F71" s="0" t="s">
        <v>285</v>
      </c>
      <c r="G71" s="0" t="n">
        <v>16</v>
      </c>
      <c r="H71" s="0" t="n">
        <v>59.42</v>
      </c>
      <c r="I71" s="0" t="s">
        <v>308</v>
      </c>
      <c r="J71" s="0" t="s">
        <v>287</v>
      </c>
      <c r="K71" s="0" t="s">
        <v>35</v>
      </c>
    </row>
    <row r="72" customFormat="false" ht="15" hidden="false" customHeight="false" outlineLevel="0" collapsed="false">
      <c r="A72" s="0" t="s">
        <v>309</v>
      </c>
      <c r="B72" s="0" t="s">
        <v>310</v>
      </c>
      <c r="C72" s="0" t="n">
        <v>22.427</v>
      </c>
      <c r="D72" s="0" t="n">
        <v>14.362</v>
      </c>
      <c r="E72" s="0" t="s">
        <v>284</v>
      </c>
      <c r="F72" s="0" t="s">
        <v>285</v>
      </c>
      <c r="G72" s="0" t="n">
        <v>16</v>
      </c>
      <c r="H72" s="0" t="n">
        <v>312.82</v>
      </c>
      <c r="I72" s="0" t="s">
        <v>311</v>
      </c>
      <c r="J72" s="0" t="s">
        <v>287</v>
      </c>
      <c r="K72" s="0" t="s">
        <v>35</v>
      </c>
    </row>
    <row r="73" customFormat="false" ht="15" hidden="false" customHeight="false" outlineLevel="0" collapsed="false">
      <c r="A73" s="0" t="s">
        <v>312</v>
      </c>
      <c r="B73" s="0" t="s">
        <v>313</v>
      </c>
      <c r="C73" s="0" t="n">
        <v>24.948</v>
      </c>
      <c r="D73" s="0" t="n">
        <v>11.907</v>
      </c>
      <c r="E73" s="0" t="s">
        <v>284</v>
      </c>
      <c r="F73" s="0" t="s">
        <v>285</v>
      </c>
      <c r="G73" s="0" t="n">
        <v>16</v>
      </c>
      <c r="H73" s="0" t="n">
        <v>332.73</v>
      </c>
      <c r="I73" s="0" t="s">
        <v>314</v>
      </c>
      <c r="J73" s="0" t="s">
        <v>287</v>
      </c>
      <c r="K73" s="0" t="s">
        <v>35</v>
      </c>
    </row>
    <row r="74" customFormat="false" ht="15" hidden="false" customHeight="false" outlineLevel="0" collapsed="false">
      <c r="A74" s="6" t="s">
        <v>315</v>
      </c>
      <c r="C74" s="3" t="n">
        <f aca="false">SUM(C5:C73)</f>
        <v>657.982</v>
      </c>
      <c r="H74" s="3" t="n">
        <f aca="false">SUM(H5:H73)</f>
        <v>15061.19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7"/>
    <col collapsed="false" customWidth="true" hidden="false" outlineLevel="0" max="8" min="8" style="0" width="5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0" t="s">
        <v>317</v>
      </c>
    </row>
    <row r="3" customFormat="false" ht="15" hidden="false" customHeight="false" outlineLevel="0" collapsed="false">
      <c r="A3" s="4" t="s">
        <v>318</v>
      </c>
      <c r="B3" s="4" t="s">
        <v>319</v>
      </c>
      <c r="C3" s="4" t="s">
        <v>320</v>
      </c>
      <c r="D3" s="4" t="s">
        <v>321</v>
      </c>
      <c r="E3" s="4" t="s">
        <v>322</v>
      </c>
      <c r="F3" s="4" t="s">
        <v>323</v>
      </c>
      <c r="G3" s="4" t="s">
        <v>324</v>
      </c>
      <c r="H3" s="4" t="s">
        <v>325</v>
      </c>
      <c r="I3" s="4" t="s">
        <v>326</v>
      </c>
    </row>
    <row r="4" customFormat="false" ht="15" hidden="false" customHeight="false" outlineLevel="0" collapsed="false">
      <c r="A4" s="0" t="s">
        <v>327</v>
      </c>
      <c r="B4" s="0" t="s">
        <v>328</v>
      </c>
      <c r="C4" s="0" t="n">
        <v>613.58</v>
      </c>
      <c r="D4" s="0" t="n">
        <f aca="false">Inputs!$B$4</f>
        <v>0.15</v>
      </c>
      <c r="E4" s="0" t="n">
        <f aca="false">C4*D4</f>
        <v>92.037</v>
      </c>
      <c r="F4" s="0" t="n">
        <f aca="false">C4+E4</f>
        <v>705.617</v>
      </c>
      <c r="G4" s="0" t="s">
        <v>329</v>
      </c>
      <c r="H4" s="0" t="n">
        <f aca="false">ROUNDUP(ROUNDUP(F4/14.36,0)/MAX(1,INT(20/14.36)),0)</f>
        <v>50</v>
      </c>
      <c r="I4" s="0" t="s">
        <v>330</v>
      </c>
    </row>
    <row r="5" customFormat="false" ht="15" hidden="false" customHeight="false" outlineLevel="0" collapsed="false">
      <c r="A5" s="0" t="s">
        <v>331</v>
      </c>
      <c r="B5" s="0" t="s">
        <v>328</v>
      </c>
      <c r="C5" s="0" t="n">
        <v>1041.49</v>
      </c>
      <c r="D5" s="0" t="n">
        <f aca="false">Inputs!$B$4</f>
        <v>0.15</v>
      </c>
      <c r="E5" s="0" t="n">
        <f aca="false">C5*D5</f>
        <v>156.2235</v>
      </c>
      <c r="F5" s="0" t="n">
        <f aca="false">C5+E5</f>
        <v>1197.7135</v>
      </c>
      <c r="G5" s="0" t="s">
        <v>329</v>
      </c>
      <c r="H5" s="0" t="n">
        <f aca="false">ROUNDUP(ROUNDUP(F5/14.36,0)/MAX(1,INT(20/14.36)),0)</f>
        <v>84</v>
      </c>
      <c r="I5" s="0" t="s">
        <v>330</v>
      </c>
    </row>
    <row r="6" customFormat="false" ht="15" hidden="false" customHeight="false" outlineLevel="0" collapsed="false">
      <c r="A6" s="0" t="s">
        <v>332</v>
      </c>
      <c r="B6" s="0" t="s">
        <v>328</v>
      </c>
      <c r="C6" s="0" t="n">
        <v>541.75</v>
      </c>
      <c r="D6" s="0" t="n">
        <f aca="false">Inputs!$B$4</f>
        <v>0.15</v>
      </c>
      <c r="E6" s="0" t="n">
        <f aca="false">C6*D6</f>
        <v>81.2625</v>
      </c>
      <c r="F6" s="0" t="n">
        <f aca="false">C6+E6</f>
        <v>623.0125</v>
      </c>
      <c r="G6" s="0" t="s">
        <v>329</v>
      </c>
      <c r="H6" s="0" t="n">
        <f aca="false">ROUNDUP(ROUNDUP(F6/14.36,0)/MAX(1,INT(20/14.36)),0)</f>
        <v>44</v>
      </c>
      <c r="I6" s="0" t="s">
        <v>330</v>
      </c>
    </row>
    <row r="7" customFormat="false" ht="15" hidden="false" customHeight="false" outlineLevel="0" collapsed="false">
      <c r="A7" s="0" t="s">
        <v>333</v>
      </c>
      <c r="B7" s="0" t="s">
        <v>328</v>
      </c>
      <c r="C7" s="0" t="n">
        <v>1198.52</v>
      </c>
      <c r="D7" s="0" t="n">
        <f aca="false">Inputs!$B$4</f>
        <v>0.15</v>
      </c>
      <c r="E7" s="0" t="n">
        <f aca="false">C7*D7</f>
        <v>179.778</v>
      </c>
      <c r="F7" s="0" t="n">
        <f aca="false">C7+E7</f>
        <v>1378.298</v>
      </c>
      <c r="G7" s="0" t="s">
        <v>329</v>
      </c>
      <c r="H7" s="0" t="n">
        <f aca="false">ROUNDUP(ROUNDUP(F7/14.36,0)/MAX(1,INT(20/14.36)),0)</f>
        <v>96</v>
      </c>
      <c r="I7" s="0" t="s">
        <v>330</v>
      </c>
    </row>
    <row r="8" customFormat="false" ht="15" hidden="false" customHeight="false" outlineLevel="0" collapsed="false">
      <c r="A8" s="0" t="s">
        <v>334</v>
      </c>
      <c r="B8" s="0" t="s">
        <v>328</v>
      </c>
      <c r="C8" s="0" t="n">
        <v>3131</v>
      </c>
      <c r="D8" s="0" t="n">
        <f aca="false">Inputs!$B$4</f>
        <v>0.15</v>
      </c>
      <c r="E8" s="0" t="n">
        <f aca="false">C8*D8</f>
        <v>469.65</v>
      </c>
      <c r="F8" s="0" t="n">
        <f aca="false">C8+E8</f>
        <v>3600.65</v>
      </c>
      <c r="G8" s="0" t="s">
        <v>329</v>
      </c>
      <c r="H8" s="0" t="n">
        <f aca="false">ROUNDUP(ROUNDUP(F8/15.38,0)/MAX(1,INT(20/15.38)),0)</f>
        <v>235</v>
      </c>
      <c r="I8" s="0" t="s">
        <v>335</v>
      </c>
    </row>
    <row r="9" customFormat="false" ht="15" hidden="false" customHeight="false" outlineLevel="0" collapsed="false">
      <c r="A9" s="0" t="s">
        <v>336</v>
      </c>
      <c r="B9" s="0" t="s">
        <v>328</v>
      </c>
      <c r="C9" s="0" t="n">
        <v>136.63</v>
      </c>
      <c r="D9" s="0" t="n">
        <f aca="false">Inputs!$B$4</f>
        <v>0.15</v>
      </c>
      <c r="E9" s="0" t="n">
        <f aca="false">C9*D9</f>
        <v>20.4945</v>
      </c>
      <c r="F9" s="0" t="n">
        <f aca="false">C9+E9</f>
        <v>157.1245</v>
      </c>
      <c r="G9" s="0" t="s">
        <v>329</v>
      </c>
      <c r="H9" s="0" t="n">
        <f aca="false">ROUNDUP(ROUNDUP(F9/15.38,0)/MAX(1,INT(20/15.38)),0)</f>
        <v>11</v>
      </c>
      <c r="I9" s="0" t="s">
        <v>337</v>
      </c>
    </row>
    <row r="10" customFormat="false" ht="15" hidden="false" customHeight="false" outlineLevel="0" collapsed="false">
      <c r="A10" s="0" t="s">
        <v>338</v>
      </c>
      <c r="B10" s="0" t="s">
        <v>328</v>
      </c>
      <c r="C10" s="0" t="n">
        <v>1381.96</v>
      </c>
      <c r="D10" s="0" t="n">
        <f aca="false">Inputs!$B$4</f>
        <v>0.15</v>
      </c>
      <c r="E10" s="0" t="n">
        <f aca="false">C10*D10</f>
        <v>207.294</v>
      </c>
      <c r="F10" s="0" t="n">
        <f aca="false">C10+E10</f>
        <v>1589.254</v>
      </c>
      <c r="G10" s="0" t="s">
        <v>329</v>
      </c>
      <c r="H10" s="0" t="n">
        <f aca="false">ROUNDUP(ROUNDUP(F10/15.38,0)/MAX(1,INT(20/15.38)),0)</f>
        <v>104</v>
      </c>
      <c r="I10" s="0" t="s">
        <v>339</v>
      </c>
    </row>
    <row r="11" customFormat="false" ht="15" hidden="false" customHeight="false" outlineLevel="0" collapsed="false">
      <c r="A11" s="0" t="s">
        <v>340</v>
      </c>
      <c r="B11" s="0" t="s">
        <v>328</v>
      </c>
      <c r="C11" s="0" t="n">
        <v>46.12</v>
      </c>
      <c r="D11" s="0" t="n">
        <f aca="false">Inputs!$B$4</f>
        <v>0.15</v>
      </c>
      <c r="E11" s="0" t="n">
        <f aca="false">C11*D11</f>
        <v>6.918</v>
      </c>
      <c r="F11" s="0" t="n">
        <f aca="false">C11+E11</f>
        <v>53.038</v>
      </c>
      <c r="G11" s="0" t="s">
        <v>329</v>
      </c>
      <c r="H11" s="0" t="n">
        <f aca="false">ROUNDUP(ROUNDUP(F11/15.38,0)/MAX(1,INT(20/15.38)),0)</f>
        <v>4</v>
      </c>
      <c r="I11" s="0" t="s">
        <v>341</v>
      </c>
    </row>
    <row r="12" customFormat="false" ht="15" hidden="false" customHeight="false" outlineLevel="0" collapsed="false">
      <c r="A12" s="0" t="s">
        <v>342</v>
      </c>
      <c r="B12" s="0" t="s">
        <v>328</v>
      </c>
      <c r="C12" s="0" t="n">
        <v>3536.27</v>
      </c>
      <c r="D12" s="0" t="n">
        <f aca="false">Inputs!$B$4</f>
        <v>0.15</v>
      </c>
      <c r="E12" s="0" t="n">
        <f aca="false">C12*D12</f>
        <v>530.4405</v>
      </c>
      <c r="F12" s="0" t="n">
        <f aca="false">C12+E12</f>
        <v>4066.7105</v>
      </c>
      <c r="G12" s="0" t="s">
        <v>329</v>
      </c>
      <c r="H12" s="0" t="n">
        <f aca="false">ROUNDUP(ROUNDUP(F12/15.38,0)/MAX(1,INT(20/15.38)),0)</f>
        <v>265</v>
      </c>
      <c r="I12" s="0" t="s">
        <v>343</v>
      </c>
    </row>
    <row r="13" customFormat="false" ht="15" hidden="false" customHeight="false" outlineLevel="0" collapsed="false">
      <c r="A13" s="0" t="s">
        <v>344</v>
      </c>
      <c r="B13" s="0" t="s">
        <v>328</v>
      </c>
      <c r="C13" s="0" t="n">
        <v>208.22</v>
      </c>
      <c r="D13" s="0" t="n">
        <f aca="false">Inputs!$B$4</f>
        <v>0.15</v>
      </c>
      <c r="E13" s="0" t="n">
        <f aca="false">C13*D13</f>
        <v>31.233</v>
      </c>
      <c r="F13" s="0" t="n">
        <f aca="false">C13+E13</f>
        <v>239.453</v>
      </c>
      <c r="G13" s="0" t="s">
        <v>345</v>
      </c>
      <c r="H13" s="0" t="n">
        <f aca="false">ROUNDUP(F13/10,0)</f>
        <v>24</v>
      </c>
      <c r="I13" s="0" t="s">
        <v>346</v>
      </c>
    </row>
    <row r="14" customFormat="false" ht="15" hidden="false" customHeight="false" outlineLevel="0" collapsed="false">
      <c r="A14" s="0" t="s">
        <v>347</v>
      </c>
      <c r="B14" s="0" t="s">
        <v>328</v>
      </c>
      <c r="C14" s="0" t="n">
        <v>208.22</v>
      </c>
      <c r="D14" s="0" t="n">
        <f aca="false">Inputs!$B$4</f>
        <v>0.15</v>
      </c>
      <c r="E14" s="0" t="n">
        <f aca="false">C14*D14</f>
        <v>31.233</v>
      </c>
      <c r="F14" s="0" t="n">
        <f aca="false">C14+E14</f>
        <v>239.453</v>
      </c>
      <c r="G14" s="0" t="s">
        <v>345</v>
      </c>
      <c r="H14" s="0" t="n">
        <f aca="false">ROUNDUP(F14/10,0)</f>
        <v>24</v>
      </c>
      <c r="I14" s="0" t="s">
        <v>346</v>
      </c>
    </row>
    <row r="15" customFormat="false" ht="15" hidden="false" customHeight="false" outlineLevel="0" collapsed="false">
      <c r="A15" s="0" t="s">
        <v>348</v>
      </c>
      <c r="B15" s="0" t="s">
        <v>328</v>
      </c>
      <c r="C15" s="0" t="n">
        <v>1489.9</v>
      </c>
      <c r="D15" s="0" t="n">
        <f aca="false">Inputs!$B$4</f>
        <v>0.15</v>
      </c>
      <c r="E15" s="0" t="n">
        <f aca="false">C15*D15</f>
        <v>223.485</v>
      </c>
      <c r="F15" s="0" t="n">
        <f aca="false">C15+E15</f>
        <v>1713.385</v>
      </c>
      <c r="G15" s="0" t="s">
        <v>349</v>
      </c>
      <c r="H15" s="0" t="n">
        <f aca="false">ROUNDUP(F15/16,0)</f>
        <v>108</v>
      </c>
      <c r="I15" s="0" t="s">
        <v>350</v>
      </c>
    </row>
    <row r="16" customFormat="false" ht="15" hidden="false" customHeight="false" outlineLevel="0" collapsed="false">
      <c r="A16" s="0" t="s">
        <v>351</v>
      </c>
      <c r="B16" s="0" t="s">
        <v>328</v>
      </c>
      <c r="C16" s="0" t="n">
        <v>818.95</v>
      </c>
      <c r="D16" s="0" t="n">
        <f aca="false">Inputs!$B$5</f>
        <v>0.06</v>
      </c>
      <c r="E16" s="0" t="n">
        <f aca="false">C16*D16</f>
        <v>49.137</v>
      </c>
      <c r="F16" s="0" t="n">
        <f aca="false">C16+E16</f>
        <v>868.087</v>
      </c>
      <c r="G16" s="0" t="s">
        <v>352</v>
      </c>
      <c r="H16" s="0" t="n">
        <f aca="false">ROUNDUP(F16,0)</f>
        <v>869</v>
      </c>
      <c r="I16" s="0" t="s">
        <v>353</v>
      </c>
    </row>
    <row r="17" customFormat="false" ht="15" hidden="false" customHeight="false" outlineLevel="0" collapsed="false">
      <c r="A17" s="0" t="s">
        <v>354</v>
      </c>
      <c r="B17" s="0" t="s">
        <v>328</v>
      </c>
      <c r="C17" s="0" t="n">
        <v>168.72</v>
      </c>
      <c r="D17" s="0" t="n">
        <f aca="false">Inputs!$B$4</f>
        <v>0.15</v>
      </c>
      <c r="E17" s="0" t="n">
        <f aca="false">C17*D17</f>
        <v>25.308</v>
      </c>
      <c r="F17" s="0" t="n">
        <f aca="false">C17+E17</f>
        <v>194.028</v>
      </c>
      <c r="G17" s="0" t="s">
        <v>345</v>
      </c>
      <c r="H17" s="0" t="n">
        <f aca="false">ROUNDUP(F17/10,0)</f>
        <v>20</v>
      </c>
      <c r="I17" s="0" t="s">
        <v>355</v>
      </c>
    </row>
    <row r="18" customFormat="false" ht="15" hidden="false" customHeight="false" outlineLevel="0" collapsed="false">
      <c r="A18" s="0" t="s">
        <v>356</v>
      </c>
      <c r="B18" s="0" t="s">
        <v>357</v>
      </c>
      <c r="C18" s="0" t="n">
        <v>2125.23</v>
      </c>
      <c r="D18" s="0" t="n">
        <f aca="false">Inputs!$B$5</f>
        <v>0.06</v>
      </c>
      <c r="E18" s="0" t="n">
        <f aca="false">C18*D18</f>
        <v>127.5138</v>
      </c>
      <c r="F18" s="0" t="n">
        <f aca="false">C18+E18</f>
        <v>2252.7438</v>
      </c>
      <c r="G18" s="0" t="s">
        <v>357</v>
      </c>
      <c r="H18" s="0" t="n">
        <f aca="false">ROUNDUP(F18,0)</f>
        <v>2253</v>
      </c>
      <c r="I18" s="0" t="s">
        <v>358</v>
      </c>
    </row>
    <row r="19" customFormat="false" ht="15" hidden="false" customHeight="false" outlineLevel="0" collapsed="false">
      <c r="A19" s="0" t="s">
        <v>359</v>
      </c>
      <c r="B19" s="0" t="s">
        <v>360</v>
      </c>
      <c r="C19" s="0" t="n">
        <v>3540</v>
      </c>
      <c r="D19" s="0" t="n">
        <f aca="false">Inputs!$B$4</f>
        <v>0.15</v>
      </c>
      <c r="E19" s="0" t="n">
        <f aca="false">C19*D19</f>
        <v>531</v>
      </c>
      <c r="F19" s="0" t="n">
        <f aca="false">C19+E19</f>
        <v>4071</v>
      </c>
      <c r="G19" s="0" t="s">
        <v>349</v>
      </c>
      <c r="H19" s="0" t="n">
        <f aca="false">ROUNDUP(F19/16,0)</f>
        <v>255</v>
      </c>
      <c r="I19" s="0" t="s">
        <v>350</v>
      </c>
    </row>
    <row r="20" customFormat="false" ht="15" hidden="false" customHeight="false" outlineLevel="0" collapsed="false">
      <c r="A20" s="0" t="s">
        <v>361</v>
      </c>
      <c r="B20" s="0" t="s">
        <v>328</v>
      </c>
      <c r="C20" s="0" t="n">
        <v>36.61</v>
      </c>
      <c r="D20" s="0" t="n">
        <f aca="false">Inputs!$B$4</f>
        <v>0.15</v>
      </c>
      <c r="E20" s="0" t="n">
        <f aca="false">C20*D20</f>
        <v>5.4915</v>
      </c>
      <c r="F20" s="0" t="n">
        <f aca="false">C20+E20</f>
        <v>42.1015</v>
      </c>
      <c r="G20" s="0" t="s">
        <v>345</v>
      </c>
      <c r="H20" s="0" t="n">
        <f aca="false">ROUNDUP(F20/10,0)</f>
        <v>5</v>
      </c>
      <c r="I20" s="0" t="s">
        <v>362</v>
      </c>
    </row>
    <row r="21" customFormat="false" ht="15" hidden="false" customHeight="false" outlineLevel="0" collapsed="false">
      <c r="A21" s="0" t="s">
        <v>363</v>
      </c>
      <c r="B21" s="0" t="s">
        <v>328</v>
      </c>
      <c r="C21" s="0" t="n">
        <v>86.35</v>
      </c>
      <c r="D21" s="0" t="n">
        <f aca="false">Inputs!$B$4</f>
        <v>0.15</v>
      </c>
      <c r="E21" s="0" t="n">
        <f aca="false">C21*D21</f>
        <v>12.9525</v>
      </c>
      <c r="F21" s="0" t="n">
        <f aca="false">C21+E21</f>
        <v>99.3025</v>
      </c>
      <c r="G21" s="0" t="s">
        <v>345</v>
      </c>
      <c r="H21" s="0" t="n">
        <f aca="false">ROUNDUP(F21/10,0)</f>
        <v>10</v>
      </c>
      <c r="I21" s="0" t="s">
        <v>364</v>
      </c>
    </row>
    <row r="22" customFormat="false" ht="15" hidden="false" customHeight="false" outlineLevel="0" collapsed="false">
      <c r="A22" s="0" t="s">
        <v>365</v>
      </c>
      <c r="B22" s="0" t="s">
        <v>328</v>
      </c>
      <c r="C22" s="0" t="n">
        <v>86.35</v>
      </c>
      <c r="D22" s="0" t="n">
        <f aca="false">Inputs!$B$4</f>
        <v>0.15</v>
      </c>
      <c r="E22" s="0" t="n">
        <f aca="false">C22*D22</f>
        <v>12.9525</v>
      </c>
      <c r="F22" s="0" t="n">
        <f aca="false">C22+E22</f>
        <v>99.3025</v>
      </c>
      <c r="G22" s="0" t="s">
        <v>345</v>
      </c>
      <c r="H22" s="0" t="n">
        <f aca="false">ROUNDUP(F22/10,0)</f>
        <v>10</v>
      </c>
      <c r="I22" s="0" t="s">
        <v>364</v>
      </c>
    </row>
    <row r="23" customFormat="false" ht="15" hidden="false" customHeight="false" outlineLevel="0" collapsed="false">
      <c r="A23" s="0" t="s">
        <v>366</v>
      </c>
      <c r="B23" s="0" t="s">
        <v>357</v>
      </c>
      <c r="C23" s="0" t="n">
        <v>1033.18</v>
      </c>
      <c r="D23" s="0" t="n">
        <f aca="false">Inputs!$B$5</f>
        <v>0.06</v>
      </c>
      <c r="E23" s="0" t="n">
        <f aca="false">C23*D23</f>
        <v>61.9908</v>
      </c>
      <c r="F23" s="0" t="n">
        <f aca="false">C23+E23</f>
        <v>1095.1708</v>
      </c>
      <c r="G23" s="0" t="s">
        <v>357</v>
      </c>
      <c r="H23" s="0" t="n">
        <f aca="false">ROUNDUP(F23,0)</f>
        <v>1096</v>
      </c>
      <c r="I23" s="0" t="s">
        <v>364</v>
      </c>
    </row>
    <row r="24" customFormat="false" ht="15" hidden="false" customHeight="false" outlineLevel="0" collapsed="false">
      <c r="A24" s="0" t="s">
        <v>367</v>
      </c>
      <c r="B24" s="0" t="s">
        <v>328</v>
      </c>
      <c r="C24" s="0" t="n">
        <v>33.18</v>
      </c>
      <c r="D24" s="0" t="n">
        <f aca="false">Inputs!$B$4</f>
        <v>0.15</v>
      </c>
      <c r="E24" s="0" t="n">
        <f aca="false">C24*D24</f>
        <v>4.977</v>
      </c>
      <c r="F24" s="0" t="n">
        <f aca="false">C24+E24</f>
        <v>38.157</v>
      </c>
      <c r="G24" s="0" t="s">
        <v>345</v>
      </c>
      <c r="H24" s="0" t="n">
        <f aca="false">ROUNDUP(F24/10,0)</f>
        <v>4</v>
      </c>
      <c r="I24" s="0" t="s">
        <v>368</v>
      </c>
    </row>
    <row r="25" customFormat="false" ht="15" hidden="false" customHeight="false" outlineLevel="0" collapsed="false">
      <c r="A25" s="0" t="s">
        <v>369</v>
      </c>
      <c r="B25" s="0" t="s">
        <v>328</v>
      </c>
      <c r="C25" s="0" t="n">
        <v>202.04</v>
      </c>
      <c r="D25" s="0" t="n">
        <f aca="false">Inputs!$B$4</f>
        <v>0.15</v>
      </c>
      <c r="E25" s="0" t="n">
        <f aca="false">C25*D25</f>
        <v>30.306</v>
      </c>
      <c r="F25" s="0" t="n">
        <f aca="false">C25+E25</f>
        <v>232.346</v>
      </c>
      <c r="G25" s="0" t="s">
        <v>345</v>
      </c>
      <c r="H25" s="0" t="n">
        <f aca="false">ROUNDUP(F25/10,0)</f>
        <v>24</v>
      </c>
      <c r="I25" s="0" t="s">
        <v>370</v>
      </c>
    </row>
    <row r="26" customFormat="false" ht="15" hidden="false" customHeight="false" outlineLevel="0" collapsed="false">
      <c r="A26" s="0" t="s">
        <v>371</v>
      </c>
      <c r="B26" s="0" t="s">
        <v>328</v>
      </c>
      <c r="C26" s="0" t="n">
        <v>202.04</v>
      </c>
      <c r="D26" s="0" t="n">
        <f aca="false">Inputs!$B$4</f>
        <v>0.15</v>
      </c>
      <c r="E26" s="0" t="n">
        <f aca="false">C26*D26</f>
        <v>30.306</v>
      </c>
      <c r="F26" s="0" t="n">
        <f aca="false">C26+E26</f>
        <v>232.346</v>
      </c>
      <c r="G26" s="0" t="s">
        <v>345</v>
      </c>
      <c r="H26" s="0" t="n">
        <f aca="false">ROUNDUP(F26/10,0)</f>
        <v>24</v>
      </c>
      <c r="I26" s="0" t="s">
        <v>370</v>
      </c>
    </row>
    <row r="27" customFormat="false" ht="15" hidden="false" customHeight="false" outlineLevel="0" collapsed="false">
      <c r="A27" s="0" t="s">
        <v>372</v>
      </c>
      <c r="B27" s="0" t="s">
        <v>357</v>
      </c>
      <c r="C27" s="0" t="n">
        <v>1553.21</v>
      </c>
      <c r="D27" s="0" t="n">
        <f aca="false">Inputs!$B$5</f>
        <v>0.06</v>
      </c>
      <c r="E27" s="0" t="n">
        <f aca="false">C27*D27</f>
        <v>93.1926</v>
      </c>
      <c r="F27" s="0" t="n">
        <f aca="false">C27+E27</f>
        <v>1646.4026</v>
      </c>
      <c r="G27" s="0" t="s">
        <v>357</v>
      </c>
      <c r="H27" s="0" t="n">
        <f aca="false">ROUNDUP(F27,0)</f>
        <v>1647</v>
      </c>
      <c r="I27" s="0" t="s">
        <v>370</v>
      </c>
    </row>
    <row r="28" customFormat="false" ht="15" hidden="false" customHeight="false" outlineLevel="0" collapsed="false">
      <c r="A28" s="0" t="s">
        <v>373</v>
      </c>
      <c r="B28" s="0" t="s">
        <v>328</v>
      </c>
      <c r="C28" s="0" t="n">
        <v>3.58</v>
      </c>
      <c r="D28" s="0" t="n">
        <f aca="false">Inputs!$B$4</f>
        <v>0.15</v>
      </c>
      <c r="E28" s="0" t="n">
        <f aca="false">C28*D28</f>
        <v>0.537</v>
      </c>
      <c r="F28" s="0" t="n">
        <f aca="false">C28+E28</f>
        <v>4.117</v>
      </c>
      <c r="G28" s="0" t="s">
        <v>345</v>
      </c>
      <c r="H28" s="0" t="n">
        <f aca="false">ROUNDUP(F28/10,0)</f>
        <v>1</v>
      </c>
      <c r="I28" s="0" t="s">
        <v>374</v>
      </c>
    </row>
    <row r="29" customFormat="false" ht="15" hidden="false" customHeight="false" outlineLevel="0" collapsed="false">
      <c r="A29" s="0" t="s">
        <v>375</v>
      </c>
      <c r="B29" s="0" t="s">
        <v>357</v>
      </c>
      <c r="C29" s="0" t="n">
        <v>525.33</v>
      </c>
      <c r="D29" s="0" t="n">
        <f aca="false">Inputs!$B$5</f>
        <v>0.06</v>
      </c>
      <c r="E29" s="0" t="n">
        <f aca="false">C29*D29</f>
        <v>31.5198</v>
      </c>
      <c r="F29" s="0" t="n">
        <f aca="false">C29+E29</f>
        <v>556.8498</v>
      </c>
      <c r="G29" s="0" t="s">
        <v>376</v>
      </c>
      <c r="H29" s="0" t="n">
        <f aca="false">ROUNDUP(F29/48,0)</f>
        <v>12</v>
      </c>
      <c r="I29" s="0" t="s">
        <v>377</v>
      </c>
    </row>
    <row r="30" customFormat="false" ht="15" hidden="false" customHeight="false" outlineLevel="0" collapsed="false">
      <c r="A30" s="0" t="s">
        <v>378</v>
      </c>
      <c r="B30" s="0" t="s">
        <v>357</v>
      </c>
      <c r="C30" s="0" t="n">
        <v>1036.29</v>
      </c>
      <c r="D30" s="0" t="n">
        <f aca="false">Inputs!$B$5</f>
        <v>0.06</v>
      </c>
      <c r="E30" s="0" t="n">
        <f aca="false">C30*D30</f>
        <v>62.1774</v>
      </c>
      <c r="F30" s="0" t="n">
        <f aca="false">C30+E30</f>
        <v>1098.4674</v>
      </c>
      <c r="G30" s="0" t="s">
        <v>376</v>
      </c>
      <c r="H30" s="0" t="n">
        <f aca="false">ROUNDUP(F30/48,0)</f>
        <v>23</v>
      </c>
      <c r="I30" s="0" t="s">
        <v>377</v>
      </c>
    </row>
    <row r="31" customFormat="false" ht="15" hidden="false" customHeight="false" outlineLevel="0" collapsed="false">
      <c r="A31" s="0" t="s">
        <v>379</v>
      </c>
      <c r="B31" s="0" t="s">
        <v>357</v>
      </c>
      <c r="C31" s="0" t="n">
        <v>621</v>
      </c>
      <c r="D31" s="0" t="n">
        <f aca="false">Inputs!$B$5</f>
        <v>0.06</v>
      </c>
      <c r="E31" s="0" t="n">
        <f aca="false">C31*D31</f>
        <v>37.26</v>
      </c>
      <c r="F31" s="0" t="n">
        <f aca="false">C31+E31</f>
        <v>658.26</v>
      </c>
      <c r="G31" s="0" t="s">
        <v>376</v>
      </c>
      <c r="H31" s="0" t="n">
        <f aca="false">ROUNDUP(F31/48,0)</f>
        <v>14</v>
      </c>
      <c r="I31" s="0" t="s">
        <v>377</v>
      </c>
    </row>
    <row r="32" customFormat="false" ht="15" hidden="false" customHeight="false" outlineLevel="0" collapsed="false">
      <c r="A32" s="0" t="s">
        <v>380</v>
      </c>
      <c r="B32" s="0" t="s">
        <v>357</v>
      </c>
      <c r="C32" s="0" t="n">
        <v>1079.8</v>
      </c>
      <c r="D32" s="0" t="n">
        <f aca="false">Inputs!$B$5</f>
        <v>0.06</v>
      </c>
      <c r="E32" s="0" t="n">
        <f aca="false">C32*D32</f>
        <v>64.788</v>
      </c>
      <c r="F32" s="0" t="n">
        <f aca="false">C32+E32</f>
        <v>1144.588</v>
      </c>
      <c r="G32" s="0" t="s">
        <v>376</v>
      </c>
      <c r="H32" s="0" t="n">
        <f aca="false">ROUNDUP(F32/48,0)</f>
        <v>24</v>
      </c>
      <c r="I32" s="0" t="s">
        <v>377</v>
      </c>
    </row>
    <row r="33" customFormat="false" ht="15" hidden="false" customHeight="false" outlineLevel="0" collapsed="false">
      <c r="A33" s="0" t="s">
        <v>381</v>
      </c>
      <c r="B33" s="0" t="s">
        <v>357</v>
      </c>
      <c r="C33" s="0" t="n">
        <v>11539.74</v>
      </c>
      <c r="D33" s="0" t="n">
        <f aca="false">Inputs!$B$5</f>
        <v>0.06</v>
      </c>
      <c r="E33" s="0" t="n">
        <f aca="false">C33*D33</f>
        <v>692.3844</v>
      </c>
      <c r="F33" s="0" t="n">
        <f aca="false">C33+E33</f>
        <v>12232.1244</v>
      </c>
      <c r="G33" s="0" t="s">
        <v>376</v>
      </c>
      <c r="H33" s="0" t="n">
        <f aca="false">ROUNDUP(F33/48,0)</f>
        <v>255</v>
      </c>
      <c r="I33" s="0" t="s">
        <v>382</v>
      </c>
    </row>
    <row r="34" customFormat="false" ht="15" hidden="false" customHeight="false" outlineLevel="0" collapsed="false">
      <c r="A34" s="0" t="s">
        <v>383</v>
      </c>
      <c r="B34" s="0" t="s">
        <v>357</v>
      </c>
      <c r="C34" s="0" t="n">
        <v>259.03</v>
      </c>
      <c r="D34" s="0" t="n">
        <f aca="false">Inputs!$B$5</f>
        <v>0.06</v>
      </c>
      <c r="E34" s="0" t="n">
        <f aca="false">C34*D34</f>
        <v>15.5418</v>
      </c>
      <c r="F34" s="0" t="n">
        <f aca="false">C34+E34</f>
        <v>274.5718</v>
      </c>
      <c r="G34" s="0" t="s">
        <v>376</v>
      </c>
      <c r="H34" s="0" t="n">
        <f aca="false">ROUNDUP(F34/48,0)</f>
        <v>6</v>
      </c>
      <c r="I34" s="0" t="s">
        <v>382</v>
      </c>
    </row>
    <row r="35" customFormat="false" ht="15" hidden="false" customHeight="false" outlineLevel="0" collapsed="false">
      <c r="A35" s="0" t="s">
        <v>384</v>
      </c>
      <c r="B35" s="0" t="s">
        <v>357</v>
      </c>
      <c r="C35" s="0" t="n">
        <v>86.1</v>
      </c>
      <c r="D35" s="0" t="n">
        <f aca="false">Inputs!$B$5</f>
        <v>0.06</v>
      </c>
      <c r="E35" s="0" t="n">
        <f aca="false">C35*D35</f>
        <v>5.166</v>
      </c>
      <c r="F35" s="0" t="n">
        <f aca="false">C35+E35</f>
        <v>91.266</v>
      </c>
      <c r="G35" s="0" t="s">
        <v>385</v>
      </c>
      <c r="H35" s="0" t="n">
        <f aca="false">ROUNDUP(F35/32,0)</f>
        <v>3</v>
      </c>
      <c r="I35" s="0" t="s">
        <v>386</v>
      </c>
    </row>
    <row r="36" customFormat="false" ht="15" hidden="false" customHeight="false" outlineLevel="0" collapsed="false">
      <c r="A36" s="0" t="s">
        <v>387</v>
      </c>
      <c r="B36" s="0" t="s">
        <v>357</v>
      </c>
      <c r="C36" s="0" t="n">
        <v>65.55</v>
      </c>
      <c r="D36" s="0" t="n">
        <f aca="false">Inputs!$B$5</f>
        <v>0.06</v>
      </c>
      <c r="E36" s="0" t="n">
        <f aca="false">C36*D36</f>
        <v>3.933</v>
      </c>
      <c r="F36" s="0" t="n">
        <f aca="false">C36+E36</f>
        <v>69.483</v>
      </c>
      <c r="G36" s="0" t="s">
        <v>376</v>
      </c>
      <c r="H36" s="0" t="n">
        <f aca="false">ROUNDUP(F36/48,0)</f>
        <v>2</v>
      </c>
      <c r="I36" s="0" t="s">
        <v>388</v>
      </c>
    </row>
    <row r="37" customFormat="false" ht="15" hidden="false" customHeight="false" outlineLevel="0" collapsed="false">
      <c r="A37" s="0" t="s">
        <v>389</v>
      </c>
      <c r="B37" s="0" t="s">
        <v>357</v>
      </c>
      <c r="C37" s="0" t="n">
        <v>251.8</v>
      </c>
      <c r="D37" s="0" t="n">
        <f aca="false">Inputs!$B$5</f>
        <v>0.06</v>
      </c>
      <c r="E37" s="0" t="n">
        <f aca="false">C37*D37</f>
        <v>15.108</v>
      </c>
      <c r="F37" s="0" t="n">
        <f aca="false">C37+E37</f>
        <v>266.908</v>
      </c>
      <c r="G37" s="0" t="s">
        <v>385</v>
      </c>
      <c r="H37" s="0" t="n">
        <f aca="false">ROUNDUP(F37/32,0)</f>
        <v>9</v>
      </c>
      <c r="I37" s="0" t="s">
        <v>390</v>
      </c>
    </row>
    <row r="38" customFormat="false" ht="15" hidden="false" customHeight="false" outlineLevel="0" collapsed="false">
      <c r="A38" s="0" t="s">
        <v>391</v>
      </c>
      <c r="B38" s="0" t="s">
        <v>328</v>
      </c>
      <c r="C38" s="0" t="n">
        <v>16.81</v>
      </c>
      <c r="D38" s="0" t="n">
        <f aca="false">Inputs!$B$4</f>
        <v>0.15</v>
      </c>
      <c r="E38" s="0" t="n">
        <f aca="false">C38*D38</f>
        <v>2.5215</v>
      </c>
      <c r="F38" s="0" t="n">
        <f aca="false">C38+E38</f>
        <v>19.3315</v>
      </c>
      <c r="G38" s="0" t="s">
        <v>345</v>
      </c>
      <c r="H38" s="0" t="n">
        <f aca="false">ROUNDUP(F38/10,0)</f>
        <v>2</v>
      </c>
      <c r="I38" s="0" t="s">
        <v>392</v>
      </c>
    </row>
    <row r="39" customFormat="false" ht="15" hidden="false" customHeight="false" outlineLevel="0" collapsed="false">
      <c r="A39" s="0" t="s">
        <v>393</v>
      </c>
      <c r="B39" s="0" t="s">
        <v>328</v>
      </c>
      <c r="C39" s="0" t="n">
        <v>38.81</v>
      </c>
      <c r="D39" s="0" t="n">
        <f aca="false">Inputs!$B$4</f>
        <v>0.15</v>
      </c>
      <c r="E39" s="0" t="n">
        <f aca="false">C39*D39</f>
        <v>5.8215</v>
      </c>
      <c r="F39" s="0" t="n">
        <f aca="false">C39+E39</f>
        <v>44.6315</v>
      </c>
      <c r="G39" s="0" t="s">
        <v>345</v>
      </c>
      <c r="H39" s="0" t="n">
        <f aca="false">ROUNDUP(F39/10,0)</f>
        <v>5</v>
      </c>
      <c r="I39" s="0" t="s">
        <v>394</v>
      </c>
    </row>
    <row r="40" customFormat="false" ht="15" hidden="false" customHeight="false" outlineLevel="0" collapsed="false">
      <c r="A40" s="0" t="s">
        <v>395</v>
      </c>
      <c r="B40" s="0" t="s">
        <v>328</v>
      </c>
      <c r="C40" s="0" t="n">
        <v>55.62</v>
      </c>
      <c r="D40" s="0" t="n">
        <f aca="false">Inputs!$B$4</f>
        <v>0.15</v>
      </c>
      <c r="E40" s="0" t="n">
        <f aca="false">C40*D40</f>
        <v>8.343</v>
      </c>
      <c r="F40" s="0" t="n">
        <f aca="false">C40+E40</f>
        <v>63.963</v>
      </c>
      <c r="G40" s="0" t="s">
        <v>345</v>
      </c>
      <c r="H40" s="0" t="n">
        <f aca="false">ROUNDUP(F40/10,0)</f>
        <v>7</v>
      </c>
      <c r="I40" s="0" t="s">
        <v>396</v>
      </c>
    </row>
    <row r="41" customFormat="false" ht="15" hidden="false" customHeight="false" outlineLevel="0" collapsed="false">
      <c r="A41" s="0" t="s">
        <v>397</v>
      </c>
      <c r="B41" s="0" t="s">
        <v>328</v>
      </c>
      <c r="C41" s="0" t="n">
        <v>75.33</v>
      </c>
      <c r="D41" s="0" t="n">
        <f aca="false">Inputs!$B$4</f>
        <v>0.15</v>
      </c>
      <c r="E41" s="0" t="n">
        <f aca="false">C41*D41</f>
        <v>11.2995</v>
      </c>
      <c r="F41" s="0" t="n">
        <f aca="false">C41+E41</f>
        <v>86.6295</v>
      </c>
      <c r="G41" s="0" t="s">
        <v>345</v>
      </c>
      <c r="H41" s="0" t="n">
        <f aca="false">ROUNDUP(F41/10,0)</f>
        <v>9</v>
      </c>
      <c r="I41" s="0" t="s">
        <v>392</v>
      </c>
    </row>
    <row r="42" customFormat="false" ht="15" hidden="false" customHeight="false" outlineLevel="0" collapsed="false">
      <c r="A42" s="0" t="s">
        <v>398</v>
      </c>
      <c r="B42" s="0" t="s">
        <v>328</v>
      </c>
      <c r="C42" s="0" t="n">
        <v>75.33</v>
      </c>
      <c r="D42" s="0" t="n">
        <f aca="false">Inputs!$B$4</f>
        <v>0.15</v>
      </c>
      <c r="E42" s="0" t="n">
        <f aca="false">C42*D42</f>
        <v>11.2995</v>
      </c>
      <c r="F42" s="0" t="n">
        <f aca="false">C42+E42</f>
        <v>86.6295</v>
      </c>
      <c r="G42" s="0" t="s">
        <v>345</v>
      </c>
      <c r="H42" s="0" t="n">
        <f aca="false">ROUNDUP(F42/10,0)</f>
        <v>9</v>
      </c>
      <c r="I42" s="0" t="s">
        <v>396</v>
      </c>
    </row>
    <row r="43" customFormat="false" ht="15" hidden="false" customHeight="false" outlineLevel="0" collapsed="false">
      <c r="A43" s="0" t="s">
        <v>399</v>
      </c>
      <c r="B43" s="0" t="s">
        <v>328</v>
      </c>
      <c r="C43" s="0" t="n">
        <v>48.4</v>
      </c>
      <c r="D43" s="0" t="n">
        <f aca="false">Inputs!$B$4</f>
        <v>0.15</v>
      </c>
      <c r="E43" s="0" t="n">
        <f aca="false">C43*D43</f>
        <v>7.26</v>
      </c>
      <c r="F43" s="0" t="n">
        <f aca="false">C43+E43</f>
        <v>55.66</v>
      </c>
      <c r="G43" s="0" t="s">
        <v>345</v>
      </c>
      <c r="H43" s="0" t="n">
        <f aca="false">ROUNDUP(F43/10,0)</f>
        <v>6</v>
      </c>
      <c r="I43" s="0" t="s">
        <v>392</v>
      </c>
    </row>
    <row r="44" customFormat="false" ht="15" hidden="false" customHeight="false" outlineLevel="0" collapsed="false">
      <c r="A44" s="0" t="s">
        <v>400</v>
      </c>
      <c r="B44" s="0" t="s">
        <v>328</v>
      </c>
      <c r="C44" s="0" t="n">
        <v>51.73</v>
      </c>
      <c r="D44" s="0" t="n">
        <f aca="false">Inputs!$B$4</f>
        <v>0.15</v>
      </c>
      <c r="E44" s="0" t="n">
        <f aca="false">C44*D44</f>
        <v>7.7595</v>
      </c>
      <c r="F44" s="0" t="n">
        <f aca="false">C44+E44</f>
        <v>59.4895</v>
      </c>
      <c r="G44" s="0" t="s">
        <v>345</v>
      </c>
      <c r="H44" s="0" t="n">
        <f aca="false">ROUNDUP(F44/10,0)</f>
        <v>6</v>
      </c>
      <c r="I44" s="0" t="s">
        <v>396</v>
      </c>
    </row>
    <row r="45" customFormat="false" ht="15" hidden="false" customHeight="false" outlineLevel="0" collapsed="false">
      <c r="A45" s="0" t="s">
        <v>401</v>
      </c>
      <c r="B45" s="0" t="s">
        <v>328</v>
      </c>
      <c r="C45" s="0" t="n">
        <v>73.19</v>
      </c>
      <c r="D45" s="0" t="n">
        <f aca="false">Inputs!$B$4</f>
        <v>0.15</v>
      </c>
      <c r="E45" s="0" t="n">
        <f aca="false">C45*D45</f>
        <v>10.9785</v>
      </c>
      <c r="F45" s="0" t="n">
        <f aca="false">C45+E45</f>
        <v>84.1685</v>
      </c>
      <c r="G45" s="0" t="s">
        <v>345</v>
      </c>
      <c r="H45" s="0" t="n">
        <f aca="false">ROUNDUP(F45/10,0)</f>
        <v>9</v>
      </c>
      <c r="I45" s="0" t="s">
        <v>392</v>
      </c>
    </row>
    <row r="46" customFormat="false" ht="15" hidden="false" customHeight="false" outlineLevel="0" collapsed="false">
      <c r="A46" s="0" t="s">
        <v>402</v>
      </c>
      <c r="B46" s="0" t="s">
        <v>328</v>
      </c>
      <c r="C46" s="0" t="n">
        <v>6.5</v>
      </c>
      <c r="D46" s="0" t="n">
        <f aca="false">Inputs!$B$4</f>
        <v>0.15</v>
      </c>
      <c r="E46" s="0" t="n">
        <f aca="false">C46*D46</f>
        <v>0.975</v>
      </c>
      <c r="F46" s="0" t="n">
        <f aca="false">C46+E46</f>
        <v>7.475</v>
      </c>
      <c r="G46" s="0" t="s">
        <v>345</v>
      </c>
      <c r="H46" s="0" t="n">
        <f aca="false">ROUNDUP(F46/10,0)</f>
        <v>1</v>
      </c>
      <c r="I46" s="0" t="s">
        <v>394</v>
      </c>
    </row>
    <row r="47" customFormat="false" ht="15" hidden="false" customHeight="false" outlineLevel="0" collapsed="false">
      <c r="A47" s="0" t="s">
        <v>403</v>
      </c>
      <c r="B47" s="0" t="s">
        <v>328</v>
      </c>
      <c r="C47" s="0" t="n">
        <v>79.69</v>
      </c>
      <c r="D47" s="0" t="n">
        <f aca="false">Inputs!$B$4</f>
        <v>0.15</v>
      </c>
      <c r="E47" s="0" t="n">
        <f aca="false">C47*D47</f>
        <v>11.9535</v>
      </c>
      <c r="F47" s="0" t="n">
        <f aca="false">C47+E47</f>
        <v>91.6435</v>
      </c>
      <c r="G47" s="0" t="s">
        <v>345</v>
      </c>
      <c r="H47" s="0" t="n">
        <f aca="false">ROUNDUP(F47/10,0)</f>
        <v>10</v>
      </c>
      <c r="I47" s="0" t="s">
        <v>396</v>
      </c>
    </row>
    <row r="48" customFormat="false" ht="15" hidden="false" customHeight="false" outlineLevel="0" collapsed="false">
      <c r="A48" s="0" t="s">
        <v>404</v>
      </c>
      <c r="B48" s="0" t="s">
        <v>328</v>
      </c>
      <c r="C48" s="0" t="n">
        <v>166.88</v>
      </c>
      <c r="D48" s="0" t="n">
        <f aca="false">Inputs!$B$4</f>
        <v>0.15</v>
      </c>
      <c r="E48" s="0" t="n">
        <f aca="false">C48*D48</f>
        <v>25.032</v>
      </c>
      <c r="F48" s="0" t="n">
        <f aca="false">C48+E48</f>
        <v>191.912</v>
      </c>
      <c r="G48" s="0" t="s">
        <v>349</v>
      </c>
      <c r="H48" s="0" t="n">
        <f aca="false">ROUNDUP(F48/16,0)</f>
        <v>12</v>
      </c>
      <c r="I48" s="0" t="s">
        <v>405</v>
      </c>
    </row>
    <row r="49" customFormat="false" ht="15" hidden="false" customHeight="false" outlineLevel="0" collapsed="false">
      <c r="A49" s="0" t="s">
        <v>406</v>
      </c>
      <c r="B49" s="0" t="s">
        <v>328</v>
      </c>
      <c r="C49" s="0" t="n">
        <v>201.05</v>
      </c>
      <c r="D49" s="0" t="n">
        <f aca="false">Inputs!$B$4</f>
        <v>0.15</v>
      </c>
      <c r="E49" s="0" t="n">
        <f aca="false">C49*D49</f>
        <v>30.1575</v>
      </c>
      <c r="F49" s="0" t="n">
        <f aca="false">C49+E49</f>
        <v>231.2075</v>
      </c>
      <c r="G49" s="0" t="s">
        <v>349</v>
      </c>
      <c r="H49" s="0" t="n">
        <f aca="false">ROUNDUP(F49/16,0)</f>
        <v>15</v>
      </c>
      <c r="I49" s="0" t="s">
        <v>405</v>
      </c>
    </row>
    <row r="50" customFormat="false" ht="15" hidden="false" customHeight="false" outlineLevel="0" collapsed="false">
      <c r="A50" s="0" t="s">
        <v>407</v>
      </c>
      <c r="B50" s="0" t="s">
        <v>328</v>
      </c>
      <c r="C50" s="0" t="n">
        <v>103.46</v>
      </c>
      <c r="D50" s="0" t="n">
        <f aca="false">Inputs!$B$4</f>
        <v>0.15</v>
      </c>
      <c r="E50" s="0" t="n">
        <f aca="false">C50*D50</f>
        <v>15.519</v>
      </c>
      <c r="F50" s="0" t="n">
        <f aca="false">C50+E50</f>
        <v>118.979</v>
      </c>
      <c r="G50" s="0" t="s">
        <v>349</v>
      </c>
      <c r="H50" s="0" t="n">
        <f aca="false">ROUNDUP(F50/16,0)</f>
        <v>8</v>
      </c>
      <c r="I50" s="0" t="s">
        <v>405</v>
      </c>
    </row>
    <row r="51" customFormat="false" ht="15" hidden="false" customHeight="false" outlineLevel="0" collapsed="false">
      <c r="A51" s="0" t="s">
        <v>408</v>
      </c>
      <c r="B51" s="0" t="s">
        <v>328</v>
      </c>
      <c r="C51" s="0" t="n">
        <v>214.12</v>
      </c>
      <c r="D51" s="0" t="n">
        <f aca="false">Inputs!$B$4</f>
        <v>0.15</v>
      </c>
      <c r="E51" s="0" t="n">
        <f aca="false">C51*D51</f>
        <v>32.118</v>
      </c>
      <c r="F51" s="0" t="n">
        <f aca="false">C51+E51</f>
        <v>246.238</v>
      </c>
      <c r="G51" s="0" t="s">
        <v>349</v>
      </c>
      <c r="H51" s="0" t="n">
        <f aca="false">ROUNDUP(F51/16,0)</f>
        <v>16</v>
      </c>
      <c r="I51" s="0" t="s">
        <v>405</v>
      </c>
    </row>
    <row r="52" customFormat="false" ht="15" hidden="false" customHeight="false" outlineLevel="0" collapsed="false">
      <c r="A52" s="0" t="s">
        <v>409</v>
      </c>
      <c r="B52" s="0" t="s">
        <v>328</v>
      </c>
      <c r="C52" s="0" t="n">
        <v>37.33</v>
      </c>
      <c r="D52" s="0" t="n">
        <f aca="false">Inputs!$B$4</f>
        <v>0.15</v>
      </c>
      <c r="E52" s="0" t="n">
        <f aca="false">C52*D52</f>
        <v>5.5995</v>
      </c>
      <c r="F52" s="0" t="n">
        <f aca="false">C52+E52</f>
        <v>42.9295</v>
      </c>
      <c r="G52" s="0" t="s">
        <v>345</v>
      </c>
      <c r="H52" s="0" t="n">
        <f aca="false">ROUNDUP(F52/10,0)</f>
        <v>5</v>
      </c>
      <c r="I52" s="0" t="s">
        <v>410</v>
      </c>
    </row>
    <row r="53" customFormat="false" ht="15" hidden="false" customHeight="false" outlineLevel="0" collapsed="false">
      <c r="A53" s="0" t="s">
        <v>411</v>
      </c>
      <c r="B53" s="0" t="s">
        <v>328</v>
      </c>
      <c r="C53" s="0" t="n">
        <v>37.33</v>
      </c>
      <c r="D53" s="0" t="n">
        <f aca="false">Inputs!$B$4</f>
        <v>0.15</v>
      </c>
      <c r="E53" s="0" t="n">
        <f aca="false">C53*D53</f>
        <v>5.5995</v>
      </c>
      <c r="F53" s="0" t="n">
        <f aca="false">C53+E53</f>
        <v>42.9295</v>
      </c>
      <c r="G53" s="0" t="s">
        <v>345</v>
      </c>
      <c r="H53" s="0" t="n">
        <f aca="false">ROUNDUP(F53/10,0)</f>
        <v>5</v>
      </c>
      <c r="I53" s="0" t="s">
        <v>412</v>
      </c>
    </row>
    <row r="54" customFormat="false" ht="15" hidden="false" customHeight="false" outlineLevel="0" collapsed="false">
      <c r="A54" s="0" t="s">
        <v>413</v>
      </c>
      <c r="B54" s="0" t="s">
        <v>328</v>
      </c>
      <c r="C54" s="0" t="n">
        <v>37.33</v>
      </c>
      <c r="D54" s="0" t="n">
        <f aca="false">Inputs!$B$4</f>
        <v>0.15</v>
      </c>
      <c r="E54" s="0" t="n">
        <f aca="false">C54*D54</f>
        <v>5.5995</v>
      </c>
      <c r="F54" s="0" t="n">
        <f aca="false">C54+E54</f>
        <v>42.9295</v>
      </c>
      <c r="G54" s="0" t="s">
        <v>345</v>
      </c>
      <c r="H54" s="0" t="n">
        <f aca="false">ROUNDUP(F54/10,0)</f>
        <v>5</v>
      </c>
      <c r="I54" s="0" t="s">
        <v>414</v>
      </c>
    </row>
    <row r="55" customFormat="false" ht="15" hidden="false" customHeight="false" outlineLevel="0" collapsed="false">
      <c r="A55" s="0" t="s">
        <v>415</v>
      </c>
      <c r="B55" s="0" t="s">
        <v>328</v>
      </c>
      <c r="C55" s="0" t="n">
        <v>4.67</v>
      </c>
      <c r="D55" s="0" t="n">
        <f aca="false">Inputs!$B$4</f>
        <v>0.15</v>
      </c>
      <c r="E55" s="0" t="n">
        <f aca="false">C55*D55</f>
        <v>0.7005</v>
      </c>
      <c r="F55" s="0" t="n">
        <f aca="false">C55+E55</f>
        <v>5.3705</v>
      </c>
      <c r="G55" s="0" t="s">
        <v>345</v>
      </c>
      <c r="H55" s="0" t="n">
        <f aca="false">ROUNDUP(F55/10,0)</f>
        <v>1</v>
      </c>
      <c r="I55" s="0" t="s">
        <v>410</v>
      </c>
    </row>
    <row r="56" customFormat="false" ht="15" hidden="false" customHeight="false" outlineLevel="0" collapsed="false">
      <c r="A56" s="0" t="s">
        <v>416</v>
      </c>
      <c r="B56" s="0" t="s">
        <v>328</v>
      </c>
      <c r="C56" s="0" t="n">
        <v>22.21</v>
      </c>
      <c r="D56" s="0" t="n">
        <f aca="false">Inputs!$B$4</f>
        <v>0.15</v>
      </c>
      <c r="E56" s="0" t="n">
        <f aca="false">C56*D56</f>
        <v>3.3315</v>
      </c>
      <c r="F56" s="0" t="n">
        <f aca="false">C56+E56</f>
        <v>25.5415</v>
      </c>
      <c r="G56" s="0" t="s">
        <v>345</v>
      </c>
      <c r="H56" s="0" t="n">
        <f aca="false">ROUNDUP(F56/10,0)</f>
        <v>3</v>
      </c>
      <c r="I56" s="0" t="s">
        <v>410</v>
      </c>
    </row>
    <row r="57" customFormat="false" ht="15" hidden="false" customHeight="false" outlineLevel="0" collapsed="false">
      <c r="A57" s="0" t="s">
        <v>417</v>
      </c>
      <c r="B57" s="0" t="s">
        <v>328</v>
      </c>
      <c r="C57" s="0" t="n">
        <v>22.21</v>
      </c>
      <c r="D57" s="0" t="n">
        <f aca="false">Inputs!$B$4</f>
        <v>0.15</v>
      </c>
      <c r="E57" s="0" t="n">
        <f aca="false">C57*D57</f>
        <v>3.3315</v>
      </c>
      <c r="F57" s="0" t="n">
        <f aca="false">C57+E57</f>
        <v>25.5415</v>
      </c>
      <c r="G57" s="0" t="s">
        <v>345</v>
      </c>
      <c r="H57" s="0" t="n">
        <f aca="false">ROUNDUP(F57/10,0)</f>
        <v>3</v>
      </c>
      <c r="I57" s="0" t="s">
        <v>412</v>
      </c>
    </row>
    <row r="58" customFormat="false" ht="15" hidden="false" customHeight="false" outlineLevel="0" collapsed="false">
      <c r="A58" s="0" t="s">
        <v>418</v>
      </c>
      <c r="B58" s="0" t="s">
        <v>328</v>
      </c>
      <c r="C58" s="0" t="n">
        <v>18.67</v>
      </c>
      <c r="D58" s="0" t="n">
        <f aca="false">Inputs!$B$4</f>
        <v>0.15</v>
      </c>
      <c r="E58" s="0" t="n">
        <f aca="false">C58*D58</f>
        <v>2.8005</v>
      </c>
      <c r="F58" s="0" t="n">
        <f aca="false">C58+E58</f>
        <v>21.4705</v>
      </c>
      <c r="G58" s="0" t="s">
        <v>345</v>
      </c>
      <c r="H58" s="0" t="n">
        <f aca="false">ROUNDUP(F58/10,0)</f>
        <v>3</v>
      </c>
      <c r="I58" s="0" t="s">
        <v>414</v>
      </c>
    </row>
    <row r="59" customFormat="false" ht="15" hidden="false" customHeight="false" outlineLevel="0" collapsed="false">
      <c r="A59" s="0" t="s">
        <v>419</v>
      </c>
      <c r="B59" s="0" t="s">
        <v>328</v>
      </c>
      <c r="C59" s="0" t="n">
        <v>72.81</v>
      </c>
      <c r="D59" s="0" t="n">
        <f aca="false">Inputs!$B$5</f>
        <v>0.06</v>
      </c>
      <c r="E59" s="0" t="n">
        <f aca="false">C59*D59</f>
        <v>4.3686</v>
      </c>
      <c r="F59" s="0" t="n">
        <f aca="false">C59+E59</f>
        <v>77.1786</v>
      </c>
      <c r="G59" s="0" t="s">
        <v>345</v>
      </c>
      <c r="H59" s="0" t="n">
        <f aca="false">ROUNDUP(F59/10,0)</f>
        <v>8</v>
      </c>
      <c r="I59" s="0" t="s">
        <v>420</v>
      </c>
    </row>
    <row r="60" customFormat="false" ht="15" hidden="false" customHeight="false" outlineLevel="0" collapsed="false">
      <c r="A60" s="0" t="s">
        <v>421</v>
      </c>
      <c r="B60" s="0" t="s">
        <v>328</v>
      </c>
      <c r="C60" s="0" t="n">
        <v>80</v>
      </c>
      <c r="D60" s="0" t="n">
        <f aca="false">Inputs!$B$5</f>
        <v>0.06</v>
      </c>
      <c r="E60" s="0" t="n">
        <f aca="false">C60*D60</f>
        <v>4.8</v>
      </c>
      <c r="F60" s="0" t="n">
        <f aca="false">C60+E60</f>
        <v>84.8</v>
      </c>
      <c r="G60" s="0" t="s">
        <v>345</v>
      </c>
      <c r="H60" s="0" t="n">
        <f aca="false">ROUNDUP(F60/10,0)</f>
        <v>9</v>
      </c>
      <c r="I60" s="0" t="s">
        <v>420</v>
      </c>
    </row>
    <row r="61" customFormat="false" ht="15" hidden="false" customHeight="false" outlineLevel="0" collapsed="false">
      <c r="A61" s="0" t="s">
        <v>422</v>
      </c>
      <c r="B61" s="0" t="s">
        <v>328</v>
      </c>
      <c r="C61" s="0" t="n">
        <v>19.67</v>
      </c>
      <c r="D61" s="0" t="n">
        <f aca="false">Inputs!$B$5</f>
        <v>0.06</v>
      </c>
      <c r="E61" s="0" t="n">
        <f aca="false">C61*D61</f>
        <v>1.1802</v>
      </c>
      <c r="F61" s="0" t="n">
        <f aca="false">C61+E61</f>
        <v>20.8502</v>
      </c>
      <c r="G61" s="0" t="s">
        <v>345</v>
      </c>
      <c r="H61" s="0" t="n">
        <f aca="false">ROUNDUP(F61/10,0)</f>
        <v>3</v>
      </c>
      <c r="I61" s="0" t="s">
        <v>420</v>
      </c>
    </row>
    <row r="62" customFormat="false" ht="15" hidden="false" customHeight="false" outlineLevel="0" collapsed="false">
      <c r="A62" s="0" t="s">
        <v>423</v>
      </c>
      <c r="B62" s="0" t="s">
        <v>328</v>
      </c>
      <c r="C62" s="0" t="n">
        <v>63.5</v>
      </c>
      <c r="D62" s="0" t="n">
        <f aca="false">Inputs!$B$5</f>
        <v>0.06</v>
      </c>
      <c r="E62" s="0" t="n">
        <f aca="false">C62*D62</f>
        <v>3.81</v>
      </c>
      <c r="F62" s="0" t="n">
        <f aca="false">C62+E62</f>
        <v>67.31</v>
      </c>
      <c r="G62" s="0" t="s">
        <v>345</v>
      </c>
      <c r="H62" s="0" t="n">
        <f aca="false">ROUNDUP(F62/10,0)</f>
        <v>7</v>
      </c>
      <c r="I62" s="0" t="s">
        <v>420</v>
      </c>
    </row>
    <row r="63" customFormat="false" ht="15" hidden="false" customHeight="false" outlineLevel="0" collapsed="false">
      <c r="A63" s="0" t="s">
        <v>424</v>
      </c>
      <c r="B63" s="0" t="s">
        <v>328</v>
      </c>
      <c r="C63" s="0" t="n">
        <v>16.81</v>
      </c>
      <c r="D63" s="0" t="n">
        <f aca="false">Inputs!$B$5</f>
        <v>0.06</v>
      </c>
      <c r="E63" s="0" t="n">
        <f aca="false">C63*D63</f>
        <v>1.0086</v>
      </c>
      <c r="F63" s="0" t="n">
        <f aca="false">C63+E63</f>
        <v>17.8186</v>
      </c>
      <c r="G63" s="0" t="s">
        <v>352</v>
      </c>
      <c r="H63" s="0" t="n">
        <f aca="false">ROUNDUP(F63,0)</f>
        <v>18</v>
      </c>
      <c r="I63" s="0" t="s">
        <v>425</v>
      </c>
    </row>
    <row r="64" customFormat="false" ht="15" hidden="false" customHeight="false" outlineLevel="0" collapsed="false">
      <c r="A64" s="0" t="s">
        <v>426</v>
      </c>
      <c r="B64" s="0" t="s">
        <v>328</v>
      </c>
      <c r="C64" s="0" t="n">
        <v>75.33</v>
      </c>
      <c r="D64" s="0" t="n">
        <f aca="false">Inputs!$B$5</f>
        <v>0.06</v>
      </c>
      <c r="E64" s="0" t="n">
        <f aca="false">C64*D64</f>
        <v>4.5198</v>
      </c>
      <c r="F64" s="0" t="n">
        <f aca="false">C64+E64</f>
        <v>79.8498</v>
      </c>
      <c r="G64" s="0" t="s">
        <v>352</v>
      </c>
      <c r="H64" s="0" t="n">
        <f aca="false">ROUNDUP(F64,0)</f>
        <v>80</v>
      </c>
      <c r="I64" s="0" t="s">
        <v>425</v>
      </c>
    </row>
    <row r="65" customFormat="false" ht="15" hidden="false" customHeight="false" outlineLevel="0" collapsed="false">
      <c r="A65" s="0" t="s">
        <v>427</v>
      </c>
      <c r="B65" s="0" t="s">
        <v>328</v>
      </c>
      <c r="C65" s="0" t="n">
        <v>48.4</v>
      </c>
      <c r="D65" s="0" t="n">
        <f aca="false">Inputs!$B$5</f>
        <v>0.06</v>
      </c>
      <c r="E65" s="0" t="n">
        <f aca="false">C65*D65</f>
        <v>2.904</v>
      </c>
      <c r="F65" s="0" t="n">
        <f aca="false">C65+E65</f>
        <v>51.304</v>
      </c>
      <c r="G65" s="0" t="s">
        <v>352</v>
      </c>
      <c r="H65" s="0" t="n">
        <f aca="false">ROUNDUP(F65,0)</f>
        <v>52</v>
      </c>
      <c r="I65" s="0" t="s">
        <v>425</v>
      </c>
    </row>
    <row r="66" customFormat="false" ht="15" hidden="false" customHeight="false" outlineLevel="0" collapsed="false">
      <c r="A66" s="0" t="s">
        <v>428</v>
      </c>
      <c r="B66" s="0" t="s">
        <v>328</v>
      </c>
      <c r="C66" s="0" t="n">
        <v>73.19</v>
      </c>
      <c r="D66" s="0" t="n">
        <f aca="false">Inputs!$B$5</f>
        <v>0.06</v>
      </c>
      <c r="E66" s="0" t="n">
        <f aca="false">C66*D66</f>
        <v>4.3914</v>
      </c>
      <c r="F66" s="0" t="n">
        <f aca="false">C66+E66</f>
        <v>77.5814</v>
      </c>
      <c r="G66" s="0" t="s">
        <v>352</v>
      </c>
      <c r="H66" s="0" t="n">
        <f aca="false">ROUNDUP(F66,0)</f>
        <v>78</v>
      </c>
      <c r="I66" s="0" t="s">
        <v>425</v>
      </c>
    </row>
    <row r="67" customFormat="false" ht="15" hidden="false" customHeight="false" outlineLevel="0" collapsed="false">
      <c r="A67" s="0" t="s">
        <v>429</v>
      </c>
      <c r="B67" s="0" t="s">
        <v>328</v>
      </c>
      <c r="C67" s="0" t="n">
        <v>55.62</v>
      </c>
      <c r="D67" s="0" t="n">
        <f aca="false">Inputs!$B$4</f>
        <v>0.15</v>
      </c>
      <c r="E67" s="0" t="n">
        <f aca="false">C67*D67</f>
        <v>8.343</v>
      </c>
      <c r="F67" s="0" t="n">
        <f aca="false">C67+E67</f>
        <v>63.963</v>
      </c>
      <c r="G67" s="0" t="s">
        <v>329</v>
      </c>
      <c r="H67" s="0" t="n">
        <f aca="false">ROUNDUP(ROUNDUP(F67/12,0)/MAX(1,INT(20/12)),0)</f>
        <v>6</v>
      </c>
      <c r="I67" s="0" t="s">
        <v>430</v>
      </c>
    </row>
    <row r="68" customFormat="false" ht="15" hidden="false" customHeight="false" outlineLevel="0" collapsed="false">
      <c r="A68" s="0" t="s">
        <v>431</v>
      </c>
      <c r="B68" s="0" t="s">
        <v>328</v>
      </c>
      <c r="C68" s="0" t="n">
        <v>75.33</v>
      </c>
      <c r="D68" s="0" t="n">
        <f aca="false">Inputs!$B$4</f>
        <v>0.15</v>
      </c>
      <c r="E68" s="0" t="n">
        <f aca="false">C68*D68</f>
        <v>11.2995</v>
      </c>
      <c r="F68" s="0" t="n">
        <f aca="false">C68+E68</f>
        <v>86.6295</v>
      </c>
      <c r="G68" s="0" t="s">
        <v>329</v>
      </c>
      <c r="H68" s="0" t="n">
        <f aca="false">ROUNDUP(ROUNDUP(F68/12,0)/MAX(1,INT(20/12)),0)</f>
        <v>8</v>
      </c>
      <c r="I68" s="0" t="s">
        <v>430</v>
      </c>
    </row>
    <row r="69" customFormat="false" ht="15" hidden="false" customHeight="false" outlineLevel="0" collapsed="false">
      <c r="A69" s="0" t="s">
        <v>432</v>
      </c>
      <c r="B69" s="0" t="s">
        <v>328</v>
      </c>
      <c r="C69" s="0" t="n">
        <v>51.73</v>
      </c>
      <c r="D69" s="0" t="n">
        <f aca="false">Inputs!$B$4</f>
        <v>0.15</v>
      </c>
      <c r="E69" s="0" t="n">
        <f aca="false">C69*D69</f>
        <v>7.7595</v>
      </c>
      <c r="F69" s="0" t="n">
        <f aca="false">C69+E69</f>
        <v>59.4895</v>
      </c>
      <c r="G69" s="0" t="s">
        <v>329</v>
      </c>
      <c r="H69" s="0" t="n">
        <f aca="false">ROUNDUP(ROUNDUP(F69/12,0)/MAX(1,INT(20/12)),0)</f>
        <v>5</v>
      </c>
      <c r="I69" s="0" t="s">
        <v>430</v>
      </c>
    </row>
    <row r="70" customFormat="false" ht="15" hidden="false" customHeight="false" outlineLevel="0" collapsed="false">
      <c r="A70" s="0" t="s">
        <v>433</v>
      </c>
      <c r="B70" s="0" t="s">
        <v>328</v>
      </c>
      <c r="C70" s="0" t="n">
        <v>79.69</v>
      </c>
      <c r="D70" s="0" t="n">
        <f aca="false">Inputs!$B$4</f>
        <v>0.15</v>
      </c>
      <c r="E70" s="0" t="n">
        <f aca="false">C70*D70</f>
        <v>11.9535</v>
      </c>
      <c r="F70" s="0" t="n">
        <f aca="false">C70+E70</f>
        <v>91.6435</v>
      </c>
      <c r="G70" s="0" t="s">
        <v>329</v>
      </c>
      <c r="H70" s="0" t="n">
        <f aca="false">ROUNDUP(ROUNDUP(F70/12,0)/MAX(1,INT(20/12)),0)</f>
        <v>8</v>
      </c>
      <c r="I70" s="0" t="s">
        <v>430</v>
      </c>
    </row>
    <row r="71" customFormat="false" ht="15" hidden="false" customHeight="false" outlineLevel="0" collapsed="false">
      <c r="A71" s="0" t="s">
        <v>434</v>
      </c>
      <c r="B71" s="0" t="s">
        <v>357</v>
      </c>
      <c r="C71" s="0" t="n">
        <v>606.32</v>
      </c>
      <c r="D71" s="0" t="n">
        <f aca="false">Inputs!$B$5</f>
        <v>0.06</v>
      </c>
      <c r="E71" s="0" t="n">
        <f aca="false">C71*D71</f>
        <v>36.3792</v>
      </c>
      <c r="F71" s="0" t="n">
        <f aca="false">C71+E71</f>
        <v>642.6992</v>
      </c>
      <c r="G71" s="0" t="s">
        <v>385</v>
      </c>
      <c r="H71" s="0" t="n">
        <f aca="false">ROUNDUP(F71/32,0)</f>
        <v>21</v>
      </c>
      <c r="I71" s="0" t="s">
        <v>435</v>
      </c>
    </row>
    <row r="72" customFormat="false" ht="15" hidden="false" customHeight="false" outlineLevel="0" collapsed="false">
      <c r="A72" s="0" t="s">
        <v>436</v>
      </c>
      <c r="B72" s="0" t="s">
        <v>357</v>
      </c>
      <c r="C72" s="0" t="n">
        <v>9.88</v>
      </c>
      <c r="D72" s="0" t="n">
        <f aca="false">Inputs!$B$5</f>
        <v>0.06</v>
      </c>
      <c r="E72" s="0" t="n">
        <f aca="false">C72*D72</f>
        <v>0.5928</v>
      </c>
      <c r="F72" s="0" t="n">
        <f aca="false">C72+E72</f>
        <v>10.4728</v>
      </c>
      <c r="G72" s="0" t="s">
        <v>376</v>
      </c>
      <c r="H72" s="0" t="n">
        <f aca="false">ROUNDUP(F72/48,0)</f>
        <v>1</v>
      </c>
      <c r="I72" s="0" t="s">
        <v>437</v>
      </c>
    </row>
    <row r="73" customFormat="false" ht="15" hidden="false" customHeight="false" outlineLevel="0" collapsed="false">
      <c r="A73" s="0" t="s">
        <v>438</v>
      </c>
      <c r="B73" s="0" t="s">
        <v>357</v>
      </c>
      <c r="C73" s="0" t="n">
        <v>115.9</v>
      </c>
      <c r="D73" s="0" t="n">
        <f aca="false">Inputs!$B$4</f>
        <v>0.15</v>
      </c>
      <c r="E73" s="0" t="n">
        <f aca="false">C73*D73</f>
        <v>17.385</v>
      </c>
      <c r="F73" s="0" t="n">
        <f aca="false">C73+E73</f>
        <v>133.285</v>
      </c>
      <c r="G73" s="0" t="s">
        <v>376</v>
      </c>
      <c r="H73" s="0" t="n">
        <f aca="false">ROUNDUP(F73/48,0)</f>
        <v>3</v>
      </c>
      <c r="I73" s="0" t="s">
        <v>439</v>
      </c>
    </row>
    <row r="74" customFormat="false" ht="15" hidden="false" customHeight="false" outlineLevel="0" collapsed="false">
      <c r="A74" s="0" t="s">
        <v>440</v>
      </c>
      <c r="B74" s="0" t="s">
        <v>357</v>
      </c>
      <c r="C74" s="0" t="n">
        <v>1158.39</v>
      </c>
      <c r="D74" s="0" t="n">
        <f aca="false">Inputs!$B$5</f>
        <v>0.06</v>
      </c>
      <c r="E74" s="0" t="n">
        <f aca="false">C74*D74</f>
        <v>69.5034</v>
      </c>
      <c r="F74" s="0" t="n">
        <f aca="false">C74+E74</f>
        <v>1227.8934</v>
      </c>
      <c r="G74" s="0" t="s">
        <v>385</v>
      </c>
      <c r="H74" s="0" t="n">
        <f aca="false">ROUNDUP(F74/32,0)</f>
        <v>39</v>
      </c>
      <c r="I74" s="0" t="s">
        <v>435</v>
      </c>
    </row>
    <row r="75" customFormat="false" ht="15" hidden="false" customHeight="false" outlineLevel="0" collapsed="false">
      <c r="A75" s="0" t="s">
        <v>441</v>
      </c>
      <c r="B75" s="0" t="s">
        <v>357</v>
      </c>
      <c r="C75" s="0" t="n">
        <v>38.64</v>
      </c>
      <c r="D75" s="0" t="n">
        <f aca="false">Inputs!$B$5</f>
        <v>0.06</v>
      </c>
      <c r="E75" s="0" t="n">
        <f aca="false">C75*D75</f>
        <v>2.3184</v>
      </c>
      <c r="F75" s="0" t="n">
        <f aca="false">C75+E75</f>
        <v>40.9584</v>
      </c>
      <c r="G75" s="0" t="s">
        <v>376</v>
      </c>
      <c r="H75" s="0" t="n">
        <f aca="false">ROUNDUP(F75/48,0)</f>
        <v>1</v>
      </c>
      <c r="I75" s="0" t="s">
        <v>437</v>
      </c>
    </row>
    <row r="76" customFormat="false" ht="15" hidden="false" customHeight="false" outlineLevel="0" collapsed="false">
      <c r="A76" s="0" t="s">
        <v>442</v>
      </c>
      <c r="B76" s="0" t="s">
        <v>357</v>
      </c>
      <c r="C76" s="0" t="n">
        <v>84.77</v>
      </c>
      <c r="D76" s="0" t="n">
        <f aca="false">Inputs!$B$4</f>
        <v>0.15</v>
      </c>
      <c r="E76" s="0" t="n">
        <f aca="false">C76*D76</f>
        <v>12.7155</v>
      </c>
      <c r="F76" s="0" t="n">
        <f aca="false">C76+E76</f>
        <v>97.4855</v>
      </c>
      <c r="G76" s="0" t="s">
        <v>376</v>
      </c>
      <c r="H76" s="0" t="n">
        <f aca="false">ROUNDUP(F76/48,0)</f>
        <v>3</v>
      </c>
      <c r="I76" s="0" t="s">
        <v>439</v>
      </c>
    </row>
    <row r="77" customFormat="false" ht="15" hidden="false" customHeight="false" outlineLevel="0" collapsed="false">
      <c r="A77" s="0" t="s">
        <v>443</v>
      </c>
      <c r="B77" s="0" t="s">
        <v>357</v>
      </c>
      <c r="C77" s="0" t="n">
        <v>838.43</v>
      </c>
      <c r="D77" s="0" t="n">
        <f aca="false">Inputs!$B$5</f>
        <v>0.06</v>
      </c>
      <c r="E77" s="0" t="n">
        <f aca="false">C77*D77</f>
        <v>50.3058</v>
      </c>
      <c r="F77" s="0" t="n">
        <f aca="false">C77+E77</f>
        <v>888.7358</v>
      </c>
      <c r="G77" s="0" t="s">
        <v>385</v>
      </c>
      <c r="H77" s="0" t="n">
        <f aca="false">ROUNDUP(F77/32,0)</f>
        <v>28</v>
      </c>
      <c r="I77" s="0" t="s">
        <v>435</v>
      </c>
    </row>
    <row r="78" customFormat="false" ht="15" hidden="false" customHeight="false" outlineLevel="0" collapsed="false">
      <c r="A78" s="0" t="s">
        <v>444</v>
      </c>
      <c r="B78" s="0" t="s">
        <v>357</v>
      </c>
      <c r="C78" s="0" t="n">
        <v>25.17</v>
      </c>
      <c r="D78" s="0" t="n">
        <f aca="false">Inputs!$B$5</f>
        <v>0.06</v>
      </c>
      <c r="E78" s="0" t="n">
        <f aca="false">C78*D78</f>
        <v>1.5102</v>
      </c>
      <c r="F78" s="0" t="n">
        <f aca="false">C78+E78</f>
        <v>26.6802</v>
      </c>
      <c r="G78" s="0" t="s">
        <v>376</v>
      </c>
      <c r="H78" s="0" t="n">
        <f aca="false">ROUNDUP(F78/48,0)</f>
        <v>1</v>
      </c>
      <c r="I78" s="0" t="s">
        <v>437</v>
      </c>
    </row>
    <row r="79" customFormat="false" ht="15" hidden="false" customHeight="false" outlineLevel="0" collapsed="false">
      <c r="A79" s="0" t="s">
        <v>445</v>
      </c>
      <c r="B79" s="0" t="s">
        <v>357</v>
      </c>
      <c r="C79" s="0" t="n">
        <v>43.87</v>
      </c>
      <c r="D79" s="0" t="n">
        <f aca="false">Inputs!$B$4</f>
        <v>0.15</v>
      </c>
      <c r="E79" s="0" t="n">
        <f aca="false">C79*D79</f>
        <v>6.5805</v>
      </c>
      <c r="F79" s="0" t="n">
        <f aca="false">C79+E79</f>
        <v>50.4505</v>
      </c>
      <c r="G79" s="0" t="s">
        <v>376</v>
      </c>
      <c r="H79" s="0" t="n">
        <f aca="false">ROUNDUP(F79/48,0)</f>
        <v>2</v>
      </c>
      <c r="I79" s="0" t="s">
        <v>439</v>
      </c>
    </row>
    <row r="80" customFormat="false" ht="15" hidden="false" customHeight="false" outlineLevel="0" collapsed="false">
      <c r="A80" s="0" t="s">
        <v>446</v>
      </c>
      <c r="B80" s="0" t="s">
        <v>357</v>
      </c>
      <c r="C80" s="0" t="n">
        <v>1247.64</v>
      </c>
      <c r="D80" s="0" t="n">
        <f aca="false">Inputs!$B$5</f>
        <v>0.06</v>
      </c>
      <c r="E80" s="0" t="n">
        <f aca="false">C80*D80</f>
        <v>74.8584</v>
      </c>
      <c r="F80" s="0" t="n">
        <f aca="false">C80+E80</f>
        <v>1322.4984</v>
      </c>
      <c r="G80" s="0" t="s">
        <v>385</v>
      </c>
      <c r="H80" s="0" t="n">
        <f aca="false">ROUNDUP(F80/32,0)</f>
        <v>42</v>
      </c>
      <c r="I80" s="0" t="s">
        <v>435</v>
      </c>
    </row>
    <row r="81" customFormat="false" ht="15" hidden="false" customHeight="false" outlineLevel="0" collapsed="false">
      <c r="A81" s="0" t="s">
        <v>447</v>
      </c>
      <c r="B81" s="0" t="s">
        <v>357</v>
      </c>
      <c r="C81" s="0" t="n">
        <v>36.68</v>
      </c>
      <c r="D81" s="0" t="n">
        <f aca="false">Inputs!$B$5</f>
        <v>0.06</v>
      </c>
      <c r="E81" s="0" t="n">
        <f aca="false">C81*D81</f>
        <v>2.2008</v>
      </c>
      <c r="F81" s="0" t="n">
        <f aca="false">C81+E81</f>
        <v>38.8808</v>
      </c>
      <c r="G81" s="0" t="s">
        <v>376</v>
      </c>
      <c r="H81" s="0" t="n">
        <f aca="false">ROUNDUP(F81/48,0)</f>
        <v>1</v>
      </c>
      <c r="I81" s="0" t="s">
        <v>437</v>
      </c>
    </row>
    <row r="82" customFormat="false" ht="15" hidden="false" customHeight="false" outlineLevel="0" collapsed="false">
      <c r="A82" s="0" t="s">
        <v>448</v>
      </c>
      <c r="B82" s="0" t="s">
        <v>328</v>
      </c>
      <c r="C82" s="0" t="n">
        <v>150.33</v>
      </c>
      <c r="D82" s="0" t="n">
        <f aca="false">Inputs!$B$4</f>
        <v>0.15</v>
      </c>
      <c r="E82" s="0" t="n">
        <f aca="false">C82*D82</f>
        <v>22.5495</v>
      </c>
      <c r="F82" s="0" t="n">
        <f aca="false">C82+E82</f>
        <v>172.8795</v>
      </c>
      <c r="G82" s="0" t="s">
        <v>329</v>
      </c>
      <c r="H82" s="0" t="n">
        <f aca="false">ROUNDUP(ROUNDUP(F82/4.3,0)/MAX(1,INT(20/4.3)),0)</f>
        <v>11</v>
      </c>
      <c r="I82" s="0" t="s">
        <v>449</v>
      </c>
    </row>
    <row r="83" customFormat="false" ht="15" hidden="false" customHeight="false" outlineLevel="0" collapsed="false">
      <c r="A83" s="0" t="s">
        <v>450</v>
      </c>
      <c r="B83" s="0" t="s">
        <v>328</v>
      </c>
      <c r="C83" s="0" t="n">
        <v>55.62</v>
      </c>
      <c r="D83" s="0" t="n">
        <f aca="false">Inputs!$B$4</f>
        <v>0.15</v>
      </c>
      <c r="E83" s="0" t="n">
        <f aca="false">C83*D83</f>
        <v>8.343</v>
      </c>
      <c r="F83" s="0" t="n">
        <f aca="false">C83+E83</f>
        <v>63.963</v>
      </c>
      <c r="G83" s="0" t="s">
        <v>345</v>
      </c>
      <c r="H83" s="0" t="n">
        <f aca="false">ROUNDUP(F83/10,0)</f>
        <v>7</v>
      </c>
      <c r="I83" s="0" t="s">
        <v>451</v>
      </c>
    </row>
    <row r="84" customFormat="false" ht="15" hidden="false" customHeight="false" outlineLevel="0" collapsed="false">
      <c r="A84" s="0" t="s">
        <v>452</v>
      </c>
      <c r="B84" s="0" t="s">
        <v>328</v>
      </c>
      <c r="C84" s="0" t="n">
        <v>55.62</v>
      </c>
      <c r="D84" s="0" t="n">
        <f aca="false">Inputs!$B$4</f>
        <v>0.15</v>
      </c>
      <c r="E84" s="0" t="n">
        <f aca="false">C84*D84</f>
        <v>8.343</v>
      </c>
      <c r="F84" s="0" t="n">
        <f aca="false">C84+E84</f>
        <v>63.963</v>
      </c>
      <c r="G84" s="0" t="s">
        <v>345</v>
      </c>
      <c r="H84" s="0" t="n">
        <f aca="false">ROUNDUP(F84/10,0)</f>
        <v>7</v>
      </c>
      <c r="I84" s="0" t="s">
        <v>451</v>
      </c>
    </row>
    <row r="85" customFormat="false" ht="15" hidden="false" customHeight="false" outlineLevel="0" collapsed="false">
      <c r="A85" s="0" t="s">
        <v>453</v>
      </c>
      <c r="B85" s="0" t="s">
        <v>328</v>
      </c>
      <c r="C85" s="0" t="n">
        <v>16.72</v>
      </c>
      <c r="D85" s="0" t="n">
        <f aca="false">Inputs!$B$4</f>
        <v>0.15</v>
      </c>
      <c r="E85" s="0" t="n">
        <f aca="false">C85*D85</f>
        <v>2.508</v>
      </c>
      <c r="F85" s="0" t="n">
        <f aca="false">C85+E85</f>
        <v>19.228</v>
      </c>
      <c r="G85" s="0" t="s">
        <v>349</v>
      </c>
      <c r="H85" s="0" t="n">
        <f aca="false">ROUNDUP(F85/16,0)</f>
        <v>2</v>
      </c>
      <c r="I85" s="0" t="s">
        <v>454</v>
      </c>
    </row>
    <row r="86" customFormat="false" ht="15" hidden="false" customHeight="false" outlineLevel="0" collapsed="false">
      <c r="A86" s="0" t="s">
        <v>455</v>
      </c>
      <c r="B86" s="0" t="s">
        <v>357</v>
      </c>
      <c r="C86" s="0" t="n">
        <v>151.19</v>
      </c>
      <c r="D86" s="0" t="n">
        <f aca="false">Inputs!$B$5</f>
        <v>0.06</v>
      </c>
      <c r="E86" s="0" t="n">
        <f aca="false">C86*D86</f>
        <v>9.0714</v>
      </c>
      <c r="F86" s="0" t="n">
        <f aca="false">C86+E86</f>
        <v>160.2614</v>
      </c>
      <c r="G86" s="0" t="s">
        <v>376</v>
      </c>
      <c r="H86" s="0" t="n">
        <f aca="false">ROUNDUP(F86/48,0)</f>
        <v>4</v>
      </c>
      <c r="I86" s="0" t="s">
        <v>456</v>
      </c>
    </row>
    <row r="87" customFormat="false" ht="15" hidden="false" customHeight="false" outlineLevel="0" collapsed="false">
      <c r="A87" s="0" t="s">
        <v>457</v>
      </c>
      <c r="B87" s="0" t="s">
        <v>328</v>
      </c>
      <c r="C87" s="0" t="n">
        <v>55.62</v>
      </c>
      <c r="D87" s="0" t="n">
        <f aca="false">Inputs!$B$5</f>
        <v>0.06</v>
      </c>
      <c r="E87" s="0" t="n">
        <f aca="false">C87*D87</f>
        <v>3.3372</v>
      </c>
      <c r="F87" s="0" t="n">
        <f aca="false">C87+E87</f>
        <v>58.9572</v>
      </c>
      <c r="G87" s="0" t="s">
        <v>345</v>
      </c>
      <c r="H87" s="0" t="n">
        <f aca="false">ROUNDUP(F87/10,0)</f>
        <v>6</v>
      </c>
      <c r="I87" s="0" t="s">
        <v>458</v>
      </c>
    </row>
    <row r="88" customFormat="false" ht="15" hidden="false" customHeight="false" outlineLevel="0" collapsed="false">
      <c r="A88" s="0" t="s">
        <v>459</v>
      </c>
      <c r="B88" s="0" t="s">
        <v>328</v>
      </c>
      <c r="C88" s="0" t="n">
        <v>211.97</v>
      </c>
      <c r="D88" s="0" t="n">
        <f aca="false">Inputs!$B$4</f>
        <v>0.15</v>
      </c>
      <c r="E88" s="0" t="n">
        <f aca="false">C88*D88</f>
        <v>31.7955</v>
      </c>
      <c r="F88" s="0" t="n">
        <f aca="false">C88+E88</f>
        <v>243.7655</v>
      </c>
      <c r="G88" s="0" t="s">
        <v>329</v>
      </c>
      <c r="H88" s="0" t="n">
        <f aca="false">ROUNDUP(ROUNDUP(F88/4.3,0)/MAX(1,INT(20/4.3)),0)</f>
        <v>15</v>
      </c>
      <c r="I88" s="0" t="s">
        <v>449</v>
      </c>
    </row>
    <row r="89" customFormat="false" ht="15" hidden="false" customHeight="false" outlineLevel="0" collapsed="false">
      <c r="A89" s="0" t="s">
        <v>460</v>
      </c>
      <c r="B89" s="0" t="s">
        <v>328</v>
      </c>
      <c r="C89" s="0" t="n">
        <v>75.33</v>
      </c>
      <c r="D89" s="0" t="n">
        <f aca="false">Inputs!$B$4</f>
        <v>0.15</v>
      </c>
      <c r="E89" s="0" t="n">
        <f aca="false">C89*D89</f>
        <v>11.2995</v>
      </c>
      <c r="F89" s="0" t="n">
        <f aca="false">C89+E89</f>
        <v>86.6295</v>
      </c>
      <c r="G89" s="0" t="s">
        <v>345</v>
      </c>
      <c r="H89" s="0" t="n">
        <f aca="false">ROUNDUP(F89/10,0)</f>
        <v>9</v>
      </c>
      <c r="I89" s="0" t="s">
        <v>451</v>
      </c>
    </row>
    <row r="90" customFormat="false" ht="15" hidden="false" customHeight="false" outlineLevel="0" collapsed="false">
      <c r="A90" s="0" t="s">
        <v>461</v>
      </c>
      <c r="B90" s="0" t="s">
        <v>328</v>
      </c>
      <c r="C90" s="0" t="n">
        <v>75.33</v>
      </c>
      <c r="D90" s="0" t="n">
        <f aca="false">Inputs!$B$4</f>
        <v>0.15</v>
      </c>
      <c r="E90" s="0" t="n">
        <f aca="false">C90*D90</f>
        <v>11.2995</v>
      </c>
      <c r="F90" s="0" t="n">
        <f aca="false">C90+E90</f>
        <v>86.6295</v>
      </c>
      <c r="G90" s="0" t="s">
        <v>345</v>
      </c>
      <c r="H90" s="0" t="n">
        <f aca="false">ROUNDUP(F90/10,0)</f>
        <v>9</v>
      </c>
      <c r="I90" s="0" t="s">
        <v>451</v>
      </c>
    </row>
    <row r="91" customFormat="false" ht="15" hidden="false" customHeight="false" outlineLevel="0" collapsed="false">
      <c r="A91" s="0" t="s">
        <v>462</v>
      </c>
      <c r="B91" s="0" t="s">
        <v>328</v>
      </c>
      <c r="C91" s="0" t="n">
        <v>24.95</v>
      </c>
      <c r="D91" s="0" t="n">
        <f aca="false">Inputs!$B$4</f>
        <v>0.15</v>
      </c>
      <c r="E91" s="0" t="n">
        <f aca="false">C91*D91</f>
        <v>3.7425</v>
      </c>
      <c r="F91" s="0" t="n">
        <f aca="false">C91+E91</f>
        <v>28.6925</v>
      </c>
      <c r="G91" s="0" t="s">
        <v>349</v>
      </c>
      <c r="H91" s="0" t="n">
        <f aca="false">ROUNDUP(F91/16,0)</f>
        <v>2</v>
      </c>
      <c r="I91" s="0" t="s">
        <v>454</v>
      </c>
    </row>
    <row r="92" customFormat="false" ht="15" hidden="false" customHeight="false" outlineLevel="0" collapsed="false">
      <c r="A92" s="0" t="s">
        <v>463</v>
      </c>
      <c r="B92" s="0" t="s">
        <v>357</v>
      </c>
      <c r="C92" s="0" t="n">
        <v>218.25</v>
      </c>
      <c r="D92" s="0" t="n">
        <f aca="false">Inputs!$B$5</f>
        <v>0.06</v>
      </c>
      <c r="E92" s="0" t="n">
        <f aca="false">C92*D92</f>
        <v>13.095</v>
      </c>
      <c r="F92" s="0" t="n">
        <f aca="false">C92+E92</f>
        <v>231.345</v>
      </c>
      <c r="G92" s="0" t="s">
        <v>376</v>
      </c>
      <c r="H92" s="0" t="n">
        <f aca="false">ROUNDUP(F92/48,0)</f>
        <v>5</v>
      </c>
      <c r="I92" s="0" t="s">
        <v>456</v>
      </c>
    </row>
    <row r="93" customFormat="false" ht="15" hidden="false" customHeight="false" outlineLevel="0" collapsed="false">
      <c r="A93" s="0" t="s">
        <v>464</v>
      </c>
      <c r="B93" s="0" t="s">
        <v>328</v>
      </c>
      <c r="C93" s="0" t="n">
        <v>75.33</v>
      </c>
      <c r="D93" s="0" t="n">
        <f aca="false">Inputs!$B$5</f>
        <v>0.06</v>
      </c>
      <c r="E93" s="0" t="n">
        <f aca="false">C93*D93</f>
        <v>4.5198</v>
      </c>
      <c r="F93" s="0" t="n">
        <f aca="false">C93+E93</f>
        <v>79.8498</v>
      </c>
      <c r="G93" s="0" t="s">
        <v>345</v>
      </c>
      <c r="H93" s="0" t="n">
        <f aca="false">ROUNDUP(F93/10,0)</f>
        <v>8</v>
      </c>
      <c r="I93" s="0" t="s">
        <v>458</v>
      </c>
    </row>
    <row r="94" customFormat="false" ht="15" hidden="false" customHeight="false" outlineLevel="0" collapsed="false">
      <c r="A94" s="0" t="s">
        <v>465</v>
      </c>
      <c r="B94" s="0" t="s">
        <v>328</v>
      </c>
      <c r="C94" s="0" t="n">
        <v>249.16</v>
      </c>
      <c r="D94" s="0" t="n">
        <f aca="false">Inputs!$B$4</f>
        <v>0.15</v>
      </c>
      <c r="E94" s="0" t="n">
        <f aca="false">C94*D94</f>
        <v>37.374</v>
      </c>
      <c r="F94" s="0" t="n">
        <f aca="false">C94+E94</f>
        <v>286.534</v>
      </c>
      <c r="G94" s="0" t="s">
        <v>329</v>
      </c>
      <c r="H94" s="0" t="n">
        <f aca="false">ROUNDUP(ROUNDUP(F94/4.3,0)/MAX(1,INT(20/4.3)),0)</f>
        <v>17</v>
      </c>
      <c r="I94" s="0" t="s">
        <v>449</v>
      </c>
    </row>
    <row r="95" customFormat="false" ht="15" hidden="false" customHeight="false" outlineLevel="0" collapsed="false">
      <c r="A95" s="0" t="s">
        <v>466</v>
      </c>
      <c r="B95" s="0" t="s">
        <v>328</v>
      </c>
      <c r="C95" s="0" t="n">
        <v>51.73</v>
      </c>
      <c r="D95" s="0" t="n">
        <f aca="false">Inputs!$B$4</f>
        <v>0.15</v>
      </c>
      <c r="E95" s="0" t="n">
        <f aca="false">C95*D95</f>
        <v>7.7595</v>
      </c>
      <c r="F95" s="0" t="n">
        <f aca="false">C95+E95</f>
        <v>59.4895</v>
      </c>
      <c r="G95" s="0" t="s">
        <v>345</v>
      </c>
      <c r="H95" s="0" t="n">
        <f aca="false">ROUNDUP(F95/10,0)</f>
        <v>6</v>
      </c>
      <c r="I95" s="0" t="s">
        <v>451</v>
      </c>
    </row>
    <row r="96" customFormat="false" ht="15" hidden="false" customHeight="false" outlineLevel="0" collapsed="false">
      <c r="A96" s="0" t="s">
        <v>467</v>
      </c>
      <c r="B96" s="0" t="s">
        <v>328</v>
      </c>
      <c r="C96" s="0" t="n">
        <v>51.73</v>
      </c>
      <c r="D96" s="0" t="n">
        <f aca="false">Inputs!$B$4</f>
        <v>0.15</v>
      </c>
      <c r="E96" s="0" t="n">
        <f aca="false">C96*D96</f>
        <v>7.7595</v>
      </c>
      <c r="F96" s="0" t="n">
        <f aca="false">C96+E96</f>
        <v>59.4895</v>
      </c>
      <c r="G96" s="0" t="s">
        <v>345</v>
      </c>
      <c r="H96" s="0" t="n">
        <f aca="false">ROUNDUP(F96/10,0)</f>
        <v>6</v>
      </c>
      <c r="I96" s="0" t="s">
        <v>451</v>
      </c>
    </row>
    <row r="97" customFormat="false" ht="15" hidden="false" customHeight="false" outlineLevel="0" collapsed="false">
      <c r="A97" s="0" t="s">
        <v>468</v>
      </c>
      <c r="B97" s="0" t="s">
        <v>328</v>
      </c>
      <c r="C97" s="0" t="n">
        <v>51.73</v>
      </c>
      <c r="D97" s="0" t="n">
        <f aca="false">Inputs!$B$4</f>
        <v>0.15</v>
      </c>
      <c r="E97" s="0" t="n">
        <f aca="false">C97*D97</f>
        <v>7.7595</v>
      </c>
      <c r="F97" s="0" t="n">
        <f aca="false">C97+E97</f>
        <v>59.4895</v>
      </c>
      <c r="G97" s="0" t="s">
        <v>349</v>
      </c>
      <c r="H97" s="0" t="n">
        <f aca="false">ROUNDUP(F97/16,0)</f>
        <v>4</v>
      </c>
      <c r="I97" s="0" t="s">
        <v>454</v>
      </c>
    </row>
    <row r="98" customFormat="false" ht="15" hidden="false" customHeight="false" outlineLevel="0" collapsed="false">
      <c r="A98" s="0" t="s">
        <v>469</v>
      </c>
      <c r="B98" s="0" t="s">
        <v>357</v>
      </c>
      <c r="C98" s="0" t="n">
        <v>252.72</v>
      </c>
      <c r="D98" s="0" t="n">
        <f aca="false">Inputs!$B$5</f>
        <v>0.06</v>
      </c>
      <c r="E98" s="0" t="n">
        <f aca="false">C98*D98</f>
        <v>15.1632</v>
      </c>
      <c r="F98" s="0" t="n">
        <f aca="false">C98+E98</f>
        <v>267.8832</v>
      </c>
      <c r="G98" s="0" t="s">
        <v>376</v>
      </c>
      <c r="H98" s="0" t="n">
        <f aca="false">ROUNDUP(F98/48,0)</f>
        <v>6</v>
      </c>
      <c r="I98" s="0" t="s">
        <v>456</v>
      </c>
    </row>
    <row r="99" customFormat="false" ht="15" hidden="false" customHeight="false" outlineLevel="0" collapsed="false">
      <c r="A99" s="0" t="s">
        <v>470</v>
      </c>
      <c r="B99" s="0" t="s">
        <v>328</v>
      </c>
      <c r="C99" s="0" t="n">
        <v>51.73</v>
      </c>
      <c r="D99" s="0" t="n">
        <f aca="false">Inputs!$B$5</f>
        <v>0.06</v>
      </c>
      <c r="E99" s="0" t="n">
        <f aca="false">C99*D99</f>
        <v>3.1038</v>
      </c>
      <c r="F99" s="0" t="n">
        <f aca="false">C99+E99</f>
        <v>54.8338</v>
      </c>
      <c r="G99" s="0" t="s">
        <v>345</v>
      </c>
      <c r="H99" s="0" t="n">
        <f aca="false">ROUNDUP(F99/10,0)</f>
        <v>6</v>
      </c>
      <c r="I99" s="0" t="s">
        <v>458</v>
      </c>
    </row>
    <row r="100" customFormat="false" ht="15" hidden="false" customHeight="false" outlineLevel="0" collapsed="false">
      <c r="A100" s="0" t="s">
        <v>471</v>
      </c>
      <c r="B100" s="0" t="s">
        <v>328</v>
      </c>
      <c r="C100" s="0" t="n">
        <v>299.89</v>
      </c>
      <c r="D100" s="0" t="n">
        <f aca="false">Inputs!$B$4</f>
        <v>0.15</v>
      </c>
      <c r="E100" s="0" t="n">
        <f aca="false">C100*D100</f>
        <v>44.9835</v>
      </c>
      <c r="F100" s="0" t="n">
        <f aca="false">C100+E100</f>
        <v>344.8735</v>
      </c>
      <c r="G100" s="0" t="s">
        <v>329</v>
      </c>
      <c r="H100" s="0" t="n">
        <f aca="false">ROUNDUP(ROUNDUP(F100/4.3,0)/MAX(1,INT(20/4.3)),0)</f>
        <v>21</v>
      </c>
      <c r="I100" s="0" t="s">
        <v>449</v>
      </c>
    </row>
    <row r="101" customFormat="false" ht="15" hidden="false" customHeight="false" outlineLevel="0" collapsed="false">
      <c r="A101" s="0" t="s">
        <v>472</v>
      </c>
      <c r="B101" s="0" t="s">
        <v>328</v>
      </c>
      <c r="C101" s="0" t="n">
        <v>79.69</v>
      </c>
      <c r="D101" s="0" t="n">
        <f aca="false">Inputs!$B$4</f>
        <v>0.15</v>
      </c>
      <c r="E101" s="0" t="n">
        <f aca="false">C101*D101</f>
        <v>11.9535</v>
      </c>
      <c r="F101" s="0" t="n">
        <f aca="false">C101+E101</f>
        <v>91.6435</v>
      </c>
      <c r="G101" s="0" t="s">
        <v>345</v>
      </c>
      <c r="H101" s="0" t="n">
        <f aca="false">ROUNDUP(F101/10,0)</f>
        <v>10</v>
      </c>
      <c r="I101" s="0" t="s">
        <v>451</v>
      </c>
    </row>
    <row r="102" customFormat="false" ht="15" hidden="false" customHeight="false" outlineLevel="0" collapsed="false">
      <c r="A102" s="0" t="s">
        <v>473</v>
      </c>
      <c r="B102" s="0" t="s">
        <v>328</v>
      </c>
      <c r="C102" s="0" t="n">
        <v>79.69</v>
      </c>
      <c r="D102" s="0" t="n">
        <f aca="false">Inputs!$B$4</f>
        <v>0.15</v>
      </c>
      <c r="E102" s="0" t="n">
        <f aca="false">C102*D102</f>
        <v>11.9535</v>
      </c>
      <c r="F102" s="0" t="n">
        <f aca="false">C102+E102</f>
        <v>91.6435</v>
      </c>
      <c r="G102" s="0" t="s">
        <v>345</v>
      </c>
      <c r="H102" s="0" t="n">
        <f aca="false">ROUNDUP(F102/10,0)</f>
        <v>10</v>
      </c>
      <c r="I102" s="0" t="s">
        <v>451</v>
      </c>
    </row>
    <row r="103" customFormat="false" ht="15" hidden="false" customHeight="false" outlineLevel="0" collapsed="false">
      <c r="A103" s="0" t="s">
        <v>474</v>
      </c>
      <c r="B103" s="0" t="s">
        <v>328</v>
      </c>
      <c r="C103" s="0" t="n">
        <v>53.4</v>
      </c>
      <c r="D103" s="0" t="n">
        <f aca="false">Inputs!$B$4</f>
        <v>0.15</v>
      </c>
      <c r="E103" s="0" t="n">
        <f aca="false">C103*D103</f>
        <v>8.01</v>
      </c>
      <c r="F103" s="0" t="n">
        <f aca="false">C103+E103</f>
        <v>61.41</v>
      </c>
      <c r="G103" s="0" t="s">
        <v>349</v>
      </c>
      <c r="H103" s="0" t="n">
        <f aca="false">ROUNDUP(F103/16,0)</f>
        <v>4</v>
      </c>
      <c r="I103" s="0" t="s">
        <v>454</v>
      </c>
    </row>
    <row r="104" customFormat="false" ht="15" hidden="false" customHeight="false" outlineLevel="0" collapsed="false">
      <c r="A104" s="0" t="s">
        <v>475</v>
      </c>
      <c r="B104" s="0" t="s">
        <v>357</v>
      </c>
      <c r="C104" s="0" t="n">
        <v>291.16</v>
      </c>
      <c r="D104" s="0" t="n">
        <f aca="false">Inputs!$B$5</f>
        <v>0.06</v>
      </c>
      <c r="E104" s="0" t="n">
        <f aca="false">C104*D104</f>
        <v>17.4696</v>
      </c>
      <c r="F104" s="0" t="n">
        <f aca="false">C104+E104</f>
        <v>308.6296</v>
      </c>
      <c r="G104" s="0" t="s">
        <v>376</v>
      </c>
      <c r="H104" s="0" t="n">
        <f aca="false">ROUNDUP(F104/48,0)</f>
        <v>7</v>
      </c>
      <c r="I104" s="0" t="s">
        <v>456</v>
      </c>
    </row>
    <row r="105" customFormat="false" ht="15" hidden="false" customHeight="false" outlineLevel="0" collapsed="false">
      <c r="A105" s="0" t="s">
        <v>476</v>
      </c>
      <c r="B105" s="0" t="s">
        <v>328</v>
      </c>
      <c r="C105" s="0" t="n">
        <v>79.69</v>
      </c>
      <c r="D105" s="0" t="n">
        <f aca="false">Inputs!$B$5</f>
        <v>0.06</v>
      </c>
      <c r="E105" s="0" t="n">
        <f aca="false">C105*D105</f>
        <v>4.7814</v>
      </c>
      <c r="F105" s="0" t="n">
        <f aca="false">C105+E105</f>
        <v>84.4714</v>
      </c>
      <c r="G105" s="0" t="s">
        <v>345</v>
      </c>
      <c r="H105" s="0" t="n">
        <f aca="false">ROUNDUP(F105/10,0)</f>
        <v>9</v>
      </c>
      <c r="I105" s="0" t="s">
        <v>458</v>
      </c>
    </row>
    <row r="106" customFormat="false" ht="15" hidden="false" customHeight="false" outlineLevel="0" collapsed="false">
      <c r="A106" s="0" t="s">
        <v>477</v>
      </c>
      <c r="B106" s="0" t="s">
        <v>328</v>
      </c>
      <c r="C106" s="0" t="n">
        <v>153.75</v>
      </c>
      <c r="D106" s="0" t="n">
        <f aca="false">Inputs!$B$4</f>
        <v>0.15</v>
      </c>
      <c r="E106" s="0" t="n">
        <f aca="false">C106*D106</f>
        <v>23.0625</v>
      </c>
      <c r="F106" s="0" t="n">
        <f aca="false">C106+E106</f>
        <v>176.8125</v>
      </c>
      <c r="G106" s="0" t="s">
        <v>329</v>
      </c>
      <c r="H106" s="0" t="n">
        <f aca="false">ROUNDUP(ROUNDUP(F106/14,0)/MAX(1,INT(20/14)),0)</f>
        <v>13</v>
      </c>
      <c r="I106" s="0" t="s">
        <v>478</v>
      </c>
    </row>
    <row r="107" customFormat="false" ht="15" hidden="false" customHeight="false" outlineLevel="0" collapsed="false">
      <c r="A107" s="0" t="s">
        <v>479</v>
      </c>
      <c r="B107" s="0" t="s">
        <v>328</v>
      </c>
      <c r="C107" s="0" t="n">
        <v>5.5</v>
      </c>
      <c r="D107" s="0" t="n">
        <f aca="false">Inputs!$B$4</f>
        <v>0.15</v>
      </c>
      <c r="E107" s="0" t="n">
        <f aca="false">C107*D107</f>
        <v>0.825</v>
      </c>
      <c r="F107" s="0" t="n">
        <f aca="false">C107+E107</f>
        <v>6.325</v>
      </c>
      <c r="G107" s="0" t="s">
        <v>345</v>
      </c>
      <c r="H107" s="0" t="n">
        <f aca="false">ROUNDUP(F107/10,0)</f>
        <v>1</v>
      </c>
      <c r="I107" s="0" t="s">
        <v>480</v>
      </c>
    </row>
    <row r="108" customFormat="false" ht="15" hidden="false" customHeight="false" outlineLevel="0" collapsed="false">
      <c r="A108" s="0" t="s">
        <v>481</v>
      </c>
      <c r="B108" s="0" t="s">
        <v>328</v>
      </c>
      <c r="C108" s="0" t="n">
        <v>5.5</v>
      </c>
      <c r="D108" s="0" t="n">
        <f aca="false">Inputs!$B$4</f>
        <v>0.15</v>
      </c>
      <c r="E108" s="0" t="n">
        <f aca="false">C108*D108</f>
        <v>0.825</v>
      </c>
      <c r="F108" s="0" t="n">
        <f aca="false">C108+E108</f>
        <v>6.325</v>
      </c>
      <c r="G108" s="0" t="s">
        <v>345</v>
      </c>
      <c r="H108" s="0" t="n">
        <f aca="false">ROUNDUP(F108/10,0)</f>
        <v>1</v>
      </c>
      <c r="I108" s="0" t="s">
        <v>480</v>
      </c>
    </row>
    <row r="109" customFormat="false" ht="15" hidden="false" customHeight="false" outlineLevel="0" collapsed="false">
      <c r="A109" s="0" t="s">
        <v>482</v>
      </c>
      <c r="B109" s="0" t="s">
        <v>328</v>
      </c>
      <c r="C109" s="0" t="n">
        <v>45</v>
      </c>
      <c r="D109" s="0" t="n">
        <f aca="false">Inputs!$B$4</f>
        <v>0.15</v>
      </c>
      <c r="E109" s="0" t="n">
        <f aca="false">C109*D109</f>
        <v>6.75</v>
      </c>
      <c r="F109" s="0" t="n">
        <f aca="false">C109+E109</f>
        <v>51.75</v>
      </c>
      <c r="G109" s="0" t="s">
        <v>329</v>
      </c>
      <c r="H109" s="0" t="n">
        <f aca="false">ROUNDUP(ROUNDUP(F109/5,0)/MAX(1,INT(20/5)),0)</f>
        <v>3</v>
      </c>
      <c r="I109" s="0" t="s">
        <v>483</v>
      </c>
    </row>
    <row r="110" customFormat="false" ht="15" hidden="false" customHeight="false" outlineLevel="0" collapsed="false">
      <c r="A110" s="0" t="s">
        <v>484</v>
      </c>
      <c r="B110" s="0" t="s">
        <v>328</v>
      </c>
      <c r="C110" s="0" t="n">
        <v>35.38</v>
      </c>
      <c r="D110" s="0" t="n">
        <f aca="false">Inputs!$B$4</f>
        <v>0.15</v>
      </c>
      <c r="E110" s="0" t="n">
        <f aca="false">C110*D110</f>
        <v>5.307</v>
      </c>
      <c r="F110" s="0" t="n">
        <f aca="false">C110+E110</f>
        <v>40.687</v>
      </c>
      <c r="G110" s="0" t="s">
        <v>329</v>
      </c>
      <c r="H110" s="0" t="n">
        <f aca="false">ROUNDUP(F110/20,0)</f>
        <v>3</v>
      </c>
      <c r="I110" s="0" t="s">
        <v>485</v>
      </c>
    </row>
    <row r="111" customFormat="false" ht="15" hidden="false" customHeight="false" outlineLevel="0" collapsed="false">
      <c r="A111" s="0" t="s">
        <v>486</v>
      </c>
      <c r="B111" s="0" t="s">
        <v>357</v>
      </c>
      <c r="C111" s="0" t="n">
        <v>53.06</v>
      </c>
      <c r="D111" s="0" t="n">
        <f aca="false">Inputs!$B$5</f>
        <v>0.06</v>
      </c>
      <c r="E111" s="0" t="n">
        <f aca="false">C111*D111</f>
        <v>3.1836</v>
      </c>
      <c r="F111" s="0" t="n">
        <f aca="false">C111+E111</f>
        <v>56.2436</v>
      </c>
      <c r="G111" s="0" t="s">
        <v>385</v>
      </c>
      <c r="H111" s="0" t="n">
        <f aca="false">ROUNDUP(F111/32,0)</f>
        <v>2</v>
      </c>
      <c r="I111" s="0" t="s">
        <v>487</v>
      </c>
    </row>
    <row r="112" customFormat="false" ht="15" hidden="false" customHeight="false" outlineLevel="0" collapsed="false">
      <c r="A112" s="0" t="s">
        <v>488</v>
      </c>
      <c r="B112" s="0" t="s">
        <v>328</v>
      </c>
      <c r="C112" s="0" t="n">
        <v>27.97</v>
      </c>
      <c r="D112" s="0" t="n">
        <f aca="false">Inputs!$B$4</f>
        <v>0.15</v>
      </c>
      <c r="E112" s="0" t="n">
        <f aca="false">C112*D112</f>
        <v>4.1955</v>
      </c>
      <c r="F112" s="0" t="n">
        <f aca="false">C112+E112</f>
        <v>32.1655</v>
      </c>
      <c r="G112" s="0" t="s">
        <v>329</v>
      </c>
      <c r="H112" s="0" t="n">
        <f aca="false">ROUNDUP(ROUNDUP(F112/2.5,0)/MAX(1,INT(20/2.5)),0)</f>
        <v>2</v>
      </c>
      <c r="I112" s="0" t="s">
        <v>489</v>
      </c>
    </row>
    <row r="113" customFormat="false" ht="15" hidden="false" customHeight="false" outlineLevel="0" collapsed="false">
      <c r="A113" s="0" t="s">
        <v>490</v>
      </c>
      <c r="B113" s="0" t="s">
        <v>328</v>
      </c>
      <c r="C113" s="0" t="n">
        <v>35.38</v>
      </c>
      <c r="D113" s="0" t="n">
        <f aca="false">Inputs!$B$4</f>
        <v>0.15</v>
      </c>
      <c r="E113" s="0" t="n">
        <f aca="false">C113*D113</f>
        <v>5.307</v>
      </c>
      <c r="F113" s="0" t="n">
        <f aca="false">C113+E113</f>
        <v>40.687</v>
      </c>
      <c r="G113" s="0" t="s">
        <v>345</v>
      </c>
      <c r="H113" s="0" t="n">
        <f aca="false">ROUNDUP(F113/10,0)</f>
        <v>5</v>
      </c>
      <c r="I113" s="0" t="s">
        <v>491</v>
      </c>
    </row>
    <row r="114" customFormat="false" ht="15" hidden="false" customHeight="false" outlineLevel="0" collapsed="false">
      <c r="A114" s="0" t="s">
        <v>492</v>
      </c>
      <c r="B114" s="0" t="s">
        <v>357</v>
      </c>
      <c r="C114" s="0" t="n">
        <v>50.67</v>
      </c>
      <c r="D114" s="0" t="n">
        <f aca="false">Inputs!$B$5</f>
        <v>0.06</v>
      </c>
      <c r="E114" s="0" t="n">
        <f aca="false">C114*D114</f>
        <v>3.0402</v>
      </c>
      <c r="F114" s="0" t="n">
        <f aca="false">C114+E114</f>
        <v>53.7102</v>
      </c>
      <c r="G114" s="0" t="s">
        <v>385</v>
      </c>
      <c r="H114" s="0" t="n">
        <f aca="false">ROUNDUP(F114/32,0)</f>
        <v>2</v>
      </c>
      <c r="I114" s="0" t="s">
        <v>493</v>
      </c>
    </row>
    <row r="115" customFormat="false" ht="15" hidden="false" customHeight="false" outlineLevel="0" collapsed="false">
      <c r="A115" s="0" t="s">
        <v>494</v>
      </c>
      <c r="B115" s="0" t="s">
        <v>328</v>
      </c>
      <c r="C115" s="0" t="n">
        <v>131.31</v>
      </c>
      <c r="D115" s="0" t="n">
        <f aca="false">Inputs!$B$4</f>
        <v>0.15</v>
      </c>
      <c r="E115" s="0" t="n">
        <f aca="false">C115*D115</f>
        <v>19.6965</v>
      </c>
      <c r="F115" s="0" t="n">
        <f aca="false">C115+E115</f>
        <v>151.0065</v>
      </c>
      <c r="G115" s="0" t="s">
        <v>329</v>
      </c>
      <c r="H115" s="0" t="n">
        <f aca="false">ROUNDUP(ROUNDUP(F115/5,0)/MAX(1,INT(20/5)),0)</f>
        <v>8</v>
      </c>
      <c r="I115" s="0" t="s">
        <v>483</v>
      </c>
    </row>
    <row r="116" customFormat="false" ht="15" hidden="false" customHeight="false" outlineLevel="0" collapsed="false">
      <c r="A116" s="0" t="s">
        <v>495</v>
      </c>
      <c r="B116" s="0" t="s">
        <v>328</v>
      </c>
      <c r="C116" s="0" t="n">
        <v>82.23</v>
      </c>
      <c r="D116" s="0" t="n">
        <f aca="false">Inputs!$B$4</f>
        <v>0.15</v>
      </c>
      <c r="E116" s="0" t="n">
        <f aca="false">C116*D116</f>
        <v>12.3345</v>
      </c>
      <c r="F116" s="0" t="n">
        <f aca="false">C116+E116</f>
        <v>94.5645</v>
      </c>
      <c r="G116" s="0" t="s">
        <v>329</v>
      </c>
      <c r="H116" s="0" t="n">
        <f aca="false">ROUNDUP(F116/20,0)</f>
        <v>5</v>
      </c>
      <c r="I116" s="0" t="s">
        <v>485</v>
      </c>
    </row>
    <row r="117" customFormat="false" ht="15" hidden="false" customHeight="false" outlineLevel="0" collapsed="false">
      <c r="A117" s="0" t="s">
        <v>496</v>
      </c>
      <c r="B117" s="0" t="s">
        <v>357</v>
      </c>
      <c r="C117" s="0" t="n">
        <v>168.53</v>
      </c>
      <c r="D117" s="0" t="n">
        <f aca="false">Inputs!$B$5</f>
        <v>0.06</v>
      </c>
      <c r="E117" s="0" t="n">
        <f aca="false">C117*D117</f>
        <v>10.1118</v>
      </c>
      <c r="F117" s="0" t="n">
        <f aca="false">C117+E117</f>
        <v>178.6418</v>
      </c>
      <c r="G117" s="0" t="s">
        <v>385</v>
      </c>
      <c r="H117" s="0" t="n">
        <f aca="false">ROUNDUP(F117/32,0)</f>
        <v>6</v>
      </c>
      <c r="I117" s="0" t="s">
        <v>487</v>
      </c>
    </row>
    <row r="118" customFormat="false" ht="15" hidden="false" customHeight="false" outlineLevel="0" collapsed="false">
      <c r="A118" s="0" t="s">
        <v>497</v>
      </c>
      <c r="B118" s="0" t="s">
        <v>328</v>
      </c>
      <c r="C118" s="0" t="n">
        <v>63.4</v>
      </c>
      <c r="D118" s="0" t="n">
        <f aca="false">Inputs!$B$4</f>
        <v>0.15</v>
      </c>
      <c r="E118" s="0" t="n">
        <f aca="false">C118*D118</f>
        <v>9.51</v>
      </c>
      <c r="F118" s="0" t="n">
        <f aca="false">C118+E118</f>
        <v>72.91</v>
      </c>
      <c r="G118" s="0" t="s">
        <v>329</v>
      </c>
      <c r="H118" s="0" t="n">
        <f aca="false">ROUNDUP(ROUNDUP(F118/2.5,0)/MAX(1,INT(20/2.5)),0)</f>
        <v>4</v>
      </c>
      <c r="I118" s="0" t="s">
        <v>489</v>
      </c>
    </row>
    <row r="119" customFormat="false" ht="15" hidden="false" customHeight="false" outlineLevel="0" collapsed="false">
      <c r="A119" s="0" t="s">
        <v>498</v>
      </c>
      <c r="B119" s="0" t="s">
        <v>328</v>
      </c>
      <c r="C119" s="0" t="n">
        <v>86.04</v>
      </c>
      <c r="D119" s="0" t="n">
        <f aca="false">Inputs!$B$4</f>
        <v>0.15</v>
      </c>
      <c r="E119" s="0" t="n">
        <f aca="false">C119*D119</f>
        <v>12.906</v>
      </c>
      <c r="F119" s="0" t="n">
        <f aca="false">C119+E119</f>
        <v>98.946</v>
      </c>
      <c r="G119" s="0" t="s">
        <v>345</v>
      </c>
      <c r="H119" s="0" t="n">
        <f aca="false">ROUNDUP(F119/10,0)</f>
        <v>10</v>
      </c>
      <c r="I119" s="0" t="s">
        <v>491</v>
      </c>
    </row>
    <row r="120" customFormat="false" ht="15" hidden="false" customHeight="false" outlineLevel="0" collapsed="false">
      <c r="A120" s="0" t="s">
        <v>499</v>
      </c>
      <c r="B120" s="0" t="s">
        <v>357</v>
      </c>
      <c r="C120" s="0" t="n">
        <v>123.24</v>
      </c>
      <c r="D120" s="0" t="n">
        <f aca="false">Inputs!$B$5</f>
        <v>0.06</v>
      </c>
      <c r="E120" s="0" t="n">
        <f aca="false">C120*D120</f>
        <v>7.3944</v>
      </c>
      <c r="F120" s="0" t="n">
        <f aca="false">C120+E120</f>
        <v>130.6344</v>
      </c>
      <c r="G120" s="0" t="s">
        <v>385</v>
      </c>
      <c r="H120" s="0" t="n">
        <f aca="false">ROUNDUP(F120/32,0)</f>
        <v>5</v>
      </c>
      <c r="I120" s="0" t="s">
        <v>493</v>
      </c>
    </row>
    <row r="121" customFormat="false" ht="15" hidden="false" customHeight="false" outlineLevel="0" collapsed="false">
      <c r="A121" s="0" t="s">
        <v>500</v>
      </c>
      <c r="B121" s="0" t="s">
        <v>328</v>
      </c>
      <c r="C121" s="0" t="n">
        <v>81.81</v>
      </c>
      <c r="D121" s="0" t="n">
        <f aca="false">Inputs!$B$4</f>
        <v>0.15</v>
      </c>
      <c r="E121" s="0" t="n">
        <f aca="false">C121*D121</f>
        <v>12.2715</v>
      </c>
      <c r="F121" s="0" t="n">
        <f aca="false">C121+E121</f>
        <v>94.0815</v>
      </c>
      <c r="G121" s="0" t="s">
        <v>329</v>
      </c>
      <c r="H121" s="0" t="n">
        <f aca="false">ROUNDUP(ROUNDUP(F121/5,0)/MAX(1,INT(20/5)),0)</f>
        <v>5</v>
      </c>
      <c r="I121" s="0" t="s">
        <v>483</v>
      </c>
    </row>
    <row r="122" customFormat="false" ht="15" hidden="false" customHeight="false" outlineLevel="0" collapsed="false">
      <c r="A122" s="0" t="s">
        <v>501</v>
      </c>
      <c r="B122" s="0" t="s">
        <v>328</v>
      </c>
      <c r="C122" s="0" t="n">
        <v>84.67</v>
      </c>
      <c r="D122" s="0" t="n">
        <f aca="false">Inputs!$B$4</f>
        <v>0.15</v>
      </c>
      <c r="E122" s="0" t="n">
        <f aca="false">C122*D122</f>
        <v>12.7005</v>
      </c>
      <c r="F122" s="0" t="n">
        <f aca="false">C122+E122</f>
        <v>97.3705</v>
      </c>
      <c r="G122" s="0" t="s">
        <v>329</v>
      </c>
      <c r="H122" s="0" t="n">
        <f aca="false">ROUNDUP(F122/20,0)</f>
        <v>5</v>
      </c>
      <c r="I122" s="0" t="s">
        <v>485</v>
      </c>
    </row>
    <row r="123" customFormat="false" ht="15" hidden="false" customHeight="false" outlineLevel="0" collapsed="false">
      <c r="A123" s="0" t="s">
        <v>502</v>
      </c>
      <c r="B123" s="0" t="s">
        <v>357</v>
      </c>
      <c r="C123" s="0" t="n">
        <v>104.95</v>
      </c>
      <c r="D123" s="0" t="n">
        <f aca="false">Inputs!$B$5</f>
        <v>0.06</v>
      </c>
      <c r="E123" s="0" t="n">
        <f aca="false">C123*D123</f>
        <v>6.297</v>
      </c>
      <c r="F123" s="0" t="n">
        <f aca="false">C123+E123</f>
        <v>111.247</v>
      </c>
      <c r="G123" s="0" t="s">
        <v>385</v>
      </c>
      <c r="H123" s="0" t="n">
        <f aca="false">ROUNDUP(F123/32,0)</f>
        <v>4</v>
      </c>
      <c r="I123" s="0" t="s">
        <v>487</v>
      </c>
    </row>
    <row r="124" customFormat="false" ht="15" hidden="false" customHeight="false" outlineLevel="0" collapsed="false">
      <c r="A124" s="0" t="s">
        <v>503</v>
      </c>
      <c r="B124" s="0" t="s">
        <v>328</v>
      </c>
      <c r="C124" s="0" t="n">
        <v>72.72</v>
      </c>
      <c r="D124" s="0" t="n">
        <f aca="false">Inputs!$B$4</f>
        <v>0.15</v>
      </c>
      <c r="E124" s="0" t="n">
        <f aca="false">C124*D124</f>
        <v>10.908</v>
      </c>
      <c r="F124" s="0" t="n">
        <f aca="false">C124+E124</f>
        <v>83.628</v>
      </c>
      <c r="G124" s="0" t="s">
        <v>329</v>
      </c>
      <c r="H124" s="0" t="n">
        <f aca="false">ROUNDUP(ROUNDUP(F124/2.5,0)/MAX(1,INT(20/2.5)),0)</f>
        <v>5</v>
      </c>
      <c r="I124" s="0" t="s">
        <v>489</v>
      </c>
    </row>
    <row r="125" customFormat="false" ht="15" hidden="false" customHeight="false" outlineLevel="0" collapsed="false">
      <c r="A125" s="0" t="s">
        <v>504</v>
      </c>
      <c r="B125" s="0" t="s">
        <v>328</v>
      </c>
      <c r="C125" s="0" t="n">
        <v>100.75</v>
      </c>
      <c r="D125" s="0" t="n">
        <f aca="false">Inputs!$B$4</f>
        <v>0.15</v>
      </c>
      <c r="E125" s="0" t="n">
        <f aca="false">C125*D125</f>
        <v>15.1125</v>
      </c>
      <c r="F125" s="0" t="n">
        <f aca="false">C125+E125</f>
        <v>115.8625</v>
      </c>
      <c r="G125" s="0" t="s">
        <v>345</v>
      </c>
      <c r="H125" s="0" t="n">
        <f aca="false">ROUNDUP(F125/10,0)</f>
        <v>12</v>
      </c>
      <c r="I125" s="0" t="s">
        <v>491</v>
      </c>
    </row>
    <row r="126" customFormat="false" ht="15" hidden="false" customHeight="false" outlineLevel="0" collapsed="false">
      <c r="A126" s="0" t="s">
        <v>505</v>
      </c>
      <c r="B126" s="0" t="s">
        <v>357</v>
      </c>
      <c r="C126" s="0" t="n">
        <v>144.3</v>
      </c>
      <c r="D126" s="0" t="n">
        <f aca="false">Inputs!$B$5</f>
        <v>0.06</v>
      </c>
      <c r="E126" s="0" t="n">
        <f aca="false">C126*D126</f>
        <v>8.658</v>
      </c>
      <c r="F126" s="0" t="n">
        <f aca="false">C126+E126</f>
        <v>152.958</v>
      </c>
      <c r="G126" s="0" t="s">
        <v>385</v>
      </c>
      <c r="H126" s="0" t="n">
        <f aca="false">ROUNDUP(F126/32,0)</f>
        <v>5</v>
      </c>
      <c r="I126" s="0" t="s">
        <v>493</v>
      </c>
    </row>
    <row r="127" customFormat="false" ht="15" hidden="false" customHeight="false" outlineLevel="0" collapsed="false">
      <c r="A127" s="0" t="s">
        <v>506</v>
      </c>
      <c r="B127" s="0" t="s">
        <v>328</v>
      </c>
      <c r="C127" s="0" t="n">
        <v>44.62</v>
      </c>
      <c r="D127" s="0" t="n">
        <f aca="false">Inputs!$B$4</f>
        <v>0.15</v>
      </c>
      <c r="E127" s="0" t="n">
        <f aca="false">C127*D127</f>
        <v>6.693</v>
      </c>
      <c r="F127" s="0" t="n">
        <f aca="false">C127+E127</f>
        <v>51.313</v>
      </c>
      <c r="G127" s="0" t="s">
        <v>329</v>
      </c>
      <c r="H127" s="0" t="n">
        <f aca="false">ROUNDUP(ROUNDUP(F127/5,0)/MAX(1,INT(20/5)),0)</f>
        <v>3</v>
      </c>
      <c r="I127" s="0" t="s">
        <v>483</v>
      </c>
    </row>
    <row r="128" customFormat="false" ht="15" hidden="false" customHeight="false" outlineLevel="0" collapsed="false">
      <c r="A128" s="0" t="s">
        <v>507</v>
      </c>
      <c r="B128" s="0" t="s">
        <v>328</v>
      </c>
      <c r="C128" s="0" t="n">
        <v>44.33</v>
      </c>
      <c r="D128" s="0" t="n">
        <f aca="false">Inputs!$B$4</f>
        <v>0.15</v>
      </c>
      <c r="E128" s="0" t="n">
        <f aca="false">C128*D128</f>
        <v>6.6495</v>
      </c>
      <c r="F128" s="0" t="n">
        <f aca="false">C128+E128</f>
        <v>50.9795</v>
      </c>
      <c r="G128" s="0" t="s">
        <v>329</v>
      </c>
      <c r="H128" s="0" t="n">
        <f aca="false">ROUNDUP(F128/20,0)</f>
        <v>3</v>
      </c>
      <c r="I128" s="0" t="s">
        <v>485</v>
      </c>
    </row>
    <row r="129" customFormat="false" ht="15" hidden="false" customHeight="false" outlineLevel="0" collapsed="false">
      <c r="A129" s="0" t="s">
        <v>508</v>
      </c>
      <c r="B129" s="0" t="s">
        <v>357</v>
      </c>
      <c r="C129" s="0" t="n">
        <v>54.95</v>
      </c>
      <c r="D129" s="0" t="n">
        <f aca="false">Inputs!$B$5</f>
        <v>0.06</v>
      </c>
      <c r="E129" s="0" t="n">
        <f aca="false">C129*D129</f>
        <v>3.297</v>
      </c>
      <c r="F129" s="0" t="n">
        <f aca="false">C129+E129</f>
        <v>58.247</v>
      </c>
      <c r="G129" s="0" t="s">
        <v>385</v>
      </c>
      <c r="H129" s="0" t="n">
        <f aca="false">ROUNDUP(F129/32,0)</f>
        <v>2</v>
      </c>
      <c r="I129" s="0" t="s">
        <v>487</v>
      </c>
    </row>
    <row r="130" customFormat="false" ht="15" hidden="false" customHeight="false" outlineLevel="0" collapsed="false">
      <c r="A130" s="0" t="s">
        <v>509</v>
      </c>
      <c r="B130" s="0" t="s">
        <v>328</v>
      </c>
      <c r="C130" s="0" t="n">
        <v>42.89</v>
      </c>
      <c r="D130" s="0" t="n">
        <f aca="false">Inputs!$B$4</f>
        <v>0.15</v>
      </c>
      <c r="E130" s="0" t="n">
        <f aca="false">C130*D130</f>
        <v>6.4335</v>
      </c>
      <c r="F130" s="0" t="n">
        <f aca="false">C130+E130</f>
        <v>49.3235</v>
      </c>
      <c r="G130" s="0" t="s">
        <v>329</v>
      </c>
      <c r="H130" s="0" t="n">
        <f aca="false">ROUNDUP(ROUNDUP(F130/2.5,0)/MAX(1,INT(20/2.5)),0)</f>
        <v>3</v>
      </c>
      <c r="I130" s="0" t="s">
        <v>489</v>
      </c>
    </row>
    <row r="131" customFormat="false" ht="15" hidden="false" customHeight="false" outlineLevel="0" collapsed="false">
      <c r="A131" s="0" t="s">
        <v>510</v>
      </c>
      <c r="B131" s="0" t="s">
        <v>328</v>
      </c>
      <c r="C131" s="0" t="n">
        <v>56.25</v>
      </c>
      <c r="D131" s="0" t="n">
        <f aca="false">Inputs!$B$4</f>
        <v>0.15</v>
      </c>
      <c r="E131" s="0" t="n">
        <f aca="false">C131*D131</f>
        <v>8.4375</v>
      </c>
      <c r="F131" s="0" t="n">
        <f aca="false">C131+E131</f>
        <v>64.6875</v>
      </c>
      <c r="G131" s="0" t="s">
        <v>345</v>
      </c>
      <c r="H131" s="0" t="n">
        <f aca="false">ROUNDUP(F131/10,0)</f>
        <v>7</v>
      </c>
      <c r="I131" s="0" t="s">
        <v>491</v>
      </c>
    </row>
    <row r="132" customFormat="false" ht="15" hidden="false" customHeight="false" outlineLevel="0" collapsed="false">
      <c r="A132" s="0" t="s">
        <v>511</v>
      </c>
      <c r="B132" s="0" t="s">
        <v>357</v>
      </c>
      <c r="C132" s="0" t="n">
        <v>80.57</v>
      </c>
      <c r="D132" s="0" t="n">
        <f aca="false">Inputs!$B$5</f>
        <v>0.06</v>
      </c>
      <c r="E132" s="0" t="n">
        <f aca="false">C132*D132</f>
        <v>4.8342</v>
      </c>
      <c r="F132" s="0" t="n">
        <f aca="false">C132+E132</f>
        <v>85.4042</v>
      </c>
      <c r="G132" s="0" t="s">
        <v>385</v>
      </c>
      <c r="H132" s="0" t="n">
        <f aca="false">ROUNDUP(F132/32,0)</f>
        <v>3</v>
      </c>
      <c r="I132" s="0" t="s">
        <v>493</v>
      </c>
    </row>
    <row r="133" customFormat="false" ht="15" hidden="false" customHeight="false" outlineLevel="0" collapsed="false">
      <c r="A133" s="0" t="s">
        <v>512</v>
      </c>
      <c r="B133" s="0" t="s">
        <v>328</v>
      </c>
      <c r="C133" s="0" t="n">
        <v>823.25</v>
      </c>
      <c r="D133" s="0" t="n">
        <f aca="false">Inputs!$B$4</f>
        <v>0.15</v>
      </c>
      <c r="E133" s="0" t="n">
        <f aca="false">C133*D133</f>
        <v>123.4875</v>
      </c>
      <c r="F133" s="0" t="n">
        <f aca="false">C133+E133</f>
        <v>946.7375</v>
      </c>
      <c r="G133" s="0" t="s">
        <v>329</v>
      </c>
      <c r="H133" s="0" t="n">
        <f aca="false">ROUNDUP(ROUNDUP(F133/5,0)/MAX(1,INT(20/5)),0)</f>
        <v>48</v>
      </c>
      <c r="I133" s="0" t="s">
        <v>513</v>
      </c>
    </row>
    <row r="134" customFormat="false" ht="15" hidden="false" customHeight="false" outlineLevel="0" collapsed="false">
      <c r="A134" s="0" t="s">
        <v>514</v>
      </c>
      <c r="B134" s="0" t="s">
        <v>328</v>
      </c>
      <c r="C134" s="0" t="n">
        <v>113.67</v>
      </c>
      <c r="D134" s="0" t="n">
        <f aca="false">Inputs!$B$4</f>
        <v>0.15</v>
      </c>
      <c r="E134" s="0" t="n">
        <f aca="false">C134*D134</f>
        <v>17.0505</v>
      </c>
      <c r="F134" s="0" t="n">
        <f aca="false">C134+E134</f>
        <v>130.7205</v>
      </c>
      <c r="G134" s="0" t="s">
        <v>329</v>
      </c>
      <c r="H134" s="0" t="n">
        <f aca="false">ROUNDUP(F134/20,0)</f>
        <v>7</v>
      </c>
      <c r="I134" s="0" t="s">
        <v>515</v>
      </c>
    </row>
    <row r="135" customFormat="false" ht="15" hidden="false" customHeight="false" outlineLevel="0" collapsed="false">
      <c r="A135" s="0" t="s">
        <v>516</v>
      </c>
      <c r="B135" s="0" t="s">
        <v>357</v>
      </c>
      <c r="C135" s="0" t="n">
        <v>1026.23</v>
      </c>
      <c r="D135" s="0" t="n">
        <f aca="false">Inputs!$B$5</f>
        <v>0.06</v>
      </c>
      <c r="E135" s="0" t="n">
        <f aca="false">C135*D135</f>
        <v>61.5738</v>
      </c>
      <c r="F135" s="0" t="n">
        <f aca="false">C135+E135</f>
        <v>1087.8038</v>
      </c>
      <c r="G135" s="0" t="s">
        <v>385</v>
      </c>
      <c r="H135" s="0" t="n">
        <f aca="false">ROUNDUP(F135/32,0)</f>
        <v>34</v>
      </c>
      <c r="I135" s="0" t="s">
        <v>517</v>
      </c>
    </row>
    <row r="136" customFormat="false" ht="15" hidden="false" customHeight="false" outlineLevel="0" collapsed="false">
      <c r="A136" s="0" t="s">
        <v>518</v>
      </c>
      <c r="B136" s="0" t="s">
        <v>328</v>
      </c>
      <c r="C136" s="0" t="n">
        <v>136.11</v>
      </c>
      <c r="D136" s="0" t="n">
        <f aca="false">Inputs!$B$4</f>
        <v>0.15</v>
      </c>
      <c r="E136" s="0" t="n">
        <f aca="false">C136*D136</f>
        <v>20.4165</v>
      </c>
      <c r="F136" s="0" t="n">
        <f aca="false">C136+E136</f>
        <v>156.5265</v>
      </c>
      <c r="G136" s="0" t="s">
        <v>329</v>
      </c>
      <c r="H136" s="0" t="n">
        <f aca="false">ROUNDUP(ROUNDUP(F136/2.5,0)/MAX(1,INT(20/2.5)),0)</f>
        <v>8</v>
      </c>
      <c r="I136" s="0" t="s">
        <v>519</v>
      </c>
    </row>
    <row r="137" customFormat="false" ht="15" hidden="false" customHeight="false" outlineLevel="0" collapsed="false">
      <c r="A137" s="0" t="s">
        <v>520</v>
      </c>
      <c r="B137" s="0" t="s">
        <v>328</v>
      </c>
      <c r="C137" s="0" t="n">
        <v>190.04</v>
      </c>
      <c r="D137" s="0" t="n">
        <f aca="false">Inputs!$B$4</f>
        <v>0.15</v>
      </c>
      <c r="E137" s="0" t="n">
        <f aca="false">C137*D137</f>
        <v>28.506</v>
      </c>
      <c r="F137" s="0" t="n">
        <f aca="false">C137+E137</f>
        <v>218.546</v>
      </c>
      <c r="G137" s="0" t="s">
        <v>345</v>
      </c>
      <c r="H137" s="0" t="n">
        <f aca="false">ROUNDUP(F137/10,0)</f>
        <v>22</v>
      </c>
      <c r="I137" s="0" t="s">
        <v>521</v>
      </c>
    </row>
    <row r="138" customFormat="false" ht="15" hidden="false" customHeight="false" outlineLevel="0" collapsed="false">
      <c r="A138" s="0" t="s">
        <v>522</v>
      </c>
      <c r="B138" s="0" t="s">
        <v>357</v>
      </c>
      <c r="C138" s="0" t="n">
        <v>272.2</v>
      </c>
      <c r="D138" s="0" t="n">
        <f aca="false">Inputs!$B$5</f>
        <v>0.06</v>
      </c>
      <c r="E138" s="0" t="n">
        <f aca="false">C138*D138</f>
        <v>16.332</v>
      </c>
      <c r="F138" s="0" t="n">
        <f aca="false">C138+E138</f>
        <v>288.532</v>
      </c>
      <c r="G138" s="0" t="s">
        <v>385</v>
      </c>
      <c r="H138" s="0" t="n">
        <f aca="false">ROUNDUP(F138/32,0)</f>
        <v>10</v>
      </c>
      <c r="I138" s="0" t="s">
        <v>517</v>
      </c>
    </row>
    <row r="139" customFormat="false" ht="15" hidden="false" customHeight="false" outlineLevel="0" collapsed="false">
      <c r="A139" s="0" t="s">
        <v>523</v>
      </c>
      <c r="B139" s="0" t="s">
        <v>328</v>
      </c>
      <c r="C139" s="0" t="n">
        <v>339.33</v>
      </c>
      <c r="D139" s="0" t="n">
        <f aca="false">Inputs!$B$4</f>
        <v>0.15</v>
      </c>
      <c r="E139" s="0" t="n">
        <f aca="false">C139*D139</f>
        <v>50.8995</v>
      </c>
      <c r="F139" s="0" t="n">
        <f aca="false">C139+E139</f>
        <v>390.2295</v>
      </c>
      <c r="G139" s="0" t="s">
        <v>329</v>
      </c>
      <c r="H139" s="0" t="n">
        <f aca="false">ROUNDUP(ROUNDUP(F139/5,0)/MAX(1,INT(20/5)),0)</f>
        <v>20</v>
      </c>
      <c r="I139" s="0" t="s">
        <v>524</v>
      </c>
    </row>
    <row r="140" customFormat="false" ht="15" hidden="false" customHeight="false" outlineLevel="0" collapsed="false">
      <c r="A140" s="0" t="s">
        <v>525</v>
      </c>
      <c r="B140" s="0" t="s">
        <v>328</v>
      </c>
      <c r="C140" s="0" t="n">
        <v>19.33</v>
      </c>
      <c r="D140" s="0" t="n">
        <f aca="false">Inputs!$B$4</f>
        <v>0.15</v>
      </c>
      <c r="E140" s="0" t="n">
        <f aca="false">C140*D140</f>
        <v>2.8995</v>
      </c>
      <c r="F140" s="0" t="n">
        <f aca="false">C140+E140</f>
        <v>22.2295</v>
      </c>
      <c r="G140" s="0" t="s">
        <v>345</v>
      </c>
      <c r="H140" s="0" t="n">
        <f aca="false">ROUNDUP(F140/10,0)</f>
        <v>3</v>
      </c>
      <c r="I140" s="0" t="s">
        <v>526</v>
      </c>
    </row>
    <row r="141" customFormat="false" ht="15" hidden="false" customHeight="false" outlineLevel="0" collapsed="false">
      <c r="A141" s="0" t="s">
        <v>527</v>
      </c>
      <c r="B141" s="0" t="s">
        <v>328</v>
      </c>
      <c r="C141" s="0" t="n">
        <v>19.33</v>
      </c>
      <c r="D141" s="0" t="n">
        <f aca="false">Inputs!$B$4</f>
        <v>0.15</v>
      </c>
      <c r="E141" s="0" t="n">
        <f aca="false">C141*D141</f>
        <v>2.8995</v>
      </c>
      <c r="F141" s="0" t="n">
        <f aca="false">C141+E141</f>
        <v>22.2295</v>
      </c>
      <c r="G141" s="0" t="s">
        <v>345</v>
      </c>
      <c r="H141" s="0" t="n">
        <f aca="false">ROUNDUP(F141/10,0)</f>
        <v>3</v>
      </c>
      <c r="I141" s="0" t="s">
        <v>526</v>
      </c>
    </row>
    <row r="142" customFormat="false" ht="15" hidden="false" customHeight="false" outlineLevel="0" collapsed="false">
      <c r="A142" s="0" t="s">
        <v>528</v>
      </c>
      <c r="B142" s="0" t="s">
        <v>328</v>
      </c>
      <c r="C142" s="0" t="n">
        <v>38.67</v>
      </c>
      <c r="D142" s="0" t="n">
        <f aca="false">Inputs!$B$4</f>
        <v>0.15</v>
      </c>
      <c r="E142" s="0" t="n">
        <f aca="false">C142*D142</f>
        <v>5.8005</v>
      </c>
      <c r="F142" s="0" t="n">
        <f aca="false">C142+E142</f>
        <v>44.4705</v>
      </c>
      <c r="G142" s="0" t="s">
        <v>349</v>
      </c>
      <c r="H142" s="0" t="n">
        <f aca="false">ROUNDUP(F142/16,0)</f>
        <v>3</v>
      </c>
      <c r="I142" s="0" t="s">
        <v>529</v>
      </c>
    </row>
    <row r="143" customFormat="false" ht="15" hidden="false" customHeight="false" outlineLevel="0" collapsed="false">
      <c r="A143" s="0" t="s">
        <v>530</v>
      </c>
      <c r="B143" s="0" t="s">
        <v>357</v>
      </c>
      <c r="C143" s="0" t="n">
        <v>222.69</v>
      </c>
      <c r="D143" s="0" t="n">
        <f aca="false">Inputs!$B$5</f>
        <v>0.06</v>
      </c>
      <c r="E143" s="0" t="n">
        <f aca="false">C143*D143</f>
        <v>13.3614</v>
      </c>
      <c r="F143" s="0" t="n">
        <f aca="false">C143+E143</f>
        <v>236.0514</v>
      </c>
      <c r="G143" s="0" t="s">
        <v>385</v>
      </c>
      <c r="H143" s="0" t="n">
        <f aca="false">ROUNDUP(F143/32,0)</f>
        <v>8</v>
      </c>
      <c r="I143" s="0" t="s">
        <v>526</v>
      </c>
    </row>
    <row r="144" customFormat="false" ht="15" hidden="false" customHeight="false" outlineLevel="0" collapsed="false">
      <c r="A144" s="0" t="s">
        <v>531</v>
      </c>
      <c r="B144" s="0" t="s">
        <v>328</v>
      </c>
      <c r="C144" s="0" t="n">
        <v>686</v>
      </c>
      <c r="D144" s="0" t="n">
        <f aca="false">Inputs!$B$4</f>
        <v>0.15</v>
      </c>
      <c r="E144" s="0" t="n">
        <f aca="false">C144*D144</f>
        <v>102.9</v>
      </c>
      <c r="F144" s="0" t="n">
        <f aca="false">C144+E144</f>
        <v>788.9</v>
      </c>
      <c r="G144" s="0" t="s">
        <v>345</v>
      </c>
      <c r="H144" s="0" t="n">
        <f aca="false">ROUNDUP(F144/10,0)</f>
        <v>79</v>
      </c>
      <c r="I144" s="0" t="s">
        <v>532</v>
      </c>
    </row>
    <row r="145" customFormat="false" ht="15" hidden="false" customHeight="false" outlineLevel="0" collapsed="false">
      <c r="A145" s="0" t="s">
        <v>533</v>
      </c>
      <c r="B145" s="0" t="s">
        <v>328</v>
      </c>
      <c r="C145" s="0" t="n">
        <v>308.16</v>
      </c>
      <c r="D145" s="0" t="n">
        <f aca="false">Inputs!$B$4</f>
        <v>0.15</v>
      </c>
      <c r="E145" s="0" t="n">
        <f aca="false">C145*D145</f>
        <v>46.224</v>
      </c>
      <c r="F145" s="0" t="n">
        <f aca="false">C145+E145</f>
        <v>354.384</v>
      </c>
      <c r="G145" s="0" t="s">
        <v>329</v>
      </c>
      <c r="H145" s="0" t="n">
        <f aca="false">ROUNDUP(ROUNDUP(F145/3.5,0)/MAX(1,INT(20/3.5)),0)</f>
        <v>21</v>
      </c>
      <c r="I145" s="0" t="s">
        <v>534</v>
      </c>
    </row>
    <row r="146" customFormat="false" ht="15" hidden="false" customHeight="false" outlineLevel="0" collapsed="false">
      <c r="A146" s="0" t="s">
        <v>535</v>
      </c>
      <c r="B146" s="0" t="s">
        <v>328</v>
      </c>
      <c r="C146" s="0" t="n">
        <v>155.19</v>
      </c>
      <c r="D146" s="0" t="n">
        <f aca="false">Inputs!$B$4</f>
        <v>0.15</v>
      </c>
      <c r="E146" s="0" t="n">
        <f aca="false">C146*D146</f>
        <v>23.2785</v>
      </c>
      <c r="F146" s="0" t="n">
        <f aca="false">C146+E146</f>
        <v>178.4685</v>
      </c>
      <c r="G146" s="0" t="s">
        <v>345</v>
      </c>
      <c r="H146" s="0" t="n">
        <f aca="false">ROUNDUP(F146/10,0)</f>
        <v>18</v>
      </c>
      <c r="I146" s="0" t="s">
        <v>536</v>
      </c>
    </row>
    <row r="147" customFormat="false" ht="15" hidden="false" customHeight="false" outlineLevel="0" collapsed="false">
      <c r="A147" s="0" t="s">
        <v>537</v>
      </c>
      <c r="B147" s="0" t="s">
        <v>328</v>
      </c>
      <c r="C147" s="0" t="n">
        <v>155.19</v>
      </c>
      <c r="D147" s="0" t="n">
        <f aca="false">Inputs!$B$4</f>
        <v>0.15</v>
      </c>
      <c r="E147" s="0" t="n">
        <f aca="false">C147*D147</f>
        <v>23.2785</v>
      </c>
      <c r="F147" s="0" t="n">
        <f aca="false">C147+E147</f>
        <v>178.4685</v>
      </c>
      <c r="G147" s="0" t="s">
        <v>345</v>
      </c>
      <c r="H147" s="0" t="n">
        <f aca="false">ROUNDUP(F147/10,0)</f>
        <v>18</v>
      </c>
      <c r="I147" s="0" t="s">
        <v>536</v>
      </c>
    </row>
    <row r="148" customFormat="false" ht="15" hidden="false" customHeight="false" outlineLevel="0" collapsed="false">
      <c r="A148" s="0" t="s">
        <v>538</v>
      </c>
      <c r="B148" s="0" t="s">
        <v>328</v>
      </c>
      <c r="C148" s="0" t="n">
        <v>51.73</v>
      </c>
      <c r="D148" s="0" t="n">
        <f aca="false">Inputs!$B$5</f>
        <v>0.06</v>
      </c>
      <c r="E148" s="0" t="n">
        <f aca="false">C148*D148</f>
        <v>3.1038</v>
      </c>
      <c r="F148" s="0" t="n">
        <f aca="false">C148+E148</f>
        <v>54.8338</v>
      </c>
      <c r="G148" s="0" t="s">
        <v>345</v>
      </c>
      <c r="H148" s="0" t="n">
        <f aca="false">ROUNDUP(F148/10,0)</f>
        <v>6</v>
      </c>
      <c r="I148" s="0" t="s">
        <v>539</v>
      </c>
    </row>
    <row r="149" customFormat="false" ht="15" hidden="false" customHeight="false" outlineLevel="0" collapsed="false">
      <c r="A149" s="0" t="s">
        <v>540</v>
      </c>
      <c r="B149" s="0" t="s">
        <v>357</v>
      </c>
      <c r="C149" s="0" t="n">
        <v>161.03</v>
      </c>
      <c r="D149" s="0" t="n">
        <f aca="false">Inputs!$B$5</f>
        <v>0.06</v>
      </c>
      <c r="E149" s="0" t="n">
        <f aca="false">C149*D149</f>
        <v>9.6618</v>
      </c>
      <c r="F149" s="0" t="n">
        <f aca="false">C149+E149</f>
        <v>170.6918</v>
      </c>
      <c r="G149" s="0" t="s">
        <v>385</v>
      </c>
      <c r="H149" s="0" t="n">
        <f aca="false">ROUNDUP(F149/32,0)</f>
        <v>6</v>
      </c>
      <c r="I149" s="0" t="s">
        <v>541</v>
      </c>
    </row>
    <row r="150" customFormat="false" ht="15" hidden="false" customHeight="false" outlineLevel="0" collapsed="false">
      <c r="A150" s="0" t="s">
        <v>542</v>
      </c>
      <c r="B150" s="0" t="s">
        <v>357</v>
      </c>
      <c r="C150" s="0" t="n">
        <v>304.06</v>
      </c>
      <c r="D150" s="0" t="n">
        <f aca="false">Inputs!$B$5</f>
        <v>0.06</v>
      </c>
      <c r="E150" s="0" t="n">
        <f aca="false">C150*D150</f>
        <v>18.2436</v>
      </c>
      <c r="F150" s="0" t="n">
        <f aca="false">C150+E150</f>
        <v>322.3036</v>
      </c>
      <c r="G150" s="0" t="s">
        <v>376</v>
      </c>
      <c r="H150" s="0" t="n">
        <f aca="false">ROUNDUP(F150/48,0)</f>
        <v>7</v>
      </c>
      <c r="I150" s="0" t="s">
        <v>543</v>
      </c>
    </row>
    <row r="151" customFormat="false" ht="15" hidden="false" customHeight="false" outlineLevel="0" collapsed="false">
      <c r="A151" s="0" t="s">
        <v>544</v>
      </c>
      <c r="B151" s="0" t="s">
        <v>328</v>
      </c>
      <c r="C151" s="0" t="n">
        <v>77.59</v>
      </c>
      <c r="D151" s="0" t="n">
        <f aca="false">Inputs!$B$4</f>
        <v>0.15</v>
      </c>
      <c r="E151" s="0" t="n">
        <f aca="false">C151*D151</f>
        <v>11.6385</v>
      </c>
      <c r="F151" s="0" t="n">
        <f aca="false">C151+E151</f>
        <v>89.2285</v>
      </c>
      <c r="G151" s="0" t="s">
        <v>345</v>
      </c>
      <c r="H151" s="0" t="n">
        <f aca="false">ROUNDUP(F151/10,0)</f>
        <v>9</v>
      </c>
      <c r="I151" s="0" t="s">
        <v>545</v>
      </c>
    </row>
    <row r="152" customFormat="false" ht="15" hidden="false" customHeight="false" outlineLevel="0" collapsed="false">
      <c r="A152" s="0" t="s">
        <v>546</v>
      </c>
      <c r="B152" s="0" t="s">
        <v>328</v>
      </c>
      <c r="C152" s="0" t="n">
        <v>14</v>
      </c>
      <c r="D152" s="0" t="n">
        <f aca="false">Inputs!$B$5</f>
        <v>0.06</v>
      </c>
      <c r="E152" s="0" t="n">
        <f aca="false">C152*D152</f>
        <v>0.84</v>
      </c>
      <c r="F152" s="0" t="n">
        <f aca="false">C152+E152</f>
        <v>14.84</v>
      </c>
      <c r="G152" s="0" t="s">
        <v>345</v>
      </c>
      <c r="H152" s="0" t="n">
        <f aca="false">ROUNDUP(F152/10,0)</f>
        <v>2</v>
      </c>
      <c r="I152" s="0" t="s">
        <v>547</v>
      </c>
    </row>
    <row r="153" customFormat="false" ht="15" hidden="false" customHeight="false" outlineLevel="0" collapsed="false">
      <c r="A153" s="0" t="s">
        <v>548</v>
      </c>
      <c r="B153" s="0" t="s">
        <v>328</v>
      </c>
      <c r="C153" s="0" t="n">
        <v>216.31</v>
      </c>
      <c r="D153" s="0" t="n">
        <f aca="false">Inputs!$B$4</f>
        <v>0.15</v>
      </c>
      <c r="E153" s="0" t="n">
        <f aca="false">C153*D153</f>
        <v>32.4465</v>
      </c>
      <c r="F153" s="0" t="n">
        <f aca="false">C153+E153</f>
        <v>248.7565</v>
      </c>
      <c r="G153" s="0" t="s">
        <v>345</v>
      </c>
      <c r="H153" s="0" t="n">
        <f aca="false">ROUNDUP(F153/10,0)</f>
        <v>25</v>
      </c>
      <c r="I153" s="0" t="s">
        <v>549</v>
      </c>
    </row>
    <row r="154" customFormat="false" ht="15" hidden="false" customHeight="false" outlineLevel="0" collapsed="false">
      <c r="A154" s="0" t="s">
        <v>550</v>
      </c>
      <c r="B154" s="0" t="s">
        <v>328</v>
      </c>
      <c r="C154" s="0" t="n">
        <v>216.31</v>
      </c>
      <c r="D154" s="0" t="n">
        <f aca="false">Inputs!$B$4</f>
        <v>0.15</v>
      </c>
      <c r="E154" s="0" t="n">
        <f aca="false">C154*D154</f>
        <v>32.4465</v>
      </c>
      <c r="F154" s="0" t="n">
        <f aca="false">C154+E154</f>
        <v>248.7565</v>
      </c>
      <c r="G154" s="0" t="s">
        <v>345</v>
      </c>
      <c r="H154" s="0" t="n">
        <f aca="false">ROUNDUP(F154/10,0)</f>
        <v>25</v>
      </c>
      <c r="I154" s="0" t="s">
        <v>551</v>
      </c>
    </row>
    <row r="155" customFormat="false" ht="15" hidden="false" customHeight="false" outlineLevel="0" collapsed="false">
      <c r="A155" s="0" t="s">
        <v>552</v>
      </c>
      <c r="B155" s="0" t="s">
        <v>357</v>
      </c>
      <c r="C155" s="0" t="n">
        <v>124.17</v>
      </c>
      <c r="D155" s="0" t="n">
        <f aca="false">Inputs!$B$5</f>
        <v>0.06</v>
      </c>
      <c r="E155" s="0" t="n">
        <f aca="false">C155*D155</f>
        <v>7.4502</v>
      </c>
      <c r="F155" s="0" t="n">
        <f aca="false">C155+E155</f>
        <v>131.6202</v>
      </c>
      <c r="G155" s="0" t="s">
        <v>376</v>
      </c>
      <c r="H155" s="0" t="n">
        <f aca="false">ROUNDUP(F155/48,0)</f>
        <v>3</v>
      </c>
      <c r="I155" s="0" t="s">
        <v>553</v>
      </c>
    </row>
    <row r="156" customFormat="false" ht="15" hidden="false" customHeight="false" outlineLevel="0" collapsed="false">
      <c r="A156" s="0" t="s">
        <v>554</v>
      </c>
      <c r="B156" s="0" t="s">
        <v>328</v>
      </c>
      <c r="C156" s="0" t="n">
        <v>110.74</v>
      </c>
      <c r="D156" s="0" t="n">
        <f aca="false">Inputs!$B$4</f>
        <v>0.15</v>
      </c>
      <c r="E156" s="0" t="n">
        <f aca="false">C156*D156</f>
        <v>16.611</v>
      </c>
      <c r="F156" s="0" t="n">
        <f aca="false">C156+E156</f>
        <v>127.351</v>
      </c>
      <c r="G156" s="0" t="s">
        <v>555</v>
      </c>
      <c r="H156" s="0" t="n">
        <f aca="false">ROUNDUP(F156/12,0)</f>
        <v>11</v>
      </c>
      <c r="I156" s="0" t="s">
        <v>553</v>
      </c>
    </row>
    <row r="157" customFormat="false" ht="15" hidden="false" customHeight="false" outlineLevel="0" collapsed="false">
      <c r="A157" s="0" t="s">
        <v>556</v>
      </c>
      <c r="B157" s="0" t="s">
        <v>328</v>
      </c>
      <c r="C157" s="0" t="n">
        <v>48.44</v>
      </c>
      <c r="D157" s="0" t="n">
        <f aca="false">Inputs!$B$4</f>
        <v>0.15</v>
      </c>
      <c r="E157" s="0" t="n">
        <f aca="false">C157*D157</f>
        <v>7.266</v>
      </c>
      <c r="F157" s="0" t="n">
        <f aca="false">C157+E157</f>
        <v>55.706</v>
      </c>
      <c r="G157" s="0" t="s">
        <v>349</v>
      </c>
      <c r="H157" s="0" t="n">
        <f aca="false">ROUNDUP(F157/16,0)</f>
        <v>4</v>
      </c>
      <c r="I157" s="0" t="s">
        <v>553</v>
      </c>
    </row>
    <row r="158" customFormat="false" ht="15" hidden="false" customHeight="false" outlineLevel="0" collapsed="false">
      <c r="A158" s="0" t="s">
        <v>557</v>
      </c>
      <c r="B158" s="0" t="s">
        <v>328</v>
      </c>
      <c r="C158" s="0" t="n">
        <v>96.75</v>
      </c>
      <c r="D158" s="0" t="n">
        <f aca="false">Inputs!$B$4</f>
        <v>0.15</v>
      </c>
      <c r="E158" s="0" t="n">
        <f aca="false">C158*D158</f>
        <v>14.5125</v>
      </c>
      <c r="F158" s="0" t="n">
        <f aca="false">C158+E158</f>
        <v>111.2625</v>
      </c>
      <c r="G158" s="0" t="s">
        <v>558</v>
      </c>
      <c r="H158" s="0" t="n">
        <f aca="false">ROUNDUP(F158,0)</f>
        <v>112</v>
      </c>
      <c r="I158" s="0" t="s">
        <v>553</v>
      </c>
    </row>
    <row r="159" customFormat="false" ht="15" hidden="false" customHeight="false" outlineLevel="0" collapsed="false">
      <c r="A159" s="0" t="s">
        <v>559</v>
      </c>
      <c r="B159" s="0" t="s">
        <v>328</v>
      </c>
      <c r="C159" s="0" t="n">
        <v>48.12</v>
      </c>
      <c r="D159" s="0" t="n">
        <f aca="false">Inputs!$B$4</f>
        <v>0.15</v>
      </c>
      <c r="E159" s="0" t="n">
        <f aca="false">C159*D159</f>
        <v>7.218</v>
      </c>
      <c r="F159" s="0" t="n">
        <f aca="false">C159+E159</f>
        <v>55.338</v>
      </c>
      <c r="G159" s="0" t="s">
        <v>345</v>
      </c>
      <c r="H159" s="0" t="n">
        <f aca="false">ROUNDUP(F159/10,0)</f>
        <v>6</v>
      </c>
      <c r="I159" s="0" t="s">
        <v>553</v>
      </c>
    </row>
    <row r="160" customFormat="false" ht="15" hidden="false" customHeight="false" outlineLevel="0" collapsed="false">
      <c r="A160" s="0" t="s">
        <v>560</v>
      </c>
      <c r="B160" s="0" t="s">
        <v>357</v>
      </c>
      <c r="C160" s="0" t="n">
        <v>75.57</v>
      </c>
      <c r="D160" s="0" t="n">
        <f aca="false">Inputs!$B$5</f>
        <v>0.06</v>
      </c>
      <c r="E160" s="0" t="n">
        <f aca="false">C160*D160</f>
        <v>4.5342</v>
      </c>
      <c r="F160" s="0" t="n">
        <f aca="false">C160+E160</f>
        <v>80.1042</v>
      </c>
      <c r="G160" s="0" t="s">
        <v>376</v>
      </c>
      <c r="H160" s="0" t="n">
        <f aca="false">ROUNDUP(F160/48,0)</f>
        <v>2</v>
      </c>
      <c r="I160" s="0" t="s">
        <v>553</v>
      </c>
    </row>
    <row r="161" customFormat="false" ht="15" hidden="false" customHeight="false" outlineLevel="0" collapsed="false">
      <c r="A161" s="0" t="s">
        <v>561</v>
      </c>
      <c r="B161" s="0" t="s">
        <v>328</v>
      </c>
      <c r="C161" s="0" t="n">
        <v>66.67</v>
      </c>
      <c r="D161" s="0" t="n">
        <f aca="false">Inputs!$B$4</f>
        <v>0.15</v>
      </c>
      <c r="E161" s="0" t="n">
        <f aca="false">C161*D161</f>
        <v>10.0005</v>
      </c>
      <c r="F161" s="0" t="n">
        <f aca="false">C161+E161</f>
        <v>76.6705</v>
      </c>
      <c r="G161" s="0" t="s">
        <v>555</v>
      </c>
      <c r="H161" s="0" t="n">
        <f aca="false">ROUNDUP(F161/12,0)</f>
        <v>7</v>
      </c>
      <c r="I161" s="0" t="s">
        <v>553</v>
      </c>
    </row>
    <row r="162" customFormat="false" ht="15" hidden="false" customHeight="false" outlineLevel="0" collapsed="false">
      <c r="A162" s="0" t="s">
        <v>562</v>
      </c>
      <c r="B162" s="0" t="s">
        <v>328</v>
      </c>
      <c r="C162" s="0" t="n">
        <v>35.2</v>
      </c>
      <c r="D162" s="0" t="n">
        <f aca="false">Inputs!$B$4</f>
        <v>0.15</v>
      </c>
      <c r="E162" s="0" t="n">
        <f aca="false">C162*D162</f>
        <v>5.28</v>
      </c>
      <c r="F162" s="0" t="n">
        <f aca="false">C162+E162</f>
        <v>40.48</v>
      </c>
      <c r="G162" s="0" t="s">
        <v>349</v>
      </c>
      <c r="H162" s="0" t="n">
        <f aca="false">ROUNDUP(F162/16,0)</f>
        <v>3</v>
      </c>
      <c r="I162" s="0" t="s">
        <v>553</v>
      </c>
    </row>
    <row r="163" customFormat="false" ht="15" hidden="false" customHeight="false" outlineLevel="0" collapsed="false">
      <c r="A163" s="0" t="s">
        <v>563</v>
      </c>
      <c r="B163" s="0" t="s">
        <v>328</v>
      </c>
      <c r="C163" s="0" t="n">
        <v>52.63</v>
      </c>
      <c r="D163" s="0" t="n">
        <f aca="false">Inputs!$B$4</f>
        <v>0.15</v>
      </c>
      <c r="E163" s="0" t="n">
        <f aca="false">C163*D163</f>
        <v>7.8945</v>
      </c>
      <c r="F163" s="0" t="n">
        <f aca="false">C163+E163</f>
        <v>60.5245</v>
      </c>
      <c r="G163" s="0" t="s">
        <v>558</v>
      </c>
      <c r="H163" s="0" t="n">
        <f aca="false">ROUNDUP(F163,0)</f>
        <v>61</v>
      </c>
      <c r="I163" s="0" t="s">
        <v>553</v>
      </c>
    </row>
    <row r="164" customFormat="false" ht="15" hidden="false" customHeight="false" outlineLevel="0" collapsed="false">
      <c r="A164" s="0" t="s">
        <v>564</v>
      </c>
      <c r="B164" s="0" t="s">
        <v>328</v>
      </c>
      <c r="C164" s="0" t="n">
        <v>36.8</v>
      </c>
      <c r="D164" s="0" t="n">
        <f aca="false">Inputs!$B$4</f>
        <v>0.15</v>
      </c>
      <c r="E164" s="0" t="n">
        <f aca="false">C164*D164</f>
        <v>5.52</v>
      </c>
      <c r="F164" s="0" t="n">
        <f aca="false">C164+E164</f>
        <v>42.32</v>
      </c>
      <c r="G164" s="0" t="s">
        <v>345</v>
      </c>
      <c r="H164" s="0" t="n">
        <f aca="false">ROUNDUP(F164/10,0)</f>
        <v>5</v>
      </c>
      <c r="I164" s="0" t="s">
        <v>553</v>
      </c>
    </row>
    <row r="165" customFormat="false" ht="15" hidden="false" customHeight="false" outlineLevel="0" collapsed="false">
      <c r="A165" s="0" t="s">
        <v>565</v>
      </c>
      <c r="B165" s="0" t="s">
        <v>357</v>
      </c>
      <c r="C165" s="0" t="n">
        <v>75.6</v>
      </c>
      <c r="D165" s="0" t="n">
        <f aca="false">Inputs!$B$5</f>
        <v>0.06</v>
      </c>
      <c r="E165" s="0" t="n">
        <f aca="false">C165*D165</f>
        <v>4.536</v>
      </c>
      <c r="F165" s="0" t="n">
        <f aca="false">C165+E165</f>
        <v>80.136</v>
      </c>
      <c r="G165" s="0" t="s">
        <v>376</v>
      </c>
      <c r="H165" s="0" t="n">
        <f aca="false">ROUNDUP(F165/48,0)</f>
        <v>2</v>
      </c>
      <c r="I165" s="0" t="s">
        <v>553</v>
      </c>
    </row>
    <row r="166" customFormat="false" ht="15" hidden="false" customHeight="false" outlineLevel="0" collapsed="false">
      <c r="A166" s="0" t="s">
        <v>566</v>
      </c>
      <c r="B166" s="0" t="s">
        <v>328</v>
      </c>
      <c r="C166" s="0" t="n">
        <v>66.67</v>
      </c>
      <c r="D166" s="0" t="n">
        <f aca="false">Inputs!$B$4</f>
        <v>0.15</v>
      </c>
      <c r="E166" s="0" t="n">
        <f aca="false">C166*D166</f>
        <v>10.0005</v>
      </c>
      <c r="F166" s="0" t="n">
        <f aca="false">C166+E166</f>
        <v>76.6705</v>
      </c>
      <c r="G166" s="0" t="s">
        <v>555</v>
      </c>
      <c r="H166" s="0" t="n">
        <f aca="false">ROUNDUP(F166/12,0)</f>
        <v>7</v>
      </c>
      <c r="I166" s="0" t="s">
        <v>553</v>
      </c>
    </row>
    <row r="167" customFormat="false" ht="15" hidden="false" customHeight="false" outlineLevel="0" collapsed="false">
      <c r="A167" s="0" t="s">
        <v>567</v>
      </c>
      <c r="B167" s="0" t="s">
        <v>328</v>
      </c>
      <c r="C167" s="0" t="n">
        <v>35.2</v>
      </c>
      <c r="D167" s="0" t="n">
        <f aca="false">Inputs!$B$4</f>
        <v>0.15</v>
      </c>
      <c r="E167" s="0" t="n">
        <f aca="false">C167*D167</f>
        <v>5.28</v>
      </c>
      <c r="F167" s="0" t="n">
        <f aca="false">C167+E167</f>
        <v>40.48</v>
      </c>
      <c r="G167" s="0" t="s">
        <v>349</v>
      </c>
      <c r="H167" s="0" t="n">
        <f aca="false">ROUNDUP(F167/16,0)</f>
        <v>3</v>
      </c>
      <c r="I167" s="0" t="s">
        <v>553</v>
      </c>
    </row>
    <row r="168" customFormat="false" ht="15" hidden="false" customHeight="false" outlineLevel="0" collapsed="false">
      <c r="A168" s="0" t="s">
        <v>568</v>
      </c>
      <c r="B168" s="0" t="s">
        <v>328</v>
      </c>
      <c r="C168" s="0" t="n">
        <v>54.63</v>
      </c>
      <c r="D168" s="0" t="n">
        <f aca="false">Inputs!$B$4</f>
        <v>0.15</v>
      </c>
      <c r="E168" s="0" t="n">
        <f aca="false">C168*D168</f>
        <v>8.1945</v>
      </c>
      <c r="F168" s="0" t="n">
        <f aca="false">C168+E168</f>
        <v>62.8245</v>
      </c>
      <c r="G168" s="0" t="s">
        <v>558</v>
      </c>
      <c r="H168" s="0" t="n">
        <f aca="false">ROUNDUP(F168,0)</f>
        <v>63</v>
      </c>
      <c r="I168" s="0" t="s">
        <v>553</v>
      </c>
    </row>
    <row r="169" customFormat="false" ht="15" hidden="false" customHeight="false" outlineLevel="0" collapsed="false">
      <c r="A169" s="0" t="s">
        <v>569</v>
      </c>
      <c r="B169" s="0" t="s">
        <v>328</v>
      </c>
      <c r="C169" s="0" t="n">
        <v>36.8</v>
      </c>
      <c r="D169" s="0" t="n">
        <f aca="false">Inputs!$B$4</f>
        <v>0.15</v>
      </c>
      <c r="E169" s="0" t="n">
        <f aca="false">C169*D169</f>
        <v>5.52</v>
      </c>
      <c r="F169" s="0" t="n">
        <f aca="false">C169+E169</f>
        <v>42.32</v>
      </c>
      <c r="G169" s="0" t="s">
        <v>345</v>
      </c>
      <c r="H169" s="0" t="n">
        <f aca="false">ROUNDUP(F169/10,0)</f>
        <v>5</v>
      </c>
      <c r="I169" s="0" t="s">
        <v>553</v>
      </c>
    </row>
    <row r="170" customFormat="false" ht="15" hidden="false" customHeight="false" outlineLevel="0" collapsed="false">
      <c r="A170" s="0" t="s">
        <v>570</v>
      </c>
      <c r="B170" s="0" t="s">
        <v>357</v>
      </c>
      <c r="C170" s="0" t="n">
        <v>152</v>
      </c>
      <c r="D170" s="0" t="n">
        <f aca="false">Inputs!$B$5</f>
        <v>0.06</v>
      </c>
      <c r="E170" s="0" t="n">
        <f aca="false">C170*D170</f>
        <v>9.12</v>
      </c>
      <c r="F170" s="0" t="n">
        <f aca="false">C170+E170</f>
        <v>161.12</v>
      </c>
      <c r="G170" s="0" t="s">
        <v>376</v>
      </c>
      <c r="H170" s="0" t="n">
        <f aca="false">ROUNDUP(F170/48,0)</f>
        <v>4</v>
      </c>
      <c r="I170" s="0" t="s">
        <v>553</v>
      </c>
    </row>
    <row r="171" customFormat="false" ht="15" hidden="false" customHeight="false" outlineLevel="0" collapsed="false">
      <c r="A171" s="0" t="s">
        <v>571</v>
      </c>
      <c r="B171" s="0" t="s">
        <v>328</v>
      </c>
      <c r="C171" s="0" t="n">
        <v>125.4</v>
      </c>
      <c r="D171" s="0" t="n">
        <f aca="false">Inputs!$B$4</f>
        <v>0.15</v>
      </c>
      <c r="E171" s="0" t="n">
        <f aca="false">C171*D171</f>
        <v>18.81</v>
      </c>
      <c r="F171" s="0" t="n">
        <f aca="false">C171+E171</f>
        <v>144.21</v>
      </c>
      <c r="G171" s="0" t="s">
        <v>555</v>
      </c>
      <c r="H171" s="0" t="n">
        <f aca="false">ROUNDUP(F171/12,0)</f>
        <v>13</v>
      </c>
      <c r="I171" s="0" t="s">
        <v>553</v>
      </c>
    </row>
    <row r="172" customFormat="false" ht="15" hidden="false" customHeight="false" outlineLevel="0" collapsed="false">
      <c r="A172" s="0" t="s">
        <v>572</v>
      </c>
      <c r="B172" s="0" t="s">
        <v>328</v>
      </c>
      <c r="C172" s="0" t="n">
        <v>54.95</v>
      </c>
      <c r="D172" s="0" t="n">
        <f aca="false">Inputs!$B$4</f>
        <v>0.15</v>
      </c>
      <c r="E172" s="0" t="n">
        <f aca="false">C172*D172</f>
        <v>8.2425</v>
      </c>
      <c r="F172" s="0" t="n">
        <f aca="false">C172+E172</f>
        <v>63.1925</v>
      </c>
      <c r="G172" s="0" t="s">
        <v>349</v>
      </c>
      <c r="H172" s="0" t="n">
        <f aca="false">ROUNDUP(F172/16,0)</f>
        <v>4</v>
      </c>
      <c r="I172" s="0" t="s">
        <v>553</v>
      </c>
    </row>
    <row r="173" customFormat="false" ht="15" hidden="false" customHeight="false" outlineLevel="0" collapsed="false">
      <c r="A173" s="0" t="s">
        <v>573</v>
      </c>
      <c r="B173" s="0" t="s">
        <v>328</v>
      </c>
      <c r="C173" s="0" t="n">
        <v>107.5</v>
      </c>
      <c r="D173" s="0" t="n">
        <f aca="false">Inputs!$B$4</f>
        <v>0.15</v>
      </c>
      <c r="E173" s="0" t="n">
        <f aca="false">C173*D173</f>
        <v>16.125</v>
      </c>
      <c r="F173" s="0" t="n">
        <f aca="false">C173+E173</f>
        <v>123.625</v>
      </c>
      <c r="G173" s="0" t="s">
        <v>558</v>
      </c>
      <c r="H173" s="0" t="n">
        <f aca="false">ROUNDUP(F173,0)</f>
        <v>124</v>
      </c>
      <c r="I173" s="0" t="s">
        <v>553</v>
      </c>
    </row>
    <row r="174" customFormat="false" ht="15" hidden="false" customHeight="false" outlineLevel="0" collapsed="false">
      <c r="A174" s="0" t="s">
        <v>574</v>
      </c>
      <c r="B174" s="0" t="s">
        <v>328</v>
      </c>
      <c r="C174" s="0" t="n">
        <v>52.8</v>
      </c>
      <c r="D174" s="0" t="n">
        <f aca="false">Inputs!$B$4</f>
        <v>0.15</v>
      </c>
      <c r="E174" s="0" t="n">
        <f aca="false">C174*D174</f>
        <v>7.92</v>
      </c>
      <c r="F174" s="0" t="n">
        <f aca="false">C174+E174</f>
        <v>60.72</v>
      </c>
      <c r="G174" s="0" t="s">
        <v>345</v>
      </c>
      <c r="H174" s="0" t="n">
        <f aca="false">ROUNDUP(F174/10,0)</f>
        <v>7</v>
      </c>
      <c r="I174" s="0" t="s">
        <v>553</v>
      </c>
    </row>
    <row r="175" customFormat="false" ht="15" hidden="false" customHeight="false" outlineLevel="0" collapsed="false">
      <c r="A175" s="0" t="s">
        <v>575</v>
      </c>
      <c r="B175" s="0" t="s">
        <v>357</v>
      </c>
      <c r="C175" s="0" t="n">
        <v>510.81</v>
      </c>
      <c r="D175" s="0" t="n">
        <f aca="false">Inputs!$B$5</f>
        <v>0.06</v>
      </c>
      <c r="E175" s="0" t="n">
        <f aca="false">C175*D175</f>
        <v>30.6486</v>
      </c>
      <c r="F175" s="0" t="n">
        <f aca="false">C175+E175</f>
        <v>541.4586</v>
      </c>
      <c r="G175" s="0" t="s">
        <v>376</v>
      </c>
      <c r="H175" s="0" t="n">
        <f aca="false">ROUNDUP(F175/48,0)</f>
        <v>12</v>
      </c>
      <c r="I175" s="0" t="s">
        <v>576</v>
      </c>
    </row>
    <row r="176" customFormat="false" ht="15" hidden="false" customHeight="false" outlineLevel="0" collapsed="false">
      <c r="A176" s="0" t="s">
        <v>577</v>
      </c>
      <c r="B176" s="0" t="s">
        <v>328</v>
      </c>
      <c r="C176" s="0" t="n">
        <v>408.65</v>
      </c>
      <c r="D176" s="0" t="n">
        <f aca="false">Inputs!$B$4</f>
        <v>0.15</v>
      </c>
      <c r="E176" s="0" t="n">
        <f aca="false">C176*D176</f>
        <v>61.2975</v>
      </c>
      <c r="F176" s="0" t="n">
        <f aca="false">C176+E176</f>
        <v>469.9475</v>
      </c>
      <c r="G176" s="0" t="s">
        <v>329</v>
      </c>
      <c r="H176" s="0" t="n">
        <f aca="false">ROUNDUP(ROUNDUP(F176/17.03,0)/MAX(1,INT(20/17.03)),0)</f>
        <v>28</v>
      </c>
      <c r="I176" s="0" t="s">
        <v>576</v>
      </c>
    </row>
    <row r="177" customFormat="false" ht="15" hidden="false" customHeight="false" outlineLevel="0" collapsed="false">
      <c r="A177" s="0" t="s">
        <v>578</v>
      </c>
      <c r="B177" s="0" t="s">
        <v>328</v>
      </c>
      <c r="C177" s="0" t="n">
        <v>180</v>
      </c>
      <c r="D177" s="0" t="n">
        <f aca="false">Inputs!$B$4</f>
        <v>0.15</v>
      </c>
      <c r="E177" s="0" t="n">
        <f aca="false">C177*D177</f>
        <v>27</v>
      </c>
      <c r="F177" s="0" t="n">
        <f aca="false">C177+E177</f>
        <v>207</v>
      </c>
      <c r="G177" s="0" t="s">
        <v>349</v>
      </c>
      <c r="H177" s="0" t="n">
        <f aca="false">ROUNDUP(F177/16,0)</f>
        <v>13</v>
      </c>
      <c r="I177" s="0" t="s">
        <v>576</v>
      </c>
    </row>
    <row r="178" customFormat="false" ht="15" hidden="false" customHeight="false" outlineLevel="0" collapsed="false">
      <c r="A178" s="0" t="s">
        <v>579</v>
      </c>
      <c r="B178" s="0" t="s">
        <v>328</v>
      </c>
      <c r="C178" s="0" t="n">
        <v>236.25</v>
      </c>
      <c r="D178" s="0" t="n">
        <f aca="false">Inputs!$B$4</f>
        <v>0.15</v>
      </c>
      <c r="E178" s="0" t="n">
        <f aca="false">C178*D178</f>
        <v>35.4375</v>
      </c>
      <c r="F178" s="0" t="n">
        <f aca="false">C178+E178</f>
        <v>271.6875</v>
      </c>
      <c r="G178" s="0" t="s">
        <v>558</v>
      </c>
      <c r="H178" s="0" t="n">
        <f aca="false">ROUNDUP(F178,0)</f>
        <v>272</v>
      </c>
      <c r="I178" s="0" t="s">
        <v>576</v>
      </c>
    </row>
    <row r="179" customFormat="false" ht="15" hidden="false" customHeight="false" outlineLevel="0" collapsed="false">
      <c r="A179" s="0" t="s">
        <v>580</v>
      </c>
      <c r="B179" s="0" t="s">
        <v>328</v>
      </c>
      <c r="C179" s="0" t="n">
        <v>60</v>
      </c>
      <c r="D179" s="0" t="n">
        <f aca="false">Inputs!$B$4</f>
        <v>0.15</v>
      </c>
      <c r="E179" s="0" t="n">
        <f aca="false">C179*D179</f>
        <v>9</v>
      </c>
      <c r="F179" s="0" t="n">
        <f aca="false">C179+E179</f>
        <v>69</v>
      </c>
      <c r="G179" s="0" t="s">
        <v>329</v>
      </c>
      <c r="H179" s="0" t="n">
        <f aca="false">ROUNDUP(F179/20,0)</f>
        <v>4</v>
      </c>
      <c r="I179" s="0" t="s">
        <v>581</v>
      </c>
    </row>
    <row r="180" customFormat="false" ht="15" hidden="false" customHeight="false" outlineLevel="0" collapsed="false">
      <c r="A180" s="0" t="s">
        <v>582</v>
      </c>
      <c r="B180" s="0" t="s">
        <v>357</v>
      </c>
      <c r="C180" s="0" t="n">
        <v>17.03</v>
      </c>
      <c r="D180" s="0" t="n">
        <f aca="false">Inputs!$B$5</f>
        <v>0.06</v>
      </c>
      <c r="E180" s="0" t="n">
        <f aca="false">C180*D180</f>
        <v>1.0218</v>
      </c>
      <c r="F180" s="0" t="n">
        <f aca="false">C180+E180</f>
        <v>18.0518</v>
      </c>
      <c r="G180" s="0" t="s">
        <v>376</v>
      </c>
      <c r="H180" s="0" t="n">
        <f aca="false">ROUNDUP(F180/48,0)</f>
        <v>1</v>
      </c>
      <c r="I180" s="0" t="s">
        <v>583</v>
      </c>
    </row>
    <row r="181" customFormat="false" ht="15" hidden="false" customHeight="false" outlineLevel="0" collapsed="false">
      <c r="A181" s="0" t="s">
        <v>584</v>
      </c>
      <c r="B181" s="0" t="s">
        <v>328</v>
      </c>
      <c r="C181" s="0" t="n">
        <v>61.25</v>
      </c>
      <c r="D181" s="0" t="n">
        <f aca="false">Inputs!$B$4</f>
        <v>0.15</v>
      </c>
      <c r="E181" s="0" t="n">
        <f aca="false">C181*D181</f>
        <v>9.1875</v>
      </c>
      <c r="F181" s="0" t="n">
        <f aca="false">C181+E181</f>
        <v>70.4375</v>
      </c>
      <c r="G181" s="0" t="s">
        <v>329</v>
      </c>
      <c r="H181" s="0" t="n">
        <f aca="false">ROUNDUP(ROUNDUP(F181/4,0)/MAX(1,INT(20/4)),0)</f>
        <v>4</v>
      </c>
      <c r="I181" s="0" t="s">
        <v>583</v>
      </c>
    </row>
    <row r="182" customFormat="false" ht="15" hidden="false" customHeight="false" outlineLevel="0" collapsed="false">
      <c r="A182" s="0" t="s">
        <v>585</v>
      </c>
      <c r="B182" s="0" t="s">
        <v>328</v>
      </c>
      <c r="C182" s="0" t="n">
        <v>37.12</v>
      </c>
      <c r="D182" s="0" t="n">
        <f aca="false">Inputs!$B$4</f>
        <v>0.15</v>
      </c>
      <c r="E182" s="0" t="n">
        <f aca="false">C182*D182</f>
        <v>5.568</v>
      </c>
      <c r="F182" s="0" t="n">
        <f aca="false">C182+E182</f>
        <v>42.688</v>
      </c>
      <c r="G182" s="0" t="s">
        <v>349</v>
      </c>
      <c r="H182" s="0" t="n">
        <f aca="false">ROUNDUP(ROUNDUP(F182/4,0)/MAX(1,INT(16/4)),0)</f>
        <v>3</v>
      </c>
      <c r="I182" s="0" t="s">
        <v>583</v>
      </c>
    </row>
    <row r="183" customFormat="false" ht="15" hidden="false" customHeight="false" outlineLevel="0" collapsed="false">
      <c r="A183" s="0" t="s">
        <v>586</v>
      </c>
      <c r="B183" s="0" t="s">
        <v>328</v>
      </c>
      <c r="C183" s="0" t="n">
        <v>17.03</v>
      </c>
      <c r="D183" s="0" t="n">
        <f aca="false">Inputs!$B$4</f>
        <v>0.15</v>
      </c>
      <c r="E183" s="0" t="n">
        <f aca="false">C183*D183</f>
        <v>2.5545</v>
      </c>
      <c r="F183" s="0" t="n">
        <f aca="false">C183+E183</f>
        <v>19.5845</v>
      </c>
      <c r="G183" s="0" t="s">
        <v>345</v>
      </c>
      <c r="H183" s="0" t="n">
        <f aca="false">ROUNDUP(F183/10,0)</f>
        <v>2</v>
      </c>
      <c r="I183" s="0" t="s">
        <v>583</v>
      </c>
    </row>
    <row r="184" customFormat="false" ht="15" hidden="false" customHeight="false" outlineLevel="0" collapsed="false">
      <c r="A184" s="0" t="s">
        <v>587</v>
      </c>
      <c r="B184" s="0" t="s">
        <v>328</v>
      </c>
      <c r="C184" s="0" t="n">
        <v>17.03</v>
      </c>
      <c r="D184" s="0" t="n">
        <f aca="false">Inputs!$B$4</f>
        <v>0.15</v>
      </c>
      <c r="E184" s="0" t="n">
        <f aca="false">C184*D184</f>
        <v>2.5545</v>
      </c>
      <c r="F184" s="0" t="n">
        <f aca="false">C184+E184</f>
        <v>19.5845</v>
      </c>
      <c r="G184" s="0" t="s">
        <v>345</v>
      </c>
      <c r="H184" s="0" t="n">
        <f aca="false">ROUNDUP(F184/10,0)</f>
        <v>2</v>
      </c>
      <c r="I184" s="0" t="s">
        <v>583</v>
      </c>
    </row>
    <row r="185" customFormat="false" ht="15" hidden="false" customHeight="false" outlineLevel="0" collapsed="false">
      <c r="A185" s="0" t="s">
        <v>588</v>
      </c>
      <c r="B185" s="0" t="s">
        <v>328</v>
      </c>
      <c r="C185" s="0" t="n">
        <v>12.77</v>
      </c>
      <c r="D185" s="0" t="n">
        <f aca="false">Inputs!$B$4</f>
        <v>0.15</v>
      </c>
      <c r="E185" s="0" t="n">
        <f aca="false">C185*D185</f>
        <v>1.9155</v>
      </c>
      <c r="F185" s="0" t="n">
        <f aca="false">C185+E185</f>
        <v>14.6855</v>
      </c>
      <c r="G185" s="0" t="s">
        <v>345</v>
      </c>
      <c r="H185" s="0" t="n">
        <f aca="false">ROUNDUP(F185/10,0)</f>
        <v>2</v>
      </c>
      <c r="I185" s="0" t="s">
        <v>589</v>
      </c>
    </row>
    <row r="186" customFormat="false" ht="15" hidden="false" customHeight="false" outlineLevel="0" collapsed="false">
      <c r="A186" s="0" t="s">
        <v>590</v>
      </c>
      <c r="B186" s="0" t="s">
        <v>328</v>
      </c>
      <c r="C186" s="0" t="n">
        <v>17.03</v>
      </c>
      <c r="D186" s="0" t="n">
        <f aca="false">Inputs!$B$4</f>
        <v>0.15</v>
      </c>
      <c r="E186" s="0" t="n">
        <f aca="false">C186*D186</f>
        <v>2.5545</v>
      </c>
      <c r="F186" s="0" t="n">
        <f aca="false">C186+E186</f>
        <v>19.5845</v>
      </c>
      <c r="G186" s="0" t="s">
        <v>345</v>
      </c>
      <c r="H186" s="0" t="n">
        <f aca="false">ROUNDUP(F186/10,0)</f>
        <v>2</v>
      </c>
      <c r="I186" s="0" t="s">
        <v>583</v>
      </c>
    </row>
    <row r="187" customFormat="false" ht="15" hidden="false" customHeight="false" outlineLevel="0" collapsed="false">
      <c r="A187" s="0" t="s">
        <v>591</v>
      </c>
      <c r="B187" s="0" t="s">
        <v>328</v>
      </c>
      <c r="C187" s="0" t="n">
        <v>17.03</v>
      </c>
      <c r="D187" s="0" t="n">
        <f aca="false">Inputs!$B$4</f>
        <v>0.15</v>
      </c>
      <c r="E187" s="0" t="n">
        <f aca="false">C187*D187</f>
        <v>2.5545</v>
      </c>
      <c r="F187" s="0" t="n">
        <f aca="false">C187+E187</f>
        <v>19.5845</v>
      </c>
      <c r="G187" s="0" t="s">
        <v>345</v>
      </c>
      <c r="H187" s="0" t="n">
        <f aca="false">ROUNDUP(F187/10,0)</f>
        <v>2</v>
      </c>
      <c r="I187" s="0" t="s">
        <v>583</v>
      </c>
    </row>
    <row r="188" customFormat="false" ht="15" hidden="false" customHeight="false" outlineLevel="0" collapsed="false">
      <c r="A188" s="0" t="s">
        <v>592</v>
      </c>
      <c r="B188" s="0" t="s">
        <v>357</v>
      </c>
      <c r="C188" s="0" t="n">
        <v>30</v>
      </c>
      <c r="D188" s="0" t="n">
        <f aca="false">Inputs!$B$5</f>
        <v>0.06</v>
      </c>
      <c r="E188" s="0" t="n">
        <f aca="false">C188*D188</f>
        <v>1.8</v>
      </c>
      <c r="F188" s="0" t="n">
        <f aca="false">C188+E188</f>
        <v>31.8</v>
      </c>
      <c r="G188" s="0" t="s">
        <v>376</v>
      </c>
      <c r="H188" s="0" t="n">
        <f aca="false">ROUNDUP(F188/48,0)</f>
        <v>1</v>
      </c>
      <c r="I188" s="0" t="s">
        <v>583</v>
      </c>
    </row>
    <row r="189" customFormat="false" ht="15" hidden="false" customHeight="false" outlineLevel="0" collapsed="false">
      <c r="A189" s="0" t="s">
        <v>593</v>
      </c>
      <c r="B189" s="0" t="s">
        <v>328</v>
      </c>
      <c r="C189" s="0" t="n">
        <v>105</v>
      </c>
      <c r="D189" s="0" t="n">
        <f aca="false">Inputs!$B$4</f>
        <v>0.15</v>
      </c>
      <c r="E189" s="0" t="n">
        <f aca="false">C189*D189</f>
        <v>15.75</v>
      </c>
      <c r="F189" s="0" t="n">
        <f aca="false">C189+E189</f>
        <v>120.75</v>
      </c>
      <c r="G189" s="0" t="s">
        <v>329</v>
      </c>
      <c r="H189" s="0" t="n">
        <f aca="false">ROUNDUP(ROUNDUP(F189/4,0)/MAX(1,INT(20/4)),0)</f>
        <v>7</v>
      </c>
      <c r="I189" s="0" t="s">
        <v>583</v>
      </c>
    </row>
    <row r="190" customFormat="false" ht="15" hidden="false" customHeight="false" outlineLevel="0" collapsed="false">
      <c r="A190" s="0" t="s">
        <v>594</v>
      </c>
      <c r="B190" s="0" t="s">
        <v>328</v>
      </c>
      <c r="C190" s="0" t="n">
        <v>55.68</v>
      </c>
      <c r="D190" s="0" t="n">
        <f aca="false">Inputs!$B$4</f>
        <v>0.15</v>
      </c>
      <c r="E190" s="0" t="n">
        <f aca="false">C190*D190</f>
        <v>8.352</v>
      </c>
      <c r="F190" s="0" t="n">
        <f aca="false">C190+E190</f>
        <v>64.032</v>
      </c>
      <c r="G190" s="0" t="s">
        <v>349</v>
      </c>
      <c r="H190" s="0" t="n">
        <f aca="false">ROUNDUP(ROUNDUP(F190/4,0)/MAX(1,INT(16/4)),0)</f>
        <v>5</v>
      </c>
      <c r="I190" s="0" t="s">
        <v>583</v>
      </c>
    </row>
    <row r="191" customFormat="false" ht="15" hidden="false" customHeight="false" outlineLevel="0" collapsed="false">
      <c r="A191" s="0" t="s">
        <v>595</v>
      </c>
      <c r="B191" s="0" t="s">
        <v>328</v>
      </c>
      <c r="C191" s="0" t="n">
        <v>30</v>
      </c>
      <c r="D191" s="0" t="n">
        <f aca="false">Inputs!$B$4</f>
        <v>0.15</v>
      </c>
      <c r="E191" s="0" t="n">
        <f aca="false">C191*D191</f>
        <v>4.5</v>
      </c>
      <c r="F191" s="0" t="n">
        <f aca="false">C191+E191</f>
        <v>34.5</v>
      </c>
      <c r="G191" s="0" t="s">
        <v>345</v>
      </c>
      <c r="H191" s="0" t="n">
        <f aca="false">ROUNDUP(F191/10,0)</f>
        <v>4</v>
      </c>
      <c r="I191" s="0" t="s">
        <v>583</v>
      </c>
    </row>
    <row r="192" customFormat="false" ht="15" hidden="false" customHeight="false" outlineLevel="0" collapsed="false">
      <c r="A192" s="0" t="s">
        <v>596</v>
      </c>
      <c r="B192" s="0" t="s">
        <v>328</v>
      </c>
      <c r="C192" s="0" t="n">
        <v>30</v>
      </c>
      <c r="D192" s="0" t="n">
        <f aca="false">Inputs!$B$4</f>
        <v>0.15</v>
      </c>
      <c r="E192" s="0" t="n">
        <f aca="false">C192*D192</f>
        <v>4.5</v>
      </c>
      <c r="F192" s="0" t="n">
        <f aca="false">C192+E192</f>
        <v>34.5</v>
      </c>
      <c r="G192" s="0" t="s">
        <v>345</v>
      </c>
      <c r="H192" s="0" t="n">
        <f aca="false">ROUNDUP(F192/10,0)</f>
        <v>4</v>
      </c>
      <c r="I192" s="0" t="s">
        <v>583</v>
      </c>
    </row>
    <row r="193" customFormat="false" ht="15" hidden="false" customHeight="false" outlineLevel="0" collapsed="false">
      <c r="A193" s="0" t="s">
        <v>597</v>
      </c>
      <c r="B193" s="0" t="s">
        <v>328</v>
      </c>
      <c r="C193" s="0" t="n">
        <v>30</v>
      </c>
      <c r="D193" s="0" t="n">
        <f aca="false">Inputs!$B$4</f>
        <v>0.15</v>
      </c>
      <c r="E193" s="0" t="n">
        <f aca="false">C193*D193</f>
        <v>4.5</v>
      </c>
      <c r="F193" s="0" t="n">
        <f aca="false">C193+E193</f>
        <v>34.5</v>
      </c>
      <c r="G193" s="0" t="s">
        <v>345</v>
      </c>
      <c r="H193" s="0" t="n">
        <f aca="false">ROUNDUP(F193/10,0)</f>
        <v>4</v>
      </c>
      <c r="I193" s="0" t="s">
        <v>583</v>
      </c>
    </row>
    <row r="194" customFormat="false" ht="15" hidden="false" customHeight="false" outlineLevel="0" collapsed="false">
      <c r="A194" s="0" t="s">
        <v>598</v>
      </c>
      <c r="B194" s="0" t="s">
        <v>328</v>
      </c>
      <c r="C194" s="0" t="n">
        <v>30</v>
      </c>
      <c r="D194" s="0" t="n">
        <f aca="false">Inputs!$B$4</f>
        <v>0.15</v>
      </c>
      <c r="E194" s="0" t="n">
        <f aca="false">C194*D194</f>
        <v>4.5</v>
      </c>
      <c r="F194" s="0" t="n">
        <f aca="false">C194+E194</f>
        <v>34.5</v>
      </c>
      <c r="G194" s="0" t="s">
        <v>345</v>
      </c>
      <c r="H194" s="0" t="n">
        <f aca="false">ROUNDUP(F194/10,0)</f>
        <v>4</v>
      </c>
      <c r="I194" s="0" t="s">
        <v>583</v>
      </c>
    </row>
    <row r="195" customFormat="false" ht="15" hidden="false" customHeight="false" outlineLevel="0" collapsed="false">
      <c r="A195" s="0" t="s">
        <v>599</v>
      </c>
      <c r="B195" s="0" t="s">
        <v>357</v>
      </c>
      <c r="C195" s="0" t="n">
        <v>30</v>
      </c>
      <c r="D195" s="0" t="n">
        <f aca="false">Inputs!$B$5</f>
        <v>0.06</v>
      </c>
      <c r="E195" s="0" t="n">
        <f aca="false">C195*D195</f>
        <v>1.8</v>
      </c>
      <c r="F195" s="0" t="n">
        <f aca="false">C195+E195</f>
        <v>31.8</v>
      </c>
      <c r="G195" s="0" t="s">
        <v>376</v>
      </c>
      <c r="H195" s="0" t="n">
        <f aca="false">ROUNDUP(F195/48,0)</f>
        <v>1</v>
      </c>
      <c r="I195" s="0" t="s">
        <v>583</v>
      </c>
    </row>
    <row r="196" customFormat="false" ht="15" hidden="false" customHeight="false" outlineLevel="0" collapsed="false">
      <c r="A196" s="0" t="s">
        <v>600</v>
      </c>
      <c r="B196" s="0" t="s">
        <v>328</v>
      </c>
      <c r="C196" s="0" t="n">
        <v>105</v>
      </c>
      <c r="D196" s="0" t="n">
        <f aca="false">Inputs!$B$4</f>
        <v>0.15</v>
      </c>
      <c r="E196" s="0" t="n">
        <f aca="false">C196*D196</f>
        <v>15.75</v>
      </c>
      <c r="F196" s="0" t="n">
        <f aca="false">C196+E196</f>
        <v>120.75</v>
      </c>
      <c r="G196" s="0" t="s">
        <v>329</v>
      </c>
      <c r="H196" s="0" t="n">
        <f aca="false">ROUNDUP(ROUNDUP(F196/4,0)/MAX(1,INT(20/4)),0)</f>
        <v>7</v>
      </c>
      <c r="I196" s="0" t="s">
        <v>583</v>
      </c>
    </row>
    <row r="197" customFormat="false" ht="15" hidden="false" customHeight="false" outlineLevel="0" collapsed="false">
      <c r="A197" s="0" t="s">
        <v>601</v>
      </c>
      <c r="B197" s="0" t="s">
        <v>328</v>
      </c>
      <c r="C197" s="0" t="n">
        <v>55.68</v>
      </c>
      <c r="D197" s="0" t="n">
        <f aca="false">Inputs!$B$4</f>
        <v>0.15</v>
      </c>
      <c r="E197" s="0" t="n">
        <f aca="false">C197*D197</f>
        <v>8.352</v>
      </c>
      <c r="F197" s="0" t="n">
        <f aca="false">C197+E197</f>
        <v>64.032</v>
      </c>
      <c r="G197" s="0" t="s">
        <v>349</v>
      </c>
      <c r="H197" s="0" t="n">
        <f aca="false">ROUNDUP(ROUNDUP(F197/4,0)/MAX(1,INT(16/4)),0)</f>
        <v>5</v>
      </c>
      <c r="I197" s="0" t="s">
        <v>583</v>
      </c>
    </row>
    <row r="198" customFormat="false" ht="15" hidden="false" customHeight="false" outlineLevel="0" collapsed="false">
      <c r="A198" s="0" t="s">
        <v>602</v>
      </c>
      <c r="B198" s="0" t="s">
        <v>328</v>
      </c>
      <c r="C198" s="0" t="n">
        <v>30</v>
      </c>
      <c r="D198" s="0" t="n">
        <f aca="false">Inputs!$B$4</f>
        <v>0.15</v>
      </c>
      <c r="E198" s="0" t="n">
        <f aca="false">C198*D198</f>
        <v>4.5</v>
      </c>
      <c r="F198" s="0" t="n">
        <f aca="false">C198+E198</f>
        <v>34.5</v>
      </c>
      <c r="G198" s="0" t="s">
        <v>345</v>
      </c>
      <c r="H198" s="0" t="n">
        <f aca="false">ROUNDUP(F198/10,0)</f>
        <v>4</v>
      </c>
      <c r="I198" s="0" t="s">
        <v>583</v>
      </c>
    </row>
    <row r="199" customFormat="false" ht="15" hidden="false" customHeight="false" outlineLevel="0" collapsed="false">
      <c r="A199" s="0" t="s">
        <v>603</v>
      </c>
      <c r="B199" s="0" t="s">
        <v>328</v>
      </c>
      <c r="C199" s="0" t="n">
        <v>30</v>
      </c>
      <c r="D199" s="0" t="n">
        <f aca="false">Inputs!$B$4</f>
        <v>0.15</v>
      </c>
      <c r="E199" s="0" t="n">
        <f aca="false">C199*D199</f>
        <v>4.5</v>
      </c>
      <c r="F199" s="0" t="n">
        <f aca="false">C199+E199</f>
        <v>34.5</v>
      </c>
      <c r="G199" s="0" t="s">
        <v>345</v>
      </c>
      <c r="H199" s="0" t="n">
        <f aca="false">ROUNDUP(F199/10,0)</f>
        <v>4</v>
      </c>
      <c r="I199" s="0" t="s">
        <v>583</v>
      </c>
    </row>
    <row r="200" customFormat="false" ht="15" hidden="false" customHeight="false" outlineLevel="0" collapsed="false">
      <c r="A200" s="0" t="s">
        <v>604</v>
      </c>
      <c r="B200" s="0" t="s">
        <v>328</v>
      </c>
      <c r="C200" s="0" t="n">
        <v>30</v>
      </c>
      <c r="D200" s="0" t="n">
        <f aca="false">Inputs!$B$4</f>
        <v>0.15</v>
      </c>
      <c r="E200" s="0" t="n">
        <f aca="false">C200*D200</f>
        <v>4.5</v>
      </c>
      <c r="F200" s="0" t="n">
        <f aca="false">C200+E200</f>
        <v>34.5</v>
      </c>
      <c r="G200" s="0" t="s">
        <v>345</v>
      </c>
      <c r="H200" s="0" t="n">
        <f aca="false">ROUNDUP(F200/10,0)</f>
        <v>4</v>
      </c>
      <c r="I200" s="0" t="s">
        <v>583</v>
      </c>
    </row>
    <row r="201" customFormat="false" ht="15" hidden="false" customHeight="false" outlineLevel="0" collapsed="false">
      <c r="A201" s="0" t="s">
        <v>605</v>
      </c>
      <c r="B201" s="0" t="s">
        <v>328</v>
      </c>
      <c r="C201" s="0" t="n">
        <v>30</v>
      </c>
      <c r="D201" s="0" t="n">
        <f aca="false">Inputs!$B$4</f>
        <v>0.15</v>
      </c>
      <c r="E201" s="0" t="n">
        <f aca="false">C201*D201</f>
        <v>4.5</v>
      </c>
      <c r="F201" s="0" t="n">
        <f aca="false">C201+E201</f>
        <v>34.5</v>
      </c>
      <c r="G201" s="0" t="s">
        <v>345</v>
      </c>
      <c r="H201" s="0" t="n">
        <f aca="false">ROUNDUP(F201/10,0)</f>
        <v>4</v>
      </c>
      <c r="I201" s="0" t="s">
        <v>583</v>
      </c>
    </row>
    <row r="202" customFormat="false" ht="15" hidden="false" customHeight="false" outlineLevel="0" collapsed="false">
      <c r="A202" s="0" t="s">
        <v>606</v>
      </c>
      <c r="B202" s="0" t="s">
        <v>357</v>
      </c>
      <c r="C202" s="0" t="n">
        <v>19.51</v>
      </c>
      <c r="D202" s="0" t="n">
        <f aca="false">Inputs!$B$5</f>
        <v>0.06</v>
      </c>
      <c r="E202" s="0" t="n">
        <f aca="false">C202*D202</f>
        <v>1.1706</v>
      </c>
      <c r="F202" s="0" t="n">
        <f aca="false">C202+E202</f>
        <v>20.6806</v>
      </c>
      <c r="G202" s="0" t="s">
        <v>376</v>
      </c>
      <c r="H202" s="0" t="n">
        <f aca="false">ROUNDUP(F202/48,0)</f>
        <v>1</v>
      </c>
      <c r="I202" s="0" t="s">
        <v>607</v>
      </c>
    </row>
    <row r="203" customFormat="false" ht="15" hidden="false" customHeight="false" outlineLevel="0" collapsed="false">
      <c r="A203" s="0" t="s">
        <v>608</v>
      </c>
      <c r="B203" s="0" t="s">
        <v>328</v>
      </c>
      <c r="C203" s="0" t="n">
        <v>31.88</v>
      </c>
      <c r="D203" s="0" t="n">
        <f aca="false">Inputs!$B$4</f>
        <v>0.15</v>
      </c>
      <c r="E203" s="0" t="n">
        <f aca="false">C203*D203</f>
        <v>4.782</v>
      </c>
      <c r="F203" s="0" t="n">
        <f aca="false">C203+E203</f>
        <v>36.662</v>
      </c>
      <c r="G203" s="0" t="s">
        <v>329</v>
      </c>
      <c r="H203" s="0" t="n">
        <f aca="false">ROUNDUP(ROUNDUP(F203/4,0)/MAX(1,INT(20/4)),0)</f>
        <v>2</v>
      </c>
      <c r="I203" s="0" t="s">
        <v>607</v>
      </c>
    </row>
    <row r="204" customFormat="false" ht="15" hidden="false" customHeight="false" outlineLevel="0" collapsed="false">
      <c r="A204" s="0" t="s">
        <v>609</v>
      </c>
      <c r="B204" s="0" t="s">
        <v>328</v>
      </c>
      <c r="C204" s="0" t="n">
        <v>27.05</v>
      </c>
      <c r="D204" s="0" t="n">
        <f aca="false">Inputs!$B$4</f>
        <v>0.15</v>
      </c>
      <c r="E204" s="0" t="n">
        <f aca="false">C204*D204</f>
        <v>4.0575</v>
      </c>
      <c r="F204" s="0" t="n">
        <f aca="false">C204+E204</f>
        <v>31.1075</v>
      </c>
      <c r="G204" s="0" t="s">
        <v>329</v>
      </c>
      <c r="H204" s="0" t="n">
        <f aca="false">ROUNDUP(ROUNDUP(F204/4,0)/MAX(1,INT(20/4)),0)</f>
        <v>2</v>
      </c>
      <c r="I204" s="0" t="s">
        <v>607</v>
      </c>
    </row>
    <row r="205" customFormat="false" ht="15" hidden="false" customHeight="false" outlineLevel="0" collapsed="false">
      <c r="A205" s="0" t="s">
        <v>610</v>
      </c>
      <c r="B205" s="0" t="s">
        <v>328</v>
      </c>
      <c r="C205" s="0" t="n">
        <v>5.09</v>
      </c>
      <c r="D205" s="0" t="n">
        <f aca="false">Inputs!$B$4</f>
        <v>0.15</v>
      </c>
      <c r="E205" s="0" t="n">
        <f aca="false">C205*D205</f>
        <v>0.7635</v>
      </c>
      <c r="F205" s="0" t="n">
        <f aca="false">C205+E205</f>
        <v>5.8535</v>
      </c>
      <c r="G205" s="0" t="s">
        <v>345</v>
      </c>
      <c r="H205" s="0" t="n">
        <f aca="false">ROUNDUP(F205/10,0)</f>
        <v>1</v>
      </c>
      <c r="I205" s="0" t="s">
        <v>607</v>
      </c>
    </row>
    <row r="206" customFormat="false" ht="15" hidden="false" customHeight="false" outlineLevel="0" collapsed="false">
      <c r="A206" s="0" t="s">
        <v>611</v>
      </c>
      <c r="B206" s="0" t="s">
        <v>328</v>
      </c>
      <c r="C206" s="0" t="n">
        <v>5.09</v>
      </c>
      <c r="D206" s="0" t="n">
        <f aca="false">Inputs!$B$4</f>
        <v>0.15</v>
      </c>
      <c r="E206" s="0" t="n">
        <f aca="false">C206*D206</f>
        <v>0.7635</v>
      </c>
      <c r="F206" s="0" t="n">
        <f aca="false">C206+E206</f>
        <v>5.8535</v>
      </c>
      <c r="G206" s="0" t="s">
        <v>345</v>
      </c>
      <c r="H206" s="0" t="n">
        <f aca="false">ROUNDUP(F206/10,0)</f>
        <v>1</v>
      </c>
      <c r="I206" s="0" t="s">
        <v>607</v>
      </c>
    </row>
    <row r="207" customFormat="false" ht="15" hidden="false" customHeight="false" outlineLevel="0" collapsed="false">
      <c r="A207" s="0" t="s">
        <v>612</v>
      </c>
      <c r="B207" s="0" t="s">
        <v>328</v>
      </c>
      <c r="C207" s="0" t="n">
        <v>3.82</v>
      </c>
      <c r="D207" s="0" t="n">
        <f aca="false">Inputs!$B$4</f>
        <v>0.15</v>
      </c>
      <c r="E207" s="0" t="n">
        <f aca="false">C207*D207</f>
        <v>0.573</v>
      </c>
      <c r="F207" s="0" t="n">
        <f aca="false">C207+E207</f>
        <v>4.393</v>
      </c>
      <c r="G207" s="0" t="s">
        <v>345</v>
      </c>
      <c r="H207" s="0" t="n">
        <f aca="false">ROUNDUP(F207/10,0)</f>
        <v>1</v>
      </c>
      <c r="I207" s="0" t="s">
        <v>613</v>
      </c>
    </row>
    <row r="208" customFormat="false" ht="15" hidden="false" customHeight="false" outlineLevel="0" collapsed="false">
      <c r="A208" s="0" t="s">
        <v>614</v>
      </c>
      <c r="B208" s="0" t="s">
        <v>328</v>
      </c>
      <c r="C208" s="0" t="n">
        <v>10.19</v>
      </c>
      <c r="D208" s="0" t="n">
        <f aca="false">Inputs!$B$4</f>
        <v>0.15</v>
      </c>
      <c r="E208" s="0" t="n">
        <f aca="false">C208*D208</f>
        <v>1.5285</v>
      </c>
      <c r="F208" s="0" t="n">
        <f aca="false">C208+E208</f>
        <v>11.7185</v>
      </c>
      <c r="G208" s="0" t="s">
        <v>345</v>
      </c>
      <c r="H208" s="0" t="n">
        <f aca="false">ROUNDUP(F208/10,0)</f>
        <v>2</v>
      </c>
      <c r="I208" s="0" t="s">
        <v>607</v>
      </c>
    </row>
    <row r="209" customFormat="false" ht="15" hidden="false" customHeight="false" outlineLevel="0" collapsed="false">
      <c r="A209" s="0" t="s">
        <v>615</v>
      </c>
      <c r="B209" s="0" t="s">
        <v>328</v>
      </c>
      <c r="C209" s="0" t="n">
        <v>10.19</v>
      </c>
      <c r="D209" s="0" t="n">
        <f aca="false">Inputs!$B$4</f>
        <v>0.15</v>
      </c>
      <c r="E209" s="0" t="n">
        <f aca="false">C209*D209</f>
        <v>1.5285</v>
      </c>
      <c r="F209" s="0" t="n">
        <f aca="false">C209+E209</f>
        <v>11.7185</v>
      </c>
      <c r="G209" s="0" t="s">
        <v>345</v>
      </c>
      <c r="H209" s="0" t="n">
        <f aca="false">ROUNDUP(F209/10,0)</f>
        <v>2</v>
      </c>
      <c r="I209" s="0" t="s">
        <v>607</v>
      </c>
    </row>
    <row r="210" customFormat="false" ht="15" hidden="false" customHeight="false" outlineLevel="0" collapsed="false">
      <c r="A210" s="0" t="s">
        <v>616</v>
      </c>
      <c r="B210" s="0" t="s">
        <v>357</v>
      </c>
      <c r="C210" s="0" t="n">
        <v>41.05</v>
      </c>
      <c r="D210" s="0" t="n">
        <f aca="false">Inputs!$B$5</f>
        <v>0.06</v>
      </c>
      <c r="E210" s="0" t="n">
        <f aca="false">C210*D210</f>
        <v>2.463</v>
      </c>
      <c r="F210" s="0" t="n">
        <f aca="false">C210+E210</f>
        <v>43.513</v>
      </c>
      <c r="G210" s="0" t="s">
        <v>376</v>
      </c>
      <c r="H210" s="0" t="n">
        <f aca="false">ROUNDUP(F210/48,0)</f>
        <v>1</v>
      </c>
      <c r="I210" s="0" t="s">
        <v>617</v>
      </c>
    </row>
    <row r="211" customFormat="false" ht="15" hidden="false" customHeight="false" outlineLevel="0" collapsed="false">
      <c r="A211" s="0" t="s">
        <v>618</v>
      </c>
      <c r="B211" s="0" t="s">
        <v>357</v>
      </c>
      <c r="C211" s="0" t="n">
        <v>36.04</v>
      </c>
      <c r="D211" s="0" t="n">
        <f aca="false">Inputs!$B$5</f>
        <v>0.06</v>
      </c>
      <c r="E211" s="0" t="n">
        <f aca="false">C211*D211</f>
        <v>2.1624</v>
      </c>
      <c r="F211" s="0" t="n">
        <f aca="false">C211+E211</f>
        <v>38.2024</v>
      </c>
      <c r="G211" s="0" t="s">
        <v>376</v>
      </c>
      <c r="H211" s="0" t="n">
        <f aca="false">ROUNDUP(F211/48,0)</f>
        <v>1</v>
      </c>
      <c r="I211" s="0" t="s">
        <v>617</v>
      </c>
    </row>
    <row r="212" customFormat="false" ht="15" hidden="false" customHeight="false" outlineLevel="0" collapsed="false">
      <c r="A212" s="0" t="s">
        <v>619</v>
      </c>
      <c r="B212" s="0" t="s">
        <v>328</v>
      </c>
      <c r="C212" s="0" t="n">
        <v>73.75</v>
      </c>
      <c r="D212" s="0" t="n">
        <f aca="false">Inputs!$B$4</f>
        <v>0.15</v>
      </c>
      <c r="E212" s="0" t="n">
        <f aca="false">C212*D212</f>
        <v>11.0625</v>
      </c>
      <c r="F212" s="0" t="n">
        <f aca="false">C212+E212</f>
        <v>84.8125</v>
      </c>
      <c r="G212" s="0" t="s">
        <v>329</v>
      </c>
      <c r="H212" s="0" t="n">
        <f aca="false">ROUNDUP(ROUNDUP(F212/6,0)/MAX(1,INT(20/6)),0)</f>
        <v>5</v>
      </c>
      <c r="I212" s="0" t="s">
        <v>617</v>
      </c>
    </row>
    <row r="213" customFormat="false" ht="15" hidden="false" customHeight="false" outlineLevel="0" collapsed="false">
      <c r="A213" s="0" t="s">
        <v>620</v>
      </c>
      <c r="B213" s="0" t="s">
        <v>328</v>
      </c>
      <c r="C213" s="0" t="n">
        <v>60.63</v>
      </c>
      <c r="D213" s="0" t="n">
        <f aca="false">Inputs!$B$4</f>
        <v>0.15</v>
      </c>
      <c r="E213" s="0" t="n">
        <f aca="false">C213*D213</f>
        <v>9.0945</v>
      </c>
      <c r="F213" s="0" t="n">
        <f aca="false">C213+E213</f>
        <v>69.7245</v>
      </c>
      <c r="G213" s="0" t="s">
        <v>329</v>
      </c>
      <c r="H213" s="0" t="n">
        <f aca="false">ROUNDUP(ROUNDUP(F213/6,0)/MAX(1,INT(20/6)),0)</f>
        <v>4</v>
      </c>
      <c r="I213" s="0" t="s">
        <v>617</v>
      </c>
    </row>
    <row r="214" customFormat="false" ht="15" hidden="false" customHeight="false" outlineLevel="0" collapsed="false">
      <c r="A214" s="0" t="s">
        <v>621</v>
      </c>
      <c r="B214" s="0" t="s">
        <v>328</v>
      </c>
      <c r="C214" s="0" t="n">
        <v>37.59</v>
      </c>
      <c r="D214" s="0" t="n">
        <f aca="false">Inputs!$B$4</f>
        <v>0.15</v>
      </c>
      <c r="E214" s="0" t="n">
        <f aca="false">C214*D214</f>
        <v>5.6385</v>
      </c>
      <c r="F214" s="0" t="n">
        <f aca="false">C214+E214</f>
        <v>43.2285</v>
      </c>
      <c r="G214" s="0" t="s">
        <v>329</v>
      </c>
      <c r="H214" s="0" t="n">
        <f aca="false">ROUNDUP(ROUNDUP(F214/6,0)/MAX(1,INT(20/6)),0)</f>
        <v>3</v>
      </c>
      <c r="I214" s="0" t="s">
        <v>617</v>
      </c>
    </row>
    <row r="215" customFormat="false" ht="15" hidden="false" customHeight="false" outlineLevel="0" collapsed="false">
      <c r="A215" s="0" t="s">
        <v>622</v>
      </c>
      <c r="B215" s="0" t="s">
        <v>328</v>
      </c>
      <c r="C215" s="0" t="n">
        <v>24.03</v>
      </c>
      <c r="D215" s="0" t="n">
        <f aca="false">Inputs!$B$4</f>
        <v>0.15</v>
      </c>
      <c r="E215" s="0" t="n">
        <f aca="false">C215*D215</f>
        <v>3.6045</v>
      </c>
      <c r="F215" s="0" t="n">
        <f aca="false">C215+E215</f>
        <v>27.6345</v>
      </c>
      <c r="G215" s="0" t="s">
        <v>345</v>
      </c>
      <c r="H215" s="0" t="n">
        <f aca="false">ROUNDUP(F215/10,0)</f>
        <v>3</v>
      </c>
      <c r="I215" s="0" t="s">
        <v>617</v>
      </c>
    </row>
    <row r="216" customFormat="false" ht="15" hidden="false" customHeight="false" outlineLevel="0" collapsed="false">
      <c r="A216" s="0" t="s">
        <v>623</v>
      </c>
      <c r="B216" s="0" t="s">
        <v>328</v>
      </c>
      <c r="C216" s="0" t="n">
        <v>30.86</v>
      </c>
      <c r="D216" s="0" t="n">
        <f aca="false">Inputs!$B$4</f>
        <v>0.15</v>
      </c>
      <c r="E216" s="0" t="n">
        <f aca="false">C216*D216</f>
        <v>4.629</v>
      </c>
      <c r="F216" s="0" t="n">
        <f aca="false">C216+E216</f>
        <v>35.489</v>
      </c>
      <c r="G216" s="0" t="s">
        <v>345</v>
      </c>
      <c r="H216" s="0" t="n">
        <f aca="false">ROUNDUP(F216/10,0)</f>
        <v>4</v>
      </c>
      <c r="I216" s="0" t="s">
        <v>617</v>
      </c>
    </row>
    <row r="217" customFormat="false" ht="15" hidden="false" customHeight="false" outlineLevel="0" collapsed="false">
      <c r="A217" s="0" t="s">
        <v>624</v>
      </c>
      <c r="B217" s="0" t="s">
        <v>328</v>
      </c>
      <c r="C217" s="0" t="n">
        <v>24.03</v>
      </c>
      <c r="D217" s="0" t="n">
        <f aca="false">Inputs!$B$4</f>
        <v>0.15</v>
      </c>
      <c r="E217" s="0" t="n">
        <f aca="false">C217*D217</f>
        <v>3.6045</v>
      </c>
      <c r="F217" s="0" t="n">
        <f aca="false">C217+E217</f>
        <v>27.6345</v>
      </c>
      <c r="G217" s="0" t="s">
        <v>345</v>
      </c>
      <c r="H217" s="0" t="n">
        <f aca="false">ROUNDUP(F217/10,0)</f>
        <v>3</v>
      </c>
      <c r="I217" s="0" t="s">
        <v>617</v>
      </c>
    </row>
    <row r="218" customFormat="false" ht="15" hidden="false" customHeight="false" outlineLevel="0" collapsed="false">
      <c r="A218" s="0" t="s">
        <v>625</v>
      </c>
      <c r="B218" s="0" t="s">
        <v>328</v>
      </c>
      <c r="C218" s="0" t="n">
        <v>12.01</v>
      </c>
      <c r="D218" s="0" t="n">
        <f aca="false">Inputs!$B$5</f>
        <v>0.06</v>
      </c>
      <c r="E218" s="0" t="n">
        <f aca="false">C218*D218</f>
        <v>0.7206</v>
      </c>
      <c r="F218" s="0" t="n">
        <f aca="false">C218+E218</f>
        <v>12.7306</v>
      </c>
      <c r="G218" s="0" t="s">
        <v>345</v>
      </c>
      <c r="H218" s="0" t="n">
        <f aca="false">ROUNDUP(F218/10,0)</f>
        <v>2</v>
      </c>
      <c r="I218" s="0" t="s">
        <v>626</v>
      </c>
    </row>
    <row r="219" customFormat="false" ht="15" hidden="false" customHeight="false" outlineLevel="0" collapsed="false">
      <c r="A219" s="0" t="s">
        <v>627</v>
      </c>
      <c r="B219" s="0" t="s">
        <v>328</v>
      </c>
      <c r="C219" s="0" t="n">
        <v>24.03</v>
      </c>
      <c r="D219" s="0" t="n">
        <f aca="false">Inputs!$B$4</f>
        <v>0.15</v>
      </c>
      <c r="E219" s="0" t="n">
        <f aca="false">C219*D219</f>
        <v>3.6045</v>
      </c>
      <c r="F219" s="0" t="n">
        <f aca="false">C219+E219</f>
        <v>27.6345</v>
      </c>
      <c r="G219" s="0" t="s">
        <v>349</v>
      </c>
      <c r="H219" s="0" t="n">
        <f aca="false">ROUNDUP(ROUNDUP(F219/6,0)/MAX(1,INT(16/6)),0)</f>
        <v>3</v>
      </c>
      <c r="I219" s="0" t="s">
        <v>628</v>
      </c>
    </row>
    <row r="220" customFormat="false" ht="15" hidden="false" customHeight="false" outlineLevel="0" collapsed="false">
      <c r="A220" s="0" t="s">
        <v>629</v>
      </c>
      <c r="B220" s="0" t="s">
        <v>328</v>
      </c>
      <c r="C220" s="0" t="n">
        <v>69.88</v>
      </c>
      <c r="D220" s="0" t="n">
        <f aca="false">Inputs!$B$4</f>
        <v>0.15</v>
      </c>
      <c r="E220" s="0" t="n">
        <f aca="false">C220*D220</f>
        <v>10.482</v>
      </c>
      <c r="F220" s="0" t="n">
        <f aca="false">C220+E220</f>
        <v>80.362</v>
      </c>
      <c r="G220" s="0" t="s">
        <v>329</v>
      </c>
      <c r="H220" s="0" t="n">
        <f aca="false">ROUNDUP(ROUNDUP(F220/5,0)/MAX(1,INT(20/5)),0)</f>
        <v>5</v>
      </c>
      <c r="I220" s="0" t="s">
        <v>630</v>
      </c>
    </row>
    <row r="221" customFormat="false" ht="15" hidden="false" customHeight="false" outlineLevel="0" collapsed="false">
      <c r="A221" s="0" t="s">
        <v>631</v>
      </c>
      <c r="B221" s="0" t="s">
        <v>328</v>
      </c>
      <c r="C221" s="0" t="n">
        <v>16.98</v>
      </c>
      <c r="D221" s="0" t="n">
        <f aca="false">Inputs!$B$4</f>
        <v>0.15</v>
      </c>
      <c r="E221" s="0" t="n">
        <f aca="false">C221*D221</f>
        <v>2.547</v>
      </c>
      <c r="F221" s="0" t="n">
        <f aca="false">C221+E221</f>
        <v>19.527</v>
      </c>
      <c r="G221" s="0" t="s">
        <v>345</v>
      </c>
      <c r="H221" s="0" t="n">
        <f aca="false">ROUNDUP(F221/10,0)</f>
        <v>2</v>
      </c>
      <c r="I221" s="0" t="s">
        <v>630</v>
      </c>
    </row>
    <row r="222" customFormat="false" ht="15" hidden="false" customHeight="false" outlineLevel="0" collapsed="false">
      <c r="A222" s="0" t="s">
        <v>632</v>
      </c>
      <c r="B222" s="0" t="s">
        <v>328</v>
      </c>
      <c r="C222" s="0" t="n">
        <v>15.65</v>
      </c>
      <c r="D222" s="0" t="n">
        <f aca="false">Inputs!$B$4</f>
        <v>0.15</v>
      </c>
      <c r="E222" s="0" t="n">
        <f aca="false">C222*D222</f>
        <v>2.3475</v>
      </c>
      <c r="F222" s="0" t="n">
        <f aca="false">C222+E222</f>
        <v>17.9975</v>
      </c>
      <c r="G222" s="0" t="s">
        <v>345</v>
      </c>
      <c r="H222" s="0" t="n">
        <f aca="false">ROUNDUP(F222/10,0)</f>
        <v>2</v>
      </c>
      <c r="I222" s="0" t="s">
        <v>630</v>
      </c>
    </row>
    <row r="223" customFormat="false" ht="15" hidden="false" customHeight="false" outlineLevel="0" collapsed="false">
      <c r="A223" s="0" t="s">
        <v>633</v>
      </c>
      <c r="B223" s="0" t="s">
        <v>328</v>
      </c>
      <c r="C223" s="0" t="n">
        <v>15.65</v>
      </c>
      <c r="D223" s="0" t="n">
        <f aca="false">Inputs!$B$4</f>
        <v>0.15</v>
      </c>
      <c r="E223" s="0" t="n">
        <f aca="false">C223*D223</f>
        <v>2.3475</v>
      </c>
      <c r="F223" s="0" t="n">
        <f aca="false">C223+E223</f>
        <v>17.9975</v>
      </c>
      <c r="G223" s="0" t="s">
        <v>345</v>
      </c>
      <c r="H223" s="0" t="n">
        <f aca="false">ROUNDUP(F223/10,0)</f>
        <v>2</v>
      </c>
      <c r="I223" s="0" t="s">
        <v>630</v>
      </c>
    </row>
    <row r="224" customFormat="false" ht="15" hidden="false" customHeight="false" outlineLevel="0" collapsed="false">
      <c r="A224" s="0" t="s">
        <v>634</v>
      </c>
      <c r="B224" s="0" t="s">
        <v>328</v>
      </c>
      <c r="C224" s="0" t="n">
        <v>15.65</v>
      </c>
      <c r="D224" s="0" t="n">
        <f aca="false">Inputs!$B$4</f>
        <v>0.15</v>
      </c>
      <c r="E224" s="0" t="n">
        <f aca="false">C224*D224</f>
        <v>2.3475</v>
      </c>
      <c r="F224" s="0" t="n">
        <f aca="false">C224+E224</f>
        <v>17.9975</v>
      </c>
      <c r="G224" s="0" t="s">
        <v>349</v>
      </c>
      <c r="H224" s="0" t="n">
        <f aca="false">ROUNDUP(F224/16,0)</f>
        <v>2</v>
      </c>
      <c r="I224" s="0" t="s">
        <v>635</v>
      </c>
    </row>
    <row r="225" customFormat="false" ht="15" hidden="false" customHeight="false" outlineLevel="0" collapsed="false">
      <c r="A225" s="0" t="s">
        <v>636</v>
      </c>
      <c r="B225" s="0" t="s">
        <v>328</v>
      </c>
      <c r="C225" s="0" t="n">
        <v>11.73</v>
      </c>
      <c r="D225" s="0" t="n">
        <f aca="false">Inputs!$B$4</f>
        <v>0.15</v>
      </c>
      <c r="E225" s="0" t="n">
        <f aca="false">C225*D225</f>
        <v>1.7595</v>
      </c>
      <c r="F225" s="0" t="n">
        <f aca="false">C225+E225</f>
        <v>13.4895</v>
      </c>
      <c r="G225" s="0" t="s">
        <v>345</v>
      </c>
      <c r="H225" s="0" t="n">
        <f aca="false">ROUNDUP(F225/10,0)</f>
        <v>2</v>
      </c>
      <c r="I225" s="0" t="s">
        <v>637</v>
      </c>
    </row>
    <row r="226" customFormat="false" ht="15" hidden="false" customHeight="false" outlineLevel="0" collapsed="false">
      <c r="A226" s="0" t="s">
        <v>638</v>
      </c>
      <c r="B226" s="0" t="s">
        <v>328</v>
      </c>
      <c r="C226" s="0" t="n">
        <v>32.25</v>
      </c>
      <c r="D226" s="0" t="n">
        <f aca="false">Inputs!$B$4</f>
        <v>0.15</v>
      </c>
      <c r="E226" s="0" t="n">
        <f aca="false">C226*D226</f>
        <v>4.8375</v>
      </c>
      <c r="F226" s="0" t="n">
        <f aca="false">C226+E226</f>
        <v>37.0875</v>
      </c>
      <c r="G226" s="0" t="s">
        <v>329</v>
      </c>
      <c r="H226" s="0" t="n">
        <f aca="false">ROUNDUP(ROUNDUP(F226/5,0)/MAX(1,INT(20/5)),0)</f>
        <v>2</v>
      </c>
      <c r="I226" s="0" t="s">
        <v>639</v>
      </c>
    </row>
    <row r="227" customFormat="false" ht="15" hidden="false" customHeight="false" outlineLevel="0" collapsed="false">
      <c r="A227" s="0" t="s">
        <v>640</v>
      </c>
      <c r="B227" s="0" t="s">
        <v>328</v>
      </c>
      <c r="C227" s="0" t="n">
        <v>7.75</v>
      </c>
      <c r="D227" s="0" t="n">
        <f aca="false">Inputs!$B$4</f>
        <v>0.15</v>
      </c>
      <c r="E227" s="0" t="n">
        <f aca="false">C227*D227</f>
        <v>1.1625</v>
      </c>
      <c r="F227" s="0" t="n">
        <f aca="false">C227+E227</f>
        <v>8.9125</v>
      </c>
      <c r="G227" s="0" t="s">
        <v>345</v>
      </c>
      <c r="H227" s="0" t="n">
        <f aca="false">ROUNDUP(F227/10,0)</f>
        <v>1</v>
      </c>
      <c r="I227" s="0" t="s">
        <v>639</v>
      </c>
    </row>
    <row r="228" customFormat="false" ht="15" hidden="false" customHeight="false" outlineLevel="0" collapsed="false">
      <c r="A228" s="0" t="s">
        <v>641</v>
      </c>
      <c r="B228" s="0" t="s">
        <v>328</v>
      </c>
      <c r="C228" s="0" t="n">
        <v>6.42</v>
      </c>
      <c r="D228" s="0" t="n">
        <f aca="false">Inputs!$B$4</f>
        <v>0.15</v>
      </c>
      <c r="E228" s="0" t="n">
        <f aca="false">C228*D228</f>
        <v>0.963</v>
      </c>
      <c r="F228" s="0" t="n">
        <f aca="false">C228+E228</f>
        <v>7.383</v>
      </c>
      <c r="G228" s="0" t="s">
        <v>345</v>
      </c>
      <c r="H228" s="0" t="n">
        <f aca="false">ROUNDUP(F228/10,0)</f>
        <v>1</v>
      </c>
      <c r="I228" s="0" t="s">
        <v>639</v>
      </c>
    </row>
    <row r="229" customFormat="false" ht="15" hidden="false" customHeight="false" outlineLevel="0" collapsed="false">
      <c r="A229" s="0" t="s">
        <v>642</v>
      </c>
      <c r="B229" s="0" t="s">
        <v>328</v>
      </c>
      <c r="C229" s="0" t="n">
        <v>6.42</v>
      </c>
      <c r="D229" s="0" t="n">
        <f aca="false">Inputs!$B$4</f>
        <v>0.15</v>
      </c>
      <c r="E229" s="0" t="n">
        <f aca="false">C229*D229</f>
        <v>0.963</v>
      </c>
      <c r="F229" s="0" t="n">
        <f aca="false">C229+E229</f>
        <v>7.383</v>
      </c>
      <c r="G229" s="0" t="s">
        <v>345</v>
      </c>
      <c r="H229" s="0" t="n">
        <f aca="false">ROUNDUP(F229/10,0)</f>
        <v>1</v>
      </c>
      <c r="I229" s="0" t="s">
        <v>639</v>
      </c>
    </row>
    <row r="230" customFormat="false" ht="15" hidden="false" customHeight="false" outlineLevel="0" collapsed="false">
      <c r="A230" s="0" t="s">
        <v>643</v>
      </c>
      <c r="B230" s="0" t="s">
        <v>328</v>
      </c>
      <c r="C230" s="0" t="n">
        <v>6.42</v>
      </c>
      <c r="D230" s="0" t="n">
        <f aca="false">Inputs!$B$4</f>
        <v>0.15</v>
      </c>
      <c r="E230" s="0" t="n">
        <f aca="false">C230*D230</f>
        <v>0.963</v>
      </c>
      <c r="F230" s="0" t="n">
        <f aca="false">C230+E230</f>
        <v>7.383</v>
      </c>
      <c r="G230" s="0" t="s">
        <v>349</v>
      </c>
      <c r="H230" s="0" t="n">
        <f aca="false">ROUNDUP(F230/16,0)</f>
        <v>1</v>
      </c>
      <c r="I230" s="0" t="s">
        <v>635</v>
      </c>
    </row>
    <row r="231" customFormat="false" ht="15" hidden="false" customHeight="false" outlineLevel="0" collapsed="false">
      <c r="A231" s="0" t="s">
        <v>644</v>
      </c>
      <c r="B231" s="0" t="s">
        <v>357</v>
      </c>
      <c r="C231" s="0" t="n">
        <v>12.83</v>
      </c>
      <c r="D231" s="0" t="n">
        <f aca="false">Inputs!$B$5</f>
        <v>0.06</v>
      </c>
      <c r="E231" s="0" t="n">
        <f aca="false">C231*D231</f>
        <v>0.7698</v>
      </c>
      <c r="F231" s="0" t="n">
        <f aca="false">C231+E231</f>
        <v>13.5998</v>
      </c>
      <c r="G231" s="0" t="s">
        <v>376</v>
      </c>
      <c r="H231" s="0" t="n">
        <f aca="false">ROUNDUP(F231/48,0)</f>
        <v>1</v>
      </c>
      <c r="I231" s="0" t="s">
        <v>639</v>
      </c>
    </row>
    <row r="232" customFormat="false" ht="15" hidden="false" customHeight="false" outlineLevel="0" collapsed="false">
      <c r="A232" s="0" t="s">
        <v>645</v>
      </c>
      <c r="B232" s="0" t="s">
        <v>328</v>
      </c>
      <c r="C232" s="0" t="n">
        <v>6.42</v>
      </c>
      <c r="D232" s="0" t="n">
        <f aca="false">Inputs!$B$4</f>
        <v>0.15</v>
      </c>
      <c r="E232" s="0" t="n">
        <f aca="false">C232*D232</f>
        <v>0.963</v>
      </c>
      <c r="F232" s="0" t="n">
        <f aca="false">C232+E232</f>
        <v>7.383</v>
      </c>
      <c r="G232" s="0" t="s">
        <v>345</v>
      </c>
      <c r="H232" s="0" t="n">
        <f aca="false">ROUNDUP(F232/10,0)</f>
        <v>1</v>
      </c>
      <c r="I232" s="0" t="s">
        <v>639</v>
      </c>
    </row>
    <row r="233" customFormat="false" ht="15" hidden="false" customHeight="false" outlineLevel="0" collapsed="false">
      <c r="A233" s="0" t="s">
        <v>646</v>
      </c>
      <c r="B233" s="0" t="s">
        <v>357</v>
      </c>
      <c r="C233" s="0" t="n">
        <v>110</v>
      </c>
      <c r="D233" s="0" t="n">
        <f aca="false">Inputs!$B$5</f>
        <v>0.06</v>
      </c>
      <c r="E233" s="0" t="n">
        <f aca="false">C233*D233</f>
        <v>6.6</v>
      </c>
      <c r="F233" s="0" t="n">
        <f aca="false">C233+E233</f>
        <v>116.6</v>
      </c>
      <c r="G233" s="0" t="s">
        <v>376</v>
      </c>
      <c r="H233" s="0" t="n">
        <f aca="false">ROUNDUP(F233/48,0)</f>
        <v>3</v>
      </c>
      <c r="I233" s="0" t="s">
        <v>647</v>
      </c>
    </row>
    <row r="234" customFormat="false" ht="15" hidden="false" customHeight="false" outlineLevel="0" collapsed="false">
      <c r="A234" s="0" t="s">
        <v>648</v>
      </c>
      <c r="B234" s="0" t="s">
        <v>357</v>
      </c>
      <c r="C234" s="0" t="n">
        <v>110</v>
      </c>
      <c r="D234" s="0" t="n">
        <f aca="false">Inputs!$B$5</f>
        <v>0.06</v>
      </c>
      <c r="E234" s="0" t="n">
        <f aca="false">C234*D234</f>
        <v>6.6</v>
      </c>
      <c r="F234" s="0" t="n">
        <f aca="false">C234+E234</f>
        <v>116.6</v>
      </c>
      <c r="G234" s="0" t="s">
        <v>376</v>
      </c>
      <c r="H234" s="0" t="n">
        <f aca="false">ROUNDUP(F234/48,0)</f>
        <v>3</v>
      </c>
      <c r="I234" s="0" t="s">
        <v>647</v>
      </c>
    </row>
    <row r="235" customFormat="false" ht="15" hidden="false" customHeight="false" outlineLevel="0" collapsed="false">
      <c r="A235" s="0" t="s">
        <v>649</v>
      </c>
      <c r="B235" s="0" t="s">
        <v>357</v>
      </c>
      <c r="C235" s="0" t="n">
        <v>5</v>
      </c>
      <c r="D235" s="0" t="n">
        <f aca="false">Inputs!$B$5</f>
        <v>0.06</v>
      </c>
      <c r="E235" s="0" t="n">
        <f aca="false">C235*D235</f>
        <v>0.3</v>
      </c>
      <c r="F235" s="0" t="n">
        <f aca="false">C235+E235</f>
        <v>5.3</v>
      </c>
      <c r="G235" s="0" t="s">
        <v>376</v>
      </c>
      <c r="H235" s="0" t="n">
        <f aca="false">ROUNDUP(F235/48,0)</f>
        <v>1</v>
      </c>
      <c r="I235" s="0" t="s">
        <v>647</v>
      </c>
    </row>
    <row r="236" customFormat="false" ht="15" hidden="false" customHeight="false" outlineLevel="0" collapsed="false">
      <c r="A236" s="0" t="s">
        <v>650</v>
      </c>
      <c r="B236" s="0" t="s">
        <v>328</v>
      </c>
      <c r="C236" s="0" t="n">
        <v>73.33</v>
      </c>
      <c r="D236" s="0" t="n">
        <f aca="false">Inputs!$B$4</f>
        <v>0.15</v>
      </c>
      <c r="E236" s="0" t="n">
        <f aca="false">C236*D236</f>
        <v>10.9995</v>
      </c>
      <c r="F236" s="0" t="n">
        <f aca="false">C236+E236</f>
        <v>84.3295</v>
      </c>
      <c r="G236" s="0" t="s">
        <v>329</v>
      </c>
      <c r="H236" s="0" t="n">
        <f aca="false">ROUNDUP(ROUNDUP(F236/7.33,0)/MAX(1,INT(20/7.33)),0)</f>
        <v>6</v>
      </c>
      <c r="I236" s="0" t="s">
        <v>647</v>
      </c>
    </row>
    <row r="237" customFormat="false" ht="15" hidden="false" customHeight="false" outlineLevel="0" collapsed="false">
      <c r="A237" s="0" t="s">
        <v>651</v>
      </c>
      <c r="B237" s="0" t="s">
        <v>328</v>
      </c>
      <c r="C237" s="0" t="n">
        <v>8.83</v>
      </c>
      <c r="D237" s="0" t="n">
        <f aca="false">Inputs!$B$4</f>
        <v>0.15</v>
      </c>
      <c r="E237" s="0" t="n">
        <f aca="false">C237*D237</f>
        <v>1.3245</v>
      </c>
      <c r="F237" s="0" t="n">
        <f aca="false">C237+E237</f>
        <v>10.1545</v>
      </c>
      <c r="G237" s="0" t="s">
        <v>345</v>
      </c>
      <c r="H237" s="0" t="n">
        <f aca="false">ROUNDUP(F237/10,0)</f>
        <v>2</v>
      </c>
      <c r="I237" s="0" t="s">
        <v>647</v>
      </c>
    </row>
    <row r="238" customFormat="false" ht="15" hidden="false" customHeight="false" outlineLevel="0" collapsed="false">
      <c r="A238" s="0" t="s">
        <v>652</v>
      </c>
      <c r="B238" s="0" t="s">
        <v>328</v>
      </c>
      <c r="C238" s="0" t="n">
        <v>15</v>
      </c>
      <c r="D238" s="0" t="n">
        <f aca="false">Inputs!$B$4</f>
        <v>0.15</v>
      </c>
      <c r="E238" s="0" t="n">
        <f aca="false">C238*D238</f>
        <v>2.25</v>
      </c>
      <c r="F238" s="0" t="n">
        <f aca="false">C238+E238</f>
        <v>17.25</v>
      </c>
      <c r="G238" s="0" t="s">
        <v>345</v>
      </c>
      <c r="H238" s="0" t="n">
        <f aca="false">ROUNDUP(F238/10,0)</f>
        <v>2</v>
      </c>
      <c r="I238" s="0" t="s">
        <v>647</v>
      </c>
    </row>
    <row r="239" customFormat="false" ht="15" hidden="false" customHeight="false" outlineLevel="0" collapsed="false">
      <c r="A239" s="0" t="s">
        <v>653</v>
      </c>
      <c r="B239" s="0" t="s">
        <v>328</v>
      </c>
      <c r="C239" s="0" t="n">
        <v>15</v>
      </c>
      <c r="D239" s="0" t="n">
        <f aca="false">Inputs!$B$4</f>
        <v>0.15</v>
      </c>
      <c r="E239" s="0" t="n">
        <f aca="false">C239*D239</f>
        <v>2.25</v>
      </c>
      <c r="F239" s="0" t="n">
        <f aca="false">C239+E239</f>
        <v>17.25</v>
      </c>
      <c r="G239" s="0" t="s">
        <v>345</v>
      </c>
      <c r="H239" s="0" t="n">
        <f aca="false">ROUNDUP(F239/10,0)</f>
        <v>2</v>
      </c>
      <c r="I239" s="0" t="s">
        <v>647</v>
      </c>
    </row>
    <row r="240" customFormat="false" ht="15" hidden="false" customHeight="false" outlineLevel="0" collapsed="false">
      <c r="A240" s="0" t="s">
        <v>654</v>
      </c>
      <c r="B240" s="0" t="s">
        <v>328</v>
      </c>
      <c r="C240" s="0" t="n">
        <v>7.5</v>
      </c>
      <c r="D240" s="0" t="n">
        <f aca="false">Inputs!$B$5</f>
        <v>0.06</v>
      </c>
      <c r="E240" s="0" t="n">
        <f aca="false">C240*D240</f>
        <v>0.45</v>
      </c>
      <c r="F240" s="0" t="n">
        <f aca="false">C240+E240</f>
        <v>7.95</v>
      </c>
      <c r="G240" s="0" t="s">
        <v>345</v>
      </c>
      <c r="H240" s="0" t="n">
        <f aca="false">ROUNDUP(F240/10,0)</f>
        <v>1</v>
      </c>
      <c r="I240" s="0" t="s">
        <v>647</v>
      </c>
    </row>
    <row r="241" customFormat="false" ht="15" hidden="false" customHeight="false" outlineLevel="0" collapsed="false">
      <c r="A241" s="0" t="s">
        <v>655</v>
      </c>
      <c r="B241" s="0" t="s">
        <v>328</v>
      </c>
      <c r="C241" s="0" t="n">
        <v>7.5</v>
      </c>
      <c r="D241" s="0" t="n">
        <f aca="false">Inputs!$B$5</f>
        <v>0.06</v>
      </c>
      <c r="E241" s="0" t="n">
        <f aca="false">C241*D241</f>
        <v>0.45</v>
      </c>
      <c r="F241" s="0" t="n">
        <f aca="false">C241+E241</f>
        <v>7.95</v>
      </c>
      <c r="G241" s="0" t="s">
        <v>345</v>
      </c>
      <c r="H241" s="0" t="n">
        <f aca="false">ROUNDUP(F241/10,0)</f>
        <v>1</v>
      </c>
      <c r="I241" s="0" t="s">
        <v>647</v>
      </c>
    </row>
    <row r="242" customFormat="false" ht="15" hidden="false" customHeight="false" outlineLevel="0" collapsed="false">
      <c r="A242" s="0" t="s">
        <v>656</v>
      </c>
      <c r="B242" s="0" t="s">
        <v>328</v>
      </c>
      <c r="C242" s="0" t="n">
        <v>15</v>
      </c>
      <c r="D242" s="0" t="n">
        <f aca="false">Inputs!$B$4</f>
        <v>0.15</v>
      </c>
      <c r="E242" s="0" t="n">
        <f aca="false">C242*D242</f>
        <v>2.25</v>
      </c>
      <c r="F242" s="0" t="n">
        <f aca="false">C242+E242</f>
        <v>17.25</v>
      </c>
      <c r="G242" s="0" t="s">
        <v>345</v>
      </c>
      <c r="H242" s="0" t="n">
        <f aca="false">ROUNDUP(F242/10,0)</f>
        <v>2</v>
      </c>
      <c r="I242" s="0" t="s">
        <v>647</v>
      </c>
    </row>
    <row r="243" customFormat="false" ht="15" hidden="false" customHeight="false" outlineLevel="0" collapsed="false">
      <c r="A243" s="0" t="s">
        <v>657</v>
      </c>
      <c r="B243" s="0" t="s">
        <v>328</v>
      </c>
      <c r="C243" s="0" t="n">
        <v>15</v>
      </c>
      <c r="D243" s="0" t="n">
        <f aca="false">Inputs!$B$4</f>
        <v>0.15</v>
      </c>
      <c r="E243" s="0" t="n">
        <f aca="false">C243*D243</f>
        <v>2.25</v>
      </c>
      <c r="F243" s="0" t="n">
        <f aca="false">C243+E243</f>
        <v>17.25</v>
      </c>
      <c r="G243" s="0" t="s">
        <v>345</v>
      </c>
      <c r="H243" s="0" t="n">
        <f aca="false">ROUNDUP(F243/10,0)</f>
        <v>2</v>
      </c>
      <c r="I243" s="0" t="s">
        <v>647</v>
      </c>
    </row>
    <row r="244" customFormat="false" ht="15" hidden="false" customHeight="false" outlineLevel="0" collapsed="false">
      <c r="A244" s="0" t="s">
        <v>658</v>
      </c>
      <c r="B244" s="0" t="s">
        <v>328</v>
      </c>
      <c r="C244" s="0" t="n">
        <v>15</v>
      </c>
      <c r="D244" s="0" t="n">
        <f aca="false">Inputs!$B$5</f>
        <v>0.06</v>
      </c>
      <c r="E244" s="0" t="n">
        <f aca="false">C244*D244</f>
        <v>0.9</v>
      </c>
      <c r="F244" s="0" t="n">
        <f aca="false">C244+E244</f>
        <v>15.9</v>
      </c>
      <c r="G244" s="0" t="s">
        <v>352</v>
      </c>
      <c r="H244" s="0" t="n">
        <f aca="false">ROUNDUP(F244,0)</f>
        <v>16</v>
      </c>
      <c r="I244" s="0" t="s">
        <v>647</v>
      </c>
    </row>
    <row r="245" customFormat="false" ht="15" hidden="false" customHeight="false" outlineLevel="0" collapsed="false">
      <c r="A245" s="0" t="s">
        <v>659</v>
      </c>
      <c r="B245" s="0" t="s">
        <v>328</v>
      </c>
      <c r="C245" s="0" t="n">
        <v>15</v>
      </c>
      <c r="D245" s="0" t="n">
        <f aca="false">Inputs!$B$5</f>
        <v>0.06</v>
      </c>
      <c r="E245" s="0" t="n">
        <f aca="false">C245*D245</f>
        <v>0.9</v>
      </c>
      <c r="F245" s="0" t="n">
        <f aca="false">C245+E245</f>
        <v>15.9</v>
      </c>
      <c r="G245" s="0" t="s">
        <v>352</v>
      </c>
      <c r="H245" s="0" t="n">
        <f aca="false">ROUNDUP(F245,0)</f>
        <v>16</v>
      </c>
      <c r="I245" s="0" t="s">
        <v>647</v>
      </c>
    </row>
    <row r="246" customFormat="false" ht="15" hidden="false" customHeight="false" outlineLevel="0" collapsed="false">
      <c r="A246" s="0" t="s">
        <v>660</v>
      </c>
      <c r="B246" s="0" t="s">
        <v>357</v>
      </c>
      <c r="C246" s="0" t="n">
        <v>55</v>
      </c>
      <c r="D246" s="0" t="n">
        <f aca="false">Inputs!$B$5</f>
        <v>0.06</v>
      </c>
      <c r="E246" s="0" t="n">
        <f aca="false">C246*D246</f>
        <v>3.3</v>
      </c>
      <c r="F246" s="0" t="n">
        <f aca="false">C246+E246</f>
        <v>58.3</v>
      </c>
      <c r="G246" s="0" t="s">
        <v>357</v>
      </c>
      <c r="H246" s="0" t="n">
        <f aca="false">ROUNDUP(F246,0)</f>
        <v>59</v>
      </c>
      <c r="I246" s="0" t="s">
        <v>647</v>
      </c>
    </row>
    <row r="247" customFormat="false" ht="15" hidden="false" customHeight="false" outlineLevel="0" collapsed="false">
      <c r="A247" s="0" t="s">
        <v>661</v>
      </c>
      <c r="B247" s="0" t="s">
        <v>328</v>
      </c>
      <c r="C247" s="0" t="n">
        <v>15</v>
      </c>
      <c r="D247" s="0" t="n">
        <f aca="false">Inputs!$B$4</f>
        <v>0.15</v>
      </c>
      <c r="E247" s="0" t="n">
        <f aca="false">C247*D247</f>
        <v>2.25</v>
      </c>
      <c r="F247" s="0" t="n">
        <f aca="false">C247+E247</f>
        <v>17.25</v>
      </c>
      <c r="G247" s="0" t="s">
        <v>349</v>
      </c>
      <c r="H247" s="0" t="n">
        <f aca="false">ROUNDUP(F247/16,0)</f>
        <v>2</v>
      </c>
      <c r="I247" s="0" t="s">
        <v>635</v>
      </c>
    </row>
    <row r="248" customFormat="false" ht="15" hidden="false" customHeight="false" outlineLevel="0" collapsed="false">
      <c r="A248" s="0" t="s">
        <v>662</v>
      </c>
      <c r="B248" s="0" t="s">
        <v>357</v>
      </c>
      <c r="C248" s="0" t="n">
        <v>110</v>
      </c>
      <c r="D248" s="0" t="n">
        <f aca="false">Inputs!$B$5</f>
        <v>0.06</v>
      </c>
      <c r="E248" s="0" t="n">
        <f aca="false">C248*D248</f>
        <v>6.6</v>
      </c>
      <c r="F248" s="0" t="n">
        <f aca="false">C248+E248</f>
        <v>116.6</v>
      </c>
      <c r="G248" s="0" t="s">
        <v>376</v>
      </c>
      <c r="H248" s="0" t="n">
        <f aca="false">ROUNDUP(F248/48,0)</f>
        <v>3</v>
      </c>
      <c r="I248" s="0" t="s">
        <v>647</v>
      </c>
    </row>
    <row r="249" customFormat="false" ht="15" hidden="false" customHeight="false" outlineLevel="0" collapsed="false">
      <c r="A249" s="0" t="s">
        <v>663</v>
      </c>
      <c r="B249" s="0" t="s">
        <v>357</v>
      </c>
      <c r="C249" s="0" t="n">
        <v>110</v>
      </c>
      <c r="D249" s="0" t="n">
        <f aca="false">Inputs!$B$5</f>
        <v>0.06</v>
      </c>
      <c r="E249" s="0" t="n">
        <f aca="false">C249*D249</f>
        <v>6.6</v>
      </c>
      <c r="F249" s="0" t="n">
        <f aca="false">C249+E249</f>
        <v>116.6</v>
      </c>
      <c r="G249" s="0" t="s">
        <v>376</v>
      </c>
      <c r="H249" s="0" t="n">
        <f aca="false">ROUNDUP(F249/48,0)</f>
        <v>3</v>
      </c>
      <c r="I249" s="0" t="s">
        <v>647</v>
      </c>
    </row>
    <row r="250" customFormat="false" ht="15" hidden="false" customHeight="false" outlineLevel="0" collapsed="false">
      <c r="A250" s="0" t="s">
        <v>664</v>
      </c>
      <c r="B250" s="0" t="s">
        <v>357</v>
      </c>
      <c r="C250" s="0" t="n">
        <v>5</v>
      </c>
      <c r="D250" s="0" t="n">
        <f aca="false">Inputs!$B$5</f>
        <v>0.06</v>
      </c>
      <c r="E250" s="0" t="n">
        <f aca="false">C250*D250</f>
        <v>0.3</v>
      </c>
      <c r="F250" s="0" t="n">
        <f aca="false">C250+E250</f>
        <v>5.3</v>
      </c>
      <c r="G250" s="0" t="s">
        <v>376</v>
      </c>
      <c r="H250" s="0" t="n">
        <f aca="false">ROUNDUP(F250/48,0)</f>
        <v>1</v>
      </c>
      <c r="I250" s="0" t="s">
        <v>647</v>
      </c>
    </row>
    <row r="251" customFormat="false" ht="15" hidden="false" customHeight="false" outlineLevel="0" collapsed="false">
      <c r="A251" s="0" t="s">
        <v>665</v>
      </c>
      <c r="B251" s="0" t="s">
        <v>328</v>
      </c>
      <c r="C251" s="0" t="n">
        <v>73.33</v>
      </c>
      <c r="D251" s="0" t="n">
        <f aca="false">Inputs!$B$4</f>
        <v>0.15</v>
      </c>
      <c r="E251" s="0" t="n">
        <f aca="false">C251*D251</f>
        <v>10.9995</v>
      </c>
      <c r="F251" s="0" t="n">
        <f aca="false">C251+E251</f>
        <v>84.3295</v>
      </c>
      <c r="G251" s="0" t="s">
        <v>329</v>
      </c>
      <c r="H251" s="0" t="n">
        <f aca="false">ROUNDUP(ROUNDUP(F251/7.33,0)/MAX(1,INT(20/7.33)),0)</f>
        <v>6</v>
      </c>
      <c r="I251" s="0" t="s">
        <v>647</v>
      </c>
    </row>
    <row r="252" customFormat="false" ht="15" hidden="false" customHeight="false" outlineLevel="0" collapsed="false">
      <c r="A252" s="0" t="s">
        <v>666</v>
      </c>
      <c r="B252" s="0" t="s">
        <v>328</v>
      </c>
      <c r="C252" s="0" t="n">
        <v>8.83</v>
      </c>
      <c r="D252" s="0" t="n">
        <f aca="false">Inputs!$B$4</f>
        <v>0.15</v>
      </c>
      <c r="E252" s="0" t="n">
        <f aca="false">C252*D252</f>
        <v>1.3245</v>
      </c>
      <c r="F252" s="0" t="n">
        <f aca="false">C252+E252</f>
        <v>10.1545</v>
      </c>
      <c r="G252" s="0" t="s">
        <v>345</v>
      </c>
      <c r="H252" s="0" t="n">
        <f aca="false">ROUNDUP(F252/10,0)</f>
        <v>2</v>
      </c>
      <c r="I252" s="0" t="s">
        <v>647</v>
      </c>
    </row>
    <row r="253" customFormat="false" ht="15" hidden="false" customHeight="false" outlineLevel="0" collapsed="false">
      <c r="A253" s="0" t="s">
        <v>667</v>
      </c>
      <c r="B253" s="0" t="s">
        <v>328</v>
      </c>
      <c r="C253" s="0" t="n">
        <v>15</v>
      </c>
      <c r="D253" s="0" t="n">
        <f aca="false">Inputs!$B$4</f>
        <v>0.15</v>
      </c>
      <c r="E253" s="0" t="n">
        <f aca="false">C253*D253</f>
        <v>2.25</v>
      </c>
      <c r="F253" s="0" t="n">
        <f aca="false">C253+E253</f>
        <v>17.25</v>
      </c>
      <c r="G253" s="0" t="s">
        <v>345</v>
      </c>
      <c r="H253" s="0" t="n">
        <f aca="false">ROUNDUP(F253/10,0)</f>
        <v>2</v>
      </c>
      <c r="I253" s="0" t="s">
        <v>647</v>
      </c>
    </row>
    <row r="254" customFormat="false" ht="15" hidden="false" customHeight="false" outlineLevel="0" collapsed="false">
      <c r="A254" s="0" t="s">
        <v>668</v>
      </c>
      <c r="B254" s="0" t="s">
        <v>328</v>
      </c>
      <c r="C254" s="0" t="n">
        <v>15</v>
      </c>
      <c r="D254" s="0" t="n">
        <f aca="false">Inputs!$B$4</f>
        <v>0.15</v>
      </c>
      <c r="E254" s="0" t="n">
        <f aca="false">C254*D254</f>
        <v>2.25</v>
      </c>
      <c r="F254" s="0" t="n">
        <f aca="false">C254+E254</f>
        <v>17.25</v>
      </c>
      <c r="G254" s="0" t="s">
        <v>345</v>
      </c>
      <c r="H254" s="0" t="n">
        <f aca="false">ROUNDUP(F254/10,0)</f>
        <v>2</v>
      </c>
      <c r="I254" s="0" t="s">
        <v>647</v>
      </c>
    </row>
    <row r="255" customFormat="false" ht="15" hidden="false" customHeight="false" outlineLevel="0" collapsed="false">
      <c r="A255" s="0" t="s">
        <v>669</v>
      </c>
      <c r="B255" s="0" t="s">
        <v>328</v>
      </c>
      <c r="C255" s="0" t="n">
        <v>7.5</v>
      </c>
      <c r="D255" s="0" t="n">
        <f aca="false">Inputs!$B$5</f>
        <v>0.06</v>
      </c>
      <c r="E255" s="0" t="n">
        <f aca="false">C255*D255</f>
        <v>0.45</v>
      </c>
      <c r="F255" s="0" t="n">
        <f aca="false">C255+E255</f>
        <v>7.95</v>
      </c>
      <c r="G255" s="0" t="s">
        <v>345</v>
      </c>
      <c r="H255" s="0" t="n">
        <f aca="false">ROUNDUP(F255/10,0)</f>
        <v>1</v>
      </c>
      <c r="I255" s="0" t="s">
        <v>647</v>
      </c>
    </row>
    <row r="256" customFormat="false" ht="15" hidden="false" customHeight="false" outlineLevel="0" collapsed="false">
      <c r="A256" s="0" t="s">
        <v>670</v>
      </c>
      <c r="B256" s="0" t="s">
        <v>328</v>
      </c>
      <c r="C256" s="0" t="n">
        <v>7.5</v>
      </c>
      <c r="D256" s="0" t="n">
        <f aca="false">Inputs!$B$5</f>
        <v>0.06</v>
      </c>
      <c r="E256" s="0" t="n">
        <f aca="false">C256*D256</f>
        <v>0.45</v>
      </c>
      <c r="F256" s="0" t="n">
        <f aca="false">C256+E256</f>
        <v>7.95</v>
      </c>
      <c r="G256" s="0" t="s">
        <v>345</v>
      </c>
      <c r="H256" s="0" t="n">
        <f aca="false">ROUNDUP(F256/10,0)</f>
        <v>1</v>
      </c>
      <c r="I256" s="0" t="s">
        <v>647</v>
      </c>
    </row>
    <row r="257" customFormat="false" ht="15" hidden="false" customHeight="false" outlineLevel="0" collapsed="false">
      <c r="A257" s="0" t="s">
        <v>671</v>
      </c>
      <c r="B257" s="0" t="s">
        <v>328</v>
      </c>
      <c r="C257" s="0" t="n">
        <v>15</v>
      </c>
      <c r="D257" s="0" t="n">
        <f aca="false">Inputs!$B$4</f>
        <v>0.15</v>
      </c>
      <c r="E257" s="0" t="n">
        <f aca="false">C257*D257</f>
        <v>2.25</v>
      </c>
      <c r="F257" s="0" t="n">
        <f aca="false">C257+E257</f>
        <v>17.25</v>
      </c>
      <c r="G257" s="0" t="s">
        <v>345</v>
      </c>
      <c r="H257" s="0" t="n">
        <f aca="false">ROUNDUP(F257/10,0)</f>
        <v>2</v>
      </c>
      <c r="I257" s="0" t="s">
        <v>647</v>
      </c>
    </row>
    <row r="258" customFormat="false" ht="15" hidden="false" customHeight="false" outlineLevel="0" collapsed="false">
      <c r="A258" s="0" t="s">
        <v>672</v>
      </c>
      <c r="B258" s="0" t="s">
        <v>328</v>
      </c>
      <c r="C258" s="0" t="n">
        <v>15</v>
      </c>
      <c r="D258" s="0" t="n">
        <f aca="false">Inputs!$B$4</f>
        <v>0.15</v>
      </c>
      <c r="E258" s="0" t="n">
        <f aca="false">C258*D258</f>
        <v>2.25</v>
      </c>
      <c r="F258" s="0" t="n">
        <f aca="false">C258+E258</f>
        <v>17.25</v>
      </c>
      <c r="G258" s="0" t="s">
        <v>345</v>
      </c>
      <c r="H258" s="0" t="n">
        <f aca="false">ROUNDUP(F258/10,0)</f>
        <v>2</v>
      </c>
      <c r="I258" s="0" t="s">
        <v>647</v>
      </c>
    </row>
    <row r="259" customFormat="false" ht="15" hidden="false" customHeight="false" outlineLevel="0" collapsed="false">
      <c r="A259" s="0" t="s">
        <v>673</v>
      </c>
      <c r="B259" s="0" t="s">
        <v>328</v>
      </c>
      <c r="C259" s="0" t="n">
        <v>15</v>
      </c>
      <c r="D259" s="0" t="n">
        <f aca="false">Inputs!$B$5</f>
        <v>0.06</v>
      </c>
      <c r="E259" s="0" t="n">
        <f aca="false">C259*D259</f>
        <v>0.9</v>
      </c>
      <c r="F259" s="0" t="n">
        <f aca="false">C259+E259</f>
        <v>15.9</v>
      </c>
      <c r="G259" s="0" t="s">
        <v>352</v>
      </c>
      <c r="H259" s="0" t="n">
        <f aca="false">ROUNDUP(F259,0)</f>
        <v>16</v>
      </c>
      <c r="I259" s="0" t="s">
        <v>647</v>
      </c>
    </row>
    <row r="260" customFormat="false" ht="15" hidden="false" customHeight="false" outlineLevel="0" collapsed="false">
      <c r="A260" s="0" t="s">
        <v>674</v>
      </c>
      <c r="B260" s="0" t="s">
        <v>328</v>
      </c>
      <c r="C260" s="0" t="n">
        <v>15</v>
      </c>
      <c r="D260" s="0" t="n">
        <f aca="false">Inputs!$B$5</f>
        <v>0.06</v>
      </c>
      <c r="E260" s="0" t="n">
        <f aca="false">C260*D260</f>
        <v>0.9</v>
      </c>
      <c r="F260" s="0" t="n">
        <f aca="false">C260+E260</f>
        <v>15.9</v>
      </c>
      <c r="G260" s="0" t="s">
        <v>352</v>
      </c>
      <c r="H260" s="0" t="n">
        <f aca="false">ROUNDUP(F260,0)</f>
        <v>16</v>
      </c>
      <c r="I260" s="0" t="s">
        <v>647</v>
      </c>
    </row>
    <row r="261" customFormat="false" ht="15" hidden="false" customHeight="false" outlineLevel="0" collapsed="false">
      <c r="A261" s="0" t="s">
        <v>675</v>
      </c>
      <c r="B261" s="0" t="s">
        <v>357</v>
      </c>
      <c r="C261" s="0" t="n">
        <v>55</v>
      </c>
      <c r="D261" s="0" t="n">
        <f aca="false">Inputs!$B$5</f>
        <v>0.06</v>
      </c>
      <c r="E261" s="0" t="n">
        <f aca="false">C261*D261</f>
        <v>3.3</v>
      </c>
      <c r="F261" s="0" t="n">
        <f aca="false">C261+E261</f>
        <v>58.3</v>
      </c>
      <c r="G261" s="0" t="s">
        <v>357</v>
      </c>
      <c r="H261" s="0" t="n">
        <f aca="false">ROUNDUP(F261,0)</f>
        <v>59</v>
      </c>
      <c r="I261" s="0" t="s">
        <v>647</v>
      </c>
    </row>
    <row r="262" customFormat="false" ht="15" hidden="false" customHeight="false" outlineLevel="0" collapsed="false">
      <c r="A262" s="0" t="s">
        <v>676</v>
      </c>
      <c r="B262" s="0" t="s">
        <v>328</v>
      </c>
      <c r="C262" s="0" t="n">
        <v>15</v>
      </c>
      <c r="D262" s="0" t="n">
        <f aca="false">Inputs!$B$4</f>
        <v>0.15</v>
      </c>
      <c r="E262" s="0" t="n">
        <f aca="false">C262*D262</f>
        <v>2.25</v>
      </c>
      <c r="F262" s="0" t="n">
        <f aca="false">C262+E262</f>
        <v>17.25</v>
      </c>
      <c r="G262" s="0" t="s">
        <v>349</v>
      </c>
      <c r="H262" s="0" t="n">
        <f aca="false">ROUNDUP(F262/16,0)</f>
        <v>2</v>
      </c>
      <c r="I262" s="0" t="s">
        <v>635</v>
      </c>
    </row>
    <row r="263" customFormat="false" ht="15" hidden="false" customHeight="false" outlineLevel="0" collapsed="false">
      <c r="A263" s="0" t="s">
        <v>677</v>
      </c>
      <c r="B263" s="0" t="s">
        <v>357</v>
      </c>
      <c r="C263" s="0" t="n">
        <v>110</v>
      </c>
      <c r="D263" s="0" t="n">
        <f aca="false">Inputs!$B$5</f>
        <v>0.06</v>
      </c>
      <c r="E263" s="0" t="n">
        <f aca="false">C263*D263</f>
        <v>6.6</v>
      </c>
      <c r="F263" s="0" t="n">
        <f aca="false">C263+E263</f>
        <v>116.6</v>
      </c>
      <c r="G263" s="0" t="s">
        <v>376</v>
      </c>
      <c r="H263" s="0" t="n">
        <f aca="false">ROUNDUP(F263/48,0)</f>
        <v>3</v>
      </c>
      <c r="I263" s="0" t="s">
        <v>647</v>
      </c>
    </row>
    <row r="264" customFormat="false" ht="15" hidden="false" customHeight="false" outlineLevel="0" collapsed="false">
      <c r="A264" s="0" t="s">
        <v>678</v>
      </c>
      <c r="B264" s="0" t="s">
        <v>357</v>
      </c>
      <c r="C264" s="0" t="n">
        <v>110</v>
      </c>
      <c r="D264" s="0" t="n">
        <f aca="false">Inputs!$B$5</f>
        <v>0.06</v>
      </c>
      <c r="E264" s="0" t="n">
        <f aca="false">C264*D264</f>
        <v>6.6</v>
      </c>
      <c r="F264" s="0" t="n">
        <f aca="false">C264+E264</f>
        <v>116.6</v>
      </c>
      <c r="G264" s="0" t="s">
        <v>376</v>
      </c>
      <c r="H264" s="0" t="n">
        <f aca="false">ROUNDUP(F264/48,0)</f>
        <v>3</v>
      </c>
      <c r="I264" s="0" t="s">
        <v>647</v>
      </c>
    </row>
    <row r="265" customFormat="false" ht="15" hidden="false" customHeight="false" outlineLevel="0" collapsed="false">
      <c r="A265" s="0" t="s">
        <v>679</v>
      </c>
      <c r="B265" s="0" t="s">
        <v>357</v>
      </c>
      <c r="C265" s="0" t="n">
        <v>5</v>
      </c>
      <c r="D265" s="0" t="n">
        <f aca="false">Inputs!$B$5</f>
        <v>0.06</v>
      </c>
      <c r="E265" s="0" t="n">
        <f aca="false">C265*D265</f>
        <v>0.3</v>
      </c>
      <c r="F265" s="0" t="n">
        <f aca="false">C265+E265</f>
        <v>5.3</v>
      </c>
      <c r="G265" s="0" t="s">
        <v>376</v>
      </c>
      <c r="H265" s="0" t="n">
        <f aca="false">ROUNDUP(F265/48,0)</f>
        <v>1</v>
      </c>
      <c r="I265" s="0" t="s">
        <v>647</v>
      </c>
    </row>
    <row r="266" customFormat="false" ht="15" hidden="false" customHeight="false" outlineLevel="0" collapsed="false">
      <c r="A266" s="0" t="s">
        <v>680</v>
      </c>
      <c r="B266" s="0" t="s">
        <v>328</v>
      </c>
      <c r="C266" s="0" t="n">
        <v>73.33</v>
      </c>
      <c r="D266" s="0" t="n">
        <f aca="false">Inputs!$B$4</f>
        <v>0.15</v>
      </c>
      <c r="E266" s="0" t="n">
        <f aca="false">C266*D266</f>
        <v>10.9995</v>
      </c>
      <c r="F266" s="0" t="n">
        <f aca="false">C266+E266</f>
        <v>84.3295</v>
      </c>
      <c r="G266" s="0" t="s">
        <v>329</v>
      </c>
      <c r="H266" s="0" t="n">
        <f aca="false">ROUNDUP(ROUNDUP(F266/7.33,0)/MAX(1,INT(20/7.33)),0)</f>
        <v>6</v>
      </c>
      <c r="I266" s="0" t="s">
        <v>647</v>
      </c>
    </row>
    <row r="267" customFormat="false" ht="15" hidden="false" customHeight="false" outlineLevel="0" collapsed="false">
      <c r="A267" s="0" t="s">
        <v>681</v>
      </c>
      <c r="B267" s="0" t="s">
        <v>328</v>
      </c>
      <c r="C267" s="0" t="n">
        <v>8.83</v>
      </c>
      <c r="D267" s="0" t="n">
        <f aca="false">Inputs!$B$4</f>
        <v>0.15</v>
      </c>
      <c r="E267" s="0" t="n">
        <f aca="false">C267*D267</f>
        <v>1.3245</v>
      </c>
      <c r="F267" s="0" t="n">
        <f aca="false">C267+E267</f>
        <v>10.1545</v>
      </c>
      <c r="G267" s="0" t="s">
        <v>345</v>
      </c>
      <c r="H267" s="0" t="n">
        <f aca="false">ROUNDUP(F267/10,0)</f>
        <v>2</v>
      </c>
      <c r="I267" s="0" t="s">
        <v>647</v>
      </c>
    </row>
    <row r="268" customFormat="false" ht="15" hidden="false" customHeight="false" outlineLevel="0" collapsed="false">
      <c r="A268" s="0" t="s">
        <v>682</v>
      </c>
      <c r="B268" s="0" t="s">
        <v>328</v>
      </c>
      <c r="C268" s="0" t="n">
        <v>15</v>
      </c>
      <c r="D268" s="0" t="n">
        <f aca="false">Inputs!$B$4</f>
        <v>0.15</v>
      </c>
      <c r="E268" s="0" t="n">
        <f aca="false">C268*D268</f>
        <v>2.25</v>
      </c>
      <c r="F268" s="0" t="n">
        <f aca="false">C268+E268</f>
        <v>17.25</v>
      </c>
      <c r="G268" s="0" t="s">
        <v>345</v>
      </c>
      <c r="H268" s="0" t="n">
        <f aca="false">ROUNDUP(F268/10,0)</f>
        <v>2</v>
      </c>
      <c r="I268" s="0" t="s">
        <v>647</v>
      </c>
    </row>
    <row r="269" customFormat="false" ht="15" hidden="false" customHeight="false" outlineLevel="0" collapsed="false">
      <c r="A269" s="0" t="s">
        <v>683</v>
      </c>
      <c r="B269" s="0" t="s">
        <v>328</v>
      </c>
      <c r="C269" s="0" t="n">
        <v>15</v>
      </c>
      <c r="D269" s="0" t="n">
        <f aca="false">Inputs!$B$4</f>
        <v>0.15</v>
      </c>
      <c r="E269" s="0" t="n">
        <f aca="false">C269*D269</f>
        <v>2.25</v>
      </c>
      <c r="F269" s="0" t="n">
        <f aca="false">C269+E269</f>
        <v>17.25</v>
      </c>
      <c r="G269" s="0" t="s">
        <v>345</v>
      </c>
      <c r="H269" s="0" t="n">
        <f aca="false">ROUNDUP(F269/10,0)</f>
        <v>2</v>
      </c>
      <c r="I269" s="0" t="s">
        <v>647</v>
      </c>
    </row>
    <row r="270" customFormat="false" ht="15" hidden="false" customHeight="false" outlineLevel="0" collapsed="false">
      <c r="A270" s="0" t="s">
        <v>684</v>
      </c>
      <c r="B270" s="0" t="s">
        <v>328</v>
      </c>
      <c r="C270" s="0" t="n">
        <v>7.5</v>
      </c>
      <c r="D270" s="0" t="n">
        <f aca="false">Inputs!$B$5</f>
        <v>0.06</v>
      </c>
      <c r="E270" s="0" t="n">
        <f aca="false">C270*D270</f>
        <v>0.45</v>
      </c>
      <c r="F270" s="0" t="n">
        <f aca="false">C270+E270</f>
        <v>7.95</v>
      </c>
      <c r="G270" s="0" t="s">
        <v>345</v>
      </c>
      <c r="H270" s="0" t="n">
        <f aca="false">ROUNDUP(F270/10,0)</f>
        <v>1</v>
      </c>
      <c r="I270" s="0" t="s">
        <v>647</v>
      </c>
    </row>
    <row r="271" customFormat="false" ht="15" hidden="false" customHeight="false" outlineLevel="0" collapsed="false">
      <c r="A271" s="0" t="s">
        <v>685</v>
      </c>
      <c r="B271" s="0" t="s">
        <v>328</v>
      </c>
      <c r="C271" s="0" t="n">
        <v>7.5</v>
      </c>
      <c r="D271" s="0" t="n">
        <f aca="false">Inputs!$B$5</f>
        <v>0.06</v>
      </c>
      <c r="E271" s="0" t="n">
        <f aca="false">C271*D271</f>
        <v>0.45</v>
      </c>
      <c r="F271" s="0" t="n">
        <f aca="false">C271+E271</f>
        <v>7.95</v>
      </c>
      <c r="G271" s="0" t="s">
        <v>345</v>
      </c>
      <c r="H271" s="0" t="n">
        <f aca="false">ROUNDUP(F271/10,0)</f>
        <v>1</v>
      </c>
      <c r="I271" s="0" t="s">
        <v>647</v>
      </c>
    </row>
    <row r="272" customFormat="false" ht="15" hidden="false" customHeight="false" outlineLevel="0" collapsed="false">
      <c r="A272" s="0" t="s">
        <v>686</v>
      </c>
      <c r="B272" s="0" t="s">
        <v>328</v>
      </c>
      <c r="C272" s="0" t="n">
        <v>15</v>
      </c>
      <c r="D272" s="0" t="n">
        <f aca="false">Inputs!$B$4</f>
        <v>0.15</v>
      </c>
      <c r="E272" s="0" t="n">
        <f aca="false">C272*D272</f>
        <v>2.25</v>
      </c>
      <c r="F272" s="0" t="n">
        <f aca="false">C272+E272</f>
        <v>17.25</v>
      </c>
      <c r="G272" s="0" t="s">
        <v>345</v>
      </c>
      <c r="H272" s="0" t="n">
        <f aca="false">ROUNDUP(F272/10,0)</f>
        <v>2</v>
      </c>
      <c r="I272" s="0" t="s">
        <v>647</v>
      </c>
    </row>
    <row r="273" customFormat="false" ht="15" hidden="false" customHeight="false" outlineLevel="0" collapsed="false">
      <c r="A273" s="0" t="s">
        <v>687</v>
      </c>
      <c r="B273" s="0" t="s">
        <v>328</v>
      </c>
      <c r="C273" s="0" t="n">
        <v>15</v>
      </c>
      <c r="D273" s="0" t="n">
        <f aca="false">Inputs!$B$4</f>
        <v>0.15</v>
      </c>
      <c r="E273" s="0" t="n">
        <f aca="false">C273*D273</f>
        <v>2.25</v>
      </c>
      <c r="F273" s="0" t="n">
        <f aca="false">C273+E273</f>
        <v>17.25</v>
      </c>
      <c r="G273" s="0" t="s">
        <v>345</v>
      </c>
      <c r="H273" s="0" t="n">
        <f aca="false">ROUNDUP(F273/10,0)</f>
        <v>2</v>
      </c>
      <c r="I273" s="0" t="s">
        <v>647</v>
      </c>
    </row>
    <row r="274" customFormat="false" ht="15" hidden="false" customHeight="false" outlineLevel="0" collapsed="false">
      <c r="A274" s="0" t="s">
        <v>688</v>
      </c>
      <c r="B274" s="0" t="s">
        <v>328</v>
      </c>
      <c r="C274" s="0" t="n">
        <v>15</v>
      </c>
      <c r="D274" s="0" t="n">
        <f aca="false">Inputs!$B$5</f>
        <v>0.06</v>
      </c>
      <c r="E274" s="0" t="n">
        <f aca="false">C274*D274</f>
        <v>0.9</v>
      </c>
      <c r="F274" s="0" t="n">
        <f aca="false">C274+E274</f>
        <v>15.9</v>
      </c>
      <c r="G274" s="0" t="s">
        <v>352</v>
      </c>
      <c r="H274" s="0" t="n">
        <f aca="false">ROUNDUP(F274,0)</f>
        <v>16</v>
      </c>
      <c r="I274" s="0" t="s">
        <v>647</v>
      </c>
    </row>
    <row r="275" customFormat="false" ht="15" hidden="false" customHeight="false" outlineLevel="0" collapsed="false">
      <c r="A275" s="0" t="s">
        <v>689</v>
      </c>
      <c r="B275" s="0" t="s">
        <v>328</v>
      </c>
      <c r="C275" s="0" t="n">
        <v>15</v>
      </c>
      <c r="D275" s="0" t="n">
        <f aca="false">Inputs!$B$5</f>
        <v>0.06</v>
      </c>
      <c r="E275" s="0" t="n">
        <f aca="false">C275*D275</f>
        <v>0.9</v>
      </c>
      <c r="F275" s="0" t="n">
        <f aca="false">C275+E275</f>
        <v>15.9</v>
      </c>
      <c r="G275" s="0" t="s">
        <v>352</v>
      </c>
      <c r="H275" s="0" t="n">
        <f aca="false">ROUNDUP(F275,0)</f>
        <v>16</v>
      </c>
      <c r="I275" s="0" t="s">
        <v>647</v>
      </c>
    </row>
    <row r="276" customFormat="false" ht="15" hidden="false" customHeight="false" outlineLevel="0" collapsed="false">
      <c r="A276" s="0" t="s">
        <v>690</v>
      </c>
      <c r="B276" s="0" t="s">
        <v>357</v>
      </c>
      <c r="C276" s="0" t="n">
        <v>55</v>
      </c>
      <c r="D276" s="0" t="n">
        <f aca="false">Inputs!$B$5</f>
        <v>0.06</v>
      </c>
      <c r="E276" s="0" t="n">
        <f aca="false">C276*D276</f>
        <v>3.3</v>
      </c>
      <c r="F276" s="0" t="n">
        <f aca="false">C276+E276</f>
        <v>58.3</v>
      </c>
      <c r="G276" s="0" t="s">
        <v>357</v>
      </c>
      <c r="H276" s="0" t="n">
        <f aca="false">ROUNDUP(F276,0)</f>
        <v>59</v>
      </c>
      <c r="I276" s="0" t="s">
        <v>647</v>
      </c>
    </row>
    <row r="277" customFormat="false" ht="15" hidden="false" customHeight="false" outlineLevel="0" collapsed="false">
      <c r="A277" s="0" t="s">
        <v>691</v>
      </c>
      <c r="B277" s="0" t="s">
        <v>328</v>
      </c>
      <c r="C277" s="0" t="n">
        <v>15</v>
      </c>
      <c r="D277" s="0" t="n">
        <f aca="false">Inputs!$B$4</f>
        <v>0.15</v>
      </c>
      <c r="E277" s="0" t="n">
        <f aca="false">C277*D277</f>
        <v>2.25</v>
      </c>
      <c r="F277" s="0" t="n">
        <f aca="false">C277+E277</f>
        <v>17.25</v>
      </c>
      <c r="G277" s="0" t="s">
        <v>349</v>
      </c>
      <c r="H277" s="0" t="n">
        <f aca="false">ROUNDUP(F277/16,0)</f>
        <v>2</v>
      </c>
      <c r="I277" s="0" t="s">
        <v>635</v>
      </c>
    </row>
    <row r="278" customFormat="false" ht="15" hidden="false" customHeight="false" outlineLevel="0" collapsed="false">
      <c r="A278" s="0" t="s">
        <v>692</v>
      </c>
      <c r="B278" s="0" t="s">
        <v>357</v>
      </c>
      <c r="C278" s="0" t="n">
        <v>110</v>
      </c>
      <c r="D278" s="0" t="n">
        <f aca="false">Inputs!$B$5</f>
        <v>0.06</v>
      </c>
      <c r="E278" s="0" t="n">
        <f aca="false">C278*D278</f>
        <v>6.6</v>
      </c>
      <c r="F278" s="0" t="n">
        <f aca="false">C278+E278</f>
        <v>116.6</v>
      </c>
      <c r="G278" s="0" t="s">
        <v>376</v>
      </c>
      <c r="H278" s="0" t="n">
        <f aca="false">ROUNDUP(F278/48,0)</f>
        <v>3</v>
      </c>
      <c r="I278" s="0" t="s">
        <v>647</v>
      </c>
    </row>
    <row r="279" customFormat="false" ht="15" hidden="false" customHeight="false" outlineLevel="0" collapsed="false">
      <c r="A279" s="0" t="s">
        <v>693</v>
      </c>
      <c r="B279" s="0" t="s">
        <v>357</v>
      </c>
      <c r="C279" s="0" t="n">
        <v>110</v>
      </c>
      <c r="D279" s="0" t="n">
        <f aca="false">Inputs!$B$5</f>
        <v>0.06</v>
      </c>
      <c r="E279" s="0" t="n">
        <f aca="false">C279*D279</f>
        <v>6.6</v>
      </c>
      <c r="F279" s="0" t="n">
        <f aca="false">C279+E279</f>
        <v>116.6</v>
      </c>
      <c r="G279" s="0" t="s">
        <v>376</v>
      </c>
      <c r="H279" s="0" t="n">
        <f aca="false">ROUNDUP(F279/48,0)</f>
        <v>3</v>
      </c>
      <c r="I279" s="0" t="s">
        <v>647</v>
      </c>
    </row>
    <row r="280" customFormat="false" ht="15" hidden="false" customHeight="false" outlineLevel="0" collapsed="false">
      <c r="A280" s="0" t="s">
        <v>694</v>
      </c>
      <c r="B280" s="0" t="s">
        <v>357</v>
      </c>
      <c r="C280" s="0" t="n">
        <v>5</v>
      </c>
      <c r="D280" s="0" t="n">
        <f aca="false">Inputs!$B$5</f>
        <v>0.06</v>
      </c>
      <c r="E280" s="0" t="n">
        <f aca="false">C280*D280</f>
        <v>0.3</v>
      </c>
      <c r="F280" s="0" t="n">
        <f aca="false">C280+E280</f>
        <v>5.3</v>
      </c>
      <c r="G280" s="0" t="s">
        <v>376</v>
      </c>
      <c r="H280" s="0" t="n">
        <f aca="false">ROUNDUP(F280/48,0)</f>
        <v>1</v>
      </c>
      <c r="I280" s="0" t="s">
        <v>647</v>
      </c>
    </row>
    <row r="281" customFormat="false" ht="15" hidden="false" customHeight="false" outlineLevel="0" collapsed="false">
      <c r="A281" s="0" t="s">
        <v>695</v>
      </c>
      <c r="B281" s="0" t="s">
        <v>328</v>
      </c>
      <c r="C281" s="0" t="n">
        <v>73.33</v>
      </c>
      <c r="D281" s="0" t="n">
        <f aca="false">Inputs!$B$4</f>
        <v>0.15</v>
      </c>
      <c r="E281" s="0" t="n">
        <f aca="false">C281*D281</f>
        <v>10.9995</v>
      </c>
      <c r="F281" s="0" t="n">
        <f aca="false">C281+E281</f>
        <v>84.3295</v>
      </c>
      <c r="G281" s="0" t="s">
        <v>329</v>
      </c>
      <c r="H281" s="0" t="n">
        <f aca="false">ROUNDUP(ROUNDUP(F281/7.33,0)/MAX(1,INT(20/7.33)),0)</f>
        <v>6</v>
      </c>
      <c r="I281" s="0" t="s">
        <v>647</v>
      </c>
    </row>
    <row r="282" customFormat="false" ht="15" hidden="false" customHeight="false" outlineLevel="0" collapsed="false">
      <c r="A282" s="0" t="s">
        <v>696</v>
      </c>
      <c r="B282" s="0" t="s">
        <v>328</v>
      </c>
      <c r="C282" s="0" t="n">
        <v>8.83</v>
      </c>
      <c r="D282" s="0" t="n">
        <f aca="false">Inputs!$B$4</f>
        <v>0.15</v>
      </c>
      <c r="E282" s="0" t="n">
        <f aca="false">C282*D282</f>
        <v>1.3245</v>
      </c>
      <c r="F282" s="0" t="n">
        <f aca="false">C282+E282</f>
        <v>10.1545</v>
      </c>
      <c r="G282" s="0" t="s">
        <v>345</v>
      </c>
      <c r="H282" s="0" t="n">
        <f aca="false">ROUNDUP(F282/10,0)</f>
        <v>2</v>
      </c>
      <c r="I282" s="0" t="s">
        <v>647</v>
      </c>
    </row>
    <row r="283" customFormat="false" ht="15" hidden="false" customHeight="false" outlineLevel="0" collapsed="false">
      <c r="A283" s="0" t="s">
        <v>697</v>
      </c>
      <c r="B283" s="0" t="s">
        <v>328</v>
      </c>
      <c r="C283" s="0" t="n">
        <v>15</v>
      </c>
      <c r="D283" s="0" t="n">
        <f aca="false">Inputs!$B$4</f>
        <v>0.15</v>
      </c>
      <c r="E283" s="0" t="n">
        <f aca="false">C283*D283</f>
        <v>2.25</v>
      </c>
      <c r="F283" s="0" t="n">
        <f aca="false">C283+E283</f>
        <v>17.25</v>
      </c>
      <c r="G283" s="0" t="s">
        <v>345</v>
      </c>
      <c r="H283" s="0" t="n">
        <f aca="false">ROUNDUP(F283/10,0)</f>
        <v>2</v>
      </c>
      <c r="I283" s="0" t="s">
        <v>647</v>
      </c>
    </row>
    <row r="284" customFormat="false" ht="15" hidden="false" customHeight="false" outlineLevel="0" collapsed="false">
      <c r="A284" s="0" t="s">
        <v>698</v>
      </c>
      <c r="B284" s="0" t="s">
        <v>328</v>
      </c>
      <c r="C284" s="0" t="n">
        <v>15</v>
      </c>
      <c r="D284" s="0" t="n">
        <f aca="false">Inputs!$B$4</f>
        <v>0.15</v>
      </c>
      <c r="E284" s="0" t="n">
        <f aca="false">C284*D284</f>
        <v>2.25</v>
      </c>
      <c r="F284" s="0" t="n">
        <f aca="false">C284+E284</f>
        <v>17.25</v>
      </c>
      <c r="G284" s="0" t="s">
        <v>345</v>
      </c>
      <c r="H284" s="0" t="n">
        <f aca="false">ROUNDUP(F284/10,0)</f>
        <v>2</v>
      </c>
      <c r="I284" s="0" t="s">
        <v>647</v>
      </c>
    </row>
    <row r="285" customFormat="false" ht="15" hidden="false" customHeight="false" outlineLevel="0" collapsed="false">
      <c r="A285" s="0" t="s">
        <v>699</v>
      </c>
      <c r="B285" s="0" t="s">
        <v>328</v>
      </c>
      <c r="C285" s="0" t="n">
        <v>7.5</v>
      </c>
      <c r="D285" s="0" t="n">
        <f aca="false">Inputs!$B$5</f>
        <v>0.06</v>
      </c>
      <c r="E285" s="0" t="n">
        <f aca="false">C285*D285</f>
        <v>0.45</v>
      </c>
      <c r="F285" s="0" t="n">
        <f aca="false">C285+E285</f>
        <v>7.95</v>
      </c>
      <c r="G285" s="0" t="s">
        <v>345</v>
      </c>
      <c r="H285" s="0" t="n">
        <f aca="false">ROUNDUP(F285/10,0)</f>
        <v>1</v>
      </c>
      <c r="I285" s="0" t="s">
        <v>647</v>
      </c>
    </row>
    <row r="286" customFormat="false" ht="15" hidden="false" customHeight="false" outlineLevel="0" collapsed="false">
      <c r="A286" s="0" t="s">
        <v>700</v>
      </c>
      <c r="B286" s="0" t="s">
        <v>328</v>
      </c>
      <c r="C286" s="0" t="n">
        <v>7.5</v>
      </c>
      <c r="D286" s="0" t="n">
        <f aca="false">Inputs!$B$5</f>
        <v>0.06</v>
      </c>
      <c r="E286" s="0" t="n">
        <f aca="false">C286*D286</f>
        <v>0.45</v>
      </c>
      <c r="F286" s="0" t="n">
        <f aca="false">C286+E286</f>
        <v>7.95</v>
      </c>
      <c r="G286" s="0" t="s">
        <v>345</v>
      </c>
      <c r="H286" s="0" t="n">
        <f aca="false">ROUNDUP(F286/10,0)</f>
        <v>1</v>
      </c>
      <c r="I286" s="0" t="s">
        <v>647</v>
      </c>
    </row>
    <row r="287" customFormat="false" ht="15" hidden="false" customHeight="false" outlineLevel="0" collapsed="false">
      <c r="A287" s="0" t="s">
        <v>701</v>
      </c>
      <c r="B287" s="0" t="s">
        <v>328</v>
      </c>
      <c r="C287" s="0" t="n">
        <v>15</v>
      </c>
      <c r="D287" s="0" t="n">
        <f aca="false">Inputs!$B$4</f>
        <v>0.15</v>
      </c>
      <c r="E287" s="0" t="n">
        <f aca="false">C287*D287</f>
        <v>2.25</v>
      </c>
      <c r="F287" s="0" t="n">
        <f aca="false">C287+E287</f>
        <v>17.25</v>
      </c>
      <c r="G287" s="0" t="s">
        <v>345</v>
      </c>
      <c r="H287" s="0" t="n">
        <f aca="false">ROUNDUP(F287/10,0)</f>
        <v>2</v>
      </c>
      <c r="I287" s="0" t="s">
        <v>647</v>
      </c>
    </row>
    <row r="288" customFormat="false" ht="15" hidden="false" customHeight="false" outlineLevel="0" collapsed="false">
      <c r="A288" s="0" t="s">
        <v>702</v>
      </c>
      <c r="B288" s="0" t="s">
        <v>328</v>
      </c>
      <c r="C288" s="0" t="n">
        <v>15</v>
      </c>
      <c r="D288" s="0" t="n">
        <f aca="false">Inputs!$B$4</f>
        <v>0.15</v>
      </c>
      <c r="E288" s="0" t="n">
        <f aca="false">C288*D288</f>
        <v>2.25</v>
      </c>
      <c r="F288" s="0" t="n">
        <f aca="false">C288+E288</f>
        <v>17.25</v>
      </c>
      <c r="G288" s="0" t="s">
        <v>345</v>
      </c>
      <c r="H288" s="0" t="n">
        <f aca="false">ROUNDUP(F288/10,0)</f>
        <v>2</v>
      </c>
      <c r="I288" s="0" t="s">
        <v>647</v>
      </c>
    </row>
    <row r="289" customFormat="false" ht="15" hidden="false" customHeight="false" outlineLevel="0" collapsed="false">
      <c r="A289" s="0" t="s">
        <v>703</v>
      </c>
      <c r="B289" s="0" t="s">
        <v>328</v>
      </c>
      <c r="C289" s="0" t="n">
        <v>15</v>
      </c>
      <c r="D289" s="0" t="n">
        <f aca="false">Inputs!$B$5</f>
        <v>0.06</v>
      </c>
      <c r="E289" s="0" t="n">
        <f aca="false">C289*D289</f>
        <v>0.9</v>
      </c>
      <c r="F289" s="0" t="n">
        <f aca="false">C289+E289</f>
        <v>15.9</v>
      </c>
      <c r="G289" s="0" t="s">
        <v>352</v>
      </c>
      <c r="H289" s="0" t="n">
        <f aca="false">ROUNDUP(F289,0)</f>
        <v>16</v>
      </c>
      <c r="I289" s="0" t="s">
        <v>647</v>
      </c>
    </row>
    <row r="290" customFormat="false" ht="15" hidden="false" customHeight="false" outlineLevel="0" collapsed="false">
      <c r="A290" s="0" t="s">
        <v>704</v>
      </c>
      <c r="B290" s="0" t="s">
        <v>328</v>
      </c>
      <c r="C290" s="0" t="n">
        <v>15</v>
      </c>
      <c r="D290" s="0" t="n">
        <f aca="false">Inputs!$B$5</f>
        <v>0.06</v>
      </c>
      <c r="E290" s="0" t="n">
        <f aca="false">C290*D290</f>
        <v>0.9</v>
      </c>
      <c r="F290" s="0" t="n">
        <f aca="false">C290+E290</f>
        <v>15.9</v>
      </c>
      <c r="G290" s="0" t="s">
        <v>352</v>
      </c>
      <c r="H290" s="0" t="n">
        <f aca="false">ROUNDUP(F290,0)</f>
        <v>16</v>
      </c>
      <c r="I290" s="0" t="s">
        <v>647</v>
      </c>
    </row>
    <row r="291" customFormat="false" ht="15" hidden="false" customHeight="false" outlineLevel="0" collapsed="false">
      <c r="A291" s="0" t="s">
        <v>705</v>
      </c>
      <c r="B291" s="0" t="s">
        <v>357</v>
      </c>
      <c r="C291" s="0" t="n">
        <v>55</v>
      </c>
      <c r="D291" s="0" t="n">
        <f aca="false">Inputs!$B$5</f>
        <v>0.06</v>
      </c>
      <c r="E291" s="0" t="n">
        <f aca="false">C291*D291</f>
        <v>3.3</v>
      </c>
      <c r="F291" s="0" t="n">
        <f aca="false">C291+E291</f>
        <v>58.3</v>
      </c>
      <c r="G291" s="0" t="s">
        <v>357</v>
      </c>
      <c r="H291" s="0" t="n">
        <f aca="false">ROUNDUP(F291,0)</f>
        <v>59</v>
      </c>
      <c r="I291" s="0" t="s">
        <v>647</v>
      </c>
    </row>
    <row r="292" customFormat="false" ht="15" hidden="false" customHeight="false" outlineLevel="0" collapsed="false">
      <c r="A292" s="0" t="s">
        <v>706</v>
      </c>
      <c r="B292" s="0" t="s">
        <v>328</v>
      </c>
      <c r="C292" s="0" t="n">
        <v>15</v>
      </c>
      <c r="D292" s="0" t="n">
        <f aca="false">Inputs!$B$4</f>
        <v>0.15</v>
      </c>
      <c r="E292" s="0" t="n">
        <f aca="false">C292*D292</f>
        <v>2.25</v>
      </c>
      <c r="F292" s="0" t="n">
        <f aca="false">C292+E292</f>
        <v>17.25</v>
      </c>
      <c r="G292" s="0" t="s">
        <v>349</v>
      </c>
      <c r="H292" s="0" t="n">
        <f aca="false">ROUNDUP(F292/16,0)</f>
        <v>2</v>
      </c>
      <c r="I292" s="0" t="s">
        <v>635</v>
      </c>
    </row>
    <row r="293" customFormat="false" ht="15" hidden="false" customHeight="false" outlineLevel="0" collapsed="false">
      <c r="A293" s="0" t="s">
        <v>707</v>
      </c>
      <c r="B293" s="0" t="s">
        <v>357</v>
      </c>
      <c r="C293" s="0" t="n">
        <v>110</v>
      </c>
      <c r="D293" s="0" t="n">
        <f aca="false">Inputs!$B$5</f>
        <v>0.06</v>
      </c>
      <c r="E293" s="0" t="n">
        <f aca="false">C293*D293</f>
        <v>6.6</v>
      </c>
      <c r="F293" s="0" t="n">
        <f aca="false">C293+E293</f>
        <v>116.6</v>
      </c>
      <c r="G293" s="0" t="s">
        <v>376</v>
      </c>
      <c r="H293" s="0" t="n">
        <f aca="false">ROUNDUP(F293/48,0)</f>
        <v>3</v>
      </c>
      <c r="I293" s="0" t="s">
        <v>647</v>
      </c>
    </row>
    <row r="294" customFormat="false" ht="15" hidden="false" customHeight="false" outlineLevel="0" collapsed="false">
      <c r="A294" s="0" t="s">
        <v>708</v>
      </c>
      <c r="B294" s="0" t="s">
        <v>357</v>
      </c>
      <c r="C294" s="0" t="n">
        <v>110</v>
      </c>
      <c r="D294" s="0" t="n">
        <f aca="false">Inputs!$B$5</f>
        <v>0.06</v>
      </c>
      <c r="E294" s="0" t="n">
        <f aca="false">C294*D294</f>
        <v>6.6</v>
      </c>
      <c r="F294" s="0" t="n">
        <f aca="false">C294+E294</f>
        <v>116.6</v>
      </c>
      <c r="G294" s="0" t="s">
        <v>376</v>
      </c>
      <c r="H294" s="0" t="n">
        <f aca="false">ROUNDUP(F294/48,0)</f>
        <v>3</v>
      </c>
      <c r="I294" s="0" t="s">
        <v>647</v>
      </c>
    </row>
    <row r="295" customFormat="false" ht="15" hidden="false" customHeight="false" outlineLevel="0" collapsed="false">
      <c r="A295" s="0" t="s">
        <v>709</v>
      </c>
      <c r="B295" s="0" t="s">
        <v>357</v>
      </c>
      <c r="C295" s="0" t="n">
        <v>5</v>
      </c>
      <c r="D295" s="0" t="n">
        <f aca="false">Inputs!$B$5</f>
        <v>0.06</v>
      </c>
      <c r="E295" s="0" t="n">
        <f aca="false">C295*D295</f>
        <v>0.3</v>
      </c>
      <c r="F295" s="0" t="n">
        <f aca="false">C295+E295</f>
        <v>5.3</v>
      </c>
      <c r="G295" s="0" t="s">
        <v>376</v>
      </c>
      <c r="H295" s="0" t="n">
        <f aca="false">ROUNDUP(F295/48,0)</f>
        <v>1</v>
      </c>
      <c r="I295" s="0" t="s">
        <v>647</v>
      </c>
    </row>
    <row r="296" customFormat="false" ht="15" hidden="false" customHeight="false" outlineLevel="0" collapsed="false">
      <c r="A296" s="0" t="s">
        <v>710</v>
      </c>
      <c r="B296" s="0" t="s">
        <v>328</v>
      </c>
      <c r="C296" s="0" t="n">
        <v>73.33</v>
      </c>
      <c r="D296" s="0" t="n">
        <f aca="false">Inputs!$B$4</f>
        <v>0.15</v>
      </c>
      <c r="E296" s="0" t="n">
        <f aca="false">C296*D296</f>
        <v>10.9995</v>
      </c>
      <c r="F296" s="0" t="n">
        <f aca="false">C296+E296</f>
        <v>84.3295</v>
      </c>
      <c r="G296" s="0" t="s">
        <v>329</v>
      </c>
      <c r="H296" s="0" t="n">
        <f aca="false">ROUNDUP(ROUNDUP(F296/7.33,0)/MAX(1,INT(20/7.33)),0)</f>
        <v>6</v>
      </c>
      <c r="I296" s="0" t="s">
        <v>647</v>
      </c>
    </row>
    <row r="297" customFormat="false" ht="15" hidden="false" customHeight="false" outlineLevel="0" collapsed="false">
      <c r="A297" s="0" t="s">
        <v>711</v>
      </c>
      <c r="B297" s="0" t="s">
        <v>328</v>
      </c>
      <c r="C297" s="0" t="n">
        <v>8.83</v>
      </c>
      <c r="D297" s="0" t="n">
        <f aca="false">Inputs!$B$4</f>
        <v>0.15</v>
      </c>
      <c r="E297" s="0" t="n">
        <f aca="false">C297*D297</f>
        <v>1.3245</v>
      </c>
      <c r="F297" s="0" t="n">
        <f aca="false">C297+E297</f>
        <v>10.1545</v>
      </c>
      <c r="G297" s="0" t="s">
        <v>345</v>
      </c>
      <c r="H297" s="0" t="n">
        <f aca="false">ROUNDUP(F297/10,0)</f>
        <v>2</v>
      </c>
      <c r="I297" s="0" t="s">
        <v>647</v>
      </c>
    </row>
    <row r="298" customFormat="false" ht="15" hidden="false" customHeight="false" outlineLevel="0" collapsed="false">
      <c r="A298" s="0" t="s">
        <v>712</v>
      </c>
      <c r="B298" s="0" t="s">
        <v>328</v>
      </c>
      <c r="C298" s="0" t="n">
        <v>15</v>
      </c>
      <c r="D298" s="0" t="n">
        <f aca="false">Inputs!$B$4</f>
        <v>0.15</v>
      </c>
      <c r="E298" s="0" t="n">
        <f aca="false">C298*D298</f>
        <v>2.25</v>
      </c>
      <c r="F298" s="0" t="n">
        <f aca="false">C298+E298</f>
        <v>17.25</v>
      </c>
      <c r="G298" s="0" t="s">
        <v>345</v>
      </c>
      <c r="H298" s="0" t="n">
        <f aca="false">ROUNDUP(F298/10,0)</f>
        <v>2</v>
      </c>
      <c r="I298" s="0" t="s">
        <v>647</v>
      </c>
    </row>
    <row r="299" customFormat="false" ht="15" hidden="false" customHeight="false" outlineLevel="0" collapsed="false">
      <c r="A299" s="0" t="s">
        <v>713</v>
      </c>
      <c r="B299" s="0" t="s">
        <v>328</v>
      </c>
      <c r="C299" s="0" t="n">
        <v>15</v>
      </c>
      <c r="D299" s="0" t="n">
        <f aca="false">Inputs!$B$4</f>
        <v>0.15</v>
      </c>
      <c r="E299" s="0" t="n">
        <f aca="false">C299*D299</f>
        <v>2.25</v>
      </c>
      <c r="F299" s="0" t="n">
        <f aca="false">C299+E299</f>
        <v>17.25</v>
      </c>
      <c r="G299" s="0" t="s">
        <v>345</v>
      </c>
      <c r="H299" s="0" t="n">
        <f aca="false">ROUNDUP(F299/10,0)</f>
        <v>2</v>
      </c>
      <c r="I299" s="0" t="s">
        <v>647</v>
      </c>
    </row>
    <row r="300" customFormat="false" ht="15" hidden="false" customHeight="false" outlineLevel="0" collapsed="false">
      <c r="A300" s="0" t="s">
        <v>714</v>
      </c>
      <c r="B300" s="0" t="s">
        <v>328</v>
      </c>
      <c r="C300" s="0" t="n">
        <v>7.5</v>
      </c>
      <c r="D300" s="0" t="n">
        <f aca="false">Inputs!$B$5</f>
        <v>0.06</v>
      </c>
      <c r="E300" s="0" t="n">
        <f aca="false">C300*D300</f>
        <v>0.45</v>
      </c>
      <c r="F300" s="0" t="n">
        <f aca="false">C300+E300</f>
        <v>7.95</v>
      </c>
      <c r="G300" s="0" t="s">
        <v>345</v>
      </c>
      <c r="H300" s="0" t="n">
        <f aca="false">ROUNDUP(F300/10,0)</f>
        <v>1</v>
      </c>
      <c r="I300" s="0" t="s">
        <v>647</v>
      </c>
    </row>
    <row r="301" customFormat="false" ht="15" hidden="false" customHeight="false" outlineLevel="0" collapsed="false">
      <c r="A301" s="0" t="s">
        <v>715</v>
      </c>
      <c r="B301" s="0" t="s">
        <v>328</v>
      </c>
      <c r="C301" s="0" t="n">
        <v>7.5</v>
      </c>
      <c r="D301" s="0" t="n">
        <f aca="false">Inputs!$B$5</f>
        <v>0.06</v>
      </c>
      <c r="E301" s="0" t="n">
        <f aca="false">C301*D301</f>
        <v>0.45</v>
      </c>
      <c r="F301" s="0" t="n">
        <f aca="false">C301+E301</f>
        <v>7.95</v>
      </c>
      <c r="G301" s="0" t="s">
        <v>345</v>
      </c>
      <c r="H301" s="0" t="n">
        <f aca="false">ROUNDUP(F301/10,0)</f>
        <v>1</v>
      </c>
      <c r="I301" s="0" t="s">
        <v>647</v>
      </c>
    </row>
    <row r="302" customFormat="false" ht="15" hidden="false" customHeight="false" outlineLevel="0" collapsed="false">
      <c r="A302" s="0" t="s">
        <v>716</v>
      </c>
      <c r="B302" s="0" t="s">
        <v>328</v>
      </c>
      <c r="C302" s="0" t="n">
        <v>15</v>
      </c>
      <c r="D302" s="0" t="n">
        <f aca="false">Inputs!$B$4</f>
        <v>0.15</v>
      </c>
      <c r="E302" s="0" t="n">
        <f aca="false">C302*D302</f>
        <v>2.25</v>
      </c>
      <c r="F302" s="0" t="n">
        <f aca="false">C302+E302</f>
        <v>17.25</v>
      </c>
      <c r="G302" s="0" t="s">
        <v>345</v>
      </c>
      <c r="H302" s="0" t="n">
        <f aca="false">ROUNDUP(F302/10,0)</f>
        <v>2</v>
      </c>
      <c r="I302" s="0" t="s">
        <v>647</v>
      </c>
    </row>
    <row r="303" customFormat="false" ht="15" hidden="false" customHeight="false" outlineLevel="0" collapsed="false">
      <c r="A303" s="0" t="s">
        <v>717</v>
      </c>
      <c r="B303" s="0" t="s">
        <v>328</v>
      </c>
      <c r="C303" s="0" t="n">
        <v>15</v>
      </c>
      <c r="D303" s="0" t="n">
        <f aca="false">Inputs!$B$4</f>
        <v>0.15</v>
      </c>
      <c r="E303" s="0" t="n">
        <f aca="false">C303*D303</f>
        <v>2.25</v>
      </c>
      <c r="F303" s="0" t="n">
        <f aca="false">C303+E303</f>
        <v>17.25</v>
      </c>
      <c r="G303" s="0" t="s">
        <v>345</v>
      </c>
      <c r="H303" s="0" t="n">
        <f aca="false">ROUNDUP(F303/10,0)</f>
        <v>2</v>
      </c>
      <c r="I303" s="0" t="s">
        <v>647</v>
      </c>
    </row>
    <row r="304" customFormat="false" ht="15" hidden="false" customHeight="false" outlineLevel="0" collapsed="false">
      <c r="A304" s="0" t="s">
        <v>718</v>
      </c>
      <c r="B304" s="0" t="s">
        <v>328</v>
      </c>
      <c r="C304" s="0" t="n">
        <v>15</v>
      </c>
      <c r="D304" s="0" t="n">
        <f aca="false">Inputs!$B$5</f>
        <v>0.06</v>
      </c>
      <c r="E304" s="0" t="n">
        <f aca="false">C304*D304</f>
        <v>0.9</v>
      </c>
      <c r="F304" s="0" t="n">
        <f aca="false">C304+E304</f>
        <v>15.9</v>
      </c>
      <c r="G304" s="0" t="s">
        <v>352</v>
      </c>
      <c r="H304" s="0" t="n">
        <f aca="false">ROUNDUP(F304,0)</f>
        <v>16</v>
      </c>
      <c r="I304" s="0" t="s">
        <v>647</v>
      </c>
    </row>
    <row r="305" customFormat="false" ht="15" hidden="false" customHeight="false" outlineLevel="0" collapsed="false">
      <c r="A305" s="0" t="s">
        <v>719</v>
      </c>
      <c r="B305" s="0" t="s">
        <v>328</v>
      </c>
      <c r="C305" s="0" t="n">
        <v>15</v>
      </c>
      <c r="D305" s="0" t="n">
        <f aca="false">Inputs!$B$5</f>
        <v>0.06</v>
      </c>
      <c r="E305" s="0" t="n">
        <f aca="false">C305*D305</f>
        <v>0.9</v>
      </c>
      <c r="F305" s="0" t="n">
        <f aca="false">C305+E305</f>
        <v>15.9</v>
      </c>
      <c r="G305" s="0" t="s">
        <v>352</v>
      </c>
      <c r="H305" s="0" t="n">
        <f aca="false">ROUNDUP(F305,0)</f>
        <v>16</v>
      </c>
      <c r="I305" s="0" t="s">
        <v>647</v>
      </c>
    </row>
    <row r="306" customFormat="false" ht="15" hidden="false" customHeight="false" outlineLevel="0" collapsed="false">
      <c r="A306" s="0" t="s">
        <v>720</v>
      </c>
      <c r="B306" s="0" t="s">
        <v>357</v>
      </c>
      <c r="C306" s="0" t="n">
        <v>55</v>
      </c>
      <c r="D306" s="0" t="n">
        <f aca="false">Inputs!$B$5</f>
        <v>0.06</v>
      </c>
      <c r="E306" s="0" t="n">
        <f aca="false">C306*D306</f>
        <v>3.3</v>
      </c>
      <c r="F306" s="0" t="n">
        <f aca="false">C306+E306</f>
        <v>58.3</v>
      </c>
      <c r="G306" s="0" t="s">
        <v>357</v>
      </c>
      <c r="H306" s="0" t="n">
        <f aca="false">ROUNDUP(F306,0)</f>
        <v>59</v>
      </c>
      <c r="I306" s="0" t="s">
        <v>647</v>
      </c>
    </row>
    <row r="307" customFormat="false" ht="15" hidden="false" customHeight="false" outlineLevel="0" collapsed="false">
      <c r="A307" s="0" t="s">
        <v>721</v>
      </c>
      <c r="B307" s="0" t="s">
        <v>328</v>
      </c>
      <c r="C307" s="0" t="n">
        <v>15</v>
      </c>
      <c r="D307" s="0" t="n">
        <f aca="false">Inputs!$B$4</f>
        <v>0.15</v>
      </c>
      <c r="E307" s="0" t="n">
        <f aca="false">C307*D307</f>
        <v>2.25</v>
      </c>
      <c r="F307" s="0" t="n">
        <f aca="false">C307+E307</f>
        <v>17.25</v>
      </c>
      <c r="G307" s="0" t="s">
        <v>349</v>
      </c>
      <c r="H307" s="0" t="n">
        <f aca="false">ROUNDUP(F307/16,0)</f>
        <v>2</v>
      </c>
      <c r="I307" s="0" t="s">
        <v>635</v>
      </c>
    </row>
    <row r="308" customFormat="false" ht="15" hidden="false" customHeight="false" outlineLevel="0" collapsed="false">
      <c r="A308" s="0" t="s">
        <v>722</v>
      </c>
      <c r="B308" s="0" t="s">
        <v>357</v>
      </c>
      <c r="C308" s="0" t="n">
        <v>110</v>
      </c>
      <c r="D308" s="0" t="n">
        <f aca="false">Inputs!$B$5</f>
        <v>0.06</v>
      </c>
      <c r="E308" s="0" t="n">
        <f aca="false">C308*D308</f>
        <v>6.6</v>
      </c>
      <c r="F308" s="0" t="n">
        <f aca="false">C308+E308</f>
        <v>116.6</v>
      </c>
      <c r="G308" s="0" t="s">
        <v>376</v>
      </c>
      <c r="H308" s="0" t="n">
        <f aca="false">ROUNDUP(F308/48,0)</f>
        <v>3</v>
      </c>
      <c r="I308" s="0" t="s">
        <v>647</v>
      </c>
    </row>
    <row r="309" customFormat="false" ht="15" hidden="false" customHeight="false" outlineLevel="0" collapsed="false">
      <c r="A309" s="0" t="s">
        <v>723</v>
      </c>
      <c r="B309" s="0" t="s">
        <v>357</v>
      </c>
      <c r="C309" s="0" t="n">
        <v>110</v>
      </c>
      <c r="D309" s="0" t="n">
        <f aca="false">Inputs!$B$5</f>
        <v>0.06</v>
      </c>
      <c r="E309" s="0" t="n">
        <f aca="false">C309*D309</f>
        <v>6.6</v>
      </c>
      <c r="F309" s="0" t="n">
        <f aca="false">C309+E309</f>
        <v>116.6</v>
      </c>
      <c r="G309" s="0" t="s">
        <v>376</v>
      </c>
      <c r="H309" s="0" t="n">
        <f aca="false">ROUNDUP(F309/48,0)</f>
        <v>3</v>
      </c>
      <c r="I309" s="0" t="s">
        <v>647</v>
      </c>
    </row>
    <row r="310" customFormat="false" ht="15" hidden="false" customHeight="false" outlineLevel="0" collapsed="false">
      <c r="A310" s="0" t="s">
        <v>724</v>
      </c>
      <c r="B310" s="0" t="s">
        <v>357</v>
      </c>
      <c r="C310" s="0" t="n">
        <v>5</v>
      </c>
      <c r="D310" s="0" t="n">
        <f aca="false">Inputs!$B$5</f>
        <v>0.06</v>
      </c>
      <c r="E310" s="0" t="n">
        <f aca="false">C310*D310</f>
        <v>0.3</v>
      </c>
      <c r="F310" s="0" t="n">
        <f aca="false">C310+E310</f>
        <v>5.3</v>
      </c>
      <c r="G310" s="0" t="s">
        <v>376</v>
      </c>
      <c r="H310" s="0" t="n">
        <f aca="false">ROUNDUP(F310/48,0)</f>
        <v>1</v>
      </c>
      <c r="I310" s="0" t="s">
        <v>647</v>
      </c>
    </row>
    <row r="311" customFormat="false" ht="15" hidden="false" customHeight="false" outlineLevel="0" collapsed="false">
      <c r="A311" s="0" t="s">
        <v>725</v>
      </c>
      <c r="B311" s="0" t="s">
        <v>328</v>
      </c>
      <c r="C311" s="0" t="n">
        <v>73.33</v>
      </c>
      <c r="D311" s="0" t="n">
        <f aca="false">Inputs!$B$4</f>
        <v>0.15</v>
      </c>
      <c r="E311" s="0" t="n">
        <f aca="false">C311*D311</f>
        <v>10.9995</v>
      </c>
      <c r="F311" s="0" t="n">
        <f aca="false">C311+E311</f>
        <v>84.3295</v>
      </c>
      <c r="G311" s="0" t="s">
        <v>329</v>
      </c>
      <c r="H311" s="0" t="n">
        <f aca="false">ROUNDUP(ROUNDUP(F311/7.33,0)/MAX(1,INT(20/7.33)),0)</f>
        <v>6</v>
      </c>
      <c r="I311" s="0" t="s">
        <v>647</v>
      </c>
    </row>
    <row r="312" customFormat="false" ht="15" hidden="false" customHeight="false" outlineLevel="0" collapsed="false">
      <c r="A312" s="0" t="s">
        <v>726</v>
      </c>
      <c r="B312" s="0" t="s">
        <v>328</v>
      </c>
      <c r="C312" s="0" t="n">
        <v>8.83</v>
      </c>
      <c r="D312" s="0" t="n">
        <f aca="false">Inputs!$B$4</f>
        <v>0.15</v>
      </c>
      <c r="E312" s="0" t="n">
        <f aca="false">C312*D312</f>
        <v>1.3245</v>
      </c>
      <c r="F312" s="0" t="n">
        <f aca="false">C312+E312</f>
        <v>10.1545</v>
      </c>
      <c r="G312" s="0" t="s">
        <v>345</v>
      </c>
      <c r="H312" s="0" t="n">
        <f aca="false">ROUNDUP(F312/10,0)</f>
        <v>2</v>
      </c>
      <c r="I312" s="0" t="s">
        <v>647</v>
      </c>
    </row>
    <row r="313" customFormat="false" ht="15" hidden="false" customHeight="false" outlineLevel="0" collapsed="false">
      <c r="A313" s="0" t="s">
        <v>727</v>
      </c>
      <c r="B313" s="0" t="s">
        <v>328</v>
      </c>
      <c r="C313" s="0" t="n">
        <v>15</v>
      </c>
      <c r="D313" s="0" t="n">
        <f aca="false">Inputs!$B$4</f>
        <v>0.15</v>
      </c>
      <c r="E313" s="0" t="n">
        <f aca="false">C313*D313</f>
        <v>2.25</v>
      </c>
      <c r="F313" s="0" t="n">
        <f aca="false">C313+E313</f>
        <v>17.25</v>
      </c>
      <c r="G313" s="0" t="s">
        <v>345</v>
      </c>
      <c r="H313" s="0" t="n">
        <f aca="false">ROUNDUP(F313/10,0)</f>
        <v>2</v>
      </c>
      <c r="I313" s="0" t="s">
        <v>647</v>
      </c>
    </row>
    <row r="314" customFormat="false" ht="15" hidden="false" customHeight="false" outlineLevel="0" collapsed="false">
      <c r="A314" s="0" t="s">
        <v>728</v>
      </c>
      <c r="B314" s="0" t="s">
        <v>328</v>
      </c>
      <c r="C314" s="0" t="n">
        <v>15</v>
      </c>
      <c r="D314" s="0" t="n">
        <f aca="false">Inputs!$B$4</f>
        <v>0.15</v>
      </c>
      <c r="E314" s="0" t="n">
        <f aca="false">C314*D314</f>
        <v>2.25</v>
      </c>
      <c r="F314" s="0" t="n">
        <f aca="false">C314+E314</f>
        <v>17.25</v>
      </c>
      <c r="G314" s="0" t="s">
        <v>345</v>
      </c>
      <c r="H314" s="0" t="n">
        <f aca="false">ROUNDUP(F314/10,0)</f>
        <v>2</v>
      </c>
      <c r="I314" s="0" t="s">
        <v>647</v>
      </c>
    </row>
    <row r="315" customFormat="false" ht="15" hidden="false" customHeight="false" outlineLevel="0" collapsed="false">
      <c r="A315" s="0" t="s">
        <v>729</v>
      </c>
      <c r="B315" s="0" t="s">
        <v>328</v>
      </c>
      <c r="C315" s="0" t="n">
        <v>7.5</v>
      </c>
      <c r="D315" s="0" t="n">
        <f aca="false">Inputs!$B$5</f>
        <v>0.06</v>
      </c>
      <c r="E315" s="0" t="n">
        <f aca="false">C315*D315</f>
        <v>0.45</v>
      </c>
      <c r="F315" s="0" t="n">
        <f aca="false">C315+E315</f>
        <v>7.95</v>
      </c>
      <c r="G315" s="0" t="s">
        <v>345</v>
      </c>
      <c r="H315" s="0" t="n">
        <f aca="false">ROUNDUP(F315/10,0)</f>
        <v>1</v>
      </c>
      <c r="I315" s="0" t="s">
        <v>647</v>
      </c>
    </row>
    <row r="316" customFormat="false" ht="15" hidden="false" customHeight="false" outlineLevel="0" collapsed="false">
      <c r="A316" s="0" t="s">
        <v>730</v>
      </c>
      <c r="B316" s="0" t="s">
        <v>328</v>
      </c>
      <c r="C316" s="0" t="n">
        <v>7.5</v>
      </c>
      <c r="D316" s="0" t="n">
        <f aca="false">Inputs!$B$5</f>
        <v>0.06</v>
      </c>
      <c r="E316" s="0" t="n">
        <f aca="false">C316*D316</f>
        <v>0.45</v>
      </c>
      <c r="F316" s="0" t="n">
        <f aca="false">C316+E316</f>
        <v>7.95</v>
      </c>
      <c r="G316" s="0" t="s">
        <v>345</v>
      </c>
      <c r="H316" s="0" t="n">
        <f aca="false">ROUNDUP(F316/10,0)</f>
        <v>1</v>
      </c>
      <c r="I316" s="0" t="s">
        <v>647</v>
      </c>
    </row>
    <row r="317" customFormat="false" ht="15" hidden="false" customHeight="false" outlineLevel="0" collapsed="false">
      <c r="A317" s="0" t="s">
        <v>731</v>
      </c>
      <c r="B317" s="0" t="s">
        <v>328</v>
      </c>
      <c r="C317" s="0" t="n">
        <v>15</v>
      </c>
      <c r="D317" s="0" t="n">
        <f aca="false">Inputs!$B$4</f>
        <v>0.15</v>
      </c>
      <c r="E317" s="0" t="n">
        <f aca="false">C317*D317</f>
        <v>2.25</v>
      </c>
      <c r="F317" s="0" t="n">
        <f aca="false">C317+E317</f>
        <v>17.25</v>
      </c>
      <c r="G317" s="0" t="s">
        <v>345</v>
      </c>
      <c r="H317" s="0" t="n">
        <f aca="false">ROUNDUP(F317/10,0)</f>
        <v>2</v>
      </c>
      <c r="I317" s="0" t="s">
        <v>647</v>
      </c>
    </row>
    <row r="318" customFormat="false" ht="15" hidden="false" customHeight="false" outlineLevel="0" collapsed="false">
      <c r="A318" s="0" t="s">
        <v>732</v>
      </c>
      <c r="B318" s="0" t="s">
        <v>328</v>
      </c>
      <c r="C318" s="0" t="n">
        <v>15</v>
      </c>
      <c r="D318" s="0" t="n">
        <f aca="false">Inputs!$B$4</f>
        <v>0.15</v>
      </c>
      <c r="E318" s="0" t="n">
        <f aca="false">C318*D318</f>
        <v>2.25</v>
      </c>
      <c r="F318" s="0" t="n">
        <f aca="false">C318+E318</f>
        <v>17.25</v>
      </c>
      <c r="G318" s="0" t="s">
        <v>345</v>
      </c>
      <c r="H318" s="0" t="n">
        <f aca="false">ROUNDUP(F318/10,0)</f>
        <v>2</v>
      </c>
      <c r="I318" s="0" t="s">
        <v>647</v>
      </c>
    </row>
    <row r="319" customFormat="false" ht="15" hidden="false" customHeight="false" outlineLevel="0" collapsed="false">
      <c r="A319" s="0" t="s">
        <v>733</v>
      </c>
      <c r="B319" s="0" t="s">
        <v>328</v>
      </c>
      <c r="C319" s="0" t="n">
        <v>15</v>
      </c>
      <c r="D319" s="0" t="n">
        <f aca="false">Inputs!$B$5</f>
        <v>0.06</v>
      </c>
      <c r="E319" s="0" t="n">
        <f aca="false">C319*D319</f>
        <v>0.9</v>
      </c>
      <c r="F319" s="0" t="n">
        <f aca="false">C319+E319</f>
        <v>15.9</v>
      </c>
      <c r="G319" s="0" t="s">
        <v>352</v>
      </c>
      <c r="H319" s="0" t="n">
        <f aca="false">ROUNDUP(F319,0)</f>
        <v>16</v>
      </c>
      <c r="I319" s="0" t="s">
        <v>647</v>
      </c>
    </row>
    <row r="320" customFormat="false" ht="15" hidden="false" customHeight="false" outlineLevel="0" collapsed="false">
      <c r="A320" s="0" t="s">
        <v>734</v>
      </c>
      <c r="B320" s="0" t="s">
        <v>328</v>
      </c>
      <c r="C320" s="0" t="n">
        <v>15</v>
      </c>
      <c r="D320" s="0" t="n">
        <f aca="false">Inputs!$B$5</f>
        <v>0.06</v>
      </c>
      <c r="E320" s="0" t="n">
        <f aca="false">C320*D320</f>
        <v>0.9</v>
      </c>
      <c r="F320" s="0" t="n">
        <f aca="false">C320+E320</f>
        <v>15.9</v>
      </c>
      <c r="G320" s="0" t="s">
        <v>352</v>
      </c>
      <c r="H320" s="0" t="n">
        <f aca="false">ROUNDUP(F320,0)</f>
        <v>16</v>
      </c>
      <c r="I320" s="0" t="s">
        <v>647</v>
      </c>
    </row>
    <row r="321" customFormat="false" ht="15" hidden="false" customHeight="false" outlineLevel="0" collapsed="false">
      <c r="A321" s="0" t="s">
        <v>735</v>
      </c>
      <c r="B321" s="0" t="s">
        <v>357</v>
      </c>
      <c r="C321" s="0" t="n">
        <v>55</v>
      </c>
      <c r="D321" s="0" t="n">
        <f aca="false">Inputs!$B$5</f>
        <v>0.06</v>
      </c>
      <c r="E321" s="0" t="n">
        <f aca="false">C321*D321</f>
        <v>3.3</v>
      </c>
      <c r="F321" s="0" t="n">
        <f aca="false">C321+E321</f>
        <v>58.3</v>
      </c>
      <c r="G321" s="0" t="s">
        <v>357</v>
      </c>
      <c r="H321" s="0" t="n">
        <f aca="false">ROUNDUP(F321,0)</f>
        <v>59</v>
      </c>
      <c r="I321" s="0" t="s">
        <v>647</v>
      </c>
    </row>
    <row r="322" customFormat="false" ht="15" hidden="false" customHeight="false" outlineLevel="0" collapsed="false">
      <c r="A322" s="0" t="s">
        <v>736</v>
      </c>
      <c r="B322" s="0" t="s">
        <v>328</v>
      </c>
      <c r="C322" s="0" t="n">
        <v>15</v>
      </c>
      <c r="D322" s="0" t="n">
        <f aca="false">Inputs!$B$4</f>
        <v>0.15</v>
      </c>
      <c r="E322" s="0" t="n">
        <f aca="false">C322*D322</f>
        <v>2.25</v>
      </c>
      <c r="F322" s="0" t="n">
        <f aca="false">C322+E322</f>
        <v>17.25</v>
      </c>
      <c r="G322" s="0" t="s">
        <v>349</v>
      </c>
      <c r="H322" s="0" t="n">
        <f aca="false">ROUNDUP(F322/16,0)</f>
        <v>2</v>
      </c>
      <c r="I322" s="0" t="s">
        <v>635</v>
      </c>
    </row>
    <row r="323" customFormat="false" ht="15" hidden="false" customHeight="false" outlineLevel="0" collapsed="false">
      <c r="A323" s="0" t="s">
        <v>737</v>
      </c>
      <c r="B323" s="0" t="s">
        <v>328</v>
      </c>
      <c r="C323" s="0" t="n">
        <v>96</v>
      </c>
      <c r="D323" s="0" t="n">
        <f aca="false">Inputs!$B$4</f>
        <v>0.15</v>
      </c>
      <c r="E323" s="0" t="n">
        <f aca="false">C323*D323</f>
        <v>14.4</v>
      </c>
      <c r="F323" s="0" t="n">
        <f aca="false">C323+E323</f>
        <v>110.4</v>
      </c>
      <c r="G323" s="0" t="s">
        <v>345</v>
      </c>
      <c r="H323" s="0" t="n">
        <f aca="false">ROUNDUP(F323/10,0)</f>
        <v>12</v>
      </c>
      <c r="I323" s="0" t="s">
        <v>738</v>
      </c>
    </row>
    <row r="324" customFormat="false" ht="15" hidden="false" customHeight="false" outlineLevel="0" collapsed="false">
      <c r="A324" s="0" t="s">
        <v>739</v>
      </c>
      <c r="B324" s="0" t="s">
        <v>328</v>
      </c>
      <c r="C324" s="0" t="n">
        <v>16</v>
      </c>
      <c r="D324" s="0" t="n">
        <f aca="false">Inputs!$B$4</f>
        <v>0.15</v>
      </c>
      <c r="E324" s="0" t="n">
        <f aca="false">C324*D324</f>
        <v>2.4</v>
      </c>
      <c r="F324" s="0" t="n">
        <f aca="false">C324+E324</f>
        <v>18.4</v>
      </c>
      <c r="G324" s="0" t="s">
        <v>345</v>
      </c>
      <c r="H324" s="0" t="n">
        <f aca="false">ROUNDUP(F324/10,0)</f>
        <v>2</v>
      </c>
      <c r="I324" s="0" t="s">
        <v>740</v>
      </c>
    </row>
    <row r="325" customFormat="false" ht="15" hidden="false" customHeight="false" outlineLevel="0" collapsed="false">
      <c r="A325" s="0" t="s">
        <v>741</v>
      </c>
      <c r="B325" s="0" t="s">
        <v>328</v>
      </c>
      <c r="C325" s="0" t="n">
        <v>96</v>
      </c>
      <c r="D325" s="0" t="n">
        <f aca="false">Inputs!$B$4</f>
        <v>0.15</v>
      </c>
      <c r="E325" s="0" t="n">
        <f aca="false">C325*D325</f>
        <v>14.4</v>
      </c>
      <c r="F325" s="0" t="n">
        <f aca="false">C325+E325</f>
        <v>110.4</v>
      </c>
      <c r="G325" s="0" t="s">
        <v>345</v>
      </c>
      <c r="H325" s="0" t="n">
        <f aca="false">ROUNDUP(F325/10,0)</f>
        <v>12</v>
      </c>
      <c r="I325" s="0" t="s">
        <v>742</v>
      </c>
    </row>
    <row r="326" customFormat="false" ht="15" hidden="false" customHeight="false" outlineLevel="0" collapsed="false">
      <c r="A326" s="0" t="s">
        <v>743</v>
      </c>
      <c r="B326" s="0" t="s">
        <v>328</v>
      </c>
      <c r="C326" s="0" t="n">
        <v>16</v>
      </c>
      <c r="D326" s="0" t="n">
        <f aca="false">Inputs!$B$4</f>
        <v>0.15</v>
      </c>
      <c r="E326" s="0" t="n">
        <f aca="false">C326*D326</f>
        <v>2.4</v>
      </c>
      <c r="F326" s="0" t="n">
        <f aca="false">C326+E326</f>
        <v>18.4</v>
      </c>
      <c r="G326" s="0" t="s">
        <v>345</v>
      </c>
      <c r="H326" s="0" t="n">
        <f aca="false">ROUNDUP(F326/10,0)</f>
        <v>2</v>
      </c>
      <c r="I326" s="0" t="s">
        <v>744</v>
      </c>
    </row>
    <row r="327" customFormat="false" ht="15" hidden="false" customHeight="false" outlineLevel="0" collapsed="false">
      <c r="A327" s="0" t="s">
        <v>745</v>
      </c>
      <c r="B327" s="0" t="s">
        <v>328</v>
      </c>
      <c r="C327" s="0" t="n">
        <v>27.84</v>
      </c>
      <c r="D327" s="0" t="n">
        <f aca="false">Inputs!$B$4</f>
        <v>0.15</v>
      </c>
      <c r="E327" s="0" t="n">
        <f aca="false">C327*D327</f>
        <v>4.176</v>
      </c>
      <c r="F327" s="0" t="n">
        <f aca="false">C327+E327</f>
        <v>32.016</v>
      </c>
      <c r="G327" s="0" t="s">
        <v>345</v>
      </c>
      <c r="H327" s="0" t="n">
        <f aca="false">ROUNDUP(F327/10,0)</f>
        <v>4</v>
      </c>
      <c r="I327" s="0" t="s">
        <v>746</v>
      </c>
    </row>
    <row r="328" customFormat="false" ht="15" hidden="false" customHeight="false" outlineLevel="0" collapsed="false">
      <c r="A328" s="0" t="s">
        <v>747</v>
      </c>
      <c r="B328" s="0" t="s">
        <v>328</v>
      </c>
      <c r="C328" s="0" t="n">
        <v>27.84</v>
      </c>
      <c r="D328" s="0" t="n">
        <f aca="false">Inputs!$B$4</f>
        <v>0.15</v>
      </c>
      <c r="E328" s="0" t="n">
        <f aca="false">C328*D328</f>
        <v>4.176</v>
      </c>
      <c r="F328" s="0" t="n">
        <f aca="false">C328+E328</f>
        <v>32.016</v>
      </c>
      <c r="G328" s="0" t="s">
        <v>345</v>
      </c>
      <c r="H328" s="0" t="n">
        <f aca="false">ROUNDUP(F328/10,0)</f>
        <v>4</v>
      </c>
      <c r="I328" s="0" t="s">
        <v>746</v>
      </c>
    </row>
    <row r="329" customFormat="false" ht="15" hidden="false" customHeight="false" outlineLevel="0" collapsed="false">
      <c r="A329" s="0" t="s">
        <v>748</v>
      </c>
      <c r="B329" s="0" t="s">
        <v>328</v>
      </c>
      <c r="C329" s="0" t="n">
        <v>27.84</v>
      </c>
      <c r="D329" s="0" t="n">
        <f aca="false">Inputs!$B$4</f>
        <v>0.15</v>
      </c>
      <c r="E329" s="0" t="n">
        <f aca="false">C329*D329</f>
        <v>4.176</v>
      </c>
      <c r="F329" s="0" t="n">
        <f aca="false">C329+E329</f>
        <v>32.016</v>
      </c>
      <c r="G329" s="0" t="s">
        <v>345</v>
      </c>
      <c r="H329" s="0" t="n">
        <f aca="false">ROUNDUP(F329/10,0)</f>
        <v>4</v>
      </c>
      <c r="I329" s="0" t="s">
        <v>746</v>
      </c>
    </row>
    <row r="330" customFormat="false" ht="15" hidden="false" customHeight="false" outlineLevel="0" collapsed="false">
      <c r="A330" s="0" t="s">
        <v>749</v>
      </c>
      <c r="B330" s="0" t="s">
        <v>328</v>
      </c>
      <c r="C330" s="0" t="n">
        <v>27.84</v>
      </c>
      <c r="D330" s="0" t="n">
        <f aca="false">Inputs!$B$4</f>
        <v>0.15</v>
      </c>
      <c r="E330" s="0" t="n">
        <f aca="false">C330*D330</f>
        <v>4.176</v>
      </c>
      <c r="F330" s="0" t="n">
        <f aca="false">C330+E330</f>
        <v>32.016</v>
      </c>
      <c r="G330" s="0" t="s">
        <v>345</v>
      </c>
      <c r="H330" s="0" t="n">
        <f aca="false">ROUNDUP(F330/10,0)</f>
        <v>4</v>
      </c>
      <c r="I330" s="0" t="s">
        <v>746</v>
      </c>
    </row>
    <row r="331" customFormat="false" ht="15" hidden="false" customHeight="false" outlineLevel="0" collapsed="false">
      <c r="A331" s="0" t="s">
        <v>750</v>
      </c>
      <c r="B331" s="0" t="s">
        <v>328</v>
      </c>
      <c r="C331" s="0" t="n">
        <v>32</v>
      </c>
      <c r="D331" s="0" t="n">
        <f aca="false">Inputs!$B$4</f>
        <v>0.15</v>
      </c>
      <c r="E331" s="0" t="n">
        <f aca="false">C331*D331</f>
        <v>4.8</v>
      </c>
      <c r="F331" s="0" t="n">
        <f aca="false">C331+E331</f>
        <v>36.8</v>
      </c>
      <c r="G331" s="0" t="s">
        <v>345</v>
      </c>
      <c r="H331" s="0" t="n">
        <f aca="false">ROUNDUP(F331/10,0)</f>
        <v>4</v>
      </c>
      <c r="I331" s="0" t="s">
        <v>751</v>
      </c>
    </row>
    <row r="332" customFormat="false" ht="15" hidden="false" customHeight="false" outlineLevel="0" collapsed="false">
      <c r="A332" s="0" t="s">
        <v>752</v>
      </c>
      <c r="B332" s="0" t="s">
        <v>328</v>
      </c>
      <c r="C332" s="0" t="n">
        <v>8</v>
      </c>
      <c r="D332" s="0" t="n">
        <f aca="false">Inputs!$B$4</f>
        <v>0.15</v>
      </c>
      <c r="E332" s="0" t="n">
        <f aca="false">C332*D332</f>
        <v>1.2</v>
      </c>
      <c r="F332" s="0" t="n">
        <f aca="false">C332+E332</f>
        <v>9.2</v>
      </c>
      <c r="G332" s="0" t="s">
        <v>345</v>
      </c>
      <c r="H332" s="0" t="n">
        <f aca="false">ROUNDUP(F332/10,0)</f>
        <v>1</v>
      </c>
      <c r="I332" s="0" t="s">
        <v>753</v>
      </c>
    </row>
    <row r="333" customFormat="false" ht="15" hidden="false" customHeight="false" outlineLevel="0" collapsed="false">
      <c r="A333" s="0" t="s">
        <v>754</v>
      </c>
      <c r="B333" s="0" t="s">
        <v>328</v>
      </c>
      <c r="C333" s="0" t="n">
        <v>3.69</v>
      </c>
      <c r="D333" s="0" t="n">
        <f aca="false">Inputs!$B$5</f>
        <v>0.06</v>
      </c>
      <c r="E333" s="0" t="n">
        <f aca="false">C333*D333</f>
        <v>0.2214</v>
      </c>
      <c r="F333" s="0" t="n">
        <f aca="false">C333+E333</f>
        <v>3.9114</v>
      </c>
      <c r="G333" s="0" t="s">
        <v>345</v>
      </c>
      <c r="H333" s="0" t="n">
        <f aca="false">ROUNDUP(F333/10,0)</f>
        <v>1</v>
      </c>
      <c r="I333" s="0" t="s">
        <v>755</v>
      </c>
    </row>
    <row r="334" customFormat="false" ht="15" hidden="false" customHeight="false" outlineLevel="0" collapsed="false">
      <c r="A334" s="0" t="s">
        <v>756</v>
      </c>
      <c r="B334" s="0" t="s">
        <v>328</v>
      </c>
      <c r="C334" s="0" t="n">
        <v>8</v>
      </c>
      <c r="D334" s="0" t="n">
        <f aca="false">Inputs!$B$4</f>
        <v>0.15</v>
      </c>
      <c r="E334" s="0" t="n">
        <f aca="false">C334*D334</f>
        <v>1.2</v>
      </c>
      <c r="F334" s="0" t="n">
        <f aca="false">C334+E334</f>
        <v>9.2</v>
      </c>
      <c r="G334" s="0" t="s">
        <v>329</v>
      </c>
      <c r="H334" s="0" t="n">
        <f aca="false">ROUNDUP(ROUNDUP(F334/12,0)/MAX(1,INT(20/12)),0)</f>
        <v>1</v>
      </c>
      <c r="I334" s="0" t="s">
        <v>757</v>
      </c>
    </row>
    <row r="335" customFormat="false" ht="15" hidden="false" customHeight="false" outlineLevel="0" collapsed="false">
      <c r="A335" s="0" t="s">
        <v>758</v>
      </c>
      <c r="B335" s="0" t="s">
        <v>328</v>
      </c>
      <c r="C335" s="0" t="n">
        <v>8</v>
      </c>
      <c r="D335" s="0" t="n">
        <f aca="false">Inputs!$B$4</f>
        <v>0.15</v>
      </c>
      <c r="E335" s="0" t="n">
        <f aca="false">C335*D335</f>
        <v>1.2</v>
      </c>
      <c r="F335" s="0" t="n">
        <f aca="false">C335+E335</f>
        <v>9.2</v>
      </c>
      <c r="G335" s="0" t="s">
        <v>329</v>
      </c>
      <c r="H335" s="0" t="n">
        <f aca="false">ROUNDUP(ROUNDUP(F335/12,0)/MAX(1,INT(20/12)),0)</f>
        <v>1</v>
      </c>
      <c r="I335" s="0" t="s">
        <v>759</v>
      </c>
    </row>
    <row r="336" customFormat="false" ht="15" hidden="false" customHeight="false" outlineLevel="0" collapsed="false">
      <c r="A336" s="0" t="s">
        <v>760</v>
      </c>
      <c r="B336" s="0" t="s">
        <v>328</v>
      </c>
      <c r="C336" s="0" t="n">
        <v>8</v>
      </c>
      <c r="D336" s="0" t="n">
        <f aca="false">Inputs!$B$4</f>
        <v>0.15</v>
      </c>
      <c r="E336" s="0" t="n">
        <f aca="false">C336*D336</f>
        <v>1.2</v>
      </c>
      <c r="F336" s="0" t="n">
        <f aca="false">C336+E336</f>
        <v>9.2</v>
      </c>
      <c r="G336" s="0" t="s">
        <v>329</v>
      </c>
      <c r="H336" s="0" t="n">
        <f aca="false">ROUNDUP(ROUNDUP(F336/12,0)/MAX(1,INT(20/12)),0)</f>
        <v>1</v>
      </c>
      <c r="I336" s="0" t="s">
        <v>761</v>
      </c>
    </row>
    <row r="337" customFormat="false" ht="15" hidden="false" customHeight="false" outlineLevel="0" collapsed="false">
      <c r="A337" s="0" t="s">
        <v>762</v>
      </c>
      <c r="B337" s="0" t="s">
        <v>328</v>
      </c>
      <c r="C337" s="0" t="n">
        <v>8</v>
      </c>
      <c r="D337" s="0" t="n">
        <f aca="false">Inputs!$B$4</f>
        <v>0.15</v>
      </c>
      <c r="E337" s="0" t="n">
        <f aca="false">C337*D337</f>
        <v>1.2</v>
      </c>
      <c r="F337" s="0" t="n">
        <f aca="false">C337+E337</f>
        <v>9.2</v>
      </c>
      <c r="G337" s="0" t="s">
        <v>329</v>
      </c>
      <c r="H337" s="0" t="n">
        <f aca="false">ROUNDUP(ROUNDUP(F337/12,0)/MAX(1,INT(20/12)),0)</f>
        <v>1</v>
      </c>
      <c r="I337" s="0" t="s">
        <v>763</v>
      </c>
    </row>
    <row r="338" customFormat="false" ht="15" hidden="false" customHeight="false" outlineLevel="0" collapsed="false">
      <c r="A338" s="0" t="s">
        <v>764</v>
      </c>
      <c r="B338" s="0" t="s">
        <v>328</v>
      </c>
      <c r="C338" s="0" t="n">
        <v>8</v>
      </c>
      <c r="D338" s="0" t="n">
        <f aca="false">Inputs!$B$4</f>
        <v>0.15</v>
      </c>
      <c r="E338" s="0" t="n">
        <f aca="false">C338*D338</f>
        <v>1.2</v>
      </c>
      <c r="F338" s="0" t="n">
        <f aca="false">C338+E338</f>
        <v>9.2</v>
      </c>
      <c r="G338" s="0" t="s">
        <v>329</v>
      </c>
      <c r="H338" s="0" t="n">
        <f aca="false">ROUNDUP(ROUNDUP(F338/12,0)/MAX(1,INT(20/12)),0)</f>
        <v>1</v>
      </c>
      <c r="I338" s="0" t="s">
        <v>765</v>
      </c>
    </row>
    <row r="339" customFormat="false" ht="15" hidden="false" customHeight="false" outlineLevel="0" collapsed="false">
      <c r="A339" s="0" t="s">
        <v>766</v>
      </c>
      <c r="B339" s="0" t="s">
        <v>328</v>
      </c>
      <c r="C339" s="0" t="n">
        <v>8</v>
      </c>
      <c r="D339" s="0" t="n">
        <f aca="false">Inputs!$B$4</f>
        <v>0.15</v>
      </c>
      <c r="E339" s="0" t="n">
        <f aca="false">C339*D339</f>
        <v>1.2</v>
      </c>
      <c r="F339" s="0" t="n">
        <f aca="false">C339+E339</f>
        <v>9.2</v>
      </c>
      <c r="G339" s="0" t="s">
        <v>329</v>
      </c>
      <c r="H339" s="0" t="n">
        <f aca="false">ROUNDUP(ROUNDUP(F339/12,0)/MAX(1,INT(20/12)),0)</f>
        <v>1</v>
      </c>
      <c r="I339" s="0" t="s">
        <v>767</v>
      </c>
    </row>
    <row r="340" customFormat="false" ht="15" hidden="false" customHeight="false" outlineLevel="0" collapsed="false">
      <c r="A340" s="0" t="s">
        <v>768</v>
      </c>
      <c r="B340" s="0" t="s">
        <v>328</v>
      </c>
      <c r="C340" s="0" t="n">
        <v>8</v>
      </c>
      <c r="D340" s="0" t="n">
        <f aca="false">Inputs!$B$4</f>
        <v>0.15</v>
      </c>
      <c r="E340" s="0" t="n">
        <f aca="false">C340*D340</f>
        <v>1.2</v>
      </c>
      <c r="F340" s="0" t="n">
        <f aca="false">C340+E340</f>
        <v>9.2</v>
      </c>
      <c r="G340" s="0" t="s">
        <v>329</v>
      </c>
      <c r="H340" s="0" t="n">
        <f aca="false">ROUNDUP(ROUNDUP(F340/12,0)/MAX(1,INT(20/12)),0)</f>
        <v>1</v>
      </c>
      <c r="I340" s="0" t="s">
        <v>769</v>
      </c>
    </row>
    <row r="341" customFormat="false" ht="15" hidden="false" customHeight="false" outlineLevel="0" collapsed="false">
      <c r="A341" s="0" t="s">
        <v>770</v>
      </c>
      <c r="B341" s="0" t="s">
        <v>328</v>
      </c>
      <c r="C341" s="0" t="n">
        <v>8</v>
      </c>
      <c r="D341" s="0" t="n">
        <f aca="false">Inputs!$B$4</f>
        <v>0.15</v>
      </c>
      <c r="E341" s="0" t="n">
        <f aca="false">C341*D341</f>
        <v>1.2</v>
      </c>
      <c r="F341" s="0" t="n">
        <f aca="false">C341+E341</f>
        <v>9.2</v>
      </c>
      <c r="G341" s="0" t="s">
        <v>329</v>
      </c>
      <c r="H341" s="0" t="n">
        <f aca="false">ROUNDUP(ROUNDUP(F341/12,0)/MAX(1,INT(20/12)),0)</f>
        <v>1</v>
      </c>
      <c r="I341" s="0" t="s">
        <v>771</v>
      </c>
    </row>
    <row r="342" customFormat="false" ht="15" hidden="false" customHeight="false" outlineLevel="0" collapsed="false">
      <c r="A342" s="0" t="s">
        <v>772</v>
      </c>
      <c r="B342" s="0" t="s">
        <v>328</v>
      </c>
      <c r="C342" s="0" t="n">
        <v>10.67</v>
      </c>
      <c r="D342" s="0" t="n">
        <f aca="false">Inputs!$B$4</f>
        <v>0.15</v>
      </c>
      <c r="E342" s="0" t="n">
        <f aca="false">C342*D342</f>
        <v>1.6005</v>
      </c>
      <c r="F342" s="0" t="n">
        <f aca="false">C342+E342</f>
        <v>12.2705</v>
      </c>
      <c r="G342" s="0" t="s">
        <v>329</v>
      </c>
      <c r="H342" s="0" t="n">
        <f aca="false">ROUNDUP(ROUNDUP(F342/12,0)/MAX(1,INT(20/12)),0)</f>
        <v>2</v>
      </c>
      <c r="I342" s="0" t="s">
        <v>773</v>
      </c>
    </row>
    <row r="343" customFormat="false" ht="15" hidden="false" customHeight="false" outlineLevel="0" collapsed="false">
      <c r="A343" s="0" t="s">
        <v>774</v>
      </c>
      <c r="B343" s="0" t="s">
        <v>328</v>
      </c>
      <c r="C343" s="0" t="n">
        <v>1.33</v>
      </c>
      <c r="D343" s="0" t="n">
        <f aca="false">Inputs!$B$4</f>
        <v>0.15</v>
      </c>
      <c r="E343" s="0" t="n">
        <f aca="false">C343*D343</f>
        <v>0.1995</v>
      </c>
      <c r="F343" s="0" t="n">
        <f aca="false">C343+E343</f>
        <v>1.5295</v>
      </c>
      <c r="G343" s="0" t="s">
        <v>329</v>
      </c>
      <c r="H343" s="0" t="n">
        <f aca="false">ROUNDUP(ROUNDUP(F343/12,0)/MAX(1,INT(20/12)),0)</f>
        <v>1</v>
      </c>
      <c r="I343" s="0" t="s">
        <v>775</v>
      </c>
    </row>
    <row r="344" customFormat="false" ht="15" hidden="false" customHeight="false" outlineLevel="0" collapsed="false">
      <c r="A344" s="0" t="s">
        <v>776</v>
      </c>
      <c r="B344" s="0" t="s">
        <v>328</v>
      </c>
      <c r="C344" s="0" t="n">
        <v>2.67</v>
      </c>
      <c r="D344" s="0" t="n">
        <f aca="false">Inputs!$B$4</f>
        <v>0.15</v>
      </c>
      <c r="E344" s="0" t="n">
        <f aca="false">C344*D344</f>
        <v>0.4005</v>
      </c>
      <c r="F344" s="0" t="n">
        <f aca="false">C344+E344</f>
        <v>3.0705</v>
      </c>
      <c r="G344" s="0" t="s">
        <v>329</v>
      </c>
      <c r="H344" s="0" t="n">
        <f aca="false">ROUNDUP(ROUNDUP(F344/12,0)/MAX(1,INT(20/12)),0)</f>
        <v>1</v>
      </c>
      <c r="I344" s="0" t="s">
        <v>777</v>
      </c>
    </row>
    <row r="345" customFormat="false" ht="15" hidden="false" customHeight="false" outlineLevel="0" collapsed="false">
      <c r="A345" s="0" t="s">
        <v>778</v>
      </c>
      <c r="B345" s="0" t="s">
        <v>328</v>
      </c>
      <c r="C345" s="0" t="n">
        <v>2.67</v>
      </c>
      <c r="D345" s="0" t="n">
        <f aca="false">Inputs!$B$4</f>
        <v>0.15</v>
      </c>
      <c r="E345" s="0" t="n">
        <f aca="false">C345*D345</f>
        <v>0.4005</v>
      </c>
      <c r="F345" s="0" t="n">
        <f aca="false">C345+E345</f>
        <v>3.0705</v>
      </c>
      <c r="G345" s="0" t="s">
        <v>329</v>
      </c>
      <c r="H345" s="0" t="n">
        <f aca="false">ROUNDUP(ROUNDUP(F345/12,0)/MAX(1,INT(20/12)),0)</f>
        <v>1</v>
      </c>
      <c r="I345" s="0" t="s">
        <v>777</v>
      </c>
    </row>
    <row r="346" customFormat="false" ht="15" hidden="false" customHeight="false" outlineLevel="0" collapsed="false">
      <c r="A346" s="0" t="s">
        <v>779</v>
      </c>
      <c r="B346" s="0" t="s">
        <v>328</v>
      </c>
      <c r="C346" s="0" t="n">
        <v>10.67</v>
      </c>
      <c r="D346" s="0" t="n">
        <f aca="false">Inputs!$B$4</f>
        <v>0.15</v>
      </c>
      <c r="E346" s="0" t="n">
        <f aca="false">C346*D346</f>
        <v>1.6005</v>
      </c>
      <c r="F346" s="0" t="n">
        <f aca="false">C346+E346</f>
        <v>12.2705</v>
      </c>
      <c r="G346" s="0" t="s">
        <v>329</v>
      </c>
      <c r="H346" s="0" t="n">
        <f aca="false">ROUNDUP(ROUNDUP(F346/12,0)/MAX(1,INT(20/12)),0)</f>
        <v>2</v>
      </c>
      <c r="I346" s="0" t="s">
        <v>780</v>
      </c>
    </row>
    <row r="347" customFormat="false" ht="15" hidden="false" customHeight="false" outlineLevel="0" collapsed="false">
      <c r="A347" s="0" t="s">
        <v>781</v>
      </c>
      <c r="B347" s="0" t="s">
        <v>328</v>
      </c>
      <c r="C347" s="0" t="n">
        <v>1.33</v>
      </c>
      <c r="D347" s="0" t="n">
        <f aca="false">Inputs!$B$4</f>
        <v>0.15</v>
      </c>
      <c r="E347" s="0" t="n">
        <f aca="false">C347*D347</f>
        <v>0.1995</v>
      </c>
      <c r="F347" s="0" t="n">
        <f aca="false">C347+E347</f>
        <v>1.5295</v>
      </c>
      <c r="G347" s="0" t="s">
        <v>329</v>
      </c>
      <c r="H347" s="0" t="n">
        <f aca="false">ROUNDUP(ROUNDUP(F347/12,0)/MAX(1,INT(20/12)),0)</f>
        <v>1</v>
      </c>
      <c r="I347" s="0" t="s">
        <v>782</v>
      </c>
    </row>
    <row r="348" customFormat="false" ht="15" hidden="false" customHeight="false" outlineLevel="0" collapsed="false">
      <c r="A348" s="0" t="s">
        <v>783</v>
      </c>
      <c r="B348" s="0" t="s">
        <v>328</v>
      </c>
      <c r="C348" s="0" t="n">
        <v>1.33</v>
      </c>
      <c r="D348" s="0" t="n">
        <f aca="false">Inputs!$B$4</f>
        <v>0.15</v>
      </c>
      <c r="E348" s="0" t="n">
        <f aca="false">C348*D348</f>
        <v>0.1995</v>
      </c>
      <c r="F348" s="0" t="n">
        <f aca="false">C348+E348</f>
        <v>1.5295</v>
      </c>
      <c r="G348" s="0" t="s">
        <v>329</v>
      </c>
      <c r="H348" s="0" t="n">
        <f aca="false">ROUNDUP(ROUNDUP(F348/12,0)/MAX(1,INT(20/12)),0)</f>
        <v>1</v>
      </c>
      <c r="I348" s="0" t="s">
        <v>784</v>
      </c>
    </row>
    <row r="349" customFormat="false" ht="15" hidden="false" customHeight="false" outlineLevel="0" collapsed="false">
      <c r="A349" s="0" t="s">
        <v>785</v>
      </c>
      <c r="B349" s="0" t="s">
        <v>328</v>
      </c>
      <c r="C349" s="0" t="n">
        <v>1.33</v>
      </c>
      <c r="D349" s="0" t="n">
        <f aca="false">Inputs!$B$4</f>
        <v>0.15</v>
      </c>
      <c r="E349" s="0" t="n">
        <f aca="false">C349*D349</f>
        <v>0.1995</v>
      </c>
      <c r="F349" s="0" t="n">
        <f aca="false">C349+E349</f>
        <v>1.5295</v>
      </c>
      <c r="G349" s="0" t="s">
        <v>329</v>
      </c>
      <c r="H349" s="0" t="n">
        <f aca="false">ROUNDUP(ROUNDUP(F349/12,0)/MAX(1,INT(20/12)),0)</f>
        <v>1</v>
      </c>
      <c r="I349" s="0" t="s">
        <v>784</v>
      </c>
    </row>
    <row r="350" customFormat="false" ht="15" hidden="false" customHeight="false" outlineLevel="0" collapsed="false">
      <c r="A350" s="0" t="s">
        <v>786</v>
      </c>
      <c r="B350" s="0" t="s">
        <v>328</v>
      </c>
      <c r="C350" s="0" t="n">
        <v>1.33</v>
      </c>
      <c r="D350" s="0" t="n">
        <f aca="false">Inputs!$B$4</f>
        <v>0.15</v>
      </c>
      <c r="E350" s="0" t="n">
        <f aca="false">C350*D350</f>
        <v>0.1995</v>
      </c>
      <c r="F350" s="0" t="n">
        <f aca="false">C350+E350</f>
        <v>1.5295</v>
      </c>
      <c r="G350" s="0" t="s">
        <v>329</v>
      </c>
      <c r="H350" s="0" t="n">
        <f aca="false">ROUNDUP(ROUNDUP(F350/12,0)/MAX(1,INT(20/12)),0)</f>
        <v>1</v>
      </c>
      <c r="I350" s="0" t="s">
        <v>787</v>
      </c>
    </row>
    <row r="351" customFormat="false" ht="15" hidden="false" customHeight="false" outlineLevel="0" collapsed="false">
      <c r="A351" s="0" t="s">
        <v>788</v>
      </c>
      <c r="B351" s="0" t="s">
        <v>328</v>
      </c>
      <c r="C351" s="0" t="n">
        <v>1.33</v>
      </c>
      <c r="D351" s="0" t="n">
        <f aca="false">Inputs!$B$4</f>
        <v>0.15</v>
      </c>
      <c r="E351" s="0" t="n">
        <f aca="false">C351*D351</f>
        <v>0.1995</v>
      </c>
      <c r="F351" s="0" t="n">
        <f aca="false">C351+E351</f>
        <v>1.5295</v>
      </c>
      <c r="G351" s="0" t="s">
        <v>329</v>
      </c>
      <c r="H351" s="0" t="n">
        <f aca="false">ROUNDUP(ROUNDUP(F351/12,0)/MAX(1,INT(20/12)),0)</f>
        <v>1</v>
      </c>
      <c r="I351" s="0" t="s">
        <v>789</v>
      </c>
    </row>
    <row r="352" customFormat="false" ht="15" hidden="false" customHeight="false" outlineLevel="0" collapsed="false">
      <c r="A352" s="0" t="s">
        <v>790</v>
      </c>
      <c r="B352" s="0" t="s">
        <v>328</v>
      </c>
      <c r="C352" s="0" t="n">
        <v>1.33</v>
      </c>
      <c r="D352" s="0" t="n">
        <f aca="false">Inputs!$B$4</f>
        <v>0.15</v>
      </c>
      <c r="E352" s="0" t="n">
        <f aca="false">C352*D352</f>
        <v>0.1995</v>
      </c>
      <c r="F352" s="0" t="n">
        <f aca="false">C352+E352</f>
        <v>1.5295</v>
      </c>
      <c r="G352" s="0" t="s">
        <v>329</v>
      </c>
      <c r="H352" s="0" t="n">
        <f aca="false">ROUNDUP(ROUNDUP(F352/12,0)/MAX(1,INT(20/12)),0)</f>
        <v>1</v>
      </c>
      <c r="I352" s="0" t="s">
        <v>791</v>
      </c>
    </row>
    <row r="353" customFormat="false" ht="15" hidden="false" customHeight="false" outlineLevel="0" collapsed="false">
      <c r="A353" s="0" t="s">
        <v>792</v>
      </c>
      <c r="B353" s="0" t="s">
        <v>328</v>
      </c>
      <c r="C353" s="0" t="n">
        <v>1.33</v>
      </c>
      <c r="D353" s="0" t="n">
        <f aca="false">Inputs!$B$4</f>
        <v>0.15</v>
      </c>
      <c r="E353" s="0" t="n">
        <f aca="false">C353*D353</f>
        <v>0.1995</v>
      </c>
      <c r="F353" s="0" t="n">
        <f aca="false">C353+E353</f>
        <v>1.5295</v>
      </c>
      <c r="G353" s="0" t="s">
        <v>329</v>
      </c>
      <c r="H353" s="0" t="n">
        <f aca="false">ROUNDUP(ROUNDUP(F353/12,0)/MAX(1,INT(20/12)),0)</f>
        <v>1</v>
      </c>
      <c r="I353" s="0" t="s">
        <v>793</v>
      </c>
    </row>
    <row r="354" customFormat="false" ht="15" hidden="false" customHeight="false" outlineLevel="0" collapsed="false">
      <c r="A354" s="0" t="s">
        <v>794</v>
      </c>
      <c r="B354" s="0" t="s">
        <v>328</v>
      </c>
      <c r="C354" s="0" t="n">
        <v>1.33</v>
      </c>
      <c r="D354" s="0" t="n">
        <f aca="false">Inputs!$B$4</f>
        <v>0.15</v>
      </c>
      <c r="E354" s="0" t="n">
        <f aca="false">C354*D354</f>
        <v>0.1995</v>
      </c>
      <c r="F354" s="0" t="n">
        <f aca="false">C354+E354</f>
        <v>1.5295</v>
      </c>
      <c r="G354" s="0" t="s">
        <v>329</v>
      </c>
      <c r="H354" s="0" t="n">
        <f aca="false">ROUNDUP(ROUNDUP(F354/12,0)/MAX(1,INT(20/12)),0)</f>
        <v>1</v>
      </c>
      <c r="I354" s="0" t="s">
        <v>795</v>
      </c>
    </row>
    <row r="355" customFormat="false" ht="15" hidden="false" customHeight="false" outlineLevel="0" collapsed="false">
      <c r="A355" s="0" t="s">
        <v>796</v>
      </c>
      <c r="B355" s="0" t="s">
        <v>328</v>
      </c>
      <c r="C355" s="0" t="n">
        <v>1.33</v>
      </c>
      <c r="D355" s="0" t="n">
        <f aca="false">Inputs!$B$4</f>
        <v>0.15</v>
      </c>
      <c r="E355" s="0" t="n">
        <f aca="false">C355*D355</f>
        <v>0.1995</v>
      </c>
      <c r="F355" s="0" t="n">
        <f aca="false">C355+E355</f>
        <v>1.5295</v>
      </c>
      <c r="G355" s="0" t="s">
        <v>329</v>
      </c>
      <c r="H355" s="0" t="n">
        <f aca="false">ROUNDUP(ROUNDUP(F355/12,0)/MAX(1,INT(20/12)),0)</f>
        <v>1</v>
      </c>
      <c r="I355" s="0" t="s">
        <v>797</v>
      </c>
    </row>
    <row r="356" customFormat="false" ht="15" hidden="false" customHeight="false" outlineLevel="0" collapsed="false">
      <c r="A356" s="0" t="s">
        <v>798</v>
      </c>
      <c r="B356" s="0" t="s">
        <v>328</v>
      </c>
      <c r="C356" s="0" t="n">
        <v>1.33</v>
      </c>
      <c r="D356" s="0" t="n">
        <f aca="false">Inputs!$B$4</f>
        <v>0.15</v>
      </c>
      <c r="E356" s="0" t="n">
        <f aca="false">C356*D356</f>
        <v>0.1995</v>
      </c>
      <c r="F356" s="0" t="n">
        <f aca="false">C356+E356</f>
        <v>1.5295</v>
      </c>
      <c r="G356" s="0" t="s">
        <v>329</v>
      </c>
      <c r="H356" s="0" t="n">
        <f aca="false">ROUNDUP(ROUNDUP(F356/12,0)/MAX(1,INT(20/12)),0)</f>
        <v>1</v>
      </c>
      <c r="I356" s="0" t="s">
        <v>799</v>
      </c>
    </row>
    <row r="357" customFormat="false" ht="15" hidden="false" customHeight="false" outlineLevel="0" collapsed="false">
      <c r="A357" s="0" t="s">
        <v>800</v>
      </c>
      <c r="B357" s="0" t="s">
        <v>328</v>
      </c>
      <c r="C357" s="0" t="n">
        <v>1.33</v>
      </c>
      <c r="D357" s="0" t="n">
        <f aca="false">Inputs!$B$4</f>
        <v>0.15</v>
      </c>
      <c r="E357" s="0" t="n">
        <f aca="false">C357*D357</f>
        <v>0.1995</v>
      </c>
      <c r="F357" s="0" t="n">
        <f aca="false">C357+E357</f>
        <v>1.5295</v>
      </c>
      <c r="G357" s="0" t="s">
        <v>329</v>
      </c>
      <c r="H357" s="0" t="n">
        <f aca="false">ROUNDUP(ROUNDUP(F357/12,0)/MAX(1,INT(20/12)),0)</f>
        <v>1</v>
      </c>
      <c r="I357" s="0" t="s">
        <v>801</v>
      </c>
    </row>
    <row r="358" customFormat="false" ht="15" hidden="false" customHeight="false" outlineLevel="0" collapsed="false">
      <c r="A358" s="0" t="s">
        <v>802</v>
      </c>
      <c r="B358" s="0" t="s">
        <v>328</v>
      </c>
      <c r="C358" s="0" t="n">
        <v>5.33</v>
      </c>
      <c r="D358" s="0" t="n">
        <f aca="false">Inputs!$B$4</f>
        <v>0.15</v>
      </c>
      <c r="E358" s="0" t="n">
        <f aca="false">C358*D358</f>
        <v>0.7995</v>
      </c>
      <c r="F358" s="0" t="n">
        <f aca="false">C358+E358</f>
        <v>6.1295</v>
      </c>
      <c r="G358" s="0" t="s">
        <v>329</v>
      </c>
      <c r="H358" s="0" t="n">
        <f aca="false">ROUNDUP(ROUNDUP(F358/12,0)/MAX(1,INT(20/12)),0)</f>
        <v>1</v>
      </c>
      <c r="I358" s="0" t="s">
        <v>803</v>
      </c>
    </row>
    <row r="359" customFormat="false" ht="15" hidden="false" customHeight="false" outlineLevel="0" collapsed="false">
      <c r="A359" s="0" t="s">
        <v>804</v>
      </c>
      <c r="B359" s="0" t="s">
        <v>328</v>
      </c>
      <c r="C359" s="0" t="n">
        <v>2</v>
      </c>
      <c r="D359" s="0" t="n">
        <f aca="false">Inputs!$B$4</f>
        <v>0.15</v>
      </c>
      <c r="E359" s="0" t="n">
        <f aca="false">C359*D359</f>
        <v>0.3</v>
      </c>
      <c r="F359" s="0" t="n">
        <f aca="false">C359+E359</f>
        <v>2.3</v>
      </c>
      <c r="G359" s="0" t="s">
        <v>329</v>
      </c>
      <c r="H359" s="0" t="n">
        <f aca="false">ROUNDUP(ROUNDUP(F359/12,0)/MAX(1,INT(20/12)),0)</f>
        <v>1</v>
      </c>
      <c r="I359" s="0" t="s">
        <v>805</v>
      </c>
    </row>
    <row r="360" customFormat="false" ht="15" hidden="false" customHeight="false" outlineLevel="0" collapsed="false">
      <c r="A360" s="0" t="s">
        <v>806</v>
      </c>
      <c r="B360" s="0" t="s">
        <v>328</v>
      </c>
      <c r="C360" s="0" t="n">
        <v>2</v>
      </c>
      <c r="D360" s="0" t="n">
        <f aca="false">Inputs!$B$4</f>
        <v>0.15</v>
      </c>
      <c r="E360" s="0" t="n">
        <f aca="false">C360*D360</f>
        <v>0.3</v>
      </c>
      <c r="F360" s="0" t="n">
        <f aca="false">C360+E360</f>
        <v>2.3</v>
      </c>
      <c r="G360" s="0" t="s">
        <v>329</v>
      </c>
      <c r="H360" s="0" t="n">
        <f aca="false">ROUNDUP(ROUNDUP(F360/12,0)/MAX(1,INT(20/12)),0)</f>
        <v>1</v>
      </c>
      <c r="I360" s="0" t="s">
        <v>805</v>
      </c>
    </row>
    <row r="361" customFormat="false" ht="15" hidden="false" customHeight="false" outlineLevel="0" collapsed="false">
      <c r="A361" s="0" t="s">
        <v>807</v>
      </c>
      <c r="B361" s="0" t="s">
        <v>328</v>
      </c>
      <c r="C361" s="0" t="n">
        <v>2</v>
      </c>
      <c r="D361" s="0" t="n">
        <f aca="false">Inputs!$B$4</f>
        <v>0.15</v>
      </c>
      <c r="E361" s="0" t="n">
        <f aca="false">C361*D361</f>
        <v>0.3</v>
      </c>
      <c r="F361" s="0" t="n">
        <f aca="false">C361+E361</f>
        <v>2.3</v>
      </c>
      <c r="G361" s="0" t="s">
        <v>329</v>
      </c>
      <c r="H361" s="0" t="n">
        <f aca="false">ROUNDUP(ROUNDUP(F361/12,0)/MAX(1,INT(20/12)),0)</f>
        <v>1</v>
      </c>
      <c r="I361" s="0" t="s">
        <v>805</v>
      </c>
    </row>
    <row r="362" customFormat="false" ht="15" hidden="false" customHeight="false" outlineLevel="0" collapsed="false">
      <c r="A362" s="0" t="s">
        <v>808</v>
      </c>
      <c r="B362" s="0" t="s">
        <v>328</v>
      </c>
      <c r="C362" s="0" t="n">
        <v>2</v>
      </c>
      <c r="D362" s="0" t="n">
        <f aca="false">Inputs!$B$4</f>
        <v>0.15</v>
      </c>
      <c r="E362" s="0" t="n">
        <f aca="false">C362*D362</f>
        <v>0.3</v>
      </c>
      <c r="F362" s="0" t="n">
        <f aca="false">C362+E362</f>
        <v>2.3</v>
      </c>
      <c r="G362" s="0" t="s">
        <v>329</v>
      </c>
      <c r="H362" s="0" t="n">
        <f aca="false">ROUNDUP(ROUNDUP(F362/12,0)/MAX(1,INT(20/12)),0)</f>
        <v>1</v>
      </c>
      <c r="I362" s="0" t="s">
        <v>805</v>
      </c>
    </row>
    <row r="363" customFormat="false" ht="15" hidden="false" customHeight="false" outlineLevel="0" collapsed="false">
      <c r="A363" s="0" t="s">
        <v>809</v>
      </c>
      <c r="B363" s="0" t="s">
        <v>328</v>
      </c>
      <c r="C363" s="0" t="n">
        <v>2</v>
      </c>
      <c r="D363" s="0" t="n">
        <f aca="false">Inputs!$B$4</f>
        <v>0.15</v>
      </c>
      <c r="E363" s="0" t="n">
        <f aca="false">C363*D363</f>
        <v>0.3</v>
      </c>
      <c r="F363" s="0" t="n">
        <f aca="false">C363+E363</f>
        <v>2.3</v>
      </c>
      <c r="G363" s="0" t="s">
        <v>329</v>
      </c>
      <c r="H363" s="0" t="n">
        <f aca="false">ROUNDUP(ROUNDUP(F363/12,0)/MAX(1,INT(20/12)),0)</f>
        <v>1</v>
      </c>
      <c r="I363" s="0" t="s">
        <v>805</v>
      </c>
    </row>
    <row r="364" customFormat="false" ht="15" hidden="false" customHeight="false" outlineLevel="0" collapsed="false">
      <c r="A364" s="0" t="s">
        <v>810</v>
      </c>
      <c r="B364" s="0" t="s">
        <v>328</v>
      </c>
      <c r="C364" s="0" t="n">
        <v>2</v>
      </c>
      <c r="D364" s="0" t="n">
        <f aca="false">Inputs!$B$4</f>
        <v>0.15</v>
      </c>
      <c r="E364" s="0" t="n">
        <f aca="false">C364*D364</f>
        <v>0.3</v>
      </c>
      <c r="F364" s="0" t="n">
        <f aca="false">C364+E364</f>
        <v>2.3</v>
      </c>
      <c r="G364" s="0" t="s">
        <v>329</v>
      </c>
      <c r="H364" s="0" t="n">
        <f aca="false">ROUNDUP(ROUNDUP(F364/12,0)/MAX(1,INT(20/12)),0)</f>
        <v>1</v>
      </c>
      <c r="I364" s="0" t="s">
        <v>805</v>
      </c>
    </row>
    <row r="365" customFormat="false" ht="15" hidden="false" customHeight="false" outlineLevel="0" collapsed="false">
      <c r="A365" s="0" t="s">
        <v>811</v>
      </c>
      <c r="B365" s="0" t="s">
        <v>328</v>
      </c>
      <c r="C365" s="0" t="n">
        <v>2</v>
      </c>
      <c r="D365" s="0" t="n">
        <f aca="false">Inputs!$B$4</f>
        <v>0.15</v>
      </c>
      <c r="E365" s="0" t="n">
        <f aca="false">C365*D365</f>
        <v>0.3</v>
      </c>
      <c r="F365" s="0" t="n">
        <f aca="false">C365+E365</f>
        <v>2.3</v>
      </c>
      <c r="G365" s="0" t="s">
        <v>329</v>
      </c>
      <c r="H365" s="0" t="n">
        <f aca="false">ROUNDUP(ROUNDUP(F365/12,0)/MAX(1,INT(20/12)),0)</f>
        <v>1</v>
      </c>
      <c r="I365" s="0" t="s">
        <v>805</v>
      </c>
    </row>
    <row r="366" customFormat="false" ht="15" hidden="false" customHeight="false" outlineLevel="0" collapsed="false">
      <c r="A366" s="0" t="s">
        <v>812</v>
      </c>
      <c r="B366" s="0" t="s">
        <v>328</v>
      </c>
      <c r="C366" s="0" t="n">
        <v>2</v>
      </c>
      <c r="D366" s="0" t="n">
        <f aca="false">Inputs!$B$4</f>
        <v>0.15</v>
      </c>
      <c r="E366" s="0" t="n">
        <f aca="false">C366*D366</f>
        <v>0.3</v>
      </c>
      <c r="F366" s="0" t="n">
        <f aca="false">C366+E366</f>
        <v>2.3</v>
      </c>
      <c r="G366" s="0" t="s">
        <v>329</v>
      </c>
      <c r="H366" s="0" t="n">
        <f aca="false">ROUNDUP(ROUNDUP(F366/12,0)/MAX(1,INT(20/12)),0)</f>
        <v>1</v>
      </c>
      <c r="I366" s="0" t="s">
        <v>805</v>
      </c>
    </row>
    <row r="367" customFormat="false" ht="15" hidden="false" customHeight="false" outlineLevel="0" collapsed="false">
      <c r="A367" s="0" t="s">
        <v>813</v>
      </c>
      <c r="B367" s="0" t="s">
        <v>328</v>
      </c>
      <c r="C367" s="0" t="n">
        <v>2</v>
      </c>
      <c r="D367" s="0" t="n">
        <f aca="false">Inputs!$B$4</f>
        <v>0.15</v>
      </c>
      <c r="E367" s="0" t="n">
        <f aca="false">C367*D367</f>
        <v>0.3</v>
      </c>
      <c r="F367" s="0" t="n">
        <f aca="false">C367+E367</f>
        <v>2.3</v>
      </c>
      <c r="G367" s="0" t="s">
        <v>329</v>
      </c>
      <c r="H367" s="0" t="n">
        <f aca="false">ROUNDUP(ROUNDUP(F367/12,0)/MAX(1,INT(20/12)),0)</f>
        <v>1</v>
      </c>
      <c r="I367" s="0" t="s">
        <v>805</v>
      </c>
    </row>
    <row r="368" customFormat="false" ht="15" hidden="false" customHeight="false" outlineLevel="0" collapsed="false">
      <c r="A368" s="0" t="s">
        <v>814</v>
      </c>
      <c r="B368" s="0" t="s">
        <v>328</v>
      </c>
      <c r="C368" s="0" t="n">
        <v>5.33</v>
      </c>
      <c r="D368" s="0" t="n">
        <f aca="false">Inputs!$B$5</f>
        <v>0.06</v>
      </c>
      <c r="E368" s="0" t="n">
        <f aca="false">C368*D368</f>
        <v>0.3198</v>
      </c>
      <c r="F368" s="0" t="n">
        <f aca="false">C368+E368</f>
        <v>5.6498</v>
      </c>
      <c r="G368" s="0" t="s">
        <v>345</v>
      </c>
      <c r="H368" s="0" t="n">
        <f aca="false">ROUNDUP(F368/10,0)</f>
        <v>1</v>
      </c>
      <c r="I368" s="0" t="s">
        <v>815</v>
      </c>
    </row>
    <row r="369" customFormat="false" ht="15" hidden="false" customHeight="false" outlineLevel="0" collapsed="false">
      <c r="A369" s="0" t="s">
        <v>816</v>
      </c>
      <c r="B369" s="0" t="s">
        <v>328</v>
      </c>
      <c r="C369" s="0" t="n">
        <v>4</v>
      </c>
      <c r="D369" s="0" t="n">
        <f aca="false">Inputs!$B$5</f>
        <v>0.06</v>
      </c>
      <c r="E369" s="0" t="n">
        <f aca="false">C369*D369</f>
        <v>0.24</v>
      </c>
      <c r="F369" s="0" t="n">
        <f aca="false">C369+E369</f>
        <v>4.24</v>
      </c>
      <c r="G369" s="0" t="s">
        <v>345</v>
      </c>
      <c r="H369" s="0" t="n">
        <f aca="false">ROUNDUP(F369/10,0)</f>
        <v>1</v>
      </c>
      <c r="I369" s="0" t="s">
        <v>815</v>
      </c>
    </row>
    <row r="370" customFormat="false" ht="15" hidden="false" customHeight="false" outlineLevel="0" collapsed="false">
      <c r="A370" s="0" t="s">
        <v>817</v>
      </c>
      <c r="B370" s="0" t="s">
        <v>328</v>
      </c>
      <c r="C370" s="0" t="n">
        <v>2.67</v>
      </c>
      <c r="D370" s="0" t="n">
        <f aca="false">Inputs!$B$5</f>
        <v>0.06</v>
      </c>
      <c r="E370" s="0" t="n">
        <f aca="false">C370*D370</f>
        <v>0.1602</v>
      </c>
      <c r="F370" s="0" t="n">
        <f aca="false">C370+E370</f>
        <v>2.8302</v>
      </c>
      <c r="G370" s="0" t="s">
        <v>345</v>
      </c>
      <c r="H370" s="0" t="n">
        <f aca="false">ROUNDUP(F370/10,0)</f>
        <v>1</v>
      </c>
      <c r="I370" s="0" t="s">
        <v>815</v>
      </c>
    </row>
    <row r="371" customFormat="false" ht="15" hidden="false" customHeight="false" outlineLevel="0" collapsed="false">
      <c r="A371" s="0" t="s">
        <v>818</v>
      </c>
      <c r="B371" s="0" t="s">
        <v>328</v>
      </c>
      <c r="C371" s="0" t="n">
        <v>4</v>
      </c>
      <c r="D371" s="0" t="n">
        <f aca="false">Inputs!$B$5</f>
        <v>0.06</v>
      </c>
      <c r="E371" s="0" t="n">
        <f aca="false">C371*D371</f>
        <v>0.24</v>
      </c>
      <c r="F371" s="0" t="n">
        <f aca="false">C371+E371</f>
        <v>4.24</v>
      </c>
      <c r="G371" s="0" t="s">
        <v>345</v>
      </c>
      <c r="H371" s="0" t="n">
        <f aca="false">ROUNDUP(F371/10,0)</f>
        <v>1</v>
      </c>
      <c r="I371" s="0" t="s">
        <v>819</v>
      </c>
    </row>
    <row r="372" customFormat="false" ht="15" hidden="false" customHeight="false" outlineLevel="0" collapsed="false">
      <c r="A372" s="0" t="s">
        <v>820</v>
      </c>
      <c r="B372" s="0" t="s">
        <v>328</v>
      </c>
      <c r="C372" s="0" t="n">
        <v>2.67</v>
      </c>
      <c r="D372" s="0" t="n">
        <f aca="false">Inputs!$B$5</f>
        <v>0.06</v>
      </c>
      <c r="E372" s="0" t="n">
        <f aca="false">C372*D372</f>
        <v>0.1602</v>
      </c>
      <c r="F372" s="0" t="n">
        <f aca="false">C372+E372</f>
        <v>2.8302</v>
      </c>
      <c r="G372" s="0" t="s">
        <v>345</v>
      </c>
      <c r="H372" s="0" t="n">
        <f aca="false">ROUNDUP(F372/10,0)</f>
        <v>1</v>
      </c>
      <c r="I372" s="0" t="s">
        <v>819</v>
      </c>
    </row>
    <row r="373" customFormat="false" ht="15" hidden="false" customHeight="false" outlineLevel="0" collapsed="false">
      <c r="A373" s="0" t="s">
        <v>821</v>
      </c>
      <c r="B373" s="0" t="s">
        <v>328</v>
      </c>
      <c r="C373" s="0" t="n">
        <v>1.33</v>
      </c>
      <c r="D373" s="0" t="n">
        <f aca="false">Inputs!$B$5</f>
        <v>0.06</v>
      </c>
      <c r="E373" s="0" t="n">
        <f aca="false">C373*D373</f>
        <v>0.0798</v>
      </c>
      <c r="F373" s="0" t="n">
        <f aca="false">C373+E373</f>
        <v>1.4098</v>
      </c>
      <c r="G373" s="0" t="s">
        <v>345</v>
      </c>
      <c r="H373" s="0" t="n">
        <f aca="false">ROUNDUP(F373/10,0)</f>
        <v>1</v>
      </c>
      <c r="I373" s="0" t="s">
        <v>819</v>
      </c>
    </row>
    <row r="374" customFormat="false" ht="15" hidden="false" customHeight="false" outlineLevel="0" collapsed="false">
      <c r="A374" s="0" t="s">
        <v>822</v>
      </c>
      <c r="B374" s="0" t="s">
        <v>328</v>
      </c>
      <c r="C374" s="0" t="n">
        <v>1.33</v>
      </c>
      <c r="D374" s="0" t="n">
        <f aca="false">Inputs!$B$5</f>
        <v>0.06</v>
      </c>
      <c r="E374" s="0" t="n">
        <f aca="false">C374*D374</f>
        <v>0.0798</v>
      </c>
      <c r="F374" s="0" t="n">
        <f aca="false">C374+E374</f>
        <v>1.4098</v>
      </c>
      <c r="G374" s="0" t="s">
        <v>345</v>
      </c>
      <c r="H374" s="0" t="n">
        <f aca="false">ROUNDUP(F374/10,0)</f>
        <v>1</v>
      </c>
      <c r="I374" s="0" t="s">
        <v>819</v>
      </c>
    </row>
    <row r="375" customFormat="false" ht="15" hidden="false" customHeight="false" outlineLevel="0" collapsed="false">
      <c r="A375" s="0" t="s">
        <v>823</v>
      </c>
      <c r="B375" s="0" t="s">
        <v>328</v>
      </c>
      <c r="C375" s="0" t="n">
        <v>8</v>
      </c>
      <c r="D375" s="0" t="n">
        <f aca="false">Inputs!$B$5</f>
        <v>0.06</v>
      </c>
      <c r="E375" s="0" t="n">
        <f aca="false">C375*D375</f>
        <v>0.48</v>
      </c>
      <c r="F375" s="0" t="n">
        <f aca="false">C375+E375</f>
        <v>8.48</v>
      </c>
      <c r="G375" s="0" t="s">
        <v>345</v>
      </c>
      <c r="H375" s="0" t="n">
        <f aca="false">ROUNDUP(F375/10,0)</f>
        <v>1</v>
      </c>
      <c r="I375" s="0" t="s">
        <v>824</v>
      </c>
    </row>
    <row r="376" customFormat="false" ht="15" hidden="false" customHeight="false" outlineLevel="0" collapsed="false">
      <c r="A376" s="0" t="s">
        <v>825</v>
      </c>
      <c r="B376" s="0" t="s">
        <v>328</v>
      </c>
      <c r="C376" s="0" t="n">
        <v>1.33</v>
      </c>
      <c r="D376" s="0" t="n">
        <f aca="false">Inputs!$B$5</f>
        <v>0.06</v>
      </c>
      <c r="E376" s="0" t="n">
        <f aca="false">C376*D376</f>
        <v>0.0798</v>
      </c>
      <c r="F376" s="0" t="n">
        <f aca="false">C376+E376</f>
        <v>1.4098</v>
      </c>
      <c r="G376" s="0" t="s">
        <v>345</v>
      </c>
      <c r="H376" s="0" t="n">
        <f aca="false">ROUNDUP(F376/10,0)</f>
        <v>1</v>
      </c>
      <c r="I376" s="0" t="s">
        <v>826</v>
      </c>
    </row>
    <row r="377" customFormat="false" ht="15" hidden="false" customHeight="false" outlineLevel="0" collapsed="false">
      <c r="A377" s="0" t="s">
        <v>827</v>
      </c>
      <c r="B377" s="0" t="s">
        <v>328</v>
      </c>
      <c r="C377" s="0" t="n">
        <v>5.33</v>
      </c>
      <c r="D377" s="0" t="n">
        <f aca="false">Inputs!$B$5</f>
        <v>0.06</v>
      </c>
      <c r="E377" s="0" t="n">
        <f aca="false">C377*D377</f>
        <v>0.3198</v>
      </c>
      <c r="F377" s="0" t="n">
        <f aca="false">C377+E377</f>
        <v>5.6498</v>
      </c>
      <c r="G377" s="0" t="s">
        <v>345</v>
      </c>
      <c r="H377" s="0" t="n">
        <f aca="false">ROUNDUP(F377/10,0)</f>
        <v>1</v>
      </c>
      <c r="I377" s="0" t="s">
        <v>815</v>
      </c>
    </row>
    <row r="378" customFormat="false" ht="15" hidden="false" customHeight="false" outlineLevel="0" collapsed="false">
      <c r="A378" s="0" t="s">
        <v>828</v>
      </c>
      <c r="B378" s="0" t="s">
        <v>328</v>
      </c>
      <c r="C378" s="0" t="n">
        <v>4</v>
      </c>
      <c r="D378" s="0" t="n">
        <f aca="false">Inputs!$B$5</f>
        <v>0.06</v>
      </c>
      <c r="E378" s="0" t="n">
        <f aca="false">C378*D378</f>
        <v>0.24</v>
      </c>
      <c r="F378" s="0" t="n">
        <f aca="false">C378+E378</f>
        <v>4.24</v>
      </c>
      <c r="G378" s="0" t="s">
        <v>345</v>
      </c>
      <c r="H378" s="0" t="n">
        <f aca="false">ROUNDUP(F378/10,0)</f>
        <v>1</v>
      </c>
      <c r="I378" s="0" t="s">
        <v>815</v>
      </c>
    </row>
    <row r="379" customFormat="false" ht="15" hidden="false" customHeight="false" outlineLevel="0" collapsed="false">
      <c r="A379" s="0" t="s">
        <v>829</v>
      </c>
      <c r="B379" s="0" t="s">
        <v>328</v>
      </c>
      <c r="C379" s="0" t="n">
        <v>2.67</v>
      </c>
      <c r="D379" s="0" t="n">
        <f aca="false">Inputs!$B$5</f>
        <v>0.06</v>
      </c>
      <c r="E379" s="0" t="n">
        <f aca="false">C379*D379</f>
        <v>0.1602</v>
      </c>
      <c r="F379" s="0" t="n">
        <f aca="false">C379+E379</f>
        <v>2.8302</v>
      </c>
      <c r="G379" s="0" t="s">
        <v>345</v>
      </c>
      <c r="H379" s="0" t="n">
        <f aca="false">ROUNDUP(F379/10,0)</f>
        <v>1</v>
      </c>
      <c r="I379" s="0" t="s">
        <v>815</v>
      </c>
    </row>
    <row r="380" customFormat="false" ht="15" hidden="false" customHeight="false" outlineLevel="0" collapsed="false">
      <c r="A380" s="0" t="s">
        <v>830</v>
      </c>
      <c r="B380" s="0" t="s">
        <v>328</v>
      </c>
      <c r="C380" s="0" t="n">
        <v>4</v>
      </c>
      <c r="D380" s="0" t="n">
        <f aca="false">Inputs!$B$5</f>
        <v>0.06</v>
      </c>
      <c r="E380" s="0" t="n">
        <f aca="false">C380*D380</f>
        <v>0.24</v>
      </c>
      <c r="F380" s="0" t="n">
        <f aca="false">C380+E380</f>
        <v>4.24</v>
      </c>
      <c r="G380" s="0" t="s">
        <v>345</v>
      </c>
      <c r="H380" s="0" t="n">
        <f aca="false">ROUNDUP(F380/10,0)</f>
        <v>1</v>
      </c>
      <c r="I380" s="0" t="s">
        <v>819</v>
      </c>
    </row>
    <row r="381" customFormat="false" ht="15" hidden="false" customHeight="false" outlineLevel="0" collapsed="false">
      <c r="A381" s="0" t="s">
        <v>831</v>
      </c>
      <c r="B381" s="0" t="s">
        <v>328</v>
      </c>
      <c r="C381" s="0" t="n">
        <v>2.67</v>
      </c>
      <c r="D381" s="0" t="n">
        <f aca="false">Inputs!$B$5</f>
        <v>0.06</v>
      </c>
      <c r="E381" s="0" t="n">
        <f aca="false">C381*D381</f>
        <v>0.1602</v>
      </c>
      <c r="F381" s="0" t="n">
        <f aca="false">C381+E381</f>
        <v>2.8302</v>
      </c>
      <c r="G381" s="0" t="s">
        <v>345</v>
      </c>
      <c r="H381" s="0" t="n">
        <f aca="false">ROUNDUP(F381/10,0)</f>
        <v>1</v>
      </c>
      <c r="I381" s="0" t="s">
        <v>819</v>
      </c>
    </row>
    <row r="382" customFormat="false" ht="15" hidden="false" customHeight="false" outlineLevel="0" collapsed="false">
      <c r="A382" s="0" t="s">
        <v>832</v>
      </c>
      <c r="B382" s="0" t="s">
        <v>328</v>
      </c>
      <c r="C382" s="0" t="n">
        <v>1.33</v>
      </c>
      <c r="D382" s="0" t="n">
        <f aca="false">Inputs!$B$5</f>
        <v>0.06</v>
      </c>
      <c r="E382" s="0" t="n">
        <f aca="false">C382*D382</f>
        <v>0.0798</v>
      </c>
      <c r="F382" s="0" t="n">
        <f aca="false">C382+E382</f>
        <v>1.4098</v>
      </c>
      <c r="G382" s="0" t="s">
        <v>345</v>
      </c>
      <c r="H382" s="0" t="n">
        <f aca="false">ROUNDUP(F382/10,0)</f>
        <v>1</v>
      </c>
      <c r="I382" s="0" t="s">
        <v>819</v>
      </c>
    </row>
    <row r="383" customFormat="false" ht="15" hidden="false" customHeight="false" outlineLevel="0" collapsed="false">
      <c r="A383" s="0" t="s">
        <v>833</v>
      </c>
      <c r="B383" s="0" t="s">
        <v>328</v>
      </c>
      <c r="C383" s="0" t="n">
        <v>1.33</v>
      </c>
      <c r="D383" s="0" t="n">
        <f aca="false">Inputs!$B$5</f>
        <v>0.06</v>
      </c>
      <c r="E383" s="0" t="n">
        <f aca="false">C383*D383</f>
        <v>0.0798</v>
      </c>
      <c r="F383" s="0" t="n">
        <f aca="false">C383+E383</f>
        <v>1.4098</v>
      </c>
      <c r="G383" s="0" t="s">
        <v>345</v>
      </c>
      <c r="H383" s="0" t="n">
        <f aca="false">ROUNDUP(F383/10,0)</f>
        <v>1</v>
      </c>
      <c r="I383" s="0" t="s">
        <v>819</v>
      </c>
    </row>
    <row r="384" customFormat="false" ht="15" hidden="false" customHeight="false" outlineLevel="0" collapsed="false">
      <c r="A384" s="0" t="s">
        <v>834</v>
      </c>
      <c r="B384" s="0" t="s">
        <v>328</v>
      </c>
      <c r="C384" s="0" t="n">
        <v>8</v>
      </c>
      <c r="D384" s="0" t="n">
        <f aca="false">Inputs!$B$5</f>
        <v>0.06</v>
      </c>
      <c r="E384" s="0" t="n">
        <f aca="false">C384*D384</f>
        <v>0.48</v>
      </c>
      <c r="F384" s="0" t="n">
        <f aca="false">C384+E384</f>
        <v>8.48</v>
      </c>
      <c r="G384" s="0" t="s">
        <v>345</v>
      </c>
      <c r="H384" s="0" t="n">
        <f aca="false">ROUNDUP(F384/10,0)</f>
        <v>1</v>
      </c>
      <c r="I384" s="0" t="s">
        <v>824</v>
      </c>
    </row>
    <row r="385" customFormat="false" ht="15" hidden="false" customHeight="false" outlineLevel="0" collapsed="false">
      <c r="A385" s="0" t="s">
        <v>835</v>
      </c>
      <c r="B385" s="0" t="s">
        <v>328</v>
      </c>
      <c r="C385" s="0" t="n">
        <v>1.33</v>
      </c>
      <c r="D385" s="0" t="n">
        <f aca="false">Inputs!$B$5</f>
        <v>0.06</v>
      </c>
      <c r="E385" s="0" t="n">
        <f aca="false">C385*D385</f>
        <v>0.0798</v>
      </c>
      <c r="F385" s="0" t="n">
        <f aca="false">C385+E385</f>
        <v>1.4098</v>
      </c>
      <c r="G385" s="0" t="s">
        <v>345</v>
      </c>
      <c r="H385" s="0" t="n">
        <f aca="false">ROUNDUP(F385/10,0)</f>
        <v>1</v>
      </c>
      <c r="I385" s="0" t="s">
        <v>826</v>
      </c>
    </row>
    <row r="386" customFormat="false" ht="15" hidden="false" customHeight="false" outlineLevel="0" collapsed="false">
      <c r="A386" s="0" t="s">
        <v>836</v>
      </c>
      <c r="B386" s="0" t="s">
        <v>328</v>
      </c>
      <c r="C386" s="0" t="n">
        <v>1.33</v>
      </c>
      <c r="D386" s="0" t="n">
        <f aca="false">Inputs!$B$5</f>
        <v>0.06</v>
      </c>
      <c r="E386" s="0" t="n">
        <f aca="false">C386*D386</f>
        <v>0.0798</v>
      </c>
      <c r="F386" s="0" t="n">
        <f aca="false">C386+E386</f>
        <v>1.4098</v>
      </c>
      <c r="G386" s="0" t="s">
        <v>345</v>
      </c>
      <c r="H386" s="0" t="n">
        <f aca="false">ROUNDUP(F386/10,0)</f>
        <v>1</v>
      </c>
      <c r="I386" s="0" t="s">
        <v>819</v>
      </c>
    </row>
    <row r="387" customFormat="false" ht="15" hidden="false" customHeight="false" outlineLevel="0" collapsed="false">
      <c r="A387" s="0" t="s">
        <v>837</v>
      </c>
      <c r="B387" s="0" t="s">
        <v>328</v>
      </c>
      <c r="C387" s="0" t="n">
        <v>6.25</v>
      </c>
      <c r="D387" s="0" t="n">
        <f aca="false">Inputs!$B$5</f>
        <v>0.06</v>
      </c>
      <c r="E387" s="0" t="n">
        <f aca="false">C387*D387</f>
        <v>0.375</v>
      </c>
      <c r="F387" s="0" t="n">
        <f aca="false">C387+E387</f>
        <v>6.625</v>
      </c>
      <c r="G387" s="0" t="s">
        <v>345</v>
      </c>
      <c r="H387" s="0" t="n">
        <f aca="false">ROUNDUP(F387/10,0)</f>
        <v>1</v>
      </c>
      <c r="I387" s="0" t="s">
        <v>838</v>
      </c>
    </row>
    <row r="388" customFormat="false" ht="15" hidden="false" customHeight="false" outlineLevel="0" collapsed="false">
      <c r="A388" s="0" t="s">
        <v>839</v>
      </c>
      <c r="B388" s="0" t="s">
        <v>328</v>
      </c>
      <c r="C388" s="0" t="n">
        <v>21</v>
      </c>
      <c r="D388" s="0" t="n">
        <f aca="false">Inputs!$B$5</f>
        <v>0.06</v>
      </c>
      <c r="E388" s="0" t="n">
        <f aca="false">C388*D388</f>
        <v>1.26</v>
      </c>
      <c r="F388" s="0" t="n">
        <f aca="false">C388+E388</f>
        <v>22.26</v>
      </c>
      <c r="G388" s="0" t="s">
        <v>345</v>
      </c>
      <c r="H388" s="0" t="n">
        <f aca="false">ROUNDUP(F388/10,0)</f>
        <v>3</v>
      </c>
      <c r="I388" s="0" t="s">
        <v>840</v>
      </c>
    </row>
    <row r="389" customFormat="false" ht="15" hidden="false" customHeight="false" outlineLevel="0" collapsed="false">
      <c r="A389" s="0" t="s">
        <v>841</v>
      </c>
      <c r="B389" s="0" t="s">
        <v>328</v>
      </c>
      <c r="C389" s="0" t="n">
        <v>9</v>
      </c>
      <c r="D389" s="0" t="n">
        <f aca="false">Inputs!$B$5</f>
        <v>0.06</v>
      </c>
      <c r="E389" s="0" t="n">
        <f aca="false">C389*D389</f>
        <v>0.54</v>
      </c>
      <c r="F389" s="0" t="n">
        <f aca="false">C389+E389</f>
        <v>9.54</v>
      </c>
      <c r="G389" s="0" t="s">
        <v>345</v>
      </c>
      <c r="H389" s="0" t="n">
        <f aca="false">ROUNDUP(F389/10,0)</f>
        <v>1</v>
      </c>
      <c r="I389" s="0" t="s">
        <v>842</v>
      </c>
    </row>
    <row r="390" customFormat="false" ht="15" hidden="false" customHeight="false" outlineLevel="0" collapsed="false">
      <c r="A390" s="0" t="s">
        <v>843</v>
      </c>
      <c r="B390" s="0" t="s">
        <v>328</v>
      </c>
      <c r="C390" s="0" t="n">
        <v>9</v>
      </c>
      <c r="D390" s="0" t="n">
        <f aca="false">Inputs!$B$5</f>
        <v>0.06</v>
      </c>
      <c r="E390" s="0" t="n">
        <f aca="false">C390*D390</f>
        <v>0.54</v>
      </c>
      <c r="F390" s="0" t="n">
        <f aca="false">C390+E390</f>
        <v>9.54</v>
      </c>
      <c r="G390" s="0" t="s">
        <v>345</v>
      </c>
      <c r="H390" s="0" t="n">
        <f aca="false">ROUNDUP(F390/10,0)</f>
        <v>1</v>
      </c>
      <c r="I390" s="0" t="s">
        <v>842</v>
      </c>
    </row>
    <row r="391" customFormat="false" ht="15" hidden="false" customHeight="false" outlineLevel="0" collapsed="false">
      <c r="A391" s="0" t="s">
        <v>844</v>
      </c>
      <c r="B391" s="0" t="s">
        <v>328</v>
      </c>
      <c r="C391" s="0" t="n">
        <v>1.33</v>
      </c>
      <c r="D391" s="0" t="n">
        <f aca="false">Inputs!$B$5</f>
        <v>0.06</v>
      </c>
      <c r="E391" s="0" t="n">
        <f aca="false">C391*D391</f>
        <v>0.0798</v>
      </c>
      <c r="F391" s="0" t="n">
        <f aca="false">C391+E391</f>
        <v>1.4098</v>
      </c>
      <c r="G391" s="0" t="s">
        <v>345</v>
      </c>
      <c r="H391" s="0" t="n">
        <f aca="false">ROUNDUP(F391/10,0)</f>
        <v>1</v>
      </c>
      <c r="I391" s="0" t="s">
        <v>845</v>
      </c>
    </row>
    <row r="392" customFormat="false" ht="15" hidden="false" customHeight="false" outlineLevel="0" collapsed="false">
      <c r="A392" s="0" t="s">
        <v>846</v>
      </c>
      <c r="B392" s="0" t="s">
        <v>328</v>
      </c>
      <c r="C392" s="0" t="n">
        <v>6.62</v>
      </c>
      <c r="D392" s="0" t="n">
        <f aca="false">Inputs!$B$5</f>
        <v>0.06</v>
      </c>
      <c r="E392" s="0" t="n">
        <f aca="false">C392*D392</f>
        <v>0.3972</v>
      </c>
      <c r="F392" s="0" t="n">
        <f aca="false">C392+E392</f>
        <v>7.0172</v>
      </c>
      <c r="G392" s="0" t="s">
        <v>345</v>
      </c>
      <c r="H392" s="0" t="n">
        <f aca="false">ROUNDUP(F392/10,0)</f>
        <v>1</v>
      </c>
      <c r="I392" s="0" t="s">
        <v>847</v>
      </c>
    </row>
    <row r="393" customFormat="false" ht="15" hidden="false" customHeight="false" outlineLevel="0" collapsed="false">
      <c r="A393" s="0" t="s">
        <v>848</v>
      </c>
      <c r="B393" s="0" t="s">
        <v>328</v>
      </c>
      <c r="C393" s="0" t="n">
        <v>13.25</v>
      </c>
      <c r="D393" s="0" t="n">
        <f aca="false">Inputs!$B$5</f>
        <v>0.06</v>
      </c>
      <c r="E393" s="0" t="n">
        <f aca="false">C393*D393</f>
        <v>0.795</v>
      </c>
      <c r="F393" s="0" t="n">
        <f aca="false">C393+E393</f>
        <v>14.045</v>
      </c>
      <c r="G393" s="0" t="s">
        <v>345</v>
      </c>
      <c r="H393" s="0" t="n">
        <f aca="false">ROUNDUP(F393/10,0)</f>
        <v>2</v>
      </c>
      <c r="I393" s="0" t="s">
        <v>849</v>
      </c>
    </row>
    <row r="394" customFormat="false" ht="15" hidden="false" customHeight="false" outlineLevel="0" collapsed="false">
      <c r="A394" s="0" t="s">
        <v>850</v>
      </c>
      <c r="B394" s="0" t="s">
        <v>328</v>
      </c>
      <c r="C394" s="0" t="n">
        <v>7.58</v>
      </c>
      <c r="D394" s="0" t="n">
        <f aca="false">Inputs!$B$5</f>
        <v>0.06</v>
      </c>
      <c r="E394" s="0" t="n">
        <f aca="false">C394*D394</f>
        <v>0.4548</v>
      </c>
      <c r="F394" s="0" t="n">
        <f aca="false">C394+E394</f>
        <v>8.0348</v>
      </c>
      <c r="G394" s="0" t="s">
        <v>345</v>
      </c>
      <c r="H394" s="0" t="n">
        <f aca="false">ROUNDUP(F394/10,0)</f>
        <v>1</v>
      </c>
      <c r="I394" s="0" t="s">
        <v>851</v>
      </c>
    </row>
    <row r="395" customFormat="false" ht="15" hidden="false" customHeight="false" outlineLevel="0" collapsed="false">
      <c r="A395" s="0" t="s">
        <v>852</v>
      </c>
      <c r="B395" s="0" t="s">
        <v>328</v>
      </c>
      <c r="C395" s="0" t="n">
        <v>13.5</v>
      </c>
      <c r="D395" s="0" t="n">
        <f aca="false">Inputs!$B$5</f>
        <v>0.06</v>
      </c>
      <c r="E395" s="0" t="n">
        <f aca="false">C395*D395</f>
        <v>0.81</v>
      </c>
      <c r="F395" s="0" t="n">
        <f aca="false">C395+E395</f>
        <v>14.31</v>
      </c>
      <c r="G395" s="0" t="s">
        <v>345</v>
      </c>
      <c r="H395" s="0" t="n">
        <f aca="false">ROUNDUP(F395/10,0)</f>
        <v>2</v>
      </c>
      <c r="I395" s="0" t="s">
        <v>853</v>
      </c>
    </row>
    <row r="396" customFormat="false" ht="15" hidden="false" customHeight="false" outlineLevel="0" collapsed="false">
      <c r="A396" s="0" t="s">
        <v>854</v>
      </c>
      <c r="B396" s="0" t="s">
        <v>328</v>
      </c>
      <c r="C396" s="0" t="n">
        <v>9.27</v>
      </c>
      <c r="D396" s="0" t="n">
        <f aca="false">Inputs!$B$5</f>
        <v>0.06</v>
      </c>
      <c r="E396" s="0" t="n">
        <f aca="false">C396*D396</f>
        <v>0.5562</v>
      </c>
      <c r="F396" s="0" t="n">
        <f aca="false">C396+E396</f>
        <v>9.8262</v>
      </c>
      <c r="G396" s="0" t="s">
        <v>345</v>
      </c>
      <c r="H396" s="0" t="n">
        <f aca="false">ROUNDUP(F396/10,0)</f>
        <v>1</v>
      </c>
      <c r="I396" s="0" t="s">
        <v>855</v>
      </c>
    </row>
    <row r="397" customFormat="false" ht="15" hidden="false" customHeight="false" outlineLevel="0" collapsed="false">
      <c r="A397" s="0" t="s">
        <v>856</v>
      </c>
      <c r="B397" s="0" t="s">
        <v>328</v>
      </c>
      <c r="C397" s="0" t="n">
        <v>17.11</v>
      </c>
      <c r="D397" s="0" t="n">
        <f aca="false">Inputs!$B$5</f>
        <v>0.06</v>
      </c>
      <c r="E397" s="0" t="n">
        <f aca="false">C397*D397</f>
        <v>1.0266</v>
      </c>
      <c r="F397" s="0" t="n">
        <f aca="false">C397+E397</f>
        <v>18.1366</v>
      </c>
      <c r="G397" s="0" t="s">
        <v>345</v>
      </c>
      <c r="H397" s="0" t="n">
        <f aca="false">ROUNDUP(F397/10,0)</f>
        <v>2</v>
      </c>
      <c r="I397" s="0" t="s">
        <v>857</v>
      </c>
    </row>
    <row r="398" customFormat="false" ht="15" hidden="false" customHeight="false" outlineLevel="0" collapsed="false">
      <c r="A398" s="0" t="s">
        <v>858</v>
      </c>
      <c r="B398" s="0" t="s">
        <v>328</v>
      </c>
      <c r="C398" s="0" t="n">
        <v>23.08</v>
      </c>
      <c r="D398" s="0" t="n">
        <f aca="false">Inputs!$B$5</f>
        <v>0.06</v>
      </c>
      <c r="E398" s="0" t="n">
        <f aca="false">C398*D398</f>
        <v>1.3848</v>
      </c>
      <c r="F398" s="0" t="n">
        <f aca="false">C398+E398</f>
        <v>24.4648</v>
      </c>
      <c r="G398" s="0" t="s">
        <v>345</v>
      </c>
      <c r="H398" s="0" t="n">
        <f aca="false">ROUNDUP(F398/10,0)</f>
        <v>3</v>
      </c>
      <c r="I398" s="0" t="s">
        <v>859</v>
      </c>
    </row>
    <row r="399" customFormat="false" ht="15" hidden="false" customHeight="false" outlineLevel="0" collapsed="false">
      <c r="A399" s="0" t="s">
        <v>860</v>
      </c>
      <c r="B399" s="0" t="s">
        <v>328</v>
      </c>
      <c r="C399" s="0" t="n">
        <v>3.33</v>
      </c>
      <c r="D399" s="0" t="n">
        <f aca="false">Inputs!$B$5</f>
        <v>0.06</v>
      </c>
      <c r="E399" s="0" t="n">
        <f aca="false">C399*D399</f>
        <v>0.1998</v>
      </c>
      <c r="F399" s="0" t="n">
        <f aca="false">C399+E399</f>
        <v>3.5298</v>
      </c>
      <c r="G399" s="0" t="s">
        <v>345</v>
      </c>
      <c r="H399" s="0" t="n">
        <f aca="false">ROUNDUP(F399/10,0)</f>
        <v>1</v>
      </c>
      <c r="I399" s="0" t="s">
        <v>861</v>
      </c>
    </row>
    <row r="400" customFormat="false" ht="15" hidden="false" customHeight="false" outlineLevel="0" collapsed="false">
      <c r="A400" s="0" t="s">
        <v>862</v>
      </c>
      <c r="B400" s="0" t="s">
        <v>328</v>
      </c>
      <c r="C400" s="0" t="n">
        <v>9</v>
      </c>
      <c r="D400" s="0" t="n">
        <f aca="false">Inputs!$B$5</f>
        <v>0.06</v>
      </c>
      <c r="E400" s="0" t="n">
        <f aca="false">C400*D400</f>
        <v>0.54</v>
      </c>
      <c r="F400" s="0" t="n">
        <f aca="false">C400+E400</f>
        <v>9.54</v>
      </c>
      <c r="G400" s="0" t="s">
        <v>345</v>
      </c>
      <c r="H400" s="0" t="n">
        <f aca="false">ROUNDUP(F400/10,0)</f>
        <v>1</v>
      </c>
      <c r="I400" s="0" t="s">
        <v>863</v>
      </c>
    </row>
    <row r="401" customFormat="false" ht="15" hidden="false" customHeight="false" outlineLevel="0" collapsed="false">
      <c r="A401" s="0" t="s">
        <v>864</v>
      </c>
      <c r="B401" s="0" t="s">
        <v>328</v>
      </c>
      <c r="C401" s="0" t="n">
        <v>10</v>
      </c>
      <c r="D401" s="0" t="n">
        <f aca="false">Inputs!$B$5</f>
        <v>0.06</v>
      </c>
      <c r="E401" s="0" t="n">
        <f aca="false">C401*D401</f>
        <v>0.6</v>
      </c>
      <c r="F401" s="0" t="n">
        <f aca="false">C401+E401</f>
        <v>10.6</v>
      </c>
      <c r="G401" s="0" t="s">
        <v>345</v>
      </c>
      <c r="H401" s="0" t="n">
        <f aca="false">ROUNDUP(F401/10,0)</f>
        <v>2</v>
      </c>
      <c r="I401" s="0" t="s">
        <v>865</v>
      </c>
    </row>
    <row r="402" customFormat="false" ht="15" hidden="false" customHeight="false" outlineLevel="0" collapsed="false">
      <c r="A402" s="0" t="s">
        <v>866</v>
      </c>
      <c r="B402" s="0" t="s">
        <v>328</v>
      </c>
      <c r="C402" s="0" t="n">
        <v>67.71</v>
      </c>
      <c r="D402" s="0" t="n">
        <f aca="false">Inputs!$B$5</f>
        <v>0.06</v>
      </c>
      <c r="E402" s="0" t="n">
        <f aca="false">C402*D402</f>
        <v>4.0626</v>
      </c>
      <c r="F402" s="0" t="n">
        <f aca="false">C402+E402</f>
        <v>71.7726</v>
      </c>
      <c r="G402" s="0" t="s">
        <v>345</v>
      </c>
      <c r="H402" s="0" t="n">
        <f aca="false">ROUNDUP(F402/10,0)</f>
        <v>8</v>
      </c>
      <c r="I402" s="0" t="s">
        <v>867</v>
      </c>
    </row>
    <row r="403" customFormat="false" ht="15" hidden="false" customHeight="false" outlineLevel="0" collapsed="false">
      <c r="A403" s="0" t="s">
        <v>868</v>
      </c>
      <c r="B403" s="0" t="s">
        <v>328</v>
      </c>
      <c r="C403" s="0" t="n">
        <v>40</v>
      </c>
      <c r="D403" s="0" t="n">
        <f aca="false">Inputs!$B$5</f>
        <v>0.06</v>
      </c>
      <c r="E403" s="0" t="n">
        <f aca="false">C403*D403</f>
        <v>2.4</v>
      </c>
      <c r="F403" s="0" t="n">
        <f aca="false">C403+E403</f>
        <v>42.4</v>
      </c>
      <c r="G403" s="0" t="s">
        <v>345</v>
      </c>
      <c r="H403" s="0" t="n">
        <f aca="false">ROUNDUP(F403/10,0)</f>
        <v>5</v>
      </c>
      <c r="I403" s="0" t="s">
        <v>869</v>
      </c>
    </row>
    <row r="404" customFormat="false" ht="15" hidden="false" customHeight="false" outlineLevel="0" collapsed="false">
      <c r="A404" s="0" t="s">
        <v>870</v>
      </c>
      <c r="B404" s="0" t="s">
        <v>328</v>
      </c>
      <c r="C404" s="0" t="n">
        <v>8</v>
      </c>
      <c r="D404" s="0" t="n">
        <f aca="false">Inputs!$B$5</f>
        <v>0.06</v>
      </c>
      <c r="E404" s="0" t="n">
        <f aca="false">C404*D404</f>
        <v>0.48</v>
      </c>
      <c r="F404" s="0" t="n">
        <f aca="false">C404+E404</f>
        <v>8.48</v>
      </c>
      <c r="G404" s="0" t="s">
        <v>345</v>
      </c>
      <c r="H404" s="0" t="n">
        <f aca="false">ROUNDUP(F404/10,0)</f>
        <v>1</v>
      </c>
      <c r="I404" s="0" t="s">
        <v>871</v>
      </c>
    </row>
    <row r="405" customFormat="false" ht="15" hidden="false" customHeight="false" outlineLevel="0" collapsed="false">
      <c r="A405" s="0" t="s">
        <v>872</v>
      </c>
      <c r="B405" s="0" t="s">
        <v>328</v>
      </c>
      <c r="C405" s="0" t="n">
        <v>12.83</v>
      </c>
      <c r="D405" s="0" t="n">
        <f aca="false">Inputs!$B$5</f>
        <v>0.06</v>
      </c>
      <c r="E405" s="0" t="n">
        <f aca="false">C405*D405</f>
        <v>0.7698</v>
      </c>
      <c r="F405" s="0" t="n">
        <f aca="false">C405+E405</f>
        <v>13.5998</v>
      </c>
      <c r="G405" s="0" t="s">
        <v>345</v>
      </c>
      <c r="H405" s="0" t="n">
        <f aca="false">ROUNDUP(F405/10,0)</f>
        <v>2</v>
      </c>
      <c r="I405" s="0" t="s">
        <v>873</v>
      </c>
    </row>
    <row r="406" customFormat="false" ht="15" hidden="false" customHeight="false" outlineLevel="0" collapsed="false">
      <c r="A406" s="0" t="s">
        <v>874</v>
      </c>
      <c r="B406" s="0" t="s">
        <v>328</v>
      </c>
      <c r="C406" s="0" t="n">
        <v>5.33</v>
      </c>
      <c r="D406" s="0" t="n">
        <f aca="false">Inputs!$B$5</f>
        <v>0.06</v>
      </c>
      <c r="E406" s="0" t="n">
        <f aca="false">C406*D406</f>
        <v>0.3198</v>
      </c>
      <c r="F406" s="0" t="n">
        <f aca="false">C406+E406</f>
        <v>5.6498</v>
      </c>
      <c r="G406" s="0" t="s">
        <v>345</v>
      </c>
      <c r="H406" s="0" t="n">
        <f aca="false">ROUNDUP(F406/10,0)</f>
        <v>1</v>
      </c>
      <c r="I406" s="0" t="s">
        <v>875</v>
      </c>
    </row>
    <row r="407" customFormat="false" ht="15" hidden="false" customHeight="false" outlineLevel="0" collapsed="false">
      <c r="A407" s="0" t="s">
        <v>876</v>
      </c>
      <c r="B407" s="0" t="s">
        <v>357</v>
      </c>
      <c r="C407" s="0" t="n">
        <v>10</v>
      </c>
      <c r="D407" s="0" t="n">
        <f aca="false">Inputs!$B$5</f>
        <v>0.06</v>
      </c>
      <c r="E407" s="0" t="n">
        <f aca="false">C407*D407</f>
        <v>0.6</v>
      </c>
      <c r="F407" s="0" t="n">
        <f aca="false">C407+E407</f>
        <v>10.6</v>
      </c>
      <c r="G407" s="0" t="s">
        <v>385</v>
      </c>
      <c r="H407" s="0" t="n">
        <f aca="false">ROUNDUP(F407/32,0)</f>
        <v>1</v>
      </c>
      <c r="I407" s="0" t="s">
        <v>875</v>
      </c>
    </row>
    <row r="408" customFormat="false" ht="15" hidden="false" customHeight="false" outlineLevel="0" collapsed="false">
      <c r="A408" s="0" t="s">
        <v>877</v>
      </c>
      <c r="B408" s="0" t="s">
        <v>357</v>
      </c>
      <c r="C408" s="0" t="n">
        <v>76.66</v>
      </c>
      <c r="D408" s="0" t="n">
        <f aca="false">Inputs!$B$5</f>
        <v>0.06</v>
      </c>
      <c r="E408" s="0" t="n">
        <f aca="false">C408*D408</f>
        <v>4.5996</v>
      </c>
      <c r="F408" s="0" t="n">
        <f aca="false">C408+E408</f>
        <v>81.2596</v>
      </c>
      <c r="G408" s="0" t="s">
        <v>385</v>
      </c>
      <c r="H408" s="0" t="n">
        <f aca="false">ROUNDUP(F408/32,0)</f>
        <v>3</v>
      </c>
      <c r="I408" s="0" t="s">
        <v>878</v>
      </c>
    </row>
    <row r="409" customFormat="false" ht="15" hidden="false" customHeight="false" outlineLevel="0" collapsed="false">
      <c r="A409" s="0" t="s">
        <v>879</v>
      </c>
      <c r="B409" s="0" t="s">
        <v>357</v>
      </c>
      <c r="C409" s="0" t="n">
        <v>46.66</v>
      </c>
      <c r="D409" s="0" t="n">
        <f aca="false">Inputs!$B$5</f>
        <v>0.06</v>
      </c>
      <c r="E409" s="0" t="n">
        <f aca="false">C409*D409</f>
        <v>2.7996</v>
      </c>
      <c r="F409" s="0" t="n">
        <f aca="false">C409+E409</f>
        <v>49.4596</v>
      </c>
      <c r="G409" s="0" t="s">
        <v>385</v>
      </c>
      <c r="H409" s="0" t="n">
        <f aca="false">ROUNDUP(F409/32,0)</f>
        <v>2</v>
      </c>
      <c r="I409" s="0" t="s">
        <v>880</v>
      </c>
    </row>
    <row r="410" customFormat="false" ht="15" hidden="false" customHeight="false" outlineLevel="0" collapsed="false">
      <c r="A410" s="0" t="s">
        <v>881</v>
      </c>
      <c r="B410" s="0" t="s">
        <v>357</v>
      </c>
      <c r="C410" s="0" t="n">
        <v>76.66</v>
      </c>
      <c r="D410" s="0" t="n">
        <f aca="false">Inputs!$B$5</f>
        <v>0.06</v>
      </c>
      <c r="E410" s="0" t="n">
        <f aca="false">C410*D410</f>
        <v>4.5996</v>
      </c>
      <c r="F410" s="0" t="n">
        <f aca="false">C410+E410</f>
        <v>81.2596</v>
      </c>
      <c r="G410" s="0" t="s">
        <v>385</v>
      </c>
      <c r="H410" s="0" t="n">
        <f aca="false">ROUNDUP(F410/32,0)</f>
        <v>3</v>
      </c>
      <c r="I410" s="0" t="s">
        <v>882</v>
      </c>
    </row>
    <row r="411" customFormat="false" ht="15" hidden="false" customHeight="false" outlineLevel="0" collapsed="false">
      <c r="A411" s="0" t="s">
        <v>883</v>
      </c>
      <c r="B411" s="0" t="s">
        <v>357</v>
      </c>
      <c r="C411" s="0" t="n">
        <v>60</v>
      </c>
      <c r="D411" s="0" t="n">
        <f aca="false">Inputs!$B$5</f>
        <v>0.06</v>
      </c>
      <c r="E411" s="0" t="n">
        <f aca="false">C411*D411</f>
        <v>3.6</v>
      </c>
      <c r="F411" s="0" t="n">
        <f aca="false">C411+E411</f>
        <v>63.6</v>
      </c>
      <c r="G411" s="0" t="s">
        <v>385</v>
      </c>
      <c r="H411" s="0" t="n">
        <f aca="false">ROUNDUP(F411/32,0)</f>
        <v>2</v>
      </c>
      <c r="I411" s="0" t="s">
        <v>884</v>
      </c>
    </row>
    <row r="412" customFormat="false" ht="15" hidden="false" customHeight="false" outlineLevel="0" collapsed="false">
      <c r="A412" s="0" t="s">
        <v>885</v>
      </c>
      <c r="B412" s="0" t="s">
        <v>357</v>
      </c>
      <c r="C412" s="0" t="n">
        <v>148.28</v>
      </c>
      <c r="D412" s="0" t="n">
        <f aca="false">Inputs!$B$5</f>
        <v>0.06</v>
      </c>
      <c r="E412" s="0" t="n">
        <f aca="false">C412*D412</f>
        <v>8.8968</v>
      </c>
      <c r="F412" s="0" t="n">
        <f aca="false">C412+E412</f>
        <v>157.1768</v>
      </c>
      <c r="G412" s="0" t="s">
        <v>357</v>
      </c>
      <c r="H412" s="0" t="n">
        <f aca="false">ROUNDUP(F412,0)</f>
        <v>158</v>
      </c>
      <c r="I412" s="0" t="s">
        <v>886</v>
      </c>
    </row>
    <row r="413" customFormat="false" ht="15" hidden="false" customHeight="false" outlineLevel="0" collapsed="false">
      <c r="A413" s="0" t="s">
        <v>887</v>
      </c>
      <c r="B413" s="0" t="s">
        <v>357</v>
      </c>
      <c r="C413" s="0" t="n">
        <v>14.83</v>
      </c>
      <c r="D413" s="0" t="n">
        <f aca="false">Inputs!$B$5</f>
        <v>0.06</v>
      </c>
      <c r="E413" s="0" t="n">
        <f aca="false">C413*D413</f>
        <v>0.8898</v>
      </c>
      <c r="F413" s="0" t="n">
        <f aca="false">C413+E413</f>
        <v>15.7198</v>
      </c>
      <c r="G413" s="0" t="s">
        <v>376</v>
      </c>
      <c r="H413" s="0" t="n">
        <f aca="false">ROUNDUP(F413/48,0)</f>
        <v>1</v>
      </c>
      <c r="I413" s="0" t="s">
        <v>888</v>
      </c>
    </row>
    <row r="414" customFormat="false" ht="15" hidden="false" customHeight="false" outlineLevel="0" collapsed="false">
      <c r="A414" s="0" t="s">
        <v>889</v>
      </c>
      <c r="B414" s="0" t="s">
        <v>357</v>
      </c>
      <c r="C414" s="0" t="n">
        <v>164.95</v>
      </c>
      <c r="D414" s="0" t="n">
        <f aca="false">Inputs!$B$5</f>
        <v>0.06</v>
      </c>
      <c r="E414" s="0" t="n">
        <f aca="false">C414*D414</f>
        <v>9.897</v>
      </c>
      <c r="F414" s="0" t="n">
        <f aca="false">C414+E414</f>
        <v>174.847</v>
      </c>
      <c r="G414" s="0" t="s">
        <v>357</v>
      </c>
      <c r="H414" s="0" t="n">
        <f aca="false">ROUNDUP(F414,0)</f>
        <v>175</v>
      </c>
      <c r="I414" s="0" t="s">
        <v>886</v>
      </c>
    </row>
    <row r="415" customFormat="false" ht="15" hidden="false" customHeight="false" outlineLevel="0" collapsed="false">
      <c r="A415" s="0" t="s">
        <v>890</v>
      </c>
      <c r="B415" s="0" t="s">
        <v>357</v>
      </c>
      <c r="C415" s="0" t="n">
        <v>16.5</v>
      </c>
      <c r="D415" s="0" t="n">
        <f aca="false">Inputs!$B$5</f>
        <v>0.06</v>
      </c>
      <c r="E415" s="0" t="n">
        <f aca="false">C415*D415</f>
        <v>0.99</v>
      </c>
      <c r="F415" s="0" t="n">
        <f aca="false">C415+E415</f>
        <v>17.49</v>
      </c>
      <c r="G415" s="0" t="s">
        <v>376</v>
      </c>
      <c r="H415" s="0" t="n">
        <f aca="false">ROUNDUP(F415/48,0)</f>
        <v>1</v>
      </c>
      <c r="I415" s="0" t="s">
        <v>888</v>
      </c>
    </row>
    <row r="416" customFormat="false" ht="15" hidden="false" customHeight="false" outlineLevel="0" collapsed="false">
      <c r="A416" s="0" t="s">
        <v>891</v>
      </c>
      <c r="B416" s="0" t="s">
        <v>357</v>
      </c>
      <c r="C416" s="0" t="n">
        <v>24</v>
      </c>
      <c r="D416" s="0" t="n">
        <f aca="false">Inputs!$B$5</f>
        <v>0.06</v>
      </c>
      <c r="E416" s="0" t="n">
        <f aca="false">C416*D416</f>
        <v>1.44</v>
      </c>
      <c r="F416" s="0" t="n">
        <f aca="false">C416+E416</f>
        <v>25.44</v>
      </c>
      <c r="G416" s="0" t="s">
        <v>357</v>
      </c>
      <c r="H416" s="0" t="n">
        <f aca="false">ROUNDUP(F416,0)</f>
        <v>26</v>
      </c>
      <c r="I416" s="0" t="s">
        <v>892</v>
      </c>
    </row>
    <row r="417" customFormat="false" ht="15" hidden="false" customHeight="false" outlineLevel="0" collapsed="false">
      <c r="A417" s="0" t="s">
        <v>893</v>
      </c>
      <c r="B417" s="0" t="s">
        <v>357</v>
      </c>
      <c r="C417" s="0" t="n">
        <v>597.84</v>
      </c>
      <c r="D417" s="0" t="n">
        <f aca="false">Inputs!$B$5</f>
        <v>0.06</v>
      </c>
      <c r="E417" s="0" t="n">
        <f aca="false">C417*D417</f>
        <v>35.8704</v>
      </c>
      <c r="F417" s="0" t="n">
        <f aca="false">C417+E417</f>
        <v>633.7104</v>
      </c>
      <c r="G417" s="0" t="s">
        <v>357</v>
      </c>
      <c r="H417" s="0" t="n">
        <f aca="false">ROUNDUP(F417,0)</f>
        <v>634</v>
      </c>
      <c r="I417" s="0" t="s">
        <v>894</v>
      </c>
    </row>
    <row r="418" customFormat="false" ht="15" hidden="false" customHeight="false" outlineLevel="0" collapsed="false">
      <c r="A418" s="0" t="s">
        <v>895</v>
      </c>
      <c r="B418" s="0" t="s">
        <v>357</v>
      </c>
      <c r="C418" s="0" t="n">
        <v>106.15</v>
      </c>
      <c r="D418" s="0" t="n">
        <f aca="false">Inputs!$B$5</f>
        <v>0.06</v>
      </c>
      <c r="E418" s="0" t="n">
        <f aca="false">C418*D418</f>
        <v>6.369</v>
      </c>
      <c r="F418" s="0" t="n">
        <f aca="false">C418+E418</f>
        <v>112.519</v>
      </c>
      <c r="G418" s="0" t="s">
        <v>357</v>
      </c>
      <c r="H418" s="0" t="n">
        <f aca="false">ROUNDUP(F418,0)</f>
        <v>113</v>
      </c>
      <c r="I418" s="0" t="s">
        <v>896</v>
      </c>
    </row>
    <row r="419" customFormat="false" ht="15" hidden="false" customHeight="false" outlineLevel="0" collapsed="false">
      <c r="A419" s="0" t="s">
        <v>897</v>
      </c>
      <c r="B419" s="0" t="s">
        <v>328</v>
      </c>
      <c r="C419" s="0" t="n">
        <v>14.67</v>
      </c>
      <c r="D419" s="0" t="n">
        <f aca="false">Inputs!$B$4</f>
        <v>0.15</v>
      </c>
      <c r="E419" s="0" t="n">
        <f aca="false">C419*D419</f>
        <v>2.2005</v>
      </c>
      <c r="F419" s="0" t="n">
        <f aca="false">C419+E419</f>
        <v>16.8705</v>
      </c>
      <c r="G419" s="0" t="s">
        <v>345</v>
      </c>
      <c r="H419" s="0" t="n">
        <f aca="false">ROUNDUP(F419/10,0)</f>
        <v>2</v>
      </c>
      <c r="I419" s="0" t="s">
        <v>898</v>
      </c>
    </row>
    <row r="420" customFormat="false" ht="15" hidden="false" customHeight="false" outlineLevel="0" collapsed="false">
      <c r="A420" s="0" t="s">
        <v>899</v>
      </c>
      <c r="B420" s="0" t="s">
        <v>328</v>
      </c>
      <c r="C420" s="0" t="n">
        <v>11</v>
      </c>
      <c r="D420" s="0" t="n">
        <f aca="false">Inputs!$B$4</f>
        <v>0.15</v>
      </c>
      <c r="E420" s="0" t="n">
        <f aca="false">C420*D420</f>
        <v>1.65</v>
      </c>
      <c r="F420" s="0" t="n">
        <f aca="false">C420+E420</f>
        <v>12.65</v>
      </c>
      <c r="G420" s="0" t="s">
        <v>329</v>
      </c>
      <c r="H420" s="0" t="n">
        <f aca="false">ROUNDUP(ROUNDUP(F420/2.5,0)/MAX(1,INT(20/2.5)),0)</f>
        <v>1</v>
      </c>
      <c r="I420" s="0" t="s">
        <v>898</v>
      </c>
    </row>
    <row r="421" customFormat="false" ht="15" hidden="false" customHeight="false" outlineLevel="0" collapsed="false">
      <c r="A421" s="0" t="s">
        <v>900</v>
      </c>
      <c r="B421" s="0" t="s">
        <v>328</v>
      </c>
      <c r="C421" s="0" t="n">
        <v>13.33</v>
      </c>
      <c r="D421" s="0" t="n">
        <f aca="false">Inputs!$B$4</f>
        <v>0.15</v>
      </c>
      <c r="E421" s="0" t="n">
        <f aca="false">C421*D421</f>
        <v>1.9995</v>
      </c>
      <c r="F421" s="0" t="n">
        <f aca="false">C421+E421</f>
        <v>15.3295</v>
      </c>
      <c r="G421" s="0" t="s">
        <v>345</v>
      </c>
      <c r="H421" s="0" t="n">
        <f aca="false">ROUNDUP(F421/10,0)</f>
        <v>2</v>
      </c>
      <c r="I421" s="0" t="s">
        <v>898</v>
      </c>
    </row>
    <row r="422" customFormat="false" ht="15" hidden="false" customHeight="false" outlineLevel="0" collapsed="false">
      <c r="A422" s="0" t="s">
        <v>901</v>
      </c>
      <c r="B422" s="0" t="s">
        <v>328</v>
      </c>
      <c r="C422" s="0" t="n">
        <v>13.33</v>
      </c>
      <c r="D422" s="0" t="n">
        <f aca="false">Inputs!$B$4</f>
        <v>0.15</v>
      </c>
      <c r="E422" s="0" t="n">
        <f aca="false">C422*D422</f>
        <v>1.9995</v>
      </c>
      <c r="F422" s="0" t="n">
        <f aca="false">C422+E422</f>
        <v>15.3295</v>
      </c>
      <c r="G422" s="0" t="s">
        <v>345</v>
      </c>
      <c r="H422" s="0" t="n">
        <f aca="false">ROUNDUP(F422/10,0)</f>
        <v>2</v>
      </c>
      <c r="I422" s="0" t="s">
        <v>898</v>
      </c>
    </row>
    <row r="423" customFormat="false" ht="15" hidden="false" customHeight="false" outlineLevel="0" collapsed="false">
      <c r="A423" s="0" t="s">
        <v>902</v>
      </c>
      <c r="B423" s="0" t="s">
        <v>357</v>
      </c>
      <c r="C423" s="0" t="n">
        <v>37.78</v>
      </c>
      <c r="D423" s="0" t="n">
        <f aca="false">Inputs!$B$5</f>
        <v>0.06</v>
      </c>
      <c r="E423" s="0" t="n">
        <f aca="false">C423*D423</f>
        <v>2.2668</v>
      </c>
      <c r="F423" s="0" t="n">
        <f aca="false">C423+E423</f>
        <v>40.0468</v>
      </c>
      <c r="G423" s="0" t="s">
        <v>376</v>
      </c>
      <c r="H423" s="0" t="n">
        <f aca="false">ROUNDUP(F423/48,0)</f>
        <v>1</v>
      </c>
      <c r="I423" s="0" t="s">
        <v>898</v>
      </c>
    </row>
    <row r="424" customFormat="false" ht="15" hidden="false" customHeight="false" outlineLevel="0" collapsed="false">
      <c r="A424" s="0" t="s">
        <v>903</v>
      </c>
      <c r="B424" s="0" t="s">
        <v>328</v>
      </c>
      <c r="C424" s="0" t="n">
        <v>26.67</v>
      </c>
      <c r="D424" s="0" t="n">
        <f aca="false">Inputs!$B$4</f>
        <v>0.15</v>
      </c>
      <c r="E424" s="0" t="n">
        <f aca="false">C424*D424</f>
        <v>4.0005</v>
      </c>
      <c r="F424" s="0" t="n">
        <f aca="false">C424+E424</f>
        <v>30.6705</v>
      </c>
      <c r="G424" s="0" t="s">
        <v>345</v>
      </c>
      <c r="H424" s="0" t="n">
        <f aca="false">ROUNDUP(F424/10,0)</f>
        <v>4</v>
      </c>
      <c r="I424" s="0" t="s">
        <v>898</v>
      </c>
    </row>
    <row r="425" customFormat="false" ht="15" hidden="false" customHeight="false" outlineLevel="0" collapsed="false">
      <c r="A425" s="0" t="s">
        <v>904</v>
      </c>
      <c r="B425" s="0" t="s">
        <v>328</v>
      </c>
      <c r="C425" s="0" t="n">
        <v>379.47</v>
      </c>
      <c r="D425" s="0" t="n">
        <f aca="false">Inputs!$B$4</f>
        <v>0.15</v>
      </c>
      <c r="E425" s="0" t="n">
        <f aca="false">C425*D425</f>
        <v>56.9205</v>
      </c>
      <c r="F425" s="0" t="n">
        <f aca="false">C425+E425</f>
        <v>436.3905</v>
      </c>
      <c r="G425" s="0" t="s">
        <v>329</v>
      </c>
      <c r="H425" s="0" t="n">
        <f aca="false">ROUNDUP(ROUNDUP(F425/12,0)/MAX(1,INT(20/12)),0)</f>
        <v>37</v>
      </c>
      <c r="I425" s="0" t="s">
        <v>905</v>
      </c>
    </row>
    <row r="426" customFormat="false" ht="15" hidden="false" customHeight="false" outlineLevel="0" collapsed="false">
      <c r="A426" s="0" t="s">
        <v>906</v>
      </c>
      <c r="B426" s="0" t="s">
        <v>328</v>
      </c>
      <c r="C426" s="0" t="n">
        <v>12</v>
      </c>
      <c r="D426" s="0" t="n">
        <f aca="false">Inputs!$B$4</f>
        <v>0.15</v>
      </c>
      <c r="E426" s="0" t="n">
        <f aca="false">C426*D426</f>
        <v>1.8</v>
      </c>
      <c r="F426" s="0" t="n">
        <f aca="false">C426+E426</f>
        <v>13.8</v>
      </c>
      <c r="G426" s="0" t="s">
        <v>329</v>
      </c>
      <c r="H426" s="0" t="n">
        <f aca="false">ROUNDUP(ROUNDUP(F426/12,0)/MAX(1,INT(20/12)),0)</f>
        <v>2</v>
      </c>
      <c r="I426" s="0" t="s">
        <v>907</v>
      </c>
    </row>
    <row r="427" customFormat="false" ht="15" hidden="false" customHeight="false" outlineLevel="0" collapsed="false">
      <c r="A427" s="0" t="s">
        <v>908</v>
      </c>
      <c r="B427" s="0" t="s">
        <v>328</v>
      </c>
      <c r="C427" s="0" t="n">
        <v>193</v>
      </c>
      <c r="D427" s="0" t="n">
        <f aca="false">Inputs!$B$4</f>
        <v>0.15</v>
      </c>
      <c r="E427" s="0" t="n">
        <f aca="false">C427*D427</f>
        <v>28.95</v>
      </c>
      <c r="F427" s="0" t="n">
        <f aca="false">C427+E427</f>
        <v>221.95</v>
      </c>
      <c r="G427" s="0" t="s">
        <v>345</v>
      </c>
      <c r="H427" s="0" t="n">
        <f aca="false">ROUNDUP(F427/10,0)</f>
        <v>23</v>
      </c>
      <c r="I427" s="0" t="s">
        <v>909</v>
      </c>
    </row>
    <row r="428" customFormat="false" ht="15" hidden="false" customHeight="false" outlineLevel="0" collapsed="false">
      <c r="A428" s="0" t="s">
        <v>910</v>
      </c>
      <c r="B428" s="0" t="s">
        <v>328</v>
      </c>
      <c r="C428" s="0" t="n">
        <v>96.5</v>
      </c>
      <c r="D428" s="0" t="n">
        <f aca="false">Inputs!$B$5</f>
        <v>0.06</v>
      </c>
      <c r="E428" s="0" t="n">
        <f aca="false">C428*D428</f>
        <v>5.79</v>
      </c>
      <c r="F428" s="0" t="n">
        <f aca="false">C428+E428</f>
        <v>102.29</v>
      </c>
      <c r="G428" s="0" t="s">
        <v>345</v>
      </c>
      <c r="H428" s="0" t="n">
        <f aca="false">ROUNDUP(F428/10,0)</f>
        <v>11</v>
      </c>
      <c r="I428" s="0" t="s">
        <v>911</v>
      </c>
    </row>
    <row r="429" customFormat="false" ht="15" hidden="false" customHeight="false" outlineLevel="0" collapsed="false">
      <c r="A429" s="0" t="s">
        <v>912</v>
      </c>
      <c r="B429" s="0" t="s">
        <v>357</v>
      </c>
      <c r="C429" s="0" t="n">
        <v>151.17</v>
      </c>
      <c r="D429" s="0" t="n">
        <f aca="false">Inputs!$B$5</f>
        <v>0.06</v>
      </c>
      <c r="E429" s="0" t="n">
        <f aca="false">C429*D429</f>
        <v>9.0702</v>
      </c>
      <c r="F429" s="0" t="n">
        <f aca="false">C429+E429</f>
        <v>160.2402</v>
      </c>
      <c r="G429" s="0" t="s">
        <v>357</v>
      </c>
      <c r="H429" s="0" t="n">
        <f aca="false">ROUNDUP(F429,0)</f>
        <v>161</v>
      </c>
      <c r="I429" s="0" t="s">
        <v>913</v>
      </c>
    </row>
    <row r="430" customFormat="false" ht="15" hidden="false" customHeight="false" outlineLevel="0" collapsed="false">
      <c r="A430" s="0" t="s">
        <v>914</v>
      </c>
      <c r="B430" s="0" t="s">
        <v>328</v>
      </c>
      <c r="C430" s="0" t="n">
        <v>8</v>
      </c>
      <c r="D430" s="0" t="n">
        <f aca="false">Inputs!$B$5</f>
        <v>0.06</v>
      </c>
      <c r="E430" s="0" t="n">
        <f aca="false">C430*D430</f>
        <v>0.48</v>
      </c>
      <c r="F430" s="0" t="n">
        <f aca="false">C430+E430</f>
        <v>8.48</v>
      </c>
      <c r="G430" s="0" t="s">
        <v>345</v>
      </c>
      <c r="H430" s="0" t="n">
        <f aca="false">ROUNDUP(F430/10,0)</f>
        <v>1</v>
      </c>
      <c r="I430" s="0" t="s">
        <v>915</v>
      </c>
    </row>
    <row r="431" customFormat="false" ht="15" hidden="false" customHeight="false" outlineLevel="0" collapsed="false">
      <c r="A431" s="0" t="s">
        <v>916</v>
      </c>
      <c r="B431" s="0" t="s">
        <v>328</v>
      </c>
      <c r="C431" s="0" t="n">
        <v>36.3</v>
      </c>
      <c r="D431" s="0" t="n">
        <f aca="false">Inputs!$B$4</f>
        <v>0.15</v>
      </c>
      <c r="E431" s="0" t="n">
        <f aca="false">C431*D431</f>
        <v>5.445</v>
      </c>
      <c r="F431" s="0" t="n">
        <f aca="false">C431+E431</f>
        <v>41.745</v>
      </c>
      <c r="G431" s="0" t="s">
        <v>329</v>
      </c>
      <c r="H431" s="0" t="n">
        <f aca="false">ROUNDUP(ROUNDUP(F431/12,0)/MAX(1,INT(20/12)),0)</f>
        <v>4</v>
      </c>
      <c r="I431" s="0" t="s">
        <v>917</v>
      </c>
    </row>
    <row r="432" customFormat="false" ht="15" hidden="false" customHeight="false" outlineLevel="0" collapsed="false">
      <c r="A432" s="0" t="s">
        <v>918</v>
      </c>
      <c r="B432" s="0" t="s">
        <v>328</v>
      </c>
      <c r="C432" s="0" t="n">
        <v>4.5</v>
      </c>
      <c r="D432" s="0" t="n">
        <f aca="false">Inputs!$B$4</f>
        <v>0.15</v>
      </c>
      <c r="E432" s="0" t="n">
        <f aca="false">C432*D432</f>
        <v>0.675</v>
      </c>
      <c r="F432" s="0" t="n">
        <f aca="false">C432+E432</f>
        <v>5.175</v>
      </c>
      <c r="G432" s="0" t="s">
        <v>345</v>
      </c>
      <c r="H432" s="0" t="n">
        <f aca="false">ROUNDUP(F432/10,0)</f>
        <v>1</v>
      </c>
      <c r="I432" s="0" t="s">
        <v>919</v>
      </c>
    </row>
    <row r="433" customFormat="false" ht="15" hidden="false" customHeight="false" outlineLevel="0" collapsed="false">
      <c r="A433" s="0" t="s">
        <v>920</v>
      </c>
      <c r="B433" s="0" t="s">
        <v>328</v>
      </c>
      <c r="C433" s="0" t="n">
        <v>4.5</v>
      </c>
      <c r="D433" s="0" t="n">
        <f aca="false">Inputs!$B$4</f>
        <v>0.15</v>
      </c>
      <c r="E433" s="0" t="n">
        <f aca="false">C433*D433</f>
        <v>0.675</v>
      </c>
      <c r="F433" s="0" t="n">
        <f aca="false">C433+E433</f>
        <v>5.175</v>
      </c>
      <c r="G433" s="0" t="s">
        <v>345</v>
      </c>
      <c r="H433" s="0" t="n">
        <f aca="false">ROUNDUP(F433/10,0)</f>
        <v>1</v>
      </c>
      <c r="I433" s="0" t="s">
        <v>919</v>
      </c>
    </row>
    <row r="434" customFormat="false" ht="15" hidden="false" customHeight="false" outlineLevel="0" collapsed="false">
      <c r="A434" s="0" t="s">
        <v>921</v>
      </c>
      <c r="B434" s="0" t="s">
        <v>357</v>
      </c>
      <c r="C434" s="0" t="n">
        <v>32.62</v>
      </c>
      <c r="D434" s="0" t="n">
        <f aca="false">Inputs!$B$5</f>
        <v>0.06</v>
      </c>
      <c r="E434" s="0" t="n">
        <f aca="false">C434*D434</f>
        <v>1.9572</v>
      </c>
      <c r="F434" s="0" t="n">
        <f aca="false">C434+E434</f>
        <v>34.5772</v>
      </c>
      <c r="G434" s="0" t="s">
        <v>357</v>
      </c>
      <c r="H434" s="0" t="n">
        <f aca="false">ROUNDUP(F434,0)</f>
        <v>35</v>
      </c>
      <c r="I434" s="0" t="s">
        <v>922</v>
      </c>
    </row>
    <row r="435" customFormat="false" ht="15" hidden="false" customHeight="false" outlineLevel="0" collapsed="false">
      <c r="A435" s="0" t="s">
        <v>923</v>
      </c>
      <c r="B435" s="0" t="s">
        <v>328</v>
      </c>
      <c r="C435" s="0" t="n">
        <v>5.33</v>
      </c>
      <c r="D435" s="0" t="n">
        <f aca="false">Inputs!$B$4</f>
        <v>0.15</v>
      </c>
      <c r="E435" s="0" t="n">
        <f aca="false">C435*D435</f>
        <v>0.7995</v>
      </c>
      <c r="F435" s="0" t="n">
        <f aca="false">C435+E435</f>
        <v>6.1295</v>
      </c>
      <c r="G435" s="0" t="s">
        <v>329</v>
      </c>
      <c r="H435" s="0" t="n">
        <f aca="false">ROUNDUP(ROUNDUP(F435/12,0)/MAX(1,INT(20/12)),0)</f>
        <v>1</v>
      </c>
      <c r="I435" s="0" t="s">
        <v>924</v>
      </c>
    </row>
    <row r="436" customFormat="false" ht="15" hidden="false" customHeight="false" outlineLevel="0" collapsed="false">
      <c r="A436" s="0" t="s">
        <v>925</v>
      </c>
      <c r="B436" s="0" t="s">
        <v>328</v>
      </c>
      <c r="C436" s="0" t="n">
        <v>2.67</v>
      </c>
      <c r="D436" s="0" t="n">
        <f aca="false">Inputs!$B$4</f>
        <v>0.15</v>
      </c>
      <c r="E436" s="0" t="n">
        <f aca="false">C436*D436</f>
        <v>0.4005</v>
      </c>
      <c r="F436" s="0" t="n">
        <f aca="false">C436+E436</f>
        <v>3.0705</v>
      </c>
      <c r="G436" s="0" t="s">
        <v>329</v>
      </c>
      <c r="H436" s="0" t="n">
        <f aca="false">ROUNDUP(ROUNDUP(F436/12,0)/MAX(1,INT(20/12)),0)</f>
        <v>1</v>
      </c>
      <c r="I436" s="0" t="s">
        <v>926</v>
      </c>
    </row>
    <row r="437" customFormat="false" ht="15" hidden="false" customHeight="false" outlineLevel="0" collapsed="false">
      <c r="A437" s="0" t="s">
        <v>927</v>
      </c>
      <c r="B437" s="0" t="s">
        <v>328</v>
      </c>
      <c r="C437" s="0" t="n">
        <v>164.5</v>
      </c>
      <c r="D437" s="0" t="n">
        <f aca="false">Inputs!$B$4</f>
        <v>0.15</v>
      </c>
      <c r="E437" s="0" t="n">
        <f aca="false">C437*D437</f>
        <v>24.675</v>
      </c>
      <c r="F437" s="0" t="n">
        <f aca="false">C437+E437</f>
        <v>189.175</v>
      </c>
      <c r="G437" s="0" t="s">
        <v>555</v>
      </c>
      <c r="H437" s="0" t="n">
        <f aca="false">ROUNDUP(F437/12,0)</f>
        <v>16</v>
      </c>
      <c r="I437" s="0" t="s">
        <v>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929</v>
      </c>
      <c r="B1" s="4" t="s">
        <v>930</v>
      </c>
      <c r="C1" s="4" t="s">
        <v>931</v>
      </c>
    </row>
    <row r="2" customFormat="false" ht="15" hidden="false" customHeight="false" outlineLevel="0" collapsed="false">
      <c r="A2" s="0" t="s">
        <v>932</v>
      </c>
      <c r="B2" s="0" t="s">
        <v>933</v>
      </c>
      <c r="C2" s="0" t="s">
        <v>934</v>
      </c>
    </row>
    <row r="3" customFormat="false" ht="15" hidden="false" customHeight="false" outlineLevel="0" collapsed="false">
      <c r="A3" s="0" t="s">
        <v>935</v>
      </c>
      <c r="B3" s="0" t="s">
        <v>936</v>
      </c>
      <c r="C3" s="0" t="s">
        <v>937</v>
      </c>
    </row>
    <row r="4" customFormat="false" ht="15" hidden="false" customHeight="false" outlineLevel="0" collapsed="false">
      <c r="A4" s="0" t="s">
        <v>938</v>
      </c>
      <c r="B4" s="0" t="s">
        <v>939</v>
      </c>
      <c r="C4" s="0" t="s">
        <v>940</v>
      </c>
    </row>
    <row r="5" customFormat="false" ht="15" hidden="false" customHeight="false" outlineLevel="0" collapsed="false">
      <c r="A5" s="0" t="s">
        <v>941</v>
      </c>
      <c r="B5" s="0" t="s">
        <v>942</v>
      </c>
      <c r="C5" s="0" t="s">
        <v>943</v>
      </c>
    </row>
    <row r="6" customFormat="false" ht="15" hidden="false" customHeight="false" outlineLevel="0" collapsed="false">
      <c r="A6" s="0" t="s">
        <v>944</v>
      </c>
      <c r="B6" s="0" t="s">
        <v>945</v>
      </c>
      <c r="C6" s="0" t="s">
        <v>946</v>
      </c>
    </row>
    <row r="7" customFormat="false" ht="15" hidden="false" customHeight="false" outlineLevel="0" collapsed="false">
      <c r="A7" s="0" t="s">
        <v>947</v>
      </c>
      <c r="B7" s="0" t="s">
        <v>948</v>
      </c>
      <c r="C7" s="0" t="s">
        <v>949</v>
      </c>
    </row>
    <row r="8" customFormat="false" ht="15" hidden="false" customHeight="false" outlineLevel="0" collapsed="false">
      <c r="A8" s="0" t="s">
        <v>950</v>
      </c>
      <c r="B8" s="0" t="s">
        <v>951</v>
      </c>
      <c r="C8" s="0" t="s">
        <v>952</v>
      </c>
    </row>
    <row r="9" customFormat="false" ht="15" hidden="false" customHeight="false" outlineLevel="0" collapsed="false">
      <c r="A9" s="0" t="s">
        <v>953</v>
      </c>
      <c r="B9" s="0" t="s">
        <v>954</v>
      </c>
      <c r="C9" s="0" t="s">
        <v>955</v>
      </c>
    </row>
    <row r="10" customFormat="false" ht="15" hidden="false" customHeight="false" outlineLevel="0" collapsed="false">
      <c r="A10" s="0" t="s">
        <v>956</v>
      </c>
      <c r="B10" s="0" t="s">
        <v>957</v>
      </c>
      <c r="C10" s="0" t="s">
        <v>958</v>
      </c>
    </row>
    <row r="11" customFormat="false" ht="15" hidden="false" customHeight="false" outlineLevel="0" collapsed="false">
      <c r="A11" s="0" t="s">
        <v>959</v>
      </c>
      <c r="B11" s="0" t="s">
        <v>960</v>
      </c>
      <c r="C11" s="0" t="s">
        <v>961</v>
      </c>
    </row>
    <row r="12" customFormat="false" ht="15" hidden="false" customHeight="false" outlineLevel="0" collapsed="false">
      <c r="A12" s="0" t="s">
        <v>962</v>
      </c>
      <c r="B12" s="0" t="s">
        <v>963</v>
      </c>
      <c r="C12" s="0" t="s">
        <v>964</v>
      </c>
    </row>
    <row r="13" customFormat="false" ht="15" hidden="false" customHeight="false" outlineLevel="0" collapsed="false">
      <c r="A13" s="0" t="s">
        <v>965</v>
      </c>
      <c r="B13" s="0" t="s">
        <v>966</v>
      </c>
      <c r="C13" s="0" t="s">
        <v>967</v>
      </c>
    </row>
    <row r="14" customFormat="false" ht="15" hidden="false" customHeight="false" outlineLevel="0" collapsed="false">
      <c r="A14" s="0" t="s">
        <v>968</v>
      </c>
      <c r="B14" s="0" t="s">
        <v>969</v>
      </c>
      <c r="C14" s="0" t="s">
        <v>970</v>
      </c>
    </row>
    <row r="15" customFormat="false" ht="15" hidden="false" customHeight="false" outlineLevel="0" collapsed="false">
      <c r="A15" s="0" t="s">
        <v>971</v>
      </c>
      <c r="B15" s="0" t="s">
        <v>972</v>
      </c>
      <c r="C15" s="0" t="s">
        <v>973</v>
      </c>
    </row>
    <row r="16" customFormat="false" ht="15" hidden="false" customHeight="false" outlineLevel="0" collapsed="false">
      <c r="A16" s="0" t="s">
        <v>974</v>
      </c>
      <c r="B16" s="0" t="s">
        <v>975</v>
      </c>
      <c r="C16" s="0" t="s">
        <v>976</v>
      </c>
    </row>
    <row r="17" customFormat="false" ht="15" hidden="false" customHeight="false" outlineLevel="0" collapsed="false">
      <c r="A17" s="0" t="s">
        <v>977</v>
      </c>
      <c r="B17" s="0" t="s">
        <v>978</v>
      </c>
      <c r="C17" s="0" t="s">
        <v>979</v>
      </c>
    </row>
    <row r="18" customFormat="false" ht="15" hidden="false" customHeight="false" outlineLevel="0" collapsed="false">
      <c r="A18" s="0" t="s">
        <v>980</v>
      </c>
      <c r="B18" s="0" t="s">
        <v>981</v>
      </c>
      <c r="C18" s="0" t="s">
        <v>982</v>
      </c>
    </row>
    <row r="19" customFormat="false" ht="15" hidden="false" customHeight="false" outlineLevel="0" collapsed="false">
      <c r="A19" s="0" t="s">
        <v>983</v>
      </c>
      <c r="B19" s="0" t="s">
        <v>984</v>
      </c>
      <c r="C19" s="0" t="s">
        <v>985</v>
      </c>
    </row>
    <row r="20" customFormat="false" ht="15" hidden="false" customHeight="false" outlineLevel="0" collapsed="false">
      <c r="A20" s="0" t="s">
        <v>986</v>
      </c>
      <c r="B20" s="0" t="s">
        <v>987</v>
      </c>
      <c r="C20" s="0" t="s">
        <v>988</v>
      </c>
    </row>
    <row r="21" customFormat="false" ht="15" hidden="false" customHeight="false" outlineLevel="0" collapsed="false">
      <c r="A21" s="0" t="s">
        <v>989</v>
      </c>
      <c r="B21" s="0" t="s">
        <v>990</v>
      </c>
      <c r="C21" s="0" t="s">
        <v>991</v>
      </c>
    </row>
    <row r="22" customFormat="false" ht="15" hidden="false" customHeight="false" outlineLevel="0" collapsed="false">
      <c r="A22" s="0" t="s">
        <v>992</v>
      </c>
      <c r="B22" s="0" t="s">
        <v>993</v>
      </c>
      <c r="C22" s="0" t="s">
        <v>994</v>
      </c>
    </row>
    <row r="23" customFormat="false" ht="15" hidden="false" customHeight="false" outlineLevel="0" collapsed="false">
      <c r="A23" s="0" t="s">
        <v>995</v>
      </c>
      <c r="B23" s="0" t="s">
        <v>996</v>
      </c>
      <c r="C23" s="0" t="s">
        <v>997</v>
      </c>
    </row>
    <row r="24" customFormat="false" ht="15" hidden="false" customHeight="false" outlineLevel="0" collapsed="false">
      <c r="A24" s="0" t="s">
        <v>998</v>
      </c>
      <c r="B24" s="0" t="s">
        <v>999</v>
      </c>
      <c r="C24" s="0" t="s">
        <v>1000</v>
      </c>
    </row>
    <row r="25" customFormat="false" ht="15" hidden="false" customHeight="false" outlineLevel="0" collapsed="false">
      <c r="A25" s="0" t="s">
        <v>1001</v>
      </c>
      <c r="B25" s="0" t="s">
        <v>1002</v>
      </c>
      <c r="C25" s="0" t="s">
        <v>1003</v>
      </c>
    </row>
    <row r="26" customFormat="false" ht="15" hidden="false" customHeight="false" outlineLevel="0" collapsed="false">
      <c r="A26" s="0" t="s">
        <v>1004</v>
      </c>
      <c r="B26" s="0" t="s">
        <v>1005</v>
      </c>
      <c r="C26" s="0" t="s">
        <v>1006</v>
      </c>
    </row>
    <row r="27" customFormat="false" ht="15" hidden="false" customHeight="false" outlineLevel="0" collapsed="false">
      <c r="A27" s="0" t="s">
        <v>1007</v>
      </c>
      <c r="B27" s="0" t="s">
        <v>1008</v>
      </c>
      <c r="C27" s="0" t="s">
        <v>1009</v>
      </c>
    </row>
    <row r="28" customFormat="false" ht="15" hidden="false" customHeight="false" outlineLevel="0" collapsed="false">
      <c r="A28" s="0" t="s">
        <v>1010</v>
      </c>
      <c r="B28" s="0" t="s">
        <v>1011</v>
      </c>
      <c r="C28" s="0" t="s">
        <v>1012</v>
      </c>
    </row>
    <row r="29" customFormat="false" ht="15" hidden="false" customHeight="false" outlineLevel="0" collapsed="false">
      <c r="A29" s="0" t="s">
        <v>1013</v>
      </c>
      <c r="B29" s="0" t="s">
        <v>1014</v>
      </c>
      <c r="C29" s="0" t="s">
        <v>1015</v>
      </c>
    </row>
    <row r="30" customFormat="false" ht="15" hidden="false" customHeight="false" outlineLevel="0" collapsed="false">
      <c r="A30" s="0" t="s">
        <v>1016</v>
      </c>
      <c r="B30" s="0" t="s">
        <v>1017</v>
      </c>
      <c r="C30" s="0" t="s">
        <v>1018</v>
      </c>
    </row>
    <row r="31" customFormat="false" ht="15" hidden="false" customHeight="false" outlineLevel="0" collapsed="false">
      <c r="A31" s="0" t="s">
        <v>1019</v>
      </c>
      <c r="B31" s="0" t="s">
        <v>1020</v>
      </c>
      <c r="C31" s="0" t="s">
        <v>1021</v>
      </c>
    </row>
    <row r="32" customFormat="false" ht="15" hidden="false" customHeight="false" outlineLevel="0" collapsed="false">
      <c r="A32" s="0" t="s">
        <v>1022</v>
      </c>
      <c r="B32" s="0" t="s">
        <v>1023</v>
      </c>
      <c r="C32" s="0" t="s">
        <v>1024</v>
      </c>
    </row>
    <row r="33" customFormat="false" ht="15" hidden="false" customHeight="false" outlineLevel="0" collapsed="false">
      <c r="A33" s="0" t="s">
        <v>1025</v>
      </c>
      <c r="B33" s="0" t="s">
        <v>1026</v>
      </c>
      <c r="C33" s="0" t="s">
        <v>1027</v>
      </c>
    </row>
    <row r="34" customFormat="false" ht="15" hidden="false" customHeight="false" outlineLevel="0" collapsed="false">
      <c r="A34" s="0" t="s">
        <v>1028</v>
      </c>
      <c r="B34" s="0" t="s">
        <v>1029</v>
      </c>
      <c r="C34" s="0" t="s">
        <v>1030</v>
      </c>
    </row>
    <row r="35" customFormat="false" ht="15" hidden="false" customHeight="false" outlineLevel="0" collapsed="false">
      <c r="A35" s="0" t="s">
        <v>1031</v>
      </c>
      <c r="B35" s="0" t="s">
        <v>1032</v>
      </c>
      <c r="C35" s="0" t="s">
        <v>1033</v>
      </c>
    </row>
    <row r="36" customFormat="false" ht="15" hidden="false" customHeight="false" outlineLevel="0" collapsed="false">
      <c r="A36" s="0" t="s">
        <v>1034</v>
      </c>
      <c r="B36" s="0" t="s">
        <v>1035</v>
      </c>
      <c r="C36" s="0" t="s">
        <v>1036</v>
      </c>
    </row>
    <row r="37" customFormat="false" ht="15" hidden="false" customHeight="false" outlineLevel="0" collapsed="false">
      <c r="A37" s="0" t="s">
        <v>1037</v>
      </c>
      <c r="B37" s="0" t="s">
        <v>1038</v>
      </c>
      <c r="C37" s="0" t="s">
        <v>1039</v>
      </c>
    </row>
    <row r="38" customFormat="false" ht="15" hidden="false" customHeight="false" outlineLevel="0" collapsed="false">
      <c r="A38" s="0" t="s">
        <v>1040</v>
      </c>
      <c r="B38" s="0" t="s">
        <v>1041</v>
      </c>
      <c r="C38" s="0" t="s">
        <v>1042</v>
      </c>
    </row>
    <row r="39" customFormat="false" ht="15" hidden="false" customHeight="false" outlineLevel="0" collapsed="false">
      <c r="A39" s="0" t="s">
        <v>1043</v>
      </c>
      <c r="B39" s="0" t="s">
        <v>1044</v>
      </c>
      <c r="C39" s="0" t="s">
        <v>1045</v>
      </c>
    </row>
    <row r="40" customFormat="false" ht="15" hidden="false" customHeight="false" outlineLevel="0" collapsed="false">
      <c r="A40" s="0" t="s">
        <v>1046</v>
      </c>
      <c r="B40" s="0" t="s">
        <v>1047</v>
      </c>
      <c r="C40" s="0" t="s">
        <v>1048</v>
      </c>
    </row>
    <row r="41" customFormat="false" ht="15" hidden="false" customHeight="false" outlineLevel="0" collapsed="false">
      <c r="A41" s="0" t="s">
        <v>1049</v>
      </c>
      <c r="B41" s="0" t="s">
        <v>1050</v>
      </c>
      <c r="C41" s="0" t="s">
        <v>1051</v>
      </c>
    </row>
    <row r="42" customFormat="false" ht="15" hidden="false" customHeight="false" outlineLevel="0" collapsed="false">
      <c r="A42" s="0" t="s">
        <v>1052</v>
      </c>
      <c r="B42" s="0" t="s">
        <v>1053</v>
      </c>
      <c r="C42" s="0" t="s">
        <v>1054</v>
      </c>
    </row>
    <row r="43" customFormat="false" ht="15" hidden="false" customHeight="false" outlineLevel="0" collapsed="false">
      <c r="A43" s="0" t="s">
        <v>1055</v>
      </c>
      <c r="B43" s="0" t="s">
        <v>1056</v>
      </c>
      <c r="C43" s="0" t="s">
        <v>1057</v>
      </c>
    </row>
    <row r="44" customFormat="false" ht="15" hidden="false" customHeight="false" outlineLevel="0" collapsed="false">
      <c r="A44" s="0" t="s">
        <v>1058</v>
      </c>
      <c r="B44" s="0" t="s">
        <v>1059</v>
      </c>
      <c r="C44" s="0" t="s">
        <v>1060</v>
      </c>
    </row>
    <row r="45" customFormat="false" ht="15" hidden="false" customHeight="false" outlineLevel="0" collapsed="false">
      <c r="A45" s="0" t="s">
        <v>1061</v>
      </c>
      <c r="B45" s="0" t="s">
        <v>1062</v>
      </c>
      <c r="C45" s="0" t="s">
        <v>1063</v>
      </c>
    </row>
    <row r="46" customFormat="false" ht="15" hidden="false" customHeight="false" outlineLevel="0" collapsed="false">
      <c r="A46" s="0" t="s">
        <v>1064</v>
      </c>
      <c r="B46" s="0" t="s">
        <v>1065</v>
      </c>
      <c r="C46" s="0" t="s">
        <v>1066</v>
      </c>
    </row>
    <row r="47" customFormat="false" ht="15" hidden="false" customHeight="false" outlineLevel="0" collapsed="false">
      <c r="A47" s="0" t="s">
        <v>1067</v>
      </c>
      <c r="B47" s="0" t="s">
        <v>1068</v>
      </c>
      <c r="C47" s="0" t="s">
        <v>1069</v>
      </c>
    </row>
    <row r="48" customFormat="false" ht="15" hidden="false" customHeight="false" outlineLevel="0" collapsed="false">
      <c r="A48" s="0" t="s">
        <v>1070</v>
      </c>
      <c r="B48" s="0" t="s">
        <v>1071</v>
      </c>
      <c r="C48" s="0" t="s">
        <v>1072</v>
      </c>
    </row>
    <row r="49" customFormat="false" ht="15" hidden="false" customHeight="false" outlineLevel="0" collapsed="false">
      <c r="A49" s="0" t="s">
        <v>1073</v>
      </c>
      <c r="B49" s="0" t="s">
        <v>1074</v>
      </c>
      <c r="C49" s="0" t="s">
        <v>1075</v>
      </c>
    </row>
    <row r="50" customFormat="false" ht="15" hidden="false" customHeight="false" outlineLevel="0" collapsed="false">
      <c r="A50" s="0" t="s">
        <v>1076</v>
      </c>
      <c r="B50" s="0" t="s">
        <v>1077</v>
      </c>
      <c r="C50" s="0" t="s">
        <v>1078</v>
      </c>
    </row>
    <row r="51" customFormat="false" ht="15" hidden="false" customHeight="false" outlineLevel="0" collapsed="false">
      <c r="A51" s="0" t="s">
        <v>1079</v>
      </c>
      <c r="B51" s="0" t="s">
        <v>1080</v>
      </c>
      <c r="C51" s="0" t="s">
        <v>1081</v>
      </c>
    </row>
    <row r="52" customFormat="false" ht="15" hidden="false" customHeight="false" outlineLevel="0" collapsed="false">
      <c r="A52" s="0" t="s">
        <v>1082</v>
      </c>
      <c r="B52" s="0" t="s">
        <v>1083</v>
      </c>
      <c r="C52" s="0" t="s">
        <v>1084</v>
      </c>
    </row>
    <row r="53" customFormat="false" ht="15" hidden="false" customHeight="false" outlineLevel="0" collapsed="false">
      <c r="A53" s="0" t="s">
        <v>1085</v>
      </c>
      <c r="B53" s="0" t="s">
        <v>1086</v>
      </c>
      <c r="C53" s="0" t="s">
        <v>1087</v>
      </c>
    </row>
    <row r="54" customFormat="false" ht="15" hidden="false" customHeight="false" outlineLevel="0" collapsed="false">
      <c r="A54" s="0" t="s">
        <v>1088</v>
      </c>
      <c r="B54" s="0" t="s">
        <v>1089</v>
      </c>
      <c r="C54" s="0" t="s">
        <v>1090</v>
      </c>
    </row>
    <row r="55" customFormat="false" ht="15" hidden="false" customHeight="false" outlineLevel="0" collapsed="false">
      <c r="A55" s="0" t="s">
        <v>1091</v>
      </c>
      <c r="B55" s="0" t="s">
        <v>1092</v>
      </c>
      <c r="C55" s="0" t="s">
        <v>1093</v>
      </c>
    </row>
    <row r="56" customFormat="false" ht="15" hidden="false" customHeight="false" outlineLevel="0" collapsed="false">
      <c r="A56" s="0" t="s">
        <v>1094</v>
      </c>
      <c r="B56" s="0" t="s">
        <v>1095</v>
      </c>
      <c r="C56" s="0" t="s">
        <v>1096</v>
      </c>
    </row>
    <row r="57" customFormat="false" ht="15" hidden="false" customHeight="false" outlineLevel="0" collapsed="false">
      <c r="A57" s="0" t="s">
        <v>1097</v>
      </c>
      <c r="B57" s="0" t="s">
        <v>1098</v>
      </c>
      <c r="C57" s="0" t="s">
        <v>1099</v>
      </c>
    </row>
    <row r="58" customFormat="false" ht="15" hidden="false" customHeight="false" outlineLevel="0" collapsed="false">
      <c r="A58" s="0" t="s">
        <v>1100</v>
      </c>
      <c r="B58" s="0" t="s">
        <v>1101</v>
      </c>
      <c r="C58" s="0" t="s">
        <v>1102</v>
      </c>
    </row>
    <row r="59" customFormat="false" ht="15" hidden="false" customHeight="false" outlineLevel="0" collapsed="false">
      <c r="A59" s="0" t="s">
        <v>1103</v>
      </c>
      <c r="B59" s="0" t="s">
        <v>1104</v>
      </c>
      <c r="C59" s="0" t="s">
        <v>1105</v>
      </c>
    </row>
    <row r="60" customFormat="false" ht="15" hidden="false" customHeight="false" outlineLevel="0" collapsed="false">
      <c r="A60" s="0" t="s">
        <v>1106</v>
      </c>
      <c r="B60" s="0" t="s">
        <v>1107</v>
      </c>
      <c r="C60" s="0" t="s">
        <v>1108</v>
      </c>
    </row>
    <row r="61" customFormat="false" ht="15" hidden="false" customHeight="false" outlineLevel="0" collapsed="false">
      <c r="A61" s="0" t="s">
        <v>1109</v>
      </c>
      <c r="B61" s="0" t="s">
        <v>1110</v>
      </c>
      <c r="C61" s="0" t="s">
        <v>1111</v>
      </c>
    </row>
    <row r="62" customFormat="false" ht="15" hidden="false" customHeight="false" outlineLevel="0" collapsed="false">
      <c r="A62" s="0" t="s">
        <v>1112</v>
      </c>
      <c r="B62" s="0" t="s">
        <v>1113</v>
      </c>
      <c r="C62" s="0" t="s">
        <v>1114</v>
      </c>
    </row>
    <row r="63" customFormat="false" ht="15" hidden="false" customHeight="false" outlineLevel="0" collapsed="false">
      <c r="A63" s="0" t="s">
        <v>1115</v>
      </c>
      <c r="B63" s="0" t="s">
        <v>1116</v>
      </c>
      <c r="C63" s="0" t="s">
        <v>1117</v>
      </c>
    </row>
    <row r="64" customFormat="false" ht="15" hidden="false" customHeight="false" outlineLevel="0" collapsed="false">
      <c r="A64" s="0" t="s">
        <v>1118</v>
      </c>
      <c r="B64" s="0" t="s">
        <v>1119</v>
      </c>
      <c r="C64" s="0" t="s">
        <v>1120</v>
      </c>
    </row>
    <row r="65" customFormat="false" ht="15" hidden="false" customHeight="false" outlineLevel="0" collapsed="false">
      <c r="A65" s="0" t="s">
        <v>1121</v>
      </c>
      <c r="B65" s="0" t="s">
        <v>1122</v>
      </c>
      <c r="C65" s="0" t="s">
        <v>1123</v>
      </c>
    </row>
    <row r="66" customFormat="false" ht="15" hidden="false" customHeight="false" outlineLevel="0" collapsed="false">
      <c r="A66" s="0" t="s">
        <v>1124</v>
      </c>
      <c r="B66" s="0" t="s">
        <v>1125</v>
      </c>
      <c r="C66" s="0" t="s">
        <v>1126</v>
      </c>
    </row>
    <row r="67" customFormat="false" ht="15" hidden="false" customHeight="false" outlineLevel="0" collapsed="false">
      <c r="A67" s="0" t="s">
        <v>1127</v>
      </c>
      <c r="B67" s="0" t="s">
        <v>1128</v>
      </c>
      <c r="C67" s="0" t="s">
        <v>1129</v>
      </c>
    </row>
    <row r="68" customFormat="false" ht="15" hidden="false" customHeight="false" outlineLevel="0" collapsed="false">
      <c r="A68" s="0" t="s">
        <v>1130</v>
      </c>
      <c r="B68" s="0" t="s">
        <v>1131</v>
      </c>
      <c r="C68" s="0" t="s">
        <v>1132</v>
      </c>
    </row>
    <row r="69" customFormat="false" ht="15" hidden="false" customHeight="false" outlineLevel="0" collapsed="false">
      <c r="A69" s="0" t="s">
        <v>1133</v>
      </c>
      <c r="B69" s="0" t="s">
        <v>1134</v>
      </c>
      <c r="C69" s="0" t="s">
        <v>1135</v>
      </c>
    </row>
    <row r="70" customFormat="false" ht="15" hidden="false" customHeight="false" outlineLevel="0" collapsed="false">
      <c r="A70" s="0" t="s">
        <v>1136</v>
      </c>
      <c r="B70" s="0" t="s">
        <v>1137</v>
      </c>
      <c r="C70" s="0" t="s">
        <v>1138</v>
      </c>
    </row>
    <row r="71" customFormat="false" ht="15" hidden="false" customHeight="false" outlineLevel="0" collapsed="false">
      <c r="A71" s="0" t="s">
        <v>1139</v>
      </c>
      <c r="B71" s="0" t="s">
        <v>1140</v>
      </c>
      <c r="C71" s="0" t="s">
        <v>1141</v>
      </c>
    </row>
    <row r="72" customFormat="false" ht="15" hidden="false" customHeight="false" outlineLevel="0" collapsed="false">
      <c r="A72" s="0" t="s">
        <v>1142</v>
      </c>
      <c r="B72" s="0" t="s">
        <v>1143</v>
      </c>
      <c r="C72" s="0" t="s">
        <v>1144</v>
      </c>
    </row>
    <row r="73" customFormat="false" ht="15" hidden="false" customHeight="false" outlineLevel="0" collapsed="false">
      <c r="A73" s="0" t="s">
        <v>1145</v>
      </c>
      <c r="B73" s="0" t="s">
        <v>1146</v>
      </c>
      <c r="C73" s="0" t="s">
        <v>1147</v>
      </c>
    </row>
    <row r="74" customFormat="false" ht="15" hidden="false" customHeight="false" outlineLevel="0" collapsed="false">
      <c r="A74" s="0" t="s">
        <v>1148</v>
      </c>
      <c r="B74" s="0" t="s">
        <v>1149</v>
      </c>
      <c r="C74" s="0" t="s">
        <v>1150</v>
      </c>
    </row>
    <row r="75" customFormat="false" ht="15" hidden="false" customHeight="false" outlineLevel="0" collapsed="false">
      <c r="A75" s="0" t="s">
        <v>1151</v>
      </c>
      <c r="B75" s="0" t="s">
        <v>1152</v>
      </c>
      <c r="C75" s="0" t="s">
        <v>1153</v>
      </c>
    </row>
    <row r="76" customFormat="false" ht="15" hidden="false" customHeight="false" outlineLevel="0" collapsed="false">
      <c r="A76" s="0" t="s">
        <v>1154</v>
      </c>
      <c r="B76" s="0" t="s">
        <v>1155</v>
      </c>
      <c r="C76" s="0" t="s">
        <v>1156</v>
      </c>
    </row>
    <row r="77" customFormat="false" ht="15" hidden="false" customHeight="false" outlineLevel="0" collapsed="false">
      <c r="A77" s="0" t="s">
        <v>1157</v>
      </c>
      <c r="B77" s="0" t="s">
        <v>1158</v>
      </c>
      <c r="C77" s="0" t="s">
        <v>1159</v>
      </c>
    </row>
    <row r="78" customFormat="false" ht="15" hidden="false" customHeight="false" outlineLevel="0" collapsed="false">
      <c r="A78" s="0" t="s">
        <v>1160</v>
      </c>
      <c r="B78" s="0" t="s">
        <v>1161</v>
      </c>
      <c r="C78" s="0" t="s">
        <v>1162</v>
      </c>
    </row>
    <row r="79" customFormat="false" ht="15" hidden="false" customHeight="false" outlineLevel="0" collapsed="false">
      <c r="A79" s="0" t="s">
        <v>1163</v>
      </c>
      <c r="B79" s="0" t="s">
        <v>1164</v>
      </c>
      <c r="C79" s="0" t="s">
        <v>1165</v>
      </c>
    </row>
    <row r="80" customFormat="false" ht="15" hidden="false" customHeight="false" outlineLevel="0" collapsed="false">
      <c r="A80" s="0" t="s">
        <v>1166</v>
      </c>
      <c r="B80" s="0" t="s">
        <v>1167</v>
      </c>
      <c r="C80" s="0" t="s">
        <v>1168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0" t="s">
        <v>1169</v>
      </c>
      <c r="B1" s="0" t="s">
        <v>1170</v>
      </c>
      <c r="C1" s="0" t="s">
        <v>1171</v>
      </c>
      <c r="D1" s="0" t="s">
        <v>1172</v>
      </c>
    </row>
    <row r="2" customFormat="false" ht="15" hidden="false" customHeight="false" outlineLevel="0" collapsed="false">
      <c r="A2" s="0" t="n">
        <v>1</v>
      </c>
      <c r="B2" s="0" t="s">
        <v>1173</v>
      </c>
      <c r="C2" s="0" t="s">
        <v>1174</v>
      </c>
      <c r="D2" s="0" t="s">
        <v>1175</v>
      </c>
    </row>
    <row r="3" customFormat="false" ht="15" hidden="false" customHeight="false" outlineLevel="0" collapsed="false">
      <c r="A3" s="0" t="n">
        <v>2</v>
      </c>
      <c r="B3" s="0" t="s">
        <v>1176</v>
      </c>
      <c r="C3" s="0" t="s">
        <v>1177</v>
      </c>
      <c r="D3" s="0" t="s">
        <v>1175</v>
      </c>
    </row>
    <row r="4" customFormat="false" ht="15" hidden="false" customHeight="false" outlineLevel="0" collapsed="false">
      <c r="A4" s="0" t="n">
        <v>3</v>
      </c>
      <c r="B4" s="0" t="s">
        <v>1178</v>
      </c>
      <c r="C4" s="0" t="s">
        <v>1179</v>
      </c>
      <c r="D4" s="0" t="s">
        <v>1175</v>
      </c>
    </row>
    <row r="5" customFormat="false" ht="15" hidden="false" customHeight="false" outlineLevel="0" collapsed="false">
      <c r="A5" s="0" t="n">
        <v>4</v>
      </c>
      <c r="B5" s="0" t="s">
        <v>1180</v>
      </c>
      <c r="C5" s="0" t="s">
        <v>1181</v>
      </c>
      <c r="D5" s="0" t="s">
        <v>1175</v>
      </c>
    </row>
    <row r="6" customFormat="false" ht="15" hidden="false" customHeight="false" outlineLevel="0" collapsed="false">
      <c r="A6" s="0" t="n">
        <v>5</v>
      </c>
      <c r="B6" s="0" t="s">
        <v>1182</v>
      </c>
      <c r="C6" s="0" t="s">
        <v>1183</v>
      </c>
      <c r="D6" s="0" t="s">
        <v>1175</v>
      </c>
    </row>
    <row r="7" customFormat="false" ht="15" hidden="false" customHeight="false" outlineLevel="0" collapsed="false">
      <c r="A7" s="0" t="n">
        <v>6</v>
      </c>
      <c r="B7" s="0" t="s">
        <v>1184</v>
      </c>
      <c r="C7" s="0" t="s">
        <v>1185</v>
      </c>
      <c r="D7" s="0" t="s">
        <v>1175</v>
      </c>
    </row>
    <row r="8" customFormat="false" ht="15" hidden="false" customHeight="false" outlineLevel="0" collapsed="false">
      <c r="A8" s="0" t="n">
        <v>7</v>
      </c>
      <c r="B8" s="0" t="s">
        <v>1186</v>
      </c>
      <c r="C8" s="0" t="s">
        <v>1187</v>
      </c>
      <c r="D8" s="0" t="s">
        <v>1175</v>
      </c>
    </row>
    <row r="9" customFormat="false" ht="15" hidden="false" customHeight="false" outlineLevel="0" collapsed="false">
      <c r="A9" s="0" t="n">
        <v>8</v>
      </c>
      <c r="B9" s="0" t="s">
        <v>1188</v>
      </c>
      <c r="C9" s="0" t="s">
        <v>1189</v>
      </c>
      <c r="D9" s="0" t="s">
        <v>1175</v>
      </c>
    </row>
    <row r="10" customFormat="false" ht="15" hidden="false" customHeight="false" outlineLevel="0" collapsed="false">
      <c r="A10" s="0" t="n">
        <v>9</v>
      </c>
      <c r="B10" s="0" t="s">
        <v>1190</v>
      </c>
      <c r="C10" s="0" t="s">
        <v>1191</v>
      </c>
      <c r="D10" s="0" t="s">
        <v>1175</v>
      </c>
    </row>
    <row r="11" customFormat="false" ht="15" hidden="false" customHeight="false" outlineLevel="0" collapsed="false">
      <c r="A11" s="0" t="n">
        <v>10</v>
      </c>
      <c r="B11" s="0" t="s">
        <v>1192</v>
      </c>
      <c r="C11" s="0" t="s">
        <v>1193</v>
      </c>
      <c r="D11" s="0" t="s">
        <v>1175</v>
      </c>
    </row>
    <row r="12" customFormat="false" ht="15" hidden="false" customHeight="false" outlineLevel="0" collapsed="false">
      <c r="A12" s="0" t="n">
        <v>11</v>
      </c>
      <c r="B12" s="0" t="s">
        <v>1194</v>
      </c>
      <c r="C12" s="0" t="s">
        <v>1195</v>
      </c>
      <c r="D12" s="0" t="s">
        <v>1175</v>
      </c>
    </row>
    <row r="13" customFormat="false" ht="15" hidden="false" customHeight="false" outlineLevel="0" collapsed="false">
      <c r="A13" s="0" t="n">
        <v>12</v>
      </c>
      <c r="B13" s="0" t="s">
        <v>1196</v>
      </c>
      <c r="C13" s="0" t="s">
        <v>1197</v>
      </c>
      <c r="D13" s="0" t="s">
        <v>1175</v>
      </c>
    </row>
    <row r="14" customFormat="false" ht="15" hidden="false" customHeight="false" outlineLevel="0" collapsed="false">
      <c r="A14" s="0" t="n">
        <v>13</v>
      </c>
      <c r="B14" s="0" t="s">
        <v>1198</v>
      </c>
      <c r="C14" s="0" t="s">
        <v>1199</v>
      </c>
      <c r="D14" s="0" t="s">
        <v>1175</v>
      </c>
    </row>
    <row r="15" customFormat="false" ht="15" hidden="false" customHeight="false" outlineLevel="0" collapsed="false">
      <c r="A15" s="0" t="n">
        <v>14</v>
      </c>
      <c r="B15" s="0" t="s">
        <v>1200</v>
      </c>
      <c r="C15" s="0" t="s">
        <v>1201</v>
      </c>
      <c r="D15" s="0" t="s">
        <v>1175</v>
      </c>
    </row>
    <row r="16" customFormat="false" ht="15" hidden="false" customHeight="false" outlineLevel="0" collapsed="false">
      <c r="A16" s="0" t="n">
        <v>15</v>
      </c>
      <c r="B16" s="0" t="s">
        <v>1202</v>
      </c>
      <c r="C16" s="0" t="s">
        <v>1203</v>
      </c>
      <c r="D16" s="0" t="s">
        <v>1175</v>
      </c>
    </row>
    <row r="17" customFormat="false" ht="15" hidden="false" customHeight="false" outlineLevel="0" collapsed="false">
      <c r="A17" s="0" t="n">
        <v>16</v>
      </c>
      <c r="B17" s="0" t="s">
        <v>1204</v>
      </c>
      <c r="C17" s="0" t="s">
        <v>1205</v>
      </c>
      <c r="D17" s="0" t="s">
        <v>1175</v>
      </c>
    </row>
    <row r="18" customFormat="false" ht="15" hidden="false" customHeight="false" outlineLevel="0" collapsed="false">
      <c r="A18" s="0" t="n">
        <v>17</v>
      </c>
      <c r="B18" s="0" t="s">
        <v>1206</v>
      </c>
      <c r="C18" s="0" t="s">
        <v>1207</v>
      </c>
      <c r="D18" s="0" t="s">
        <v>1175</v>
      </c>
    </row>
    <row r="19" customFormat="false" ht="15" hidden="false" customHeight="false" outlineLevel="0" collapsed="false">
      <c r="A19" s="0" t="n">
        <v>18</v>
      </c>
      <c r="B19" s="0" t="s">
        <v>1208</v>
      </c>
      <c r="C19" s="0" t="s">
        <v>1209</v>
      </c>
      <c r="D19" s="0" t="s">
        <v>1175</v>
      </c>
    </row>
    <row r="20" customFormat="false" ht="15" hidden="false" customHeight="false" outlineLevel="0" collapsed="false">
      <c r="A20" s="0" t="n">
        <v>19</v>
      </c>
      <c r="B20" s="0" t="s">
        <v>1210</v>
      </c>
      <c r="C20" s="0" t="s">
        <v>1211</v>
      </c>
      <c r="D20" s="0" t="s">
        <v>1175</v>
      </c>
    </row>
    <row r="21" customFormat="false" ht="15" hidden="false" customHeight="false" outlineLevel="0" collapsed="false">
      <c r="A21" s="0" t="n">
        <v>20</v>
      </c>
      <c r="B21" s="0" t="s">
        <v>1212</v>
      </c>
      <c r="C21" s="0" t="s">
        <v>1213</v>
      </c>
      <c r="D21" s="0" t="s">
        <v>1175</v>
      </c>
    </row>
    <row r="22" customFormat="false" ht="15" hidden="false" customHeight="false" outlineLevel="0" collapsed="false">
      <c r="A22" s="0" t="n">
        <v>21</v>
      </c>
      <c r="B22" s="0" t="s">
        <v>1214</v>
      </c>
      <c r="C22" s="0" t="s">
        <v>1215</v>
      </c>
      <c r="D22" s="0" t="s">
        <v>1175</v>
      </c>
    </row>
    <row r="23" customFormat="false" ht="15" hidden="false" customHeight="false" outlineLevel="0" collapsed="false">
      <c r="A23" s="0" t="n">
        <v>22</v>
      </c>
      <c r="B23" s="0" t="s">
        <v>1216</v>
      </c>
      <c r="C23" s="0" t="s">
        <v>1217</v>
      </c>
      <c r="D23" s="0" t="s">
        <v>1175</v>
      </c>
    </row>
    <row r="24" customFormat="false" ht="15" hidden="false" customHeight="false" outlineLevel="0" collapsed="false">
      <c r="A24" s="0" t="n">
        <v>23</v>
      </c>
      <c r="B24" s="0" t="s">
        <v>1218</v>
      </c>
      <c r="C24" s="0" t="s">
        <v>1219</v>
      </c>
      <c r="D24" s="0" t="s">
        <v>1175</v>
      </c>
    </row>
    <row r="25" customFormat="false" ht="15" hidden="false" customHeight="false" outlineLevel="0" collapsed="false">
      <c r="A25" s="0" t="n">
        <v>24</v>
      </c>
      <c r="B25" s="0" t="s">
        <v>1220</v>
      </c>
      <c r="C25" s="0" t="s">
        <v>1221</v>
      </c>
      <c r="D25" s="0" t="s">
        <v>1175</v>
      </c>
    </row>
    <row r="26" customFormat="false" ht="15" hidden="false" customHeight="false" outlineLevel="0" collapsed="false">
      <c r="A26" s="0" t="n">
        <v>25</v>
      </c>
      <c r="B26" s="0" t="s">
        <v>1222</v>
      </c>
      <c r="C26" s="0" t="s">
        <v>1223</v>
      </c>
      <c r="D26" s="0" t="s">
        <v>1175</v>
      </c>
    </row>
    <row r="27" customFormat="false" ht="15" hidden="false" customHeight="false" outlineLevel="0" collapsed="false">
      <c r="A27" s="0" t="n">
        <v>26</v>
      </c>
      <c r="B27" s="0" t="s">
        <v>1224</v>
      </c>
      <c r="C27" s="0" t="s">
        <v>1225</v>
      </c>
      <c r="D27" s="0" t="s">
        <v>1175</v>
      </c>
    </row>
    <row r="28" customFormat="false" ht="15" hidden="false" customHeight="false" outlineLevel="0" collapsed="false">
      <c r="A28" s="0" t="n">
        <v>27</v>
      </c>
      <c r="B28" s="0" t="s">
        <v>1226</v>
      </c>
      <c r="C28" s="0" t="s">
        <v>1227</v>
      </c>
      <c r="D28" s="0" t="s">
        <v>1175</v>
      </c>
    </row>
    <row r="29" customFormat="false" ht="15" hidden="false" customHeight="false" outlineLevel="0" collapsed="false">
      <c r="A29" s="0" t="n">
        <v>28</v>
      </c>
      <c r="B29" s="0" t="s">
        <v>1228</v>
      </c>
      <c r="C29" s="0" t="s">
        <v>1229</v>
      </c>
      <c r="D29" s="0" t="s">
        <v>1175</v>
      </c>
    </row>
    <row r="30" customFormat="false" ht="15" hidden="false" customHeight="false" outlineLevel="0" collapsed="false">
      <c r="A30" s="0" t="n">
        <v>29</v>
      </c>
      <c r="B30" s="0" t="s">
        <v>1230</v>
      </c>
      <c r="C30" s="0" t="s">
        <v>1231</v>
      </c>
      <c r="D30" s="0" t="s">
        <v>1175</v>
      </c>
    </row>
    <row r="31" customFormat="false" ht="15" hidden="false" customHeight="false" outlineLevel="0" collapsed="false">
      <c r="A31" s="0" t="n">
        <v>30</v>
      </c>
      <c r="B31" s="0" t="s">
        <v>1232</v>
      </c>
      <c r="C31" s="0" t="s">
        <v>1233</v>
      </c>
      <c r="D31" s="0" t="s">
        <v>1175</v>
      </c>
    </row>
    <row r="32" customFormat="false" ht="15" hidden="false" customHeight="false" outlineLevel="0" collapsed="false">
      <c r="A32" s="0" t="n">
        <v>31</v>
      </c>
      <c r="B32" s="0" t="s">
        <v>1234</v>
      </c>
      <c r="C32" s="0" t="s">
        <v>1235</v>
      </c>
      <c r="D32" s="0" t="s">
        <v>1175</v>
      </c>
    </row>
    <row r="33" customFormat="false" ht="15" hidden="false" customHeight="false" outlineLevel="0" collapsed="false">
      <c r="A33" s="0" t="n">
        <v>32</v>
      </c>
      <c r="B33" s="0" t="s">
        <v>1236</v>
      </c>
      <c r="C33" s="0" t="s">
        <v>1237</v>
      </c>
      <c r="D33" s="0" t="s">
        <v>1175</v>
      </c>
    </row>
    <row r="34" customFormat="false" ht="15" hidden="false" customHeight="false" outlineLevel="0" collapsed="false">
      <c r="A34" s="0" t="n">
        <v>33</v>
      </c>
      <c r="B34" s="0" t="s">
        <v>1238</v>
      </c>
      <c r="C34" s="0" t="s">
        <v>1239</v>
      </c>
      <c r="D34" s="0" t="s">
        <v>1175</v>
      </c>
    </row>
    <row r="35" customFormat="false" ht="15" hidden="false" customHeight="false" outlineLevel="0" collapsed="false">
      <c r="A35" s="0" t="n">
        <v>34</v>
      </c>
      <c r="B35" s="0" t="s">
        <v>1240</v>
      </c>
      <c r="C35" s="0" t="s">
        <v>1241</v>
      </c>
      <c r="D35" s="0" t="s">
        <v>1175</v>
      </c>
    </row>
    <row r="36" customFormat="false" ht="15" hidden="false" customHeight="false" outlineLevel="0" collapsed="false">
      <c r="A36" s="0" t="n">
        <v>35</v>
      </c>
      <c r="B36" s="0" t="s">
        <v>1242</v>
      </c>
      <c r="C36" s="0" t="s">
        <v>1243</v>
      </c>
      <c r="D36" s="0" t="s">
        <v>1175</v>
      </c>
    </row>
    <row r="37" customFormat="false" ht="15" hidden="false" customHeight="false" outlineLevel="0" collapsed="false">
      <c r="A37" s="0" t="n">
        <v>36</v>
      </c>
      <c r="B37" s="0" t="s">
        <v>1244</v>
      </c>
      <c r="C37" s="0" t="s">
        <v>1245</v>
      </c>
      <c r="D37" s="0" t="s">
        <v>1175</v>
      </c>
    </row>
    <row r="38" customFormat="false" ht="15" hidden="false" customHeight="false" outlineLevel="0" collapsed="false">
      <c r="A38" s="0" t="n">
        <v>37</v>
      </c>
      <c r="B38" s="0" t="s">
        <v>1246</v>
      </c>
      <c r="C38" s="0" t="s">
        <v>1247</v>
      </c>
      <c r="D38" s="0" t="s">
        <v>1175</v>
      </c>
    </row>
    <row r="39" customFormat="false" ht="15" hidden="false" customHeight="false" outlineLevel="0" collapsed="false">
      <c r="A39" s="0" t="n">
        <v>38</v>
      </c>
      <c r="B39" s="0" t="s">
        <v>1248</v>
      </c>
      <c r="C39" s="0" t="s">
        <v>1249</v>
      </c>
      <c r="D39" s="0" t="s">
        <v>1175</v>
      </c>
    </row>
    <row r="40" customFormat="false" ht="15" hidden="false" customHeight="false" outlineLevel="0" collapsed="false">
      <c r="A40" s="0" t="n">
        <v>39</v>
      </c>
      <c r="B40" s="0" t="s">
        <v>1250</v>
      </c>
      <c r="C40" s="0" t="s">
        <v>1251</v>
      </c>
      <c r="D40" s="0" t="s">
        <v>1175</v>
      </c>
    </row>
    <row r="41" customFormat="false" ht="15" hidden="false" customHeight="false" outlineLevel="0" collapsed="false">
      <c r="A41" s="0" t="n">
        <v>40</v>
      </c>
      <c r="B41" s="0" t="s">
        <v>1252</v>
      </c>
      <c r="C41" s="0" t="s">
        <v>1253</v>
      </c>
      <c r="D41" s="0" t="s">
        <v>1175</v>
      </c>
    </row>
    <row r="42" customFormat="false" ht="15" hidden="false" customHeight="false" outlineLevel="0" collapsed="false">
      <c r="A42" s="0" t="n">
        <v>41</v>
      </c>
      <c r="B42" s="0" t="s">
        <v>1254</v>
      </c>
      <c r="C42" s="0" t="s">
        <v>1255</v>
      </c>
      <c r="D42" s="0" t="s">
        <v>1175</v>
      </c>
    </row>
    <row r="43" customFormat="false" ht="15" hidden="false" customHeight="false" outlineLevel="0" collapsed="false">
      <c r="A43" s="0" t="n">
        <v>42</v>
      </c>
      <c r="B43" s="0" t="s">
        <v>1256</v>
      </c>
      <c r="C43" s="0" t="s">
        <v>1257</v>
      </c>
      <c r="D43" s="0" t="s">
        <v>1175</v>
      </c>
    </row>
    <row r="44" customFormat="false" ht="15" hidden="false" customHeight="false" outlineLevel="0" collapsed="false">
      <c r="A44" s="0" t="n">
        <v>43</v>
      </c>
      <c r="B44" s="0" t="s">
        <v>1258</v>
      </c>
      <c r="C44" s="0" t="s">
        <v>1259</v>
      </c>
      <c r="D44" s="0" t="s">
        <v>1175</v>
      </c>
    </row>
    <row r="45" customFormat="false" ht="15" hidden="false" customHeight="false" outlineLevel="0" collapsed="false">
      <c r="A45" s="0" t="n">
        <v>44</v>
      </c>
      <c r="B45" s="0" t="s">
        <v>1260</v>
      </c>
      <c r="C45" s="0" t="s">
        <v>1261</v>
      </c>
      <c r="D45" s="0" t="s">
        <v>1175</v>
      </c>
    </row>
    <row r="46" customFormat="false" ht="15" hidden="false" customHeight="false" outlineLevel="0" collapsed="false">
      <c r="A46" s="0" t="n">
        <v>45</v>
      </c>
      <c r="B46" s="0" t="s">
        <v>1262</v>
      </c>
      <c r="C46" s="0" t="s">
        <v>1263</v>
      </c>
      <c r="D46" s="0" t="s">
        <v>1175</v>
      </c>
    </row>
    <row r="47" customFormat="false" ht="15" hidden="false" customHeight="false" outlineLevel="0" collapsed="false">
      <c r="A47" s="0" t="n">
        <v>46</v>
      </c>
      <c r="B47" s="0" t="s">
        <v>1264</v>
      </c>
      <c r="C47" s="0" t="s">
        <v>1265</v>
      </c>
      <c r="D47" s="0" t="s">
        <v>1175</v>
      </c>
    </row>
    <row r="48" customFormat="false" ht="15" hidden="false" customHeight="false" outlineLevel="0" collapsed="false">
      <c r="A48" s="0" t="n">
        <v>47</v>
      </c>
      <c r="B48" s="0" t="s">
        <v>1266</v>
      </c>
      <c r="C48" s="0" t="s">
        <v>1265</v>
      </c>
      <c r="D48" s="0" t="s">
        <v>1175</v>
      </c>
    </row>
    <row r="49" customFormat="false" ht="15" hidden="false" customHeight="false" outlineLevel="0" collapsed="false">
      <c r="A49" s="0" t="n">
        <v>48</v>
      </c>
      <c r="B49" s="0" t="s">
        <v>1267</v>
      </c>
      <c r="C49" s="0" t="s">
        <v>1268</v>
      </c>
      <c r="D49" s="0" t="s">
        <v>1175</v>
      </c>
    </row>
    <row r="50" customFormat="false" ht="15" hidden="false" customHeight="false" outlineLevel="0" collapsed="false">
      <c r="A50" s="0" t="n">
        <v>49</v>
      </c>
      <c r="B50" s="0" t="s">
        <v>1269</v>
      </c>
      <c r="C50" s="0" t="s">
        <v>1268</v>
      </c>
      <c r="D50" s="0" t="s">
        <v>1175</v>
      </c>
    </row>
    <row r="51" customFormat="false" ht="15" hidden="false" customHeight="false" outlineLevel="0" collapsed="false">
      <c r="A51" s="0" t="n">
        <v>50</v>
      </c>
      <c r="B51" s="0" t="s">
        <v>1270</v>
      </c>
      <c r="C51" s="0" t="s">
        <v>1271</v>
      </c>
      <c r="D51" s="0" t="s">
        <v>1175</v>
      </c>
    </row>
    <row r="52" customFormat="false" ht="15" hidden="false" customHeight="false" outlineLevel="0" collapsed="false">
      <c r="A52" s="0" t="n">
        <v>51</v>
      </c>
      <c r="B52" s="0" t="s">
        <v>1272</v>
      </c>
      <c r="C52" s="0" t="s">
        <v>1273</v>
      </c>
      <c r="D52" s="0" t="s">
        <v>1175</v>
      </c>
    </row>
    <row r="53" customFormat="false" ht="15" hidden="false" customHeight="false" outlineLevel="0" collapsed="false">
      <c r="A53" s="0" t="n">
        <v>52</v>
      </c>
      <c r="B53" s="0" t="s">
        <v>1274</v>
      </c>
      <c r="C53" s="0" t="s">
        <v>1275</v>
      </c>
      <c r="D53" s="0" t="s">
        <v>1175</v>
      </c>
    </row>
    <row r="54" customFormat="false" ht="15" hidden="false" customHeight="false" outlineLevel="0" collapsed="false">
      <c r="A54" s="0" t="n">
        <v>53</v>
      </c>
      <c r="B54" s="0" t="s">
        <v>1276</v>
      </c>
      <c r="C54" s="0" t="s">
        <v>1273</v>
      </c>
      <c r="D54" s="0" t="s">
        <v>1175</v>
      </c>
    </row>
    <row r="55" customFormat="false" ht="15" hidden="false" customHeight="false" outlineLevel="0" collapsed="false">
      <c r="A55" s="0" t="n">
        <v>54</v>
      </c>
      <c r="B55" s="0" t="s">
        <v>1277</v>
      </c>
      <c r="C55" s="0" t="s">
        <v>1275</v>
      </c>
      <c r="D55" s="0" t="s">
        <v>1175</v>
      </c>
    </row>
    <row r="56" customFormat="false" ht="15" hidden="false" customHeight="false" outlineLevel="0" collapsed="false">
      <c r="A56" s="0" t="n">
        <v>55</v>
      </c>
      <c r="B56" s="0" t="s">
        <v>1278</v>
      </c>
      <c r="C56" s="0" t="s">
        <v>1279</v>
      </c>
      <c r="D56" s="0" t="s">
        <v>1175</v>
      </c>
    </row>
    <row r="57" customFormat="false" ht="15" hidden="false" customHeight="false" outlineLevel="0" collapsed="false">
      <c r="A57" s="0" t="n">
        <v>56</v>
      </c>
      <c r="B57" s="0" t="s">
        <v>1280</v>
      </c>
      <c r="C57" s="0" t="s">
        <v>1281</v>
      </c>
      <c r="D57" s="0" t="s">
        <v>1175</v>
      </c>
    </row>
    <row r="58" customFormat="false" ht="15" hidden="false" customHeight="false" outlineLevel="0" collapsed="false">
      <c r="A58" s="0" t="n">
        <v>57</v>
      </c>
      <c r="B58" s="0" t="s">
        <v>1282</v>
      </c>
      <c r="C58" s="0" t="s">
        <v>1283</v>
      </c>
      <c r="D58" s="0" t="s">
        <v>1175</v>
      </c>
    </row>
    <row r="59" customFormat="false" ht="15" hidden="false" customHeight="false" outlineLevel="0" collapsed="false">
      <c r="A59" s="0" t="n">
        <v>58</v>
      </c>
      <c r="B59" s="0" t="s">
        <v>1284</v>
      </c>
      <c r="C59" s="0" t="s">
        <v>1283</v>
      </c>
      <c r="D59" s="0" t="s">
        <v>1175</v>
      </c>
    </row>
    <row r="60" customFormat="false" ht="15" hidden="false" customHeight="false" outlineLevel="0" collapsed="false">
      <c r="A60" s="0" t="n">
        <v>59</v>
      </c>
      <c r="B60" s="0" t="s">
        <v>1285</v>
      </c>
      <c r="C60" s="0" t="s">
        <v>1283</v>
      </c>
      <c r="D60" s="0" t="s">
        <v>1175</v>
      </c>
    </row>
    <row r="61" customFormat="false" ht="15" hidden="false" customHeight="false" outlineLevel="0" collapsed="false">
      <c r="A61" s="0" t="n">
        <v>60</v>
      </c>
      <c r="B61" s="0" t="s">
        <v>1286</v>
      </c>
      <c r="C61" s="0" t="s">
        <v>1283</v>
      </c>
      <c r="D61" s="0" t="s">
        <v>1175</v>
      </c>
    </row>
    <row r="62" customFormat="false" ht="15" hidden="false" customHeight="false" outlineLevel="0" collapsed="false">
      <c r="A62" s="0" t="n">
        <v>61</v>
      </c>
      <c r="B62" s="0" t="s">
        <v>1287</v>
      </c>
      <c r="C62" s="0" t="s">
        <v>1288</v>
      </c>
      <c r="D62" s="0" t="s">
        <v>1175</v>
      </c>
    </row>
    <row r="63" customFormat="false" ht="15" hidden="false" customHeight="false" outlineLevel="0" collapsed="false">
      <c r="A63" s="0" t="n">
        <v>62</v>
      </c>
      <c r="B63" s="0" t="s">
        <v>1289</v>
      </c>
      <c r="C63" s="0" t="s">
        <v>1290</v>
      </c>
      <c r="D63" s="0" t="s">
        <v>1175</v>
      </c>
    </row>
    <row r="64" customFormat="false" ht="15" hidden="false" customHeight="false" outlineLevel="0" collapsed="false">
      <c r="A64" s="0" t="n">
        <v>63</v>
      </c>
      <c r="B64" s="0" t="s">
        <v>1291</v>
      </c>
      <c r="C64" s="0" t="s">
        <v>1292</v>
      </c>
      <c r="D64" s="0" t="s">
        <v>1175</v>
      </c>
    </row>
    <row r="65" customFormat="false" ht="15" hidden="false" customHeight="false" outlineLevel="0" collapsed="false">
      <c r="A65" s="0" t="n">
        <v>64</v>
      </c>
      <c r="B65" s="0" t="s">
        <v>1293</v>
      </c>
      <c r="C65" s="0" t="s">
        <v>1294</v>
      </c>
      <c r="D65" s="0" t="s">
        <v>1175</v>
      </c>
    </row>
    <row r="66" customFormat="false" ht="15" hidden="false" customHeight="false" outlineLevel="0" collapsed="false">
      <c r="A66" s="0" t="n">
        <v>65</v>
      </c>
      <c r="B66" s="0" t="s">
        <v>1295</v>
      </c>
      <c r="C66" s="0" t="s">
        <v>1296</v>
      </c>
      <c r="D66" s="0" t="s">
        <v>1175</v>
      </c>
    </row>
    <row r="67" customFormat="false" ht="15" hidden="false" customHeight="false" outlineLevel="0" collapsed="false">
      <c r="A67" s="0" t="n">
        <v>66</v>
      </c>
      <c r="B67" s="0" t="s">
        <v>1297</v>
      </c>
      <c r="C67" s="0" t="s">
        <v>1298</v>
      </c>
      <c r="D67" s="0" t="s">
        <v>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1299</v>
      </c>
      <c r="B1" s="0" t="s">
        <v>1300</v>
      </c>
      <c r="C1" s="0" t="s">
        <v>1301</v>
      </c>
      <c r="D1" s="0" t="s">
        <v>1302</v>
      </c>
    </row>
    <row r="2" customFormat="false" ht="15" hidden="false" customHeight="false" outlineLevel="0" collapsed="false">
      <c r="A2" s="0" t="s">
        <v>1303</v>
      </c>
      <c r="B2" s="0" t="s">
        <v>1304</v>
      </c>
      <c r="C2" s="0" t="s">
        <v>1305</v>
      </c>
      <c r="D2" s="0" t="s">
        <v>1306</v>
      </c>
    </row>
    <row r="3" customFormat="false" ht="15" hidden="false" customHeight="false" outlineLevel="0" collapsed="false">
      <c r="A3" s="0" t="s">
        <v>1307</v>
      </c>
      <c r="B3" s="0" t="s">
        <v>1308</v>
      </c>
      <c r="C3" s="0" t="s">
        <v>1305</v>
      </c>
      <c r="D3" s="0" t="s">
        <v>1309</v>
      </c>
    </row>
    <row r="4" customFormat="false" ht="15" hidden="false" customHeight="false" outlineLevel="0" collapsed="false">
      <c r="A4" s="0" t="s">
        <v>1310</v>
      </c>
      <c r="B4" s="0" t="s">
        <v>1311</v>
      </c>
      <c r="C4" s="0" t="s">
        <v>1305</v>
      </c>
      <c r="D4" s="0" t="s">
        <v>1312</v>
      </c>
    </row>
    <row r="5" customFormat="false" ht="15" hidden="false" customHeight="false" outlineLevel="0" collapsed="false">
      <c r="A5" s="0" t="s">
        <v>1313</v>
      </c>
      <c r="B5" s="0" t="s">
        <v>1314</v>
      </c>
      <c r="C5" s="0" t="s">
        <v>1305</v>
      </c>
      <c r="D5" s="0" t="s">
        <v>1315</v>
      </c>
    </row>
    <row r="6" customFormat="false" ht="15" hidden="false" customHeight="false" outlineLevel="0" collapsed="false">
      <c r="A6" s="0" t="s">
        <v>1316</v>
      </c>
      <c r="B6" s="0" t="s">
        <v>1317</v>
      </c>
      <c r="C6" s="0" t="s">
        <v>1305</v>
      </c>
      <c r="D6" s="0" t="s">
        <v>1318</v>
      </c>
    </row>
    <row r="7" customFormat="false" ht="15" hidden="false" customHeight="false" outlineLevel="0" collapsed="false">
      <c r="A7" s="0" t="s">
        <v>1319</v>
      </c>
      <c r="B7" s="0" t="s">
        <v>1320</v>
      </c>
      <c r="C7" s="0" t="s">
        <v>1305</v>
      </c>
      <c r="D7" s="0" t="s">
        <v>1321</v>
      </c>
    </row>
    <row r="8" customFormat="false" ht="15" hidden="false" customHeight="false" outlineLevel="0" collapsed="false">
      <c r="A8" s="0" t="s">
        <v>1322</v>
      </c>
      <c r="B8" s="0" t="s">
        <v>1323</v>
      </c>
      <c r="C8" s="0" t="s">
        <v>1305</v>
      </c>
      <c r="D8" s="0" t="s">
        <v>1324</v>
      </c>
    </row>
    <row r="9" customFormat="false" ht="15" hidden="false" customHeight="false" outlineLevel="0" collapsed="false">
      <c r="A9" s="0" t="s">
        <v>1325</v>
      </c>
      <c r="B9" s="0" t="s">
        <v>1326</v>
      </c>
      <c r="C9" s="0" t="s">
        <v>1305</v>
      </c>
      <c r="D9" s="0" t="s">
        <v>1327</v>
      </c>
    </row>
    <row r="10" customFormat="false" ht="15" hidden="false" customHeight="false" outlineLevel="0" collapsed="false">
      <c r="A10" s="0" t="s">
        <v>1328</v>
      </c>
      <c r="B10" s="0" t="s">
        <v>1329</v>
      </c>
      <c r="C10" s="0" t="s">
        <v>1305</v>
      </c>
      <c r="D10" s="0" t="s">
        <v>1330</v>
      </c>
    </row>
    <row r="11" customFormat="false" ht="15" hidden="false" customHeight="false" outlineLevel="0" collapsed="false">
      <c r="A11" s="0" t="s">
        <v>1331</v>
      </c>
      <c r="B11" s="0" t="s">
        <v>1332</v>
      </c>
      <c r="C11" s="0" t="s">
        <v>1305</v>
      </c>
      <c r="D11" s="0" t="s">
        <v>1333</v>
      </c>
    </row>
    <row r="12" customFormat="false" ht="15" hidden="false" customHeight="false" outlineLevel="0" collapsed="false">
      <c r="A12" s="0" t="s">
        <v>1334</v>
      </c>
      <c r="B12" s="0" t="s">
        <v>1335</v>
      </c>
      <c r="C12" s="0" t="s">
        <v>1305</v>
      </c>
      <c r="D12" s="0" t="s">
        <v>1336</v>
      </c>
    </row>
    <row r="13" customFormat="false" ht="15" hidden="false" customHeight="false" outlineLevel="0" collapsed="false">
      <c r="A13" s="0" t="s">
        <v>1337</v>
      </c>
      <c r="B13" s="0" t="s">
        <v>1338</v>
      </c>
      <c r="C13" s="0" t="s">
        <v>1305</v>
      </c>
      <c r="D13" s="0" t="s">
        <v>1339</v>
      </c>
    </row>
    <row r="14" customFormat="false" ht="15" hidden="false" customHeight="false" outlineLevel="0" collapsed="false">
      <c r="A14" s="0" t="s">
        <v>1340</v>
      </c>
      <c r="B14" s="0" t="s">
        <v>1341</v>
      </c>
      <c r="C14" s="0" t="s">
        <v>1305</v>
      </c>
      <c r="D14" s="0" t="s">
        <v>1342</v>
      </c>
    </row>
    <row r="15" customFormat="false" ht="15" hidden="false" customHeight="false" outlineLevel="0" collapsed="false">
      <c r="A15" s="0" t="s">
        <v>1343</v>
      </c>
      <c r="B15" s="0" t="s">
        <v>1344</v>
      </c>
      <c r="C15" s="0" t="s">
        <v>1305</v>
      </c>
      <c r="D15" s="0" t="s">
        <v>1345</v>
      </c>
    </row>
    <row r="16" customFormat="false" ht="15" hidden="false" customHeight="false" outlineLevel="0" collapsed="false">
      <c r="A16" s="0" t="s">
        <v>1346</v>
      </c>
      <c r="B16" s="0" t="s">
        <v>1347</v>
      </c>
      <c r="C16" s="0" t="s">
        <v>1305</v>
      </c>
      <c r="D16" s="0" t="s">
        <v>1348</v>
      </c>
    </row>
    <row r="17" customFormat="false" ht="15" hidden="false" customHeight="false" outlineLevel="0" collapsed="false">
      <c r="A17" s="0" t="s">
        <v>1349</v>
      </c>
      <c r="B17" s="0" t="s">
        <v>1350</v>
      </c>
      <c r="C17" s="0" t="s">
        <v>1305</v>
      </c>
      <c r="D17" s="0" t="s">
        <v>1351</v>
      </c>
    </row>
    <row r="18" customFormat="false" ht="15" hidden="false" customHeight="false" outlineLevel="0" collapsed="false">
      <c r="A18" s="0" t="s">
        <v>1352</v>
      </c>
      <c r="B18" s="0" t="s">
        <v>1353</v>
      </c>
      <c r="C18" s="0" t="s">
        <v>1305</v>
      </c>
      <c r="D18" s="0" t="s">
        <v>1354</v>
      </c>
    </row>
    <row r="19" customFormat="false" ht="15" hidden="false" customHeight="false" outlineLevel="0" collapsed="false">
      <c r="A19" s="0" t="s">
        <v>1355</v>
      </c>
      <c r="B19" s="0" t="s">
        <v>1356</v>
      </c>
      <c r="C19" s="0" t="s">
        <v>1305</v>
      </c>
      <c r="D19" s="0" t="s">
        <v>1357</v>
      </c>
    </row>
    <row r="20" customFormat="false" ht="15" hidden="false" customHeight="false" outlineLevel="0" collapsed="false">
      <c r="A20" s="0" t="s">
        <v>1358</v>
      </c>
      <c r="B20" s="0" t="s">
        <v>1359</v>
      </c>
      <c r="C20" s="0" t="s">
        <v>1305</v>
      </c>
      <c r="D20" s="0" t="s">
        <v>1360</v>
      </c>
    </row>
    <row r="21" customFormat="false" ht="15" hidden="false" customHeight="false" outlineLevel="0" collapsed="false">
      <c r="A21" s="0" t="s">
        <v>1361</v>
      </c>
      <c r="B21" s="0" t="s">
        <v>1362</v>
      </c>
      <c r="C21" s="0" t="s">
        <v>1305</v>
      </c>
      <c r="D21" s="0" t="s">
        <v>1363</v>
      </c>
    </row>
    <row r="22" customFormat="false" ht="15" hidden="false" customHeight="false" outlineLevel="0" collapsed="false">
      <c r="A22" s="0" t="s">
        <v>1364</v>
      </c>
      <c r="B22" s="0" t="s">
        <v>1365</v>
      </c>
      <c r="C22" s="0" t="s">
        <v>1366</v>
      </c>
      <c r="D22" s="0" t="s">
        <v>1367</v>
      </c>
    </row>
    <row r="23" customFormat="false" ht="15" hidden="false" customHeight="false" outlineLevel="0" collapsed="false">
      <c r="A23" s="0" t="s">
        <v>1368</v>
      </c>
      <c r="B23" s="0" t="s">
        <v>1369</v>
      </c>
      <c r="C23" s="0" t="s">
        <v>1366</v>
      </c>
      <c r="D23" s="0" t="s">
        <v>1370</v>
      </c>
    </row>
    <row r="24" customFormat="false" ht="15" hidden="false" customHeight="false" outlineLevel="0" collapsed="false">
      <c r="A24" s="0" t="s">
        <v>1371</v>
      </c>
      <c r="B24" s="0" t="s">
        <v>1372</v>
      </c>
      <c r="C24" s="0" t="s">
        <v>1305</v>
      </c>
      <c r="D24" s="0" t="s">
        <v>1373</v>
      </c>
    </row>
    <row r="25" customFormat="false" ht="15" hidden="false" customHeight="false" outlineLevel="0" collapsed="false">
      <c r="A25" s="0" t="s">
        <v>1374</v>
      </c>
      <c r="B25" s="0" t="s">
        <v>1375</v>
      </c>
      <c r="C25" s="0" t="s">
        <v>1305</v>
      </c>
      <c r="D25" s="0" t="s">
        <v>1376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2026-10-16T09:37:07Z</dcterms:created>
  <dc:creator>openpyxl</dc:creator>
  <dc:description/>
  <dc:language>en-US</dc:language>
  <cp:lastModifiedBy/>
  <dcterms:modified xsi:type="dcterms:W3CDTF">2026-10-16T09:37:07Z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