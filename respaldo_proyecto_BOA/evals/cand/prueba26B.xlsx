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Partition Takeoff" sheetId="2" state="visible" r:id="rId4"/>
    <sheet name="Material Summary" sheetId="3" state="visible" r:id="rId5"/>
    <sheet name="Pending Items" sheetId="4" state="visible" r:id="rId6"/>
    <sheet name="Review Items" sheetId="5" state="visible" r:id="rId7"/>
    <sheet name="Scope Checklist" sheetId="6" state="visible" r:id="rId8"/>
    <sheet name="_reglas" sheetId="7" state="hidden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<sst xmlns="http://schemas.openxmlformats.org/spreadsheetml/2006/main" count="1770" uniqueCount="1143">
  <si>
    <t xml:space="preserve">Bank of America Broomfield CO1-111, NWC Hwy 7 and Palisade Pkwy, Broomfield CO (prueba 26B, v77c-ciego)   |   METAL FRAMING &amp; DRYWALL TAKEOFF</t>
  </si>
  <si>
    <t xml:space="preserve">Bid set: boa.pdf (rendered and read from the clean copy boa_SIN_MARKUPS.pdf)   ·   2026-10-21   ·   Edit ONLY the yellow cells.</t>
  </si>
  <si>
    <t xml:space="preserve">PARAMETER</t>
  </si>
  <si>
    <t xml:space="preserve">VALUE</t>
  </si>
  <si>
    <t xml:space="preserve">NOTE / SOURCE</t>
  </si>
  <si>
    <t xml:space="preserve">Waste - ALL METAL, any type</t>
  </si>
  <si>
    <t xml:space="preserve">Estimator standing rule: 15% on everything that is metal.</t>
  </si>
  <si>
    <t xml:space="preserve">Waste - EVERYTHING THAT IS NOT METAL</t>
  </si>
  <si>
    <t xml:space="preserve">Estimator standing rule: same figure as board.</t>
  </si>
  <si>
    <t xml:space="preserve">Board sheet width (ft)</t>
  </si>
  <si>
    <t xml:space="preserve">Sheet size is a parameter; buy the size that wastes least.</t>
  </si>
  <si>
    <t xml:space="preserve">Board sheet length (ft)</t>
  </si>
  <si>
    <t xml:space="preserve">Change it and every sheet count re-rounds.</t>
  </si>
  <si>
    <t xml:space="preserve">SF per board sheet</t>
  </si>
  <si>
    <t xml:space="preserve">Width x length.</t>
  </si>
  <si>
    <t xml:space="preserve">Stud stock length (ft)</t>
  </si>
  <si>
    <t xml:space="preserve">Stud, header, framed opening and stud blocking: sticks.</t>
  </si>
  <si>
    <t xml:space="preserve">Track stock length (ft)</t>
  </si>
  <si>
    <t xml:space="preserve">Track, sill track and purlin: runs.</t>
  </si>
  <si>
    <t xml:space="preserve">Floor plan scale (pt/ft)</t>
  </si>
  <si>
    <t xml:space="preserve">n/a</t>
  </si>
  <si>
    <t xml:space="preserve">Project value (canon constants).</t>
  </si>
  <si>
    <t xml:space="preserve">B.O. Deck (ft)</t>
  </si>
  <si>
    <t xml:space="preserve">T.O. Parapet (ft)</t>
  </si>
  <si>
    <t xml:space="preserve">Sealant coverage (LF per tube)</t>
  </si>
  <si>
    <t xml:space="preserve">Sealant yield per tube - set your supplier's figure.</t>
  </si>
  <si>
    <t xml:space="preserve">C.R. channel stock length (ft)</t>
  </si>
  <si>
    <t xml:space="preserve">1-1/2" cold-rolled channel (bracing, carrying channel).</t>
  </si>
  <si>
    <t xml:space="preserve">Hat / furring channel stock (ft)</t>
  </si>
  <si>
    <t xml:space="preserve">7/8" hat furring channel.</t>
  </si>
  <si>
    <t xml:space="preserve">Trim stick length (ft)</t>
  </si>
  <si>
    <t xml:space="preserve">Corner bead, casing bead, shadow molding, PVC trim.</t>
  </si>
  <si>
    <t xml:space="preserve">Hanger wire purchase</t>
  </si>
  <si>
    <t xml:space="preserve">continuous coil (LF)</t>
  </si>
  <si>
    <t xml:space="preserve">Bought by LF from a continuous coil; the hanger count goes on its own PCS row.</t>
  </si>
  <si>
    <t xml:space="preserve">Drywall screws per SF of board</t>
  </si>
  <si>
    <t xml:space="preserve">YIELD (GA-216 field / perimeter spacing).</t>
  </si>
  <si>
    <t xml:space="preserve">Framing screws per stud piece</t>
  </si>
  <si>
    <t xml:space="preserve">YIELD: 2 per stud-to-track connection, each end.</t>
  </si>
  <si>
    <t xml:space="preserve">Power-driven pin spacing (ft)</t>
  </si>
  <si>
    <t xml:space="preserve">YIELD: bottom track on slab, interior walls.</t>
  </si>
  <si>
    <t xml:space="preserve">Joint compound (lb per SF)</t>
  </si>
  <si>
    <t xml:space="preserve">YIELD: 72 lb per 1,000 SF, level 4 (estimator criterion).</t>
  </si>
  <si>
    <t xml:space="preserve">Joint tape (LF per SF)</t>
  </si>
  <si>
    <t xml:space="preserve">YIELD: 370 LF per 1,000 SF.</t>
  </si>
  <si>
    <t xml:space="preserve">Expansion anchor spacing (ft)</t>
  </si>
  <si>
    <t xml:space="preserve">YIELD: exterior bottom track on slab.</t>
  </si>
  <si>
    <t xml:space="preserve">ORGANIZED PARTITION TAKEOFF - Bank of America Broomfield CO1-111, NWC Hwy 7 and Palisade Pkwy, Broomfield CO (prueba 26B, v77c-ciego)</t>
  </si>
  <si>
    <t xml:space="preserve">Grouped by partition type. Every row cites its DETAIL/SHEET and its status.</t>
  </si>
  <si>
    <t xml:space="preserve">Partition / Scope</t>
  </si>
  <si>
    <t xml:space="preserve">Wall #</t>
  </si>
  <si>
    <t xml:space="preserve">Length (LF)</t>
  </si>
  <si>
    <t xml:space="preserve">Height (FT)</t>
  </si>
  <si>
    <t xml:space="preserve">Layers</t>
  </si>
  <si>
    <t xml:space="preserve">Stud Size</t>
  </si>
  <si>
    <t xml:space="preserve">Stud O.C. (in)</t>
  </si>
  <si>
    <t xml:space="preserve">Board (SF)</t>
  </si>
  <si>
    <t xml:space="preserve">Location</t>
  </si>
  <si>
    <t xml:space="preserve">Source (DETAIL/SHEET)</t>
  </si>
  <si>
    <t xml:space="preserve">Status</t>
  </si>
  <si>
    <t xml:space="preserve">TYPE A1</t>
  </si>
  <si>
    <t xml:space="preserve">A1  #A-A1-W01  -  104 WAITING / 122 CALLING CUBES</t>
  </si>
  <si>
    <t xml:space="preserve">A-A1-W01</t>
  </si>
  <si>
    <t xml:space="preserve">3-5/8"</t>
  </si>
  <si>
    <t xml:space="preserve">104 WAITING / 122 CALLING CUBES</t>
  </si>
  <si>
    <t xml:space="preserve">3/A12.01</t>
  </si>
  <si>
    <t xml:space="preserve">[DERIVED]</t>
  </si>
  <si>
    <t xml:space="preserve">A1  #A-A1-W02  -  103 CENTRAL ZONE (MW01 niche, cabinet opens west to 103) / 122 CALLING CUBES</t>
  </si>
  <si>
    <t xml:space="preserve">A-A1-W02</t>
  </si>
  <si>
    <t xml:space="preserve">103 CENTRAL ZONE (MW01 niche, cabinet opens west to 103) / 122 CALLING CUBES</t>
  </si>
  <si>
    <t xml:space="preserve">A1  #A-A1-W03  -  103 CENTRAL ZONE (MW01 niche) / 122 CALLING CUBES (MW07 millwork side)</t>
  </si>
  <si>
    <t xml:space="preserve">A-A1-W03</t>
  </si>
  <si>
    <t xml:space="preserve">103 CENTRAL ZONE (MW01 niche) / 122 CALLING CUBES (MW07 millwork side)</t>
  </si>
  <si>
    <t xml:space="preserve">A1  #A-A1-W04  -  103 CENTRAL ZONE / 111 CORRIDOR</t>
  </si>
  <si>
    <t xml:space="preserve">A-A1-W04</t>
  </si>
  <si>
    <t xml:space="preserve">103 CENTRAL ZONE / 111 CORRIDOR</t>
  </si>
  <si>
    <t xml:space="preserve">A1  #A-A1-W05  -  122 CALLING CUBES / 111 CORRIDOR / 118 BREAK ROOM (open area south of 122, MW21 millwork)</t>
  </si>
  <si>
    <t xml:space="preserve">A-A1-W05</t>
  </si>
  <si>
    <t xml:space="preserve">122 CALLING CUBES / 111 CORRIDOR / 118 BREAK ROOM (open area south of 122, MW21 millwork)</t>
  </si>
  <si>
    <t xml:space="preserve">A1  #A-A1-W06  -  103 CENTRAL ZONE (teller line area) / 118 BREAK ROOM</t>
  </si>
  <si>
    <t xml:space="preserve">A-A1-W06</t>
  </si>
  <si>
    <t xml:space="preserve">103 CENTRAL ZONE (teller line area) / 118 BREAK ROOM</t>
  </si>
  <si>
    <t xml:space="preserve">A1  #A-A1-W07  -  118 BREAK ROOM (MW21 millwork end) / 103 CENTRAL ZONE (teller line area)</t>
  </si>
  <si>
    <t xml:space="preserve">A-A1-W07</t>
  </si>
  <si>
    <t xml:space="preserve">118 BREAK ROOM (MW21 millwork end) / 103 CENTRAL ZONE (teller line area)</t>
  </si>
  <si>
    <t xml:space="preserve">A1  #A-A1-W08  -  111 CORRIDOR / 118 BREAK ROOM (area north of 120, door 118B) / 120 ELECTRICAL / 121 NER</t>
  </si>
  <si>
    <t xml:space="preserve">A-A1-W08</t>
  </si>
  <si>
    <t xml:space="preserve">111 CORRIDOR / 118 BREAK ROOM (area north of 120, door 118B) / 120 ELECTRICAL / 121 NER</t>
  </si>
  <si>
    <t xml:space="preserve">A1  #A-A1-W09  -  116 CASH WINDOW / 119 WORK ROOM</t>
  </si>
  <si>
    <t xml:space="preserve">A-A1-W09</t>
  </si>
  <si>
    <t xml:space="preserve">116 CASH WINDOW / 119 WORK ROOM</t>
  </si>
  <si>
    <t xml:space="preserve">TYPE A5</t>
  </si>
  <si>
    <t xml:space="preserve">A5  #A-A1-A14a+A-A1-A14b  -  122 CALLING CUBES / 103 CENTRAL ZONE / 103 CENTRAL ZONE (teller line area) + 122 CALLING CUBES / 103 CENTRAL ZONE (teller line area)</t>
  </si>
  <si>
    <t xml:space="preserve">A-A1-A14a+A-A1-A14b</t>
  </si>
  <si>
    <t xml:space="preserve">6"</t>
  </si>
  <si>
    <t xml:space="preserve">122 CALLING CUBES / 103 CENTRAL ZONE / 103 CENTRAL ZONE (teller line area) + 122 CALLING CUBES / 103 CENTRAL ZONE (teller line area)</t>
  </si>
  <si>
    <t xml:space="preserve">A5  #A-A1-A15  -  103 CENTRAL ZONE / 122 CALLING CUBES</t>
  </si>
  <si>
    <t xml:space="preserve">A-A1-A15</t>
  </si>
  <si>
    <t xml:space="preserve">103 CENTRAL ZONE / 122 CALLING CUBES</t>
  </si>
  <si>
    <t xml:space="preserve">A5  #A-A1-A16  -  111 CORRIDOR / 122 CALLING CUBES</t>
  </si>
  <si>
    <t xml:space="preserve">A-A1-A16</t>
  </si>
  <si>
    <t xml:space="preserve">111 CORRIDOR / 122 CALLING CUBES</t>
  </si>
  <si>
    <t xml:space="preserve">A5  #A-A1-A17  -  118 BREAK ROOM / 116 CASH WINDOW</t>
  </si>
  <si>
    <t xml:space="preserve">A-A1-A17</t>
  </si>
  <si>
    <t xml:space="preserve">118 BREAK ROOM / 116 CASH WINDOW</t>
  </si>
  <si>
    <t xml:space="preserve">TYPE A1K</t>
  </si>
  <si>
    <t xml:space="preserve">A1K  #A-A1-K11  -  103 CENTRAL ZONE side, outside the teller enclosure (north end of CSR line) - CUSTOMER SIDE / 116 CASH WINDOW teller station (TELLER SIDE)</t>
  </si>
  <si>
    <t xml:space="preserve">A-A1-K11</t>
  </si>
  <si>
    <t xml:space="preserve">103 CENTRAL ZONE side, outside the teller enclosure (north end of CSR line) - CUSTOMER SIDE / 116 CASH WINDOW teller station (TELLER SIDE)</t>
  </si>
  <si>
    <t xml:space="preserve">4/A12.01</t>
  </si>
  <si>
    <t xml:space="preserve">A1K  #A-A1-K12  -  116 CASH WINDOW teller station (TELLER SIDE) / 116 CASH WINDOW south end (FUTURE FCAM side), outside the teller enclosure - CUSTOMER SIDE</t>
  </si>
  <si>
    <t xml:space="preserve">A-A1-K12</t>
  </si>
  <si>
    <t xml:space="preserve">116 CASH WINDOW teller station (TELLER SIDE) / 116 CASH WINDOW south end (FUTURE FCAM side), outside the teller enclosure - CUSTOMER SIDE</t>
  </si>
  <si>
    <t xml:space="preserve">A1K  #A-A1-K13  -  103 CENTRAL ZONE teller line area (customer pocket in front of CSR) - CUSTOMER SIDE / 116 CASH WINDOW (FUTURE FCAM) / top of A5 A17 (TELLER SIDE)</t>
  </si>
  <si>
    <t xml:space="preserve">A-A1-K13</t>
  </si>
  <si>
    <t xml:space="preserve">103 CENTRAL ZONE teller line area (customer pocket in front of CSR) - CUSTOMER SIDE / 116 CASH WINDOW (FUTURE FCAM) / top of A5 A17 (TELLER SIDE)</t>
  </si>
  <si>
    <t xml:space="preserve">TYPE B</t>
  </si>
  <si>
    <t xml:space="preserve">B  #A-B-B-01  -  113 MEN'S RESTROOM / 112 JANITOR CLOSET (x 911.9-1064.9) / 117 STORAGE (x 1072.2-1123.1)</t>
  </si>
  <si>
    <t xml:space="preserve">A-B-B-01</t>
  </si>
  <si>
    <t xml:space="preserve">113 MEN'S RESTROOM / 112 JANITOR CLOSET (x 911.9-1064.9) / 117 STORAGE (x 1072.2-1123.1)</t>
  </si>
  <si>
    <t xml:space="preserve">1/A12.01</t>
  </si>
  <si>
    <t xml:space="preserve">B  #A-B-B-02  -  112 JANITOR CLOSET / 117 STORAGE / 115 WELLNESS</t>
  </si>
  <si>
    <t xml:space="preserve">A-B-B-02</t>
  </si>
  <si>
    <t xml:space="preserve">112 JANITOR CLOSET / 117 STORAGE / 115 WELLNESS</t>
  </si>
  <si>
    <t xml:space="preserve">B  #A-B-B-03  -  112 JANITOR CLOSET / 117 STORAGE</t>
  </si>
  <si>
    <t xml:space="preserve">A-B-B-03</t>
  </si>
  <si>
    <t xml:space="preserve">112 JANITOR CLOSET / 117 STORAGE</t>
  </si>
  <si>
    <t xml:space="preserve">B  #A-B-B-04  -  111 CORRIDOR / 118 BREAK ROOM (north side, FEC-2 niche x 1289.5-1343.5) / 120 ELECTRICAL</t>
  </si>
  <si>
    <t xml:space="preserve">A-B-B-04</t>
  </si>
  <si>
    <t xml:space="preserve">111 CORRIDOR / 118 BREAK ROOM (north side, FEC-2 niche x 1289.5-1343.5) / 120 ELECTRICAL</t>
  </si>
  <si>
    <t xml:space="preserve">B  #A-B-B-05  -  120 ELECTRICAL / 121 NER</t>
  </si>
  <si>
    <t xml:space="preserve">A-B-B-05</t>
  </si>
  <si>
    <t xml:space="preserve">120 ELECTRICAL / 121 NER</t>
  </si>
  <si>
    <t xml:space="preserve">B  #A-B-B-06  -  120 ELECTRICAL / 121 NER / 118 BREAK ROOM</t>
  </si>
  <si>
    <t xml:space="preserve">A-B-B-06</t>
  </si>
  <si>
    <t xml:space="preserve">120 ELECTRICAL / 121 NER / 118 BREAK ROOM</t>
  </si>
  <si>
    <t xml:space="preserve">TYPE B2</t>
  </si>
  <si>
    <t xml:space="preserve">B2  #A-B-B2-01  -  114 WOMEN'S RESTROOM / 111 CORRIDOR</t>
  </si>
  <si>
    <t xml:space="preserve">A-B-B2-01</t>
  </si>
  <si>
    <t xml:space="preserve">114 WOMEN'S RESTROOM / 111 CORRIDOR</t>
  </si>
  <si>
    <t xml:space="preserve">[CONFIRMED]</t>
  </si>
  <si>
    <t xml:space="preserve">B2  #A-B-B2-02  -  113 MEN'S RESTROOM / 112 JANITOR / 117 STORAGE / 115 WELLNESS (west side) / 111 CORRIDOR</t>
  </si>
  <si>
    <t xml:space="preserve">A-B-B2-02</t>
  </si>
  <si>
    <t xml:space="preserve">113 MEN'S RESTROOM / 112 JANITOR / 117 STORAGE / 115 WELLNESS (west side) / 111 CORRIDOR</t>
  </si>
  <si>
    <t xml:space="preserve">B2  #A-B-B2-03  -  118 BREAK ROOM / 119 WORK ROOM</t>
  </si>
  <si>
    <t xml:space="preserve">A-B-B2-03</t>
  </si>
  <si>
    <t xml:space="preserve">118 BREAK ROOM / 119 WORK ROOM</t>
  </si>
  <si>
    <t xml:space="preserve">B2  #A-B-B2-04  -  102 ATM ROOM / 103 CENTRAL ZONE</t>
  </si>
  <si>
    <t xml:space="preserve">A-B-B2-04</t>
  </si>
  <si>
    <t xml:space="preserve">102 ATM ROOM / 103 CENTRAL ZONE</t>
  </si>
  <si>
    <t xml:space="preserve">TYPE B2K</t>
  </si>
  <si>
    <t xml:space="preserve">B2K  #A-B-B2K-01  -  teller side (north, 4" gap to the G wall of 108 OFFICE 4 CB) / customer side (CSR line recess of 103 CENTRAL ZONE / 116 CASH WINDOW, ACT-4 9'-0") / office 108 south jamb (vendor frame DFC-1A, 4" stub)</t>
  </si>
  <si>
    <t xml:space="preserve">A-B-B2K-01</t>
  </si>
  <si>
    <t xml:space="preserve">teller side (north, 4" gap to the G wall of 108 OFFICE 4 CB) / customer side (CSR line recess of 103 CENTRAL ZONE / 116 CASH WINDOW, ACT-4 9'-0") / office 108 south jamb (vendor frame DFC-1A, 4" stub)</t>
  </si>
  <si>
    <t xml:space="preserve">TYPE F</t>
  </si>
  <si>
    <t xml:space="preserve">F  #A-B-F-01  -  101 24 HR VESTIBULE (ATM LOBBY) / 102 ATM ROOM</t>
  </si>
  <si>
    <t xml:space="preserve">A-B-F-01</t>
  </si>
  <si>
    <t xml:space="preserve">101 24 HR VESTIBULE (ATM LOBBY) / 102 ATM ROOM</t>
  </si>
  <si>
    <t xml:space="preserve">12/A12.01</t>
  </si>
  <si>
    <t xml:space="preserve">TYPE C1</t>
  </si>
  <si>
    <t xml:space="preserve">C1  #A-B-C1-CH35  -  114 WOMEN'S RESTROOM</t>
  </si>
  <si>
    <t xml:space="preserve">A-B-C1-CH35</t>
  </si>
  <si>
    <t xml:space="preserve">114 WOMEN'S RESTROOM</t>
  </si>
  <si>
    <t xml:space="preserve">6/A12.01</t>
  </si>
  <si>
    <t xml:space="preserve">C1  #A-B-C1-CH37  -  113 MEN'S RESTROOM</t>
  </si>
  <si>
    <t xml:space="preserve">A-B-C1-CH37</t>
  </si>
  <si>
    <t xml:space="preserve">113 MEN'S RESTROOM</t>
  </si>
  <si>
    <t xml:space="preserve">C1  #A-B-C1-34+A-B-C1-34-RW+A-B-C1-34-RE  -  104 WAITING (GB 11'-0")</t>
  </si>
  <si>
    <t xml:space="preserve">A-B-C1-34+A-B-C1-34-RW+A-B-C1-34-RE</t>
  </si>
  <si>
    <t xml:space="preserve">104 WAITING (GB 11'-0")</t>
  </si>
  <si>
    <t xml:space="preserve">C1  #A-B-C1-36+A-B-C1-36-RE  -  116 CASH WINDOW (FUTURE FCAM, ACT-4 9'-0")</t>
  </si>
  <si>
    <t xml:space="preserve">A-B-C1-36+A-B-C1-36-RE</t>
  </si>
  <si>
    <t xml:space="preserve">116 CASH WINDOW (FUTURE FCAM, ACT-4 9'-0")</t>
  </si>
  <si>
    <t xml:space="preserve">C1  #A-B-C1-PR31  -  100 VESTIBULE</t>
  </si>
  <si>
    <t xml:space="preserve">A-B-C1-PR31</t>
  </si>
  <si>
    <t xml:space="preserve">100 VESTIBULE</t>
  </si>
  <si>
    <t xml:space="preserve">1/A09.25</t>
  </si>
  <si>
    <t xml:space="preserve">C1  #A-B-C1-PR30  -  100 VESTIBULE / 103 CENTRAL ZONE</t>
  </si>
  <si>
    <t xml:space="preserve">A-B-C1-PR30</t>
  </si>
  <si>
    <t xml:space="preserve">100 VESTIBULE / 103 CENTRAL ZONE</t>
  </si>
  <si>
    <t xml:space="preserve">2/A09.25</t>
  </si>
  <si>
    <t xml:space="preserve">C1  #A-B-C1-CW32  -  north face (100 VESTIBULE / 103, 100A glass at x 1132) / east face (103 CENTRAL ZONE) / south face (101 24 HR VESTIBULE / 103, grille line at x 1130.8) / west face (100 / 101, 101 glass at y 461.5)</t>
  </si>
  <si>
    <t xml:space="preserve">A-B-C1-CW32</t>
  </si>
  <si>
    <t xml:space="preserve">north face (100 VESTIBULE / 103, 100A glass at x 1132) / east face (103 CENTRAL ZONE) / south face (101 24 HR VESTIBULE / 103, grille line at x 1130.8) / west face (100 / 101, 101 glass at y 461.5)</t>
  </si>
  <si>
    <t xml:space="preserve">C1  #A-B-C1-CW33  -  north face (101 24 HR VESTIBULE / 103) / east face (103 CENTRAL ZONE) / south face east of the B2 wall (103 CENTRAL ZONE)</t>
  </si>
  <si>
    <t xml:space="preserve">A-B-C1-CW33</t>
  </si>
  <si>
    <t xml:space="preserve">north face (101 24 HR VESTIBULE / 103) / east face (103 CENTRAL ZONE) / south face east of the B2 wall (103 CENTRAL ZONE)</t>
  </si>
  <si>
    <t xml:space="preserve">TYPE EXT-6CFMF</t>
  </si>
  <si>
    <t xml:space="preserve">EXT-6CFMF  #A-EXT-N  -  105 OFFICE 1 ME</t>
  </si>
  <si>
    <t xml:space="preserve">A-EXT-N</t>
  </si>
  <si>
    <t xml:space="preserve">105 OFFICE 1 ME</t>
  </si>
  <si>
    <t xml:space="preserve">C/A09.21</t>
  </si>
  <si>
    <t xml:space="preserve">EXT-6CFMF  #A-EXT-E-HI+A-EXT-E-LO  -  105 OFFICE 1 ME / 106 OFFICE 2 CL / 107 OFFICE 3 SB / 108 OFFICE 4 CB / 116 CASH WINDOW + 116 CASH WINDOW / 119 WORK ROOM</t>
  </si>
  <si>
    <t xml:space="preserve">A-EXT-E-HI+A-EXT-E-LO</t>
  </si>
  <si>
    <t xml:space="preserve">105 OFFICE 1 ME / 106 OFFICE 2 CL / 107 OFFICE 3 SB / 108 OFFICE 4 CB / 116 CASH WINDOW + 116 CASH WINDOW / 119 WORK ROOM</t>
  </si>
  <si>
    <t xml:space="preserve">D/A09.22; E/A09.22</t>
  </si>
  <si>
    <t xml:space="preserve">EXT-6CFMF  #A-EXT-S-W+A-EXT-S-E  -  115 WELLNESS / 111 CORRIDOR / 121 NER / 118 BREAK ROOM + 118 BREAK ROOM / 119 WORK ROOM</t>
  </si>
  <si>
    <t xml:space="preserve">A-EXT-S-W+A-EXT-S-E</t>
  </si>
  <si>
    <t xml:space="preserve">115 WELLNESS / 111 CORRIDOR / 121 NER / 118 BREAK ROOM + 118 BREAK ROOM / 119 WORK ROOM</t>
  </si>
  <si>
    <t xml:space="preserve">F/A09.22</t>
  </si>
  <si>
    <t xml:space="preserve">EXT-6CFMF  #A-EXT-W3-HI+A-EXT-W3-LO  -  109 OFFICE 5 CB / 110 OFFICE 6 CB / 114 WOMEN'S RESTROOM + 114 WOMEN'S RESTROOM / C1 PLUMBING CHASE between 114 and 113 / 113 MEN'S RESTROOM / 112 JANITOR CLOSET / 115 WELLNESS</t>
  </si>
  <si>
    <t xml:space="preserve">A-EXT-W3-HI+A-EXT-W3-LO</t>
  </si>
  <si>
    <t xml:space="preserve">109 OFFICE 5 CB / 110 OFFICE 6 CB / 114 WOMEN'S RESTROOM + 114 WOMEN'S RESTROOM / C1 PLUMBING CHASE between 114 and 113 / 113 MEN'S RESTROOM / 112 JANITOR CLOSET / 115 WELLNESS</t>
  </si>
  <si>
    <t xml:space="preserve">H/A09.23</t>
  </si>
  <si>
    <t xml:space="preserve">EXT-6CFMF  #A-EXT-WJ  -  102 ATM ROOM</t>
  </si>
  <si>
    <t xml:space="preserve">A-EXT-WJ</t>
  </si>
  <si>
    <t xml:space="preserve">102 ATM ROOM</t>
  </si>
  <si>
    <t xml:space="preserve">J/A09.23</t>
  </si>
  <si>
    <t xml:space="preserve">EXT-6CFMF  #A-EXT-W2  -  101 24 HR VESTIBULE / 102 ATM ROOM</t>
  </si>
  <si>
    <t xml:space="preserve">A-EXT-W2</t>
  </si>
  <si>
    <t xml:space="preserve">101 24 HR VESTIBULE / 102 ATM ROOM</t>
  </si>
  <si>
    <t xml:space="preserve">TYPE CANOPY-COL</t>
  </si>
  <si>
    <t xml:space="preserve">CANOPY-COL  #A-EXT-CW-1  -  A-EXT-CW-1</t>
  </si>
  <si>
    <t xml:space="preserve">A-EXT-CW-1</t>
  </si>
  <si>
    <t xml:space="preserve">5/A09.25</t>
  </si>
  <si>
    <t xml:space="preserve">CANOPY-COL  #A-EXT-CW-2  -  A-EXT-CW-2</t>
  </si>
  <si>
    <t xml:space="preserve">A-EXT-CW-2</t>
  </si>
  <si>
    <t xml:space="preserve">CANOPY-COL  #A-EXT-CW-3  -  A-EXT-CW-3</t>
  </si>
  <si>
    <t xml:space="preserve">A-EXT-CW-3</t>
  </si>
  <si>
    <t xml:space="preserve">CANOPY-COL  #A-EXT-CW-4  -  A-EXT-CW-4</t>
  </si>
  <si>
    <t xml:space="preserve">A-EXT-CW-4</t>
  </si>
  <si>
    <t xml:space="preserve">TYPE EXT-PARAPET</t>
  </si>
  <si>
    <t xml:space="preserve">EXT-PARAPET  #A-EXT-PAR-GV  -  A-EXT-PAR-GV</t>
  </si>
  <si>
    <t xml:space="preserve">A-EXT-PAR-GV</t>
  </si>
  <si>
    <t xml:space="preserve">4/A09.26</t>
  </si>
  <si>
    <t xml:space="preserve">EXT-PARAPET  #A-EXT-PAR-4R  -  high parapet return on grid 4 at the east end of the vestibule block (A02.02 lines x 1313.40 / 1332.12, y 301.8 / 320.5 -&gt; 384.84; key note 10 ACM COPING)</t>
  </si>
  <si>
    <t xml:space="preserve">A-EXT-PAR-4R</t>
  </si>
  <si>
    <t xml:space="preserve">high parapet return on grid 4 at the east end of the vestibule block (A02.02 lines x 1313.40 / 1332.12, y 301.8 / 320.5 -&gt; 384.84; key note 10 ACM COPING)</t>
  </si>
  <si>
    <t xml:space="preserve">EXT-PARAPET  #A-EXT-PAR-F  -  A-EXT-PAR-F</t>
  </si>
  <si>
    <t xml:space="preserve">A-EXT-PAR-F</t>
  </si>
  <si>
    <t xml:space="preserve">EXT-PARAPET  #A-EXT-PAR-8HI+A-EXT-PAR-8LO  -  A-EXT-PAR-8HI + A-EXT-PAR-8LO</t>
  </si>
  <si>
    <t xml:space="preserve">A-EXT-PAR-8HI+A-EXT-PAR-8LO</t>
  </si>
  <si>
    <t xml:space="preserve">A-EXT-PAR-8HI + A-EXT-PAR-8LO</t>
  </si>
  <si>
    <t xml:space="preserve">EXT-PARAPET  #A-EXT-PAR-A  -  A-EXT-PAR-A</t>
  </si>
  <si>
    <t xml:space="preserve">A-EXT-PAR-A</t>
  </si>
  <si>
    <t xml:space="preserve">EXT-PARAPET  #A-EXT-PAR-3HI+A-EXT-PAR-3LO  -  A-EXT-PAR-3HI + A-EXT-PAR-3LO</t>
  </si>
  <si>
    <t xml:space="preserve">A-EXT-PAR-3HI+A-EXT-PAR-3LO</t>
  </si>
  <si>
    <t xml:space="preserve">A-EXT-PAR-3HI + A-EXT-PAR-3LO</t>
  </si>
  <si>
    <t xml:space="preserve">EXT-PARAPET  #A-EXT-PAR-DJ  -  A-EXT-PAR-DJ</t>
  </si>
  <si>
    <t xml:space="preserve">A-EXT-PAR-DJ</t>
  </si>
  <si>
    <t xml:space="preserve">EXT-PARAPET  #A-EXT-PAR-2  -  A-EXT-PAR-2</t>
  </si>
  <si>
    <t xml:space="preserve">A-EXT-PAR-2</t>
  </si>
  <si>
    <t xml:space="preserve">TYPE G</t>
  </si>
  <si>
    <t xml:space="preserve">G  #A-G-E0  -  103 CENTRAL ZONE / 105 OFFICE 1 ME / office front jamb (vendor frame DFC-1A)</t>
  </si>
  <si>
    <t xml:space="preserve">A-G-E0</t>
  </si>
  <si>
    <t xml:space="preserve">1-5/8"</t>
  </si>
  <si>
    <t xml:space="preserve">103 CENTRAL ZONE / 105 OFFICE 1 ME / office front jamb (vendor frame DFC-1A)</t>
  </si>
  <si>
    <t xml:space="preserve">5/A12.01</t>
  </si>
  <si>
    <t xml:space="preserve">G  #A-G-E1  -  103 CENTRAL ZONE / 105 OFFICE 1 ME / 106 OFFICE 2 CL / office front jamb (vendor frame DFC-1A)</t>
  </si>
  <si>
    <t xml:space="preserve">A-G-E1</t>
  </si>
  <si>
    <t xml:space="preserve">103 CENTRAL ZONE / 105 OFFICE 1 ME / 106 OFFICE 2 CL / office front jamb (vendor frame DFC-1A)</t>
  </si>
  <si>
    <t xml:space="preserve">G  #A-G-E2  -  103 CENTRAL ZONE / 106 OFFICE 2 CL / 107 OFFICE 3 SB / office front jamb (vendor frame DFC-1A)</t>
  </si>
  <si>
    <t xml:space="preserve">A-G-E2</t>
  </si>
  <si>
    <t xml:space="preserve">103 CENTRAL ZONE / 106 OFFICE 2 CL / 107 OFFICE 3 SB / office front jamb (vendor frame DFC-1A)</t>
  </si>
  <si>
    <t xml:space="preserve">G  #A-G-E3  -  103 CENTRAL ZONE / 107 OFFICE 3 SB / 108 OFFICE 4 CB / office front jamb (vendor frame DFC-1A)</t>
  </si>
  <si>
    <t xml:space="preserve">A-G-E3</t>
  </si>
  <si>
    <t xml:space="preserve">103 CENTRAL ZONE / 107 OFFICE 3 SB / 108 OFFICE 4 CB / office front jamb (vendor frame DFC-1A)</t>
  </si>
  <si>
    <t xml:space="preserve">G  #A-G-E6  -  106 OFFICE 2 CL / 107 OFFICE 3 SB</t>
  </si>
  <si>
    <t xml:space="preserve">A-G-E6</t>
  </si>
  <si>
    <t xml:space="preserve">106 OFFICE 2 CL / 107 OFFICE 3 SB</t>
  </si>
  <si>
    <t xml:space="preserve">G  #A-G-E7  -  107 OFFICE 3 SB / 108 OFFICE 4 CB</t>
  </si>
  <si>
    <t xml:space="preserve">A-G-E7</t>
  </si>
  <si>
    <t xml:space="preserve">107 OFFICE 3 SB / 108 OFFICE 4 CB</t>
  </si>
  <si>
    <t xml:space="preserve">G  #A-G-E8  -  108 OFFICE 4 CB / 116 CASH WINDOW</t>
  </si>
  <si>
    <t xml:space="preserve">A-G-E8</t>
  </si>
  <si>
    <t xml:space="preserve">108 OFFICE 4 CB / 116 CASH WINDOW</t>
  </si>
  <si>
    <t xml:space="preserve">G  #A-G-W3  -  102 ATM ROOM / 109 OFFICE 5 CB</t>
  </si>
  <si>
    <t xml:space="preserve">A-G-W3</t>
  </si>
  <si>
    <t xml:space="preserve">102 ATM ROOM / 109 OFFICE 5 CB</t>
  </si>
  <si>
    <t xml:space="preserve">G  #A-G-W4  -  109 OFFICE 5 CB / 110 OFFICE 6 CB</t>
  </si>
  <si>
    <t xml:space="preserve">A-G-W4</t>
  </si>
  <si>
    <t xml:space="preserve">109 OFFICE 5 CB / 110 OFFICE 6 CB</t>
  </si>
  <si>
    <t xml:space="preserve">G  #A-G-W5  -  110 OFFICE 6 CB / 114 WOMEN'S RESTROOM</t>
  </si>
  <si>
    <t xml:space="preserve">A-G-W5</t>
  </si>
  <si>
    <t xml:space="preserve">110 OFFICE 6 CB / 114 WOMEN'S RESTROOM</t>
  </si>
  <si>
    <t xml:space="preserve">TYPE G1</t>
  </si>
  <si>
    <t xml:space="preserve">G1  #A-G-E5  -  105 OFFICE 1 ME / 106 OFFICE 2 CL</t>
  </si>
  <si>
    <t xml:space="preserve">A-G-E5</t>
  </si>
  <si>
    <t xml:space="preserve">105 OFFICE 1 ME / 106 OFFICE 2 CL</t>
  </si>
  <si>
    <t xml:space="preserve">G1  #A-G-W1  -  109 OFFICE 5 CB / 110 OFFICE 6 CB / 103 CENTRAL ZONE / office front jamb (vendor frame DFC-1A)</t>
  </si>
  <si>
    <t xml:space="preserve">A-G-W1</t>
  </si>
  <si>
    <t xml:space="preserve">109 OFFICE 5 CB / 110 OFFICE 6 CB / 103 CENTRAL ZONE / office front jamb (vendor frame DFC-1A)</t>
  </si>
  <si>
    <t xml:space="preserve">G1  #A-G-W2  -  110 OFFICE 6 CB / 103 CENTRAL ZONE / office front jamb (vendor frame DFC-1A)</t>
  </si>
  <si>
    <t xml:space="preserve">A-G-W2</t>
  </si>
  <si>
    <t xml:space="preserve">110 OFFICE 6 CB / 103 CENTRAL ZONE / office front jamb (vendor frame DFC-1A)</t>
  </si>
  <si>
    <t xml:space="preserve">TYPE BULKHEAD-G</t>
  </si>
  <si>
    <t xml:space="preserve">BULKHEAD-G  #A-G-BH-E1+A-G-BH-E2+A-G-BH-E3+A-G-BH-E4  -  103 CENTRAL ZONE / 105 OFFICE 1 ME / bulkhead bottom (soffit over the opening) + 103 CENTRAL ZONE / 106 OFFICE 2 CL / bulkhead bottom (soffit over the opening) + 103 CENTRAL ZONE / 107 OFFICE 3 SB / bulkhead bottom (soffit over the opening) + 103 CENTRAL ZONE / 108 OFFICE 4 CB / bulkhead bottom (soffit over the opening)</t>
  </si>
  <si>
    <t xml:space="preserve">A-G-BH-E1+A-G-BH-E2+A-G-BH-E3+A-G-BH-E4</t>
  </si>
  <si>
    <t xml:space="preserve">103 CENTRAL ZONE / 105 OFFICE 1 ME / bulkhead bottom (soffit over the opening) + 103 CENTRAL ZONE / 106 OFFICE 2 CL / bulkhead bottom (soffit over the opening) + 103 CENTRAL ZONE / 107 OFFICE 3 SB / bulkhead bottom (soffit over the opening) + 103 CENTRAL ZONE / 108 OFFICE 4 CB / bulkhead bottom (soffit over the opening)</t>
  </si>
  <si>
    <t xml:space="preserve">9/A12.01</t>
  </si>
  <si>
    <t xml:space="preserve">BULKHEAD-G  #A-G-BH-W1+A-G-BH-W2  -  109 OFFICE 5 CB / 103 CENTRAL ZONE / bulkhead bottom (soffit over the opening) + 110 OFFICE 6 CB / 103 CENTRAL ZONE / bulkhead bottom (soffit over the opening)</t>
  </si>
  <si>
    <t xml:space="preserve">A-G-BH-W1+A-G-BH-W2</t>
  </si>
  <si>
    <t xml:space="preserve">109 OFFICE 5 CB / 103 CENTRAL ZONE / bulkhead bottom (soffit over the opening) + 110 OFFICE 6 CB / 103 CENTRAL ZONE / bulkhead bottom (soffit over the opening)</t>
  </si>
  <si>
    <t xml:space="preserve">TOTAL - PARTITIONS</t>
  </si>
  <si>
    <t xml:space="preserve">TYPE OTHER FRAMING (NOT A PARTITION)</t>
  </si>
  <si>
    <t xml:space="preserve">fascia_box  #A-CL-FAS-N  -  A-CL-FAS-N</t>
  </si>
  <si>
    <t xml:space="preserve">A-CL-FAS-N</t>
  </si>
  <si>
    <t xml:space="preserve">3/A09.26</t>
  </si>
  <si>
    <t xml:space="preserve">fascia_box  #A-CL-FAS-W  -  A-CL-FAS-W</t>
  </si>
  <si>
    <t xml:space="preserve">A-CL-FAS-W</t>
  </si>
  <si>
    <t xml:space="preserve">16/A09.27</t>
  </si>
  <si>
    <t xml:space="preserve">fascia_box  #A-CL-FAS-WS  -  A-CL-FAS-WS</t>
  </si>
  <si>
    <t xml:space="preserve">A-CL-FAS-WS</t>
  </si>
  <si>
    <t xml:space="preserve">fascia_box  #A-CL-FAS-E  -  A-CL-FAS-E</t>
  </si>
  <si>
    <t xml:space="preserve">A-CL-FAS-E</t>
  </si>
  <si>
    <t xml:space="preserve">7/A09.26</t>
  </si>
  <si>
    <t xml:space="preserve">fascia_box  #A-CL-FAS-ES  -  A-CL-FAS-ES</t>
  </si>
  <si>
    <t xml:space="preserve">A-CL-FAS-ES</t>
  </si>
  <si>
    <t xml:space="preserve">fascia_box  #A-CL-FAS-S  -  A-CL-FAS-S</t>
  </si>
  <si>
    <t xml:space="preserve">A-CL-FAS-S</t>
  </si>
  <si>
    <t xml:space="preserve">fascia_box  #A-CL-FAS-SW  -  A-CL-FAS-SW</t>
  </si>
  <si>
    <t xml:space="preserve">A-CL-FAS-SW</t>
  </si>
  <si>
    <t xml:space="preserve">fascia_box  #A-CL-FAS-SE  -  A-CL-FAS-SE</t>
  </si>
  <si>
    <t xml:space="preserve">A-CL-FAS-SE</t>
  </si>
  <si>
    <t xml:space="preserve">ceiling_transition  #A-CL-T01  -  103 CENTRAL ZONE / 104 WAITING / transition bottom closure (between faces A and B)</t>
  </si>
  <si>
    <t xml:space="preserve">A-CL-T01</t>
  </si>
  <si>
    <t xml:space="preserve">103 CENTRAL ZONE / 104 WAITING / transition bottom closure (between faces A and B)</t>
  </si>
  <si>
    <t xml:space="preserve">7/A09.33</t>
  </si>
  <si>
    <t xml:space="preserve">ceiling_transition  #A-CL-T02  -  103 CENTRAL ZONE / 104 WAITING / transition bottom closure (between faces A and B)</t>
  </si>
  <si>
    <t xml:space="preserve">A-CL-T02</t>
  </si>
  <si>
    <t xml:space="preserve">ceiling_transition  #A-CL-T03  -  104 WAITING / 103 CENTRAL ZONE / transition bottom closure (between faces A and B)</t>
  </si>
  <si>
    <t xml:space="preserve">A-CL-T03</t>
  </si>
  <si>
    <t xml:space="preserve">104 WAITING / 103 CENTRAL ZONE / transition bottom closure (between faces A and B)</t>
  </si>
  <si>
    <t xml:space="preserve">ceiling_transition  #A-CL-T04  -  103 CENTRAL ZONE (11'-6" field) / 103 CENTRAL ZONE teller line area (9'-0") / transition bottom closure (between faces A and B)</t>
  </si>
  <si>
    <t xml:space="preserve">A-CL-T04</t>
  </si>
  <si>
    <t xml:space="preserve">103 CENTRAL ZONE (11'-6" field) / 103 CENTRAL ZONE teller line area (9'-0") / transition bottom closure (between faces A and B)</t>
  </si>
  <si>
    <t xml:space="preserve">soffit_side  #A-CL-SS-WN  -  103 CENTRAL ZONE (teller line, ACT-4 9'-0")</t>
  </si>
  <si>
    <t xml:space="preserve">A-CL-SS-WN</t>
  </si>
  <si>
    <t xml:space="preserve">103 CENTRAL ZONE (teller line, ACT-4 9'-0")</t>
  </si>
  <si>
    <t xml:space="preserve">10/A09.33</t>
  </si>
  <si>
    <t xml:space="preserve">soffit_side  #A-CL-SS-WS  -  103 CENTRAL ZONE (teller line, ACT-4 9'-0")</t>
  </si>
  <si>
    <t xml:space="preserve">A-CL-SS-WS</t>
  </si>
  <si>
    <t xml:space="preserve">soffit_side  #A-CL-SS-EN  -  116 CASH WINDOW (ACT-4 9'-0")</t>
  </si>
  <si>
    <t xml:space="preserve">A-CL-SS-EN</t>
  </si>
  <si>
    <t xml:space="preserve">116 CASH WINDOW (ACT-4 9'-0")</t>
  </si>
  <si>
    <t xml:space="preserve">soffit_side  #A-CL-SS-ES  -  116 CASH WINDOW (ACT-4 9'-0")</t>
  </si>
  <si>
    <t xml:space="preserve">A-CL-SS-ES</t>
  </si>
  <si>
    <t xml:space="preserve">storefront_cripples  #A-EXT-SFC-100  -  100 VESTIBULE</t>
  </si>
  <si>
    <t xml:space="preserve">A-EXT-SFC-100</t>
  </si>
  <si>
    <t xml:space="preserve">2/A09.26</t>
  </si>
  <si>
    <t xml:space="preserve">storefront_cripples  #A-EXT-SFC-CZ  -  103 CENTRAL ZONE</t>
  </si>
  <si>
    <t xml:space="preserve">A-EXT-SFC-CZ</t>
  </si>
  <si>
    <t xml:space="preserve">103 CENTRAL ZONE</t>
  </si>
  <si>
    <t xml:space="preserve">storefront_cripples  #A-EXT-SFC-AF2W  -  100 VESTIBULE</t>
  </si>
  <si>
    <t xml:space="preserve">A-EXT-SFC-AF2W</t>
  </si>
  <si>
    <t xml:space="preserve">vestibule_head  #VH-101  -  VH-101</t>
  </si>
  <si>
    <t xml:space="preserve">VH-101</t>
  </si>
  <si>
    <t xml:space="preserve">4/A12.10</t>
  </si>
  <si>
    <t xml:space="preserve">vestibule_head  #VH-100A  -  103 CENTRAL ZONE</t>
  </si>
  <si>
    <t xml:space="preserve">VH-100A</t>
  </si>
  <si>
    <t xml:space="preserve">roof_step  #A-EXT-RS-1  -  A-EXT-RS-1</t>
  </si>
  <si>
    <t xml:space="preserve">A-EXT-RS-1</t>
  </si>
  <si>
    <t xml:space="preserve">4/A02.02</t>
  </si>
  <si>
    <t xml:space="preserve">roof_step  #A-EXT-RS-2  -  LOW ROOF side of grid B step (above ceilings) / ROOF STEP BOTTOM (grid B, gyp closing the bottom)</t>
  </si>
  <si>
    <t xml:space="preserve">A-EXT-RS-2</t>
  </si>
  <si>
    <t xml:space="preserve">LOW ROOF side of grid B step (above ceilings) / ROOF STEP BOTTOM (grid B, gyp closing the bottom)</t>
  </si>
  <si>
    <t xml:space="preserve">roof_step  #A-EXT-RS-3  -  HIGH ROOF side of grid B step (above ceilings)</t>
  </si>
  <si>
    <t xml:space="preserve">A-EXT-RS-3</t>
  </si>
  <si>
    <t xml:space="preserve">HIGH ROOF side of grid B step (above ceilings)</t>
  </si>
  <si>
    <t xml:space="preserve">grille_head  #A-GH-103  -  101 24 HR VESTIBULE / 103 CENTRAL ZONE / grille 103 head soffit (underside)</t>
  </si>
  <si>
    <t xml:space="preserve">A-GH-103</t>
  </si>
  <si>
    <t xml:space="preserve">2-1/2"</t>
  </si>
  <si>
    <t xml:space="preserve">101 24 HR VESTIBULE / 103 CENTRAL ZONE / grille 103 head soffit (underside)</t>
  </si>
  <si>
    <t xml:space="preserve">4/A08.21</t>
  </si>
  <si>
    <t xml:space="preserve">alcove  #A-A1-U01a+A-A1-U01b+A-A1-U01c  -  114 WOMEN'S RESTROOM / PIPE CHASE between 113 and 114 (cavity, no board) / 113 MEN'S RESTROOM / 111 CORRIDOR (drinking fountain alcove, 30"x54") + 114 WOMEN'S RESTROOM / 111 CORRIDOR (alcove) + 111 CORRIDOR (alcove) / 113 MEN'S RESTROOM</t>
  </si>
  <si>
    <t xml:space="preserve">A-A1-U01a+A-A1-U01b+A-A1-U01c</t>
  </si>
  <si>
    <t xml:space="preserve">114 WOMEN'S RESTROOM / PIPE CHASE between 113 and 114 (cavity, no board) / 113 MEN'S RESTROOM / 111 CORRIDOR (drinking fountain alcove, 30"x54") + 114 WOMEN'S RESTROOM / 111 CORRIDOR (alcove) + 111 CORRIDOR (alcove) / 113 MEN'S RESTROOM</t>
  </si>
  <si>
    <t xml:space="preserve">MATERIAL SUMMARY - NET / WASTE / PURCHASE</t>
  </si>
  <si>
    <t xml:space="preserve">Waste lives HERE, in its own column, applied ONCE: Pieces = ROUNDUP(Net x (1 + waste) / stock). Every stock length, coverage and yield is an Inputs cell.</t>
  </si>
  <si>
    <t xml:space="preserve">Material</t>
  </si>
  <si>
    <t xml:space="preserve">Unit</t>
  </si>
  <si>
    <t xml:space="preserve">Net</t>
  </si>
  <si>
    <t xml:space="preserve">Waste %</t>
  </si>
  <si>
    <t xml:space="preserve">Waste</t>
  </si>
  <si>
    <t xml:space="preserve">Purchase</t>
  </si>
  <si>
    <t xml:space="preserve">Selling unit</t>
  </si>
  <si>
    <t xml:space="preserve">Pieces to buy</t>
  </si>
  <si>
    <t xml:space="preserve">Where it comes from</t>
  </si>
  <si>
    <t xml:space="preserve">Yield check (live formula)</t>
  </si>
  <si>
    <t xml:space="preserve">6" metal stud (LF of material)</t>
  </si>
  <si>
    <t xml:space="preserve">LF</t>
  </si>
  <si>
    <t xml:space="preserve">stick 20 ft</t>
  </si>
  <si>
    <t xml:space="preserve">familias_out.json '6" stud (all gauges)'; 1/A09.25; 2/A09.25</t>
  </si>
  <si>
    <t xml:space="preserve">3-5/8" metal stud (LF of material)</t>
  </si>
  <si>
    <t xml:space="preserve">familias_out.json '3-5/8" stud (all gauges)'; 1/A09.25; 2/A09.25; 6/A12.01; 5/A09.25</t>
  </si>
  <si>
    <t xml:space="preserve">1-5/8" metal stud (LF of material)</t>
  </si>
  <si>
    <t xml:space="preserve">familias_out.json '1-5/8" stud'</t>
  </si>
  <si>
    <t xml:space="preserve">6" parapet infill stud (LF of material)</t>
  </si>
  <si>
    <t xml:space="preserve">familias_out.json '6" parapet stud'; 11/S5.10</t>
  </si>
  <si>
    <t xml:space="preserve">Track, ceilings / soffits / canopy</t>
  </si>
  <si>
    <t xml:space="preserve">run 10 ft</t>
  </si>
  <si>
    <t xml:space="preserve">familias_out.json 'ceiling / soffit track'</t>
  </si>
  <si>
    <t xml:space="preserve">Bracing 1-1/2" C.R. channel @ 48" O.C.</t>
  </si>
  <si>
    <t xml:space="preserve">C.R. channel 16 ft</t>
  </si>
  <si>
    <t xml:space="preserve">familias_out.json 'bracing C.R. channel'</t>
  </si>
  <si>
    <t xml:space="preserve">Purlin, top track to deck</t>
  </si>
  <si>
    <t xml:space="preserve">familias_out.json 'purlin (track to deck)'</t>
  </si>
  <si>
    <t xml:space="preserve">Header / metal stud box beam</t>
  </si>
  <si>
    <t xml:space="preserve">familias_out.json 'header / box beam'</t>
  </si>
  <si>
    <t xml:space="preserve">Sill track</t>
  </si>
  <si>
    <t xml:space="preserve">familias_out.json 'sill track'</t>
  </si>
  <si>
    <t xml:space="preserve">Furring channel (ceilings)</t>
  </si>
  <si>
    <t xml:space="preserve">hat channel 12 ft</t>
  </si>
  <si>
    <t xml:space="preserve">familias_out.json 'furring channel'</t>
  </si>
  <si>
    <t xml:space="preserve">Carrying channel (ceilings)</t>
  </si>
  <si>
    <t xml:space="preserve">familias_out.json 'carrying channel'</t>
  </si>
  <si>
    <t xml:space="preserve">Hanger wire</t>
  </si>
  <si>
    <t xml:space="preserve">familias_out.json 'hanger wire'</t>
  </si>
  <si>
    <t xml:space="preserve">5/8" gypsum board, regular</t>
  </si>
  <si>
    <t xml:space="preserve">SF</t>
  </si>
  <si>
    <t xml:space="preserve">4x12 sheet</t>
  </si>
  <si>
    <t xml:space="preserve">familias_out.json '5/8" gyp board regular (walls + ceilings)'</t>
  </si>
  <si>
    <t xml:space="preserve">5/8" gypsum board, MOISTURE RESISTANT</t>
  </si>
  <si>
    <t xml:space="preserve">familias_out.json '5/8" gyp MOISTURE RESISTANT'</t>
  </si>
  <si>
    <t xml:space="preserve">Ballistic panel 3/8" UL752</t>
  </si>
  <si>
    <t xml:space="preserve">familias_out.json 'ballistic panel'</t>
  </si>
  <si>
    <t xml:space="preserve">3/8" gypsum board</t>
  </si>
  <si>
    <t xml:space="preserve">familias_out.json '3/8" gyp board'</t>
  </si>
  <si>
    <t xml:space="preserve">5/8" glass mat sheathing (exterior face of the stud)</t>
  </si>
  <si>
    <t xml:space="preserve">familias_out.json '5/8" glass mat sheathing'</t>
  </si>
  <si>
    <t xml:space="preserve">5/8" EXTERIOR gypsum sheathing</t>
  </si>
  <si>
    <t xml:space="preserve">familias_out.json '5/8" EXTERIOR gyp sheathing'</t>
  </si>
  <si>
    <t xml:space="preserve">Blocking FRT / 2X FRT wood</t>
  </si>
  <si>
    <t xml:space="preserve">familias_out.json 'FRT blocking'; 13/A12.02; 9/A12.02; D/A08.01; 3/A09.30</t>
  </si>
  <si>
    <t xml:space="preserve">Stud blocking at edge of gypboard (structural detail)</t>
  </si>
  <si>
    <t xml:space="preserve">familias_out.json metal_blocking_by_origin 'metal stud blocking (362CR / STUD BLOCKING)' (edge)</t>
  </si>
  <si>
    <t xml:space="preserve">Metal stud blocking at wall-mounted items (notes)</t>
  </si>
  <si>
    <t xml:space="preserve">familias_out.json metal_blocking_by_origin 'metal stud blocking (362CR / STUD BLOCKING)' (items)</t>
  </si>
  <si>
    <t xml:space="preserve">METAL trim - corner bead, casing bead, shadow molding, gypsum edge trim</t>
  </si>
  <si>
    <t xml:space="preserve">trim stick 10 ft</t>
  </si>
  <si>
    <t xml:space="preserve">familias_out.json 'metal trim (corner bead, casing, shadow molding)'; 9/A12.08; 10/A09.33; 4/A08.21; 9/A12.01</t>
  </si>
  <si>
    <t xml:space="preserve">Cement board (substrate under the FRP cove base band)</t>
  </si>
  <si>
    <t xml:space="preserve">4x8 sheet</t>
  </si>
  <si>
    <t xml:space="preserve">familias_out.json 'cement board'; D/A08.01; 1/A08.01</t>
  </si>
  <si>
    <t xml:space="preserve">FRP panels</t>
  </si>
  <si>
    <t xml:space="preserve">familias_out.json 'FRP'; D/A08.01</t>
  </si>
  <si>
    <t xml:space="preserve">Framed openings - MEP, light slots and diffusers</t>
  </si>
  <si>
    <t xml:space="preserve">framed_openings_out.json 'framed openings MEP'; 4/A09.33; 5/A09.33; M01.01</t>
  </si>
  <si>
    <t xml:space="preserve">Bottom track 3-5/8"</t>
  </si>
  <si>
    <t xml:space="preserve">familias_out.json track_by_element 'bottom track (all)' (R73.3)</t>
  </si>
  <si>
    <t xml:space="preserve">Bottom track 6"</t>
  </si>
  <si>
    <t xml:space="preserve">Bottom track - other framing (not a partition type, see source)</t>
  </si>
  <si>
    <t xml:space="preserve">Bottom track - roof step and heads (vestibule / bulkhead)</t>
  </si>
  <si>
    <t xml:space="preserve">Parapet bottom track</t>
  </si>
  <si>
    <t xml:space="preserve">Bottom track 1-5/8"</t>
  </si>
  <si>
    <t xml:space="preserve">Top / deflection track 3-5/8"</t>
  </si>
  <si>
    <t xml:space="preserve">familias_out.json track_by_element 'top / deflection track (all)' (R73.3)</t>
  </si>
  <si>
    <t xml:space="preserve">Top / deflection track 6"</t>
  </si>
  <si>
    <t xml:space="preserve">Top / deflection track - other framing (not a partition type, see source)</t>
  </si>
  <si>
    <t xml:space="preserve">Top track - roof step and heads (vestibule / bulkhead)</t>
  </si>
  <si>
    <t xml:space="preserve">Parapet top track</t>
  </si>
  <si>
    <t xml:space="preserve">Top / deflection track 1-5/8"</t>
  </si>
  <si>
    <t xml:space="preserve">3-5/8" stud, framed soffit 9/A12.08 (LF)</t>
  </si>
  <si>
    <t xml:space="preserve">familias_out.json stud_by_element '3-5/8" stud (all gauges)' (v76)</t>
  </si>
  <si>
    <t xml:space="preserve">Blocking 2X wood (not labeled FRT)</t>
  </si>
  <si>
    <t xml:space="preserve">familias_out.json wood_blocking_lf 'FRT blocking' (v76)</t>
  </si>
  <si>
    <t xml:space="preserve">5/8" FRT plywood sheathing (canopy and soffits)</t>
  </si>
  <si>
    <t xml:space="preserve">4x12 ft sheet (Inputs)</t>
  </si>
  <si>
    <t xml:space="preserve">familias_out.json FRT plywood by material; 3/A11.03; 4/A11.03; 2/A11.03; 5/A11.03</t>
  </si>
  <si>
    <t xml:space="preserve">Exterior sheathing 5/8" FRT plywood bonded to 2-1/2" polyiso</t>
  </si>
  <si>
    <t xml:space="preserve">FRT plywood substrate (3/4 in.)</t>
  </si>
  <si>
    <t xml:space="preserve">3/4" FRT plywood at storefront piers</t>
  </si>
  <si>
    <t xml:space="preserve">5/8" FRT plywood at canopy column wraps</t>
  </si>
  <si>
    <t xml:space="preserve">Sealant at base of gypsum (exterior, not acoustical)</t>
  </si>
  <si>
    <t xml:space="preserve">tube (25 LF per tube)</t>
  </si>
  <si>
    <t xml:space="preserve">familias_out.json sealant_exterior_lf 'base of gypsum (exterior)'</t>
  </si>
  <si>
    <t xml:space="preserve">Hanger wire 12 ga - hanger count (one per hanger, height per room)</t>
  </si>
  <si>
    <t xml:space="preserve">PCS</t>
  </si>
  <si>
    <t xml:space="preserve">familias_out.json hanger_pcs.total_pcs; wire bought on the LF row</t>
  </si>
  <si>
    <t xml:space="preserve">Additional head track at openings over 4'-0" wide</t>
  </si>
  <si>
    <t xml:space="preserve">accesorios.py [CRITERION]: HEAD TRACK @ NON LOAD BRG: ADD FULL LENGTH ADDL HEAD TRACK @ OPNG &gt; 4'-0"; Estimator user decision #1: R.O. + 1'-4" (8" bearing each side)</t>
  </si>
  <si>
    <t xml:space="preserve">Stud reinforcement at MEP penetrations</t>
  </si>
  <si>
    <t xml:space="preserve">each</t>
  </si>
  <si>
    <t xml:space="preserve">accesorios.py [CRITERION]: 6/S5.20; M01.01; A02.01; 6/S5.20; 6/S5.20; M01.01</t>
  </si>
  <si>
    <t xml:space="preserve">Extra framing - ATM recess (0: the recess framing is in the wall that contains it)</t>
  </si>
  <si>
    <t xml:space="preserve">accesorios.py [DERIVED]: 4/A08.11; 12/A12.01; 6/A08.11; J/A09.23</t>
  </si>
  <si>
    <t xml:space="preserve">2-1/2" CFMF @ 16" O.C. at coiling grille head (4/A08.21)</t>
  </si>
  <si>
    <t xml:space="preserve">accesorios.py [DERIVED]: 4/A08.21 (boxes 52.8-53.0 pt = 6" at 108 pt/ft; studs between boxes 102.3 pt = 11.37")</t>
  </si>
  <si>
    <t xml:space="preserve">Gypsum board jamb return at openings</t>
  </si>
  <si>
    <t xml:space="preserve">accesorios.py [CRITERION]: Estimator criterion (return width = 6" stud depth, not dimensioned; RFI with delta at 0.20 ft)</t>
  </si>
  <si>
    <t xml:space="preserve">PVC trim - edge trim molding and inside corner molding at the FRP</t>
  </si>
  <si>
    <t xml:space="preserve">accesorios.py [DERIVED]: A-D/A08.01 '5'-0" TO TOP OF FRP' (WC-3 wall covering above the 6" CT-12C base); A02.01 vector polygon (6 vertices: 5 inside + 1 outside at the alcove corner); A05.01 key note 6 'FRP FROM FLOOR TO 4'-0" AFF, WIDTH TO MATCH WIDTH OF MOP SINK </t>
  </si>
  <si>
    <t xml:space="preserve">Power-driven fasteners and duct sleeves</t>
  </si>
  <si>
    <t xml:space="preserve">accesorios.py [DERIVED]: 11/S5.10 'PAFs SPACED AT 12" O.C. MAX.'; M01.01; M01.01; A02.01; 6/S5.20</t>
  </si>
  <si>
    <t xml:space="preserve">Access panel 2' x 2'</t>
  </si>
  <si>
    <t xml:space="preserve">accesorios.py [CONFIRMED]: A04.01 key note 4</t>
  </si>
  <si>
    <t xml:space="preserve">Drywall screws 1-1/4" bugle head</t>
  </si>
  <si>
    <t xml:space="preserve">accesorios.py [DERIVED]: Inputs!B20 (Drywall screws per SF of board = 1.2) x 18392.6 SF of board</t>
  </si>
  <si>
    <t xml:space="preserve">Framing screws, pan head self-drilling</t>
  </si>
  <si>
    <t xml:space="preserve">accesorios.py [DERIVED]: Inputs!B21 (Framing screws per stud piece = 4) x 1757 stud pieces</t>
  </si>
  <si>
    <t xml:space="preserve">Power-driven fasteners, slab pins for the bottom track</t>
  </si>
  <si>
    <t xml:space="preserve">accesorios.py [DERIVED]: 531.51 LF of interior bottom track on slab / Inputs!B22 (Power-driven pin spacing (ft) = 1)</t>
  </si>
  <si>
    <t xml:space="preserve">Expansion anchors Hilti 1/4" Kwik Bolt II, exterior bottom track @ 8" O.C.</t>
  </si>
  <si>
    <t xml:space="preserve">accesorios.py [DERIVED]: 215.22 LF of exterior bottom track on slab / Inputs!B25 (Expansion anchor spacing (ft) = 0.6667)</t>
  </si>
  <si>
    <t xml:space="preserve">Joint compound, all purpose</t>
  </si>
  <si>
    <t xml:space="preserve">LB</t>
  </si>
  <si>
    <t xml:space="preserve">lb</t>
  </si>
  <si>
    <t xml:space="preserve">accesorios.py [DERIVED]: Inputs!B23 (Joint compound (lb per SF) = 0.072) x 18392.6 SF of board</t>
  </si>
  <si>
    <t xml:space="preserve">Joint tape, paper</t>
  </si>
  <si>
    <t xml:space="preserve">accesorios.py [DERIVED]: Inputs!B24 (Joint tape (LF per SF) = 0.37) x 18392.6 SF of board</t>
  </si>
  <si>
    <t xml:space="preserve">Level 5 finish</t>
  </si>
  <si>
    <t xml:space="preserve">accesorios.py [DERIVED]: A00.40; A05.01; 1/A11.04; A00.40; A05.01; 6/A11.01; A00.40; A05.01; 5/A11.04; A00.40; A05.01; 11/A11.04; A00.40; A05.01; 14/A11.04; A00.40; A05.01; 10/A11.03; A00.40; A05.01; 1/A11.01</t>
  </si>
  <si>
    <t xml:space="preserve">Deflection clips at non-load-bearing walls to structure</t>
  </si>
  <si>
    <t xml:space="preserve">accesorios.py [CRITERION]: S1.11 LIGHT GAUGE STEEL FRAMING note 2 'PROVIDE MANUFACTURER'S STANDARD VERTICAL DEFLECTION CLIPS AT NON-LOAD-BEARING WALLS ... MAX. 1 INCH'; 1/A12.01, 3/A12.01, 4/A12.01 'CONTINUOUS SLIP TRACK' (types B/B2, A1/A5, A1K/A5K); 2/A12.01 A6/A8 </t>
  </si>
  <si>
    <t xml:space="preserve">RFI</t>
  </si>
  <si>
    <t xml:space="preserve">Question / condition</t>
  </si>
  <si>
    <t xml:space="preserve">Delta of each alternative</t>
  </si>
  <si>
    <t xml:space="preserve">RFI-ACC-additional-head-track</t>
  </si>
  <si>
    <t xml:space="preserve">additional head track: openings with their own box (openings_extra) &gt; 4'-0": do they also take the additional head track of 2/S5.20?</t>
  </si>
  <si>
    <t xml:space="preserve">100.54 lf</t>
  </si>
  <si>
    <t xml:space="preserve">RFI-ACC-stud-reinforcement-mep</t>
  </si>
  <si>
    <t xml:space="preserve">stud reinforcement MEP: plates at double-row stud walls: one per cut row (R72.9) vs one per crossing</t>
  </si>
  <si>
    <t xml:space="preserve">-9 pcs</t>
  </si>
  <si>
    <t xml:space="preserve">RFI-ACC-stud-reinforcement-mep-2</t>
  </si>
  <si>
    <t xml:space="preserve">stud reinforcement MEP: crossings read by hand (not found by mep.cruces): confirm each one on the M / P sheets (R73.5)</t>
  </si>
  <si>
    <t xml:space="preserve">9 pcs</t>
  </si>
  <si>
    <t xml:space="preserve">RFI-ACC-stud-reinforcement-mep-3</t>
  </si>
  <si>
    <t xml:space="preserve">stud reinforcement MEP: duct / fire damper openings listed outside the registered MEP sweep (R73.5)</t>
  </si>
  <si>
    <t xml:space="preserve">6 pcs</t>
  </si>
  <si>
    <t xml:space="preserve">RFI-ACC-extra-framing-atm</t>
  </si>
  <si>
    <t xml:space="preserve">extra framing ATM: NHA 9D TTW DU ATM: extra framing printed at the recess (U1)</t>
  </si>
  <si>
    <t xml:space="preserve">12 lf</t>
  </si>
  <si>
    <t xml:space="preserve">RFI-ACC-gypsum-board-jamb-return</t>
  </si>
  <si>
    <t xml:space="preserve">gypsum board jamb return: jamb return width not dimensioned</t>
  </si>
  <si>
    <t xml:space="preserve">-36.52 sf</t>
  </si>
  <si>
    <t xml:space="preserve">RFI-ACC-slab-pins</t>
  </si>
  <si>
    <t xml:space="preserve">slab pins: pin spacing: 12" (interior anchorage) vs 16" (fastener schedule) vs 24" (type K box)</t>
  </si>
  <si>
    <t xml:space="preserve">16in: -132.88 pcs; 24in: -265.76 pcs</t>
  </si>
  <si>
    <t xml:space="preserve">RFI-ACC-deflection-clips</t>
  </si>
  <si>
    <t xml:space="preserve">deflection clips: deflection clips: the general note asks for them at non-load-bearing walls and the partition details draw a slip / deflection track (R73.6)</t>
  </si>
  <si>
    <t xml:space="preserve">696 pcs</t>
  </si>
  <si>
    <t xml:space="preserve">RFI-ACC-stud-reinforcement-mep-4</t>
  </si>
  <si>
    <t xml:space="preserve">stud reinforcement MEP: Pipes on P01.01 / P01.02 crossing stud walls (storm / overflow routed tight to structure, P01.01 note 1): mep.py registro gives 1 / 3 votes on the P sheets, so no geometric crossing is claimed; hand check with the grid-bubble offset finds about 6 pipe crossings (2"-3" ST/OD at G1 105/106, office 2/3 front, east exterior wall x3, north exterior)</t>
  </si>
  <si>
    <t xml:space="preserve">+6 plates (pipes &gt; 1 in., 6/S5.20) if pipe penetrations are reinforced</t>
  </si>
  <si>
    <t xml:space="preserve">RFI-ACC-stud-reinforcement-mep-5</t>
  </si>
  <si>
    <t xml:space="preserve">stud reinforcement MEP: 6 duct crossings read by hand (A-AC-MEP-M1..M6: G1 105/106 west end, vestibule heads 101 / 100A, office front bulkheads 109 / 106, A1 over door 114) are not mep.cruces output</t>
  </si>
  <si>
    <t xml:space="preserve">+6 plates (1 per crossing, 8" / 14" ducts at 16" O.C.; x2 where the wall is a G / G1 double row)</t>
  </si>
  <si>
    <t xml:space="preserve">RFI-ACC-access-panel</t>
  </si>
  <si>
    <t xml:space="preserve">access panel: M00.01 general note 16 asks for access panels at all dampers / equipment above ceilings; only key note 4 (VESTIBULE 100) is drawn; no damper or unit found above the other GB ceilings (101, 104, 113, 114)</t>
  </si>
  <si>
    <t xml:space="preserve">+1 panel per damper found above a GB ceiling at coordination (0 found)</t>
  </si>
  <si>
    <t xml:space="preserve">RFI-ACC-slab-pins-2</t>
  </si>
  <si>
    <t xml:space="preserve">slab pins: Interior bottom track: 7/S5.20 HILTI DNI 32 P8 @ 12" O.C. vs 3/S5.20 runner track 0.157" PAF @ 16" O.C.; closest spacing (12") carried</t>
  </si>
  <si>
    <t xml:space="preserve">-25 % slab pins if 16" O.C. is used</t>
  </si>
  <si>
    <t xml:space="preserve">RFI-ACC-level-5-finish</t>
  </si>
  <si>
    <t xml:space="preserve">Level 5 finish: A05.01 key note 9 asks Level 5 for wallcovering WC-20, but no WC-20 tag appears on A05.01 / interior elevations and A00.40 has no WC-20 row</t>
  </si>
  <si>
    <t xml:space="preserve">+L x (h - base) of any wall that receives WC-20 (none found)</t>
  </si>
  <si>
    <t xml:space="preserve">RFI-A-AC-RFI-01-blocking-rows-millwork-loc</t>
  </si>
  <si>
    <t xml:space="preserve">A-AC-RFI-01 blocking rows (millwork, lockers, boards): Rows of blocking per item are not printed: carried 1 row for counters / base cabinets / boards / lockers, 2 rows for upper cabinets and shelving standards (CRITERION)</t>
  </si>
  <si>
    <t xml:space="preserve">lockers +4.86 LF, boards +12.0 LF, millwork base items +28.58 LF if 2 rows everywhere; -60.4 LF if 1 row everywhere</t>
  </si>
  <si>
    <t xml:space="preserve">RFI-A-AC-RFI-02-shelving-blocking-material</t>
  </si>
  <si>
    <t xml:space="preserve">A-AC-RFI-02 shelving blocking material: A12.04 / A12.06 shelving sections say PRESSURE TREATED blocking while sheet note D says FRTW at all millwork mounting locations; FRT carried</t>
  </si>
  <si>
    <t xml:space="preserve">MW05 + MW06A x2 = 20.71 LF move from FRT to pressure-treated wood</t>
  </si>
  <si>
    <t xml:space="preserve">RFI-A-AC-RFI-03-small-accessories-wall-sto</t>
  </si>
  <si>
    <t xml:space="preserve">A-AC-RFI-03 small accessories / wall stops: Toilet accessories and wall stops narrower than the stud bay carried at their contour width (or one 16" bay per wall stop); alternative = one 16" bay piece per item; also light wall items under A02.01 note C (#64 hand sanitizer x4 A03.01, #9 wall clock x1, FEC-2 extinguisher bracket x1, #24 wall phones x3 A11.02 now carried in A-AC-B-PH) carried fastened to studs / anchors without blocking (adversarial BA-09) | Alternatives: carried: contour width / no blocking for light items; one 16" bay piece of metal blocking per item</t>
  </si>
  <si>
    <t xml:space="preserve">toilet accessories at 16" min.: +7.0 LF; wall stops at 0 (fastened to stud): -12.0 LF; light note-C items (BA-09): +12.0 LF metal blocking (9 x 1.333) if one 16" bay each</t>
  </si>
  <si>
    <t xml:space="preserve">RFI-A-AC-RFI-04-office-front-shadow-molding</t>
  </si>
  <si>
    <t xml:space="preserve">A-AC-RFI-04 office front shadow molding: 8 / 9/A12.01 SHADOW MOLDING 'AS SPECIFIED' where ACT meets the bulkhead may be the ACT wall molding (ceiling trade)</t>
  </si>
  <si>
    <t xml:space="preserve">-116.96 LF shadow molding</t>
  </si>
  <si>
    <t xml:space="preserve">RFI-A-AC-RFI-05-ATM-plinths</t>
  </si>
  <si>
    <t xml:space="preserve">A-AC-RFI-05 ATM plinths: 3/A08.11 'FRT PLYWOOD ON FRAMING' (WU plinth top, 2'-8" x 3'-9" = 10.0 SF) has no thickness; 6/A08.11 '(2) LAYERS 3/4" FRT PLYWOOD PLINTH' (DU) has no plan size. Plinth carpentry may be outside the metal frame / drywall scope</t>
  </si>
  <si>
    <t xml:space="preserve">+10.0 SF FRT plywood (WU) + 2 layers x DU ATM footprint (about 4 ft deep in 6/A08.11, width not printed)</t>
  </si>
  <si>
    <t xml:space="preserve">RFI-A-AC-RFI-06-A1K-casing-beads</t>
  </si>
  <si>
    <t xml:space="preserve">A-AC-RFI-06 A1K casing beads: 4/A12.01 asks 'APPROPRIATE METAL TRIM AND CASING BEADS' on the A1K / A5K customer face (3/8" gyp over ballistic at 8'-0"); LF depends on the A1K walls (walls task)</t>
  </si>
  <si>
    <t xml:space="preserve">+1 casing bead x LF of A1K customer faces (horizontal joint at 8'-0")</t>
  </si>
  <si>
    <t xml:space="preserve">RFI-A-AC-RFI-07-backboard-height</t>
  </si>
  <si>
    <t xml:space="preserve">A-AC-RFI-07 backboard height: ELECTRICAL 120 elevations dimension 8'-0" from the floor while key note 6 says INSTALL 6" AFF: 7'-6" carried (R73.14); NER 121 prints 6" + 8'-0"</t>
  </si>
  <si>
    <t xml:space="preserve">+0.5 ft x 25.0 LF = +12.5 SF if a full 8'-0" sheet is used in 120</t>
  </si>
  <si>
    <t xml:space="preserve">RFI-A-AC-RFI-08-DU-ATM-printed-extra-framing</t>
  </si>
  <si>
    <t xml:space="preserve">A-AC-RFI-08 DU ATM printed extra framing: 6/A08.11 prints '2 1/2" METAL STUD SISTERED TO 6" METAL STUD W/ MINERAL WOOL INSULATION' (explicit extra framing in the recess): U1 = 0 in the family, RFI only</t>
  </si>
  <si>
    <t xml:space="preserve">+12.0 LF 2 1/2" stud (2 jambs x 6'-0" plinth to box beam, 6/A08.11)</t>
  </si>
  <si>
    <t xml:space="preserve">A-CL-RFI-01</t>
  </si>
  <si>
    <t xml:space="preserve">Carrying channel direction of suspended GB ceilings not printed (R77.7) | Alternatives: E-W (carried); N-S</t>
  </si>
  <si>
    <t xml:space="preserve">canon.py carrying (polygon rooms: mean chord area/width): 104 WAITING: E-W 153.25 LF vs N-S 180.0 LF; 100 VESTIBULE: E-W 48.67 LF vs N-S 40.69 LF; 101 24 HR VESTIBULE (trapezoid above the type F wall, 150.74 SF): E-W 54.81 LF vs N-S 47.84 LF; 114 WOMEN'S RESTROOM: E-W 34.02 LF vs N-S 25.77 LF; 113 MEN'S RESTROOM: E-W 34.0 LF vs N-S 25.76 LF; total E-W 324.75 LF (carried) vs N-S 320.06 LF = -4.69 LF</t>
  </si>
  <si>
    <t xml:space="preserve">A-CL-RFI-02</t>
  </si>
  <si>
    <t xml:space="preserve">Exterior stud: 7/S5.20 600S137-33 @16" vs S1.11 note 5 600S162-54 @16" (@12" within 6 ft of corners) | Alternatives: 600S162-54 (S1.11, heavier); 600S137-33 (S5.20)</t>
  </si>
  <si>
    <t xml:space="preserve">gauge 54 vs 33 mil + extra studs at 12" O.C. within 6 ft of each building corner</t>
  </si>
  <si>
    <t xml:space="preserve">A-CL-RFI-03</t>
  </si>
  <si>
    <t xml:space="preserve">Type C1 (6/A12.01) furring on block: top of studs / board not shown (break line) | Alternatives: to underside of structure; to ceiling + 6"</t>
  </si>
  <si>
    <t xml:space="preserve">per C1 wall: L x (B.O.D. - (ceiling + 0.5)) SF of board and LF of stud</t>
  </si>
  <si>
    <t xml:space="preserve">A-CL-RFI-04</t>
  </si>
  <si>
    <t xml:space="preserve">Canopy B.O.D. printed '111'-9"' (S2.20 TYP. @ CANOPY) - typo | Alternatives: 11'-9"; as printed</t>
  </si>
  <si>
    <t xml:space="preserve">no interior walls under the canopy deck; affects only canopy framing heights</t>
  </si>
  <si>
    <t xml:space="preserve">A-CL-RFI-05</t>
  </si>
  <si>
    <t xml:space="preserve">Canopy soffit joist direction not labelled (3/A09.26, 7/A09.26, 16/A09.27) | Alternatives: perpendicular to the wall (carried, E13); parallel to the wall between the canopy steel</t>
  </si>
  <si>
    <t xml:space="preserve">WEST drive-up: E-W 43 joists x 18.65 = ~802 LF vs N-S 17 x 49.35 = ~839 LF (+37 LF); N/E/S strips: perpendicular ~ (L/1.333+1) x depth vs parallel ~ (depth/1.333+1) x L</t>
  </si>
  <si>
    <t xml:space="preserve">A-CL-RFI-07</t>
  </si>
  <si>
    <t xml:space="preserve">Waiting 104 island W / E transitions (T02, T03) fall on the roof beam lines W12x14 / W14x30 (vigas_out.json) | Alternatives: vertical studs to deck (carried); vertical studs to beam bottom (B.O.D. - d - ceiling)</t>
  </si>
  <si>
    <t xml:space="preserve">T02/T03: ~ (16.6 ft x 11.9 in + 12.7 ft x 13.8 in) / 12 / 1.333 stud spacing per edge ~ -12.6 LF stud each</t>
  </si>
  <si>
    <t xml:space="preserve">A-CL-RFI-06</t>
  </si>
  <si>
    <t xml:space="preserve">Vertical studs of 7/A09.33 transition: spacing not labelled | Alternatives: 16" O.C. (as 8/A09.33, carried); 48" O.C. (with each kicker)</t>
  </si>
  <si>
    <t xml:space="preserve">T01-T04: (ROUNDUP(L/1.333)+1 - (ROUNDUP(L/4)+1)) x height per transition</t>
  </si>
  <si>
    <t xml:space="preserve">RFI-101</t>
  </si>
  <si>
    <t xml:space="preserve">"METAL STUD FRAMING &amp; BOX HEADER AS NEEDED" (4-7/A12.10) over glass front 101: box header size not printed; carried as 4 pieces x (R.O. + 1'-4") of 3 5/8" metal stud (E11)</t>
  </si>
  <si>
    <t xml:space="preserve">0 LF if no box header is needed vs 67.9165 LF as carried</t>
  </si>
  <si>
    <t xml:space="preserve">RFI-100A</t>
  </si>
  <si>
    <t xml:space="preserve">"METAL STUD FRAMING &amp; BOX HEADER AS NEEDED" (4-7/A12.10) over glass front 100A: box header size not printed; carried as 4 pieces x (R.O. + 1'-4") of 3 5/8" metal stud (E11)</t>
  </si>
  <si>
    <t xml:space="preserve">0 LF if no box header is needed vs 31.0001 LF as carried</t>
  </si>
  <si>
    <t xml:space="preserve">RFI-DFC-1A-front-OFFICES-105-108</t>
  </si>
  <si>
    <t xml:space="preserve">DFC-1A front OFFICES 105-108: CONT. BOX BEAM over the office front taken jamb to jamb across the whole front (R77.2); alternative: one box beam per 7'-6" office front opening</t>
  </si>
  <si>
    <t xml:space="preserve">165.2221 LF carried vs 141.3333 LF per opening (delta 23.8888 LF)</t>
  </si>
  <si>
    <t xml:space="preserve">RFI-DFC-1A-front-OFFICES-109-110</t>
  </si>
  <si>
    <t xml:space="preserve">DFC-1A front OFFICES 109-110: CONT. BOX BEAM over the office front taken jamb to jamb across the whole front (R77.2); alternative: one box beam per 7'-6" office front opening</t>
  </si>
  <si>
    <t xml:space="preserve">79.3557 LF carried vs 70.6667 LF per opening (delta 8.6891 LF)</t>
  </si>
  <si>
    <t xml:space="preserve">RFI-CSR-LINE-12-0-1-4-R-O-HOLD</t>
  </si>
  <si>
    <t xml:space="preserve">CSR LINE 12-0 1/4 R.O. HOLD: no header printed over the 12'-0 1/4" CSR opening; the GB soffit (9/A12.08) spans it</t>
  </si>
  <si>
    <t xml:space="preserve">0 LF carried vs 26.7083 LF if a 2-piece header (2-362CSJ20 class) were required</t>
  </si>
  <si>
    <t xml:space="preserve">RFI-TA-2</t>
  </si>
  <si>
    <t xml:space="preserve">TA-2 recessed accessory: rough-in width not printed in the set (A08.01 / A00.40 -&gt; specifications)</t>
  </si>
  <si>
    <t xml:space="preserve">0 framed openings carried vs 1 framed opening (2 jamb studs + 2 track pieces) per unit if wider than the 14 3/8" stud bay</t>
  </si>
  <si>
    <t xml:space="preserve">RFI-TA-13</t>
  </si>
  <si>
    <t xml:space="preserve">TA-13 recessed accessory: rough-in width not printed in the set (A08.01 / A00.40 -&gt; specifications)</t>
  </si>
  <si>
    <t xml:space="preserve">RFI-TA-14</t>
  </si>
  <si>
    <t xml:space="preserve">TA-14 recessed accessory: rough-in width not printed in the set (A08.01 / A00.40 -&gt; specifications)</t>
  </si>
  <si>
    <t xml:space="preserve">RFI-FEC-1</t>
  </si>
  <si>
    <t xml:space="preserve">FEC-1 recessed accessory: rough-in width not printed in the set (A08.01 / A00.40 -&gt; specifications)</t>
  </si>
  <si>
    <t xml:space="preserve">RFI-100-AF-2-storefronts</t>
  </si>
  <si>
    <t xml:space="preserve">100 / AF-2 storefronts: 2/A09.26 storefront head prints "STEEL HEADER FRAMING" but no lintel appears on S2.10 / S2.20 / S5.x; carried as steel by others (E16). Alternative: metal stud box beam 4 pieces</t>
  </si>
  <si>
    <t xml:space="preserve">0 LF carried vs 197.25 LF of box beam for the three storefronts</t>
  </si>
  <si>
    <t xml:space="preserve">RFI-AF-2-storefront-CENTRAL-ZONE-103-south</t>
  </si>
  <si>
    <t xml:space="preserve">AF-2 storefront CENTRAL ZONE 103 south (grid G / 4-6): no wall section cuts the central zone storefront; head taken SIM 2/A09.26 (same T/GLAZING 8'-6" on 2/A09.01)</t>
  </si>
  <si>
    <t xml:space="preserve">same as storefront steel-header RFI for this opening</t>
  </si>
  <si>
    <t xml:space="preserve">RFI-storefront-jamb-return</t>
  </si>
  <si>
    <t xml:space="preserve">storefront jamb return: storefronts with one jamb at a wall end take jamb_return true from 2/A09.26 ("GYPSUM BOARD JAMB RETURN BEYOND"); accesorios also adds the head edge though 2/A09.26 shows 3/4" FRT plywood (no gypsum) at the head</t>
  </si>
  <si>
    <t xml:space="preserve">head edge 16.375 SF (R.O. x 0.5 ft) may be excluded</t>
  </si>
  <si>
    <t xml:space="preserve">RFI-NHA-9D-TTW-DU-ATM</t>
  </si>
  <si>
    <t xml:space="preserve">NHA 9D TTW DU ATM: R.O. width conflict: 2'-2 1/2" R.O. (7/A08.11 plan) vs 2'-2 1/8" (26.4") R.O. (5/A08.11 elevation); plan value carried</t>
  </si>
  <si>
    <t xml:space="preserve">0.0313 ft x (box beam 4 pcs + sill 1 pc) = 0.16 LF</t>
  </si>
  <si>
    <t xml:space="preserve">RFI-NHA-9D-TTW-DU-ATM-extra-framing</t>
  </si>
  <si>
    <t xml:space="preserve">NHA 9D TTW DU ATM extra framing: 6/A08.11 prints "2 1/2" METAL STUD SISTERED TO 6" METAL STUD W/ MINERAL WOOL INSULATION" at the drive-up ATM; extent not dimensioned (R77.11: extra framing ATM = 0, printed extra -&gt; RFI)</t>
  </si>
  <si>
    <t xml:space="preserve">0 carried vs 2 1/2" studs sistered over the ATM surround height on each jamb (not dimensioned)</t>
  </si>
  <si>
    <t xml:space="preserve">RFI-103</t>
  </si>
  <si>
    <t xml:space="preserve">A00.30 lists height 13'-6 1/2" for grille 103 while 2/A08.21 draws an 11'-6" high opening (vector) under the ACT; 11'-6" carried</t>
  </si>
  <si>
    <t xml:space="preserve">jamb/cripple heights only (header LF unchanged)</t>
  </si>
  <si>
    <t xml:space="preserve">RFI-exterior-openings-vs-7-S5-20</t>
  </si>
  <si>
    <t xml:space="preserve">exterior openings vs 7/S5.20: 7/S5.20 NON LOAD BRG rows are INTERIOR only; exterior openings take the box beam printed in their head detail (14/A09.27, 11/A09.27, 6/A08.11) instead</t>
  </si>
  <si>
    <t xml:space="preserve">none if box beams accepted</t>
  </si>
  <si>
    <t xml:space="preserve">A-A1-RFI-01</t>
  </si>
  <si>
    <t xml:space="preserve">A1K end walls of the CSR line (K11, K12): which face is CUSTOMER SIDE (4/A12.01)? Read: the face away from the teller station (continuous Z contour with the B2K / K13 returns and the 2.7 pt jogs, R76.3). | Alternatives: customer = face away from teller station (taken); customer = face toward teller station</t>
  </si>
  <si>
    <t xml:space="preserve">0 SF ballistic / 3/8" (same L x H on either face); only the room label changes</t>
  </si>
  <si>
    <t xml:space="preserve">A-A1-RFI-02</t>
  </si>
  <si>
    <t xml:space="preserve">Interior 6" studs (A5) gauge / spacing not printed (7/S5.20 lists 6" only for exterior walls). Taken 600S137-33 @ 16" O.C. | Alternatives: 33 mil @ 16" (taken); per S1.11 54 mil</t>
  </si>
  <si>
    <t xml:space="preserve">gauge only, no LF change</t>
  </si>
  <si>
    <t xml:space="preserve">A-A1-RFI-03</t>
  </si>
  <si>
    <t xml:space="preserve">A-A1-A16 (A5, PT0016) crosses the grid B deck break only along the grid-B column wrap (0.56 ft). Whole wall taken at LOW under S2.20 W14X22 (11.9104 ft) with break_reason. | Alternatives: one height LOW-beam (taken); split 0.56 ft piece at HIGH</t>
  </si>
  <si>
    <t xml:space="preserve">about +1 stud x (15.375 - 11.9104) = +3.5 LF stud</t>
  </si>
  <si>
    <t xml:space="preserve">A-A1-RFI-04</t>
  </si>
  <si>
    <t xml:space="preserve">A-A1-W01 north face: C1 furring box for the 85" display (key note 7) covers x 1293.6-1460.9 pt (9.29 ft). A1 board carried full length behind it. | Alternatives: A1 north face full length (taken); deduct behind the C1 box</t>
  </si>
  <si>
    <t xml:space="preserve">-9.29 ft x 11.5 ft = -106.8 SF 5/8" regular</t>
  </si>
  <si>
    <t xml:space="preserve">A-A1-RFI-05</t>
  </si>
  <si>
    <t xml:space="preserve">Untagged drinking-fountain alcove (A-A1-U01a/b/c, A1 by note A) closes the gap between two B2 pieces of the corridor west line: wall of the A1 list or niche (R74.3, OTHER FRAMING "alcove")? | Alternatives: niche per R74.3 (particion.py decides); A1 wall of the list</t>
  </si>
  <si>
    <t xml:space="preserve">7.47 LF in/out of the A1 partition list (material stays in the canon)</t>
  </si>
  <si>
    <t xml:space="preserve">A-A1-RFI-06</t>
  </si>
  <si>
    <t xml:space="preserve">Corridor east line (x 1622-1633): A5 (PT0017) above / B2 (PT0027, PT0029) below; type change taken at the T node with W09, node block (y 1488.1-1495.4) left to B2. | Alternatives: node block to B2 (taken); node block to A5</t>
  </si>
  <si>
    <t xml:space="preserve">0.41 LF between A5 and B2</t>
  </si>
  <si>
    <t xml:space="preserve">A-A1-RFI-07</t>
  </si>
  <si>
    <t xml:space="preserve">122 south wall (W05) taken as branch of the west line (ends at 1245.2 pt, the A5 jog line owns the T block); alternative runs to the west face 1234.4 pt. | Alternatives: ends at 1245.2 (taken); runs to 1234.4</t>
  </si>
  <si>
    <t xml:space="preserve">0.60 LF between A5 (A16) and A1 (W05)</t>
  </si>
  <si>
    <t xml:space="preserve">A-B-RFI-01</t>
  </si>
  <si>
    <t xml:space="preserve">A-B-B2K-01 (PC0011): Partition tag B2K not in the A12.01 partition schedule | Alternatives: A5K-like: 6" 14 GA @ 24" + ballistic panel customer side (carried); plain B2: 6" @ 16", 5/8" both faces to structure, no ballistic</t>
  </si>
  <si>
    <t xml:space="preserve">1.778 LF wall: ballistic + 3/8" ~ 1.778 x 8.0 = 14.2 SF ballistic and 1.778 x 7.4 = 13.1 SF 3/8" vs none; studs @ 24" vs @ 16" (+1 stud)</t>
  </si>
  <si>
    <t xml:space="preserve">A-B-RFI-02</t>
  </si>
  <si>
    <t xml:space="preserve">A-B-B2-03 / door 116: Type change A5 -&gt; B2 on the break-room line | Alternatives: B2 from y 1488.1 (carried) 11.4063 LF; B2 from y 1422.1 incl. door 116: 15.0729 LF</t>
  </si>
  <si>
    <t xml:space="preserve">3.6667 LF of B2 (vs A5) and door 116 owner</t>
  </si>
  <si>
    <t xml:space="preserve">A-B-RFI-04</t>
  </si>
  <si>
    <t xml:space="preserve">screen wall inside 113 next to door 112: Untagged 1.8 in drawn wall (3.07 ft) inside 113 MEN'S | Alternatives: A1 default return of A-B-B-01: +3.07 LF; toilet screen / not framing: 0</t>
  </si>
  <si>
    <t xml:space="preserve">3.07 LF of 3 5/8" wall x 13.05 ft</t>
  </si>
  <si>
    <t xml:space="preserve">A-B-RFI-06</t>
  </si>
  <si>
    <t xml:space="preserve">A-B-B-01, A-B-B-02: B walls partly under the roof-hatch frame (S2.20) | Alternatives: full height to deck (carried); 5.29 ft of each wall under the beam (B-01 -0.657 ft, B-02 -1.142 ft of stud and board)</t>
  </si>
  <si>
    <t xml:space="preserve">B-01: 5.29 x 0.657 = 3.5 SF board per face; B-02: 5.29 x 1.142 = 6.0 SF per face; ~4 studs each shorter</t>
  </si>
  <si>
    <t xml:space="preserve">A-B-RFI-05</t>
  </si>
  <si>
    <t xml:space="preserve">C1 heights (all A-B-C1-*): C1 top condition not drawn (6/A12.01 break line) - see A-CL-RFI-03 | Alternatives: to underside of structure (carried); to ceiling + 6"</t>
  </si>
  <si>
    <t xml:space="preserve">per C1 element L x (B.O.D. - (ceiling + 0.5)): chases 2 x 10.03 x (13.052 - 9.0) = 81.3 SF MR + studs; monitor box 11.33 x (15.375 - 11.5) = 43.9 SF</t>
  </si>
  <si>
    <t xml:space="preserve">A-EXT-RFI-02</t>
  </si>
  <si>
    <t xml:space="preserve">Elevation titles vs north arrow: 1/A09.01 is titled SOUTH ELEVATION but shows the plan-top face (storefronts, grids 8..1); 2/A09.02 titled NORTH shows the plan-bottom face (door 123). A02.01 north arrow points up. | Alternatives: facade names by the north arrow (carried: plan top = NORTH); facade names by the elevation titles (plan top = SOUTH)</t>
  </si>
  <si>
    <t xml:space="preserve">0 LF / 0 SF (names only: NORTH &lt;-&gt; SOUTH swap of the facade labels)</t>
  </si>
  <si>
    <t xml:space="preserve">A-EXT-RFI-04</t>
  </si>
  <si>
    <t xml:space="preserve">Canopy beams drawn inside the exterior stud plane (3/A09.26, 7/A09.26, A/A09.21): studs carried continuous slab -&gt; perimeter roof beam; the set does not say whether studs are cut at the canopy beam | Alternatives: continuous studs slab / HSS lintel -&gt; roof perimeter beam (carried); studs split at the canopy beam: each crossing position loses the canopy-beam depth (AISC d) + top/deflection track under the beam + bottom track on it (2 rows, R54.2)</t>
  </si>
  <si>
    <t xml:space="preserve">if split (one project decision with A-EXT-RFI-09): -188 LF 6" stud (DERIVED +/-10 %: N 13.22; E-HIGH 49.84; W2 27.03; WJ 6.10; W3-HIGH 32.71 [W12x19 HIGH d after EXA-03: per position -1.0167]; SFC-100 11.18; SFC-CZ 27.47; SFC-AF2W 7.85; pier 6" parts 12.2) and +321 LF 6" track (2 rows x canopy-beam LF 160.4: N 13.60 + E-HIGH 46.56 + W2 20.91 + WJ 4.84 + W3-HIGH 22.12 + SFC-100 12.56 + SFC-CZ 26.25 + SFC-AF2W 6.50 + piers ~7.1)</t>
  </si>
  <si>
    <t xml:space="preserve">A-EXT-RFI-06</t>
  </si>
  <si>
    <t xml:space="preserve">Canopy column wrap height (5/A09.25 plan detail only): carried T/SLAB -&gt; B/CANOPY 10'-6" (2/A09.01) | Alternatives: 10'-6" B/CANOPY (carried); to the canopy beam / T/CANOPY 12'-8"</t>
  </si>
  <si>
    <t xml:space="preserve">4 wraps x 12 studs x 2.17 ft = +104 LF of 3 5/8" stud and + 4 x 5.6667 x 2.17 = +49 SF FRT plywood if to T/CANOPY</t>
  </si>
  <si>
    <t xml:space="preserve">A-EXT-RFI-07</t>
  </si>
  <si>
    <t xml:space="preserve">Vestibule head framing VH-101 / VH-100A: stud size not printed (4-7/A12.10 'METAL STUD FRAMING &amp; BOX HEADER AS NEEDED') | Alternatives: 3 5/8" @ 16" (carried, as openings task); 6" @ 16"</t>
  </si>
  <si>
    <t xml:space="preserve">22.06 ft x 5.375 ft of framing moves from 3 5/8" to 6" family</t>
  </si>
  <si>
    <t xml:space="preserve">A-EXT-RFI-08</t>
  </si>
  <si>
    <t xml:space="preserve">Roof step roof-side face (4/A02.02 'ROOF MEMBRANE ON 5/8" FRT PLYWOOD BONDED TO POLYISO INSULATION'): polyiso thickness not printed; not carried as nailbase | Alternatives: not carried (roofing / nailbase not printed); nailbase 51.73 ft x 3.11 ft</t>
  </si>
  <si>
    <t xml:space="preserve">+ 161 SF nailbase if carried</t>
  </si>
  <si>
    <t xml:space="preserve">A-EXT-RFI-09</t>
  </si>
  <si>
    <t xml:space="preserve">Storefront cripples / pier top under the HSS9x5 storefront header (S2.20 T.O.S. 9'-4 1/2") vs the canopy beam in between (A/A09.21) | Alternatives: cripples HSS T.O.S. -&gt; roof perimeter beam (carried); cripples split at the canopy beam</t>
  </si>
  <si>
    <t xml:space="preserve">storefront cripples share of A-EXT-RFI-04 (same decision): -46.5 LF 6" stud (SFC-100 11.18 + SFC-CZ 27.47 + SFC-AF2W 7.85) and +90.62 LF 6" track (2 x (12.56 + 26.25 + 6.50)); not additive to A-EXT-RFI-04</t>
  </si>
  <si>
    <t xml:space="preserve">A-G-RFI-01</t>
  </si>
  <si>
    <t xml:space="preserve">door bulkheads A-G-BH-E1..E4 / A-G-BH-W1..W2: Bulkhead LF taken over the 7'-6" openings only (one record per opening, 45.0 LF; the G / G1 stubs between openings already go to deck, 5/A12.01). Alternative: one bulkhead run jamb to jamb over the whole front (run of the CONT. BOX BEAM, R77.2). | Alternatives: over openings: 45.0 LF (carried); jamb to jamb: east 39.9722 + west 18.5056 = 58.4778 LF</t>
  </si>
  <si>
    <t xml:space="preserve">13.4778 LF of bulkhead (x ~6.3-7.3 ft x 2 faces x 2 layers board; x 2 rows studs)</t>
  </si>
  <si>
    <t xml:space="preserve">A-G-RFI-02</t>
  </si>
  <si>
    <t xml:space="preserve">bulkhead stud size: 8/A12.01 and 9/A12.01 label 'METAL STUD' without size; taken 1 5/8" double row (G system 5/A12.01, same isolator) per 53.3. Alternative 3 5/8" (interior default 7/S5.20). | Alternatives: 1 5/8" double row (carried); 3 5/8" double row</t>
  </si>
  <si>
    <t xml:space="preserve">same LF, stud size 1 5/8" vs 3 5/8" on the bulkhead studs</t>
  </si>
  <si>
    <t xml:space="preserve">A-G-RFI-03</t>
  </si>
  <si>
    <t xml:space="preserve">A-G-E8 (G PT0046) west end: G wall south of office 108 measured from the B2K hatched box face (x 1661.8 pt); alternative: from the office front face (x 1631.3 pt) if the B2K piece stops below the G wall. | Alternatives: 10.0722 LF (carried); 11.7667 LF</t>
  </si>
  <si>
    <t xml:space="preserve">1.6944 LF of G</t>
  </si>
  <si>
    <t xml:space="preserve">A-G-RFI-04</t>
  </si>
  <si>
    <t xml:space="preserve">office front end pieces A-G-E0 / A-G-W2 (untagged): Untagged front-line end pieces typed by thickness (R74.1): A-G-E0 = G (9.3 pt), A-G-W2 = G1 (12.7 pt). Alternative: return of the tagged wall they touch (eje rule 3: A-G-W2 as return of G PT0047). | Alternatives: A-G-W2 own G1 wall 3.1833 LF (carried); A-G-W2 return of PT0047 (G): +3.1833 LF G, -3.1833 LF G1</t>
  </si>
  <si>
    <t xml:space="preserve">type move 3.1833 LF between G1 and G (no LF change)</t>
  </si>
  <si>
    <t xml:space="preserve">A-G-RFI-07</t>
  </si>
  <si>
    <t xml:space="preserve">beams over the office front walls (S2.20): Grid 7 front line carries two colinear beams (W12x14 north / W14x30 south of the W16x26 girder): east bulkheads split by opening (E1/E2 W12x14, E3/E4 W14x30); W3 (PT0042) line has W12x19 (HIGH) + W8x10 -&gt; W8x10 carried; E5 / W4 have a W8x10 over ~3.35 ft only -&gt; kept to deck (beam_override). | Alternatives: W3 under W12x19: -0.3583 ft stud height; E5 / W4 studs under the W8x10 segment: -0.6575 ft on ~3.35 LF each</t>
  </si>
  <si>
    <t xml:space="preserve">W3 -0.358 ft x 12.47 ft; E5/W4 -0.6575 ft x 3.35 ft each (stud and board height)</t>
  </si>
  <si>
    <t xml:space="preserve">A-G-RFI-06</t>
  </si>
  <si>
    <t xml:space="preserve">G1 thickness: G1 walls measure 12.7 pt = 8.47 in on A02.01 vs 8" in the 5/A12.01 schedule (within 1/2").</t>
  </si>
  <si>
    <t xml:space="preserve">none (within tolerance)</t>
  </si>
  <si>
    <t xml:space="preserve">A-EXT-RFI-10</t>
  </si>
  <si>
    <t xml:space="preserve">Pier storefront jamb strips (1/A09.25, 2/A09.25): 2 plies of 3/4" FRT plywood drawn, label singular (R77.4) | Alternatives: 1 ply per jamb (label, carried); 2 plies per jamb (as drawn)</t>
  </si>
  <si>
    <t xml:space="preserve">+23.59 SF 3/4" FRT plywood (PR31-100 6.44 + PR31-AF2W 6.45 + PR30-CZ 4.25 + PR30-100 6.45)</t>
  </si>
  <si>
    <t xml:space="preserve">A-G-RFI-08</t>
  </si>
  <si>
    <t xml:space="preserve">Office front jamb END faces: 10/A12.01 wraps only the outer 5/8" layer (1 layer), but board_caras.py forces the 2 layers per face of 5/A12.01 on the G / G1 wall faces; the 109 N jamb END face on A-G-W3 (4" end) cannot be added with 1 layer either (tool limit, see the proposals folder, file adversarial.md) | Alternatives: 1 layer at the 12 jamb ends: 8 x 0.5104 x 8.0417 + 4 x 0.6667 x 8.0417 = 54.28 SF (drawn, true); carried: 10 END faces x 2 layers + A-B-B2K-01 END x 1 layer = 93.74 SF</t>
  </si>
  <si>
    <t xml:space="preserve">-39.45 SF 5/8" regular (true minus carried)</t>
  </si>
  <si>
    <t xml:space="preserve">A-CL-RFI-08</t>
  </si>
  <si>
    <t xml:space="preserve">Ceiling transitions 7/A09.33: shadow molding at the ACT side may be the ACT ceiling trade (A-AC-RFI-04 logic); all 4 trims carried (transition_trim_per_lf 4) | Alternatives: all 4 trims carried (consistent with A-G-TRIM-4/5); shadow molding at the ACT side by the ceiling trade</t>
  </si>
  <si>
    <t xml:space="preserve">-87.21 LF metal trim if ACT-side moldings are by others (T01-T03 ACT 103 side 77.03 + T04 ACT/ACT 2 x 5.089); the GB 104 side 77.03 LF is ours in any case</t>
  </si>
  <si>
    <t xml:space="preserve">A-CL-RFI-09</t>
  </si>
  <si>
    <t xml:space="preserve">10/A09.33 CSR soffit: B/DECK VIF and 'ALTERNATE CEILING DETAIL, VIF FLUTE DIRECTION' at the soffit tracks A-CL-SS-WN/WS/EN/ES (59.1) | Alternatives: flutes perpendicular to the tracks (carried, 0 LF purlin; S2.20 flutes E-W); flutes parallel: 1X1X1 16GA PURLIN ACROSS MIN. (2) FLUTES</t>
  </si>
  <si>
    <t xml:space="preserve">+18.02 LF purlin (0.75 x 2 x (6.556 + 5.456) = 0.75 x 24.024)</t>
  </si>
  <si>
    <t xml:space="preserve">A-CL-RFI-10</t>
  </si>
  <si>
    <t xml:space="preserve">CSR soffit 10/A09.33 / 9/A12.08: no track drawn at the joist ends (only CONT. TRACK at the deck); the joist-end lines coincide with the drop lines that already carry a bottom track | Alternatives: joist ends fastened to the drop-line bottom track (carried: soffit_side 2 lines); separate track at each joist end on each drop line (58.3)</t>
  </si>
  <si>
    <t xml:space="preserve">+24.04 LF ceiling / soffit track (2 x 12.021)</t>
  </si>
  <si>
    <t xml:space="preserve">A-CL-RFI-11</t>
  </si>
  <si>
    <t xml:space="preserve">Canopy joist length (A09.21): thick framing line runs to the wall framing, the joist bottom / plywood line stops at the wall insulation face; no bearing dimensioned | Alternatives: joist = fascia inner face to the outer face of the wall sheathing / insulation (carried 3.724 ft average); joist runs to the wall framing line</t>
  </si>
  <si>
    <t xml:space="preserve">+~17.8 LF 3-5/8" stud on CANOPY NORTH (45 x ~0.395 ft: sec C 4.398 - 4.008, sec B 3.407 - 3.005); W / E / S canopies would need the same check</t>
  </si>
  <si>
    <t xml:space="preserve">A-CL-RFI-12</t>
  </si>
  <si>
    <t xml:space="preserve">Recessed linear fixtures (R-11A, R-11C, R-11CE, UU1-UU6): sides 2 x schedule length x qty are determined (54.1) but framed_openings.py rejects an item without width_in, so they stay in fo_in.pendientes and out of the family (tool limit, the proposals folder, file adversarial.md) | Alternatives: sides carried in the family: 798.88 LF (798.0 + 5/A09.33 'FIXTURE LENGTH + 1/4"' x 2 x 21 canopy = 0.88); family as output by the tool: 0 LF for these fixtures</t>
  </si>
  <si>
    <t xml:space="preserve">+798.88 LF framed openings MEP (ends 2 x W x 27 stay PENDING + FO-RFI-01)</t>
  </si>
  <si>
    <t xml:space="preserve">A-CL-RFI-13</t>
  </si>
  <si>
    <t xml:space="preserve">Fascia box bottom return of 5/8" ext. grade FRT plywood (3/A09.26 = 7/A09.26 hatch across the bottom, 3.61 in): canon.py generates fascia sheathing = L x height_ft only (no separate bottom width) | Alternatives: outer face only (tool output); outer face + bottom return 0.3009 ft (drawn)</t>
  </si>
  <si>
    <t xml:space="preserve">+71.53 SF frt_5_8_ext (237.726 LF x 0.3009 ft)</t>
  </si>
  <si>
    <t xml:space="preserve">RFI-A-E5-RFI-EDGE-stud-blocking-at-edge-of-g</t>
  </si>
  <si>
    <t xml:space="preserve">A-E5-RFI-EDGE stud blocking at edge of gypboard (4/S5.20): 4/S5.20 TYPICAL BLOCKING DETAIL (NTS) prints 'STUD BLOCKING 362CR22 (TYP.)' and 'PROVIDE BLOCKING AT THE EDGE OF GYPBOARD.' with no location; S1.11 has no blocking note. Carried (b) = one row of 362CR22 stud blocking at the horizontal board joint of every wall with a face taller than the 12 ft sheet = 561.99 LF (REGLA 59.14 (b), 53.3, [DERIVED]); alternative (a) = exterior walls + double-layer walls only = 415.59 LF. Confirm where the structural engineer wants the edge blocking. | Alternatives: (b) every face with board &gt; 12 ft sheet: 3.4167 + 3.4167 + 1.7667 + 11.7292 + 11.7292 + 3.5 + 9.9896 + 9.5833 + 13.7396 + 5.5417 + 15.7867 + 5.6667 + 1.7733 + 10.0278 + 10.0278 + 10 + 2.98 + 3.2867 + 3.58 + 4 + 2.94 + 13.6042 + 50.5033 + 25.7167 + 35.0289 + 17.6711 + 22.1167 + 24.83 + 4.8417 + 20.9067 + 4.8444 + 6.9334 + 6.5112 + 6.5 + 23.5416 + 23.5416 + 23.5416 + 20.1444 + 7.0112 + 6.36 + 24.9434 + 23.25 + 23.25 + 0.6667 + 0.6667 + 0.58 = 561.99 LF (carried); (a) exterior + double-layer walls: 13.6042 + 50.5033 + 25.7167 + 35.0289 + 17.6711 + 22.1167 + 24.83 + 4.8417 + 20.9067 + 4.8444 + 6.9334 + 6.5112 + 6.5 + 23.5416 + 23.5416 + 23.5416 + 20.1444 + 7.0112 + 6.36 + 24.9434 + 23.25 + 23.25 = 415.59 LF</t>
  </si>
  <si>
    <t xml:space="preserve">(a) - (b) = 415.59 - 561.99 = -146.4 LF of 362CR22 stud blocking</t>
  </si>
  <si>
    <t xml:space="preserve">FO-RFI-01</t>
  </si>
  <si>
    <t xml:space="preserve">RFI: framed-opening width of recessed linear fixtures (R-11A/R-11C/R-11CE trimless gyp slot, UU1-UU6 canopy linear) is not printed (4/A09.33 "COORD. W/ FIXTURE CUTSHEET"). Sides carried 798.0 LF (2 x schedule length x qty, 27 fixtures); the 27 x 2 ends are PENDING.</t>
  </si>
  <si>
    <t xml:space="preserve">+2 x W x 27 LF (W = cutsheet width; e.g. W 2.5 in -&gt; +11.25 LF; W 4 in -&gt; +18.0 LF) plus +1/4 in per fixture length (5/A09.33 FIXTURE LENGTH + 1/4")</t>
  </si>
  <si>
    <t xml:space="preserve">FO-RFI-02</t>
  </si>
  <si>
    <t xml:space="preserve">RFI R-11C / R-11CE: E00.01 description 12' LINEAR vs catalog FSM2L-...-20'-0"; E02.01 draws 12.0 ft -&gt; 12 ft carried (60.9).</t>
  </si>
  <si>
    <t xml:space="preserve">+2 x (20 - 12) x 4 = +64 LF if 20 ft</t>
  </si>
  <si>
    <t xml:space="preserve">FO-RFI-03</t>
  </si>
  <si>
    <t xml:space="preserve">RFI: TBDI-10 slot diffuser (SD/SDR) sizes in GB ceilings 100/101/113/114 are "SEE DRAWING" on M00.03 and not dimensioned on M01.01: carried at the M01.01 vector outline (SD-RUN 4 x 12.878 ft x 7.667 in, SD-SLOT 4 x 2.294 ft x 7.733 in = 131.64 LF, DERIVED); exact size per cutsheet. Untagged exhaust grille in 113 has no size (0 if E-1 10"x10").</t>
  </si>
  <si>
    <t xml:space="preserve">carried 131.64 LF; +/- (cutsheet size - vector outline) x 2 x 8 openings</t>
  </si>
  <si>
    <t xml:space="preserve">FO-RFI-04</t>
  </si>
  <si>
    <t xml:space="preserve">RFI UU6: E02.01 draws 16.333 ft (294 pt) vs schedule 16 ft; 16 ft carried (schedule length, 54.1).</t>
  </si>
  <si>
    <t xml:space="preserve">+2 x 0.333 = +0.67 LF</t>
  </si>
  <si>
    <t xml:space="preserve">RFI-E5-02</t>
  </si>
  <si>
    <t xml:space="preserve">Gypsum board control joints: the set labels 'CJ CONTROL JOINT' only for stucco (A09.01, A09.02 exterior legend, 5/A09.31 ACM to stucco) and slab / paving joints (S-sheets, civil); no gypsum board control joint is drawn or noted on A12.01, A09.33 or A04.01 (corner bead, casing bead and shadow molding are labelled one by one). Excluded. ASTM C840 / GA-216 call for control joints in long gypsum runs and large ceilings: confirm before award.</t>
  </si>
  <si>
    <t xml:space="preserve">n/a: excluded; if required, +1 control joint per gypsum run over the ASTM C840 limit (alternate)</t>
  </si>
  <si>
    <t xml:space="preserve">81 questions in total, asked ONE at a time in this order: floor plan (partition types A-Z), then the details the floor plan calls, in order</t>
  </si>
  <si>
    <t xml:space="preserve">#</t>
  </si>
  <si>
    <t xml:space="preserve">Phase</t>
  </si>
  <si>
    <t xml:space="preserve">Type / order</t>
  </si>
  <si>
    <t xml:space="preserve">Item</t>
  </si>
  <si>
    <t xml:space="preserve">Sheet + detail</t>
  </si>
  <si>
    <t xml:space="preserve">Image</t>
  </si>
  <si>
    <t xml:space="preserve">1/81</t>
  </si>
  <si>
    <t xml:space="preserve">Floor plan</t>
  </si>
  <si>
    <t xml:space="preserve">A1</t>
  </si>
  <si>
    <t xml:space="preserve">A-A1-RFI-04: A-A1-W01 north face: C1 furring box for the 85" display (key note 7) covers x 1293.6-1460.9 pt (9.29 ft). A1 board carried full length behind it. | Alternatives: A1 north face full length (taken); deduct behind the C1 box (delta: -9.29 ft x 11.5 ft = -106.8 SF 5/8" regular)</t>
  </si>
  <si>
    <t xml:space="preserve">etapas/2_lectura/A/img/A-A1-W01.png</t>
  </si>
  <si>
    <t xml:space="preserve">2/81</t>
  </si>
  <si>
    <t xml:space="preserve">A-A1-RFI-07: 122 south wall (W05) taken as branch of the west line (ends at 1245.2 pt, the A5 jog line owns the T block); alternative runs to the west face 1234.4 pt. | Alternatives: ends at 1245.2 (taken); runs to 1234.4 (delta: 0.60 LF between A5 (A16) and A1 (W05))</t>
  </si>
  <si>
    <t xml:space="preserve">etapas/2_lectura/A/img/A-A1-W05.png</t>
  </si>
  <si>
    <t xml:space="preserve">3/81</t>
  </si>
  <si>
    <t xml:space="preserve">Sweep review point (unattended run): type A1 has 10 tag(s) on A02.01 in 1_inventario/inventario.md (numbered list + circled crop each); confirm no location is missing</t>
  </si>
  <si>
    <t xml:space="preserve">etapas/1_inventario/recortes/OVERVIEW_A02.01_p24.png</t>
  </si>
  <si>
    <t xml:space="preserve">4/81</t>
  </si>
  <si>
    <t xml:space="preserve">A1K</t>
  </si>
  <si>
    <t xml:space="preserve">Sweep review point (unattended run): type A1K has 3 tag(s) on A02.01 in 1_inventario/inventario.md (numbered list + circled crop each); confirm no location is missing</t>
  </si>
  <si>
    <t xml:space="preserve">5/81</t>
  </si>
  <si>
    <t xml:space="preserve">A5</t>
  </si>
  <si>
    <t xml:space="preserve">A-A1-RFI-03: A-A1-A16 (A5, PT0016) crosses the grid B deck break only along the grid-B column wrap (0.56 ft). Whole wall taken at LOW under S2.20 W14X22 (11.9104 ft) with break_reason. | Alternatives: one height LOW-beam (taken); split 0.56 ft piece at HIGH (delta: about +1 stud x (15.375 - 11.9104) = +3.5 LF stud)</t>
  </si>
  <si>
    <t xml:space="preserve">etapas/2_lectura/A/img/A-A1_vigas.png</t>
  </si>
  <si>
    <t xml:space="preserve">6/81</t>
  </si>
  <si>
    <t xml:space="preserve">A-A1-RFI-06: Corridor east line (x 1622-1633): A5 (PT0017) above / B2 (PT0027, PT0029) below; type change taken at the T node with W09, node block (y 1488.1-1495.4) left to B2. | Alternatives: node block to B2 (taken); node block to A5 (delta: 0.41 LF between A5 and B2)</t>
  </si>
  <si>
    <t xml:space="preserve">etapas/2_lectura/A/img/A-A1-A17.png</t>
  </si>
  <si>
    <t xml:space="preserve">7/81</t>
  </si>
  <si>
    <t xml:space="preserve">Sweep review point (unattended run): type A5 has 4 tag(s) on A02.01 in 1_inventario/inventario.md (numbered list + circled crop each); confirm no location is missing</t>
  </si>
  <si>
    <t xml:space="preserve">8/81</t>
  </si>
  <si>
    <t xml:space="preserve">B</t>
  </si>
  <si>
    <t xml:space="preserve">A-B-RFI-04: screen wall inside 113 next to door 112: Untagged 1.8 in drawn wall (3.07 ft) inside 113 MEN'S | Alternatives: A1 default return of A-B-B-01: +3.07 LF; toilet screen / not framing: 0 (delta: 3.07 LF of 3 5/8" wall x 13.05 ft)</t>
  </si>
  <si>
    <t xml:space="preserve">etapas/2_lectura/A/img/A-B-B-01.png</t>
  </si>
  <si>
    <t xml:space="preserve">9/81</t>
  </si>
  <si>
    <t xml:space="preserve">A-B-RFI-06: A-B-B-01, A-B-B-02: B walls partly under the roof-hatch frame (S2.20) | Alternatives: full height to deck (carried); 5.29 ft of each wall under the beam (B-01 -0.657 ft, B-02 -1.142 ft of stud and board) (delta: B-01: 5.29 x 0.657 = 3.5 SF board per face; B-02: 5.29 x 1.142 = 6.0 SF per face; ~4 studs each shorter)</t>
  </si>
  <si>
    <t xml:space="preserve">etapas/2_lectura/A/img/A-B_S2.20_beams.png</t>
  </si>
  <si>
    <t xml:space="preserve">10/81</t>
  </si>
  <si>
    <t xml:space="preserve">Sweep review point (unattended run): type B has 6 tag(s) on A02.01 in 1_inventario/inventario.md (numbered list + circled crop each); confirm no location is missing</t>
  </si>
  <si>
    <t xml:space="preserve">11/81</t>
  </si>
  <si>
    <t xml:space="preserve">B2</t>
  </si>
  <si>
    <t xml:space="preserve">A-B-RFI-02: A-B-B2-03 / door 116: Type change A5 -&gt; B2 on the break-room line | Alternatives: B2 from y 1488.1 (carried) 11.4063 LF; B2 from y 1422.1 incl. door 116: 15.0729 LF (delta: 3.6667 LF of B2 (vs A5) and door 116 owner)</t>
  </si>
  <si>
    <t xml:space="preserve">etapas/2_lectura/A/img/A-B-B2-03.png</t>
  </si>
  <si>
    <t xml:space="preserve">12/81</t>
  </si>
  <si>
    <t xml:space="preserve">Sweep review point (unattended run): type B2 has 6 tag(s) on A02.01 in 1_inventario/inventario.md (numbered list + circled crop each); confirm no location is missing</t>
  </si>
  <si>
    <t xml:space="preserve">13/81</t>
  </si>
  <si>
    <t xml:space="preserve">B2K</t>
  </si>
  <si>
    <t xml:space="preserve">A-B-RFI-01: A-B-B2K-01 (PC0011): Partition tag B2K not in the A12.01 partition schedule | Alternatives: A5K-like: 6" 14 GA @ 24" + ballistic panel customer side (carried); plain B2: 6" @ 16", 5/8" both faces to structure, no ballistic (delta: 1.778 LF wall: ballistic + 3/8" ~ 1.778 x 8.0 = 14.2 SF ballistic and 1.778 x 7.4 = 13.1 SF 3/8" vs none; studs @ 24" vs @ 16" (+1 stud))</t>
  </si>
  <si>
    <t xml:space="preserve">etapas/2_lectura/A/img/A-B-B2K-01.png</t>
  </si>
  <si>
    <t xml:space="preserve">14/81</t>
  </si>
  <si>
    <t xml:space="preserve">A-G-RFI-08: Office front jamb END faces: 10/A12.01 wraps only the outer 5/8" layer (1 layer), but board_caras.py forces the 2 layers per face of 5/A12.01 on the G / G1 wall faces; the 109 N jamb END face on A-G-W3 (4" end) cannot be added with 1 layer either (tool limit, see the proposals folder, file adversarial. (delta: -39.45 SF 5/8" regular (true minus carried))</t>
  </si>
  <si>
    <t xml:space="preserve">10/A12.01</t>
  </si>
  <si>
    <t xml:space="preserve">etapas/4_canon/img/ref_BA-02_office_jamb_10_A12.01.png</t>
  </si>
  <si>
    <t xml:space="preserve">15/81</t>
  </si>
  <si>
    <t xml:space="preserve">BULKHEAD-G</t>
  </si>
  <si>
    <t xml:space="preserve">A-G-RFI-01: door bulkheads A-G-BH-E1..E4 / A-G-BH-W1..W2: Bulkhead LF taken over the 7'-6" openings only (one record per opening, 45.0 LF; the G / G1 stubs between openings already go to deck, 5/A12.01). Alternative: one bulkhead run jamb to jamb over the whole front (run of the CONT. BOX BEAM, R77.2). | Altern (delta: 13.4778 LF of bulkhead (x ~6.3-7.3 ft x 2 faces x 2 layers board; x 2 rows studs))</t>
  </si>
  <si>
    <t xml:space="preserve">etapas/2_lectura/A/img/A-G-BH-E1.png</t>
  </si>
  <si>
    <t xml:space="preserve">16/81</t>
  </si>
  <si>
    <t xml:space="preserve">C1</t>
  </si>
  <si>
    <t xml:space="preserve">Sweep review point (unattended run): type C1 has 8 tag(s) on A02.01 in 1_inventario/inventario.md (numbered list + circled crop each); confirm no location is missing</t>
  </si>
  <si>
    <t xml:space="preserve">17/81</t>
  </si>
  <si>
    <t xml:space="preserve">F</t>
  </si>
  <si>
    <t xml:space="preserve">Sweep review point (unattended run): type F has 1 tag(s) on A02.01 in 1_inventario/inventario.md (numbered list + circled crop each); confirm no location is missing</t>
  </si>
  <si>
    <t xml:space="preserve">18/81</t>
  </si>
  <si>
    <t xml:space="preserve">G</t>
  </si>
  <si>
    <t xml:space="preserve">A-G-RFI-03: A-G-E8 (G PT0046) west end: G wall south of office 108 measured from the B2K hatched box face (x 1661.8 pt); alternative: from the office front face (x 1631.3 pt) if the B2K piece stops below the G wall. | Alternatives: 10.0722 LF (carried); 11.7667 LF (delta: 1.6944 LF of G)</t>
  </si>
  <si>
    <t xml:space="preserve">etapas/2_lectura/A/img/A-G-E8.png</t>
  </si>
  <si>
    <t xml:space="preserve">19/81</t>
  </si>
  <si>
    <t xml:space="preserve">A-G-RFI-04: office front end pieces A-G-E0 / A-G-W2 (untagged): Untagged front-line end pieces typed by thickness (R74.1): A-G-E0 = G (9.3 pt), A-G-W2 = G1 (12.7 pt). Alternative: return of the tagged wall they touch (eje rule 3: A-G-W2 as return of G PT0047). | Alternatives: A-G-W2 own G1 wall 3.1833 LF (carri (delta: type move 3.1833 LF between G1 and G (no LF change))</t>
  </si>
  <si>
    <t xml:space="preserve">etapas/2_lectura/A/img/A-G-W2.png</t>
  </si>
  <si>
    <t xml:space="preserve">20/81</t>
  </si>
  <si>
    <t xml:space="preserve">BA-02 (adversarial, not expressible): 10/A12.01 shows only the outer 5/8" layer wrapping the office front jamb; board_caras.py forces layers = 2 on END faces. Carried 2 layers; true 1 layer = -39.45 SF 5/8" regular (RFI A-G-RFI-08; proposal in the proposals folder, file adversarial.md)</t>
  </si>
  <si>
    <t xml:space="preserve">adversarial/img</t>
  </si>
  <si>
    <t xml:space="preserve">21/81</t>
  </si>
  <si>
    <t xml:space="preserve">Sweep review point (unattended run): type G has 9 tag(s) on A02.01 in 1_inventario/inventario.md (numbered list + circled crop each); confirm no location is missing</t>
  </si>
  <si>
    <t xml:space="preserve">22/81</t>
  </si>
  <si>
    <t xml:space="preserve">G1</t>
  </si>
  <si>
    <t xml:space="preserve">A-G-RFI-06: G1 thickness: G1 walls measure 12.7 pt = 8.47 in on A02.01 vs 8" in the 5/A12.01 schedule (within 1/2"). (delta: none (within tolerance))</t>
  </si>
  <si>
    <t xml:space="preserve">etapas/2_lectura/A/img/A-G-E5.png</t>
  </si>
  <si>
    <t xml:space="preserve">23/81</t>
  </si>
  <si>
    <t xml:space="preserve">Sweep review point (unattended run): type G1 has 2 tag(s) on A02.01 in 1_inventario/inventario.md (numbered list + circled crop each); confirm no location is missing</t>
  </si>
  <si>
    <t xml:space="preserve">24/81</t>
  </si>
  <si>
    <t xml:space="preserve">OTHER FRAMING</t>
  </si>
  <si>
    <t xml:space="preserve">A-EXT-RFI-07: Vestibule head framing VH-101 / VH-100A: stud size not printed (4-7/A12.10 'METAL STUD FRAMING &amp; BOX HEADER AS NEEDED') | Alternatives: 3 5/8" @ 16" (carried, as openings task); 6" @ 16" (delta: 22.06 ft x 5.375 ft of framing moves from 3 5/8" to 6" family)</t>
  </si>
  <si>
    <t xml:space="preserve">7/A12.10</t>
  </si>
  <si>
    <t xml:space="preserve">etapas/2_lectura/A/img/A-EXT_det_4_A12.10.png</t>
  </si>
  <si>
    <t xml:space="preserve">25/81</t>
  </si>
  <si>
    <t xml:space="preserve">A-CL-RFI-09: 10/A09.33 CSR soffit: B/DECK VIF and 'ALTERNATE CEILING DETAIL, VIF FLUTE DIRECTION' at the soffit tracks A-CL-SS-WN/WS/EN/ES (59.1) | Alternatives: flutes perpendicular to the tracks (carried, 0 LF purlin; S2.20 flutes E-W); flutes parallel: 1X1X1 16GA PURLIN ACROSS MIN. (2) FLUTES (delta: +18.02 LF purlin (0.75 x 2 x (6.556 + 5.456) = 0.75 x 24.024))</t>
  </si>
  <si>
    <t xml:space="preserve">etapas/4_canon/img/ref_CL-ADV-06_07_10_A0933.png</t>
  </si>
  <si>
    <t xml:space="preserve">26/81</t>
  </si>
  <si>
    <t xml:space="preserve">ZZ GENERAL (no partition type)</t>
  </si>
  <si>
    <t xml:space="preserve">RFI-A-AC-RFI-01-blocking-rows-millwork-loc: A-AC-RFI-01 blocking rows (millwork, lockers, boards): Rows of blocking per item are not printed: carried 1 row for counters / base cabinets / boards / lockers, 2 rows for upper cabinets and shelving standards (CRITERION) (delta: lockers +4.86 LF, boards +12.0 LF, millwork base items +28.58 LF if 2 rows everywhere; -60.4 LF if 1 row everywhere)</t>
  </si>
  <si>
    <t xml:space="preserve">A12.03 note D, A02.01 key note 5</t>
  </si>
  <si>
    <t xml:space="preserve">etapas/2_lectura/A/img/A-AC-MW_millwork.png</t>
  </si>
  <si>
    <t xml:space="preserve">27/81</t>
  </si>
  <si>
    <t xml:space="preserve">RFI-A-AC-RFI-02-shelving-blocking-material: A-AC-RFI-02 shelving blocking material: A12.04 / A12.06 shelving sections say PRESSURE TREATED blocking while sheet note D says FRTW at all millwork mounting locations; FRT carried (delta: MW05 + MW06A x2 = 20.71 LF move from FRT to pressure-treated wood)</t>
  </si>
  <si>
    <t xml:space="preserve">A12.04, A12.03 note D</t>
  </si>
  <si>
    <t xml:space="preserve">etapas/2_lectura/A/img/A-AC-MW18.png</t>
  </si>
  <si>
    <t xml:space="preserve">28/81</t>
  </si>
  <si>
    <t xml:space="preserve">RFI-A-AC-RFI-03-small-accessories-wall-sto: A-AC-RFI-03 small accessories / wall stops: Toilet accessories and wall stops narrower than the stud bay carried at their contour width (or one 16" bay per wall stop); alternative = one 16" bay piece per item; also light wall items under A02.01 note C (#64 hand sanitizer x4 A03.01, #9 wall clock x1, (delta: toilet accessories at 16" min.: +7.0 LF; wall stops at 0 (fastened to stud): -12.0 LF; light note-C items (BA-09): +12.0 LF metal blocking (9 x 1.333) if one 16)</t>
  </si>
  <si>
    <t xml:space="preserve">A08.01 note E, A00.30 note D</t>
  </si>
  <si>
    <t xml:space="preserve">etapas/2_lectura/A/img/A-AC-TA_toilet_accessories.png</t>
  </si>
  <si>
    <t xml:space="preserve">29/81</t>
  </si>
  <si>
    <t xml:space="preserve">A-CL-RFI-01: Carrying channel direction of suspended GB ceilings not printed (R77.7) | Alternatives: E-W (carried); N-S (delta: canon.py carrying (polygon rooms: mean chord area/width): 104 WAITING: E-W 153.25 LF vs N-S 180.0 LF; 100 VESTIBULE: E-W 48.67 LF vs N-S 40.69 LF; 101 24 HR VES)</t>
  </si>
  <si>
    <t xml:space="preserve">A04.01, A09.33</t>
  </si>
  <si>
    <t xml:space="preserve">etapas/2_lectura/A/img/A-CL_rcp_rooms.png</t>
  </si>
  <si>
    <t xml:space="preserve">30/81</t>
  </si>
  <si>
    <t xml:space="preserve">A-CL-RFI-04: Canopy B.O.D. printed '111'-9"' (S2.20 TYP. @ CANOPY) - typo | Alternatives: 11'-9"; as printed (delta: no interior walls under the canopy deck; affects only canopy framing heights)</t>
  </si>
  <si>
    <t xml:space="preserve">S2.20</t>
  </si>
  <si>
    <t xml:space="preserve">etapas/2_lectura/A/img/A-CL_s220_bod.png</t>
  </si>
  <si>
    <t xml:space="preserve">31/81</t>
  </si>
  <si>
    <t xml:space="preserve">RFI-TA-2: TA-2 recessed accessory: rough-in width not printed in the set (A08.01 / A00.40 -&gt; specifications) (delta: 0 framed openings carried vs 1 framed opening (2 jamb studs + 2 track pieces) per unit if wider than the 14 3/8" stud bay)</t>
  </si>
  <si>
    <t xml:space="preserve">A08.01</t>
  </si>
  <si>
    <t xml:space="preserve">etapas/2_lectura/A/img/A08.01_toilet_accessory_legend.png</t>
  </si>
  <si>
    <t xml:space="preserve">32/81</t>
  </si>
  <si>
    <t xml:space="preserve">RFI-TA-13: TA-13 recessed accessory: rough-in width not printed in the set (A08.01 / A00.40 -&gt; specifications) (delta: 0 framed openings carried vs 1 framed opening (2 jamb studs + 2 track pieces) per unit if wider than the 14 3/8" stud bay)</t>
  </si>
  <si>
    <t xml:space="preserve">33/81</t>
  </si>
  <si>
    <t xml:space="preserve">RFI-TA-14: TA-14 recessed accessory: rough-in width not printed in the set (A08.01 / A00.40 -&gt; specifications) (delta: 0 framed openings carried vs 1 framed opening (2 jamb studs + 2 track pieces) per unit if wider than the 14 3/8" stud bay)</t>
  </si>
  <si>
    <t xml:space="preserve">34/81</t>
  </si>
  <si>
    <t xml:space="preserve">RFI-FEC-1: FEC-1 recessed accessory: rough-in width not printed in the set (A08.01 / A00.40 -&gt; specifications) (delta: 0 framed openings carried vs 1 framed opening (2 jamb studs + 2 track pieces) per unit if wider than the 14 3/8" stud bay)</t>
  </si>
  <si>
    <t xml:space="preserve">A00.40</t>
  </si>
  <si>
    <t xml:space="preserve">etapas/2_lectura/A/img/A00.40_FEC_knox.png</t>
  </si>
  <si>
    <t xml:space="preserve">35/81</t>
  </si>
  <si>
    <t xml:space="preserve">A-G-RFI-07: beams over the office front walls (S2.20): Grid 7 front line carries two colinear beams (W12x14 north / W14x30 south of the W16x26 girder): east bulkheads split by opening (E1/E2 W12x14, E3/E4 W14x30); W3 (PT0042) line has W12x19 (HIGH) + W8x10 -&gt; W8x10 carried; E5 / W4 have a W8x10 over ~3.35 ft only (delta: W3 -0.358 ft x 12.47 ft; E5/W4 -0.6575 ft x 3.35 ft each (stud and board height))</t>
  </si>
  <si>
    <t xml:space="preserve">etapas/2_lectura/A/img/A-G_S2.20_east_front.png</t>
  </si>
  <si>
    <t xml:space="preserve">36/81</t>
  </si>
  <si>
    <t xml:space="preserve">A-CL-RFI-11: Canopy joist length (A09.21): thick framing line runs to the wall framing, the joist bottom / plywood line stops at the wall insulation face; no bearing dimensioned | Alternatives: joist = fascia inner face to the outer face of the wall sheathing / insulation (carried 3.724 ft average); joist runs t (delta: +~17.8 LF 3-5/8" stud on CANOPY NORTH (45 x ~0.395 ft: sec C 4.398 - 4.008, sec B 3.407 - 3.005); W / E / S canopies would need the same check)</t>
  </si>
  <si>
    <t xml:space="preserve">A09.21</t>
  </si>
  <si>
    <t xml:space="preserve">etapas/4_canon/img/ref_CL-ADV-08_A0921_secC_B.png</t>
  </si>
  <si>
    <t xml:space="preserve">37/81</t>
  </si>
  <si>
    <t xml:space="preserve">Detail</t>
  </si>
  <si>
    <t xml:space="preserve">RFI-A-AC-RFI-07-backboard-height: A-AC-RFI-07 backboard height: ELECTRICAL 120 elevations dimension 8'-0" from the floor while key note 6 says INSTALL 6" AFF: 7'-6" carried (R73.14); NER 121 prints 6" + 8'-0" (delta: +0.5 ft x 25.0 LF = +12.5 SF if a full 8'-0" sheet is used in 120)</t>
  </si>
  <si>
    <t xml:space="preserve">4/A11.03</t>
  </si>
  <si>
    <t xml:space="preserve">etapas/2_lectura/A/img/A-AC-KN6_backboard.png</t>
  </si>
  <si>
    <t xml:space="preserve">38/81</t>
  </si>
  <si>
    <t xml:space="preserve">A-EXT-RFI-09: Storefront cripples / pier top under the HSS9x5 storefront header (S2.20 T.O.S. 9'-4 1/2") vs the canopy beam in between (A/A09.21) | Alternatives: cripples HSS T.O.S. -&gt; roof perimeter beam (carried); cripples split at the canopy beam (delta: storefront cripples share of A-EXT-RFI-04 (same decision): -46.5 LF 6" stud (SFC-100 11.18 + SFC-CZ 27.47 + SFC-AF2W 7.85) and +90.62 LF 6" track (2 x (12.56 + )</t>
  </si>
  <si>
    <t xml:space="preserve">A/A09.21</t>
  </si>
  <si>
    <t xml:space="preserve">etapas/4_canon/img/ref_EXA-01_secA_A09.21_HSS_canopyW_roofW_in_cavity.png</t>
  </si>
  <si>
    <t xml:space="preserve">39/81</t>
  </si>
  <si>
    <t xml:space="preserve">RFI-NHA-9D-TTW-DU-ATM: NHA 9D TTW DU ATM: R.O. width conflict: 2'-2 1/2" R.O. (7/A08.11 plan) vs 2'-2 1/8" (26.4") R.O. (5/A08.11 elevation); plan value carried (delta: 0.0313 ft x (box beam 4 pcs + sill 1 pc) = 0.16 LF)</t>
  </si>
  <si>
    <t xml:space="preserve">7/A08.11</t>
  </si>
  <si>
    <t xml:space="preserve">etapas/2_lectura/A/img/A08.11_ATM.png</t>
  </si>
  <si>
    <t xml:space="preserve">40/81</t>
  </si>
  <si>
    <t xml:space="preserve">A-EXT-RFI-06: Canopy column wrap height (5/A09.25 plan detail only): carried T/SLAB -&gt; B/CANOPY 10'-6" (2/A09.01) | Alternatives: 10'-6" B/CANOPY (carried); to the canopy beam / T/CANOPY 12'-8" (delta: 4 wraps x 12 studs x 2.17 ft = +104 LF of 3 5/8" stud and + 4 x 5.6667 x 2.17 = +49 SF FRT plywood if to T/CANOPY)</t>
  </si>
  <si>
    <t xml:space="preserve">etapas/2_lectura/A/img/A-EXT_det_5_A09.25.png</t>
  </si>
  <si>
    <t xml:space="preserve">41/81</t>
  </si>
  <si>
    <t xml:space="preserve">A-EXT-RFI-08: Roof step roof-side face (4/A02.02 'ROOF MEMBRANE ON 5/8" FRT PLYWOOD BONDED TO POLYISO INSULATION'): polyiso thickness not printed; not carried as nailbase | Alternatives: not carried (roofing / nailbase not printed); nailbase 51.73 ft x 3.11 ft (delta: + 161 SF nailbase if carried)</t>
  </si>
  <si>
    <t xml:space="preserve">etapas/2_lectura/A/img/A-EXT_det_4_A02.02.png</t>
  </si>
  <si>
    <t xml:space="preserve">42/81</t>
  </si>
  <si>
    <t xml:space="preserve">RFI-A-AC-RFI-08-DU-ATM-printed-extra-framing: A-AC-RFI-08 DU ATM printed extra framing: 6/A08.11 prints '2 1/2" METAL STUD SISTERED TO 6" METAL STUD W/ MINERAL WOOL INSULATION' (explicit extra framing in the recess): U1 = 0 in the family, RFI only (delta: +12.0 LF 2 1/2" stud (2 jambs x 6'-0" plinth to box beam, 6/A08.11))</t>
  </si>
  <si>
    <t xml:space="preserve">6/A08.11</t>
  </si>
  <si>
    <t xml:space="preserve">etapas/2_lectura/A/img/A-AC-ATM_plinth.png</t>
  </si>
  <si>
    <t xml:space="preserve">43/81</t>
  </si>
  <si>
    <t xml:space="preserve">RFI-NHA-9D-TTW-DU-ATM-extra-framing: NHA 9D TTW DU ATM extra framing: 6/A08.11 prints "2 1/2" METAL STUD SISTERED TO 6" METAL STUD W/ MINERAL WOOL INSULATION" at the drive-up ATM; extent not dimensioned (R77.11: extra framing ATM = 0, printed extra -&gt; RFI) (delta: 0 carried vs 2 1/2" studs sistered over the ATM surround height on each jamb (not dimensioned))</t>
  </si>
  <si>
    <t xml:space="preserve">etapas/2_lectura/A/img/A08.11_6_5_DU_ATM.png</t>
  </si>
  <si>
    <t xml:space="preserve">44/81</t>
  </si>
  <si>
    <t xml:space="preserve">RFI-A-AC-RFI-05-ATM-plinths: A-AC-RFI-05 ATM plinths: 3/A08.11 'FRT PLYWOOD ON FRAMING' (WU plinth top, 2'-8" x 3'-9" = 10.0 SF) has no thickness; 6/A08.11 '(2) LAYERS 3/4" FRT PLYWOOD PLINTH' (DU) has no plan size. Plinth carpentry may be outside the metal frame / drywall scope (delta: +10.0 SF FRT plywood (WU) + 2 layers x DU ATM footprint (about 4 ft deep in 6/A08.11, width not printed))</t>
  </si>
  <si>
    <t xml:space="preserve">3/A08.11</t>
  </si>
  <si>
    <t xml:space="preserve">45/81</t>
  </si>
  <si>
    <t xml:space="preserve">RFI-103: A00.30 lists height 13'-6 1/2" for grille 103 while 2/A08.21 draws an 11'-6" high opening (vector) under the ACT; 11'-6" carried (delta: jamb/cripple heights only (header LF unchanged))</t>
  </si>
  <si>
    <t xml:space="preserve">2/A08.21</t>
  </si>
  <si>
    <t xml:space="preserve">etapas/2_lectura/A/img/A08.21_2_grille_elev_measure.png</t>
  </si>
  <si>
    <t xml:space="preserve">46/81</t>
  </si>
  <si>
    <t xml:space="preserve">A-EXT-RFI-02: Elevation titles vs north arrow: 1/A09.01 is titled SOUTH ELEVATION but shows the plan-top face (storefronts, grids 8..1); 2/A09.02 titled NORTH shows the plan-bottom face (door 123). A02.01 north arrow points up. | Alternatives: facade names by the north arrow (carried: plan top = NORTH); facade na (delta: 0 LF / 0 SF (names only: NORTH &lt;-&gt; SOUTH swap of the facade labels))</t>
  </si>
  <si>
    <t xml:space="preserve">1/A09.01</t>
  </si>
  <si>
    <t xml:space="preserve">etapas/2_lectura/A/img/A-EXT_north_arrow.png</t>
  </si>
  <si>
    <t xml:space="preserve">47/81</t>
  </si>
  <si>
    <t xml:space="preserve">A-CL-RFI-05: Canopy soffit joist direction not labelled (3/A09.26, 7/A09.26, 16/A09.27) | Alternatives: perpendicular to the wall (carried, E13); parallel to the wall between the canopy steel (delta: WEST drive-up: E-W 43 joists x 18.65 = ~802 LF vs N-S 17 x 49.35 = ~839 LF (+37 LF); N/E/S strips: perpendicular ~ (L/1.333+1) x depth vs parallel ~ (depth/1.33)</t>
  </si>
  <si>
    <t xml:space="preserve">etapas/2_lectura/A/img/A-CL_CANOPY_WEST.png</t>
  </si>
  <si>
    <t xml:space="preserve">48/81</t>
  </si>
  <si>
    <t xml:space="preserve">A-EXT-RFI-04: Canopy beams drawn inside the exterior stud plane (3/A09.26, 7/A09.26, A/A09.21): studs carried continuous slab -&gt; perimeter roof beam; the set does not say whether studs are cut at the canopy beam | Alternatives: continuous studs slab / HSS lintel -&gt; roof perimeter beam (carried); studs split at th (delta: if split (one project decision with A-EXT-RFI-09): -188 LF 6" stud (DERIVED +/-10 %: N 13.22; E-HIGH 49.84; W2 27.03; WJ 6.10; W3-HIGH 32.71 [W12x19 HIGH d after EXA)</t>
  </si>
  <si>
    <t xml:space="preserve">etapas/4_canon/img/ref_EXA-01_det7_A09.26_canopy_beam_in_cavity.png</t>
  </si>
  <si>
    <t xml:space="preserve">49/81</t>
  </si>
  <si>
    <t xml:space="preserve">A-CL-RFI-13: Fascia box bottom return of 5/8" ext. grade FRT plywood (3/A09.26 = 7/A09.26 hatch across the bottom, 3.61 in): canon.py generates fascia sheathing = L x height_ft only (no separate bottom width) | Alternatives: outer face only (tool output); outer face + bottom return 0.3009 ft (drawn) (delta: +71.53 SF frt_5_8_ext (237.726 LF x 0.3009 ft))</t>
  </si>
  <si>
    <t xml:space="preserve">etapas/4_canon/img/ref_CL-ADV-05_3_A0926.png</t>
  </si>
  <si>
    <t xml:space="preserve">50/81</t>
  </si>
  <si>
    <t xml:space="preserve">CL-ADV-05 (adversarial, not expressible): FRT plywood at the bottom of the fascia box (+71.53 SF 5/8" FRT plywood) has no canon field (RFI A-CL-RFI-13)</t>
  </si>
  <si>
    <t xml:space="preserve">see the cited detail sheet</t>
  </si>
  <si>
    <t xml:space="preserve">51/81</t>
  </si>
  <si>
    <t xml:space="preserve">RFI-100-AF-2-storefronts: 100 / AF-2 storefronts: 2/A09.26 storefront head prints "STEEL HEADER FRAMING" but no lintel appears on S2.10 / S2.20 / S5.x; carried as steel by others (E16). Alternative: metal stud box beam 4 pieces (delta: 0 LF carried vs 197.25 LF of box beam for the three storefronts)</t>
  </si>
  <si>
    <t xml:space="preserve">etapas/2_lectura/A/img/A09.26_2_storefront_head.png</t>
  </si>
  <si>
    <t xml:space="preserve">52/81</t>
  </si>
  <si>
    <t xml:space="preserve">RFI-AF-2-storefront-CENTRAL-ZONE-103-south: AF-2 storefront CENTRAL ZONE 103 south (grid G / 4-6): no wall section cuts the central zone storefront; head taken SIM 2/A09.26 (same T/GLAZING 8'-6" on 2/A09.01) (delta: same as storefront steel-header RFI for this opening)</t>
  </si>
  <si>
    <t xml:space="preserve">etapas/2_lectura/A/img/A09.21_A_A09.23_J_sections.png</t>
  </si>
  <si>
    <t xml:space="preserve">53/81</t>
  </si>
  <si>
    <t xml:space="preserve">RFI-storefront-jamb-return: storefront jamb return: storefronts with one jamb at a wall end take jamb_return true from 2/A09.26 ("GYPSUM BOARD JAMB RETURN BEYOND"); accesorios also adds the head edge though 2/A09.26 shows 3/4" FRT plywood (no gypsum) at the head (delta: head edge 16.375 SF (R.O. x 0.5 ft) may be excluded)</t>
  </si>
  <si>
    <t xml:space="preserve">54/81</t>
  </si>
  <si>
    <t xml:space="preserve">A-EXT-RFI-10: Pier storefront jamb strips (1/A09.25, 2/A09.25): 2 plies of 3/4" FRT plywood drawn, label singular (R77.4) | Alternatives: 1 ply per jamb (label, carried); 2 plies per jamb (as drawn) (delta: +23.59 SF 3/4" FRT plywood (PR31-100 6.44 + PR31-AF2W 6.45 + PR30-CZ 4.25 + PR30-100 6.45))</t>
  </si>
  <si>
    <t xml:space="preserve">etapas/4_canon/img/ref_EXA-04_2_A09.25_pier4G_strips.png</t>
  </si>
  <si>
    <t xml:space="preserve">55/81</t>
  </si>
  <si>
    <t xml:space="preserve">RFI-E5-02: Gypsum board control joints: the set labels 'CJ CONTROL JOINT' only for stucco (A09.01, A09.02 exterior legend, 5/A09.31 ACM to stucco) and slab / paving joints (S-sheets, civil); no gypsum board control joint is drawn or noted on A12.01, A09.33 or A04.01 (corner bead, casing bead and shadow molding (delta: n/a: excluded; if required, +1 control joint per gypsum run over the ASTM C840 limit (alternate))</t>
  </si>
  <si>
    <t xml:space="preserve">5/A09.31</t>
  </si>
  <si>
    <t xml:space="preserve">56/81</t>
  </si>
  <si>
    <t xml:space="preserve">A-CL-RFI-12: Recessed linear fixtures (R-11A, R-11C, R-11CE, UU1-UU6): sides 2 x schedule length x qty are determined (54.1) but framed_openings.py rejects an item without width_in, so they stay in fo_in.pendientes and out of the family (tool limit, the proposals folder, file adversarial.md) | Alternatives: sides c (delta: +798.88 LF framed openings MEP (ends 2 x W x 27 stay PENDING + FO-RFI-01))</t>
  </si>
  <si>
    <t xml:space="preserve">5/A09.33</t>
  </si>
  <si>
    <t xml:space="preserve">etapas/4_canon/img/ref_CL-ADV-01_E0201_A0933.png</t>
  </si>
  <si>
    <t xml:space="preserve">57/81</t>
  </si>
  <si>
    <t xml:space="preserve">FO-RFI-01: RFI: framed-opening width of recessed linear fixtures (R-11A/R-11C/R-11CE trimless gyp slot, UU1-UU6 canopy linear) is not printed (4/A09.33 "COORD. W/ FIXTURE CUTSHEET"). Sides carried 798.0 LF (2 x schedule length x qty, 27 fixtures); the 27 x 2 ends are PENDING. (delta: +2 x W x 27 LF (W = cutsheet width; e.g. W 2.5 in -&gt; +11.25 LF; W 4 in -&gt; +18.0 LF) plus +1/4 in per fixture length (5/A09.33 FIXTURE LENGTH + 1/4"))</t>
  </si>
  <si>
    <t xml:space="preserve">4/A09.33</t>
  </si>
  <si>
    <t xml:space="preserve">58/81</t>
  </si>
  <si>
    <t xml:space="preserve">FO-RFI-02: RFI R-11C / R-11CE: E00.01 description 12' LINEAR vs catalog FSM2L-...-20'-0"; E02.01 draws 12.0 ft -&gt; 12 ft carried (60.9). (delta: +2 x (20 - 12) x 4 = +64 LF if 20 ft)</t>
  </si>
  <si>
    <t xml:space="preserve">59/81</t>
  </si>
  <si>
    <t xml:space="preserve">FO-RFI-03: RFI: TBDI-10 slot diffuser (SD/SDR) sizes in GB ceilings 100/101/113/114 are "SEE DRAWING" on M00.03 and not dimensioned on M01.01: carried at the M01.01 vector outline (SD-RUN 4 x 12.878 ft x 7.667 in, SD-SLOT 4 x 2.294 ft x 7.733 in = 131.64 LF, DERIVED); exact size per cutsheet. Untagged exhaust (delta: carried 131.64 LF; +/- (cutsheet size - vector outline) x 2 x 8 openings)</t>
  </si>
  <si>
    <t xml:space="preserve">60/81</t>
  </si>
  <si>
    <t xml:space="preserve">FO-RFI-04: RFI UU6: E02.01 draws 16.333 ft (294 pt) vs schedule 16 ft; 16 ft carried (schedule length, 54.1). (delta: +2 x 0.333 = +0.67 LF)</t>
  </si>
  <si>
    <t xml:space="preserve">61/81</t>
  </si>
  <si>
    <t xml:space="preserve">CL-ADV-01 (adversarial, not expressible): sides of the recessed linear fixtures R-11A/C/CE, UU1-UU6 (798.88 LF framed openings) not carried because framed_openings.py rejects a null width (RFI A-CL-RFI-12 + FO-RFI-01)</t>
  </si>
  <si>
    <t xml:space="preserve">62/81</t>
  </si>
  <si>
    <t xml:space="preserve">A-CL-RFI-07: Waiting 104 island W / E transitions (T02, T03) fall on the roof beam lines W12x14 / W14x30 (vigas_out.json) | Alternatives: vertical studs to deck (carried); vertical studs to beam bottom (B.O.D. - d - ceiling) (delta: T02/T03: ~ (16.6 ft x 11.9 in + 12.7 ft x 13.8 in) / 12 / 1.333 stud spacing per edge ~ -12.6 LF stud each)</t>
  </si>
  <si>
    <t xml:space="preserve">etapas/2_lectura/A/img/A-CL_s220_beams_T02_T03.png</t>
  </si>
  <si>
    <t xml:space="preserve">63/81</t>
  </si>
  <si>
    <t xml:space="preserve">A-CL-RFI-06: Vertical studs of 7/A09.33 transition: spacing not labelled | Alternatives: 16" O.C. (as 8/A09.33, carried); 48" O.C. (with each kicker) (delta: T01-T04: (ROUNDUP(L/1.333)+1 - (ROUNDUP(L/4)+1)) x height per transition)</t>
  </si>
  <si>
    <t xml:space="preserve">etapas/2_lectura/A/img/A-CL_det_7_A09.33.png</t>
  </si>
  <si>
    <t xml:space="preserve">64/81</t>
  </si>
  <si>
    <t xml:space="preserve">A-CL-RFI-08: Ceiling transitions 7/A09.33: shadow molding at the ACT side may be the ACT ceiling trade (A-AC-RFI-04 logic); all 4 trims carried (transition_trim_per_lf 4) | Alternatives: all 4 trims carried (consistent with A-G-TRIM-4/5); shadow molding at the ACT side by the ceiling trade (delta: -87.21 LF metal trim if ACT-side moldings are by others (T01-T03 ACT 103 side 77.03 + T04 ACT/ACT 2 x 5.089); the GB 104 side 77.03 LF is ours in any case)</t>
  </si>
  <si>
    <t xml:space="preserve">etapas/4_canon/img/ref_CL-ADV-03_04_7_A0933.png</t>
  </si>
  <si>
    <t xml:space="preserve">65/81</t>
  </si>
  <si>
    <t xml:space="preserve">A-CL-RFI-10: CSR soffit 10/A09.33 / 9/A12.08: no track drawn at the joist ends (only CONT. TRACK at the deck); the joist-end lines coincide with the drop lines that already carry a bottom track | Alternatives: joist ends fastened to the drop-line bottom track (carried: soffit_side 2 lines); separate track at eac (delta: +24.04 LF ceiling / soffit track (2 x 12.021))</t>
  </si>
  <si>
    <t xml:space="preserve">66/81</t>
  </si>
  <si>
    <t xml:space="preserve">A-G-RFI-02: bulkhead stud size: 8/A12.01 and 9/A12.01 label 'METAL STUD' without size; taken 1 5/8" double row (G system 5/A12.01, same isolator) per 53.3. Alternative 3 5/8" (interior default 7/S5.20). | Alternatives: 1 5/8" double row (carried); 3 5/8" double row (delta: same LF, stud size 1 5/8" vs 3 5/8" on the bulkhead studs)</t>
  </si>
  <si>
    <t xml:space="preserve">8/A12.01</t>
  </si>
  <si>
    <t xml:space="preserve">etapas/2_lectura/A/img/A-G_det_8_9_A12.01.png</t>
  </si>
  <si>
    <t xml:space="preserve">67/81</t>
  </si>
  <si>
    <t xml:space="preserve">RFI-A-AC-RFI-04-office-front-shadow-molding: A-AC-RFI-04 office front shadow molding: 8 / 9/A12.01 SHADOW MOLDING 'AS SPECIFIED' where ACT meets the bulkhead may be the ACT wall molding (ceiling trade) (delta: -116.96 LF shadow molding)</t>
  </si>
  <si>
    <t xml:space="preserve">etapas/2_lectura/A/img/A-AC-OF_office_front.png</t>
  </si>
  <si>
    <t xml:space="preserve">68/81</t>
  </si>
  <si>
    <t xml:space="preserve">RFI-DFC-1A-front-OFFICES-105-108: DFC-1A front OFFICES 105-108: CONT. BOX BEAM over the office front taken jamb to jamb across the whole front (R77.2); alternative: one box beam per 7'-6" office front opening (delta: 165.2221 LF carried vs 141.3333 LF per opening (delta 23.8888 LF))</t>
  </si>
  <si>
    <t xml:space="preserve">etapas/2_lectura/A/img/A12.01_8_9_office_bulkhead.png</t>
  </si>
  <si>
    <t xml:space="preserve">69/81</t>
  </si>
  <si>
    <t xml:space="preserve">RFI-DFC-1A-front-OFFICES-109-110: DFC-1A front OFFICES 109-110: CONT. BOX BEAM over the office front taken jamb to jamb across the whole front (R77.2); alternative: one box beam per 7'-6" office front opening (delta: 79.3557 LF carried vs 70.6667 LF per opening (delta 8.6891 LF))</t>
  </si>
  <si>
    <t xml:space="preserve">70/81</t>
  </si>
  <si>
    <t xml:space="preserve">A-CL-RFI-03: Type C1 (6/A12.01) furring on block: top of studs / board not shown (break line) | Alternatives: to underside of structure; to ceiling + 6" (delta: per C1 wall: L x (B.O.D. - (ceiling + 0.5)) SF of board and LF of stud)</t>
  </si>
  <si>
    <t xml:space="preserve">etapas/2_lectura/A/img/A-CL_a1201_types.png</t>
  </si>
  <si>
    <t xml:space="preserve">71/81</t>
  </si>
  <si>
    <t xml:space="preserve">A-B-RFI-05: C1 heights (all A-B-C1-*): C1 top condition not drawn (6/A12.01 break line) - see A-CL-RFI-03 | Alternatives: to underside of structure (carried); to ceiling + 6" (delta: per C1 element L x (B.O.D. - (ceiling + 0.5)): chases 2 x 10.03 x (13.052 - 9.0) = 81.3 SF MR + studs; monitor box 11.33 x (15.375 - 11.5) = 43.9 SF)</t>
  </si>
  <si>
    <t xml:space="preserve">etapas/2_lectura/A/img/A-B_det_6_A12.01.png</t>
  </si>
  <si>
    <t xml:space="preserve">72/81</t>
  </si>
  <si>
    <t xml:space="preserve">A-A1-RFI-05: Untagged drinking-fountain alcove (A-A1-U01a/b/c, A1 by note A) closes the gap between two B2 pieces of the corridor west line: wall of the A1 list or niche (R74.3, OTHER FRAMING "alcove")? | Alternatives: niche per R74.3 (particion.py decides); A1 wall of the list (delta: 7.47 LF in/out of the A1 partition list (material stays in the canon))</t>
  </si>
  <si>
    <t xml:space="preserve">etapas/2_lectura/A/img/A-A1-U01a.png</t>
  </si>
  <si>
    <t xml:space="preserve">73/81</t>
  </si>
  <si>
    <t xml:space="preserve">RFI-A-AC-RFI-06-A1K-casing-beads: A-AC-RFI-06 A1K casing beads: 4/A12.01 asks 'APPROPRIATE METAL TRIM AND CASING BEADS' on the A1K / A5K customer face (3/8" gyp over ballistic at 8'-0"); LF depends on the A1K walls (walls task) (delta: +1 casing bead x LF of A1K customer faces (horizontal joint at 8'-0"))</t>
  </si>
  <si>
    <t xml:space="preserve">74/81</t>
  </si>
  <si>
    <t xml:space="preserve">A-A1-RFI-01: A1K end walls of the CSR line (K11, K12): which face is CUSTOMER SIDE (4/A12.01)? Read: the face away from the teller station (continuous Z contour with the B2K / K13 returns and the 2.7 pt jogs, R76.3). | Alternatives: customer = face away from teller station (taken); customer = face toward teller  (delta: 0 SF ballistic / 3/8" (same L x H on either face); only the room label changes)</t>
  </si>
  <si>
    <t xml:space="preserve">etapas/2_lectura/A/img/A-A1_jogs.png</t>
  </si>
  <si>
    <t xml:space="preserve">75/81</t>
  </si>
  <si>
    <t xml:space="preserve">RFI-CSR-LINE-12-0-1-4-R-O-HOLD: CSR LINE 12-0 1/4 R.O. HOLD: no header printed over the 12'-0 1/4" CSR opening; the GB soffit (9/A12.08) spans it (delta: 0 LF carried vs 26.7083 LF if a 2-piece header (2-362CSJ20 class) were required)</t>
  </si>
  <si>
    <t xml:space="preserve">9/A12.08</t>
  </si>
  <si>
    <t xml:space="preserve">etapas/2_lectura/A/img/A12.08_CSR_line.png</t>
  </si>
  <si>
    <t xml:space="preserve">76/81</t>
  </si>
  <si>
    <t xml:space="preserve">RFI-101: "METAL STUD FRAMING &amp; BOX HEADER AS NEEDED" (4-7/A12.10) over glass front 101: box header size not printed; carried as 4 pieces x (R.O. + 1'-4") of 3 5/8" metal stud (E11) (delta: 0 LF if no box header is needed vs 67.9165 LF as carried)</t>
  </si>
  <si>
    <t xml:space="preserve">etapas/2_lectura/A/img/A12.10_4_7_box_header.png</t>
  </si>
  <si>
    <t xml:space="preserve">77/81</t>
  </si>
  <si>
    <t xml:space="preserve">RFI-100A: "METAL STUD FRAMING &amp; BOX HEADER AS NEEDED" (4-7/A12.10) over glass front 100A: box header size not printed; carried as 4 pieces x (R.O. + 1'-4") of 3 5/8" metal stud (E11) (delta: 0 LF if no box header is needed vs 31.0001 LF as carried)</t>
  </si>
  <si>
    <t xml:space="preserve">78/81</t>
  </si>
  <si>
    <t xml:space="preserve">A-CL-RFI-02: Exterior stud: 7/S5.20 600S137-33 @16" vs S1.11 note 5 600S162-54 @16" (@12" within 6 ft of corners) | Alternatives: 600S162-54 (S1.11, heavier); 600S137-33 (S5.20) (delta: gauge 54 vs 33 mil + extra studs at 12" O.C. within 6 ft of each building corner)</t>
  </si>
  <si>
    <t xml:space="preserve">7/S5.20</t>
  </si>
  <si>
    <t xml:space="preserve">etapas/2_lectura/A/img/A-CL_s520_schedule.png</t>
  </si>
  <si>
    <t xml:space="preserve">79/81</t>
  </si>
  <si>
    <t xml:space="preserve">RFI-exterior-openings-vs-7-S5-20: exterior openings vs 7/S5.20: 7/S5.20 NON LOAD BRG rows are INTERIOR only; exterior openings take the box beam printed in their head detail (14/A09.27, 11/A09.27, 6/A08.11) instead (delta: none if box beams accepted)</t>
  </si>
  <si>
    <t xml:space="preserve">etapas/2_lectura/A/img/S5.20_7_header_schedule.png</t>
  </si>
  <si>
    <t xml:space="preserve">80/81</t>
  </si>
  <si>
    <t xml:space="preserve">A-A1-RFI-02: Interior 6" studs (A5) gauge / spacing not printed (7/S5.20 lists 6" only for exterior walls). Taken 600S137-33 @ 16" O.C. | Alternatives: 33 mil @ 16" (taken); per S1.11 54 mil (delta: gauge only, no LF change)</t>
  </si>
  <si>
    <t xml:space="preserve">etapas/2_lectura/A/img/A-A1_det_3_A12.01.png</t>
  </si>
  <si>
    <t xml:space="preserve">81/81</t>
  </si>
  <si>
    <t xml:space="preserve">RFI-A-E5-RFI-EDGE-stud-blocking-at-edge-of-g: A-E5-RFI-EDGE stud blocking at edge of gypboard (4/S5.20): 4/S5.20 TYPICAL BLOCKING DETAIL (NTS) prints 'STUD BLOCKING 362CR22 (TYP.)' and 'PROVIDE BLOCKING AT THE EDGE OF GYPBOARD.' with no location; S1.11 has no blocking note. Carried (b) = one row of 362CR22 stud blocking at the horizontal board  (delta: (a) - (b) = 415.59 - 561.99 = -146.4 LF of 362CR22 stud blocking)</t>
  </si>
  <si>
    <t xml:space="preserve">4/S5.20</t>
  </si>
  <si>
    <t xml:space="preserve">etapas/4_canon/img/S5.20_4_typical_blocking_edge_of_gypboard.png</t>
  </si>
  <si>
    <t xml:space="preserve">Scope ID</t>
  </si>
  <si>
    <t xml:space="preserve">Scope</t>
  </si>
  <si>
    <t xml:space="preserve">Note (quantity, NOT APPLICABLE + sheet, or RFI)</t>
  </si>
  <si>
    <t xml:space="preserve">ALC-01</t>
  </si>
  <si>
    <t xml:space="preserve">Interior partition framing (studs + tracks)</t>
  </si>
  <si>
    <t xml:space="preserve">QUANTIFIED</t>
  </si>
  <si>
    <t xml:space="preserve">familias_out.json '3-5/8" stud (all gauges)' = 6942.52; familias_out.json '6" stud (all gauges)' = 4401.96; familias_out.json '1-5/8" stud' = 3834.14 LF (Partition Takeoff, A12.01 types)</t>
  </si>
  <si>
    <t xml:space="preserve">ALC-02</t>
  </si>
  <si>
    <t xml:space="preserve">Exterior wall framing (CFMF)</t>
  </si>
  <si>
    <t xml:space="preserve">familias_out.json '6" stud (all gauges)' = 4401.96 LF incl. exterior 6" CFMF type EXT-6CFMF (7/S5.20, F/A09.22)</t>
  </si>
  <si>
    <t xml:space="preserve">ALC-03</t>
  </si>
  <si>
    <t xml:space="preserve">Parapet framing</t>
  </si>
  <si>
    <t xml:space="preserve">familias_out.json '6" parapet stud' = 1000.84 LF, parapet bay by bay (11/S5.10, A02.02)</t>
  </si>
  <si>
    <t xml:space="preserve">ALC-04</t>
  </si>
  <si>
    <t xml:space="preserve">Top / deflection and bottom track</t>
  </si>
  <si>
    <t xml:space="preserve">familias_out.json 'bottom track (all)' = 1341.21; familias_out.json 'top / deflection track (all)' = 1341.21 LF (track_by_element rows)</t>
  </si>
  <si>
    <t xml:space="preserve">ALC-05</t>
  </si>
  <si>
    <t xml:space="preserve">Headers, sills and jambs at openings</t>
  </si>
  <si>
    <t xml:space="preserve">familias_out.json 'header / box beam' = 792.24; familias_out.json 'sill track' = 119.12 LF, sealed by etapa5/sellar.py with closer.py (7/S5.20)</t>
  </si>
  <si>
    <t xml:space="preserve">ALC-06</t>
  </si>
  <si>
    <t xml:space="preserve">Bracing / bridging</t>
  </si>
  <si>
    <t xml:space="preserve">familias_out.json 'bracing C.R. channel' = 2478.09 LF (F/1/S5.20 @ 48" O.C.)</t>
  </si>
  <si>
    <t xml:space="preserve">ALC-07</t>
  </si>
  <si>
    <t xml:space="preserve">Gypsum board on walls (layers per type)</t>
  </si>
  <si>
    <t xml:space="preserve">familias_out.json '5/8" gyp board regular (walls + ceilings)' = 18064.47 SF, face by face (board_caras.py)</t>
  </si>
  <si>
    <t xml:space="preserve">ALC-08</t>
  </si>
  <si>
    <t xml:space="preserve">Moisture / abuse / special board at wet zones</t>
  </si>
  <si>
    <t xml:space="preserve">familias_out.json '5/8" gyp MOISTURE RESISTANT' = 261.77 SF behind toilet and lavatory (F/A08.01)</t>
  </si>
  <si>
    <t xml:space="preserve">ALC-09</t>
  </si>
  <si>
    <t xml:space="preserve">Exterior gypsum / glass mat sheathing</t>
  </si>
  <si>
    <t xml:space="preserve">familias_out.json '5/8" EXTERIOR gyp sheathing' = 959.32; familias_out.json '5/8" glass mat sheathing' = 469.03 SF (A09.26, A09.27)</t>
  </si>
  <si>
    <t xml:space="preserve">ALC-10</t>
  </si>
  <si>
    <t xml:space="preserve">FRT plywood sheathing / substrate</t>
  </si>
  <si>
    <t xml:space="preserve">familias_out.json 'FRT plywood (SF)' = 6404.02 SF by material (frt_plywood_by_material) | ANEXO: BACKCHECK F1 (R77.3): 12/A12.01 prints '3/4" FRT PLYWOOD ON PUBLIC SIDE OF PARTITION, EXTEND TO DECK ABOVE' -&gt; plywood_strips BC-F1-PLY-F01 (15.2076 x 15.375 = 233.82 SF) + BC-F1-PLY-F02 (2.25 x 12.6875 = 28.55 SF), frt_3_4 uso substrate, A02.01 vector lobby face 17.4576 ft; RFI A-B-RFI-03 closed. familias_out.json 'FRT plywood (SF)' 6404.02 -&gt; 6666.38; 'FRT plywood substrate (3/4 in.)' 400.4 -&gt; 662.76 SF. Evidence: etapas/4_canon/img/BC-F1_A02.01_typeF_lobby_face.png, img/BC-F1_A12.01_det12_typeF.png, backcheck/APLICADO_BACKCHECK.md</t>
  </si>
  <si>
    <t xml:space="preserve">ALC-11</t>
  </si>
  <si>
    <t xml:space="preserve">Gypsum board ceilings</t>
  </si>
  <si>
    <t xml:space="preserve">familias_out.json '5/8" gyp board regular (walls + ceilings)' = 18064.47 SF incl. the GB ceilings of rooms 100, 101, 104, 113, 114, 116 (A04.01, A9.22 'NEW SUSPENDED GYPSUM WALL BOARD')</t>
  </si>
  <si>
    <t xml:space="preserve">ALC-12</t>
  </si>
  <si>
    <t xml:space="preserve">Ceiling suspension (furring / carrying channel / hanger wire / ceiling track)</t>
  </si>
  <si>
    <t xml:space="preserve">familias_out.json 'furring channel' = 787.16; familias_out.json 'carrying channel' = 324.76; familias_out.json 'hanger wire' = 533.62; familias_out.json 'ceiling / soffit track' = 1245.68 LF (A04.01, 10/A09.33)</t>
  </si>
  <si>
    <t xml:space="preserve">ALC-13</t>
  </si>
  <si>
    <t xml:space="preserve">Soffits and bulkheads (framing + board)</t>
  </si>
  <si>
    <t xml:space="preserve">familias_out.json 'ceiling / soffit track' = 1245.68 LF; CSR soffit 9/A12.08 and transitions 7/A09.33 in OTHER FRAMING</t>
  </si>
  <si>
    <t xml:space="preserve">ALC-14</t>
  </si>
  <si>
    <t xml:space="preserve">Canopy / marquee framing and sheathing</t>
  </si>
  <si>
    <t xml:space="preserve">canopy soffit joists, fascia boxes and sheathing: Excel rows 'Track, ceilings / soffits / canopy' (1245.68 LF) and '5/8" FRT plywood sheathing (canopy and soffits)' (1874.29 SF), A09.21, 3/A09.26</t>
  </si>
  <si>
    <t xml:space="preserve">ALC-15</t>
  </si>
  <si>
    <t xml:space="preserve">Column furring / wraps</t>
  </si>
  <si>
    <t xml:space="preserve">canopy column wraps CANOPY-COL (5/A09.25): 4 walls in Partition Takeoff and '5/8" FRT plywood at canopy column wraps' = 238.01 SF</t>
  </si>
  <si>
    <t xml:space="preserve">ALC-16</t>
  </si>
  <si>
    <t xml:space="preserve">Blocking (FRT wood / metal) for millwork and accessories</t>
  </si>
  <si>
    <t xml:space="preserve">familias_out.json 'FRT blocking' = 676.82; familias_out.json 'metal stud blocking (362CR / STUD BLOCKING)' = 64.23 LF (A00.30 millwork, A08.01 note E, A02.01 note C) | ANEXO: Update after edge-of-gypboard blocking (4/S5.20, REGLA 56.8/59.14): metal stud blocking now from etapas/4_canon/familias_out.json (edge row computed by canon.py with constants.sheet_len_ft); see etapas/4_canon/edge_blocking.md</t>
  </si>
  <si>
    <t xml:space="preserve">ALC-17</t>
  </si>
  <si>
    <t xml:space="preserve">Framed openings (MEP, access panels, diffusers)</t>
  </si>
  <si>
    <t xml:space="preserve">framed_openings_out.json 'framed openings MEP' = 139.64 LF; access panel 1.0 PCS (A04.01 key note 4)</t>
  </si>
  <si>
    <t xml:space="preserve">ALC-18</t>
  </si>
  <si>
    <t xml:space="preserve">Trim: corner bead, casing bead, control joints, reveals</t>
  </si>
  <si>
    <t xml:space="preserve">familias_out.json 'metal trim (corner bead, casing, shadow molding)' = 995.68 LF (9/A12.01, 10/A12.01, 7/A09.33)</t>
  </si>
  <si>
    <t xml:space="preserve">ALC-19</t>
  </si>
  <si>
    <t xml:space="preserve">Acoustical sealant / sound attenuation (EXCLUDED: estimator standing order, all projects)</t>
  </si>
  <si>
    <t xml:space="preserve">NOT APPLICABLE</t>
  </si>
  <si>
    <t xml:space="preserve">EXCLUDED: EXCLUDED in all projects (estimator standing order): no acoustical sealant row and no quantity</t>
  </si>
  <si>
    <t xml:space="preserve">ALC-20</t>
  </si>
  <si>
    <t xml:space="preserve">FRP / cement board / tile backer</t>
  </si>
  <si>
    <t xml:space="preserve">familias_out.json 'FRP' = 349.56; familias_out.json 'cement board' = 33.36 SF (A08.01, A09.26)</t>
  </si>
  <si>
    <t xml:space="preserve">ALC-21</t>
  </si>
  <si>
    <t xml:space="preserve">Shaft walls / area separation walls</t>
  </si>
  <si>
    <t xml:space="preserve">NOT APPLICABLE: A12.01 partition schedule lists types A1, A5, A6, A8, A1K, A5K, B, B2, C1, F, G, G1 only (no shaft wall or area separation wall); A02.01 has no shaft; the scan finds no shaft keyword in the 94 pages</t>
  </si>
  <si>
    <t xml:space="preserve">ALC-22</t>
  </si>
  <si>
    <t xml:space="preserve">Rated assemblies (UL designs) and their board type</t>
  </si>
  <si>
    <t xml:space="preserve">NOT APPLICABLE: A12.01 prints '--' under FIRE RATING and U.L. NUMBER for every partition type; the hits are the fire-rated plywood backboards (A11.03 key note 6, E02.02 note 29: carried as FRT plywood substrate), A12.02 NER plywood stamp note, generic penetration notes M00.01, M03.01, E00.01 and the E04.02 UL firestop penetration detail - no rated partition assembly</t>
  </si>
  <si>
    <t xml:space="preserve">ALC-23</t>
  </si>
  <si>
    <t xml:space="preserve">Special panels (ballistic, lead-lined, abuse)</t>
  </si>
  <si>
    <t xml:space="preserve">familias_out.json 'ballistic panel' = 85.39; familias_out.json '3/8" gyp board' = 66.32 SF on A1K / B2K customer faces (4/A12.01, A12.01)</t>
  </si>
  <si>
    <t xml:space="preserve">ALC-24</t>
  </si>
  <si>
    <t xml:space="preserve">Finish level (Level 4 / Level 5)</t>
  </si>
  <si>
    <t xml:space="preserve">accesorios 'Level 5 finish' = 712.87 SF (A05.01 key note, A12.02)</t>
  </si>
  <si>
    <t xml:space="preserve">CLAR-01</t>
  </si>
  <si>
    <t xml:space="preserve">CL-01 Existing vs new</t>
  </si>
  <si>
    <t xml:space="preserve">All work is new: A00.00 'PROJECT TYPE: GROUND UP - NEW FINANCIAL CENTER'; survey page 7 'VACANT LAND'. No existing walls, no patch and repair allowance (no demolition plan other than civil C2.0).</t>
  </si>
  <si>
    <t xml:space="preserve">CLAR-02</t>
  </si>
  <si>
    <t xml:space="preserve">CL-02 Insulation (batt / sound attenuation)</t>
  </si>
  <si>
    <t xml:space="preserve">EXCLUDED in all projects (estimator criterion): A12.01 'BATT INSULATION' located and cited, not priced.</t>
  </si>
  <si>
    <t xml:space="preserve">CLAR-03</t>
  </si>
  <si>
    <t xml:space="preserve">CL-03 Acoustical sealant</t>
  </si>
  <si>
    <t xml:space="preserve">CLAR-04</t>
  </si>
  <si>
    <t xml:space="preserve">CL-04 Cladding substrates (hat channel, Z-girt, metal lath, EIFS / stucco)</t>
  </si>
  <si>
    <t xml:space="preserve">EXCLUDED: A09.27 EPS hat channel, A09.31 stucco lath / hat channel and A08.11 fiber cement furring belong to the cladding / plaster trades (Div 07 / 09 24 00).</t>
  </si>
  <si>
    <t xml:space="preserve">CLAR-05</t>
  </si>
  <si>
    <t xml:space="preserve">CL-05 Light fixtures</t>
  </si>
  <si>
    <t xml:space="preserve">EXCLUDED (Div 26): only the framed openings for recessed fixtures and their board return / trim are ours (framed_openings_out.json); linear fixture widths per cutsheet are RFI FO-RFI-01.</t>
  </si>
  <si>
    <t xml:space="preserve">CLAR-06</t>
  </si>
  <si>
    <t xml:space="preserve">CL-06 Office front system (DFC-1A)</t>
  </si>
  <si>
    <t xml:space="preserve">EXCLUDED: 'OFFICE FRONT SYSTEM BY BANK VENDOR. INSTALL ON STRUCTURAL SLAB' (9/A12.01, 10/A12.01). Ours: CONT. BOX BEAM bulkhead, 3/4" FRT plywood blocking, corner bead and the G wall ends at the vendor frame.</t>
  </si>
  <si>
    <t xml:space="preserve">CLAR-07</t>
  </si>
  <si>
    <t xml:space="preserve">CL-07 Storefront / curtain wall / glazing</t>
  </si>
  <si>
    <t xml:space="preserve">EXCLUDED (Div 08): AF-2 storefronts and GL-2 windows; storefront openings are out of the exterior type LF (R70.7); framing above the heads is OTHER FRAMING (storefront cripples).</t>
  </si>
  <si>
    <t xml:space="preserve">CLAR-08</t>
  </si>
  <si>
    <t xml:space="preserve">CL-08 Coiling grille</t>
  </si>
  <si>
    <t xml:space="preserve">EXCLUDED (Div 08, vendor): grille 103 itself; ours is the 6" CFMF box beam head and the 2-1/2" CFMF head of 4/A08.21.</t>
  </si>
  <si>
    <t xml:space="preserve">CLAR-09</t>
  </si>
  <si>
    <t xml:space="preserve">CL-09 Block partition (C1)</t>
  </si>
  <si>
    <t xml:space="preserve">EXCLUDED (Div 04): the block of 6/A12.01 PARTITION TYPE C1; ours is the 3-5/8" stud furring and one layer of 5/8" board on the single drawn face.</t>
  </si>
  <si>
    <t xml:space="preserve">CLAR-10</t>
  </si>
  <si>
    <t xml:space="preserve">CL-10 Millwork, cabinets, toilet accessories, corner guards</t>
  </si>
  <si>
    <t xml:space="preserve">EXCLUDED (Div 06 / 10): only the blocking behind them is carried (A00.30 millwork schedule, A08.01 note E).</t>
  </si>
  <si>
    <t xml:space="preserve">CLAR-11</t>
  </si>
  <si>
    <t xml:space="preserve">CL-11 Gypsum board control joints</t>
  </si>
  <si>
    <t xml:space="preserve">EXCLUDED with RFI-E5-02: no gypsum control joint drawn or noted (CJ only for stucco and slabs).</t>
  </si>
  <si>
    <t xml:space="preserve">CLAR-12</t>
  </si>
  <si>
    <t xml:space="preserve">CL-12 Finish level</t>
  </si>
  <si>
    <t xml:space="preserve">Level 4 assumed on all gypsum board (joint compound yield Inputs); Level 5 only where the finish plan asks (A05.01 key note), see Level 5 row and RFI-ACC Level 5.</t>
  </si>
  <si>
    <t xml:space="preserve">CLAR-13</t>
  </si>
  <si>
    <t xml:space="preserve">CL-13 One-face board</t>
  </si>
  <si>
    <t xml:space="preserve">C1 furring and liners carry board on the drawn face only (6/A12.01); A1K / B2K: ballistic panel and 3/8" board on the customer face only (4/A12.01).</t>
  </si>
  <si>
    <t xml:space="preserve">CLAR-14</t>
  </si>
  <si>
    <t xml:space="preserve">CL-14 V.I.F. conditions</t>
  </si>
  <si>
    <t xml:space="preserve">10/A09.33 'ALTERNATE CEILING DETAIL, VIF FLUTE DIRECTION': purlin across the flutes carried as drawn; RFI A-CL-RFI-09 (+18.02 LF purlin) if flutes run parallel.</t>
  </si>
  <si>
    <t xml:space="preserve">CLAR-15</t>
  </si>
  <si>
    <t xml:space="preserve">CL-15 Trade criteria not drawn</t>
  </si>
  <si>
    <t xml:space="preserve">Carried by estimator criteria: cement board under the FRP cove base band, metal blocking rows where the plan gives no count (A-AC-RFI-01), 1-1/2" C.R. bracing @ 48" (F/1/S5.20), deflection track at deck (10/S5.10); each one with its RFI where the plan is silent.</t>
  </si>
  <si>
    <t xml:space="preserve">ALC-X40</t>
  </si>
  <si>
    <t xml:space="preserve">batt insulation</t>
  </si>
  <si>
    <t xml:space="preserve">EXCLUDED (estimator criterion: no insulation)</t>
  </si>
  <si>
    <t xml:space="preserve">reglas.py compuerta OK</t>
  </si>
  <si>
    <t xml:space="preserve">{"canon": "d234fa10d2a60c9c9f9b211f3f662dd756c113e2e8a59f7a74bb28ac2d8f2f88", "evidencias": "a2a466387311f66a3f1eb004948ecfcd9c5b9869c1f046f31e3bfc0d8908b7da", "familias_out": "d4ca54213b66bc2e00a7c2f7286f9b3c3f6a6ae303323536391ce17567c9f083", "reglas": "4e74adebfacb138c2ee2dec0e8bc4e671a1edb1b4776f25f0c085a6b6bc6e02e", "version": "v73"}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</si>
</sst>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  <fill>
      <patternFill patternType="solid">
        <fgColor rgb="FFDDEB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22"/>
    <col collapsed="false" customWidth="true" hidden="false" outlineLevel="0" max="3" min="3" style="0" width="6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4" customFormat="false" ht="15" hidden="false" customHeight="false" outlineLevel="0" collapsed="false">
      <c r="A4" s="2" t="s">
        <v>2</v>
      </c>
      <c r="B4" s="2" t="s">
        <v>3</v>
      </c>
      <c r="C4" s="2" t="s">
        <v>4</v>
      </c>
    </row>
    <row r="5" customFormat="false" ht="15" hidden="false" customHeight="false" outlineLevel="0" collapsed="false">
      <c r="A5" s="0" t="s">
        <v>5</v>
      </c>
      <c r="B5" s="3" t="n">
        <v>0.15</v>
      </c>
      <c r="C5" s="4" t="s">
        <v>6</v>
      </c>
    </row>
    <row r="6" customFormat="false" ht="15" hidden="false" customHeight="false" outlineLevel="0" collapsed="false">
      <c r="A6" s="0" t="s">
        <v>7</v>
      </c>
      <c r="B6" s="3" t="n">
        <v>0.06</v>
      </c>
      <c r="C6" s="4" t="s">
        <v>8</v>
      </c>
    </row>
    <row r="7" customFormat="false" ht="15" hidden="false" customHeight="false" outlineLevel="0" collapsed="false">
      <c r="A7" s="0" t="s">
        <v>9</v>
      </c>
      <c r="B7" s="3" t="n">
        <v>4</v>
      </c>
      <c r="C7" s="4" t="s">
        <v>10</v>
      </c>
    </row>
    <row r="8" customFormat="false" ht="15" hidden="false" customHeight="false" outlineLevel="0" collapsed="false">
      <c r="A8" s="0" t="s">
        <v>11</v>
      </c>
      <c r="B8" s="3" t="n">
        <v>12</v>
      </c>
      <c r="C8" s="4" t="s">
        <v>12</v>
      </c>
    </row>
    <row r="9" customFormat="false" ht="15" hidden="false" customHeight="false" outlineLevel="0" collapsed="false">
      <c r="A9" s="0" t="s">
        <v>13</v>
      </c>
      <c r="B9" s="0" t="n">
        <f aca="false">B7*B8</f>
        <v>48</v>
      </c>
      <c r="C9" s="0" t="s">
        <v>14</v>
      </c>
    </row>
    <row r="10" customFormat="false" ht="15" hidden="false" customHeight="false" outlineLevel="0" collapsed="false">
      <c r="A10" s="0" t="s">
        <v>15</v>
      </c>
      <c r="B10" s="3" t="n">
        <v>20</v>
      </c>
      <c r="C10" s="4" t="s">
        <v>16</v>
      </c>
    </row>
    <row r="11" customFormat="false" ht="15" hidden="false" customHeight="false" outlineLevel="0" collapsed="false">
      <c r="A11" s="0" t="s">
        <v>17</v>
      </c>
      <c r="B11" s="3" t="n">
        <v>10</v>
      </c>
      <c r="C11" s="4" t="s">
        <v>18</v>
      </c>
    </row>
    <row r="12" customFormat="false" ht="15" hidden="false" customHeight="false" outlineLevel="0" collapsed="false">
      <c r="A12" s="0" t="s">
        <v>19</v>
      </c>
      <c r="B12" s="0" t="s">
        <v>20</v>
      </c>
      <c r="C12" s="0" t="s">
        <v>21</v>
      </c>
    </row>
    <row r="13" customFormat="false" ht="15" hidden="false" customHeight="false" outlineLevel="0" collapsed="false">
      <c r="A13" s="0" t="s">
        <v>22</v>
      </c>
      <c r="B13" s="0" t="s">
        <v>20</v>
      </c>
      <c r="C13" s="0" t="s">
        <v>21</v>
      </c>
    </row>
    <row r="14" customFormat="false" ht="15" hidden="false" customHeight="false" outlineLevel="0" collapsed="false">
      <c r="A14" s="0" t="s">
        <v>23</v>
      </c>
      <c r="B14" s="0" t="s">
        <v>20</v>
      </c>
      <c r="C14" s="0" t="s">
        <v>21</v>
      </c>
    </row>
    <row r="15" customFormat="false" ht="15" hidden="false" customHeight="false" outlineLevel="0" collapsed="false">
      <c r="A15" s="0" t="s">
        <v>24</v>
      </c>
      <c r="B15" s="3" t="n">
        <v>25</v>
      </c>
      <c r="C15" s="4" t="s">
        <v>25</v>
      </c>
    </row>
    <row r="16" customFormat="false" ht="15" hidden="false" customHeight="false" outlineLevel="0" collapsed="false">
      <c r="A16" s="0" t="s">
        <v>26</v>
      </c>
      <c r="B16" s="3" t="n">
        <v>16</v>
      </c>
      <c r="C16" s="4" t="s">
        <v>27</v>
      </c>
    </row>
    <row r="17" customFormat="false" ht="15" hidden="false" customHeight="false" outlineLevel="0" collapsed="false">
      <c r="A17" s="0" t="s">
        <v>28</v>
      </c>
      <c r="B17" s="3" t="n">
        <v>12</v>
      </c>
      <c r="C17" s="4" t="s">
        <v>29</v>
      </c>
    </row>
    <row r="18" customFormat="false" ht="15" hidden="false" customHeight="false" outlineLevel="0" collapsed="false">
      <c r="A18" s="0" t="s">
        <v>30</v>
      </c>
      <c r="B18" s="3" t="n">
        <v>10</v>
      </c>
      <c r="C18" s="4" t="s">
        <v>31</v>
      </c>
    </row>
    <row r="19" customFormat="false" ht="15" hidden="false" customHeight="false" outlineLevel="0" collapsed="false">
      <c r="A19" s="0" t="s">
        <v>32</v>
      </c>
      <c r="B19" s="3" t="s">
        <v>33</v>
      </c>
      <c r="C19" s="4" t="s">
        <v>34</v>
      </c>
    </row>
    <row r="20" customFormat="false" ht="15" hidden="false" customHeight="false" outlineLevel="0" collapsed="false">
      <c r="A20" s="0" t="s">
        <v>35</v>
      </c>
      <c r="B20" s="3" t="n">
        <v>1.2</v>
      </c>
      <c r="C20" s="4" t="s">
        <v>36</v>
      </c>
    </row>
    <row r="21" customFormat="false" ht="15" hidden="false" customHeight="false" outlineLevel="0" collapsed="false">
      <c r="A21" s="0" t="s">
        <v>37</v>
      </c>
      <c r="B21" s="3" t="n">
        <v>4</v>
      </c>
      <c r="C21" s="4" t="s">
        <v>38</v>
      </c>
    </row>
    <row r="22" customFormat="false" ht="15" hidden="false" customHeight="false" outlineLevel="0" collapsed="false">
      <c r="A22" s="0" t="s">
        <v>39</v>
      </c>
      <c r="B22" s="3" t="n">
        <v>1</v>
      </c>
      <c r="C22" s="4" t="s">
        <v>40</v>
      </c>
    </row>
    <row r="23" customFormat="false" ht="15" hidden="false" customHeight="false" outlineLevel="0" collapsed="false">
      <c r="A23" s="0" t="s">
        <v>41</v>
      </c>
      <c r="B23" s="3" t="n">
        <v>0.072</v>
      </c>
      <c r="C23" s="4" t="s">
        <v>42</v>
      </c>
    </row>
    <row r="24" customFormat="false" ht="15" hidden="false" customHeight="false" outlineLevel="0" collapsed="false">
      <c r="A24" s="0" t="s">
        <v>43</v>
      </c>
      <c r="B24" s="3" t="n">
        <v>0.37</v>
      </c>
      <c r="C24" s="4" t="s">
        <v>44</v>
      </c>
    </row>
    <row r="25" customFormat="false" ht="15" hidden="false" customHeight="false" outlineLevel="0" collapsed="false">
      <c r="A25" s="0" t="s">
        <v>45</v>
      </c>
      <c r="B25" s="3" t="n">
        <v>0.6667</v>
      </c>
      <c r="C25" s="4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41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6" min="6" style="0" width="11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60"/>
    <col collapsed="false" customWidth="true" hidden="false" outlineLevel="0" max="10" min="10" style="0" width="23"/>
    <col collapsed="false" customWidth="true" hidden="false" outlineLevel="0" max="11" min="11" style="0" width="13"/>
  </cols>
  <sheetData>
    <row r="1" customFormat="false" ht="16.15" hidden="false" customHeight="false" outlineLevel="0" collapsed="false">
      <c r="A1" s="1" t="s">
        <v>47</v>
      </c>
    </row>
    <row r="2" customFormat="false" ht="15" hidden="false" customHeight="false" outlineLevel="0" collapsed="false">
      <c r="A2" s="0" t="s">
        <v>48</v>
      </c>
    </row>
    <row r="4" customFormat="false" ht="15" hidden="false" customHeight="false" outlineLevel="0" collapsed="false">
      <c r="A4" s="2" t="s">
        <v>49</v>
      </c>
      <c r="B4" s="2" t="s">
        <v>50</v>
      </c>
      <c r="C4" s="2" t="s">
        <v>51</v>
      </c>
      <c r="D4" s="2" t="s">
        <v>52</v>
      </c>
      <c r="E4" s="2" t="s">
        <v>53</v>
      </c>
      <c r="F4" s="2" t="s">
        <v>54</v>
      </c>
      <c r="G4" s="2" t="s">
        <v>55</v>
      </c>
      <c r="H4" s="2" t="s">
        <v>56</v>
      </c>
      <c r="I4" s="2" t="s">
        <v>57</v>
      </c>
      <c r="J4" s="2" t="s">
        <v>58</v>
      </c>
      <c r="K4" s="2" t="s">
        <v>59</v>
      </c>
    </row>
    <row r="5" customFormat="false" ht="15" hidden="false" customHeight="false" outlineLevel="0" collapsed="false">
      <c r="A5" s="5" t="s">
        <v>60</v>
      </c>
    </row>
    <row r="6" customFormat="false" ht="15" hidden="false" customHeight="false" outlineLevel="0" collapsed="false">
      <c r="A6" s="0" t="s">
        <v>61</v>
      </c>
      <c r="B6" s="0" t="s">
        <v>62</v>
      </c>
      <c r="C6" s="0" t="n">
        <v>17.021</v>
      </c>
      <c r="D6" s="0" t="n">
        <v>15.375</v>
      </c>
      <c r="E6" s="0" t="n">
        <v>2</v>
      </c>
      <c r="F6" s="0" t="s">
        <v>63</v>
      </c>
      <c r="G6" s="0" t="n">
        <v>16</v>
      </c>
      <c r="H6" s="0" t="n">
        <v>348.93</v>
      </c>
      <c r="I6" s="0" t="s">
        <v>64</v>
      </c>
      <c r="J6" s="0" t="s">
        <v>65</v>
      </c>
      <c r="K6" s="0" t="s">
        <v>66</v>
      </c>
    </row>
    <row r="7" customFormat="false" ht="15" hidden="false" customHeight="false" outlineLevel="0" collapsed="false">
      <c r="A7" s="0" t="s">
        <v>67</v>
      </c>
      <c r="B7" s="0" t="s">
        <v>68</v>
      </c>
      <c r="C7" s="0" t="n">
        <v>3.531</v>
      </c>
      <c r="D7" s="0" t="n">
        <v>15.375</v>
      </c>
      <c r="E7" s="0" t="n">
        <v>2</v>
      </c>
      <c r="F7" s="0" t="s">
        <v>63</v>
      </c>
      <c r="G7" s="0" t="n">
        <v>16</v>
      </c>
      <c r="H7" s="0" t="n">
        <v>74.16</v>
      </c>
      <c r="I7" s="0" t="s">
        <v>69</v>
      </c>
      <c r="J7" s="0" t="s">
        <v>65</v>
      </c>
      <c r="K7" s="0" t="s">
        <v>66</v>
      </c>
    </row>
    <row r="8" customFormat="false" ht="15" hidden="false" customHeight="false" outlineLevel="0" collapsed="false">
      <c r="A8" s="0" t="s">
        <v>70</v>
      </c>
      <c r="B8" s="0" t="s">
        <v>71</v>
      </c>
      <c r="C8" s="0" t="n">
        <v>2.021</v>
      </c>
      <c r="D8" s="0" t="n">
        <v>15.375</v>
      </c>
      <c r="E8" s="0" t="n">
        <v>2</v>
      </c>
      <c r="F8" s="0" t="s">
        <v>63</v>
      </c>
      <c r="G8" s="0" t="n">
        <v>16</v>
      </c>
      <c r="H8" s="0" t="n">
        <v>42.44</v>
      </c>
      <c r="I8" s="0" t="s">
        <v>72</v>
      </c>
      <c r="J8" s="0" t="s">
        <v>65</v>
      </c>
      <c r="K8" s="0" t="s">
        <v>66</v>
      </c>
    </row>
    <row r="9" customFormat="false" ht="15" hidden="false" customHeight="false" outlineLevel="0" collapsed="false">
      <c r="A9" s="0" t="s">
        <v>73</v>
      </c>
      <c r="B9" s="0" t="s">
        <v>74</v>
      </c>
      <c r="C9" s="0" t="n">
        <v>5.587</v>
      </c>
      <c r="D9" s="0" t="n">
        <v>15.375</v>
      </c>
      <c r="E9" s="0" t="n">
        <v>2</v>
      </c>
      <c r="F9" s="0" t="s">
        <v>63</v>
      </c>
      <c r="G9" s="0" t="n">
        <v>16</v>
      </c>
      <c r="H9" s="0" t="n">
        <v>62.88</v>
      </c>
      <c r="I9" s="0" t="s">
        <v>75</v>
      </c>
      <c r="J9" s="0" t="s">
        <v>65</v>
      </c>
      <c r="K9" s="0" t="s">
        <v>66</v>
      </c>
    </row>
    <row r="10" customFormat="false" ht="15" hidden="false" customHeight="false" outlineLevel="0" collapsed="false">
      <c r="A10" s="0" t="s">
        <v>76</v>
      </c>
      <c r="B10" s="0" t="s">
        <v>77</v>
      </c>
      <c r="C10" s="0" t="n">
        <v>15.233</v>
      </c>
      <c r="D10" s="0" t="n">
        <v>13.052</v>
      </c>
      <c r="E10" s="0" t="n">
        <v>2</v>
      </c>
      <c r="F10" s="0" t="s">
        <v>63</v>
      </c>
      <c r="G10" s="0" t="n">
        <v>16</v>
      </c>
      <c r="H10" s="0" t="n">
        <v>274.2</v>
      </c>
      <c r="I10" s="0" t="s">
        <v>78</v>
      </c>
      <c r="J10" s="0" t="s">
        <v>65</v>
      </c>
      <c r="K10" s="0" t="s">
        <v>66</v>
      </c>
    </row>
    <row r="11" customFormat="false" ht="15" hidden="false" customHeight="false" outlineLevel="0" collapsed="false">
      <c r="A11" s="0" t="s">
        <v>79</v>
      </c>
      <c r="B11" s="0" t="s">
        <v>80</v>
      </c>
      <c r="C11" s="0" t="n">
        <v>5.094</v>
      </c>
      <c r="D11" s="0" t="n">
        <v>13.052</v>
      </c>
      <c r="E11" s="0" t="n">
        <v>2</v>
      </c>
      <c r="F11" s="0" t="s">
        <v>63</v>
      </c>
      <c r="G11" s="0" t="n">
        <v>16</v>
      </c>
      <c r="H11" s="0" t="n">
        <v>39.79</v>
      </c>
      <c r="I11" s="0" t="s">
        <v>81</v>
      </c>
      <c r="J11" s="0" t="s">
        <v>65</v>
      </c>
      <c r="K11" s="0" t="s">
        <v>66</v>
      </c>
    </row>
    <row r="12" customFormat="false" ht="15" hidden="false" customHeight="false" outlineLevel="0" collapsed="false">
      <c r="A12" s="0" t="s">
        <v>82</v>
      </c>
      <c r="B12" s="0" t="s">
        <v>83</v>
      </c>
      <c r="C12" s="0" t="n">
        <v>2.139</v>
      </c>
      <c r="D12" s="0" t="n">
        <v>11.91</v>
      </c>
      <c r="E12" s="0" t="n">
        <v>2</v>
      </c>
      <c r="F12" s="0" t="s">
        <v>63</v>
      </c>
      <c r="G12" s="0" t="n">
        <v>16</v>
      </c>
      <c r="H12" s="0" t="n">
        <v>39.57</v>
      </c>
      <c r="I12" s="0" t="s">
        <v>84</v>
      </c>
      <c r="J12" s="0" t="s">
        <v>65</v>
      </c>
      <c r="K12" s="0" t="s">
        <v>66</v>
      </c>
    </row>
    <row r="13" customFormat="false" ht="15" hidden="false" customHeight="false" outlineLevel="0" collapsed="false">
      <c r="A13" s="0" t="s">
        <v>85</v>
      </c>
      <c r="B13" s="0" t="s">
        <v>86</v>
      </c>
      <c r="C13" s="0" t="n">
        <v>20.517</v>
      </c>
      <c r="D13" s="0" t="n">
        <v>11.91</v>
      </c>
      <c r="E13" s="0" t="n">
        <v>2</v>
      </c>
      <c r="F13" s="0" t="s">
        <v>63</v>
      </c>
      <c r="G13" s="0" t="n">
        <v>16</v>
      </c>
      <c r="H13" s="0" t="n">
        <v>362.1</v>
      </c>
      <c r="I13" s="0" t="s">
        <v>87</v>
      </c>
      <c r="J13" s="0" t="s">
        <v>65</v>
      </c>
      <c r="K13" s="0" t="s">
        <v>66</v>
      </c>
    </row>
    <row r="14" customFormat="false" ht="15" hidden="false" customHeight="false" outlineLevel="0" collapsed="false">
      <c r="A14" s="0" t="s">
        <v>88</v>
      </c>
      <c r="B14" s="0" t="s">
        <v>89</v>
      </c>
      <c r="C14" s="0" t="n">
        <v>11.667</v>
      </c>
      <c r="D14" s="0" t="n">
        <v>13.052</v>
      </c>
      <c r="E14" s="0" t="n">
        <v>2</v>
      </c>
      <c r="F14" s="0" t="s">
        <v>63</v>
      </c>
      <c r="G14" s="0" t="n">
        <v>16</v>
      </c>
      <c r="H14" s="0" t="n">
        <v>168.05</v>
      </c>
      <c r="I14" s="0" t="s">
        <v>90</v>
      </c>
      <c r="J14" s="0" t="s">
        <v>65</v>
      </c>
      <c r="K14" s="0" t="s">
        <v>66</v>
      </c>
    </row>
    <row r="15" customFormat="false" ht="15" hidden="false" customHeight="false" outlineLevel="0" collapsed="false">
      <c r="A15" s="5" t="s">
        <v>91</v>
      </c>
    </row>
    <row r="16" customFormat="false" ht="15" hidden="false" customHeight="false" outlineLevel="0" collapsed="false">
      <c r="A16" s="0" t="s">
        <v>92</v>
      </c>
      <c r="B16" s="0" t="s">
        <v>93</v>
      </c>
      <c r="C16" s="0" t="n">
        <v>19.405</v>
      </c>
      <c r="D16" s="0" t="n">
        <v>13.711</v>
      </c>
      <c r="E16" s="0" t="n">
        <v>2</v>
      </c>
      <c r="F16" s="0" t="s">
        <v>94</v>
      </c>
      <c r="G16" s="0" t="n">
        <v>16</v>
      </c>
      <c r="H16" s="0" t="n">
        <v>378.39</v>
      </c>
      <c r="I16" s="0" t="s">
        <v>95</v>
      </c>
      <c r="J16" s="0" t="s">
        <v>65</v>
      </c>
      <c r="K16" s="0" t="s">
        <v>66</v>
      </c>
    </row>
    <row r="17" customFormat="false" ht="15" hidden="false" customHeight="false" outlineLevel="0" collapsed="false">
      <c r="A17" s="0" t="s">
        <v>96</v>
      </c>
      <c r="B17" s="0" t="s">
        <v>97</v>
      </c>
      <c r="C17" s="0" t="n">
        <v>11</v>
      </c>
      <c r="D17" s="0" t="n">
        <v>15.375</v>
      </c>
      <c r="E17" s="0" t="n">
        <v>2</v>
      </c>
      <c r="F17" s="0" t="s">
        <v>94</v>
      </c>
      <c r="G17" s="0" t="n">
        <v>16</v>
      </c>
      <c r="H17" s="0" t="n">
        <v>231</v>
      </c>
      <c r="I17" s="0" t="s">
        <v>98</v>
      </c>
      <c r="J17" s="0" t="s">
        <v>65</v>
      </c>
      <c r="K17" s="0" t="s">
        <v>66</v>
      </c>
    </row>
    <row r="18" customFormat="false" ht="15" hidden="false" customHeight="false" outlineLevel="0" collapsed="false">
      <c r="A18" s="0" t="s">
        <v>99</v>
      </c>
      <c r="B18" s="0" t="s">
        <v>100</v>
      </c>
      <c r="C18" s="0" t="n">
        <v>5.28</v>
      </c>
      <c r="D18" s="0" t="n">
        <v>11.91</v>
      </c>
      <c r="E18" s="0" t="n">
        <v>2</v>
      </c>
      <c r="F18" s="0" t="s">
        <v>94</v>
      </c>
      <c r="G18" s="0" t="n">
        <v>16</v>
      </c>
      <c r="H18" s="0" t="n">
        <v>47.26</v>
      </c>
      <c r="I18" s="0" t="s">
        <v>101</v>
      </c>
      <c r="J18" s="0" t="s">
        <v>65</v>
      </c>
      <c r="K18" s="0" t="s">
        <v>66</v>
      </c>
    </row>
    <row r="19" customFormat="false" ht="15" hidden="false" customHeight="false" outlineLevel="0" collapsed="false">
      <c r="A19" s="0" t="s">
        <v>102</v>
      </c>
      <c r="B19" s="0" t="s">
        <v>103</v>
      </c>
      <c r="C19" s="0" t="n">
        <v>6.944</v>
      </c>
      <c r="D19" s="0" t="n">
        <v>11.91</v>
      </c>
      <c r="E19" s="0" t="n">
        <v>2</v>
      </c>
      <c r="F19" s="0" t="s">
        <v>94</v>
      </c>
      <c r="G19" s="0" t="n">
        <v>16</v>
      </c>
      <c r="H19" s="0" t="n">
        <v>80.69</v>
      </c>
      <c r="I19" s="0" t="s">
        <v>104</v>
      </c>
      <c r="J19" s="0" t="s">
        <v>65</v>
      </c>
      <c r="K19" s="0" t="s">
        <v>66</v>
      </c>
    </row>
    <row r="20" customFormat="false" ht="15" hidden="false" customHeight="false" outlineLevel="0" collapsed="false">
      <c r="A20" s="5" t="s">
        <v>105</v>
      </c>
    </row>
    <row r="21" customFormat="false" ht="15" hidden="false" customHeight="false" outlineLevel="0" collapsed="false">
      <c r="A21" s="0" t="s">
        <v>106</v>
      </c>
      <c r="B21" s="0" t="s">
        <v>107</v>
      </c>
      <c r="C21" s="0" t="n">
        <v>3.417</v>
      </c>
      <c r="D21" s="0" t="n">
        <v>15.375</v>
      </c>
      <c r="E21" s="0" t="n">
        <v>2</v>
      </c>
      <c r="F21" s="0" t="s">
        <v>63</v>
      </c>
      <c r="G21" s="0" t="n">
        <v>24</v>
      </c>
      <c r="H21" s="0" t="n">
        <v>105.06</v>
      </c>
      <c r="I21" s="0" t="s">
        <v>108</v>
      </c>
      <c r="J21" s="0" t="s">
        <v>109</v>
      </c>
      <c r="K21" s="0" t="s">
        <v>66</v>
      </c>
    </row>
    <row r="22" customFormat="false" ht="15" hidden="false" customHeight="false" outlineLevel="0" collapsed="false">
      <c r="A22" s="0" t="s">
        <v>110</v>
      </c>
      <c r="B22" s="0" t="s">
        <v>111</v>
      </c>
      <c r="C22" s="0" t="n">
        <v>3.417</v>
      </c>
      <c r="D22" s="0" t="n">
        <v>13.052</v>
      </c>
      <c r="E22" s="0" t="n">
        <v>2</v>
      </c>
      <c r="F22" s="0" t="s">
        <v>63</v>
      </c>
      <c r="G22" s="0" t="n">
        <v>24</v>
      </c>
      <c r="H22" s="0" t="n">
        <v>89.2</v>
      </c>
      <c r="I22" s="0" t="s">
        <v>112</v>
      </c>
      <c r="J22" s="0" t="s">
        <v>109</v>
      </c>
      <c r="K22" s="0" t="s">
        <v>66</v>
      </c>
    </row>
    <row r="23" customFormat="false" ht="15" hidden="false" customHeight="false" outlineLevel="0" collapsed="false">
      <c r="A23" s="0" t="s">
        <v>113</v>
      </c>
      <c r="B23" s="0" t="s">
        <v>114</v>
      </c>
      <c r="C23" s="0" t="n">
        <v>1.767</v>
      </c>
      <c r="D23" s="0" t="n">
        <v>13.052</v>
      </c>
      <c r="E23" s="0" t="n">
        <v>2</v>
      </c>
      <c r="F23" s="0" t="s">
        <v>63</v>
      </c>
      <c r="G23" s="0" t="n">
        <v>24</v>
      </c>
      <c r="H23" s="0" t="n">
        <v>46.12</v>
      </c>
      <c r="I23" s="0" t="s">
        <v>115</v>
      </c>
      <c r="J23" s="0" t="s">
        <v>109</v>
      </c>
      <c r="K23" s="0" t="s">
        <v>66</v>
      </c>
    </row>
    <row r="24" customFormat="false" ht="15" hidden="false" customHeight="false" outlineLevel="0" collapsed="false">
      <c r="A24" s="5" t="s">
        <v>116</v>
      </c>
    </row>
    <row r="25" customFormat="false" ht="15" hidden="false" customHeight="false" outlineLevel="0" collapsed="false">
      <c r="A25" s="0" t="s">
        <v>117</v>
      </c>
      <c r="B25" s="0" t="s">
        <v>118</v>
      </c>
      <c r="C25" s="0" t="n">
        <v>11.729</v>
      </c>
      <c r="D25" s="0" t="n">
        <v>13.052</v>
      </c>
      <c r="E25" s="0" t="n">
        <v>2</v>
      </c>
      <c r="F25" s="0" t="s">
        <v>63</v>
      </c>
      <c r="G25" s="0" t="n">
        <v>16</v>
      </c>
      <c r="H25" s="0" t="n">
        <v>306.18</v>
      </c>
      <c r="I25" s="0" t="s">
        <v>119</v>
      </c>
      <c r="J25" s="0" t="s">
        <v>120</v>
      </c>
      <c r="K25" s="0" t="s">
        <v>66</v>
      </c>
    </row>
    <row r="26" customFormat="false" ht="15" hidden="false" customHeight="false" outlineLevel="0" collapsed="false">
      <c r="A26" s="0" t="s">
        <v>121</v>
      </c>
      <c r="B26" s="0" t="s">
        <v>122</v>
      </c>
      <c r="C26" s="0" t="n">
        <v>11.729</v>
      </c>
      <c r="D26" s="0" t="n">
        <v>13.052</v>
      </c>
      <c r="E26" s="0" t="n">
        <v>2</v>
      </c>
      <c r="F26" s="0" t="s">
        <v>63</v>
      </c>
      <c r="G26" s="0" t="n">
        <v>16</v>
      </c>
      <c r="H26" s="0" t="n">
        <v>306.18</v>
      </c>
      <c r="I26" s="0" t="s">
        <v>123</v>
      </c>
      <c r="J26" s="0" t="s">
        <v>120</v>
      </c>
      <c r="K26" s="0" t="s">
        <v>66</v>
      </c>
    </row>
    <row r="27" customFormat="false" ht="15" hidden="false" customHeight="false" outlineLevel="0" collapsed="false">
      <c r="A27" s="0" t="s">
        <v>124</v>
      </c>
      <c r="B27" s="0" t="s">
        <v>125</v>
      </c>
      <c r="C27" s="0" t="n">
        <v>3.5</v>
      </c>
      <c r="D27" s="0" t="n">
        <v>13.052</v>
      </c>
      <c r="E27" s="0" t="n">
        <v>2</v>
      </c>
      <c r="F27" s="0" t="s">
        <v>63</v>
      </c>
      <c r="G27" s="0" t="n">
        <v>16</v>
      </c>
      <c r="H27" s="0" t="n">
        <v>91.36</v>
      </c>
      <c r="I27" s="0" t="s">
        <v>126</v>
      </c>
      <c r="J27" s="0" t="s">
        <v>120</v>
      </c>
      <c r="K27" s="0" t="s">
        <v>66</v>
      </c>
    </row>
    <row r="28" customFormat="false" ht="15" hidden="false" customHeight="false" outlineLevel="0" collapsed="false">
      <c r="A28" s="0" t="s">
        <v>127</v>
      </c>
      <c r="B28" s="0" t="s">
        <v>128</v>
      </c>
      <c r="C28" s="0" t="n">
        <v>9.99</v>
      </c>
      <c r="D28" s="0" t="n">
        <v>13.052</v>
      </c>
      <c r="E28" s="0" t="n">
        <v>2</v>
      </c>
      <c r="F28" s="0" t="s">
        <v>63</v>
      </c>
      <c r="G28" s="0" t="n">
        <v>16</v>
      </c>
      <c r="H28" s="0" t="n">
        <v>260.78</v>
      </c>
      <c r="I28" s="0" t="s">
        <v>129</v>
      </c>
      <c r="J28" s="0" t="s">
        <v>120</v>
      </c>
      <c r="K28" s="0" t="s">
        <v>66</v>
      </c>
    </row>
    <row r="29" customFormat="false" ht="15" hidden="false" customHeight="false" outlineLevel="0" collapsed="false">
      <c r="A29" s="0" t="s">
        <v>130</v>
      </c>
      <c r="B29" s="0" t="s">
        <v>131</v>
      </c>
      <c r="C29" s="0" t="n">
        <v>9.583</v>
      </c>
      <c r="D29" s="0" t="n">
        <v>13.052</v>
      </c>
      <c r="E29" s="0" t="n">
        <v>2</v>
      </c>
      <c r="F29" s="0" t="s">
        <v>63</v>
      </c>
      <c r="G29" s="0" t="n">
        <v>16</v>
      </c>
      <c r="H29" s="0" t="n">
        <v>250.16</v>
      </c>
      <c r="I29" s="0" t="s">
        <v>132</v>
      </c>
      <c r="J29" s="0" t="s">
        <v>120</v>
      </c>
      <c r="K29" s="0" t="s">
        <v>66</v>
      </c>
    </row>
    <row r="30" customFormat="false" ht="15" hidden="false" customHeight="false" outlineLevel="0" collapsed="false">
      <c r="A30" s="0" t="s">
        <v>133</v>
      </c>
      <c r="B30" s="0" t="s">
        <v>134</v>
      </c>
      <c r="C30" s="0" t="n">
        <v>13.74</v>
      </c>
      <c r="D30" s="0" t="n">
        <v>13.052</v>
      </c>
      <c r="E30" s="0" t="n">
        <v>2</v>
      </c>
      <c r="F30" s="0" t="s">
        <v>63</v>
      </c>
      <c r="G30" s="0" t="n">
        <v>16</v>
      </c>
      <c r="H30" s="0" t="n">
        <v>358.66</v>
      </c>
      <c r="I30" s="0" t="s">
        <v>135</v>
      </c>
      <c r="J30" s="0" t="s">
        <v>120</v>
      </c>
      <c r="K30" s="0" t="s">
        <v>66</v>
      </c>
    </row>
    <row r="31" customFormat="false" ht="15" hidden="false" customHeight="false" outlineLevel="0" collapsed="false">
      <c r="A31" s="5" t="s">
        <v>136</v>
      </c>
    </row>
    <row r="32" customFormat="false" ht="15" hidden="false" customHeight="false" outlineLevel="0" collapsed="false">
      <c r="A32" s="0" t="s">
        <v>137</v>
      </c>
      <c r="B32" s="0" t="s">
        <v>138</v>
      </c>
      <c r="C32" s="0" t="n">
        <v>5.542</v>
      </c>
      <c r="D32" s="0" t="n">
        <v>13.052</v>
      </c>
      <c r="E32" s="0" t="n">
        <v>2</v>
      </c>
      <c r="F32" s="0" t="s">
        <v>94</v>
      </c>
      <c r="G32" s="0" t="n">
        <v>16</v>
      </c>
      <c r="H32" s="0" t="n">
        <v>144.66</v>
      </c>
      <c r="I32" s="0" t="s">
        <v>139</v>
      </c>
      <c r="J32" s="0" t="s">
        <v>120</v>
      </c>
      <c r="K32" s="0" t="s">
        <v>140</v>
      </c>
    </row>
    <row r="33" customFormat="false" ht="15" hidden="false" customHeight="false" outlineLevel="0" collapsed="false">
      <c r="A33" s="0" t="s">
        <v>141</v>
      </c>
      <c r="B33" s="0" t="s">
        <v>142</v>
      </c>
      <c r="C33" s="0" t="n">
        <v>15.787</v>
      </c>
      <c r="D33" s="0" t="n">
        <v>13.052</v>
      </c>
      <c r="E33" s="0" t="n">
        <v>2</v>
      </c>
      <c r="F33" s="0" t="s">
        <v>94</v>
      </c>
      <c r="G33" s="0" t="n">
        <v>16</v>
      </c>
      <c r="H33" s="0" t="n">
        <v>412.1</v>
      </c>
      <c r="I33" s="0" t="s">
        <v>143</v>
      </c>
      <c r="J33" s="0" t="s">
        <v>120</v>
      </c>
      <c r="K33" s="0" t="s">
        <v>66</v>
      </c>
    </row>
    <row r="34" customFormat="false" ht="15" hidden="false" customHeight="false" outlineLevel="0" collapsed="false">
      <c r="A34" s="0" t="s">
        <v>144</v>
      </c>
      <c r="B34" s="0" t="s">
        <v>145</v>
      </c>
      <c r="C34" s="0" t="n">
        <v>11.406</v>
      </c>
      <c r="D34" s="0" t="n">
        <v>11.91</v>
      </c>
      <c r="E34" s="0" t="n">
        <v>2</v>
      </c>
      <c r="F34" s="0" t="s">
        <v>94</v>
      </c>
      <c r="G34" s="0" t="n">
        <v>16</v>
      </c>
      <c r="H34" s="0" t="n">
        <v>271.7</v>
      </c>
      <c r="I34" s="0" t="s">
        <v>146</v>
      </c>
      <c r="J34" s="0" t="s">
        <v>120</v>
      </c>
      <c r="K34" s="0" t="s">
        <v>66</v>
      </c>
    </row>
    <row r="35" customFormat="false" ht="15" hidden="false" customHeight="false" outlineLevel="0" collapsed="false">
      <c r="A35" s="0" t="s">
        <v>147</v>
      </c>
      <c r="B35" s="0" t="s">
        <v>148</v>
      </c>
      <c r="C35" s="0" t="n">
        <v>5.667</v>
      </c>
      <c r="D35" s="0" t="n">
        <v>15.375</v>
      </c>
      <c r="E35" s="0" t="n">
        <v>2</v>
      </c>
      <c r="F35" s="0" t="s">
        <v>94</v>
      </c>
      <c r="G35" s="0" t="n">
        <v>16</v>
      </c>
      <c r="H35" s="0" t="n">
        <v>174.26</v>
      </c>
      <c r="I35" s="0" t="s">
        <v>149</v>
      </c>
      <c r="J35" s="0" t="s">
        <v>120</v>
      </c>
      <c r="K35" s="0" t="s">
        <v>140</v>
      </c>
    </row>
    <row r="36" customFormat="false" ht="15" hidden="false" customHeight="false" outlineLevel="0" collapsed="false">
      <c r="A36" s="5" t="s">
        <v>150</v>
      </c>
    </row>
    <row r="37" customFormat="false" ht="15" hidden="false" customHeight="false" outlineLevel="0" collapsed="false">
      <c r="A37" s="0" t="s">
        <v>151</v>
      </c>
      <c r="B37" s="0" t="s">
        <v>152</v>
      </c>
      <c r="C37" s="0" t="n">
        <v>1.773</v>
      </c>
      <c r="D37" s="0" t="n">
        <v>15.375</v>
      </c>
      <c r="E37" s="0" t="n">
        <v>2.29</v>
      </c>
      <c r="F37" s="0" t="s">
        <v>94</v>
      </c>
      <c r="G37" s="0" t="n">
        <v>24</v>
      </c>
      <c r="H37" s="0" t="n">
        <v>58.62</v>
      </c>
      <c r="I37" s="0" t="s">
        <v>153</v>
      </c>
      <c r="J37" s="0" t="s">
        <v>109</v>
      </c>
      <c r="K37" s="0" t="s">
        <v>66</v>
      </c>
    </row>
    <row r="38" customFormat="false" ht="15" hidden="false" customHeight="false" outlineLevel="0" collapsed="false">
      <c r="A38" s="5" t="s">
        <v>154</v>
      </c>
    </row>
    <row r="39" customFormat="false" ht="15" hidden="false" customHeight="false" outlineLevel="0" collapsed="false">
      <c r="A39" s="0" t="s">
        <v>155</v>
      </c>
      <c r="B39" s="0" t="s">
        <v>156</v>
      </c>
      <c r="C39" s="0" t="n">
        <v>17.762</v>
      </c>
      <c r="D39" s="0" t="n">
        <v>15.375</v>
      </c>
      <c r="E39" s="0" t="n">
        <v>2</v>
      </c>
      <c r="F39" s="0" t="s">
        <v>63</v>
      </c>
      <c r="G39" s="0" t="n">
        <v>16</v>
      </c>
      <c r="H39" s="0" t="n">
        <v>337.48</v>
      </c>
      <c r="I39" s="0" t="s">
        <v>157</v>
      </c>
      <c r="J39" s="0" t="s">
        <v>158</v>
      </c>
      <c r="K39" s="0" t="s">
        <v>66</v>
      </c>
    </row>
    <row r="40" customFormat="false" ht="15" hidden="false" customHeight="false" outlineLevel="0" collapsed="false">
      <c r="A40" s="5" t="s">
        <v>159</v>
      </c>
    </row>
    <row r="41" customFormat="false" ht="15" hidden="false" customHeight="false" outlineLevel="0" collapsed="false">
      <c r="A41" s="0" t="s">
        <v>160</v>
      </c>
      <c r="B41" s="0" t="s">
        <v>161</v>
      </c>
      <c r="C41" s="0" t="n">
        <v>10.028</v>
      </c>
      <c r="D41" s="0" t="n">
        <v>13.052</v>
      </c>
      <c r="E41" s="0" t="n">
        <v>1</v>
      </c>
      <c r="F41" s="0" t="s">
        <v>63</v>
      </c>
      <c r="G41" s="0" t="n">
        <v>16</v>
      </c>
      <c r="H41" s="0" t="n">
        <v>130.88</v>
      </c>
      <c r="I41" s="0" t="s">
        <v>162</v>
      </c>
      <c r="J41" s="0" t="s">
        <v>163</v>
      </c>
      <c r="K41" s="0" t="s">
        <v>66</v>
      </c>
    </row>
    <row r="42" customFormat="false" ht="15" hidden="false" customHeight="false" outlineLevel="0" collapsed="false">
      <c r="A42" s="0" t="s">
        <v>164</v>
      </c>
      <c r="B42" s="0" t="s">
        <v>165</v>
      </c>
      <c r="C42" s="0" t="n">
        <v>10.028</v>
      </c>
      <c r="D42" s="0" t="n">
        <v>13.052</v>
      </c>
      <c r="E42" s="0" t="n">
        <v>1</v>
      </c>
      <c r="F42" s="0" t="s">
        <v>63</v>
      </c>
      <c r="G42" s="0" t="n">
        <v>16</v>
      </c>
      <c r="H42" s="0" t="n">
        <v>130.88</v>
      </c>
      <c r="I42" s="0" t="s">
        <v>166</v>
      </c>
      <c r="J42" s="0" t="s">
        <v>163</v>
      </c>
      <c r="K42" s="0" t="s">
        <v>66</v>
      </c>
    </row>
    <row r="43" customFormat="false" ht="15" hidden="false" customHeight="false" outlineLevel="0" collapsed="false">
      <c r="A43" s="0" t="s">
        <v>167</v>
      </c>
      <c r="B43" s="0" t="s">
        <v>168</v>
      </c>
      <c r="C43" s="0" t="n">
        <v>11.333</v>
      </c>
      <c r="D43" s="0" t="n">
        <v>15.375</v>
      </c>
      <c r="E43" s="0" t="n">
        <v>1</v>
      </c>
      <c r="F43" s="0" t="s">
        <v>63</v>
      </c>
      <c r="G43" s="0" t="n">
        <v>16</v>
      </c>
      <c r="H43" s="0" t="n">
        <v>174.25</v>
      </c>
      <c r="I43" s="0" t="s">
        <v>169</v>
      </c>
      <c r="J43" s="0" t="s">
        <v>163</v>
      </c>
      <c r="K43" s="0" t="s">
        <v>66</v>
      </c>
    </row>
    <row r="44" customFormat="false" ht="15" hidden="false" customHeight="false" outlineLevel="0" collapsed="false">
      <c r="A44" s="0" t="s">
        <v>170</v>
      </c>
      <c r="B44" s="0" t="s">
        <v>171</v>
      </c>
      <c r="C44" s="0" t="n">
        <v>3.56</v>
      </c>
      <c r="D44" s="0" t="n">
        <v>13.052</v>
      </c>
      <c r="E44" s="0" t="n">
        <v>1</v>
      </c>
      <c r="F44" s="0" t="s">
        <v>63</v>
      </c>
      <c r="G44" s="0" t="n">
        <v>16</v>
      </c>
      <c r="H44" s="0" t="n">
        <v>46.47</v>
      </c>
      <c r="I44" s="0" t="s">
        <v>172</v>
      </c>
      <c r="J44" s="0" t="s">
        <v>163</v>
      </c>
      <c r="K44" s="0" t="s">
        <v>66</v>
      </c>
    </row>
    <row r="45" customFormat="false" ht="15" hidden="false" customHeight="false" outlineLevel="0" collapsed="false">
      <c r="A45" s="0" t="s">
        <v>173</v>
      </c>
      <c r="B45" s="0" t="s">
        <v>174</v>
      </c>
      <c r="C45" s="0" t="n">
        <v>3.287</v>
      </c>
      <c r="D45" s="0" t="n">
        <v>15.375</v>
      </c>
      <c r="E45" s="0" t="n">
        <v>1</v>
      </c>
      <c r="F45" s="0" t="s">
        <v>63</v>
      </c>
      <c r="G45" s="0" t="n">
        <v>16</v>
      </c>
      <c r="H45" s="0" t="n">
        <v>50.53</v>
      </c>
      <c r="I45" s="0" t="s">
        <v>175</v>
      </c>
      <c r="J45" s="0" t="s">
        <v>176</v>
      </c>
      <c r="K45" s="0" t="s">
        <v>66</v>
      </c>
    </row>
    <row r="46" customFormat="false" ht="15" hidden="false" customHeight="false" outlineLevel="0" collapsed="false">
      <c r="A46" s="0" t="s">
        <v>177</v>
      </c>
      <c r="B46" s="0" t="s">
        <v>178</v>
      </c>
      <c r="C46" s="0" t="n">
        <v>3.58</v>
      </c>
      <c r="D46" s="0" t="n">
        <v>15.375</v>
      </c>
      <c r="E46" s="0" t="n">
        <v>1</v>
      </c>
      <c r="F46" s="0" t="s">
        <v>63</v>
      </c>
      <c r="G46" s="0" t="n">
        <v>16</v>
      </c>
      <c r="H46" s="0" t="n">
        <v>55.04</v>
      </c>
      <c r="I46" s="0" t="s">
        <v>179</v>
      </c>
      <c r="J46" s="0" t="s">
        <v>180</v>
      </c>
      <c r="K46" s="0" t="s">
        <v>66</v>
      </c>
    </row>
    <row r="47" customFormat="false" ht="15" hidden="false" customHeight="false" outlineLevel="0" collapsed="false">
      <c r="A47" s="0" t="s">
        <v>181</v>
      </c>
      <c r="B47" s="0" t="s">
        <v>182</v>
      </c>
      <c r="C47" s="0" t="n">
        <v>4</v>
      </c>
      <c r="D47" s="0" t="n">
        <v>15.375</v>
      </c>
      <c r="E47" s="0" t="n">
        <v>1</v>
      </c>
      <c r="F47" s="0" t="s">
        <v>63</v>
      </c>
      <c r="G47" s="0" t="n">
        <v>16</v>
      </c>
      <c r="H47" s="0" t="n">
        <v>61.52</v>
      </c>
      <c r="I47" s="0" t="s">
        <v>183</v>
      </c>
      <c r="J47" s="0" t="s">
        <v>163</v>
      </c>
      <c r="K47" s="0" t="s">
        <v>66</v>
      </c>
    </row>
    <row r="48" customFormat="false" ht="15" hidden="false" customHeight="false" outlineLevel="0" collapsed="false">
      <c r="A48" s="0" t="s">
        <v>184</v>
      </c>
      <c r="B48" s="0" t="s">
        <v>185</v>
      </c>
      <c r="C48" s="0" t="n">
        <v>2.94</v>
      </c>
      <c r="D48" s="0" t="n">
        <v>15.375</v>
      </c>
      <c r="E48" s="0" t="n">
        <v>1</v>
      </c>
      <c r="F48" s="0" t="s">
        <v>63</v>
      </c>
      <c r="G48" s="0" t="n">
        <v>16</v>
      </c>
      <c r="H48" s="0" t="n">
        <v>45.2</v>
      </c>
      <c r="I48" s="0" t="s">
        <v>186</v>
      </c>
      <c r="J48" s="0" t="s">
        <v>163</v>
      </c>
      <c r="K48" s="0" t="s">
        <v>66</v>
      </c>
    </row>
    <row r="49" customFormat="false" ht="15" hidden="false" customHeight="false" outlineLevel="0" collapsed="false">
      <c r="A49" s="5" t="s">
        <v>187</v>
      </c>
    </row>
    <row r="50" customFormat="false" ht="15" hidden="false" customHeight="false" outlineLevel="0" collapsed="false">
      <c r="A50" s="0" t="s">
        <v>188</v>
      </c>
      <c r="B50" s="0" t="s">
        <v>189</v>
      </c>
      <c r="C50" s="0" t="n">
        <v>13.604</v>
      </c>
      <c r="D50" s="0" t="n">
        <v>14.358</v>
      </c>
      <c r="E50" s="0" t="n">
        <v>1</v>
      </c>
      <c r="F50" s="0" t="s">
        <v>94</v>
      </c>
      <c r="G50" s="0" t="n">
        <v>16</v>
      </c>
      <c r="H50" s="0" t="n">
        <v>209.16</v>
      </c>
      <c r="I50" s="0" t="s">
        <v>190</v>
      </c>
      <c r="J50" s="0" t="s">
        <v>191</v>
      </c>
      <c r="K50" s="0" t="s">
        <v>66</v>
      </c>
    </row>
    <row r="51" customFormat="false" ht="15" hidden="false" customHeight="false" outlineLevel="0" collapsed="false">
      <c r="A51" s="0" t="s">
        <v>192</v>
      </c>
      <c r="B51" s="0" t="s">
        <v>193</v>
      </c>
      <c r="C51" s="0" t="n">
        <v>76.22</v>
      </c>
      <c r="D51" s="0" t="n">
        <v>13.532</v>
      </c>
      <c r="E51" s="0" t="n">
        <v>1</v>
      </c>
      <c r="F51" s="0" t="s">
        <v>94</v>
      </c>
      <c r="G51" s="0" t="n">
        <v>16</v>
      </c>
      <c r="H51" s="0" t="n">
        <v>1048.14</v>
      </c>
      <c r="I51" s="0" t="s">
        <v>194</v>
      </c>
      <c r="J51" s="0" t="s">
        <v>195</v>
      </c>
      <c r="K51" s="0" t="s">
        <v>66</v>
      </c>
    </row>
    <row r="52" customFormat="false" ht="15" hidden="false" customHeight="false" outlineLevel="0" collapsed="false">
      <c r="A52" s="0" t="s">
        <v>196</v>
      </c>
      <c r="B52" s="0" t="s">
        <v>197</v>
      </c>
      <c r="C52" s="0" t="n">
        <v>52.7</v>
      </c>
      <c r="D52" s="0" t="n">
        <v>11.168</v>
      </c>
      <c r="E52" s="0" t="n">
        <v>1</v>
      </c>
      <c r="F52" s="0" t="s">
        <v>94</v>
      </c>
      <c r="G52" s="0" t="n">
        <v>16</v>
      </c>
      <c r="H52" s="0" t="n">
        <v>633.18</v>
      </c>
      <c r="I52" s="0" t="s">
        <v>198</v>
      </c>
      <c r="J52" s="0" t="s">
        <v>199</v>
      </c>
      <c r="K52" s="0" t="s">
        <v>66</v>
      </c>
    </row>
    <row r="53" customFormat="false" ht="15" hidden="false" customHeight="false" outlineLevel="0" collapsed="false">
      <c r="A53" s="0" t="s">
        <v>200</v>
      </c>
      <c r="B53" s="0" t="s">
        <v>201</v>
      </c>
      <c r="C53" s="0" t="n">
        <v>46.947</v>
      </c>
      <c r="D53" s="0" t="n">
        <v>13.064</v>
      </c>
      <c r="E53" s="0" t="n">
        <v>1</v>
      </c>
      <c r="F53" s="0" t="s">
        <v>94</v>
      </c>
      <c r="G53" s="0" t="n">
        <v>16</v>
      </c>
      <c r="H53" s="0" t="n">
        <v>632.12</v>
      </c>
      <c r="I53" s="0" t="s">
        <v>202</v>
      </c>
      <c r="J53" s="0" t="s">
        <v>203</v>
      </c>
      <c r="K53" s="0" t="s">
        <v>66</v>
      </c>
    </row>
    <row r="54" customFormat="false" ht="15" hidden="false" customHeight="false" outlineLevel="0" collapsed="false">
      <c r="A54" s="0" t="s">
        <v>204</v>
      </c>
      <c r="B54" s="0" t="s">
        <v>205</v>
      </c>
      <c r="C54" s="0" t="n">
        <v>4.842</v>
      </c>
      <c r="D54" s="0" t="n">
        <v>14.358</v>
      </c>
      <c r="E54" s="0" t="n">
        <v>1</v>
      </c>
      <c r="F54" s="0" t="s">
        <v>94</v>
      </c>
      <c r="G54" s="0" t="n">
        <v>16</v>
      </c>
      <c r="H54" s="0" t="n">
        <v>74.44</v>
      </c>
      <c r="I54" s="0" t="s">
        <v>206</v>
      </c>
      <c r="J54" s="0" t="s">
        <v>207</v>
      </c>
      <c r="K54" s="0" t="s">
        <v>66</v>
      </c>
    </row>
    <row r="55" customFormat="false" ht="15" hidden="false" customHeight="false" outlineLevel="0" collapsed="false">
      <c r="A55" s="0" t="s">
        <v>208</v>
      </c>
      <c r="B55" s="0" t="s">
        <v>209</v>
      </c>
      <c r="C55" s="0" t="n">
        <v>20.907</v>
      </c>
      <c r="D55" s="0" t="n">
        <v>14.358</v>
      </c>
      <c r="E55" s="0" t="n">
        <v>1</v>
      </c>
      <c r="F55" s="0" t="s">
        <v>94</v>
      </c>
      <c r="G55" s="0" t="n">
        <v>16</v>
      </c>
      <c r="H55" s="0" t="n">
        <v>315.69</v>
      </c>
      <c r="I55" s="0" t="s">
        <v>210</v>
      </c>
      <c r="J55" s="0" t="s">
        <v>207</v>
      </c>
      <c r="K55" s="0" t="s">
        <v>66</v>
      </c>
    </row>
    <row r="56" customFormat="false" ht="15" hidden="false" customHeight="false" outlineLevel="0" collapsed="false">
      <c r="A56" s="5" t="s">
        <v>211</v>
      </c>
    </row>
    <row r="57" customFormat="false" ht="15" hidden="false" customHeight="false" outlineLevel="0" collapsed="false">
      <c r="A57" s="0" t="s">
        <v>212</v>
      </c>
      <c r="B57" s="0" t="s">
        <v>213</v>
      </c>
      <c r="C57" s="0" t="n">
        <v>5.667</v>
      </c>
      <c r="D57" s="0" t="n">
        <v>10.5</v>
      </c>
      <c r="E57" s="0" t="n">
        <v>0</v>
      </c>
      <c r="F57" s="0" t="s">
        <v>63</v>
      </c>
      <c r="G57" s="0" t="n">
        <v>16</v>
      </c>
      <c r="H57" s="0" t="n">
        <v>0</v>
      </c>
      <c r="I57" s="0" t="s">
        <v>213</v>
      </c>
      <c r="J57" s="0" t="s">
        <v>214</v>
      </c>
      <c r="K57" s="0" t="s">
        <v>66</v>
      </c>
    </row>
    <row r="58" customFormat="false" ht="15" hidden="false" customHeight="false" outlineLevel="0" collapsed="false">
      <c r="A58" s="0" t="s">
        <v>215</v>
      </c>
      <c r="B58" s="0" t="s">
        <v>216</v>
      </c>
      <c r="C58" s="0" t="n">
        <v>5.667</v>
      </c>
      <c r="D58" s="0" t="n">
        <v>10.5</v>
      </c>
      <c r="E58" s="0" t="n">
        <v>0</v>
      </c>
      <c r="F58" s="0" t="s">
        <v>63</v>
      </c>
      <c r="G58" s="0" t="n">
        <v>16</v>
      </c>
      <c r="H58" s="0" t="n">
        <v>0</v>
      </c>
      <c r="I58" s="0" t="s">
        <v>216</v>
      </c>
      <c r="J58" s="0" t="s">
        <v>214</v>
      </c>
      <c r="K58" s="0" t="s">
        <v>66</v>
      </c>
    </row>
    <row r="59" customFormat="false" ht="15" hidden="false" customHeight="false" outlineLevel="0" collapsed="false">
      <c r="A59" s="0" t="s">
        <v>217</v>
      </c>
      <c r="B59" s="0" t="s">
        <v>218</v>
      </c>
      <c r="C59" s="0" t="n">
        <v>5.667</v>
      </c>
      <c r="D59" s="0" t="n">
        <v>10.5</v>
      </c>
      <c r="E59" s="0" t="n">
        <v>0</v>
      </c>
      <c r="F59" s="0" t="s">
        <v>63</v>
      </c>
      <c r="G59" s="0" t="n">
        <v>16</v>
      </c>
      <c r="H59" s="0" t="n">
        <v>0</v>
      </c>
      <c r="I59" s="0" t="s">
        <v>218</v>
      </c>
      <c r="J59" s="0" t="s">
        <v>214</v>
      </c>
      <c r="K59" s="0" t="s">
        <v>66</v>
      </c>
    </row>
    <row r="60" customFormat="false" ht="15" hidden="false" customHeight="false" outlineLevel="0" collapsed="false">
      <c r="A60" s="0" t="s">
        <v>219</v>
      </c>
      <c r="B60" s="0" t="s">
        <v>220</v>
      </c>
      <c r="C60" s="0" t="n">
        <v>5.667</v>
      </c>
      <c r="D60" s="0" t="n">
        <v>10.5</v>
      </c>
      <c r="E60" s="0" t="n">
        <v>0</v>
      </c>
      <c r="F60" s="0" t="s">
        <v>63</v>
      </c>
      <c r="G60" s="0" t="n">
        <v>16</v>
      </c>
      <c r="H60" s="0" t="n">
        <v>0</v>
      </c>
      <c r="I60" s="0" t="s">
        <v>220</v>
      </c>
      <c r="J60" s="0" t="s">
        <v>214</v>
      </c>
      <c r="K60" s="0" t="s">
        <v>66</v>
      </c>
    </row>
    <row r="61" customFormat="false" ht="15" hidden="false" customHeight="false" outlineLevel="0" collapsed="false">
      <c r="A61" s="5" t="s">
        <v>221</v>
      </c>
    </row>
    <row r="62" customFormat="false" ht="15" hidden="false" customHeight="false" outlineLevel="0" collapsed="false">
      <c r="A62" s="0" t="s">
        <v>222</v>
      </c>
      <c r="B62" s="0" t="s">
        <v>223</v>
      </c>
      <c r="C62" s="0" t="n">
        <v>16.341</v>
      </c>
      <c r="D62" s="0" t="n">
        <v>4.292</v>
      </c>
      <c r="E62" s="0" t="n">
        <v>0</v>
      </c>
      <c r="F62" s="0" t="s">
        <v>94</v>
      </c>
      <c r="G62" s="0" t="n">
        <v>16</v>
      </c>
      <c r="H62" s="0" t="n">
        <v>0</v>
      </c>
      <c r="I62" s="0" t="s">
        <v>223</v>
      </c>
      <c r="J62" s="0" t="s">
        <v>224</v>
      </c>
      <c r="K62" s="0" t="s">
        <v>66</v>
      </c>
    </row>
    <row r="63" customFormat="false" ht="15" hidden="false" customHeight="false" outlineLevel="0" collapsed="false">
      <c r="A63" s="0" t="s">
        <v>225</v>
      </c>
      <c r="B63" s="0" t="s">
        <v>226</v>
      </c>
      <c r="C63" s="0" t="n">
        <v>3.95</v>
      </c>
      <c r="D63" s="0" t="n">
        <v>4.292</v>
      </c>
      <c r="E63" s="0" t="n">
        <v>0</v>
      </c>
      <c r="F63" s="0" t="s">
        <v>94</v>
      </c>
      <c r="G63" s="0" t="n">
        <v>16</v>
      </c>
      <c r="H63" s="0" t="n">
        <v>0</v>
      </c>
      <c r="I63" s="0" t="s">
        <v>227</v>
      </c>
      <c r="J63" s="0" t="s">
        <v>224</v>
      </c>
      <c r="K63" s="0" t="s">
        <v>66</v>
      </c>
    </row>
    <row r="64" customFormat="false" ht="15" hidden="false" customHeight="false" outlineLevel="0" collapsed="false">
      <c r="A64" s="0" t="s">
        <v>228</v>
      </c>
      <c r="B64" s="0" t="s">
        <v>229</v>
      </c>
      <c r="C64" s="0" t="n">
        <v>39.189</v>
      </c>
      <c r="D64" s="0" t="n">
        <v>2.042</v>
      </c>
      <c r="E64" s="0" t="n">
        <v>0</v>
      </c>
      <c r="F64" s="0" t="s">
        <v>94</v>
      </c>
      <c r="G64" s="0" t="n">
        <v>16</v>
      </c>
      <c r="H64" s="0" t="n">
        <v>0</v>
      </c>
      <c r="I64" s="0" t="s">
        <v>229</v>
      </c>
      <c r="J64" s="0" t="s">
        <v>224</v>
      </c>
      <c r="K64" s="0" t="s">
        <v>66</v>
      </c>
    </row>
    <row r="65" customFormat="false" ht="15" hidden="false" customHeight="false" outlineLevel="0" collapsed="false">
      <c r="A65" s="0" t="s">
        <v>230</v>
      </c>
      <c r="B65" s="0" t="s">
        <v>231</v>
      </c>
      <c r="C65" s="0" t="n">
        <v>75.94</v>
      </c>
      <c r="D65" s="0" t="n">
        <v>2.897</v>
      </c>
      <c r="E65" s="0" t="n">
        <v>0</v>
      </c>
      <c r="F65" s="0" t="s">
        <v>94</v>
      </c>
      <c r="G65" s="0" t="n">
        <v>16</v>
      </c>
      <c r="H65" s="0" t="n">
        <v>0</v>
      </c>
      <c r="I65" s="0" t="s">
        <v>232</v>
      </c>
      <c r="J65" s="0" t="s">
        <v>224</v>
      </c>
      <c r="K65" s="0" t="s">
        <v>66</v>
      </c>
    </row>
    <row r="66" customFormat="false" ht="15" hidden="false" customHeight="false" outlineLevel="0" collapsed="false">
      <c r="A66" s="0" t="s">
        <v>233</v>
      </c>
      <c r="B66" s="0" t="s">
        <v>234</v>
      </c>
      <c r="C66" s="0" t="n">
        <v>52.333</v>
      </c>
      <c r="D66" s="0" t="n">
        <v>4.885</v>
      </c>
      <c r="E66" s="0" t="n">
        <v>0</v>
      </c>
      <c r="F66" s="0" t="s">
        <v>94</v>
      </c>
      <c r="G66" s="0" t="n">
        <v>16</v>
      </c>
      <c r="H66" s="0" t="n">
        <v>0</v>
      </c>
      <c r="I66" s="0" t="s">
        <v>234</v>
      </c>
      <c r="J66" s="0" t="s">
        <v>224</v>
      </c>
      <c r="K66" s="0" t="s">
        <v>66</v>
      </c>
    </row>
    <row r="67" customFormat="false" ht="15" hidden="false" customHeight="false" outlineLevel="0" collapsed="false">
      <c r="A67" s="0" t="s">
        <v>235</v>
      </c>
      <c r="B67" s="0" t="s">
        <v>236</v>
      </c>
      <c r="C67" s="0" t="n">
        <v>47.927</v>
      </c>
      <c r="D67" s="0" t="n">
        <v>3.396</v>
      </c>
      <c r="E67" s="0" t="n">
        <v>0</v>
      </c>
      <c r="F67" s="0" t="s">
        <v>94</v>
      </c>
      <c r="G67" s="0" t="n">
        <v>16</v>
      </c>
      <c r="H67" s="0" t="n">
        <v>0</v>
      </c>
      <c r="I67" s="0" t="s">
        <v>237</v>
      </c>
      <c r="J67" s="0" t="s">
        <v>224</v>
      </c>
      <c r="K67" s="0" t="s">
        <v>66</v>
      </c>
    </row>
    <row r="68" customFormat="false" ht="15" hidden="false" customHeight="false" outlineLevel="0" collapsed="false">
      <c r="A68" s="0" t="s">
        <v>238</v>
      </c>
      <c r="B68" s="0" t="s">
        <v>239</v>
      </c>
      <c r="C68" s="0" t="n">
        <v>3.86</v>
      </c>
      <c r="D68" s="0" t="n">
        <v>4.292</v>
      </c>
      <c r="E68" s="0" t="n">
        <v>0</v>
      </c>
      <c r="F68" s="0" t="s">
        <v>94</v>
      </c>
      <c r="G68" s="0" t="n">
        <v>16</v>
      </c>
      <c r="H68" s="0" t="n">
        <v>0</v>
      </c>
      <c r="I68" s="0" t="s">
        <v>239</v>
      </c>
      <c r="J68" s="0" t="s">
        <v>224</v>
      </c>
      <c r="K68" s="0" t="s">
        <v>66</v>
      </c>
    </row>
    <row r="69" customFormat="false" ht="15" hidden="false" customHeight="false" outlineLevel="0" collapsed="false">
      <c r="A69" s="0" t="s">
        <v>240</v>
      </c>
      <c r="B69" s="0" t="s">
        <v>241</v>
      </c>
      <c r="C69" s="0" t="n">
        <v>29.027</v>
      </c>
      <c r="D69" s="0" t="n">
        <v>4.292</v>
      </c>
      <c r="E69" s="0" t="n">
        <v>0</v>
      </c>
      <c r="F69" s="0" t="s">
        <v>94</v>
      </c>
      <c r="G69" s="0" t="n">
        <v>16</v>
      </c>
      <c r="H69" s="0" t="n">
        <v>0</v>
      </c>
      <c r="I69" s="0" t="s">
        <v>241</v>
      </c>
      <c r="J69" s="0" t="s">
        <v>224</v>
      </c>
      <c r="K69" s="0" t="s">
        <v>66</v>
      </c>
    </row>
    <row r="70" customFormat="false" ht="15" hidden="false" customHeight="false" outlineLevel="0" collapsed="false">
      <c r="A70" s="5" t="s">
        <v>242</v>
      </c>
    </row>
    <row r="71" customFormat="false" ht="15" hidden="false" customHeight="false" outlineLevel="0" collapsed="false">
      <c r="A71" s="0" t="s">
        <v>243</v>
      </c>
      <c r="B71" s="0" t="s">
        <v>244</v>
      </c>
      <c r="C71" s="0" t="n">
        <v>2.422</v>
      </c>
      <c r="D71" s="0" t="n">
        <v>14.383</v>
      </c>
      <c r="E71" s="0" t="n">
        <v>4.42</v>
      </c>
      <c r="F71" s="0" t="s">
        <v>245</v>
      </c>
      <c r="G71" s="0" t="n">
        <v>16</v>
      </c>
      <c r="H71" s="0" t="n">
        <v>147.57</v>
      </c>
      <c r="I71" s="0" t="s">
        <v>246</v>
      </c>
      <c r="J71" s="0" t="s">
        <v>247</v>
      </c>
      <c r="K71" s="0" t="s">
        <v>66</v>
      </c>
    </row>
    <row r="72" customFormat="false" ht="15" hidden="false" customHeight="false" outlineLevel="0" collapsed="false">
      <c r="A72" s="0" t="s">
        <v>248</v>
      </c>
      <c r="B72" s="0" t="s">
        <v>249</v>
      </c>
      <c r="C72" s="0" t="n">
        <v>3.467</v>
      </c>
      <c r="D72" s="0" t="n">
        <v>14.383</v>
      </c>
      <c r="E72" s="0" t="n">
        <v>4.59</v>
      </c>
      <c r="F72" s="0" t="s">
        <v>245</v>
      </c>
      <c r="G72" s="0" t="n">
        <v>16</v>
      </c>
      <c r="H72" s="0" t="n">
        <v>215.88</v>
      </c>
      <c r="I72" s="0" t="s">
        <v>250</v>
      </c>
      <c r="J72" s="0" t="s">
        <v>247</v>
      </c>
      <c r="K72" s="0" t="s">
        <v>66</v>
      </c>
    </row>
    <row r="73" customFormat="false" ht="15" hidden="false" customHeight="false" outlineLevel="0" collapsed="false">
      <c r="A73" s="0" t="s">
        <v>251</v>
      </c>
      <c r="B73" s="0" t="s">
        <v>252</v>
      </c>
      <c r="C73" s="0" t="n">
        <v>3.256</v>
      </c>
      <c r="D73" s="0" t="n">
        <v>14.225</v>
      </c>
      <c r="E73" s="0" t="n">
        <v>4.63</v>
      </c>
      <c r="F73" s="0" t="s">
        <v>245</v>
      </c>
      <c r="G73" s="0" t="n">
        <v>16</v>
      </c>
      <c r="H73" s="0" t="n">
        <v>201.66</v>
      </c>
      <c r="I73" s="0" t="s">
        <v>253</v>
      </c>
      <c r="J73" s="0" t="s">
        <v>247</v>
      </c>
      <c r="K73" s="0" t="s">
        <v>66</v>
      </c>
    </row>
    <row r="74" customFormat="false" ht="15" hidden="false" customHeight="false" outlineLevel="0" collapsed="false">
      <c r="A74" s="0" t="s">
        <v>254</v>
      </c>
      <c r="B74" s="0" t="s">
        <v>255</v>
      </c>
      <c r="C74" s="0" t="n">
        <v>3.25</v>
      </c>
      <c r="D74" s="0" t="n">
        <v>14.225</v>
      </c>
      <c r="E74" s="0" t="n">
        <v>4.63</v>
      </c>
      <c r="F74" s="0" t="s">
        <v>245</v>
      </c>
      <c r="G74" s="0" t="n">
        <v>16</v>
      </c>
      <c r="H74" s="0" t="n">
        <v>201.34</v>
      </c>
      <c r="I74" s="0" t="s">
        <v>256</v>
      </c>
      <c r="J74" s="0" t="s">
        <v>247</v>
      </c>
      <c r="K74" s="0" t="s">
        <v>66</v>
      </c>
    </row>
    <row r="75" customFormat="false" ht="15" hidden="false" customHeight="false" outlineLevel="0" collapsed="false">
      <c r="A75" s="0" t="s">
        <v>257</v>
      </c>
      <c r="B75" s="0" t="s">
        <v>258</v>
      </c>
      <c r="C75" s="0" t="n">
        <v>11.771</v>
      </c>
      <c r="D75" s="0" t="n">
        <v>15.375</v>
      </c>
      <c r="E75" s="0" t="n">
        <v>4</v>
      </c>
      <c r="F75" s="0" t="s">
        <v>245</v>
      </c>
      <c r="G75" s="0" t="n">
        <v>16</v>
      </c>
      <c r="H75" s="0" t="n">
        <v>723.9</v>
      </c>
      <c r="I75" s="0" t="s">
        <v>259</v>
      </c>
      <c r="J75" s="0" t="s">
        <v>247</v>
      </c>
      <c r="K75" s="0" t="s">
        <v>66</v>
      </c>
    </row>
    <row r="76" customFormat="false" ht="15" hidden="false" customHeight="false" outlineLevel="0" collapsed="false">
      <c r="A76" s="0" t="s">
        <v>260</v>
      </c>
      <c r="B76" s="0" t="s">
        <v>261</v>
      </c>
      <c r="C76" s="0" t="n">
        <v>11.771</v>
      </c>
      <c r="D76" s="0" t="n">
        <v>15.375</v>
      </c>
      <c r="E76" s="0" t="n">
        <v>4</v>
      </c>
      <c r="F76" s="0" t="s">
        <v>245</v>
      </c>
      <c r="G76" s="0" t="n">
        <v>16</v>
      </c>
      <c r="H76" s="0" t="n">
        <v>723.9</v>
      </c>
      <c r="I76" s="0" t="s">
        <v>262</v>
      </c>
      <c r="J76" s="0" t="s">
        <v>247</v>
      </c>
      <c r="K76" s="0" t="s">
        <v>66</v>
      </c>
    </row>
    <row r="77" customFormat="false" ht="15" hidden="false" customHeight="false" outlineLevel="0" collapsed="false">
      <c r="A77" s="0" t="s">
        <v>263</v>
      </c>
      <c r="B77" s="0" t="s">
        <v>264</v>
      </c>
      <c r="C77" s="0" t="n">
        <v>10.072</v>
      </c>
      <c r="D77" s="0" t="n">
        <v>15.375</v>
      </c>
      <c r="E77" s="0" t="n">
        <v>4</v>
      </c>
      <c r="F77" s="0" t="s">
        <v>245</v>
      </c>
      <c r="G77" s="0" t="n">
        <v>16</v>
      </c>
      <c r="H77" s="0" t="n">
        <v>619.44</v>
      </c>
      <c r="I77" s="0" t="s">
        <v>265</v>
      </c>
      <c r="J77" s="0" t="s">
        <v>247</v>
      </c>
      <c r="K77" s="0" t="s">
        <v>66</v>
      </c>
    </row>
    <row r="78" customFormat="false" ht="15" hidden="false" customHeight="false" outlineLevel="0" collapsed="false">
      <c r="A78" s="0" t="s">
        <v>266</v>
      </c>
      <c r="B78" s="0" t="s">
        <v>267</v>
      </c>
      <c r="C78" s="0" t="n">
        <v>12.472</v>
      </c>
      <c r="D78" s="0" t="n">
        <v>14.717</v>
      </c>
      <c r="E78" s="0" t="n">
        <v>4</v>
      </c>
      <c r="F78" s="0" t="s">
        <v>245</v>
      </c>
      <c r="G78" s="0" t="n">
        <v>16</v>
      </c>
      <c r="H78" s="0" t="n">
        <v>734.2</v>
      </c>
      <c r="I78" s="0" t="s">
        <v>268</v>
      </c>
      <c r="J78" s="0" t="s">
        <v>247</v>
      </c>
      <c r="K78" s="0" t="s">
        <v>66</v>
      </c>
    </row>
    <row r="79" customFormat="false" ht="15" hidden="false" customHeight="false" outlineLevel="0" collapsed="false">
      <c r="A79" s="0" t="s">
        <v>269</v>
      </c>
      <c r="B79" s="0" t="s">
        <v>270</v>
      </c>
      <c r="C79" s="0" t="n">
        <v>11.625</v>
      </c>
      <c r="D79" s="0" t="n">
        <v>15.375</v>
      </c>
      <c r="E79" s="0" t="n">
        <v>4</v>
      </c>
      <c r="F79" s="0" t="s">
        <v>245</v>
      </c>
      <c r="G79" s="0" t="n">
        <v>16</v>
      </c>
      <c r="H79" s="0" t="n">
        <v>714.94</v>
      </c>
      <c r="I79" s="0" t="s">
        <v>271</v>
      </c>
      <c r="J79" s="0" t="s">
        <v>247</v>
      </c>
      <c r="K79" s="0" t="s">
        <v>66</v>
      </c>
    </row>
    <row r="80" customFormat="false" ht="15" hidden="false" customHeight="false" outlineLevel="0" collapsed="false">
      <c r="A80" s="0" t="s">
        <v>272</v>
      </c>
      <c r="B80" s="0" t="s">
        <v>273</v>
      </c>
      <c r="C80" s="0" t="n">
        <v>11.625</v>
      </c>
      <c r="D80" s="0" t="n">
        <v>15.375</v>
      </c>
      <c r="E80" s="0" t="n">
        <v>4</v>
      </c>
      <c r="F80" s="0" t="s">
        <v>245</v>
      </c>
      <c r="G80" s="0" t="n">
        <v>16</v>
      </c>
      <c r="H80" s="0" t="n">
        <v>714.94</v>
      </c>
      <c r="I80" s="0" t="s">
        <v>274</v>
      </c>
      <c r="J80" s="0" t="s">
        <v>247</v>
      </c>
      <c r="K80" s="0" t="s">
        <v>66</v>
      </c>
    </row>
    <row r="81" customFormat="false" ht="15" hidden="false" customHeight="false" outlineLevel="0" collapsed="false">
      <c r="A81" s="5" t="s">
        <v>275</v>
      </c>
    </row>
    <row r="82" customFormat="false" ht="15" hidden="false" customHeight="false" outlineLevel="0" collapsed="false">
      <c r="A82" s="0" t="s">
        <v>276</v>
      </c>
      <c r="B82" s="0" t="s">
        <v>277</v>
      </c>
      <c r="C82" s="0" t="n">
        <v>11.771</v>
      </c>
      <c r="D82" s="0" t="n">
        <v>15.375</v>
      </c>
      <c r="E82" s="0" t="n">
        <v>4</v>
      </c>
      <c r="F82" s="0" t="s">
        <v>245</v>
      </c>
      <c r="G82" s="0" t="n">
        <v>16</v>
      </c>
      <c r="H82" s="0" t="n">
        <v>723.9</v>
      </c>
      <c r="I82" s="0" t="s">
        <v>278</v>
      </c>
      <c r="J82" s="0" t="s">
        <v>247</v>
      </c>
      <c r="K82" s="0" t="s">
        <v>66</v>
      </c>
    </row>
    <row r="83" customFormat="false" ht="15" hidden="false" customHeight="false" outlineLevel="0" collapsed="false">
      <c r="A83" s="0" t="s">
        <v>279</v>
      </c>
      <c r="B83" s="0" t="s">
        <v>280</v>
      </c>
      <c r="C83" s="0" t="n">
        <v>3.506</v>
      </c>
      <c r="D83" s="0" t="n">
        <v>15.375</v>
      </c>
      <c r="E83" s="0" t="n">
        <v>4.76</v>
      </c>
      <c r="F83" s="0" t="s">
        <v>245</v>
      </c>
      <c r="G83" s="0" t="n">
        <v>16</v>
      </c>
      <c r="H83" s="0" t="n">
        <v>237.04</v>
      </c>
      <c r="I83" s="0" t="s">
        <v>281</v>
      </c>
      <c r="J83" s="0" t="s">
        <v>247</v>
      </c>
      <c r="K83" s="0" t="s">
        <v>66</v>
      </c>
    </row>
    <row r="84" customFormat="false" ht="15" hidden="false" customHeight="false" outlineLevel="0" collapsed="false">
      <c r="A84" s="0" t="s">
        <v>282</v>
      </c>
      <c r="B84" s="0" t="s">
        <v>283</v>
      </c>
      <c r="C84" s="0" t="n">
        <v>3.18</v>
      </c>
      <c r="D84" s="0" t="n">
        <v>15.375</v>
      </c>
      <c r="E84" s="0" t="n">
        <v>4.42</v>
      </c>
      <c r="F84" s="0" t="s">
        <v>245</v>
      </c>
      <c r="G84" s="0" t="n">
        <v>16</v>
      </c>
      <c r="H84" s="0" t="n">
        <v>206.3</v>
      </c>
      <c r="I84" s="0" t="s">
        <v>284</v>
      </c>
      <c r="J84" s="0" t="s">
        <v>247</v>
      </c>
      <c r="K84" s="0" t="s">
        <v>66</v>
      </c>
    </row>
    <row r="85" customFormat="false" ht="15" hidden="false" customHeight="false" outlineLevel="0" collapsed="false">
      <c r="A85" s="5" t="s">
        <v>285</v>
      </c>
    </row>
    <row r="86" customFormat="false" ht="15" hidden="false" customHeight="false" outlineLevel="0" collapsed="false">
      <c r="A86" s="0" t="s">
        <v>286</v>
      </c>
      <c r="B86" s="0" t="s">
        <v>287</v>
      </c>
      <c r="C86" s="0" t="n">
        <v>30</v>
      </c>
      <c r="D86" s="0" t="n">
        <v>6.262</v>
      </c>
      <c r="E86" s="0" t="n">
        <v>5</v>
      </c>
      <c r="F86" s="0" t="s">
        <v>245</v>
      </c>
      <c r="G86" s="0" t="n">
        <v>16</v>
      </c>
      <c r="H86" s="0" t="n">
        <v>766.8</v>
      </c>
      <c r="I86" s="0" t="s">
        <v>288</v>
      </c>
      <c r="J86" s="0" t="s">
        <v>289</v>
      </c>
      <c r="K86" s="0" t="s">
        <v>66</v>
      </c>
    </row>
    <row r="87" customFormat="false" ht="15" hidden="false" customHeight="false" outlineLevel="0" collapsed="false">
      <c r="A87" s="0" t="s">
        <v>290</v>
      </c>
      <c r="B87" s="0" t="s">
        <v>291</v>
      </c>
      <c r="C87" s="0" t="n">
        <v>15</v>
      </c>
      <c r="D87" s="0" t="n">
        <v>7.333</v>
      </c>
      <c r="E87" s="0" t="n">
        <v>5</v>
      </c>
      <c r="F87" s="0" t="s">
        <v>245</v>
      </c>
      <c r="G87" s="0" t="n">
        <v>16</v>
      </c>
      <c r="H87" s="0" t="n">
        <v>450</v>
      </c>
      <c r="I87" s="0" t="s">
        <v>292</v>
      </c>
      <c r="J87" s="0" t="s">
        <v>289</v>
      </c>
      <c r="K87" s="0" t="s">
        <v>66</v>
      </c>
    </row>
    <row r="88" customFormat="false" ht="15" hidden="false" customHeight="false" outlineLevel="0" collapsed="false">
      <c r="B88" s="6" t="s">
        <v>293</v>
      </c>
      <c r="C88" s="4" t="n">
        <f aca="false">SUM(C5:C87)</f>
        <v>952.647</v>
      </c>
      <c r="H88" s="4" t="n">
        <f aca="false">SUM(H5:H87)</f>
        <v>16351.29</v>
      </c>
    </row>
    <row r="90" customFormat="false" ht="15" hidden="false" customHeight="false" outlineLevel="0" collapsed="false">
      <c r="A90" s="5" t="s">
        <v>294</v>
      </c>
    </row>
    <row r="91" customFormat="false" ht="15" hidden="false" customHeight="false" outlineLevel="0" collapsed="false">
      <c r="A91" s="0" t="s">
        <v>295</v>
      </c>
      <c r="B91" s="0" t="s">
        <v>296</v>
      </c>
      <c r="C91" s="0" t="n">
        <v>78.161</v>
      </c>
      <c r="D91" s="0" t="n">
        <v>1.864</v>
      </c>
      <c r="E91" s="0" t="n">
        <v>0</v>
      </c>
      <c r="F91" s="0" t="s">
        <v>63</v>
      </c>
      <c r="G91" s="0" t="n">
        <v>16</v>
      </c>
      <c r="H91" s="0" t="n">
        <v>0</v>
      </c>
      <c r="I91" s="0" t="s">
        <v>296</v>
      </c>
      <c r="J91" s="0" t="s">
        <v>297</v>
      </c>
      <c r="K91" s="0" t="s">
        <v>66</v>
      </c>
    </row>
    <row r="92" customFormat="false" ht="15" hidden="false" customHeight="false" outlineLevel="0" collapsed="false">
      <c r="A92" s="0" t="s">
        <v>298</v>
      </c>
      <c r="B92" s="0" t="s">
        <v>299</v>
      </c>
      <c r="C92" s="0" t="n">
        <v>56.022</v>
      </c>
      <c r="D92" s="0" t="n">
        <v>1.864</v>
      </c>
      <c r="E92" s="0" t="n">
        <v>0</v>
      </c>
      <c r="F92" s="0" t="s">
        <v>63</v>
      </c>
      <c r="G92" s="0" t="n">
        <v>16</v>
      </c>
      <c r="H92" s="0" t="n">
        <v>0</v>
      </c>
      <c r="I92" s="0" t="s">
        <v>299</v>
      </c>
      <c r="J92" s="0" t="s">
        <v>300</v>
      </c>
      <c r="K92" s="0" t="s">
        <v>66</v>
      </c>
    </row>
    <row r="93" customFormat="false" ht="15" hidden="false" customHeight="false" outlineLevel="0" collapsed="false">
      <c r="A93" s="0" t="s">
        <v>301</v>
      </c>
      <c r="B93" s="0" t="s">
        <v>302</v>
      </c>
      <c r="C93" s="0" t="n">
        <v>21</v>
      </c>
      <c r="D93" s="0" t="n">
        <v>1.864</v>
      </c>
      <c r="E93" s="0" t="n">
        <v>0</v>
      </c>
      <c r="F93" s="0" t="s">
        <v>63</v>
      </c>
      <c r="G93" s="0" t="n">
        <v>16</v>
      </c>
      <c r="H93" s="0" t="n">
        <v>0</v>
      </c>
      <c r="I93" s="0" t="s">
        <v>302</v>
      </c>
      <c r="J93" s="0" t="s">
        <v>300</v>
      </c>
      <c r="K93" s="0" t="s">
        <v>66</v>
      </c>
    </row>
    <row r="94" customFormat="false" ht="15" hidden="false" customHeight="false" outlineLevel="0" collapsed="false">
      <c r="A94" s="0" t="s">
        <v>303</v>
      </c>
      <c r="B94" s="0" t="s">
        <v>304</v>
      </c>
      <c r="C94" s="0" t="n">
        <v>52.083</v>
      </c>
      <c r="D94" s="0" t="n">
        <v>1.864</v>
      </c>
      <c r="E94" s="0" t="n">
        <v>0</v>
      </c>
      <c r="F94" s="0" t="s">
        <v>63</v>
      </c>
      <c r="G94" s="0" t="n">
        <v>16</v>
      </c>
      <c r="H94" s="0" t="n">
        <v>0</v>
      </c>
      <c r="I94" s="0" t="s">
        <v>304</v>
      </c>
      <c r="J94" s="0" t="s">
        <v>305</v>
      </c>
      <c r="K94" s="0" t="s">
        <v>66</v>
      </c>
    </row>
    <row r="95" customFormat="false" ht="15" hidden="false" customHeight="false" outlineLevel="0" collapsed="false">
      <c r="A95" s="0" t="s">
        <v>306</v>
      </c>
      <c r="B95" s="0" t="s">
        <v>307</v>
      </c>
      <c r="C95" s="0" t="n">
        <v>2.494</v>
      </c>
      <c r="D95" s="0" t="n">
        <v>1.864</v>
      </c>
      <c r="E95" s="0" t="n">
        <v>0</v>
      </c>
      <c r="F95" s="0" t="s">
        <v>63</v>
      </c>
      <c r="G95" s="0" t="n">
        <v>16</v>
      </c>
      <c r="H95" s="0" t="n">
        <v>0</v>
      </c>
      <c r="I95" s="0" t="s">
        <v>307</v>
      </c>
      <c r="J95" s="0" t="s">
        <v>305</v>
      </c>
      <c r="K95" s="0" t="s">
        <v>66</v>
      </c>
    </row>
    <row r="96" customFormat="false" ht="15" hidden="false" customHeight="false" outlineLevel="0" collapsed="false">
      <c r="A96" s="0" t="s">
        <v>308</v>
      </c>
      <c r="B96" s="0" t="s">
        <v>309</v>
      </c>
      <c r="C96" s="0" t="n">
        <v>23</v>
      </c>
      <c r="D96" s="0" t="n">
        <v>1.864</v>
      </c>
      <c r="E96" s="0" t="n">
        <v>0</v>
      </c>
      <c r="F96" s="0" t="s">
        <v>63</v>
      </c>
      <c r="G96" s="0" t="n">
        <v>16</v>
      </c>
      <c r="H96" s="0" t="n">
        <v>0</v>
      </c>
      <c r="I96" s="0" t="s">
        <v>309</v>
      </c>
      <c r="J96" s="0" t="s">
        <v>305</v>
      </c>
      <c r="K96" s="0" t="s">
        <v>66</v>
      </c>
    </row>
    <row r="97" customFormat="false" ht="15" hidden="false" customHeight="false" outlineLevel="0" collapsed="false">
      <c r="A97" s="0" t="s">
        <v>310</v>
      </c>
      <c r="B97" s="0" t="s">
        <v>311</v>
      </c>
      <c r="C97" s="0" t="n">
        <v>2.483</v>
      </c>
      <c r="D97" s="0" t="n">
        <v>1.864</v>
      </c>
      <c r="E97" s="0" t="n">
        <v>0</v>
      </c>
      <c r="F97" s="0" t="s">
        <v>63</v>
      </c>
      <c r="G97" s="0" t="n">
        <v>16</v>
      </c>
      <c r="H97" s="0" t="n">
        <v>0</v>
      </c>
      <c r="I97" s="0" t="s">
        <v>311</v>
      </c>
      <c r="J97" s="0" t="s">
        <v>305</v>
      </c>
      <c r="K97" s="0" t="s">
        <v>66</v>
      </c>
    </row>
    <row r="98" customFormat="false" ht="15" hidden="false" customHeight="false" outlineLevel="0" collapsed="false">
      <c r="A98" s="0" t="s">
        <v>312</v>
      </c>
      <c r="B98" s="0" t="s">
        <v>313</v>
      </c>
      <c r="C98" s="0" t="n">
        <v>2.483</v>
      </c>
      <c r="D98" s="0" t="n">
        <v>1.864</v>
      </c>
      <c r="E98" s="0" t="n">
        <v>0</v>
      </c>
      <c r="F98" s="0" t="s">
        <v>63</v>
      </c>
      <c r="G98" s="0" t="n">
        <v>16</v>
      </c>
      <c r="H98" s="0" t="n">
        <v>0</v>
      </c>
      <c r="I98" s="0" t="s">
        <v>313</v>
      </c>
      <c r="J98" s="0" t="s">
        <v>305</v>
      </c>
      <c r="K98" s="0" t="s">
        <v>66</v>
      </c>
    </row>
    <row r="99" customFormat="false" ht="15" hidden="false" customHeight="false" outlineLevel="0" collapsed="false">
      <c r="A99" s="0" t="s">
        <v>314</v>
      </c>
      <c r="B99" s="0" t="s">
        <v>315</v>
      </c>
      <c r="C99" s="0" t="n">
        <v>17.028</v>
      </c>
      <c r="D99" s="0" t="n">
        <v>4.375</v>
      </c>
      <c r="E99" s="0" t="n">
        <v>3</v>
      </c>
      <c r="F99" s="0" t="s">
        <v>63</v>
      </c>
      <c r="G99" s="0" t="n">
        <v>16</v>
      </c>
      <c r="H99" s="0" t="n">
        <v>30.69</v>
      </c>
      <c r="I99" s="0" t="s">
        <v>316</v>
      </c>
      <c r="J99" s="0" t="s">
        <v>317</v>
      </c>
      <c r="K99" s="0" t="s">
        <v>66</v>
      </c>
    </row>
    <row r="100" customFormat="false" ht="15" hidden="false" customHeight="false" outlineLevel="0" collapsed="false">
      <c r="A100" s="0" t="s">
        <v>318</v>
      </c>
      <c r="B100" s="0" t="s">
        <v>319</v>
      </c>
      <c r="C100" s="0" t="n">
        <v>30</v>
      </c>
      <c r="D100" s="0" t="n">
        <v>4.375</v>
      </c>
      <c r="E100" s="0" t="n">
        <v>3</v>
      </c>
      <c r="F100" s="0" t="s">
        <v>63</v>
      </c>
      <c r="G100" s="0" t="n">
        <v>16</v>
      </c>
      <c r="H100" s="0" t="n">
        <v>54.07</v>
      </c>
      <c r="I100" s="0" t="s">
        <v>316</v>
      </c>
      <c r="J100" s="0" t="s">
        <v>317</v>
      </c>
      <c r="K100" s="0" t="s">
        <v>66</v>
      </c>
    </row>
    <row r="101" customFormat="false" ht="15" hidden="false" customHeight="false" outlineLevel="0" collapsed="false">
      <c r="A101" s="0" t="s">
        <v>320</v>
      </c>
      <c r="B101" s="0" t="s">
        <v>321</v>
      </c>
      <c r="C101" s="0" t="n">
        <v>30</v>
      </c>
      <c r="D101" s="0" t="n">
        <v>4.375</v>
      </c>
      <c r="E101" s="0" t="n">
        <v>3</v>
      </c>
      <c r="F101" s="0" t="s">
        <v>63</v>
      </c>
      <c r="G101" s="0" t="n">
        <v>16</v>
      </c>
      <c r="H101" s="0" t="n">
        <v>54.07</v>
      </c>
      <c r="I101" s="0" t="s">
        <v>322</v>
      </c>
      <c r="J101" s="0" t="s">
        <v>317</v>
      </c>
      <c r="K101" s="0" t="s">
        <v>66</v>
      </c>
    </row>
    <row r="102" customFormat="false" ht="15" hidden="false" customHeight="false" outlineLevel="0" collapsed="false">
      <c r="A102" s="0" t="s">
        <v>323</v>
      </c>
      <c r="B102" s="0" t="s">
        <v>324</v>
      </c>
      <c r="C102" s="0" t="n">
        <v>5.089</v>
      </c>
      <c r="D102" s="0" t="n">
        <v>6.375</v>
      </c>
      <c r="E102" s="0" t="n">
        <v>3</v>
      </c>
      <c r="F102" s="0" t="s">
        <v>63</v>
      </c>
      <c r="G102" s="0" t="n">
        <v>16</v>
      </c>
      <c r="H102" s="0" t="n">
        <v>19.35</v>
      </c>
      <c r="I102" s="0" t="s">
        <v>325</v>
      </c>
      <c r="J102" s="0" t="s">
        <v>317</v>
      </c>
      <c r="K102" s="0" t="s">
        <v>66</v>
      </c>
    </row>
    <row r="103" customFormat="false" ht="15" hidden="false" customHeight="false" outlineLevel="0" collapsed="false">
      <c r="A103" s="0" t="s">
        <v>326</v>
      </c>
      <c r="B103" s="0" t="s">
        <v>327</v>
      </c>
      <c r="C103" s="0" t="n">
        <v>6.556</v>
      </c>
      <c r="D103" s="0" t="n">
        <v>7.375</v>
      </c>
      <c r="E103" s="0" t="n">
        <v>1</v>
      </c>
      <c r="F103" s="0" t="s">
        <v>63</v>
      </c>
      <c r="G103" s="0" t="n">
        <v>16</v>
      </c>
      <c r="H103" s="0" t="n">
        <v>9.83</v>
      </c>
      <c r="I103" s="0" t="s">
        <v>328</v>
      </c>
      <c r="J103" s="0" t="s">
        <v>329</v>
      </c>
      <c r="K103" s="0" t="s">
        <v>66</v>
      </c>
    </row>
    <row r="104" customFormat="false" ht="15" hidden="false" customHeight="false" outlineLevel="0" collapsed="false">
      <c r="A104" s="0" t="s">
        <v>330</v>
      </c>
      <c r="B104" s="0" t="s">
        <v>331</v>
      </c>
      <c r="C104" s="0" t="n">
        <v>5.456</v>
      </c>
      <c r="D104" s="0" t="n">
        <v>5.052</v>
      </c>
      <c r="E104" s="0" t="n">
        <v>1</v>
      </c>
      <c r="F104" s="0" t="s">
        <v>63</v>
      </c>
      <c r="G104" s="0" t="n">
        <v>16</v>
      </c>
      <c r="H104" s="0" t="n">
        <v>8.18</v>
      </c>
      <c r="I104" s="0" t="s">
        <v>328</v>
      </c>
      <c r="J104" s="0" t="s">
        <v>329</v>
      </c>
      <c r="K104" s="0" t="s">
        <v>66</v>
      </c>
    </row>
    <row r="105" customFormat="false" ht="15" hidden="false" customHeight="false" outlineLevel="0" collapsed="false">
      <c r="A105" s="0" t="s">
        <v>332</v>
      </c>
      <c r="B105" s="0" t="s">
        <v>333</v>
      </c>
      <c r="C105" s="0" t="n">
        <v>6.556</v>
      </c>
      <c r="D105" s="0" t="n">
        <v>7.375</v>
      </c>
      <c r="E105" s="0" t="n">
        <v>1</v>
      </c>
      <c r="F105" s="0" t="s">
        <v>63</v>
      </c>
      <c r="G105" s="0" t="n">
        <v>16</v>
      </c>
      <c r="H105" s="0" t="n">
        <v>9.83</v>
      </c>
      <c r="I105" s="0" t="s">
        <v>334</v>
      </c>
      <c r="J105" s="0" t="s">
        <v>329</v>
      </c>
      <c r="K105" s="0" t="s">
        <v>66</v>
      </c>
    </row>
    <row r="106" customFormat="false" ht="15" hidden="false" customHeight="false" outlineLevel="0" collapsed="false">
      <c r="A106" s="0" t="s">
        <v>335</v>
      </c>
      <c r="B106" s="0" t="s">
        <v>336</v>
      </c>
      <c r="C106" s="0" t="n">
        <v>5.456</v>
      </c>
      <c r="D106" s="0" t="n">
        <v>5.052</v>
      </c>
      <c r="E106" s="0" t="n">
        <v>1</v>
      </c>
      <c r="F106" s="0" t="s">
        <v>63</v>
      </c>
      <c r="G106" s="0" t="n">
        <v>16</v>
      </c>
      <c r="H106" s="0" t="n">
        <v>8.18</v>
      </c>
      <c r="I106" s="0" t="s">
        <v>334</v>
      </c>
      <c r="J106" s="0" t="s">
        <v>329</v>
      </c>
      <c r="K106" s="0" t="s">
        <v>66</v>
      </c>
    </row>
    <row r="107" customFormat="false" ht="15" hidden="false" customHeight="false" outlineLevel="0" collapsed="false">
      <c r="A107" s="0" t="s">
        <v>337</v>
      </c>
      <c r="B107" s="0" t="s">
        <v>338</v>
      </c>
      <c r="C107" s="0" t="n">
        <v>12.562</v>
      </c>
      <c r="D107" s="0" t="n">
        <v>4.983</v>
      </c>
      <c r="E107" s="0" t="n">
        <v>1</v>
      </c>
      <c r="F107" s="0" t="s">
        <v>94</v>
      </c>
      <c r="G107" s="0" t="n">
        <v>16</v>
      </c>
      <c r="H107" s="0" t="n">
        <v>86.37</v>
      </c>
      <c r="I107" s="0" t="s">
        <v>175</v>
      </c>
      <c r="J107" s="0" t="s">
        <v>339</v>
      </c>
      <c r="K107" s="0" t="s">
        <v>66</v>
      </c>
    </row>
    <row r="108" customFormat="false" ht="15" hidden="false" customHeight="false" outlineLevel="0" collapsed="false">
      <c r="A108" s="0" t="s">
        <v>340</v>
      </c>
      <c r="B108" s="0" t="s">
        <v>341</v>
      </c>
      <c r="C108" s="0" t="n">
        <v>26.25</v>
      </c>
      <c r="D108" s="0" t="n">
        <v>4.525</v>
      </c>
      <c r="E108" s="0" t="n">
        <v>1</v>
      </c>
      <c r="F108" s="0" t="s">
        <v>94</v>
      </c>
      <c r="G108" s="0" t="n">
        <v>16</v>
      </c>
      <c r="H108" s="0" t="n">
        <v>180.47</v>
      </c>
      <c r="I108" s="0" t="s">
        <v>342</v>
      </c>
      <c r="J108" s="0" t="s">
        <v>339</v>
      </c>
      <c r="K108" s="0" t="s">
        <v>66</v>
      </c>
    </row>
    <row r="109" customFormat="false" ht="15" hidden="false" customHeight="false" outlineLevel="0" collapsed="false">
      <c r="A109" s="0" t="s">
        <v>343</v>
      </c>
      <c r="B109" s="0" t="s">
        <v>344</v>
      </c>
      <c r="C109" s="0" t="n">
        <v>6.5</v>
      </c>
      <c r="D109" s="0" t="n">
        <v>4.983</v>
      </c>
      <c r="E109" s="0" t="n">
        <v>1</v>
      </c>
      <c r="F109" s="0" t="s">
        <v>94</v>
      </c>
      <c r="G109" s="0" t="n">
        <v>16</v>
      </c>
      <c r="H109" s="0" t="n">
        <v>44.69</v>
      </c>
      <c r="I109" s="0" t="s">
        <v>175</v>
      </c>
      <c r="J109" s="0" t="s">
        <v>339</v>
      </c>
      <c r="K109" s="0" t="s">
        <v>66</v>
      </c>
    </row>
    <row r="110" customFormat="false" ht="15" hidden="false" customHeight="false" outlineLevel="0" collapsed="false">
      <c r="A110" s="0" t="s">
        <v>345</v>
      </c>
      <c r="B110" s="0" t="s">
        <v>346</v>
      </c>
      <c r="C110" s="0" t="n">
        <v>15.646</v>
      </c>
      <c r="D110" s="0" t="n">
        <v>5.375</v>
      </c>
      <c r="E110" s="0" t="n">
        <v>0</v>
      </c>
      <c r="F110" s="0" t="s">
        <v>63</v>
      </c>
      <c r="G110" s="0" t="n">
        <v>16</v>
      </c>
      <c r="H110" s="0" t="n">
        <v>0</v>
      </c>
      <c r="I110" s="0" t="s">
        <v>346</v>
      </c>
      <c r="J110" s="0" t="s">
        <v>347</v>
      </c>
      <c r="K110" s="0" t="s">
        <v>66</v>
      </c>
    </row>
    <row r="111" customFormat="false" ht="15" hidden="false" customHeight="false" outlineLevel="0" collapsed="false">
      <c r="A111" s="0" t="s">
        <v>348</v>
      </c>
      <c r="B111" s="0" t="s">
        <v>349</v>
      </c>
      <c r="C111" s="0" t="n">
        <v>6.417</v>
      </c>
      <c r="D111" s="0" t="n">
        <v>4.383</v>
      </c>
      <c r="E111" s="0" t="n">
        <v>1</v>
      </c>
      <c r="F111" s="0" t="s">
        <v>63</v>
      </c>
      <c r="G111" s="0" t="n">
        <v>16</v>
      </c>
      <c r="H111" s="0" t="n">
        <v>12.83</v>
      </c>
      <c r="I111" s="0" t="s">
        <v>342</v>
      </c>
      <c r="J111" s="0" t="s">
        <v>347</v>
      </c>
      <c r="K111" s="0" t="s">
        <v>66</v>
      </c>
    </row>
    <row r="112" customFormat="false" ht="15" hidden="false" customHeight="false" outlineLevel="0" collapsed="false">
      <c r="A112" s="0" t="s">
        <v>350</v>
      </c>
      <c r="B112" s="0" t="s">
        <v>351</v>
      </c>
      <c r="C112" s="0" t="n">
        <v>51.733</v>
      </c>
      <c r="D112" s="0" t="n">
        <v>3.113</v>
      </c>
      <c r="E112" s="0" t="n">
        <v>0</v>
      </c>
      <c r="F112" s="0" t="s">
        <v>63</v>
      </c>
      <c r="G112" s="0" t="n">
        <v>16</v>
      </c>
      <c r="H112" s="0" t="n">
        <v>0</v>
      </c>
      <c r="I112" s="0" t="s">
        <v>351</v>
      </c>
      <c r="J112" s="0" t="s">
        <v>352</v>
      </c>
      <c r="K112" s="0" t="s">
        <v>66</v>
      </c>
    </row>
    <row r="113" customFormat="false" ht="15" hidden="false" customHeight="false" outlineLevel="0" collapsed="false">
      <c r="A113" s="0" t="s">
        <v>353</v>
      </c>
      <c r="B113" s="0" t="s">
        <v>354</v>
      </c>
      <c r="C113" s="0" t="n">
        <v>51.733</v>
      </c>
      <c r="D113" s="0" t="n">
        <v>1.131</v>
      </c>
      <c r="E113" s="0" t="n">
        <v>2</v>
      </c>
      <c r="F113" s="0" t="s">
        <v>63</v>
      </c>
      <c r="G113" s="0" t="n">
        <v>16</v>
      </c>
      <c r="H113" s="0" t="n">
        <v>125.31</v>
      </c>
      <c r="I113" s="0" t="s">
        <v>355</v>
      </c>
      <c r="J113" s="0" t="s">
        <v>352</v>
      </c>
      <c r="K113" s="0" t="s">
        <v>66</v>
      </c>
    </row>
    <row r="114" customFormat="false" ht="15" hidden="false" customHeight="false" outlineLevel="0" collapsed="false">
      <c r="A114" s="0" t="s">
        <v>356</v>
      </c>
      <c r="B114" s="0" t="s">
        <v>357</v>
      </c>
      <c r="C114" s="0" t="n">
        <v>51.733</v>
      </c>
      <c r="D114" s="0" t="n">
        <v>3.46</v>
      </c>
      <c r="E114" s="0" t="n">
        <v>1</v>
      </c>
      <c r="F114" s="0" t="s">
        <v>63</v>
      </c>
      <c r="G114" s="0" t="n">
        <v>16</v>
      </c>
      <c r="H114" s="0" t="n">
        <v>179</v>
      </c>
      <c r="I114" s="0" t="s">
        <v>358</v>
      </c>
      <c r="J114" s="0" t="s">
        <v>352</v>
      </c>
      <c r="K114" s="0" t="s">
        <v>66</v>
      </c>
    </row>
    <row r="115" customFormat="false" ht="15" hidden="false" customHeight="false" outlineLevel="0" collapsed="false">
      <c r="A115" s="0" t="s">
        <v>359</v>
      </c>
      <c r="B115" s="0" t="s">
        <v>360</v>
      </c>
      <c r="C115" s="0" t="n">
        <v>13.333</v>
      </c>
      <c r="D115" s="0" t="n">
        <v>2</v>
      </c>
      <c r="E115" s="0" t="n">
        <v>3</v>
      </c>
      <c r="F115" s="0" t="s">
        <v>361</v>
      </c>
      <c r="G115" s="0" t="n">
        <v>16</v>
      </c>
      <c r="H115" s="0" t="n">
        <v>37.21</v>
      </c>
      <c r="I115" s="0" t="s">
        <v>362</v>
      </c>
      <c r="J115" s="0" t="s">
        <v>363</v>
      </c>
      <c r="K115" s="0" t="s">
        <v>66</v>
      </c>
    </row>
    <row r="116" customFormat="false" ht="15" hidden="false" customHeight="false" outlineLevel="0" collapsed="false">
      <c r="A116" s="0" t="s">
        <v>364</v>
      </c>
      <c r="B116" s="0" t="s">
        <v>365</v>
      </c>
      <c r="C116" s="0" t="n">
        <v>7.472</v>
      </c>
      <c r="D116" s="0" t="n">
        <v>12.305</v>
      </c>
      <c r="E116" s="0" t="n">
        <v>2</v>
      </c>
      <c r="F116" s="0" t="s">
        <v>63</v>
      </c>
      <c r="G116" s="0" t="n">
        <v>16</v>
      </c>
      <c r="H116" s="0" t="n">
        <v>124.78</v>
      </c>
      <c r="I116" s="0" t="s">
        <v>366</v>
      </c>
      <c r="J116" s="0" t="s">
        <v>65</v>
      </c>
      <c r="K116" s="0" t="s">
        <v>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3" min="2" style="0" width="10"/>
    <col collapsed="false" customWidth="true" hidden="false" outlineLevel="0" max="4" min="4" style="0" width="14"/>
    <col collapsed="false" customWidth="true" hidden="false" outlineLevel="0" max="6" min="5" style="0" width="10"/>
    <col collapsed="false" customWidth="true" hidden="false" outlineLevel="0" max="7" min="7" style="0" width="24"/>
    <col collapsed="false" customWidth="true" hidden="false" outlineLevel="0" max="8" min="8" style="0" width="30"/>
    <col collapsed="false" customWidth="true" hidden="false" outlineLevel="0" max="9" min="9" style="0" width="60"/>
    <col collapsed="false" customWidth="true" hidden="false" outlineLevel="0" max="10" min="10" style="0" width="28"/>
  </cols>
  <sheetData>
    <row r="1" customFormat="false" ht="16.15" hidden="false" customHeight="false" outlineLevel="0" collapsed="false">
      <c r="A1" s="1" t="s">
        <v>367</v>
      </c>
    </row>
    <row r="2" customFormat="false" ht="15" hidden="false" customHeight="false" outlineLevel="0" collapsed="false">
      <c r="A2" s="0" t="s">
        <v>368</v>
      </c>
    </row>
    <row r="3" customFormat="false" ht="15" hidden="false" customHeight="false" outlineLevel="0" collapsed="false">
      <c r="A3" s="2" t="s">
        <v>369</v>
      </c>
      <c r="B3" s="2" t="s">
        <v>370</v>
      </c>
      <c r="C3" s="2" t="s">
        <v>371</v>
      </c>
      <c r="D3" s="2" t="s">
        <v>372</v>
      </c>
      <c r="E3" s="2" t="s">
        <v>373</v>
      </c>
      <c r="F3" s="2" t="s">
        <v>374</v>
      </c>
      <c r="G3" s="2" t="s">
        <v>375</v>
      </c>
      <c r="H3" s="2" t="s">
        <v>376</v>
      </c>
      <c r="I3" s="2" t="s">
        <v>377</v>
      </c>
      <c r="J3" s="2" t="s">
        <v>378</v>
      </c>
    </row>
    <row r="4" customFormat="false" ht="15" hidden="false" customHeight="false" outlineLevel="0" collapsed="false">
      <c r="A4" s="0" t="s">
        <v>379</v>
      </c>
      <c r="B4" s="0" t="s">
        <v>380</v>
      </c>
      <c r="C4" s="0" t="n">
        <v>4401.96</v>
      </c>
      <c r="D4" s="0" t="n">
        <f aca="false">Inputs!$B$5</f>
        <v>0.15</v>
      </c>
      <c r="E4" s="0" t="n">
        <f aca="false">C4*D4</f>
        <v>660.294</v>
      </c>
      <c r="F4" s="0" t="n">
        <f aca="false">C4+E4</f>
        <v>5062.254</v>
      </c>
      <c r="G4" s="0" t="s">
        <v>381</v>
      </c>
      <c r="H4" s="0" t="n">
        <f aca="false">ROUNDUP(F4/Inputs!$B$10,0)</f>
        <v>254</v>
      </c>
      <c r="I4" s="0" t="s">
        <v>382</v>
      </c>
    </row>
    <row r="5" customFormat="false" ht="15" hidden="false" customHeight="false" outlineLevel="0" collapsed="false">
      <c r="A5" s="0" t="s">
        <v>383</v>
      </c>
      <c r="B5" s="0" t="s">
        <v>380</v>
      </c>
      <c r="C5" s="0" t="n">
        <v>6904.93</v>
      </c>
      <c r="D5" s="0" t="n">
        <f aca="false">Inputs!$B$5</f>
        <v>0.15</v>
      </c>
      <c r="E5" s="0" t="n">
        <f aca="false">C5*D5</f>
        <v>1035.7395</v>
      </c>
      <c r="F5" s="0" t="n">
        <f aca="false">C5+E5</f>
        <v>7940.6695</v>
      </c>
      <c r="G5" s="0" t="s">
        <v>381</v>
      </c>
      <c r="H5" s="0" t="n">
        <f aca="false">ROUNDUP(F5/Inputs!$B$10,0)</f>
        <v>398</v>
      </c>
      <c r="I5" s="0" t="s">
        <v>384</v>
      </c>
    </row>
    <row r="6" customFormat="false" ht="15" hidden="false" customHeight="false" outlineLevel="0" collapsed="false">
      <c r="A6" s="0" t="s">
        <v>385</v>
      </c>
      <c r="B6" s="0" t="s">
        <v>380</v>
      </c>
      <c r="C6" s="0" t="n">
        <v>3834.14</v>
      </c>
      <c r="D6" s="0" t="n">
        <f aca="false">Inputs!$B$5</f>
        <v>0.15</v>
      </c>
      <c r="E6" s="0" t="n">
        <f aca="false">C6*D6</f>
        <v>575.121</v>
      </c>
      <c r="F6" s="0" t="n">
        <f aca="false">C6+E6</f>
        <v>4409.261</v>
      </c>
      <c r="G6" s="0" t="s">
        <v>381</v>
      </c>
      <c r="H6" s="0" t="n">
        <f aca="false">ROUNDUP(F6/Inputs!$B$10,0)</f>
        <v>221</v>
      </c>
      <c r="I6" s="0" t="s">
        <v>386</v>
      </c>
    </row>
    <row r="7" customFormat="false" ht="15" hidden="false" customHeight="false" outlineLevel="0" collapsed="false">
      <c r="A7" s="0" t="s">
        <v>387</v>
      </c>
      <c r="B7" s="0" t="s">
        <v>380</v>
      </c>
      <c r="C7" s="0" t="n">
        <v>1000.84</v>
      </c>
      <c r="D7" s="0" t="n">
        <f aca="false">Inputs!$B$5</f>
        <v>0.15</v>
      </c>
      <c r="E7" s="0" t="n">
        <f aca="false">C7*D7</f>
        <v>150.126</v>
      </c>
      <c r="F7" s="0" t="n">
        <f aca="false">C7+E7</f>
        <v>1150.966</v>
      </c>
      <c r="G7" s="0" t="s">
        <v>381</v>
      </c>
      <c r="H7" s="0" t="n">
        <f aca="false">ROUNDUP(F7/Inputs!$B$10,0)</f>
        <v>58</v>
      </c>
      <c r="I7" s="0" t="s">
        <v>388</v>
      </c>
    </row>
    <row r="8" customFormat="false" ht="15" hidden="false" customHeight="false" outlineLevel="0" collapsed="false">
      <c r="A8" s="0" t="s">
        <v>389</v>
      </c>
      <c r="B8" s="0" t="s">
        <v>380</v>
      </c>
      <c r="C8" s="0" t="n">
        <v>1245.68</v>
      </c>
      <c r="D8" s="0" t="n">
        <f aca="false">Inputs!$B$5</f>
        <v>0.15</v>
      </c>
      <c r="E8" s="0" t="n">
        <f aca="false">C8*D8</f>
        <v>186.852</v>
      </c>
      <c r="F8" s="0" t="n">
        <f aca="false">C8+E8</f>
        <v>1432.532</v>
      </c>
      <c r="G8" s="0" t="s">
        <v>390</v>
      </c>
      <c r="H8" s="0" t="n">
        <f aca="false">ROUNDUP(F8/Inputs!$B$11,0)</f>
        <v>144</v>
      </c>
      <c r="I8" s="0" t="s">
        <v>391</v>
      </c>
    </row>
    <row r="9" customFormat="false" ht="15" hidden="false" customHeight="false" outlineLevel="0" collapsed="false">
      <c r="A9" s="0" t="s">
        <v>392</v>
      </c>
      <c r="B9" s="0" t="s">
        <v>380</v>
      </c>
      <c r="C9" s="0" t="n">
        <v>2478.09</v>
      </c>
      <c r="D9" s="0" t="n">
        <f aca="false">Inputs!$B$5</f>
        <v>0.15</v>
      </c>
      <c r="E9" s="0" t="n">
        <f aca="false">C9*D9</f>
        <v>371.7135</v>
      </c>
      <c r="F9" s="0" t="n">
        <f aca="false">C9+E9</f>
        <v>2849.8035</v>
      </c>
      <c r="G9" s="0" t="s">
        <v>393</v>
      </c>
      <c r="H9" s="0" t="n">
        <f aca="false">ROUNDUP(F9/Inputs!$B$16,0)</f>
        <v>179</v>
      </c>
      <c r="I9" s="0" t="s">
        <v>394</v>
      </c>
    </row>
    <row r="10" customFormat="false" ht="15" hidden="false" customHeight="false" outlineLevel="0" collapsed="false">
      <c r="A10" s="0" t="s">
        <v>395</v>
      </c>
      <c r="B10" s="0" t="s">
        <v>380</v>
      </c>
      <c r="C10" s="0" t="n">
        <v>237.19</v>
      </c>
      <c r="D10" s="0" t="n">
        <f aca="false">Inputs!$B$5</f>
        <v>0.15</v>
      </c>
      <c r="E10" s="0" t="n">
        <f aca="false">C10*D10</f>
        <v>35.5785</v>
      </c>
      <c r="F10" s="0" t="n">
        <f aca="false">C10+E10</f>
        <v>272.7685</v>
      </c>
      <c r="G10" s="0" t="s">
        <v>390</v>
      </c>
      <c r="H10" s="0" t="n">
        <f aca="false">ROUNDUP(F10/Inputs!$B$11,0)</f>
        <v>28</v>
      </c>
      <c r="I10" s="0" t="s">
        <v>396</v>
      </c>
    </row>
    <row r="11" customFormat="false" ht="15" hidden="false" customHeight="false" outlineLevel="0" collapsed="false">
      <c r="A11" s="0" t="s">
        <v>397</v>
      </c>
      <c r="B11" s="0" t="s">
        <v>380</v>
      </c>
      <c r="C11" s="0" t="n">
        <v>792.24</v>
      </c>
      <c r="D11" s="0" t="n">
        <f aca="false">Inputs!$B$5</f>
        <v>0.15</v>
      </c>
      <c r="E11" s="0" t="n">
        <f aca="false">C11*D11</f>
        <v>118.836</v>
      </c>
      <c r="F11" s="0" t="n">
        <f aca="false">C11+E11</f>
        <v>911.076</v>
      </c>
      <c r="G11" s="0" t="s">
        <v>381</v>
      </c>
      <c r="H11" s="0" t="n">
        <f aca="false">ROUNDUP(F11/Inputs!$B$10,0)</f>
        <v>46</v>
      </c>
      <c r="I11" s="0" t="s">
        <v>398</v>
      </c>
    </row>
    <row r="12" customFormat="false" ht="15" hidden="false" customHeight="false" outlineLevel="0" collapsed="false">
      <c r="A12" s="0" t="s">
        <v>399</v>
      </c>
      <c r="B12" s="0" t="s">
        <v>380</v>
      </c>
      <c r="C12" s="0" t="n">
        <v>119.12</v>
      </c>
      <c r="D12" s="0" t="n">
        <f aca="false">Inputs!$B$5</f>
        <v>0.15</v>
      </c>
      <c r="E12" s="0" t="n">
        <f aca="false">C12*D12</f>
        <v>17.868</v>
      </c>
      <c r="F12" s="0" t="n">
        <f aca="false">C12+E12</f>
        <v>136.988</v>
      </c>
      <c r="G12" s="0" t="s">
        <v>390</v>
      </c>
      <c r="H12" s="0" t="n">
        <f aca="false">ROUNDUP(F12/Inputs!$B$11,0)</f>
        <v>14</v>
      </c>
      <c r="I12" s="0" t="s">
        <v>400</v>
      </c>
    </row>
    <row r="13" customFormat="false" ht="15" hidden="false" customHeight="false" outlineLevel="0" collapsed="false">
      <c r="A13" s="0" t="s">
        <v>401</v>
      </c>
      <c r="B13" s="0" t="s">
        <v>380</v>
      </c>
      <c r="C13" s="0" t="n">
        <v>787.16</v>
      </c>
      <c r="D13" s="0" t="n">
        <f aca="false">Inputs!$B$5</f>
        <v>0.15</v>
      </c>
      <c r="E13" s="0" t="n">
        <f aca="false">C13*D13</f>
        <v>118.074</v>
      </c>
      <c r="F13" s="0" t="n">
        <f aca="false">C13+E13</f>
        <v>905.234</v>
      </c>
      <c r="G13" s="0" t="s">
        <v>402</v>
      </c>
      <c r="H13" s="0" t="n">
        <f aca="false">ROUNDUP(F13/Inputs!$B$17,0)</f>
        <v>76</v>
      </c>
      <c r="I13" s="0" t="s">
        <v>403</v>
      </c>
    </row>
    <row r="14" customFormat="false" ht="15" hidden="false" customHeight="false" outlineLevel="0" collapsed="false">
      <c r="A14" s="0" t="s">
        <v>404</v>
      </c>
      <c r="B14" s="0" t="s">
        <v>380</v>
      </c>
      <c r="C14" s="0" t="n">
        <v>324.76</v>
      </c>
      <c r="D14" s="0" t="n">
        <f aca="false">Inputs!$B$5</f>
        <v>0.15</v>
      </c>
      <c r="E14" s="0" t="n">
        <f aca="false">C14*D14</f>
        <v>48.714</v>
      </c>
      <c r="F14" s="0" t="n">
        <f aca="false">C14+E14</f>
        <v>373.474</v>
      </c>
      <c r="G14" s="0" t="s">
        <v>393</v>
      </c>
      <c r="H14" s="0" t="n">
        <f aca="false">ROUNDUP(F14/Inputs!$B$16,0)</f>
        <v>24</v>
      </c>
      <c r="I14" s="0" t="s">
        <v>405</v>
      </c>
    </row>
    <row r="15" customFormat="false" ht="15" hidden="false" customHeight="false" outlineLevel="0" collapsed="false">
      <c r="A15" s="0" t="s">
        <v>406</v>
      </c>
      <c r="B15" s="0" t="s">
        <v>380</v>
      </c>
      <c r="C15" s="0" t="n">
        <v>533.62</v>
      </c>
      <c r="D15" s="0" t="n">
        <f aca="false">Inputs!$B$5</f>
        <v>0.15</v>
      </c>
      <c r="E15" s="0" t="n">
        <f aca="false">C15*D15</f>
        <v>80.043</v>
      </c>
      <c r="F15" s="0" t="n">
        <f aca="false">C15+E15</f>
        <v>613.663</v>
      </c>
      <c r="G15" s="0" t="s">
        <v>33</v>
      </c>
      <c r="H15" s="0" t="n">
        <f aca="false">ROUNDUP(F15,0)</f>
        <v>614</v>
      </c>
      <c r="I15" s="0" t="s">
        <v>407</v>
      </c>
    </row>
    <row r="16" customFormat="false" ht="15" hidden="false" customHeight="false" outlineLevel="0" collapsed="false">
      <c r="A16" s="0" t="s">
        <v>408</v>
      </c>
      <c r="B16" s="0" t="s">
        <v>409</v>
      </c>
      <c r="C16" s="0" t="n">
        <v>18064.47</v>
      </c>
      <c r="D16" s="0" t="n">
        <f aca="false">Inputs!$B$6</f>
        <v>0.06</v>
      </c>
      <c r="E16" s="0" t="n">
        <f aca="false">C16*D16</f>
        <v>1083.8682</v>
      </c>
      <c r="F16" s="0" t="n">
        <f aca="false">C16+E16</f>
        <v>19148.3382</v>
      </c>
      <c r="G16" s="0" t="s">
        <v>410</v>
      </c>
      <c r="H16" s="0" t="n">
        <f aca="false">ROUNDUP(F16/Inputs!$B$9,0)</f>
        <v>399</v>
      </c>
      <c r="I16" s="0" t="s">
        <v>411</v>
      </c>
    </row>
    <row r="17" customFormat="false" ht="15" hidden="false" customHeight="false" outlineLevel="0" collapsed="false">
      <c r="A17" s="0" t="s">
        <v>412</v>
      </c>
      <c r="B17" s="0" t="s">
        <v>409</v>
      </c>
      <c r="C17" s="0" t="n">
        <v>261.77</v>
      </c>
      <c r="D17" s="0" t="n">
        <f aca="false">Inputs!$B$6</f>
        <v>0.06</v>
      </c>
      <c r="E17" s="0" t="n">
        <f aca="false">C17*D17</f>
        <v>15.7062</v>
      </c>
      <c r="F17" s="0" t="n">
        <f aca="false">C17+E17</f>
        <v>277.4762</v>
      </c>
      <c r="G17" s="0" t="s">
        <v>410</v>
      </c>
      <c r="H17" s="0" t="n">
        <f aca="false">ROUNDUP(F17/Inputs!$B$9,0)</f>
        <v>6</v>
      </c>
      <c r="I17" s="0" t="s">
        <v>413</v>
      </c>
    </row>
    <row r="18" customFormat="false" ht="15" hidden="false" customHeight="false" outlineLevel="0" collapsed="false">
      <c r="A18" s="0" t="s">
        <v>414</v>
      </c>
      <c r="B18" s="0" t="s">
        <v>409</v>
      </c>
      <c r="C18" s="0" t="n">
        <v>85.39</v>
      </c>
      <c r="D18" s="0" t="n">
        <f aca="false">Inputs!$B$6</f>
        <v>0.06</v>
      </c>
      <c r="E18" s="0" t="n">
        <f aca="false">C18*D18</f>
        <v>5.1234</v>
      </c>
      <c r="F18" s="0" t="n">
        <f aca="false">C18+E18</f>
        <v>90.5134</v>
      </c>
      <c r="G18" s="0" t="s">
        <v>410</v>
      </c>
      <c r="H18" s="0" t="n">
        <f aca="false">ROUNDUP(F18/Inputs!$B$9,0)</f>
        <v>2</v>
      </c>
      <c r="I18" s="0" t="s">
        <v>415</v>
      </c>
    </row>
    <row r="19" customFormat="false" ht="15" hidden="false" customHeight="false" outlineLevel="0" collapsed="false">
      <c r="A19" s="0" t="s">
        <v>416</v>
      </c>
      <c r="B19" s="0" t="s">
        <v>409</v>
      </c>
      <c r="C19" s="0" t="n">
        <v>66.32</v>
      </c>
      <c r="D19" s="0" t="n">
        <f aca="false">Inputs!$B$6</f>
        <v>0.06</v>
      </c>
      <c r="E19" s="0" t="n">
        <f aca="false">C19*D19</f>
        <v>3.9792</v>
      </c>
      <c r="F19" s="0" t="n">
        <f aca="false">C19+E19</f>
        <v>70.2992</v>
      </c>
      <c r="G19" s="0" t="s">
        <v>410</v>
      </c>
      <c r="H19" s="0" t="n">
        <f aca="false">ROUNDUP(F19/Inputs!$B$9,0)</f>
        <v>2</v>
      </c>
      <c r="I19" s="0" t="s">
        <v>417</v>
      </c>
    </row>
    <row r="20" customFormat="false" ht="15" hidden="false" customHeight="false" outlineLevel="0" collapsed="false">
      <c r="A20" s="0" t="s">
        <v>418</v>
      </c>
      <c r="B20" s="0" t="s">
        <v>409</v>
      </c>
      <c r="C20" s="0" t="n">
        <v>469.03</v>
      </c>
      <c r="D20" s="0" t="n">
        <f aca="false">Inputs!$B$6</f>
        <v>0.06</v>
      </c>
      <c r="E20" s="0" t="n">
        <f aca="false">C20*D20</f>
        <v>28.1418</v>
      </c>
      <c r="F20" s="0" t="n">
        <f aca="false">C20+E20</f>
        <v>497.1718</v>
      </c>
      <c r="G20" s="0" t="s">
        <v>410</v>
      </c>
      <c r="H20" s="0" t="n">
        <f aca="false">ROUNDUP(F20/Inputs!$B$9,0)</f>
        <v>11</v>
      </c>
      <c r="I20" s="0" t="s">
        <v>419</v>
      </c>
    </row>
    <row r="21" customFormat="false" ht="15" hidden="false" customHeight="false" outlineLevel="0" collapsed="false">
      <c r="A21" s="0" t="s">
        <v>420</v>
      </c>
      <c r="B21" s="0" t="s">
        <v>409</v>
      </c>
      <c r="C21" s="0" t="n">
        <v>959.32</v>
      </c>
      <c r="D21" s="0" t="n">
        <f aca="false">Inputs!$B$6</f>
        <v>0.06</v>
      </c>
      <c r="E21" s="0" t="n">
        <f aca="false">C21*D21</f>
        <v>57.5592</v>
      </c>
      <c r="F21" s="0" t="n">
        <f aca="false">C21+E21</f>
        <v>1016.8792</v>
      </c>
      <c r="G21" s="0" t="s">
        <v>410</v>
      </c>
      <c r="H21" s="0" t="n">
        <f aca="false">ROUNDUP(F21/Inputs!$B$9,0)</f>
        <v>22</v>
      </c>
      <c r="I21" s="0" t="s">
        <v>421</v>
      </c>
    </row>
    <row r="22" customFormat="false" ht="15" hidden="false" customHeight="false" outlineLevel="0" collapsed="false">
      <c r="A22" s="0" t="s">
        <v>422</v>
      </c>
      <c r="B22" s="0" t="s">
        <v>380</v>
      </c>
      <c r="C22" s="0" t="n">
        <v>670.82</v>
      </c>
      <c r="D22" s="0" t="n">
        <f aca="false">Inputs!$B$6</f>
        <v>0.06</v>
      </c>
      <c r="E22" s="0" t="n">
        <f aca="false">C22*D22</f>
        <v>40.2492</v>
      </c>
      <c r="F22" s="0" t="n">
        <f aca="false">C22+E22</f>
        <v>711.0692</v>
      </c>
      <c r="G22" s="0" t="s">
        <v>380</v>
      </c>
      <c r="H22" s="0" t="n">
        <f aca="false">ROUNDUP(F22,0)</f>
        <v>712</v>
      </c>
      <c r="I22" s="0" t="s">
        <v>423</v>
      </c>
    </row>
    <row r="23" customFormat="false" ht="15" hidden="false" customHeight="false" outlineLevel="0" collapsed="false">
      <c r="A23" s="0" t="s">
        <v>424</v>
      </c>
      <c r="B23" s="0" t="s">
        <v>380</v>
      </c>
      <c r="C23" s="0" t="n">
        <v>561.99</v>
      </c>
      <c r="D23" s="0" t="n">
        <f aca="false">Inputs!$B$5</f>
        <v>0.15</v>
      </c>
      <c r="E23" s="0" t="n">
        <f aca="false">C23*D23</f>
        <v>84.2985</v>
      </c>
      <c r="F23" s="0" t="n">
        <f aca="false">C23+E23</f>
        <v>646.2885</v>
      </c>
      <c r="G23" s="0" t="s">
        <v>381</v>
      </c>
      <c r="H23" s="0" t="n">
        <f aca="false">ROUNDUP(F23/Inputs!$B$10,0)</f>
        <v>33</v>
      </c>
      <c r="I23" s="0" t="s">
        <v>425</v>
      </c>
    </row>
    <row r="24" customFormat="false" ht="15" hidden="false" customHeight="false" outlineLevel="0" collapsed="false">
      <c r="A24" s="0" t="s">
        <v>426</v>
      </c>
      <c r="B24" s="0" t="s">
        <v>380</v>
      </c>
      <c r="C24" s="0" t="n">
        <v>64.23</v>
      </c>
      <c r="D24" s="0" t="n">
        <f aca="false">Inputs!$B$5</f>
        <v>0.15</v>
      </c>
      <c r="E24" s="0" t="n">
        <f aca="false">C24*D24</f>
        <v>9.6345</v>
      </c>
      <c r="F24" s="0" t="n">
        <f aca="false">C24+E24</f>
        <v>73.8645</v>
      </c>
      <c r="G24" s="0" t="s">
        <v>381</v>
      </c>
      <c r="H24" s="0" t="n">
        <f aca="false">ROUNDUP(F24/Inputs!$B$10,0)</f>
        <v>4</v>
      </c>
      <c r="I24" s="0" t="s">
        <v>427</v>
      </c>
    </row>
    <row r="25" customFormat="false" ht="15" hidden="false" customHeight="false" outlineLevel="0" collapsed="false">
      <c r="A25" s="0" t="s">
        <v>428</v>
      </c>
      <c r="B25" s="0" t="s">
        <v>380</v>
      </c>
      <c r="C25" s="0" t="n">
        <v>995.68</v>
      </c>
      <c r="D25" s="0" t="n">
        <f aca="false">Inputs!$B$5</f>
        <v>0.15</v>
      </c>
      <c r="E25" s="0" t="n">
        <f aca="false">C25*D25</f>
        <v>149.352</v>
      </c>
      <c r="F25" s="0" t="n">
        <f aca="false">C25+E25</f>
        <v>1145.032</v>
      </c>
      <c r="G25" s="0" t="s">
        <v>429</v>
      </c>
      <c r="H25" s="0" t="n">
        <f aca="false">ROUNDUP(F25/Inputs!$B$18,0)</f>
        <v>115</v>
      </c>
      <c r="I25" s="0" t="s">
        <v>430</v>
      </c>
    </row>
    <row r="26" customFormat="false" ht="15" hidden="false" customHeight="false" outlineLevel="0" collapsed="false">
      <c r="A26" s="0" t="s">
        <v>431</v>
      </c>
      <c r="B26" s="0" t="s">
        <v>409</v>
      </c>
      <c r="C26" s="0" t="n">
        <v>33.36</v>
      </c>
      <c r="D26" s="0" t="n">
        <f aca="false">Inputs!$B$6</f>
        <v>0.06</v>
      </c>
      <c r="E26" s="0" t="n">
        <f aca="false">C26*D26</f>
        <v>2.0016</v>
      </c>
      <c r="F26" s="0" t="n">
        <f aca="false">C26+E26</f>
        <v>35.3616</v>
      </c>
      <c r="G26" s="0" t="s">
        <v>432</v>
      </c>
      <c r="H26" s="0" t="n">
        <f aca="false">ROUNDUP(F26/32,0)</f>
        <v>2</v>
      </c>
      <c r="I26" s="0" t="s">
        <v>433</v>
      </c>
    </row>
    <row r="27" customFormat="false" ht="15" hidden="false" customHeight="false" outlineLevel="0" collapsed="false">
      <c r="A27" s="0" t="s">
        <v>434</v>
      </c>
      <c r="B27" s="0" t="s">
        <v>409</v>
      </c>
      <c r="C27" s="0" t="n">
        <v>349.56</v>
      </c>
      <c r="D27" s="0" t="n">
        <f aca="false">Inputs!$B$6</f>
        <v>0.06</v>
      </c>
      <c r="E27" s="0" t="n">
        <f aca="false">C27*D27</f>
        <v>20.9736</v>
      </c>
      <c r="F27" s="0" t="n">
        <f aca="false">C27+E27</f>
        <v>370.5336</v>
      </c>
      <c r="G27" s="0" t="s">
        <v>432</v>
      </c>
      <c r="H27" s="0" t="n">
        <f aca="false">ROUNDUP(F27/32,0)</f>
        <v>12</v>
      </c>
      <c r="I27" s="0" t="s">
        <v>435</v>
      </c>
    </row>
    <row r="28" customFormat="false" ht="15" hidden="false" customHeight="false" outlineLevel="0" collapsed="false">
      <c r="A28" s="0" t="s">
        <v>436</v>
      </c>
      <c r="B28" s="0" t="s">
        <v>380</v>
      </c>
      <c r="C28" s="0" t="n">
        <v>139.64</v>
      </c>
      <c r="D28" s="0" t="n">
        <f aca="false">Inputs!$B$5</f>
        <v>0.15</v>
      </c>
      <c r="E28" s="0" t="n">
        <f aca="false">C28*D28</f>
        <v>20.946</v>
      </c>
      <c r="F28" s="0" t="n">
        <f aca="false">C28+E28</f>
        <v>160.586</v>
      </c>
      <c r="G28" s="0" t="s">
        <v>381</v>
      </c>
      <c r="H28" s="0" t="n">
        <f aca="false">ROUNDUP(F28/Inputs!$B$10,0)</f>
        <v>9</v>
      </c>
      <c r="I28" s="0" t="s">
        <v>437</v>
      </c>
    </row>
    <row r="29" customFormat="false" ht="15" hidden="false" customHeight="false" outlineLevel="0" collapsed="false">
      <c r="A29" s="0" t="s">
        <v>438</v>
      </c>
      <c r="B29" s="0" t="s">
        <v>380</v>
      </c>
      <c r="C29" s="0" t="n">
        <v>248.37</v>
      </c>
      <c r="D29" s="0" t="n">
        <f aca="false">Inputs!$B$5</f>
        <v>0.15</v>
      </c>
      <c r="E29" s="0" t="n">
        <f aca="false">C29*D29</f>
        <v>37.2555</v>
      </c>
      <c r="F29" s="0" t="n">
        <f aca="false">C29+E29</f>
        <v>285.6255</v>
      </c>
      <c r="G29" s="0" t="s">
        <v>390</v>
      </c>
      <c r="H29" s="0" t="n">
        <f aca="false">ROUNDUP(F29/Inputs!$B$11,0)</f>
        <v>29</v>
      </c>
      <c r="I29" s="0" t="s">
        <v>439</v>
      </c>
    </row>
    <row r="30" customFormat="false" ht="15" hidden="false" customHeight="false" outlineLevel="0" collapsed="false">
      <c r="A30" s="0" t="s">
        <v>440</v>
      </c>
      <c r="B30" s="0" t="s">
        <v>380</v>
      </c>
      <c r="C30" s="0" t="n">
        <v>298.02</v>
      </c>
      <c r="D30" s="0" t="n">
        <f aca="false">Inputs!$B$5</f>
        <v>0.15</v>
      </c>
      <c r="E30" s="0" t="n">
        <f aca="false">C30*D30</f>
        <v>44.703</v>
      </c>
      <c r="F30" s="0" t="n">
        <f aca="false">C30+E30</f>
        <v>342.723</v>
      </c>
      <c r="G30" s="0" t="s">
        <v>390</v>
      </c>
      <c r="H30" s="0" t="n">
        <f aca="false">ROUNDUP(F30/Inputs!$B$11,0)</f>
        <v>35</v>
      </c>
      <c r="I30" s="0" t="s">
        <v>439</v>
      </c>
    </row>
    <row r="31" customFormat="false" ht="15" hidden="false" customHeight="false" outlineLevel="0" collapsed="false">
      <c r="A31" s="0" t="s">
        <v>441</v>
      </c>
      <c r="B31" s="0" t="s">
        <v>380</v>
      </c>
      <c r="C31" s="0" t="n">
        <v>58.64</v>
      </c>
      <c r="D31" s="0" t="n">
        <f aca="false">Inputs!$B$5</f>
        <v>0.15</v>
      </c>
      <c r="E31" s="0" t="n">
        <f aca="false">C31*D31</f>
        <v>8.796</v>
      </c>
      <c r="F31" s="0" t="n">
        <f aca="false">C31+E31</f>
        <v>67.436</v>
      </c>
      <c r="G31" s="0" t="s">
        <v>390</v>
      </c>
      <c r="H31" s="0" t="n">
        <f aca="false">ROUNDUP(F31/Inputs!$B$11,0)</f>
        <v>7</v>
      </c>
      <c r="I31" s="0" t="s">
        <v>439</v>
      </c>
    </row>
    <row r="32" customFormat="false" ht="15" hidden="false" customHeight="false" outlineLevel="0" collapsed="false">
      <c r="A32" s="0" t="s">
        <v>442</v>
      </c>
      <c r="B32" s="0" t="s">
        <v>380</v>
      </c>
      <c r="C32" s="0" t="n">
        <v>177.26</v>
      </c>
      <c r="D32" s="0" t="n">
        <f aca="false">Inputs!$B$5</f>
        <v>0.15</v>
      </c>
      <c r="E32" s="0" t="n">
        <f aca="false">C32*D32</f>
        <v>26.589</v>
      </c>
      <c r="F32" s="0" t="n">
        <f aca="false">C32+E32</f>
        <v>203.849</v>
      </c>
      <c r="G32" s="0" t="s">
        <v>390</v>
      </c>
      <c r="H32" s="0" t="n">
        <f aca="false">ROUNDUP(F32/Inputs!$B$11,0)</f>
        <v>21</v>
      </c>
      <c r="I32" s="0" t="s">
        <v>439</v>
      </c>
    </row>
    <row r="33" customFormat="false" ht="15" hidden="false" customHeight="false" outlineLevel="0" collapsed="false">
      <c r="A33" s="0" t="s">
        <v>443</v>
      </c>
      <c r="B33" s="0" t="s">
        <v>380</v>
      </c>
      <c r="C33" s="0" t="n">
        <v>268.56</v>
      </c>
      <c r="D33" s="0" t="n">
        <f aca="false">Inputs!$B$5</f>
        <v>0.15</v>
      </c>
      <c r="E33" s="0" t="n">
        <f aca="false">C33*D33</f>
        <v>40.284</v>
      </c>
      <c r="F33" s="0" t="n">
        <f aca="false">C33+E33</f>
        <v>308.844</v>
      </c>
      <c r="G33" s="0" t="s">
        <v>390</v>
      </c>
      <c r="H33" s="0" t="n">
        <f aca="false">ROUNDUP(F33/Inputs!$B$11,0)</f>
        <v>31</v>
      </c>
      <c r="I33" s="0" t="s">
        <v>439</v>
      </c>
    </row>
    <row r="34" customFormat="false" ht="15" hidden="false" customHeight="false" outlineLevel="0" collapsed="false">
      <c r="A34" s="0" t="s">
        <v>444</v>
      </c>
      <c r="B34" s="0" t="s">
        <v>380</v>
      </c>
      <c r="C34" s="0" t="n">
        <v>290.35</v>
      </c>
      <c r="D34" s="0" t="n">
        <f aca="false">Inputs!$B$5</f>
        <v>0.15</v>
      </c>
      <c r="E34" s="0" t="n">
        <f aca="false">C34*D34</f>
        <v>43.5525</v>
      </c>
      <c r="F34" s="0" t="n">
        <f aca="false">C34+E34</f>
        <v>333.9025</v>
      </c>
      <c r="G34" s="0" t="s">
        <v>390</v>
      </c>
      <c r="H34" s="0" t="n">
        <f aca="false">ROUNDUP(F34/Inputs!$B$11,0)</f>
        <v>34</v>
      </c>
      <c r="I34" s="0" t="s">
        <v>439</v>
      </c>
    </row>
    <row r="35" customFormat="false" ht="15" hidden="false" customHeight="false" outlineLevel="0" collapsed="false">
      <c r="A35" s="0" t="s">
        <v>445</v>
      </c>
      <c r="B35" s="0" t="s">
        <v>380</v>
      </c>
      <c r="C35" s="0" t="n">
        <v>248.37</v>
      </c>
      <c r="D35" s="0" t="n">
        <f aca="false">Inputs!$B$5</f>
        <v>0.15</v>
      </c>
      <c r="E35" s="0" t="n">
        <f aca="false">C35*D35</f>
        <v>37.2555</v>
      </c>
      <c r="F35" s="0" t="n">
        <f aca="false">C35+E35</f>
        <v>285.6255</v>
      </c>
      <c r="G35" s="0" t="s">
        <v>390</v>
      </c>
      <c r="H35" s="0" t="n">
        <f aca="false">ROUNDUP(F35/Inputs!$B$11,0)</f>
        <v>29</v>
      </c>
      <c r="I35" s="0" t="s">
        <v>446</v>
      </c>
    </row>
    <row r="36" customFormat="false" ht="15" hidden="false" customHeight="false" outlineLevel="0" collapsed="false">
      <c r="A36" s="0" t="s">
        <v>447</v>
      </c>
      <c r="B36" s="0" t="s">
        <v>380</v>
      </c>
      <c r="C36" s="0" t="n">
        <v>298.02</v>
      </c>
      <c r="D36" s="0" t="n">
        <f aca="false">Inputs!$B$5</f>
        <v>0.15</v>
      </c>
      <c r="E36" s="0" t="n">
        <f aca="false">C36*D36</f>
        <v>44.703</v>
      </c>
      <c r="F36" s="0" t="n">
        <f aca="false">C36+E36</f>
        <v>342.723</v>
      </c>
      <c r="G36" s="0" t="s">
        <v>390</v>
      </c>
      <c r="H36" s="0" t="n">
        <f aca="false">ROUNDUP(F36/Inputs!$B$11,0)</f>
        <v>35</v>
      </c>
      <c r="I36" s="0" t="s">
        <v>446</v>
      </c>
    </row>
    <row r="37" customFormat="false" ht="15" hidden="false" customHeight="false" outlineLevel="0" collapsed="false">
      <c r="A37" s="0" t="s">
        <v>448</v>
      </c>
      <c r="B37" s="0" t="s">
        <v>380</v>
      </c>
      <c r="C37" s="0" t="n">
        <v>58.64</v>
      </c>
      <c r="D37" s="0" t="n">
        <f aca="false">Inputs!$B$5</f>
        <v>0.15</v>
      </c>
      <c r="E37" s="0" t="n">
        <f aca="false">C37*D37</f>
        <v>8.796</v>
      </c>
      <c r="F37" s="0" t="n">
        <f aca="false">C37+E37</f>
        <v>67.436</v>
      </c>
      <c r="G37" s="0" t="s">
        <v>390</v>
      </c>
      <c r="H37" s="0" t="n">
        <f aca="false">ROUNDUP(F37/Inputs!$B$11,0)</f>
        <v>7</v>
      </c>
      <c r="I37" s="0" t="s">
        <v>446</v>
      </c>
    </row>
    <row r="38" customFormat="false" ht="15" hidden="false" customHeight="false" outlineLevel="0" collapsed="false">
      <c r="A38" s="0" t="s">
        <v>449</v>
      </c>
      <c r="B38" s="0" t="s">
        <v>380</v>
      </c>
      <c r="C38" s="0" t="n">
        <v>177.26</v>
      </c>
      <c r="D38" s="0" t="n">
        <f aca="false">Inputs!$B$5</f>
        <v>0.15</v>
      </c>
      <c r="E38" s="0" t="n">
        <f aca="false">C38*D38</f>
        <v>26.589</v>
      </c>
      <c r="F38" s="0" t="n">
        <f aca="false">C38+E38</f>
        <v>203.849</v>
      </c>
      <c r="G38" s="0" t="s">
        <v>390</v>
      </c>
      <c r="H38" s="0" t="n">
        <f aca="false">ROUNDUP(F38/Inputs!$B$11,0)</f>
        <v>21</v>
      </c>
      <c r="I38" s="0" t="s">
        <v>446</v>
      </c>
    </row>
    <row r="39" customFormat="false" ht="15" hidden="false" customHeight="false" outlineLevel="0" collapsed="false">
      <c r="A39" s="0" t="s">
        <v>450</v>
      </c>
      <c r="B39" s="0" t="s">
        <v>380</v>
      </c>
      <c r="C39" s="0" t="n">
        <v>268.56</v>
      </c>
      <c r="D39" s="0" t="n">
        <f aca="false">Inputs!$B$5</f>
        <v>0.15</v>
      </c>
      <c r="E39" s="0" t="n">
        <f aca="false">C39*D39</f>
        <v>40.284</v>
      </c>
      <c r="F39" s="0" t="n">
        <f aca="false">C39+E39</f>
        <v>308.844</v>
      </c>
      <c r="G39" s="0" t="s">
        <v>390</v>
      </c>
      <c r="H39" s="0" t="n">
        <f aca="false">ROUNDUP(F39/Inputs!$B$11,0)</f>
        <v>31</v>
      </c>
      <c r="I39" s="0" t="s">
        <v>446</v>
      </c>
    </row>
    <row r="40" customFormat="false" ht="15" hidden="false" customHeight="false" outlineLevel="0" collapsed="false">
      <c r="A40" s="0" t="s">
        <v>451</v>
      </c>
      <c r="B40" s="0" t="s">
        <v>380</v>
      </c>
      <c r="C40" s="0" t="n">
        <v>290.35</v>
      </c>
      <c r="D40" s="0" t="n">
        <f aca="false">Inputs!$B$5</f>
        <v>0.15</v>
      </c>
      <c r="E40" s="0" t="n">
        <f aca="false">C40*D40</f>
        <v>43.5525</v>
      </c>
      <c r="F40" s="0" t="n">
        <f aca="false">C40+E40</f>
        <v>333.9025</v>
      </c>
      <c r="G40" s="0" t="s">
        <v>390</v>
      </c>
      <c r="H40" s="0" t="n">
        <f aca="false">ROUNDUP(F40/Inputs!$B$11,0)</f>
        <v>34</v>
      </c>
      <c r="I40" s="0" t="s">
        <v>446</v>
      </c>
    </row>
    <row r="41" customFormat="false" ht="15" hidden="false" customHeight="false" outlineLevel="0" collapsed="false">
      <c r="A41" s="0" t="s">
        <v>452</v>
      </c>
      <c r="B41" s="0" t="s">
        <v>380</v>
      </c>
      <c r="C41" s="0" t="n">
        <v>37.59</v>
      </c>
      <c r="D41" s="0" t="n">
        <f aca="false">Inputs!$B$5</f>
        <v>0.15</v>
      </c>
      <c r="E41" s="0" t="n">
        <f aca="false">C41*D41</f>
        <v>5.6385</v>
      </c>
      <c r="F41" s="0" t="n">
        <f aca="false">C41+E41</f>
        <v>43.2285</v>
      </c>
      <c r="G41" s="0" t="s">
        <v>381</v>
      </c>
      <c r="H41" s="0" t="n">
        <f aca="false">ROUNDUP(F41/Inputs!$B$10,0)</f>
        <v>3</v>
      </c>
      <c r="I41" s="0" t="s">
        <v>453</v>
      </c>
    </row>
    <row r="42" customFormat="false" ht="15" hidden="false" customHeight="false" outlineLevel="0" collapsed="false">
      <c r="A42" s="0" t="s">
        <v>454</v>
      </c>
      <c r="B42" s="0" t="s">
        <v>380</v>
      </c>
      <c r="C42" s="0" t="n">
        <v>6</v>
      </c>
      <c r="D42" s="0" t="n">
        <f aca="false">Inputs!$B$6</f>
        <v>0.06</v>
      </c>
      <c r="E42" s="0" t="n">
        <f aca="false">C42*D42</f>
        <v>0.36</v>
      </c>
      <c r="F42" s="0" t="n">
        <f aca="false">C42+E42</f>
        <v>6.36</v>
      </c>
      <c r="G42" s="0" t="s">
        <v>380</v>
      </c>
      <c r="H42" s="0" t="n">
        <f aca="false">ROUNDUP(F42,0)</f>
        <v>7</v>
      </c>
      <c r="I42" s="0" t="s">
        <v>455</v>
      </c>
    </row>
    <row r="43" customFormat="false" ht="15" hidden="false" customHeight="false" outlineLevel="0" collapsed="false">
      <c r="A43" s="0" t="s">
        <v>456</v>
      </c>
      <c r="B43" s="0" t="s">
        <v>409</v>
      </c>
      <c r="C43" s="0" t="n">
        <v>1874.29</v>
      </c>
      <c r="D43" s="0" t="n">
        <f aca="false">Inputs!$B$6</f>
        <v>0.06</v>
      </c>
      <c r="E43" s="0" t="n">
        <f aca="false">C43*D43</f>
        <v>112.4574</v>
      </c>
      <c r="F43" s="0" t="n">
        <f aca="false">C43+E43</f>
        <v>1986.7474</v>
      </c>
      <c r="G43" s="0" t="s">
        <v>457</v>
      </c>
      <c r="H43" s="0" t="n">
        <f aca="false">ROUNDUP(F43/Inputs!$B$9,0)</f>
        <v>42</v>
      </c>
      <c r="I43" s="0" t="s">
        <v>458</v>
      </c>
    </row>
    <row r="44" customFormat="false" ht="15" hidden="false" customHeight="false" outlineLevel="0" collapsed="false">
      <c r="A44" s="0" t="s">
        <v>459</v>
      </c>
      <c r="B44" s="0" t="s">
        <v>409</v>
      </c>
      <c r="C44" s="0" t="n">
        <v>3867.73</v>
      </c>
      <c r="D44" s="0" t="n">
        <f aca="false">Inputs!$B$6</f>
        <v>0.06</v>
      </c>
      <c r="E44" s="0" t="n">
        <f aca="false">C44*D44</f>
        <v>232.0638</v>
      </c>
      <c r="F44" s="0" t="n">
        <f aca="false">C44+E44</f>
        <v>4099.7938</v>
      </c>
      <c r="G44" s="0" t="s">
        <v>457</v>
      </c>
      <c r="H44" s="0" t="n">
        <f aca="false">ROUNDUP(F44/Inputs!$B$9,0)</f>
        <v>86</v>
      </c>
      <c r="I44" s="0" t="s">
        <v>458</v>
      </c>
    </row>
    <row r="45" customFormat="false" ht="15" hidden="false" customHeight="false" outlineLevel="0" collapsed="false">
      <c r="A45" s="0" t="s">
        <v>460</v>
      </c>
      <c r="B45" s="0" t="s">
        <v>409</v>
      </c>
      <c r="C45" s="0" t="n">
        <v>662.76</v>
      </c>
      <c r="D45" s="0" t="n">
        <f aca="false">Inputs!$B$6</f>
        <v>0.06</v>
      </c>
      <c r="E45" s="0" t="n">
        <f aca="false">C45*D45</f>
        <v>39.7656</v>
      </c>
      <c r="F45" s="0" t="n">
        <f aca="false">C45+E45</f>
        <v>702.5256</v>
      </c>
      <c r="G45" s="0" t="s">
        <v>457</v>
      </c>
      <c r="H45" s="0" t="n">
        <f aca="false">ROUNDUP(F45/Inputs!$B$9,0)</f>
        <v>15</v>
      </c>
      <c r="I45" s="0" t="s">
        <v>458</v>
      </c>
    </row>
    <row r="46" customFormat="false" ht="15" hidden="false" customHeight="false" outlineLevel="0" collapsed="false">
      <c r="A46" s="0" t="s">
        <v>461</v>
      </c>
      <c r="B46" s="0" t="s">
        <v>409</v>
      </c>
      <c r="C46" s="0" t="n">
        <v>23.59</v>
      </c>
      <c r="D46" s="0" t="n">
        <f aca="false">Inputs!$B$6</f>
        <v>0.06</v>
      </c>
      <c r="E46" s="0" t="n">
        <f aca="false">C46*D46</f>
        <v>1.4154</v>
      </c>
      <c r="F46" s="0" t="n">
        <f aca="false">C46+E46</f>
        <v>25.0054</v>
      </c>
      <c r="G46" s="0" t="s">
        <v>457</v>
      </c>
      <c r="H46" s="0" t="n">
        <f aca="false">ROUNDUP(F46/Inputs!$B$9,0)</f>
        <v>1</v>
      </c>
      <c r="I46" s="0" t="s">
        <v>458</v>
      </c>
    </row>
    <row r="47" customFormat="false" ht="15" hidden="false" customHeight="false" outlineLevel="0" collapsed="false">
      <c r="A47" s="0" t="s">
        <v>462</v>
      </c>
      <c r="B47" s="0" t="s">
        <v>409</v>
      </c>
      <c r="C47" s="0" t="n">
        <v>238.01</v>
      </c>
      <c r="D47" s="0" t="n">
        <f aca="false">Inputs!$B$6</f>
        <v>0.06</v>
      </c>
      <c r="E47" s="0" t="n">
        <f aca="false">C47*D47</f>
        <v>14.2806</v>
      </c>
      <c r="F47" s="0" t="n">
        <f aca="false">C47+E47</f>
        <v>252.2906</v>
      </c>
      <c r="G47" s="0" t="s">
        <v>457</v>
      </c>
      <c r="H47" s="0" t="n">
        <f aca="false">ROUNDUP(F47/Inputs!$B$9,0)</f>
        <v>6</v>
      </c>
      <c r="I47" s="0" t="s">
        <v>458</v>
      </c>
    </row>
    <row r="48" customFormat="false" ht="15" hidden="false" customHeight="false" outlineLevel="0" collapsed="false">
      <c r="A48" s="0" t="s">
        <v>463</v>
      </c>
      <c r="B48" s="0" t="s">
        <v>380</v>
      </c>
      <c r="C48" s="0" t="n">
        <v>211.92</v>
      </c>
      <c r="D48" s="0" t="n">
        <f aca="false">Inputs!$B$6</f>
        <v>0.06</v>
      </c>
      <c r="E48" s="0" t="n">
        <f aca="false">C48*D48</f>
        <v>12.7152</v>
      </c>
      <c r="F48" s="0" t="n">
        <f aca="false">C48+E48</f>
        <v>224.6352</v>
      </c>
      <c r="G48" s="0" t="s">
        <v>464</v>
      </c>
      <c r="H48" s="0" t="n">
        <f aca="false">ROUNDUP(F48/Inputs!$B$15,0)</f>
        <v>9</v>
      </c>
      <c r="I48" s="0" t="s">
        <v>465</v>
      </c>
    </row>
    <row r="49" customFormat="false" ht="15" hidden="false" customHeight="false" outlineLevel="0" collapsed="false">
      <c r="A49" s="0" t="s">
        <v>466</v>
      </c>
      <c r="B49" s="0" t="s">
        <v>467</v>
      </c>
      <c r="C49" s="0" t="n">
        <v>113</v>
      </c>
      <c r="D49" s="0" t="n">
        <v>0</v>
      </c>
      <c r="E49" s="0" t="n">
        <f aca="false">C49*D49</f>
        <v>0</v>
      </c>
      <c r="F49" s="0" t="n">
        <f aca="false">C49+E49</f>
        <v>113</v>
      </c>
      <c r="H49" s="0" t="n">
        <f aca="false">ROUNDUP(F49,0)</f>
        <v>113</v>
      </c>
      <c r="I49" s="0" t="s">
        <v>468</v>
      </c>
    </row>
    <row r="50" customFormat="false" ht="15" hidden="false" customHeight="false" outlineLevel="0" collapsed="false">
      <c r="A50" s="0" t="s">
        <v>469</v>
      </c>
      <c r="B50" s="0" t="s">
        <v>380</v>
      </c>
      <c r="C50" s="0" t="n">
        <v>56</v>
      </c>
      <c r="D50" s="0" t="n">
        <f aca="false">Inputs!$B$5</f>
        <v>0.15</v>
      </c>
      <c r="E50" s="0" t="n">
        <f aca="false">C50*D50</f>
        <v>8.4</v>
      </c>
      <c r="F50" s="0" t="n">
        <f aca="false">C50+E50</f>
        <v>64.4</v>
      </c>
      <c r="G50" s="0" t="s">
        <v>390</v>
      </c>
      <c r="H50" s="0" t="n">
        <f aca="false">ROUNDUP(F50/Inputs!$B$11,0)</f>
        <v>7</v>
      </c>
      <c r="I50" s="0" t="s">
        <v>470</v>
      </c>
    </row>
    <row r="51" customFormat="false" ht="15" hidden="false" customHeight="false" outlineLevel="0" collapsed="false">
      <c r="A51" s="0" t="s">
        <v>471</v>
      </c>
      <c r="B51" s="0" t="s">
        <v>467</v>
      </c>
      <c r="C51" s="0" t="n">
        <v>31</v>
      </c>
      <c r="D51" s="0" t="n">
        <v>0</v>
      </c>
      <c r="E51" s="0" t="n">
        <f aca="false">C51*D51</f>
        <v>0</v>
      </c>
      <c r="F51" s="0" t="n">
        <f aca="false">C51+E51</f>
        <v>31</v>
      </c>
      <c r="G51" s="0" t="s">
        <v>472</v>
      </c>
      <c r="H51" s="0" t="n">
        <f aca="false">ROUNDUP(F51,0)</f>
        <v>31</v>
      </c>
      <c r="I51" s="0" t="s">
        <v>473</v>
      </c>
    </row>
    <row r="52" customFormat="false" ht="15" hidden="false" customHeight="false" outlineLevel="0" collapsed="false">
      <c r="A52" s="0" t="s">
        <v>474</v>
      </c>
      <c r="B52" s="0" t="s">
        <v>380</v>
      </c>
      <c r="C52" s="0" t="n">
        <v>0</v>
      </c>
      <c r="D52" s="0" t="n">
        <f aca="false">Inputs!$B$5</f>
        <v>0.15</v>
      </c>
      <c r="E52" s="0" t="n">
        <f aca="false">C52*D52</f>
        <v>0</v>
      </c>
      <c r="F52" s="0" t="n">
        <f aca="false">C52+E52</f>
        <v>0</v>
      </c>
      <c r="G52" s="0" t="s">
        <v>381</v>
      </c>
      <c r="H52" s="0" t="n">
        <f aca="false">ROUNDUP(F52/Inputs!$B$10,0)</f>
        <v>0</v>
      </c>
      <c r="I52" s="0" t="s">
        <v>475</v>
      </c>
    </row>
    <row r="53" customFormat="false" ht="15" hidden="false" customHeight="false" outlineLevel="0" collapsed="false">
      <c r="A53" s="0" t="s">
        <v>476</v>
      </c>
      <c r="B53" s="0" t="s">
        <v>380</v>
      </c>
      <c r="C53" s="0" t="n">
        <v>10.43</v>
      </c>
      <c r="D53" s="0" t="n">
        <f aca="false">Inputs!$B$5</f>
        <v>0.15</v>
      </c>
      <c r="E53" s="0" t="n">
        <f aca="false">C53*D53</f>
        <v>1.5645</v>
      </c>
      <c r="F53" s="0" t="n">
        <f aca="false">C53+E53</f>
        <v>11.9945</v>
      </c>
      <c r="G53" s="0" t="s">
        <v>381</v>
      </c>
      <c r="H53" s="0" t="n">
        <f aca="false">ROUNDUP(F53/Inputs!$B$10,0)</f>
        <v>1</v>
      </c>
      <c r="I53" s="0" t="s">
        <v>477</v>
      </c>
    </row>
    <row r="54" customFormat="false" ht="15" hidden="false" customHeight="false" outlineLevel="0" collapsed="false">
      <c r="A54" s="0" t="s">
        <v>478</v>
      </c>
      <c r="B54" s="0" t="s">
        <v>409</v>
      </c>
      <c r="C54" s="0" t="n">
        <v>60.88</v>
      </c>
      <c r="D54" s="0" t="n">
        <f aca="false">Inputs!$B$6</f>
        <v>0.06</v>
      </c>
      <c r="E54" s="0" t="n">
        <f aca="false">C54*D54</f>
        <v>3.6528</v>
      </c>
      <c r="F54" s="0" t="n">
        <f aca="false">C54+E54</f>
        <v>64.5328</v>
      </c>
      <c r="G54" s="0" t="s">
        <v>457</v>
      </c>
      <c r="H54" s="0" t="n">
        <f aca="false">ROUNDUP(F54/Inputs!$B$9,0)</f>
        <v>2</v>
      </c>
      <c r="I54" s="0" t="s">
        <v>479</v>
      </c>
    </row>
    <row r="55" customFormat="false" ht="15" hidden="false" customHeight="false" outlineLevel="0" collapsed="false">
      <c r="A55" s="0" t="s">
        <v>480</v>
      </c>
      <c r="B55" s="0" t="s">
        <v>380</v>
      </c>
      <c r="C55" s="0" t="n">
        <v>219.42</v>
      </c>
      <c r="D55" s="0" t="n">
        <f aca="false">Inputs!$B$6</f>
        <v>0.06</v>
      </c>
      <c r="E55" s="0" t="n">
        <f aca="false">C55*D55</f>
        <v>13.1652</v>
      </c>
      <c r="F55" s="0" t="n">
        <f aca="false">C55+E55</f>
        <v>232.5852</v>
      </c>
      <c r="G55" s="0" t="s">
        <v>429</v>
      </c>
      <c r="H55" s="0" t="n">
        <f aca="false">ROUNDUP(F55/Inputs!$B$18,0)</f>
        <v>24</v>
      </c>
      <c r="I55" s="0" t="s">
        <v>481</v>
      </c>
    </row>
    <row r="56" customFormat="false" ht="15" hidden="false" customHeight="false" outlineLevel="0" collapsed="false">
      <c r="A56" s="0" t="s">
        <v>482</v>
      </c>
      <c r="B56" s="0" t="s">
        <v>467</v>
      </c>
      <c r="C56" s="0" t="n">
        <v>306</v>
      </c>
      <c r="D56" s="0" t="n">
        <v>0</v>
      </c>
      <c r="E56" s="0" t="n">
        <f aca="false">C56*D56</f>
        <v>0</v>
      </c>
      <c r="F56" s="0" t="n">
        <f aca="false">C56+E56</f>
        <v>306</v>
      </c>
      <c r="G56" s="0" t="s">
        <v>472</v>
      </c>
      <c r="H56" s="0" t="n">
        <f aca="false">ROUNDUP(F56,0)</f>
        <v>306</v>
      </c>
      <c r="I56" s="0" t="s">
        <v>483</v>
      </c>
    </row>
    <row r="57" customFormat="false" ht="15" hidden="false" customHeight="false" outlineLevel="0" collapsed="false">
      <c r="A57" s="0" t="s">
        <v>484</v>
      </c>
      <c r="B57" s="0" t="s">
        <v>467</v>
      </c>
      <c r="C57" s="0" t="n">
        <v>1</v>
      </c>
      <c r="D57" s="0" t="n">
        <v>0</v>
      </c>
      <c r="E57" s="0" t="n">
        <f aca="false">C57*D57</f>
        <v>0</v>
      </c>
      <c r="F57" s="0" t="n">
        <f aca="false">C57+E57</f>
        <v>1</v>
      </c>
      <c r="G57" s="0" t="s">
        <v>472</v>
      </c>
      <c r="H57" s="0" t="n">
        <f aca="false">ROUNDUP(F57,0)</f>
        <v>1</v>
      </c>
      <c r="I57" s="0" t="s">
        <v>485</v>
      </c>
    </row>
    <row r="58" customFormat="false" ht="15" hidden="false" customHeight="false" outlineLevel="0" collapsed="false">
      <c r="A58" s="0" t="s">
        <v>486</v>
      </c>
      <c r="B58" s="0" t="s">
        <v>467</v>
      </c>
      <c r="C58" s="0" t="n">
        <v>22071.07</v>
      </c>
      <c r="D58" s="0" t="n">
        <v>0</v>
      </c>
      <c r="E58" s="0" t="n">
        <f aca="false">C58*D58</f>
        <v>0</v>
      </c>
      <c r="F58" s="0" t="n">
        <f aca="false">C58+E58</f>
        <v>22071.07</v>
      </c>
      <c r="G58" s="0" t="s">
        <v>472</v>
      </c>
      <c r="H58" s="0" t="n">
        <f aca="false">ROUNDUP(F58,0)</f>
        <v>22072</v>
      </c>
      <c r="I58" s="0" t="s">
        <v>487</v>
      </c>
      <c r="J58" s="0" t="n">
        <f aca="false">Inputs!$B$20*18392.6</f>
        <v>22071.12</v>
      </c>
    </row>
    <row r="59" customFormat="false" ht="15" hidden="false" customHeight="false" outlineLevel="0" collapsed="false">
      <c r="A59" s="0" t="s">
        <v>488</v>
      </c>
      <c r="B59" s="0" t="s">
        <v>467</v>
      </c>
      <c r="C59" s="0" t="n">
        <v>7028</v>
      </c>
      <c r="D59" s="0" t="n">
        <v>0</v>
      </c>
      <c r="E59" s="0" t="n">
        <f aca="false">C59*D59</f>
        <v>0</v>
      </c>
      <c r="F59" s="0" t="n">
        <f aca="false">C59+E59</f>
        <v>7028</v>
      </c>
      <c r="G59" s="0" t="s">
        <v>472</v>
      </c>
      <c r="H59" s="0" t="n">
        <f aca="false">ROUNDUP(F59,0)</f>
        <v>7028</v>
      </c>
      <c r="I59" s="0" t="s">
        <v>489</v>
      </c>
      <c r="J59" s="0" t="n">
        <f aca="false">Inputs!$B$21*1757</f>
        <v>7028</v>
      </c>
    </row>
    <row r="60" customFormat="false" ht="15" hidden="false" customHeight="false" outlineLevel="0" collapsed="false">
      <c r="A60" s="0" t="s">
        <v>490</v>
      </c>
      <c r="B60" s="0" t="s">
        <v>467</v>
      </c>
      <c r="C60" s="0" t="n">
        <v>531.51</v>
      </c>
      <c r="D60" s="0" t="n">
        <v>0</v>
      </c>
      <c r="E60" s="0" t="n">
        <f aca="false">C60*D60</f>
        <v>0</v>
      </c>
      <c r="F60" s="0" t="n">
        <f aca="false">C60+E60</f>
        <v>531.51</v>
      </c>
      <c r="G60" s="0" t="s">
        <v>472</v>
      </c>
      <c r="H60" s="0" t="n">
        <f aca="false">ROUNDUP(F60,0)</f>
        <v>532</v>
      </c>
      <c r="I60" s="0" t="s">
        <v>491</v>
      </c>
      <c r="J60" s="0" t="n">
        <f aca="false">531.51/Inputs!$B$22</f>
        <v>531.51</v>
      </c>
    </row>
    <row r="61" customFormat="false" ht="15" hidden="false" customHeight="false" outlineLevel="0" collapsed="false">
      <c r="A61" s="0" t="s">
        <v>492</v>
      </c>
      <c r="B61" s="0" t="s">
        <v>467</v>
      </c>
      <c r="C61" s="0" t="n">
        <v>322.81</v>
      </c>
      <c r="D61" s="0" t="n">
        <v>0</v>
      </c>
      <c r="E61" s="0" t="n">
        <f aca="false">C61*D61</f>
        <v>0</v>
      </c>
      <c r="F61" s="0" t="n">
        <f aca="false">C61+E61</f>
        <v>322.81</v>
      </c>
      <c r="G61" s="0" t="s">
        <v>472</v>
      </c>
      <c r="H61" s="0" t="n">
        <f aca="false">ROUNDUP(F61,0)</f>
        <v>323</v>
      </c>
      <c r="I61" s="0" t="s">
        <v>493</v>
      </c>
      <c r="J61" s="0" t="n">
        <f aca="false">215.22/Inputs!$B$25</f>
        <v>322.813859307035</v>
      </c>
    </row>
    <row r="62" customFormat="false" ht="15" hidden="false" customHeight="false" outlineLevel="0" collapsed="false">
      <c r="A62" s="0" t="s">
        <v>494</v>
      </c>
      <c r="B62" s="0" t="s">
        <v>495</v>
      </c>
      <c r="C62" s="0" t="n">
        <v>1324.26</v>
      </c>
      <c r="D62" s="0" t="n">
        <v>0</v>
      </c>
      <c r="E62" s="0" t="n">
        <f aca="false">C62*D62</f>
        <v>0</v>
      </c>
      <c r="F62" s="0" t="n">
        <f aca="false">C62+E62</f>
        <v>1324.26</v>
      </c>
      <c r="G62" s="0" t="s">
        <v>496</v>
      </c>
      <c r="H62" s="0" t="n">
        <f aca="false">ROUNDUP(F62,0)</f>
        <v>1325</v>
      </c>
      <c r="I62" s="0" t="s">
        <v>497</v>
      </c>
      <c r="J62" s="0" t="n">
        <f aca="false">Inputs!$B$23*18392.6</f>
        <v>1324.2672</v>
      </c>
    </row>
    <row r="63" customFormat="false" ht="15" hidden="false" customHeight="false" outlineLevel="0" collapsed="false">
      <c r="A63" s="0" t="s">
        <v>498</v>
      </c>
      <c r="B63" s="0" t="s">
        <v>380</v>
      </c>
      <c r="C63" s="0" t="n">
        <v>6805.25</v>
      </c>
      <c r="D63" s="0" t="n">
        <v>0</v>
      </c>
      <c r="E63" s="0" t="n">
        <f aca="false">C63*D63</f>
        <v>0</v>
      </c>
      <c r="F63" s="0" t="n">
        <f aca="false">C63+E63</f>
        <v>6805.25</v>
      </c>
      <c r="G63" s="0" t="s">
        <v>380</v>
      </c>
      <c r="H63" s="0" t="n">
        <f aca="false">ROUNDUP(F63,0)</f>
        <v>6806</v>
      </c>
      <c r="I63" s="0" t="s">
        <v>499</v>
      </c>
      <c r="J63" s="0" t="n">
        <f aca="false">Inputs!$B$24*18392.6</f>
        <v>6805.262</v>
      </c>
    </row>
    <row r="64" customFormat="false" ht="15" hidden="false" customHeight="false" outlineLevel="0" collapsed="false">
      <c r="A64" s="0" t="s">
        <v>500</v>
      </c>
      <c r="B64" s="0" t="s">
        <v>409</v>
      </c>
      <c r="C64" s="0" t="n">
        <v>712.87</v>
      </c>
      <c r="D64" s="0" t="n">
        <f aca="false">Inputs!$B$6</f>
        <v>0.06</v>
      </c>
      <c r="E64" s="0" t="n">
        <f aca="false">C64*D64</f>
        <v>42.7722</v>
      </c>
      <c r="F64" s="0" t="n">
        <f aca="false">C64+E64</f>
        <v>755.6422</v>
      </c>
      <c r="G64" s="0" t="s">
        <v>409</v>
      </c>
      <c r="H64" s="0" t="n">
        <f aca="false">ROUNDUP(F64,0)</f>
        <v>756</v>
      </c>
      <c r="I64" s="0" t="s">
        <v>501</v>
      </c>
    </row>
    <row r="65" customFormat="false" ht="15" hidden="false" customHeight="false" outlineLevel="0" collapsed="false">
      <c r="A65" s="0" t="s">
        <v>502</v>
      </c>
      <c r="B65" s="0" t="s">
        <v>467</v>
      </c>
      <c r="C65" s="0" t="n">
        <v>0</v>
      </c>
      <c r="D65" s="0" t="n">
        <v>0</v>
      </c>
      <c r="E65" s="0" t="n">
        <f aca="false">C65*D65</f>
        <v>0</v>
      </c>
      <c r="F65" s="0" t="n">
        <f aca="false">C65+E65</f>
        <v>0</v>
      </c>
      <c r="G65" s="0" t="s">
        <v>472</v>
      </c>
      <c r="H65" s="0" t="n">
        <f aca="false">ROUNDUP(F65,0)</f>
        <v>0</v>
      </c>
      <c r="I65" s="0" t="s">
        <v>503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60"/>
  </cols>
  <sheetData>
    <row r="1" customFormat="false" ht="15" hidden="false" customHeight="false" outlineLevel="0" collapsed="false">
      <c r="A1" s="2" t="s">
        <v>504</v>
      </c>
      <c r="B1" s="2" t="s">
        <v>505</v>
      </c>
      <c r="C1" s="2" t="s">
        <v>506</v>
      </c>
    </row>
    <row r="2" customFormat="false" ht="15" hidden="false" customHeight="false" outlineLevel="0" collapsed="false">
      <c r="A2" s="0" t="s">
        <v>507</v>
      </c>
      <c r="B2" s="0" t="s">
        <v>508</v>
      </c>
      <c r="C2" s="0" t="s">
        <v>509</v>
      </c>
    </row>
    <row r="3" customFormat="false" ht="15" hidden="false" customHeight="false" outlineLevel="0" collapsed="false">
      <c r="A3" s="0" t="s">
        <v>510</v>
      </c>
      <c r="B3" s="0" t="s">
        <v>511</v>
      </c>
      <c r="C3" s="0" t="s">
        <v>512</v>
      </c>
    </row>
    <row r="4" customFormat="false" ht="15" hidden="false" customHeight="false" outlineLevel="0" collapsed="false">
      <c r="A4" s="0" t="s">
        <v>513</v>
      </c>
      <c r="B4" s="0" t="s">
        <v>514</v>
      </c>
      <c r="C4" s="0" t="s">
        <v>515</v>
      </c>
    </row>
    <row r="5" customFormat="false" ht="15" hidden="false" customHeight="false" outlineLevel="0" collapsed="false">
      <c r="A5" s="0" t="s">
        <v>516</v>
      </c>
      <c r="B5" s="0" t="s">
        <v>517</v>
      </c>
      <c r="C5" s="0" t="s">
        <v>518</v>
      </c>
    </row>
    <row r="6" customFormat="false" ht="15" hidden="false" customHeight="false" outlineLevel="0" collapsed="false">
      <c r="A6" s="0" t="s">
        <v>519</v>
      </c>
      <c r="B6" s="0" t="s">
        <v>520</v>
      </c>
      <c r="C6" s="0" t="s">
        <v>521</v>
      </c>
    </row>
    <row r="7" customFormat="false" ht="15" hidden="false" customHeight="false" outlineLevel="0" collapsed="false">
      <c r="A7" s="0" t="s">
        <v>522</v>
      </c>
      <c r="B7" s="0" t="s">
        <v>523</v>
      </c>
      <c r="C7" s="0" t="s">
        <v>524</v>
      </c>
    </row>
    <row r="8" customFormat="false" ht="15" hidden="false" customHeight="false" outlineLevel="0" collapsed="false">
      <c r="A8" s="0" t="s">
        <v>525</v>
      </c>
      <c r="B8" s="0" t="s">
        <v>526</v>
      </c>
      <c r="C8" s="0" t="s">
        <v>527</v>
      </c>
    </row>
    <row r="9" customFormat="false" ht="15" hidden="false" customHeight="false" outlineLevel="0" collapsed="false">
      <c r="A9" s="0" t="s">
        <v>528</v>
      </c>
      <c r="B9" s="0" t="s">
        <v>529</v>
      </c>
      <c r="C9" s="0" t="s">
        <v>530</v>
      </c>
    </row>
    <row r="10" customFormat="false" ht="15" hidden="false" customHeight="false" outlineLevel="0" collapsed="false">
      <c r="A10" s="0" t="s">
        <v>531</v>
      </c>
      <c r="B10" s="0" t="s">
        <v>532</v>
      </c>
      <c r="C10" s="0" t="s">
        <v>533</v>
      </c>
    </row>
    <row r="11" customFormat="false" ht="15" hidden="false" customHeight="false" outlineLevel="0" collapsed="false">
      <c r="A11" s="0" t="s">
        <v>534</v>
      </c>
      <c r="B11" s="0" t="s">
        <v>535</v>
      </c>
      <c r="C11" s="0" t="s">
        <v>536</v>
      </c>
    </row>
    <row r="12" customFormat="false" ht="15" hidden="false" customHeight="false" outlineLevel="0" collapsed="false">
      <c r="A12" s="0" t="s">
        <v>537</v>
      </c>
      <c r="B12" s="0" t="s">
        <v>538</v>
      </c>
      <c r="C12" s="0" t="s">
        <v>539</v>
      </c>
    </row>
    <row r="13" customFormat="false" ht="15" hidden="false" customHeight="false" outlineLevel="0" collapsed="false">
      <c r="A13" s="0" t="s">
        <v>540</v>
      </c>
      <c r="B13" s="0" t="s">
        <v>541</v>
      </c>
      <c r="C13" s="0" t="s">
        <v>542</v>
      </c>
    </row>
    <row r="14" customFormat="false" ht="15" hidden="false" customHeight="false" outlineLevel="0" collapsed="false">
      <c r="A14" s="0" t="s">
        <v>543</v>
      </c>
      <c r="B14" s="0" t="s">
        <v>544</v>
      </c>
      <c r="C14" s="0" t="s">
        <v>545</v>
      </c>
    </row>
    <row r="15" customFormat="false" ht="15" hidden="false" customHeight="false" outlineLevel="0" collapsed="false">
      <c r="A15" s="0" t="s">
        <v>546</v>
      </c>
      <c r="B15" s="0" t="s">
        <v>547</v>
      </c>
      <c r="C15" s="0" t="s">
        <v>548</v>
      </c>
    </row>
    <row r="16" customFormat="false" ht="15" hidden="false" customHeight="false" outlineLevel="0" collapsed="false">
      <c r="A16" s="0" t="s">
        <v>549</v>
      </c>
      <c r="B16" s="0" t="s">
        <v>550</v>
      </c>
      <c r="C16" s="0" t="s">
        <v>551</v>
      </c>
    </row>
    <row r="17" customFormat="false" ht="15" hidden="false" customHeight="false" outlineLevel="0" collapsed="false">
      <c r="A17" s="0" t="s">
        <v>552</v>
      </c>
      <c r="B17" s="0" t="s">
        <v>553</v>
      </c>
      <c r="C17" s="0" t="s">
        <v>554</v>
      </c>
    </row>
    <row r="18" customFormat="false" ht="15" hidden="false" customHeight="false" outlineLevel="0" collapsed="false">
      <c r="A18" s="0" t="s">
        <v>555</v>
      </c>
      <c r="B18" s="0" t="s">
        <v>556</v>
      </c>
      <c r="C18" s="0" t="s">
        <v>557</v>
      </c>
    </row>
    <row r="19" customFormat="false" ht="15" hidden="false" customHeight="false" outlineLevel="0" collapsed="false">
      <c r="A19" s="0" t="s">
        <v>558</v>
      </c>
      <c r="B19" s="0" t="s">
        <v>559</v>
      </c>
      <c r="C19" s="0" t="s">
        <v>560</v>
      </c>
    </row>
    <row r="20" customFormat="false" ht="15" hidden="false" customHeight="false" outlineLevel="0" collapsed="false">
      <c r="A20" s="0" t="s">
        <v>561</v>
      </c>
      <c r="B20" s="0" t="s">
        <v>562</v>
      </c>
      <c r="C20" s="0" t="s">
        <v>563</v>
      </c>
    </row>
    <row r="21" customFormat="false" ht="15" hidden="false" customHeight="false" outlineLevel="0" collapsed="false">
      <c r="A21" s="0" t="s">
        <v>564</v>
      </c>
      <c r="B21" s="0" t="s">
        <v>565</v>
      </c>
      <c r="C21" s="0" t="s">
        <v>566</v>
      </c>
    </row>
    <row r="22" customFormat="false" ht="15" hidden="false" customHeight="false" outlineLevel="0" collapsed="false">
      <c r="A22" s="0" t="s">
        <v>567</v>
      </c>
      <c r="B22" s="0" t="s">
        <v>568</v>
      </c>
      <c r="C22" s="0" t="s">
        <v>569</v>
      </c>
    </row>
    <row r="23" customFormat="false" ht="15" hidden="false" customHeight="false" outlineLevel="0" collapsed="false">
      <c r="A23" s="0" t="s">
        <v>570</v>
      </c>
      <c r="B23" s="0" t="s">
        <v>571</v>
      </c>
      <c r="C23" s="0" t="s">
        <v>572</v>
      </c>
    </row>
    <row r="24" customFormat="false" ht="15" hidden="false" customHeight="false" outlineLevel="0" collapsed="false">
      <c r="A24" s="0" t="s">
        <v>573</v>
      </c>
      <c r="B24" s="0" t="s">
        <v>574</v>
      </c>
      <c r="C24" s="0" t="s">
        <v>575</v>
      </c>
    </row>
    <row r="25" customFormat="false" ht="15" hidden="false" customHeight="false" outlineLevel="0" collapsed="false">
      <c r="A25" s="0" t="s">
        <v>576</v>
      </c>
      <c r="B25" s="0" t="s">
        <v>577</v>
      </c>
      <c r="C25" s="0" t="s">
        <v>578</v>
      </c>
    </row>
    <row r="26" customFormat="false" ht="15" hidden="false" customHeight="false" outlineLevel="0" collapsed="false">
      <c r="A26" s="0" t="s">
        <v>579</v>
      </c>
      <c r="B26" s="0" t="s">
        <v>580</v>
      </c>
      <c r="C26" s="0" t="s">
        <v>581</v>
      </c>
    </row>
    <row r="27" customFormat="false" ht="15" hidden="false" customHeight="false" outlineLevel="0" collapsed="false">
      <c r="A27" s="0" t="s">
        <v>582</v>
      </c>
      <c r="B27" s="0" t="s">
        <v>583</v>
      </c>
      <c r="C27" s="0" t="s">
        <v>584</v>
      </c>
    </row>
    <row r="28" customFormat="false" ht="15" hidden="false" customHeight="false" outlineLevel="0" collapsed="false">
      <c r="A28" s="0" t="s">
        <v>585</v>
      </c>
      <c r="B28" s="0" t="s">
        <v>586</v>
      </c>
      <c r="C28" s="0" t="s">
        <v>587</v>
      </c>
    </row>
    <row r="29" customFormat="false" ht="15" hidden="false" customHeight="false" outlineLevel="0" collapsed="false">
      <c r="A29" s="0" t="s">
        <v>588</v>
      </c>
      <c r="B29" s="0" t="s">
        <v>589</v>
      </c>
      <c r="C29" s="0" t="s">
        <v>590</v>
      </c>
    </row>
    <row r="30" customFormat="false" ht="15" hidden="false" customHeight="false" outlineLevel="0" collapsed="false">
      <c r="A30" s="0" t="s">
        <v>591</v>
      </c>
      <c r="B30" s="0" t="s">
        <v>592</v>
      </c>
      <c r="C30" s="0" t="s">
        <v>593</v>
      </c>
    </row>
    <row r="31" customFormat="false" ht="15" hidden="false" customHeight="false" outlineLevel="0" collapsed="false">
      <c r="A31" s="0" t="s">
        <v>594</v>
      </c>
      <c r="B31" s="0" t="s">
        <v>595</v>
      </c>
      <c r="C31" s="0" t="s">
        <v>596</v>
      </c>
    </row>
    <row r="32" customFormat="false" ht="15" hidden="false" customHeight="false" outlineLevel="0" collapsed="false">
      <c r="A32" s="0" t="s">
        <v>597</v>
      </c>
      <c r="B32" s="0" t="s">
        <v>598</v>
      </c>
      <c r="C32" s="0" t="s">
        <v>599</v>
      </c>
    </row>
    <row r="33" customFormat="false" ht="15" hidden="false" customHeight="false" outlineLevel="0" collapsed="false">
      <c r="A33" s="0" t="s">
        <v>600</v>
      </c>
      <c r="B33" s="0" t="s">
        <v>601</v>
      </c>
      <c r="C33" s="0" t="s">
        <v>602</v>
      </c>
    </row>
    <row r="34" customFormat="false" ht="15" hidden="false" customHeight="false" outlineLevel="0" collapsed="false">
      <c r="A34" s="0" t="s">
        <v>603</v>
      </c>
      <c r="B34" s="0" t="s">
        <v>604</v>
      </c>
      <c r="C34" s="0" t="s">
        <v>605</v>
      </c>
    </row>
    <row r="35" customFormat="false" ht="15" hidden="false" customHeight="false" outlineLevel="0" collapsed="false">
      <c r="A35" s="0" t="s">
        <v>606</v>
      </c>
      <c r="B35" s="0" t="s">
        <v>607</v>
      </c>
      <c r="C35" s="0" t="s">
        <v>608</v>
      </c>
    </row>
    <row r="36" customFormat="false" ht="15" hidden="false" customHeight="false" outlineLevel="0" collapsed="false">
      <c r="A36" s="0" t="s">
        <v>609</v>
      </c>
      <c r="B36" s="0" t="s">
        <v>610</v>
      </c>
      <c r="C36" s="0" t="s">
        <v>608</v>
      </c>
    </row>
    <row r="37" customFormat="false" ht="15" hidden="false" customHeight="false" outlineLevel="0" collapsed="false">
      <c r="A37" s="0" t="s">
        <v>611</v>
      </c>
      <c r="B37" s="0" t="s">
        <v>612</v>
      </c>
      <c r="C37" s="0" t="s">
        <v>608</v>
      </c>
    </row>
    <row r="38" customFormat="false" ht="15" hidden="false" customHeight="false" outlineLevel="0" collapsed="false">
      <c r="A38" s="0" t="s">
        <v>613</v>
      </c>
      <c r="B38" s="0" t="s">
        <v>614</v>
      </c>
      <c r="C38" s="0" t="s">
        <v>608</v>
      </c>
    </row>
    <row r="39" customFormat="false" ht="15" hidden="false" customHeight="false" outlineLevel="0" collapsed="false">
      <c r="A39" s="0" t="s">
        <v>615</v>
      </c>
      <c r="B39" s="0" t="s">
        <v>616</v>
      </c>
      <c r="C39" s="0" t="s">
        <v>617</v>
      </c>
    </row>
    <row r="40" customFormat="false" ht="15" hidden="false" customHeight="false" outlineLevel="0" collapsed="false">
      <c r="A40" s="0" t="s">
        <v>618</v>
      </c>
      <c r="B40" s="0" t="s">
        <v>619</v>
      </c>
      <c r="C40" s="0" t="s">
        <v>620</v>
      </c>
    </row>
    <row r="41" customFormat="false" ht="15" hidden="false" customHeight="false" outlineLevel="0" collapsed="false">
      <c r="A41" s="0" t="s">
        <v>621</v>
      </c>
      <c r="B41" s="0" t="s">
        <v>622</v>
      </c>
      <c r="C41" s="0" t="s">
        <v>623</v>
      </c>
    </row>
    <row r="42" customFormat="false" ht="15" hidden="false" customHeight="false" outlineLevel="0" collapsed="false">
      <c r="A42" s="0" t="s">
        <v>624</v>
      </c>
      <c r="B42" s="0" t="s">
        <v>625</v>
      </c>
      <c r="C42" s="0" t="s">
        <v>626</v>
      </c>
    </row>
    <row r="43" customFormat="false" ht="15" hidden="false" customHeight="false" outlineLevel="0" collapsed="false">
      <c r="A43" s="0" t="s">
        <v>627</v>
      </c>
      <c r="B43" s="0" t="s">
        <v>628</v>
      </c>
      <c r="C43" s="0" t="s">
        <v>629</v>
      </c>
    </row>
    <row r="44" customFormat="false" ht="15" hidden="false" customHeight="false" outlineLevel="0" collapsed="false">
      <c r="A44" s="0" t="s">
        <v>630</v>
      </c>
      <c r="B44" s="0" t="s">
        <v>631</v>
      </c>
      <c r="C44" s="0" t="s">
        <v>632</v>
      </c>
    </row>
    <row r="45" customFormat="false" ht="15" hidden="false" customHeight="false" outlineLevel="0" collapsed="false">
      <c r="A45" s="0" t="s">
        <v>633</v>
      </c>
      <c r="B45" s="0" t="s">
        <v>634</v>
      </c>
      <c r="C45" s="0" t="s">
        <v>635</v>
      </c>
    </row>
    <row r="46" customFormat="false" ht="15" hidden="false" customHeight="false" outlineLevel="0" collapsed="false">
      <c r="A46" s="0" t="s">
        <v>636</v>
      </c>
      <c r="B46" s="0" t="s">
        <v>637</v>
      </c>
      <c r="C46" s="0" t="s">
        <v>638</v>
      </c>
    </row>
    <row r="47" customFormat="false" ht="15" hidden="false" customHeight="false" outlineLevel="0" collapsed="false">
      <c r="A47" s="0" t="s">
        <v>639</v>
      </c>
      <c r="B47" s="0" t="s">
        <v>640</v>
      </c>
      <c r="C47" s="0" t="s">
        <v>641</v>
      </c>
    </row>
    <row r="48" customFormat="false" ht="15" hidden="false" customHeight="false" outlineLevel="0" collapsed="false">
      <c r="A48" s="0" t="s">
        <v>642</v>
      </c>
      <c r="B48" s="0" t="s">
        <v>643</v>
      </c>
      <c r="C48" s="0" t="s">
        <v>644</v>
      </c>
    </row>
    <row r="49" customFormat="false" ht="15" hidden="false" customHeight="false" outlineLevel="0" collapsed="false">
      <c r="A49" s="0" t="s">
        <v>645</v>
      </c>
      <c r="B49" s="0" t="s">
        <v>646</v>
      </c>
      <c r="C49" s="0" t="s">
        <v>647</v>
      </c>
    </row>
    <row r="50" customFormat="false" ht="15" hidden="false" customHeight="false" outlineLevel="0" collapsed="false">
      <c r="A50" s="0" t="s">
        <v>648</v>
      </c>
      <c r="B50" s="0" t="s">
        <v>649</v>
      </c>
      <c r="C50" s="0" t="s">
        <v>650</v>
      </c>
    </row>
    <row r="51" customFormat="false" ht="15" hidden="false" customHeight="false" outlineLevel="0" collapsed="false">
      <c r="A51" s="0" t="s">
        <v>651</v>
      </c>
      <c r="B51" s="0" t="s">
        <v>652</v>
      </c>
      <c r="C51" s="0" t="s">
        <v>653</v>
      </c>
    </row>
    <row r="52" customFormat="false" ht="15" hidden="false" customHeight="false" outlineLevel="0" collapsed="false">
      <c r="A52" s="0" t="s">
        <v>654</v>
      </c>
      <c r="B52" s="0" t="s">
        <v>655</v>
      </c>
      <c r="C52" s="0" t="s">
        <v>656</v>
      </c>
    </row>
    <row r="53" customFormat="false" ht="15" hidden="false" customHeight="false" outlineLevel="0" collapsed="false">
      <c r="A53" s="0" t="s">
        <v>657</v>
      </c>
      <c r="B53" s="0" t="s">
        <v>658</v>
      </c>
      <c r="C53" s="0" t="s">
        <v>659</v>
      </c>
    </row>
    <row r="54" customFormat="false" ht="15" hidden="false" customHeight="false" outlineLevel="0" collapsed="false">
      <c r="A54" s="0" t="s">
        <v>660</v>
      </c>
      <c r="B54" s="0" t="s">
        <v>661</v>
      </c>
      <c r="C54" s="0" t="s">
        <v>662</v>
      </c>
    </row>
    <row r="55" customFormat="false" ht="15" hidden="false" customHeight="false" outlineLevel="0" collapsed="false">
      <c r="A55" s="0" t="s">
        <v>663</v>
      </c>
      <c r="B55" s="0" t="s">
        <v>664</v>
      </c>
      <c r="C55" s="0" t="s">
        <v>665</v>
      </c>
    </row>
    <row r="56" customFormat="false" ht="15" hidden="false" customHeight="false" outlineLevel="0" collapsed="false">
      <c r="A56" s="0" t="s">
        <v>666</v>
      </c>
      <c r="B56" s="0" t="s">
        <v>667</v>
      </c>
      <c r="C56" s="0" t="s">
        <v>668</v>
      </c>
    </row>
    <row r="57" customFormat="false" ht="15" hidden="false" customHeight="false" outlineLevel="0" collapsed="false">
      <c r="A57" s="0" t="s">
        <v>669</v>
      </c>
      <c r="B57" s="0" t="s">
        <v>670</v>
      </c>
      <c r="C57" s="0" t="s">
        <v>671</v>
      </c>
    </row>
    <row r="58" customFormat="false" ht="15" hidden="false" customHeight="false" outlineLevel="0" collapsed="false">
      <c r="A58" s="0" t="s">
        <v>672</v>
      </c>
      <c r="B58" s="0" t="s">
        <v>673</v>
      </c>
      <c r="C58" s="0" t="s">
        <v>674</v>
      </c>
    </row>
    <row r="59" customFormat="false" ht="15" hidden="false" customHeight="false" outlineLevel="0" collapsed="false">
      <c r="A59" s="0" t="s">
        <v>675</v>
      </c>
      <c r="B59" s="0" t="s">
        <v>676</v>
      </c>
      <c r="C59" s="0" t="s">
        <v>677</v>
      </c>
    </row>
    <row r="60" customFormat="false" ht="15" hidden="false" customHeight="false" outlineLevel="0" collapsed="false">
      <c r="A60" s="0" t="s">
        <v>678</v>
      </c>
      <c r="B60" s="0" t="s">
        <v>679</v>
      </c>
      <c r="C60" s="0" t="s">
        <v>680</v>
      </c>
    </row>
    <row r="61" customFormat="false" ht="15" hidden="false" customHeight="false" outlineLevel="0" collapsed="false">
      <c r="A61" s="0" t="s">
        <v>681</v>
      </c>
      <c r="B61" s="0" t="s">
        <v>682</v>
      </c>
      <c r="C61" s="0" t="s">
        <v>683</v>
      </c>
    </row>
    <row r="62" customFormat="false" ht="15" hidden="false" customHeight="false" outlineLevel="0" collapsed="false">
      <c r="A62" s="0" t="s">
        <v>684</v>
      </c>
      <c r="B62" s="0" t="s">
        <v>685</v>
      </c>
      <c r="C62" s="0" t="s">
        <v>686</v>
      </c>
    </row>
    <row r="63" customFormat="false" ht="15" hidden="false" customHeight="false" outlineLevel="0" collapsed="false">
      <c r="A63" s="0" t="s">
        <v>687</v>
      </c>
      <c r="B63" s="0" t="s">
        <v>688</v>
      </c>
      <c r="C63" s="0" t="s">
        <v>689</v>
      </c>
    </row>
    <row r="64" customFormat="false" ht="15" hidden="false" customHeight="false" outlineLevel="0" collapsed="false">
      <c r="A64" s="0" t="s">
        <v>690</v>
      </c>
      <c r="B64" s="0" t="s">
        <v>691</v>
      </c>
      <c r="C64" s="0" t="s">
        <v>692</v>
      </c>
    </row>
    <row r="65" customFormat="false" ht="15" hidden="false" customHeight="false" outlineLevel="0" collapsed="false">
      <c r="A65" s="0" t="s">
        <v>693</v>
      </c>
      <c r="B65" s="0" t="s">
        <v>694</v>
      </c>
      <c r="C65" s="0" t="s">
        <v>695</v>
      </c>
    </row>
    <row r="66" customFormat="false" ht="15" hidden="false" customHeight="false" outlineLevel="0" collapsed="false">
      <c r="A66" s="0" t="s">
        <v>696</v>
      </c>
      <c r="B66" s="0" t="s">
        <v>697</v>
      </c>
      <c r="C66" s="0" t="s">
        <v>698</v>
      </c>
    </row>
    <row r="67" customFormat="false" ht="15" hidden="false" customHeight="false" outlineLevel="0" collapsed="false">
      <c r="A67" s="0" t="s">
        <v>699</v>
      </c>
      <c r="B67" s="0" t="s">
        <v>700</v>
      </c>
      <c r="C67" s="0" t="s">
        <v>701</v>
      </c>
    </row>
    <row r="68" customFormat="false" ht="15" hidden="false" customHeight="false" outlineLevel="0" collapsed="false">
      <c r="A68" s="0" t="s">
        <v>702</v>
      </c>
      <c r="B68" s="0" t="s">
        <v>703</v>
      </c>
      <c r="C68" s="0" t="s">
        <v>704</v>
      </c>
    </row>
    <row r="69" customFormat="false" ht="15" hidden="false" customHeight="false" outlineLevel="0" collapsed="false">
      <c r="A69" s="0" t="s">
        <v>705</v>
      </c>
      <c r="B69" s="0" t="s">
        <v>706</v>
      </c>
      <c r="C69" s="0" t="s">
        <v>707</v>
      </c>
    </row>
    <row r="70" customFormat="false" ht="15" hidden="false" customHeight="false" outlineLevel="0" collapsed="false">
      <c r="A70" s="0" t="s">
        <v>708</v>
      </c>
      <c r="B70" s="0" t="s">
        <v>709</v>
      </c>
      <c r="C70" s="0" t="s">
        <v>710</v>
      </c>
    </row>
    <row r="71" customFormat="false" ht="15" hidden="false" customHeight="false" outlineLevel="0" collapsed="false">
      <c r="A71" s="0" t="s">
        <v>711</v>
      </c>
      <c r="B71" s="0" t="s">
        <v>712</v>
      </c>
      <c r="C71" s="0" t="s">
        <v>713</v>
      </c>
    </row>
    <row r="72" customFormat="false" ht="15" hidden="false" customHeight="false" outlineLevel="0" collapsed="false">
      <c r="A72" s="0" t="s">
        <v>714</v>
      </c>
      <c r="B72" s="0" t="s">
        <v>715</v>
      </c>
      <c r="C72" s="0" t="s">
        <v>716</v>
      </c>
    </row>
    <row r="73" customFormat="false" ht="15" hidden="false" customHeight="false" outlineLevel="0" collapsed="false">
      <c r="A73" s="0" t="s">
        <v>717</v>
      </c>
      <c r="B73" s="0" t="s">
        <v>718</v>
      </c>
      <c r="C73" s="0" t="s">
        <v>719</v>
      </c>
    </row>
    <row r="74" customFormat="false" ht="15" hidden="false" customHeight="false" outlineLevel="0" collapsed="false">
      <c r="A74" s="0" t="s">
        <v>720</v>
      </c>
      <c r="B74" s="0" t="s">
        <v>721</v>
      </c>
      <c r="C74" s="0" t="s">
        <v>722</v>
      </c>
    </row>
    <row r="75" customFormat="false" ht="15" hidden="false" customHeight="false" outlineLevel="0" collapsed="false">
      <c r="A75" s="0" t="s">
        <v>723</v>
      </c>
      <c r="B75" s="0" t="s">
        <v>724</v>
      </c>
      <c r="C75" s="0" t="s">
        <v>725</v>
      </c>
    </row>
    <row r="76" customFormat="false" ht="15" hidden="false" customHeight="false" outlineLevel="0" collapsed="false">
      <c r="A76" s="0" t="s">
        <v>726</v>
      </c>
      <c r="B76" s="0" t="s">
        <v>727</v>
      </c>
      <c r="C76" s="0" t="s">
        <v>728</v>
      </c>
    </row>
    <row r="77" customFormat="false" ht="15" hidden="false" customHeight="false" outlineLevel="0" collapsed="false">
      <c r="A77" s="0" t="s">
        <v>729</v>
      </c>
      <c r="B77" s="0" t="s">
        <v>730</v>
      </c>
      <c r="C77" s="0" t="s">
        <v>731</v>
      </c>
    </row>
    <row r="78" customFormat="false" ht="15" hidden="false" customHeight="false" outlineLevel="0" collapsed="false">
      <c r="A78" s="0" t="s">
        <v>732</v>
      </c>
      <c r="B78" s="0" t="s">
        <v>733</v>
      </c>
      <c r="C78" s="0" t="s">
        <v>734</v>
      </c>
    </row>
    <row r="79" customFormat="false" ht="15" hidden="false" customHeight="false" outlineLevel="0" collapsed="false">
      <c r="A79" s="0" t="s">
        <v>735</v>
      </c>
      <c r="B79" s="0" t="s">
        <v>736</v>
      </c>
      <c r="C79" s="0" t="s">
        <v>737</v>
      </c>
    </row>
    <row r="80" customFormat="false" ht="15" hidden="false" customHeight="false" outlineLevel="0" collapsed="false">
      <c r="A80" s="0" t="s">
        <v>738</v>
      </c>
      <c r="B80" s="0" t="s">
        <v>739</v>
      </c>
      <c r="C80" s="0" t="s">
        <v>740</v>
      </c>
    </row>
    <row r="81" customFormat="false" ht="15" hidden="false" customHeight="false" outlineLevel="0" collapsed="false">
      <c r="A81" s="0" t="s">
        <v>741</v>
      </c>
      <c r="B81" s="0" t="s">
        <v>742</v>
      </c>
      <c r="C81" s="0" t="s">
        <v>743</v>
      </c>
    </row>
    <row r="82" customFormat="false" ht="15" hidden="false" customHeight="false" outlineLevel="0" collapsed="false">
      <c r="A82" s="0" t="s">
        <v>744</v>
      </c>
      <c r="B82" s="0" t="s">
        <v>745</v>
      </c>
      <c r="C82" s="0" t="s">
        <v>746</v>
      </c>
    </row>
    <row r="83" customFormat="false" ht="15" hidden="false" customHeight="false" outlineLevel="0" collapsed="false">
      <c r="A83" s="0" t="s">
        <v>747</v>
      </c>
      <c r="B83" s="0" t="s">
        <v>748</v>
      </c>
      <c r="C83" s="0" t="s">
        <v>749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2"/>
    <col collapsed="false" customWidth="true" hidden="false" outlineLevel="0" max="3" min="3" style="0" width="32"/>
    <col collapsed="false" customWidth="true" hidden="false" outlineLevel="0" max="4" min="4" style="0" width="60"/>
    <col collapsed="false" customWidth="true" hidden="false" outlineLevel="0" max="5" min="5" style="0" width="34"/>
    <col collapsed="false" customWidth="true" hidden="false" outlineLevel="0" max="6" min="6" style="0" width="60"/>
  </cols>
  <sheetData>
    <row r="1" customFormat="false" ht="15" hidden="false" customHeight="false" outlineLevel="0" collapsed="false">
      <c r="A1" s="0" t="s">
        <v>750</v>
      </c>
    </row>
    <row r="2" customFormat="false" ht="15" hidden="false" customHeight="false" outlineLevel="0" collapsed="false">
      <c r="A2" s="0" t="s">
        <v>751</v>
      </c>
      <c r="B2" s="0" t="s">
        <v>752</v>
      </c>
      <c r="C2" s="0" t="s">
        <v>753</v>
      </c>
      <c r="D2" s="0" t="s">
        <v>754</v>
      </c>
      <c r="E2" s="0" t="s">
        <v>755</v>
      </c>
      <c r="F2" s="0" t="s">
        <v>756</v>
      </c>
    </row>
    <row r="3" customFormat="false" ht="15" hidden="false" customHeight="false" outlineLevel="0" collapsed="false">
      <c r="A3" s="0" t="s">
        <v>757</v>
      </c>
      <c r="B3" s="0" t="s">
        <v>758</v>
      </c>
      <c r="C3" s="0" t="s">
        <v>759</v>
      </c>
      <c r="D3" s="0" t="s">
        <v>760</v>
      </c>
      <c r="E3" s="0" t="s">
        <v>65</v>
      </c>
      <c r="F3" s="0" t="s">
        <v>761</v>
      </c>
    </row>
    <row r="4" customFormat="false" ht="15" hidden="false" customHeight="false" outlineLevel="0" collapsed="false">
      <c r="A4" s="0" t="s">
        <v>762</v>
      </c>
      <c r="B4" s="0" t="s">
        <v>758</v>
      </c>
      <c r="C4" s="0" t="s">
        <v>759</v>
      </c>
      <c r="D4" s="0" t="s">
        <v>763</v>
      </c>
      <c r="E4" s="0" t="s">
        <v>65</v>
      </c>
      <c r="F4" s="0" t="s">
        <v>764</v>
      </c>
    </row>
    <row r="5" customFormat="false" ht="15" hidden="false" customHeight="false" outlineLevel="0" collapsed="false">
      <c r="A5" s="0" t="s">
        <v>765</v>
      </c>
      <c r="B5" s="0" t="s">
        <v>758</v>
      </c>
      <c r="C5" s="0" t="s">
        <v>759</v>
      </c>
      <c r="D5" s="0" t="s">
        <v>766</v>
      </c>
      <c r="E5" s="0" t="s">
        <v>65</v>
      </c>
      <c r="F5" s="0" t="s">
        <v>767</v>
      </c>
    </row>
    <row r="6" customFormat="false" ht="15" hidden="false" customHeight="false" outlineLevel="0" collapsed="false">
      <c r="A6" s="0" t="s">
        <v>768</v>
      </c>
      <c r="B6" s="0" t="s">
        <v>758</v>
      </c>
      <c r="C6" s="0" t="s">
        <v>769</v>
      </c>
      <c r="D6" s="0" t="s">
        <v>770</v>
      </c>
      <c r="E6" s="0" t="s">
        <v>109</v>
      </c>
      <c r="F6" s="0" t="s">
        <v>767</v>
      </c>
    </row>
    <row r="7" customFormat="false" ht="15" hidden="false" customHeight="false" outlineLevel="0" collapsed="false">
      <c r="A7" s="0" t="s">
        <v>771</v>
      </c>
      <c r="B7" s="0" t="s">
        <v>758</v>
      </c>
      <c r="C7" s="0" t="s">
        <v>772</v>
      </c>
      <c r="D7" s="0" t="s">
        <v>773</v>
      </c>
      <c r="E7" s="0" t="s">
        <v>65</v>
      </c>
      <c r="F7" s="0" t="s">
        <v>774</v>
      </c>
    </row>
    <row r="8" customFormat="false" ht="15" hidden="false" customHeight="false" outlineLevel="0" collapsed="false">
      <c r="A8" s="0" t="s">
        <v>775</v>
      </c>
      <c r="B8" s="0" t="s">
        <v>758</v>
      </c>
      <c r="C8" s="0" t="s">
        <v>772</v>
      </c>
      <c r="D8" s="0" t="s">
        <v>776</v>
      </c>
      <c r="E8" s="0" t="s">
        <v>65</v>
      </c>
      <c r="F8" s="0" t="s">
        <v>777</v>
      </c>
    </row>
    <row r="9" customFormat="false" ht="15" hidden="false" customHeight="false" outlineLevel="0" collapsed="false">
      <c r="A9" s="0" t="s">
        <v>778</v>
      </c>
      <c r="B9" s="0" t="s">
        <v>758</v>
      </c>
      <c r="C9" s="0" t="s">
        <v>772</v>
      </c>
      <c r="D9" s="0" t="s">
        <v>779</v>
      </c>
      <c r="E9" s="0" t="s">
        <v>65</v>
      </c>
      <c r="F9" s="0" t="s">
        <v>767</v>
      </c>
    </row>
    <row r="10" customFormat="false" ht="15" hidden="false" customHeight="false" outlineLevel="0" collapsed="false">
      <c r="A10" s="0" t="s">
        <v>780</v>
      </c>
      <c r="B10" s="0" t="s">
        <v>758</v>
      </c>
      <c r="C10" s="0" t="s">
        <v>781</v>
      </c>
      <c r="D10" s="0" t="s">
        <v>782</v>
      </c>
      <c r="E10" s="0" t="s">
        <v>120</v>
      </c>
      <c r="F10" s="0" t="s">
        <v>783</v>
      </c>
    </row>
    <row r="11" customFormat="false" ht="15" hidden="false" customHeight="false" outlineLevel="0" collapsed="false">
      <c r="A11" s="0" t="s">
        <v>784</v>
      </c>
      <c r="B11" s="0" t="s">
        <v>758</v>
      </c>
      <c r="C11" s="0" t="s">
        <v>781</v>
      </c>
      <c r="D11" s="0" t="s">
        <v>785</v>
      </c>
      <c r="E11" s="0" t="s">
        <v>120</v>
      </c>
      <c r="F11" s="0" t="s">
        <v>786</v>
      </c>
    </row>
    <row r="12" customFormat="false" ht="15" hidden="false" customHeight="false" outlineLevel="0" collapsed="false">
      <c r="A12" s="0" t="s">
        <v>787</v>
      </c>
      <c r="B12" s="0" t="s">
        <v>758</v>
      </c>
      <c r="C12" s="0" t="s">
        <v>781</v>
      </c>
      <c r="D12" s="0" t="s">
        <v>788</v>
      </c>
      <c r="E12" s="0" t="s">
        <v>120</v>
      </c>
      <c r="F12" s="0" t="s">
        <v>767</v>
      </c>
    </row>
    <row r="13" customFormat="false" ht="15" hidden="false" customHeight="false" outlineLevel="0" collapsed="false">
      <c r="A13" s="0" t="s">
        <v>789</v>
      </c>
      <c r="B13" s="0" t="s">
        <v>758</v>
      </c>
      <c r="C13" s="0" t="s">
        <v>790</v>
      </c>
      <c r="D13" s="0" t="s">
        <v>791</v>
      </c>
      <c r="E13" s="0" t="s">
        <v>120</v>
      </c>
      <c r="F13" s="0" t="s">
        <v>792</v>
      </c>
    </row>
    <row r="14" customFormat="false" ht="15" hidden="false" customHeight="false" outlineLevel="0" collapsed="false">
      <c r="A14" s="0" t="s">
        <v>793</v>
      </c>
      <c r="B14" s="0" t="s">
        <v>758</v>
      </c>
      <c r="C14" s="0" t="s">
        <v>790</v>
      </c>
      <c r="D14" s="0" t="s">
        <v>794</v>
      </c>
      <c r="E14" s="0" t="s">
        <v>120</v>
      </c>
      <c r="F14" s="0" t="s">
        <v>767</v>
      </c>
    </row>
    <row r="15" customFormat="false" ht="15" hidden="false" customHeight="false" outlineLevel="0" collapsed="false">
      <c r="A15" s="0" t="s">
        <v>795</v>
      </c>
      <c r="B15" s="0" t="s">
        <v>758</v>
      </c>
      <c r="C15" s="0" t="s">
        <v>796</v>
      </c>
      <c r="D15" s="0" t="s">
        <v>797</v>
      </c>
      <c r="E15" s="0" t="s">
        <v>109</v>
      </c>
      <c r="F15" s="0" t="s">
        <v>798</v>
      </c>
    </row>
    <row r="16" customFormat="false" ht="15" hidden="false" customHeight="false" outlineLevel="0" collapsed="false">
      <c r="A16" s="0" t="s">
        <v>799</v>
      </c>
      <c r="B16" s="0" t="s">
        <v>758</v>
      </c>
      <c r="C16" s="0" t="s">
        <v>796</v>
      </c>
      <c r="D16" s="0" t="s">
        <v>800</v>
      </c>
      <c r="E16" s="0" t="s">
        <v>801</v>
      </c>
      <c r="F16" s="0" t="s">
        <v>802</v>
      </c>
    </row>
    <row r="17" customFormat="false" ht="15" hidden="false" customHeight="false" outlineLevel="0" collapsed="false">
      <c r="A17" s="0" t="s">
        <v>803</v>
      </c>
      <c r="B17" s="0" t="s">
        <v>758</v>
      </c>
      <c r="C17" s="0" t="s">
        <v>804</v>
      </c>
      <c r="D17" s="0" t="s">
        <v>805</v>
      </c>
      <c r="E17" s="0" t="s">
        <v>247</v>
      </c>
      <c r="F17" s="0" t="s">
        <v>806</v>
      </c>
    </row>
    <row r="18" customFormat="false" ht="15" hidden="false" customHeight="false" outlineLevel="0" collapsed="false">
      <c r="A18" s="0" t="s">
        <v>807</v>
      </c>
      <c r="B18" s="0" t="s">
        <v>758</v>
      </c>
      <c r="C18" s="0" t="s">
        <v>808</v>
      </c>
      <c r="D18" s="0" t="s">
        <v>809</v>
      </c>
      <c r="F18" s="0" t="s">
        <v>767</v>
      </c>
    </row>
    <row r="19" customFormat="false" ht="15" hidden="false" customHeight="false" outlineLevel="0" collapsed="false">
      <c r="A19" s="0" t="s">
        <v>810</v>
      </c>
      <c r="B19" s="0" t="s">
        <v>758</v>
      </c>
      <c r="C19" s="0" t="s">
        <v>811</v>
      </c>
      <c r="D19" s="0" t="s">
        <v>812</v>
      </c>
      <c r="F19" s="0" t="s">
        <v>767</v>
      </c>
    </row>
    <row r="20" customFormat="false" ht="15" hidden="false" customHeight="false" outlineLevel="0" collapsed="false">
      <c r="A20" s="0" t="s">
        <v>813</v>
      </c>
      <c r="B20" s="0" t="s">
        <v>758</v>
      </c>
      <c r="C20" s="0" t="s">
        <v>814</v>
      </c>
      <c r="D20" s="0" t="s">
        <v>815</v>
      </c>
      <c r="E20" s="0" t="s">
        <v>247</v>
      </c>
      <c r="F20" s="0" t="s">
        <v>816</v>
      </c>
    </row>
    <row r="21" customFormat="false" ht="15" hidden="false" customHeight="false" outlineLevel="0" collapsed="false">
      <c r="A21" s="0" t="s">
        <v>817</v>
      </c>
      <c r="B21" s="0" t="s">
        <v>758</v>
      </c>
      <c r="C21" s="0" t="s">
        <v>814</v>
      </c>
      <c r="D21" s="0" t="s">
        <v>818</v>
      </c>
      <c r="E21" s="0" t="s">
        <v>247</v>
      </c>
      <c r="F21" s="0" t="s">
        <v>819</v>
      </c>
    </row>
    <row r="22" customFormat="false" ht="15" hidden="false" customHeight="false" outlineLevel="0" collapsed="false">
      <c r="A22" s="0" t="s">
        <v>820</v>
      </c>
      <c r="B22" s="0" t="s">
        <v>758</v>
      </c>
      <c r="C22" s="0" t="s">
        <v>814</v>
      </c>
      <c r="D22" s="0" t="s">
        <v>821</v>
      </c>
      <c r="E22" s="0" t="s">
        <v>801</v>
      </c>
      <c r="F22" s="0" t="s">
        <v>822</v>
      </c>
    </row>
    <row r="23" customFormat="false" ht="15" hidden="false" customHeight="false" outlineLevel="0" collapsed="false">
      <c r="A23" s="0" t="s">
        <v>823</v>
      </c>
      <c r="B23" s="0" t="s">
        <v>758</v>
      </c>
      <c r="C23" s="0" t="s">
        <v>814</v>
      </c>
      <c r="D23" s="0" t="s">
        <v>824</v>
      </c>
      <c r="E23" s="0" t="s">
        <v>247</v>
      </c>
      <c r="F23" s="0" t="s">
        <v>767</v>
      </c>
    </row>
    <row r="24" customFormat="false" ht="15" hidden="false" customHeight="false" outlineLevel="0" collapsed="false">
      <c r="A24" s="0" t="s">
        <v>825</v>
      </c>
      <c r="B24" s="0" t="s">
        <v>758</v>
      </c>
      <c r="C24" s="0" t="s">
        <v>826</v>
      </c>
      <c r="D24" s="0" t="s">
        <v>827</v>
      </c>
      <c r="E24" s="0" t="s">
        <v>247</v>
      </c>
      <c r="F24" s="0" t="s">
        <v>828</v>
      </c>
    </row>
    <row r="25" customFormat="false" ht="15" hidden="false" customHeight="false" outlineLevel="0" collapsed="false">
      <c r="A25" s="0" t="s">
        <v>829</v>
      </c>
      <c r="B25" s="0" t="s">
        <v>758</v>
      </c>
      <c r="C25" s="0" t="s">
        <v>826</v>
      </c>
      <c r="D25" s="0" t="s">
        <v>830</v>
      </c>
      <c r="E25" s="0" t="s">
        <v>247</v>
      </c>
      <c r="F25" s="0" t="s">
        <v>767</v>
      </c>
    </row>
    <row r="26" customFormat="false" ht="15" hidden="false" customHeight="false" outlineLevel="0" collapsed="false">
      <c r="A26" s="0" t="s">
        <v>831</v>
      </c>
      <c r="B26" s="0" t="s">
        <v>758</v>
      </c>
      <c r="C26" s="0" t="s">
        <v>832</v>
      </c>
      <c r="D26" s="0" t="s">
        <v>833</v>
      </c>
      <c r="E26" s="0" t="s">
        <v>834</v>
      </c>
      <c r="F26" s="0" t="s">
        <v>835</v>
      </c>
    </row>
    <row r="27" customFormat="false" ht="15" hidden="false" customHeight="false" outlineLevel="0" collapsed="false">
      <c r="A27" s="0" t="s">
        <v>836</v>
      </c>
      <c r="B27" s="0" t="s">
        <v>758</v>
      </c>
      <c r="C27" s="0" t="s">
        <v>832</v>
      </c>
      <c r="D27" s="0" t="s">
        <v>837</v>
      </c>
      <c r="E27" s="0" t="s">
        <v>329</v>
      </c>
      <c r="F27" s="0" t="s">
        <v>838</v>
      </c>
    </row>
    <row r="28" customFormat="false" ht="15" hidden="false" customHeight="false" outlineLevel="0" collapsed="false">
      <c r="A28" s="0" t="s">
        <v>839</v>
      </c>
      <c r="B28" s="0" t="s">
        <v>758</v>
      </c>
      <c r="C28" s="0" t="s">
        <v>840</v>
      </c>
      <c r="D28" s="0" t="s">
        <v>841</v>
      </c>
      <c r="E28" s="0" t="s">
        <v>842</v>
      </c>
      <c r="F28" s="0" t="s">
        <v>843</v>
      </c>
    </row>
    <row r="29" customFormat="false" ht="15" hidden="false" customHeight="false" outlineLevel="0" collapsed="false">
      <c r="A29" s="0" t="s">
        <v>844</v>
      </c>
      <c r="B29" s="0" t="s">
        <v>758</v>
      </c>
      <c r="C29" s="0" t="s">
        <v>840</v>
      </c>
      <c r="D29" s="0" t="s">
        <v>845</v>
      </c>
      <c r="E29" s="0" t="s">
        <v>846</v>
      </c>
      <c r="F29" s="0" t="s">
        <v>847</v>
      </c>
    </row>
    <row r="30" customFormat="false" ht="15" hidden="false" customHeight="false" outlineLevel="0" collapsed="false">
      <c r="A30" s="0" t="s">
        <v>848</v>
      </c>
      <c r="B30" s="0" t="s">
        <v>758</v>
      </c>
      <c r="C30" s="0" t="s">
        <v>840</v>
      </c>
      <c r="D30" s="0" t="s">
        <v>849</v>
      </c>
      <c r="E30" s="0" t="s">
        <v>850</v>
      </c>
      <c r="F30" s="0" t="s">
        <v>851</v>
      </c>
    </row>
    <row r="31" customFormat="false" ht="15" hidden="false" customHeight="false" outlineLevel="0" collapsed="false">
      <c r="A31" s="0" t="s">
        <v>852</v>
      </c>
      <c r="B31" s="0" t="s">
        <v>758</v>
      </c>
      <c r="C31" s="0" t="s">
        <v>840</v>
      </c>
      <c r="D31" s="0" t="s">
        <v>853</v>
      </c>
      <c r="E31" s="0" t="s">
        <v>854</v>
      </c>
      <c r="F31" s="0" t="s">
        <v>855</v>
      </c>
    </row>
    <row r="32" customFormat="false" ht="15" hidden="false" customHeight="false" outlineLevel="0" collapsed="false">
      <c r="A32" s="0" t="s">
        <v>856</v>
      </c>
      <c r="B32" s="0" t="s">
        <v>758</v>
      </c>
      <c r="C32" s="0" t="s">
        <v>840</v>
      </c>
      <c r="D32" s="0" t="s">
        <v>857</v>
      </c>
      <c r="E32" s="0" t="s">
        <v>858</v>
      </c>
      <c r="F32" s="0" t="s">
        <v>859</v>
      </c>
    </row>
    <row r="33" customFormat="false" ht="15" hidden="false" customHeight="false" outlineLevel="0" collapsed="false">
      <c r="A33" s="0" t="s">
        <v>860</v>
      </c>
      <c r="B33" s="0" t="s">
        <v>758</v>
      </c>
      <c r="C33" s="0" t="s">
        <v>840</v>
      </c>
      <c r="D33" s="0" t="s">
        <v>861</v>
      </c>
      <c r="E33" s="0" t="s">
        <v>862</v>
      </c>
      <c r="F33" s="0" t="s">
        <v>863</v>
      </c>
    </row>
    <row r="34" customFormat="false" ht="15" hidden="false" customHeight="false" outlineLevel="0" collapsed="false">
      <c r="A34" s="0" t="s">
        <v>864</v>
      </c>
      <c r="B34" s="0" t="s">
        <v>758</v>
      </c>
      <c r="C34" s="0" t="s">
        <v>840</v>
      </c>
      <c r="D34" s="0" t="s">
        <v>865</v>
      </c>
      <c r="E34" s="0" t="s">
        <v>862</v>
      </c>
      <c r="F34" s="0" t="s">
        <v>863</v>
      </c>
    </row>
    <row r="35" customFormat="false" ht="15" hidden="false" customHeight="false" outlineLevel="0" collapsed="false">
      <c r="A35" s="0" t="s">
        <v>866</v>
      </c>
      <c r="B35" s="0" t="s">
        <v>758</v>
      </c>
      <c r="C35" s="0" t="s">
        <v>840</v>
      </c>
      <c r="D35" s="0" t="s">
        <v>867</v>
      </c>
      <c r="E35" s="0" t="s">
        <v>862</v>
      </c>
      <c r="F35" s="0" t="s">
        <v>863</v>
      </c>
    </row>
    <row r="36" customFormat="false" ht="15" hidden="false" customHeight="false" outlineLevel="0" collapsed="false">
      <c r="A36" s="0" t="s">
        <v>868</v>
      </c>
      <c r="B36" s="0" t="s">
        <v>758</v>
      </c>
      <c r="C36" s="0" t="s">
        <v>840</v>
      </c>
      <c r="D36" s="0" t="s">
        <v>869</v>
      </c>
      <c r="E36" s="0" t="s">
        <v>870</v>
      </c>
      <c r="F36" s="0" t="s">
        <v>871</v>
      </c>
    </row>
    <row r="37" customFormat="false" ht="15" hidden="false" customHeight="false" outlineLevel="0" collapsed="false">
      <c r="A37" s="0" t="s">
        <v>872</v>
      </c>
      <c r="B37" s="0" t="s">
        <v>758</v>
      </c>
      <c r="C37" s="0" t="s">
        <v>840</v>
      </c>
      <c r="D37" s="0" t="s">
        <v>873</v>
      </c>
      <c r="E37" s="0" t="s">
        <v>858</v>
      </c>
      <c r="F37" s="0" t="s">
        <v>874</v>
      </c>
    </row>
    <row r="38" customFormat="false" ht="15" hidden="false" customHeight="false" outlineLevel="0" collapsed="false">
      <c r="A38" s="0" t="s">
        <v>875</v>
      </c>
      <c r="B38" s="0" t="s">
        <v>758</v>
      </c>
      <c r="C38" s="0" t="s">
        <v>840</v>
      </c>
      <c r="D38" s="0" t="s">
        <v>876</v>
      </c>
      <c r="E38" s="0" t="s">
        <v>877</v>
      </c>
      <c r="F38" s="0" t="s">
        <v>878</v>
      </c>
    </row>
    <row r="39" customFormat="false" ht="15" hidden="false" customHeight="false" outlineLevel="0" collapsed="false">
      <c r="A39" s="0" t="s">
        <v>879</v>
      </c>
      <c r="B39" s="0" t="s">
        <v>880</v>
      </c>
      <c r="C39" s="0" t="n">
        <v>9</v>
      </c>
      <c r="D39" s="0" t="s">
        <v>881</v>
      </c>
      <c r="E39" s="0" t="s">
        <v>882</v>
      </c>
      <c r="F39" s="0" t="s">
        <v>883</v>
      </c>
    </row>
    <row r="40" customFormat="false" ht="15" hidden="false" customHeight="false" outlineLevel="0" collapsed="false">
      <c r="A40" s="0" t="s">
        <v>884</v>
      </c>
      <c r="B40" s="0" t="s">
        <v>880</v>
      </c>
      <c r="C40" s="0" t="n">
        <v>12</v>
      </c>
      <c r="D40" s="0" t="s">
        <v>885</v>
      </c>
      <c r="E40" s="0" t="s">
        <v>886</v>
      </c>
      <c r="F40" s="0" t="s">
        <v>887</v>
      </c>
    </row>
    <row r="41" customFormat="false" ht="15" hidden="false" customHeight="false" outlineLevel="0" collapsed="false">
      <c r="A41" s="0" t="s">
        <v>888</v>
      </c>
      <c r="B41" s="0" t="s">
        <v>880</v>
      </c>
      <c r="C41" s="0" t="n">
        <v>25</v>
      </c>
      <c r="D41" s="0" t="s">
        <v>889</v>
      </c>
      <c r="E41" s="0" t="s">
        <v>890</v>
      </c>
      <c r="F41" s="0" t="s">
        <v>891</v>
      </c>
    </row>
    <row r="42" customFormat="false" ht="15" hidden="false" customHeight="false" outlineLevel="0" collapsed="false">
      <c r="A42" s="0" t="s">
        <v>892</v>
      </c>
      <c r="B42" s="0" t="s">
        <v>880</v>
      </c>
      <c r="C42" s="0" t="n">
        <v>26</v>
      </c>
      <c r="D42" s="0" t="s">
        <v>893</v>
      </c>
      <c r="E42" s="0" t="s">
        <v>214</v>
      </c>
      <c r="F42" s="0" t="s">
        <v>894</v>
      </c>
    </row>
    <row r="43" customFormat="false" ht="15" hidden="false" customHeight="false" outlineLevel="0" collapsed="false">
      <c r="A43" s="0" t="s">
        <v>895</v>
      </c>
      <c r="B43" s="0" t="s">
        <v>880</v>
      </c>
      <c r="C43" s="0" t="n">
        <v>37</v>
      </c>
      <c r="D43" s="0" t="s">
        <v>896</v>
      </c>
      <c r="E43" s="0" t="s">
        <v>352</v>
      </c>
      <c r="F43" s="0" t="s">
        <v>897</v>
      </c>
    </row>
    <row r="44" customFormat="false" ht="15" hidden="false" customHeight="false" outlineLevel="0" collapsed="false">
      <c r="A44" s="0" t="s">
        <v>898</v>
      </c>
      <c r="B44" s="0" t="s">
        <v>880</v>
      </c>
      <c r="C44" s="0" t="n">
        <v>64</v>
      </c>
      <c r="D44" s="0" t="s">
        <v>899</v>
      </c>
      <c r="E44" s="0" t="s">
        <v>900</v>
      </c>
      <c r="F44" s="0" t="s">
        <v>901</v>
      </c>
    </row>
    <row r="45" customFormat="false" ht="15" hidden="false" customHeight="false" outlineLevel="0" collapsed="false">
      <c r="A45" s="0" t="s">
        <v>902</v>
      </c>
      <c r="B45" s="0" t="s">
        <v>880</v>
      </c>
      <c r="C45" s="0" t="n">
        <v>64</v>
      </c>
      <c r="D45" s="0" t="s">
        <v>903</v>
      </c>
      <c r="E45" s="0" t="s">
        <v>900</v>
      </c>
      <c r="F45" s="0" t="s">
        <v>904</v>
      </c>
    </row>
    <row r="46" customFormat="false" ht="15" hidden="false" customHeight="false" outlineLevel="0" collapsed="false">
      <c r="A46" s="0" t="s">
        <v>905</v>
      </c>
      <c r="B46" s="0" t="s">
        <v>880</v>
      </c>
      <c r="C46" s="0" t="n">
        <v>67</v>
      </c>
      <c r="D46" s="0" t="s">
        <v>906</v>
      </c>
      <c r="E46" s="0" t="s">
        <v>907</v>
      </c>
      <c r="F46" s="0" t="s">
        <v>901</v>
      </c>
    </row>
    <row r="47" customFormat="false" ht="15" hidden="false" customHeight="false" outlineLevel="0" collapsed="false">
      <c r="A47" s="0" t="s">
        <v>908</v>
      </c>
      <c r="B47" s="0" t="s">
        <v>880</v>
      </c>
      <c r="C47" s="0" t="n">
        <v>74</v>
      </c>
      <c r="D47" s="0" t="s">
        <v>909</v>
      </c>
      <c r="E47" s="0" t="s">
        <v>910</v>
      </c>
      <c r="F47" s="0" t="s">
        <v>911</v>
      </c>
    </row>
    <row r="48" customFormat="false" ht="15" hidden="false" customHeight="false" outlineLevel="0" collapsed="false">
      <c r="A48" s="0" t="s">
        <v>912</v>
      </c>
      <c r="B48" s="0" t="s">
        <v>880</v>
      </c>
      <c r="C48" s="0" t="n">
        <v>75</v>
      </c>
      <c r="D48" s="0" t="s">
        <v>913</v>
      </c>
      <c r="E48" s="0" t="s">
        <v>914</v>
      </c>
      <c r="F48" s="0" t="s">
        <v>915</v>
      </c>
    </row>
    <row r="49" customFormat="false" ht="15" hidden="false" customHeight="false" outlineLevel="0" collapsed="false">
      <c r="A49" s="0" t="s">
        <v>916</v>
      </c>
      <c r="B49" s="0" t="s">
        <v>880</v>
      </c>
      <c r="C49" s="0" t="n">
        <v>79</v>
      </c>
      <c r="D49" s="0" t="s">
        <v>917</v>
      </c>
      <c r="E49" s="0" t="s">
        <v>297</v>
      </c>
      <c r="F49" s="0" t="s">
        <v>918</v>
      </c>
    </row>
    <row r="50" customFormat="false" ht="15" hidden="false" customHeight="false" outlineLevel="0" collapsed="false">
      <c r="A50" s="0" t="s">
        <v>919</v>
      </c>
      <c r="B50" s="0" t="s">
        <v>880</v>
      </c>
      <c r="C50" s="0" t="n">
        <v>79</v>
      </c>
      <c r="D50" s="0" t="s">
        <v>920</v>
      </c>
      <c r="E50" s="0" t="s">
        <v>297</v>
      </c>
      <c r="F50" s="0" t="s">
        <v>921</v>
      </c>
    </row>
    <row r="51" customFormat="false" ht="15" hidden="false" customHeight="false" outlineLevel="0" collapsed="false">
      <c r="A51" s="0" t="s">
        <v>922</v>
      </c>
      <c r="B51" s="0" t="s">
        <v>880</v>
      </c>
      <c r="C51" s="0" t="n">
        <v>79</v>
      </c>
      <c r="D51" s="0" t="s">
        <v>923</v>
      </c>
      <c r="E51" s="0" t="s">
        <v>297</v>
      </c>
      <c r="F51" s="0" t="s">
        <v>924</v>
      </c>
    </row>
    <row r="52" customFormat="false" ht="15" hidden="false" customHeight="false" outlineLevel="0" collapsed="false">
      <c r="A52" s="0" t="s">
        <v>925</v>
      </c>
      <c r="B52" s="0" t="s">
        <v>880</v>
      </c>
      <c r="C52" s="0" t="n">
        <v>79</v>
      </c>
      <c r="D52" s="0" t="s">
        <v>926</v>
      </c>
      <c r="E52" s="0" t="s">
        <v>297</v>
      </c>
      <c r="F52" s="0" t="s">
        <v>927</v>
      </c>
    </row>
    <row r="53" customFormat="false" ht="15" hidden="false" customHeight="false" outlineLevel="0" collapsed="false">
      <c r="A53" s="0" t="s">
        <v>928</v>
      </c>
      <c r="B53" s="0" t="s">
        <v>880</v>
      </c>
      <c r="C53" s="0" t="n">
        <v>81</v>
      </c>
      <c r="D53" s="0" t="s">
        <v>929</v>
      </c>
      <c r="E53" s="0" t="s">
        <v>339</v>
      </c>
      <c r="F53" s="0" t="s">
        <v>930</v>
      </c>
    </row>
    <row r="54" customFormat="false" ht="15" hidden="false" customHeight="false" outlineLevel="0" collapsed="false">
      <c r="A54" s="0" t="s">
        <v>931</v>
      </c>
      <c r="B54" s="0" t="s">
        <v>880</v>
      </c>
      <c r="C54" s="0" t="n">
        <v>81</v>
      </c>
      <c r="D54" s="0" t="s">
        <v>932</v>
      </c>
      <c r="E54" s="0" t="s">
        <v>339</v>
      </c>
      <c r="F54" s="0" t="s">
        <v>933</v>
      </c>
    </row>
    <row r="55" customFormat="false" ht="15" hidden="false" customHeight="false" outlineLevel="0" collapsed="false">
      <c r="A55" s="0" t="s">
        <v>934</v>
      </c>
      <c r="B55" s="0" t="s">
        <v>880</v>
      </c>
      <c r="C55" s="0" t="n">
        <v>81</v>
      </c>
      <c r="D55" s="0" t="s">
        <v>935</v>
      </c>
      <c r="E55" s="0" t="s">
        <v>339</v>
      </c>
      <c r="F55" s="0" t="s">
        <v>930</v>
      </c>
    </row>
    <row r="56" customFormat="false" ht="15" hidden="false" customHeight="false" outlineLevel="0" collapsed="false">
      <c r="A56" s="0" t="s">
        <v>936</v>
      </c>
      <c r="B56" s="0" t="s">
        <v>880</v>
      </c>
      <c r="C56" s="0" t="n">
        <v>94</v>
      </c>
      <c r="D56" s="0" t="s">
        <v>937</v>
      </c>
      <c r="E56" s="0" t="s">
        <v>176</v>
      </c>
      <c r="F56" s="0" t="s">
        <v>938</v>
      </c>
    </row>
    <row r="57" customFormat="false" ht="15" hidden="false" customHeight="false" outlineLevel="0" collapsed="false">
      <c r="A57" s="0" t="s">
        <v>939</v>
      </c>
      <c r="B57" s="0" t="s">
        <v>880</v>
      </c>
      <c r="C57" s="0" t="n">
        <v>107</v>
      </c>
      <c r="D57" s="0" t="s">
        <v>940</v>
      </c>
      <c r="E57" s="0" t="s">
        <v>941</v>
      </c>
      <c r="F57" s="0" t="s">
        <v>927</v>
      </c>
    </row>
    <row r="58" customFormat="false" ht="15" hidden="false" customHeight="false" outlineLevel="0" collapsed="false">
      <c r="A58" s="0" t="s">
        <v>942</v>
      </c>
      <c r="B58" s="0" t="s">
        <v>880</v>
      </c>
      <c r="C58" s="0" t="n">
        <v>112</v>
      </c>
      <c r="D58" s="0" t="s">
        <v>943</v>
      </c>
      <c r="E58" s="0" t="s">
        <v>944</v>
      </c>
      <c r="F58" s="0" t="s">
        <v>945</v>
      </c>
    </row>
    <row r="59" customFormat="false" ht="15" hidden="false" customHeight="false" outlineLevel="0" collapsed="false">
      <c r="A59" s="0" t="s">
        <v>946</v>
      </c>
      <c r="B59" s="0" t="s">
        <v>880</v>
      </c>
      <c r="C59" s="0" t="n">
        <v>118</v>
      </c>
      <c r="D59" s="0" t="s">
        <v>947</v>
      </c>
      <c r="E59" s="0" t="s">
        <v>948</v>
      </c>
      <c r="F59" s="0" t="s">
        <v>927</v>
      </c>
    </row>
    <row r="60" customFormat="false" ht="15" hidden="false" customHeight="false" outlineLevel="0" collapsed="false">
      <c r="A60" s="0" t="s">
        <v>949</v>
      </c>
      <c r="B60" s="0" t="s">
        <v>880</v>
      </c>
      <c r="C60" s="0" t="n">
        <v>118</v>
      </c>
      <c r="D60" s="0" t="s">
        <v>950</v>
      </c>
      <c r="E60" s="0" t="s">
        <v>948</v>
      </c>
      <c r="F60" s="0" t="s">
        <v>927</v>
      </c>
    </row>
    <row r="61" customFormat="false" ht="15" hidden="false" customHeight="false" outlineLevel="0" collapsed="false">
      <c r="A61" s="0" t="s">
        <v>951</v>
      </c>
      <c r="B61" s="0" t="s">
        <v>880</v>
      </c>
      <c r="C61" s="0" t="n">
        <v>118</v>
      </c>
      <c r="D61" s="0" t="s">
        <v>952</v>
      </c>
      <c r="E61" s="0" t="s">
        <v>948</v>
      </c>
      <c r="F61" s="0" t="s">
        <v>927</v>
      </c>
    </row>
    <row r="62" customFormat="false" ht="15" hidden="false" customHeight="false" outlineLevel="0" collapsed="false">
      <c r="A62" s="0" t="s">
        <v>953</v>
      </c>
      <c r="B62" s="0" t="s">
        <v>880</v>
      </c>
      <c r="C62" s="0" t="n">
        <v>118</v>
      </c>
      <c r="D62" s="0" t="s">
        <v>954</v>
      </c>
      <c r="E62" s="0" t="s">
        <v>948</v>
      </c>
      <c r="F62" s="0" t="s">
        <v>927</v>
      </c>
    </row>
    <row r="63" customFormat="false" ht="15" hidden="false" customHeight="false" outlineLevel="0" collapsed="false">
      <c r="A63" s="0" t="s">
        <v>955</v>
      </c>
      <c r="B63" s="0" t="s">
        <v>880</v>
      </c>
      <c r="C63" s="0" t="n">
        <v>118</v>
      </c>
      <c r="D63" s="0" t="s">
        <v>956</v>
      </c>
      <c r="E63" s="0" t="s">
        <v>948</v>
      </c>
      <c r="F63" s="0" t="s">
        <v>927</v>
      </c>
    </row>
    <row r="64" customFormat="false" ht="15" hidden="false" customHeight="false" outlineLevel="0" collapsed="false">
      <c r="A64" s="0" t="s">
        <v>957</v>
      </c>
      <c r="B64" s="0" t="s">
        <v>880</v>
      </c>
      <c r="C64" s="0" t="n">
        <v>119</v>
      </c>
      <c r="D64" s="0" t="s">
        <v>958</v>
      </c>
      <c r="E64" s="0" t="s">
        <v>317</v>
      </c>
      <c r="F64" s="0" t="s">
        <v>959</v>
      </c>
    </row>
    <row r="65" customFormat="false" ht="15" hidden="false" customHeight="false" outlineLevel="0" collapsed="false">
      <c r="A65" s="0" t="s">
        <v>960</v>
      </c>
      <c r="B65" s="0" t="s">
        <v>880</v>
      </c>
      <c r="C65" s="0" t="n">
        <v>119</v>
      </c>
      <c r="D65" s="0" t="s">
        <v>961</v>
      </c>
      <c r="E65" s="0" t="s">
        <v>317</v>
      </c>
      <c r="F65" s="0" t="s">
        <v>962</v>
      </c>
    </row>
    <row r="66" customFormat="false" ht="15" hidden="false" customHeight="false" outlineLevel="0" collapsed="false">
      <c r="A66" s="0" t="s">
        <v>963</v>
      </c>
      <c r="B66" s="0" t="s">
        <v>880</v>
      </c>
      <c r="C66" s="0" t="n">
        <v>119</v>
      </c>
      <c r="D66" s="0" t="s">
        <v>964</v>
      </c>
      <c r="E66" s="0" t="s">
        <v>317</v>
      </c>
      <c r="F66" s="0" t="s">
        <v>965</v>
      </c>
    </row>
    <row r="67" customFormat="false" ht="15" hidden="false" customHeight="false" outlineLevel="0" collapsed="false">
      <c r="A67" s="0" t="s">
        <v>966</v>
      </c>
      <c r="B67" s="0" t="s">
        <v>880</v>
      </c>
      <c r="C67" s="0" t="n">
        <v>120</v>
      </c>
      <c r="D67" s="0" t="s">
        <v>967</v>
      </c>
      <c r="E67" s="0" t="s">
        <v>329</v>
      </c>
      <c r="F67" s="0" t="s">
        <v>838</v>
      </c>
    </row>
    <row r="68" customFormat="false" ht="15" hidden="false" customHeight="false" outlineLevel="0" collapsed="false">
      <c r="A68" s="0" t="s">
        <v>968</v>
      </c>
      <c r="B68" s="0" t="s">
        <v>880</v>
      </c>
      <c r="C68" s="0" t="n">
        <v>161</v>
      </c>
      <c r="D68" s="0" t="s">
        <v>969</v>
      </c>
      <c r="E68" s="0" t="s">
        <v>970</v>
      </c>
      <c r="F68" s="0" t="s">
        <v>971</v>
      </c>
    </row>
    <row r="69" customFormat="false" ht="15" hidden="false" customHeight="false" outlineLevel="0" collapsed="false">
      <c r="A69" s="0" t="s">
        <v>972</v>
      </c>
      <c r="B69" s="0" t="s">
        <v>880</v>
      </c>
      <c r="C69" s="0" t="n">
        <v>162</v>
      </c>
      <c r="D69" s="0" t="s">
        <v>973</v>
      </c>
      <c r="E69" s="0" t="s">
        <v>289</v>
      </c>
      <c r="F69" s="0" t="s">
        <v>974</v>
      </c>
    </row>
    <row r="70" customFormat="false" ht="15" hidden="false" customHeight="false" outlineLevel="0" collapsed="false">
      <c r="A70" s="0" t="s">
        <v>975</v>
      </c>
      <c r="B70" s="0" t="s">
        <v>880</v>
      </c>
      <c r="C70" s="0" t="n">
        <v>162</v>
      </c>
      <c r="D70" s="0" t="s">
        <v>976</v>
      </c>
      <c r="E70" s="0" t="s">
        <v>289</v>
      </c>
      <c r="F70" s="0" t="s">
        <v>977</v>
      </c>
    </row>
    <row r="71" customFormat="false" ht="15" hidden="false" customHeight="false" outlineLevel="0" collapsed="false">
      <c r="A71" s="0" t="s">
        <v>978</v>
      </c>
      <c r="B71" s="0" t="s">
        <v>880</v>
      </c>
      <c r="C71" s="0" t="n">
        <v>162</v>
      </c>
      <c r="D71" s="0" t="s">
        <v>979</v>
      </c>
      <c r="E71" s="0" t="s">
        <v>289</v>
      </c>
      <c r="F71" s="0" t="s">
        <v>977</v>
      </c>
    </row>
    <row r="72" customFormat="false" ht="15" hidden="false" customHeight="false" outlineLevel="0" collapsed="false">
      <c r="A72" s="0" t="s">
        <v>980</v>
      </c>
      <c r="B72" s="0" t="s">
        <v>880</v>
      </c>
      <c r="C72" s="0" t="n">
        <v>163</v>
      </c>
      <c r="D72" s="0" t="s">
        <v>981</v>
      </c>
      <c r="E72" s="0" t="s">
        <v>163</v>
      </c>
      <c r="F72" s="0" t="s">
        <v>982</v>
      </c>
    </row>
    <row r="73" customFormat="false" ht="15" hidden="false" customHeight="false" outlineLevel="0" collapsed="false">
      <c r="A73" s="0" t="s">
        <v>983</v>
      </c>
      <c r="B73" s="0" t="s">
        <v>880</v>
      </c>
      <c r="C73" s="0" t="n">
        <v>163</v>
      </c>
      <c r="D73" s="0" t="s">
        <v>984</v>
      </c>
      <c r="E73" s="0" t="s">
        <v>163</v>
      </c>
      <c r="F73" s="0" t="s">
        <v>985</v>
      </c>
    </row>
    <row r="74" customFormat="false" ht="15" hidden="false" customHeight="false" outlineLevel="0" collapsed="false">
      <c r="A74" s="0" t="s">
        <v>986</v>
      </c>
      <c r="B74" s="0" t="s">
        <v>880</v>
      </c>
      <c r="C74" s="0" t="n">
        <v>165</v>
      </c>
      <c r="D74" s="0" t="s">
        <v>987</v>
      </c>
      <c r="E74" s="0" t="s">
        <v>65</v>
      </c>
      <c r="F74" s="0" t="s">
        <v>988</v>
      </c>
    </row>
    <row r="75" customFormat="false" ht="15" hidden="false" customHeight="false" outlineLevel="0" collapsed="false">
      <c r="A75" s="0" t="s">
        <v>989</v>
      </c>
      <c r="B75" s="0" t="s">
        <v>880</v>
      </c>
      <c r="C75" s="0" t="n">
        <v>168</v>
      </c>
      <c r="D75" s="0" t="s">
        <v>990</v>
      </c>
      <c r="E75" s="0" t="s">
        <v>109</v>
      </c>
      <c r="F75" s="0" t="s">
        <v>974</v>
      </c>
    </row>
    <row r="76" customFormat="false" ht="15" hidden="false" customHeight="false" outlineLevel="0" collapsed="false">
      <c r="A76" s="0" t="s">
        <v>991</v>
      </c>
      <c r="B76" s="0" t="s">
        <v>880</v>
      </c>
      <c r="C76" s="0" t="n">
        <v>168</v>
      </c>
      <c r="D76" s="0" t="s">
        <v>992</v>
      </c>
      <c r="E76" s="0" t="s">
        <v>109</v>
      </c>
      <c r="F76" s="0" t="s">
        <v>993</v>
      </c>
    </row>
    <row r="77" customFormat="false" ht="15" hidden="false" customHeight="false" outlineLevel="0" collapsed="false">
      <c r="A77" s="0" t="s">
        <v>994</v>
      </c>
      <c r="B77" s="0" t="s">
        <v>880</v>
      </c>
      <c r="C77" s="0" t="n">
        <v>221</v>
      </c>
      <c r="D77" s="0" t="s">
        <v>995</v>
      </c>
      <c r="E77" s="0" t="s">
        <v>996</v>
      </c>
      <c r="F77" s="0" t="s">
        <v>997</v>
      </c>
    </row>
    <row r="78" customFormat="false" ht="15" hidden="false" customHeight="false" outlineLevel="0" collapsed="false">
      <c r="A78" s="0" t="s">
        <v>998</v>
      </c>
      <c r="B78" s="0" t="s">
        <v>880</v>
      </c>
      <c r="C78" s="0" t="n">
        <v>229</v>
      </c>
      <c r="D78" s="0" t="s">
        <v>999</v>
      </c>
      <c r="E78" s="0" t="s">
        <v>834</v>
      </c>
      <c r="F78" s="0" t="s">
        <v>1000</v>
      </c>
    </row>
    <row r="79" customFormat="false" ht="15" hidden="false" customHeight="false" outlineLevel="0" collapsed="false">
      <c r="A79" s="0" t="s">
        <v>1001</v>
      </c>
      <c r="B79" s="0" t="s">
        <v>880</v>
      </c>
      <c r="C79" s="0" t="n">
        <v>229</v>
      </c>
      <c r="D79" s="0" t="s">
        <v>1002</v>
      </c>
      <c r="E79" s="0" t="s">
        <v>834</v>
      </c>
      <c r="F79" s="0" t="s">
        <v>1000</v>
      </c>
    </row>
    <row r="80" customFormat="false" ht="15" hidden="false" customHeight="false" outlineLevel="0" collapsed="false">
      <c r="A80" s="0" t="s">
        <v>1003</v>
      </c>
      <c r="B80" s="0" t="s">
        <v>880</v>
      </c>
      <c r="C80" s="0" t="n">
        <v>909</v>
      </c>
      <c r="D80" s="0" t="s">
        <v>1004</v>
      </c>
      <c r="E80" s="0" t="s">
        <v>1005</v>
      </c>
      <c r="F80" s="0" t="s">
        <v>1006</v>
      </c>
    </row>
    <row r="81" customFormat="false" ht="15" hidden="false" customHeight="false" outlineLevel="0" collapsed="false">
      <c r="A81" s="0" t="s">
        <v>1007</v>
      </c>
      <c r="B81" s="0" t="s">
        <v>880</v>
      </c>
      <c r="C81" s="0" t="n">
        <v>930</v>
      </c>
      <c r="D81" s="0" t="s">
        <v>1008</v>
      </c>
      <c r="E81" s="0" t="s">
        <v>1005</v>
      </c>
      <c r="F81" s="0" t="s">
        <v>1009</v>
      </c>
    </row>
    <row r="82" customFormat="false" ht="15" hidden="false" customHeight="false" outlineLevel="0" collapsed="false">
      <c r="A82" s="0" t="s">
        <v>1010</v>
      </c>
      <c r="B82" s="0" t="s">
        <v>880</v>
      </c>
      <c r="C82" s="0" t="n">
        <v>932</v>
      </c>
      <c r="D82" s="0" t="s">
        <v>1011</v>
      </c>
      <c r="E82" s="0" t="s">
        <v>1005</v>
      </c>
      <c r="F82" s="0" t="s">
        <v>1012</v>
      </c>
    </row>
    <row r="83" customFormat="false" ht="15" hidden="false" customHeight="false" outlineLevel="0" collapsed="false">
      <c r="A83" s="0" t="s">
        <v>1013</v>
      </c>
      <c r="B83" s="0" t="s">
        <v>880</v>
      </c>
      <c r="C83" s="0" t="n">
        <v>963</v>
      </c>
      <c r="D83" s="0" t="s">
        <v>1014</v>
      </c>
      <c r="E83" s="0" t="s">
        <v>1015</v>
      </c>
      <c r="F83" s="0" t="s">
        <v>1016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0"/>
    <col collapsed="false" customWidth="true" hidden="false" outlineLevel="0" max="3" min="3" style="0" width="16"/>
    <col collapsed="false" customWidth="true" hidden="false" outlineLevel="0" max="4" min="4" style="0" width="60"/>
  </cols>
  <sheetData>
    <row r="1" customFormat="false" ht="15" hidden="false" customHeight="false" outlineLevel="0" collapsed="false">
      <c r="A1" s="0" t="s">
        <v>1017</v>
      </c>
      <c r="B1" s="0" t="s">
        <v>1018</v>
      </c>
      <c r="C1" s="0" t="s">
        <v>59</v>
      </c>
      <c r="D1" s="0" t="s">
        <v>1019</v>
      </c>
    </row>
    <row r="2" customFormat="false" ht="15" hidden="false" customHeight="false" outlineLevel="0" collapsed="false">
      <c r="A2" s="0" t="s">
        <v>1020</v>
      </c>
      <c r="B2" s="0" t="s">
        <v>1021</v>
      </c>
      <c r="C2" s="0" t="s">
        <v>1022</v>
      </c>
      <c r="D2" s="0" t="s">
        <v>1023</v>
      </c>
    </row>
    <row r="3" customFormat="false" ht="15" hidden="false" customHeight="false" outlineLevel="0" collapsed="false">
      <c r="A3" s="0" t="s">
        <v>1024</v>
      </c>
      <c r="B3" s="0" t="s">
        <v>1025</v>
      </c>
      <c r="C3" s="0" t="s">
        <v>1022</v>
      </c>
      <c r="D3" s="0" t="s">
        <v>1026</v>
      </c>
    </row>
    <row r="4" customFormat="false" ht="15" hidden="false" customHeight="false" outlineLevel="0" collapsed="false">
      <c r="A4" s="0" t="s">
        <v>1027</v>
      </c>
      <c r="B4" s="0" t="s">
        <v>1028</v>
      </c>
      <c r="C4" s="0" t="s">
        <v>1022</v>
      </c>
      <c r="D4" s="0" t="s">
        <v>1029</v>
      </c>
    </row>
    <row r="5" customFormat="false" ht="15" hidden="false" customHeight="false" outlineLevel="0" collapsed="false">
      <c r="A5" s="0" t="s">
        <v>1030</v>
      </c>
      <c r="B5" s="0" t="s">
        <v>1031</v>
      </c>
      <c r="C5" s="0" t="s">
        <v>1022</v>
      </c>
      <c r="D5" s="0" t="s">
        <v>1032</v>
      </c>
    </row>
    <row r="6" customFormat="false" ht="15" hidden="false" customHeight="false" outlineLevel="0" collapsed="false">
      <c r="A6" s="0" t="s">
        <v>1033</v>
      </c>
      <c r="B6" s="0" t="s">
        <v>1034</v>
      </c>
      <c r="C6" s="0" t="s">
        <v>1022</v>
      </c>
      <c r="D6" s="0" t="s">
        <v>1035</v>
      </c>
    </row>
    <row r="7" customFormat="false" ht="15" hidden="false" customHeight="false" outlineLevel="0" collapsed="false">
      <c r="A7" s="0" t="s">
        <v>1036</v>
      </c>
      <c r="B7" s="0" t="s">
        <v>1037</v>
      </c>
      <c r="C7" s="0" t="s">
        <v>1022</v>
      </c>
      <c r="D7" s="0" t="s">
        <v>1038</v>
      </c>
    </row>
    <row r="8" customFormat="false" ht="15" hidden="false" customHeight="false" outlineLevel="0" collapsed="false">
      <c r="A8" s="0" t="s">
        <v>1039</v>
      </c>
      <c r="B8" s="0" t="s">
        <v>1040</v>
      </c>
      <c r="C8" s="0" t="s">
        <v>1022</v>
      </c>
      <c r="D8" s="0" t="s">
        <v>1041</v>
      </c>
    </row>
    <row r="9" customFormat="false" ht="15" hidden="false" customHeight="false" outlineLevel="0" collapsed="false">
      <c r="A9" s="0" t="s">
        <v>1042</v>
      </c>
      <c r="B9" s="0" t="s">
        <v>1043</v>
      </c>
      <c r="C9" s="0" t="s">
        <v>1022</v>
      </c>
      <c r="D9" s="0" t="s">
        <v>1044</v>
      </c>
    </row>
    <row r="10" customFormat="false" ht="15" hidden="false" customHeight="false" outlineLevel="0" collapsed="false">
      <c r="A10" s="0" t="s">
        <v>1045</v>
      </c>
      <c r="B10" s="0" t="s">
        <v>1046</v>
      </c>
      <c r="C10" s="0" t="s">
        <v>1022</v>
      </c>
      <c r="D10" s="0" t="s">
        <v>1047</v>
      </c>
    </row>
    <row r="11" customFormat="false" ht="15" hidden="false" customHeight="false" outlineLevel="0" collapsed="false">
      <c r="A11" s="0" t="s">
        <v>1048</v>
      </c>
      <c r="B11" s="0" t="s">
        <v>1049</v>
      </c>
      <c r="C11" s="0" t="s">
        <v>1022</v>
      </c>
      <c r="D11" s="0" t="s">
        <v>1050</v>
      </c>
    </row>
    <row r="12" customFormat="false" ht="15" hidden="false" customHeight="false" outlineLevel="0" collapsed="false">
      <c r="A12" s="0" t="s">
        <v>1051</v>
      </c>
      <c r="B12" s="0" t="s">
        <v>1052</v>
      </c>
      <c r="C12" s="0" t="s">
        <v>1022</v>
      </c>
      <c r="D12" s="0" t="s">
        <v>1053</v>
      </c>
    </row>
    <row r="13" customFormat="false" ht="15" hidden="false" customHeight="false" outlineLevel="0" collapsed="false">
      <c r="A13" s="0" t="s">
        <v>1054</v>
      </c>
      <c r="B13" s="0" t="s">
        <v>1055</v>
      </c>
      <c r="C13" s="0" t="s">
        <v>1022</v>
      </c>
      <c r="D13" s="0" t="s">
        <v>1056</v>
      </c>
    </row>
    <row r="14" customFormat="false" ht="15" hidden="false" customHeight="false" outlineLevel="0" collapsed="false">
      <c r="A14" s="0" t="s">
        <v>1057</v>
      </c>
      <c r="B14" s="0" t="s">
        <v>1058</v>
      </c>
      <c r="C14" s="0" t="s">
        <v>1022</v>
      </c>
      <c r="D14" s="0" t="s">
        <v>1059</v>
      </c>
    </row>
    <row r="15" customFormat="false" ht="15" hidden="false" customHeight="false" outlineLevel="0" collapsed="false">
      <c r="A15" s="0" t="s">
        <v>1060</v>
      </c>
      <c r="B15" s="0" t="s">
        <v>1061</v>
      </c>
      <c r="C15" s="0" t="s">
        <v>1022</v>
      </c>
      <c r="D15" s="0" t="s">
        <v>1062</v>
      </c>
    </row>
    <row r="16" customFormat="false" ht="15" hidden="false" customHeight="false" outlineLevel="0" collapsed="false">
      <c r="A16" s="0" t="s">
        <v>1063</v>
      </c>
      <c r="B16" s="0" t="s">
        <v>1064</v>
      </c>
      <c r="C16" s="0" t="s">
        <v>1022</v>
      </c>
      <c r="D16" s="0" t="s">
        <v>1065</v>
      </c>
    </row>
    <row r="17" customFormat="false" ht="15" hidden="false" customHeight="false" outlineLevel="0" collapsed="false">
      <c r="A17" s="0" t="s">
        <v>1066</v>
      </c>
      <c r="B17" s="0" t="s">
        <v>1067</v>
      </c>
      <c r="C17" s="0" t="s">
        <v>1022</v>
      </c>
      <c r="D17" s="0" t="s">
        <v>1068</v>
      </c>
    </row>
    <row r="18" customFormat="false" ht="15" hidden="false" customHeight="false" outlineLevel="0" collapsed="false">
      <c r="A18" s="0" t="s">
        <v>1069</v>
      </c>
      <c r="B18" s="0" t="s">
        <v>1070</v>
      </c>
      <c r="C18" s="0" t="s">
        <v>1022</v>
      </c>
      <c r="D18" s="0" t="s">
        <v>1071</v>
      </c>
    </row>
    <row r="19" customFormat="false" ht="15" hidden="false" customHeight="false" outlineLevel="0" collapsed="false">
      <c r="A19" s="0" t="s">
        <v>1072</v>
      </c>
      <c r="B19" s="0" t="s">
        <v>1073</v>
      </c>
      <c r="C19" s="0" t="s">
        <v>1022</v>
      </c>
      <c r="D19" s="0" t="s">
        <v>1074</v>
      </c>
    </row>
    <row r="20" customFormat="false" ht="15" hidden="false" customHeight="false" outlineLevel="0" collapsed="false">
      <c r="A20" s="0" t="s">
        <v>1075</v>
      </c>
      <c r="B20" s="0" t="s">
        <v>1076</v>
      </c>
      <c r="C20" s="0" t="s">
        <v>1077</v>
      </c>
      <c r="D20" s="0" t="s">
        <v>1078</v>
      </c>
    </row>
    <row r="21" customFormat="false" ht="15" hidden="false" customHeight="false" outlineLevel="0" collapsed="false">
      <c r="A21" s="0" t="s">
        <v>1079</v>
      </c>
      <c r="B21" s="0" t="s">
        <v>1080</v>
      </c>
      <c r="C21" s="0" t="s">
        <v>1022</v>
      </c>
      <c r="D21" s="0" t="s">
        <v>1081</v>
      </c>
    </row>
    <row r="22" customFormat="false" ht="15" hidden="false" customHeight="false" outlineLevel="0" collapsed="false">
      <c r="A22" s="0" t="s">
        <v>1082</v>
      </c>
      <c r="B22" s="0" t="s">
        <v>1083</v>
      </c>
      <c r="C22" s="0" t="s">
        <v>1077</v>
      </c>
      <c r="D22" s="0" t="s">
        <v>1084</v>
      </c>
    </row>
    <row r="23" customFormat="false" ht="15" hidden="false" customHeight="false" outlineLevel="0" collapsed="false">
      <c r="A23" s="0" t="s">
        <v>1085</v>
      </c>
      <c r="B23" s="0" t="s">
        <v>1086</v>
      </c>
      <c r="C23" s="0" t="s">
        <v>1077</v>
      </c>
      <c r="D23" s="0" t="s">
        <v>1087</v>
      </c>
    </row>
    <row r="24" customFormat="false" ht="15" hidden="false" customHeight="false" outlineLevel="0" collapsed="false">
      <c r="A24" s="0" t="s">
        <v>1088</v>
      </c>
      <c r="B24" s="0" t="s">
        <v>1089</v>
      </c>
      <c r="C24" s="0" t="s">
        <v>1022</v>
      </c>
      <c r="D24" s="0" t="s">
        <v>1090</v>
      </c>
    </row>
    <row r="25" customFormat="false" ht="15" hidden="false" customHeight="false" outlineLevel="0" collapsed="false">
      <c r="A25" s="0" t="s">
        <v>1091</v>
      </c>
      <c r="B25" s="0" t="s">
        <v>1092</v>
      </c>
      <c r="C25" s="0" t="s">
        <v>1022</v>
      </c>
      <c r="D25" s="0" t="s">
        <v>1093</v>
      </c>
    </row>
    <row r="26" customFormat="false" ht="15" hidden="false" customHeight="false" outlineLevel="0" collapsed="false">
      <c r="A26" s="0" t="s">
        <v>1094</v>
      </c>
      <c r="B26" s="0" t="s">
        <v>1095</v>
      </c>
      <c r="C26" s="0" t="s">
        <v>1077</v>
      </c>
      <c r="D26" s="0" t="s">
        <v>1096</v>
      </c>
    </row>
    <row r="27" customFormat="false" ht="15" hidden="false" customHeight="false" outlineLevel="0" collapsed="false">
      <c r="A27" s="0" t="s">
        <v>1097</v>
      </c>
      <c r="B27" s="0" t="s">
        <v>1098</v>
      </c>
      <c r="C27" s="0" t="s">
        <v>1077</v>
      </c>
      <c r="D27" s="0" t="s">
        <v>1099</v>
      </c>
    </row>
    <row r="28" customFormat="false" ht="15" hidden="false" customHeight="false" outlineLevel="0" collapsed="false">
      <c r="A28" s="0" t="s">
        <v>1100</v>
      </c>
      <c r="B28" s="0" t="s">
        <v>1101</v>
      </c>
      <c r="C28" s="0" t="s">
        <v>1077</v>
      </c>
      <c r="D28" s="0" t="s">
        <v>1078</v>
      </c>
    </row>
    <row r="29" customFormat="false" ht="15" hidden="false" customHeight="false" outlineLevel="0" collapsed="false">
      <c r="A29" s="0" t="s">
        <v>1102</v>
      </c>
      <c r="B29" s="0" t="s">
        <v>1103</v>
      </c>
      <c r="C29" s="0" t="s">
        <v>1077</v>
      </c>
      <c r="D29" s="0" t="s">
        <v>1104</v>
      </c>
    </row>
    <row r="30" customFormat="false" ht="15" hidden="false" customHeight="false" outlineLevel="0" collapsed="false">
      <c r="A30" s="0" t="s">
        <v>1105</v>
      </c>
      <c r="B30" s="0" t="s">
        <v>1106</v>
      </c>
      <c r="C30" s="0" t="s">
        <v>1077</v>
      </c>
      <c r="D30" s="0" t="s">
        <v>1107</v>
      </c>
    </row>
    <row r="31" customFormat="false" ht="15" hidden="false" customHeight="false" outlineLevel="0" collapsed="false">
      <c r="A31" s="0" t="s">
        <v>1108</v>
      </c>
      <c r="B31" s="0" t="s">
        <v>1109</v>
      </c>
      <c r="C31" s="0" t="s">
        <v>1077</v>
      </c>
      <c r="D31" s="0" t="s">
        <v>1110</v>
      </c>
    </row>
    <row r="32" customFormat="false" ht="15" hidden="false" customHeight="false" outlineLevel="0" collapsed="false">
      <c r="A32" s="0" t="s">
        <v>1111</v>
      </c>
      <c r="B32" s="0" t="s">
        <v>1112</v>
      </c>
      <c r="C32" s="0" t="s">
        <v>1077</v>
      </c>
      <c r="D32" s="0" t="s">
        <v>1113</v>
      </c>
    </row>
    <row r="33" customFormat="false" ht="15" hidden="false" customHeight="false" outlineLevel="0" collapsed="false">
      <c r="A33" s="0" t="s">
        <v>1114</v>
      </c>
      <c r="B33" s="0" t="s">
        <v>1115</v>
      </c>
      <c r="C33" s="0" t="s">
        <v>1077</v>
      </c>
      <c r="D33" s="0" t="s">
        <v>1116</v>
      </c>
    </row>
    <row r="34" customFormat="false" ht="15" hidden="false" customHeight="false" outlineLevel="0" collapsed="false">
      <c r="A34" s="0" t="s">
        <v>1117</v>
      </c>
      <c r="B34" s="0" t="s">
        <v>1118</v>
      </c>
      <c r="C34" s="0" t="s">
        <v>1077</v>
      </c>
      <c r="D34" s="0" t="s">
        <v>1119</v>
      </c>
    </row>
    <row r="35" customFormat="false" ht="15" hidden="false" customHeight="false" outlineLevel="0" collapsed="false">
      <c r="A35" s="0" t="s">
        <v>1120</v>
      </c>
      <c r="B35" s="0" t="s">
        <v>1121</v>
      </c>
      <c r="C35" s="0" t="s">
        <v>1077</v>
      </c>
      <c r="D35" s="0" t="s">
        <v>1122</v>
      </c>
    </row>
    <row r="36" customFormat="false" ht="15" hidden="false" customHeight="false" outlineLevel="0" collapsed="false">
      <c r="A36" s="0" t="s">
        <v>1123</v>
      </c>
      <c r="B36" s="0" t="s">
        <v>1124</v>
      </c>
      <c r="C36" s="0" t="s">
        <v>504</v>
      </c>
      <c r="D36" s="0" t="s">
        <v>1125</v>
      </c>
    </row>
    <row r="37" customFormat="false" ht="15" hidden="false" customHeight="false" outlineLevel="0" collapsed="false">
      <c r="A37" s="0" t="s">
        <v>1126</v>
      </c>
      <c r="B37" s="0" t="s">
        <v>1127</v>
      </c>
      <c r="C37" s="0" t="s">
        <v>1022</v>
      </c>
      <c r="D37" s="0" t="s">
        <v>1128</v>
      </c>
    </row>
    <row r="38" customFormat="false" ht="15" hidden="false" customHeight="false" outlineLevel="0" collapsed="false">
      <c r="A38" s="0" t="s">
        <v>1129</v>
      </c>
      <c r="B38" s="0" t="s">
        <v>1130</v>
      </c>
      <c r="C38" s="0" t="s">
        <v>1022</v>
      </c>
      <c r="D38" s="0" t="s">
        <v>1131</v>
      </c>
    </row>
    <row r="39" customFormat="false" ht="15" hidden="false" customHeight="false" outlineLevel="0" collapsed="false">
      <c r="A39" s="0" t="s">
        <v>1132</v>
      </c>
      <c r="B39" s="0" t="s">
        <v>1133</v>
      </c>
      <c r="C39" s="0" t="s">
        <v>504</v>
      </c>
      <c r="D39" s="0" t="s">
        <v>1134</v>
      </c>
    </row>
    <row r="40" customFormat="false" ht="15" hidden="false" customHeight="false" outlineLevel="0" collapsed="false">
      <c r="A40" s="0" t="s">
        <v>1135</v>
      </c>
      <c r="B40" s="0" t="s">
        <v>1136</v>
      </c>
      <c r="C40" s="0" t="s">
        <v>1022</v>
      </c>
      <c r="D40" s="0" t="s">
        <v>1137</v>
      </c>
    </row>
    <row r="41" customFormat="false" ht="15" hidden="false" customHeight="false" outlineLevel="0" collapsed="false">
      <c r="A41" s="0" t="s">
        <v>1138</v>
      </c>
      <c r="B41" s="0" t="s">
        <v>1139</v>
      </c>
      <c r="C41" s="0" t="s">
        <v>1077</v>
      </c>
      <c r="D41" s="0" t="s">
        <v>1140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1141</v>
      </c>
    </row>
    <row r="2" customFormat="false" ht="15" hidden="false" customHeight="false" outlineLevel="0" collapsed="false">
      <c r="A2" s="0" t="s">
        <v>1142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2026-10-21T08:21:25Z</dcterms:created>
  <dc:creator>openpyxl</dc:creator>
  <dc:description/>
  <dc:language>en-US</dc:language>
  <cp:lastModifiedBy/>
  <dcterms:modified xsi:type="dcterms:W3CDTF">2026-10-21T08:21:25Z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