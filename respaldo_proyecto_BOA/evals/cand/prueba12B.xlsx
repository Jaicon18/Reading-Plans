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<sst xmlns="http://schemas.openxmlformats.org/spreadsheetml/2006/main" count="1143" uniqueCount="759">
  <si>
    <t xml:space="preserve">Bank of America - Broomfield, CO (CO1-111)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</si>
  <si>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</si>
  <si>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</si>
  <si>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</si>
  <si>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</si>
  <si>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</si>
  <si>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</si>
  <si>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</si>
  <si>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</si>
  <si>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</si>
  <si>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</si>
  <si>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</si>
  <si>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</si>
  <si>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</si>
  <si>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</si>
  <si>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</si>
  <si>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</si>
  <si>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</si>
  <si>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</si>
  <si>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</si>
  <si>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</si>
  <si>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</si>
  <si>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</si>
  <si>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</si>
  <si>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</si>
  <si>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</si>
  <si>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</si>
  <si>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</si>
  <si>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</t>
  </si>
  <si>
    <t xml:space="preserve">G  #W01  -  Office 109 north / ATM Room 102; 11'-7 1/2" printed A02.01</t>
  </si>
  <si>
    <t xml:space="preserve">W01</t>
  </si>
  <si>
    <t xml:space="preserve">1-5/8"</t>
  </si>
  <si>
    <t xml:space="preserve">Office 109 north / ATM Room 102; 11'-7 1/2" printed A02.01</t>
  </si>
  <si>
    <t xml:space="preserve">5/A12.01; studs_out/board_out/corridas_out (canon.py)</t>
  </si>
  <si>
    <t xml:space="preserve">[CONFIRMADO]</t>
  </si>
  <si>
    <t xml:space="preserve">G  #W02  -  Office 109 / Office 110; 11'-7 1/2" printed</t>
  </si>
  <si>
    <t xml:space="preserve">W02</t>
  </si>
  <si>
    <t xml:space="preserve">Office 109 / Office 110; 11'-7 1/2" printed</t>
  </si>
  <si>
    <t xml:space="preserve">G  #W03  -  Office 110 / Women's Restroom 114; 11'-7 1/2" printed</t>
  </si>
  <si>
    <t xml:space="preserve">W03</t>
  </si>
  <si>
    <t xml:space="preserve">Office 110 / Women's Restroom 114; 11'-7 1/2" printed</t>
  </si>
  <si>
    <t xml:space="preserve">G  #W29  -  Office 108 / Cash Window 116; 2 rows G continue to x1661.76 (7'-1" printed is the south face only)</t>
  </si>
  <si>
    <t xml:space="preserve">W29</t>
  </si>
  <si>
    <t xml:space="preserve">Office 108 / Cash Window 116; 2 rows G continue to x1661.76 (7'-1" printed is the south face only)</t>
  </si>
  <si>
    <t xml:space="preserve">[DERIVADO]</t>
  </si>
  <si>
    <t xml:space="preserve">G  #W36  -  Office 106 / Office 107; 11'-9 1/4" printed</t>
  </si>
  <si>
    <t xml:space="preserve">W36</t>
  </si>
  <si>
    <t xml:space="preserve">Office 106 / Office 107; 11'-9 1/4" printed</t>
  </si>
  <si>
    <t xml:space="preserve">G  #W37  -  Office 107 / Office 108; 11'-9 1/4" printed</t>
  </si>
  <si>
    <t xml:space="preserve">W37</t>
  </si>
  <si>
    <t xml:space="preserve">Office 107 / Office 108; 11'-9 1/4" printed</t>
  </si>
  <si>
    <t xml:space="preserve">G  #W38a  -  office front stub north of OF-105 (10/A12.01)</t>
  </si>
  <si>
    <t xml:space="preserve">W38a</t>
  </si>
  <si>
    <t xml:space="preserve">office front stub north of OF-105 (10/A12.01)</t>
  </si>
  <si>
    <t xml:space="preserve">G  #W38b  -  office front stub OF-105/OF-106 (10/A12.01)</t>
  </si>
  <si>
    <t xml:space="preserve">W38b</t>
  </si>
  <si>
    <t xml:space="preserve">office front stub OF-105/OF-106 (10/A12.01)</t>
  </si>
  <si>
    <t xml:space="preserve">G  #W38c  -  office front stub OF-106/OF-107 (10/A12.01)</t>
  </si>
  <si>
    <t xml:space="preserve">W38c</t>
  </si>
  <si>
    <t xml:space="preserve">office front stub OF-106/OF-107 (10/A12.01)</t>
  </si>
  <si>
    <t xml:space="preserve">G  #W38d  -  office front stub OF-107/OF-108 (10/A12.01)</t>
  </si>
  <si>
    <t xml:space="preserve">W38d</t>
  </si>
  <si>
    <t xml:space="preserve">office front stub OF-107/OF-108 (10/A12.01)</t>
  </si>
  <si>
    <t xml:space="preserve">G  #W38e  -  office front stub south of OF-108 to B2K (10/A12.01)</t>
  </si>
  <si>
    <t xml:space="preserve">W38e</t>
  </si>
  <si>
    <t xml:space="preserve">office front stub south of OF-108 to B2K (10/A12.01)</t>
  </si>
  <si>
    <t xml:space="preserve">TYPE G1</t>
  </si>
  <si>
    <t xml:space="preserve">G1  #W04a  -  office front stub north of OF-109 (10/A12.01 jamb)</t>
  </si>
  <si>
    <t xml:space="preserve">W04a</t>
  </si>
  <si>
    <t xml:space="preserve">office front stub north of OF-109 (10/A12.01 jamb)</t>
  </si>
  <si>
    <t xml:space="preserve">G1  #W04b  -  office front stub between OF-109/OF-110 (10/A12.01)</t>
  </si>
  <si>
    <t xml:space="preserve">W04b</t>
  </si>
  <si>
    <t xml:space="preserve">office front stub between OF-109/OF-110 (10/A12.01)</t>
  </si>
  <si>
    <t xml:space="preserve">G1  #W04c  -  office front stub south of OF-110 (10/A12.01)</t>
  </si>
  <si>
    <t xml:space="preserve">W04c</t>
  </si>
  <si>
    <t xml:space="preserve">office front stub south of OF-110 (10/A12.01)</t>
  </si>
  <si>
    <t xml:space="preserve">G1  #W35  -  Office 105 / Office 106; 11'-9 1/4" printed</t>
  </si>
  <si>
    <t xml:space="preserve">W35</t>
  </si>
  <si>
    <t xml:space="preserve">Office 105 / Office 106; 11'-9 1/4" printed</t>
  </si>
  <si>
    <t xml:space="preserve">TYPE B2</t>
  </si>
  <si>
    <t xml:space="preserve">B2  #W05a  -  Women's 114 / Corridor 111; door 114</t>
  </si>
  <si>
    <t xml:space="preserve">W05a</t>
  </si>
  <si>
    <t xml:space="preserve">6"</t>
  </si>
  <si>
    <t xml:space="preserve">Women's 114 / Corridor 111; door 114</t>
  </si>
  <si>
    <t xml:space="preserve">1/A12.01; studs_out/board_out/corridas_out (canon.py)</t>
  </si>
  <si>
    <t xml:space="preserve">B2  #W05b  -  Men's 113, Storage 117, Wellness 115 / Corridor 111; doors 113,117,115</t>
  </si>
  <si>
    <t xml:space="preserve">W05b</t>
  </si>
  <si>
    <t xml:space="preserve">Men's 113, Storage 117, Wellness 115 / Corridor 111; doors 113,117,115</t>
  </si>
  <si>
    <t xml:space="preserve">B2  #W27  -  Break Room 118 / Cash Window 116 + Work Room 119; door at north end</t>
  </si>
  <si>
    <t xml:space="preserve">W27</t>
  </si>
  <si>
    <t xml:space="preserve">Break Room 118 / Cash Window 116 + Work Room 119; door at north end</t>
  </si>
  <si>
    <t xml:space="preserve">B2  #W40  -  ATM Room 102 / Central Zone; 5'-8" printed; door 102</t>
  </si>
  <si>
    <t xml:space="preserve">W40</t>
  </si>
  <si>
    <t xml:space="preserve">ATM Room 102 / Central Zone; 5'-8" printed; door 102</t>
  </si>
  <si>
    <t xml:space="preserve">TYPE A1</t>
  </si>
  <si>
    <t xml:space="preserve">A1  #W06  -  fountain niche back wall (untagged, default A1 note A/A02.01)</t>
  </si>
  <si>
    <t xml:space="preserve">W06</t>
  </si>
  <si>
    <t xml:space="preserve">3-5/8"</t>
  </si>
  <si>
    <t xml:space="preserve">fountain niche back wall (untagged, default A1 note A/A02.01)</t>
  </si>
  <si>
    <t xml:space="preserve">3/A12.01; studs_out/board_out/corridas_out (canon.py)</t>
  </si>
  <si>
    <t xml:space="preserve">A1  #W07  -  fountain niche north return (untagged)</t>
  </si>
  <si>
    <t xml:space="preserve">W07</t>
  </si>
  <si>
    <t xml:space="preserve">fountain niche north return (untagged)</t>
  </si>
  <si>
    <t xml:space="preserve">A1  #W08  -  fountain niche south return (untagged)</t>
  </si>
  <si>
    <t xml:space="preserve">W08</t>
  </si>
  <si>
    <t xml:space="preserve">fountain niche south return (untagged)</t>
  </si>
  <si>
    <t xml:space="preserve">A1  #W14  -  Calling Cubes 122 north / Waiting 104; 15'-9 3/4" printed</t>
  </si>
  <si>
    <t xml:space="preserve">W14</t>
  </si>
  <si>
    <t xml:space="preserve">Calling Cubes 122 north / Waiting 104; 15'-9 3/4" printed</t>
  </si>
  <si>
    <t xml:space="preserve">A1  #W16  -  MW01 niche south</t>
  </si>
  <si>
    <t xml:space="preserve">W16</t>
  </si>
  <si>
    <t xml:space="preserve">MW01 niche south</t>
  </si>
  <si>
    <t xml:space="preserve">A1  #W17  -  MW01 niche east (untagged, default A1)</t>
  </si>
  <si>
    <t xml:space="preserve">W17</t>
  </si>
  <si>
    <t xml:space="preserve">MW01 niche east (untagged, default A1)</t>
  </si>
  <si>
    <t xml:space="preserve">A1  #W19  -  Calling Cubes 122 / Break Room 118 + 118B</t>
  </si>
  <si>
    <t xml:space="preserve">W19</t>
  </si>
  <si>
    <t xml:space="preserve">Calling Cubes 122 / Break Room 118 + 118B</t>
  </si>
  <si>
    <t xml:space="preserve">A1  #W20  -  Corridor 111 / 118B, Electrical 120, NER 121; door 118B</t>
  </si>
  <si>
    <t xml:space="preserve">W20</t>
  </si>
  <si>
    <t xml:space="preserve">Corridor 111 / 118B, Electrical 120, NER 121; door 118B</t>
  </si>
  <si>
    <t xml:space="preserve">A1  #W24  -  Corridor 111 north; door 111</t>
  </si>
  <si>
    <t xml:space="preserve">W24</t>
  </si>
  <si>
    <t xml:space="preserve">Corridor 111 north; door 111</t>
  </si>
  <si>
    <t xml:space="preserve">A1  #W25  -  Break Room 118 north-east; 5'-6" printed; door 118A</t>
  </si>
  <si>
    <t xml:space="preserve">W25</t>
  </si>
  <si>
    <t xml:space="preserve">Break Room 118 north-east; 5'-6" printed; door 118A</t>
  </si>
  <si>
    <t xml:space="preserve">A1  #W25b  -  stub Break Room 118 east of MW21</t>
  </si>
  <si>
    <t xml:space="preserve">W25b</t>
  </si>
  <si>
    <t xml:space="preserve">stub Break Room 118 east of MW21</t>
  </si>
  <si>
    <t xml:space="preserve">A1  #W28  -  Cash Window 116 / Work Room 119; 11'-8" printed; door 119</t>
  </si>
  <si>
    <t xml:space="preserve">W28</t>
  </si>
  <si>
    <t xml:space="preserve">Cash Window 116 / Work Room 119; 11'-8" printed; door 119</t>
  </si>
  <si>
    <t xml:space="preserve">TYPE C1</t>
  </si>
  <si>
    <t xml:space="preserve">C1  #W09  -  plumbing chase Women's 114 / Men's 113</t>
  </si>
  <si>
    <t xml:space="preserve">W09</t>
  </si>
  <si>
    <t xml:space="preserve">plumbing chase Women's 114 / Men's 113</t>
  </si>
  <si>
    <t xml:space="preserve">6/A12.01; studs_out/board_out/corridas_out (canon.py)</t>
  </si>
  <si>
    <t xml:space="preserve">C1  #W15  -  furring north face of W14 (Central Zone side), 8" deep</t>
  </si>
  <si>
    <t xml:space="preserve">W15</t>
  </si>
  <si>
    <t xml:space="preserve">furring north face of W14 (Central Zone side), 8" deep</t>
  </si>
  <si>
    <t xml:space="preserve">C1  #W34  -  furring Future FCAM side</t>
  </si>
  <si>
    <t xml:space="preserve">W34</t>
  </si>
  <si>
    <t xml:space="preserve">furring Future FCAM side</t>
  </si>
  <si>
    <t xml:space="preserve">TYPE B</t>
  </si>
  <si>
    <t xml:space="preserve">B  #W10  -  Men's 113 / Janitor 112 + Storage 117; door 112</t>
  </si>
  <si>
    <t xml:space="preserve">W10</t>
  </si>
  <si>
    <t xml:space="preserve">Men's 113 / Janitor 112 + Storage 117; door 112</t>
  </si>
  <si>
    <t xml:space="preserve">B  #W11  -  Janitor 112 / Storage 117</t>
  </si>
  <si>
    <t xml:space="preserve">W11</t>
  </si>
  <si>
    <t xml:space="preserve">Janitor 112 / Storage 117</t>
  </si>
  <si>
    <t xml:space="preserve">B  #W12  -  Janitor 112 + Storage 117 / Wellness 115</t>
  </si>
  <si>
    <t xml:space="preserve">W12</t>
  </si>
  <si>
    <t xml:space="preserve">Janitor 112 + Storage 117 / Wellness 115</t>
  </si>
  <si>
    <t xml:space="preserve">B  #W21  -  118B / Electrical 120; 9'-7" printed; FEC-2 recess</t>
  </si>
  <si>
    <t xml:space="preserve">W21</t>
  </si>
  <si>
    <t xml:space="preserve">118B / Electrical 120; 9'-7" printed; FEC-2 recess</t>
  </si>
  <si>
    <t xml:space="preserve">B  #W22  -  Electrical 120 / NER 121; 9'-7" printed</t>
  </si>
  <si>
    <t xml:space="preserve">W22</t>
  </si>
  <si>
    <t xml:space="preserve">Electrical 120 / NER 121; 9'-7" printed</t>
  </si>
  <si>
    <t xml:space="preserve">B  #W23  -  Electrical 120, NER 121 / Break Room 118; doors 120,121</t>
  </si>
  <si>
    <t xml:space="preserve">W23</t>
  </si>
  <si>
    <t xml:space="preserve">Electrical 120, NER 121 / Break Room 118; doors 120,121</t>
  </si>
  <si>
    <t xml:space="preserve">TYPE A5</t>
  </si>
  <si>
    <t xml:space="preserve">A5  #W13a  -  Central Zone passage / Calling Cubes 122; MW01 opening 3'-1 1/2"</t>
  </si>
  <si>
    <t xml:space="preserve">W13a</t>
  </si>
  <si>
    <t xml:space="preserve">Central Zone passage / Calling Cubes 122; MW01 opening 3'-1 1/2"</t>
  </si>
  <si>
    <t xml:space="preserve">A5  #W13b  -  Corridor 111 / Calling Cubes 122 (jog east of W13a); door 122</t>
  </si>
  <si>
    <t xml:space="preserve">W13b</t>
  </si>
  <si>
    <t xml:space="preserve">Corridor 111 / Calling Cubes 122 (jog east of W13a); door 122</t>
  </si>
  <si>
    <t xml:space="preserve">A5  #W18a  -  Calling Cubes 122 / Waiting 104; 19'-0" printed interior</t>
  </si>
  <si>
    <t xml:space="preserve">W18a</t>
  </si>
  <si>
    <t xml:space="preserve">Calling Cubes 122 / Waiting 104; 19'-0" printed interior</t>
  </si>
  <si>
    <t xml:space="preserve">A5  #W18b  -  Calling Cubes 122 / Waiting 104; 19'-0" printed interior</t>
  </si>
  <si>
    <t xml:space="preserve">W18b</t>
  </si>
  <si>
    <t xml:space="preserve">A5  #W26  -  Break Room 118 / Future FCAM</t>
  </si>
  <si>
    <t xml:space="preserve">W26</t>
  </si>
  <si>
    <t xml:space="preserve">Break Room 118 / Future FCAM</t>
  </si>
  <si>
    <t xml:space="preserve">TYPE A1K</t>
  </si>
  <si>
    <t xml:space="preserve">A1K  #W30  -  Office 108 / Cash Window 116 teller line north; 3'-5" printed</t>
  </si>
  <si>
    <t xml:space="preserve">W30</t>
  </si>
  <si>
    <t xml:space="preserve">Office 108 / Cash Window 116 teller line north; 3'-5" printed</t>
  </si>
  <si>
    <t xml:space="preserve">4/A12.01; studs_out/board_out/corridas_out (canon.py)</t>
  </si>
  <si>
    <t xml:space="preserve">A1K  #W32  -  Cash Window 116 / Future FCAM teller line south; 3'-5" printed</t>
  </si>
  <si>
    <t xml:space="preserve">W32</t>
  </si>
  <si>
    <t xml:space="preserve">Cash Window 116 / Future FCAM teller line south; 3'-5" printed</t>
  </si>
  <si>
    <t xml:space="preserve">A1K  #W33  -  jog south-west of teller line</t>
  </si>
  <si>
    <t xml:space="preserve">W33</t>
  </si>
  <si>
    <t xml:space="preserve">jog south-west of teller line</t>
  </si>
  <si>
    <t xml:space="preserve">TYPE B2K</t>
  </si>
  <si>
    <t xml:space="preserve">B2K  #W31  -  Office 108 corner / Waiting 104 at teller line</t>
  </si>
  <si>
    <t xml:space="preserve">W31</t>
  </si>
  <si>
    <t xml:space="preserve">Office 108 corner / Waiting 104 at teller line</t>
  </si>
  <si>
    <t xml:space="preserve">TYPE F</t>
  </si>
  <si>
    <t xml:space="preserve">F  #W39  -  24 HR Vestibule 101 / ATM Room 102 diagonal at 30 deg; ATM R.O.</t>
  </si>
  <si>
    <t xml:space="preserve">W39</t>
  </si>
  <si>
    <t xml:space="preserve">24 HR Vestibule 101 / ATM Room 102 diagonal at 30 deg; ATM R.O.</t>
  </si>
  <si>
    <t xml:space="preserve">12/A12.01; studs_out/board_out/corridas_out (canon.py)</t>
  </si>
  <si>
    <t xml:space="preserve">TYPE EXT</t>
  </si>
  <si>
    <t xml:space="preserve">EXT  #EXT-N105  -  exterior 600S162-54 @16" (S1.11 n.5), stud stops under W12x19 (10/S5.10)</t>
  </si>
  <si>
    <t xml:space="preserve">EXT-N105</t>
  </si>
  <si>
    <t xml:space="preserve">exterior 600S162-54 @16" (S1.11 n.5), stud stops under W12x19 (10/S5.10)</t>
  </si>
  <si>
    <t xml:space="preserve">C/A09.21; 10/S5.10; studs_out/board_out/corridas_out (canon.py)</t>
  </si>
  <si>
    <t xml:space="preserve">EXT  #EXT-E1  -  exterior 600S162-54 @16" (S1.11 n.5), stud stops under W12x19 (10/S5.10)</t>
  </si>
  <si>
    <t xml:space="preserve">EXT-E1</t>
  </si>
  <si>
    <t xml:space="preserve">C/A09.21; D/A09.22; 10/S5.10; studs_out/board_out/corridas_out (canon.py)</t>
  </si>
  <si>
    <t xml:space="preserve">EXT  #EXT-E2  -  exterior 600S162-54 @16" (S1.11 n.5), stud stops under W14x22 (10/S5.10)</t>
  </si>
  <si>
    <t xml:space="preserve">EXT-E2</t>
  </si>
  <si>
    <t xml:space="preserve">exterior 600S162-54 @16" (S1.11 n.5), stud stops under W14x22 (10/S5.10)</t>
  </si>
  <si>
    <t xml:space="preserve">C/A09.21; E/A09.22; 10/S5.10; studs_out/board_out/corridas_out (canon.py)</t>
  </si>
  <si>
    <t xml:space="preserve">EXT  #EXT-S2  -  exterior 600S162-54 @16" (S1.11 n.5), stud stops under W14x22 (10/S5.10)</t>
  </si>
  <si>
    <t xml:space="preserve">EXT-S2</t>
  </si>
  <si>
    <t xml:space="preserve">C/A09.21; F/A09.22; 10/S5.10; studs_out/board_out/corridas_out (canon.py)</t>
  </si>
  <si>
    <t xml:space="preserve">EXT  #EXT-S1  -  exterior 600S162-54 @16" (S1.11 n.5), stud stops under W18x35 (10/S5.10)</t>
  </si>
  <si>
    <t xml:space="preserve">EXT-S1</t>
  </si>
  <si>
    <t xml:space="preserve">exterior 600S162-54 @16" (S1.11 n.5), stud stops under W18x35 (10/S5.10)</t>
  </si>
  <si>
    <t xml:space="preserve">EXT  #EXT-W3b  -  exterior 600S162-54 @16" (S1.11 n.5), stud stops under W14x22 (10/S5.10)</t>
  </si>
  <si>
    <t xml:space="preserve">EXT-W3b</t>
  </si>
  <si>
    <t xml:space="preserve">C/A09.21; H/A09.23; 10/S5.10; studs_out/board_out/corridas_out (canon.py)</t>
  </si>
  <si>
    <t xml:space="preserve">EXT  #EXT-W3a  -  exterior 600S162-54 @16" (S1.11 n.5), stud stops under W12x19 (10/S5.10)</t>
  </si>
  <si>
    <t xml:space="preserve">EXT-W3a</t>
  </si>
  <si>
    <t xml:space="preserve">EXT  #EXT-D  -  exterior 600S162-54 @16" (S1.11 n.5), stud stops under W12x19 (10/S5.10)</t>
  </si>
  <si>
    <t xml:space="preserve">EXT-D</t>
  </si>
  <si>
    <t xml:space="preserve">C/A09.21; J/A09.23; 10/S5.10; studs_out/board_out/corridas_out (canon.py)</t>
  </si>
  <si>
    <t xml:space="preserve">EXT  #EXT-W2  -  exterior 600S162-54 @16" (S1.11 n.5), stud stops under W12x19 (10/S5.10)</t>
  </si>
  <si>
    <t xml:space="preserve">EXT-W2</t>
  </si>
  <si>
    <t xml:space="preserve">TYPE EXT (storefront_cripples)</t>
  </si>
  <si>
    <t xml:space="preserve">EXT (storefront_cripples)  #SF-N1  -  cripples between steel header (by others) and beam; B.O.S. W12x19 (G 2-4) 14.358 - T.O.S. W12x19 (CANOPY) 11.9</t>
  </si>
  <si>
    <t xml:space="preserve">SF-N1</t>
  </si>
  <si>
    <t xml:space="preserve">cripples between steel header (by others) and beam; B.O.S. W12x19 (G 2-4) 14.358 - T.O.S. W12x19 (CANOPY) 11.9</t>
  </si>
  <si>
    <t xml:space="preserve">C/A09.21; 2/A09.26; studs_out/board_out/corridas_out (canon.py)</t>
  </si>
  <si>
    <t xml:space="preserve">EXT (storefront_cripples)  #SF-N2  -  cripples between steel header (by others) and beam; B.O.S. W18x35 (F 4-7) 13.900 - T.O.S. HSS9x5x5/8 9.375 = 4</t>
  </si>
  <si>
    <t xml:space="preserve">SF-N2</t>
  </si>
  <si>
    <t xml:space="preserve">cripples between steel header (by others) and beam; B.O.S. W18x35 (F 4-7) 13.900 - T.O.S. HSS9x5x5/8 9.375 = 4</t>
  </si>
  <si>
    <t xml:space="preserve">EXT (storefront_cripples)  #SF-W1  -  cripples between steel header (by others) and beam; B.O.S. W12x19 (grid 2) 14.358 - T.O.S. HSS9x5x5/8 (8'-7 1/</t>
  </si>
  <si>
    <t xml:space="preserve">SF-W1</t>
  </si>
  <si>
    <t xml:space="preserve">cripples between steel header (by others) and beam; B.O.S. W12x19 (grid 2) 14.358 - T.O.S. HSS9x5x5/8 (8'-7 1/</t>
  </si>
  <si>
    <t xml:space="preserve">TYPE C1 (pier)</t>
  </si>
  <si>
    <t xml:space="preserve">C1 (pier)  #PIER-P1  -  pier perimeter (exterior agent); 3-5/8" secondary framing -&gt; RFI</t>
  </si>
  <si>
    <t xml:space="preserve">PIER-P1</t>
  </si>
  <si>
    <t xml:space="preserve">pier perimeter (exterior agent); 3-5/8" secondary framing -&gt; RFI</t>
  </si>
  <si>
    <t xml:space="preserve">1/A09.25; studs_out/board_out/corridas_out (canon.py)</t>
  </si>
  <si>
    <t xml:space="preserve">C1 (pier)  #PIER-P2  -  pier perimeter (exterior agent); 3-5/8" secondary framing -&gt; RFI</t>
  </si>
  <si>
    <t xml:space="preserve">PIER-P2</t>
  </si>
  <si>
    <t xml:space="preserve">2/A09.25; studs_out/board_out/corridas_out (canon.py)</t>
  </si>
  <si>
    <t xml:space="preserve">TYPE PARAPET (parapet)</t>
  </si>
  <si>
    <t xml:space="preserve">PARAPET (parapet)  #PAR-G  -  19'-8" - 15'-4 1/2" = 4'-3 1/2" (A/A09.21, S2.20)</t>
  </si>
  <si>
    <t xml:space="preserve">PAR-G</t>
  </si>
  <si>
    <t xml:space="preserve">6" parapet 600S162-54</t>
  </si>
  <si>
    <t xml:space="preserve">19'-8" - 15'-4 1/2" = 4'-3 1/2" (A/A09.21, S2.20)</t>
  </si>
  <si>
    <t xml:space="preserve">11/S5.10; studs_out/board_out/corridas_out (canon.py)</t>
  </si>
  <si>
    <t xml:space="preserve">PARAPET (parapet)  #PAR-J4  -  jog G-F 11 7/8" (S2.20); T/STUD no impreso -&gt; HP (53.3) + RFI-06</t>
  </si>
  <si>
    <t xml:space="preserve">PAR-J4</t>
  </si>
  <si>
    <t xml:space="preserve">jog G-F 11 7/8" (S2.20); T/STUD no impreso -&gt; HP (53.3) + RFI-06</t>
  </si>
  <si>
    <t xml:space="preserve">[PENDIENTE]</t>
  </si>
  <si>
    <t xml:space="preserve">PARAPET (parapet)  #PAR-F  -  17'-5" - 15'-4 1/2" = 2'-0 1/2" (C/A09.21)</t>
  </si>
  <si>
    <t xml:space="preserve">PAR-F</t>
  </si>
  <si>
    <t xml:space="preserve">17'-5" - 15'-4 1/2" = 2'-0 1/2" (C/A09.21)</t>
  </si>
  <si>
    <t xml:space="preserve">PARAPET (parapet)  #PAR-E1  -  17'-5" - 15'-4 1/2" (D/A09.22)</t>
  </si>
  <si>
    <t xml:space="preserve">PAR-E1</t>
  </si>
  <si>
    <t xml:space="preserve">17'-5" - 15'-4 1/2" (D/A09.22)</t>
  </si>
  <si>
    <t xml:space="preserve">PARAPET (parapet)  #PAR-E2  -  17'-5" - 12'-6 3/8" (lado alto en A) (E/A09.22) + RFI-06</t>
  </si>
  <si>
    <t xml:space="preserve">PAR-E2</t>
  </si>
  <si>
    <t xml:space="preserve">17'-5" - 12'-6 3/8" (lado alto en A) (E/A09.22) + RFI-06</t>
  </si>
  <si>
    <t xml:space="preserve">PARAPET (parapet)  #PAR-A  -  17'-5" - 12'-6 3/8" = 4'-10 5/8" (F/A09.22)</t>
  </si>
  <si>
    <t xml:space="preserve">PAR-A</t>
  </si>
  <si>
    <t xml:space="preserve">17'-5" - 12'-6 3/8" = 4'-10 5/8" (F/A09.22)</t>
  </si>
  <si>
    <t xml:space="preserve">PARAPET (parapet)  #PAR-W3b  -  sin sección; LP 17'-5" (53.3) + RFI-06</t>
  </si>
  <si>
    <t xml:space="preserve">PAR-W3b</t>
  </si>
  <si>
    <t xml:space="preserve">sin sección; LP 17'-5" (53.3) + RFI-06</t>
  </si>
  <si>
    <t xml:space="preserve">PARAPET (parapet)  #PAR-W3a  -  17'-5" - 15'-4 1/2" (H/A09.23)</t>
  </si>
  <si>
    <t xml:space="preserve">PAR-W3a</t>
  </si>
  <si>
    <t xml:space="preserve">17'-5" - 15'-4 1/2" (H/A09.23)</t>
  </si>
  <si>
    <t xml:space="preserve">PARAPET (parapet)  #PAR-D  -  jog D 3'-10 3/8"; HP (53.3) + RFI-06</t>
  </si>
  <si>
    <t xml:space="preserve">PAR-D</t>
  </si>
  <si>
    <t xml:space="preserve">jog D 3'-10 3/8"; HP (53.3) + RFI-06</t>
  </si>
  <si>
    <t xml:space="preserve">PARAPET (parapet)  #PAR-W2  -  19'-8" - 15'-4 1/2" (J/A09.23)</t>
  </si>
  <si>
    <t xml:space="preserve">PAR-W2</t>
  </si>
  <si>
    <t xml:space="preserve">19'-8" - 15'-4 1/2" (J/A09.23)</t>
  </si>
  <si>
    <t xml:space="preserve">TYPE CANOPY (fascia_box)</t>
  </si>
  <si>
    <t xml:space="preserve">CANOPY (fascia_box)  #FAS-N  -  fascia box 12'-7" - 10'-8 5/8" = 1'-10 3/8"; O.C. not printed -&gt; 16" (7/S5.20) + RFI-05</t>
  </si>
  <si>
    <t xml:space="preserve">FAS-N</t>
  </si>
  <si>
    <t xml:space="preserve">fascia box 12'-7" - 10'-8 5/8" = 1'-10 3/8"; O.C. not printed -&gt; 16" (7/S5.20) + RFI-05</t>
  </si>
  <si>
    <t xml:space="preserve">3/A09.26; studs_out/board_out/corridas_out (canon.py)</t>
  </si>
  <si>
    <t xml:space="preserve">CANOPY (fascia_box)  #FAS-W  -  fascia box 12'-7" - 10'-8 5/8" = 1'-10 3/8"; O.C. not printed -&gt; 16" (7/S5.20) + RFI-05</t>
  </si>
  <si>
    <t xml:space="preserve">FAS-W</t>
  </si>
  <si>
    <t xml:space="preserve">15/A09.27; studs_out/board_out/corridas_out (canon.py)</t>
  </si>
  <si>
    <t xml:space="preserve">CANOPY (fascia_box)  #FAS-Wret  -  fascia box 12'-7" - 10'-8 5/8" = 1'-10 3/8"; O.C. not printed -&gt; 16" (7/S5.20) + RFI-05</t>
  </si>
  <si>
    <t xml:space="preserve">FAS-Wret</t>
  </si>
  <si>
    <t xml:space="preserve">CANOPY (fascia_box)  #FAS-E  -  fascia box 12'-7" - 10'-8 5/8" = 1'-10 3/8"; O.C. not printed -&gt; 16" (7/S5.20) + RFI-05</t>
  </si>
  <si>
    <t xml:space="preserve">FAS-E</t>
  </si>
  <si>
    <t xml:space="preserve">7/A09.26; studs_out/board_out/corridas_out (canon.py)</t>
  </si>
  <si>
    <t xml:space="preserve">CANOPY (fascia_box)  #FAS-Eret  -  fascia box 12'-7" - 10'-8 5/8" = 1'-10 3/8"; O.C. not printed -&gt; 16" (7/S5.20) + RFI-05</t>
  </si>
  <si>
    <t xml:space="preserve">FAS-Eret</t>
  </si>
  <si>
    <t xml:space="preserve">CANOPY (fascia_box)  #FAS-S  -  fascia box 12'-7" - 10'-8 5/8" = 1'-10 3/8"; O.C. not printed -&gt; 16" (7/S5.20) + RFI-05</t>
  </si>
  <si>
    <t xml:space="preserve">FAS-S</t>
  </si>
  <si>
    <t xml:space="preserve">16/A09.27; studs_out/board_out/corridas_out (canon.py)</t>
  </si>
  <si>
    <t xml:space="preserve">CANOPY (fascia_box)  #FAS-Sret  -  fascia box 12'-7" - 10'-8 5/8" = 1'-10 3/8"; O.C. not printed -&gt; 16" (7/S5.20) + RFI-05</t>
  </si>
  <si>
    <t xml:space="preserve">FAS-Sret</t>
  </si>
  <si>
    <t xml:space="preserve">TYPE CANOPY (canopy_soffit)</t>
  </si>
  <si>
    <t xml:space="preserve">CANOPY (canopy_soffit)  #CS-NG  -  soffit joists 3-5/8" (O.C. not printed -&gt; 16" + RFI-05); 1 track at wall line, fascia end on fascia box track </t>
  </si>
  <si>
    <t xml:space="preserve">CS-NG</t>
  </si>
  <si>
    <t xml:space="preserve">soffit joists 3-5/8" (O.C. not printed -&gt; 16" + RFI-05); 1 track at wall line, fascia end on fascia box track </t>
  </si>
  <si>
    <t xml:space="preserve">CANOPY (canopy_soffit)  #CS-NF  -  soffit joists 3-5/8" (O.C. not printed -&gt; 16" + RFI-05); 1 track at wall line, fascia end on fascia box track </t>
  </si>
  <si>
    <t xml:space="preserve">CS-NF</t>
  </si>
  <si>
    <t xml:space="preserve">CANOPY (canopy_soffit)  #CS-W2  -  soffit joists 3-5/8" (O.C. not printed -&gt; 16" + RFI-05); 1 track at wall line, fascia end on fascia box track </t>
  </si>
  <si>
    <t xml:space="preserve">CS-W2</t>
  </si>
  <si>
    <t xml:space="preserve">CANOPY (canopy_soffit)  #CS-W3  -  soffit joists 3-5/8" (O.C. not printed -&gt; 16" + RFI-05); 1 track at wall line, fascia end on fascia box track </t>
  </si>
  <si>
    <t xml:space="preserve">CS-W3</t>
  </si>
  <si>
    <t xml:space="preserve">CANOPY (canopy_soffit)  #CS-E  -  soffit joists 3-5/8" (O.C. not printed -&gt; 16" + RFI-05); 1 track at wall line, fascia end on fascia box track </t>
  </si>
  <si>
    <t xml:space="preserve">CS-E</t>
  </si>
  <si>
    <t xml:space="preserve">CANOPY (canopy_soffit)  #CS-S  -  soffit joists 3-5/8" (O.C. not printed -&gt; 16" + RFI-05); 1 track at wall line, fascia end on fascia box track </t>
  </si>
  <si>
    <t xml:space="preserve">CS-S</t>
  </si>
  <si>
    <t xml:space="preserve">TYPE CANOPY (column_wrap)</t>
  </si>
  <si>
    <t xml:space="preserve">CANOPY (column_wrap)  #CW-1  -  drive-up canopy column wrap framing 1'-5" x 1'-5" (FOS) to B/STUD 10'-7 1/4"</t>
  </si>
  <si>
    <t xml:space="preserve">CW-1</t>
  </si>
  <si>
    <t xml:space="preserve">drive-up canopy column wrap framing 1'-5" x 1'-5" (FOS) to B/STUD 10'-7 1/4"</t>
  </si>
  <si>
    <t xml:space="preserve">5/A09.25; studs_out/board_out/corridas_out (canon.py)</t>
  </si>
  <si>
    <t xml:space="preserve">CANOPY (column_wrap)  #CW-2  -  drive-up canopy column wrap framing 1'-5" x 1'-5" (FOS) to B/STUD 10'-7 1/4"</t>
  </si>
  <si>
    <t xml:space="preserve">CW-2</t>
  </si>
  <si>
    <t xml:space="preserve">CANOPY (column_wrap)  #CW-3  -  drive-up canopy column wrap framing 1'-5" x 1'-5" (FOS) to B/STUD 10'-7 1/4"</t>
  </si>
  <si>
    <t xml:space="preserve">CW-3</t>
  </si>
  <si>
    <t xml:space="preserve">CANOPY (column_wrap)  #CW-4  -  drive-up canopy column wrap framing 1'-5" x 1'-5" (FOS) to B/STUD 10'-7 1/4"</t>
  </si>
  <si>
    <t xml:space="preserve">CW-4</t>
  </si>
  <si>
    <t xml:space="preserve">TYPE C1 (column_wrap)</t>
  </si>
  <si>
    <t xml:space="preserve">C1 (column_wrap)  #CWI-1  -  column furring C1 1'-0" x 1'-0" box (A02.01 C1@1152,462)</t>
  </si>
  <si>
    <t xml:space="preserve">CWI-1</t>
  </si>
  <si>
    <t xml:space="preserve">column furring C1 1'-0" x 1'-0" box (A02.01 C1@1152,462)</t>
  </si>
  <si>
    <t xml:space="preserve">C1 (column_wrap)  #CWI-2  -  column furring C1 (A02.01 C1@1161,720)</t>
  </si>
  <si>
    <t xml:space="preserve">CWI-2</t>
  </si>
  <si>
    <t xml:space="preserve">column furring C1 (A02.01 C1@1161,720)</t>
  </si>
  <si>
    <t xml:space="preserve">TYPE HEAD (vestibule_head)</t>
  </si>
  <si>
    <t xml:space="preserve">HEAD (vestibule_head)  #VH-1  -  vestibule head 100/101 over storefront, GB ceiling 10'-0" both sides; studs 10'-0" -&gt; deck</t>
  </si>
  <si>
    <t xml:space="preserve">VH-1</t>
  </si>
  <si>
    <t xml:space="preserve">vestibule head 100/101 over storefront, GB ceiling 10'-0" both sides; studs 10'-0" -&gt; deck</t>
  </si>
  <si>
    <t xml:space="preserve">6/A12.10; studs_out/board_out/corridas_out (canon.py)</t>
  </si>
  <si>
    <t xml:space="preserve">HEAD (vestibule_head)  #VH-2  -  vestibule head 100/Central Zone; exposed 11'-6" - 10'-0" + 6"</t>
  </si>
  <si>
    <t xml:space="preserve">VH-2</t>
  </si>
  <si>
    <t xml:space="preserve">vestibule head 100/Central Zone; exposed 11'-6" - 10'-0" + 6"</t>
  </si>
  <si>
    <t xml:space="preserve">4/A12.10; studs_out/board_out/corridas_out (canon.py)</t>
  </si>
  <si>
    <t xml:space="preserve">TYPE HEAD (grille_head)</t>
  </si>
  <si>
    <t xml:space="preserve">HEAD (grille_head)  #GH-1  -  coiling grille head 2 1/2" CFMF @16" between (2) 6" box beams</t>
  </si>
  <si>
    <t xml:space="preserve">GH-1</t>
  </si>
  <si>
    <t xml:space="preserve">2-1/2"</t>
  </si>
  <si>
    <t xml:space="preserve">coiling grille head 2 1/2" CFMF @16" between (2) 6" box beams</t>
  </si>
  <si>
    <t xml:space="preserve">4/A08.21; studs_out/board_out/corridas_out (canon.py)</t>
  </si>
  <si>
    <t xml:space="preserve">TYPE BULKHEAD (ceiling_bulkhead)</t>
  </si>
  <si>
    <t xml:space="preserve">BULKHEAD (ceiling_bulkhead)  #BK-2  -  ACT 9'-0" / ACT 11'-6" step; 8/A09.33 by typicality (RFI-C05)</t>
  </si>
  <si>
    <t xml:space="preserve">BK-2</t>
  </si>
  <si>
    <t xml:space="preserve">ACT 9'-0" / ACT 11'-6" step; 8/A09.33 by typicality (RFI-C05)</t>
  </si>
  <si>
    <t xml:space="preserve">8/A09.33; studs_out/board_out/corridas_out (canon.py)</t>
  </si>
  <si>
    <t xml:space="preserve">TYPE TRANSITION (ceiling_transition)</t>
  </si>
  <si>
    <t xml:space="preserve">TRANSITION (ceiling_transition)  #TR-1  -  GB cloud 11'-0" -&gt; ACT 11'-6"; studs deck -&gt; ceiling (7/A09.33)</t>
  </si>
  <si>
    <t xml:space="preserve">TR-1</t>
  </si>
  <si>
    <t xml:space="preserve">GB cloud 11'-0" -&gt; ACT 11'-6"; studs deck -&gt; ceiling (7/A09.33)</t>
  </si>
  <si>
    <t xml:space="preserve">7/A09.33; studs_out/board_out/corridas_out (canon.py)</t>
  </si>
  <si>
    <t xml:space="preserve">TYPE SOFFIT (soffit_side)</t>
  </si>
  <si>
    <t xml:space="preserve">SOFFIT (soffit_side)  #CSR-S1  -  CSR soffit side; studs to deck per 10/A09.33 (RFI-C04)</t>
  </si>
  <si>
    <t xml:space="preserve">CSR-S1</t>
  </si>
  <si>
    <t xml:space="preserve">CSR soffit side; studs to deck per 10/A09.33 (RFI-C04)</t>
  </si>
  <si>
    <t xml:space="preserve">9/A12.08; studs_out/board_out/corridas_out (canon.py)</t>
  </si>
  <si>
    <t xml:space="preserve">SOFFIT (soffit_side)  #CSR-S2  -  CSR soffit side; studs to deck per 10/A09.33 (RFI-C04)</t>
  </si>
  <si>
    <t xml:space="preserve">CSR-S2</t>
  </si>
  <si>
    <t xml:space="preserve">TYPE ROOF STEP (roof_step)</t>
  </si>
  <si>
    <t xml:space="preserve">ROOF STEP (roof_step)  #RS-1  -  roof step low-roof side; h = dT/steel 2'-3 7/8" (RFI-05 estructura)</t>
  </si>
  <si>
    <t xml:space="preserve">RS-1</t>
  </si>
  <si>
    <t xml:space="preserve">roof step low-roof side; h = dT/steel 2'-3 7/8" (RFI-05 estructura)</t>
  </si>
  <si>
    <t xml:space="preserve">4/A02.02; studs_out/board_out/corridas_out (canon.py)</t>
  </si>
  <si>
    <t xml:space="preserve">ROOF STEP (roof_step)  #RS-2  -  under high deck to low beam bottom 15.375-11.912</t>
  </si>
  <si>
    <t xml:space="preserve">RS-2</t>
  </si>
  <si>
    <t xml:space="preserve">under high deck to low beam bottom 15.375-11.912</t>
  </si>
  <si>
    <t xml:space="preserve">ROOF STEP (roof_step)  #RS-3  -  W14x22 (LOW) box, d 13.7"</t>
  </si>
  <si>
    <t xml:space="preserve">RS-3</t>
  </si>
  <si>
    <t xml:space="preserve">W14x22 (LOW) box, d 13.7"</t>
  </si>
  <si>
    <t xml:space="preserve">TYPE G (door_bulkhead)</t>
  </si>
  <si>
    <t xml:space="preserve">G (door_bulkhead)  #BH-105  -  office bulkhead over office front 105: 2 rows 1-5/8" + isolator, box beam, 2 layers to deck; HOLD 8'-0 1/2" (A</t>
  </si>
  <si>
    <t xml:space="preserve">BH-105</t>
  </si>
  <si>
    <t xml:space="preserve">office bulkhead over office front 105: 2 rows 1-5/8" + isolator, box beam, 2 layers to deck; HOLD 8'-0 1/2" (A</t>
  </si>
  <si>
    <t xml:space="preserve">9/A12.01; studs_out/board_out/corridas_out (canon.py)</t>
  </si>
  <si>
    <t xml:space="preserve">G (door_bulkhead)  #BH-106  -  office bulkhead over office front 106: 2 rows 1-5/8" + isolator, box beam, 2 layers to deck; HOLD 8'-0 1/2" (A</t>
  </si>
  <si>
    <t xml:space="preserve">BH-106</t>
  </si>
  <si>
    <t xml:space="preserve">office bulkhead over office front 106: 2 rows 1-5/8" + isolator, box beam, 2 layers to deck; HOLD 8'-0 1/2" (A</t>
  </si>
  <si>
    <t xml:space="preserve">G (door_bulkhead)  #BH-107  -  office bulkhead over office front 107: 2 rows 1-5/8" + isolator, box beam, 2 layers to deck; HOLD 8'-0 1/2" (A</t>
  </si>
  <si>
    <t xml:space="preserve">BH-107</t>
  </si>
  <si>
    <t xml:space="preserve">office bulkhead over office front 107: 2 rows 1-5/8" + isolator, box beam, 2 layers to deck; HOLD 8'-0 1/2" (A</t>
  </si>
  <si>
    <t xml:space="preserve">G (door_bulkhead)  #BH-108  -  office bulkhead over office front 108: 2 rows 1-5/8" + isolator, box beam, 2 layers to deck; HOLD 8'-0 1/2" (A</t>
  </si>
  <si>
    <t xml:space="preserve">BH-108</t>
  </si>
  <si>
    <t xml:space="preserve">office bulkhead over office front 108: 2 rows 1-5/8" + isolator, box beam, 2 layers to deck; HOLD 8'-0 1/2" (A</t>
  </si>
  <si>
    <t xml:space="preserve">TYPE G1 (door_bulkhead)</t>
  </si>
  <si>
    <t xml:space="preserve">G1 (door_bulkhead)  #BH-109  -  office bulkhead over office front 109: 2 rows 1-5/8" + isolator, box beam, 2 layers to deck; HOLD 8'-0 1/2" (A</t>
  </si>
  <si>
    <t xml:space="preserve">BH-109</t>
  </si>
  <si>
    <t xml:space="preserve">office bulkhead over office front 109: 2 rows 1-5/8" + isolator, box beam, 2 layers to deck; HOLD 8'-0 1/2" (A</t>
  </si>
  <si>
    <t xml:space="preserve">G1 (door_bulkhead)  #BH-110  -  office bulkhead over office front 110: 2 rows 1-5/8" + isolator, box beam, 2 layers to deck; HOLD 8'-0 1/2" (A</t>
  </si>
  <si>
    <t xml:space="preserve">BH-110</t>
  </si>
  <si>
    <t xml:space="preserve">office bulkhead over office front 110: 2 rows 1-5/8" + isolator, box beam, 2 layers to deck; HOLD 8'-0 1/2" (A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</si>
  <si>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</si>
  <si>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</si>
  <si>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</si>
  <si>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</si>
  <si>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</si>
  <si>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</si>
  <si>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</si>
  <si>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</si>
  <si>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</si>
  <si>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</si>
  <si>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</si>
  <si>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</si>
  <si>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(exterior, S1.11) / 600S137-33 (interior B2/A5/B2K)</t>
  </si>
  <si>
    <t xml:space="preserve">LF</t>
  </si>
  <si>
    <t xml:space="preserve">stick 20 ft</t>
  </si>
  <si>
    <t xml:space="preserve">familias_out.json (canon.py) [6" stud (todos los gauges)]; S1.11; 7/S5.20</t>
  </si>
  <si>
    <t xml:space="preserve">3-5/8" metal stud 362S137-33 (A1/B/F/C1, ceilings joists, canopy, heads); A1K 14 GA @24"</t>
  </si>
  <si>
    <t xml:space="preserve">familias_out.json (canon.py) [3-5/8" stud (todos los gauges)]; 7/S5.20; 4/A12.01; 6/A09.33</t>
  </si>
  <si>
    <t xml:space="preserve">1-5/8" metal stud (partition G / G1, double row w/ soundguard isolator)</t>
  </si>
  <si>
    <t xml:space="preserve">familias_out.json (canon.py) [1-5/8" stud]; 5/A12.01</t>
  </si>
  <si>
    <t xml:space="preserve">2-1/2" CFMF stud (coiling grille head)</t>
  </si>
  <si>
    <t xml:space="preserve">familias_out.json (canon.py) [2-1/2" stud]; 4/A08.21</t>
  </si>
  <si>
    <t xml:space="preserve">6" parapet infill stud 600S162-54 @16" O.C.</t>
  </si>
  <si>
    <t xml:space="preserve">familias_out.json (canon.py) [6" parapet stud]; 11/S5.10</t>
  </si>
  <si>
    <t xml:space="preserve">Bottom track by member size (600T125-33 / 362T125-33 / 162T125; parapet 600T125-54)</t>
  </si>
  <si>
    <t xml:space="preserve">piece 10 ft</t>
  </si>
  <si>
    <t xml:space="preserve">familias_out.json (canon.py) [bottom track (todos)]; 7/S5.20; 11/S5.10</t>
  </si>
  <si>
    <t xml:space="preserve">Top / deflection track (slip track at deck; 600T200-97 exterior deflection under beam)</t>
  </si>
  <si>
    <t xml:space="preserve">familias_out.json (canon.py) [top / deflection track (todos)]; 3/A12.01; 1/A12.01; 5/A12.01; 10/S5.10; 7/S5.20</t>
  </si>
  <si>
    <t xml:space="preserve">Ceiling / soffit track (transitions, bulkhead, CSR soffit, canopy fascia &amp; soffit)</t>
  </si>
  <si>
    <t xml:space="preserve">familias_out.json (canon.py) [track de ceilings / soffits]; 7,8,10/A09.33; 9/A12.08; 3,7/A09.26</t>
  </si>
  <si>
    <t xml:space="preserve">Bracing / bridging 1-1/2" C.R. channel @48" O.C.</t>
  </si>
  <si>
    <t xml:space="preserve">piece 16 ft</t>
  </si>
  <si>
    <t xml:space="preserve">familias_out.json (canon.py) [bracing C.R. channel]; 1F/S5.20</t>
  </si>
  <si>
    <t xml:space="preserve">Purlin 1x1x1 16 GA across min. (2) flutes (top track parallel to flute)</t>
  </si>
  <si>
    <t xml:space="preserve">familias_out.json (canon.py) [purlin (track to deck)]; 10/A09.33</t>
  </si>
  <si>
    <t xml:space="preserve">Header / box beam (CFS box beam, CSJ per 7/S5.20 header schedule)</t>
  </si>
  <si>
    <t xml:space="preserve">piece 20 ft</t>
  </si>
  <si>
    <t xml:space="preserve">familias_out.json (canon.py) [header / box beam]; 7/S5.20; 10/A12.02; 11,14/A09.27; 8,9/A12.01</t>
  </si>
  <si>
    <t xml:space="preserve">Sill track at windows / ATM / recessed openings</t>
  </si>
  <si>
    <t xml:space="preserve">familias_out.json (canon.py) [sill track]; 10/A09.27; 1/A08.11</t>
  </si>
  <si>
    <t xml:space="preserve">7/8" furring channel @16" O.C. (GB ceilings; spacing per RFI-C01)</t>
  </si>
  <si>
    <t xml:space="preserve">piece 12 ft</t>
  </si>
  <si>
    <t xml:space="preserve">familias_out.json (canon.py) [furring channel]; A04.01</t>
  </si>
  <si>
    <t xml:space="preserve">1-1/2" C.R. carrying channel @48" O.C. (spacing per RFI-C01)</t>
  </si>
  <si>
    <t xml:space="preserve">familias_out.json (canon.py) [carrying channel]; A04.01</t>
  </si>
  <si>
    <t xml:space="preserve">12 GA hanger wire @48" O.C. (count of hangers)</t>
  </si>
  <si>
    <t xml:space="preserve">EA</t>
  </si>
  <si>
    <t xml:space="preserve">familias_out.json (canon.py) [hanger wire]; 3/A09.33</t>
  </si>
  <si>
    <t xml:space="preserve">5/8" gypsum board regular (walls + GB ceilings + soffits)</t>
  </si>
  <si>
    <t xml:space="preserve">SF</t>
  </si>
  <si>
    <t xml:space="preserve">4x12 sheet</t>
  </si>
  <si>
    <t xml:space="preserve">familias_out.json (canon.py) [5/8" gyp board regular (walls + ceilings)]; A12.01; A04.01</t>
  </si>
  <si>
    <t xml:space="preserve">5/8" moisture resistant gypsum board (restroom chase, behind toilet &amp; lavatory)</t>
  </si>
  <si>
    <t xml:space="preserve">familias_out.json (canon.py) [5/8" gyp MOISTURE RESISTANT]; A08.01 note F</t>
  </si>
  <si>
    <t xml:space="preserve">3/8" UL752 Level-2 fiberglass ballistic panel (to 8'-0")</t>
  </si>
  <si>
    <t xml:space="preserve">4x8 sheet</t>
  </si>
  <si>
    <t xml:space="preserve">familias_out.json (canon.py) [ballistic panel]; 4/A12.01</t>
  </si>
  <si>
    <t xml:space="preserve">3/8" gypsum board above ballistic panel (8'-0" to deck)</t>
  </si>
  <si>
    <t xml:space="preserve">familias_out.json (canon.py) [3/8" gyp board]; 4/A12.01</t>
  </si>
  <si>
    <t xml:space="preserve">5/8" glass mat sheathing (base strip T/SLAB-T/BASE 0'-6" + canopy band)</t>
  </si>
  <si>
    <t xml:space="preserve">familias_out.json (canon.py) [5/8" glass mat sheathing]; 5/A09.26; 3,7/A09.26; 9,12,15/A09.27</t>
  </si>
  <si>
    <t xml:space="preserve">5/8" exterior gypsum sheathing (parapet roof side)</t>
  </si>
  <si>
    <t xml:space="preserve">familias_out.json (canon.py) [5/8" EXTERIOR gyp sheathing]; A/A09.21; 4/A09.26</t>
  </si>
  <si>
    <t xml:space="preserve">FRT plywood: 5/8" FRT plywood/polyiso nailbase, opening strips 3/4", backboards, soffits, F wall</t>
  </si>
  <si>
    <t xml:space="preserve">familias_out.json (canon.py) [FRT plywood (SF)]; A09.21-23; 10,11/A09.27; A11.03; 12/A12.01</t>
  </si>
  <si>
    <t xml:space="preserve">FRT / FRTW wood blocking (millwork, toilet accessories, office fronts, parapet 2 plies)</t>
  </si>
  <si>
    <t xml:space="preserve">familias_out.json (canon.py) [FRT blocking]; A12.03-06 note D; A08.01 note E; 8,9,10/A12.01; 4/A09.26</t>
  </si>
  <si>
    <t xml:space="preserve">Metal blocking 362CR22 (edge of gypboard + devices w/o labeled material)</t>
  </si>
  <si>
    <t xml:space="preserve">familias_out.json (canon.py) [metal stud blocking (362CR / STUD BLOCKING)]; 4/S5.20</t>
  </si>
  <si>
    <t xml:space="preserve">Framed opening for recessed fixture / air device (3-5/8" metal stud)</t>
  </si>
  <si>
    <t xml:space="preserve">framed_openings_out.json (framed_openings.py); E00.01; E02.01; M01.01; 6/A09.33; 5/A09.33</t>
  </si>
  <si>
    <t xml:space="preserve">Acoustical sealant</t>
  </si>
  <si>
    <t xml:space="preserve">operation: sum L x top runs + (L - door R.O.) x bottom runs; A1/A5 1+1 (3/A12.01), B/B2 2+2 (1/A12.01), G/G1 0+2 (5/A12.01), A1K/B2K 2+2 (4/A12.01)</t>
  </si>
  <si>
    <t xml:space="preserve">FRP panel (WC-3 / WC-2) incl. trims</t>
  </si>
  <si>
    <t xml:space="preserve">ag_blocking wet: Men 151.88 + Women 166.88 (A-D/A08.01) + mop sink 16.00 (6/A12.04) = 334.76 + 16.00</t>
  </si>
  <si>
    <t xml:space="preserve">Cement board 1/2" behind tile cove base</t>
  </si>
  <si>
    <t xml:space="preserve">3x5 sheet</t>
  </si>
  <si>
    <t xml:space="preserve">63.76 LF x 0.5 ft (A08.01 finish schedule; 3/A08.01)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</si>
  <si>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</si>
  <si>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</si>
  <si>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</si>
  <si>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</si>
  <si>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 titles are swapped: 1/A09.01 'SOUTH ELEVATION' reads grids 8-1 (north facade with storefronts); 2/A09.02 'NORTH ELEVATION' reads 1-8 (south facade, door 123). Take-off follows the plan north arrow (A02.01).</t>
  </si>
  <si>
    <t xml:space="preserve">0 LF; affects facade assignment only</t>
  </si>
  <si>
    <t xml:space="preserve">RFI-02</t>
  </si>
  <si>
    <t xml:space="preserve">Head of north storefront 26'-3" (grid 4-7): no head detail; S2.20 shows HSS9x5x5/8 (LLV) = steel header by others. Carried as steel by others + cripples to beam (2/A09.26).</t>
  </si>
  <si>
    <t xml:space="preserve">If metal stud box beam: +27.58 LF header</t>
  </si>
  <si>
    <t xml:space="preserve">RFI-03</t>
  </si>
  <si>
    <t xml:space="preserve">Width of 3/4" FRT plywood strips at exterior opening head/sill/jambs (10, 11/A09.27; 1, 2, 3/A09.25) is not dimensioned. Carried 7" (0.583 ft) = wall depth.</t>
  </si>
  <si>
    <t xml:space="preserve">235.6 LF: at 6" = 117.8 SF (-19.6 SF); at 8" = 157.1 SF (+19.7 SF)</t>
  </si>
  <si>
    <t xml:space="preserve">RFI-04</t>
  </si>
  <si>
    <t xml:space="preserve">Canopy band height at the glass mat joint: T/STUD 12'-7" - B/STUD 10'-7 1/4" = 1'-11 3/4" carried (3, 7/A09.26); fascia B/STUD 10'-8 5/8" would give 1'-10 3/8".</t>
  </si>
  <si>
    <t xml:space="preserve">-0.115 ft x 183.3 LF = -21.1 SF glass mat (+21.1 SF nailbase). Back-check scaled the glass mat drawn on the wall in 3, 7/A09.26 at approx. 1'-3 3/4" (1.312 ft): -122 SF glass mat / +122 SF nailbase</t>
  </si>
  <si>
    <t xml:space="preserve">RFI-05</t>
  </si>
  <si>
    <t xml:space="preserve">Spacing and gauge of canopy soffit joists and fascia box studs (3-5/8") not printed; carried 16" O.C. per 7/S5.20 interior stud.</t>
  </si>
  <si>
    <t xml:space="preserve">At 24" O.C. approx. -1/3 of canopy joist/fascia stud LF</t>
  </si>
  <si>
    <t xml:space="preserve">RFI-06</t>
  </si>
  <si>
    <t xml:space="preserve">Drive-up ATM R.O.: 2'-2 1/2" (2/A08.11) vs 2'-2 1/8" (5/A08.11). Carried 2'-2 1/2".</t>
  </si>
  <si>
    <t xml:space="preserve">3/8" on header/sill LF</t>
  </si>
  <si>
    <t xml:space="preserve">RFI-07</t>
  </si>
  <si>
    <t xml:space="preserve">Jog at line D (grid 2-3) under the drive-up canopy: confirm canopy band applies (3.875 LF).</t>
  </si>
  <si>
    <t xml:space="preserve">-7.7 SF glass mat if no band</t>
  </si>
  <si>
    <t xml:space="preserve">RFI-08</t>
  </si>
  <si>
    <t xml:space="preserve">S2.20 prints 'B.O.D. EL. 111'-9" TYP. @ CANOPY'; carried 11'-9" (A09.23 J/H T/STEEL 11'-9").</t>
  </si>
  <si>
    <t xml:space="preserve">0</t>
  </si>
  <si>
    <t xml:space="preserve">RFI-09</t>
  </si>
  <si>
    <t xml:space="preserve">Door 123 R.O. not printed; carried 3'-4" (3'-0" door + 2" HM frame each side, 10/A12.02 analog).</t>
  </si>
  <si>
    <t xml:space="preserve">+/- 4" on header LF</t>
  </si>
  <si>
    <t xml:space="preserve">RFI-C01</t>
  </si>
  <si>
    <t xml:space="preserve">Furring / carrying channel / hanger spacing for suspended GB ceilings not printed (no Div 09 specs in set). Carried 7/8" furring @16", carrying @48", hangers @48" O.C.</t>
  </si>
  <si>
    <t xml:space="preserve">Waiting 104 carried as 3-5/8" stud joists @16" (6/A09.33 trimless fixtures); if furring system instead: +383 LF furring, -409 LF 3-5/8" joists</t>
  </si>
  <si>
    <t xml:space="preserve">RFI-C02</t>
  </si>
  <si>
    <t xml:space="preserve">R-11C/R-11CE length: E00.01 description 12' and drawn 12'-0" vs catalog FSM2L ... 20'-0". Carried 12' (framed_openings.py).</t>
  </si>
  <si>
    <t xml:space="preserve">+64.0 LF framed opening if 20'</t>
  </si>
  <si>
    <t xml:space="preserve">RFI-C03</t>
  </si>
  <si>
    <t xml:space="preserve">Restrooms 113/114 supply: A04.01 shows 2'x2' diffusers, M01.01 shows 2'-0" slot diffusers. Carried 2'x2'.</t>
  </si>
  <si>
    <t xml:space="preserve">-16 LF framed opening if slot</t>
  </si>
  <si>
    <t xml:space="preserve">RFI-C04</t>
  </si>
  <si>
    <t xml:space="preserve">B.O.D. framing height for vestibule heads (4-7/A12.10 'METAL STUD FRAMING &amp; BOX HEADER AS NEEDED'), CSR soffit sides (10/A09.33 studs to deck) and transition kickers (7/A09.33). Carried studs from ceiling to deck (15'-4 1/2").</t>
  </si>
  <si>
    <t xml:space="preserve">Heads to 6" above ceiling only: approx. -230 LF 3-5/8" stud</t>
  </si>
  <si>
    <t xml:space="preserve">RFI-C05</t>
  </si>
  <si>
    <t xml:space="preserve">ACT-to-ACT steps: teller 9'-0" / Central Zone 11'-6" carried as bulkhead 8/A09.33 (6.87 LF); Corridor 111 / Central Zone line is partition W24 (A1, tagged).</t>
  </si>
  <si>
    <t xml:space="preserve">If partition to deck: +6.87 LF wall</t>
  </si>
  <si>
    <t xml:space="preserve">RFI-C06</t>
  </si>
  <si>
    <t xml:space="preserve">Waiting 104 GB cloud edge has no detail bubble; 7/A09.33 TYPICAL CEILING TRANSITION carried (77.03 LF).</t>
  </si>
  <si>
    <t xml:space="preserve">If edge trim only: -77.03 LF framing, -77 SF board</t>
  </si>
  <si>
    <t xml:space="preserve">RFI-C07</t>
  </si>
  <si>
    <t xml:space="preserve">Women's 114 shows no exhaust grille on M01.01 (EF-1 serves restrooms).</t>
  </si>
  <si>
    <t xml:space="preserve">+1 opening approx. 3.3 LF framing if added</t>
  </si>
  <si>
    <t xml:space="preserve">RFI-C08</t>
  </si>
  <si>
    <t xml:space="preserve">Kickers @48" O.C. of 7/A09.33 (approx. 20 ea x 4.4 ft = 88 LF 3-5/8" stud) are NOT computed by canon.py (no tool case for kickers); listed here, not added by hand.</t>
  </si>
  <si>
    <t xml:space="preserve">+88 LF 3-5/8" stud</t>
  </si>
  <si>
    <t xml:space="preserve">RFI-S01</t>
  </si>
  <si>
    <t xml:space="preserve">Exterior stud: S1.11 note 5 '600S162-54 @16" O.C. (@12" within 6 ft of building corners)' vs 7/S5.20 '600S137-33 EXTERIOR WALLS @16" O.C.'. Carried S1.11 (more material, 56.2).</t>
  </si>
  <si>
    <t xml:space="preserve">33 mil instead of 54 mil (weight approx. -40%); corner zones -3 studs per corner leg pair</t>
  </si>
  <si>
    <t xml:space="preserve">RFI-S02</t>
  </si>
  <si>
    <t xml:space="preserve">Sill track anchorage: 3/S5.20 PAF 0.157" @16" vs 7/S5.20 Kwik Bolt II @8" (ext) / DNI @12" (int).</t>
  </si>
  <si>
    <t xml:space="preserve">Fasteners only</t>
  </si>
  <si>
    <t xml:space="preserve">RFI-S03</t>
  </si>
  <si>
    <t xml:space="preserve">4/A02.02 roof step is drawn mirrored vs S2.20; 3 runs carried (low-roof side 2'-3 7/8", interior closure to low beam, W14x22 LOW beam box); stud gauge not given.</t>
  </si>
  <si>
    <t xml:space="preserve">Run heights PENDING: +/- approx. 50 LF 3-5/8" stud</t>
  </si>
  <si>
    <t xml:space="preserve">RFI-S04</t>
  </si>
  <si>
    <t xml:space="preserve">Parapet T/STUD not given at grid 8 B-A, grid 3 A-B, jog D (2-3) and jog at grid 4 (G-F). Carried the higher condition (53.3).</t>
  </si>
  <si>
    <t xml:space="preserve">Grid 3 A-B / 8 B-A at LP: 0; jogs at LP: -2.25 ft x 4.86 LF parapet</t>
  </si>
  <si>
    <t xml:space="preserve">RFI-S05</t>
  </si>
  <si>
    <t xml:space="preserve">Structure (6, 10, 11/S5.10) stops the wall stud in a deflection track under the perimeter beam with HSS posts + 600S162-54 infill above; architecture (A09.21-23) draws 6" CFMF continuous to T/STUD. Carried structural (two pieces).</t>
  </si>
  <si>
    <t xml:space="preserve">Continuous stud: approx. +300 LF 6" stud, -parapet infill 788 LF</t>
  </si>
  <si>
    <t xml:space="preserve">RFI-S06</t>
  </si>
  <si>
    <t xml:space="preserve">Brace frames in exterior walls (S5.30): stud framing around HSS diagonals not detailed.</t>
  </si>
  <si>
    <t xml:space="preserve">Cut studs / blocking at braced panels (not quantified)</t>
  </si>
  <si>
    <t xml:space="preserve">RFI-S07</t>
  </si>
  <si>
    <t xml:space="preserve">Deck direction (flute) in narrow W8x10 bays not shown; purlin (10/A09.33, VIF flute direction) carried on all E-W interior top tracks to deck.</t>
  </si>
  <si>
    <t xml:space="preserve">Purlin 199.40 LF: -199.40 LF if flutes run N-S</t>
  </si>
  <si>
    <t xml:space="preserve">RFI-S08</t>
  </si>
  <si>
    <t xml:space="preserve">S2.20 note '@ LOW ROOF' south of line E without level change; carried high roof 15'-4 1/2" north of B (A09.23 H).</t>
  </si>
  <si>
    <t xml:space="preserve">If E-B is low roof: approx. -2'-4" on all walls between E and B</t>
  </si>
  <si>
    <t xml:space="preserve">RFI-B01</t>
  </si>
  <si>
    <t xml:space="preserve">Blocking without labeled material (wall stops, lockers, boards, coat bars, monitors, TA-19, artwork): carried metal 362CR22 (4/S5.20).</t>
  </si>
  <si>
    <t xml:space="preserve">Material only: 82.70 LF as FRTW instead</t>
  </si>
  <si>
    <t xml:space="preserve">RFI-B02</t>
  </si>
  <si>
    <t xml:space="preserve">Artwork 4'-0" x 4'-0" in 6 offices: blocking carried under note C/A02.01.</t>
  </si>
  <si>
    <t xml:space="preserve">-24.00 LF if not required</t>
  </si>
  <si>
    <t xml:space="preserve">RFI-B03</t>
  </si>
  <si>
    <t xml:space="preserve">Plywood backboards KN6: plan tags only the west walls of Electrical 120 and NER 121 (106.67 SF); A11.03 shows 3 walls in Electrical (260.00 SF carried).</t>
  </si>
  <si>
    <t xml:space="preserve">-153.33 SF FRT plywood</t>
  </si>
  <si>
    <t xml:space="preserve">RFI-B04</t>
  </si>
  <si>
    <t xml:space="preserve">CSR soffit: 9/A12.08 '5/8" FIRE TREATED PLYWOOD BLOCKING' (45.06 SF carried) vs 10/A09.33 'FRTW BLOCKING FOR FUTURE' (26.38 LF).</t>
  </si>
  <si>
    <t xml:space="preserve">+26.38 LF FRT blocking if both</t>
  </si>
  <si>
    <t xml:space="preserve">RFI-B05</t>
  </si>
  <si>
    <t xml:space="preserve">MR board only behind toilet and lavatory (note F/A08.01) = chase faces; carried to deck per C1 detail 6/A12.01 (60.11).</t>
  </si>
  <si>
    <t xml:space="preserve">MR at all restroom walls under FRP: +364.5 SF MR (reclassified from regular); MR only to 9'-0": -73 SF</t>
  </si>
  <si>
    <t xml:space="preserve">RFI-B06</t>
  </si>
  <si>
    <t xml:space="preserve">Tile cove base CT-12C is drawn over GWB (3/A08.01); cement board carried by standing order 58.7.</t>
  </si>
  <si>
    <t xml:space="preserve">-31.88 SF cement board if not required</t>
  </si>
  <si>
    <t xml:space="preserve">RFI-B07</t>
  </si>
  <si>
    <t xml:space="preserve">MR not labeled at Janitor 112 mop sink and Break Room sink.</t>
  </si>
  <si>
    <t xml:space="preserve">+approx. 40 SF MR (reclassification)</t>
  </si>
  <si>
    <t xml:space="preserve">RFI-B08</t>
  </si>
  <si>
    <t xml:space="preserve">Recessed sizes: TA-13 hand dryer recess 17.1" scaled (header/sill carried), TA-14 13.9", TA-2 13", FEC-1 approx. 10" (fit stud bay).</t>
  </si>
  <si>
    <t xml:space="preserve">TA-14 over 14 3/8": +2 x 2.82 LF header + sill</t>
  </si>
  <si>
    <t xml:space="preserve">RFI-B09</t>
  </si>
  <si>
    <t xml:space="preserve">Fire dampers in Electrical/NER walls (14x14, 12x8, 12x12) imply rated walls (A12.01 shows no rating); FD sleeve may exceed the stud bay.</t>
  </si>
  <si>
    <t xml:space="preserve">+2 x 2.5 LF header + sill if 14x14 FD R.O. &gt; 14 3/8"</t>
  </si>
  <si>
    <t xml:space="preserve">RFI-B10</t>
  </si>
  <si>
    <t xml:space="preserve">WH-1 platform '2X BLOCKING BETWEEN STUDS' (3/P00.01) without FRT; carried 8.00 LF in FRT blocking family.</t>
  </si>
  <si>
    <t xml:space="preserve">Material only</t>
  </si>
  <si>
    <t xml:space="preserve">RFI-B11</t>
  </si>
  <si>
    <t xml:space="preserve">8/A12.10 FRT blocking at 24 HR vestibule glazing termination: height and count not printed (not quantified).</t>
  </si>
  <si>
    <t xml:space="preserve">approx. +2 x 10 LF FRT blocking</t>
  </si>
  <si>
    <t xml:space="preserve">RFI-T01</t>
  </si>
  <si>
    <t xml:space="preserve">Partition type C1 (6/A12.01) shows BLOCK PARTITION + 3-5/8" studs + GB one side; at the restroom chase (W09) carried 2 stud rows with MR both faces; at column boxes carried 3-5/8" furring (fit to 1'-0" box not verified). Block (Div 04) excluded.</t>
  </si>
  <si>
    <t xml:space="preserve">Chase with one stud row: -approx. 120 LF 3-5/8" stud</t>
  </si>
  <si>
    <t xml:space="preserve">RFI-T02</t>
  </si>
  <si>
    <t xml:space="preserve">Type B2K has no row in the A12.01 schedule; derived as B2 (6" stud) + ballistic per 4/A12.01 (14 GA @24").</t>
  </si>
  <si>
    <t xml:space="preserve">0 LF; material per detail</t>
  </si>
  <si>
    <t xml:space="preserve">RFI-T03</t>
  </si>
  <si>
    <t xml:space="preserve">Ballistic customer face of A1K/B2K stubs (W30-W33): carried on the face away from the teller room.</t>
  </si>
  <si>
    <t xml:space="preserve">0 SF total; face assignment only</t>
  </si>
  <si>
    <t xml:space="preserve">RFI-T04</t>
  </si>
  <si>
    <t xml:space="preserve">MW01 alcove opening 3'-1 1/2" in A5 wall: head height not printed; carried 7'-2".</t>
  </si>
  <si>
    <t xml:space="preserve">Header 4.46 LF either way</t>
  </si>
  <si>
    <t xml:space="preserve">RFI-T05</t>
  </si>
  <si>
    <t xml:space="preserve">Bracing (53.4 literal) crosses 119.91 LF of opening voids (corridas.py).</t>
  </si>
  <si>
    <t xml:space="preserve">-119.91 LF C.R. channel if not run across voids</t>
  </si>
  <si>
    <t xml:space="preserve">RFI-T06</t>
  </si>
  <si>
    <t xml:space="preserve">Metal trim (corner bead, J/L-bead at office fronts and storefronts, shadow molding 8/9/A12.01) not quantified in this run (no tool family).</t>
  </si>
  <si>
    <t xml:space="preserve">Pending: approx. corner bead at outside corners + 6 office fronts</t>
  </si>
  <si>
    <t xml:space="preserve">RFI-T07</t>
  </si>
  <si>
    <t xml:space="preserve">Finish level not specified (no Div 09 specs; A00.40 / A05.01 silent). Level 4 assumed for all gypsum board.</t>
  </si>
  <si>
    <t xml:space="preserve">Level 5 at wallcovering / felt panels: finishing labor only</t>
  </si>
  <si>
    <t xml:space="preserve">RFI-A01</t>
  </si>
  <si>
    <t xml:space="preserve">Interior partitions directly under N-S beams (S2.20: W14x30 HI at grid 6, W14x22 LOW at grids 5 and 6, W12x14 at grid 7) carried to B.O.D.; no partition-under-beam detail (3, 5/A12.01 say UNDERSIDE OF STRUCTURE).</t>
  </si>
  <si>
    <t xml:space="preserve">Studs to beam bottom: W18a -1.15 ft, W18b/W25b/W20 -1.15 ft, W38 north 21.6 LF -0.99 ft (approx. -150 LF stud)</t>
  </si>
  <si>
    <t xml:space="preserve">RFI-A02</t>
  </si>
  <si>
    <t xml:space="preserve">Canopy beams (W12x19 CANOPY at G, W16x26 CANOPY at F and grid 2, S2.20) sit in the plane of the 6" exterior framing (A/A09.21, C/A09.21, J/A09.23, 3/A09.26): studs may need to be cut at the canopy beam (two pieces + extra track).</t>
  </si>
  <si>
    <t xml:space="preserve">approx. -37 LF stud / +95 LF track per facade under canopy (proposal, rule 60.3)</t>
  </si>
  <si>
    <t xml:space="preserve">RFI-A03</t>
  </si>
  <si>
    <t xml:space="preserve">Insulation: sound batt over restroom ceilings (keynote 11 A04.01), BATT INSULATION / SOUNDGUARD in A12.01 types, mineral wool at roof step (4/A02.02) and ATM (6/A08.11): excluded as Div 07 by others.</t>
  </si>
  <si>
    <t xml:space="preserve">Batt in partitions approx. 8,000 SF if in scope</t>
  </si>
  <si>
    <t xml:space="preserve">RFI-A04</t>
  </si>
  <si>
    <t xml:space="preserve">Parapet roof side: sections call 5/8" exterior gyp sheathing, 4/A09.26 shows ROOF MEMBRANE ON 5/8" DENS DECK (roofer scope?). Carried exterior gyp sheathing 948.66 SF.</t>
  </si>
  <si>
    <t xml:space="preserve">-948.66 SF if by roofer</t>
  </si>
  <si>
    <t xml:space="preserve">RFI-A05</t>
  </si>
  <si>
    <t xml:space="preserve">Parapet blocking 4/A09.26 is labeled 3/4" F.R.T. PLYWOOD (2 layers); carried as FRT blocking LF x 2 plies per protocol.</t>
  </si>
  <si>
    <t xml:space="preserve">Alternative: SF of 3/4" FRT plywood x strip width</t>
  </si>
  <si>
    <t xml:space="preserve">RFI-A06</t>
  </si>
  <si>
    <t xml:space="preserve">Drive-up ATM (6, 3/A08.11): 2-1/2" studs sistered to 6" studs, box beam at 6'-0" above interior floor, plinth (2) 3/4" FRT plywood + FRT wood framing: not quantified (Div 06 plinth).</t>
  </si>
  <si>
    <t xml:space="preserve">+approx. 20 LF 2-1/2" stud</t>
  </si>
  <si>
    <t xml:space="preserve">RFI-A07</t>
  </si>
  <si>
    <t xml:space="preserve">85" monitor KN7: keynote 24 A03.01 asks 3/4" FRT plywood OVER 18" HIGH; carried 13/A12.02 scaled 3.69 LF.</t>
  </si>
  <si>
    <t xml:space="preserve">+approx. 6 LF / 9 SF</t>
  </si>
  <si>
    <t xml:space="preserve">RFI-A08</t>
  </si>
  <si>
    <t xml:space="preserve">Office front R.O.: 7'-6" printed is CLEAR FINISHED OPENING; with 2 layers board + 3/4" plywood per jamb the stud R.O. may be approx. 7'-10".</t>
  </si>
  <si>
    <t xml:space="preserve">+0.33 ft x 6 header/bulkhead</t>
  </si>
  <si>
    <t xml:space="preserve">RFI-A09</t>
  </si>
  <si>
    <t xml:space="preserve">Roof hatch curb 2x FRT blocking (1/A09.30) is roofing / Div 06 at curb; not carried.</t>
  </si>
  <si>
    <t xml:space="preserve">approx. 15 LF 2x FRT</t>
  </si>
  <si>
    <t xml:space="preserve">RFI-X01</t>
  </si>
  <si>
    <t xml:space="preserve">7/8" hat channel @16" O.C. at EPS-5 metal panel (2/A09.31) is cladding substrate (alcance_filtro.py): EXCLUDED.</t>
  </si>
  <si>
    <t xml:space="preserve">+965.0 LF if included</t>
  </si>
  <si>
    <t xml:space="preserve">#</t>
  </si>
  <si>
    <t xml:space="preserve">Punto</t>
  </si>
  <si>
    <t xml:space="preserve">Hoja + detalle</t>
  </si>
  <si>
    <t xml:space="preserve">Imagen</t>
  </si>
  <si>
    <t xml:space="preserve">Tag sweep: 51 boxed tags on A02.01 assigned to 41 interior walls (00_PLAN_TAG_CENSUS.png); confirm no missing tag or wall.</t>
  </si>
  <si>
    <t xml:space="preserve">A02.01</t>
  </si>
  <si>
    <t xml:space="preserve">00_PLAN_TAG_CENSUS.png</t>
  </si>
  <si>
    <t xml:space="preserve">Partition F (ATM) axis 16.92 ft by vector faces (17.459 / 16.373); 15'-7 3/4" is the ATM Room width. Two earlier reads (13.55 from grid 3, 18.07 as projection) were wrong.</t>
  </si>
  <si>
    <t xml:space="preserve">12/A12.01; A02.01</t>
  </si>
  <si>
    <t xml:space="preserve">08_PLAN_F.png</t>
  </si>
  <si>
    <t xml:space="preserve">W05a (B2, 5.53 LF) crosses grid B by 0.45 ft: carried at low-roof height 13.05 ft.</t>
  </si>
  <si>
    <t xml:space="preserve">A02.01; S2.20</t>
  </si>
  <si>
    <t xml:space="preserve">05_PLAN_B2.png</t>
  </si>
  <si>
    <t xml:space="preserve">W18 (A5) split at grid B (high/low deck) with split node; W13 modeled as W13a + W13b at its jog (y1229).</t>
  </si>
  <si>
    <t xml:space="preserve">S2.20; A02.01</t>
  </si>
  <si>
    <t xml:space="preserve">03_PLAN_A5.png</t>
  </si>
  <si>
    <t xml:space="preserve">canon.py extended (v61.1): walls pass track_lines/track_lines_source to corridas.py (canopy soffit 1 line at wall, 58.3). Test test_track_lines_por_wall fails without the change.</t>
  </si>
  <si>
    <t xml:space="preserve">58.3</t>
  </si>
  <si>
    <t xml:space="preserve">Kickers of 7/A09.33 (approx. 88 LF) not computed: no tool case (RFI-C08).</t>
  </si>
  <si>
    <t xml:space="preserve">7/A09.33</t>
  </si>
  <si>
    <t xml:space="preserve">Metal trim not quantified (RFI-T06).</t>
  </si>
  <si>
    <t xml:space="preserve">8/A12.01</t>
  </si>
  <si>
    <t xml:space="preserve">alcances.py compuerta imports familias.py, which this test forbids downloading: gate cannot run (reported, not bypassed).</t>
  </si>
  <si>
    <t xml:space="preserve">-</t>
  </si>
  <si>
    <t xml:space="preserve">Exterior wall lengths at stud centerline = grid (grid to BOS 3", 6" stud); interior board faces of exterior walls use the same length (approx. +0.5 ft per corner).</t>
  </si>
  <si>
    <t xml:space="preserve">3/A09.26; 5/A09.26</t>
  </si>
  <si>
    <t xml:space="preserve">Adversarial (exterior) H1/H2: storefront cripples and exterior studs under canopy beams may be split by the canopy beam (RFI-A02) - against rule 60.3, not applied.</t>
  </si>
  <si>
    <t xml:space="preserve">S2.20; 3/A09.26</t>
  </si>
  <si>
    <t xml:space="preserve">Adversarial (interior) H1: partitions under beams carried to deck (RFI-A01) - not applied (no detail).</t>
  </si>
  <si>
    <t xml:space="preserve">S2.20</t>
  </si>
  <si>
    <t xml:space="preserve">Adversarial (interior) proposal: office fronts as openings vs vendor_end - APPLIED: office front lines remodeled as stubs with vendor_end (59.7) + door_bulkhead walls BH-105..110 (8, 9/A12.01).</t>
  </si>
  <si>
    <t xml:space="preserve">10/A12.01; 9/A12.01</t>
  </si>
  <si>
    <t xml:space="preserve">09_PLAN_G.png</t>
  </si>
  <si>
    <t xml:space="preserve">Applied corrections from adversarial review: W29 10.073 ft (G continues to x1661.76), W39 axis 16.92 ft, W14 15'-9 3/4" and W21 9'-7" printed, W13 jog, W20 face split, W26/W27 split node, A1 restroom faces ceiling + 6", G walls abut into office front stubs (10/A12.01).</t>
  </si>
  <si>
    <t xml:space="preserve">Added from completeness review: roof ladder FRT blocking 6 LF (3/A09.30), coiling grille jamb FRT blocking 20 LF (3/A08.21), canopy fascia FRT plywood 435.6 SF (3/A09.26).</t>
  </si>
  <si>
    <t xml:space="preserve">3/A09.30; 3/A08.21; 3/A09.26</t>
  </si>
  <si>
    <t xml:space="preserve">Sheets not cited in canon with possible scope: A03.01 (KN7 plywood 18"), A09.30 (ladder, hatch, island 4"), A06.01 (lockers Hollman FLC1).</t>
  </si>
  <si>
    <t xml:space="preserve">A03.01; A09.30; A06.01</t>
  </si>
  <si>
    <t xml:space="preserve">Back-check H2: W29 (G) measured 10.51 ft by its geometry vs 10.073 carried (+0.44 LF, +27 SF).</t>
  </si>
  <si>
    <t xml:space="preserve">Back-check H1: canopy glass mat band scaled 1'-3 3/4" vs printed datums 1'-11 3/4" (rule 59.2 keeps printed; RFI-04).</t>
  </si>
  <si>
    <t xml:space="preserve">3/A09.26; 7/A09.26</t>
  </si>
  <si>
    <t xml:space="preserve">closer.py rejected W38e (0.333 ft stub): 2-decimal rounding of track LF gives 4.02 runs vs 4.00 (tolerance 0.02 absolute). Quantity comes from canon.py; closer tolerance on walls &lt; 1 ft to be reviewed (not bypassed).</t>
  </si>
  <si>
    <t xml:space="preserve">10/A12.01</t>
  </si>
  <si>
    <t xml:space="preserve">All exterior/parapet/canopy heights derived from S2.20 B.O.D. and AISC beam depths (altura_stud.py); not printed.</t>
  </si>
  <si>
    <t xml:space="preserve">S2.20; 10/S5.10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</si>
  <si>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</si>
  <si>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</si>
  <si>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</si>
  <si>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</si>
  <si>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</si>
  <si>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</si>
  <si>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</si>
  <si>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6", 3-5/8", 1-5/8", 2-1/2" studs + bottom/top track (Material Summary; familias_out.json)</t>
  </si>
  <si>
    <t xml:space="preserve">ALC-02</t>
  </si>
  <si>
    <t xml:space="preserve">Exterior wall framing (CFMF)</t>
  </si>
  <si>
    <t xml:space="preserve">Exterior 6" CFMF 600S162-54 (S1.11), walls EXT-* (A02.01; C/A09.21)</t>
  </si>
  <si>
    <t xml:space="preserve">ALC-03</t>
  </si>
  <si>
    <t xml:space="preserve">Parapet framing</t>
  </si>
  <si>
    <t xml:space="preserve">Parapet infill 788.12 LF (11/S5.10; A02.02)</t>
  </si>
  <si>
    <t xml:space="preserve">ALC-04</t>
  </si>
  <si>
    <t xml:space="preserve">Top / deflection and bottom track</t>
  </si>
  <si>
    <t xml:space="preserve">Bottom 1,347.00 LF, top/deflection 1,347.00 LF, ceiling/soffit track 862.38 LF</t>
  </si>
  <si>
    <t xml:space="preserve">ALC-05</t>
  </si>
  <si>
    <t xml:space="preserve">Headers, sills and jambs at openings</t>
  </si>
  <si>
    <t xml:space="preserve">Header 235.99 LF, sill track 68.64 LF (headers.py)</t>
  </si>
  <si>
    <t xml:space="preserve">ALC-06</t>
  </si>
  <si>
    <t xml:space="preserve">Bracing / bridging</t>
  </si>
  <si>
    <t xml:space="preserve">Bracing C.R. channel 2,800.95 LF (1F/S5.20; corridas.py)</t>
  </si>
  <si>
    <t xml:space="preserve">ALC-07</t>
  </si>
  <si>
    <t xml:space="preserve">Gypsum board on walls (layers per type)</t>
  </si>
  <si>
    <t xml:space="preserve">5/8" gypsum board 17,530.61 SF (board_caras.py)</t>
  </si>
  <si>
    <t xml:space="preserve">ALC-08</t>
  </si>
  <si>
    <t xml:space="preserve">Moisture / abuse / special board at wet zones</t>
  </si>
  <si>
    <t xml:space="preserve">5/8" MR 259.02 SF (A08.01 note F)</t>
  </si>
  <si>
    <t xml:space="preserve">ALC-09</t>
  </si>
  <si>
    <t xml:space="preserve">Exterior gypsum / glass mat sheathing</t>
  </si>
  <si>
    <t xml:space="preserve">Glass mat 473.89 SF; exterior gypsum sheathing 948.66 SF</t>
  </si>
  <si>
    <t xml:space="preserve">ALC-10</t>
  </si>
  <si>
    <t xml:space="preserve">FRT plywood sheathing / substrate</t>
  </si>
  <si>
    <t xml:space="preserve">FRT plywood 6,834.77 SF (nailbase, strips, backboards, soffits, fascia)</t>
  </si>
  <si>
    <t xml:space="preserve">ALC-11</t>
  </si>
  <si>
    <t xml:space="preserve">Gypsum board ceilings</t>
  </si>
  <si>
    <t xml:space="preserve">GB ceilings 981.4 SF in gypsum board family (A04.01)</t>
  </si>
  <si>
    <t xml:space="preserve">ALC-12</t>
  </si>
  <si>
    <t xml:space="preserve">Ceiling suspension (furring / carrying channel / hanger wire / track)</t>
  </si>
  <si>
    <t xml:space="preserve">Furring 465.32 LF, carrying 366.08 LF, hanger wire 126.00 EA, ceiling track 862.38 LF (A04.01; RFI-C01)</t>
  </si>
  <si>
    <t xml:space="preserve">ALC-13</t>
  </si>
  <si>
    <t xml:space="preserve">Soffits and bulkheads (framing + board)</t>
  </si>
  <si>
    <t xml:space="preserve">CSR soffit, bulkhead, transition (9/A12.08; 8, 7/A09.33)</t>
  </si>
  <si>
    <t xml:space="preserve">ALC-14</t>
  </si>
  <si>
    <t xml:space="preserve">Canopy / marquee framing and sheathing</t>
  </si>
  <si>
    <t xml:space="preserve">Canopy fascia, soffit joists, FRT plywood (3, 7/A09.26; 15, 16/A09.27)</t>
  </si>
  <si>
    <t xml:space="preserve">ALC-15</t>
  </si>
  <si>
    <t xml:space="preserve">Column furring / wraps</t>
  </si>
  <si>
    <t xml:space="preserve">Column wraps: interior C1 (6/A12.01) and canopy columns (5/A09.25); piers 1, 2/A09.25</t>
  </si>
  <si>
    <t xml:space="preserve">ALC-16</t>
  </si>
  <si>
    <t xml:space="preserve">Blocking (FRT wood / metal) for millwork and accessories</t>
  </si>
  <si>
    <t xml:space="preserve">FRT blocking 921.99 LF; metal stud blocking 671.49 LF</t>
  </si>
  <si>
    <t xml:space="preserve">ALC-17</t>
  </si>
  <si>
    <t xml:space="preserve">Framed openings (MEP, access panels, diffusers)</t>
  </si>
  <si>
    <t xml:space="preserve">Framed openings 961.10 LF (framed_openings.py; E00.01)</t>
  </si>
  <si>
    <t xml:space="preserve">ALC-18</t>
  </si>
  <si>
    <t xml:space="preserve">Trim: corner bead, casing bead, control joints, reveals</t>
  </si>
  <si>
    <t xml:space="preserve">RFI-T06: metal trim not quantified in this run</t>
  </si>
  <si>
    <t xml:space="preserve">ALC-19</t>
  </si>
  <si>
    <t xml:space="preserve">Acoustical sealant / sound attenuation</t>
  </si>
  <si>
    <t xml:space="preserve">Acoustical sealant 919.80 LF (1, 3, 4, 5/A12.01); insulation excluded RFI-A03</t>
  </si>
  <si>
    <t xml:space="preserve">ALC-20</t>
  </si>
  <si>
    <t xml:space="preserve">FRP / cement board / tile backer</t>
  </si>
  <si>
    <t xml:space="preserve">FRP 350.76 SF; cement board 31.88 SF (A08.01)</t>
  </si>
  <si>
    <t xml:space="preserve">ALC-21</t>
  </si>
  <si>
    <t xml:space="preserve">Shaft walls / area separation walls</t>
  </si>
  <si>
    <t xml:space="preserve">NO APLICA</t>
  </si>
  <si>
    <t xml:space="preserve">NO APLICA: A12.01 partition schedule has no shaft or area separation wall type; A02.01 shows none</t>
  </si>
  <si>
    <t xml:space="preserve">ALC-22</t>
  </si>
  <si>
    <t xml:space="preserve">Rated assemblies (UL designs) and their board type</t>
  </si>
  <si>
    <t xml:space="preserve">NO APLICA: A02.01 and A12.01 schedule list FIRE RATING '--' and U.L. NUMBER '--' for all types (RFI-B09 on fire dampers)</t>
  </si>
  <si>
    <t xml:space="preserve">ALC-23</t>
  </si>
  <si>
    <t xml:space="preserve">Special panels (ballistic, lead-lined, abuse)</t>
  </si>
  <si>
    <t xml:space="preserve">Ballistic panel 74.03 SF + 3/8" gyp 57.08 SF (4/A12.01)</t>
  </si>
  <si>
    <t xml:space="preserve">ALC-24</t>
  </si>
  <si>
    <t xml:space="preserve">Finish level (Level 4 / Level 5)</t>
  </si>
  <si>
    <t xml:space="preserve">RFI-T07: no finish level in A00.40 or A05.01; Level 4 assumed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</si>
</sst>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3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11.627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714.94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11.627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714.94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11.627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714.94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10.073</v>
      </c>
      <c r="D9" s="0" t="n">
        <v>15.375</v>
      </c>
      <c r="E9" s="0" t="n">
        <v>2</v>
      </c>
      <c r="F9" s="0" t="s">
        <v>31</v>
      </c>
      <c r="G9" s="0" t="n">
        <v>16</v>
      </c>
      <c r="H9" s="0" t="n">
        <v>619.48</v>
      </c>
      <c r="I9" s="0" t="s">
        <v>43</v>
      </c>
      <c r="J9" s="0" t="s">
        <v>33</v>
      </c>
      <c r="K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11.767</v>
      </c>
      <c r="D10" s="0" t="n">
        <v>15.375</v>
      </c>
      <c r="E10" s="0" t="n">
        <v>2</v>
      </c>
      <c r="F10" s="0" t="s">
        <v>31</v>
      </c>
      <c r="G10" s="0" t="n">
        <v>16</v>
      </c>
      <c r="H10" s="0" t="n">
        <v>723.92</v>
      </c>
      <c r="I10" s="0" t="s">
        <v>47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n">
        <v>11.767</v>
      </c>
      <c r="D11" s="0" t="n">
        <v>15.375</v>
      </c>
      <c r="E11" s="0" t="n">
        <v>2</v>
      </c>
      <c r="F11" s="0" t="s">
        <v>31</v>
      </c>
      <c r="G11" s="0" t="n">
        <v>16</v>
      </c>
      <c r="H11" s="0" t="n">
        <v>723.92</v>
      </c>
      <c r="I11" s="0" t="s">
        <v>50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n">
        <v>2.42</v>
      </c>
      <c r="D12" s="0" t="n">
        <v>15.375</v>
      </c>
      <c r="E12" s="0" t="n">
        <v>2</v>
      </c>
      <c r="F12" s="0" t="s">
        <v>31</v>
      </c>
      <c r="G12" s="0" t="n">
        <v>16</v>
      </c>
      <c r="H12" s="0" t="n">
        <v>148.82</v>
      </c>
      <c r="I12" s="0" t="s">
        <v>53</v>
      </c>
      <c r="J12" s="0" t="s">
        <v>33</v>
      </c>
      <c r="K12" s="0" t="s">
        <v>44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n">
        <v>3.467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213.22</v>
      </c>
      <c r="I13" s="0" t="s">
        <v>56</v>
      </c>
      <c r="J13" s="0" t="s">
        <v>33</v>
      </c>
      <c r="K13" s="0" t="s">
        <v>44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n">
        <v>3.253</v>
      </c>
      <c r="D14" s="0" t="n">
        <v>15.375</v>
      </c>
      <c r="E14" s="0" t="n">
        <v>2</v>
      </c>
      <c r="F14" s="0" t="s">
        <v>31</v>
      </c>
      <c r="G14" s="0" t="n">
        <v>16</v>
      </c>
      <c r="H14" s="0" t="n">
        <v>200.06</v>
      </c>
      <c r="I14" s="0" t="s">
        <v>59</v>
      </c>
      <c r="J14" s="0" t="s">
        <v>33</v>
      </c>
      <c r="K14" s="0" t="s">
        <v>44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n">
        <v>3.253</v>
      </c>
      <c r="D15" s="0" t="n">
        <v>15.375</v>
      </c>
      <c r="E15" s="0" t="n">
        <v>2</v>
      </c>
      <c r="F15" s="0" t="s">
        <v>31</v>
      </c>
      <c r="G15" s="0" t="n">
        <v>16</v>
      </c>
      <c r="H15" s="0" t="n">
        <v>200.06</v>
      </c>
      <c r="I15" s="0" t="s">
        <v>62</v>
      </c>
      <c r="J15" s="0" t="s">
        <v>33</v>
      </c>
      <c r="K15" s="0" t="s">
        <v>44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n">
        <v>0.333</v>
      </c>
      <c r="D16" s="0" t="n">
        <v>15.375</v>
      </c>
      <c r="E16" s="0" t="n">
        <v>2</v>
      </c>
      <c r="F16" s="0" t="s">
        <v>31</v>
      </c>
      <c r="G16" s="0" t="n">
        <v>16</v>
      </c>
      <c r="H16" s="0" t="n">
        <v>20.48</v>
      </c>
      <c r="I16" s="0" t="s">
        <v>65</v>
      </c>
      <c r="J16" s="0" t="s">
        <v>33</v>
      </c>
      <c r="K16" s="0" t="s">
        <v>44</v>
      </c>
    </row>
    <row r="17" customFormat="false" ht="15" hidden="false" customHeight="false" outlineLevel="0" collapsed="false">
      <c r="A17" s="5" t="s">
        <v>66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n">
        <v>0.847</v>
      </c>
      <c r="D18" s="0" t="n">
        <v>15.375</v>
      </c>
      <c r="E18" s="0" t="n">
        <v>2</v>
      </c>
      <c r="F18" s="0" t="s">
        <v>31</v>
      </c>
      <c r="G18" s="0" t="n">
        <v>16</v>
      </c>
      <c r="H18" s="0" t="n">
        <v>52.1</v>
      </c>
      <c r="I18" s="0" t="s">
        <v>69</v>
      </c>
      <c r="J18" s="0" t="s">
        <v>33</v>
      </c>
      <c r="K18" s="0" t="s">
        <v>44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n">
        <v>3.507</v>
      </c>
      <c r="D19" s="0" t="n">
        <v>15.375</v>
      </c>
      <c r="E19" s="0" t="n">
        <v>2</v>
      </c>
      <c r="F19" s="0" t="s">
        <v>31</v>
      </c>
      <c r="G19" s="0" t="n">
        <v>16</v>
      </c>
      <c r="H19" s="0" t="n">
        <v>215.68</v>
      </c>
      <c r="I19" s="0" t="s">
        <v>72</v>
      </c>
      <c r="J19" s="0" t="s">
        <v>33</v>
      </c>
      <c r="K19" s="0" t="s">
        <v>44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n">
        <v>3.18</v>
      </c>
      <c r="D20" s="0" t="n">
        <v>15.375</v>
      </c>
      <c r="E20" s="0" t="n">
        <v>2</v>
      </c>
      <c r="F20" s="0" t="s">
        <v>31</v>
      </c>
      <c r="G20" s="0" t="n">
        <v>16</v>
      </c>
      <c r="H20" s="0" t="n">
        <v>195.58</v>
      </c>
      <c r="I20" s="0" t="s">
        <v>75</v>
      </c>
      <c r="J20" s="0" t="s">
        <v>33</v>
      </c>
      <c r="K20" s="0" t="s">
        <v>44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0" t="n">
        <v>11.767</v>
      </c>
      <c r="D21" s="0" t="n">
        <v>15.375</v>
      </c>
      <c r="E21" s="0" t="n">
        <v>2</v>
      </c>
      <c r="F21" s="0" t="s">
        <v>31</v>
      </c>
      <c r="G21" s="0" t="n">
        <v>16</v>
      </c>
      <c r="H21" s="0" t="n">
        <v>723.92</v>
      </c>
      <c r="I21" s="0" t="s">
        <v>78</v>
      </c>
      <c r="J21" s="0" t="s">
        <v>33</v>
      </c>
      <c r="K21" s="0" t="s">
        <v>34</v>
      </c>
    </row>
    <row r="22" customFormat="false" ht="15" hidden="false" customHeight="false" outlineLevel="0" collapsed="false">
      <c r="A22" s="5" t="s">
        <v>79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n">
        <v>5.533</v>
      </c>
      <c r="D23" s="0" t="n">
        <v>13.052</v>
      </c>
      <c r="E23" s="0" t="n">
        <v>1</v>
      </c>
      <c r="F23" s="0" t="s">
        <v>82</v>
      </c>
      <c r="G23" s="0" t="n">
        <v>16</v>
      </c>
      <c r="H23" s="0" t="n">
        <v>96.66</v>
      </c>
      <c r="I23" s="0" t="s">
        <v>83</v>
      </c>
      <c r="J23" s="0" t="s">
        <v>84</v>
      </c>
      <c r="K23" s="0" t="s">
        <v>44</v>
      </c>
    </row>
    <row r="24" customFormat="false" ht="15" hidden="false" customHeight="false" outlineLevel="0" collapsed="false">
      <c r="A24" s="0" t="s">
        <v>85</v>
      </c>
      <c r="B24" s="0" t="s">
        <v>86</v>
      </c>
      <c r="C24" s="0" t="n">
        <v>15.787</v>
      </c>
      <c r="D24" s="0" t="n">
        <v>12.863</v>
      </c>
      <c r="E24" s="0" t="n">
        <v>1</v>
      </c>
      <c r="F24" s="0" t="s">
        <v>82</v>
      </c>
      <c r="G24" s="0" t="n">
        <v>16</v>
      </c>
      <c r="H24" s="0" t="n">
        <v>262.82</v>
      </c>
      <c r="I24" s="0" t="s">
        <v>87</v>
      </c>
      <c r="J24" s="0" t="s">
        <v>84</v>
      </c>
      <c r="K24" s="0" t="s">
        <v>44</v>
      </c>
    </row>
    <row r="25" customFormat="false" ht="15" hidden="false" customHeight="false" outlineLevel="0" collapsed="false">
      <c r="A25" s="0" t="s">
        <v>88</v>
      </c>
      <c r="B25" s="0" t="s">
        <v>89</v>
      </c>
      <c r="C25" s="0" t="n">
        <v>15.073</v>
      </c>
      <c r="D25" s="0" t="n">
        <v>12.848</v>
      </c>
      <c r="E25" s="0" t="n">
        <v>1</v>
      </c>
      <c r="F25" s="0" t="s">
        <v>82</v>
      </c>
      <c r="G25" s="0" t="n">
        <v>16</v>
      </c>
      <c r="H25" s="0" t="n">
        <v>339.54</v>
      </c>
      <c r="I25" s="0" t="s">
        <v>90</v>
      </c>
      <c r="J25" s="0" t="s">
        <v>84</v>
      </c>
      <c r="K25" s="0" t="s">
        <v>44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0" t="n">
        <v>5.66</v>
      </c>
      <c r="D26" s="0" t="n">
        <v>15.375</v>
      </c>
      <c r="E26" s="0" t="n">
        <v>1</v>
      </c>
      <c r="F26" s="0" t="s">
        <v>82</v>
      </c>
      <c r="G26" s="0" t="n">
        <v>16</v>
      </c>
      <c r="H26" s="0" t="n">
        <v>111.66</v>
      </c>
      <c r="I26" s="0" t="s">
        <v>93</v>
      </c>
      <c r="J26" s="0" t="s">
        <v>84</v>
      </c>
      <c r="K26" s="0" t="s">
        <v>34</v>
      </c>
    </row>
    <row r="27" customFormat="false" ht="15" hidden="false" customHeight="false" outlineLevel="0" collapsed="false">
      <c r="A27" s="5" t="s">
        <v>94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0" t="n">
        <v>4.887</v>
      </c>
      <c r="D28" s="0" t="n">
        <v>12.955</v>
      </c>
      <c r="E28" s="0" t="n">
        <v>1</v>
      </c>
      <c r="F28" s="0" t="s">
        <v>97</v>
      </c>
      <c r="G28" s="0" t="n">
        <v>16</v>
      </c>
      <c r="H28" s="0" t="n">
        <v>87.96</v>
      </c>
      <c r="I28" s="0" t="s">
        <v>98</v>
      </c>
      <c r="J28" s="0" t="s">
        <v>99</v>
      </c>
      <c r="K28" s="0" t="s">
        <v>44</v>
      </c>
    </row>
    <row r="29" customFormat="false" ht="15" hidden="false" customHeight="false" outlineLevel="0" collapsed="false">
      <c r="A29" s="0" t="s">
        <v>100</v>
      </c>
      <c r="B29" s="0" t="s">
        <v>101</v>
      </c>
      <c r="C29" s="0" t="n">
        <v>1.3</v>
      </c>
      <c r="D29" s="0" t="n">
        <v>12.955</v>
      </c>
      <c r="E29" s="0" t="n">
        <v>1</v>
      </c>
      <c r="F29" s="0" t="s">
        <v>97</v>
      </c>
      <c r="G29" s="0" t="n">
        <v>16</v>
      </c>
      <c r="H29" s="0" t="n">
        <v>23.4</v>
      </c>
      <c r="I29" s="0" t="s">
        <v>102</v>
      </c>
      <c r="J29" s="0" t="s">
        <v>99</v>
      </c>
      <c r="K29" s="0" t="s">
        <v>44</v>
      </c>
    </row>
    <row r="30" customFormat="false" ht="15" hidden="false" customHeight="false" outlineLevel="0" collapsed="false">
      <c r="A30" s="0" t="s">
        <v>103</v>
      </c>
      <c r="B30" s="0" t="s">
        <v>104</v>
      </c>
      <c r="C30" s="0" t="n">
        <v>1.3</v>
      </c>
      <c r="D30" s="0" t="n">
        <v>12.863</v>
      </c>
      <c r="E30" s="0" t="n">
        <v>1</v>
      </c>
      <c r="F30" s="0" t="s">
        <v>97</v>
      </c>
      <c r="G30" s="0" t="n">
        <v>16</v>
      </c>
      <c r="H30" s="0" t="n">
        <v>23.4</v>
      </c>
      <c r="I30" s="0" t="s">
        <v>105</v>
      </c>
      <c r="J30" s="0" t="s">
        <v>99</v>
      </c>
      <c r="K30" s="0" t="s">
        <v>44</v>
      </c>
    </row>
    <row r="31" customFormat="false" ht="15" hidden="false" customHeight="false" outlineLevel="0" collapsed="false">
      <c r="A31" s="0" t="s">
        <v>106</v>
      </c>
      <c r="B31" s="0" t="s">
        <v>107</v>
      </c>
      <c r="C31" s="0" t="n">
        <v>15.813</v>
      </c>
      <c r="D31" s="0" t="n">
        <v>15.375</v>
      </c>
      <c r="E31" s="0" t="n">
        <v>1</v>
      </c>
      <c r="F31" s="0" t="s">
        <v>97</v>
      </c>
      <c r="G31" s="0" t="n">
        <v>16</v>
      </c>
      <c r="H31" s="0" t="n">
        <v>324.17</v>
      </c>
      <c r="I31" s="0" t="s">
        <v>108</v>
      </c>
      <c r="J31" s="0" t="s">
        <v>99</v>
      </c>
      <c r="K31" s="0" t="s">
        <v>34</v>
      </c>
    </row>
    <row r="32" customFormat="false" ht="15" hidden="false" customHeight="false" outlineLevel="0" collapsed="false">
      <c r="A32" s="0" t="s">
        <v>109</v>
      </c>
      <c r="B32" s="0" t="s">
        <v>110</v>
      </c>
      <c r="C32" s="0" t="n">
        <v>2.02</v>
      </c>
      <c r="D32" s="0" t="n">
        <v>15.375</v>
      </c>
      <c r="E32" s="0" t="n">
        <v>1</v>
      </c>
      <c r="F32" s="0" t="s">
        <v>97</v>
      </c>
      <c r="G32" s="0" t="n">
        <v>16</v>
      </c>
      <c r="H32" s="0" t="n">
        <v>36.36</v>
      </c>
      <c r="I32" s="0" t="s">
        <v>111</v>
      </c>
      <c r="J32" s="0" t="s">
        <v>99</v>
      </c>
      <c r="K32" s="0" t="s">
        <v>44</v>
      </c>
    </row>
    <row r="33" customFormat="false" ht="15" hidden="false" customHeight="false" outlineLevel="0" collapsed="false">
      <c r="A33" s="0" t="s">
        <v>112</v>
      </c>
      <c r="B33" s="0" t="s">
        <v>113</v>
      </c>
      <c r="C33" s="0" t="n">
        <v>3.533</v>
      </c>
      <c r="D33" s="0" t="n">
        <v>15.375</v>
      </c>
      <c r="E33" s="0" t="n">
        <v>1</v>
      </c>
      <c r="F33" s="0" t="s">
        <v>97</v>
      </c>
      <c r="G33" s="0" t="n">
        <v>16</v>
      </c>
      <c r="H33" s="0" t="n">
        <v>63.6</v>
      </c>
      <c r="I33" s="0" t="s">
        <v>114</v>
      </c>
      <c r="J33" s="0" t="s">
        <v>99</v>
      </c>
      <c r="K33" s="0" t="s">
        <v>44</v>
      </c>
    </row>
    <row r="34" customFormat="false" ht="15" hidden="false" customHeight="false" outlineLevel="0" collapsed="false">
      <c r="A34" s="0" t="s">
        <v>115</v>
      </c>
      <c r="B34" s="0" t="s">
        <v>116</v>
      </c>
      <c r="C34" s="0" t="n">
        <v>15.233</v>
      </c>
      <c r="D34" s="0" t="n">
        <v>12.969</v>
      </c>
      <c r="E34" s="0" t="n">
        <v>1</v>
      </c>
      <c r="F34" s="0" t="s">
        <v>97</v>
      </c>
      <c r="G34" s="0" t="n">
        <v>16</v>
      </c>
      <c r="H34" s="0" t="n">
        <v>274.2</v>
      </c>
      <c r="I34" s="0" t="s">
        <v>117</v>
      </c>
      <c r="J34" s="0" t="s">
        <v>99</v>
      </c>
      <c r="K34" s="0" t="s">
        <v>44</v>
      </c>
    </row>
    <row r="35" customFormat="false" ht="15" hidden="false" customHeight="false" outlineLevel="0" collapsed="false">
      <c r="A35" s="0" t="s">
        <v>118</v>
      </c>
      <c r="B35" s="0" t="s">
        <v>119</v>
      </c>
      <c r="C35" s="0" t="n">
        <v>20.927</v>
      </c>
      <c r="D35" s="0" t="n">
        <v>12.969</v>
      </c>
      <c r="E35" s="0" t="n">
        <v>1</v>
      </c>
      <c r="F35" s="0" t="s">
        <v>97</v>
      </c>
      <c r="G35" s="0" t="n">
        <v>16</v>
      </c>
      <c r="H35" s="0" t="n">
        <v>370.82</v>
      </c>
      <c r="I35" s="0" t="s">
        <v>120</v>
      </c>
      <c r="J35" s="0" t="s">
        <v>99</v>
      </c>
      <c r="K35" s="0" t="s">
        <v>44</v>
      </c>
    </row>
    <row r="36" customFormat="false" ht="15" hidden="false" customHeight="false" outlineLevel="0" collapsed="false">
      <c r="A36" s="0" t="s">
        <v>121</v>
      </c>
      <c r="B36" s="0" t="s">
        <v>122</v>
      </c>
      <c r="C36" s="0" t="n">
        <v>5.587</v>
      </c>
      <c r="D36" s="0" t="n">
        <v>15.375</v>
      </c>
      <c r="E36" s="0" t="n">
        <v>1</v>
      </c>
      <c r="F36" s="0" t="s">
        <v>97</v>
      </c>
      <c r="G36" s="0" t="n">
        <v>16</v>
      </c>
      <c r="H36" s="0" t="n">
        <v>62.88</v>
      </c>
      <c r="I36" s="0" t="s">
        <v>123</v>
      </c>
      <c r="J36" s="0" t="s">
        <v>99</v>
      </c>
      <c r="K36" s="0" t="s">
        <v>44</v>
      </c>
    </row>
    <row r="37" customFormat="false" ht="15" hidden="false" customHeight="false" outlineLevel="0" collapsed="false">
      <c r="A37" s="0" t="s">
        <v>124</v>
      </c>
      <c r="B37" s="0" t="s">
        <v>125</v>
      </c>
      <c r="C37" s="0" t="n">
        <v>5.513</v>
      </c>
      <c r="D37" s="0" t="n">
        <v>12.925</v>
      </c>
      <c r="E37" s="0" t="n">
        <v>1</v>
      </c>
      <c r="F37" s="0" t="s">
        <v>97</v>
      </c>
      <c r="G37" s="0" t="n">
        <v>16</v>
      </c>
      <c r="H37" s="0" t="n">
        <v>47.31</v>
      </c>
      <c r="I37" s="0" t="s">
        <v>126</v>
      </c>
      <c r="J37" s="0" t="s">
        <v>99</v>
      </c>
      <c r="K37" s="0" t="s">
        <v>34</v>
      </c>
    </row>
    <row r="38" customFormat="false" ht="15" hidden="false" customHeight="false" outlineLevel="0" collapsed="false">
      <c r="A38" s="0" t="s">
        <v>127</v>
      </c>
      <c r="B38" s="0" t="s">
        <v>128</v>
      </c>
      <c r="C38" s="0" t="n">
        <v>1.733</v>
      </c>
      <c r="D38" s="0" t="n">
        <v>12.961</v>
      </c>
      <c r="E38" s="0" t="n">
        <v>1</v>
      </c>
      <c r="F38" s="0" t="s">
        <v>97</v>
      </c>
      <c r="G38" s="0" t="n">
        <v>16</v>
      </c>
      <c r="H38" s="0" t="n">
        <v>32.06</v>
      </c>
      <c r="I38" s="0" t="s">
        <v>129</v>
      </c>
      <c r="J38" s="0" t="s">
        <v>99</v>
      </c>
      <c r="K38" s="0" t="s">
        <v>44</v>
      </c>
    </row>
    <row r="39" customFormat="false" ht="15" hidden="false" customHeight="false" outlineLevel="0" collapsed="false">
      <c r="A39" s="0" t="s">
        <v>130</v>
      </c>
      <c r="B39" s="0" t="s">
        <v>131</v>
      </c>
      <c r="C39" s="0" t="n">
        <v>11.667</v>
      </c>
      <c r="D39" s="0" t="n">
        <v>12.773</v>
      </c>
      <c r="E39" s="0" t="n">
        <v>1</v>
      </c>
      <c r="F39" s="0" t="s">
        <v>97</v>
      </c>
      <c r="G39" s="0" t="n">
        <v>16</v>
      </c>
      <c r="H39" s="0" t="n">
        <v>168.06</v>
      </c>
      <c r="I39" s="0" t="s">
        <v>132</v>
      </c>
      <c r="J39" s="0" t="s">
        <v>99</v>
      </c>
      <c r="K39" s="0" t="s">
        <v>34</v>
      </c>
    </row>
    <row r="40" customFormat="false" ht="15" hidden="false" customHeight="false" outlineLevel="0" collapsed="false">
      <c r="A40" s="5" t="s">
        <v>133</v>
      </c>
    </row>
    <row r="41" customFormat="false" ht="15" hidden="false" customHeight="false" outlineLevel="0" collapsed="false">
      <c r="A41" s="0" t="s">
        <v>134</v>
      </c>
      <c r="B41" s="0" t="s">
        <v>135</v>
      </c>
      <c r="C41" s="0" t="n">
        <v>10.027</v>
      </c>
      <c r="D41" s="0" t="n">
        <v>12.916</v>
      </c>
      <c r="E41" s="0" t="n">
        <v>1</v>
      </c>
      <c r="F41" s="0" t="s">
        <v>97</v>
      </c>
      <c r="G41" s="0" t="n">
        <v>16</v>
      </c>
      <c r="H41" s="0" t="n">
        <v>259.02</v>
      </c>
      <c r="I41" s="0" t="s">
        <v>136</v>
      </c>
      <c r="J41" s="0" t="s">
        <v>137</v>
      </c>
      <c r="K41" s="0" t="s">
        <v>44</v>
      </c>
    </row>
    <row r="42" customFormat="false" ht="15" hidden="false" customHeight="false" outlineLevel="0" collapsed="false">
      <c r="A42" s="0" t="s">
        <v>138</v>
      </c>
      <c r="B42" s="0" t="s">
        <v>139</v>
      </c>
      <c r="C42" s="0" t="n">
        <v>10</v>
      </c>
      <c r="D42" s="0" t="n">
        <v>15.375</v>
      </c>
      <c r="E42" s="0" t="n">
        <v>1</v>
      </c>
      <c r="F42" s="0" t="s">
        <v>97</v>
      </c>
      <c r="G42" s="0" t="n">
        <v>16</v>
      </c>
      <c r="H42" s="0" t="n">
        <v>153.75</v>
      </c>
      <c r="I42" s="0" t="s">
        <v>140</v>
      </c>
      <c r="J42" s="0" t="s">
        <v>137</v>
      </c>
      <c r="K42" s="0" t="s">
        <v>44</v>
      </c>
    </row>
    <row r="43" customFormat="false" ht="15" hidden="false" customHeight="false" outlineLevel="0" collapsed="false">
      <c r="A43" s="0" t="s">
        <v>141</v>
      </c>
      <c r="B43" s="0" t="s">
        <v>142</v>
      </c>
      <c r="C43" s="0" t="n">
        <v>2.627</v>
      </c>
      <c r="D43" s="0" t="n">
        <v>12.923</v>
      </c>
      <c r="E43" s="0" t="n">
        <v>1</v>
      </c>
      <c r="F43" s="0" t="s">
        <v>97</v>
      </c>
      <c r="G43" s="0" t="n">
        <v>16</v>
      </c>
      <c r="H43" s="0" t="n">
        <v>33.95</v>
      </c>
      <c r="I43" s="0" t="s">
        <v>143</v>
      </c>
      <c r="J43" s="0" t="s">
        <v>137</v>
      </c>
      <c r="K43" s="0" t="s">
        <v>44</v>
      </c>
    </row>
    <row r="44" customFormat="false" ht="15" hidden="false" customHeight="false" outlineLevel="0" collapsed="false">
      <c r="A44" s="5" t="s">
        <v>144</v>
      </c>
    </row>
    <row r="45" customFormat="false" ht="15" hidden="false" customHeight="false" outlineLevel="0" collapsed="false">
      <c r="A45" s="0" t="s">
        <v>145</v>
      </c>
      <c r="B45" s="0" t="s">
        <v>146</v>
      </c>
      <c r="C45" s="0" t="n">
        <v>11.733</v>
      </c>
      <c r="D45" s="0" t="n">
        <v>12.749</v>
      </c>
      <c r="E45" s="0" t="n">
        <v>1</v>
      </c>
      <c r="F45" s="0" t="s">
        <v>97</v>
      </c>
      <c r="G45" s="0" t="n">
        <v>16</v>
      </c>
      <c r="H45" s="0" t="n">
        <v>251.38</v>
      </c>
      <c r="I45" s="0" t="s">
        <v>147</v>
      </c>
      <c r="J45" s="0" t="s">
        <v>84</v>
      </c>
      <c r="K45" s="0" t="s">
        <v>44</v>
      </c>
    </row>
    <row r="46" customFormat="false" ht="15" hidden="false" customHeight="false" outlineLevel="0" collapsed="false">
      <c r="A46" s="0" t="s">
        <v>148</v>
      </c>
      <c r="B46" s="0" t="s">
        <v>149</v>
      </c>
      <c r="C46" s="0" t="n">
        <v>3.5</v>
      </c>
      <c r="D46" s="0" t="n">
        <v>12.741</v>
      </c>
      <c r="E46" s="0" t="n">
        <v>1</v>
      </c>
      <c r="F46" s="0" t="s">
        <v>97</v>
      </c>
      <c r="G46" s="0" t="n">
        <v>16</v>
      </c>
      <c r="H46" s="0" t="n">
        <v>89.18</v>
      </c>
      <c r="I46" s="0" t="s">
        <v>150</v>
      </c>
      <c r="J46" s="0" t="s">
        <v>84</v>
      </c>
      <c r="K46" s="0" t="s">
        <v>44</v>
      </c>
    </row>
    <row r="47" customFormat="false" ht="15" hidden="false" customHeight="false" outlineLevel="0" collapsed="false">
      <c r="A47" s="0" t="s">
        <v>151</v>
      </c>
      <c r="B47" s="0" t="s">
        <v>152</v>
      </c>
      <c r="C47" s="0" t="n">
        <v>11.733</v>
      </c>
      <c r="D47" s="0" t="n">
        <v>12.669</v>
      </c>
      <c r="E47" s="0" t="n">
        <v>1</v>
      </c>
      <c r="F47" s="0" t="s">
        <v>97</v>
      </c>
      <c r="G47" s="0" t="n">
        <v>16</v>
      </c>
      <c r="H47" s="0" t="n">
        <v>297.3</v>
      </c>
      <c r="I47" s="0" t="s">
        <v>153</v>
      </c>
      <c r="J47" s="0" t="s">
        <v>84</v>
      </c>
      <c r="K47" s="0" t="s">
        <v>44</v>
      </c>
    </row>
    <row r="48" customFormat="false" ht="15" hidden="false" customHeight="false" outlineLevel="0" collapsed="false">
      <c r="A48" s="0" t="s">
        <v>154</v>
      </c>
      <c r="B48" s="0" t="s">
        <v>155</v>
      </c>
      <c r="C48" s="0" t="n">
        <v>9.58</v>
      </c>
      <c r="D48" s="0" t="n">
        <v>12.829</v>
      </c>
      <c r="E48" s="0" t="n">
        <v>1</v>
      </c>
      <c r="F48" s="0" t="s">
        <v>97</v>
      </c>
      <c r="G48" s="0" t="n">
        <v>16</v>
      </c>
      <c r="H48" s="0" t="n">
        <v>245.88</v>
      </c>
      <c r="I48" s="0" t="s">
        <v>156</v>
      </c>
      <c r="J48" s="0" t="s">
        <v>84</v>
      </c>
      <c r="K48" s="0" t="s">
        <v>34</v>
      </c>
    </row>
    <row r="49" customFormat="false" ht="15" hidden="false" customHeight="false" outlineLevel="0" collapsed="false">
      <c r="A49" s="0" t="s">
        <v>157</v>
      </c>
      <c r="B49" s="0" t="s">
        <v>158</v>
      </c>
      <c r="C49" s="0" t="n">
        <v>9.58</v>
      </c>
      <c r="D49" s="0" t="n">
        <v>12.7</v>
      </c>
      <c r="E49" s="0" t="n">
        <v>1</v>
      </c>
      <c r="F49" s="0" t="s">
        <v>97</v>
      </c>
      <c r="G49" s="0" t="n">
        <v>16</v>
      </c>
      <c r="H49" s="0" t="n">
        <v>243.4</v>
      </c>
      <c r="I49" s="0" t="s">
        <v>159</v>
      </c>
      <c r="J49" s="0" t="s">
        <v>84</v>
      </c>
      <c r="K49" s="0" t="s">
        <v>34</v>
      </c>
    </row>
    <row r="50" customFormat="false" ht="15" hidden="false" customHeight="false" outlineLevel="0" collapsed="false">
      <c r="A50" s="0" t="s">
        <v>160</v>
      </c>
      <c r="B50" s="0" t="s">
        <v>161</v>
      </c>
      <c r="C50" s="0" t="n">
        <v>14.147</v>
      </c>
      <c r="D50" s="0" t="n">
        <v>12.829</v>
      </c>
      <c r="E50" s="0" t="n">
        <v>1</v>
      </c>
      <c r="F50" s="0" t="s">
        <v>97</v>
      </c>
      <c r="G50" s="0" t="n">
        <v>16</v>
      </c>
      <c r="H50" s="0" t="n">
        <v>267.42</v>
      </c>
      <c r="I50" s="0" t="s">
        <v>162</v>
      </c>
      <c r="J50" s="0" t="s">
        <v>84</v>
      </c>
      <c r="K50" s="0" t="s">
        <v>44</v>
      </c>
    </row>
    <row r="51" customFormat="false" ht="15" hidden="false" customHeight="false" outlineLevel="0" collapsed="false">
      <c r="A51" s="5" t="s">
        <v>163</v>
      </c>
    </row>
    <row r="52" customFormat="false" ht="15" hidden="false" customHeight="false" outlineLevel="0" collapsed="false">
      <c r="A52" s="0" t="s">
        <v>164</v>
      </c>
      <c r="B52" s="0" t="s">
        <v>165</v>
      </c>
      <c r="C52" s="0" t="n">
        <v>14.533</v>
      </c>
      <c r="D52" s="0" t="n">
        <v>15.375</v>
      </c>
      <c r="E52" s="0" t="n">
        <v>1</v>
      </c>
      <c r="F52" s="0" t="s">
        <v>82</v>
      </c>
      <c r="G52" s="0" t="n">
        <v>16</v>
      </c>
      <c r="H52" s="0" t="n">
        <v>260.4</v>
      </c>
      <c r="I52" s="0" t="s">
        <v>166</v>
      </c>
      <c r="J52" s="0" t="s">
        <v>99</v>
      </c>
      <c r="K52" s="0" t="s">
        <v>44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n">
        <v>4.467</v>
      </c>
      <c r="D53" s="0" t="n">
        <v>13.052</v>
      </c>
      <c r="E53" s="0" t="n">
        <v>1</v>
      </c>
      <c r="F53" s="0" t="s">
        <v>82</v>
      </c>
      <c r="G53" s="0" t="n">
        <v>16</v>
      </c>
      <c r="H53" s="0" t="n">
        <v>32.62</v>
      </c>
      <c r="I53" s="0" t="s">
        <v>169</v>
      </c>
      <c r="J53" s="0" t="s">
        <v>99</v>
      </c>
      <c r="K53" s="0" t="s">
        <v>44</v>
      </c>
    </row>
    <row r="54" customFormat="false" ht="15" hidden="false" customHeight="false" outlineLevel="0" collapsed="false">
      <c r="A54" s="0" t="s">
        <v>170</v>
      </c>
      <c r="B54" s="0" t="s">
        <v>171</v>
      </c>
      <c r="C54" s="0" t="n">
        <v>15.387</v>
      </c>
      <c r="D54" s="0" t="n">
        <v>15.375</v>
      </c>
      <c r="E54" s="0" t="n">
        <v>1</v>
      </c>
      <c r="F54" s="0" t="s">
        <v>82</v>
      </c>
      <c r="G54" s="0" t="n">
        <v>16</v>
      </c>
      <c r="H54" s="0" t="n">
        <v>323.12</v>
      </c>
      <c r="I54" s="0" t="s">
        <v>172</v>
      </c>
      <c r="J54" s="0" t="s">
        <v>99</v>
      </c>
      <c r="K54" s="0" t="s">
        <v>44</v>
      </c>
    </row>
    <row r="55" customFormat="false" ht="15" hidden="false" customHeight="false" outlineLevel="0" collapsed="false">
      <c r="A55" s="0" t="s">
        <v>173</v>
      </c>
      <c r="B55" s="0" t="s">
        <v>174</v>
      </c>
      <c r="C55" s="0" t="n">
        <v>4.02</v>
      </c>
      <c r="D55" s="0" t="n">
        <v>13.052</v>
      </c>
      <c r="E55" s="0" t="n">
        <v>1</v>
      </c>
      <c r="F55" s="0" t="s">
        <v>82</v>
      </c>
      <c r="G55" s="0" t="n">
        <v>16</v>
      </c>
      <c r="H55" s="0" t="n">
        <v>74.37</v>
      </c>
      <c r="I55" s="0" t="s">
        <v>172</v>
      </c>
      <c r="J55" s="0" t="s">
        <v>99</v>
      </c>
      <c r="K55" s="0" t="s">
        <v>44</v>
      </c>
    </row>
    <row r="56" customFormat="false" ht="15" hidden="false" customHeight="false" outlineLevel="0" collapsed="false">
      <c r="A56" s="0" t="s">
        <v>175</v>
      </c>
      <c r="B56" s="0" t="s">
        <v>176</v>
      </c>
      <c r="C56" s="0" t="n">
        <v>3.713</v>
      </c>
      <c r="D56" s="0" t="n">
        <v>12.925</v>
      </c>
      <c r="E56" s="0" t="n">
        <v>1</v>
      </c>
      <c r="F56" s="0" t="s">
        <v>82</v>
      </c>
      <c r="G56" s="0" t="n">
        <v>16</v>
      </c>
      <c r="H56" s="0" t="n">
        <v>68.69</v>
      </c>
      <c r="I56" s="0" t="s">
        <v>177</v>
      </c>
      <c r="J56" s="0" t="s">
        <v>99</v>
      </c>
      <c r="K56" s="0" t="s">
        <v>44</v>
      </c>
    </row>
    <row r="57" customFormat="false" ht="15" hidden="false" customHeight="false" outlineLevel="0" collapsed="false">
      <c r="A57" s="5" t="s">
        <v>178</v>
      </c>
    </row>
    <row r="58" customFormat="false" ht="15" hidden="false" customHeight="false" outlineLevel="0" collapsed="false">
      <c r="A58" s="0" t="s">
        <v>179</v>
      </c>
      <c r="B58" s="0" t="s">
        <v>180</v>
      </c>
      <c r="C58" s="0" t="n">
        <v>3.413</v>
      </c>
      <c r="D58" s="0" t="n">
        <v>15.375</v>
      </c>
      <c r="E58" s="0" t="n">
        <v>1</v>
      </c>
      <c r="F58" s="0" t="s">
        <v>97</v>
      </c>
      <c r="G58" s="0" t="n">
        <v>24</v>
      </c>
      <c r="H58" s="0" t="n">
        <v>105.08</v>
      </c>
      <c r="I58" s="0" t="s">
        <v>181</v>
      </c>
      <c r="J58" s="0" t="s">
        <v>182</v>
      </c>
      <c r="K58" s="0" t="s">
        <v>34</v>
      </c>
    </row>
    <row r="59" customFormat="false" ht="15" hidden="false" customHeight="false" outlineLevel="0" collapsed="false">
      <c r="A59" s="0" t="s">
        <v>183</v>
      </c>
      <c r="B59" s="0" t="s">
        <v>184</v>
      </c>
      <c r="C59" s="0" t="n">
        <v>3.413</v>
      </c>
      <c r="D59" s="0" t="n">
        <v>12.937</v>
      </c>
      <c r="E59" s="0" t="n">
        <v>1</v>
      </c>
      <c r="F59" s="0" t="s">
        <v>97</v>
      </c>
      <c r="G59" s="0" t="n">
        <v>24</v>
      </c>
      <c r="H59" s="0" t="n">
        <v>88.42</v>
      </c>
      <c r="I59" s="0" t="s">
        <v>185</v>
      </c>
      <c r="J59" s="0" t="s">
        <v>182</v>
      </c>
      <c r="K59" s="0" t="s">
        <v>34</v>
      </c>
    </row>
    <row r="60" customFormat="false" ht="15" hidden="false" customHeight="false" outlineLevel="0" collapsed="false">
      <c r="A60" s="0" t="s">
        <v>186</v>
      </c>
      <c r="B60" s="0" t="s">
        <v>187</v>
      </c>
      <c r="C60" s="0" t="n">
        <v>1.16</v>
      </c>
      <c r="D60" s="0" t="n">
        <v>12.925</v>
      </c>
      <c r="E60" s="0" t="n">
        <v>1</v>
      </c>
      <c r="F60" s="0" t="s">
        <v>97</v>
      </c>
      <c r="G60" s="0" t="n">
        <v>24</v>
      </c>
      <c r="H60" s="0" t="n">
        <v>29.98</v>
      </c>
      <c r="I60" s="0" t="s">
        <v>188</v>
      </c>
      <c r="J60" s="0" t="s">
        <v>182</v>
      </c>
      <c r="K60" s="0" t="s">
        <v>44</v>
      </c>
    </row>
    <row r="61" customFormat="false" ht="15" hidden="false" customHeight="false" outlineLevel="0" collapsed="false">
      <c r="A61" s="5" t="s">
        <v>189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n">
        <v>1.26</v>
      </c>
      <c r="D62" s="0" t="n">
        <v>15.375</v>
      </c>
      <c r="E62" s="0" t="n">
        <v>1</v>
      </c>
      <c r="F62" s="0" t="s">
        <v>82</v>
      </c>
      <c r="G62" s="0" t="n">
        <v>24</v>
      </c>
      <c r="H62" s="0" t="n">
        <v>38.74</v>
      </c>
      <c r="I62" s="0" t="s">
        <v>192</v>
      </c>
      <c r="J62" s="0" t="s">
        <v>182</v>
      </c>
      <c r="K62" s="0" t="s">
        <v>44</v>
      </c>
    </row>
    <row r="63" customFormat="false" ht="15" hidden="false" customHeight="false" outlineLevel="0" collapsed="false">
      <c r="A63" s="5" t="s">
        <v>193</v>
      </c>
    </row>
    <row r="64" customFormat="false" ht="15" hidden="false" customHeight="false" outlineLevel="0" collapsed="false">
      <c r="A64" s="0" t="s">
        <v>194</v>
      </c>
      <c r="B64" s="0" t="s">
        <v>195</v>
      </c>
      <c r="C64" s="0" t="n">
        <v>16.916</v>
      </c>
      <c r="D64" s="0" t="n">
        <v>15.375</v>
      </c>
      <c r="E64" s="0" t="n">
        <v>1</v>
      </c>
      <c r="F64" s="0" t="s">
        <v>97</v>
      </c>
      <c r="G64" s="0" t="n">
        <v>16</v>
      </c>
      <c r="H64" s="0" t="n">
        <v>309.3</v>
      </c>
      <c r="I64" s="0" t="s">
        <v>196</v>
      </c>
      <c r="J64" s="0" t="s">
        <v>197</v>
      </c>
      <c r="K64" s="0" t="s">
        <v>44</v>
      </c>
    </row>
    <row r="65" customFormat="false" ht="15" hidden="false" customHeight="false" outlineLevel="0" collapsed="false">
      <c r="A65" s="5" t="s">
        <v>198</v>
      </c>
    </row>
    <row r="66" customFormat="false" ht="15" hidden="false" customHeight="false" outlineLevel="0" collapsed="false">
      <c r="A66" s="0" t="s">
        <v>199</v>
      </c>
      <c r="B66" s="0" t="s">
        <v>200</v>
      </c>
      <c r="C66" s="0" t="n">
        <v>12.94</v>
      </c>
      <c r="D66" s="0" t="n">
        <v>14.358</v>
      </c>
      <c r="E66" s="0" t="n">
        <v>1</v>
      </c>
      <c r="F66" s="0" t="s">
        <v>82</v>
      </c>
      <c r="G66" s="0" t="n">
        <v>16</v>
      </c>
      <c r="H66" s="0" t="n">
        <v>198.95</v>
      </c>
      <c r="I66" s="0" t="s">
        <v>201</v>
      </c>
      <c r="J66" s="0" t="s">
        <v>202</v>
      </c>
      <c r="K66" s="0" t="s">
        <v>44</v>
      </c>
    </row>
    <row r="67" customFormat="false" ht="15" hidden="false" customHeight="false" outlineLevel="0" collapsed="false">
      <c r="A67" s="0" t="s">
        <v>203</v>
      </c>
      <c r="B67" s="0" t="s">
        <v>204</v>
      </c>
      <c r="C67" s="0" t="n">
        <v>50.687</v>
      </c>
      <c r="D67" s="0" t="n">
        <v>14.358</v>
      </c>
      <c r="E67" s="0" t="n">
        <v>1</v>
      </c>
      <c r="F67" s="0" t="s">
        <v>82</v>
      </c>
      <c r="G67" s="0" t="n">
        <v>16</v>
      </c>
      <c r="H67" s="0" t="n">
        <v>715.31</v>
      </c>
      <c r="I67" s="0" t="s">
        <v>201</v>
      </c>
      <c r="J67" s="0" t="s">
        <v>205</v>
      </c>
      <c r="K67" s="0" t="s">
        <v>44</v>
      </c>
    </row>
    <row r="68" customFormat="false" ht="15" hidden="false" customHeight="false" outlineLevel="0" collapsed="false">
      <c r="A68" s="0" t="s">
        <v>206</v>
      </c>
      <c r="B68" s="0" t="s">
        <v>207</v>
      </c>
      <c r="C68" s="0" t="n">
        <v>25.246</v>
      </c>
      <c r="D68" s="0" t="n">
        <v>11.91</v>
      </c>
      <c r="E68" s="0" t="n">
        <v>1</v>
      </c>
      <c r="F68" s="0" t="s">
        <v>82</v>
      </c>
      <c r="G68" s="0" t="n">
        <v>16</v>
      </c>
      <c r="H68" s="0" t="n">
        <v>329.51</v>
      </c>
      <c r="I68" s="0" t="s">
        <v>208</v>
      </c>
      <c r="J68" s="0" t="s">
        <v>209</v>
      </c>
      <c r="K68" s="0" t="s">
        <v>44</v>
      </c>
    </row>
    <row r="69" customFormat="false" ht="15" hidden="false" customHeight="false" outlineLevel="0" collapsed="false">
      <c r="A69" s="0" t="s">
        <v>210</v>
      </c>
      <c r="B69" s="0" t="s">
        <v>211</v>
      </c>
      <c r="C69" s="0" t="n">
        <v>17.967</v>
      </c>
      <c r="D69" s="0" t="n">
        <v>11.389</v>
      </c>
      <c r="E69" s="0" t="n">
        <v>1</v>
      </c>
      <c r="F69" s="0" t="s">
        <v>82</v>
      </c>
      <c r="G69" s="0" t="n">
        <v>16</v>
      </c>
      <c r="H69" s="0" t="n">
        <v>225.14</v>
      </c>
      <c r="I69" s="0" t="s">
        <v>208</v>
      </c>
      <c r="J69" s="0" t="s">
        <v>212</v>
      </c>
      <c r="K69" s="0" t="s">
        <v>44</v>
      </c>
    </row>
    <row r="70" customFormat="false" ht="15" hidden="false" customHeight="false" outlineLevel="0" collapsed="false">
      <c r="A70" s="0" t="s">
        <v>213</v>
      </c>
      <c r="B70" s="0" t="s">
        <v>214</v>
      </c>
      <c r="C70" s="0" t="n">
        <v>34.366</v>
      </c>
      <c r="D70" s="0" t="n">
        <v>11.056</v>
      </c>
      <c r="E70" s="0" t="n">
        <v>1</v>
      </c>
      <c r="F70" s="0" t="s">
        <v>82</v>
      </c>
      <c r="G70" s="0" t="n">
        <v>16</v>
      </c>
      <c r="H70" s="0" t="n">
        <v>403.42</v>
      </c>
      <c r="I70" s="0" t="s">
        <v>215</v>
      </c>
      <c r="J70" s="0" t="s">
        <v>212</v>
      </c>
      <c r="K70" s="0" t="s">
        <v>44</v>
      </c>
    </row>
    <row r="71" customFormat="false" ht="15" hidden="false" customHeight="false" outlineLevel="0" collapsed="false">
      <c r="A71" s="0" t="s">
        <v>216</v>
      </c>
      <c r="B71" s="0" t="s">
        <v>217</v>
      </c>
      <c r="C71" s="0" t="n">
        <v>25.246</v>
      </c>
      <c r="D71" s="0" t="n">
        <v>11.91</v>
      </c>
      <c r="E71" s="0" t="n">
        <v>1</v>
      </c>
      <c r="F71" s="0" t="s">
        <v>82</v>
      </c>
      <c r="G71" s="0" t="n">
        <v>16</v>
      </c>
      <c r="H71" s="0" t="n">
        <v>329.51</v>
      </c>
      <c r="I71" s="0" t="s">
        <v>208</v>
      </c>
      <c r="J71" s="0" t="s">
        <v>218</v>
      </c>
      <c r="K71" s="0" t="s">
        <v>44</v>
      </c>
    </row>
    <row r="72" customFormat="false" ht="15" hidden="false" customHeight="false" outlineLevel="0" collapsed="false">
      <c r="A72" s="0" t="s">
        <v>219</v>
      </c>
      <c r="B72" s="0" t="s">
        <v>220</v>
      </c>
      <c r="C72" s="0" t="n">
        <v>22.68</v>
      </c>
      <c r="D72" s="0" t="n">
        <v>14.358</v>
      </c>
      <c r="E72" s="0" t="n">
        <v>1</v>
      </c>
      <c r="F72" s="0" t="s">
        <v>82</v>
      </c>
      <c r="G72" s="0" t="n">
        <v>16</v>
      </c>
      <c r="H72" s="0" t="n">
        <v>316.7</v>
      </c>
      <c r="I72" s="0" t="s">
        <v>201</v>
      </c>
      <c r="J72" s="0" t="s">
        <v>218</v>
      </c>
      <c r="K72" s="0" t="s">
        <v>44</v>
      </c>
    </row>
    <row r="73" customFormat="false" ht="15" hidden="false" customHeight="false" outlineLevel="0" collapsed="false">
      <c r="A73" s="0" t="s">
        <v>221</v>
      </c>
      <c r="B73" s="0" t="s">
        <v>222</v>
      </c>
      <c r="C73" s="0" t="n">
        <v>3.867</v>
      </c>
      <c r="D73" s="0" t="n">
        <v>14.358</v>
      </c>
      <c r="E73" s="0" t="n">
        <v>1</v>
      </c>
      <c r="F73" s="0" t="s">
        <v>82</v>
      </c>
      <c r="G73" s="0" t="n">
        <v>16</v>
      </c>
      <c r="H73" s="0" t="n">
        <v>59.46</v>
      </c>
      <c r="I73" s="0" t="s">
        <v>201</v>
      </c>
      <c r="J73" s="0" t="s">
        <v>223</v>
      </c>
      <c r="K73" s="0" t="s">
        <v>44</v>
      </c>
    </row>
    <row r="74" customFormat="false" ht="15" hidden="false" customHeight="false" outlineLevel="0" collapsed="false">
      <c r="A74" s="0" t="s">
        <v>224</v>
      </c>
      <c r="B74" s="0" t="s">
        <v>225</v>
      </c>
      <c r="C74" s="0" t="n">
        <v>20.518</v>
      </c>
      <c r="D74" s="0" t="n">
        <v>14.358</v>
      </c>
      <c r="E74" s="0" t="n">
        <v>1</v>
      </c>
      <c r="F74" s="0" t="s">
        <v>82</v>
      </c>
      <c r="G74" s="0" t="n">
        <v>16</v>
      </c>
      <c r="H74" s="0" t="n">
        <v>309.71</v>
      </c>
      <c r="I74" s="0" t="s">
        <v>201</v>
      </c>
      <c r="J74" s="0" t="s">
        <v>223</v>
      </c>
      <c r="K74" s="0" t="s">
        <v>44</v>
      </c>
    </row>
    <row r="75" customFormat="false" ht="15" hidden="false" customHeight="false" outlineLevel="0" collapsed="false">
      <c r="A75" s="5" t="s">
        <v>226</v>
      </c>
    </row>
    <row r="76" customFormat="false" ht="15" hidden="false" customHeight="false" outlineLevel="0" collapsed="false">
      <c r="A76" s="0" t="s">
        <v>227</v>
      </c>
      <c r="B76" s="0" t="s">
        <v>228</v>
      </c>
      <c r="C76" s="0" t="n">
        <v>12.563</v>
      </c>
      <c r="D76" s="0" t="n">
        <v>2.41</v>
      </c>
      <c r="E76" s="0" t="n">
        <v>1</v>
      </c>
      <c r="F76" s="0" t="s">
        <v>82</v>
      </c>
      <c r="G76" s="0" t="n">
        <v>16</v>
      </c>
      <c r="H76" s="0" t="n">
        <v>86.37</v>
      </c>
      <c r="I76" s="0" t="s">
        <v>229</v>
      </c>
      <c r="J76" s="0" t="s">
        <v>230</v>
      </c>
      <c r="K76" s="0" t="s">
        <v>44</v>
      </c>
    </row>
    <row r="77" customFormat="false" ht="15" hidden="false" customHeight="false" outlineLevel="0" collapsed="false">
      <c r="A77" s="0" t="s">
        <v>231</v>
      </c>
      <c r="B77" s="0" t="s">
        <v>232</v>
      </c>
      <c r="C77" s="0" t="n">
        <v>26.25</v>
      </c>
      <c r="D77" s="0" t="n">
        <v>4.525</v>
      </c>
      <c r="E77" s="0" t="n">
        <v>1</v>
      </c>
      <c r="F77" s="0" t="s">
        <v>82</v>
      </c>
      <c r="G77" s="0" t="n">
        <v>16</v>
      </c>
      <c r="H77" s="0" t="n">
        <v>180.47</v>
      </c>
      <c r="I77" s="0" t="s">
        <v>233</v>
      </c>
      <c r="J77" s="0" t="s">
        <v>230</v>
      </c>
      <c r="K77" s="0" t="s">
        <v>44</v>
      </c>
    </row>
    <row r="78" customFormat="false" ht="15" hidden="false" customHeight="false" outlineLevel="0" collapsed="false">
      <c r="A78" s="0" t="s">
        <v>234</v>
      </c>
      <c r="B78" s="0" t="s">
        <v>235</v>
      </c>
      <c r="C78" s="0" t="n">
        <v>6.5</v>
      </c>
      <c r="D78" s="0" t="n">
        <v>4.983</v>
      </c>
      <c r="E78" s="0" t="n">
        <v>1</v>
      </c>
      <c r="F78" s="0" t="s">
        <v>82</v>
      </c>
      <c r="G78" s="0" t="n">
        <v>16</v>
      </c>
      <c r="H78" s="0" t="n">
        <v>44.69</v>
      </c>
      <c r="I78" s="0" t="s">
        <v>236</v>
      </c>
      <c r="J78" s="0" t="s">
        <v>230</v>
      </c>
      <c r="K78" s="0" t="s">
        <v>44</v>
      </c>
    </row>
    <row r="79" customFormat="false" ht="15" hidden="false" customHeight="false" outlineLevel="0" collapsed="false">
      <c r="A79" s="5" t="s">
        <v>237</v>
      </c>
    </row>
    <row r="80" customFormat="false" ht="15" hidden="false" customHeight="false" outlineLevel="0" collapsed="false">
      <c r="A80" s="0" t="s">
        <v>238</v>
      </c>
      <c r="B80" s="0" t="s">
        <v>239</v>
      </c>
      <c r="C80" s="0" t="n">
        <v>6.521</v>
      </c>
      <c r="D80" s="0" t="n">
        <v>15.375</v>
      </c>
      <c r="E80" s="0" t="n">
        <v>1</v>
      </c>
      <c r="F80" s="0" t="s">
        <v>82</v>
      </c>
      <c r="G80" s="0" t="n">
        <v>16</v>
      </c>
      <c r="H80" s="0" t="n">
        <v>25.62</v>
      </c>
      <c r="I80" s="0" t="s">
        <v>240</v>
      </c>
      <c r="J80" s="0" t="s">
        <v>241</v>
      </c>
      <c r="K80" s="0" t="s">
        <v>44</v>
      </c>
    </row>
    <row r="81" customFormat="false" ht="15" hidden="false" customHeight="false" outlineLevel="0" collapsed="false">
      <c r="A81" s="0" t="s">
        <v>242</v>
      </c>
      <c r="B81" s="0" t="s">
        <v>243</v>
      </c>
      <c r="C81" s="0" t="n">
        <v>6.521</v>
      </c>
      <c r="D81" s="0" t="n">
        <v>15.375</v>
      </c>
      <c r="E81" s="0" t="n">
        <v>1</v>
      </c>
      <c r="F81" s="0" t="s">
        <v>82</v>
      </c>
      <c r="G81" s="0" t="n">
        <v>16</v>
      </c>
      <c r="H81" s="0" t="n">
        <v>25.62</v>
      </c>
      <c r="I81" s="0" t="s">
        <v>240</v>
      </c>
      <c r="J81" s="0" t="s">
        <v>244</v>
      </c>
      <c r="K81" s="0" t="s">
        <v>44</v>
      </c>
    </row>
    <row r="82" customFormat="false" ht="15" hidden="false" customHeight="false" outlineLevel="0" collapsed="false">
      <c r="A82" s="5" t="s">
        <v>245</v>
      </c>
    </row>
    <row r="83" customFormat="false" ht="15" hidden="false" customHeight="false" outlineLevel="0" collapsed="false">
      <c r="A83" s="0" t="s">
        <v>246</v>
      </c>
      <c r="B83" s="0" t="s">
        <v>247</v>
      </c>
      <c r="C83" s="0" t="n">
        <v>16.198</v>
      </c>
      <c r="D83" s="0" t="n">
        <v>4.292</v>
      </c>
      <c r="E83" s="0" t="n">
        <v>0</v>
      </c>
      <c r="F83" s="0" t="s">
        <v>248</v>
      </c>
      <c r="G83" s="0" t="n">
        <v>16</v>
      </c>
      <c r="H83" s="0" t="n">
        <v>0</v>
      </c>
      <c r="I83" s="0" t="s">
        <v>249</v>
      </c>
      <c r="J83" s="0" t="s">
        <v>250</v>
      </c>
      <c r="K83" s="0" t="s">
        <v>34</v>
      </c>
    </row>
    <row r="84" customFormat="false" ht="15" hidden="false" customHeight="false" outlineLevel="0" collapsed="false">
      <c r="A84" s="0" t="s">
        <v>251</v>
      </c>
      <c r="B84" s="0" t="s">
        <v>252</v>
      </c>
      <c r="C84" s="0" t="n">
        <v>0.99</v>
      </c>
      <c r="D84" s="0" t="n">
        <v>4.292</v>
      </c>
      <c r="E84" s="0" t="n">
        <v>0</v>
      </c>
      <c r="F84" s="0" t="s">
        <v>248</v>
      </c>
      <c r="G84" s="0" t="n">
        <v>16</v>
      </c>
      <c r="H84" s="0" t="n">
        <v>0</v>
      </c>
      <c r="I84" s="0" t="s">
        <v>253</v>
      </c>
      <c r="J84" s="0" t="s">
        <v>250</v>
      </c>
      <c r="K84" s="0" t="s">
        <v>254</v>
      </c>
    </row>
    <row r="85" customFormat="false" ht="15" hidden="false" customHeight="false" outlineLevel="0" collapsed="false">
      <c r="A85" s="0" t="s">
        <v>255</v>
      </c>
      <c r="B85" s="0" t="s">
        <v>256</v>
      </c>
      <c r="C85" s="0" t="n">
        <v>40</v>
      </c>
      <c r="D85" s="0" t="n">
        <v>2.042</v>
      </c>
      <c r="E85" s="0" t="n">
        <v>0</v>
      </c>
      <c r="F85" s="0" t="s">
        <v>248</v>
      </c>
      <c r="G85" s="0" t="n">
        <v>16</v>
      </c>
      <c r="H85" s="0" t="n">
        <v>0</v>
      </c>
      <c r="I85" s="0" t="s">
        <v>257</v>
      </c>
      <c r="J85" s="0" t="s">
        <v>250</v>
      </c>
      <c r="K85" s="0" t="s">
        <v>34</v>
      </c>
    </row>
    <row r="86" customFormat="false" ht="15" hidden="false" customHeight="false" outlineLevel="0" collapsed="false">
      <c r="A86" s="0" t="s">
        <v>258</v>
      </c>
      <c r="B86" s="0" t="s">
        <v>259</v>
      </c>
      <c r="C86" s="0" t="n">
        <v>50.688</v>
      </c>
      <c r="D86" s="0" t="n">
        <v>2.042</v>
      </c>
      <c r="E86" s="0" t="n">
        <v>0</v>
      </c>
      <c r="F86" s="0" t="s">
        <v>248</v>
      </c>
      <c r="G86" s="0" t="n">
        <v>16</v>
      </c>
      <c r="H86" s="0" t="n">
        <v>0</v>
      </c>
      <c r="I86" s="0" t="s">
        <v>260</v>
      </c>
      <c r="J86" s="0" t="s">
        <v>250</v>
      </c>
      <c r="K86" s="0" t="s">
        <v>34</v>
      </c>
    </row>
    <row r="87" customFormat="false" ht="15" hidden="false" customHeight="false" outlineLevel="0" collapsed="false">
      <c r="A87" s="0" t="s">
        <v>261</v>
      </c>
      <c r="B87" s="0" t="s">
        <v>262</v>
      </c>
      <c r="C87" s="0" t="n">
        <v>25.25</v>
      </c>
      <c r="D87" s="0" t="n">
        <v>4.885</v>
      </c>
      <c r="E87" s="0" t="n">
        <v>0</v>
      </c>
      <c r="F87" s="0" t="s">
        <v>248</v>
      </c>
      <c r="G87" s="0" t="n">
        <v>16</v>
      </c>
      <c r="H87" s="0" t="n">
        <v>0</v>
      </c>
      <c r="I87" s="0" t="s">
        <v>263</v>
      </c>
      <c r="J87" s="0" t="s">
        <v>250</v>
      </c>
      <c r="K87" s="0" t="s">
        <v>44</v>
      </c>
    </row>
    <row r="88" customFormat="false" ht="15" hidden="false" customHeight="false" outlineLevel="0" collapsed="false">
      <c r="A88" s="0" t="s">
        <v>264</v>
      </c>
      <c r="B88" s="0" t="s">
        <v>265</v>
      </c>
      <c r="C88" s="0" t="n">
        <v>52.333</v>
      </c>
      <c r="D88" s="0" t="n">
        <v>4.885</v>
      </c>
      <c r="E88" s="0" t="n">
        <v>0</v>
      </c>
      <c r="F88" s="0" t="s">
        <v>248</v>
      </c>
      <c r="G88" s="0" t="n">
        <v>16</v>
      </c>
      <c r="H88" s="0" t="n">
        <v>0</v>
      </c>
      <c r="I88" s="0" t="s">
        <v>266</v>
      </c>
      <c r="J88" s="0" t="s">
        <v>250</v>
      </c>
      <c r="K88" s="0" t="s">
        <v>34</v>
      </c>
    </row>
    <row r="89" customFormat="false" ht="15" hidden="false" customHeight="false" outlineLevel="0" collapsed="false">
      <c r="A89" s="0" t="s">
        <v>267</v>
      </c>
      <c r="B89" s="0" t="s">
        <v>268</v>
      </c>
      <c r="C89" s="0" t="n">
        <v>25.25</v>
      </c>
      <c r="D89" s="0" t="n">
        <v>4.885</v>
      </c>
      <c r="E89" s="0" t="n">
        <v>0</v>
      </c>
      <c r="F89" s="0" t="s">
        <v>248</v>
      </c>
      <c r="G89" s="0" t="n">
        <v>16</v>
      </c>
      <c r="H89" s="0" t="n">
        <v>0</v>
      </c>
      <c r="I89" s="0" t="s">
        <v>269</v>
      </c>
      <c r="J89" s="0" t="s">
        <v>250</v>
      </c>
      <c r="K89" s="0" t="s">
        <v>254</v>
      </c>
    </row>
    <row r="90" customFormat="false" ht="15" hidden="false" customHeight="false" outlineLevel="0" collapsed="false">
      <c r="A90" s="0" t="s">
        <v>270</v>
      </c>
      <c r="B90" s="0" t="s">
        <v>271</v>
      </c>
      <c r="C90" s="0" t="n">
        <v>22.677</v>
      </c>
      <c r="D90" s="0" t="n">
        <v>2.042</v>
      </c>
      <c r="E90" s="0" t="n">
        <v>0</v>
      </c>
      <c r="F90" s="0" t="s">
        <v>248</v>
      </c>
      <c r="G90" s="0" t="n">
        <v>16</v>
      </c>
      <c r="H90" s="0" t="n">
        <v>0</v>
      </c>
      <c r="I90" s="0" t="s">
        <v>272</v>
      </c>
      <c r="J90" s="0" t="s">
        <v>250</v>
      </c>
      <c r="K90" s="0" t="s">
        <v>34</v>
      </c>
    </row>
    <row r="91" customFormat="false" ht="15" hidden="false" customHeight="false" outlineLevel="0" collapsed="false">
      <c r="A91" s="0" t="s">
        <v>273</v>
      </c>
      <c r="B91" s="0" t="s">
        <v>274</v>
      </c>
      <c r="C91" s="0" t="n">
        <v>3.865</v>
      </c>
      <c r="D91" s="0" t="n">
        <v>4.292</v>
      </c>
      <c r="E91" s="0" t="n">
        <v>0</v>
      </c>
      <c r="F91" s="0" t="s">
        <v>248</v>
      </c>
      <c r="G91" s="0" t="n">
        <v>16</v>
      </c>
      <c r="H91" s="0" t="n">
        <v>0</v>
      </c>
      <c r="I91" s="0" t="s">
        <v>275</v>
      </c>
      <c r="J91" s="0" t="s">
        <v>250</v>
      </c>
      <c r="K91" s="0" t="s">
        <v>254</v>
      </c>
    </row>
    <row r="92" customFormat="false" ht="15" hidden="false" customHeight="false" outlineLevel="0" collapsed="false">
      <c r="A92" s="0" t="s">
        <v>276</v>
      </c>
      <c r="B92" s="0" t="s">
        <v>277</v>
      </c>
      <c r="C92" s="0" t="n">
        <v>29</v>
      </c>
      <c r="D92" s="0" t="n">
        <v>4.292</v>
      </c>
      <c r="E92" s="0" t="n">
        <v>0</v>
      </c>
      <c r="F92" s="0" t="s">
        <v>248</v>
      </c>
      <c r="G92" s="0" t="n">
        <v>16</v>
      </c>
      <c r="H92" s="0" t="n">
        <v>0</v>
      </c>
      <c r="I92" s="0" t="s">
        <v>278</v>
      </c>
      <c r="J92" s="0" t="s">
        <v>250</v>
      </c>
      <c r="K92" s="0" t="s">
        <v>34</v>
      </c>
    </row>
    <row r="93" customFormat="false" ht="15" hidden="false" customHeight="false" outlineLevel="0" collapsed="false">
      <c r="A93" s="5" t="s">
        <v>279</v>
      </c>
    </row>
    <row r="94" customFormat="false" ht="15" hidden="false" customHeight="false" outlineLevel="0" collapsed="false">
      <c r="A94" s="0" t="s">
        <v>280</v>
      </c>
      <c r="B94" s="0" t="s">
        <v>281</v>
      </c>
      <c r="C94" s="0" t="n">
        <v>76.906</v>
      </c>
      <c r="D94" s="0" t="n">
        <v>1.865</v>
      </c>
      <c r="E94" s="0" t="n">
        <v>0</v>
      </c>
      <c r="F94" s="0" t="s">
        <v>97</v>
      </c>
      <c r="G94" s="0" t="n">
        <v>16</v>
      </c>
      <c r="H94" s="0" t="n">
        <v>0</v>
      </c>
      <c r="I94" s="0" t="s">
        <v>282</v>
      </c>
      <c r="J94" s="0" t="s">
        <v>283</v>
      </c>
      <c r="K94" s="0" t="s">
        <v>44</v>
      </c>
    </row>
    <row r="95" customFormat="false" ht="15" hidden="false" customHeight="false" outlineLevel="0" collapsed="false">
      <c r="A95" s="0" t="s">
        <v>284</v>
      </c>
      <c r="B95" s="0" t="s">
        <v>285</v>
      </c>
      <c r="C95" s="0" t="n">
        <v>55.229</v>
      </c>
      <c r="D95" s="0" t="n">
        <v>1.865</v>
      </c>
      <c r="E95" s="0" t="n">
        <v>0</v>
      </c>
      <c r="F95" s="0" t="s">
        <v>97</v>
      </c>
      <c r="G95" s="0" t="n">
        <v>16</v>
      </c>
      <c r="H95" s="0" t="n">
        <v>0</v>
      </c>
      <c r="I95" s="0" t="s">
        <v>282</v>
      </c>
      <c r="J95" s="0" t="s">
        <v>286</v>
      </c>
      <c r="K95" s="0" t="s">
        <v>44</v>
      </c>
    </row>
    <row r="96" customFormat="false" ht="15" hidden="false" customHeight="false" outlineLevel="0" collapsed="false">
      <c r="A96" s="0" t="s">
        <v>287</v>
      </c>
      <c r="B96" s="0" t="s">
        <v>288</v>
      </c>
      <c r="C96" s="0" t="n">
        <v>20.896</v>
      </c>
      <c r="D96" s="0" t="n">
        <v>1.865</v>
      </c>
      <c r="E96" s="0" t="n">
        <v>0</v>
      </c>
      <c r="F96" s="0" t="s">
        <v>97</v>
      </c>
      <c r="G96" s="0" t="n">
        <v>16</v>
      </c>
      <c r="H96" s="0" t="n">
        <v>0</v>
      </c>
      <c r="I96" s="0" t="s">
        <v>282</v>
      </c>
      <c r="J96" s="0" t="s">
        <v>286</v>
      </c>
      <c r="K96" s="0" t="s">
        <v>44</v>
      </c>
    </row>
    <row r="97" customFormat="false" ht="15" hidden="false" customHeight="false" outlineLevel="0" collapsed="false">
      <c r="A97" s="0" t="s">
        <v>289</v>
      </c>
      <c r="B97" s="0" t="s">
        <v>290</v>
      </c>
      <c r="C97" s="0" t="n">
        <v>51.24</v>
      </c>
      <c r="D97" s="0" t="n">
        <v>1.865</v>
      </c>
      <c r="E97" s="0" t="n">
        <v>0</v>
      </c>
      <c r="F97" s="0" t="s">
        <v>97</v>
      </c>
      <c r="G97" s="0" t="n">
        <v>16</v>
      </c>
      <c r="H97" s="0" t="n">
        <v>0</v>
      </c>
      <c r="I97" s="0" t="s">
        <v>282</v>
      </c>
      <c r="J97" s="0" t="s">
        <v>291</v>
      </c>
      <c r="K97" s="0" t="s">
        <v>44</v>
      </c>
    </row>
    <row r="98" customFormat="false" ht="15" hidden="false" customHeight="false" outlineLevel="0" collapsed="false">
      <c r="A98" s="0" t="s">
        <v>292</v>
      </c>
      <c r="B98" s="0" t="s">
        <v>293</v>
      </c>
      <c r="C98" s="0" t="n">
        <v>2.365</v>
      </c>
      <c r="D98" s="0" t="n">
        <v>1.865</v>
      </c>
      <c r="E98" s="0" t="n">
        <v>0</v>
      </c>
      <c r="F98" s="0" t="s">
        <v>97</v>
      </c>
      <c r="G98" s="0" t="n">
        <v>16</v>
      </c>
      <c r="H98" s="0" t="n">
        <v>0</v>
      </c>
      <c r="I98" s="0" t="s">
        <v>282</v>
      </c>
      <c r="J98" s="0" t="s">
        <v>291</v>
      </c>
      <c r="K98" s="0" t="s">
        <v>44</v>
      </c>
    </row>
    <row r="99" customFormat="false" ht="15" hidden="false" customHeight="false" outlineLevel="0" collapsed="false">
      <c r="A99" s="0" t="s">
        <v>294</v>
      </c>
      <c r="B99" s="0" t="s">
        <v>295</v>
      </c>
      <c r="C99" s="0" t="n">
        <v>22.167</v>
      </c>
      <c r="D99" s="0" t="n">
        <v>1.865</v>
      </c>
      <c r="E99" s="0" t="n">
        <v>0</v>
      </c>
      <c r="F99" s="0" t="s">
        <v>97</v>
      </c>
      <c r="G99" s="0" t="n">
        <v>16</v>
      </c>
      <c r="H99" s="0" t="n">
        <v>0</v>
      </c>
      <c r="I99" s="0" t="s">
        <v>282</v>
      </c>
      <c r="J99" s="0" t="s">
        <v>296</v>
      </c>
      <c r="K99" s="0" t="s">
        <v>44</v>
      </c>
    </row>
    <row r="100" customFormat="false" ht="15" hidden="false" customHeight="false" outlineLevel="0" collapsed="false">
      <c r="A100" s="0" t="s">
        <v>297</v>
      </c>
      <c r="B100" s="0" t="s">
        <v>298</v>
      </c>
      <c r="C100" s="0" t="n">
        <v>4.75</v>
      </c>
      <c r="D100" s="0" t="n">
        <v>1.865</v>
      </c>
      <c r="E100" s="0" t="n">
        <v>0</v>
      </c>
      <c r="F100" s="0" t="s">
        <v>97</v>
      </c>
      <c r="G100" s="0" t="n">
        <v>16</v>
      </c>
      <c r="H100" s="0" t="n">
        <v>0</v>
      </c>
      <c r="I100" s="0" t="s">
        <v>282</v>
      </c>
      <c r="J100" s="0" t="s">
        <v>296</v>
      </c>
      <c r="K100" s="0" t="s">
        <v>44</v>
      </c>
    </row>
    <row r="101" customFormat="false" ht="15" hidden="false" customHeight="false" outlineLevel="0" collapsed="false">
      <c r="A101" s="5" t="s">
        <v>299</v>
      </c>
    </row>
    <row r="102" customFormat="false" ht="15" hidden="false" customHeight="false" outlineLevel="0" collapsed="false">
      <c r="A102" s="0" t="s">
        <v>300</v>
      </c>
      <c r="B102" s="0" t="s">
        <v>301</v>
      </c>
      <c r="C102" s="0" t="n">
        <v>17.688</v>
      </c>
      <c r="D102" s="0" t="n">
        <v>3.365</v>
      </c>
      <c r="E102" s="0" t="n">
        <v>0</v>
      </c>
      <c r="F102" s="0" t="s">
        <v>97</v>
      </c>
      <c r="G102" s="0" t="n">
        <v>16</v>
      </c>
      <c r="H102" s="0" t="n">
        <v>0</v>
      </c>
      <c r="I102" s="0" t="s">
        <v>302</v>
      </c>
      <c r="J102" s="0" t="s">
        <v>283</v>
      </c>
      <c r="K102" s="0" t="s">
        <v>44</v>
      </c>
    </row>
    <row r="103" customFormat="false" ht="15" hidden="false" customHeight="false" outlineLevel="0" collapsed="false">
      <c r="A103" s="0" t="s">
        <v>303</v>
      </c>
      <c r="B103" s="0" t="s">
        <v>304</v>
      </c>
      <c r="C103" s="0" t="n">
        <v>39.854</v>
      </c>
      <c r="D103" s="0" t="n">
        <v>4.344</v>
      </c>
      <c r="E103" s="0" t="n">
        <v>0</v>
      </c>
      <c r="F103" s="0" t="s">
        <v>97</v>
      </c>
      <c r="G103" s="0" t="n">
        <v>16</v>
      </c>
      <c r="H103" s="0" t="n">
        <v>0</v>
      </c>
      <c r="I103" s="0" t="s">
        <v>302</v>
      </c>
      <c r="J103" s="0" t="s">
        <v>283</v>
      </c>
      <c r="K103" s="0" t="s">
        <v>44</v>
      </c>
    </row>
    <row r="104" customFormat="false" ht="15" hidden="false" customHeight="false" outlineLevel="0" collapsed="false">
      <c r="A104" s="0" t="s">
        <v>305</v>
      </c>
      <c r="B104" s="0" t="s">
        <v>306</v>
      </c>
      <c r="C104" s="0" t="n">
        <v>30.354</v>
      </c>
      <c r="D104" s="0" t="n">
        <v>17.02</v>
      </c>
      <c r="E104" s="0" t="n">
        <v>0</v>
      </c>
      <c r="F104" s="0" t="s">
        <v>97</v>
      </c>
      <c r="G104" s="0" t="n">
        <v>16</v>
      </c>
      <c r="H104" s="0" t="n">
        <v>0</v>
      </c>
      <c r="I104" s="0" t="s">
        <v>302</v>
      </c>
      <c r="J104" s="0" t="s">
        <v>286</v>
      </c>
      <c r="K104" s="0" t="s">
        <v>44</v>
      </c>
    </row>
    <row r="105" customFormat="false" ht="15" hidden="false" customHeight="false" outlineLevel="0" collapsed="false">
      <c r="A105" s="0" t="s">
        <v>307</v>
      </c>
      <c r="B105" s="0" t="s">
        <v>308</v>
      </c>
      <c r="C105" s="0" t="n">
        <v>22.01</v>
      </c>
      <c r="D105" s="0" t="n">
        <v>20.896</v>
      </c>
      <c r="E105" s="0" t="n">
        <v>0</v>
      </c>
      <c r="F105" s="0" t="s">
        <v>97</v>
      </c>
      <c r="G105" s="0" t="n">
        <v>16</v>
      </c>
      <c r="H105" s="0" t="n">
        <v>0</v>
      </c>
      <c r="I105" s="0" t="s">
        <v>302</v>
      </c>
      <c r="J105" s="0" t="s">
        <v>286</v>
      </c>
      <c r="K105" s="0" t="s">
        <v>44</v>
      </c>
    </row>
    <row r="106" customFormat="false" ht="15" hidden="false" customHeight="false" outlineLevel="0" collapsed="false">
      <c r="A106" s="0" t="s">
        <v>309</v>
      </c>
      <c r="B106" s="0" t="s">
        <v>310</v>
      </c>
      <c r="C106" s="0" t="n">
        <v>47.365</v>
      </c>
      <c r="D106" s="0" t="n">
        <v>2.844</v>
      </c>
      <c r="E106" s="0" t="n">
        <v>0</v>
      </c>
      <c r="F106" s="0" t="s">
        <v>97</v>
      </c>
      <c r="G106" s="0" t="n">
        <v>16</v>
      </c>
      <c r="H106" s="0" t="n">
        <v>0</v>
      </c>
      <c r="I106" s="0" t="s">
        <v>302</v>
      </c>
      <c r="J106" s="0" t="s">
        <v>291</v>
      </c>
      <c r="K106" s="0" t="s">
        <v>44</v>
      </c>
    </row>
    <row r="107" customFormat="false" ht="15" hidden="false" customHeight="false" outlineLevel="0" collapsed="false">
      <c r="A107" s="0" t="s">
        <v>311</v>
      </c>
      <c r="B107" s="0" t="s">
        <v>312</v>
      </c>
      <c r="C107" s="0" t="n">
        <v>22.167</v>
      </c>
      <c r="D107" s="0" t="n">
        <v>2.74</v>
      </c>
      <c r="E107" s="0" t="n">
        <v>0</v>
      </c>
      <c r="F107" s="0" t="s">
        <v>97</v>
      </c>
      <c r="G107" s="0" t="n">
        <v>16</v>
      </c>
      <c r="H107" s="0" t="n">
        <v>0</v>
      </c>
      <c r="I107" s="0" t="s">
        <v>302</v>
      </c>
      <c r="J107" s="0" t="s">
        <v>296</v>
      </c>
      <c r="K107" s="0" t="s">
        <v>44</v>
      </c>
    </row>
    <row r="108" customFormat="false" ht="15" hidden="false" customHeight="false" outlineLevel="0" collapsed="false">
      <c r="A108" s="5" t="s">
        <v>313</v>
      </c>
    </row>
    <row r="109" customFormat="false" ht="15" hidden="false" customHeight="false" outlineLevel="0" collapsed="false">
      <c r="A109" s="0" t="s">
        <v>314</v>
      </c>
      <c r="B109" s="0" t="s">
        <v>315</v>
      </c>
      <c r="C109" s="0" t="n">
        <v>5.667</v>
      </c>
      <c r="D109" s="0" t="n">
        <v>10.604</v>
      </c>
      <c r="E109" s="0" t="n">
        <v>0</v>
      </c>
      <c r="F109" s="0" t="s">
        <v>97</v>
      </c>
      <c r="G109" s="0" t="n">
        <v>16</v>
      </c>
      <c r="H109" s="0" t="n">
        <v>0</v>
      </c>
      <c r="I109" s="0" t="s">
        <v>316</v>
      </c>
      <c r="J109" s="0" t="s">
        <v>317</v>
      </c>
      <c r="K109" s="0" t="s">
        <v>44</v>
      </c>
    </row>
    <row r="110" customFormat="false" ht="15" hidden="false" customHeight="false" outlineLevel="0" collapsed="false">
      <c r="A110" s="0" t="s">
        <v>318</v>
      </c>
      <c r="B110" s="0" t="s">
        <v>319</v>
      </c>
      <c r="C110" s="0" t="n">
        <v>5.667</v>
      </c>
      <c r="D110" s="0" t="n">
        <v>10.604</v>
      </c>
      <c r="E110" s="0" t="n">
        <v>0</v>
      </c>
      <c r="F110" s="0" t="s">
        <v>97</v>
      </c>
      <c r="G110" s="0" t="n">
        <v>16</v>
      </c>
      <c r="H110" s="0" t="n">
        <v>0</v>
      </c>
      <c r="I110" s="0" t="s">
        <v>316</v>
      </c>
      <c r="J110" s="0" t="s">
        <v>317</v>
      </c>
      <c r="K110" s="0" t="s">
        <v>44</v>
      </c>
    </row>
    <row r="111" customFormat="false" ht="15" hidden="false" customHeight="false" outlineLevel="0" collapsed="false">
      <c r="A111" s="0" t="s">
        <v>320</v>
      </c>
      <c r="B111" s="0" t="s">
        <v>321</v>
      </c>
      <c r="C111" s="0" t="n">
        <v>5.667</v>
      </c>
      <c r="D111" s="0" t="n">
        <v>10.604</v>
      </c>
      <c r="E111" s="0" t="n">
        <v>0</v>
      </c>
      <c r="F111" s="0" t="s">
        <v>97</v>
      </c>
      <c r="G111" s="0" t="n">
        <v>16</v>
      </c>
      <c r="H111" s="0" t="n">
        <v>0</v>
      </c>
      <c r="I111" s="0" t="s">
        <v>316</v>
      </c>
      <c r="J111" s="0" t="s">
        <v>317</v>
      </c>
      <c r="K111" s="0" t="s">
        <v>44</v>
      </c>
    </row>
    <row r="112" customFormat="false" ht="15" hidden="false" customHeight="false" outlineLevel="0" collapsed="false">
      <c r="A112" s="0" t="s">
        <v>322</v>
      </c>
      <c r="B112" s="0" t="s">
        <v>323</v>
      </c>
      <c r="C112" s="0" t="n">
        <v>5.667</v>
      </c>
      <c r="D112" s="0" t="n">
        <v>10.604</v>
      </c>
      <c r="E112" s="0" t="n">
        <v>0</v>
      </c>
      <c r="F112" s="0" t="s">
        <v>97</v>
      </c>
      <c r="G112" s="0" t="n">
        <v>16</v>
      </c>
      <c r="H112" s="0" t="n">
        <v>0</v>
      </c>
      <c r="I112" s="0" t="s">
        <v>316</v>
      </c>
      <c r="J112" s="0" t="s">
        <v>317</v>
      </c>
      <c r="K112" s="0" t="s">
        <v>44</v>
      </c>
    </row>
    <row r="113" customFormat="false" ht="15" hidden="false" customHeight="false" outlineLevel="0" collapsed="false">
      <c r="A113" s="5" t="s">
        <v>324</v>
      </c>
    </row>
    <row r="114" customFormat="false" ht="15" hidden="false" customHeight="false" outlineLevel="0" collapsed="false">
      <c r="A114" s="0" t="s">
        <v>325</v>
      </c>
      <c r="B114" s="0" t="s">
        <v>326</v>
      </c>
      <c r="C114" s="0" t="n">
        <v>4</v>
      </c>
      <c r="D114" s="0" t="n">
        <v>15.375</v>
      </c>
      <c r="E114" s="0" t="n">
        <v>1</v>
      </c>
      <c r="F114" s="0" t="s">
        <v>97</v>
      </c>
      <c r="G114" s="0" t="n">
        <v>16</v>
      </c>
      <c r="H114" s="0" t="n">
        <v>61.5</v>
      </c>
      <c r="I114" s="0" t="s">
        <v>327</v>
      </c>
      <c r="J114" s="0" t="s">
        <v>137</v>
      </c>
      <c r="K114" s="0" t="s">
        <v>44</v>
      </c>
    </row>
    <row r="115" customFormat="false" ht="15" hidden="false" customHeight="false" outlineLevel="0" collapsed="false">
      <c r="A115" s="0" t="s">
        <v>328</v>
      </c>
      <c r="B115" s="0" t="s">
        <v>329</v>
      </c>
      <c r="C115" s="0" t="n">
        <v>5.067</v>
      </c>
      <c r="D115" s="0" t="n">
        <v>15.375</v>
      </c>
      <c r="E115" s="0" t="n">
        <v>1</v>
      </c>
      <c r="F115" s="0" t="s">
        <v>97</v>
      </c>
      <c r="G115" s="0" t="n">
        <v>16</v>
      </c>
      <c r="H115" s="0" t="n">
        <v>77.91</v>
      </c>
      <c r="I115" s="0" t="s">
        <v>330</v>
      </c>
      <c r="J115" s="0" t="s">
        <v>137</v>
      </c>
      <c r="K115" s="0" t="s">
        <v>44</v>
      </c>
    </row>
    <row r="116" customFormat="false" ht="15" hidden="false" customHeight="false" outlineLevel="0" collapsed="false">
      <c r="A116" s="5" t="s">
        <v>331</v>
      </c>
    </row>
    <row r="117" customFormat="false" ht="15" hidden="false" customHeight="false" outlineLevel="0" collapsed="false">
      <c r="A117" s="0" t="s">
        <v>332</v>
      </c>
      <c r="B117" s="0" t="s">
        <v>333</v>
      </c>
      <c r="C117" s="0" t="n">
        <v>15.646</v>
      </c>
      <c r="D117" s="0" t="n">
        <v>5.375</v>
      </c>
      <c r="E117" s="0" t="n">
        <v>0</v>
      </c>
      <c r="F117" s="0" t="s">
        <v>97</v>
      </c>
      <c r="G117" s="0" t="n">
        <v>16</v>
      </c>
      <c r="H117" s="0" t="n">
        <v>0</v>
      </c>
      <c r="I117" s="0" t="s">
        <v>334</v>
      </c>
      <c r="J117" s="0" t="s">
        <v>335</v>
      </c>
      <c r="K117" s="0" t="s">
        <v>44</v>
      </c>
    </row>
    <row r="118" customFormat="false" ht="15" hidden="false" customHeight="false" outlineLevel="0" collapsed="false">
      <c r="A118" s="0" t="s">
        <v>336</v>
      </c>
      <c r="B118" s="0" t="s">
        <v>337</v>
      </c>
      <c r="C118" s="0" t="n">
        <v>6.417</v>
      </c>
      <c r="D118" s="0" t="n">
        <v>5.375</v>
      </c>
      <c r="E118" s="0" t="n">
        <v>1</v>
      </c>
      <c r="F118" s="0" t="s">
        <v>97</v>
      </c>
      <c r="G118" s="0" t="n">
        <v>16</v>
      </c>
      <c r="H118" s="0" t="n">
        <v>12.83</v>
      </c>
      <c r="I118" s="0" t="s">
        <v>338</v>
      </c>
      <c r="J118" s="0" t="s">
        <v>339</v>
      </c>
      <c r="K118" s="0" t="s">
        <v>44</v>
      </c>
    </row>
    <row r="119" customFormat="false" ht="15" hidden="false" customHeight="false" outlineLevel="0" collapsed="false">
      <c r="A119" s="5" t="s">
        <v>340</v>
      </c>
    </row>
    <row r="120" customFormat="false" ht="15" hidden="false" customHeight="false" outlineLevel="0" collapsed="false">
      <c r="A120" s="0" t="s">
        <v>341</v>
      </c>
      <c r="B120" s="0" t="s">
        <v>342</v>
      </c>
      <c r="C120" s="0" t="n">
        <v>14.25</v>
      </c>
      <c r="D120" s="0" t="n">
        <v>1</v>
      </c>
      <c r="E120" s="0" t="n">
        <v>1</v>
      </c>
      <c r="F120" s="0" t="s">
        <v>343</v>
      </c>
      <c r="G120" s="0" t="n">
        <v>16</v>
      </c>
      <c r="H120" s="0" t="n">
        <v>28.5</v>
      </c>
      <c r="I120" s="0" t="s">
        <v>344</v>
      </c>
      <c r="J120" s="0" t="s">
        <v>345</v>
      </c>
      <c r="K120" s="0" t="s">
        <v>44</v>
      </c>
    </row>
    <row r="121" customFormat="false" ht="15" hidden="false" customHeight="false" outlineLevel="0" collapsed="false">
      <c r="A121" s="5" t="s">
        <v>346</v>
      </c>
    </row>
    <row r="122" customFormat="false" ht="15" hidden="false" customHeight="false" outlineLevel="0" collapsed="false">
      <c r="A122" s="0" t="s">
        <v>347</v>
      </c>
      <c r="B122" s="0" t="s">
        <v>348</v>
      </c>
      <c r="C122" s="0" t="n">
        <v>6.87</v>
      </c>
      <c r="D122" s="0" t="n">
        <v>3</v>
      </c>
      <c r="E122" s="0" t="n">
        <v>1</v>
      </c>
      <c r="F122" s="0" t="s">
        <v>97</v>
      </c>
      <c r="G122" s="0" t="n">
        <v>16</v>
      </c>
      <c r="H122" s="0" t="n">
        <v>24.05</v>
      </c>
      <c r="I122" s="0" t="s">
        <v>349</v>
      </c>
      <c r="J122" s="0" t="s">
        <v>350</v>
      </c>
      <c r="K122" s="0" t="s">
        <v>44</v>
      </c>
    </row>
    <row r="123" customFormat="false" ht="15" hidden="false" customHeight="false" outlineLevel="0" collapsed="false">
      <c r="A123" s="5" t="s">
        <v>351</v>
      </c>
    </row>
    <row r="124" customFormat="false" ht="15" hidden="false" customHeight="false" outlineLevel="0" collapsed="false">
      <c r="A124" s="0" t="s">
        <v>352</v>
      </c>
      <c r="B124" s="0" t="s">
        <v>353</v>
      </c>
      <c r="C124" s="0" t="n">
        <v>77.03</v>
      </c>
      <c r="D124" s="0" t="n">
        <v>4.375</v>
      </c>
      <c r="E124" s="0" t="n">
        <v>1</v>
      </c>
      <c r="F124" s="0" t="s">
        <v>97</v>
      </c>
      <c r="G124" s="0" t="n">
        <v>16</v>
      </c>
      <c r="H124" s="0" t="n">
        <v>77.03</v>
      </c>
      <c r="I124" s="0" t="s">
        <v>354</v>
      </c>
      <c r="J124" s="0" t="s">
        <v>355</v>
      </c>
      <c r="K124" s="0" t="s">
        <v>44</v>
      </c>
    </row>
    <row r="125" customFormat="false" ht="15" hidden="false" customHeight="false" outlineLevel="0" collapsed="false">
      <c r="A125" s="5" t="s">
        <v>356</v>
      </c>
    </row>
    <row r="126" customFormat="false" ht="15" hidden="false" customHeight="false" outlineLevel="0" collapsed="false">
      <c r="A126" s="0" t="s">
        <v>357</v>
      </c>
      <c r="B126" s="0" t="s">
        <v>358</v>
      </c>
      <c r="C126" s="0" t="n">
        <v>12.01</v>
      </c>
      <c r="D126" s="0" t="n">
        <v>7.375</v>
      </c>
      <c r="E126" s="0" t="n">
        <v>1</v>
      </c>
      <c r="F126" s="0" t="s">
        <v>97</v>
      </c>
      <c r="G126" s="0" t="n">
        <v>16</v>
      </c>
      <c r="H126" s="0" t="n">
        <v>18.02</v>
      </c>
      <c r="I126" s="0" t="s">
        <v>359</v>
      </c>
      <c r="J126" s="0" t="s">
        <v>360</v>
      </c>
      <c r="K126" s="0" t="s">
        <v>44</v>
      </c>
    </row>
    <row r="127" customFormat="false" ht="15" hidden="false" customHeight="false" outlineLevel="0" collapsed="false">
      <c r="A127" s="0" t="s">
        <v>361</v>
      </c>
      <c r="B127" s="0" t="s">
        <v>362</v>
      </c>
      <c r="C127" s="0" t="n">
        <v>12.01</v>
      </c>
      <c r="D127" s="0" t="n">
        <v>7.375</v>
      </c>
      <c r="E127" s="0" t="n">
        <v>1</v>
      </c>
      <c r="F127" s="0" t="s">
        <v>97</v>
      </c>
      <c r="G127" s="0" t="n">
        <v>16</v>
      </c>
      <c r="H127" s="0" t="n">
        <v>18.02</v>
      </c>
      <c r="I127" s="0" t="s">
        <v>359</v>
      </c>
      <c r="J127" s="0" t="s">
        <v>360</v>
      </c>
      <c r="K127" s="0" t="s">
        <v>44</v>
      </c>
    </row>
    <row r="128" customFormat="false" ht="15" hidden="false" customHeight="false" outlineLevel="0" collapsed="false">
      <c r="A128" s="5" t="s">
        <v>363</v>
      </c>
    </row>
    <row r="129" customFormat="false" ht="15" hidden="false" customHeight="false" outlineLevel="0" collapsed="false">
      <c r="A129" s="0" t="s">
        <v>364</v>
      </c>
      <c r="B129" s="0" t="s">
        <v>365</v>
      </c>
      <c r="C129" s="0" t="n">
        <v>52.333</v>
      </c>
      <c r="D129" s="0" t="n">
        <v>2.323</v>
      </c>
      <c r="E129" s="0" t="n">
        <v>0</v>
      </c>
      <c r="F129" s="0" t="s">
        <v>97</v>
      </c>
      <c r="G129" s="0" t="n">
        <v>16</v>
      </c>
      <c r="H129" s="0" t="n">
        <v>0</v>
      </c>
      <c r="I129" s="0" t="s">
        <v>366</v>
      </c>
      <c r="J129" s="0" t="s">
        <v>367</v>
      </c>
      <c r="K129" s="0" t="s">
        <v>44</v>
      </c>
    </row>
    <row r="130" customFormat="false" ht="15" hidden="false" customHeight="false" outlineLevel="0" collapsed="false">
      <c r="A130" s="0" t="s">
        <v>368</v>
      </c>
      <c r="B130" s="0" t="s">
        <v>369</v>
      </c>
      <c r="C130" s="0" t="n">
        <v>52.333</v>
      </c>
      <c r="D130" s="0" t="n">
        <v>3.463</v>
      </c>
      <c r="E130" s="0" t="n">
        <v>1</v>
      </c>
      <c r="F130" s="0" t="s">
        <v>97</v>
      </c>
      <c r="G130" s="0" t="n">
        <v>16</v>
      </c>
      <c r="H130" s="0" t="n">
        <v>181.23</v>
      </c>
      <c r="I130" s="0" t="s">
        <v>370</v>
      </c>
      <c r="J130" s="0" t="s">
        <v>367</v>
      </c>
      <c r="K130" s="0" t="s">
        <v>44</v>
      </c>
    </row>
    <row r="131" customFormat="false" ht="15" hidden="false" customHeight="false" outlineLevel="0" collapsed="false">
      <c r="A131" s="0" t="s">
        <v>371</v>
      </c>
      <c r="B131" s="0" t="s">
        <v>372</v>
      </c>
      <c r="C131" s="0" t="n">
        <v>52.333</v>
      </c>
      <c r="D131" s="0" t="n">
        <v>1.142</v>
      </c>
      <c r="E131" s="0" t="n">
        <v>1</v>
      </c>
      <c r="F131" s="0" t="s">
        <v>97</v>
      </c>
      <c r="G131" s="0" t="n">
        <v>16</v>
      </c>
      <c r="H131" s="0" t="n">
        <v>59.76</v>
      </c>
      <c r="I131" s="0" t="s">
        <v>373</v>
      </c>
      <c r="J131" s="0" t="s">
        <v>367</v>
      </c>
      <c r="K131" s="0" t="s">
        <v>44</v>
      </c>
    </row>
    <row r="132" customFormat="false" ht="15" hidden="false" customHeight="false" outlineLevel="0" collapsed="false">
      <c r="A132" s="5" t="s">
        <v>374</v>
      </c>
    </row>
    <row r="133" customFormat="false" ht="15" hidden="false" customHeight="false" outlineLevel="0" collapsed="false">
      <c r="A133" s="0" t="s">
        <v>375</v>
      </c>
      <c r="B133" s="0" t="s">
        <v>376</v>
      </c>
      <c r="C133" s="0" t="n">
        <v>7.5</v>
      </c>
      <c r="D133" s="0" t="n">
        <v>7.333</v>
      </c>
      <c r="E133" s="0" t="n">
        <v>2</v>
      </c>
      <c r="F133" s="0" t="s">
        <v>31</v>
      </c>
      <c r="G133" s="0" t="n">
        <v>16</v>
      </c>
      <c r="H133" s="0" t="n">
        <v>220</v>
      </c>
      <c r="I133" s="0" t="s">
        <v>377</v>
      </c>
      <c r="J133" s="0" t="s">
        <v>378</v>
      </c>
      <c r="K133" s="0" t="s">
        <v>44</v>
      </c>
    </row>
    <row r="134" customFormat="false" ht="15" hidden="false" customHeight="false" outlineLevel="0" collapsed="false">
      <c r="A134" s="0" t="s">
        <v>379</v>
      </c>
      <c r="B134" s="0" t="s">
        <v>380</v>
      </c>
      <c r="C134" s="0" t="n">
        <v>7.5</v>
      </c>
      <c r="D134" s="0" t="n">
        <v>7.333</v>
      </c>
      <c r="E134" s="0" t="n">
        <v>2</v>
      </c>
      <c r="F134" s="0" t="s">
        <v>31</v>
      </c>
      <c r="G134" s="0" t="n">
        <v>16</v>
      </c>
      <c r="H134" s="0" t="n">
        <v>220</v>
      </c>
      <c r="I134" s="0" t="s">
        <v>381</v>
      </c>
      <c r="J134" s="0" t="s">
        <v>378</v>
      </c>
      <c r="K134" s="0" t="s">
        <v>44</v>
      </c>
    </row>
    <row r="135" customFormat="false" ht="15" hidden="false" customHeight="false" outlineLevel="0" collapsed="false">
      <c r="A135" s="0" t="s">
        <v>382</v>
      </c>
      <c r="B135" s="0" t="s">
        <v>383</v>
      </c>
      <c r="C135" s="0" t="n">
        <v>7.5</v>
      </c>
      <c r="D135" s="0" t="n">
        <v>7.333</v>
      </c>
      <c r="E135" s="0" t="n">
        <v>2</v>
      </c>
      <c r="F135" s="0" t="s">
        <v>31</v>
      </c>
      <c r="G135" s="0" t="n">
        <v>16</v>
      </c>
      <c r="H135" s="0" t="n">
        <v>220</v>
      </c>
      <c r="I135" s="0" t="s">
        <v>384</v>
      </c>
      <c r="J135" s="0" t="s">
        <v>378</v>
      </c>
      <c r="K135" s="0" t="s">
        <v>44</v>
      </c>
    </row>
    <row r="136" customFormat="false" ht="15" hidden="false" customHeight="false" outlineLevel="0" collapsed="false">
      <c r="A136" s="0" t="s">
        <v>385</v>
      </c>
      <c r="B136" s="0" t="s">
        <v>386</v>
      </c>
      <c r="C136" s="0" t="n">
        <v>7.5</v>
      </c>
      <c r="D136" s="0" t="n">
        <v>7.333</v>
      </c>
      <c r="E136" s="0" t="n">
        <v>2</v>
      </c>
      <c r="F136" s="0" t="s">
        <v>31</v>
      </c>
      <c r="G136" s="0" t="n">
        <v>16</v>
      </c>
      <c r="H136" s="0" t="n">
        <v>220</v>
      </c>
      <c r="I136" s="0" t="s">
        <v>387</v>
      </c>
      <c r="J136" s="0" t="s">
        <v>378</v>
      </c>
      <c r="K136" s="0" t="s">
        <v>44</v>
      </c>
    </row>
    <row r="137" customFormat="false" ht="15" hidden="false" customHeight="false" outlineLevel="0" collapsed="false">
      <c r="A137" s="5" t="s">
        <v>388</v>
      </c>
    </row>
    <row r="138" customFormat="false" ht="15" hidden="false" customHeight="false" outlineLevel="0" collapsed="false">
      <c r="A138" s="0" t="s">
        <v>389</v>
      </c>
      <c r="B138" s="0" t="s">
        <v>390</v>
      </c>
      <c r="C138" s="0" t="n">
        <v>7.5</v>
      </c>
      <c r="D138" s="0" t="n">
        <v>7.333</v>
      </c>
      <c r="E138" s="0" t="n">
        <v>2</v>
      </c>
      <c r="F138" s="0" t="s">
        <v>31</v>
      </c>
      <c r="G138" s="0" t="n">
        <v>16</v>
      </c>
      <c r="H138" s="0" t="n">
        <v>220</v>
      </c>
      <c r="I138" s="0" t="s">
        <v>391</v>
      </c>
      <c r="J138" s="0" t="s">
        <v>378</v>
      </c>
      <c r="K138" s="0" t="s">
        <v>44</v>
      </c>
    </row>
    <row r="139" customFormat="false" ht="15" hidden="false" customHeight="false" outlineLevel="0" collapsed="false">
      <c r="A139" s="0" t="s">
        <v>392</v>
      </c>
      <c r="B139" s="0" t="s">
        <v>393</v>
      </c>
      <c r="C139" s="0" t="n">
        <v>7.5</v>
      </c>
      <c r="D139" s="0" t="n">
        <v>7.333</v>
      </c>
      <c r="E139" s="0" t="n">
        <v>2</v>
      </c>
      <c r="F139" s="0" t="s">
        <v>31</v>
      </c>
      <c r="G139" s="0" t="n">
        <v>16</v>
      </c>
      <c r="H139" s="0" t="n">
        <v>220</v>
      </c>
      <c r="I139" s="0" t="s">
        <v>394</v>
      </c>
      <c r="J139" s="0" t="s">
        <v>378</v>
      </c>
      <c r="K139" s="0" t="s">
        <v>44</v>
      </c>
    </row>
    <row r="140" customFormat="false" ht="15" hidden="false" customHeight="false" outlineLevel="0" collapsed="false">
      <c r="A140" s="6" t="s">
        <v>395</v>
      </c>
      <c r="C140" s="3" t="n">
        <f aca="false">SUM(C5:C139)</f>
        <v>1712.371</v>
      </c>
      <c r="H140" s="3" t="n">
        <f aca="false">SUM(H5:H139)</f>
        <v>16808.29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0" t="s">
        <v>397</v>
      </c>
    </row>
    <row r="3" customFormat="false" ht="15" hidden="false" customHeight="false" outlineLevel="0" collapsed="false">
      <c r="A3" s="4" t="s">
        <v>398</v>
      </c>
      <c r="B3" s="4" t="s">
        <v>399</v>
      </c>
      <c r="C3" s="4" t="s">
        <v>400</v>
      </c>
      <c r="D3" s="4" t="s">
        <v>401</v>
      </c>
      <c r="E3" s="4" t="s">
        <v>402</v>
      </c>
      <c r="F3" s="4" t="s">
        <v>403</v>
      </c>
      <c r="G3" s="4" t="s">
        <v>404</v>
      </c>
      <c r="H3" s="4" t="s">
        <v>405</v>
      </c>
      <c r="I3" s="4" t="s">
        <v>406</v>
      </c>
    </row>
    <row r="4" customFormat="false" ht="15" hidden="false" customHeight="false" outlineLevel="0" collapsed="false">
      <c r="A4" s="0" t="s">
        <v>407</v>
      </c>
      <c r="B4" s="0" t="s">
        <v>408</v>
      </c>
      <c r="C4" s="0" t="n">
        <v>4584.34</v>
      </c>
      <c r="D4" s="0" t="n">
        <f aca="false">Inputs!$B$4</f>
        <v>0.15</v>
      </c>
      <c r="E4" s="0" t="n">
        <f aca="false">C4*D4</f>
        <v>687.651</v>
      </c>
      <c r="F4" s="0" t="n">
        <f aca="false">C4+E4</f>
        <v>5271.991</v>
      </c>
      <c r="G4" s="0" t="s">
        <v>409</v>
      </c>
      <c r="H4" s="0" t="n">
        <f aca="false">ROUNDUP(ROUNDUP(F4/14.36,0)/MAX(1,INT(20/14.36)),0)</f>
        <v>368</v>
      </c>
      <c r="I4" s="0" t="s">
        <v>410</v>
      </c>
    </row>
    <row r="5" customFormat="false" ht="15" hidden="false" customHeight="false" outlineLevel="0" collapsed="false">
      <c r="A5" s="0" t="s">
        <v>411</v>
      </c>
      <c r="B5" s="0" t="s">
        <v>408</v>
      </c>
      <c r="C5" s="0" t="n">
        <v>6480.69</v>
      </c>
      <c r="D5" s="0" t="n">
        <f aca="false">Inputs!$B$4</f>
        <v>0.15</v>
      </c>
      <c r="E5" s="0" t="n">
        <f aca="false">C5*D5</f>
        <v>972.1035</v>
      </c>
      <c r="F5" s="0" t="n">
        <f aca="false">C5+E5</f>
        <v>7452.7935</v>
      </c>
      <c r="G5" s="0" t="s">
        <v>409</v>
      </c>
      <c r="H5" s="0" t="n">
        <f aca="false">ROUNDUP(ROUNDUP(F5/15.375,0)/MAX(1,INT(20/15.375)),0)</f>
        <v>485</v>
      </c>
      <c r="I5" s="0" t="s">
        <v>412</v>
      </c>
    </row>
    <row r="6" customFormat="false" ht="15" hidden="false" customHeight="false" outlineLevel="0" collapsed="false">
      <c r="A6" s="0" t="s">
        <v>413</v>
      </c>
      <c r="B6" s="0" t="s">
        <v>408</v>
      </c>
      <c r="C6" s="0" t="n">
        <v>3998.45</v>
      </c>
      <c r="D6" s="0" t="n">
        <f aca="false">Inputs!$B$4</f>
        <v>0.15</v>
      </c>
      <c r="E6" s="0" t="n">
        <f aca="false">C6*D6</f>
        <v>599.7675</v>
      </c>
      <c r="F6" s="0" t="n">
        <f aca="false">C6+E6</f>
        <v>4598.2175</v>
      </c>
      <c r="G6" s="0" t="s">
        <v>409</v>
      </c>
      <c r="H6" s="0" t="n">
        <f aca="false">ROUNDUP(ROUNDUP(F6/15.375,0)/MAX(1,INT(20/15.375)),0)</f>
        <v>300</v>
      </c>
      <c r="I6" s="0" t="s">
        <v>414</v>
      </c>
    </row>
    <row r="7" customFormat="false" ht="15" hidden="false" customHeight="false" outlineLevel="0" collapsed="false">
      <c r="A7" s="0" t="s">
        <v>415</v>
      </c>
      <c r="B7" s="0" t="s">
        <v>408</v>
      </c>
      <c r="C7" s="0" t="n">
        <v>12</v>
      </c>
      <c r="D7" s="0" t="n">
        <f aca="false">Inputs!$B$4</f>
        <v>0.15</v>
      </c>
      <c r="E7" s="0" t="n">
        <f aca="false">C7*D7</f>
        <v>1.8</v>
      </c>
      <c r="F7" s="0" t="n">
        <f aca="false">C7+E7</f>
        <v>13.8</v>
      </c>
      <c r="G7" s="0" t="s">
        <v>409</v>
      </c>
      <c r="H7" s="0" t="n">
        <f aca="false">ROUNDUP(ROUNDUP(F7/1,0)/MAX(1,INT(20/1)),0)</f>
        <v>1</v>
      </c>
      <c r="I7" s="0" t="s">
        <v>416</v>
      </c>
    </row>
    <row r="8" customFormat="false" ht="15" hidden="false" customHeight="false" outlineLevel="0" collapsed="false">
      <c r="A8" s="0" t="s">
        <v>417</v>
      </c>
      <c r="B8" s="0" t="s">
        <v>408</v>
      </c>
      <c r="C8" s="0" t="n">
        <v>788.12</v>
      </c>
      <c r="D8" s="0" t="n">
        <f aca="false">Inputs!$B$4</f>
        <v>0.15</v>
      </c>
      <c r="E8" s="0" t="n">
        <f aca="false">C8*D8</f>
        <v>118.218</v>
      </c>
      <c r="F8" s="0" t="n">
        <f aca="false">C8+E8</f>
        <v>906.338</v>
      </c>
      <c r="G8" s="0" t="s">
        <v>409</v>
      </c>
      <c r="H8" s="0" t="n">
        <f aca="false">ROUNDUP(ROUNDUP(F8/4.885,0)/MAX(1,INT(20/4.885)),0)</f>
        <v>47</v>
      </c>
      <c r="I8" s="0" t="s">
        <v>418</v>
      </c>
    </row>
    <row r="9" customFormat="false" ht="15" hidden="false" customHeight="false" outlineLevel="0" collapsed="false">
      <c r="A9" s="0" t="s">
        <v>419</v>
      </c>
      <c r="B9" s="0" t="s">
        <v>408</v>
      </c>
      <c r="C9" s="0" t="n">
        <v>1347</v>
      </c>
      <c r="D9" s="0" t="n">
        <f aca="false">Inputs!$B$4</f>
        <v>0.15</v>
      </c>
      <c r="E9" s="0" t="n">
        <f aca="false">C9*D9</f>
        <v>202.05</v>
      </c>
      <c r="F9" s="0" t="n">
        <f aca="false">C9+E9</f>
        <v>1549.05</v>
      </c>
      <c r="G9" s="0" t="s">
        <v>420</v>
      </c>
      <c r="H9" s="0" t="n">
        <f aca="false">ROUNDUP(F9/10,0)</f>
        <v>155</v>
      </c>
      <c r="I9" s="0" t="s">
        <v>421</v>
      </c>
    </row>
    <row r="10" customFormat="false" ht="15" hidden="false" customHeight="false" outlineLevel="0" collapsed="false">
      <c r="A10" s="0" t="s">
        <v>422</v>
      </c>
      <c r="B10" s="0" t="s">
        <v>408</v>
      </c>
      <c r="C10" s="0" t="n">
        <v>1347</v>
      </c>
      <c r="D10" s="0" t="n">
        <f aca="false">Inputs!$B$4</f>
        <v>0.15</v>
      </c>
      <c r="E10" s="0" t="n">
        <f aca="false">C10*D10</f>
        <v>202.05</v>
      </c>
      <c r="F10" s="0" t="n">
        <f aca="false">C10+E10</f>
        <v>1549.05</v>
      </c>
      <c r="G10" s="0" t="s">
        <v>420</v>
      </c>
      <c r="H10" s="0" t="n">
        <f aca="false">ROUNDUP(F10/10,0)</f>
        <v>155</v>
      </c>
      <c r="I10" s="0" t="s">
        <v>423</v>
      </c>
    </row>
    <row r="11" customFormat="false" ht="15" hidden="false" customHeight="false" outlineLevel="0" collapsed="false">
      <c r="A11" s="0" t="s">
        <v>424</v>
      </c>
      <c r="B11" s="0" t="s">
        <v>408</v>
      </c>
      <c r="C11" s="0" t="n">
        <v>862.38</v>
      </c>
      <c r="D11" s="0" t="n">
        <f aca="false">Inputs!$B$4</f>
        <v>0.15</v>
      </c>
      <c r="E11" s="0" t="n">
        <f aca="false">C11*D11</f>
        <v>129.357</v>
      </c>
      <c r="F11" s="0" t="n">
        <f aca="false">C11+E11</f>
        <v>991.737</v>
      </c>
      <c r="G11" s="0" t="s">
        <v>420</v>
      </c>
      <c r="H11" s="0" t="n">
        <f aca="false">ROUNDUP(F11/10,0)</f>
        <v>100</v>
      </c>
      <c r="I11" s="0" t="s">
        <v>425</v>
      </c>
    </row>
    <row r="12" customFormat="false" ht="15" hidden="false" customHeight="false" outlineLevel="0" collapsed="false">
      <c r="A12" s="0" t="s">
        <v>426</v>
      </c>
      <c r="B12" s="0" t="s">
        <v>408</v>
      </c>
      <c r="C12" s="0" t="n">
        <v>2800.95</v>
      </c>
      <c r="D12" s="0" t="n">
        <f aca="false">Inputs!$B$4</f>
        <v>0.15</v>
      </c>
      <c r="E12" s="0" t="n">
        <f aca="false">C12*D12</f>
        <v>420.1425</v>
      </c>
      <c r="F12" s="0" t="n">
        <f aca="false">C12+E12</f>
        <v>3221.0925</v>
      </c>
      <c r="G12" s="0" t="s">
        <v>427</v>
      </c>
      <c r="H12" s="0" t="n">
        <f aca="false">ROUNDUP(F12/16,0)</f>
        <v>202</v>
      </c>
      <c r="I12" s="0" t="s">
        <v>428</v>
      </c>
    </row>
    <row r="13" customFormat="false" ht="15" hidden="false" customHeight="false" outlineLevel="0" collapsed="false">
      <c r="A13" s="0" t="s">
        <v>429</v>
      </c>
      <c r="B13" s="0" t="s">
        <v>408</v>
      </c>
      <c r="C13" s="0" t="n">
        <v>203.11</v>
      </c>
      <c r="D13" s="0" t="n">
        <f aca="false">Inputs!$B$4</f>
        <v>0.15</v>
      </c>
      <c r="E13" s="0" t="n">
        <f aca="false">C13*D13</f>
        <v>30.4665</v>
      </c>
      <c r="F13" s="0" t="n">
        <f aca="false">C13+E13</f>
        <v>233.5765</v>
      </c>
      <c r="G13" s="0" t="s">
        <v>420</v>
      </c>
      <c r="H13" s="0" t="n">
        <f aca="false">ROUNDUP(F13/10,0)</f>
        <v>24</v>
      </c>
      <c r="I13" s="0" t="s">
        <v>430</v>
      </c>
    </row>
    <row r="14" customFormat="false" ht="15" hidden="false" customHeight="false" outlineLevel="0" collapsed="false">
      <c r="A14" s="0" t="s">
        <v>431</v>
      </c>
      <c r="B14" s="0" t="s">
        <v>408</v>
      </c>
      <c r="C14" s="0" t="n">
        <v>235.99</v>
      </c>
      <c r="D14" s="0" t="n">
        <f aca="false">Inputs!$B$4</f>
        <v>0.15</v>
      </c>
      <c r="E14" s="0" t="n">
        <f aca="false">C14*D14</f>
        <v>35.3985</v>
      </c>
      <c r="F14" s="0" t="n">
        <f aca="false">C14+E14</f>
        <v>271.3885</v>
      </c>
      <c r="G14" s="0" t="s">
        <v>432</v>
      </c>
      <c r="H14" s="0" t="n">
        <f aca="false">ROUNDUP(F14/20,0)</f>
        <v>14</v>
      </c>
      <c r="I14" s="0" t="s">
        <v>433</v>
      </c>
    </row>
    <row r="15" customFormat="false" ht="15" hidden="false" customHeight="false" outlineLevel="0" collapsed="false">
      <c r="A15" s="0" t="s">
        <v>434</v>
      </c>
      <c r="B15" s="0" t="s">
        <v>408</v>
      </c>
      <c r="C15" s="0" t="n">
        <v>68.64</v>
      </c>
      <c r="D15" s="0" t="n">
        <f aca="false">Inputs!$B$4</f>
        <v>0.15</v>
      </c>
      <c r="E15" s="0" t="n">
        <f aca="false">C15*D15</f>
        <v>10.296</v>
      </c>
      <c r="F15" s="0" t="n">
        <f aca="false">C15+E15</f>
        <v>78.936</v>
      </c>
      <c r="G15" s="0" t="s">
        <v>420</v>
      </c>
      <c r="H15" s="0" t="n">
        <f aca="false">ROUNDUP(F15/10,0)</f>
        <v>8</v>
      </c>
      <c r="I15" s="0" t="s">
        <v>435</v>
      </c>
    </row>
    <row r="16" customFormat="false" ht="15" hidden="false" customHeight="false" outlineLevel="0" collapsed="false">
      <c r="A16" s="0" t="s">
        <v>436</v>
      </c>
      <c r="B16" s="0" t="s">
        <v>408</v>
      </c>
      <c r="C16" s="0" t="n">
        <v>465.32</v>
      </c>
      <c r="D16" s="0" t="n">
        <f aca="false">Inputs!$B$4</f>
        <v>0.15</v>
      </c>
      <c r="E16" s="0" t="n">
        <f aca="false">C16*D16</f>
        <v>69.798</v>
      </c>
      <c r="F16" s="0" t="n">
        <f aca="false">C16+E16</f>
        <v>535.118</v>
      </c>
      <c r="G16" s="0" t="s">
        <v>437</v>
      </c>
      <c r="H16" s="0" t="n">
        <f aca="false">ROUNDUP(F16/12,0)</f>
        <v>45</v>
      </c>
      <c r="I16" s="0" t="s">
        <v>438</v>
      </c>
    </row>
    <row r="17" customFormat="false" ht="15" hidden="false" customHeight="false" outlineLevel="0" collapsed="false">
      <c r="A17" s="0" t="s">
        <v>439</v>
      </c>
      <c r="B17" s="0" t="s">
        <v>408</v>
      </c>
      <c r="C17" s="0" t="n">
        <v>366.08</v>
      </c>
      <c r="D17" s="0" t="n">
        <f aca="false">Inputs!$B$4</f>
        <v>0.15</v>
      </c>
      <c r="E17" s="0" t="n">
        <f aca="false">C17*D17</f>
        <v>54.912</v>
      </c>
      <c r="F17" s="0" t="n">
        <f aca="false">C17+E17</f>
        <v>420.992</v>
      </c>
      <c r="G17" s="0" t="s">
        <v>427</v>
      </c>
      <c r="H17" s="0" t="n">
        <f aca="false">ROUNDUP(F17/16,0)</f>
        <v>27</v>
      </c>
      <c r="I17" s="0" t="s">
        <v>440</v>
      </c>
    </row>
    <row r="18" customFormat="false" ht="15" hidden="false" customHeight="false" outlineLevel="0" collapsed="false">
      <c r="A18" s="0" t="s">
        <v>441</v>
      </c>
      <c r="B18" s="0" t="s">
        <v>442</v>
      </c>
      <c r="C18" s="0" t="n">
        <v>126</v>
      </c>
      <c r="D18" s="0" t="n">
        <v>0</v>
      </c>
      <c r="E18" s="0" t="n">
        <f aca="false">C18*D18</f>
        <v>0</v>
      </c>
      <c r="F18" s="0" t="n">
        <f aca="false">C18+E18</f>
        <v>126</v>
      </c>
      <c r="G18" s="0" t="s">
        <v>442</v>
      </c>
      <c r="H18" s="0" t="n">
        <f aca="false">ROUNDUP(F18,0)</f>
        <v>126</v>
      </c>
      <c r="I18" s="0" t="s">
        <v>443</v>
      </c>
    </row>
    <row r="19" customFormat="false" ht="15" hidden="false" customHeight="false" outlineLevel="0" collapsed="false">
      <c r="A19" s="0" t="s">
        <v>444</v>
      </c>
      <c r="B19" s="0" t="s">
        <v>445</v>
      </c>
      <c r="C19" s="0" t="n">
        <v>17530.61</v>
      </c>
      <c r="D19" s="0" t="n">
        <f aca="false">Inputs!$B$5</f>
        <v>0.06</v>
      </c>
      <c r="E19" s="0" t="n">
        <f aca="false">C19*D19</f>
        <v>1051.8366</v>
      </c>
      <c r="F19" s="0" t="n">
        <f aca="false">C19+E19</f>
        <v>18582.4466</v>
      </c>
      <c r="G19" s="0" t="s">
        <v>446</v>
      </c>
      <c r="H19" s="0" t="n">
        <f aca="false">ROUNDUP(F19/48,0)</f>
        <v>388</v>
      </c>
      <c r="I19" s="0" t="s">
        <v>447</v>
      </c>
    </row>
    <row r="20" customFormat="false" ht="15" hidden="false" customHeight="false" outlineLevel="0" collapsed="false">
      <c r="A20" s="0" t="s">
        <v>448</v>
      </c>
      <c r="B20" s="0" t="s">
        <v>445</v>
      </c>
      <c r="C20" s="0" t="n">
        <v>259.02</v>
      </c>
      <c r="D20" s="0" t="n">
        <f aca="false">Inputs!$B$5</f>
        <v>0.06</v>
      </c>
      <c r="E20" s="0" t="n">
        <f aca="false">C20*D20</f>
        <v>15.5412</v>
      </c>
      <c r="F20" s="0" t="n">
        <f aca="false">C20+E20</f>
        <v>274.5612</v>
      </c>
      <c r="G20" s="0" t="s">
        <v>446</v>
      </c>
      <c r="H20" s="0" t="n">
        <f aca="false">ROUNDUP(F20/48,0)</f>
        <v>6</v>
      </c>
      <c r="I20" s="0" t="s">
        <v>449</v>
      </c>
    </row>
    <row r="21" customFormat="false" ht="15" hidden="false" customHeight="false" outlineLevel="0" collapsed="false">
      <c r="A21" s="0" t="s">
        <v>450</v>
      </c>
      <c r="B21" s="0" t="s">
        <v>445</v>
      </c>
      <c r="C21" s="0" t="n">
        <v>74.03</v>
      </c>
      <c r="D21" s="0" t="n">
        <f aca="false">Inputs!$B$5</f>
        <v>0.06</v>
      </c>
      <c r="E21" s="0" t="n">
        <f aca="false">C21*D21</f>
        <v>4.4418</v>
      </c>
      <c r="F21" s="0" t="n">
        <f aca="false">C21+E21</f>
        <v>78.4718</v>
      </c>
      <c r="G21" s="0" t="s">
        <v>451</v>
      </c>
      <c r="H21" s="0" t="n">
        <f aca="false">ROUNDUP(F21/32,0)</f>
        <v>3</v>
      </c>
      <c r="I21" s="0" t="s">
        <v>452</v>
      </c>
    </row>
    <row r="22" customFormat="false" ht="15" hidden="false" customHeight="false" outlineLevel="0" collapsed="false">
      <c r="A22" s="0" t="s">
        <v>453</v>
      </c>
      <c r="B22" s="0" t="s">
        <v>445</v>
      </c>
      <c r="C22" s="0" t="n">
        <v>57.08</v>
      </c>
      <c r="D22" s="0" t="n">
        <f aca="false">Inputs!$B$5</f>
        <v>0.06</v>
      </c>
      <c r="E22" s="0" t="n">
        <f aca="false">C22*D22</f>
        <v>3.4248</v>
      </c>
      <c r="F22" s="0" t="n">
        <f aca="false">C22+E22</f>
        <v>60.5048</v>
      </c>
      <c r="G22" s="0" t="s">
        <v>451</v>
      </c>
      <c r="H22" s="0" t="n">
        <f aca="false">ROUNDUP(F22/32,0)</f>
        <v>2</v>
      </c>
      <c r="I22" s="0" t="s">
        <v>454</v>
      </c>
    </row>
    <row r="23" customFormat="false" ht="15" hidden="false" customHeight="false" outlineLevel="0" collapsed="false">
      <c r="A23" s="0" t="s">
        <v>455</v>
      </c>
      <c r="B23" s="0" t="s">
        <v>445</v>
      </c>
      <c r="C23" s="0" t="n">
        <v>473.89</v>
      </c>
      <c r="D23" s="0" t="n">
        <f aca="false">Inputs!$B$5</f>
        <v>0.06</v>
      </c>
      <c r="E23" s="0" t="n">
        <f aca="false">C23*D23</f>
        <v>28.4334</v>
      </c>
      <c r="F23" s="0" t="n">
        <f aca="false">C23+E23</f>
        <v>502.3234</v>
      </c>
      <c r="G23" s="0" t="s">
        <v>451</v>
      </c>
      <c r="H23" s="0" t="n">
        <f aca="false">ROUNDUP(F23/32,0)</f>
        <v>16</v>
      </c>
      <c r="I23" s="0" t="s">
        <v>456</v>
      </c>
    </row>
    <row r="24" customFormat="false" ht="15" hidden="false" customHeight="false" outlineLevel="0" collapsed="false">
      <c r="A24" s="0" t="s">
        <v>457</v>
      </c>
      <c r="B24" s="0" t="s">
        <v>445</v>
      </c>
      <c r="C24" s="0" t="n">
        <v>948.66</v>
      </c>
      <c r="D24" s="0" t="n">
        <f aca="false">Inputs!$B$5</f>
        <v>0.06</v>
      </c>
      <c r="E24" s="0" t="n">
        <f aca="false">C24*D24</f>
        <v>56.9196</v>
      </c>
      <c r="F24" s="0" t="n">
        <f aca="false">C24+E24</f>
        <v>1005.5796</v>
      </c>
      <c r="G24" s="0" t="s">
        <v>451</v>
      </c>
      <c r="H24" s="0" t="n">
        <f aca="false">ROUNDUP(F24/32,0)</f>
        <v>32</v>
      </c>
      <c r="I24" s="0" t="s">
        <v>458</v>
      </c>
    </row>
    <row r="25" customFormat="false" ht="15" hidden="false" customHeight="false" outlineLevel="0" collapsed="false">
      <c r="A25" s="0" t="s">
        <v>459</v>
      </c>
      <c r="B25" s="0" t="s">
        <v>445</v>
      </c>
      <c r="C25" s="0" t="n">
        <v>6834.77</v>
      </c>
      <c r="D25" s="0" t="n">
        <f aca="false">Inputs!$B$5</f>
        <v>0.06</v>
      </c>
      <c r="E25" s="0" t="n">
        <f aca="false">C25*D25</f>
        <v>410.0862</v>
      </c>
      <c r="F25" s="0" t="n">
        <f aca="false">C25+E25</f>
        <v>7244.8562</v>
      </c>
      <c r="G25" s="0" t="s">
        <v>451</v>
      </c>
      <c r="H25" s="0" t="n">
        <f aca="false">ROUNDUP(F25/32,0)</f>
        <v>227</v>
      </c>
      <c r="I25" s="0" t="s">
        <v>460</v>
      </c>
    </row>
    <row r="26" customFormat="false" ht="15" hidden="false" customHeight="false" outlineLevel="0" collapsed="false">
      <c r="A26" s="0" t="s">
        <v>461</v>
      </c>
      <c r="B26" s="0" t="s">
        <v>408</v>
      </c>
      <c r="C26" s="0" t="n">
        <v>921.99</v>
      </c>
      <c r="D26" s="0" t="n">
        <f aca="false">Inputs!$B$5</f>
        <v>0.06</v>
      </c>
      <c r="E26" s="0" t="n">
        <f aca="false">C26*D26</f>
        <v>55.3194</v>
      </c>
      <c r="F26" s="0" t="n">
        <f aca="false">C26+E26</f>
        <v>977.3094</v>
      </c>
      <c r="G26" s="0" t="s">
        <v>408</v>
      </c>
      <c r="H26" s="0" t="n">
        <f aca="false">ROUNDUP(F26,0)</f>
        <v>978</v>
      </c>
      <c r="I26" s="0" t="s">
        <v>462</v>
      </c>
    </row>
    <row r="27" customFormat="false" ht="15" hidden="false" customHeight="false" outlineLevel="0" collapsed="false">
      <c r="A27" s="0" t="s">
        <v>463</v>
      </c>
      <c r="B27" s="0" t="s">
        <v>408</v>
      </c>
      <c r="C27" s="0" t="n">
        <v>671.49</v>
      </c>
      <c r="D27" s="0" t="n">
        <f aca="false">Inputs!$B$4</f>
        <v>0.15</v>
      </c>
      <c r="E27" s="0" t="n">
        <f aca="false">C27*D27</f>
        <v>100.7235</v>
      </c>
      <c r="F27" s="0" t="n">
        <f aca="false">C27+E27</f>
        <v>772.2135</v>
      </c>
      <c r="G27" s="0" t="s">
        <v>420</v>
      </c>
      <c r="H27" s="0" t="n">
        <f aca="false">ROUNDUP(F27/10,0)</f>
        <v>78</v>
      </c>
      <c r="I27" s="0" t="s">
        <v>464</v>
      </c>
    </row>
    <row r="28" customFormat="false" ht="15" hidden="false" customHeight="false" outlineLevel="0" collapsed="false">
      <c r="A28" s="0" t="s">
        <v>465</v>
      </c>
      <c r="B28" s="0" t="s">
        <v>408</v>
      </c>
      <c r="C28" s="0" t="n">
        <v>961.1</v>
      </c>
      <c r="D28" s="0" t="n">
        <f aca="false">Inputs!$B$4</f>
        <v>0.15</v>
      </c>
      <c r="E28" s="0" t="n">
        <f aca="false">C28*D28</f>
        <v>144.165</v>
      </c>
      <c r="F28" s="0" t="n">
        <f aca="false">C28+E28</f>
        <v>1105.265</v>
      </c>
      <c r="G28" s="0" t="s">
        <v>409</v>
      </c>
      <c r="H28" s="0" t="n">
        <f aca="false">ROUNDUP(ROUNDUP(F28/4,0)/MAX(1,INT(20/4)),0)</f>
        <v>56</v>
      </c>
      <c r="I28" s="0" t="s">
        <v>466</v>
      </c>
    </row>
    <row r="29" customFormat="false" ht="15" hidden="false" customHeight="false" outlineLevel="0" collapsed="false">
      <c r="A29" s="0" t="s">
        <v>467</v>
      </c>
      <c r="B29" s="0" t="s">
        <v>408</v>
      </c>
      <c r="C29" s="0" t="n">
        <v>919.8</v>
      </c>
      <c r="D29" s="0" t="n">
        <f aca="false">Inputs!$B$5</f>
        <v>0.06</v>
      </c>
      <c r="E29" s="0" t="n">
        <f aca="false">C29*D29</f>
        <v>55.188</v>
      </c>
      <c r="F29" s="0" t="n">
        <f aca="false">C29+E29</f>
        <v>974.988</v>
      </c>
      <c r="G29" s="0" t="s">
        <v>408</v>
      </c>
      <c r="H29" s="0" t="n">
        <f aca="false">ROUNDUP(F29,0)</f>
        <v>975</v>
      </c>
      <c r="I29" s="0" t="s">
        <v>468</v>
      </c>
    </row>
    <row r="30" customFormat="false" ht="15" hidden="false" customHeight="false" outlineLevel="0" collapsed="false">
      <c r="A30" s="0" t="s">
        <v>469</v>
      </c>
      <c r="B30" s="0" t="s">
        <v>445</v>
      </c>
      <c r="C30" s="0" t="n">
        <v>350.76</v>
      </c>
      <c r="D30" s="0" t="n">
        <f aca="false">Inputs!$B$5</f>
        <v>0.06</v>
      </c>
      <c r="E30" s="0" t="n">
        <f aca="false">C30*D30</f>
        <v>21.0456</v>
      </c>
      <c r="F30" s="0" t="n">
        <f aca="false">C30+E30</f>
        <v>371.8056</v>
      </c>
      <c r="G30" s="0" t="s">
        <v>445</v>
      </c>
      <c r="H30" s="0" t="n">
        <f aca="false">ROUNDUP(F30,0)</f>
        <v>372</v>
      </c>
      <c r="I30" s="0" t="s">
        <v>470</v>
      </c>
    </row>
    <row r="31" customFormat="false" ht="15" hidden="false" customHeight="false" outlineLevel="0" collapsed="false">
      <c r="A31" s="0" t="s">
        <v>471</v>
      </c>
      <c r="B31" s="0" t="s">
        <v>445</v>
      </c>
      <c r="C31" s="0" t="n">
        <v>31.88</v>
      </c>
      <c r="D31" s="0" t="n">
        <f aca="false">Inputs!$B$5</f>
        <v>0.06</v>
      </c>
      <c r="E31" s="0" t="n">
        <f aca="false">C31*D31</f>
        <v>1.9128</v>
      </c>
      <c r="F31" s="0" t="n">
        <f aca="false">C31+E31</f>
        <v>33.7928</v>
      </c>
      <c r="G31" s="0" t="s">
        <v>472</v>
      </c>
      <c r="H31" s="0" t="n">
        <f aca="false">ROUNDUP(F31/15,0)</f>
        <v>3</v>
      </c>
      <c r="I31" s="0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474</v>
      </c>
      <c r="B1" s="4" t="s">
        <v>475</v>
      </c>
      <c r="C1" s="4" t="s">
        <v>476</v>
      </c>
    </row>
    <row r="2" customFormat="false" ht="15" hidden="false" customHeight="false" outlineLevel="0" collapsed="false">
      <c r="A2" s="0" t="s">
        <v>477</v>
      </c>
      <c r="B2" s="0" t="s">
        <v>478</v>
      </c>
      <c r="C2" s="0" t="s">
        <v>479</v>
      </c>
    </row>
    <row r="3" customFormat="false" ht="15" hidden="false" customHeight="false" outlineLevel="0" collapsed="false">
      <c r="A3" s="0" t="s">
        <v>480</v>
      </c>
      <c r="B3" s="0" t="s">
        <v>481</v>
      </c>
      <c r="C3" s="0" t="s">
        <v>482</v>
      </c>
    </row>
    <row r="4" customFormat="false" ht="15" hidden="false" customHeight="false" outlineLevel="0" collapsed="false">
      <c r="A4" s="0" t="s">
        <v>483</v>
      </c>
      <c r="B4" s="0" t="s">
        <v>484</v>
      </c>
      <c r="C4" s="0" t="s">
        <v>485</v>
      </c>
    </row>
    <row r="5" customFormat="false" ht="15" hidden="false" customHeight="false" outlineLevel="0" collapsed="false">
      <c r="A5" s="0" t="s">
        <v>486</v>
      </c>
      <c r="B5" s="0" t="s">
        <v>487</v>
      </c>
      <c r="C5" s="0" t="s">
        <v>488</v>
      </c>
    </row>
    <row r="6" customFormat="false" ht="15" hidden="false" customHeight="false" outlineLevel="0" collapsed="false">
      <c r="A6" s="0" t="s">
        <v>489</v>
      </c>
      <c r="B6" s="0" t="s">
        <v>490</v>
      </c>
      <c r="C6" s="0" t="s">
        <v>491</v>
      </c>
    </row>
    <row r="7" customFormat="false" ht="15" hidden="false" customHeight="false" outlineLevel="0" collapsed="false">
      <c r="A7" s="0" t="s">
        <v>492</v>
      </c>
      <c r="B7" s="0" t="s">
        <v>493</v>
      </c>
      <c r="C7" s="0" t="s">
        <v>494</v>
      </c>
    </row>
    <row r="8" customFormat="false" ht="15" hidden="false" customHeight="false" outlineLevel="0" collapsed="false">
      <c r="A8" s="0" t="s">
        <v>495</v>
      </c>
      <c r="B8" s="0" t="s">
        <v>496</v>
      </c>
      <c r="C8" s="0" t="s">
        <v>497</v>
      </c>
    </row>
    <row r="9" customFormat="false" ht="15" hidden="false" customHeight="false" outlineLevel="0" collapsed="false">
      <c r="A9" s="0" t="s">
        <v>498</v>
      </c>
      <c r="B9" s="0" t="s">
        <v>499</v>
      </c>
      <c r="C9" s="0" t="s">
        <v>500</v>
      </c>
    </row>
    <row r="10" customFormat="false" ht="15" hidden="false" customHeight="false" outlineLevel="0" collapsed="false">
      <c r="A10" s="0" t="s">
        <v>501</v>
      </c>
      <c r="B10" s="0" t="s">
        <v>502</v>
      </c>
      <c r="C10" s="0" t="s">
        <v>503</v>
      </c>
    </row>
    <row r="11" customFormat="false" ht="15" hidden="false" customHeight="false" outlineLevel="0" collapsed="false">
      <c r="A11" s="0" t="s">
        <v>504</v>
      </c>
      <c r="B11" s="0" t="s">
        <v>505</v>
      </c>
      <c r="C11" s="0" t="s">
        <v>506</v>
      </c>
    </row>
    <row r="12" customFormat="false" ht="15" hidden="false" customHeight="false" outlineLevel="0" collapsed="false">
      <c r="A12" s="0" t="s">
        <v>507</v>
      </c>
      <c r="B12" s="0" t="s">
        <v>508</v>
      </c>
      <c r="C12" s="0" t="s">
        <v>509</v>
      </c>
    </row>
    <row r="13" customFormat="false" ht="15" hidden="false" customHeight="false" outlineLevel="0" collapsed="false">
      <c r="A13" s="0" t="s">
        <v>510</v>
      </c>
      <c r="B13" s="0" t="s">
        <v>511</v>
      </c>
      <c r="C13" s="0" t="s">
        <v>512</v>
      </c>
    </row>
    <row r="14" customFormat="false" ht="15" hidden="false" customHeight="false" outlineLevel="0" collapsed="false">
      <c r="A14" s="0" t="s">
        <v>513</v>
      </c>
      <c r="B14" s="0" t="s">
        <v>514</v>
      </c>
      <c r="C14" s="0" t="s">
        <v>515</v>
      </c>
    </row>
    <row r="15" customFormat="false" ht="15" hidden="false" customHeight="false" outlineLevel="0" collapsed="false">
      <c r="A15" s="0" t="s">
        <v>516</v>
      </c>
      <c r="B15" s="0" t="s">
        <v>517</v>
      </c>
      <c r="C15" s="0" t="s">
        <v>518</v>
      </c>
    </row>
    <row r="16" customFormat="false" ht="15" hidden="false" customHeight="false" outlineLevel="0" collapsed="false">
      <c r="A16" s="0" t="s">
        <v>519</v>
      </c>
      <c r="B16" s="0" t="s">
        <v>520</v>
      </c>
      <c r="C16" s="0" t="s">
        <v>521</v>
      </c>
    </row>
    <row r="17" customFormat="false" ht="15" hidden="false" customHeight="false" outlineLevel="0" collapsed="false">
      <c r="A17" s="0" t="s">
        <v>522</v>
      </c>
      <c r="B17" s="0" t="s">
        <v>523</v>
      </c>
      <c r="C17" s="0" t="s">
        <v>524</v>
      </c>
    </row>
    <row r="18" customFormat="false" ht="15" hidden="false" customHeight="false" outlineLevel="0" collapsed="false">
      <c r="A18" s="0" t="s">
        <v>525</v>
      </c>
      <c r="B18" s="0" t="s">
        <v>526</v>
      </c>
      <c r="C18" s="0" t="s">
        <v>527</v>
      </c>
    </row>
    <row r="19" customFormat="false" ht="15" hidden="false" customHeight="false" outlineLevel="0" collapsed="false">
      <c r="A19" s="0" t="s">
        <v>528</v>
      </c>
      <c r="B19" s="0" t="s">
        <v>529</v>
      </c>
      <c r="C19" s="0" t="s">
        <v>530</v>
      </c>
    </row>
    <row r="20" customFormat="false" ht="15" hidden="false" customHeight="false" outlineLevel="0" collapsed="false">
      <c r="A20" s="0" t="s">
        <v>531</v>
      </c>
      <c r="B20" s="0" t="s">
        <v>532</v>
      </c>
      <c r="C20" s="0" t="s">
        <v>533</v>
      </c>
    </row>
    <row r="21" customFormat="false" ht="15" hidden="false" customHeight="false" outlineLevel="0" collapsed="false">
      <c r="A21" s="0" t="s">
        <v>534</v>
      </c>
      <c r="B21" s="0" t="s">
        <v>535</v>
      </c>
      <c r="C21" s="0" t="s">
        <v>536</v>
      </c>
    </row>
    <row r="22" customFormat="false" ht="15" hidden="false" customHeight="false" outlineLevel="0" collapsed="false">
      <c r="A22" s="0" t="s">
        <v>537</v>
      </c>
      <c r="B22" s="0" t="s">
        <v>538</v>
      </c>
      <c r="C22" s="0" t="s">
        <v>539</v>
      </c>
    </row>
    <row r="23" customFormat="false" ht="15" hidden="false" customHeight="false" outlineLevel="0" collapsed="false">
      <c r="A23" s="0" t="s">
        <v>540</v>
      </c>
      <c r="B23" s="0" t="s">
        <v>541</v>
      </c>
      <c r="C23" s="0" t="s">
        <v>542</v>
      </c>
    </row>
    <row r="24" customFormat="false" ht="15" hidden="false" customHeight="false" outlineLevel="0" collapsed="false">
      <c r="A24" s="0" t="s">
        <v>543</v>
      </c>
      <c r="B24" s="0" t="s">
        <v>544</v>
      </c>
      <c r="C24" s="0" t="s">
        <v>545</v>
      </c>
    </row>
    <row r="25" customFormat="false" ht="15" hidden="false" customHeight="false" outlineLevel="0" collapsed="false">
      <c r="A25" s="0" t="s">
        <v>546</v>
      </c>
      <c r="B25" s="0" t="s">
        <v>547</v>
      </c>
      <c r="C25" s="0" t="s">
        <v>548</v>
      </c>
    </row>
    <row r="26" customFormat="false" ht="15" hidden="false" customHeight="false" outlineLevel="0" collapsed="false">
      <c r="A26" s="0" t="s">
        <v>549</v>
      </c>
      <c r="B26" s="0" t="s">
        <v>550</v>
      </c>
      <c r="C26" s="0" t="s">
        <v>551</v>
      </c>
    </row>
    <row r="27" customFormat="false" ht="15" hidden="false" customHeight="false" outlineLevel="0" collapsed="false">
      <c r="A27" s="0" t="s">
        <v>552</v>
      </c>
      <c r="B27" s="0" t="s">
        <v>553</v>
      </c>
      <c r="C27" s="0" t="s">
        <v>554</v>
      </c>
    </row>
    <row r="28" customFormat="false" ht="15" hidden="false" customHeight="false" outlineLevel="0" collapsed="false">
      <c r="A28" s="0" t="s">
        <v>555</v>
      </c>
      <c r="B28" s="0" t="s">
        <v>556</v>
      </c>
      <c r="C28" s="0" t="s">
        <v>557</v>
      </c>
    </row>
    <row r="29" customFormat="false" ht="15" hidden="false" customHeight="false" outlineLevel="0" collapsed="false">
      <c r="A29" s="0" t="s">
        <v>558</v>
      </c>
      <c r="B29" s="0" t="s">
        <v>559</v>
      </c>
      <c r="C29" s="0" t="s">
        <v>560</v>
      </c>
    </row>
    <row r="30" customFormat="false" ht="15" hidden="false" customHeight="false" outlineLevel="0" collapsed="false">
      <c r="A30" s="0" t="s">
        <v>561</v>
      </c>
      <c r="B30" s="0" t="s">
        <v>562</v>
      </c>
      <c r="C30" s="0" t="s">
        <v>563</v>
      </c>
    </row>
    <row r="31" customFormat="false" ht="15" hidden="false" customHeight="false" outlineLevel="0" collapsed="false">
      <c r="A31" s="0" t="s">
        <v>564</v>
      </c>
      <c r="B31" s="0" t="s">
        <v>565</v>
      </c>
      <c r="C31" s="0" t="s">
        <v>566</v>
      </c>
    </row>
    <row r="32" customFormat="false" ht="15" hidden="false" customHeight="false" outlineLevel="0" collapsed="false">
      <c r="A32" s="0" t="s">
        <v>567</v>
      </c>
      <c r="B32" s="0" t="s">
        <v>568</v>
      </c>
      <c r="C32" s="0" t="s">
        <v>569</v>
      </c>
    </row>
    <row r="33" customFormat="false" ht="15" hidden="false" customHeight="false" outlineLevel="0" collapsed="false">
      <c r="A33" s="0" t="s">
        <v>570</v>
      </c>
      <c r="B33" s="0" t="s">
        <v>571</v>
      </c>
      <c r="C33" s="0" t="s">
        <v>572</v>
      </c>
    </row>
    <row r="34" customFormat="false" ht="15" hidden="false" customHeight="false" outlineLevel="0" collapsed="false">
      <c r="A34" s="0" t="s">
        <v>573</v>
      </c>
      <c r="B34" s="0" t="s">
        <v>574</v>
      </c>
      <c r="C34" s="0" t="s">
        <v>575</v>
      </c>
    </row>
    <row r="35" customFormat="false" ht="15" hidden="false" customHeight="false" outlineLevel="0" collapsed="false">
      <c r="A35" s="0" t="s">
        <v>576</v>
      </c>
      <c r="B35" s="0" t="s">
        <v>577</v>
      </c>
      <c r="C35" s="0" t="s">
        <v>578</v>
      </c>
    </row>
    <row r="36" customFormat="false" ht="15" hidden="false" customHeight="false" outlineLevel="0" collapsed="false">
      <c r="A36" s="0" t="s">
        <v>579</v>
      </c>
      <c r="B36" s="0" t="s">
        <v>580</v>
      </c>
      <c r="C36" s="0" t="s">
        <v>581</v>
      </c>
    </row>
    <row r="37" customFormat="false" ht="15" hidden="false" customHeight="false" outlineLevel="0" collapsed="false">
      <c r="A37" s="0" t="s">
        <v>582</v>
      </c>
      <c r="B37" s="0" t="s">
        <v>583</v>
      </c>
      <c r="C37" s="0" t="s">
        <v>584</v>
      </c>
    </row>
    <row r="38" customFormat="false" ht="15" hidden="false" customHeight="false" outlineLevel="0" collapsed="false">
      <c r="A38" s="0" t="s">
        <v>585</v>
      </c>
      <c r="B38" s="0" t="s">
        <v>586</v>
      </c>
      <c r="C38" s="0" t="s">
        <v>587</v>
      </c>
    </row>
    <row r="39" customFormat="false" ht="15" hidden="false" customHeight="false" outlineLevel="0" collapsed="false">
      <c r="A39" s="0" t="s">
        <v>588</v>
      </c>
      <c r="B39" s="0" t="s">
        <v>589</v>
      </c>
      <c r="C39" s="0" t="s">
        <v>590</v>
      </c>
    </row>
    <row r="40" customFormat="false" ht="15" hidden="false" customHeight="false" outlineLevel="0" collapsed="false">
      <c r="A40" s="0" t="s">
        <v>591</v>
      </c>
      <c r="B40" s="0" t="s">
        <v>592</v>
      </c>
      <c r="C40" s="0" t="s">
        <v>593</v>
      </c>
    </row>
    <row r="41" customFormat="false" ht="15" hidden="false" customHeight="false" outlineLevel="0" collapsed="false">
      <c r="A41" s="0" t="s">
        <v>594</v>
      </c>
      <c r="B41" s="0" t="s">
        <v>595</v>
      </c>
      <c r="C41" s="0" t="s">
        <v>596</v>
      </c>
    </row>
    <row r="42" customFormat="false" ht="15" hidden="false" customHeight="false" outlineLevel="0" collapsed="false">
      <c r="A42" s="0" t="s">
        <v>597</v>
      </c>
      <c r="B42" s="0" t="s">
        <v>598</v>
      </c>
      <c r="C42" s="0" t="s">
        <v>599</v>
      </c>
    </row>
    <row r="43" customFormat="false" ht="15" hidden="false" customHeight="false" outlineLevel="0" collapsed="false">
      <c r="A43" s="0" t="s">
        <v>600</v>
      </c>
      <c r="B43" s="0" t="s">
        <v>601</v>
      </c>
      <c r="C43" s="0" t="s">
        <v>602</v>
      </c>
    </row>
    <row r="44" customFormat="false" ht="15" hidden="false" customHeight="false" outlineLevel="0" collapsed="false">
      <c r="A44" s="0" t="s">
        <v>603</v>
      </c>
      <c r="B44" s="0" t="s">
        <v>604</v>
      </c>
      <c r="C44" s="0" t="s">
        <v>605</v>
      </c>
    </row>
    <row r="45" customFormat="false" ht="15" hidden="false" customHeight="false" outlineLevel="0" collapsed="false">
      <c r="A45" s="0" t="s">
        <v>606</v>
      </c>
      <c r="B45" s="0" t="s">
        <v>607</v>
      </c>
      <c r="C45" s="0" t="s">
        <v>608</v>
      </c>
    </row>
    <row r="46" customFormat="false" ht="15" hidden="false" customHeight="false" outlineLevel="0" collapsed="false">
      <c r="A46" s="0" t="s">
        <v>609</v>
      </c>
      <c r="B46" s="0" t="s">
        <v>610</v>
      </c>
      <c r="C46" s="0" t="s">
        <v>611</v>
      </c>
    </row>
    <row r="47" customFormat="false" ht="15" hidden="false" customHeight="false" outlineLevel="0" collapsed="false">
      <c r="A47" s="0" t="s">
        <v>612</v>
      </c>
      <c r="B47" s="0" t="s">
        <v>613</v>
      </c>
      <c r="C47" s="0" t="s">
        <v>614</v>
      </c>
    </row>
    <row r="48" customFormat="false" ht="15" hidden="false" customHeight="false" outlineLevel="0" collapsed="false">
      <c r="A48" s="0" t="s">
        <v>615</v>
      </c>
      <c r="B48" s="0" t="s">
        <v>616</v>
      </c>
      <c r="C48" s="0" t="s">
        <v>617</v>
      </c>
    </row>
    <row r="49" customFormat="false" ht="15" hidden="false" customHeight="false" outlineLevel="0" collapsed="false">
      <c r="A49" s="0" t="s">
        <v>618</v>
      </c>
      <c r="B49" s="0" t="s">
        <v>619</v>
      </c>
      <c r="C49" s="0" t="s">
        <v>620</v>
      </c>
    </row>
    <row r="50" customFormat="false" ht="15" hidden="false" customHeight="false" outlineLevel="0" collapsed="false">
      <c r="A50" s="0" t="s">
        <v>621</v>
      </c>
      <c r="B50" s="0" t="s">
        <v>622</v>
      </c>
      <c r="C50" s="0" t="s">
        <v>623</v>
      </c>
    </row>
    <row r="51" customFormat="false" ht="15" hidden="false" customHeight="false" outlineLevel="0" collapsed="false">
      <c r="A51" s="0" t="s">
        <v>624</v>
      </c>
      <c r="B51" s="0" t="s">
        <v>625</v>
      </c>
      <c r="C51" s="0" t="s">
        <v>626</v>
      </c>
    </row>
    <row r="52" customFormat="false" ht="15" hidden="false" customHeight="false" outlineLevel="0" collapsed="false">
      <c r="A52" s="0" t="s">
        <v>627</v>
      </c>
      <c r="B52" s="0" t="s">
        <v>628</v>
      </c>
      <c r="C52" s="0" t="s">
        <v>629</v>
      </c>
    </row>
    <row r="53" customFormat="false" ht="15" hidden="false" customHeight="false" outlineLevel="0" collapsed="false">
      <c r="A53" s="0" t="s">
        <v>630</v>
      </c>
      <c r="B53" s="0" t="s">
        <v>631</v>
      </c>
      <c r="C53" s="0" t="s">
        <v>632</v>
      </c>
    </row>
    <row r="54" customFormat="false" ht="15" hidden="false" customHeight="false" outlineLevel="0" collapsed="false">
      <c r="A54" s="0" t="s">
        <v>633</v>
      </c>
      <c r="B54" s="0" t="s">
        <v>634</v>
      </c>
      <c r="C54" s="0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0" t="s">
        <v>636</v>
      </c>
      <c r="B1" s="0" t="s">
        <v>637</v>
      </c>
      <c r="C1" s="0" t="s">
        <v>638</v>
      </c>
      <c r="D1" s="0" t="s">
        <v>639</v>
      </c>
    </row>
    <row r="2" customFormat="false" ht="15" hidden="false" customHeight="false" outlineLevel="0" collapsed="false">
      <c r="A2" s="0" t="n">
        <v>1</v>
      </c>
      <c r="B2" s="0" t="s">
        <v>640</v>
      </c>
      <c r="C2" s="0" t="s">
        <v>641</v>
      </c>
      <c r="D2" s="0" t="s">
        <v>642</v>
      </c>
    </row>
    <row r="3" customFormat="false" ht="15" hidden="false" customHeight="false" outlineLevel="0" collapsed="false">
      <c r="A3" s="0" t="n">
        <v>2</v>
      </c>
      <c r="B3" s="0" t="s">
        <v>643</v>
      </c>
      <c r="C3" s="0" t="s">
        <v>644</v>
      </c>
      <c r="D3" s="0" t="s">
        <v>645</v>
      </c>
    </row>
    <row r="4" customFormat="false" ht="15" hidden="false" customHeight="false" outlineLevel="0" collapsed="false">
      <c r="A4" s="0" t="n">
        <v>3</v>
      </c>
      <c r="B4" s="0" t="s">
        <v>646</v>
      </c>
      <c r="C4" s="0" t="s">
        <v>647</v>
      </c>
      <c r="D4" s="0" t="s">
        <v>648</v>
      </c>
    </row>
    <row r="5" customFormat="false" ht="15" hidden="false" customHeight="false" outlineLevel="0" collapsed="false">
      <c r="A5" s="0" t="n">
        <v>4</v>
      </c>
      <c r="B5" s="0" t="s">
        <v>649</v>
      </c>
      <c r="C5" s="0" t="s">
        <v>650</v>
      </c>
      <c r="D5" s="0" t="s">
        <v>651</v>
      </c>
    </row>
    <row r="6" customFormat="false" ht="15" hidden="false" customHeight="false" outlineLevel="0" collapsed="false">
      <c r="A6" s="0" t="n">
        <v>5</v>
      </c>
      <c r="B6" s="0" t="s">
        <v>652</v>
      </c>
      <c r="C6" s="0" t="s">
        <v>653</v>
      </c>
    </row>
    <row r="7" customFormat="false" ht="15" hidden="false" customHeight="false" outlineLevel="0" collapsed="false">
      <c r="A7" s="0" t="n">
        <v>6</v>
      </c>
      <c r="B7" s="0" t="s">
        <v>654</v>
      </c>
      <c r="C7" s="0" t="s">
        <v>655</v>
      </c>
    </row>
    <row r="8" customFormat="false" ht="15" hidden="false" customHeight="false" outlineLevel="0" collapsed="false">
      <c r="A8" s="0" t="n">
        <v>7</v>
      </c>
      <c r="B8" s="0" t="s">
        <v>656</v>
      </c>
      <c r="C8" s="0" t="s">
        <v>657</v>
      </c>
    </row>
    <row r="9" customFormat="false" ht="15" hidden="false" customHeight="false" outlineLevel="0" collapsed="false">
      <c r="A9" s="0" t="n">
        <v>8</v>
      </c>
      <c r="B9" s="0" t="s">
        <v>658</v>
      </c>
      <c r="C9" s="0" t="s">
        <v>659</v>
      </c>
    </row>
    <row r="10" customFormat="false" ht="15" hidden="false" customHeight="false" outlineLevel="0" collapsed="false">
      <c r="A10" s="0" t="n">
        <v>9</v>
      </c>
      <c r="B10" s="0" t="s">
        <v>660</v>
      </c>
      <c r="C10" s="0" t="s">
        <v>661</v>
      </c>
    </row>
    <row r="11" customFormat="false" ht="15" hidden="false" customHeight="false" outlineLevel="0" collapsed="false">
      <c r="A11" s="0" t="n">
        <v>10</v>
      </c>
      <c r="B11" s="0" t="s">
        <v>662</v>
      </c>
      <c r="C11" s="0" t="s">
        <v>663</v>
      </c>
    </row>
    <row r="12" customFormat="false" ht="15" hidden="false" customHeight="false" outlineLevel="0" collapsed="false">
      <c r="A12" s="0" t="n">
        <v>11</v>
      </c>
      <c r="B12" s="0" t="s">
        <v>664</v>
      </c>
      <c r="C12" s="0" t="s">
        <v>665</v>
      </c>
    </row>
    <row r="13" customFormat="false" ht="15" hidden="false" customHeight="false" outlineLevel="0" collapsed="false">
      <c r="A13" s="0" t="n">
        <v>12</v>
      </c>
      <c r="B13" s="0" t="s">
        <v>666</v>
      </c>
      <c r="C13" s="0" t="s">
        <v>667</v>
      </c>
      <c r="D13" s="0" t="s">
        <v>668</v>
      </c>
    </row>
    <row r="14" customFormat="false" ht="15" hidden="false" customHeight="false" outlineLevel="0" collapsed="false">
      <c r="A14" s="0" t="n">
        <v>13</v>
      </c>
      <c r="B14" s="0" t="s">
        <v>669</v>
      </c>
      <c r="C14" s="0" t="s">
        <v>641</v>
      </c>
    </row>
    <row r="15" customFormat="false" ht="15" hidden="false" customHeight="false" outlineLevel="0" collapsed="false">
      <c r="A15" s="0" t="n">
        <v>14</v>
      </c>
      <c r="B15" s="0" t="s">
        <v>670</v>
      </c>
      <c r="C15" s="0" t="s">
        <v>671</v>
      </c>
    </row>
    <row r="16" customFormat="false" ht="15" hidden="false" customHeight="false" outlineLevel="0" collapsed="false">
      <c r="A16" s="0" t="n">
        <v>15</v>
      </c>
      <c r="B16" s="0" t="s">
        <v>672</v>
      </c>
      <c r="C16" s="0" t="s">
        <v>673</v>
      </c>
    </row>
    <row r="17" customFormat="false" ht="15" hidden="false" customHeight="false" outlineLevel="0" collapsed="false">
      <c r="A17" s="0" t="n">
        <v>16</v>
      </c>
      <c r="B17" s="0" t="s">
        <v>674</v>
      </c>
      <c r="C17" s="0" t="s">
        <v>641</v>
      </c>
      <c r="D17" s="0" t="s">
        <v>668</v>
      </c>
    </row>
    <row r="18" customFormat="false" ht="15" hidden="false" customHeight="false" outlineLevel="0" collapsed="false">
      <c r="A18" s="0" t="n">
        <v>17</v>
      </c>
      <c r="B18" s="0" t="s">
        <v>675</v>
      </c>
      <c r="C18" s="0" t="s">
        <v>676</v>
      </c>
    </row>
    <row r="19" customFormat="false" ht="15" hidden="false" customHeight="false" outlineLevel="0" collapsed="false">
      <c r="A19" s="0" t="n">
        <v>18</v>
      </c>
      <c r="B19" s="0" t="s">
        <v>677</v>
      </c>
      <c r="C19" s="0" t="s">
        <v>678</v>
      </c>
      <c r="D19" s="0" t="s">
        <v>668</v>
      </c>
    </row>
    <row r="20" customFormat="false" ht="15" hidden="false" customHeight="false" outlineLevel="0" collapsed="false">
      <c r="A20" s="0" t="n">
        <v>19</v>
      </c>
      <c r="B20" s="0" t="s">
        <v>679</v>
      </c>
      <c r="C20" s="0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681</v>
      </c>
      <c r="B1" s="0" t="s">
        <v>682</v>
      </c>
      <c r="C1" s="0" t="s">
        <v>683</v>
      </c>
      <c r="D1" s="0" t="s">
        <v>684</v>
      </c>
    </row>
    <row r="2" customFormat="false" ht="15" hidden="false" customHeight="false" outlineLevel="0" collapsed="false">
      <c r="A2" s="0" t="s">
        <v>685</v>
      </c>
      <c r="B2" s="0" t="s">
        <v>686</v>
      </c>
      <c r="C2" s="0" t="s">
        <v>687</v>
      </c>
      <c r="D2" s="0" t="s">
        <v>688</v>
      </c>
    </row>
    <row r="3" customFormat="false" ht="15" hidden="false" customHeight="false" outlineLevel="0" collapsed="false">
      <c r="A3" s="0" t="s">
        <v>689</v>
      </c>
      <c r="B3" s="0" t="s">
        <v>690</v>
      </c>
      <c r="C3" s="0" t="s">
        <v>687</v>
      </c>
      <c r="D3" s="0" t="s">
        <v>691</v>
      </c>
    </row>
    <row r="4" customFormat="false" ht="15" hidden="false" customHeight="false" outlineLevel="0" collapsed="false">
      <c r="A4" s="0" t="s">
        <v>692</v>
      </c>
      <c r="B4" s="0" t="s">
        <v>693</v>
      </c>
      <c r="C4" s="0" t="s">
        <v>687</v>
      </c>
      <c r="D4" s="0" t="s">
        <v>694</v>
      </c>
    </row>
    <row r="5" customFormat="false" ht="15" hidden="false" customHeight="false" outlineLevel="0" collapsed="false">
      <c r="A5" s="0" t="s">
        <v>695</v>
      </c>
      <c r="B5" s="0" t="s">
        <v>696</v>
      </c>
      <c r="C5" s="0" t="s">
        <v>687</v>
      </c>
      <c r="D5" s="0" t="s">
        <v>697</v>
      </c>
    </row>
    <row r="6" customFormat="false" ht="15" hidden="false" customHeight="false" outlineLevel="0" collapsed="false">
      <c r="A6" s="0" t="s">
        <v>698</v>
      </c>
      <c r="B6" s="0" t="s">
        <v>699</v>
      </c>
      <c r="C6" s="0" t="s">
        <v>687</v>
      </c>
      <c r="D6" s="0" t="s">
        <v>700</v>
      </c>
    </row>
    <row r="7" customFormat="false" ht="15" hidden="false" customHeight="false" outlineLevel="0" collapsed="false">
      <c r="A7" s="0" t="s">
        <v>701</v>
      </c>
      <c r="B7" s="0" t="s">
        <v>702</v>
      </c>
      <c r="C7" s="0" t="s">
        <v>687</v>
      </c>
      <c r="D7" s="0" t="s">
        <v>703</v>
      </c>
    </row>
    <row r="8" customFormat="false" ht="15" hidden="false" customHeight="false" outlineLevel="0" collapsed="false">
      <c r="A8" s="0" t="s">
        <v>704</v>
      </c>
      <c r="B8" s="0" t="s">
        <v>705</v>
      </c>
      <c r="C8" s="0" t="s">
        <v>687</v>
      </c>
      <c r="D8" s="0" t="s">
        <v>706</v>
      </c>
    </row>
    <row r="9" customFormat="false" ht="15" hidden="false" customHeight="false" outlineLevel="0" collapsed="false">
      <c r="A9" s="0" t="s">
        <v>707</v>
      </c>
      <c r="B9" s="0" t="s">
        <v>708</v>
      </c>
      <c r="C9" s="0" t="s">
        <v>687</v>
      </c>
      <c r="D9" s="0" t="s">
        <v>709</v>
      </c>
    </row>
    <row r="10" customFormat="false" ht="15" hidden="false" customHeight="false" outlineLevel="0" collapsed="false">
      <c r="A10" s="0" t="s">
        <v>710</v>
      </c>
      <c r="B10" s="0" t="s">
        <v>711</v>
      </c>
      <c r="C10" s="0" t="s">
        <v>687</v>
      </c>
      <c r="D10" s="0" t="s">
        <v>712</v>
      </c>
    </row>
    <row r="11" customFormat="false" ht="15" hidden="false" customHeight="false" outlineLevel="0" collapsed="false">
      <c r="A11" s="0" t="s">
        <v>713</v>
      </c>
      <c r="B11" s="0" t="s">
        <v>714</v>
      </c>
      <c r="C11" s="0" t="s">
        <v>687</v>
      </c>
      <c r="D11" s="0" t="s">
        <v>715</v>
      </c>
    </row>
    <row r="12" customFormat="false" ht="15" hidden="false" customHeight="false" outlineLevel="0" collapsed="false">
      <c r="A12" s="0" t="s">
        <v>716</v>
      </c>
      <c r="B12" s="0" t="s">
        <v>717</v>
      </c>
      <c r="C12" s="0" t="s">
        <v>687</v>
      </c>
      <c r="D12" s="0" t="s">
        <v>718</v>
      </c>
    </row>
    <row r="13" customFormat="false" ht="15" hidden="false" customHeight="false" outlineLevel="0" collapsed="false">
      <c r="A13" s="0" t="s">
        <v>719</v>
      </c>
      <c r="B13" s="0" t="s">
        <v>720</v>
      </c>
      <c r="C13" s="0" t="s">
        <v>687</v>
      </c>
      <c r="D13" s="0" t="s">
        <v>721</v>
      </c>
    </row>
    <row r="14" customFormat="false" ht="15" hidden="false" customHeight="false" outlineLevel="0" collapsed="false">
      <c r="A14" s="0" t="s">
        <v>722</v>
      </c>
      <c r="B14" s="0" t="s">
        <v>723</v>
      </c>
      <c r="C14" s="0" t="s">
        <v>687</v>
      </c>
      <c r="D14" s="0" t="s">
        <v>724</v>
      </c>
    </row>
    <row r="15" customFormat="false" ht="15" hidden="false" customHeight="false" outlineLevel="0" collapsed="false">
      <c r="A15" s="0" t="s">
        <v>725</v>
      </c>
      <c r="B15" s="0" t="s">
        <v>726</v>
      </c>
      <c r="C15" s="0" t="s">
        <v>687</v>
      </c>
      <c r="D15" s="0" t="s">
        <v>727</v>
      </c>
    </row>
    <row r="16" customFormat="false" ht="15" hidden="false" customHeight="false" outlineLevel="0" collapsed="false">
      <c r="A16" s="0" t="s">
        <v>728</v>
      </c>
      <c r="B16" s="0" t="s">
        <v>729</v>
      </c>
      <c r="C16" s="0" t="s">
        <v>687</v>
      </c>
      <c r="D16" s="0" t="s">
        <v>730</v>
      </c>
    </row>
    <row r="17" customFormat="false" ht="15" hidden="false" customHeight="false" outlineLevel="0" collapsed="false">
      <c r="A17" s="0" t="s">
        <v>731</v>
      </c>
      <c r="B17" s="0" t="s">
        <v>732</v>
      </c>
      <c r="C17" s="0" t="s">
        <v>687</v>
      </c>
      <c r="D17" s="0" t="s">
        <v>733</v>
      </c>
    </row>
    <row r="18" customFormat="false" ht="15" hidden="false" customHeight="false" outlineLevel="0" collapsed="false">
      <c r="A18" s="0" t="s">
        <v>734</v>
      </c>
      <c r="B18" s="0" t="s">
        <v>735</v>
      </c>
      <c r="C18" s="0" t="s">
        <v>687</v>
      </c>
      <c r="D18" s="0" t="s">
        <v>736</v>
      </c>
    </row>
    <row r="19" customFormat="false" ht="15" hidden="false" customHeight="false" outlineLevel="0" collapsed="false">
      <c r="A19" s="0" t="s">
        <v>737</v>
      </c>
      <c r="B19" s="0" t="s">
        <v>738</v>
      </c>
      <c r="C19" s="0" t="s">
        <v>474</v>
      </c>
      <c r="D19" s="0" t="s">
        <v>739</v>
      </c>
    </row>
    <row r="20" customFormat="false" ht="15" hidden="false" customHeight="false" outlineLevel="0" collapsed="false">
      <c r="A20" s="0" t="s">
        <v>740</v>
      </c>
      <c r="B20" s="0" t="s">
        <v>741</v>
      </c>
      <c r="C20" s="0" t="s">
        <v>687</v>
      </c>
      <c r="D20" s="0" t="s">
        <v>742</v>
      </c>
    </row>
    <row r="21" customFormat="false" ht="15" hidden="false" customHeight="false" outlineLevel="0" collapsed="false">
      <c r="A21" s="0" t="s">
        <v>743</v>
      </c>
      <c r="B21" s="0" t="s">
        <v>744</v>
      </c>
      <c r="C21" s="0" t="s">
        <v>687</v>
      </c>
      <c r="D21" s="0" t="s">
        <v>745</v>
      </c>
    </row>
    <row r="22" customFormat="false" ht="15" hidden="false" customHeight="false" outlineLevel="0" collapsed="false">
      <c r="A22" s="0" t="s">
        <v>746</v>
      </c>
      <c r="B22" s="0" t="s">
        <v>747</v>
      </c>
      <c r="C22" s="0" t="s">
        <v>748</v>
      </c>
      <c r="D22" s="0" t="s">
        <v>749</v>
      </c>
    </row>
    <row r="23" customFormat="false" ht="15" hidden="false" customHeight="false" outlineLevel="0" collapsed="false">
      <c r="A23" s="0" t="s">
        <v>750</v>
      </c>
      <c r="B23" s="0" t="s">
        <v>751</v>
      </c>
      <c r="C23" s="0" t="s">
        <v>748</v>
      </c>
      <c r="D23" s="0" t="s">
        <v>752</v>
      </c>
    </row>
    <row r="24" customFormat="false" ht="15" hidden="false" customHeight="false" outlineLevel="0" collapsed="false">
      <c r="A24" s="0" t="s">
        <v>753</v>
      </c>
      <c r="B24" s="0" t="s">
        <v>754</v>
      </c>
      <c r="C24" s="0" t="s">
        <v>687</v>
      </c>
      <c r="D24" s="0" t="s">
        <v>755</v>
      </c>
    </row>
    <row r="25" customFormat="false" ht="15" hidden="false" customHeight="false" outlineLevel="0" collapsed="false">
      <c r="A25" s="0" t="s">
        <v>756</v>
      </c>
      <c r="B25" s="0" t="s">
        <v>757</v>
      </c>
      <c r="C25" s="0" t="s">
        <v>474</v>
      </c>
      <c r="D25" s="0" t="s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2026-10-16T16:51:10Z</dcterms:created>
  <dc:creator>openpyxl</dc:creator>
  <dc:description/>
  <dc:language>en-US</dc:language>
  <cp:lastModifiedBy/>
  <dcterms:modified xsi:type="dcterms:W3CDTF">2026-10-16T16:51:10Z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