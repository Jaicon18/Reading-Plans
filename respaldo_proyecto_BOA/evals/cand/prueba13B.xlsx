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<sst xmlns="http://schemas.openxmlformats.org/spreadsheetml/2006/main" count="1147" uniqueCount="650">
  <si>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</si>
  <si>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</si>
  <si>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</si>
  <si>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</si>
  <si>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</si>
  <si>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</si>
  <si>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</si>
  <si>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</si>
  <si>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</si>
  <si>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</si>
  <si>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</si>
  <si>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</si>
  <si>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</si>
  <si>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</si>
  <si>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</si>
  <si>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</si>
  <si>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</si>
  <si>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</si>
  <si>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</si>
  <si>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</si>
  <si>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</si>
  <si>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</si>
  <si>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</si>
  <si>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</si>
  <si>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</si>
  <si>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</si>
  <si>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</si>
  <si>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</si>
  <si>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</si>
  <si>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#G1-1  -  A02.01; 5/A12.01</t>
  </si>
  <si>
    <t xml:space="preserve">G1-1</t>
  </si>
  <si>
    <t xml:space="preserve">1-5/8"</t>
  </si>
  <si>
    <t xml:space="preserve">A02.01; 5/A12.01</t>
  </si>
  <si>
    <t xml:space="preserve">5/A12.01</t>
  </si>
  <si>
    <t xml:space="preserve">[DERIVADO]</t>
  </si>
  <si>
    <t xml:space="preserve">G1  #G1S-f  -  A02.01; 5/A12.01; 10/A12.01</t>
  </si>
  <si>
    <t xml:space="preserve">G1S-f</t>
  </si>
  <si>
    <t xml:space="preserve">A02.01; 5/A12.01; 10/A12.01</t>
  </si>
  <si>
    <t xml:space="preserve">G1  #G1S-g  -  A02.01; 5/A12.01; 10/A12.01</t>
  </si>
  <si>
    <t xml:space="preserve">G1S-g</t>
  </si>
  <si>
    <t xml:space="preserve">G1  #G1S-h  -  A02.01; 5/A12.01; 10/A12.01</t>
  </si>
  <si>
    <t xml:space="preserve">G1S-h</t>
  </si>
  <si>
    <t xml:space="preserve">TYPE G</t>
  </si>
  <si>
    <t xml:space="preserve">G  #G-1  -  A02.01; 5/A12.01</t>
  </si>
  <si>
    <t xml:space="preserve">G-1</t>
  </si>
  <si>
    <t xml:space="preserve">G  #G-2  -  A02.01; 5/A12.01</t>
  </si>
  <si>
    <t xml:space="preserve">G-2</t>
  </si>
  <si>
    <t xml:space="preserve">G  #G-3  -  A02.01; 5/A12.01</t>
  </si>
  <si>
    <t xml:space="preserve">G-3</t>
  </si>
  <si>
    <t xml:space="preserve">G  #G-4  -  A02.01; 5/A12.01</t>
  </si>
  <si>
    <t xml:space="preserve">G-4</t>
  </si>
  <si>
    <t xml:space="preserve">G  #G-5  -  A02.01; 5/A12.01</t>
  </si>
  <si>
    <t xml:space="preserve">G-5</t>
  </si>
  <si>
    <t xml:space="preserve">G  #G-6  -  A02.01; 5/A12.01</t>
  </si>
  <si>
    <t xml:space="preserve">G-6</t>
  </si>
  <si>
    <t xml:space="preserve">G  #GS-a  -  A02.01; 5/A12.01; 10/A12.01</t>
  </si>
  <si>
    <t xml:space="preserve">GS-a</t>
  </si>
  <si>
    <t xml:space="preserve">G  #GS-b  -  A02.01; 5/A12.01; 10/A12.01</t>
  </si>
  <si>
    <t xml:space="preserve">GS-b</t>
  </si>
  <si>
    <t xml:space="preserve">G  #GS-c  -  A02.01; 5/A12.01; 10/A12.01</t>
  </si>
  <si>
    <t xml:space="preserve">GS-c</t>
  </si>
  <si>
    <t xml:space="preserve">G  #GS-d  -  A02.01; 5/A12.01; 10/A12.01</t>
  </si>
  <si>
    <t xml:space="preserve">GS-d</t>
  </si>
  <si>
    <t xml:space="preserve">G  #GS-e  -  A02.01; 5/A12.01; 10/A12.01</t>
  </si>
  <si>
    <t xml:space="preserve">GS-e</t>
  </si>
  <si>
    <t xml:space="preserve">G  #DB-105  -  A02.01 7'-6" HOLD CLEAR FINISHED OPENING; 8/A12.01; 9/A12.01; A11.01 8'-0 1/2" H</t>
  </si>
  <si>
    <t xml:space="preserve">DB-105</t>
  </si>
  <si>
    <t xml:space="preserve">A02.01 7'-6" HOLD CLEAR FINISHED OPENING; 8/A12.01; 9/A12.01; A11.01 8'-0 1/2" H</t>
  </si>
  <si>
    <t xml:space="preserve">8/A12.01</t>
  </si>
  <si>
    <t xml:space="preserve">G  #DB-106  -  A02.01 7'-6" HOLD CLEAR FINISHED OPENING; 8/A12.01; 9/A12.01; A11.01 8'-0 1/2" H</t>
  </si>
  <si>
    <t xml:space="preserve">DB-106</t>
  </si>
  <si>
    <t xml:space="preserve">G  #DB-107  -  A02.01 7'-6" HOLD CLEAR FINISHED OPENING; 8/A12.01; 9/A12.01; A11.01 8'-0 1/2" H</t>
  </si>
  <si>
    <t xml:space="preserve">DB-107</t>
  </si>
  <si>
    <t xml:space="preserve">G  #DB-108  -  A02.01 7'-6" HOLD CLEAR FINISHED OPENING; 8/A12.01; 9/A12.01; A11.01 8'-0 1/2" H</t>
  </si>
  <si>
    <t xml:space="preserve">DB-108</t>
  </si>
  <si>
    <t xml:space="preserve">G  #DB-109  -  A02.01 7'-6" HOLD CLEAR FINISHED OPENING; 8/A12.01; 9/A12.01; A11.01 8'-0 1/2" H</t>
  </si>
  <si>
    <t xml:space="preserve">DB-109</t>
  </si>
  <si>
    <t xml:space="preserve">G  #DB-110  -  A02.01 7'-6" HOLD CLEAR FINISHED OPENING; 8/A12.01; 9/A12.01; A11.01 8'-0 1/2" H</t>
  </si>
  <si>
    <t xml:space="preserve">DB-110</t>
  </si>
  <si>
    <t xml:space="preserve">TYPE A1</t>
  </si>
  <si>
    <t xml:space="preserve">A1  #A1-1  -  A02.01; 3/A12.01</t>
  </si>
  <si>
    <t xml:space="preserve">A1-1</t>
  </si>
  <si>
    <t xml:space="preserve">3-5/8"</t>
  </si>
  <si>
    <t xml:space="preserve">A02.01; 3/A12.01</t>
  </si>
  <si>
    <t xml:space="preserve">3/A12.01</t>
  </si>
  <si>
    <t xml:space="preserve">A1  #A1-2  -  A02.01; 3/A12.01</t>
  </si>
  <si>
    <t xml:space="preserve">A1-2</t>
  </si>
  <si>
    <t xml:space="preserve">A1  #A1-3  -  A02.01; 3/A12.01</t>
  </si>
  <si>
    <t xml:space="preserve">A1-3</t>
  </si>
  <si>
    <t xml:space="preserve">A1  #A1-4  -  A02.01; 3/A12.01</t>
  </si>
  <si>
    <t xml:space="preserve">A1-4</t>
  </si>
  <si>
    <t xml:space="preserve">A1  #A1-5  -  A02.01; 3/A12.01</t>
  </si>
  <si>
    <t xml:space="preserve">A1-5</t>
  </si>
  <si>
    <t xml:space="preserve">A1  #A1-6  -  A02.01; 3/A12.01</t>
  </si>
  <si>
    <t xml:space="preserve">A1-6</t>
  </si>
  <si>
    <t xml:space="preserve">A1  #A1-7  -  A02.01; 3/A12.01</t>
  </si>
  <si>
    <t xml:space="preserve">A1-7</t>
  </si>
  <si>
    <t xml:space="preserve">A1  #A1-8  -  A02.01; 3/A12.01</t>
  </si>
  <si>
    <t xml:space="preserve">A1-8</t>
  </si>
  <si>
    <t xml:space="preserve">A1  #A1-9  -  A02.01; 3/A12.01</t>
  </si>
  <si>
    <t xml:space="preserve">A1-9</t>
  </si>
  <si>
    <t xml:space="preserve">A1  #VH-1  -  A02.01; 6/A12.10; 7/A12.10; 3/A12.10</t>
  </si>
  <si>
    <t xml:space="preserve">VH-1</t>
  </si>
  <si>
    <t xml:space="preserve">A02.01; 6/A12.10; 7/A12.10; 3/A12.10</t>
  </si>
  <si>
    <t xml:space="preserve">4/A12.10</t>
  </si>
  <si>
    <t xml:space="preserve">A1  #VH-2  -  A02.01; 4/A12.10; 5/A12.10</t>
  </si>
  <si>
    <t xml:space="preserve">VH-2</t>
  </si>
  <si>
    <t xml:space="preserve">A02.01; 4/A12.10; 5/A12.10</t>
  </si>
  <si>
    <t xml:space="preserve">TYPE A5</t>
  </si>
  <si>
    <t xml:space="preserve">A5  #A5-1  -  A02.01; 3/A12.01; 7/S5.20</t>
  </si>
  <si>
    <t xml:space="preserve">A5-1</t>
  </si>
  <si>
    <t xml:space="preserve">6"</t>
  </si>
  <si>
    <t xml:space="preserve">A02.01; 3/A12.01; 7/S5.20</t>
  </si>
  <si>
    <t xml:space="preserve">A5  #A5-2a  -  A02.01; 3/A12.01; 7/S5.20</t>
  </si>
  <si>
    <t xml:space="preserve">A5-2a</t>
  </si>
  <si>
    <t xml:space="preserve">A5  #A5-2b  -  A02.01; 3/A12.01; 7/S5.20</t>
  </si>
  <si>
    <t xml:space="preserve">A5-2b</t>
  </si>
  <si>
    <t xml:space="preserve">A5  #A5-3  -  A02.01; 3/A12.01; 7/S5.20</t>
  </si>
  <si>
    <t xml:space="preserve">A5-3</t>
  </si>
  <si>
    <t xml:space="preserve">A5  #A5-4  -  A02.01; 3/A12.01; 7/S5.20</t>
  </si>
  <si>
    <t xml:space="preserve">A5-4</t>
  </si>
  <si>
    <t xml:space="preserve">TYPE B</t>
  </si>
  <si>
    <t xml:space="preserve">B  #B-1  -  A02.01; 1/A12.01; 7/S5.20</t>
  </si>
  <si>
    <t xml:space="preserve">B-1</t>
  </si>
  <si>
    <t xml:space="preserve">A02.01; 1/A12.01; 7/S5.20</t>
  </si>
  <si>
    <t xml:space="preserve">1/A12.01</t>
  </si>
  <si>
    <t xml:space="preserve">B  #B-2  -  A02.01; 1/A12.01; 7/S5.20</t>
  </si>
  <si>
    <t xml:space="preserve">B-2</t>
  </si>
  <si>
    <t xml:space="preserve">B  #B-3  -  A02.01; 1/A12.01; 7/S5.20</t>
  </si>
  <si>
    <t xml:space="preserve">B-3</t>
  </si>
  <si>
    <t xml:space="preserve">B  #B-4  -  A02.01; 1/A12.01; 7/S5.20</t>
  </si>
  <si>
    <t xml:space="preserve">B-4</t>
  </si>
  <si>
    <t xml:space="preserve">B  #B-5  -  A02.01; 1/A12.01; 7/S5.20</t>
  </si>
  <si>
    <t xml:space="preserve">B-5</t>
  </si>
  <si>
    <t xml:space="preserve">B  #B-6  -  A02.01; 1/A12.01; 7/S5.20</t>
  </si>
  <si>
    <t xml:space="preserve">B-6</t>
  </si>
  <si>
    <t xml:space="preserve">TYPE B2</t>
  </si>
  <si>
    <t xml:space="preserve">B2  #B2-1  -  A02.01; 1/A12.01; 7/S5.20</t>
  </si>
  <si>
    <t xml:space="preserve">B2-1</t>
  </si>
  <si>
    <t xml:space="preserve">B2  #B2-2a  -  A02.01; 1/A12.01; 7/S5.20</t>
  </si>
  <si>
    <t xml:space="preserve">B2-2a</t>
  </si>
  <si>
    <t xml:space="preserve">B2  #B2-2b  -  A02.01; 1/A12.01; 7/S5.20</t>
  </si>
  <si>
    <t xml:space="preserve">B2-2b</t>
  </si>
  <si>
    <t xml:space="preserve">B2  #B2-3  -  A02.01; 1/A12.01; 7/S5.20</t>
  </si>
  <si>
    <t xml:space="preserve">B2-3</t>
  </si>
  <si>
    <t xml:space="preserve">B2  #B2-4  -  A02.01; 1/A12.01; 7/S5.20</t>
  </si>
  <si>
    <t xml:space="preserve">B2-4</t>
  </si>
  <si>
    <t xml:space="preserve">TYPE A1K</t>
  </si>
  <si>
    <t xml:space="preserve">A1K  #A1K-1  -  A02.01 3'-5"; 4/A12.01</t>
  </si>
  <si>
    <t xml:space="preserve">A1K-1</t>
  </si>
  <si>
    <t xml:space="preserve">A02.01 3'-5"; 4/A12.01</t>
  </si>
  <si>
    <t xml:space="preserve">4/A12.01</t>
  </si>
  <si>
    <t xml:space="preserve">[CONFIRMADO]</t>
  </si>
  <si>
    <t xml:space="preserve">A1K  #A1K-2  -  A02.01; 4/A12.01</t>
  </si>
  <si>
    <t xml:space="preserve">A1K-2</t>
  </si>
  <si>
    <t xml:space="preserve">A02.01; 4/A12.01</t>
  </si>
  <si>
    <t xml:space="preserve">A1K  #A1K-3  -  A02.01; 4/A12.01</t>
  </si>
  <si>
    <t xml:space="preserve">A1K-3</t>
  </si>
  <si>
    <t xml:space="preserve">TYPE B2K</t>
  </si>
  <si>
    <t xml:space="preserve">B2K  #B2K-1  -  A02.01 7.68" = A5K; 4/A12.01</t>
  </si>
  <si>
    <t xml:space="preserve">B2K-1</t>
  </si>
  <si>
    <t xml:space="preserve">A02.01 7.68" = A5K; 4/A12.01</t>
  </si>
  <si>
    <t xml:space="preserve">TYPE C1</t>
  </si>
  <si>
    <t xml:space="preserve">C1  #C1-1  -  A02.01; 6/A12.01; F/A08.01</t>
  </si>
  <si>
    <t xml:space="preserve">C1-1</t>
  </si>
  <si>
    <t xml:space="preserve">A02.01; 6/A12.01; F/A08.01</t>
  </si>
  <si>
    <t xml:space="preserve">6/A12.01</t>
  </si>
  <si>
    <t xml:space="preserve">C1  #C1-2  -  A02.01; 6/A12.01; F/A08.01</t>
  </si>
  <si>
    <t xml:space="preserve">C1-2</t>
  </si>
  <si>
    <t xml:space="preserve">C1  #C1-3  -  A02.01 alcove 5'-6 1/2"; 6/A12.01; F/A08.01</t>
  </si>
  <si>
    <t xml:space="preserve">C1-3</t>
  </si>
  <si>
    <t xml:space="preserve">A02.01 alcove 5'-6 1/2"; 6/A12.01; F/A08.01</t>
  </si>
  <si>
    <t xml:space="preserve">C1  #C1-4  -  A02.01 10'-0" x 8"; 6/A12.01; A11.01</t>
  </si>
  <si>
    <t xml:space="preserve">C1-4</t>
  </si>
  <si>
    <t xml:space="preserve">A02.01 10'-0" x 8"; 6/A12.01; A11.01</t>
  </si>
  <si>
    <t xml:space="preserve">C1  #C1-5  -  A02.01; 6/A12.01</t>
  </si>
  <si>
    <t xml:space="preserve">C1-5</t>
  </si>
  <si>
    <t xml:space="preserve">A02.01; 6/A12.01</t>
  </si>
  <si>
    <t xml:space="preserve">C1  #CW-1  -  A02.01 1'-0" x 1'-0"; 3/A08.21</t>
  </si>
  <si>
    <t xml:space="preserve">CW-1</t>
  </si>
  <si>
    <t xml:space="preserve">A02.01 1'-0" x 1'-0"; 3/A08.21</t>
  </si>
  <si>
    <t xml:space="preserve">C1  #CW-2  -  A02.01; 3/A08.21</t>
  </si>
  <si>
    <t xml:space="preserve">CW-2</t>
  </si>
  <si>
    <t xml:space="preserve">A02.01; 3/A08.21</t>
  </si>
  <si>
    <t xml:space="preserve">TYPE F</t>
  </si>
  <si>
    <t xml:space="preserve">F  #F-1  -  A02.01 17.46 (caras hasta CW-2); 12/A12.01; 7/A08.11</t>
  </si>
  <si>
    <t xml:space="preserve">F-1</t>
  </si>
  <si>
    <t xml:space="preserve">A02.01 17.46 (caras hasta CW-2); 12/A12.01; 7/A08.11</t>
  </si>
  <si>
    <t xml:space="preserve">12/A12.01</t>
  </si>
  <si>
    <t xml:space="preserve">TYPE OTHER</t>
  </si>
  <si>
    <t xml:space="preserve">OTHER  #GH-103  -  A02.01 13'-4" R.O.; 4/A08.21</t>
  </si>
  <si>
    <t xml:space="preserve">GH-103</t>
  </si>
  <si>
    <t xml:space="preserve">2-1/2"</t>
  </si>
  <si>
    <t xml:space="preserve">A02.01 13'-4" R.O.; 4/A08.21</t>
  </si>
  <si>
    <t xml:space="preserve">4/A08.21</t>
  </si>
  <si>
    <t xml:space="preserve">OTHER  #RS-1  -  4/A02.02</t>
  </si>
  <si>
    <t xml:space="preserve">RS-1</t>
  </si>
  <si>
    <t xml:space="preserve">4/A02.02</t>
  </si>
  <si>
    <t xml:space="preserve">OTHER  #RS-2  -  4/A02.02</t>
  </si>
  <si>
    <t xml:space="preserve">RS-2</t>
  </si>
  <si>
    <t xml:space="preserve">OTHER  #RS-3  -  4/A02.02</t>
  </si>
  <si>
    <t xml:space="preserve">RS-3</t>
  </si>
  <si>
    <t xml:space="preserve">OTHER  #CSR-S1  -  A04.01 GB 8'-0" 3'-5"; 10/A09.33</t>
  </si>
  <si>
    <t xml:space="preserve">CSR-S1</t>
  </si>
  <si>
    <t xml:space="preserve">A04.01 GB 8'-0" 3'-5"; 10/A09.33</t>
  </si>
  <si>
    <t xml:space="preserve">10/A09.33</t>
  </si>
  <si>
    <t xml:space="preserve">OTHER  #CSR-S2  -  A04.01 GB 8'-0" 3'-5"; 10/A09.33</t>
  </si>
  <si>
    <t xml:space="preserve">CSR-S2</t>
  </si>
  <si>
    <t xml:space="preserve">OTHER  #TR-104N  -  A04.01 30'-0"; 7/A09.33</t>
  </si>
  <si>
    <t xml:space="preserve">TR-104N</t>
  </si>
  <si>
    <t xml:space="preserve">A04.01 30'-0"; 7/A09.33</t>
  </si>
  <si>
    <t xml:space="preserve">7/A09.33</t>
  </si>
  <si>
    <t xml:space="preserve">OTHER  #TR-104E  -  A04.01 30'-0"; 7/A09.33</t>
  </si>
  <si>
    <t xml:space="preserve">TR-104E</t>
  </si>
  <si>
    <t xml:space="preserve">OTHER  #TR-104W  -  A04.01 30'-0"; 7/A09.33</t>
  </si>
  <si>
    <t xml:space="preserve">TR-104W</t>
  </si>
  <si>
    <t xml:space="preserve">OTHER  #TR-103  -  A04.01 ACT-4 11'-6" / ACT-4 9'-0"; 7/A09.33</t>
  </si>
  <si>
    <t xml:space="preserve">TR-103</t>
  </si>
  <si>
    <t xml:space="preserve">A04.01 ACT-4 11'-6" / ACT-4 9'-0"; 7/A09.33</t>
  </si>
  <si>
    <t xml:space="preserve">OTHER  #FX-N  -  A04.01; 7/A09.26; 3/A09.26</t>
  </si>
  <si>
    <t xml:space="preserve">FX-N</t>
  </si>
  <si>
    <t xml:space="preserve">A04.01; 7/A09.26; 3/A09.26</t>
  </si>
  <si>
    <t xml:space="preserve">7/A09.26</t>
  </si>
  <si>
    <t xml:space="preserve">OTHER  #FX-W  -  A04.01; 7/A09.26; 3/A09.26</t>
  </si>
  <si>
    <t xml:space="preserve">FX-W</t>
  </si>
  <si>
    <t xml:space="preserve">OTHER  #FX-WS  -  A04.01; 7/A09.26; 3/A09.26</t>
  </si>
  <si>
    <t xml:space="preserve">FX-WS</t>
  </si>
  <si>
    <t xml:space="preserve">OTHER  #FX-E  -  A04.01; 7/A09.26; 3/A09.26</t>
  </si>
  <si>
    <t xml:space="preserve">FX-E</t>
  </si>
  <si>
    <t xml:space="preserve">OTHER  #FX-ES  -  A04.01; 7/A09.26; 3/A09.26</t>
  </si>
  <si>
    <t xml:space="preserve">FX-ES</t>
  </si>
  <si>
    <t xml:space="preserve">OTHER  #FX-S  -  A04.01; 7/A09.26; 3/A09.26</t>
  </si>
  <si>
    <t xml:space="preserve">FX-S</t>
  </si>
  <si>
    <t xml:space="preserve">TYPE EXT</t>
  </si>
  <si>
    <t xml:space="preserve">EXT  #X-N1  -  A02.01; C/A09.21; 10/S5.10; S1.11; S2.20 W12x19 (CANOPY) T.O.S. 11'-11 3/8" (pie</t>
  </si>
  <si>
    <t xml:space="preserve">X-N1</t>
  </si>
  <si>
    <t xml:space="preserve">A02.01; C/A09.21; 10/S5.10; S1.11; S2.20 W12x19 (CANOPY) T.O.S. 11'-11 3/8" (pie</t>
  </si>
  <si>
    <t xml:space="preserve">C/A09.21</t>
  </si>
  <si>
    <t xml:space="preserve">EXT  #X-E1a  -  A02.01; C/A09.21; 10/S5.10; S1.11; S2.20 W12x19 (CANOPY) T.O.S. 11'-11 3/8" (pie</t>
  </si>
  <si>
    <t xml:space="preserve">X-E1a</t>
  </si>
  <si>
    <t xml:space="preserve">EXT  #X-E1b  -  A02.01; C/A09.21; 10/S5.10; S1.11</t>
  </si>
  <si>
    <t xml:space="preserve">X-E1b</t>
  </si>
  <si>
    <t xml:space="preserve">A02.01; C/A09.21; 10/S5.10; S1.11</t>
  </si>
  <si>
    <t xml:space="preserve">EXT  #X-S1a  -  A02.01; C/A09.21; 10/S5.10; S1.11</t>
  </si>
  <si>
    <t xml:space="preserve">X-S1a</t>
  </si>
  <si>
    <t xml:space="preserve">EXT  #X-S1b  -  A02.01; C/A09.21; 10/S5.10; S1.11</t>
  </si>
  <si>
    <t xml:space="preserve">X-S1b</t>
  </si>
  <si>
    <t xml:space="preserve">EXT  #X-W3a  -  A02.01; C/A09.21; 10/S5.10; S1.11; S2.20 W16x26 (CANOPY); H/A09.23 T/STEEL 11'-9</t>
  </si>
  <si>
    <t xml:space="preserve">X-W3a</t>
  </si>
  <si>
    <t xml:space="preserve">A02.01; C/A09.21; 10/S5.10; S1.11; S2.20 W16x26 (CANOPY); H/A09.23 T/STEEL 11'-9</t>
  </si>
  <si>
    <t xml:space="preserve">EXT  #X-W3b  -  A02.01; C/A09.21; 10/S5.10; S1.11</t>
  </si>
  <si>
    <t xml:space="preserve">X-W3b</t>
  </si>
  <si>
    <t xml:space="preserve">EXT  #X-W2  -  A02.01; C/A09.21; 10/S5.10; S1.11; S2.20 W12x19 (CANOPY); J/A09.23 T/STEEL 11'-9</t>
  </si>
  <si>
    <t xml:space="preserve">X-W2</t>
  </si>
  <si>
    <t xml:space="preserve">A02.01; C/A09.21; 10/S5.10; S1.11; S2.20 W12x19 (CANOPY); J/A09.23 T/STEEL 11'-9</t>
  </si>
  <si>
    <t xml:space="preserve">EXT  #X-J  -  A02.01; C/A09.21; 10/S5.10; S1.11; S2.20 W12x19 (CANOPY); J/A09.23 T/STEEL 11'-9</t>
  </si>
  <si>
    <t xml:space="preserve">X-J</t>
  </si>
  <si>
    <t xml:space="preserve">EXT  #SC-N1  -  A02.01; S2.20 HSS9x5x5/8 (LLV) T.O.S. 9'-4 1/2"; W12x19 (CANOPY) T.O.S. 11'-11 3</t>
  </si>
  <si>
    <t xml:space="preserve">SC-N1</t>
  </si>
  <si>
    <t xml:space="preserve">A02.01; S2.20 HSS9x5x5/8 (LLV) T.O.S. 9'-4 1/2"; W12x19 (CANOPY) T.O.S. 11'-11 3</t>
  </si>
  <si>
    <t xml:space="preserve">2/A09.26</t>
  </si>
  <si>
    <t xml:space="preserve">EXT  #SC-N1u  -  S2.20 W12x19 (CANOPY) T.O.S. 11'-11 3/8" / W12x19 (HI); 2/A09.26 (pieza alta)</t>
  </si>
  <si>
    <t xml:space="preserve">SC-N1u</t>
  </si>
  <si>
    <t xml:space="preserve">S2.20 W12x19 (CANOPY) T.O.S. 11'-11 3/8" / W12x19 (HI); 2/A09.26 (pieza alta)</t>
  </si>
  <si>
    <t xml:space="preserve">EXT  #SC-N2  -  A02.01; S2.20 HSS9x5x5/8 (LLV) T.O.S. 9'-4 1/2"; W16x26 (CANOPY) T.O.S. 12'-2 3/</t>
  </si>
  <si>
    <t xml:space="preserve">SC-N2</t>
  </si>
  <si>
    <t xml:space="preserve">A02.01; S2.20 HSS9x5x5/8 (LLV) T.O.S. 9'-4 1/2"; W16x26 (CANOPY) T.O.S. 12'-2 3/</t>
  </si>
  <si>
    <t xml:space="preserve">EXT  #SC-N2u  -  S2.20 W16x26 (CANOPY) T.O.S. 12'-2 3/4" / W18x35 (HI); 2/A09.26 (pieza alta)</t>
  </si>
  <si>
    <t xml:space="preserve">SC-N2u</t>
  </si>
  <si>
    <t xml:space="preserve">S2.20 W16x26 (CANOPY) T.O.S. 12'-2 3/4" / W18x35 (HI); 2/A09.26 (pieza alta)</t>
  </si>
  <si>
    <t xml:space="preserve">EXT  #SC-W  -  A02.01; S2.20 HSS9x5x5/8 (LLV) T.O.S. 9'-4 1/2"; W16x26 (CANOPY) T/STEEL 11'-9" </t>
  </si>
  <si>
    <t xml:space="preserve">SC-W</t>
  </si>
  <si>
    <t xml:space="preserve">A02.01; S2.20 HSS9x5x5/8 (LLV) T.O.S. 9'-4 1/2"; W16x26 (CANOPY) T/STEEL 11'-9" </t>
  </si>
  <si>
    <t xml:space="preserve">EXT  #SC-Wu  -  S2.20 W16x26 (CANOPY) T/STEEL 11'-9" (J/A09.23) / W12x19 (HI); 2/A09.26 (pieza a</t>
  </si>
  <si>
    <t xml:space="preserve">SC-Wu</t>
  </si>
  <si>
    <t xml:space="preserve">S2.20 W16x26 (CANOPY) T/STEEL 11'-9" (J/A09.23) / W12x19 (HI); 2/A09.26 (pieza a</t>
  </si>
  <si>
    <t xml:space="preserve">EXT  #X-E1c  -  A02.01; C/A09.21; 10/S5.10; S1.11</t>
  </si>
  <si>
    <t xml:space="preserve">X-E1c</t>
  </si>
  <si>
    <t xml:space="preserve">EXT  #X-N1u  -  A02.01; C/A09.21; 10/S5.10; S1.11; S2.20 W12x19 (CANOPY) T.O.S. 11'-11 3/8" (pie</t>
  </si>
  <si>
    <t xml:space="preserve">X-N1u</t>
  </si>
  <si>
    <t xml:space="preserve">EXT  #X-E1au  -  A02.01; C/A09.21; 10/S5.10; S1.11; S2.20 W12x19 (CANOPY) T.O.S. 11'-11 3/8" (pie</t>
  </si>
  <si>
    <t xml:space="preserve">X-E1au</t>
  </si>
  <si>
    <t xml:space="preserve">EXT  #X-W3au  -  A02.01; C/A09.21; 10/S5.10; S1.11; S2.20 W16x26 (CANOPY); H/A09.23 T/STEEL 11'-9</t>
  </si>
  <si>
    <t xml:space="preserve">X-W3au</t>
  </si>
  <si>
    <t xml:space="preserve">EXT  #X-W2u  -  A02.01; C/A09.21; 10/S5.10; S1.11; S2.20 W12x19 (CANOPY); J/A09.23 T/STEEL 11'-9</t>
  </si>
  <si>
    <t xml:space="preserve">X-W2u</t>
  </si>
  <si>
    <t xml:space="preserve">EXT  #X-Ju  -  A02.01; C/A09.21; 10/S5.10; S1.11; S2.20 W12x19 (CANOPY); J/A09.23 T/STEEL 11'-9</t>
  </si>
  <si>
    <t xml:space="preserve">X-Ju</t>
  </si>
  <si>
    <t xml:space="preserve">TYPE PIER</t>
  </si>
  <si>
    <t xml:space="preserve">PIER  #P-1  -  A02.01; 1/A09.25; 2/A09.25</t>
  </si>
  <si>
    <t xml:space="preserve">P-1</t>
  </si>
  <si>
    <t xml:space="preserve">A02.01; 1/A09.25; 2/A09.25</t>
  </si>
  <si>
    <t xml:space="preserve">2/A09.25</t>
  </si>
  <si>
    <t xml:space="preserve">PIER  #P-1i  -  A02.01; 1/A09.25; 2/A09.25</t>
  </si>
  <si>
    <t xml:space="preserve">P-1i</t>
  </si>
  <si>
    <t xml:space="preserve">PIER  #P-2  -  A02.01; 1/A09.25; 2/A09.25</t>
  </si>
  <si>
    <t xml:space="preserve">P-2</t>
  </si>
  <si>
    <t xml:space="preserve">PIER  #P-2i  -  A02.01; 1/A09.25; 2/A09.25</t>
  </si>
  <si>
    <t xml:space="preserve">P-2i</t>
  </si>
  <si>
    <t xml:space="preserve">TYPE COL</t>
  </si>
  <si>
    <t xml:space="preserve">COL  #CC-1  -  A02.01; 5/A09.25 1'-2 1/2" FOS; A09.01 B/CANOPY 10'-6"</t>
  </si>
  <si>
    <t xml:space="preserve">CC-1</t>
  </si>
  <si>
    <t xml:space="preserve">A02.01; 5/A09.25 1'-2 1/2" FOS; A09.01 B/CANOPY 10'-6"</t>
  </si>
  <si>
    <t xml:space="preserve">COL  #CC-2  -  A02.01; 5/A09.25 1'-2 1/2" FOS; A09.01 B/CANOPY 10'-6"</t>
  </si>
  <si>
    <t xml:space="preserve">CC-2</t>
  </si>
  <si>
    <t xml:space="preserve">COL  #CC-3  -  A02.01; 5/A09.25 1'-2 1/2" FOS; A09.01 B/CANOPY 10'-6"</t>
  </si>
  <si>
    <t xml:space="preserve">CC-3</t>
  </si>
  <si>
    <t xml:space="preserve">COL  #CC-4  -  A02.01; 5/A09.25 1'-2 1/2" FOS; A09.01 B/CANOPY 10'-6"</t>
  </si>
  <si>
    <t xml:space="preserve">CC-4</t>
  </si>
  <si>
    <t xml:space="preserve">TYPE PARAPET</t>
  </si>
  <si>
    <t xml:space="preserve">PARAPET  #PAR-NHP  -  A02.02 straight run NHP</t>
  </si>
  <si>
    <t xml:space="preserve">PAR-NHP</t>
  </si>
  <si>
    <t xml:space="preserve">A02.02 straight run NHP</t>
  </si>
  <si>
    <t xml:space="preserve">11/S5.10</t>
  </si>
  <si>
    <t xml:space="preserve">PARAPET  #PAR-T4  -  A02.02 straight run T4</t>
  </si>
  <si>
    <t xml:space="preserve">PAR-T4</t>
  </si>
  <si>
    <t xml:space="preserve">A02.02 straight run T4</t>
  </si>
  <si>
    <t xml:space="preserve">PARAPET  #PAR-WHP  -  A02.02 straight run WHP</t>
  </si>
  <si>
    <t xml:space="preserve">PAR-WHP</t>
  </si>
  <si>
    <t xml:space="preserve">A02.02 straight run WHP</t>
  </si>
  <si>
    <t xml:space="preserve">PARAPET  #PAR-J  -  A02.02 straight run J</t>
  </si>
  <si>
    <t xml:space="preserve">PAR-J</t>
  </si>
  <si>
    <t xml:space="preserve">A02.02 straight run J</t>
  </si>
  <si>
    <t xml:space="preserve">PARAPET  #PAR-NLP  -  A02.02 straight run NLP</t>
  </si>
  <si>
    <t xml:space="preserve">PAR-NLP</t>
  </si>
  <si>
    <t xml:space="preserve">A02.02 straight run NLP</t>
  </si>
  <si>
    <t xml:space="preserve">PARAPET  #PAR-E1  -  A02.02 straight run E</t>
  </si>
  <si>
    <t xml:space="preserve">PAR-E1</t>
  </si>
  <si>
    <t xml:space="preserve">A02.02 straight run E</t>
  </si>
  <si>
    <t xml:space="preserve">PARAPET  #PAR-E2  -  A02.02 straight run E</t>
  </si>
  <si>
    <t xml:space="preserve">PAR-E2</t>
  </si>
  <si>
    <t xml:space="preserve">PARAPET  #PAR-S  -  A02.02 straight run S</t>
  </si>
  <si>
    <t xml:space="preserve">PAR-S</t>
  </si>
  <si>
    <t xml:space="preserve">A02.02 straight run S</t>
  </si>
  <si>
    <t xml:space="preserve">PARAPET  #PAR-W1  -  A02.02 straight run W3</t>
  </si>
  <si>
    <t xml:space="preserve">PAR-W1</t>
  </si>
  <si>
    <t xml:space="preserve">A02.02 straight run W3</t>
  </si>
  <si>
    <t xml:space="preserve">PARAPET  #PAR-W2  -  A02.02 straight run W3</t>
  </si>
  <si>
    <t xml:space="preserve">PAR-W2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</si>
  <si>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</si>
  <si>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</si>
  <si>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</si>
  <si>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</si>
  <si>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</si>
  <si>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</si>
  <si>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</si>
  <si>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</si>
  <si>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</si>
  <si>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</si>
  <si>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</si>
  <si>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</si>
  <si>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(exterior, S1.11) / 600S137-33 (A5, B2, B2K)</t>
  </si>
  <si>
    <t xml:space="preserve">LF</t>
  </si>
  <si>
    <t xml:space="preserve">stick 20 ft</t>
  </si>
  <si>
    <t xml:space="preserve">familias_out.json (canon.py v62)</t>
  </si>
  <si>
    <t xml:space="preserve">6" parapet stud 600S162-54 infill (11/S5.10)</t>
  </si>
  <si>
    <t xml:space="preserve">3-5/8" metal stud 362S137-33 (A1, B, C1, F; 14 GA A1K; joists, kickers)</t>
  </si>
  <si>
    <t xml:space="preserve">1-5/8" metal stud double row (G, G1, office bulkheads)</t>
  </si>
  <si>
    <t xml:space="preserve">2-1/2" metal stud (coiling grille head box 4/A08.21)</t>
  </si>
  <si>
    <t xml:space="preserve">stick 10 ft</t>
  </si>
  <si>
    <t xml:space="preserve">Bottom track 600T125-33 / 362T125-33 / 162T125-33 (all sizes)</t>
  </si>
  <si>
    <t xml:space="preserve">piece 10 ft</t>
  </si>
  <si>
    <t xml:space="preserve">Top / deflection slip track 600T200-97 (all sizes)</t>
  </si>
  <si>
    <t xml:space="preserve">Ceiling / soffit track (perimeter, transitions, CSR, fascia, canopy soffit)</t>
  </si>
  <si>
    <t xml:space="preserve">Bracing 1-1/2" C.R. channel @ 48" O.C. (F/1/S5.20)</t>
  </si>
  <si>
    <t xml:space="preserve">piece 20 ft</t>
  </si>
  <si>
    <t xml:space="preserve">Purlin 1x1x1 16 GA across min. (2) flutes (10/A09.33)</t>
  </si>
  <si>
    <t xml:space="preserve">Header / box beam (metal stud, 7/S5.20)</t>
  </si>
  <si>
    <t xml:space="preserve">Sill track (9/S5.20)</t>
  </si>
  <si>
    <t xml:space="preserve">Framed openings MEP (GB ceilings, canopy soffits)</t>
  </si>
  <si>
    <t xml:space="preserve">framed_openings_out.json</t>
  </si>
  <si>
    <t xml:space="preserve">Furring channel 7/8" (GB ceilings)</t>
  </si>
  <si>
    <t xml:space="preserve">piece 12 ft</t>
  </si>
  <si>
    <t xml:space="preserve">Carrying channel 1-1/2"</t>
  </si>
  <si>
    <t xml:space="preserve">piece 16 ft</t>
  </si>
  <si>
    <t xml:space="preserve">Hanger wire 12 GA</t>
  </si>
  <si>
    <t xml:space="preserve">5/8" gyp board regular (walls + ceilings)</t>
  </si>
  <si>
    <t xml:space="preserve">SF</t>
  </si>
  <si>
    <t xml:space="preserve">4x12 sheet</t>
  </si>
  <si>
    <t xml:space="preserve">5/8" gyp board MOISTURE resistant (chase / lav, F/A08.01)</t>
  </si>
  <si>
    <t xml:space="preserve">Ballistic panel 3/8" UL752 Level 2 fiberglass (4/A12.01)</t>
  </si>
  <si>
    <t xml:space="preserve">4x8 sheet</t>
  </si>
  <si>
    <t xml:space="preserve">3/8" gyp board above 8'-0" (4/A12.01)</t>
  </si>
  <si>
    <t xml:space="preserve">5/8" glass mat sheathing (base 5/A09.26, 9/A09.27 + canopy band 7/A09.26)</t>
  </si>
  <si>
    <t xml:space="preserve">5/8" EXTERIOR gyp sheathing (parapet roof side, A09.21)</t>
  </si>
  <si>
    <t xml:space="preserve">FRT plywood 5/8" bonded polyiso nailbase + 3/4" FRT strips + canopy ext grade (SF)</t>
  </si>
  <si>
    <t xml:space="preserve">FRT blocking (labelled 8,9/A12.01; 10/A09.33; 3/A08.21; 4/A09.26)</t>
  </si>
  <si>
    <t xml:space="preserve">Metal stud blocking 362CR22 (4/S5.20, millwork, accessories)</t>
  </si>
  <si>
    <t xml:space="preserve">Metal trim: corner bead, casing bead, shadow molding, gypsum edge trim</t>
  </si>
  <si>
    <t xml:space="preserve">FRP panel WC-3 restrooms 113/114 (2 x 34.04 LF x 4.5 ft) + mop sink janitor 112 (2 x 2.0 x 4.0)</t>
  </si>
  <si>
    <t xml:space="preserve">A08.01 toilet room finish schedule; A05.01 key note 6</t>
  </si>
  <si>
    <t xml:space="preserve">Cement board (tile cove base CT, 58.7) 2 x 34.04 LF x 0.5 ft</t>
  </si>
  <si>
    <t xml:space="preserve">3x5 sheet</t>
  </si>
  <si>
    <t xml:space="preserve">A08.01; 58.7</t>
  </si>
  <si>
    <t xml:space="preserve">Column wraps count: CW-1/CW-2 grille columns (3/A08.21, 6/A12.01) + CC-1..CC-4 canopy columns (5/A09.25) - framing and board already in stud / board families above</t>
  </si>
  <si>
    <t xml:space="preserve">EA</t>
  </si>
  <si>
    <t xml:space="preserve">3/A08.21; 5/A09.25; takeoff_canon.json element column_wrap</t>
  </si>
  <si>
    <t xml:space="preserve">Acoustical sealant (beads per partition detail A12.01)</t>
  </si>
  <si>
    <t xml:space="preserve">A12.01 details; cierres sellados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</si>
  <si>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</si>
  <si>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</si>
  <si>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</si>
  <si>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</si>
  <si>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transposed: A09.01 'SOUTH ELEVATION' draws the north facade (grid 8 left, entrance at G); A09.02 'NORTH ELEVATION' draws the south facade. Take-off assigns by grid order and plan content.</t>
  </si>
  <si>
    <t xml:space="preserve">0 (assignment only)</t>
  </si>
  <si>
    <t xml:space="preserve">RFI-02</t>
  </si>
  <si>
    <t xml:space="preserve">Exterior stud: S1.11 note 5 600S162-54 @16" and @12" within 6 ft of building corners vs 7/S5.20 600S137-33 @16". Carried S1.11 (more material, 56.2).</t>
  </si>
  <si>
    <t xml:space="preserve">approx -35 LF 6" stud without @12" corner zones; gauge 54 vs 33 mil</t>
  </si>
  <si>
    <t xml:space="preserve">RFI-03</t>
  </si>
  <si>
    <t xml:space="preserve">S2.20 canopy B.O.D. EL. printed '111'-9"' (typo). Assumed 11'-9" per H/A09.23 T/STEEL 11'-9".</t>
  </si>
  <si>
    <t xml:space="preserve">0</t>
  </si>
  <si>
    <t xml:space="preserve">RFI-04</t>
  </si>
  <si>
    <t xml:space="preserve">Walls B2-2a and A5-3 start 0.55 ft north of grid B (high roof) but carried at low-zone B.O.D. 13'-0 5/8" (S2.20).</t>
  </si>
  <si>
    <t xml:space="preserve">+2.3 ft x studs on north 0.55 ft (~+5 LF)</t>
  </si>
  <si>
    <t xml:space="preserve">RFI-05</t>
  </si>
  <si>
    <t xml:space="preserve">Vestibule heads 4,5,6,7/A12.10 'METAL STUD FRAMING &amp; BOX HEADER AS NEEDED'. Carried metal box header (53.3).</t>
  </si>
  <si>
    <t xml:space="preserve">-24.73 LF header if not needed</t>
  </si>
  <si>
    <t xml:space="preserve">RFI-06</t>
  </si>
  <si>
    <t xml:space="preserve">Window heads 11/A09.27 'METAL STUD BOX BEAM OR STEEL FRAMING AS REQUIRED'; no lintel on S2.20 at grids 3 and 8. Carried metal box beam.</t>
  </si>
  <si>
    <t xml:space="preserve">-56.0 LF header if steel by others</t>
  </si>
  <si>
    <t xml:space="preserve">RFI-07</t>
  </si>
  <si>
    <t xml:space="preserve">GB ceiling suspension spacing not specified (furring, carrying, hanger, orientation). Carried furring @16", carrying @48" N-S, hangers @48".</t>
  </si>
  <si>
    <t xml:space="preserve">re-run canon.py with confirmed spacing</t>
  </si>
  <si>
    <t xml:space="preserve">RFI-08</t>
  </si>
  <si>
    <t xml:space="preserve">Waiting 104 GB ceiling with trimless fixtures: 6/A09.33 draws 3 5/8" metal stud framing @16" (stud joist) vs legend 'suspended GWB' (furring). Carried furring.</t>
  </si>
  <si>
    <t xml:space="preserve">+408.7 LF 3-5/8" stud / -408.7 LF furring if stud joist</t>
  </si>
  <si>
    <t xml:space="preserve">RFI-09</t>
  </si>
  <si>
    <t xml:space="preserve">R-11C schedule description 12' vs catalog FSM2L-...-20'-0". Drawn 12'. Carried 12'.</t>
  </si>
  <si>
    <t xml:space="preserve">+64.0 LF framed openings if 20'</t>
  </si>
  <si>
    <t xml:space="preserve">RFI-10</t>
  </si>
  <si>
    <t xml:space="preserve">Framed opening widths not printed (R-11 slot housing, SD TBDI-10 plenums). Carried 4" / 6".</t>
  </si>
  <si>
    <t xml:space="preserve">+/-2 LF per inch per fixture</t>
  </si>
  <si>
    <t xml:space="preserve">RFI-11</t>
  </si>
  <si>
    <t xml:space="preserve">M01.01 16x16 / 14x16 mains near VVT-2-1/2-2: wall crossing not verified. Branches &lt;= 14x14 fit the 14 3/8" stud bay (60.10).</t>
  </si>
  <si>
    <t xml:space="preserve">+2.67 LF header + 2.67 LF sill per confirmed crossing</t>
  </si>
  <si>
    <t xml:space="preserve">RFI-12</t>
  </si>
  <si>
    <t xml:space="preserve">Bridging clips: F/1/S5.20 shows C.R. channel welded at each stud; no clip angle labeled. Clips excluded.</t>
  </si>
  <si>
    <t xml:space="preserve">studs x lines x 2 clips if clip-attached</t>
  </si>
  <si>
    <t xml:space="preserve">RFI-13</t>
  </si>
  <si>
    <t xml:space="preserve">Bracing rows across openings (53.4 literal) carried.</t>
  </si>
  <si>
    <t xml:space="preserve">-106.25 LF bracing if not run across voids</t>
  </si>
  <si>
    <t xml:space="preserve">RFI-14</t>
  </si>
  <si>
    <t xml:space="preserve">Bottom track not deducted at doors (no source to deduct).</t>
  </si>
  <si>
    <t xml:space="preserve">-50.49 LF bottom track if deducted</t>
  </si>
  <si>
    <t xml:space="preserve">RFI-15</t>
  </si>
  <si>
    <t xml:space="preserve">3/4" FRT plywood at window/storefront/door head-sill-jambs (10,11,14/A09.27; 2/A09.26; 1,2,3/A09.25): width not dimensioned. Carried 6".</t>
  </si>
  <si>
    <t xml:space="preserve">+/-21 SF per inch</t>
  </si>
  <si>
    <t xml:space="preserve">RFI-16</t>
  </si>
  <si>
    <t xml:space="preserve">Parapet 3/4" F.R.T. plywood blocking 'AS REQUIRED' (4/A09.26). Carried 2 plies.</t>
  </si>
  <si>
    <t xml:space="preserve">-306.0 LF FRT blocking if 1 ply</t>
  </si>
  <si>
    <t xml:space="preserve">RFI-17</t>
  </si>
  <si>
    <t xml:space="preserve">Canopy band glass mat height: 7/A09.26 T/STUD 12'-7" - B/STUD 10'-7 1/4" = 1.979 ft carried (alt. 10'-8 5/8" = 1.865 ft).</t>
  </si>
  <si>
    <t xml:space="preserve">-20 SF glass mat / +20 SF FRT plywood</t>
  </si>
  <si>
    <t xml:space="preserve">RFI-18</t>
  </si>
  <si>
    <t xml:space="preserve">B2K tagged on A02.01 without schedule row; measured 7.68" = A5K (6", 7 5/8"). Carried as A5K: 14 GA @24" + K panel (4/A12.01).</t>
  </si>
  <si>
    <t xml:space="preserve">+1 stud if B2 @16"</t>
  </si>
  <si>
    <t xml:space="preserve">RFI-19</t>
  </si>
  <si>
    <t xml:space="preserve">Millwork, toilet accessory, wall stop and roof ladder blocking lengths derived (A00.30, A08.01, sheet note D); hardware groups not verified per door. Carried 362CR22 metal.</t>
  </si>
  <si>
    <t xml:space="preserve">+/-30 LF</t>
  </si>
  <si>
    <t xml:space="preserve">RFI-20</t>
  </si>
  <si>
    <t xml:space="preserve">Key note 5 lockers blocking: carried 2 runs x 5'-0" on break 118 south wall (A06.01 model); material not labeled -&gt; 362CR22.</t>
  </si>
  <si>
    <t xml:space="preserve">+/-4 LF</t>
  </si>
  <si>
    <t xml:space="preserve">RFI-21</t>
  </si>
  <si>
    <t xml:space="preserve">EPS-5 formed metal panel 7/8" hat channel @16" (9/A09.27, 2/A09.25) = cladding substrate, excluded (60.4).</t>
  </si>
  <si>
    <t xml:space="preserve">+856 LF if in drywall scope</t>
  </si>
  <si>
    <t xml:space="preserve">RFI-22</t>
  </si>
  <si>
    <t xml:space="preserve">Canopy soffits: 5/8" ext grade FRT plywood on 3 5/8" framing carried; PT-4 stucco and lath by plasterer (excluded).</t>
  </si>
  <si>
    <t xml:space="preserve">RFI-23</t>
  </si>
  <si>
    <t xml:space="preserve">Roof step 4/A02.02 run heights not dimensioned; measured at 1 1/2"=1'-0" validated against printed 3 1/2" BOS (3.30 / 3.49 / 1.18 ft).</t>
  </si>
  <si>
    <t xml:space="preserve">+/-10%</t>
  </si>
  <si>
    <t xml:space="preserve">RFI-24</t>
  </si>
  <si>
    <t xml:space="preserve">7/A09.33 kicker length not dimensioned; carried 1.414 x drop (6.19 ft) @48" O.C.</t>
  </si>
  <si>
    <t xml:space="preserve">+/-20 LF 3-5/8" stud</t>
  </si>
  <si>
    <t xml:space="preserve">RFI-25</t>
  </si>
  <si>
    <t xml:space="preserve">Batt insulation (partition schedule YES) excluded as Div 07.</t>
  </si>
  <si>
    <t xml:space="preserve">0 in Div 05/09</t>
  </si>
  <si>
    <t xml:space="preserve">RFI-26</t>
  </si>
  <si>
    <t xml:space="preserve">No gypsum control joints labeled (CJ only in stucco legend PT-3). Excluded; confirm per ASTM C840.</t>
  </si>
  <si>
    <t xml:space="preserve">RFI-27</t>
  </si>
  <si>
    <t xml:space="preserve">A02.02 ROOF PLAN issued 3 times (PDF pages 25-27). Page 27 (latest stamp 9:48:07 AM) used.</t>
  </si>
  <si>
    <t xml:space="preserve">RFI-28</t>
  </si>
  <si>
    <t xml:space="preserve">Key note 6 FRT plywood backboards (electrical 120 / NER 121): height not dimensioned; carried 4x8 (8'-0") x 5'-10" + 7'-6".</t>
  </si>
  <si>
    <t xml:space="preserve">+/-27 SF per foot of height</t>
  </si>
  <si>
    <t xml:space="preserve">RFI-29</t>
  </si>
  <si>
    <t xml:space="preserve">Header schedule 7/S5.20 type per opening (single track / double track / 2-362CSJ20) to be confirmed; LF unchanged.</t>
  </si>
  <si>
    <t xml:space="preserve">0 LF</t>
  </si>
  <si>
    <t xml:space="preserve">RFI-31</t>
  </si>
  <si>
    <t xml:space="preserve">FRP WC-3 top height: A08.01 'REFER TO ELEVATION'; carried 5'-0" AFF over 6" tile cove base (4.5 ft band); mop sink width not printed (carried 24").</t>
  </si>
  <si>
    <t xml:space="preserve">+/-68 SF per foot of FRP height</t>
  </si>
  <si>
    <t xml:space="preserve">RFI-32</t>
  </si>
  <si>
    <t xml:space="preserve">Break room 118 sink (MW08): no MR/FRP labeled in A05.01/A08.01; regular 5/8" board carried.</t>
  </si>
  <si>
    <t xml:space="preserve">+/-8 SF MR if required behind sink</t>
  </si>
  <si>
    <t xml:space="preserve">RFI-33</t>
  </si>
  <si>
    <t xml:space="preserve">Level 5 finish required at WC-18/WC-20/WC-22 walls (A05.01 key notes 9, 10; A00.40). Areas not yet broken out; finish-level upcharge pending.</t>
  </si>
  <si>
    <t xml:space="preserve">Level 5 SF = WC-20/WC-22 wall areas (to be measured)</t>
  </si>
  <si>
    <t xml:space="preserve">RFI-34</t>
  </si>
  <si>
    <t xml:space="preserve">6/A08.11 ATM drive-up: 2 1/2" metal stud sistered to 6" stud + box beam + gyp to deck; sistered studs not carried.</t>
  </si>
  <si>
    <t xml:space="preserve">+~12 LF 2-1/2" stud</t>
  </si>
  <si>
    <t xml:space="preserve">RFI-35</t>
  </si>
  <si>
    <t xml:space="preserve">3/P00.01 water heater platform with 2X blocking between studs (wood, Div 06) in janitor 112: excluded.</t>
  </si>
  <si>
    <t xml:space="preserve">RFI-36</t>
  </si>
  <si>
    <t xml:space="preserve">S1.10 note 7 / S1.11 note 4: delegated design of cold-formed steel framing with shop drawings and calcs; engineering cost not included.</t>
  </si>
  <si>
    <t xml:space="preserve">engineering allowance</t>
  </si>
  <si>
    <t xml:space="preserve">RFI-37</t>
  </si>
  <si>
    <t xml:space="preserve">7/A09.33 transition trim: protocol carries 2 LF per LF (corner bead + shadow molding); reviewer reads 2 corner beads + 2 shadow moldings.</t>
  </si>
  <si>
    <t xml:space="preserve">+164 LF metal trim if 4 per LF</t>
  </si>
  <si>
    <t xml:space="preserve">RFI-38</t>
  </si>
  <si>
    <t xml:space="preserve">Canopy beams inside the 6" CFMF cavity (C/A09.21, D/A09.22, J and H/A09.23): exterior studs split at the beam (lower + upper piece, 2 extra track runs).</t>
  </si>
  <si>
    <t xml:space="preserve">carried; -1.0 ft per stud vs full-height studs</t>
  </si>
  <si>
    <t xml:space="preserve">RFI-39</t>
  </si>
  <si>
    <t xml:space="preserve">S2.20 HSS9x5x5/8 (LLV) B.O.S. 8'-7 1/2" at grid 2 appears to run G to E; X-W2 (24 HR vestibule 101 west) carried as full stud wall.</t>
  </si>
  <si>
    <t xml:space="preserve">-~15 LF 6" stud if studs stop at HSS</t>
  </si>
  <si>
    <t xml:space="preserve">RFI-40</t>
  </si>
  <si>
    <t xml:space="preserve">CSR soffit 116 straddles grid B roof step; side studs carried to high deck 15'-4 1/2" (53.2 high side).</t>
  </si>
  <si>
    <t xml:space="preserve">-~22 LF 3-5/8" stud at average deck</t>
  </si>
  <si>
    <t xml:space="preserve">RFI-41</t>
  </si>
  <si>
    <t xml:space="preserve">B2-4 (Break 118 / Work 119): back-check reads a printed 11'-0" on A02.01; take-off carries 11.74 ft wall run from door 116 jamb to exterior face (A02.01 geometry, includes stub north of A1 and A1 thickness). Confirm which governs.</t>
  </si>
  <si>
    <t xml:space="preserve">-0.74 LF wall: -1 stud, -18.9 SF 5/8 board, -1.5 LF track</t>
  </si>
  <si>
    <t xml:space="preserve">RFI-42</t>
  </si>
  <si>
    <t xml:space="preserve">B2-2a / B2-2b (corridor 111 at restrooms 113/114) carried at low-roof deck height per S2.20 (13'-0 5/8" at grid B, interpolated south); bid set does not print B.O.D. in zone E-B (back-check). Confirm.</t>
  </si>
  <si>
    <t xml:space="preserve">if 15'-4 1/2": +2.4 ft x 2 walls (~+29 LF 6" stud, +54 SF board)</t>
  </si>
  <si>
    <t xml:space="preserve">RFI-30</t>
  </si>
  <si>
    <t xml:space="preserve">Pier boxes 1,2/A09.25: printed dimensions taken to grids/storefront, not 4 faces; carried plan box (2.54 x 1.97 / 2.59 x 1.97 ft).</t>
  </si>
  <si>
    <t xml:space="preserve">+/-10 SF board, +/-2 studs</t>
  </si>
  <si>
    <t xml:space="preserve">#</t>
  </si>
  <si>
    <t xml:space="preserve">Punto</t>
  </si>
  <si>
    <t xml:space="preserve">Hoja + detalle</t>
  </si>
  <si>
    <t xml:space="preserve">Imagen</t>
  </si>
  <si>
    <t xml:space="preserve">Confirmar lista de walls del barrido (registro 236 renglones; walls 116 incl. splits/upper pieces de adversariales) contra el plano; imagenes por tipo en Planos marcados/</t>
  </si>
  <si>
    <t xml:space="preserve">A02.01</t>
  </si>
  <si>
    <t xml:space="preserve">01..08_PLANO_*.jpg</t>
  </si>
  <si>
    <t xml:space="preserve">Confirmar alturas zona baja (B a A) interpoladas entre 13'-0 5/8" (grid B) y 12'-6 3/8" (grid A)</t>
  </si>
  <si>
    <t xml:space="preserve">S2.20</t>
  </si>
  <si>
    <t xml:space="preserve">03_PLANO_B_6_walls_60.27LF.jpg</t>
  </si>
  <si>
    <t xml:space="preserve">Confirmar office front: stubs G/G1 con vendor_end + door bulkhead 7'-6" x 6 (8,9,10/A12.01; hold 8'-0 1/2" A11.01)</t>
  </si>
  <si>
    <t xml:space="preserve">07_PLANO_bulkheads_heads_9_walls_80.39LF.jpg</t>
  </si>
  <si>
    <t xml:space="preserve">Confirmar lintels HSS9x5x5/8 (LLV) de S2.20 en storefronts G, F y grid 2 = steel by others (sin header metal)</t>
  </si>
  <si>
    <t xml:space="preserve">S2.20; 2/A09.26</t>
  </si>
  <si>
    <t xml:space="preserve">08_PLANO_EXT_storefront_piers_15_walls_268.76LF.jpg</t>
  </si>
  <si>
    <t xml:space="preserve">Confirmar parapet por straight run (HP tower G/grid 2 a 4.292 ft; LP 2.042; zona baja promedio 4.621; sur 4.886)</t>
  </si>
  <si>
    <t xml:space="preserve">11/S5.10; A02.02</t>
  </si>
  <si>
    <t xml:space="preserve">09_PLANO_parapets_roofstep.jpg</t>
  </si>
  <si>
    <t xml:space="preserve">Confirmar canopy soffits y fascia (perimetro 240.88 LF, 1.865 ft) y columnas 5/A09.25 x4</t>
  </si>
  <si>
    <t xml:space="preserve">7/A09.26; 15,16/A09.27</t>
  </si>
  <si>
    <t xml:space="preserve">10_PLANO_ceilings_soffits.jpg</t>
  </si>
  <si>
    <t xml:space="preserve">Confirmar blocking derivado (millwork, accesorios, wall stops) - RFI-19/RFI-20</t>
  </si>
  <si>
    <t xml:space="preserve">A00.30; A08.01</t>
  </si>
  <si>
    <t xml:space="preserve">Confirmar framed openings: SD de vestibulos 4 filas x 12 ft y UU4 4 x 55 ft en canopy oeste</t>
  </si>
  <si>
    <t xml:space="preserve">M01.01; E02.01</t>
  </si>
  <si>
    <t xml:space="preserve">Elevaciones exteriores con titulo N/S transpuesto (RFI-01)</t>
  </si>
  <si>
    <t xml:space="preserve">A09.01; A09.02</t>
  </si>
  <si>
    <t xml:space="preserve">Herramienta: canon.py no tiene header_schedule de 7/S5.20 (todos los headers salen TYPE PENDING); el LF no cambia</t>
  </si>
  <si>
    <t xml:space="preserve">7/S5.20</t>
  </si>
  <si>
    <t xml:space="preserve">Muros que cruzan grid B (B2-2a, A5-3) cargados a altura de zona baja (RFI-04)</t>
  </si>
  <si>
    <t xml:space="preserve">Canopy beams en la cavidad del stud exterior: studs partidos en pieza baja + alta (RFI-38)</t>
  </si>
  <si>
    <t xml:space="preserve">C/A09.21; S2.20</t>
  </si>
  <si>
    <t xml:space="preserve">Level 5 finish WC-20/WC-22 sin medir (RFI-33, ALC-24 en RFI)</t>
  </si>
  <si>
    <t xml:space="preserve">A05.01; A00.40</t>
  </si>
  <si>
    <t xml:space="preserve">Herramienta AGREGADA: canon.py ceilings[].joist_dir {value N-S|E-W, source} para canopy_joist (joists perpendiculares al muro); test_canon.py test_joist_dir_canopy_13b; revisar el cambio</t>
  </si>
  <si>
    <t xml:space="preserve">3/A09.26; 7/A09.26</t>
  </si>
  <si>
    <t xml:space="preserve">Acoustical sealant: suma por beads de A12.01 en build_takeoff.py (no es familia de canon.py §6); revisar si debe entrar a canon</t>
  </si>
  <si>
    <t xml:space="preserve">A12.01</t>
  </si>
  <si>
    <t xml:space="preserve">DB-109/DB-110: hold printed 7'-6" vs banda dibujada 7.17 ft (se cargo lo impreso)</t>
  </si>
  <si>
    <t xml:space="preserve">A02.01; 8/A12.01</t>
  </si>
  <si>
    <t xml:space="preserve">Back-check: 3-5/8" stud del Material Summary 48% sobre lo recalculado por filas (jambs, canopy joists, kickers, headers en canon.py studs_nodos) - auditar</t>
  </si>
  <si>
    <t xml:space="preserve">A12.01; 3/A09.26</t>
  </si>
  <si>
    <t xml:space="preserve">backcheck_13B.md</t>
  </si>
  <si>
    <t xml:space="preserve">Bug corregido: B2-2a/b caian a HI por id viejo en alturas_in; guarda nueva en build_canon.py (RFI-42)</t>
  </si>
  <si>
    <t xml:space="preserve">04_PLANO_B2_5_walls_38.72LF.jpg</t>
  </si>
  <si>
    <t xml:space="preserve">Chase de baños C1-1/C1-2/C1-3 con MR una face; caras de toilets y lavs (F/A08.01)</t>
  </si>
  <si>
    <t xml:space="preserve">F/A08.01</t>
  </si>
  <si>
    <t xml:space="preserve">06_PLANO_A1K_B2K_C1_F_12_walls_78.02LF.jpg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</si>
  <si>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</si>
  <si>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</si>
  <si>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</si>
  <si>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</si>
  <si>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</si>
  <si>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</si>
  <si>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</si>
  <si>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Material Summary studs + tracks; A02.01; A12.01</t>
  </si>
  <si>
    <t xml:space="preserve">ALC-02</t>
  </si>
  <si>
    <t xml:space="preserve">Exterior wall framing (CFMF)</t>
  </si>
  <si>
    <t xml:space="preserve">6" stud; C/A09.21; 10/S5.10</t>
  </si>
  <si>
    <t xml:space="preserve">ALC-03</t>
  </si>
  <si>
    <t xml:space="preserve">Parapet framing</t>
  </si>
  <si>
    <t xml:space="preserve">6" parapet stud 11/S5.10; A02.02</t>
  </si>
  <si>
    <t xml:space="preserve">ALC-04</t>
  </si>
  <si>
    <t xml:space="preserve">Top / deflection and bottom track</t>
  </si>
  <si>
    <t xml:space="preserve">bottom + top track; S5.20</t>
  </si>
  <si>
    <t xml:space="preserve">ALC-05</t>
  </si>
  <si>
    <t xml:space="preserve">Headers, sills and jambs at openings</t>
  </si>
  <si>
    <t xml:space="preserve">header 240.65 / sill 63.09; A00.30; A09.27</t>
  </si>
  <si>
    <t xml:space="preserve">ALC-06</t>
  </si>
  <si>
    <t xml:space="preserve">Bracing / bridging</t>
  </si>
  <si>
    <t xml:space="preserve">F/1/S5.20 C.R. channel</t>
  </si>
  <si>
    <t xml:space="preserve">ALC-07</t>
  </si>
  <si>
    <t xml:space="preserve">Gypsum board on walls</t>
  </si>
  <si>
    <t xml:space="preserve">5/8 regular; A12.01</t>
  </si>
  <si>
    <t xml:space="preserve">ALC-08</t>
  </si>
  <si>
    <t xml:space="preserve">Moisture / special board at wet zones</t>
  </si>
  <si>
    <t xml:space="preserve">5/8 MR; F/A08.01</t>
  </si>
  <si>
    <t xml:space="preserve">ALC-09</t>
  </si>
  <si>
    <t xml:space="preserve">Exterior gypsum / glass mat sheathing</t>
  </si>
  <si>
    <t xml:space="preserve">glass mat + exterior gyp; A09.26; A09.21</t>
  </si>
  <si>
    <t xml:space="preserve">ALC-10</t>
  </si>
  <si>
    <t xml:space="preserve">FRT plywood sheathing / substrate</t>
  </si>
  <si>
    <t xml:space="preserve">FRT plywood SF; A09.21; 12/A12.01</t>
  </si>
  <si>
    <t xml:space="preserve">ALC-11</t>
  </si>
  <si>
    <t xml:space="preserve">Gypsum board ceilings</t>
  </si>
  <si>
    <t xml:space="preserve">A04.01 GB ceilings 100,101,104,113,114</t>
  </si>
  <si>
    <t xml:space="preserve">ALC-12</t>
  </si>
  <si>
    <t xml:space="preserve">Ceiling suspension</t>
  </si>
  <si>
    <t xml:space="preserve">furring, carrying, hanger wire, ceiling track; A04.01; A09.33</t>
  </si>
  <si>
    <t xml:space="preserve">ALC-13</t>
  </si>
  <si>
    <t xml:space="preserve">Soffits and bulkheads</t>
  </si>
  <si>
    <t xml:space="preserve">CSR soffit 10/A09.33; office bulkheads 8,9/A12.01</t>
  </si>
  <si>
    <t xml:space="preserve">ALC-14</t>
  </si>
  <si>
    <t xml:space="preserve">Canopy / marquee framing and sheathing</t>
  </si>
  <si>
    <t xml:space="preserve">7/A09.26; 15,16/A09.27; A04.01</t>
  </si>
  <si>
    <t xml:space="preserve">ALC-15</t>
  </si>
  <si>
    <t xml:space="preserve">Column furring / wraps</t>
  </si>
  <si>
    <t xml:space="preserve">5/A09.25 canopy columns; C1 grille columns A02.01</t>
  </si>
  <si>
    <t xml:space="preserve">ALC-16</t>
  </si>
  <si>
    <t xml:space="preserve">Blocking</t>
  </si>
  <si>
    <t xml:space="preserve">FRT blocking + metal stud blocking; A02.01 note C; A00.30</t>
  </si>
  <si>
    <t xml:space="preserve">ALC-17</t>
  </si>
  <si>
    <t xml:space="preserve">Framed openings</t>
  </si>
  <si>
    <t xml:space="preserve">framed openings MEP; A04.01; M01.01</t>
  </si>
  <si>
    <t xml:space="preserve">ALC-18</t>
  </si>
  <si>
    <t xml:space="preserve">Trim</t>
  </si>
  <si>
    <t xml:space="preserve">metal trim; A12.01; A09.33</t>
  </si>
  <si>
    <t xml:space="preserve">ALC-19</t>
  </si>
  <si>
    <t xml:space="preserve">Acoustical sealant</t>
  </si>
  <si>
    <t xml:space="preserve">Acoustical sealant; A12.01</t>
  </si>
  <si>
    <t xml:space="preserve">ALC-20</t>
  </si>
  <si>
    <t xml:space="preserve">FRP / cement board / tile backer</t>
  </si>
  <si>
    <t xml:space="preserve">FRP panel + cement board; A08.01; A05.01 key note 6</t>
  </si>
  <si>
    <t xml:space="preserve">ALC-21</t>
  </si>
  <si>
    <t xml:space="preserve">Shaft walls / area separation walls</t>
  </si>
  <si>
    <t xml:space="preserve">NO APLICA</t>
  </si>
  <si>
    <t xml:space="preserve">NO APLICA: A02.01 sin shaft walls</t>
  </si>
  <si>
    <t xml:space="preserve">ALC-22</t>
  </si>
  <si>
    <t xml:space="preserve">Rated assemblies</t>
  </si>
  <si>
    <t xml:space="preserve">NO APLICA: A02.01 y A05.01 sin partitions rated; A12.01 FIRE RATING '--' y U.L. NUMBER '--' en todos los tipos</t>
  </si>
  <si>
    <t xml:space="preserve">ALC-23</t>
  </si>
  <si>
    <t xml:space="preserve">Special panels (ballistic)</t>
  </si>
  <si>
    <t xml:space="preserve">ballistic panel; 4/A12.01</t>
  </si>
  <si>
    <t xml:space="preserve">ALC-24</t>
  </si>
  <si>
    <t xml:space="preserve">Finish level</t>
  </si>
  <si>
    <t xml:space="preserve">RFI-33: A05.01 key notes 9/10 y A00.40 piden LEVEL 5 en WC-18/WC-20/WC-22; areas por medir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</si>
</sst>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11.767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723.68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0.5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30.76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3.84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236.16</v>
      </c>
      <c r="I8" s="0" t="s">
        <v>37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n">
        <v>3.347</v>
      </c>
      <c r="D9" s="0" t="n">
        <v>15.375</v>
      </c>
      <c r="E9" s="0" t="n">
        <v>4</v>
      </c>
      <c r="F9" s="0" t="s">
        <v>31</v>
      </c>
      <c r="G9" s="0" t="n">
        <v>16</v>
      </c>
      <c r="H9" s="0" t="n">
        <v>205.84</v>
      </c>
      <c r="I9" s="0" t="s">
        <v>37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5" t="s">
        <v>42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0" t="n">
        <v>11.767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723.68</v>
      </c>
      <c r="I11" s="0" t="s">
        <v>32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n">
        <v>11.767</v>
      </c>
      <c r="D12" s="0" t="n">
        <v>15.375</v>
      </c>
      <c r="E12" s="0" t="n">
        <v>4</v>
      </c>
      <c r="F12" s="0" t="s">
        <v>31</v>
      </c>
      <c r="G12" s="0" t="n">
        <v>16</v>
      </c>
      <c r="H12" s="0" t="n">
        <v>723.68</v>
      </c>
      <c r="I12" s="0" t="s">
        <v>32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0" t="n">
        <v>10.073</v>
      </c>
      <c r="D13" s="0" t="n">
        <v>15.375</v>
      </c>
      <c r="E13" s="0" t="n">
        <v>4</v>
      </c>
      <c r="F13" s="0" t="s">
        <v>31</v>
      </c>
      <c r="G13" s="0" t="n">
        <v>16</v>
      </c>
      <c r="H13" s="0" t="n">
        <v>619.48</v>
      </c>
      <c r="I13" s="0" t="s">
        <v>32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0" t="n">
        <v>16.24</v>
      </c>
      <c r="D14" s="0" t="n">
        <v>15.375</v>
      </c>
      <c r="E14" s="0" t="n">
        <v>4</v>
      </c>
      <c r="F14" s="0" t="s">
        <v>31</v>
      </c>
      <c r="G14" s="0" t="n">
        <v>16</v>
      </c>
      <c r="H14" s="0" t="n">
        <v>856.91</v>
      </c>
      <c r="I14" s="0" t="s">
        <v>32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n">
        <v>11.627</v>
      </c>
      <c r="D15" s="0" t="n">
        <v>15.375</v>
      </c>
      <c r="E15" s="0" t="n">
        <v>4</v>
      </c>
      <c r="F15" s="0" t="s">
        <v>31</v>
      </c>
      <c r="G15" s="0" t="n">
        <v>16</v>
      </c>
      <c r="H15" s="0" t="n">
        <v>715.06</v>
      </c>
      <c r="I15" s="0" t="s">
        <v>32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0" t="n">
        <v>11.627</v>
      </c>
      <c r="D16" s="0" t="n">
        <v>15.375</v>
      </c>
      <c r="E16" s="0" t="n">
        <v>4</v>
      </c>
      <c r="F16" s="0" t="s">
        <v>31</v>
      </c>
      <c r="G16" s="0" t="n">
        <v>16</v>
      </c>
      <c r="H16" s="0" t="n">
        <v>715.06</v>
      </c>
      <c r="I16" s="0" t="s">
        <v>32</v>
      </c>
      <c r="J16" s="0" t="s">
        <v>33</v>
      </c>
      <c r="K16" s="0" t="s">
        <v>34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0" t="n">
        <v>2.42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148.82</v>
      </c>
      <c r="I17" s="0" t="s">
        <v>37</v>
      </c>
      <c r="J17" s="0" t="s">
        <v>33</v>
      </c>
      <c r="K17" s="0" t="s">
        <v>34</v>
      </c>
    </row>
    <row r="18" customFormat="false" ht="15" hidden="false" customHeight="false" outlineLevel="0" collapsed="false">
      <c r="A18" s="0" t="s">
        <v>57</v>
      </c>
      <c r="B18" s="0" t="s">
        <v>58</v>
      </c>
      <c r="C18" s="0" t="n">
        <v>3.467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213.22</v>
      </c>
      <c r="I18" s="0" t="s">
        <v>37</v>
      </c>
      <c r="J18" s="0" t="s">
        <v>33</v>
      </c>
      <c r="K18" s="0" t="s">
        <v>34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n">
        <v>3.253</v>
      </c>
      <c r="D19" s="0" t="n">
        <v>15.375</v>
      </c>
      <c r="E19" s="0" t="n">
        <v>4</v>
      </c>
      <c r="F19" s="0" t="s">
        <v>31</v>
      </c>
      <c r="G19" s="0" t="n">
        <v>16</v>
      </c>
      <c r="H19" s="0" t="n">
        <v>200.06</v>
      </c>
      <c r="I19" s="0" t="s">
        <v>37</v>
      </c>
      <c r="J19" s="0" t="s">
        <v>33</v>
      </c>
      <c r="K19" s="0" t="s">
        <v>34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n">
        <v>3.253</v>
      </c>
      <c r="D20" s="0" t="n">
        <v>15.375</v>
      </c>
      <c r="E20" s="0" t="n">
        <v>4</v>
      </c>
      <c r="F20" s="0" t="s">
        <v>31</v>
      </c>
      <c r="G20" s="0" t="n">
        <v>16</v>
      </c>
      <c r="H20" s="0" t="n">
        <v>200.06</v>
      </c>
      <c r="I20" s="0" t="s">
        <v>37</v>
      </c>
      <c r="J20" s="0" t="s">
        <v>33</v>
      </c>
      <c r="K20" s="0" t="s">
        <v>34</v>
      </c>
    </row>
    <row r="21" customFormat="false" ht="15" hidden="false" customHeight="false" outlineLevel="0" collapsed="false">
      <c r="A21" s="0" t="s">
        <v>63</v>
      </c>
      <c r="B21" s="0" t="s">
        <v>64</v>
      </c>
      <c r="C21" s="0" t="n">
        <v>0.973</v>
      </c>
      <c r="D21" s="0" t="n">
        <v>15.375</v>
      </c>
      <c r="E21" s="0" t="n">
        <v>4</v>
      </c>
      <c r="F21" s="0" t="s">
        <v>31</v>
      </c>
      <c r="G21" s="0" t="n">
        <v>16</v>
      </c>
      <c r="H21" s="0" t="n">
        <v>59.84</v>
      </c>
      <c r="I21" s="0" t="s">
        <v>37</v>
      </c>
      <c r="J21" s="0" t="s">
        <v>33</v>
      </c>
      <c r="K21" s="0" t="s">
        <v>34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n">
        <v>7.5</v>
      </c>
      <c r="D22" s="0" t="n">
        <v>7.333</v>
      </c>
      <c r="E22" s="0" t="n">
        <v>4</v>
      </c>
      <c r="F22" s="0" t="s">
        <v>31</v>
      </c>
      <c r="G22" s="0" t="n">
        <v>16</v>
      </c>
      <c r="H22" s="0" t="n">
        <v>220</v>
      </c>
      <c r="I22" s="0" t="s">
        <v>67</v>
      </c>
      <c r="J22" s="0" t="s">
        <v>68</v>
      </c>
      <c r="K22" s="0" t="s">
        <v>34</v>
      </c>
    </row>
    <row r="23" customFormat="false" ht="15" hidden="false" customHeight="false" outlineLevel="0" collapsed="false">
      <c r="A23" s="0" t="s">
        <v>69</v>
      </c>
      <c r="B23" s="0" t="s">
        <v>70</v>
      </c>
      <c r="C23" s="0" t="n">
        <v>7.5</v>
      </c>
      <c r="D23" s="0" t="n">
        <v>7.333</v>
      </c>
      <c r="E23" s="0" t="n">
        <v>4</v>
      </c>
      <c r="F23" s="0" t="s">
        <v>31</v>
      </c>
      <c r="G23" s="0" t="n">
        <v>16</v>
      </c>
      <c r="H23" s="0" t="n">
        <v>220</v>
      </c>
      <c r="I23" s="0" t="s">
        <v>67</v>
      </c>
      <c r="J23" s="0" t="s">
        <v>68</v>
      </c>
      <c r="K23" s="0" t="s">
        <v>34</v>
      </c>
    </row>
    <row r="24" customFormat="false" ht="15" hidden="false" customHeight="false" outlineLevel="0" collapsed="false">
      <c r="A24" s="0" t="s">
        <v>71</v>
      </c>
      <c r="B24" s="0" t="s">
        <v>72</v>
      </c>
      <c r="C24" s="0" t="n">
        <v>7.5</v>
      </c>
      <c r="D24" s="0" t="n">
        <v>7.333</v>
      </c>
      <c r="E24" s="0" t="n">
        <v>4</v>
      </c>
      <c r="F24" s="0" t="s">
        <v>31</v>
      </c>
      <c r="G24" s="0" t="n">
        <v>16</v>
      </c>
      <c r="H24" s="0" t="n">
        <v>220</v>
      </c>
      <c r="I24" s="0" t="s">
        <v>67</v>
      </c>
      <c r="J24" s="0" t="s">
        <v>68</v>
      </c>
      <c r="K24" s="0" t="s">
        <v>34</v>
      </c>
    </row>
    <row r="25" customFormat="false" ht="15" hidden="false" customHeight="false" outlineLevel="0" collapsed="false">
      <c r="A25" s="0" t="s">
        <v>73</v>
      </c>
      <c r="B25" s="0" t="s">
        <v>74</v>
      </c>
      <c r="C25" s="0" t="n">
        <v>7.5</v>
      </c>
      <c r="D25" s="0" t="n">
        <v>7.333</v>
      </c>
      <c r="E25" s="0" t="n">
        <v>4</v>
      </c>
      <c r="F25" s="0" t="s">
        <v>31</v>
      </c>
      <c r="G25" s="0" t="n">
        <v>16</v>
      </c>
      <c r="H25" s="0" t="n">
        <v>220</v>
      </c>
      <c r="I25" s="0" t="s">
        <v>67</v>
      </c>
      <c r="J25" s="0" t="s">
        <v>68</v>
      </c>
      <c r="K25" s="0" t="s">
        <v>34</v>
      </c>
    </row>
    <row r="26" customFormat="false" ht="15" hidden="false" customHeight="false" outlineLevel="0" collapsed="false">
      <c r="A26" s="0" t="s">
        <v>75</v>
      </c>
      <c r="B26" s="0" t="s">
        <v>76</v>
      </c>
      <c r="C26" s="0" t="n">
        <v>7.5</v>
      </c>
      <c r="D26" s="0" t="n">
        <v>7.333</v>
      </c>
      <c r="E26" s="0" t="n">
        <v>4</v>
      </c>
      <c r="F26" s="0" t="s">
        <v>31</v>
      </c>
      <c r="G26" s="0" t="n">
        <v>16</v>
      </c>
      <c r="H26" s="0" t="n">
        <v>220</v>
      </c>
      <c r="I26" s="0" t="s">
        <v>67</v>
      </c>
      <c r="J26" s="0" t="s">
        <v>68</v>
      </c>
      <c r="K26" s="0" t="s">
        <v>34</v>
      </c>
    </row>
    <row r="27" customFormat="false" ht="15" hidden="false" customHeight="false" outlineLevel="0" collapsed="false">
      <c r="A27" s="0" t="s">
        <v>77</v>
      </c>
      <c r="B27" s="0" t="s">
        <v>78</v>
      </c>
      <c r="C27" s="0" t="n">
        <v>7.5</v>
      </c>
      <c r="D27" s="0" t="n">
        <v>7.333</v>
      </c>
      <c r="E27" s="0" t="n">
        <v>4</v>
      </c>
      <c r="F27" s="0" t="s">
        <v>31</v>
      </c>
      <c r="G27" s="0" t="n">
        <v>16</v>
      </c>
      <c r="H27" s="0" t="n">
        <v>220</v>
      </c>
      <c r="I27" s="0" t="s">
        <v>67</v>
      </c>
      <c r="J27" s="0" t="s">
        <v>68</v>
      </c>
      <c r="K27" s="0" t="s">
        <v>34</v>
      </c>
    </row>
    <row r="28" customFormat="false" ht="15" hidden="false" customHeight="false" outlineLevel="0" collapsed="false">
      <c r="A28" s="5" t="s">
        <v>79</v>
      </c>
    </row>
    <row r="29" customFormat="false" ht="15" hidden="false" customHeight="false" outlineLevel="0" collapsed="false">
      <c r="A29" s="0" t="s">
        <v>80</v>
      </c>
      <c r="B29" s="0" t="s">
        <v>81</v>
      </c>
      <c r="C29" s="0" t="n">
        <v>16.42</v>
      </c>
      <c r="D29" s="0" t="n">
        <v>15.375</v>
      </c>
      <c r="E29" s="0" t="n">
        <v>2</v>
      </c>
      <c r="F29" s="0" t="s">
        <v>82</v>
      </c>
      <c r="G29" s="0" t="n">
        <v>16</v>
      </c>
      <c r="H29" s="0" t="n">
        <v>221.61</v>
      </c>
      <c r="I29" s="0" t="s">
        <v>83</v>
      </c>
      <c r="J29" s="0" t="s">
        <v>84</v>
      </c>
      <c r="K29" s="0" t="s">
        <v>34</v>
      </c>
    </row>
    <row r="30" customFormat="false" ht="15" hidden="false" customHeight="false" outlineLevel="0" collapsed="false">
      <c r="A30" s="0" t="s">
        <v>85</v>
      </c>
      <c r="B30" s="0" t="s">
        <v>86</v>
      </c>
      <c r="C30" s="0" t="n">
        <v>3.533</v>
      </c>
      <c r="D30" s="0" t="n">
        <v>15.375</v>
      </c>
      <c r="E30" s="0" t="n">
        <v>2</v>
      </c>
      <c r="F30" s="0" t="s">
        <v>82</v>
      </c>
      <c r="G30" s="0" t="n">
        <v>16</v>
      </c>
      <c r="H30" s="0" t="n">
        <v>63.6</v>
      </c>
      <c r="I30" s="0" t="s">
        <v>83</v>
      </c>
      <c r="J30" s="0" t="s">
        <v>84</v>
      </c>
      <c r="K30" s="0" t="s">
        <v>34</v>
      </c>
    </row>
    <row r="31" customFormat="false" ht="15" hidden="false" customHeight="false" outlineLevel="0" collapsed="false">
      <c r="A31" s="0" t="s">
        <v>87</v>
      </c>
      <c r="B31" s="0" t="s">
        <v>88</v>
      </c>
      <c r="C31" s="0" t="n">
        <v>2.02</v>
      </c>
      <c r="D31" s="0" t="n">
        <v>15.375</v>
      </c>
      <c r="E31" s="0" t="n">
        <v>2</v>
      </c>
      <c r="F31" s="0" t="s">
        <v>82</v>
      </c>
      <c r="G31" s="0" t="n">
        <v>16</v>
      </c>
      <c r="H31" s="0" t="n">
        <v>36.36</v>
      </c>
      <c r="I31" s="0" t="s">
        <v>83</v>
      </c>
      <c r="J31" s="0" t="s">
        <v>84</v>
      </c>
      <c r="K31" s="0" t="s">
        <v>34</v>
      </c>
    </row>
    <row r="32" customFormat="false" ht="15" hidden="false" customHeight="false" outlineLevel="0" collapsed="false">
      <c r="A32" s="0" t="s">
        <v>89</v>
      </c>
      <c r="B32" s="0" t="s">
        <v>90</v>
      </c>
      <c r="C32" s="0" t="n">
        <v>15.233</v>
      </c>
      <c r="D32" s="0" t="n">
        <v>12.971</v>
      </c>
      <c r="E32" s="0" t="n">
        <v>2</v>
      </c>
      <c r="F32" s="0" t="s">
        <v>82</v>
      </c>
      <c r="G32" s="0" t="n">
        <v>16</v>
      </c>
      <c r="H32" s="0" t="n">
        <v>274.2</v>
      </c>
      <c r="I32" s="0" t="s">
        <v>83</v>
      </c>
      <c r="J32" s="0" t="s">
        <v>84</v>
      </c>
      <c r="K32" s="0" t="s">
        <v>34</v>
      </c>
    </row>
    <row r="33" customFormat="false" ht="15" hidden="false" customHeight="false" outlineLevel="0" collapsed="false">
      <c r="A33" s="0" t="s">
        <v>91</v>
      </c>
      <c r="B33" s="0" t="s">
        <v>92</v>
      </c>
      <c r="C33" s="0" t="n">
        <v>20.393</v>
      </c>
      <c r="D33" s="0" t="n">
        <v>12.891</v>
      </c>
      <c r="E33" s="0" t="n">
        <v>2</v>
      </c>
      <c r="F33" s="0" t="s">
        <v>82</v>
      </c>
      <c r="G33" s="0" t="n">
        <v>16</v>
      </c>
      <c r="H33" s="0" t="n">
        <v>372.77</v>
      </c>
      <c r="I33" s="0" t="s">
        <v>83</v>
      </c>
      <c r="J33" s="0" t="s">
        <v>84</v>
      </c>
      <c r="K33" s="0" t="s">
        <v>34</v>
      </c>
    </row>
    <row r="34" customFormat="false" ht="15" hidden="false" customHeight="false" outlineLevel="0" collapsed="false">
      <c r="A34" s="0" t="s">
        <v>93</v>
      </c>
      <c r="B34" s="0" t="s">
        <v>94</v>
      </c>
      <c r="C34" s="0" t="n">
        <v>5.587</v>
      </c>
      <c r="D34" s="0" t="n">
        <v>15.375</v>
      </c>
      <c r="E34" s="0" t="n">
        <v>2</v>
      </c>
      <c r="F34" s="0" t="s">
        <v>82</v>
      </c>
      <c r="G34" s="0" t="n">
        <v>16</v>
      </c>
      <c r="H34" s="0" t="n">
        <v>62.88</v>
      </c>
      <c r="I34" s="0" t="s">
        <v>83</v>
      </c>
      <c r="J34" s="0" t="s">
        <v>84</v>
      </c>
      <c r="K34" s="0" t="s">
        <v>34</v>
      </c>
    </row>
    <row r="35" customFormat="false" ht="15" hidden="false" customHeight="false" outlineLevel="0" collapsed="false">
      <c r="A35" s="0" t="s">
        <v>95</v>
      </c>
      <c r="B35" s="0" t="s">
        <v>96</v>
      </c>
      <c r="C35" s="0" t="n">
        <v>5.107</v>
      </c>
      <c r="D35" s="0" t="n">
        <v>12.927</v>
      </c>
      <c r="E35" s="0" t="n">
        <v>2</v>
      </c>
      <c r="F35" s="0" t="s">
        <v>82</v>
      </c>
      <c r="G35" s="0" t="n">
        <v>16</v>
      </c>
      <c r="H35" s="0" t="n">
        <v>40.04</v>
      </c>
      <c r="I35" s="0" t="s">
        <v>83</v>
      </c>
      <c r="J35" s="0" t="s">
        <v>84</v>
      </c>
      <c r="K35" s="0" t="s">
        <v>34</v>
      </c>
    </row>
    <row r="36" customFormat="false" ht="15" hidden="false" customHeight="false" outlineLevel="0" collapsed="false">
      <c r="A36" s="0" t="s">
        <v>97</v>
      </c>
      <c r="B36" s="0" t="s">
        <v>98</v>
      </c>
      <c r="C36" s="0" t="n">
        <v>2.14</v>
      </c>
      <c r="D36" s="0" t="n">
        <v>12.963</v>
      </c>
      <c r="E36" s="0" t="n">
        <v>2</v>
      </c>
      <c r="F36" s="0" t="s">
        <v>82</v>
      </c>
      <c r="G36" s="0" t="n">
        <v>16</v>
      </c>
      <c r="H36" s="0" t="n">
        <v>39.59</v>
      </c>
      <c r="I36" s="0" t="s">
        <v>83</v>
      </c>
      <c r="J36" s="0" t="s">
        <v>84</v>
      </c>
      <c r="K36" s="0" t="s">
        <v>34</v>
      </c>
    </row>
    <row r="37" customFormat="false" ht="15" hidden="false" customHeight="false" outlineLevel="0" collapsed="false">
      <c r="A37" s="0" t="s">
        <v>99</v>
      </c>
      <c r="B37" s="0" t="s">
        <v>100</v>
      </c>
      <c r="C37" s="0" t="n">
        <v>11.667</v>
      </c>
      <c r="D37" s="0" t="n">
        <v>12.775</v>
      </c>
      <c r="E37" s="0" t="n">
        <v>2</v>
      </c>
      <c r="F37" s="0" t="s">
        <v>82</v>
      </c>
      <c r="G37" s="0" t="n">
        <v>16</v>
      </c>
      <c r="H37" s="0" t="n">
        <v>168.06</v>
      </c>
      <c r="I37" s="0" t="s">
        <v>83</v>
      </c>
      <c r="J37" s="0" t="s">
        <v>84</v>
      </c>
      <c r="K37" s="0" t="s">
        <v>34</v>
      </c>
    </row>
    <row r="38" customFormat="false" ht="15" hidden="false" customHeight="false" outlineLevel="0" collapsed="false">
      <c r="A38" s="0" t="s">
        <v>101</v>
      </c>
      <c r="B38" s="0" t="s">
        <v>102</v>
      </c>
      <c r="C38" s="0" t="n">
        <v>15.647</v>
      </c>
      <c r="D38" s="0" t="n">
        <v>5.375</v>
      </c>
      <c r="E38" s="0" t="n">
        <v>0</v>
      </c>
      <c r="F38" s="0" t="s">
        <v>82</v>
      </c>
      <c r="G38" s="0" t="n">
        <v>16</v>
      </c>
      <c r="H38" s="0" t="n">
        <v>0</v>
      </c>
      <c r="I38" s="0" t="s">
        <v>103</v>
      </c>
      <c r="J38" s="0" t="s">
        <v>104</v>
      </c>
      <c r="K38" s="0" t="s">
        <v>34</v>
      </c>
    </row>
    <row r="39" customFormat="false" ht="15" hidden="false" customHeight="false" outlineLevel="0" collapsed="false">
      <c r="A39" s="0" t="s">
        <v>105</v>
      </c>
      <c r="B39" s="0" t="s">
        <v>106</v>
      </c>
      <c r="C39" s="0" t="n">
        <v>6.413</v>
      </c>
      <c r="D39" s="0" t="n">
        <v>5.375</v>
      </c>
      <c r="E39" s="0" t="n">
        <v>1</v>
      </c>
      <c r="F39" s="0" t="s">
        <v>82</v>
      </c>
      <c r="G39" s="0" t="n">
        <v>16</v>
      </c>
      <c r="H39" s="0" t="n">
        <v>12.83</v>
      </c>
      <c r="I39" s="0" t="s">
        <v>107</v>
      </c>
      <c r="J39" s="0" t="s">
        <v>104</v>
      </c>
      <c r="K39" s="0" t="s">
        <v>34</v>
      </c>
    </row>
    <row r="40" customFormat="false" ht="15" hidden="false" customHeight="false" outlineLevel="0" collapsed="false">
      <c r="A40" s="5" t="s">
        <v>108</v>
      </c>
    </row>
    <row r="41" customFormat="false" ht="15" hidden="false" customHeight="false" outlineLevel="0" collapsed="false">
      <c r="A41" s="0" t="s">
        <v>109</v>
      </c>
      <c r="B41" s="0" t="s">
        <v>110</v>
      </c>
      <c r="C41" s="0" t="n">
        <v>11</v>
      </c>
      <c r="D41" s="0" t="n">
        <v>15.375</v>
      </c>
      <c r="E41" s="0" t="n">
        <v>2</v>
      </c>
      <c r="F41" s="0" t="s">
        <v>111</v>
      </c>
      <c r="G41" s="0" t="n">
        <v>16</v>
      </c>
      <c r="H41" s="0" t="n">
        <v>231</v>
      </c>
      <c r="I41" s="0" t="s">
        <v>112</v>
      </c>
      <c r="J41" s="0" t="s">
        <v>84</v>
      </c>
      <c r="K41" s="0" t="s">
        <v>34</v>
      </c>
    </row>
    <row r="42" customFormat="false" ht="15" hidden="false" customHeight="false" outlineLevel="0" collapsed="false">
      <c r="A42" s="0" t="s">
        <v>113</v>
      </c>
      <c r="B42" s="0" t="s">
        <v>114</v>
      </c>
      <c r="C42" s="0" t="n">
        <v>15.481</v>
      </c>
      <c r="D42" s="0" t="n">
        <v>15.375</v>
      </c>
      <c r="E42" s="0" t="n">
        <v>2</v>
      </c>
      <c r="F42" s="0" t="s">
        <v>111</v>
      </c>
      <c r="G42" s="0" t="n">
        <v>16</v>
      </c>
      <c r="H42" s="0" t="n">
        <v>306.89</v>
      </c>
      <c r="I42" s="0" t="s">
        <v>112</v>
      </c>
      <c r="J42" s="0" t="s">
        <v>84</v>
      </c>
      <c r="K42" s="0" t="s">
        <v>34</v>
      </c>
    </row>
    <row r="43" customFormat="false" ht="15" hidden="false" customHeight="false" outlineLevel="0" collapsed="false">
      <c r="A43" s="0" t="s">
        <v>115</v>
      </c>
      <c r="B43" s="0" t="s">
        <v>116</v>
      </c>
      <c r="C43" s="0" t="n">
        <v>4.332</v>
      </c>
      <c r="D43" s="0" t="n">
        <v>13.052</v>
      </c>
      <c r="E43" s="0" t="n">
        <v>2</v>
      </c>
      <c r="F43" s="0" t="s">
        <v>111</v>
      </c>
      <c r="G43" s="0" t="n">
        <v>16</v>
      </c>
      <c r="H43" s="0" t="n">
        <v>80.14</v>
      </c>
      <c r="I43" s="0" t="s">
        <v>112</v>
      </c>
      <c r="J43" s="0" t="s">
        <v>84</v>
      </c>
      <c r="K43" s="0" t="s">
        <v>34</v>
      </c>
    </row>
    <row r="44" customFormat="false" ht="15" hidden="false" customHeight="false" outlineLevel="0" collapsed="false">
      <c r="A44" s="0" t="s">
        <v>117</v>
      </c>
      <c r="B44" s="0" t="s">
        <v>118</v>
      </c>
      <c r="C44" s="0" t="n">
        <v>5</v>
      </c>
      <c r="D44" s="0" t="n">
        <v>13.052</v>
      </c>
      <c r="E44" s="0" t="n">
        <v>2</v>
      </c>
      <c r="F44" s="0" t="s">
        <v>111</v>
      </c>
      <c r="G44" s="0" t="n">
        <v>16</v>
      </c>
      <c r="H44" s="0" t="n">
        <v>42.22</v>
      </c>
      <c r="I44" s="0" t="s">
        <v>112</v>
      </c>
      <c r="J44" s="0" t="s">
        <v>84</v>
      </c>
      <c r="K44" s="0" t="s">
        <v>34</v>
      </c>
    </row>
    <row r="45" customFormat="false" ht="15" hidden="false" customHeight="false" outlineLevel="0" collapsed="false">
      <c r="A45" s="0" t="s">
        <v>119</v>
      </c>
      <c r="B45" s="0" t="s">
        <v>120</v>
      </c>
      <c r="C45" s="0" t="n">
        <v>7.047</v>
      </c>
      <c r="D45" s="0" t="n">
        <v>12.927</v>
      </c>
      <c r="E45" s="0" t="n">
        <v>2</v>
      </c>
      <c r="F45" s="0" t="s">
        <v>111</v>
      </c>
      <c r="G45" s="0" t="n">
        <v>16</v>
      </c>
      <c r="H45" s="0" t="n">
        <v>82.59</v>
      </c>
      <c r="I45" s="0" t="s">
        <v>112</v>
      </c>
      <c r="J45" s="0" t="s">
        <v>84</v>
      </c>
      <c r="K45" s="0" t="s">
        <v>34</v>
      </c>
    </row>
    <row r="46" customFormat="false" ht="15" hidden="false" customHeight="false" outlineLevel="0" collapsed="false">
      <c r="A46" s="5" t="s">
        <v>121</v>
      </c>
    </row>
    <row r="47" customFormat="false" ht="15" hidden="false" customHeight="false" outlineLevel="0" collapsed="false">
      <c r="A47" s="0" t="s">
        <v>122</v>
      </c>
      <c r="B47" s="0" t="s">
        <v>123</v>
      </c>
      <c r="C47" s="0" t="n">
        <v>11.733</v>
      </c>
      <c r="D47" s="0" t="n">
        <v>12.751</v>
      </c>
      <c r="E47" s="0" t="n">
        <v>2</v>
      </c>
      <c r="F47" s="0" t="s">
        <v>82</v>
      </c>
      <c r="G47" s="0" t="n">
        <v>16</v>
      </c>
      <c r="H47" s="0" t="n">
        <v>251.44</v>
      </c>
      <c r="I47" s="0" t="s">
        <v>124</v>
      </c>
      <c r="J47" s="0" t="s">
        <v>125</v>
      </c>
      <c r="K47" s="0" t="s">
        <v>34</v>
      </c>
    </row>
    <row r="48" customFormat="false" ht="15" hidden="false" customHeight="false" outlineLevel="0" collapsed="false">
      <c r="A48" s="0" t="s">
        <v>126</v>
      </c>
      <c r="B48" s="0" t="s">
        <v>127</v>
      </c>
      <c r="C48" s="0" t="n">
        <v>3.5</v>
      </c>
      <c r="D48" s="0" t="n">
        <v>12.743</v>
      </c>
      <c r="E48" s="0" t="n">
        <v>2</v>
      </c>
      <c r="F48" s="0" t="s">
        <v>82</v>
      </c>
      <c r="G48" s="0" t="n">
        <v>16</v>
      </c>
      <c r="H48" s="0" t="n">
        <v>89.2</v>
      </c>
      <c r="I48" s="0" t="s">
        <v>124</v>
      </c>
      <c r="J48" s="0" t="s">
        <v>125</v>
      </c>
      <c r="K48" s="0" t="s">
        <v>34</v>
      </c>
    </row>
    <row r="49" customFormat="false" ht="15" hidden="false" customHeight="false" outlineLevel="0" collapsed="false">
      <c r="A49" s="0" t="s">
        <v>128</v>
      </c>
      <c r="B49" s="0" t="s">
        <v>129</v>
      </c>
      <c r="C49" s="0" t="n">
        <v>11.733</v>
      </c>
      <c r="D49" s="0" t="n">
        <v>12.67</v>
      </c>
      <c r="E49" s="0" t="n">
        <v>2</v>
      </c>
      <c r="F49" s="0" t="s">
        <v>82</v>
      </c>
      <c r="G49" s="0" t="n">
        <v>16</v>
      </c>
      <c r="H49" s="0" t="n">
        <v>297.32</v>
      </c>
      <c r="I49" s="0" t="s">
        <v>124</v>
      </c>
      <c r="J49" s="0" t="s">
        <v>125</v>
      </c>
      <c r="K49" s="0" t="s">
        <v>34</v>
      </c>
    </row>
    <row r="50" customFormat="false" ht="15" hidden="false" customHeight="false" outlineLevel="0" collapsed="false">
      <c r="A50" s="0" t="s">
        <v>130</v>
      </c>
      <c r="B50" s="0" t="s">
        <v>131</v>
      </c>
      <c r="C50" s="0" t="n">
        <v>9.987</v>
      </c>
      <c r="D50" s="0" t="n">
        <v>12.831</v>
      </c>
      <c r="E50" s="0" t="n">
        <v>2</v>
      </c>
      <c r="F50" s="0" t="s">
        <v>82</v>
      </c>
      <c r="G50" s="0" t="n">
        <v>16</v>
      </c>
      <c r="H50" s="0" t="n">
        <v>256.28</v>
      </c>
      <c r="I50" s="0" t="s">
        <v>124</v>
      </c>
      <c r="J50" s="0" t="s">
        <v>125</v>
      </c>
      <c r="K50" s="0" t="s">
        <v>34</v>
      </c>
    </row>
    <row r="51" customFormat="false" ht="15" hidden="false" customHeight="false" outlineLevel="0" collapsed="false">
      <c r="A51" s="0" t="s">
        <v>132</v>
      </c>
      <c r="B51" s="0" t="s">
        <v>133</v>
      </c>
      <c r="C51" s="0" t="n">
        <v>13.74</v>
      </c>
      <c r="D51" s="0" t="n">
        <v>12.823</v>
      </c>
      <c r="E51" s="0" t="n">
        <v>2</v>
      </c>
      <c r="F51" s="0" t="s">
        <v>82</v>
      </c>
      <c r="G51" s="0" t="n">
        <v>16</v>
      </c>
      <c r="H51" s="0" t="n">
        <v>256.82</v>
      </c>
      <c r="I51" s="0" t="s">
        <v>124</v>
      </c>
      <c r="J51" s="0" t="s">
        <v>125</v>
      </c>
      <c r="K51" s="0" t="s">
        <v>34</v>
      </c>
    </row>
    <row r="52" customFormat="false" ht="15" hidden="false" customHeight="false" outlineLevel="0" collapsed="false">
      <c r="A52" s="0" t="s">
        <v>134</v>
      </c>
      <c r="B52" s="0" t="s">
        <v>135</v>
      </c>
      <c r="C52" s="0" t="n">
        <v>9.58</v>
      </c>
      <c r="D52" s="0" t="n">
        <v>12.702</v>
      </c>
      <c r="E52" s="0" t="n">
        <v>2</v>
      </c>
      <c r="F52" s="0" t="s">
        <v>82</v>
      </c>
      <c r="G52" s="0" t="n">
        <v>16</v>
      </c>
      <c r="H52" s="0" t="n">
        <v>243.38</v>
      </c>
      <c r="I52" s="0" t="s">
        <v>124</v>
      </c>
      <c r="J52" s="0" t="s">
        <v>125</v>
      </c>
      <c r="K52" s="0" t="s">
        <v>34</v>
      </c>
    </row>
    <row r="53" customFormat="false" ht="15" hidden="false" customHeight="false" outlineLevel="0" collapsed="false">
      <c r="A53" s="5" t="s">
        <v>136</v>
      </c>
    </row>
    <row r="54" customFormat="false" ht="15" hidden="false" customHeight="false" outlineLevel="0" collapsed="false">
      <c r="A54" s="0" t="s">
        <v>137</v>
      </c>
      <c r="B54" s="0" t="s">
        <v>138</v>
      </c>
      <c r="C54" s="0" t="n">
        <v>5.66</v>
      </c>
      <c r="D54" s="0" t="n">
        <v>15.375</v>
      </c>
      <c r="E54" s="0" t="n">
        <v>2</v>
      </c>
      <c r="F54" s="0" t="s">
        <v>111</v>
      </c>
      <c r="G54" s="0" t="n">
        <v>16</v>
      </c>
      <c r="H54" s="0" t="n">
        <v>111.44</v>
      </c>
      <c r="I54" s="0" t="s">
        <v>124</v>
      </c>
      <c r="J54" s="0" t="s">
        <v>125</v>
      </c>
      <c r="K54" s="0" t="s">
        <v>34</v>
      </c>
    </row>
    <row r="55" customFormat="false" ht="15" hidden="false" customHeight="false" outlineLevel="0" collapsed="false">
      <c r="A55" s="0" t="s">
        <v>139</v>
      </c>
      <c r="B55" s="0" t="s">
        <v>140</v>
      </c>
      <c r="C55" s="0" t="n">
        <v>5.533</v>
      </c>
      <c r="D55" s="0" t="n">
        <v>13.052</v>
      </c>
      <c r="E55" s="0" t="n">
        <v>2</v>
      </c>
      <c r="F55" s="0" t="s">
        <v>111</v>
      </c>
      <c r="G55" s="0" t="n">
        <v>16</v>
      </c>
      <c r="H55" s="0" t="n">
        <v>96.66</v>
      </c>
      <c r="I55" s="0" t="s">
        <v>124</v>
      </c>
      <c r="J55" s="0" t="s">
        <v>125</v>
      </c>
      <c r="K55" s="0" t="s">
        <v>34</v>
      </c>
    </row>
    <row r="56" customFormat="false" ht="15" hidden="false" customHeight="false" outlineLevel="0" collapsed="false">
      <c r="A56" s="0" t="s">
        <v>141</v>
      </c>
      <c r="B56" s="0" t="s">
        <v>142</v>
      </c>
      <c r="C56" s="0" t="n">
        <v>5.513</v>
      </c>
      <c r="D56" s="0" t="n">
        <v>12.865</v>
      </c>
      <c r="E56" s="0" t="n">
        <v>2</v>
      </c>
      <c r="F56" s="0" t="s">
        <v>111</v>
      </c>
      <c r="G56" s="0" t="n">
        <v>16</v>
      </c>
      <c r="H56" s="0" t="n">
        <v>94.06</v>
      </c>
      <c r="I56" s="0" t="s">
        <v>124</v>
      </c>
      <c r="J56" s="0" t="s">
        <v>125</v>
      </c>
      <c r="K56" s="0" t="s">
        <v>34</v>
      </c>
    </row>
    <row r="57" customFormat="false" ht="15" hidden="false" customHeight="false" outlineLevel="0" collapsed="false">
      <c r="A57" s="0" t="s">
        <v>143</v>
      </c>
      <c r="B57" s="0" t="s">
        <v>144</v>
      </c>
      <c r="C57" s="0" t="n">
        <v>10.273</v>
      </c>
      <c r="D57" s="0" t="n">
        <v>12.751</v>
      </c>
      <c r="E57" s="0" t="n">
        <v>2</v>
      </c>
      <c r="F57" s="0" t="s">
        <v>111</v>
      </c>
      <c r="G57" s="0" t="n">
        <v>16</v>
      </c>
      <c r="H57" s="0" t="n">
        <v>166.42</v>
      </c>
      <c r="I57" s="0" t="s">
        <v>124</v>
      </c>
      <c r="J57" s="0" t="s">
        <v>125</v>
      </c>
      <c r="K57" s="0" t="s">
        <v>34</v>
      </c>
    </row>
    <row r="58" customFormat="false" ht="15" hidden="false" customHeight="false" outlineLevel="0" collapsed="false">
      <c r="A58" s="0" t="s">
        <v>145</v>
      </c>
      <c r="B58" s="0" t="s">
        <v>146</v>
      </c>
      <c r="C58" s="0" t="n">
        <v>11.74</v>
      </c>
      <c r="D58" s="0" t="n">
        <v>12.781</v>
      </c>
      <c r="E58" s="0" t="n">
        <v>2</v>
      </c>
      <c r="F58" s="0" t="s">
        <v>111</v>
      </c>
      <c r="G58" s="0" t="n">
        <v>16</v>
      </c>
      <c r="H58" s="0" t="n">
        <v>300.1</v>
      </c>
      <c r="I58" s="0" t="s">
        <v>124</v>
      </c>
      <c r="J58" s="0" t="s">
        <v>125</v>
      </c>
      <c r="K58" s="0" t="s">
        <v>34</v>
      </c>
    </row>
    <row r="59" customFormat="false" ht="15" hidden="false" customHeight="false" outlineLevel="0" collapsed="false">
      <c r="A59" s="5" t="s">
        <v>147</v>
      </c>
    </row>
    <row r="60" customFormat="false" ht="15" hidden="false" customHeight="false" outlineLevel="0" collapsed="false">
      <c r="A60" s="0" t="s">
        <v>148</v>
      </c>
      <c r="B60" s="0" t="s">
        <v>149</v>
      </c>
      <c r="C60" s="0" t="n">
        <v>3.417</v>
      </c>
      <c r="D60" s="0" t="n">
        <v>15.375</v>
      </c>
      <c r="E60" s="0" t="n">
        <v>2</v>
      </c>
      <c r="F60" s="0" t="s">
        <v>82</v>
      </c>
      <c r="G60" s="0" t="n">
        <v>24</v>
      </c>
      <c r="H60" s="0" t="n">
        <v>105.08</v>
      </c>
      <c r="I60" s="0" t="s">
        <v>150</v>
      </c>
      <c r="J60" s="0" t="s">
        <v>151</v>
      </c>
      <c r="K60" s="0" t="s">
        <v>152</v>
      </c>
    </row>
    <row r="61" customFormat="false" ht="15" hidden="false" customHeight="false" outlineLevel="0" collapsed="false">
      <c r="A61" s="0" t="s">
        <v>153</v>
      </c>
      <c r="B61" s="0" t="s">
        <v>154</v>
      </c>
      <c r="C61" s="0" t="n">
        <v>3.413</v>
      </c>
      <c r="D61" s="0" t="n">
        <v>12.939</v>
      </c>
      <c r="E61" s="0" t="n">
        <v>2</v>
      </c>
      <c r="F61" s="0" t="s">
        <v>82</v>
      </c>
      <c r="G61" s="0" t="n">
        <v>24</v>
      </c>
      <c r="H61" s="0" t="n">
        <v>88.32</v>
      </c>
      <c r="I61" s="0" t="s">
        <v>155</v>
      </c>
      <c r="J61" s="0" t="s">
        <v>151</v>
      </c>
      <c r="K61" s="0" t="s">
        <v>34</v>
      </c>
    </row>
    <row r="62" customFormat="false" ht="15" hidden="false" customHeight="false" outlineLevel="0" collapsed="false">
      <c r="A62" s="0" t="s">
        <v>156</v>
      </c>
      <c r="B62" s="0" t="s">
        <v>157</v>
      </c>
      <c r="C62" s="0" t="n">
        <v>1.16</v>
      </c>
      <c r="D62" s="0" t="n">
        <v>12.927</v>
      </c>
      <c r="E62" s="0" t="n">
        <v>2</v>
      </c>
      <c r="F62" s="0" t="s">
        <v>82</v>
      </c>
      <c r="G62" s="0" t="n">
        <v>24</v>
      </c>
      <c r="H62" s="0" t="n">
        <v>30</v>
      </c>
      <c r="I62" s="0" t="s">
        <v>155</v>
      </c>
      <c r="J62" s="0" t="s">
        <v>151</v>
      </c>
      <c r="K62" s="0" t="s">
        <v>34</v>
      </c>
    </row>
    <row r="63" customFormat="false" ht="15" hidden="false" customHeight="false" outlineLevel="0" collapsed="false">
      <c r="A63" s="5" t="s">
        <v>158</v>
      </c>
    </row>
    <row r="64" customFormat="false" ht="15" hidden="false" customHeight="false" outlineLevel="0" collapsed="false">
      <c r="A64" s="0" t="s">
        <v>159</v>
      </c>
      <c r="B64" s="0" t="s">
        <v>160</v>
      </c>
      <c r="C64" s="0" t="n">
        <v>1.26</v>
      </c>
      <c r="D64" s="0" t="n">
        <v>15.375</v>
      </c>
      <c r="E64" s="0" t="n">
        <v>2</v>
      </c>
      <c r="F64" s="0" t="s">
        <v>111</v>
      </c>
      <c r="G64" s="0" t="n">
        <v>24</v>
      </c>
      <c r="H64" s="0" t="n">
        <v>38.74</v>
      </c>
      <c r="I64" s="0" t="s">
        <v>161</v>
      </c>
      <c r="J64" s="0" t="s">
        <v>151</v>
      </c>
      <c r="K64" s="0" t="s">
        <v>34</v>
      </c>
    </row>
    <row r="65" customFormat="false" ht="15" hidden="false" customHeight="false" outlineLevel="0" collapsed="false">
      <c r="A65" s="5" t="s">
        <v>162</v>
      </c>
    </row>
    <row r="66" customFormat="false" ht="15" hidden="false" customHeight="false" outlineLevel="0" collapsed="false">
      <c r="A66" s="0" t="s">
        <v>163</v>
      </c>
      <c r="B66" s="0" t="s">
        <v>164</v>
      </c>
      <c r="C66" s="0" t="n">
        <v>10.027</v>
      </c>
      <c r="D66" s="0" t="n">
        <v>12.918</v>
      </c>
      <c r="E66" s="0" t="n">
        <v>1</v>
      </c>
      <c r="F66" s="0" t="s">
        <v>82</v>
      </c>
      <c r="G66" s="0" t="n">
        <v>16</v>
      </c>
      <c r="H66" s="0" t="n">
        <v>129.53</v>
      </c>
      <c r="I66" s="0" t="s">
        <v>165</v>
      </c>
      <c r="J66" s="0" t="s">
        <v>166</v>
      </c>
      <c r="K66" s="0" t="s">
        <v>34</v>
      </c>
    </row>
    <row r="67" customFormat="false" ht="15" hidden="false" customHeight="false" outlineLevel="0" collapsed="false">
      <c r="A67" s="0" t="s">
        <v>167</v>
      </c>
      <c r="B67" s="0" t="s">
        <v>168</v>
      </c>
      <c r="C67" s="0" t="n">
        <v>10.027</v>
      </c>
      <c r="D67" s="0" t="n">
        <v>12.896</v>
      </c>
      <c r="E67" s="0" t="n">
        <v>1</v>
      </c>
      <c r="F67" s="0" t="s">
        <v>82</v>
      </c>
      <c r="G67" s="0" t="n">
        <v>16</v>
      </c>
      <c r="H67" s="0" t="n">
        <v>129.31</v>
      </c>
      <c r="I67" s="0" t="s">
        <v>165</v>
      </c>
      <c r="J67" s="0" t="s">
        <v>166</v>
      </c>
      <c r="K67" s="0" t="s">
        <v>34</v>
      </c>
    </row>
    <row r="68" customFormat="false" ht="15" hidden="false" customHeight="false" outlineLevel="0" collapsed="false">
      <c r="A68" s="0" t="s">
        <v>169</v>
      </c>
      <c r="B68" s="0" t="s">
        <v>170</v>
      </c>
      <c r="C68" s="0" t="n">
        <v>7.873</v>
      </c>
      <c r="D68" s="0" t="n">
        <v>12.949</v>
      </c>
      <c r="E68" s="0" t="n">
        <v>2</v>
      </c>
      <c r="F68" s="0" t="s">
        <v>82</v>
      </c>
      <c r="G68" s="0" t="n">
        <v>16</v>
      </c>
      <c r="H68" s="0" t="n">
        <v>203.9</v>
      </c>
      <c r="I68" s="0" t="s">
        <v>171</v>
      </c>
      <c r="J68" s="0" t="s">
        <v>166</v>
      </c>
      <c r="K68" s="0" t="s">
        <v>34</v>
      </c>
    </row>
    <row r="69" customFormat="false" ht="15" hidden="false" customHeight="false" outlineLevel="0" collapsed="false">
      <c r="A69" s="0" t="s">
        <v>172</v>
      </c>
      <c r="B69" s="0" t="s">
        <v>173</v>
      </c>
      <c r="C69" s="0" t="n">
        <v>11.334</v>
      </c>
      <c r="D69" s="0" t="n">
        <v>15.375</v>
      </c>
      <c r="E69" s="0" t="n">
        <v>1</v>
      </c>
      <c r="F69" s="0" t="s">
        <v>82</v>
      </c>
      <c r="G69" s="0" t="n">
        <v>16</v>
      </c>
      <c r="H69" s="0" t="n">
        <v>174.26</v>
      </c>
      <c r="I69" s="0" t="s">
        <v>174</v>
      </c>
      <c r="J69" s="0" t="s">
        <v>166</v>
      </c>
      <c r="K69" s="0" t="s">
        <v>34</v>
      </c>
    </row>
    <row r="70" customFormat="false" ht="15" hidden="false" customHeight="false" outlineLevel="0" collapsed="false">
      <c r="A70" s="0" t="s">
        <v>175</v>
      </c>
      <c r="B70" s="0" t="s">
        <v>176</v>
      </c>
      <c r="C70" s="0" t="n">
        <v>2.98</v>
      </c>
      <c r="D70" s="0" t="n">
        <v>12.939</v>
      </c>
      <c r="E70" s="0" t="n">
        <v>1</v>
      </c>
      <c r="F70" s="0" t="s">
        <v>82</v>
      </c>
      <c r="G70" s="0" t="n">
        <v>16</v>
      </c>
      <c r="H70" s="0" t="n">
        <v>38.56</v>
      </c>
      <c r="I70" s="0" t="s">
        <v>177</v>
      </c>
      <c r="J70" s="0" t="s">
        <v>166</v>
      </c>
      <c r="K70" s="0" t="s">
        <v>34</v>
      </c>
    </row>
    <row r="71" customFormat="false" ht="15" hidden="false" customHeight="false" outlineLevel="0" collapsed="false">
      <c r="A71" s="0" t="s">
        <v>178</v>
      </c>
      <c r="B71" s="0" t="s">
        <v>179</v>
      </c>
      <c r="C71" s="0" t="n">
        <v>4</v>
      </c>
      <c r="D71" s="0" t="n">
        <v>15.375</v>
      </c>
      <c r="E71" s="0" t="n">
        <v>1</v>
      </c>
      <c r="F71" s="0" t="s">
        <v>82</v>
      </c>
      <c r="G71" s="0" t="n">
        <v>16</v>
      </c>
      <c r="H71" s="0" t="n">
        <v>61.5</v>
      </c>
      <c r="I71" s="0" t="s">
        <v>180</v>
      </c>
      <c r="J71" s="0" t="s">
        <v>166</v>
      </c>
      <c r="K71" s="0" t="s">
        <v>34</v>
      </c>
    </row>
    <row r="72" customFormat="false" ht="15" hidden="false" customHeight="false" outlineLevel="0" collapsed="false">
      <c r="A72" s="0" t="s">
        <v>181</v>
      </c>
      <c r="B72" s="0" t="s">
        <v>182</v>
      </c>
      <c r="C72" s="0" t="n">
        <v>5.066</v>
      </c>
      <c r="D72" s="0" t="n">
        <v>15.375</v>
      </c>
      <c r="E72" s="0" t="n">
        <v>1</v>
      </c>
      <c r="F72" s="0" t="s">
        <v>82</v>
      </c>
      <c r="G72" s="0" t="n">
        <v>16</v>
      </c>
      <c r="H72" s="0" t="n">
        <v>77.89</v>
      </c>
      <c r="I72" s="0" t="s">
        <v>183</v>
      </c>
      <c r="J72" s="0" t="s">
        <v>166</v>
      </c>
      <c r="K72" s="0" t="s">
        <v>34</v>
      </c>
    </row>
    <row r="73" customFormat="false" ht="15" hidden="false" customHeight="false" outlineLevel="0" collapsed="false">
      <c r="A73" s="5" t="s">
        <v>184</v>
      </c>
    </row>
    <row r="74" customFormat="false" ht="15" hidden="false" customHeight="false" outlineLevel="0" collapsed="false">
      <c r="A74" s="0" t="s">
        <v>185</v>
      </c>
      <c r="B74" s="0" t="s">
        <v>186</v>
      </c>
      <c r="C74" s="0" t="n">
        <v>17.46</v>
      </c>
      <c r="D74" s="0" t="n">
        <v>15.375</v>
      </c>
      <c r="E74" s="0" t="n">
        <v>2</v>
      </c>
      <c r="F74" s="0" t="s">
        <v>82</v>
      </c>
      <c r="G74" s="0" t="n">
        <v>16</v>
      </c>
      <c r="H74" s="0" t="n">
        <v>319.64</v>
      </c>
      <c r="I74" s="0" t="s">
        <v>187</v>
      </c>
      <c r="J74" s="0" t="s">
        <v>188</v>
      </c>
      <c r="K74" s="0" t="s">
        <v>34</v>
      </c>
    </row>
    <row r="75" customFormat="false" ht="15" hidden="false" customHeight="false" outlineLevel="0" collapsed="false">
      <c r="A75" s="5" t="s">
        <v>189</v>
      </c>
    </row>
    <row r="76" customFormat="false" ht="15" hidden="false" customHeight="false" outlineLevel="0" collapsed="false">
      <c r="A76" s="0" t="s">
        <v>190</v>
      </c>
      <c r="B76" s="0" t="s">
        <v>191</v>
      </c>
      <c r="C76" s="0" t="n">
        <v>13.333</v>
      </c>
      <c r="D76" s="0" t="n">
        <v>1.5</v>
      </c>
      <c r="E76" s="0" t="n">
        <v>2</v>
      </c>
      <c r="F76" s="0" t="s">
        <v>192</v>
      </c>
      <c r="G76" s="0" t="n">
        <v>16</v>
      </c>
      <c r="H76" s="0" t="n">
        <v>40</v>
      </c>
      <c r="I76" s="0" t="s">
        <v>193</v>
      </c>
      <c r="J76" s="0" t="s">
        <v>194</v>
      </c>
      <c r="K76" s="0" t="s">
        <v>34</v>
      </c>
    </row>
    <row r="77" customFormat="false" ht="15" hidden="false" customHeight="false" outlineLevel="0" collapsed="false">
      <c r="A77" s="0" t="s">
        <v>195</v>
      </c>
      <c r="B77" s="0" t="s">
        <v>196</v>
      </c>
      <c r="C77" s="0" t="n">
        <v>51.594</v>
      </c>
      <c r="D77" s="0" t="n">
        <v>3.3</v>
      </c>
      <c r="E77" s="0" t="n">
        <v>0</v>
      </c>
      <c r="F77" s="0" t="s">
        <v>82</v>
      </c>
      <c r="G77" s="0" t="n">
        <v>16</v>
      </c>
      <c r="H77" s="0" t="n">
        <v>0</v>
      </c>
      <c r="I77" s="0" t="s">
        <v>197</v>
      </c>
      <c r="J77" s="0" t="s">
        <v>197</v>
      </c>
      <c r="K77" s="0" t="s">
        <v>34</v>
      </c>
    </row>
    <row r="78" customFormat="false" ht="15" hidden="false" customHeight="false" outlineLevel="0" collapsed="false">
      <c r="A78" s="0" t="s">
        <v>198</v>
      </c>
      <c r="B78" s="0" t="s">
        <v>199</v>
      </c>
      <c r="C78" s="0" t="n">
        <v>51.594</v>
      </c>
      <c r="D78" s="0" t="n">
        <v>3.49</v>
      </c>
      <c r="E78" s="0" t="n">
        <v>1</v>
      </c>
      <c r="F78" s="0" t="s">
        <v>82</v>
      </c>
      <c r="G78" s="0" t="n">
        <v>16</v>
      </c>
      <c r="H78" s="0" t="n">
        <v>180.06</v>
      </c>
      <c r="I78" s="0" t="s">
        <v>197</v>
      </c>
      <c r="J78" s="0" t="s">
        <v>197</v>
      </c>
      <c r="K78" s="0" t="s">
        <v>34</v>
      </c>
    </row>
    <row r="79" customFormat="false" ht="15" hidden="false" customHeight="false" outlineLevel="0" collapsed="false">
      <c r="A79" s="0" t="s">
        <v>200</v>
      </c>
      <c r="B79" s="0" t="s">
        <v>201</v>
      </c>
      <c r="C79" s="0" t="n">
        <v>51.594</v>
      </c>
      <c r="D79" s="0" t="n">
        <v>1.18</v>
      </c>
      <c r="E79" s="0" t="n">
        <v>1</v>
      </c>
      <c r="F79" s="0" t="s">
        <v>82</v>
      </c>
      <c r="G79" s="0" t="n">
        <v>16</v>
      </c>
      <c r="H79" s="0" t="n">
        <v>60.88</v>
      </c>
      <c r="I79" s="0" t="s">
        <v>197</v>
      </c>
      <c r="J79" s="0" t="s">
        <v>197</v>
      </c>
      <c r="K79" s="0" t="s">
        <v>34</v>
      </c>
    </row>
    <row r="80" customFormat="false" ht="15" hidden="false" customHeight="false" outlineLevel="0" collapsed="false">
      <c r="A80" s="0" t="s">
        <v>202</v>
      </c>
      <c r="B80" s="0" t="s">
        <v>203</v>
      </c>
      <c r="C80" s="0" t="n">
        <v>12</v>
      </c>
      <c r="D80" s="0" t="n">
        <v>7.375</v>
      </c>
      <c r="E80" s="0" t="n">
        <v>1</v>
      </c>
      <c r="F80" s="0" t="s">
        <v>82</v>
      </c>
      <c r="G80" s="0" t="n">
        <v>16</v>
      </c>
      <c r="H80" s="0" t="n">
        <v>18</v>
      </c>
      <c r="I80" s="0" t="s">
        <v>204</v>
      </c>
      <c r="J80" s="0" t="s">
        <v>205</v>
      </c>
      <c r="K80" s="0" t="s">
        <v>34</v>
      </c>
    </row>
    <row r="81" customFormat="false" ht="15" hidden="false" customHeight="false" outlineLevel="0" collapsed="false">
      <c r="A81" s="0" t="s">
        <v>206</v>
      </c>
      <c r="B81" s="0" t="s">
        <v>207</v>
      </c>
      <c r="C81" s="0" t="n">
        <v>12</v>
      </c>
      <c r="D81" s="0" t="n">
        <v>7.375</v>
      </c>
      <c r="E81" s="0" t="n">
        <v>1</v>
      </c>
      <c r="F81" s="0" t="s">
        <v>82</v>
      </c>
      <c r="G81" s="0" t="n">
        <v>16</v>
      </c>
      <c r="H81" s="0" t="n">
        <v>18</v>
      </c>
      <c r="I81" s="0" t="s">
        <v>204</v>
      </c>
      <c r="J81" s="0" t="s">
        <v>205</v>
      </c>
      <c r="K81" s="0" t="s">
        <v>34</v>
      </c>
    </row>
    <row r="82" customFormat="false" ht="15" hidden="false" customHeight="false" outlineLevel="0" collapsed="false">
      <c r="A82" s="0" t="s">
        <v>208</v>
      </c>
      <c r="B82" s="0" t="s">
        <v>209</v>
      </c>
      <c r="C82" s="0" t="n">
        <v>17.028</v>
      </c>
      <c r="D82" s="0" t="n">
        <v>4.375</v>
      </c>
      <c r="E82" s="0" t="n">
        <v>1</v>
      </c>
      <c r="F82" s="0" t="s">
        <v>82</v>
      </c>
      <c r="G82" s="0" t="n">
        <v>16</v>
      </c>
      <c r="H82" s="0" t="n">
        <v>32.69</v>
      </c>
      <c r="I82" s="0" t="s">
        <v>210</v>
      </c>
      <c r="J82" s="0" t="s">
        <v>211</v>
      </c>
      <c r="K82" s="0" t="s">
        <v>34</v>
      </c>
    </row>
    <row r="83" customFormat="false" ht="15" hidden="false" customHeight="false" outlineLevel="0" collapsed="false">
      <c r="A83" s="0" t="s">
        <v>212</v>
      </c>
      <c r="B83" s="0" t="s">
        <v>213</v>
      </c>
      <c r="C83" s="0" t="n">
        <v>30</v>
      </c>
      <c r="D83" s="0" t="n">
        <v>4.375</v>
      </c>
      <c r="E83" s="0" t="n">
        <v>1</v>
      </c>
      <c r="F83" s="0" t="s">
        <v>82</v>
      </c>
      <c r="G83" s="0" t="n">
        <v>16</v>
      </c>
      <c r="H83" s="0" t="n">
        <v>57.6</v>
      </c>
      <c r="I83" s="0" t="s">
        <v>210</v>
      </c>
      <c r="J83" s="0" t="s">
        <v>211</v>
      </c>
      <c r="K83" s="0" t="s">
        <v>34</v>
      </c>
    </row>
    <row r="84" customFormat="false" ht="15" hidden="false" customHeight="false" outlineLevel="0" collapsed="false">
      <c r="A84" s="0" t="s">
        <v>214</v>
      </c>
      <c r="B84" s="0" t="s">
        <v>215</v>
      </c>
      <c r="C84" s="0" t="n">
        <v>30</v>
      </c>
      <c r="D84" s="0" t="n">
        <v>4.375</v>
      </c>
      <c r="E84" s="0" t="n">
        <v>1</v>
      </c>
      <c r="F84" s="0" t="s">
        <v>82</v>
      </c>
      <c r="G84" s="0" t="n">
        <v>16</v>
      </c>
      <c r="H84" s="0" t="n">
        <v>57.6</v>
      </c>
      <c r="I84" s="0" t="s">
        <v>210</v>
      </c>
      <c r="J84" s="0" t="s">
        <v>211</v>
      </c>
      <c r="K84" s="0" t="s">
        <v>34</v>
      </c>
    </row>
    <row r="85" customFormat="false" ht="15" hidden="false" customHeight="false" outlineLevel="0" collapsed="false">
      <c r="A85" s="0" t="s">
        <v>216</v>
      </c>
      <c r="B85" s="0" t="s">
        <v>217</v>
      </c>
      <c r="C85" s="0" t="n">
        <v>5.093</v>
      </c>
      <c r="D85" s="0" t="n">
        <v>6.375</v>
      </c>
      <c r="E85" s="0" t="n">
        <v>1</v>
      </c>
      <c r="F85" s="0" t="s">
        <v>82</v>
      </c>
      <c r="G85" s="0" t="n">
        <v>16</v>
      </c>
      <c r="H85" s="0" t="n">
        <v>15.28</v>
      </c>
      <c r="I85" s="0" t="s">
        <v>218</v>
      </c>
      <c r="J85" s="0" t="s">
        <v>211</v>
      </c>
      <c r="K85" s="0" t="s">
        <v>34</v>
      </c>
    </row>
    <row r="86" customFormat="false" ht="15" hidden="false" customHeight="false" outlineLevel="0" collapsed="false">
      <c r="A86" s="0" t="s">
        <v>219</v>
      </c>
      <c r="B86" s="0" t="s">
        <v>220</v>
      </c>
      <c r="C86" s="0" t="n">
        <v>78.161</v>
      </c>
      <c r="D86" s="0" t="n">
        <v>1.864</v>
      </c>
      <c r="E86" s="0" t="n">
        <v>0</v>
      </c>
      <c r="F86" s="0" t="s">
        <v>82</v>
      </c>
      <c r="G86" s="0" t="n">
        <v>16</v>
      </c>
      <c r="H86" s="0" t="n">
        <v>0</v>
      </c>
      <c r="I86" s="0" t="s">
        <v>221</v>
      </c>
      <c r="J86" s="0" t="s">
        <v>222</v>
      </c>
      <c r="K86" s="0" t="s">
        <v>34</v>
      </c>
    </row>
    <row r="87" customFormat="false" ht="15" hidden="false" customHeight="false" outlineLevel="0" collapsed="false">
      <c r="A87" s="0" t="s">
        <v>223</v>
      </c>
      <c r="B87" s="0" t="s">
        <v>224</v>
      </c>
      <c r="C87" s="0" t="n">
        <v>56.522</v>
      </c>
      <c r="D87" s="0" t="n">
        <v>1.864</v>
      </c>
      <c r="E87" s="0" t="n">
        <v>0</v>
      </c>
      <c r="F87" s="0" t="s">
        <v>82</v>
      </c>
      <c r="G87" s="0" t="n">
        <v>16</v>
      </c>
      <c r="H87" s="0" t="n">
        <v>0</v>
      </c>
      <c r="I87" s="0" t="s">
        <v>221</v>
      </c>
      <c r="J87" s="0" t="s">
        <v>222</v>
      </c>
      <c r="K87" s="0" t="s">
        <v>34</v>
      </c>
    </row>
    <row r="88" customFormat="false" ht="15" hidden="false" customHeight="false" outlineLevel="0" collapsed="false">
      <c r="A88" s="0" t="s">
        <v>225</v>
      </c>
      <c r="B88" s="0" t="s">
        <v>226</v>
      </c>
      <c r="C88" s="0" t="n">
        <v>21.579</v>
      </c>
      <c r="D88" s="0" t="n">
        <v>1.864</v>
      </c>
      <c r="E88" s="0" t="n">
        <v>0</v>
      </c>
      <c r="F88" s="0" t="s">
        <v>82</v>
      </c>
      <c r="G88" s="0" t="n">
        <v>16</v>
      </c>
      <c r="H88" s="0" t="n">
        <v>0</v>
      </c>
      <c r="I88" s="0" t="s">
        <v>221</v>
      </c>
      <c r="J88" s="0" t="s">
        <v>222</v>
      </c>
      <c r="K88" s="0" t="s">
        <v>34</v>
      </c>
    </row>
    <row r="89" customFormat="false" ht="15" hidden="false" customHeight="false" outlineLevel="0" collapsed="false">
      <c r="A89" s="0" t="s">
        <v>227</v>
      </c>
      <c r="B89" s="0" t="s">
        <v>228</v>
      </c>
      <c r="C89" s="0" t="n">
        <v>52.583</v>
      </c>
      <c r="D89" s="0" t="n">
        <v>1.864</v>
      </c>
      <c r="E89" s="0" t="n">
        <v>0</v>
      </c>
      <c r="F89" s="0" t="s">
        <v>82</v>
      </c>
      <c r="G89" s="0" t="n">
        <v>16</v>
      </c>
      <c r="H89" s="0" t="n">
        <v>0</v>
      </c>
      <c r="I89" s="0" t="s">
        <v>221</v>
      </c>
      <c r="J89" s="0" t="s">
        <v>222</v>
      </c>
      <c r="K89" s="0" t="s">
        <v>34</v>
      </c>
    </row>
    <row r="90" customFormat="false" ht="15" hidden="false" customHeight="false" outlineLevel="0" collapsed="false">
      <c r="A90" s="0" t="s">
        <v>229</v>
      </c>
      <c r="B90" s="0" t="s">
        <v>230</v>
      </c>
      <c r="C90" s="0" t="n">
        <v>2.994</v>
      </c>
      <c r="D90" s="0" t="n">
        <v>1.864</v>
      </c>
      <c r="E90" s="0" t="n">
        <v>0</v>
      </c>
      <c r="F90" s="0" t="s">
        <v>82</v>
      </c>
      <c r="G90" s="0" t="n">
        <v>16</v>
      </c>
      <c r="H90" s="0" t="n">
        <v>0</v>
      </c>
      <c r="I90" s="0" t="s">
        <v>221</v>
      </c>
      <c r="J90" s="0" t="s">
        <v>222</v>
      </c>
      <c r="K90" s="0" t="s">
        <v>34</v>
      </c>
    </row>
    <row r="91" customFormat="false" ht="15" hidden="false" customHeight="false" outlineLevel="0" collapsed="false">
      <c r="A91" s="0" t="s">
        <v>231</v>
      </c>
      <c r="B91" s="0" t="s">
        <v>232</v>
      </c>
      <c r="C91" s="0" t="n">
        <v>29.05</v>
      </c>
      <c r="D91" s="0" t="n">
        <v>1.864</v>
      </c>
      <c r="E91" s="0" t="n">
        <v>0</v>
      </c>
      <c r="F91" s="0" t="s">
        <v>82</v>
      </c>
      <c r="G91" s="0" t="n">
        <v>16</v>
      </c>
      <c r="H91" s="0" t="n">
        <v>0</v>
      </c>
      <c r="I91" s="0" t="s">
        <v>221</v>
      </c>
      <c r="J91" s="0" t="s">
        <v>222</v>
      </c>
      <c r="K91" s="0" t="s">
        <v>34</v>
      </c>
    </row>
    <row r="92" customFormat="false" ht="15" hidden="false" customHeight="false" outlineLevel="0" collapsed="false">
      <c r="A92" s="5" t="s">
        <v>233</v>
      </c>
    </row>
    <row r="93" customFormat="false" ht="15" hidden="false" customHeight="false" outlineLevel="0" collapsed="false">
      <c r="A93" s="0" t="s">
        <v>234</v>
      </c>
      <c r="B93" s="0" t="s">
        <v>235</v>
      </c>
      <c r="C93" s="0" t="n">
        <v>13.607</v>
      </c>
      <c r="D93" s="0" t="n">
        <v>10.935</v>
      </c>
      <c r="E93" s="0" t="n">
        <v>1</v>
      </c>
      <c r="F93" s="0" t="s">
        <v>111</v>
      </c>
      <c r="G93" s="0" t="n">
        <v>16</v>
      </c>
      <c r="H93" s="0" t="n">
        <v>209.21</v>
      </c>
      <c r="I93" s="0" t="s">
        <v>236</v>
      </c>
      <c r="J93" s="0" t="s">
        <v>237</v>
      </c>
      <c r="K93" s="0" t="s">
        <v>34</v>
      </c>
    </row>
    <row r="94" customFormat="false" ht="15" hidden="false" customHeight="false" outlineLevel="0" collapsed="false">
      <c r="A94" s="0" t="s">
        <v>238</v>
      </c>
      <c r="B94" s="0" t="s">
        <v>239</v>
      </c>
      <c r="C94" s="0" t="n">
        <v>46.559</v>
      </c>
      <c r="D94" s="0" t="n">
        <v>10.935</v>
      </c>
      <c r="E94" s="0" t="n">
        <v>1</v>
      </c>
      <c r="F94" s="0" t="s">
        <v>111</v>
      </c>
      <c r="G94" s="0" t="n">
        <v>16</v>
      </c>
      <c r="H94" s="0" t="n">
        <v>651.84</v>
      </c>
      <c r="I94" s="0" t="s">
        <v>236</v>
      </c>
      <c r="J94" s="0" t="s">
        <v>237</v>
      </c>
      <c r="K94" s="0" t="s">
        <v>34</v>
      </c>
    </row>
    <row r="95" customFormat="false" ht="15" hidden="false" customHeight="false" outlineLevel="0" collapsed="false">
      <c r="A95" s="0" t="s">
        <v>240</v>
      </c>
      <c r="B95" s="0" t="s">
        <v>241</v>
      </c>
      <c r="C95" s="0" t="n">
        <v>24.852</v>
      </c>
      <c r="D95" s="0" t="n">
        <v>11.907</v>
      </c>
      <c r="E95" s="0" t="n">
        <v>1</v>
      </c>
      <c r="F95" s="0" t="s">
        <v>111</v>
      </c>
      <c r="G95" s="0" t="n">
        <v>16</v>
      </c>
      <c r="H95" s="0" t="n">
        <v>318.01</v>
      </c>
      <c r="I95" s="0" t="s">
        <v>242</v>
      </c>
      <c r="J95" s="0" t="s">
        <v>237</v>
      </c>
      <c r="K95" s="0" t="s">
        <v>34</v>
      </c>
    </row>
    <row r="96" customFormat="false" ht="15" hidden="false" customHeight="false" outlineLevel="0" collapsed="false">
      <c r="A96" s="0" t="s">
        <v>243</v>
      </c>
      <c r="B96" s="0" t="s">
        <v>244</v>
      </c>
      <c r="C96" s="0" t="n">
        <v>34.949</v>
      </c>
      <c r="D96" s="0" t="n">
        <v>11.056</v>
      </c>
      <c r="E96" s="0" t="n">
        <v>1</v>
      </c>
      <c r="F96" s="0" t="s">
        <v>111</v>
      </c>
      <c r="G96" s="0" t="n">
        <v>16</v>
      </c>
      <c r="H96" s="0" t="n">
        <v>410.73</v>
      </c>
      <c r="I96" s="0" t="s">
        <v>242</v>
      </c>
      <c r="J96" s="0" t="s">
        <v>237</v>
      </c>
      <c r="K96" s="0" t="s">
        <v>34</v>
      </c>
    </row>
    <row r="97" customFormat="false" ht="15" hidden="false" customHeight="false" outlineLevel="0" collapsed="false">
      <c r="A97" s="0" t="s">
        <v>245</v>
      </c>
      <c r="B97" s="0" t="s">
        <v>246</v>
      </c>
      <c r="C97" s="0" t="n">
        <v>18.638</v>
      </c>
      <c r="D97" s="0" t="n">
        <v>11.386</v>
      </c>
      <c r="E97" s="0" t="n">
        <v>1</v>
      </c>
      <c r="F97" s="0" t="s">
        <v>111</v>
      </c>
      <c r="G97" s="0" t="n">
        <v>16</v>
      </c>
      <c r="H97" s="0" t="n">
        <v>233.55</v>
      </c>
      <c r="I97" s="0" t="s">
        <v>242</v>
      </c>
      <c r="J97" s="0" t="s">
        <v>237</v>
      </c>
      <c r="K97" s="0" t="s">
        <v>34</v>
      </c>
    </row>
    <row r="98" customFormat="false" ht="15" hidden="false" customHeight="false" outlineLevel="0" collapsed="false">
      <c r="A98" s="0" t="s">
        <v>247</v>
      </c>
      <c r="B98" s="0" t="s">
        <v>248</v>
      </c>
      <c r="C98" s="0" t="n">
        <v>22.094</v>
      </c>
      <c r="D98" s="0" t="n">
        <v>10.443</v>
      </c>
      <c r="E98" s="0" t="n">
        <v>1</v>
      </c>
      <c r="F98" s="0" t="s">
        <v>111</v>
      </c>
      <c r="G98" s="0" t="n">
        <v>16</v>
      </c>
      <c r="H98" s="0" t="n">
        <v>307.7</v>
      </c>
      <c r="I98" s="0" t="s">
        <v>249</v>
      </c>
      <c r="J98" s="0" t="s">
        <v>237</v>
      </c>
      <c r="K98" s="0" t="s">
        <v>34</v>
      </c>
    </row>
    <row r="99" customFormat="false" ht="15" hidden="false" customHeight="false" outlineLevel="0" collapsed="false">
      <c r="A99" s="0" t="s">
        <v>250</v>
      </c>
      <c r="B99" s="0" t="s">
        <v>251</v>
      </c>
      <c r="C99" s="0" t="n">
        <v>24.852</v>
      </c>
      <c r="D99" s="0" t="n">
        <v>11.907</v>
      </c>
      <c r="E99" s="0" t="n">
        <v>1</v>
      </c>
      <c r="F99" s="0" t="s">
        <v>111</v>
      </c>
      <c r="G99" s="0" t="n">
        <v>16</v>
      </c>
      <c r="H99" s="0" t="n">
        <v>318.01</v>
      </c>
      <c r="I99" s="0" t="s">
        <v>242</v>
      </c>
      <c r="J99" s="0" t="s">
        <v>237</v>
      </c>
      <c r="K99" s="0" t="s">
        <v>34</v>
      </c>
    </row>
    <row r="100" customFormat="false" ht="15" hidden="false" customHeight="false" outlineLevel="0" collapsed="false">
      <c r="A100" s="0" t="s">
        <v>252</v>
      </c>
      <c r="B100" s="0" t="s">
        <v>253</v>
      </c>
      <c r="C100" s="0" t="n">
        <v>21.887</v>
      </c>
      <c r="D100" s="0" t="n">
        <v>10.737</v>
      </c>
      <c r="E100" s="0" t="n">
        <v>1</v>
      </c>
      <c r="F100" s="0" t="s">
        <v>111</v>
      </c>
      <c r="G100" s="0" t="n">
        <v>16</v>
      </c>
      <c r="H100" s="0" t="n">
        <v>330.84</v>
      </c>
      <c r="I100" s="0" t="s">
        <v>254</v>
      </c>
      <c r="J100" s="0" t="s">
        <v>237</v>
      </c>
      <c r="K100" s="0" t="s">
        <v>34</v>
      </c>
    </row>
    <row r="101" customFormat="false" ht="15" hidden="false" customHeight="false" outlineLevel="0" collapsed="false">
      <c r="A101" s="0" t="s">
        <v>255</v>
      </c>
      <c r="B101" s="0" t="s">
        <v>256</v>
      </c>
      <c r="C101" s="0" t="n">
        <v>3.02</v>
      </c>
      <c r="D101" s="0" t="n">
        <v>10.737</v>
      </c>
      <c r="E101" s="0" t="n">
        <v>0</v>
      </c>
      <c r="F101" s="0" t="s">
        <v>111</v>
      </c>
      <c r="G101" s="0" t="n">
        <v>16</v>
      </c>
      <c r="H101" s="0" t="n">
        <v>0</v>
      </c>
      <c r="I101" s="0" t="s">
        <v>254</v>
      </c>
      <c r="J101" s="0" t="s">
        <v>237</v>
      </c>
      <c r="K101" s="0" t="s">
        <v>34</v>
      </c>
    </row>
    <row r="102" customFormat="false" ht="15" hidden="false" customHeight="false" outlineLevel="0" collapsed="false">
      <c r="A102" s="0" t="s">
        <v>257</v>
      </c>
      <c r="B102" s="0" t="s">
        <v>258</v>
      </c>
      <c r="C102" s="0" t="n">
        <v>12.56</v>
      </c>
      <c r="D102" s="0" t="n">
        <v>1.56</v>
      </c>
      <c r="E102" s="0" t="n">
        <v>1</v>
      </c>
      <c r="F102" s="0" t="s">
        <v>111</v>
      </c>
      <c r="G102" s="0" t="n">
        <v>16</v>
      </c>
      <c r="H102" s="0" t="n">
        <v>75.36</v>
      </c>
      <c r="I102" s="0" t="s">
        <v>259</v>
      </c>
      <c r="J102" s="0" t="s">
        <v>260</v>
      </c>
      <c r="K102" s="0" t="s">
        <v>34</v>
      </c>
    </row>
    <row r="103" customFormat="false" ht="15" hidden="false" customHeight="false" outlineLevel="0" collapsed="false">
      <c r="A103" s="0" t="s">
        <v>261</v>
      </c>
      <c r="B103" s="0" t="s">
        <v>262</v>
      </c>
      <c r="C103" s="0" t="n">
        <v>12.56</v>
      </c>
      <c r="D103" s="0" t="n">
        <v>2.414</v>
      </c>
      <c r="E103" s="0" t="n">
        <v>0</v>
      </c>
      <c r="F103" s="0" t="s">
        <v>111</v>
      </c>
      <c r="G103" s="0" t="n">
        <v>16</v>
      </c>
      <c r="H103" s="0" t="n">
        <v>0</v>
      </c>
      <c r="I103" s="0" t="s">
        <v>263</v>
      </c>
      <c r="J103" s="0" t="s">
        <v>260</v>
      </c>
      <c r="K103" s="0" t="s">
        <v>34</v>
      </c>
    </row>
    <row r="104" customFormat="false" ht="15" hidden="false" customHeight="false" outlineLevel="0" collapsed="false">
      <c r="A104" s="0" t="s">
        <v>264</v>
      </c>
      <c r="B104" s="0" t="s">
        <v>265</v>
      </c>
      <c r="C104" s="0" t="n">
        <v>26.247</v>
      </c>
      <c r="D104" s="0" t="n">
        <v>1.546</v>
      </c>
      <c r="E104" s="0" t="n">
        <v>1</v>
      </c>
      <c r="F104" s="0" t="s">
        <v>111</v>
      </c>
      <c r="G104" s="0" t="n">
        <v>16</v>
      </c>
      <c r="H104" s="0" t="n">
        <v>157.48</v>
      </c>
      <c r="I104" s="0" t="s">
        <v>266</v>
      </c>
      <c r="J104" s="0" t="s">
        <v>260</v>
      </c>
      <c r="K104" s="0" t="s">
        <v>34</v>
      </c>
    </row>
    <row r="105" customFormat="false" ht="15" hidden="false" customHeight="false" outlineLevel="0" collapsed="false">
      <c r="A105" s="0" t="s">
        <v>267</v>
      </c>
      <c r="B105" s="0" t="s">
        <v>268</v>
      </c>
      <c r="C105" s="0" t="n">
        <v>26.247</v>
      </c>
      <c r="D105" s="0" t="n">
        <v>1.671</v>
      </c>
      <c r="E105" s="0" t="n">
        <v>0</v>
      </c>
      <c r="F105" s="0" t="s">
        <v>111</v>
      </c>
      <c r="G105" s="0" t="n">
        <v>16</v>
      </c>
      <c r="H105" s="0" t="n">
        <v>0</v>
      </c>
      <c r="I105" s="0" t="s">
        <v>269</v>
      </c>
      <c r="J105" s="0" t="s">
        <v>260</v>
      </c>
      <c r="K105" s="0" t="s">
        <v>34</v>
      </c>
    </row>
    <row r="106" customFormat="false" ht="15" hidden="false" customHeight="false" outlineLevel="0" collapsed="false">
      <c r="A106" s="0" t="s">
        <v>270</v>
      </c>
      <c r="B106" s="0" t="s">
        <v>271</v>
      </c>
      <c r="C106" s="0" t="n">
        <v>6.5</v>
      </c>
      <c r="D106" s="0" t="n">
        <v>1.068</v>
      </c>
      <c r="E106" s="0" t="n">
        <v>1</v>
      </c>
      <c r="F106" s="0" t="s">
        <v>111</v>
      </c>
      <c r="G106" s="0" t="n">
        <v>16</v>
      </c>
      <c r="H106" s="0" t="n">
        <v>39</v>
      </c>
      <c r="I106" s="0" t="s">
        <v>272</v>
      </c>
      <c r="J106" s="0" t="s">
        <v>260</v>
      </c>
      <c r="K106" s="0" t="s">
        <v>34</v>
      </c>
    </row>
    <row r="107" customFormat="false" ht="15" hidden="false" customHeight="false" outlineLevel="0" collapsed="false">
      <c r="A107" s="0" t="s">
        <v>273</v>
      </c>
      <c r="B107" s="0" t="s">
        <v>274</v>
      </c>
      <c r="C107" s="0" t="n">
        <v>6.5</v>
      </c>
      <c r="D107" s="0" t="n">
        <v>2.612</v>
      </c>
      <c r="E107" s="0" t="n">
        <v>0</v>
      </c>
      <c r="F107" s="0" t="s">
        <v>111</v>
      </c>
      <c r="G107" s="0" t="n">
        <v>16</v>
      </c>
      <c r="H107" s="0" t="n">
        <v>0</v>
      </c>
      <c r="I107" s="0" t="s">
        <v>275</v>
      </c>
      <c r="J107" s="0" t="s">
        <v>260</v>
      </c>
      <c r="K107" s="0" t="s">
        <v>34</v>
      </c>
    </row>
    <row r="108" customFormat="false" ht="15" hidden="false" customHeight="false" outlineLevel="0" collapsed="false">
      <c r="A108" s="0" t="s">
        <v>276</v>
      </c>
      <c r="B108" s="0" t="s">
        <v>277</v>
      </c>
      <c r="C108" s="0" t="n">
        <v>3.922</v>
      </c>
      <c r="D108" s="0" t="n">
        <v>14.362</v>
      </c>
      <c r="E108" s="0" t="n">
        <v>1</v>
      </c>
      <c r="F108" s="0" t="s">
        <v>111</v>
      </c>
      <c r="G108" s="0" t="n">
        <v>16</v>
      </c>
      <c r="H108" s="0" t="n">
        <v>60.3</v>
      </c>
      <c r="I108" s="0" t="s">
        <v>242</v>
      </c>
      <c r="J108" s="0" t="s">
        <v>237</v>
      </c>
      <c r="K108" s="0" t="s">
        <v>34</v>
      </c>
    </row>
    <row r="109" customFormat="false" ht="15" hidden="false" customHeight="false" outlineLevel="0" collapsed="false">
      <c r="A109" s="0" t="s">
        <v>278</v>
      </c>
      <c r="B109" s="0" t="s">
        <v>279</v>
      </c>
      <c r="C109" s="0" t="n">
        <v>13.607</v>
      </c>
      <c r="D109" s="0" t="n">
        <v>2.414</v>
      </c>
      <c r="E109" s="0" t="n">
        <v>0</v>
      </c>
      <c r="F109" s="0" t="s">
        <v>111</v>
      </c>
      <c r="G109" s="0" t="n">
        <v>16</v>
      </c>
      <c r="H109" s="0" t="n">
        <v>0</v>
      </c>
      <c r="I109" s="0" t="s">
        <v>236</v>
      </c>
      <c r="J109" s="0" t="s">
        <v>237</v>
      </c>
      <c r="K109" s="0" t="s">
        <v>34</v>
      </c>
    </row>
    <row r="110" customFormat="false" ht="15" hidden="false" customHeight="false" outlineLevel="0" collapsed="false">
      <c r="A110" s="0" t="s">
        <v>280</v>
      </c>
      <c r="B110" s="0" t="s">
        <v>281</v>
      </c>
      <c r="C110" s="0" t="n">
        <v>46.559</v>
      </c>
      <c r="D110" s="0" t="n">
        <v>2.414</v>
      </c>
      <c r="E110" s="0" t="n">
        <v>0</v>
      </c>
      <c r="F110" s="0" t="s">
        <v>111</v>
      </c>
      <c r="G110" s="0" t="n">
        <v>16</v>
      </c>
      <c r="H110" s="0" t="n">
        <v>0</v>
      </c>
      <c r="I110" s="0" t="s">
        <v>236</v>
      </c>
      <c r="J110" s="0" t="s">
        <v>237</v>
      </c>
      <c r="K110" s="0" t="s">
        <v>34</v>
      </c>
    </row>
    <row r="111" customFormat="false" ht="15" hidden="false" customHeight="false" outlineLevel="0" collapsed="false">
      <c r="A111" s="0" t="s">
        <v>282</v>
      </c>
      <c r="B111" s="0" t="s">
        <v>283</v>
      </c>
      <c r="C111" s="0" t="n">
        <v>22.094</v>
      </c>
      <c r="D111" s="0" t="n">
        <v>2.612</v>
      </c>
      <c r="E111" s="0" t="n">
        <v>0</v>
      </c>
      <c r="F111" s="0" t="s">
        <v>111</v>
      </c>
      <c r="G111" s="0" t="n">
        <v>16</v>
      </c>
      <c r="H111" s="0" t="n">
        <v>0</v>
      </c>
      <c r="I111" s="0" t="s">
        <v>249</v>
      </c>
      <c r="J111" s="0" t="s">
        <v>237</v>
      </c>
      <c r="K111" s="0" t="s">
        <v>34</v>
      </c>
    </row>
    <row r="112" customFormat="false" ht="15" hidden="false" customHeight="false" outlineLevel="0" collapsed="false">
      <c r="A112" s="0" t="s">
        <v>284</v>
      </c>
      <c r="B112" s="0" t="s">
        <v>285</v>
      </c>
      <c r="C112" s="0" t="n">
        <v>21.887</v>
      </c>
      <c r="D112" s="0" t="n">
        <v>2.612</v>
      </c>
      <c r="E112" s="0" t="n">
        <v>0</v>
      </c>
      <c r="F112" s="0" t="s">
        <v>111</v>
      </c>
      <c r="G112" s="0" t="n">
        <v>16</v>
      </c>
      <c r="H112" s="0" t="n">
        <v>0</v>
      </c>
      <c r="I112" s="0" t="s">
        <v>254</v>
      </c>
      <c r="J112" s="0" t="s">
        <v>237</v>
      </c>
      <c r="K112" s="0" t="s">
        <v>34</v>
      </c>
    </row>
    <row r="113" customFormat="false" ht="15" hidden="false" customHeight="false" outlineLevel="0" collapsed="false">
      <c r="A113" s="0" t="s">
        <v>286</v>
      </c>
      <c r="B113" s="0" t="s">
        <v>287</v>
      </c>
      <c r="C113" s="0" t="n">
        <v>3.02</v>
      </c>
      <c r="D113" s="0" t="n">
        <v>2.612</v>
      </c>
      <c r="E113" s="0" t="n">
        <v>0</v>
      </c>
      <c r="F113" s="0" t="s">
        <v>111</v>
      </c>
      <c r="G113" s="0" t="n">
        <v>16</v>
      </c>
      <c r="H113" s="0" t="n">
        <v>0</v>
      </c>
      <c r="I113" s="0" t="s">
        <v>254</v>
      </c>
      <c r="J113" s="0" t="s">
        <v>237</v>
      </c>
      <c r="K113" s="0" t="s">
        <v>34</v>
      </c>
    </row>
    <row r="114" customFormat="false" ht="15" hidden="false" customHeight="false" outlineLevel="0" collapsed="false">
      <c r="A114" s="5" t="s">
        <v>288</v>
      </c>
    </row>
    <row r="115" customFormat="false" ht="15" hidden="false" customHeight="false" outlineLevel="0" collapsed="false">
      <c r="A115" s="0" t="s">
        <v>289</v>
      </c>
      <c r="B115" s="0" t="s">
        <v>290</v>
      </c>
      <c r="C115" s="0" t="n">
        <v>4.513</v>
      </c>
      <c r="D115" s="0" t="n">
        <v>14.362</v>
      </c>
      <c r="E115" s="0" t="n">
        <v>0</v>
      </c>
      <c r="F115" s="0" t="s">
        <v>111</v>
      </c>
      <c r="G115" s="0" t="n">
        <v>16</v>
      </c>
      <c r="H115" s="0" t="n">
        <v>0</v>
      </c>
      <c r="I115" s="0" t="s">
        <v>291</v>
      </c>
      <c r="J115" s="0" t="s">
        <v>292</v>
      </c>
      <c r="K115" s="0" t="s">
        <v>34</v>
      </c>
    </row>
    <row r="116" customFormat="false" ht="15" hidden="false" customHeight="false" outlineLevel="0" collapsed="false">
      <c r="A116" s="0" t="s">
        <v>293</v>
      </c>
      <c r="B116" s="0" t="s">
        <v>294</v>
      </c>
      <c r="C116" s="0" t="n">
        <v>4.513</v>
      </c>
      <c r="D116" s="0" t="n">
        <v>14.362</v>
      </c>
      <c r="E116" s="0" t="n">
        <v>1</v>
      </c>
      <c r="F116" s="0" t="s">
        <v>82</v>
      </c>
      <c r="G116" s="0" t="n">
        <v>16</v>
      </c>
      <c r="H116" s="0" t="n">
        <v>69.39</v>
      </c>
      <c r="I116" s="0" t="s">
        <v>291</v>
      </c>
      <c r="J116" s="0" t="s">
        <v>292</v>
      </c>
      <c r="K116" s="0" t="s">
        <v>34</v>
      </c>
    </row>
    <row r="117" customFormat="false" ht="15" hidden="false" customHeight="false" outlineLevel="0" collapsed="false">
      <c r="A117" s="0" t="s">
        <v>295</v>
      </c>
      <c r="B117" s="0" t="s">
        <v>296</v>
      </c>
      <c r="C117" s="0" t="n">
        <v>4.56</v>
      </c>
      <c r="D117" s="0" t="n">
        <v>14.362</v>
      </c>
      <c r="E117" s="0" t="n">
        <v>0</v>
      </c>
      <c r="F117" s="0" t="s">
        <v>111</v>
      </c>
      <c r="G117" s="0" t="n">
        <v>16</v>
      </c>
      <c r="H117" s="0" t="n">
        <v>0</v>
      </c>
      <c r="I117" s="0" t="s">
        <v>291</v>
      </c>
      <c r="J117" s="0" t="s">
        <v>292</v>
      </c>
      <c r="K117" s="0" t="s">
        <v>34</v>
      </c>
    </row>
    <row r="118" customFormat="false" ht="15" hidden="false" customHeight="false" outlineLevel="0" collapsed="false">
      <c r="A118" s="0" t="s">
        <v>297</v>
      </c>
      <c r="B118" s="0" t="s">
        <v>298</v>
      </c>
      <c r="C118" s="0" t="n">
        <v>4.56</v>
      </c>
      <c r="D118" s="0" t="n">
        <v>14.362</v>
      </c>
      <c r="E118" s="0" t="n">
        <v>1</v>
      </c>
      <c r="F118" s="0" t="s">
        <v>82</v>
      </c>
      <c r="G118" s="0" t="n">
        <v>16</v>
      </c>
      <c r="H118" s="0" t="n">
        <v>70.11</v>
      </c>
      <c r="I118" s="0" t="s">
        <v>291</v>
      </c>
      <c r="J118" s="0" t="s">
        <v>292</v>
      </c>
      <c r="K118" s="0" t="s">
        <v>34</v>
      </c>
    </row>
    <row r="119" customFormat="false" ht="15" hidden="false" customHeight="false" outlineLevel="0" collapsed="false">
      <c r="A119" s="5" t="s">
        <v>299</v>
      </c>
    </row>
    <row r="120" customFormat="false" ht="15" hidden="false" customHeight="false" outlineLevel="0" collapsed="false">
      <c r="A120" s="0" t="s">
        <v>300</v>
      </c>
      <c r="B120" s="0" t="s">
        <v>301</v>
      </c>
      <c r="C120" s="0" t="n">
        <v>4.833</v>
      </c>
      <c r="D120" s="0" t="n">
        <v>10.5</v>
      </c>
      <c r="E120" s="0" t="n">
        <v>0</v>
      </c>
      <c r="F120" s="0" t="s">
        <v>82</v>
      </c>
      <c r="G120" s="0" t="n">
        <v>16</v>
      </c>
      <c r="H120" s="0" t="n">
        <v>0</v>
      </c>
      <c r="I120" s="0" t="s">
        <v>302</v>
      </c>
      <c r="J120" s="0" t="s">
        <v>292</v>
      </c>
      <c r="K120" s="0" t="s">
        <v>34</v>
      </c>
    </row>
    <row r="121" customFormat="false" ht="15" hidden="false" customHeight="false" outlineLevel="0" collapsed="false">
      <c r="A121" s="0" t="s">
        <v>303</v>
      </c>
      <c r="B121" s="0" t="s">
        <v>304</v>
      </c>
      <c r="C121" s="0" t="n">
        <v>4.833</v>
      </c>
      <c r="D121" s="0" t="n">
        <v>10.5</v>
      </c>
      <c r="E121" s="0" t="n">
        <v>0</v>
      </c>
      <c r="F121" s="0" t="s">
        <v>82</v>
      </c>
      <c r="G121" s="0" t="n">
        <v>16</v>
      </c>
      <c r="H121" s="0" t="n">
        <v>0</v>
      </c>
      <c r="I121" s="0" t="s">
        <v>302</v>
      </c>
      <c r="J121" s="0" t="s">
        <v>292</v>
      </c>
      <c r="K121" s="0" t="s">
        <v>34</v>
      </c>
    </row>
    <row r="122" customFormat="false" ht="15" hidden="false" customHeight="false" outlineLevel="0" collapsed="false">
      <c r="A122" s="0" t="s">
        <v>305</v>
      </c>
      <c r="B122" s="0" t="s">
        <v>306</v>
      </c>
      <c r="C122" s="0" t="n">
        <v>4.833</v>
      </c>
      <c r="D122" s="0" t="n">
        <v>10.5</v>
      </c>
      <c r="E122" s="0" t="n">
        <v>0</v>
      </c>
      <c r="F122" s="0" t="s">
        <v>82</v>
      </c>
      <c r="G122" s="0" t="n">
        <v>16</v>
      </c>
      <c r="H122" s="0" t="n">
        <v>0</v>
      </c>
      <c r="I122" s="0" t="s">
        <v>302</v>
      </c>
      <c r="J122" s="0" t="s">
        <v>292</v>
      </c>
      <c r="K122" s="0" t="s">
        <v>34</v>
      </c>
    </row>
    <row r="123" customFormat="false" ht="15" hidden="false" customHeight="false" outlineLevel="0" collapsed="false">
      <c r="A123" s="0" t="s">
        <v>307</v>
      </c>
      <c r="B123" s="0" t="s">
        <v>308</v>
      </c>
      <c r="C123" s="0" t="n">
        <v>4.833</v>
      </c>
      <c r="D123" s="0" t="n">
        <v>10.5</v>
      </c>
      <c r="E123" s="0" t="n">
        <v>0</v>
      </c>
      <c r="F123" s="0" t="s">
        <v>82</v>
      </c>
      <c r="G123" s="0" t="n">
        <v>16</v>
      </c>
      <c r="H123" s="0" t="n">
        <v>0</v>
      </c>
      <c r="I123" s="0" t="s">
        <v>302</v>
      </c>
      <c r="J123" s="0" t="s">
        <v>292</v>
      </c>
      <c r="K123" s="0" t="s">
        <v>34</v>
      </c>
    </row>
    <row r="124" customFormat="false" ht="15" hidden="false" customHeight="false" outlineLevel="0" collapsed="false">
      <c r="A124" s="5" t="s">
        <v>309</v>
      </c>
    </row>
    <row r="125" customFormat="false" ht="15" hidden="false" customHeight="false" outlineLevel="0" collapsed="false">
      <c r="A125" s="0" t="s">
        <v>310</v>
      </c>
      <c r="B125" s="0" t="s">
        <v>311</v>
      </c>
      <c r="C125" s="0" t="n">
        <v>15.644</v>
      </c>
      <c r="D125" s="0" t="n">
        <v>4.292</v>
      </c>
      <c r="E125" s="0" t="n">
        <v>0</v>
      </c>
      <c r="F125" s="0" t="s">
        <v>111</v>
      </c>
      <c r="G125" s="0" t="n">
        <v>16</v>
      </c>
      <c r="H125" s="0" t="n">
        <v>0</v>
      </c>
      <c r="I125" s="0" t="s">
        <v>312</v>
      </c>
      <c r="J125" s="0" t="s">
        <v>313</v>
      </c>
      <c r="K125" s="0" t="s">
        <v>34</v>
      </c>
    </row>
    <row r="126" customFormat="false" ht="15" hidden="false" customHeight="false" outlineLevel="0" collapsed="false">
      <c r="A126" s="0" t="s">
        <v>314</v>
      </c>
      <c r="B126" s="0" t="s">
        <v>315</v>
      </c>
      <c r="C126" s="0" t="n">
        <v>3.572</v>
      </c>
      <c r="D126" s="0" t="n">
        <v>4.292</v>
      </c>
      <c r="E126" s="0" t="n">
        <v>0</v>
      </c>
      <c r="F126" s="0" t="s">
        <v>111</v>
      </c>
      <c r="G126" s="0" t="n">
        <v>16</v>
      </c>
      <c r="H126" s="0" t="n">
        <v>0</v>
      </c>
      <c r="I126" s="0" t="s">
        <v>316</v>
      </c>
      <c r="J126" s="0" t="s">
        <v>313</v>
      </c>
      <c r="K126" s="0" t="s">
        <v>34</v>
      </c>
    </row>
    <row r="127" customFormat="false" ht="15" hidden="false" customHeight="false" outlineLevel="0" collapsed="false">
      <c r="A127" s="0" t="s">
        <v>317</v>
      </c>
      <c r="B127" s="0" t="s">
        <v>318</v>
      </c>
      <c r="C127" s="0" t="n">
        <v>28.289</v>
      </c>
      <c r="D127" s="0" t="n">
        <v>4.292</v>
      </c>
      <c r="E127" s="0" t="n">
        <v>0</v>
      </c>
      <c r="F127" s="0" t="s">
        <v>111</v>
      </c>
      <c r="G127" s="0" t="n">
        <v>16</v>
      </c>
      <c r="H127" s="0" t="n">
        <v>0</v>
      </c>
      <c r="I127" s="0" t="s">
        <v>319</v>
      </c>
      <c r="J127" s="0" t="s">
        <v>313</v>
      </c>
      <c r="K127" s="0" t="s">
        <v>34</v>
      </c>
    </row>
    <row r="128" customFormat="false" ht="15" hidden="false" customHeight="false" outlineLevel="0" collapsed="false">
      <c r="A128" s="0" t="s">
        <v>320</v>
      </c>
      <c r="B128" s="0" t="s">
        <v>321</v>
      </c>
      <c r="C128" s="0" t="n">
        <v>3.906</v>
      </c>
      <c r="D128" s="0" t="n">
        <v>4.292</v>
      </c>
      <c r="E128" s="0" t="n">
        <v>0</v>
      </c>
      <c r="F128" s="0" t="s">
        <v>111</v>
      </c>
      <c r="G128" s="0" t="n">
        <v>16</v>
      </c>
      <c r="H128" s="0" t="n">
        <v>0</v>
      </c>
      <c r="I128" s="0" t="s">
        <v>322</v>
      </c>
      <c r="J128" s="0" t="s">
        <v>313</v>
      </c>
      <c r="K128" s="0" t="s">
        <v>34</v>
      </c>
    </row>
    <row r="129" customFormat="false" ht="15" hidden="false" customHeight="false" outlineLevel="0" collapsed="false">
      <c r="A129" s="0" t="s">
        <v>323</v>
      </c>
      <c r="B129" s="0" t="s">
        <v>324</v>
      </c>
      <c r="C129" s="0" t="n">
        <v>38.817</v>
      </c>
      <c r="D129" s="0" t="n">
        <v>2.042</v>
      </c>
      <c r="E129" s="0" t="n">
        <v>0</v>
      </c>
      <c r="F129" s="0" t="s">
        <v>111</v>
      </c>
      <c r="G129" s="0" t="n">
        <v>16</v>
      </c>
      <c r="H129" s="0" t="n">
        <v>0</v>
      </c>
      <c r="I129" s="0" t="s">
        <v>325</v>
      </c>
      <c r="J129" s="0" t="s">
        <v>313</v>
      </c>
      <c r="K129" s="0" t="s">
        <v>34</v>
      </c>
    </row>
    <row r="130" customFormat="false" ht="15" hidden="false" customHeight="false" outlineLevel="0" collapsed="false">
      <c r="A130" s="0" t="s">
        <v>326</v>
      </c>
      <c r="B130" s="0" t="s">
        <v>327</v>
      </c>
      <c r="C130" s="0" t="n">
        <v>50.422</v>
      </c>
      <c r="D130" s="0" t="n">
        <v>2.042</v>
      </c>
      <c r="E130" s="0" t="n">
        <v>0</v>
      </c>
      <c r="F130" s="0" t="s">
        <v>111</v>
      </c>
      <c r="G130" s="0" t="n">
        <v>16</v>
      </c>
      <c r="H130" s="0" t="n">
        <v>0</v>
      </c>
      <c r="I130" s="0" t="s">
        <v>328</v>
      </c>
      <c r="J130" s="0" t="s">
        <v>313</v>
      </c>
      <c r="K130" s="0" t="s">
        <v>34</v>
      </c>
    </row>
    <row r="131" customFormat="false" ht="15" hidden="false" customHeight="false" outlineLevel="0" collapsed="false">
      <c r="A131" s="0" t="s">
        <v>329</v>
      </c>
      <c r="B131" s="0" t="s">
        <v>330</v>
      </c>
      <c r="C131" s="0" t="n">
        <v>24.794</v>
      </c>
      <c r="D131" s="0" t="n">
        <v>4.621</v>
      </c>
      <c r="E131" s="0" t="n">
        <v>0</v>
      </c>
      <c r="F131" s="0" t="s">
        <v>111</v>
      </c>
      <c r="G131" s="0" t="n">
        <v>16</v>
      </c>
      <c r="H131" s="0" t="n">
        <v>0</v>
      </c>
      <c r="I131" s="0" t="s">
        <v>328</v>
      </c>
      <c r="J131" s="0" t="s">
        <v>313</v>
      </c>
      <c r="K131" s="0" t="s">
        <v>34</v>
      </c>
    </row>
    <row r="132" customFormat="false" ht="15" hidden="false" customHeight="false" outlineLevel="0" collapsed="false">
      <c r="A132" s="0" t="s">
        <v>331</v>
      </c>
      <c r="B132" s="0" t="s">
        <v>332</v>
      </c>
      <c r="C132" s="0" t="n">
        <v>51.594</v>
      </c>
      <c r="D132" s="0" t="n">
        <v>4.886</v>
      </c>
      <c r="E132" s="0" t="n">
        <v>0</v>
      </c>
      <c r="F132" s="0" t="s">
        <v>111</v>
      </c>
      <c r="G132" s="0" t="n">
        <v>16</v>
      </c>
      <c r="H132" s="0" t="n">
        <v>0</v>
      </c>
      <c r="I132" s="0" t="s">
        <v>333</v>
      </c>
      <c r="J132" s="0" t="s">
        <v>313</v>
      </c>
      <c r="K132" s="0" t="s">
        <v>34</v>
      </c>
    </row>
    <row r="133" customFormat="false" ht="15" hidden="false" customHeight="false" outlineLevel="0" collapsed="false">
      <c r="A133" s="0" t="s">
        <v>334</v>
      </c>
      <c r="B133" s="0" t="s">
        <v>335</v>
      </c>
      <c r="C133" s="0" t="n">
        <v>22.094</v>
      </c>
      <c r="D133" s="0" t="n">
        <v>2.042</v>
      </c>
      <c r="E133" s="0" t="n">
        <v>0</v>
      </c>
      <c r="F133" s="0" t="s">
        <v>111</v>
      </c>
      <c r="G133" s="0" t="n">
        <v>16</v>
      </c>
      <c r="H133" s="0" t="n">
        <v>0</v>
      </c>
      <c r="I133" s="0" t="s">
        <v>336</v>
      </c>
      <c r="J133" s="0" t="s">
        <v>313</v>
      </c>
      <c r="K133" s="0" t="s">
        <v>34</v>
      </c>
    </row>
    <row r="134" customFormat="false" ht="15" hidden="false" customHeight="false" outlineLevel="0" collapsed="false">
      <c r="A134" s="0" t="s">
        <v>337</v>
      </c>
      <c r="B134" s="0" t="s">
        <v>338</v>
      </c>
      <c r="C134" s="0" t="n">
        <v>24.794</v>
      </c>
      <c r="D134" s="0" t="n">
        <v>4.621</v>
      </c>
      <c r="E134" s="0" t="n">
        <v>0</v>
      </c>
      <c r="F134" s="0" t="s">
        <v>111</v>
      </c>
      <c r="G134" s="0" t="n">
        <v>16</v>
      </c>
      <c r="H134" s="0" t="n">
        <v>0</v>
      </c>
      <c r="I134" s="0" t="s">
        <v>336</v>
      </c>
      <c r="J134" s="0" t="s">
        <v>313</v>
      </c>
      <c r="K134" s="0" t="s">
        <v>34</v>
      </c>
    </row>
    <row r="135" customFormat="false" ht="15" hidden="false" customHeight="false" outlineLevel="0" collapsed="false">
      <c r="A135" s="6" t="s">
        <v>339</v>
      </c>
      <c r="C135" s="3" t="n">
        <f aca="false">SUM(C5:C134)</f>
        <v>1703.64</v>
      </c>
      <c r="H135" s="3" t="n">
        <f aca="false">SUM(H5:H134)</f>
        <v>17018.58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0" t="s">
        <v>341</v>
      </c>
    </row>
    <row r="3" customFormat="false" ht="15" hidden="false" customHeight="false" outlineLevel="0" collapsed="false">
      <c r="A3" s="4" t="s">
        <v>342</v>
      </c>
      <c r="B3" s="4" t="s">
        <v>343</v>
      </c>
      <c r="C3" s="4" t="s">
        <v>344</v>
      </c>
      <c r="D3" s="4" t="s">
        <v>345</v>
      </c>
      <c r="E3" s="4" t="s">
        <v>346</v>
      </c>
      <c r="F3" s="4" t="s">
        <v>347</v>
      </c>
      <c r="G3" s="4" t="s">
        <v>348</v>
      </c>
      <c r="H3" s="4" t="s">
        <v>349</v>
      </c>
      <c r="I3" s="4" t="s">
        <v>350</v>
      </c>
    </row>
    <row r="4" customFormat="false" ht="15" hidden="false" customHeight="false" outlineLevel="0" collapsed="false">
      <c r="A4" s="0" t="s">
        <v>351</v>
      </c>
      <c r="B4" s="0" t="s">
        <v>352</v>
      </c>
      <c r="C4" s="0" t="n">
        <v>4374.7</v>
      </c>
      <c r="D4" s="0" t="n">
        <f aca="false">Inputs!$B$4</f>
        <v>0.15</v>
      </c>
      <c r="E4" s="0" t="n">
        <f aca="false">C4*D4</f>
        <v>656.205</v>
      </c>
      <c r="F4" s="0" t="n">
        <f aca="false">C4+E4</f>
        <v>5030.905</v>
      </c>
      <c r="G4" s="0" t="s">
        <v>353</v>
      </c>
      <c r="H4" s="0" t="n">
        <f aca="false">ROUNDUP(ROUNDUP(F4/14.362,0)/MAX(1,INT(20/14.362)),0)</f>
        <v>351</v>
      </c>
      <c r="I4" s="0" t="s">
        <v>354</v>
      </c>
    </row>
    <row r="5" customFormat="false" ht="15" hidden="false" customHeight="false" outlineLevel="0" collapsed="false">
      <c r="A5" s="0" t="s">
        <v>355</v>
      </c>
      <c r="B5" s="0" t="s">
        <v>352</v>
      </c>
      <c r="C5" s="0" t="n">
        <v>983.84</v>
      </c>
      <c r="D5" s="0" t="n">
        <f aca="false">Inputs!$B$4</f>
        <v>0.15</v>
      </c>
      <c r="E5" s="0" t="n">
        <f aca="false">C5*D5</f>
        <v>147.576</v>
      </c>
      <c r="F5" s="0" t="n">
        <f aca="false">C5+E5</f>
        <v>1131.416</v>
      </c>
      <c r="G5" s="0" t="s">
        <v>353</v>
      </c>
      <c r="H5" s="0" t="n">
        <f aca="false">ROUNDUP(ROUNDUP(F5/4.625,0)/MAX(1,INT(20/4.625)),0)</f>
        <v>62</v>
      </c>
      <c r="I5" s="0" t="s">
        <v>354</v>
      </c>
    </row>
    <row r="6" customFormat="false" ht="15" hidden="false" customHeight="false" outlineLevel="0" collapsed="false">
      <c r="A6" s="0" t="s">
        <v>356</v>
      </c>
      <c r="B6" s="0" t="s">
        <v>352</v>
      </c>
      <c r="C6" s="0" t="n">
        <v>6390.83</v>
      </c>
      <c r="D6" s="0" t="n">
        <f aca="false">Inputs!$B$4</f>
        <v>0.15</v>
      </c>
      <c r="E6" s="0" t="n">
        <f aca="false">C6*D6</f>
        <v>958.6245</v>
      </c>
      <c r="F6" s="0" t="n">
        <f aca="false">C6+E6</f>
        <v>7349.4545</v>
      </c>
      <c r="G6" s="0" t="s">
        <v>353</v>
      </c>
      <c r="H6" s="0" t="n">
        <f aca="false">ROUNDUP(ROUNDUP(F6/15.375,0)/MAX(1,INT(20/15.375)),0)</f>
        <v>479</v>
      </c>
      <c r="I6" s="0" t="s">
        <v>354</v>
      </c>
    </row>
    <row r="7" customFormat="false" ht="15" hidden="false" customHeight="false" outlineLevel="0" collapsed="false">
      <c r="A7" s="0" t="s">
        <v>357</v>
      </c>
      <c r="B7" s="0" t="s">
        <v>352</v>
      </c>
      <c r="C7" s="0" t="n">
        <v>4398.2</v>
      </c>
      <c r="D7" s="0" t="n">
        <f aca="false">Inputs!$B$4</f>
        <v>0.15</v>
      </c>
      <c r="E7" s="0" t="n">
        <f aca="false">C7*D7</f>
        <v>659.73</v>
      </c>
      <c r="F7" s="0" t="n">
        <f aca="false">C7+E7</f>
        <v>5057.93</v>
      </c>
      <c r="G7" s="0" t="s">
        <v>353</v>
      </c>
      <c r="H7" s="0" t="n">
        <f aca="false">ROUNDUP(ROUNDUP(F7/15.375,0)/MAX(1,INT(20/15.375)),0)</f>
        <v>329</v>
      </c>
      <c r="I7" s="0" t="s">
        <v>354</v>
      </c>
    </row>
    <row r="8" customFormat="false" ht="15" hidden="false" customHeight="false" outlineLevel="0" collapsed="false">
      <c r="A8" s="0" t="s">
        <v>358</v>
      </c>
      <c r="B8" s="0" t="s">
        <v>352</v>
      </c>
      <c r="C8" s="0" t="n">
        <v>16.5</v>
      </c>
      <c r="D8" s="0" t="n">
        <f aca="false">Inputs!$B$4</f>
        <v>0.15</v>
      </c>
      <c r="E8" s="0" t="n">
        <f aca="false">C8*D8</f>
        <v>2.475</v>
      </c>
      <c r="F8" s="0" t="n">
        <f aca="false">C8+E8</f>
        <v>18.975</v>
      </c>
      <c r="G8" s="0" t="s">
        <v>359</v>
      </c>
      <c r="H8" s="0" t="n">
        <f aca="false">ROUNDUP(ROUNDUP(F8/1.5,0)/MAX(1,INT(10/1.5)),0)</f>
        <v>3</v>
      </c>
      <c r="I8" s="0" t="s">
        <v>354</v>
      </c>
    </row>
    <row r="9" customFormat="false" ht="15" hidden="false" customHeight="false" outlineLevel="0" collapsed="false">
      <c r="A9" s="0" t="s">
        <v>360</v>
      </c>
      <c r="B9" s="0" t="s">
        <v>352</v>
      </c>
      <c r="C9" s="0" t="n">
        <v>1507.55</v>
      </c>
      <c r="D9" s="0" t="n">
        <f aca="false">Inputs!$B$4</f>
        <v>0.15</v>
      </c>
      <c r="E9" s="0" t="n">
        <f aca="false">C9*D9</f>
        <v>226.1325</v>
      </c>
      <c r="F9" s="0" t="n">
        <f aca="false">C9+E9</f>
        <v>1733.6825</v>
      </c>
      <c r="G9" s="0" t="s">
        <v>361</v>
      </c>
      <c r="H9" s="0" t="n">
        <f aca="false">ROUNDUP(F9/10,0)</f>
        <v>174</v>
      </c>
      <c r="I9" s="0" t="s">
        <v>354</v>
      </c>
    </row>
    <row r="10" customFormat="false" ht="15" hidden="false" customHeight="false" outlineLevel="0" collapsed="false">
      <c r="A10" s="0" t="s">
        <v>362</v>
      </c>
      <c r="B10" s="0" t="s">
        <v>352</v>
      </c>
      <c r="C10" s="0" t="n">
        <v>1507.55</v>
      </c>
      <c r="D10" s="0" t="n">
        <f aca="false">Inputs!$B$4</f>
        <v>0.15</v>
      </c>
      <c r="E10" s="0" t="n">
        <f aca="false">C10*D10</f>
        <v>226.1325</v>
      </c>
      <c r="F10" s="0" t="n">
        <f aca="false">C10+E10</f>
        <v>1733.6825</v>
      </c>
      <c r="G10" s="0" t="s">
        <v>361</v>
      </c>
      <c r="H10" s="0" t="n">
        <f aca="false">ROUNDUP(F10/10,0)</f>
        <v>174</v>
      </c>
      <c r="I10" s="0" t="s">
        <v>354</v>
      </c>
    </row>
    <row r="11" customFormat="false" ht="15" hidden="false" customHeight="false" outlineLevel="0" collapsed="false">
      <c r="A11" s="0" t="s">
        <v>363</v>
      </c>
      <c r="B11" s="0" t="s">
        <v>352</v>
      </c>
      <c r="C11" s="0" t="n">
        <v>1366.37</v>
      </c>
      <c r="D11" s="0" t="n">
        <f aca="false">Inputs!$B$4</f>
        <v>0.15</v>
      </c>
      <c r="E11" s="0" t="n">
        <f aca="false">C11*D11</f>
        <v>204.9555</v>
      </c>
      <c r="F11" s="0" t="n">
        <f aca="false">C11+E11</f>
        <v>1571.3255</v>
      </c>
      <c r="G11" s="0" t="s">
        <v>361</v>
      </c>
      <c r="H11" s="0" t="n">
        <f aca="false">ROUNDUP(F11/10,0)</f>
        <v>158</v>
      </c>
      <c r="I11" s="0" t="s">
        <v>354</v>
      </c>
    </row>
    <row r="12" customFormat="false" ht="15" hidden="false" customHeight="false" outlineLevel="0" collapsed="false">
      <c r="A12" s="0" t="s">
        <v>364</v>
      </c>
      <c r="B12" s="0" t="s">
        <v>352</v>
      </c>
      <c r="C12" s="0" t="n">
        <v>2437.99</v>
      </c>
      <c r="D12" s="0" t="n">
        <f aca="false">Inputs!$B$4</f>
        <v>0.15</v>
      </c>
      <c r="E12" s="0" t="n">
        <f aca="false">C12*D12</f>
        <v>365.6985</v>
      </c>
      <c r="F12" s="0" t="n">
        <f aca="false">C12+E12</f>
        <v>2803.6885</v>
      </c>
      <c r="G12" s="0" t="s">
        <v>365</v>
      </c>
      <c r="H12" s="0" t="n">
        <f aca="false">ROUNDUP(F12/20,0)</f>
        <v>141</v>
      </c>
      <c r="I12" s="0" t="s">
        <v>354</v>
      </c>
    </row>
    <row r="13" customFormat="false" ht="15" hidden="false" customHeight="false" outlineLevel="0" collapsed="false">
      <c r="A13" s="0" t="s">
        <v>366</v>
      </c>
      <c r="B13" s="0" t="s">
        <v>352</v>
      </c>
      <c r="C13" s="0" t="n">
        <v>293.54</v>
      </c>
      <c r="D13" s="0" t="n">
        <f aca="false">Inputs!$B$4</f>
        <v>0.15</v>
      </c>
      <c r="E13" s="0" t="n">
        <f aca="false">C13*D13</f>
        <v>44.031</v>
      </c>
      <c r="F13" s="0" t="n">
        <f aca="false">C13+E13</f>
        <v>337.571</v>
      </c>
      <c r="G13" s="0" t="s">
        <v>361</v>
      </c>
      <c r="H13" s="0" t="n">
        <f aca="false">ROUNDUP(F13/10,0)</f>
        <v>34</v>
      </c>
      <c r="I13" s="0" t="s">
        <v>354</v>
      </c>
    </row>
    <row r="14" customFormat="false" ht="15" hidden="false" customHeight="false" outlineLevel="0" collapsed="false">
      <c r="A14" s="0" t="s">
        <v>367</v>
      </c>
      <c r="B14" s="0" t="s">
        <v>352</v>
      </c>
      <c r="C14" s="0" t="n">
        <v>240.65</v>
      </c>
      <c r="D14" s="0" t="n">
        <f aca="false">Inputs!$B$4</f>
        <v>0.15</v>
      </c>
      <c r="E14" s="0" t="n">
        <f aca="false">C14*D14</f>
        <v>36.0975</v>
      </c>
      <c r="F14" s="0" t="n">
        <f aca="false">C14+E14</f>
        <v>276.7475</v>
      </c>
      <c r="G14" s="0" t="s">
        <v>365</v>
      </c>
      <c r="H14" s="0" t="n">
        <f aca="false">ROUNDUP(ROUNDUP(F14/9.333,0)/MAX(1,INT(20/9.333)),0)</f>
        <v>15</v>
      </c>
      <c r="I14" s="0" t="s">
        <v>354</v>
      </c>
    </row>
    <row r="15" customFormat="false" ht="15" hidden="false" customHeight="false" outlineLevel="0" collapsed="false">
      <c r="A15" s="0" t="s">
        <v>368</v>
      </c>
      <c r="B15" s="0" t="s">
        <v>352</v>
      </c>
      <c r="C15" s="0" t="n">
        <v>63.09</v>
      </c>
      <c r="D15" s="0" t="n">
        <f aca="false">Inputs!$B$4</f>
        <v>0.15</v>
      </c>
      <c r="E15" s="0" t="n">
        <f aca="false">C15*D15</f>
        <v>9.4635</v>
      </c>
      <c r="F15" s="0" t="n">
        <f aca="false">C15+E15</f>
        <v>72.5535</v>
      </c>
      <c r="G15" s="0" t="s">
        <v>361</v>
      </c>
      <c r="H15" s="0" t="n">
        <f aca="false">ROUNDUP(F15/10,0)</f>
        <v>8</v>
      </c>
      <c r="I15" s="0" t="s">
        <v>354</v>
      </c>
    </row>
    <row r="16" customFormat="false" ht="15" hidden="false" customHeight="false" outlineLevel="0" collapsed="false">
      <c r="A16" s="0" t="s">
        <v>369</v>
      </c>
      <c r="B16" s="0" t="s">
        <v>352</v>
      </c>
      <c r="C16" s="0" t="n">
        <v>938.75</v>
      </c>
      <c r="D16" s="0" t="n">
        <f aca="false">Inputs!$B$4</f>
        <v>0.15</v>
      </c>
      <c r="E16" s="0" t="n">
        <f aca="false">C16*D16</f>
        <v>140.8125</v>
      </c>
      <c r="F16" s="0" t="n">
        <f aca="false">C16+E16</f>
        <v>1079.5625</v>
      </c>
      <c r="G16" s="0" t="s">
        <v>361</v>
      </c>
      <c r="H16" s="0" t="n">
        <f aca="false">ROUNDUP(F16/10,0)</f>
        <v>108</v>
      </c>
      <c r="I16" s="0" t="s">
        <v>370</v>
      </c>
    </row>
    <row r="17" customFormat="false" ht="15" hidden="false" customHeight="false" outlineLevel="0" collapsed="false">
      <c r="A17" s="0" t="s">
        <v>371</v>
      </c>
      <c r="B17" s="0" t="s">
        <v>352</v>
      </c>
      <c r="C17" s="0" t="n">
        <v>819.9</v>
      </c>
      <c r="D17" s="0" t="n">
        <f aca="false">Inputs!$B$4</f>
        <v>0.15</v>
      </c>
      <c r="E17" s="0" t="n">
        <f aca="false">C17*D17</f>
        <v>122.985</v>
      </c>
      <c r="F17" s="0" t="n">
        <f aca="false">C17+E17</f>
        <v>942.885</v>
      </c>
      <c r="G17" s="0" t="s">
        <v>372</v>
      </c>
      <c r="H17" s="0" t="n">
        <f aca="false">ROUNDUP(F17/12,0)</f>
        <v>79</v>
      </c>
      <c r="I17" s="0" t="s">
        <v>354</v>
      </c>
    </row>
    <row r="18" customFormat="false" ht="15" hidden="false" customHeight="false" outlineLevel="0" collapsed="false">
      <c r="A18" s="0" t="s">
        <v>373</v>
      </c>
      <c r="B18" s="0" t="s">
        <v>352</v>
      </c>
      <c r="C18" s="0" t="n">
        <v>323.5</v>
      </c>
      <c r="D18" s="0" t="n">
        <f aca="false">Inputs!$B$4</f>
        <v>0.15</v>
      </c>
      <c r="E18" s="0" t="n">
        <f aca="false">C18*D18</f>
        <v>48.525</v>
      </c>
      <c r="F18" s="0" t="n">
        <f aca="false">C18+E18</f>
        <v>372.025</v>
      </c>
      <c r="G18" s="0" t="s">
        <v>374</v>
      </c>
      <c r="H18" s="0" t="n">
        <f aca="false">ROUNDUP(F18/16,0)</f>
        <v>24</v>
      </c>
      <c r="I18" s="0" t="s">
        <v>354</v>
      </c>
    </row>
    <row r="19" customFormat="false" ht="15" hidden="false" customHeight="false" outlineLevel="0" collapsed="false">
      <c r="A19" s="0" t="s">
        <v>375</v>
      </c>
      <c r="B19" s="0" t="s">
        <v>352</v>
      </c>
      <c r="C19" s="0" t="n">
        <v>531.75</v>
      </c>
      <c r="D19" s="0" t="n">
        <f aca="false">Inputs!$B$4</f>
        <v>0.15</v>
      </c>
      <c r="E19" s="0" t="n">
        <f aca="false">C19*D19</f>
        <v>79.7625</v>
      </c>
      <c r="F19" s="0" t="n">
        <f aca="false">C19+E19</f>
        <v>611.5125</v>
      </c>
      <c r="G19" s="0" t="s">
        <v>352</v>
      </c>
      <c r="H19" s="0" t="n">
        <f aca="false">ROUNDUP(F19,0)</f>
        <v>612</v>
      </c>
      <c r="I19" s="0" t="s">
        <v>354</v>
      </c>
    </row>
    <row r="20" customFormat="false" ht="15" hidden="false" customHeight="false" outlineLevel="0" collapsed="false">
      <c r="A20" s="0" t="s">
        <v>376</v>
      </c>
      <c r="B20" s="0" t="s">
        <v>377</v>
      </c>
      <c r="C20" s="0" t="n">
        <v>17651.34</v>
      </c>
      <c r="D20" s="0" t="n">
        <f aca="false">Inputs!$B$5</f>
        <v>0.06</v>
      </c>
      <c r="E20" s="0" t="n">
        <f aca="false">C20*D20</f>
        <v>1059.0804</v>
      </c>
      <c r="F20" s="0" t="n">
        <f aca="false">C20+E20</f>
        <v>18710.4204</v>
      </c>
      <c r="G20" s="0" t="s">
        <v>378</v>
      </c>
      <c r="H20" s="0" t="n">
        <f aca="false">ROUNDUP(F20/48,0)</f>
        <v>390</v>
      </c>
      <c r="I20" s="0" t="s">
        <v>354</v>
      </c>
    </row>
    <row r="21" customFormat="false" ht="15" hidden="false" customHeight="false" outlineLevel="0" collapsed="false">
      <c r="A21" s="0" t="s">
        <v>379</v>
      </c>
      <c r="B21" s="0" t="s">
        <v>377</v>
      </c>
      <c r="C21" s="0" t="n">
        <v>360.78</v>
      </c>
      <c r="D21" s="0" t="n">
        <f aca="false">Inputs!$B$5</f>
        <v>0.06</v>
      </c>
      <c r="E21" s="0" t="n">
        <f aca="false">C21*D21</f>
        <v>21.6468</v>
      </c>
      <c r="F21" s="0" t="n">
        <f aca="false">C21+E21</f>
        <v>382.4268</v>
      </c>
      <c r="G21" s="0" t="s">
        <v>378</v>
      </c>
      <c r="H21" s="0" t="n">
        <f aca="false">ROUNDUP(F21/48,0)</f>
        <v>8</v>
      </c>
      <c r="I21" s="0" t="s">
        <v>354</v>
      </c>
    </row>
    <row r="22" customFormat="false" ht="15" hidden="false" customHeight="false" outlineLevel="0" collapsed="false">
      <c r="A22" s="0" t="s">
        <v>380</v>
      </c>
      <c r="B22" s="0" t="s">
        <v>377</v>
      </c>
      <c r="C22" s="0" t="n">
        <v>74</v>
      </c>
      <c r="D22" s="0" t="n">
        <f aca="false">Inputs!$B$5</f>
        <v>0.06</v>
      </c>
      <c r="E22" s="0" t="n">
        <f aca="false">C22*D22</f>
        <v>4.44</v>
      </c>
      <c r="F22" s="0" t="n">
        <f aca="false">C22+E22</f>
        <v>78.44</v>
      </c>
      <c r="G22" s="0" t="s">
        <v>381</v>
      </c>
      <c r="H22" s="0" t="n">
        <f aca="false">ROUNDUP(F22/32,0)</f>
        <v>3</v>
      </c>
      <c r="I22" s="0" t="s">
        <v>354</v>
      </c>
    </row>
    <row r="23" customFormat="false" ht="15" hidden="false" customHeight="false" outlineLevel="0" collapsed="false">
      <c r="A23" s="0" t="s">
        <v>382</v>
      </c>
      <c r="B23" s="0" t="s">
        <v>377</v>
      </c>
      <c r="C23" s="0" t="n">
        <v>57.07</v>
      </c>
      <c r="D23" s="0" t="n">
        <f aca="false">Inputs!$B$5</f>
        <v>0.06</v>
      </c>
      <c r="E23" s="0" t="n">
        <f aca="false">C23*D23</f>
        <v>3.4242</v>
      </c>
      <c r="F23" s="0" t="n">
        <f aca="false">C23+E23</f>
        <v>60.4942</v>
      </c>
      <c r="G23" s="0" t="s">
        <v>381</v>
      </c>
      <c r="H23" s="0" t="n">
        <f aca="false">ROUNDUP(F23/32,0)</f>
        <v>2</v>
      </c>
      <c r="I23" s="0" t="s">
        <v>354</v>
      </c>
    </row>
    <row r="24" customFormat="false" ht="15" hidden="false" customHeight="false" outlineLevel="0" collapsed="false">
      <c r="A24" s="0" t="s">
        <v>383</v>
      </c>
      <c r="B24" s="0" t="s">
        <v>377</v>
      </c>
      <c r="C24" s="0" t="n">
        <v>475.32</v>
      </c>
      <c r="D24" s="0" t="n">
        <f aca="false">Inputs!$B$5</f>
        <v>0.06</v>
      </c>
      <c r="E24" s="0" t="n">
        <f aca="false">C24*D24</f>
        <v>28.5192</v>
      </c>
      <c r="F24" s="0" t="n">
        <f aca="false">C24+E24</f>
        <v>503.8392</v>
      </c>
      <c r="G24" s="0" t="s">
        <v>381</v>
      </c>
      <c r="H24" s="0" t="n">
        <f aca="false">ROUNDUP(F24/32,0)</f>
        <v>16</v>
      </c>
      <c r="I24" s="0" t="s">
        <v>354</v>
      </c>
    </row>
    <row r="25" customFormat="false" ht="15" hidden="false" customHeight="false" outlineLevel="0" collapsed="false">
      <c r="A25" s="0" t="s">
        <v>384</v>
      </c>
      <c r="B25" s="0" t="s">
        <v>377</v>
      </c>
      <c r="C25" s="0" t="n">
        <v>949.02</v>
      </c>
      <c r="D25" s="0" t="n">
        <f aca="false">Inputs!$B$5</f>
        <v>0.06</v>
      </c>
      <c r="E25" s="0" t="n">
        <f aca="false">C25*D25</f>
        <v>56.9412</v>
      </c>
      <c r="F25" s="0" t="n">
        <f aca="false">C25+E25</f>
        <v>1005.9612</v>
      </c>
      <c r="G25" s="0" t="s">
        <v>381</v>
      </c>
      <c r="H25" s="0" t="n">
        <f aca="false">ROUNDUP(F25/32,0)</f>
        <v>32</v>
      </c>
      <c r="I25" s="0" t="s">
        <v>354</v>
      </c>
    </row>
    <row r="26" customFormat="false" ht="15" hidden="false" customHeight="false" outlineLevel="0" collapsed="false">
      <c r="A26" s="0" t="s">
        <v>385</v>
      </c>
      <c r="B26" s="0" t="s">
        <v>377</v>
      </c>
      <c r="C26" s="0" t="n">
        <v>6774.09</v>
      </c>
      <c r="D26" s="0" t="n">
        <f aca="false">Inputs!$B$5</f>
        <v>0.06</v>
      </c>
      <c r="E26" s="0" t="n">
        <f aca="false">C26*D26</f>
        <v>406.4454</v>
      </c>
      <c r="F26" s="0" t="n">
        <f aca="false">C26+E26</f>
        <v>7180.5354</v>
      </c>
      <c r="G26" s="0" t="s">
        <v>381</v>
      </c>
      <c r="H26" s="0" t="n">
        <f aca="false">ROUNDUP(F26/32,0)</f>
        <v>225</v>
      </c>
      <c r="I26" s="0" t="s">
        <v>354</v>
      </c>
    </row>
    <row r="27" customFormat="false" ht="15" hidden="false" customHeight="false" outlineLevel="0" collapsed="false">
      <c r="A27" s="0" t="s">
        <v>386</v>
      </c>
      <c r="B27" s="0" t="s">
        <v>352</v>
      </c>
      <c r="C27" s="0" t="n">
        <v>816.1</v>
      </c>
      <c r="D27" s="0" t="n">
        <f aca="false">Inputs!$B$5</f>
        <v>0.06</v>
      </c>
      <c r="E27" s="0" t="n">
        <f aca="false">C27*D27</f>
        <v>48.966</v>
      </c>
      <c r="F27" s="0" t="n">
        <f aca="false">C27+E27</f>
        <v>865.066</v>
      </c>
      <c r="G27" s="0" t="s">
        <v>352</v>
      </c>
      <c r="H27" s="0" t="n">
        <f aca="false">ROUNDUP(F27,0)</f>
        <v>866</v>
      </c>
      <c r="I27" s="0" t="s">
        <v>354</v>
      </c>
    </row>
    <row r="28" customFormat="false" ht="15" hidden="false" customHeight="false" outlineLevel="0" collapsed="false">
      <c r="A28" s="0" t="s">
        <v>387</v>
      </c>
      <c r="B28" s="0" t="s">
        <v>352</v>
      </c>
      <c r="C28" s="0" t="n">
        <v>644.22</v>
      </c>
      <c r="D28" s="0" t="n">
        <f aca="false">Inputs!$B$4</f>
        <v>0.15</v>
      </c>
      <c r="E28" s="0" t="n">
        <f aca="false">C28*D28</f>
        <v>96.633</v>
      </c>
      <c r="F28" s="0" t="n">
        <f aca="false">C28+E28</f>
        <v>740.853</v>
      </c>
      <c r="G28" s="0" t="s">
        <v>361</v>
      </c>
      <c r="H28" s="0" t="n">
        <f aca="false">ROUNDUP(ROUNDUP(F28/1.25,0)/MAX(1,INT(10/1.25)),0)</f>
        <v>75</v>
      </c>
      <c r="I28" s="0" t="s">
        <v>354</v>
      </c>
    </row>
    <row r="29" customFormat="false" ht="15" hidden="false" customHeight="false" outlineLevel="0" collapsed="false">
      <c r="A29" s="0" t="s">
        <v>388</v>
      </c>
      <c r="B29" s="0" t="s">
        <v>352</v>
      </c>
      <c r="C29" s="0" t="n">
        <v>1213.16</v>
      </c>
      <c r="D29" s="0" t="n">
        <f aca="false">Inputs!$B$4</f>
        <v>0.15</v>
      </c>
      <c r="E29" s="0" t="n">
        <f aca="false">C29*D29</f>
        <v>181.974</v>
      </c>
      <c r="F29" s="0" t="n">
        <f aca="false">C29+E29</f>
        <v>1395.134</v>
      </c>
      <c r="G29" s="0" t="s">
        <v>361</v>
      </c>
      <c r="H29" s="0" t="n">
        <f aca="false">ROUNDUP(F29/10,0)</f>
        <v>140</v>
      </c>
      <c r="I29" s="0" t="s">
        <v>354</v>
      </c>
    </row>
    <row r="30" customFormat="false" ht="15" hidden="false" customHeight="false" outlineLevel="0" collapsed="false">
      <c r="A30" s="0" t="s">
        <v>389</v>
      </c>
      <c r="B30" s="0" t="s">
        <v>377</v>
      </c>
      <c r="C30" s="0" t="n">
        <v>322.36</v>
      </c>
      <c r="D30" s="0" t="n">
        <f aca="false">Inputs!$B$5</f>
        <v>0.06</v>
      </c>
      <c r="E30" s="0" t="n">
        <f aca="false">C30*D30</f>
        <v>19.3416</v>
      </c>
      <c r="F30" s="0" t="n">
        <f aca="false">C30+E30</f>
        <v>341.7016</v>
      </c>
      <c r="G30" s="0" t="s">
        <v>381</v>
      </c>
      <c r="H30" s="0" t="n">
        <f aca="false">ROUNDUP(F30/32,0)</f>
        <v>11</v>
      </c>
      <c r="I30" s="0" t="s">
        <v>390</v>
      </c>
    </row>
    <row r="31" customFormat="false" ht="15" hidden="false" customHeight="false" outlineLevel="0" collapsed="false">
      <c r="A31" s="0" t="s">
        <v>391</v>
      </c>
      <c r="B31" s="0" t="s">
        <v>377</v>
      </c>
      <c r="C31" s="0" t="n">
        <v>34.04</v>
      </c>
      <c r="D31" s="0" t="n">
        <f aca="false">Inputs!$B$5</f>
        <v>0.06</v>
      </c>
      <c r="E31" s="0" t="n">
        <f aca="false">C31*D31</f>
        <v>2.0424</v>
      </c>
      <c r="F31" s="0" t="n">
        <f aca="false">C31+E31</f>
        <v>36.0824</v>
      </c>
      <c r="G31" s="0" t="s">
        <v>392</v>
      </c>
      <c r="H31" s="0" t="n">
        <f aca="false">ROUNDUP(F31/15,0)</f>
        <v>3</v>
      </c>
      <c r="I31" s="0" t="s">
        <v>393</v>
      </c>
    </row>
    <row r="32" customFormat="false" ht="15" hidden="false" customHeight="false" outlineLevel="0" collapsed="false">
      <c r="A32" s="0" t="s">
        <v>394</v>
      </c>
      <c r="B32" s="0" t="s">
        <v>395</v>
      </c>
      <c r="C32" s="0" t="n">
        <v>6</v>
      </c>
      <c r="D32" s="0" t="n">
        <v>0</v>
      </c>
      <c r="E32" s="0" t="n">
        <f aca="false">C32*D32</f>
        <v>0</v>
      </c>
      <c r="F32" s="0" t="n">
        <f aca="false">C32+E32</f>
        <v>6</v>
      </c>
      <c r="G32" s="0" t="s">
        <v>395</v>
      </c>
      <c r="H32" s="0" t="n">
        <f aca="false">ROUNDUP(F32,0)</f>
        <v>6</v>
      </c>
      <c r="I32" s="0" t="s">
        <v>396</v>
      </c>
    </row>
    <row r="33" customFormat="false" ht="15" hidden="false" customHeight="false" outlineLevel="0" collapsed="false">
      <c r="A33" s="0" t="s">
        <v>397</v>
      </c>
      <c r="B33" s="0" t="s">
        <v>352</v>
      </c>
      <c r="C33" s="0" t="n">
        <v>894.73</v>
      </c>
      <c r="D33" s="0" t="n">
        <f aca="false">Inputs!$B$5</f>
        <v>0.06</v>
      </c>
      <c r="E33" s="0" t="n">
        <f aca="false">C33*D33</f>
        <v>53.6838</v>
      </c>
      <c r="F33" s="0" t="n">
        <f aca="false">C33+E33</f>
        <v>948.4138</v>
      </c>
      <c r="G33" s="0" t="s">
        <v>352</v>
      </c>
      <c r="H33" s="0" t="n">
        <f aca="false">ROUNDUP(F33,0)</f>
        <v>949</v>
      </c>
      <c r="I33" s="0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399</v>
      </c>
      <c r="B1" s="4" t="s">
        <v>400</v>
      </c>
      <c r="C1" s="4" t="s">
        <v>401</v>
      </c>
    </row>
    <row r="2" customFormat="false" ht="15" hidden="false" customHeight="false" outlineLevel="0" collapsed="false">
      <c r="A2" s="0" t="s">
        <v>402</v>
      </c>
      <c r="B2" s="0" t="s">
        <v>403</v>
      </c>
      <c r="C2" s="0" t="s">
        <v>404</v>
      </c>
    </row>
    <row r="3" customFormat="false" ht="15" hidden="false" customHeight="false" outlineLevel="0" collapsed="false">
      <c r="A3" s="0" t="s">
        <v>405</v>
      </c>
      <c r="B3" s="0" t="s">
        <v>406</v>
      </c>
      <c r="C3" s="0" t="s">
        <v>407</v>
      </c>
    </row>
    <row r="4" customFormat="false" ht="15" hidden="false" customHeight="false" outlineLevel="0" collapsed="false">
      <c r="A4" s="0" t="s">
        <v>408</v>
      </c>
      <c r="B4" s="0" t="s">
        <v>409</v>
      </c>
      <c r="C4" s="0" t="s">
        <v>410</v>
      </c>
    </row>
    <row r="5" customFormat="false" ht="15" hidden="false" customHeight="false" outlineLevel="0" collapsed="false">
      <c r="A5" s="0" t="s">
        <v>411</v>
      </c>
      <c r="B5" s="0" t="s">
        <v>412</v>
      </c>
      <c r="C5" s="0" t="s">
        <v>413</v>
      </c>
    </row>
    <row r="6" customFormat="false" ht="15" hidden="false" customHeight="false" outlineLevel="0" collapsed="false">
      <c r="A6" s="0" t="s">
        <v>414</v>
      </c>
      <c r="B6" s="0" t="s">
        <v>415</v>
      </c>
      <c r="C6" s="0" t="s">
        <v>416</v>
      </c>
    </row>
    <row r="7" customFormat="false" ht="15" hidden="false" customHeight="false" outlineLevel="0" collapsed="false">
      <c r="A7" s="0" t="s">
        <v>417</v>
      </c>
      <c r="B7" s="0" t="s">
        <v>418</v>
      </c>
      <c r="C7" s="0" t="s">
        <v>419</v>
      </c>
    </row>
    <row r="8" customFormat="false" ht="15" hidden="false" customHeight="false" outlineLevel="0" collapsed="false">
      <c r="A8" s="0" t="s">
        <v>420</v>
      </c>
      <c r="B8" s="0" t="s">
        <v>421</v>
      </c>
      <c r="C8" s="0" t="s">
        <v>422</v>
      </c>
    </row>
    <row r="9" customFormat="false" ht="15" hidden="false" customHeight="false" outlineLevel="0" collapsed="false">
      <c r="A9" s="0" t="s">
        <v>423</v>
      </c>
      <c r="B9" s="0" t="s">
        <v>424</v>
      </c>
      <c r="C9" s="0" t="s">
        <v>425</v>
      </c>
    </row>
    <row r="10" customFormat="false" ht="15" hidden="false" customHeight="false" outlineLevel="0" collapsed="false">
      <c r="A10" s="0" t="s">
        <v>426</v>
      </c>
      <c r="B10" s="0" t="s">
        <v>427</v>
      </c>
      <c r="C10" s="0" t="s">
        <v>428</v>
      </c>
    </row>
    <row r="11" customFormat="false" ht="15" hidden="false" customHeight="false" outlineLevel="0" collapsed="false">
      <c r="A11" s="0" t="s">
        <v>429</v>
      </c>
      <c r="B11" s="0" t="s">
        <v>430</v>
      </c>
      <c r="C11" s="0" t="s">
        <v>431</v>
      </c>
    </row>
    <row r="12" customFormat="false" ht="15" hidden="false" customHeight="false" outlineLevel="0" collapsed="false">
      <c r="A12" s="0" t="s">
        <v>432</v>
      </c>
      <c r="B12" s="0" t="s">
        <v>433</v>
      </c>
      <c r="C12" s="0" t="s">
        <v>434</v>
      </c>
    </row>
    <row r="13" customFormat="false" ht="15" hidden="false" customHeight="false" outlineLevel="0" collapsed="false">
      <c r="A13" s="0" t="s">
        <v>435</v>
      </c>
      <c r="B13" s="0" t="s">
        <v>436</v>
      </c>
      <c r="C13" s="0" t="s">
        <v>437</v>
      </c>
    </row>
    <row r="14" customFormat="false" ht="15" hidden="false" customHeight="false" outlineLevel="0" collapsed="false">
      <c r="A14" s="0" t="s">
        <v>438</v>
      </c>
      <c r="B14" s="0" t="s">
        <v>439</v>
      </c>
      <c r="C14" s="0" t="s">
        <v>440</v>
      </c>
    </row>
    <row r="15" customFormat="false" ht="15" hidden="false" customHeight="false" outlineLevel="0" collapsed="false">
      <c r="A15" s="0" t="s">
        <v>441</v>
      </c>
      <c r="B15" s="0" t="s">
        <v>442</v>
      </c>
      <c r="C15" s="0" t="s">
        <v>443</v>
      </c>
    </row>
    <row r="16" customFormat="false" ht="15" hidden="false" customHeight="false" outlineLevel="0" collapsed="false">
      <c r="A16" s="0" t="s">
        <v>444</v>
      </c>
      <c r="B16" s="0" t="s">
        <v>445</v>
      </c>
      <c r="C16" s="0" t="s">
        <v>446</v>
      </c>
    </row>
    <row r="17" customFormat="false" ht="15" hidden="false" customHeight="false" outlineLevel="0" collapsed="false">
      <c r="A17" s="0" t="s">
        <v>447</v>
      </c>
      <c r="B17" s="0" t="s">
        <v>448</v>
      </c>
      <c r="C17" s="0" t="s">
        <v>449</v>
      </c>
    </row>
    <row r="18" customFormat="false" ht="15" hidden="false" customHeight="false" outlineLevel="0" collapsed="false">
      <c r="A18" s="0" t="s">
        <v>450</v>
      </c>
      <c r="B18" s="0" t="s">
        <v>451</v>
      </c>
      <c r="C18" s="0" t="s">
        <v>452</v>
      </c>
    </row>
    <row r="19" customFormat="false" ht="15" hidden="false" customHeight="false" outlineLevel="0" collapsed="false">
      <c r="A19" s="0" t="s">
        <v>453</v>
      </c>
      <c r="B19" s="0" t="s">
        <v>454</v>
      </c>
      <c r="C19" s="0" t="s">
        <v>455</v>
      </c>
    </row>
    <row r="20" customFormat="false" ht="15" hidden="false" customHeight="false" outlineLevel="0" collapsed="false">
      <c r="A20" s="0" t="s">
        <v>456</v>
      </c>
      <c r="B20" s="0" t="s">
        <v>457</v>
      </c>
      <c r="C20" s="0" t="s">
        <v>458</v>
      </c>
    </row>
    <row r="21" customFormat="false" ht="15" hidden="false" customHeight="false" outlineLevel="0" collapsed="false">
      <c r="A21" s="0" t="s">
        <v>459</v>
      </c>
      <c r="B21" s="0" t="s">
        <v>460</v>
      </c>
      <c r="C21" s="0" t="s">
        <v>461</v>
      </c>
    </row>
    <row r="22" customFormat="false" ht="15" hidden="false" customHeight="false" outlineLevel="0" collapsed="false">
      <c r="A22" s="0" t="s">
        <v>462</v>
      </c>
      <c r="B22" s="0" t="s">
        <v>463</v>
      </c>
      <c r="C22" s="0" t="s">
        <v>464</v>
      </c>
    </row>
    <row r="23" customFormat="false" ht="15" hidden="false" customHeight="false" outlineLevel="0" collapsed="false">
      <c r="A23" s="0" t="s">
        <v>465</v>
      </c>
      <c r="B23" s="0" t="s">
        <v>466</v>
      </c>
      <c r="C23" s="0" t="s">
        <v>410</v>
      </c>
    </row>
    <row r="24" customFormat="false" ht="15" hidden="false" customHeight="false" outlineLevel="0" collapsed="false">
      <c r="A24" s="0" t="s">
        <v>467</v>
      </c>
      <c r="B24" s="0" t="s">
        <v>468</v>
      </c>
      <c r="C24" s="0" t="s">
        <v>469</v>
      </c>
    </row>
    <row r="25" customFormat="false" ht="15" hidden="false" customHeight="false" outlineLevel="0" collapsed="false">
      <c r="A25" s="0" t="s">
        <v>470</v>
      </c>
      <c r="B25" s="0" t="s">
        <v>471</v>
      </c>
      <c r="C25" s="0" t="s">
        <v>472</v>
      </c>
    </row>
    <row r="26" customFormat="false" ht="15" hidden="false" customHeight="false" outlineLevel="0" collapsed="false">
      <c r="A26" s="0" t="s">
        <v>473</v>
      </c>
      <c r="B26" s="0" t="s">
        <v>474</v>
      </c>
      <c r="C26" s="0" t="s">
        <v>475</v>
      </c>
    </row>
    <row r="27" customFormat="false" ht="15" hidden="false" customHeight="false" outlineLevel="0" collapsed="false">
      <c r="A27" s="0" t="s">
        <v>476</v>
      </c>
      <c r="B27" s="0" t="s">
        <v>477</v>
      </c>
      <c r="C27" s="0" t="s">
        <v>410</v>
      </c>
    </row>
    <row r="28" customFormat="false" ht="15" hidden="false" customHeight="false" outlineLevel="0" collapsed="false">
      <c r="A28" s="0" t="s">
        <v>478</v>
      </c>
      <c r="B28" s="0" t="s">
        <v>479</v>
      </c>
      <c r="C28" s="0" t="s">
        <v>410</v>
      </c>
    </row>
    <row r="29" customFormat="false" ht="15" hidden="false" customHeight="false" outlineLevel="0" collapsed="false">
      <c r="A29" s="0" t="s">
        <v>480</v>
      </c>
      <c r="B29" s="0" t="s">
        <v>481</v>
      </c>
      <c r="C29" s="0" t="s">
        <v>482</v>
      </c>
    </row>
    <row r="30" customFormat="false" ht="15" hidden="false" customHeight="false" outlineLevel="0" collapsed="false">
      <c r="A30" s="0" t="s">
        <v>483</v>
      </c>
      <c r="B30" s="0" t="s">
        <v>484</v>
      </c>
      <c r="C30" s="0" t="s">
        <v>485</v>
      </c>
    </row>
    <row r="31" customFormat="false" ht="15" hidden="false" customHeight="false" outlineLevel="0" collapsed="false">
      <c r="A31" s="0" t="s">
        <v>486</v>
      </c>
      <c r="B31" s="0" t="s">
        <v>487</v>
      </c>
      <c r="C31" s="0" t="s">
        <v>488</v>
      </c>
    </row>
    <row r="32" customFormat="false" ht="15" hidden="false" customHeight="false" outlineLevel="0" collapsed="false">
      <c r="A32" s="0" t="s">
        <v>489</v>
      </c>
      <c r="B32" s="0" t="s">
        <v>490</v>
      </c>
      <c r="C32" s="0" t="s">
        <v>491</v>
      </c>
    </row>
    <row r="33" customFormat="false" ht="15" hidden="false" customHeight="false" outlineLevel="0" collapsed="false">
      <c r="A33" s="0" t="s">
        <v>492</v>
      </c>
      <c r="B33" s="0" t="s">
        <v>493</v>
      </c>
      <c r="C33" s="0" t="s">
        <v>494</v>
      </c>
    </row>
    <row r="34" customFormat="false" ht="15" hidden="false" customHeight="false" outlineLevel="0" collapsed="false">
      <c r="A34" s="0" t="s">
        <v>495</v>
      </c>
      <c r="B34" s="0" t="s">
        <v>496</v>
      </c>
      <c r="C34" s="0" t="s">
        <v>497</v>
      </c>
    </row>
    <row r="35" customFormat="false" ht="15" hidden="false" customHeight="false" outlineLevel="0" collapsed="false">
      <c r="A35" s="0" t="s">
        <v>498</v>
      </c>
      <c r="B35" s="0" t="s">
        <v>499</v>
      </c>
      <c r="C35" s="0" t="s">
        <v>475</v>
      </c>
    </row>
    <row r="36" customFormat="false" ht="15" hidden="false" customHeight="false" outlineLevel="0" collapsed="false">
      <c r="A36" s="0" t="s">
        <v>500</v>
      </c>
      <c r="B36" s="0" t="s">
        <v>501</v>
      </c>
      <c r="C36" s="0" t="s">
        <v>502</v>
      </c>
    </row>
    <row r="37" customFormat="false" ht="15" hidden="false" customHeight="false" outlineLevel="0" collapsed="false">
      <c r="A37" s="0" t="s">
        <v>503</v>
      </c>
      <c r="B37" s="0" t="s">
        <v>504</v>
      </c>
      <c r="C37" s="0" t="s">
        <v>505</v>
      </c>
    </row>
    <row r="38" customFormat="false" ht="15" hidden="false" customHeight="false" outlineLevel="0" collapsed="false">
      <c r="A38" s="0" t="s">
        <v>506</v>
      </c>
      <c r="B38" s="0" t="s">
        <v>507</v>
      </c>
      <c r="C38" s="0" t="s">
        <v>508</v>
      </c>
    </row>
    <row r="39" customFormat="false" ht="15" hidden="false" customHeight="false" outlineLevel="0" collapsed="false">
      <c r="A39" s="0" t="s">
        <v>509</v>
      </c>
      <c r="B39" s="0" t="s">
        <v>510</v>
      </c>
      <c r="C39" s="0" t="s">
        <v>511</v>
      </c>
    </row>
    <row r="40" customFormat="false" ht="15" hidden="false" customHeight="false" outlineLevel="0" collapsed="false">
      <c r="A40" s="0" t="s">
        <v>512</v>
      </c>
      <c r="B40" s="0" t="s">
        <v>513</v>
      </c>
      <c r="C40" s="0" t="s">
        <v>514</v>
      </c>
    </row>
    <row r="41" customFormat="false" ht="15" hidden="false" customHeight="false" outlineLevel="0" collapsed="false">
      <c r="A41" s="0" t="s">
        <v>515</v>
      </c>
      <c r="B41" s="0" t="s">
        <v>516</v>
      </c>
      <c r="C41" s="0" t="s">
        <v>517</v>
      </c>
    </row>
    <row r="42" customFormat="false" ht="15" hidden="false" customHeight="false" outlineLevel="0" collapsed="false">
      <c r="A42" s="0" t="s">
        <v>518</v>
      </c>
      <c r="B42" s="0" t="s">
        <v>519</v>
      </c>
      <c r="C42" s="0" t="s">
        <v>520</v>
      </c>
    </row>
    <row r="43" customFormat="false" ht="15" hidden="false" customHeight="false" outlineLevel="0" collapsed="false">
      <c r="A43" s="0" t="s">
        <v>521</v>
      </c>
      <c r="B43" s="0" t="s">
        <v>522</v>
      </c>
      <c r="C43" s="0" t="s">
        <v>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4"/>
    <col collapsed="false" customWidth="true" hidden="false" outlineLevel="0" max="4" min="4" style="0" width="53"/>
  </cols>
  <sheetData>
    <row r="1" customFormat="false" ht="15" hidden="false" customHeight="false" outlineLevel="0" collapsed="false">
      <c r="A1" s="0" t="s">
        <v>524</v>
      </c>
      <c r="B1" s="0" t="s">
        <v>525</v>
      </c>
      <c r="C1" s="0" t="s">
        <v>526</v>
      </c>
      <c r="D1" s="0" t="s">
        <v>527</v>
      </c>
    </row>
    <row r="2" customFormat="false" ht="15" hidden="false" customHeight="false" outlineLevel="0" collapsed="false">
      <c r="A2" s="0" t="n">
        <v>1</v>
      </c>
      <c r="B2" s="0" t="s">
        <v>528</v>
      </c>
      <c r="C2" s="0" t="s">
        <v>529</v>
      </c>
      <c r="D2" s="0" t="s">
        <v>530</v>
      </c>
    </row>
    <row r="3" customFormat="false" ht="15" hidden="false" customHeight="false" outlineLevel="0" collapsed="false">
      <c r="A3" s="0" t="n">
        <v>2</v>
      </c>
      <c r="B3" s="0" t="s">
        <v>531</v>
      </c>
      <c r="C3" s="0" t="s">
        <v>532</v>
      </c>
      <c r="D3" s="0" t="s">
        <v>533</v>
      </c>
    </row>
    <row r="4" customFormat="false" ht="15" hidden="false" customHeight="false" outlineLevel="0" collapsed="false">
      <c r="A4" s="0" t="n">
        <v>3</v>
      </c>
      <c r="B4" s="0" t="s">
        <v>534</v>
      </c>
      <c r="C4" s="0" t="s">
        <v>68</v>
      </c>
      <c r="D4" s="0" t="s">
        <v>535</v>
      </c>
    </row>
    <row r="5" customFormat="false" ht="15" hidden="false" customHeight="false" outlineLevel="0" collapsed="false">
      <c r="A5" s="0" t="n">
        <v>4</v>
      </c>
      <c r="B5" s="0" t="s">
        <v>536</v>
      </c>
      <c r="C5" s="0" t="s">
        <v>537</v>
      </c>
      <c r="D5" s="0" t="s">
        <v>538</v>
      </c>
    </row>
    <row r="6" customFormat="false" ht="15" hidden="false" customHeight="false" outlineLevel="0" collapsed="false">
      <c r="A6" s="0" t="n">
        <v>5</v>
      </c>
      <c r="B6" s="0" t="s">
        <v>539</v>
      </c>
      <c r="C6" s="0" t="s">
        <v>540</v>
      </c>
      <c r="D6" s="0" t="s">
        <v>541</v>
      </c>
    </row>
    <row r="7" customFormat="false" ht="15" hidden="false" customHeight="false" outlineLevel="0" collapsed="false">
      <c r="A7" s="0" t="n">
        <v>6</v>
      </c>
      <c r="B7" s="0" t="s">
        <v>542</v>
      </c>
      <c r="C7" s="0" t="s">
        <v>543</v>
      </c>
      <c r="D7" s="0" t="s">
        <v>544</v>
      </c>
    </row>
    <row r="8" customFormat="false" ht="15" hidden="false" customHeight="false" outlineLevel="0" collapsed="false">
      <c r="A8" s="0" t="n">
        <v>7</v>
      </c>
      <c r="B8" s="0" t="s">
        <v>545</v>
      </c>
      <c r="C8" s="0" t="s">
        <v>546</v>
      </c>
    </row>
    <row r="9" customFormat="false" ht="15" hidden="false" customHeight="false" outlineLevel="0" collapsed="false">
      <c r="A9" s="0" t="n">
        <v>8</v>
      </c>
      <c r="B9" s="0" t="s">
        <v>547</v>
      </c>
      <c r="C9" s="0" t="s">
        <v>548</v>
      </c>
    </row>
    <row r="10" customFormat="false" ht="15" hidden="false" customHeight="false" outlineLevel="0" collapsed="false">
      <c r="A10" s="0" t="n">
        <v>9</v>
      </c>
      <c r="B10" s="0" t="s">
        <v>549</v>
      </c>
      <c r="C10" s="0" t="s">
        <v>550</v>
      </c>
    </row>
    <row r="11" customFormat="false" ht="15" hidden="false" customHeight="false" outlineLevel="0" collapsed="false">
      <c r="A11" s="0" t="n">
        <v>10</v>
      </c>
      <c r="B11" s="0" t="s">
        <v>551</v>
      </c>
      <c r="C11" s="0" t="s">
        <v>552</v>
      </c>
    </row>
    <row r="12" customFormat="false" ht="15" hidden="false" customHeight="false" outlineLevel="0" collapsed="false">
      <c r="A12" s="0" t="n">
        <v>11</v>
      </c>
      <c r="B12" s="0" t="s">
        <v>553</v>
      </c>
      <c r="C12" s="0" t="s">
        <v>532</v>
      </c>
    </row>
    <row r="13" customFormat="false" ht="15" hidden="false" customHeight="false" outlineLevel="0" collapsed="false">
      <c r="A13" s="0" t="n">
        <v>13</v>
      </c>
      <c r="B13" s="0" t="s">
        <v>554</v>
      </c>
      <c r="C13" s="0" t="s">
        <v>555</v>
      </c>
    </row>
    <row r="14" customFormat="false" ht="15" hidden="false" customHeight="false" outlineLevel="0" collapsed="false">
      <c r="A14" s="0" t="n">
        <v>14</v>
      </c>
      <c r="B14" s="0" t="s">
        <v>556</v>
      </c>
      <c r="C14" s="0" t="s">
        <v>557</v>
      </c>
    </row>
    <row r="15" customFormat="false" ht="15" hidden="false" customHeight="false" outlineLevel="0" collapsed="false">
      <c r="A15" s="0" t="n">
        <v>15</v>
      </c>
      <c r="B15" s="0" t="s">
        <v>558</v>
      </c>
      <c r="C15" s="0" t="s">
        <v>559</v>
      </c>
      <c r="D15" s="0" t="s">
        <v>544</v>
      </c>
    </row>
    <row r="16" customFormat="false" ht="15" hidden="false" customHeight="false" outlineLevel="0" collapsed="false">
      <c r="A16" s="0" t="n">
        <v>16</v>
      </c>
      <c r="B16" s="0" t="s">
        <v>560</v>
      </c>
      <c r="C16" s="0" t="s">
        <v>561</v>
      </c>
    </row>
    <row r="17" customFormat="false" ht="15" hidden="false" customHeight="false" outlineLevel="0" collapsed="false">
      <c r="A17" s="0" t="n">
        <v>17</v>
      </c>
      <c r="B17" s="0" t="s">
        <v>562</v>
      </c>
      <c r="C17" s="0" t="s">
        <v>563</v>
      </c>
      <c r="D17" s="0" t="s">
        <v>535</v>
      </c>
    </row>
    <row r="18" customFormat="false" ht="15" hidden="false" customHeight="false" outlineLevel="0" collapsed="false">
      <c r="A18" s="0" t="n">
        <v>18</v>
      </c>
      <c r="B18" s="0" t="s">
        <v>564</v>
      </c>
      <c r="C18" s="0" t="s">
        <v>565</v>
      </c>
      <c r="D18" s="0" t="s">
        <v>566</v>
      </c>
    </row>
    <row r="19" customFormat="false" ht="15" hidden="false" customHeight="false" outlineLevel="0" collapsed="false">
      <c r="A19" s="0" t="n">
        <v>19</v>
      </c>
      <c r="B19" s="0" t="s">
        <v>567</v>
      </c>
      <c r="C19" s="0" t="s">
        <v>532</v>
      </c>
      <c r="D19" s="0" t="s">
        <v>568</v>
      </c>
    </row>
    <row r="20" customFormat="false" ht="15" hidden="false" customHeight="false" outlineLevel="0" collapsed="false">
      <c r="A20" s="0" t="n">
        <v>12</v>
      </c>
      <c r="B20" s="0" t="s">
        <v>569</v>
      </c>
      <c r="C20" s="0" t="s">
        <v>570</v>
      </c>
      <c r="D20" s="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572</v>
      </c>
      <c r="B1" s="0" t="s">
        <v>573</v>
      </c>
      <c r="C1" s="0" t="s">
        <v>574</v>
      </c>
      <c r="D1" s="0" t="s">
        <v>575</v>
      </c>
    </row>
    <row r="2" customFormat="false" ht="15" hidden="false" customHeight="false" outlineLevel="0" collapsed="false">
      <c r="A2" s="0" t="s">
        <v>576</v>
      </c>
      <c r="B2" s="0" t="s">
        <v>577</v>
      </c>
      <c r="C2" s="0" t="s">
        <v>578</v>
      </c>
      <c r="D2" s="0" t="s">
        <v>579</v>
      </c>
    </row>
    <row r="3" customFormat="false" ht="15" hidden="false" customHeight="false" outlineLevel="0" collapsed="false">
      <c r="A3" s="0" t="s">
        <v>580</v>
      </c>
      <c r="B3" s="0" t="s">
        <v>581</v>
      </c>
      <c r="C3" s="0" t="s">
        <v>578</v>
      </c>
      <c r="D3" s="0" t="s">
        <v>582</v>
      </c>
    </row>
    <row r="4" customFormat="false" ht="15" hidden="false" customHeight="false" outlineLevel="0" collapsed="false">
      <c r="A4" s="0" t="s">
        <v>583</v>
      </c>
      <c r="B4" s="0" t="s">
        <v>584</v>
      </c>
      <c r="C4" s="0" t="s">
        <v>578</v>
      </c>
      <c r="D4" s="0" t="s">
        <v>585</v>
      </c>
    </row>
    <row r="5" customFormat="false" ht="15" hidden="false" customHeight="false" outlineLevel="0" collapsed="false">
      <c r="A5" s="0" t="s">
        <v>586</v>
      </c>
      <c r="B5" s="0" t="s">
        <v>587</v>
      </c>
      <c r="C5" s="0" t="s">
        <v>578</v>
      </c>
      <c r="D5" s="0" t="s">
        <v>588</v>
      </c>
    </row>
    <row r="6" customFormat="false" ht="15" hidden="false" customHeight="false" outlineLevel="0" collapsed="false">
      <c r="A6" s="0" t="s">
        <v>589</v>
      </c>
      <c r="B6" s="0" t="s">
        <v>590</v>
      </c>
      <c r="C6" s="0" t="s">
        <v>578</v>
      </c>
      <c r="D6" s="0" t="s">
        <v>591</v>
      </c>
    </row>
    <row r="7" customFormat="false" ht="15" hidden="false" customHeight="false" outlineLevel="0" collapsed="false">
      <c r="A7" s="0" t="s">
        <v>592</v>
      </c>
      <c r="B7" s="0" t="s">
        <v>593</v>
      </c>
      <c r="C7" s="0" t="s">
        <v>578</v>
      </c>
      <c r="D7" s="0" t="s">
        <v>594</v>
      </c>
    </row>
    <row r="8" customFormat="false" ht="15" hidden="false" customHeight="false" outlineLevel="0" collapsed="false">
      <c r="A8" s="0" t="s">
        <v>595</v>
      </c>
      <c r="B8" s="0" t="s">
        <v>596</v>
      </c>
      <c r="C8" s="0" t="s">
        <v>578</v>
      </c>
      <c r="D8" s="0" t="s">
        <v>597</v>
      </c>
    </row>
    <row r="9" customFormat="false" ht="15" hidden="false" customHeight="false" outlineLevel="0" collapsed="false">
      <c r="A9" s="0" t="s">
        <v>598</v>
      </c>
      <c r="B9" s="0" t="s">
        <v>599</v>
      </c>
      <c r="C9" s="0" t="s">
        <v>578</v>
      </c>
      <c r="D9" s="0" t="s">
        <v>600</v>
      </c>
    </row>
    <row r="10" customFormat="false" ht="15" hidden="false" customHeight="false" outlineLevel="0" collapsed="false">
      <c r="A10" s="0" t="s">
        <v>601</v>
      </c>
      <c r="B10" s="0" t="s">
        <v>602</v>
      </c>
      <c r="C10" s="0" t="s">
        <v>578</v>
      </c>
      <c r="D10" s="0" t="s">
        <v>603</v>
      </c>
    </row>
    <row r="11" customFormat="false" ht="15" hidden="false" customHeight="false" outlineLevel="0" collapsed="false">
      <c r="A11" s="0" t="s">
        <v>604</v>
      </c>
      <c r="B11" s="0" t="s">
        <v>605</v>
      </c>
      <c r="C11" s="0" t="s">
        <v>578</v>
      </c>
      <c r="D11" s="0" t="s">
        <v>606</v>
      </c>
    </row>
    <row r="12" customFormat="false" ht="15" hidden="false" customHeight="false" outlineLevel="0" collapsed="false">
      <c r="A12" s="0" t="s">
        <v>607</v>
      </c>
      <c r="B12" s="0" t="s">
        <v>608</v>
      </c>
      <c r="C12" s="0" t="s">
        <v>578</v>
      </c>
      <c r="D12" s="0" t="s">
        <v>609</v>
      </c>
    </row>
    <row r="13" customFormat="false" ht="15" hidden="false" customHeight="false" outlineLevel="0" collapsed="false">
      <c r="A13" s="0" t="s">
        <v>610</v>
      </c>
      <c r="B13" s="0" t="s">
        <v>611</v>
      </c>
      <c r="C13" s="0" t="s">
        <v>578</v>
      </c>
      <c r="D13" s="0" t="s">
        <v>612</v>
      </c>
    </row>
    <row r="14" customFormat="false" ht="15" hidden="false" customHeight="false" outlineLevel="0" collapsed="false">
      <c r="A14" s="0" t="s">
        <v>613</v>
      </c>
      <c r="B14" s="0" t="s">
        <v>614</v>
      </c>
      <c r="C14" s="0" t="s">
        <v>578</v>
      </c>
      <c r="D14" s="0" t="s">
        <v>615</v>
      </c>
    </row>
    <row r="15" customFormat="false" ht="15" hidden="false" customHeight="false" outlineLevel="0" collapsed="false">
      <c r="A15" s="0" t="s">
        <v>616</v>
      </c>
      <c r="B15" s="0" t="s">
        <v>617</v>
      </c>
      <c r="C15" s="0" t="s">
        <v>578</v>
      </c>
      <c r="D15" s="0" t="s">
        <v>618</v>
      </c>
    </row>
    <row r="16" customFormat="false" ht="15" hidden="false" customHeight="false" outlineLevel="0" collapsed="false">
      <c r="A16" s="0" t="s">
        <v>619</v>
      </c>
      <c r="B16" s="0" t="s">
        <v>620</v>
      </c>
      <c r="C16" s="0" t="s">
        <v>578</v>
      </c>
      <c r="D16" s="0" t="s">
        <v>621</v>
      </c>
    </row>
    <row r="17" customFormat="false" ht="15" hidden="false" customHeight="false" outlineLevel="0" collapsed="false">
      <c r="A17" s="0" t="s">
        <v>622</v>
      </c>
      <c r="B17" s="0" t="s">
        <v>623</v>
      </c>
      <c r="C17" s="0" t="s">
        <v>578</v>
      </c>
      <c r="D17" s="0" t="s">
        <v>624</v>
      </c>
    </row>
    <row r="18" customFormat="false" ht="15" hidden="false" customHeight="false" outlineLevel="0" collapsed="false">
      <c r="A18" s="0" t="s">
        <v>625</v>
      </c>
      <c r="B18" s="0" t="s">
        <v>626</v>
      </c>
      <c r="C18" s="0" t="s">
        <v>578</v>
      </c>
      <c r="D18" s="0" t="s">
        <v>627</v>
      </c>
    </row>
    <row r="19" customFormat="false" ht="15" hidden="false" customHeight="false" outlineLevel="0" collapsed="false">
      <c r="A19" s="0" t="s">
        <v>628</v>
      </c>
      <c r="B19" s="0" t="s">
        <v>629</v>
      </c>
      <c r="C19" s="0" t="s">
        <v>578</v>
      </c>
      <c r="D19" s="0" t="s">
        <v>630</v>
      </c>
    </row>
    <row r="20" customFormat="false" ht="15" hidden="false" customHeight="false" outlineLevel="0" collapsed="false">
      <c r="A20" s="0" t="s">
        <v>631</v>
      </c>
      <c r="B20" s="0" t="s">
        <v>632</v>
      </c>
      <c r="C20" s="0" t="s">
        <v>578</v>
      </c>
      <c r="D20" s="0" t="s">
        <v>633</v>
      </c>
    </row>
    <row r="21" customFormat="false" ht="15" hidden="false" customHeight="false" outlineLevel="0" collapsed="false">
      <c r="A21" s="0" t="s">
        <v>634</v>
      </c>
      <c r="B21" s="0" t="s">
        <v>635</v>
      </c>
      <c r="C21" s="0" t="s">
        <v>578</v>
      </c>
      <c r="D21" s="0" t="s">
        <v>636</v>
      </c>
    </row>
    <row r="22" customFormat="false" ht="15" hidden="false" customHeight="false" outlineLevel="0" collapsed="false">
      <c r="A22" s="0" t="s">
        <v>637</v>
      </c>
      <c r="B22" s="0" t="s">
        <v>638</v>
      </c>
      <c r="C22" s="0" t="s">
        <v>639</v>
      </c>
      <c r="D22" s="0" t="s">
        <v>640</v>
      </c>
    </row>
    <row r="23" customFormat="false" ht="15" hidden="false" customHeight="false" outlineLevel="0" collapsed="false">
      <c r="A23" s="0" t="s">
        <v>641</v>
      </c>
      <c r="B23" s="0" t="s">
        <v>642</v>
      </c>
      <c r="C23" s="0" t="s">
        <v>639</v>
      </c>
      <c r="D23" s="0" t="s">
        <v>643</v>
      </c>
    </row>
    <row r="24" customFormat="false" ht="15" hidden="false" customHeight="false" outlineLevel="0" collapsed="false">
      <c r="A24" s="0" t="s">
        <v>644</v>
      </c>
      <c r="B24" s="0" t="s">
        <v>645</v>
      </c>
      <c r="C24" s="0" t="s">
        <v>578</v>
      </c>
      <c r="D24" s="0" t="s">
        <v>646</v>
      </c>
    </row>
    <row r="25" customFormat="false" ht="15" hidden="false" customHeight="false" outlineLevel="0" collapsed="false">
      <c r="A25" s="0" t="s">
        <v>647</v>
      </c>
      <c r="B25" s="0" t="s">
        <v>648</v>
      </c>
      <c r="C25" s="0" t="s">
        <v>399</v>
      </c>
      <c r="D25" s="0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2026-10-16T21:54:50Z</dcterms:created>
  <dc:creator>openpyxl</dc:creator>
  <dc:description/>
  <dc:language>en-US</dc:language>
  <cp:lastModifiedBy/>
  <dcterms:modified xsi:type="dcterms:W3CDTF">2026-10-16T21:54:51Z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