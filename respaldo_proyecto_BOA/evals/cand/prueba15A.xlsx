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<sst xmlns="http://schemas.openxmlformats.org/spreadsheetml/2006/main" count="1184" uniqueCount="734">
  <si>
    <t xml:space="preserve">Bank of America - Broomfield, CO (CO1-111)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</si>
  <si>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</si>
  <si>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</si>
  <si>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</si>
  <si>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</si>
  <si>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</si>
  <si>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</si>
  <si>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</si>
  <si>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</si>
  <si>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</si>
  <si>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</si>
  <si>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</si>
  <si>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</si>
  <si>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</si>
  <si>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</si>
  <si>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</si>
  <si>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</si>
  <si>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</si>
  <si>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</si>
  <si>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</si>
  <si>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</si>
  <si>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</si>
  <si>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</si>
  <si>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</si>
  <si>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</si>
  <si>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</si>
  <si>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</si>
  <si>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</si>
  <si>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G1</t>
  </si>
  <si>
    <t xml:space="preserve">G1  #I1  -  105 / 106</t>
  </si>
  <si>
    <t xml:space="preserve">I1</t>
  </si>
  <si>
    <t xml:space="preserve">1-5/8"</t>
  </si>
  <si>
    <t xml:space="preserve">105 / 106</t>
  </si>
  <si>
    <t xml:space="preserve">A02.01; 5/A12.01</t>
  </si>
  <si>
    <t xml:space="preserve">[CONFIRMADO]</t>
  </si>
  <si>
    <t xml:space="preserve">G1  #WS1  -  103 / 109</t>
  </si>
  <si>
    <t xml:space="preserve">WS1</t>
  </si>
  <si>
    <t xml:space="preserve">103 / 109</t>
  </si>
  <si>
    <t xml:space="preserve">A02.01; 10/A12.01</t>
  </si>
  <si>
    <t xml:space="preserve">[DERIVADO]</t>
  </si>
  <si>
    <t xml:space="preserve">G1  #WS2  -  103 / 109</t>
  </si>
  <si>
    <t xml:space="preserve">WS2</t>
  </si>
  <si>
    <t xml:space="preserve">G1  #WS3  -  103 / 110</t>
  </si>
  <si>
    <t xml:space="preserve">WS3</t>
  </si>
  <si>
    <t xml:space="preserve">103 / 110</t>
  </si>
  <si>
    <t xml:space="preserve">TYPE G</t>
  </si>
  <si>
    <t xml:space="preserve">G  #I2  -  106 / 107</t>
  </si>
  <si>
    <t xml:space="preserve">I2</t>
  </si>
  <si>
    <t xml:space="preserve">106 / 107</t>
  </si>
  <si>
    <t xml:space="preserve">G  #I3  -  107 / 108</t>
  </si>
  <si>
    <t xml:space="preserve">I3</t>
  </si>
  <si>
    <t xml:space="preserve">107 / 108</t>
  </si>
  <si>
    <t xml:space="preserve">G  #I4  -  108 / 116</t>
  </si>
  <si>
    <t xml:space="preserve">I4</t>
  </si>
  <si>
    <t xml:space="preserve">108 / 116</t>
  </si>
  <si>
    <t xml:space="preserve">G  #ES1  -  103 / 105</t>
  </si>
  <si>
    <t xml:space="preserve">ES1</t>
  </si>
  <si>
    <t xml:space="preserve">103 / 105</t>
  </si>
  <si>
    <t xml:space="preserve">G  #ES2  -  103 / 106</t>
  </si>
  <si>
    <t xml:space="preserve">ES2</t>
  </si>
  <si>
    <t xml:space="preserve">103 / 106</t>
  </si>
  <si>
    <t xml:space="preserve">G  #ES3  -  103 / 107</t>
  </si>
  <si>
    <t xml:space="preserve">ES3</t>
  </si>
  <si>
    <t xml:space="preserve">103 / 107</t>
  </si>
  <si>
    <t xml:space="preserve">G  #ES4  -  103 / 108</t>
  </si>
  <si>
    <t xml:space="preserve">ES4</t>
  </si>
  <si>
    <t xml:space="preserve">103 / 108</t>
  </si>
  <si>
    <t xml:space="preserve">G  #ES5  -  103 / 108</t>
  </si>
  <si>
    <t xml:space="preserve">ES5</t>
  </si>
  <si>
    <t xml:space="preserve">G  #G19  -  102 / 109</t>
  </si>
  <si>
    <t xml:space="preserve">G19</t>
  </si>
  <si>
    <t xml:space="preserve">102 / 109</t>
  </si>
  <si>
    <t xml:space="preserve">G  #G34  -  109 / 110</t>
  </si>
  <si>
    <t xml:space="preserve">G34</t>
  </si>
  <si>
    <t xml:space="preserve">109 / 110</t>
  </si>
  <si>
    <t xml:space="preserve">G  #G45  -  110 / 114</t>
  </si>
  <si>
    <t xml:space="preserve">G45</t>
  </si>
  <si>
    <t xml:space="preserve">110 / 114</t>
  </si>
  <si>
    <t xml:space="preserve">TYPE B2</t>
  </si>
  <si>
    <t xml:space="preserve">B2  #ATM-E  -  102 / 103</t>
  </si>
  <si>
    <t xml:space="preserve">ATM-E</t>
  </si>
  <si>
    <t xml:space="preserve">6"</t>
  </si>
  <si>
    <t xml:space="preserve">102 / 103</t>
  </si>
  <si>
    <t xml:space="preserve">A02.01; 1/A12.01</t>
  </si>
  <si>
    <t xml:space="preserve">B2  #B2-WR  -  118 / 119</t>
  </si>
  <si>
    <t xml:space="preserve">B2-WR</t>
  </si>
  <si>
    <t xml:space="preserve">118 / 119</t>
  </si>
  <si>
    <t xml:space="preserve">B2  #R-E1  -  114 / 111</t>
  </si>
  <si>
    <t xml:space="preserve">R-E1</t>
  </si>
  <si>
    <t xml:space="preserve">114 / 111</t>
  </si>
  <si>
    <t xml:space="preserve">B2  #R-E2  -  113 / 111</t>
  </si>
  <si>
    <t xml:space="preserve">R-E2</t>
  </si>
  <si>
    <t xml:space="preserve">113 / 111</t>
  </si>
  <si>
    <t xml:space="preserve">TYPE F</t>
  </si>
  <si>
    <t xml:space="preserve">F  #F  -  101 ATM lobby / 102 ATM room</t>
  </si>
  <si>
    <t xml:space="preserve">F</t>
  </si>
  <si>
    <t xml:space="preserve">3-5/8"</t>
  </si>
  <si>
    <t xml:space="preserve">101 ATM lobby / 102 ATM room</t>
  </si>
  <si>
    <t xml:space="preserve">A02.01; 12/A12.01; 1/A08.11; 4/A08.11</t>
  </si>
  <si>
    <t xml:space="preserve">TYPE A1</t>
  </si>
  <si>
    <t xml:space="preserve">A1  #CC-N  -  104 / 122</t>
  </si>
  <si>
    <t xml:space="preserve">CC-N</t>
  </si>
  <si>
    <t xml:space="preserve">104 / 122</t>
  </si>
  <si>
    <t xml:space="preserve">A02.01; 3/A12.01</t>
  </si>
  <si>
    <t xml:space="preserve">A1  #MW-E  -  122 / MW01</t>
  </si>
  <si>
    <t xml:space="preserve">MW-E</t>
  </si>
  <si>
    <t xml:space="preserve">122 / MW01</t>
  </si>
  <si>
    <t xml:space="preserve">A1  #MW-S  -  MW01 / 122</t>
  </si>
  <si>
    <t xml:space="preserve">MW-S</t>
  </si>
  <si>
    <t xml:space="preserve">MW01 / 122</t>
  </si>
  <si>
    <t xml:space="preserve">A1  #CC-S  -  122 / 118</t>
  </si>
  <si>
    <t xml:space="preserve">CC-S</t>
  </si>
  <si>
    <t xml:space="preserve">122 / 118</t>
  </si>
  <si>
    <t xml:space="preserve">A02.01 15'-9 3/4"; 3/A12.01</t>
  </si>
  <si>
    <t xml:space="preserve">A1  #CORR-N  -  103 / 111</t>
  </si>
  <si>
    <t xml:space="preserve">CORR-N</t>
  </si>
  <si>
    <t xml:space="preserve">103 / 111</t>
  </si>
  <si>
    <t xml:space="preserve">A1  #CORR-E  -  111 / 120</t>
  </si>
  <si>
    <t xml:space="preserve">CORR-E</t>
  </si>
  <si>
    <t xml:space="preserve">111 / 120</t>
  </si>
  <si>
    <t xml:space="preserve">A1  #BR-V  -  CZ / 118</t>
  </si>
  <si>
    <t xml:space="preserve">BR-V</t>
  </si>
  <si>
    <t xml:space="preserve">CZ / 118</t>
  </si>
  <si>
    <t xml:space="preserve">A1  #BR-N  -  CZ / 118</t>
  </si>
  <si>
    <t xml:space="preserve">BR-N</t>
  </si>
  <si>
    <t xml:space="preserve">A1  #WR-N  -  116 / 119</t>
  </si>
  <si>
    <t xml:space="preserve">WR-N</t>
  </si>
  <si>
    <t xml:space="preserve">116 / 119</t>
  </si>
  <si>
    <t xml:space="preserve">A02.01 11'-8"; 3/A12.01</t>
  </si>
  <si>
    <t xml:space="preserve">A1  #RC-N  -  114 / 111</t>
  </si>
  <si>
    <t xml:space="preserve">RC-N</t>
  </si>
  <si>
    <t xml:space="preserve">A1  #RC-W  -  111 / 114 / 113 (2.994 of 4.073 ft)</t>
  </si>
  <si>
    <t xml:space="preserve">RC-W</t>
  </si>
  <si>
    <t xml:space="preserve">111 / 114 / 113 (2.994 of 4.073 ft)</t>
  </si>
  <si>
    <t xml:space="preserve">A1  #RC-S  -  113 / 111</t>
  </si>
  <si>
    <t xml:space="preserve">RC-S</t>
  </si>
  <si>
    <t xml:space="preserve">TYPE C1</t>
  </si>
  <si>
    <t xml:space="preserve">C1  #C1-CC  -  104</t>
  </si>
  <si>
    <t xml:space="preserve">C1-CC</t>
  </si>
  <si>
    <t xml:space="preserve">104</t>
  </si>
  <si>
    <t xml:space="preserve">A02.01 10'-0"; 6/A12.01</t>
  </si>
  <si>
    <t xml:space="preserve">C1  #C1-FCAM  -  CZ</t>
  </si>
  <si>
    <t xml:space="preserve">C1-FCAM</t>
  </si>
  <si>
    <t xml:space="preserve">CZ</t>
  </si>
  <si>
    <t xml:space="preserve">A02.01; 6/A12.01</t>
  </si>
  <si>
    <t xml:space="preserve">C1  #C1-N  -  114</t>
  </si>
  <si>
    <t xml:space="preserve">C1-N</t>
  </si>
  <si>
    <t xml:space="preserve">114</t>
  </si>
  <si>
    <t xml:space="preserve">A02.01; 6/A12.01; F/A08.01</t>
  </si>
  <si>
    <t xml:space="preserve">C1  #C1-S  -  113</t>
  </si>
  <si>
    <t xml:space="preserve">C1-S</t>
  </si>
  <si>
    <t xml:space="preserve">113</t>
  </si>
  <si>
    <t xml:space="preserve">C1  #COL-N  -  column wrap</t>
  </si>
  <si>
    <t xml:space="preserve">COL-N</t>
  </si>
  <si>
    <t xml:space="preserve">column wrap</t>
  </si>
  <si>
    <t xml:space="preserve">3/A08.21; A02.01 C1</t>
  </si>
  <si>
    <t xml:space="preserve">C1  #COL-S  -  column wrap</t>
  </si>
  <si>
    <t xml:space="preserve">COL-S</t>
  </si>
  <si>
    <t xml:space="preserve">TYPE A5</t>
  </si>
  <si>
    <t xml:space="preserve">A5  #CC-E1  -  122 / 103 (7.552 ft) / CZ (7.523 ft)</t>
  </si>
  <si>
    <t xml:space="preserve">CC-E1</t>
  </si>
  <si>
    <t xml:space="preserve">122 / 103 (7.552 ft) / CZ (7.523 ft)</t>
  </si>
  <si>
    <t xml:space="preserve">A02.01 19'-0"; 3/A12.01</t>
  </si>
  <si>
    <t xml:space="preserve">A5  #CC-E2  -  122 / CZ</t>
  </si>
  <si>
    <t xml:space="preserve">CC-E2</t>
  </si>
  <si>
    <t xml:space="preserve">122 / CZ</t>
  </si>
  <si>
    <t xml:space="preserve">A5  #CC-W1  -  103 / 122</t>
  </si>
  <si>
    <t xml:space="preserve">CC-W1</t>
  </si>
  <si>
    <t xml:space="preserve">103 / 122</t>
  </si>
  <si>
    <t xml:space="preserve">A5  #CC-W2  -  111 / 122</t>
  </si>
  <si>
    <t xml:space="preserve">CC-W2</t>
  </si>
  <si>
    <t xml:space="preserve">111 / 122</t>
  </si>
  <si>
    <t xml:space="preserve">A5  #CW-W  -  118 / 116</t>
  </si>
  <si>
    <t xml:space="preserve">CW-W</t>
  </si>
  <si>
    <t xml:space="preserve">118 / 116</t>
  </si>
  <si>
    <t xml:space="preserve">TYPE B</t>
  </si>
  <si>
    <t xml:space="preserve">B  #ELEC-N  -  118 / 120</t>
  </si>
  <si>
    <t xml:space="preserve">ELEC-N</t>
  </si>
  <si>
    <t xml:space="preserve">118 / 120</t>
  </si>
  <si>
    <t xml:space="preserve">A02.01 9'-7"; 1/A12.01</t>
  </si>
  <si>
    <t xml:space="preserve">B  #ELEC-M  -  120 / 121</t>
  </si>
  <si>
    <t xml:space="preserve">ELEC-M</t>
  </si>
  <si>
    <t xml:space="preserve">120 / 121</t>
  </si>
  <si>
    <t xml:space="preserve">B  #ELEC-E  -  120 / 118</t>
  </si>
  <si>
    <t xml:space="preserve">ELEC-E</t>
  </si>
  <si>
    <t xml:space="preserve">120 / 118</t>
  </si>
  <si>
    <t xml:space="preserve">A02.01 5'-10" y 7'-6"; 1/A12.01</t>
  </si>
  <si>
    <t xml:space="preserve">B  #J-N  -  113 / 112</t>
  </si>
  <si>
    <t xml:space="preserve">J-N</t>
  </si>
  <si>
    <t xml:space="preserve">113 / 112</t>
  </si>
  <si>
    <t xml:space="preserve">B  #J-ST  -  112 / 117</t>
  </si>
  <si>
    <t xml:space="preserve">J-ST</t>
  </si>
  <si>
    <t xml:space="preserve">112 / 117</t>
  </si>
  <si>
    <t xml:space="preserve">B  #J-W  -  112 / 115</t>
  </si>
  <si>
    <t xml:space="preserve">J-W</t>
  </si>
  <si>
    <t xml:space="preserve">112 / 115</t>
  </si>
  <si>
    <t xml:space="preserve">TYPE B2K</t>
  </si>
  <si>
    <t xml:space="preserve">B2K  #B2K  -  116 teller side / 108 customer side</t>
  </si>
  <si>
    <t xml:space="preserve">B2K</t>
  </si>
  <si>
    <t xml:space="preserve">116 teller side / 108 customer side</t>
  </si>
  <si>
    <t xml:space="preserve">A02.01; 4/A12.01</t>
  </si>
  <si>
    <t xml:space="preserve">TYPE A1K</t>
  </si>
  <si>
    <t xml:space="preserve">A1K  #A1K-T  -  116 teller side / 108 customer side</t>
  </si>
  <si>
    <t xml:space="preserve">A1K-T</t>
  </si>
  <si>
    <t xml:space="preserve">A02.01 3'-5"; 4/A12.01</t>
  </si>
  <si>
    <t xml:space="preserve">A1K  #A1K-B  -  116 teller side / CZ customer side</t>
  </si>
  <si>
    <t xml:space="preserve">A1K-B</t>
  </si>
  <si>
    <t xml:space="preserve">116 teller side / CZ customer side</t>
  </si>
  <si>
    <t xml:space="preserve">A1K  #A1K-BL  -  116 teller side / CZ customer side</t>
  </si>
  <si>
    <t xml:space="preserve">A1K-BL</t>
  </si>
  <si>
    <t xml:space="preserve">A1K  #A1K-JSW  -  116 teller side / customer side (jog)</t>
  </si>
  <si>
    <t xml:space="preserve">A1K-JSW</t>
  </si>
  <si>
    <t xml:space="preserve">116 teller side / customer side (jog)</t>
  </si>
  <si>
    <t xml:space="preserve">A02.01; 4/A12.01 (E5 jog del contorno)</t>
  </si>
  <si>
    <t xml:space="preserve">A1K  #A1K-JNW  -  116 teller side / customer side (jog)</t>
  </si>
  <si>
    <t xml:space="preserve">A1K-JNW</t>
  </si>
  <si>
    <t xml:space="preserve">TYPE VEST</t>
  </si>
  <si>
    <t xml:space="preserve">VEST  #VH-1  -  vestibule_head</t>
  </si>
  <si>
    <t xml:space="preserve">VH-1</t>
  </si>
  <si>
    <t xml:space="preserve">vestibule_head</t>
  </si>
  <si>
    <t xml:space="preserve">4/A12.10; 7/A12.10; 1/A12.10</t>
  </si>
  <si>
    <t xml:space="preserve">VEST  #VH-2  -  103</t>
  </si>
  <si>
    <t xml:space="preserve">VH-2</t>
  </si>
  <si>
    <t xml:space="preserve">103</t>
  </si>
  <si>
    <t xml:space="preserve">1/A12.10 3'-4" + 3'-1"; 4/A12.10; 7/A12.10</t>
  </si>
  <si>
    <t xml:space="preserve">TYPE GRILLE</t>
  </si>
  <si>
    <t xml:space="preserve">GRILLE  #GH  -  103</t>
  </si>
  <si>
    <t xml:space="preserve">GH</t>
  </si>
  <si>
    <t xml:space="preserve">2-1/2"</t>
  </si>
  <si>
    <t xml:space="preserve">4/A08.21; 1/A08.21 13'-4" R.O.</t>
  </si>
  <si>
    <t xml:space="preserve">TYPE BULK</t>
  </si>
  <si>
    <t xml:space="preserve">BULK  #DB-E1  -  105 / 103</t>
  </si>
  <si>
    <t xml:space="preserve">DB-E1</t>
  </si>
  <si>
    <t xml:space="preserve">105 / 103</t>
  </si>
  <si>
    <t xml:space="preserve">8/A12.01; 9/A12.01; 2/A11.01 HOLD 8'-0 1/2"; A02.01 7'-6" HOLD</t>
  </si>
  <si>
    <t xml:space="preserve">BULK  #DB-E2  -  106 / 103</t>
  </si>
  <si>
    <t xml:space="preserve">DB-E2</t>
  </si>
  <si>
    <t xml:space="preserve">106 / 103</t>
  </si>
  <si>
    <t xml:space="preserve">BULK  #DB-E3  -  107 / 103</t>
  </si>
  <si>
    <t xml:space="preserve">DB-E3</t>
  </si>
  <si>
    <t xml:space="preserve">107 / 103</t>
  </si>
  <si>
    <t xml:space="preserve">BULK  #DB-E4  -  108 / 103</t>
  </si>
  <si>
    <t xml:space="preserve">DB-E4</t>
  </si>
  <si>
    <t xml:space="preserve">108 / 103</t>
  </si>
  <si>
    <t xml:space="preserve">BULK  #DB-W1  -  109 / 103</t>
  </si>
  <si>
    <t xml:space="preserve">DB-W1</t>
  </si>
  <si>
    <t xml:space="preserve">109 / 103</t>
  </si>
  <si>
    <t xml:space="preserve">BULK  #DB-W2  -  110 / 103</t>
  </si>
  <si>
    <t xml:space="preserve">DB-W2</t>
  </si>
  <si>
    <t xml:space="preserve">110 / 103</t>
  </si>
  <si>
    <t xml:space="preserve">TYPE EXT</t>
  </si>
  <si>
    <t xml:space="preserve">EXT  #X-S1  -  105 Office 1 ME</t>
  </si>
  <si>
    <t xml:space="preserve">X-S1</t>
  </si>
  <si>
    <t xml:space="preserve">105 Office 1 ME</t>
  </si>
  <si>
    <t xml:space="preserve">C/A09.21; A02.01</t>
  </si>
  <si>
    <t xml:space="preserve">EXT  #X-S-SF  -  103 Central Zone (above storefront)</t>
  </si>
  <si>
    <t xml:space="preserve">X-S-SF</t>
  </si>
  <si>
    <t xml:space="preserve">103 Central Zone (above storefront)</t>
  </si>
  <si>
    <t xml:space="preserve">A02.01; 2/A09.26; S2.20</t>
  </si>
  <si>
    <t xml:space="preserve">EXT  #X-S-SFG  -  100 Vestibule (above storefront)</t>
  </si>
  <si>
    <t xml:space="preserve">X-S-SFG</t>
  </si>
  <si>
    <t xml:space="preserve">100 Vestibule (above storefront)</t>
  </si>
  <si>
    <t xml:space="preserve">A02.01; A/A09.21; 2/A09.26; S2.20</t>
  </si>
  <si>
    <t xml:space="preserve">EXT  #X-S-P1  -  pier</t>
  </si>
  <si>
    <t xml:space="preserve">X-S-P1</t>
  </si>
  <si>
    <t xml:space="preserve">pier</t>
  </si>
  <si>
    <t xml:space="preserve">1/A09.25; A02.01</t>
  </si>
  <si>
    <t xml:space="preserve">EXT  #X-S-P2  -  pier</t>
  </si>
  <si>
    <t xml:space="preserve">X-S-P2</t>
  </si>
  <si>
    <t xml:space="preserve">2/A09.25; A02.01</t>
  </si>
  <si>
    <t xml:space="preserve">EXT  #X-E1  -  105-108 Offices, 116 Cash Window</t>
  </si>
  <si>
    <t xml:space="preserve">X-E1</t>
  </si>
  <si>
    <t xml:space="preserve">105-108 Offices, 116 Cash Window</t>
  </si>
  <si>
    <t xml:space="preserve">D/A09.22; A02.01</t>
  </si>
  <si>
    <t xml:space="preserve">EXT  #X-E2  -  116 Cash Window, 119 Work Room</t>
  </si>
  <si>
    <t xml:space="preserve">X-E2</t>
  </si>
  <si>
    <t xml:space="preserve">116 Cash Window, 119 Work Room</t>
  </si>
  <si>
    <t xml:space="preserve">E/A09.22; A02.01</t>
  </si>
  <si>
    <t xml:space="preserve">EXT  #X-N2  -  118 Break Room, 119 Work Room</t>
  </si>
  <si>
    <t xml:space="preserve">X-N2</t>
  </si>
  <si>
    <t xml:space="preserve">118 Break Room, 119 Work Room</t>
  </si>
  <si>
    <t xml:space="preserve">F/A09.22; A02.01</t>
  </si>
  <si>
    <t xml:space="preserve">EXT  #X-N1  -  115 Wellness, 117, 120, 121 NER</t>
  </si>
  <si>
    <t xml:space="preserve">X-N1</t>
  </si>
  <si>
    <t xml:space="preserve">115 Wellness, 117, 120, 121 NER</t>
  </si>
  <si>
    <t xml:space="preserve">EXT  #X-W4  -  114, 113 Restrooms, 112 Janitor, 115 Wellness</t>
  </si>
  <si>
    <t xml:space="preserve">X-W4</t>
  </si>
  <si>
    <t xml:space="preserve">114, 113 Restrooms, 112 Janitor, 115 Wellness</t>
  </si>
  <si>
    <t xml:space="preserve">A02.01; E/A09.22; 12/A09.27</t>
  </si>
  <si>
    <t xml:space="preserve">EXT  #X-W3  -  109 Office 5, 110 Office 6</t>
  </si>
  <si>
    <t xml:space="preserve">X-W3</t>
  </si>
  <si>
    <t xml:space="preserve">109 Office 5, 110 Office 6</t>
  </si>
  <si>
    <t xml:space="preserve">H/A09.23; A02.01</t>
  </si>
  <si>
    <t xml:space="preserve">EXT  #X-WD  -  102 ATM Room</t>
  </si>
  <si>
    <t xml:space="preserve">X-WD</t>
  </si>
  <si>
    <t xml:space="preserve">102 ATM Room</t>
  </si>
  <si>
    <t xml:space="preserve">A02.01; H/A09.23</t>
  </si>
  <si>
    <t xml:space="preserve">EXT  #X-W2  -  101 24 HR Vestibule, 102 ATM Room</t>
  </si>
  <si>
    <t xml:space="preserve">X-W2</t>
  </si>
  <si>
    <t xml:space="preserve">101 24 HR Vestibule, 102 ATM Room</t>
  </si>
  <si>
    <t xml:space="preserve">A02.01; J/A09.23; 7/A08.11</t>
  </si>
  <si>
    <t xml:space="preserve">EXT  #X-W-SF  -  100 Vestibule (above storefront)</t>
  </si>
  <si>
    <t xml:space="preserve">X-W-SF</t>
  </si>
  <si>
    <t xml:space="preserve">A02.01; S2.20; 2/A09.26</t>
  </si>
  <si>
    <t xml:space="preserve">TYPE ROOF STEP</t>
  </si>
  <si>
    <t xml:space="preserve">ROOF STEP  #X-RS1  -  roof_step</t>
  </si>
  <si>
    <t xml:space="preserve">X-RS1</t>
  </si>
  <si>
    <t xml:space="preserve">roof_step</t>
  </si>
  <si>
    <t xml:space="preserve">4/A02.02; A02.02</t>
  </si>
  <si>
    <t xml:space="preserve">ROOF STEP  #X-RS2  -  roof step box (high side face)</t>
  </si>
  <si>
    <t xml:space="preserve">X-RS2</t>
  </si>
  <si>
    <t xml:space="preserve">roof step box (high side face)</t>
  </si>
  <si>
    <t xml:space="preserve">ROOF STEP  #X-RS3  -  roof step box (low side face) / roof step box soffit bottom 15.5" (4/A02.02 medido 340.9-&gt;480.4 pt)</t>
  </si>
  <si>
    <t xml:space="preserve">X-RS3</t>
  </si>
  <si>
    <t xml:space="preserve">roof step box (low side face) / roof step box soffit bottom 15.5" (4/A02.02 medido 340.9-&gt;480.4 pt)</t>
  </si>
  <si>
    <t xml:space="preserve">TYPE PARAPET</t>
  </si>
  <si>
    <t xml:space="preserve">PARAPET  #X-PAR-W2  -  parapet</t>
  </si>
  <si>
    <t xml:space="preserve">X-PAR-W2</t>
  </si>
  <si>
    <t xml:space="preserve">6" parapet</t>
  </si>
  <si>
    <t xml:space="preserve">parapet</t>
  </si>
  <si>
    <t xml:space="preserve">11/S5.10; B/A09.21; J/A09.23</t>
  </si>
  <si>
    <t xml:space="preserve">PARAPET  #X-PAR-S2  -  parapet</t>
  </si>
  <si>
    <t xml:space="preserve">X-PAR-S2</t>
  </si>
  <si>
    <t xml:space="preserve">11/S5.10; A/A09.21</t>
  </si>
  <si>
    <t xml:space="preserve">PARAPET  #X-PAR-S2R  -  parapet</t>
  </si>
  <si>
    <t xml:space="preserve">X-PAR-S2R</t>
  </si>
  <si>
    <t xml:space="preserve">11/S5.10; A02.02</t>
  </si>
  <si>
    <t xml:space="preserve">PARAPET  #X-PAR-S1  -  parapet</t>
  </si>
  <si>
    <t xml:space="preserve">X-PAR-S1</t>
  </si>
  <si>
    <t xml:space="preserve">11/S5.10; C/A09.21</t>
  </si>
  <si>
    <t xml:space="preserve">PARAPET  #X-PAR-E1  -  parapet</t>
  </si>
  <si>
    <t xml:space="preserve">X-PAR-E1</t>
  </si>
  <si>
    <t xml:space="preserve">11/S5.10; D/A09.22</t>
  </si>
  <si>
    <t xml:space="preserve">PARAPET  #X-PAR-E2  -  parapet</t>
  </si>
  <si>
    <t xml:space="preserve">X-PAR-E2</t>
  </si>
  <si>
    <t xml:space="preserve">11/S5.10; E/A09.22</t>
  </si>
  <si>
    <t xml:space="preserve">PARAPET  #X-PAR-N  -  parapet</t>
  </si>
  <si>
    <t xml:space="preserve">X-PAR-N</t>
  </si>
  <si>
    <t xml:space="preserve">11/S5.10; F/A09.22</t>
  </si>
  <si>
    <t xml:space="preserve">PARAPET  #X-PAR-W4  -  parapet</t>
  </si>
  <si>
    <t xml:space="preserve">X-PAR-W4</t>
  </si>
  <si>
    <t xml:space="preserve">PARAPET  #X-PAR-W3  -  parapet</t>
  </si>
  <si>
    <t xml:space="preserve">X-PAR-W3</t>
  </si>
  <si>
    <t xml:space="preserve">11/S5.10; H/A09.23</t>
  </si>
  <si>
    <t xml:space="preserve">PARAPET  #X-PAR-WD  -  parapet</t>
  </si>
  <si>
    <t xml:space="preserve">X-PAR-WD</t>
  </si>
  <si>
    <t xml:space="preserve">TYPE FASCIA</t>
  </si>
  <si>
    <t xml:space="preserve">FASCIA  #X-FB-W  -  fascia_box</t>
  </si>
  <si>
    <t xml:space="preserve">X-FB-W</t>
  </si>
  <si>
    <t xml:space="preserve">fascia_box</t>
  </si>
  <si>
    <t xml:space="preserve">16/A09.27; A02.02</t>
  </si>
  <si>
    <t xml:space="preserve">FASCIA  #X-FB-B  -  fascia_box</t>
  </si>
  <si>
    <t xml:space="preserve">X-FB-B</t>
  </si>
  <si>
    <t xml:space="preserve">FASCIA  #X-FB-S  -  fascia_box</t>
  </si>
  <si>
    <t xml:space="preserve">X-FB-S</t>
  </si>
  <si>
    <t xml:space="preserve">3/A09.26; A02.02</t>
  </si>
  <si>
    <t xml:space="preserve">FASCIA  #X-FB-E  -  fascia_box</t>
  </si>
  <si>
    <t xml:space="preserve">X-FB-E</t>
  </si>
  <si>
    <t xml:space="preserve">7/A09.26; A02.02</t>
  </si>
  <si>
    <t xml:space="preserve">FASCIA  #X-FB-E2  -  fascia_box</t>
  </si>
  <si>
    <t xml:space="preserve">X-FB-E2</t>
  </si>
  <si>
    <t xml:space="preserve">FASCIA  #X-FB-N  -  fascia_box</t>
  </si>
  <si>
    <t xml:space="preserve">X-FB-N</t>
  </si>
  <si>
    <t xml:space="preserve">7/A09.26; F/A09.22; A02.02</t>
  </si>
  <si>
    <t xml:space="preserve">FASCIA  #X-FB-Nw  -  fascia_box</t>
  </si>
  <si>
    <t xml:space="preserve">X-FB-Nw</t>
  </si>
  <si>
    <t xml:space="preserve">FASCIA  #X-FB-Ne  -  fascia_box</t>
  </si>
  <si>
    <t xml:space="preserve">X-FB-Ne</t>
  </si>
  <si>
    <t xml:space="preserve">TYPE CANOPY COL</t>
  </si>
  <si>
    <t xml:space="preserve">CANOPY COL  #X-CW-G  -  column_wrap</t>
  </si>
  <si>
    <t xml:space="preserve">X-CW-G</t>
  </si>
  <si>
    <t xml:space="preserve">column_wrap</t>
  </si>
  <si>
    <t xml:space="preserve">5/A09.25; 16/A09.27</t>
  </si>
  <si>
    <t xml:space="preserve">CANOPY COL  #X-CW-E.4  -  column_wrap</t>
  </si>
  <si>
    <t xml:space="preserve">X-CW-E.4</t>
  </si>
  <si>
    <t xml:space="preserve">CANOPY COL  #X-CW-C.5  -  column_wrap</t>
  </si>
  <si>
    <t xml:space="preserve">X-CW-C.5</t>
  </si>
  <si>
    <t xml:space="preserve">CANOPY COL  #X-CW-B.2  -  column_wrap</t>
  </si>
  <si>
    <t xml:space="preserve">X-CW-B.2</t>
  </si>
  <si>
    <t xml:space="preserve">TYPE 7/A09.33</t>
  </si>
  <si>
    <t xml:space="preserve">7/A09.33  #TR104  -  ceiling_transition</t>
  </si>
  <si>
    <t xml:space="preserve">TR104</t>
  </si>
  <si>
    <t xml:space="preserve">ceiling_transition</t>
  </si>
  <si>
    <t xml:space="preserve">7/A09.33; A04.01</t>
  </si>
  <si>
    <t xml:space="preserve">TYPE 8/A09.33</t>
  </si>
  <si>
    <t xml:space="preserve">8/A09.33  #BH-AISLE  -  103 aisle (ACT-4 9'-0" below / 11'-6" above)</t>
  </si>
  <si>
    <t xml:space="preserve">BH-AISLE</t>
  </si>
  <si>
    <t xml:space="preserve">103 aisle (ACT-4 9'-0" below / 11'-6" above)</t>
  </si>
  <si>
    <t xml:space="preserve">8/A09.33; A04.01; A02.01</t>
  </si>
  <si>
    <t xml:space="preserve">TYPE 10/A09.33</t>
  </si>
  <si>
    <t xml:space="preserve">10/A09.33  #CSR-E-N  -  116</t>
  </si>
  <si>
    <t xml:space="preserve">CSR-E-N</t>
  </si>
  <si>
    <t xml:space="preserve">116</t>
  </si>
  <si>
    <t xml:space="preserve">10/A09.33; A04.01; S2.20</t>
  </si>
  <si>
    <t xml:space="preserve">10/A09.33  #CSR-E-S  -  116</t>
  </si>
  <si>
    <t xml:space="preserve">CSR-E-S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</si>
  <si>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</si>
  <si>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</si>
  <si>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</si>
  <si>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</si>
  <si>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</si>
  <si>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</si>
  <si>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</si>
  <si>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</si>
  <si>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</si>
  <si>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</si>
  <si>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</si>
  <si>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</si>
  <si>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600S137-33 / 600S162-54 (exterior + A5/B2/B2K)</t>
  </si>
  <si>
    <t xml:space="preserve">LF</t>
  </si>
  <si>
    <t xml:space="preserve">stick 20 ft</t>
  </si>
  <si>
    <t xml:space="preserve">familias_out.json (canon.py): '6" stud (todos los gauges)'; 7/S5.20, S1.11, 3/A12.01, 1/A12.01</t>
  </si>
  <si>
    <t xml:space="preserve">6" parapet stud 600S162-54 (by bay, 11/S5.10)</t>
  </si>
  <si>
    <t xml:space="preserve">familias_out.json (canon.py): '6" parapet stud'; 11/S5.10, 6/S5.10</t>
  </si>
  <si>
    <t xml:space="preserve">3-5/8" metal stud 362S137-33 (all gauges: A1, B, F, C1, A1K 14 GA, canopy, kickers, joists)</t>
  </si>
  <si>
    <t xml:space="preserve">familias_out.json (canon.py): '3-5/8" stud (todos los gauges)'; 7/S5.20, 4/A12.01, 7/A09.33</t>
  </si>
  <si>
    <t xml:space="preserve">1-5/8" metal stud (G, G1, office bulkheads, double row w/ SOUNDGUARD)</t>
  </si>
  <si>
    <t xml:space="preserve">familias_out.json (canon.py): '1-5/8" stud'; 5/A12.01, 8/A12.01</t>
  </si>
  <si>
    <t xml:space="preserve">2-1/2" CFMF stud @16" O.C. (coiling grille head)</t>
  </si>
  <si>
    <t xml:space="preserve">familias_out.json (canon.py): '2-1/2" stud'; 4/A08.21</t>
  </si>
  <si>
    <t xml:space="preserve">Bottom track (all sizes, no door deduction E10)</t>
  </si>
  <si>
    <t xml:space="preserve">piece 10 ft</t>
  </si>
  <si>
    <t xml:space="preserve">familias_out.json (canon.py): 'bottom track (todos)'</t>
  </si>
  <si>
    <t xml:space="preserve">Top / deflection track (all sizes)</t>
  </si>
  <si>
    <t xml:space="preserve">familias_out.json (canon.py): 'top / deflection track (todos)'</t>
  </si>
  <si>
    <t xml:space="preserve">Ceiling / soffit track (perimeter, transitions, soffits, canopy, fascia)</t>
  </si>
  <si>
    <t xml:space="preserve">familias_out.json (canon.py): 'track de ceilings / soffits'</t>
  </si>
  <si>
    <t xml:space="preserve">Purlin 1x1x1 16 GA (top track to deck parallel to flute, 10/A09.33)</t>
  </si>
  <si>
    <t xml:space="preserve">familias_out.json (canon.py): 'purlin (track to deck)'</t>
  </si>
  <si>
    <t xml:space="preserve">Header / box beam (by pieces: track 74.58, 6" metal stud box beam 256.71, box beam 244.59, box header 98.92, 6" CFMF box 117.33)</t>
  </si>
  <si>
    <t xml:space="preserve">familias_out.json (canon.py): 'header / box beam'; header_por_pieza; 7/S5.20, 2/S5.20</t>
  </si>
  <si>
    <t xml:space="preserve">Sill track (double &gt; 4'-0", 2/S5.20)</t>
  </si>
  <si>
    <t xml:space="preserve">familias_out.json (canon.py): 'sill track'</t>
  </si>
  <si>
    <t xml:space="preserve">Bracing 1-1/2" C.R. channel @48" (F/1/S5.20)</t>
  </si>
  <si>
    <t xml:space="preserve">piece 16 ft</t>
  </si>
  <si>
    <t xml:space="preserve">familias_out.json (canon.py): 'bracing C.R. channel'</t>
  </si>
  <si>
    <t xml:space="preserve">Furring channel 7/8" @16" O.C. (GWB ceilings)</t>
  </si>
  <si>
    <t xml:space="preserve">piece 12 ft</t>
  </si>
  <si>
    <t xml:space="preserve">familias_out.json (canon.py): 'furring channel'</t>
  </si>
  <si>
    <t xml:space="preserve">Carrying channel 1-1/2" C.R. @48" O.C.</t>
  </si>
  <si>
    <t xml:space="preserve">familias_out.json (canon.py): 'carrying channel'</t>
  </si>
  <si>
    <t xml:space="preserve">Hanger wire 12 GA (LF derivado = PCS x B.O.D. - ceiling)</t>
  </si>
  <si>
    <t xml:space="preserve">roll LF</t>
  </si>
  <si>
    <t xml:space="preserve">familias_out.json (canon.py): 'hanger wire'</t>
  </si>
  <si>
    <t xml:space="preserve">Hanger wire 12 GA - PCS (hangers por room, altura por room)</t>
  </si>
  <si>
    <t xml:space="preserve">PCS</t>
  </si>
  <si>
    <t xml:space="preserve">familias_out.json (canon.py): hanger_pcs 100 VESTIBULE 15 x 5.375; 101 24 HR VESTIBULE 20 x 5.375; 104 WAITING 54 x 4.375; 114 WOMEN'S RESTROOM 12 x 4.496; 113 MEN'S RESTROOM 12 x 4.318</t>
  </si>
  <si>
    <t xml:space="preserve">Framed openings MEP (recessed fixtures / slot diffusers / access panel)</t>
  </si>
  <si>
    <t xml:space="preserve">framed_openings_out.json (framed_openings.py); E00.01, E02.01, M01.01, 54.1</t>
  </si>
  <si>
    <t xml:space="preserve">5/8" gyp board regular (walls + ceilings)</t>
  </si>
  <si>
    <t xml:space="preserve">SF</t>
  </si>
  <si>
    <t xml:space="preserve">4x12 sheet</t>
  </si>
  <si>
    <t xml:space="preserve">familias_out.json (canon.py): '5/8" gyp board regular (walls + ceilings)'</t>
  </si>
  <si>
    <t xml:space="preserve">5/8" gyp board MOISTURE RESISTANT (behind toilet and lavatory, F/A08.01)</t>
  </si>
  <si>
    <t xml:space="preserve">familias_out.json (canon.py): '5/8" gyp MOISTURE RESISTANT'</t>
  </si>
  <si>
    <t xml:space="preserve">Ballistic panel 3/8" UL752 Level-2 fiberglass to 8'-0" (4/A12.01)</t>
  </si>
  <si>
    <t xml:space="preserve">4x8 sheet</t>
  </si>
  <si>
    <t xml:space="preserve">familias_out.json (canon.py): 'ballistic panel'</t>
  </si>
  <si>
    <t xml:space="preserve">3/8" gyp board over ballistic, 8'-0" to structure (4/A12.01)</t>
  </si>
  <si>
    <t xml:space="preserve">familias_out.json (canon.py): '3/8" gyp board'</t>
  </si>
  <si>
    <t xml:space="preserve">5/8" glass mat sheathing (base strip + canopy band)</t>
  </si>
  <si>
    <t xml:space="preserve">familias_out.json (canon.py): '5/8" glass mat sheathing'</t>
  </si>
  <si>
    <t xml:space="preserve">5/8" EXTERIOR gyp sheathing (parapet roof side)</t>
  </si>
  <si>
    <t xml:space="preserve">familias_out.json (canon.py): '5/8" EXTERIOR gyp sheathing'</t>
  </si>
  <si>
    <t xml:space="preserve">FRT plywood 3/4" / nailbase (SF)</t>
  </si>
  <si>
    <t xml:space="preserve">familias_out.json (canon.py): 'FRT plywood (SF)'</t>
  </si>
  <si>
    <t xml:space="preserve">FRT blocking (labeled FRT / 3/4" FRT plywood blocking, plies drawn)</t>
  </si>
  <si>
    <t xml:space="preserve">piece 8 ft</t>
  </si>
  <si>
    <t xml:space="preserve">familias_out.json (canon.py): 'FRT blocking'</t>
  </si>
  <si>
    <t xml:space="preserve">Metal stud blocking 362CR22 (STUD BLOCKING, 4/S5.20)</t>
  </si>
  <si>
    <t xml:space="preserve">familias_out.json (canon.py): 'metal stud blocking (362CR / STUD BLOCKING)'</t>
  </si>
  <si>
    <t xml:space="preserve">Metal trim - corner bead, casing bead, shadow molding, gypsum edge trim</t>
  </si>
  <si>
    <t xml:space="preserve">familias_out.json (canon.py): 'metal trim (corner bead, casing, shadow molding)'</t>
  </si>
  <si>
    <t xml:space="preserve">Cement board (tile cove base, 58.7)</t>
  </si>
  <si>
    <t xml:space="preserve">3x5 sheet</t>
  </si>
  <si>
    <t xml:space="preserve">familias_out.json (canon.py): 'cement board'</t>
  </si>
  <si>
    <t xml:space="preserve">FRP panel (restrooms to 5'-0" + mop sink)</t>
  </si>
  <si>
    <t xml:space="preserve">familias_out.json (canon.py): 'FRP'</t>
  </si>
  <si>
    <t xml:space="preserve">Acoustical sealant + sealant at base of gypsum (exterior)</t>
  </si>
  <si>
    <t xml:space="preserve">tube LF</t>
  </si>
  <si>
    <t xml:space="preserve">familias_out.json (canon.py): 'acoustical sealant'</t>
  </si>
  <si>
    <t xml:space="preserve">Level 5 finish (WC-18 / WC-22 walls)</t>
  </si>
  <si>
    <t xml:space="preserve">familias_out.json (canon.py): 'Level 5 finish'</t>
  </si>
  <si>
    <t xml:space="preserve">RFI</t>
  </si>
  <si>
    <t xml:space="preserve">Question / condition</t>
  </si>
  <si>
    <t xml:space="preserve">Delta of each alternative</t>
  </si>
  <si>
    <t xml:space="preserve">RFI-H1</t>
  </si>
  <si>
    <t xml:space="preserve">Office front CONT. BOX BEAM (8, 9/A12.01): run length not dimensioned; measured on A02.01 east 39.97 ft (105-108) and west 18.51 ft (109-110), 4 pieces each (decision #20/#22).</t>
  </si>
  <si>
    <t xml:space="preserve">per 1 ft of run: +5.33 LF header (4 pieces)</t>
  </si>
  <si>
    <t xml:space="preserve">RFI-H3</t>
  </si>
  <si>
    <t xml:space="preserve">Vestibule storefront BOX HEADER AS NEEDED (4-7/A12.10): size / pieces not printed; carried 4-piece box over each storefront head (VH-1 15.65 ft, VH-2 6.25 ft).</t>
  </si>
  <si>
    <t xml:space="preserve">if not needed: -98.24 LF header</t>
  </si>
  <si>
    <t xml:space="preserve">RFI-P1</t>
  </si>
  <si>
    <t xml:space="preserve">Deck flute direction (10/A09.33 'VIF FLUTE DIRECTION'): carried E-W (S2.20 beams N-S); purlin on E-W walls.</t>
  </si>
  <si>
    <t xml:space="preserve">if flutes N-S: purlin moves to N-S walls (different LF)</t>
  </si>
  <si>
    <t xml:space="preserve">RFI-K1</t>
  </si>
  <si>
    <t xml:space="preserve">B2K has a plan tag but no schedule row; derived as B2 + K (4/A12.01, measured 7.68"). Ballistic contour (customer faces) taken as B2K + A1K x2 (3'-5" printed) + A1K-BL = 9.77 ft.</t>
  </si>
  <si>
    <t xml:space="preserve">ballistic +/- 8 SF per ft of contour</t>
  </si>
  <si>
    <t xml:space="preserve">RFI-C1W</t>
  </si>
  <si>
    <t xml:space="preserve">Partition type C1 (6/A12.01) shows 'BLOCK PARTITION' + 3 5/8" studs + 5/8" board one face; carried as stud furring one face (chase, calling cubes monitor wall 10'-0" x 8", FCAM, grille column boxes).</t>
  </si>
  <si>
    <t xml:space="preserve">if block is by others and no studs: -C1 studs/track</t>
  </si>
  <si>
    <t xml:space="preserve">RFI-HT1</t>
  </si>
  <si>
    <t xml:space="preserve">LOW roof B.O.D. 13'-0 5/8" / 12'-6 3/8" (S2.20) assumed at grid B and grid A; interior walls interpolated at their high end (59.13).</t>
  </si>
  <si>
    <t xml:space="preserve">+/- 0.5 ft per wall height in LOW zone</t>
  </si>
  <si>
    <t xml:space="preserve">RFI-HT2</t>
  </si>
  <si>
    <t xml:space="preserve">Vestibule storefront head and coiling grille head at 10'-0" A.F.F. (3/A12.10 measured at 1/2"=1'-0", validated vs printed 5'-0"; 4/A08.21 1'-6" below ACT 11'-6").</t>
  </si>
  <si>
    <t xml:space="preserve">+/- 1 ft head: +/- 13 LF 3-5/8" per head line</t>
  </si>
  <si>
    <t xml:space="preserve">RFI-D1</t>
  </si>
  <si>
    <t xml:space="preserve">Interior door R.O. not printed: carried door width + 2 x 2" HM frame face (10, 11/A12.02); door 102 3'-10" -&gt; DOUBLE TRACK (7/S5.20, decision #21).</t>
  </si>
  <si>
    <t xml:space="preserve">R.O. width +/- 2" changes header length only (+/- 0.17 ft per piece)</t>
  </si>
  <si>
    <t xml:space="preserve">RFI-X10R</t>
  </si>
  <si>
    <t xml:space="preserve">Exterior fork suggested MR behind toilets on west wall X-W4; A02.01 shows water closets and lavatories backed onto the C1 chase faces, so MR carried only on chase faces (F/A08.01).</t>
  </si>
  <si>
    <t xml:space="preserve">if MR also on X-W4 restroom faces: +167.9 SF MR / -167.9 SF regular</t>
  </si>
  <si>
    <t xml:space="preserve">RFI-FX1</t>
  </si>
  <si>
    <t xml:space="preserve">Canopy recessed fixtures UU1-UU6 (E00.01 LSR-WET-2.5): framed opening width 2.5" from catalog code; lengths from schedule (20/2/3/55/50/16 ft) and E02.01 tag count.</t>
  </si>
  <si>
    <t xml:space="preserve">per 1" width: +3.5 LF total ends</t>
  </si>
  <si>
    <t xml:space="preserve">RFI-T11</t>
  </si>
  <si>
    <t xml:space="preserve">RFI bracing: 113.42 LF de C.R. channel cruzan vanos sin studs (53.4 literal). Delta si no se cruzan: -113.42 LF</t>
  </si>
  <si>
    <t xml:space="preserve"> si no se cruzan: -113.42 LF</t>
  </si>
  <si>
    <t xml:space="preserve">RFI-T12</t>
  </si>
  <si>
    <t xml:space="preserve">RFI bottom track: 47.16 LF de R.O. de doors NO descontados. Delta si se descuentan: -47.16 LF</t>
  </si>
  <si>
    <t xml:space="preserve"> si se descuentan: -47.16 LF</t>
  </si>
  <si>
    <t xml:space="preserve">RFI-FO13</t>
  </si>
  <si>
    <t xml:space="preserve">{"tag": "R-11C,d", "source": "E00.01, E02.01, A04.01, 6/A09.33", "texto": "RFI R-11C,d: schedule description 12.0 ft vs catalog 20.0 ft; carried 12.0 ft (desc = drawn); alternate 20.0 ft", "delta_lf": 32.0}</t>
  </si>
  <si>
    <t xml:space="preserve">RFI-FO14</t>
  </si>
  <si>
    <t xml:space="preserve">{"tag": "R-11CE,d", "source": "E00.01, E02.01, A04.01, 6/A09.33", "texto": "RFI R-11CE,d: schedule description 12.0 ft vs catalog 20.0 ft; carried 12.0 ft (desc = drawn); alternate 20.0 ft", "delta_lf": 32.0}</t>
  </si>
  <si>
    <t xml:space="preserve">RFI-X1</t>
  </si>
  <si>
    <t xml:space="preserve">Exterior stud gauge/spacing: S1.11 LT GA note '600S162-54 @ 12" O.C. within 6 ft of building corners, @16" others' vs 7/S5.20 600S137-33 @16". Carried S1.11 (more material, 56.2) with @12" zones at convex corners F/8, A/8, A/3, D/2.</t>
  </si>
  <si>
    <t xml:space="preserve">@16" everywhere: approx -4 studs per corner zone x 4 corners x ~13 ft = about -200 LF 6" stud</t>
  </si>
  <si>
    <t xml:space="preserve">RFI-X2</t>
  </si>
  <si>
    <t xml:space="preserve">Low roof (B to A) deck slopes 13'-0 5/8" -&gt; 12'-6 3/8" (S2.20). Walls X-E2 / X-W4 use average B.O.D. 12.792 - W14x22 d (55.3); line A uses 12'-6 3/8" minus W18x35 (grid 3-6) / W14x22 (grid 6-8).</t>
  </si>
  <si>
    <t xml:space="preserve">high end per wall (59.13): X-E2/X-W4 +0.26 ft x ~20 studs each = about +10 LF</t>
  </si>
  <si>
    <t xml:space="preserve">RFI-X3</t>
  </si>
  <si>
    <t xml:space="preserve">Roof step 4/A02.02: 3 stud rows drawn; only the upper row is fully drawn (3.112 ft measured). The two lower rows are cut by break lines ('RUN GYP BD TIGHT TO DECK'); carried from ceiling ACT-4 9'-0" (A04.01) up to each deck (6.375 / 4.052 ft).</t>
  </si>
  <si>
    <t xml:space="preserve">if lower rows run floor-to-deck: +(9.0 x 2) x 40 studs = about +720 LF 3-5/8"; if they are only between decks (2.323 ft): about -320 LF</t>
  </si>
  <si>
    <t xml:space="preserve">RFI-X4</t>
  </si>
  <si>
    <t xml:space="preserve">Storefront cripples above HSS lintels (S2.20 HSS9x5x5/8 T.O.S. 9'-4 1/2") up to W12x19 (HI) underside (14.362) = 4.987 ft; G-line vestibule storefront assumed same lintel/beam (S2.20 labels stacked at G/F).</t>
  </si>
  <si>
    <t xml:space="preserve">G front at W12x19 (CANOPY) underside 10.935: X-S-SFG -2.43 ft x 11 studs = -27 LF</t>
  </si>
  <si>
    <t xml:space="preserve">RFI-X5</t>
  </si>
  <si>
    <t xml:space="preserve">Canopy column wraps 5/A09.25 height not printed; carried slab to B/STUD 10'-7 1/4" (16/A09.27).</t>
  </si>
  <si>
    <t xml:space="preserve">to T/STUD 12'-7": +1.98 ft x 8 studs x 4 = +63 LF 3-5/8"</t>
  </si>
  <si>
    <t xml:space="preserve">RFI-X6</t>
  </si>
  <si>
    <t xml:space="preserve">3/4" FRT plywood at opening heads/sills/jambs (11/A09.27, 10/A09.27, 3/A09.25, 14/A09.27, 2/A09.26) has no printed width; carried 6" (stud depth).</t>
  </si>
  <si>
    <t xml:space="preserve">per 1" of width: about +29 SF</t>
  </si>
  <si>
    <t xml:space="preserve">RFI-X7</t>
  </si>
  <si>
    <t xml:space="preserve">Piers 1/A09.25 and 2/A09.25: printed dims run from grids/storefront, not pier faces; framing perimeter measured in plan (7.17 / 9.07 ft) and carried as 6" pier at 14.362.</t>
  </si>
  <si>
    <t xml:space="preserve">+/- 2 studs per pier = +/- 57 LF</t>
  </si>
  <si>
    <t xml:space="preserve">RFI-X8</t>
  </si>
  <si>
    <t xml:space="preserve">Parapet jog at line D (grid 2-3, 3.907 ft) carried at T.O. PARAPET 1 (2.042 ft studs); west elevation shows end flashing (keynote 2) at D.</t>
  </si>
  <si>
    <t xml:space="preserve">at Parapet 2: +2.25 ft x 5 studs = +11 LF</t>
  </si>
  <si>
    <t xml:space="preserve">RFI-X9</t>
  </si>
  <si>
    <t xml:space="preserve">Drive-up ATM 6/A08.11: '2 1/2" METAL STUD SISTERED TO 6" METAL STUD' at niche and '(2) LAYERS 3/4" FRT PLYWOOD PLINTH' / fiber cement panel on furring on 5/8" FRT plywood: not quantified by canon (no family block); plinth = Div 06.</t>
  </si>
  <si>
    <t xml:space="preserve">2-1/2" sistered studs approx 4 x 6.0 ft = 24 LF; FRT plywood niche approx 25 SF</t>
  </si>
  <si>
    <t xml:space="preserve">RFI-X10</t>
  </si>
  <si>
    <t xml:space="preserve">MR board: toilets in Women's 114 / Men's 113 sit against the west exterior wall X-W4 (A02.01). F/A08.01 'MR behind toilet and lavatory' - X-W4 interior face carried as regular board; parent must split X-W4 or declare wet_fixtures.</t>
  </si>
  <si>
    <t xml:space="preserve">2 x 6.563 x 12.792 = 167.9 SF regular -&gt; MR</t>
  </si>
  <si>
    <t xml:space="preserve">RFI-C1</t>
  </si>
  <si>
    <t xml:space="preserve">No ceiling suspension spec in set: furring 16" O.C., carrying 48" O.C., hangers 48" (ASTM C754) assumed</t>
  </si>
  <si>
    <t xml:space="preserve">see ceil_notas (furring @24" alt)</t>
  </si>
  <si>
    <t xml:space="preserve">RFI-C2</t>
  </si>
  <si>
    <t xml:space="preserve">Carrying channel direction not shown; N-S carried</t>
  </si>
  <si>
    <t xml:space="preserve">see ceil_notas (E-W alt)</t>
  </si>
  <si>
    <t xml:space="preserve">RFI-C3</t>
  </si>
  <si>
    <t xml:space="preserve">R-11C/R-11CE schedule desc 12' vs catalog 20'-0"; drawn 12' carried</t>
  </si>
  <si>
    <t xml:space="preserve">+64 LF framed openings if 20'</t>
  </si>
  <si>
    <t xml:space="preserve">RFI-C4</t>
  </si>
  <si>
    <t xml:space="preserve">Framed opening widths not printed: slot fixtures 3" (6/A09.33 measured, scale validated 4 1/2"), SD TBDI-10 4.32" (M01.01 drawn)</t>
  </si>
  <si>
    <t xml:space="preserve">+/- 2 x width change x qty</t>
  </si>
  <si>
    <t xml:space="preserve">RFI-C5</t>
  </si>
  <si>
    <t xml:space="preserve">Mop sink 2nd side width not printed (2'-0" carried both sides)</t>
  </si>
  <si>
    <t xml:space="preserve">-4 SF FRP per ft less</t>
  </si>
  <si>
    <t xml:space="preserve">RFI-C6</t>
  </si>
  <si>
    <t xml:space="preserve">Level 5 extent WC-18 / WC-22 assumed full wall to ceiling</t>
  </si>
  <si>
    <t xml:space="preserve">see ceil_notas</t>
  </si>
  <si>
    <t xml:space="preserve">RFI-C7</t>
  </si>
  <si>
    <t xml:space="preserve">Blocking material not given for artwork, monitor, lockers, wall stops (metal 362CR carried)</t>
  </si>
  <si>
    <t xml:space="preserve">material change only</t>
  </si>
  <si>
    <t xml:space="preserve">RFI-C8</t>
  </si>
  <si>
    <t xml:space="preserve">Vestibule 100/101 B.O.D. taken 15'-4 1/2" (S2.20 NO SLOPE zone); tower framing may be higher</t>
  </si>
  <si>
    <t xml:space="preserve">+hanger PCS x delta ft</t>
  </si>
  <si>
    <t xml:space="preserve">RFI-C9</t>
  </si>
  <si>
    <t xml:space="preserve">Waiting 104 ceiling_perimeter 94.05 includes 77.03 LF also carried as transition bottom track (E9)</t>
  </si>
  <si>
    <t xml:space="preserve">-77.03 LF track if not doubled</t>
  </si>
  <si>
    <t xml:space="preserve">#</t>
  </si>
  <si>
    <t xml:space="preserve">Punto</t>
  </si>
  <si>
    <t xml:space="preserve">Hoja + detalle</t>
  </si>
  <si>
    <t xml:space="preserve">Imagen</t>
  </si>
  <si>
    <t xml:space="preserve">RFI-H1: Office front CONT. BOX BEAM (8, 9/A12.01): run length not dimensioned; measured on A02.01 east 39.97 ft (105-108) and west 18.51 ft (109-110), 4 pieces each (decision #20/#22). | delta: per 1 ft of run: +5.33 LF header (4 pieces)</t>
  </si>
  <si>
    <t xml:space="preserve">9/A12.01</t>
  </si>
  <si>
    <t xml:space="preserve">Planos marcados/</t>
  </si>
  <si>
    <t xml:space="preserve">RFI-H3: Vestibule storefront BOX HEADER AS NEEDED (4-7/A12.10): size / pieces not printed; carried 4-piece box over each storefront head (VH-1 15.65 ft, VH-2 6.25 ft). | delta: if not needed: -98.24 LF header</t>
  </si>
  <si>
    <t xml:space="preserve">7/A12.10</t>
  </si>
  <si>
    <t xml:space="preserve">RFI-P1: Deck flute direction (10/A09.33 'VIF FLUTE DIRECTION'): carried E-W (S2.20 beams N-S); purlin on E-W walls. | delta: if flutes N-S: purlin moves to N-S walls (different LF)</t>
  </si>
  <si>
    <t xml:space="preserve">10/A09.33</t>
  </si>
  <si>
    <t xml:space="preserve">RFI-K1: B2K has a plan tag but no schedule row; derived as B2 + K (4/A12.01, measured 7.68"). Ballistic contour (customer faces) taken as B2K + A1K x2 (3'-5" printed) + A1K-BL = 9.77 ft. | delta: ballistic +/- 8 SF per ft of contour</t>
  </si>
  <si>
    <t xml:space="preserve">4/A12.01</t>
  </si>
  <si>
    <t xml:space="preserve">RFI-C1W: Partition type C1 (6/A12.01) shows 'BLOCK PARTITION' + 3 5/8" studs + 5/8" board one face; carried as stud furring one face (chase, calling cubes monitor wall 10'-0" x 8", FCAM, grille column boxes). | delta: if block is by others and no studs: -C1 studs/track</t>
  </si>
  <si>
    <t xml:space="preserve">6/A12.01</t>
  </si>
  <si>
    <t xml:space="preserve">RFI-HT1: LOW roof B.O.D. 13'-0 5/8" / 12'-6 3/8" (S2.20) assumed at grid B and grid A; interior walls interpolated at their high end (59.13). | delta: +/- 0.5 ft per wall height in LOW zone</t>
  </si>
  <si>
    <t xml:space="preserve">S2.20</t>
  </si>
  <si>
    <t xml:space="preserve">RFI-HT2: Vestibule storefront head and coiling grille head at 10'-0" A.F.F. (3/A12.10 measured at 1/2"=1'-0", validated vs printed 5'-0"; 4/A08.21 1'-6" below ACT 11'-6"). | delta: +/- 1 ft head: +/- 13 LF 3-5/8" per head line</t>
  </si>
  <si>
    <t xml:space="preserve">3/A12.10</t>
  </si>
  <si>
    <t xml:space="preserve">RFI-D1: Interior door R.O. not printed: carried door width + 2 x 2" HM frame face (10, 11/A12.02); door 102 3'-10" -&gt; DOUBLE TRACK (7/S5.20, decision #21). | delta: R.O. width +/- 2" changes header length only (+/- 0.17 ft per piece)</t>
  </si>
  <si>
    <t xml:space="preserve">11/A12.02</t>
  </si>
  <si>
    <t xml:space="preserve">RFI-X10R: Exterior fork suggested MR behind toilets on west wall X-W4; A02.01 shows water closets and lavatories backed onto the C1 chase faces, so MR carried only on chase faces (F/A08.01). | delta: if MR also on X-W4 restroom faces: +167.9 SF MR / -167.9 SF regular</t>
  </si>
  <si>
    <t xml:space="preserve">A02.01</t>
  </si>
  <si>
    <t xml:space="preserve">RFI-FX1: Canopy recessed fixtures UU1-UU6 (E00.01 LSR-WET-2.5): framed opening width 2.5" from catalog code; lengths from schedule (20/2/3/55/50/16 ft) and E02.01 tag count. | delta: per 1" width: +3.5 LF total ends</t>
  </si>
  <si>
    <t xml:space="preserve">RFI-T11: RFI bracing: 113.42 LF de C.R. channel cruzan vanos sin studs (53.4 literal). Delta si no se cruzan: -113.42 LF | delta:  si no se cruzan: -113.42 LF</t>
  </si>
  <si>
    <t xml:space="preserve">RFI-T12: RFI bottom track: 47.16 LF de R.O. de doors NO descontados. Delta si se descuentan: -47.16 LF | delta:  si se descuentan: -47.16 LF</t>
  </si>
  <si>
    <t xml:space="preserve">RFI-FO13: {"tag": "R-11C,d", "source": "E00.01, E02.01, A04.01, 6/A09.33", "texto": "RFI R-11C,d: schedule description 12.0 ft vs catalog 20.0 ft; carried 12.0 ft (desc = drawn); alternate 20.0 ft", "delta_lf": 32.0} | delta: None</t>
  </si>
  <si>
    <t xml:space="preserve">6/A09.33</t>
  </si>
  <si>
    <t xml:space="preserve">RFI-FO14: {"tag": "R-11CE,d", "source": "E00.01, E02.01, A04.01, 6/A09.33", "texto": "RFI R-11CE,d: schedule description 12.0 ft vs catalog 20.0 ft; carried 12.0 ft (desc = drawn); alternate 20.0 ft", "delta_lf": 32.0} | delta: None</t>
  </si>
  <si>
    <t xml:space="preserve">RFI-X1: Exterior stud gauge/spacing: S1.11 LT GA note '600S162-54 @ 12" O.C. within 6 ft of building corners, @16" others' vs 7/S5.20 600S137-33 @16". Carried S1.11 (more material, 56.2) with @12" zones at convex corners F/8, A/8, A/3, D/2. | delta: @16" everywhere: approx -4 studs per corner zone x 4 corners x ~13 ft = about -200 LF 6" stud</t>
  </si>
  <si>
    <t xml:space="preserve">7/S5.20</t>
  </si>
  <si>
    <t xml:space="preserve">RFI-X2: Low roof (B to A) deck slopes 13'-0 5/8" -&gt; 12'-6 3/8" (S2.20). Walls X-E2 / X-W4 use average B.O.D. 12.792 - W14x22 d (55.3); line A uses 12'-6 3/8" minus W18x35 (grid 3-6) / W14x22 (grid 6-8). | delta: high end per wall (59.13): X-E2/X-W4 +0.26 ft x ~20 studs each = about +10 LF</t>
  </si>
  <si>
    <t xml:space="preserve">RFI-X3: Roof step 4/A02.02: 3 stud rows drawn; only the upper row is fully drawn (3.112 ft measured). The two lower rows are cut by break lines ('RUN GYP BD TIGHT TO DECK'); carried from ceiling ACT-4 9'-0" (A04.01) up to each deck (6.375 / 4.052 ft). | delta: if lower rows run floor-to-deck: +(9.0 x 2) x 40 studs = about +720 LF 3-5/8"; if they are only between decks (2.323 ft): about -320 LF</t>
  </si>
  <si>
    <t xml:space="preserve">4/A02.02</t>
  </si>
  <si>
    <t xml:space="preserve">RFI-X4: Storefront cripples above HSS lintels (S2.20 HSS9x5x5/8 T.O.S. 9'-4 1/2") up to W12x19 (HI) underside (14.362) = 4.987 ft; G-line vestibule storefront assumed same lintel/beam (S2.20 labels stacked at G/F). | delta: G front at W12x19 (CANOPY) underside 10.935: X-S-SFG -2.43 ft x 11 studs = -27 LF</t>
  </si>
  <si>
    <t xml:space="preserve">RFI-X5: Canopy column wraps 5/A09.25 height not printed; carried slab to B/STUD 10'-7 1/4" (16/A09.27). | delta: to T/STUD 12'-7": +1.98 ft x 8 studs x 4 = +63 LF 3-5/8"</t>
  </si>
  <si>
    <t xml:space="preserve">5/A09.25</t>
  </si>
  <si>
    <t xml:space="preserve">RFI-X6: 3/4" FRT plywood at opening heads/sills/jambs (11/A09.27, 10/A09.27, 3/A09.25, 14/A09.27, 2/A09.26) has no printed width; carried 6" (stud depth). | delta: per 1" of width: about +29 SF</t>
  </si>
  <si>
    <t xml:space="preserve">11/A09.27</t>
  </si>
  <si>
    <t xml:space="preserve">RFI-X7: Piers 1/A09.25 and 2/A09.25: printed dims run from grids/storefront, not pier faces; framing perimeter measured in plan (7.17 / 9.07 ft) and carried as 6" pier at 14.362. | delta: +/- 2 studs per pier = +/- 57 LF</t>
  </si>
  <si>
    <t xml:space="preserve">1/A09.25</t>
  </si>
  <si>
    <t xml:space="preserve">RFI-X8: Parapet jog at line D (grid 2-3, 3.907 ft) carried at T.O. PARAPET 1 (2.042 ft studs); west elevation shows end flashing (keynote 2) at D. | delta: at Parapet 2: +2.25 ft x 5 studs = +11 LF</t>
  </si>
  <si>
    <t xml:space="preserve">RFI-X9: Drive-up ATM 6/A08.11: '2 1/2" METAL STUD SISTERED TO 6" METAL STUD' at niche and '(2) LAYERS 3/4" FRT PLYWOOD PLINTH' / fiber cement panel on furring on 5/8" FRT plywood: not quantified by canon (no family block); plinth = Div 06. | delta: 2-1/2" sistered studs approx 4 x 6.0 ft = 24 LF; FRT plywood niche approx 25 SF</t>
  </si>
  <si>
    <t xml:space="preserve">6/A08.11</t>
  </si>
  <si>
    <t xml:space="preserve">RFI-X10: MR board: toilets in Women's 114 / Men's 113 sit against the west exterior wall X-W4 (A02.01). F/A08.01 'MR behind toilet and lavatory' - X-W4 interior face carried as regular board; parent must split X-W4 or declare wet_fixtures. | delta: 2 x 6.563 x 12.792 = 167.9 SF regular -&gt; MR</t>
  </si>
  <si>
    <t xml:space="preserve">RFI-C1: No ceiling suspension spec in set: furring 16" O.C., carrying 48" O.C., hangers 48" (ASTM C754) assumed | delta: see ceil_notas (furring @24" alt)</t>
  </si>
  <si>
    <t xml:space="preserve">RFI-C2: Carrying channel direction not shown; N-S carried | delta: see ceil_notas (E-W alt)</t>
  </si>
  <si>
    <t xml:space="preserve">RFI-C3: R-11C/R-11CE schedule desc 12' vs catalog 20'-0"; drawn 12' carried | delta: +64 LF framed openings if 20'</t>
  </si>
  <si>
    <t xml:space="preserve">RFI-C4: Framed opening widths not printed: slot fixtures 3" (6/A09.33 measured, scale validated 4 1/2"), SD TBDI-10 4.32" (M01.01 drawn) | delta: +/- 2 x width change x qty</t>
  </si>
  <si>
    <t xml:space="preserve">RFI-C5: Mop sink 2nd side width not printed (2'-0" carried both sides) | delta: -4 SF FRP per ft less</t>
  </si>
  <si>
    <t xml:space="preserve">RFI-C6: Level 5 extent WC-18 / WC-22 assumed full wall to ceiling | delta: see ceil_notas</t>
  </si>
  <si>
    <t xml:space="preserve">RFI-C7: Blocking material not given for artwork, monitor, lockers, wall stops (metal 362CR carried) | delta: material change only</t>
  </si>
  <si>
    <t xml:space="preserve">RFI-C8: Vestibule 100/101 B.O.D. taken 15'-4 1/2" (S2.20 NO SLOPE zone); tower framing may be higher | delta: +hanger PCS x delta ft</t>
  </si>
  <si>
    <t xml:space="preserve">RFI-C9: Waiting 104 ceiling_perimeter 94.05 includes 77.03 LF also carried as transition bottom track (E9) | delta: -77.03 LF track if not doubled</t>
  </si>
  <si>
    <t xml:space="preserve">RFI-X1: Exterior stud gauge/spacing: S1.11 LT GA note '600S162-54 @ 12" O.C. within 6 ft of building corners, @16" others' vs 7/S5.20 600S137-33 @16". Carried S1.11 (more material, 56.2) with @12" zones at convex corners F/8, A/8, A/3, D/2.</t>
  </si>
  <si>
    <t xml:space="preserve">ver notas</t>
  </si>
  <si>
    <t xml:space="preserve">-</t>
  </si>
  <si>
    <t xml:space="preserve">RFI-X2: Low roof (B to A) deck slopes 13'-0 5/8" -&gt; 12'-6 3/8" (S2.20). Walls X-E2 / X-W4 use average B.O.D. 12.792 - W14x22 d (55.3); line A uses 12'-6 3/8" minus W18x35 (grid 3-6) / W14x22 (grid 6-8).</t>
  </si>
  <si>
    <t xml:space="preserve">RFI-X3: Roof step 4/A02.02: 3 stud rows drawn; only the upper row is fully drawn (3.112 ft measured). The two lower rows are cut by break lines ('RUN GYP BD TIGHT TO DECK'); carried from ceiling ACT-4 9'-0" (A04.01) up to each deck (6.375 / 4.052 ft).</t>
  </si>
  <si>
    <t xml:space="preserve">RFI-X4: Storefront cripples above HSS lintels (S2.20 HSS9x5x5/8 T.O.S. 9'-4 1/2") up to W12x19 (HI) underside (14.362) = 4.987 ft; G-line vestibule storefront assumed same lintel/beam (S2.20 labels stacked at G/F).</t>
  </si>
  <si>
    <t xml:space="preserve">RFI-X5: Canopy column wraps 5/A09.25 height not printed; carried slab to B/STUD 10'-7 1/4" (16/A09.27).</t>
  </si>
  <si>
    <t xml:space="preserve">RFI-X6: 3/4" FRT plywood at opening heads/sills/jambs (11/A09.27, 10/A09.27, 3/A09.25, 14/A09.27, 2/A09.26) has no printed width; carried 6" (stud depth).</t>
  </si>
  <si>
    <t xml:space="preserve">RFI-X7: Piers 1/A09.25 and 2/A09.25: printed dims run from grids/storefront, not pier faces; framing perimeter measured in plan (7.17 / 9.07 ft) and carried as 6" pier at 14.362.</t>
  </si>
  <si>
    <t xml:space="preserve">RFI-X8: Parapet jog at line D (grid 2-3, 3.907 ft) carried at T.O. PARAPET 1 (2.042 ft studs); west elevation shows end flashing (keynote 2) at D.</t>
  </si>
  <si>
    <t xml:space="preserve">RFI-X9: Drive-up ATM 6/A08.11: '2 1/2" METAL STUD SISTERED TO 6" METAL STUD' at niche and '(2) LAYERS 3/4" FRT PLYWOOD PLINTH' / fiber cement panel on furring on 5/8" FRT plywood: not quantified by canon (no family block); plinth = Div 06.</t>
  </si>
  <si>
    <t xml:space="preserve">RFI-X10: MR board: toilets in Women's 114 / Men's 113 sit against the west exterior wall X-W4 (A02.01). F/A08.01 'MR behind toilet and lavatory' - X-W4 interior face carried as regular board; parent must split X-W4 or declare wet_fixtures.</t>
  </si>
  <si>
    <t xml:space="preserve">Doors 100 (pair), 100A and 101 are aluminum storefront doors inside storefront frames (A00.30 'ALUMINUM / GLASS'); their head is the storefront steel header (2/A09.26). NOT declared here to avoid double declaration; parent: declare them in opening_schedule.none with that why.</t>
  </si>
  <si>
    <t xml:space="preserve">Facade naming follows A09.01/A09.02 elevation titles: plan top (lines F/G) = SOUTH, line A = NORTH, line 8 = EAST, lines 2/3 = WEST (S2.20 'BUILDING FOOTPRINT MIRRORED NORTH-SOUTH').</t>
  </si>
  <si>
    <t xml:space="preserve">Walk-up ATM (NHA 9T, 4/A08.11) is in the interior diagonal wall F (24 HR Vestibule) - interior scope.</t>
  </si>
  <si>
    <t xml:space="preserve">Canopy beam cavity: wall carried continuous (canopy_beam_split false).</t>
  </si>
  <si>
    <t xml:space="preserve">ATM (A08.11), coiling grille (A08.21), CSR line (A12.08), vestibule heads (A12.10) FRT blocking/plywood NOT included here (parent/exterior scope)</t>
  </si>
  <si>
    <t xml:space="preserve">C1 chase MR faces only (F/A08.01); mop sink not MR</t>
  </si>
  <si>
    <t xml:space="preserve">Waiting perimeter/transition track overlap RFI-C9</t>
  </si>
  <si>
    <t xml:space="preserve">bulkhead BH-AISLE height to deck 6.375 (15.375-9.0)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</si>
  <si>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</si>
  <si>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</si>
  <si>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</si>
  <si>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</si>
  <si>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</si>
  <si>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</t>
  </si>
  <si>
    <t xml:space="preserve">CUANTIFICADO</t>
  </si>
  <si>
    <t xml:space="preserve">6", 3-5/8", 1-5/8" stud + tracks; A02.01, A12.01</t>
  </si>
  <si>
    <t xml:space="preserve">ALC-02</t>
  </si>
  <si>
    <t xml:space="preserve">Exterior wall framing (CFMF)</t>
  </si>
  <si>
    <t xml:space="preserve">6" stud X-*; A09.21, 10/S5.10</t>
  </si>
  <si>
    <t xml:space="preserve">ALC-03</t>
  </si>
  <si>
    <t xml:space="preserve">Parapet framing</t>
  </si>
  <si>
    <t xml:space="preserve">6" parapet stud by bay; 11/S5.10, A02.02</t>
  </si>
  <si>
    <t xml:space="preserve">ALC-04</t>
  </si>
  <si>
    <t xml:space="preserve">Top / deflection and bottom track</t>
  </si>
  <si>
    <t xml:space="preserve">corridas.py; S5.20</t>
  </si>
  <si>
    <t xml:space="preserve">ALC-05</t>
  </si>
  <si>
    <t xml:space="preserve">Headers, sills and jambs</t>
  </si>
  <si>
    <t xml:space="preserve">headers.py by pieces; 7/S5.20, 2/S5.20</t>
  </si>
  <si>
    <t xml:space="preserve">ALC-06</t>
  </si>
  <si>
    <t xml:space="preserve">Bracing / bridging</t>
  </si>
  <si>
    <t xml:space="preserve">F/1/S5.20</t>
  </si>
  <si>
    <t xml:space="preserve">ALC-07</t>
  </si>
  <si>
    <t xml:space="preserve">Gypsum board on walls</t>
  </si>
  <si>
    <t xml:space="preserve">board_caras.py; A12.01</t>
  </si>
  <si>
    <t xml:space="preserve">ALC-08</t>
  </si>
  <si>
    <t xml:space="preserve">Moisture resistant board</t>
  </si>
  <si>
    <t xml:space="preserve">F/A08.01 chase faces</t>
  </si>
  <si>
    <t xml:space="preserve">ALC-09</t>
  </si>
  <si>
    <t xml:space="preserve">Exterior gypsum / glass mat sheathing</t>
  </si>
  <si>
    <t xml:space="preserve">A09.26, A09.27</t>
  </si>
  <si>
    <t xml:space="preserve">ALC-10</t>
  </si>
  <si>
    <t xml:space="preserve">FRT plywood sheathing / substrate</t>
  </si>
  <si>
    <t xml:space="preserve">nailbase A09.26/A09.27; 12/A12.01</t>
  </si>
  <si>
    <t xml:space="preserve">ALC-11</t>
  </si>
  <si>
    <t xml:space="preserve">Gypsum board ceilings</t>
  </si>
  <si>
    <t xml:space="preserve">A04.01</t>
  </si>
  <si>
    <t xml:space="preserve">ALC-12</t>
  </si>
  <si>
    <t xml:space="preserve">Ceiling suspension</t>
  </si>
  <si>
    <t xml:space="preserve">furring, carrying, hanger wire, ceiling track; A04.01, A09.33</t>
  </si>
  <si>
    <t xml:space="preserve">ALC-13</t>
  </si>
  <si>
    <t xml:space="preserve">Soffits and bulkheads</t>
  </si>
  <si>
    <t xml:space="preserve">10/A09.33, 8/A09.33, 8/A12.01</t>
  </si>
  <si>
    <t xml:space="preserve">ALC-14</t>
  </si>
  <si>
    <t xml:space="preserve">Canopy framing and sheathing</t>
  </si>
  <si>
    <t xml:space="preserve">7/A09.26, A09.22</t>
  </si>
  <si>
    <t xml:space="preserve">ALC-15</t>
  </si>
  <si>
    <t xml:space="preserve">Column furring / wraps</t>
  </si>
  <si>
    <t xml:space="preserve">5/A09.25, 3/A08.21</t>
  </si>
  <si>
    <t xml:space="preserve">ALC-16</t>
  </si>
  <si>
    <t xml:space="preserve">Blocking</t>
  </si>
  <si>
    <t xml:space="preserve">4/S5.20, 4/A09.26, A11.0x</t>
  </si>
  <si>
    <t xml:space="preserve">ALC-17</t>
  </si>
  <si>
    <t xml:space="preserve">Framed openings (MEP)</t>
  </si>
  <si>
    <t xml:space="preserve">framed_openings.py; E02.01, M01.01</t>
  </si>
  <si>
    <t xml:space="preserve">ALC-18</t>
  </si>
  <si>
    <t xml:space="preserve">Trim</t>
  </si>
  <si>
    <t xml:space="preserve">8, 9/A12.01, 7/A09.33; control joints only in stucco (A09.31) -&gt; excluded</t>
  </si>
  <si>
    <t xml:space="preserve">ALC-19</t>
  </si>
  <si>
    <t xml:space="preserve">Acoustical sealant</t>
  </si>
  <si>
    <t xml:space="preserve">A12.01 por detalle</t>
  </si>
  <si>
    <t xml:space="preserve">ALC-20</t>
  </si>
  <si>
    <t xml:space="preserve">FRP / cement board</t>
  </si>
  <si>
    <t xml:space="preserve">A08.01, A05.01</t>
  </si>
  <si>
    <t xml:space="preserve">ALC-21</t>
  </si>
  <si>
    <t xml:space="preserve">Shaft walls / area separation walls</t>
  </si>
  <si>
    <t xml:space="preserve">NO APLICA</t>
  </si>
  <si>
    <t xml:space="preserve">A02.01: no shaft or area separation walls in the plan</t>
  </si>
  <si>
    <t xml:space="preserve">ALC-22</t>
  </si>
  <si>
    <t xml:space="preserve">Rated assemblies</t>
  </si>
  <si>
    <t xml:space="preserve">A02.01 / A12.01 partition schedule FIRE RATING '--' and U.L. NUMBER '--' for all types; A05.01</t>
  </si>
  <si>
    <t xml:space="preserve">ALC-23</t>
  </si>
  <si>
    <t xml:space="preserve">Special panels (ballistic)</t>
  </si>
  <si>
    <t xml:space="preserve">ALC-24</t>
  </si>
  <si>
    <t xml:space="preserve">Finish level</t>
  </si>
  <si>
    <t xml:space="preserve">Level 5 WC-18/WC-22 A00.40, A05.01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</si>
</sst>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11.771</v>
      </c>
      <c r="D6" s="0" t="n">
        <v>15.375</v>
      </c>
      <c r="E6" s="0" t="n">
        <v>4</v>
      </c>
      <c r="F6" s="0" t="s">
        <v>31</v>
      </c>
      <c r="G6" s="0" t="n">
        <v>16</v>
      </c>
      <c r="H6" s="0" t="n">
        <v>723.92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0.333</v>
      </c>
      <c r="D7" s="0" t="n">
        <v>15.375</v>
      </c>
      <c r="E7" s="0" t="n">
        <v>4</v>
      </c>
      <c r="F7" s="0" t="s">
        <v>31</v>
      </c>
      <c r="G7" s="0" t="n">
        <v>16</v>
      </c>
      <c r="H7" s="0" t="n">
        <v>20.48</v>
      </c>
      <c r="I7" s="0" t="s">
        <v>37</v>
      </c>
      <c r="J7" s="0" t="s">
        <v>38</v>
      </c>
      <c r="K7" s="0" t="s">
        <v>39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n">
        <v>3.507</v>
      </c>
      <c r="D8" s="0" t="n">
        <v>15.375</v>
      </c>
      <c r="E8" s="0" t="n">
        <v>4</v>
      </c>
      <c r="F8" s="0" t="s">
        <v>31</v>
      </c>
      <c r="G8" s="0" t="n">
        <v>16</v>
      </c>
      <c r="H8" s="0" t="n">
        <v>215.68</v>
      </c>
      <c r="I8" s="0" t="s">
        <v>37</v>
      </c>
      <c r="J8" s="0" t="s">
        <v>38</v>
      </c>
      <c r="K8" s="0" t="s">
        <v>39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n">
        <v>3.18</v>
      </c>
      <c r="D9" s="0" t="n">
        <v>15.375</v>
      </c>
      <c r="E9" s="0" t="n">
        <v>4</v>
      </c>
      <c r="F9" s="0" t="s">
        <v>31</v>
      </c>
      <c r="G9" s="0" t="n">
        <v>16</v>
      </c>
      <c r="H9" s="0" t="n">
        <v>195.58</v>
      </c>
      <c r="I9" s="0" t="s">
        <v>44</v>
      </c>
      <c r="J9" s="0" t="s">
        <v>38</v>
      </c>
      <c r="K9" s="0" t="s">
        <v>39</v>
      </c>
    </row>
    <row r="10" customFormat="false" ht="15" hidden="false" customHeight="false" outlineLevel="0" collapsed="false">
      <c r="A10" s="5" t="s">
        <v>45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n">
        <v>11.771</v>
      </c>
      <c r="D11" s="0" t="n">
        <v>15.375</v>
      </c>
      <c r="E11" s="0" t="n">
        <v>4</v>
      </c>
      <c r="F11" s="0" t="s">
        <v>31</v>
      </c>
      <c r="G11" s="0" t="n">
        <v>16</v>
      </c>
      <c r="H11" s="0" t="n">
        <v>723.92</v>
      </c>
      <c r="I11" s="0" t="s">
        <v>48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n">
        <v>11.771</v>
      </c>
      <c r="D12" s="0" t="n">
        <v>15.375</v>
      </c>
      <c r="E12" s="0" t="n">
        <v>4</v>
      </c>
      <c r="F12" s="0" t="s">
        <v>31</v>
      </c>
      <c r="G12" s="0" t="n">
        <v>16</v>
      </c>
      <c r="H12" s="0" t="n">
        <v>723.92</v>
      </c>
      <c r="I12" s="0" t="s">
        <v>51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n">
        <v>10.507</v>
      </c>
      <c r="D13" s="0" t="n">
        <v>15.375</v>
      </c>
      <c r="E13" s="0" t="n">
        <v>4</v>
      </c>
      <c r="F13" s="0" t="s">
        <v>31</v>
      </c>
      <c r="G13" s="0" t="n">
        <v>16</v>
      </c>
      <c r="H13" s="0" t="n">
        <v>646.18</v>
      </c>
      <c r="I13" s="0" t="s">
        <v>54</v>
      </c>
      <c r="J13" s="0" t="s">
        <v>33</v>
      </c>
      <c r="K13" s="0" t="s">
        <v>39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n">
        <v>2.42</v>
      </c>
      <c r="D14" s="0" t="n">
        <v>15.375</v>
      </c>
      <c r="E14" s="0" t="n">
        <v>4</v>
      </c>
      <c r="F14" s="0" t="s">
        <v>31</v>
      </c>
      <c r="G14" s="0" t="n">
        <v>16</v>
      </c>
      <c r="H14" s="0" t="n">
        <v>148.82</v>
      </c>
      <c r="I14" s="0" t="s">
        <v>57</v>
      </c>
      <c r="J14" s="0" t="s">
        <v>38</v>
      </c>
      <c r="K14" s="0" t="s">
        <v>39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n">
        <v>3.467</v>
      </c>
      <c r="D15" s="0" t="n">
        <v>15.375</v>
      </c>
      <c r="E15" s="0" t="n">
        <v>4</v>
      </c>
      <c r="F15" s="0" t="s">
        <v>31</v>
      </c>
      <c r="G15" s="0" t="n">
        <v>16</v>
      </c>
      <c r="H15" s="0" t="n">
        <v>213.22</v>
      </c>
      <c r="I15" s="0" t="s">
        <v>60</v>
      </c>
      <c r="J15" s="0" t="s">
        <v>38</v>
      </c>
      <c r="K15" s="0" t="s">
        <v>39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n">
        <v>3.253</v>
      </c>
      <c r="D16" s="0" t="n">
        <v>15.375</v>
      </c>
      <c r="E16" s="0" t="n">
        <v>4</v>
      </c>
      <c r="F16" s="0" t="s">
        <v>31</v>
      </c>
      <c r="G16" s="0" t="n">
        <v>16</v>
      </c>
      <c r="H16" s="0" t="n">
        <v>200.06</v>
      </c>
      <c r="I16" s="0" t="s">
        <v>63</v>
      </c>
      <c r="J16" s="0" t="s">
        <v>38</v>
      </c>
      <c r="K16" s="0" t="s">
        <v>39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n">
        <v>3.253</v>
      </c>
      <c r="D17" s="0" t="n">
        <v>15.375</v>
      </c>
      <c r="E17" s="0" t="n">
        <v>4</v>
      </c>
      <c r="F17" s="0" t="s">
        <v>31</v>
      </c>
      <c r="G17" s="0" t="n">
        <v>16</v>
      </c>
      <c r="H17" s="0" t="n">
        <v>200.06</v>
      </c>
      <c r="I17" s="0" t="s">
        <v>66</v>
      </c>
      <c r="J17" s="0" t="s">
        <v>38</v>
      </c>
      <c r="K17" s="0" t="s">
        <v>39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n">
        <v>0.333</v>
      </c>
      <c r="D18" s="0" t="n">
        <v>15.375</v>
      </c>
      <c r="E18" s="0" t="n">
        <v>4</v>
      </c>
      <c r="F18" s="0" t="s">
        <v>31</v>
      </c>
      <c r="G18" s="0" t="n">
        <v>16</v>
      </c>
      <c r="H18" s="0" t="n">
        <v>20.48</v>
      </c>
      <c r="I18" s="0" t="s">
        <v>66</v>
      </c>
      <c r="J18" s="0" t="s">
        <v>38</v>
      </c>
      <c r="K18" s="0" t="s">
        <v>39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n">
        <v>11.625</v>
      </c>
      <c r="D19" s="0" t="n">
        <v>15.375</v>
      </c>
      <c r="E19" s="0" t="n">
        <v>4</v>
      </c>
      <c r="F19" s="0" t="s">
        <v>31</v>
      </c>
      <c r="G19" s="0" t="n">
        <v>16</v>
      </c>
      <c r="H19" s="0" t="n">
        <v>714.94</v>
      </c>
      <c r="I19" s="0" t="s">
        <v>71</v>
      </c>
      <c r="J19" s="0" t="s">
        <v>33</v>
      </c>
      <c r="K19" s="0" t="s">
        <v>34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n">
        <v>11.625</v>
      </c>
      <c r="D20" s="0" t="n">
        <v>15.375</v>
      </c>
      <c r="E20" s="0" t="n">
        <v>4</v>
      </c>
      <c r="F20" s="0" t="s">
        <v>31</v>
      </c>
      <c r="G20" s="0" t="n">
        <v>16</v>
      </c>
      <c r="H20" s="0" t="n">
        <v>714.94</v>
      </c>
      <c r="I20" s="0" t="s">
        <v>74</v>
      </c>
      <c r="J20" s="0" t="s">
        <v>33</v>
      </c>
      <c r="K20" s="0" t="s">
        <v>34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n">
        <v>11.625</v>
      </c>
      <c r="D21" s="0" t="n">
        <v>15.375</v>
      </c>
      <c r="E21" s="0" t="n">
        <v>4</v>
      </c>
      <c r="F21" s="0" t="s">
        <v>31</v>
      </c>
      <c r="G21" s="0" t="n">
        <v>16</v>
      </c>
      <c r="H21" s="0" t="n">
        <v>714.94</v>
      </c>
      <c r="I21" s="0" t="s">
        <v>77</v>
      </c>
      <c r="J21" s="0" t="s">
        <v>33</v>
      </c>
      <c r="K21" s="0" t="s">
        <v>34</v>
      </c>
    </row>
    <row r="22" customFormat="false" ht="15" hidden="false" customHeight="false" outlineLevel="0" collapsed="false">
      <c r="A22" s="5" t="s">
        <v>78</v>
      </c>
    </row>
    <row r="23" customFormat="false" ht="15" hidden="false" customHeight="false" outlineLevel="0" collapsed="false">
      <c r="A23" s="0" t="s">
        <v>79</v>
      </c>
      <c r="B23" s="0" t="s">
        <v>80</v>
      </c>
      <c r="C23" s="0" t="n">
        <v>6.327</v>
      </c>
      <c r="D23" s="0" t="n">
        <v>15.375</v>
      </c>
      <c r="E23" s="0" t="n">
        <v>2</v>
      </c>
      <c r="F23" s="0" t="s">
        <v>81</v>
      </c>
      <c r="G23" s="0" t="n">
        <v>16</v>
      </c>
      <c r="H23" s="0" t="n">
        <v>131.96</v>
      </c>
      <c r="I23" s="0" t="s">
        <v>82</v>
      </c>
      <c r="J23" s="0" t="s">
        <v>83</v>
      </c>
      <c r="K23" s="0" t="s">
        <v>39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n">
        <v>11.74</v>
      </c>
      <c r="D24" s="0" t="n">
        <v>12.781</v>
      </c>
      <c r="E24" s="0" t="n">
        <v>2</v>
      </c>
      <c r="F24" s="0" t="s">
        <v>81</v>
      </c>
      <c r="G24" s="0" t="n">
        <v>16</v>
      </c>
      <c r="H24" s="0" t="n">
        <v>300.1</v>
      </c>
      <c r="I24" s="0" t="s">
        <v>86</v>
      </c>
      <c r="J24" s="0" t="s">
        <v>83</v>
      </c>
      <c r="K24" s="0" t="s">
        <v>39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0" t="n">
        <v>5.533</v>
      </c>
      <c r="D25" s="0" t="n">
        <v>15.375</v>
      </c>
      <c r="E25" s="0" t="n">
        <v>2</v>
      </c>
      <c r="F25" s="0" t="s">
        <v>81</v>
      </c>
      <c r="G25" s="0" t="n">
        <v>16</v>
      </c>
      <c r="H25" s="0" t="n">
        <v>122.36</v>
      </c>
      <c r="I25" s="0" t="s">
        <v>89</v>
      </c>
      <c r="J25" s="0" t="s">
        <v>83</v>
      </c>
      <c r="K25" s="0" t="s">
        <v>39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0" t="n">
        <v>15.787</v>
      </c>
      <c r="D26" s="0" t="n">
        <v>12.865</v>
      </c>
      <c r="E26" s="0" t="n">
        <v>2</v>
      </c>
      <c r="F26" s="0" t="s">
        <v>81</v>
      </c>
      <c r="G26" s="0" t="n">
        <v>16</v>
      </c>
      <c r="H26" s="0" t="n">
        <v>262.88</v>
      </c>
      <c r="I26" s="0" t="s">
        <v>92</v>
      </c>
      <c r="J26" s="0" t="s">
        <v>83</v>
      </c>
      <c r="K26" s="0" t="s">
        <v>39</v>
      </c>
    </row>
    <row r="27" customFormat="false" ht="15" hidden="false" customHeight="false" outlineLevel="0" collapsed="false">
      <c r="A27" s="5" t="s">
        <v>93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0" t="n">
        <v>17.763</v>
      </c>
      <c r="D28" s="0" t="n">
        <v>15.375</v>
      </c>
      <c r="E28" s="0" t="n">
        <v>2</v>
      </c>
      <c r="F28" s="0" t="s">
        <v>96</v>
      </c>
      <c r="G28" s="0" t="n">
        <v>16</v>
      </c>
      <c r="H28" s="0" t="n">
        <v>325.4</v>
      </c>
      <c r="I28" s="0" t="s">
        <v>97</v>
      </c>
      <c r="J28" s="0" t="s">
        <v>98</v>
      </c>
      <c r="K28" s="0" t="s">
        <v>39</v>
      </c>
    </row>
    <row r="29" customFormat="false" ht="15" hidden="false" customHeight="false" outlineLevel="0" collapsed="false">
      <c r="A29" s="5" t="s">
        <v>99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0" t="n">
        <v>17.02</v>
      </c>
      <c r="D30" s="0" t="n">
        <v>15.375</v>
      </c>
      <c r="E30" s="0" t="n">
        <v>2</v>
      </c>
      <c r="F30" s="0" t="s">
        <v>96</v>
      </c>
      <c r="G30" s="0" t="n">
        <v>16</v>
      </c>
      <c r="H30" s="0" t="n">
        <v>348.91</v>
      </c>
      <c r="I30" s="0" t="s">
        <v>102</v>
      </c>
      <c r="J30" s="0" t="s">
        <v>103</v>
      </c>
      <c r="K30" s="0" t="s">
        <v>39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0" t="n">
        <v>3.533</v>
      </c>
      <c r="D31" s="0" t="n">
        <v>15.375</v>
      </c>
      <c r="E31" s="0" t="n">
        <v>2</v>
      </c>
      <c r="F31" s="0" t="s">
        <v>96</v>
      </c>
      <c r="G31" s="0" t="n">
        <v>16</v>
      </c>
      <c r="H31" s="0" t="n">
        <v>86.12</v>
      </c>
      <c r="I31" s="0" t="s">
        <v>106</v>
      </c>
      <c r="J31" s="0" t="s">
        <v>103</v>
      </c>
      <c r="K31" s="0" t="s">
        <v>39</v>
      </c>
    </row>
    <row r="32" customFormat="false" ht="15" hidden="false" customHeight="false" outlineLevel="0" collapsed="false">
      <c r="A32" s="0" t="s">
        <v>107</v>
      </c>
      <c r="B32" s="0" t="s">
        <v>108</v>
      </c>
      <c r="C32" s="0" t="n">
        <v>2.627</v>
      </c>
      <c r="D32" s="0" t="n">
        <v>15.375</v>
      </c>
      <c r="E32" s="0" t="n">
        <v>2</v>
      </c>
      <c r="F32" s="0" t="s">
        <v>96</v>
      </c>
      <c r="G32" s="0" t="n">
        <v>16</v>
      </c>
      <c r="H32" s="0" t="n">
        <v>64.03</v>
      </c>
      <c r="I32" s="0" t="s">
        <v>109</v>
      </c>
      <c r="J32" s="0" t="s">
        <v>103</v>
      </c>
      <c r="K32" s="0" t="s">
        <v>39</v>
      </c>
    </row>
    <row r="33" customFormat="false" ht="15" hidden="false" customHeight="false" outlineLevel="0" collapsed="false">
      <c r="A33" s="0" t="s">
        <v>110</v>
      </c>
      <c r="B33" s="0" t="s">
        <v>111</v>
      </c>
      <c r="C33" s="0" t="n">
        <v>15.833</v>
      </c>
      <c r="D33" s="0" t="n">
        <v>12.971</v>
      </c>
      <c r="E33" s="0" t="n">
        <v>2</v>
      </c>
      <c r="F33" s="0" t="s">
        <v>96</v>
      </c>
      <c r="G33" s="0" t="n">
        <v>16</v>
      </c>
      <c r="H33" s="0" t="n">
        <v>285</v>
      </c>
      <c r="I33" s="0" t="s">
        <v>112</v>
      </c>
      <c r="J33" s="0" t="s">
        <v>113</v>
      </c>
      <c r="K33" s="0" t="s">
        <v>39</v>
      </c>
    </row>
    <row r="34" customFormat="false" ht="15" hidden="false" customHeight="false" outlineLevel="0" collapsed="false">
      <c r="A34" s="0" t="s">
        <v>114</v>
      </c>
      <c r="B34" s="0" t="s">
        <v>115</v>
      </c>
      <c r="C34" s="0" t="n">
        <v>5</v>
      </c>
      <c r="D34" s="0" t="n">
        <v>15.375</v>
      </c>
      <c r="E34" s="0" t="n">
        <v>2</v>
      </c>
      <c r="F34" s="0" t="s">
        <v>96</v>
      </c>
      <c r="G34" s="0" t="n">
        <v>16</v>
      </c>
      <c r="H34" s="0" t="n">
        <v>50.56</v>
      </c>
      <c r="I34" s="0" t="s">
        <v>116</v>
      </c>
      <c r="J34" s="0" t="s">
        <v>103</v>
      </c>
      <c r="K34" s="0" t="s">
        <v>39</v>
      </c>
    </row>
    <row r="35" customFormat="false" ht="15" hidden="false" customHeight="false" outlineLevel="0" collapsed="false">
      <c r="A35" s="0" t="s">
        <v>117</v>
      </c>
      <c r="B35" s="0" t="s">
        <v>118</v>
      </c>
      <c r="C35" s="0" t="n">
        <v>20.52</v>
      </c>
      <c r="D35" s="0" t="n">
        <v>12.963</v>
      </c>
      <c r="E35" s="0" t="n">
        <v>2</v>
      </c>
      <c r="F35" s="0" t="s">
        <v>96</v>
      </c>
      <c r="G35" s="0" t="n">
        <v>16</v>
      </c>
      <c r="H35" s="0" t="n">
        <v>402.9</v>
      </c>
      <c r="I35" s="0" t="s">
        <v>119</v>
      </c>
      <c r="J35" s="0" t="s">
        <v>103</v>
      </c>
      <c r="K35" s="0" t="s">
        <v>39</v>
      </c>
    </row>
    <row r="36" customFormat="false" ht="15" hidden="false" customHeight="false" outlineLevel="0" collapsed="false">
      <c r="A36" s="0" t="s">
        <v>120</v>
      </c>
      <c r="B36" s="0" t="s">
        <v>121</v>
      </c>
      <c r="C36" s="0" t="n">
        <v>1.733</v>
      </c>
      <c r="D36" s="0" t="n">
        <v>12.963</v>
      </c>
      <c r="E36" s="0" t="n">
        <v>2</v>
      </c>
      <c r="F36" s="0" t="s">
        <v>96</v>
      </c>
      <c r="G36" s="0" t="n">
        <v>16</v>
      </c>
      <c r="H36" s="0" t="n">
        <v>32.06</v>
      </c>
      <c r="I36" s="0" t="s">
        <v>122</v>
      </c>
      <c r="J36" s="0" t="s">
        <v>103</v>
      </c>
      <c r="K36" s="0" t="s">
        <v>39</v>
      </c>
    </row>
    <row r="37" customFormat="false" ht="15" hidden="false" customHeight="false" outlineLevel="0" collapsed="false">
      <c r="A37" s="0" t="s">
        <v>123</v>
      </c>
      <c r="B37" s="0" t="s">
        <v>124</v>
      </c>
      <c r="C37" s="0" t="n">
        <v>5.513</v>
      </c>
      <c r="D37" s="0" t="n">
        <v>12.927</v>
      </c>
      <c r="E37" s="0" t="n">
        <v>2</v>
      </c>
      <c r="F37" s="0" t="s">
        <v>96</v>
      </c>
      <c r="G37" s="0" t="n">
        <v>16</v>
      </c>
      <c r="H37" s="0" t="n">
        <v>47.55</v>
      </c>
      <c r="I37" s="0" t="s">
        <v>122</v>
      </c>
      <c r="J37" s="0" t="s">
        <v>103</v>
      </c>
      <c r="K37" s="0" t="s">
        <v>39</v>
      </c>
    </row>
    <row r="38" customFormat="false" ht="15" hidden="false" customHeight="false" outlineLevel="0" collapsed="false">
      <c r="A38" s="0" t="s">
        <v>125</v>
      </c>
      <c r="B38" s="0" t="s">
        <v>126</v>
      </c>
      <c r="C38" s="0" t="n">
        <v>11.667</v>
      </c>
      <c r="D38" s="0" t="n">
        <v>12.774</v>
      </c>
      <c r="E38" s="0" t="n">
        <v>2</v>
      </c>
      <c r="F38" s="0" t="s">
        <v>96</v>
      </c>
      <c r="G38" s="0" t="n">
        <v>16</v>
      </c>
      <c r="H38" s="0" t="n">
        <v>168.06</v>
      </c>
      <c r="I38" s="0" t="s">
        <v>127</v>
      </c>
      <c r="J38" s="0" t="s">
        <v>128</v>
      </c>
      <c r="K38" s="0" t="s">
        <v>34</v>
      </c>
    </row>
    <row r="39" customFormat="false" ht="15" hidden="false" customHeight="false" outlineLevel="0" collapsed="false">
      <c r="A39" s="0" t="s">
        <v>129</v>
      </c>
      <c r="B39" s="0" t="s">
        <v>130</v>
      </c>
      <c r="C39" s="0" t="n">
        <v>1.3</v>
      </c>
      <c r="D39" s="0" t="n">
        <v>12.957</v>
      </c>
      <c r="E39" s="0" t="n">
        <v>2</v>
      </c>
      <c r="F39" s="0" t="s">
        <v>96</v>
      </c>
      <c r="G39" s="0" t="n">
        <v>16</v>
      </c>
      <c r="H39" s="0" t="n">
        <v>23.4</v>
      </c>
      <c r="I39" s="0" t="s">
        <v>89</v>
      </c>
      <c r="J39" s="0" t="s">
        <v>103</v>
      </c>
      <c r="K39" s="0" t="s">
        <v>39</v>
      </c>
    </row>
    <row r="40" customFormat="false" ht="15" hidden="false" customHeight="false" outlineLevel="0" collapsed="false">
      <c r="A40" s="0" t="s">
        <v>131</v>
      </c>
      <c r="B40" s="0" t="s">
        <v>132</v>
      </c>
      <c r="C40" s="0" t="n">
        <v>4.073</v>
      </c>
      <c r="D40" s="0" t="n">
        <v>12.949</v>
      </c>
      <c r="E40" s="0" t="n">
        <v>2</v>
      </c>
      <c r="F40" s="0" t="s">
        <v>96</v>
      </c>
      <c r="G40" s="0" t="n">
        <v>16</v>
      </c>
      <c r="H40" s="0" t="n">
        <v>63.61</v>
      </c>
      <c r="I40" s="0" t="s">
        <v>133</v>
      </c>
      <c r="J40" s="0" t="s">
        <v>103</v>
      </c>
      <c r="K40" s="0" t="s">
        <v>39</v>
      </c>
    </row>
    <row r="41" customFormat="false" ht="15" hidden="false" customHeight="false" outlineLevel="0" collapsed="false">
      <c r="A41" s="0" t="s">
        <v>134</v>
      </c>
      <c r="B41" s="0" t="s">
        <v>135</v>
      </c>
      <c r="C41" s="0" t="n">
        <v>1.3</v>
      </c>
      <c r="D41" s="0" t="n">
        <v>12.865</v>
      </c>
      <c r="E41" s="0" t="n">
        <v>2</v>
      </c>
      <c r="F41" s="0" t="s">
        <v>96</v>
      </c>
      <c r="G41" s="0" t="n">
        <v>16</v>
      </c>
      <c r="H41" s="0" t="n">
        <v>23.4</v>
      </c>
      <c r="I41" s="0" t="s">
        <v>92</v>
      </c>
      <c r="J41" s="0" t="s">
        <v>103</v>
      </c>
      <c r="K41" s="0" t="s">
        <v>39</v>
      </c>
    </row>
    <row r="42" customFormat="false" ht="15" hidden="false" customHeight="false" outlineLevel="0" collapsed="false">
      <c r="A42" s="5" t="s">
        <v>136</v>
      </c>
    </row>
    <row r="43" customFormat="false" ht="15" hidden="false" customHeight="false" outlineLevel="0" collapsed="false">
      <c r="A43" s="0" t="s">
        <v>137</v>
      </c>
      <c r="B43" s="0" t="s">
        <v>138</v>
      </c>
      <c r="C43" s="0" t="n">
        <v>10</v>
      </c>
      <c r="D43" s="0" t="n">
        <v>15.375</v>
      </c>
      <c r="E43" s="0" t="n">
        <v>1</v>
      </c>
      <c r="F43" s="0" t="s">
        <v>96</v>
      </c>
      <c r="G43" s="0" t="n">
        <v>16</v>
      </c>
      <c r="H43" s="0" t="n">
        <v>153.75</v>
      </c>
      <c r="I43" s="0" t="s">
        <v>139</v>
      </c>
      <c r="J43" s="0" t="s">
        <v>140</v>
      </c>
      <c r="K43" s="0" t="s">
        <v>34</v>
      </c>
    </row>
    <row r="44" customFormat="false" ht="15" hidden="false" customHeight="false" outlineLevel="0" collapsed="false">
      <c r="A44" s="0" t="s">
        <v>141</v>
      </c>
      <c r="B44" s="0" t="s">
        <v>142</v>
      </c>
      <c r="C44" s="0" t="n">
        <v>2.153</v>
      </c>
      <c r="D44" s="0" t="n">
        <v>12.925</v>
      </c>
      <c r="E44" s="0" t="n">
        <v>1</v>
      </c>
      <c r="F44" s="0" t="s">
        <v>96</v>
      </c>
      <c r="G44" s="0" t="n">
        <v>16</v>
      </c>
      <c r="H44" s="0" t="n">
        <v>27.83</v>
      </c>
      <c r="I44" s="0" t="s">
        <v>143</v>
      </c>
      <c r="J44" s="0" t="s">
        <v>144</v>
      </c>
      <c r="K44" s="0" t="s">
        <v>39</v>
      </c>
    </row>
    <row r="45" customFormat="false" ht="15" hidden="false" customHeight="false" outlineLevel="0" collapsed="false">
      <c r="A45" s="0" t="s">
        <v>145</v>
      </c>
      <c r="B45" s="0" t="s">
        <v>146</v>
      </c>
      <c r="C45" s="0" t="n">
        <v>10.027</v>
      </c>
      <c r="D45" s="0" t="n">
        <v>12.918</v>
      </c>
      <c r="E45" s="0" t="n">
        <v>1</v>
      </c>
      <c r="F45" s="0" t="s">
        <v>96</v>
      </c>
      <c r="G45" s="0" t="n">
        <v>16</v>
      </c>
      <c r="H45" s="0" t="n">
        <v>129.53</v>
      </c>
      <c r="I45" s="0" t="s">
        <v>147</v>
      </c>
      <c r="J45" s="0" t="s">
        <v>148</v>
      </c>
      <c r="K45" s="0" t="s">
        <v>39</v>
      </c>
    </row>
    <row r="46" customFormat="false" ht="15" hidden="false" customHeight="false" outlineLevel="0" collapsed="false">
      <c r="A46" s="0" t="s">
        <v>149</v>
      </c>
      <c r="B46" s="0" t="s">
        <v>150</v>
      </c>
      <c r="C46" s="0" t="n">
        <v>10.027</v>
      </c>
      <c r="D46" s="0" t="n">
        <v>12.903</v>
      </c>
      <c r="E46" s="0" t="n">
        <v>1</v>
      </c>
      <c r="F46" s="0" t="s">
        <v>96</v>
      </c>
      <c r="G46" s="0" t="n">
        <v>16</v>
      </c>
      <c r="H46" s="0" t="n">
        <v>129.38</v>
      </c>
      <c r="I46" s="0" t="s">
        <v>151</v>
      </c>
      <c r="J46" s="0" t="s">
        <v>148</v>
      </c>
      <c r="K46" s="0" t="s">
        <v>39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n">
        <v>4</v>
      </c>
      <c r="D47" s="0" t="n">
        <v>15.375</v>
      </c>
      <c r="E47" s="0" t="n">
        <v>1</v>
      </c>
      <c r="F47" s="0" t="s">
        <v>96</v>
      </c>
      <c r="G47" s="0" t="n">
        <v>16</v>
      </c>
      <c r="H47" s="0" t="n">
        <v>61.5</v>
      </c>
      <c r="I47" s="0" t="s">
        <v>154</v>
      </c>
      <c r="J47" s="0" t="s">
        <v>155</v>
      </c>
      <c r="K47" s="0" t="s">
        <v>39</v>
      </c>
    </row>
    <row r="48" customFormat="false" ht="15" hidden="false" customHeight="false" outlineLevel="0" collapsed="false">
      <c r="A48" s="0" t="s">
        <v>156</v>
      </c>
      <c r="B48" s="0" t="s">
        <v>157</v>
      </c>
      <c r="C48" s="0" t="n">
        <v>4</v>
      </c>
      <c r="D48" s="0" t="n">
        <v>15.375</v>
      </c>
      <c r="E48" s="0" t="n">
        <v>1</v>
      </c>
      <c r="F48" s="0" t="s">
        <v>96</v>
      </c>
      <c r="G48" s="0" t="n">
        <v>16</v>
      </c>
      <c r="H48" s="0" t="n">
        <v>61.5</v>
      </c>
      <c r="I48" s="0" t="s">
        <v>154</v>
      </c>
      <c r="J48" s="0" t="s">
        <v>155</v>
      </c>
      <c r="K48" s="0" t="s">
        <v>39</v>
      </c>
    </row>
    <row r="49" customFormat="false" ht="15" hidden="false" customHeight="false" outlineLevel="0" collapsed="false">
      <c r="A49" s="5" t="s">
        <v>158</v>
      </c>
    </row>
    <row r="50" customFormat="false" ht="15" hidden="false" customHeight="false" outlineLevel="0" collapsed="false">
      <c r="A50" s="0" t="s">
        <v>159</v>
      </c>
      <c r="B50" s="0" t="s">
        <v>160</v>
      </c>
      <c r="C50" s="0" t="n">
        <v>15.074</v>
      </c>
      <c r="D50" s="0" t="n">
        <v>15.375</v>
      </c>
      <c r="E50" s="0" t="n">
        <v>2</v>
      </c>
      <c r="F50" s="0" t="s">
        <v>81</v>
      </c>
      <c r="G50" s="0" t="n">
        <v>16</v>
      </c>
      <c r="H50" s="0" t="n">
        <v>297.75</v>
      </c>
      <c r="I50" s="0" t="s">
        <v>161</v>
      </c>
      <c r="J50" s="0" t="s">
        <v>162</v>
      </c>
      <c r="K50" s="0" t="s">
        <v>39</v>
      </c>
    </row>
    <row r="51" customFormat="false" ht="15" hidden="false" customHeight="false" outlineLevel="0" collapsed="false">
      <c r="A51" s="0" t="s">
        <v>163</v>
      </c>
      <c r="B51" s="0" t="s">
        <v>164</v>
      </c>
      <c r="C51" s="0" t="n">
        <v>3.926</v>
      </c>
      <c r="D51" s="0" t="n">
        <v>13.052</v>
      </c>
      <c r="E51" s="0" t="n">
        <v>2</v>
      </c>
      <c r="F51" s="0" t="s">
        <v>81</v>
      </c>
      <c r="G51" s="0" t="n">
        <v>16</v>
      </c>
      <c r="H51" s="0" t="n">
        <v>72.63</v>
      </c>
      <c r="I51" s="0" t="s">
        <v>165</v>
      </c>
      <c r="J51" s="0" t="s">
        <v>162</v>
      </c>
      <c r="K51" s="0" t="s">
        <v>39</v>
      </c>
    </row>
    <row r="52" customFormat="false" ht="15" hidden="false" customHeight="false" outlineLevel="0" collapsed="false">
      <c r="A52" s="0" t="s">
        <v>166</v>
      </c>
      <c r="B52" s="0" t="s">
        <v>167</v>
      </c>
      <c r="C52" s="0" t="n">
        <v>11</v>
      </c>
      <c r="D52" s="0" t="n">
        <v>15.375</v>
      </c>
      <c r="E52" s="0" t="n">
        <v>2</v>
      </c>
      <c r="F52" s="0" t="s">
        <v>81</v>
      </c>
      <c r="G52" s="0" t="n">
        <v>16</v>
      </c>
      <c r="H52" s="0" t="n">
        <v>231</v>
      </c>
      <c r="I52" s="0" t="s">
        <v>168</v>
      </c>
      <c r="J52" s="0" t="s">
        <v>103</v>
      </c>
      <c r="K52" s="0" t="s">
        <v>39</v>
      </c>
    </row>
    <row r="53" customFormat="false" ht="15" hidden="false" customHeight="false" outlineLevel="0" collapsed="false">
      <c r="A53" s="0" t="s">
        <v>169</v>
      </c>
      <c r="B53" s="0" t="s">
        <v>170</v>
      </c>
      <c r="C53" s="0" t="n">
        <v>4.467</v>
      </c>
      <c r="D53" s="0" t="n">
        <v>15.375</v>
      </c>
      <c r="E53" s="0" t="n">
        <v>2</v>
      </c>
      <c r="F53" s="0" t="s">
        <v>81</v>
      </c>
      <c r="G53" s="0" t="n">
        <v>16</v>
      </c>
      <c r="H53" s="0" t="n">
        <v>32.62</v>
      </c>
      <c r="I53" s="0" t="s">
        <v>171</v>
      </c>
      <c r="J53" s="0" t="s">
        <v>103</v>
      </c>
      <c r="K53" s="0" t="s">
        <v>39</v>
      </c>
    </row>
    <row r="54" customFormat="false" ht="15" hidden="false" customHeight="false" outlineLevel="0" collapsed="false">
      <c r="A54" s="0" t="s">
        <v>172</v>
      </c>
      <c r="B54" s="0" t="s">
        <v>173</v>
      </c>
      <c r="C54" s="0" t="n">
        <v>3.28</v>
      </c>
      <c r="D54" s="0" t="n">
        <v>12.918</v>
      </c>
      <c r="E54" s="0" t="n">
        <v>2</v>
      </c>
      <c r="F54" s="0" t="s">
        <v>81</v>
      </c>
      <c r="G54" s="0" t="n">
        <v>16</v>
      </c>
      <c r="H54" s="0" t="n">
        <v>60.68</v>
      </c>
      <c r="I54" s="0" t="s">
        <v>174</v>
      </c>
      <c r="J54" s="0" t="s">
        <v>103</v>
      </c>
      <c r="K54" s="0" t="s">
        <v>39</v>
      </c>
    </row>
    <row r="55" customFormat="false" ht="15" hidden="false" customHeight="false" outlineLevel="0" collapsed="false">
      <c r="A55" s="5" t="s">
        <v>175</v>
      </c>
    </row>
    <row r="56" customFormat="false" ht="15" hidden="false" customHeight="false" outlineLevel="0" collapsed="false">
      <c r="A56" s="0" t="s">
        <v>176</v>
      </c>
      <c r="B56" s="0" t="s">
        <v>177</v>
      </c>
      <c r="C56" s="0" t="n">
        <v>9.987</v>
      </c>
      <c r="D56" s="0" t="n">
        <v>12.831</v>
      </c>
      <c r="E56" s="0" t="n">
        <v>2</v>
      </c>
      <c r="F56" s="0" t="s">
        <v>96</v>
      </c>
      <c r="G56" s="0" t="n">
        <v>16</v>
      </c>
      <c r="H56" s="0" t="n">
        <v>256.28</v>
      </c>
      <c r="I56" s="0" t="s">
        <v>178</v>
      </c>
      <c r="J56" s="0" t="s">
        <v>179</v>
      </c>
      <c r="K56" s="0" t="s">
        <v>39</v>
      </c>
    </row>
    <row r="57" customFormat="false" ht="15" hidden="false" customHeight="false" outlineLevel="0" collapsed="false">
      <c r="A57" s="0" t="s">
        <v>180</v>
      </c>
      <c r="B57" s="0" t="s">
        <v>181</v>
      </c>
      <c r="C57" s="0" t="n">
        <v>9.583</v>
      </c>
      <c r="D57" s="0" t="n">
        <v>12.702</v>
      </c>
      <c r="E57" s="0" t="n">
        <v>2</v>
      </c>
      <c r="F57" s="0" t="s">
        <v>96</v>
      </c>
      <c r="G57" s="0" t="n">
        <v>16</v>
      </c>
      <c r="H57" s="0" t="n">
        <v>243.44</v>
      </c>
      <c r="I57" s="0" t="s">
        <v>182</v>
      </c>
      <c r="J57" s="0" t="s">
        <v>179</v>
      </c>
      <c r="K57" s="0" t="s">
        <v>34</v>
      </c>
    </row>
    <row r="58" customFormat="false" ht="15" hidden="false" customHeight="false" outlineLevel="0" collapsed="false">
      <c r="A58" s="0" t="s">
        <v>183</v>
      </c>
      <c r="B58" s="0" t="s">
        <v>184</v>
      </c>
      <c r="C58" s="0" t="n">
        <v>14.147</v>
      </c>
      <c r="D58" s="0" t="n">
        <v>12.831</v>
      </c>
      <c r="E58" s="0" t="n">
        <v>2</v>
      </c>
      <c r="F58" s="0" t="s">
        <v>96</v>
      </c>
      <c r="G58" s="0" t="n">
        <v>16</v>
      </c>
      <c r="H58" s="0" t="n">
        <v>267.48</v>
      </c>
      <c r="I58" s="0" t="s">
        <v>185</v>
      </c>
      <c r="J58" s="0" t="s">
        <v>186</v>
      </c>
      <c r="K58" s="0" t="s">
        <v>39</v>
      </c>
    </row>
    <row r="59" customFormat="false" ht="15" hidden="false" customHeight="false" outlineLevel="0" collapsed="false">
      <c r="A59" s="0" t="s">
        <v>187</v>
      </c>
      <c r="B59" s="0" t="s">
        <v>188</v>
      </c>
      <c r="C59" s="0" t="n">
        <v>11.733</v>
      </c>
      <c r="D59" s="0" t="n">
        <v>12.751</v>
      </c>
      <c r="E59" s="0" t="n">
        <v>2</v>
      </c>
      <c r="F59" s="0" t="s">
        <v>96</v>
      </c>
      <c r="G59" s="0" t="n">
        <v>16</v>
      </c>
      <c r="H59" s="0" t="n">
        <v>251.44</v>
      </c>
      <c r="I59" s="0" t="s">
        <v>189</v>
      </c>
      <c r="J59" s="0" t="s">
        <v>83</v>
      </c>
      <c r="K59" s="0" t="s">
        <v>39</v>
      </c>
    </row>
    <row r="60" customFormat="false" ht="15" hidden="false" customHeight="false" outlineLevel="0" collapsed="false">
      <c r="A60" s="0" t="s">
        <v>190</v>
      </c>
      <c r="B60" s="0" t="s">
        <v>191</v>
      </c>
      <c r="C60" s="0" t="n">
        <v>3.5</v>
      </c>
      <c r="D60" s="0" t="n">
        <v>12.743</v>
      </c>
      <c r="E60" s="0" t="n">
        <v>2</v>
      </c>
      <c r="F60" s="0" t="s">
        <v>96</v>
      </c>
      <c r="G60" s="0" t="n">
        <v>16</v>
      </c>
      <c r="H60" s="0" t="n">
        <v>89.2</v>
      </c>
      <c r="I60" s="0" t="s">
        <v>192</v>
      </c>
      <c r="J60" s="0" t="s">
        <v>83</v>
      </c>
      <c r="K60" s="0" t="s">
        <v>39</v>
      </c>
    </row>
    <row r="61" customFormat="false" ht="15" hidden="false" customHeight="false" outlineLevel="0" collapsed="false">
      <c r="A61" s="0" t="s">
        <v>193</v>
      </c>
      <c r="B61" s="0" t="s">
        <v>194</v>
      </c>
      <c r="C61" s="0" t="n">
        <v>11.733</v>
      </c>
      <c r="D61" s="0" t="n">
        <v>12.67</v>
      </c>
      <c r="E61" s="0" t="n">
        <v>2</v>
      </c>
      <c r="F61" s="0" t="s">
        <v>96</v>
      </c>
      <c r="G61" s="0" t="n">
        <v>16</v>
      </c>
      <c r="H61" s="0" t="n">
        <v>297.32</v>
      </c>
      <c r="I61" s="0" t="s">
        <v>195</v>
      </c>
      <c r="J61" s="0" t="s">
        <v>83</v>
      </c>
      <c r="K61" s="0" t="s">
        <v>39</v>
      </c>
    </row>
    <row r="62" customFormat="false" ht="15" hidden="false" customHeight="false" outlineLevel="0" collapsed="false">
      <c r="A62" s="5" t="s">
        <v>196</v>
      </c>
    </row>
    <row r="63" customFormat="false" ht="15" hidden="false" customHeight="false" outlineLevel="0" collapsed="false">
      <c r="A63" s="0" t="s">
        <v>197</v>
      </c>
      <c r="B63" s="0" t="s">
        <v>198</v>
      </c>
      <c r="C63" s="0" t="n">
        <v>1.773</v>
      </c>
      <c r="D63" s="0" t="n">
        <v>15.375</v>
      </c>
      <c r="E63" s="0" t="n">
        <v>2</v>
      </c>
      <c r="F63" s="0" t="s">
        <v>81</v>
      </c>
      <c r="G63" s="0" t="n">
        <v>24</v>
      </c>
      <c r="H63" s="0" t="n">
        <v>54.52</v>
      </c>
      <c r="I63" s="0" t="s">
        <v>199</v>
      </c>
      <c r="J63" s="0" t="s">
        <v>200</v>
      </c>
      <c r="K63" s="0" t="s">
        <v>39</v>
      </c>
    </row>
    <row r="64" customFormat="false" ht="15" hidden="false" customHeight="false" outlineLevel="0" collapsed="false">
      <c r="A64" s="5" t="s">
        <v>201</v>
      </c>
    </row>
    <row r="65" customFormat="false" ht="15" hidden="false" customHeight="false" outlineLevel="0" collapsed="false">
      <c r="A65" s="0" t="s">
        <v>202</v>
      </c>
      <c r="B65" s="0" t="s">
        <v>203</v>
      </c>
      <c r="C65" s="0" t="n">
        <v>3.417</v>
      </c>
      <c r="D65" s="0" t="n">
        <v>15.375</v>
      </c>
      <c r="E65" s="0" t="n">
        <v>2</v>
      </c>
      <c r="F65" s="0" t="s">
        <v>96</v>
      </c>
      <c r="G65" s="0" t="n">
        <v>24</v>
      </c>
      <c r="H65" s="0" t="n">
        <v>105.08</v>
      </c>
      <c r="I65" s="0" t="s">
        <v>199</v>
      </c>
      <c r="J65" s="0" t="s">
        <v>204</v>
      </c>
      <c r="K65" s="0" t="s">
        <v>34</v>
      </c>
    </row>
    <row r="66" customFormat="false" ht="15" hidden="false" customHeight="false" outlineLevel="0" collapsed="false">
      <c r="A66" s="0" t="s">
        <v>205</v>
      </c>
      <c r="B66" s="0" t="s">
        <v>206</v>
      </c>
      <c r="C66" s="0" t="n">
        <v>3.417</v>
      </c>
      <c r="D66" s="0" t="n">
        <v>12.939</v>
      </c>
      <c r="E66" s="0" t="n">
        <v>2</v>
      </c>
      <c r="F66" s="0" t="s">
        <v>96</v>
      </c>
      <c r="G66" s="0" t="n">
        <v>24</v>
      </c>
      <c r="H66" s="0" t="n">
        <v>88.42</v>
      </c>
      <c r="I66" s="0" t="s">
        <v>207</v>
      </c>
      <c r="J66" s="0" t="s">
        <v>204</v>
      </c>
      <c r="K66" s="0" t="s">
        <v>34</v>
      </c>
    </row>
    <row r="67" customFormat="false" ht="15" hidden="false" customHeight="false" outlineLevel="0" collapsed="false">
      <c r="A67" s="0" t="s">
        <v>208</v>
      </c>
      <c r="B67" s="0" t="s">
        <v>209</v>
      </c>
      <c r="C67" s="0" t="n">
        <v>1.16</v>
      </c>
      <c r="D67" s="0" t="n">
        <v>12.927</v>
      </c>
      <c r="E67" s="0" t="n">
        <v>2</v>
      </c>
      <c r="F67" s="0" t="s">
        <v>96</v>
      </c>
      <c r="G67" s="0" t="n">
        <v>24</v>
      </c>
      <c r="H67" s="0" t="n">
        <v>30</v>
      </c>
      <c r="I67" s="0" t="s">
        <v>207</v>
      </c>
      <c r="J67" s="0" t="s">
        <v>200</v>
      </c>
      <c r="K67" s="0" t="s">
        <v>39</v>
      </c>
    </row>
    <row r="68" customFormat="false" ht="15" hidden="false" customHeight="false" outlineLevel="0" collapsed="false">
      <c r="A68" s="0" t="s">
        <v>210</v>
      </c>
      <c r="B68" s="0" t="s">
        <v>211</v>
      </c>
      <c r="C68" s="0" t="n">
        <v>0.587</v>
      </c>
      <c r="D68" s="0" t="n">
        <v>12.939</v>
      </c>
      <c r="E68" s="0" t="n">
        <v>2</v>
      </c>
      <c r="F68" s="0" t="s">
        <v>96</v>
      </c>
      <c r="G68" s="0" t="n">
        <v>24</v>
      </c>
      <c r="H68" s="0" t="n">
        <v>15.2</v>
      </c>
      <c r="I68" s="0" t="s">
        <v>212</v>
      </c>
      <c r="J68" s="0" t="s">
        <v>213</v>
      </c>
      <c r="K68" s="0" t="s">
        <v>39</v>
      </c>
    </row>
    <row r="69" customFormat="false" ht="15" hidden="false" customHeight="false" outlineLevel="0" collapsed="false">
      <c r="A69" s="0" t="s">
        <v>214</v>
      </c>
      <c r="B69" s="0" t="s">
        <v>215</v>
      </c>
      <c r="C69" s="0" t="n">
        <v>0.58</v>
      </c>
      <c r="D69" s="0" t="n">
        <v>15.375</v>
      </c>
      <c r="E69" s="0" t="n">
        <v>2</v>
      </c>
      <c r="F69" s="0" t="s">
        <v>96</v>
      </c>
      <c r="G69" s="0" t="n">
        <v>24</v>
      </c>
      <c r="H69" s="0" t="n">
        <v>17.84</v>
      </c>
      <c r="I69" s="0" t="s">
        <v>212</v>
      </c>
      <c r="J69" s="0" t="s">
        <v>213</v>
      </c>
      <c r="K69" s="0" t="s">
        <v>39</v>
      </c>
    </row>
    <row r="70" customFormat="false" ht="15" hidden="false" customHeight="false" outlineLevel="0" collapsed="false">
      <c r="A70" s="5" t="s">
        <v>216</v>
      </c>
    </row>
    <row r="71" customFormat="false" ht="15" hidden="false" customHeight="false" outlineLevel="0" collapsed="false">
      <c r="A71" s="0" t="s">
        <v>217</v>
      </c>
      <c r="B71" s="0" t="s">
        <v>218</v>
      </c>
      <c r="C71" s="0" t="n">
        <v>15.647</v>
      </c>
      <c r="D71" s="0" t="n">
        <v>5.375</v>
      </c>
      <c r="E71" s="0" t="n">
        <v>0</v>
      </c>
      <c r="F71" s="0" t="s">
        <v>96</v>
      </c>
      <c r="G71" s="0" t="n">
        <v>16</v>
      </c>
      <c r="H71" s="0" t="n">
        <v>0</v>
      </c>
      <c r="I71" s="0" t="s">
        <v>219</v>
      </c>
      <c r="J71" s="0" t="s">
        <v>220</v>
      </c>
      <c r="K71" s="0" t="s">
        <v>39</v>
      </c>
    </row>
    <row r="72" customFormat="false" ht="15" hidden="false" customHeight="false" outlineLevel="0" collapsed="false">
      <c r="A72" s="0" t="s">
        <v>221</v>
      </c>
      <c r="B72" s="0" t="s">
        <v>222</v>
      </c>
      <c r="C72" s="0" t="n">
        <v>6.417</v>
      </c>
      <c r="D72" s="0" t="n">
        <v>5.375</v>
      </c>
      <c r="E72" s="0" t="n">
        <v>1</v>
      </c>
      <c r="F72" s="0" t="s">
        <v>96</v>
      </c>
      <c r="G72" s="0" t="n">
        <v>16</v>
      </c>
      <c r="H72" s="0" t="n">
        <v>12.83</v>
      </c>
      <c r="I72" s="0" t="s">
        <v>223</v>
      </c>
      <c r="J72" s="0" t="s">
        <v>224</v>
      </c>
      <c r="K72" s="0" t="s">
        <v>34</v>
      </c>
    </row>
    <row r="73" customFormat="false" ht="15" hidden="false" customHeight="false" outlineLevel="0" collapsed="false">
      <c r="A73" s="5" t="s">
        <v>225</v>
      </c>
    </row>
    <row r="74" customFormat="false" ht="15" hidden="false" customHeight="false" outlineLevel="0" collapsed="false">
      <c r="A74" s="0" t="s">
        <v>226</v>
      </c>
      <c r="B74" s="0" t="s">
        <v>227</v>
      </c>
      <c r="C74" s="0" t="n">
        <v>13.333</v>
      </c>
      <c r="D74" s="0" t="n">
        <v>2</v>
      </c>
      <c r="E74" s="0" t="n">
        <v>1</v>
      </c>
      <c r="F74" s="0" t="s">
        <v>228</v>
      </c>
      <c r="G74" s="0" t="n">
        <v>16</v>
      </c>
      <c r="H74" s="0" t="n">
        <v>26.67</v>
      </c>
      <c r="I74" s="0" t="s">
        <v>223</v>
      </c>
      <c r="J74" s="0" t="s">
        <v>229</v>
      </c>
      <c r="K74" s="0" t="s">
        <v>39</v>
      </c>
    </row>
    <row r="75" customFormat="false" ht="15" hidden="false" customHeight="false" outlineLevel="0" collapsed="false">
      <c r="A75" s="5" t="s">
        <v>230</v>
      </c>
    </row>
    <row r="76" customFormat="false" ht="15" hidden="false" customHeight="false" outlineLevel="0" collapsed="false">
      <c r="A76" s="0" t="s">
        <v>231</v>
      </c>
      <c r="B76" s="0" t="s">
        <v>232</v>
      </c>
      <c r="C76" s="0" t="n">
        <v>7.5</v>
      </c>
      <c r="D76" s="0" t="n">
        <v>7.333</v>
      </c>
      <c r="E76" s="0" t="n">
        <v>4</v>
      </c>
      <c r="F76" s="0" t="s">
        <v>31</v>
      </c>
      <c r="G76" s="0" t="n">
        <v>16</v>
      </c>
      <c r="H76" s="0" t="n">
        <v>220</v>
      </c>
      <c r="I76" s="0" t="s">
        <v>233</v>
      </c>
      <c r="J76" s="0" t="s">
        <v>234</v>
      </c>
      <c r="K76" s="0" t="s">
        <v>34</v>
      </c>
    </row>
    <row r="77" customFormat="false" ht="15" hidden="false" customHeight="false" outlineLevel="0" collapsed="false">
      <c r="A77" s="0" t="s">
        <v>235</v>
      </c>
      <c r="B77" s="0" t="s">
        <v>236</v>
      </c>
      <c r="C77" s="0" t="n">
        <v>7.5</v>
      </c>
      <c r="D77" s="0" t="n">
        <v>7.333</v>
      </c>
      <c r="E77" s="0" t="n">
        <v>4</v>
      </c>
      <c r="F77" s="0" t="s">
        <v>31</v>
      </c>
      <c r="G77" s="0" t="n">
        <v>16</v>
      </c>
      <c r="H77" s="0" t="n">
        <v>220</v>
      </c>
      <c r="I77" s="0" t="s">
        <v>237</v>
      </c>
      <c r="J77" s="0" t="s">
        <v>234</v>
      </c>
      <c r="K77" s="0" t="s">
        <v>34</v>
      </c>
    </row>
    <row r="78" customFormat="false" ht="15" hidden="false" customHeight="false" outlineLevel="0" collapsed="false">
      <c r="A78" s="0" t="s">
        <v>238</v>
      </c>
      <c r="B78" s="0" t="s">
        <v>239</v>
      </c>
      <c r="C78" s="0" t="n">
        <v>7.5</v>
      </c>
      <c r="D78" s="0" t="n">
        <v>7.333</v>
      </c>
      <c r="E78" s="0" t="n">
        <v>4</v>
      </c>
      <c r="F78" s="0" t="s">
        <v>31</v>
      </c>
      <c r="G78" s="0" t="n">
        <v>16</v>
      </c>
      <c r="H78" s="0" t="n">
        <v>220</v>
      </c>
      <c r="I78" s="0" t="s">
        <v>240</v>
      </c>
      <c r="J78" s="0" t="s">
        <v>234</v>
      </c>
      <c r="K78" s="0" t="s">
        <v>34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n">
        <v>7.5</v>
      </c>
      <c r="D79" s="0" t="n">
        <v>7.333</v>
      </c>
      <c r="E79" s="0" t="n">
        <v>4</v>
      </c>
      <c r="F79" s="0" t="s">
        <v>31</v>
      </c>
      <c r="G79" s="0" t="n">
        <v>16</v>
      </c>
      <c r="H79" s="0" t="n">
        <v>220</v>
      </c>
      <c r="I79" s="0" t="s">
        <v>243</v>
      </c>
      <c r="J79" s="0" t="s">
        <v>234</v>
      </c>
      <c r="K79" s="0" t="s">
        <v>34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7.5</v>
      </c>
      <c r="D80" s="0" t="n">
        <v>7.333</v>
      </c>
      <c r="E80" s="0" t="n">
        <v>4</v>
      </c>
      <c r="F80" s="0" t="s">
        <v>31</v>
      </c>
      <c r="G80" s="0" t="n">
        <v>16</v>
      </c>
      <c r="H80" s="0" t="n">
        <v>220</v>
      </c>
      <c r="I80" s="0" t="s">
        <v>246</v>
      </c>
      <c r="J80" s="0" t="s">
        <v>234</v>
      </c>
      <c r="K80" s="0" t="s">
        <v>34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n">
        <v>7.5</v>
      </c>
      <c r="D81" s="0" t="n">
        <v>7.333</v>
      </c>
      <c r="E81" s="0" t="n">
        <v>4</v>
      </c>
      <c r="F81" s="0" t="s">
        <v>31</v>
      </c>
      <c r="G81" s="0" t="n">
        <v>16</v>
      </c>
      <c r="H81" s="0" t="n">
        <v>220</v>
      </c>
      <c r="I81" s="0" t="s">
        <v>249</v>
      </c>
      <c r="J81" s="0" t="s">
        <v>234</v>
      </c>
      <c r="K81" s="0" t="s">
        <v>34</v>
      </c>
    </row>
    <row r="82" customFormat="false" ht="15" hidden="false" customHeight="false" outlineLevel="0" collapsed="false">
      <c r="A82" s="5" t="s">
        <v>250</v>
      </c>
    </row>
    <row r="83" customFormat="false" ht="15" hidden="false" customHeight="false" outlineLevel="0" collapsed="false">
      <c r="A83" s="0" t="s">
        <v>251</v>
      </c>
      <c r="B83" s="0" t="s">
        <v>252</v>
      </c>
      <c r="C83" s="0" t="n">
        <v>12.64</v>
      </c>
      <c r="D83" s="0" t="n">
        <v>14.362</v>
      </c>
      <c r="E83" s="0" t="n">
        <v>1</v>
      </c>
      <c r="F83" s="0" t="s">
        <v>81</v>
      </c>
      <c r="G83" s="0" t="n">
        <v>16</v>
      </c>
      <c r="H83" s="0" t="n">
        <v>194.34</v>
      </c>
      <c r="I83" s="0" t="s">
        <v>253</v>
      </c>
      <c r="J83" s="0" t="s">
        <v>254</v>
      </c>
      <c r="K83" s="0" t="s">
        <v>39</v>
      </c>
    </row>
    <row r="84" customFormat="false" ht="15" hidden="false" customHeight="false" outlineLevel="0" collapsed="false">
      <c r="A84" s="0" t="s">
        <v>255</v>
      </c>
      <c r="B84" s="0" t="s">
        <v>256</v>
      </c>
      <c r="C84" s="0" t="n">
        <v>26.25</v>
      </c>
      <c r="D84" s="0" t="n">
        <v>4.525</v>
      </c>
      <c r="E84" s="0" t="n">
        <v>1</v>
      </c>
      <c r="F84" s="0" t="s">
        <v>81</v>
      </c>
      <c r="G84" s="0" t="n">
        <v>16</v>
      </c>
      <c r="H84" s="0" t="n">
        <v>180.47</v>
      </c>
      <c r="I84" s="0" t="s">
        <v>257</v>
      </c>
      <c r="J84" s="0" t="s">
        <v>258</v>
      </c>
      <c r="K84" s="0" t="s">
        <v>34</v>
      </c>
    </row>
    <row r="85" customFormat="false" ht="15" hidden="false" customHeight="false" outlineLevel="0" collapsed="false">
      <c r="A85" s="0" t="s">
        <v>259</v>
      </c>
      <c r="B85" s="0" t="s">
        <v>260</v>
      </c>
      <c r="C85" s="0" t="n">
        <v>12.563</v>
      </c>
      <c r="D85" s="0" t="n">
        <v>4.987</v>
      </c>
      <c r="E85" s="0" t="n">
        <v>1</v>
      </c>
      <c r="F85" s="0" t="s">
        <v>81</v>
      </c>
      <c r="G85" s="0" t="n">
        <v>16</v>
      </c>
      <c r="H85" s="0" t="n">
        <v>86.37</v>
      </c>
      <c r="I85" s="0" t="s">
        <v>261</v>
      </c>
      <c r="J85" s="0" t="s">
        <v>262</v>
      </c>
      <c r="K85" s="0" t="s">
        <v>34</v>
      </c>
    </row>
    <row r="86" customFormat="false" ht="15" hidden="false" customHeight="false" outlineLevel="0" collapsed="false">
      <c r="A86" s="0" t="s">
        <v>263</v>
      </c>
      <c r="B86" s="0" t="s">
        <v>264</v>
      </c>
      <c r="C86" s="0" t="n">
        <v>7.172</v>
      </c>
      <c r="D86" s="0" t="n">
        <v>14.362</v>
      </c>
      <c r="E86" s="0" t="n">
        <v>0</v>
      </c>
      <c r="F86" s="0" t="s">
        <v>81</v>
      </c>
      <c r="G86" s="0" t="n">
        <v>16</v>
      </c>
      <c r="H86" s="0" t="n">
        <v>0</v>
      </c>
      <c r="I86" s="0" t="s">
        <v>265</v>
      </c>
      <c r="J86" s="0" t="s">
        <v>266</v>
      </c>
      <c r="K86" s="0" t="s">
        <v>39</v>
      </c>
    </row>
    <row r="87" customFormat="false" ht="15" hidden="false" customHeight="false" outlineLevel="0" collapsed="false">
      <c r="A87" s="0" t="s">
        <v>267</v>
      </c>
      <c r="B87" s="0" t="s">
        <v>268</v>
      </c>
      <c r="C87" s="0" t="n">
        <v>9.066</v>
      </c>
      <c r="D87" s="0" t="n">
        <v>14.362</v>
      </c>
      <c r="E87" s="0" t="n">
        <v>0</v>
      </c>
      <c r="F87" s="0" t="s">
        <v>81</v>
      </c>
      <c r="G87" s="0" t="n">
        <v>16</v>
      </c>
      <c r="H87" s="0" t="n">
        <v>0</v>
      </c>
      <c r="I87" s="0" t="s">
        <v>265</v>
      </c>
      <c r="J87" s="0" t="s">
        <v>269</v>
      </c>
      <c r="K87" s="0" t="s">
        <v>39</v>
      </c>
    </row>
    <row r="88" customFormat="false" ht="15" hidden="false" customHeight="false" outlineLevel="0" collapsed="false">
      <c r="A88" s="0" t="s">
        <v>270</v>
      </c>
      <c r="B88" s="0" t="s">
        <v>271</v>
      </c>
      <c r="C88" s="0" t="n">
        <v>51.034</v>
      </c>
      <c r="D88" s="0" t="n">
        <v>14.362</v>
      </c>
      <c r="E88" s="0" t="n">
        <v>1</v>
      </c>
      <c r="F88" s="0" t="s">
        <v>81</v>
      </c>
      <c r="G88" s="0" t="n">
        <v>16</v>
      </c>
      <c r="H88" s="0" t="n">
        <v>716.65</v>
      </c>
      <c r="I88" s="0" t="s">
        <v>272</v>
      </c>
      <c r="J88" s="0" t="s">
        <v>273</v>
      </c>
      <c r="K88" s="0" t="s">
        <v>39</v>
      </c>
    </row>
    <row r="89" customFormat="false" ht="15" hidden="false" customHeight="false" outlineLevel="0" collapsed="false">
      <c r="A89" s="0" t="s">
        <v>274</v>
      </c>
      <c r="B89" s="0" t="s">
        <v>275</v>
      </c>
      <c r="C89" s="0" t="n">
        <v>25.406</v>
      </c>
      <c r="D89" s="0" t="n">
        <v>11.646</v>
      </c>
      <c r="E89" s="0" t="n">
        <v>1</v>
      </c>
      <c r="F89" s="0" t="s">
        <v>81</v>
      </c>
      <c r="G89" s="0" t="n">
        <v>16</v>
      </c>
      <c r="H89" s="0" t="n">
        <v>324.97</v>
      </c>
      <c r="I89" s="0" t="s">
        <v>276</v>
      </c>
      <c r="J89" s="0" t="s">
        <v>277</v>
      </c>
      <c r="K89" s="0" t="s">
        <v>39</v>
      </c>
    </row>
    <row r="90" customFormat="false" ht="15" hidden="false" customHeight="false" outlineLevel="0" collapsed="false">
      <c r="A90" s="0" t="s">
        <v>278</v>
      </c>
      <c r="B90" s="0" t="s">
        <v>279</v>
      </c>
      <c r="C90" s="0" t="n">
        <v>17.671</v>
      </c>
      <c r="D90" s="0" t="n">
        <v>11.386</v>
      </c>
      <c r="E90" s="0" t="n">
        <v>1</v>
      </c>
      <c r="F90" s="0" t="s">
        <v>81</v>
      </c>
      <c r="G90" s="0" t="n">
        <v>16</v>
      </c>
      <c r="H90" s="0" t="n">
        <v>221.44</v>
      </c>
      <c r="I90" s="0" t="s">
        <v>280</v>
      </c>
      <c r="J90" s="0" t="s">
        <v>281</v>
      </c>
      <c r="K90" s="0" t="s">
        <v>39</v>
      </c>
    </row>
    <row r="91" customFormat="false" ht="15" hidden="false" customHeight="false" outlineLevel="0" collapsed="false">
      <c r="A91" s="0" t="s">
        <v>282</v>
      </c>
      <c r="B91" s="0" t="s">
        <v>283</v>
      </c>
      <c r="C91" s="0" t="n">
        <v>34.062</v>
      </c>
      <c r="D91" s="0" t="n">
        <v>11.056</v>
      </c>
      <c r="E91" s="0" t="n">
        <v>1</v>
      </c>
      <c r="F91" s="0" t="s">
        <v>81</v>
      </c>
      <c r="G91" s="0" t="n">
        <v>16</v>
      </c>
      <c r="H91" s="0" t="n">
        <v>399.61</v>
      </c>
      <c r="I91" s="0" t="s">
        <v>284</v>
      </c>
      <c r="J91" s="0" t="s">
        <v>281</v>
      </c>
      <c r="K91" s="0" t="s">
        <v>39</v>
      </c>
    </row>
    <row r="92" customFormat="false" ht="15" hidden="false" customHeight="false" outlineLevel="0" collapsed="false">
      <c r="A92" s="0" t="s">
        <v>285</v>
      </c>
      <c r="B92" s="0" t="s">
        <v>286</v>
      </c>
      <c r="C92" s="0" t="n">
        <v>25.406</v>
      </c>
      <c r="D92" s="0" t="n">
        <v>11.646</v>
      </c>
      <c r="E92" s="0" t="n">
        <v>1</v>
      </c>
      <c r="F92" s="0" t="s">
        <v>81</v>
      </c>
      <c r="G92" s="0" t="n">
        <v>16</v>
      </c>
      <c r="H92" s="0" t="n">
        <v>324.97</v>
      </c>
      <c r="I92" s="0" t="s">
        <v>287</v>
      </c>
      <c r="J92" s="0" t="s">
        <v>288</v>
      </c>
      <c r="K92" s="0" t="s">
        <v>39</v>
      </c>
    </row>
    <row r="93" customFormat="false" ht="15" hidden="false" customHeight="false" outlineLevel="0" collapsed="false">
      <c r="A93" s="0" t="s">
        <v>289</v>
      </c>
      <c r="B93" s="0" t="s">
        <v>290</v>
      </c>
      <c r="C93" s="0" t="n">
        <v>23.074</v>
      </c>
      <c r="D93" s="0" t="n">
        <v>14.362</v>
      </c>
      <c r="E93" s="0" t="n">
        <v>1</v>
      </c>
      <c r="F93" s="0" t="s">
        <v>81</v>
      </c>
      <c r="G93" s="0" t="n">
        <v>16</v>
      </c>
      <c r="H93" s="0" t="n">
        <v>320.76</v>
      </c>
      <c r="I93" s="0" t="s">
        <v>291</v>
      </c>
      <c r="J93" s="0" t="s">
        <v>292</v>
      </c>
      <c r="K93" s="0" t="s">
        <v>39</v>
      </c>
    </row>
    <row r="94" customFormat="false" ht="15" hidden="false" customHeight="false" outlineLevel="0" collapsed="false">
      <c r="A94" s="0" t="s">
        <v>293</v>
      </c>
      <c r="B94" s="0" t="s">
        <v>294</v>
      </c>
      <c r="C94" s="0" t="n">
        <v>3.353</v>
      </c>
      <c r="D94" s="0" t="n">
        <v>14.362</v>
      </c>
      <c r="E94" s="0" t="n">
        <v>1</v>
      </c>
      <c r="F94" s="0" t="s">
        <v>81</v>
      </c>
      <c r="G94" s="0" t="n">
        <v>16</v>
      </c>
      <c r="H94" s="0" t="n">
        <v>51.55</v>
      </c>
      <c r="I94" s="0" t="s">
        <v>295</v>
      </c>
      <c r="J94" s="0" t="s">
        <v>296</v>
      </c>
      <c r="K94" s="0" t="s">
        <v>39</v>
      </c>
    </row>
    <row r="95" customFormat="false" ht="15" hidden="false" customHeight="false" outlineLevel="0" collapsed="false">
      <c r="A95" s="0" t="s">
        <v>297</v>
      </c>
      <c r="B95" s="0" t="s">
        <v>298</v>
      </c>
      <c r="C95" s="0" t="n">
        <v>21.46</v>
      </c>
      <c r="D95" s="0" t="n">
        <v>14.362</v>
      </c>
      <c r="E95" s="0" t="n">
        <v>1</v>
      </c>
      <c r="F95" s="0" t="s">
        <v>81</v>
      </c>
      <c r="G95" s="0" t="n">
        <v>16</v>
      </c>
      <c r="H95" s="0" t="n">
        <v>324.28</v>
      </c>
      <c r="I95" s="0" t="s">
        <v>299</v>
      </c>
      <c r="J95" s="0" t="s">
        <v>300</v>
      </c>
      <c r="K95" s="0" t="s">
        <v>39</v>
      </c>
    </row>
    <row r="96" customFormat="false" ht="15" hidden="false" customHeight="false" outlineLevel="0" collapsed="false">
      <c r="A96" s="0" t="s">
        <v>301</v>
      </c>
      <c r="B96" s="0" t="s">
        <v>302</v>
      </c>
      <c r="C96" s="0" t="n">
        <v>6.5</v>
      </c>
      <c r="D96" s="0" t="n">
        <v>4.987</v>
      </c>
      <c r="E96" s="0" t="n">
        <v>1</v>
      </c>
      <c r="F96" s="0" t="s">
        <v>81</v>
      </c>
      <c r="G96" s="0" t="n">
        <v>16</v>
      </c>
      <c r="H96" s="0" t="n">
        <v>44.69</v>
      </c>
      <c r="I96" s="0" t="s">
        <v>261</v>
      </c>
      <c r="J96" s="0" t="s">
        <v>303</v>
      </c>
      <c r="K96" s="0" t="s">
        <v>34</v>
      </c>
    </row>
    <row r="97" customFormat="false" ht="15" hidden="false" customHeight="false" outlineLevel="0" collapsed="false">
      <c r="A97" s="5" t="s">
        <v>304</v>
      </c>
    </row>
    <row r="98" customFormat="false" ht="15" hidden="false" customHeight="false" outlineLevel="0" collapsed="false">
      <c r="A98" s="0" t="s">
        <v>305</v>
      </c>
      <c r="B98" s="0" t="s">
        <v>306</v>
      </c>
      <c r="C98" s="0" t="n">
        <v>51.593</v>
      </c>
      <c r="D98" s="0" t="n">
        <v>3.112</v>
      </c>
      <c r="E98" s="0" t="n">
        <v>0</v>
      </c>
      <c r="F98" s="0" t="s">
        <v>96</v>
      </c>
      <c r="G98" s="0" t="n">
        <v>16</v>
      </c>
      <c r="H98" s="0" t="n">
        <v>0</v>
      </c>
      <c r="I98" s="0" t="s">
        <v>307</v>
      </c>
      <c r="J98" s="0" t="s">
        <v>308</v>
      </c>
      <c r="K98" s="0" t="s">
        <v>39</v>
      </c>
    </row>
    <row r="99" customFormat="false" ht="15" hidden="false" customHeight="false" outlineLevel="0" collapsed="false">
      <c r="A99" s="0" t="s">
        <v>309</v>
      </c>
      <c r="B99" s="0" t="s">
        <v>310</v>
      </c>
      <c r="C99" s="0" t="n">
        <v>51.593</v>
      </c>
      <c r="D99" s="0" t="n">
        <v>3.468</v>
      </c>
      <c r="E99" s="0" t="n">
        <v>1</v>
      </c>
      <c r="F99" s="0" t="s">
        <v>96</v>
      </c>
      <c r="G99" s="0" t="n">
        <v>16</v>
      </c>
      <c r="H99" s="0" t="n">
        <v>178.92</v>
      </c>
      <c r="I99" s="0" t="s">
        <v>311</v>
      </c>
      <c r="J99" s="0" t="s">
        <v>308</v>
      </c>
      <c r="K99" s="0" t="s">
        <v>39</v>
      </c>
    </row>
    <row r="100" customFormat="false" ht="15" hidden="false" customHeight="false" outlineLevel="0" collapsed="false">
      <c r="A100" s="0" t="s">
        <v>312</v>
      </c>
      <c r="B100" s="0" t="s">
        <v>313</v>
      </c>
      <c r="C100" s="0" t="n">
        <v>51.593</v>
      </c>
      <c r="D100" s="0" t="n">
        <v>1.145</v>
      </c>
      <c r="E100" s="0" t="n">
        <v>2</v>
      </c>
      <c r="F100" s="0" t="s">
        <v>96</v>
      </c>
      <c r="G100" s="0" t="n">
        <v>16</v>
      </c>
      <c r="H100" s="0" t="n">
        <v>125.73</v>
      </c>
      <c r="I100" s="0" t="s">
        <v>314</v>
      </c>
      <c r="J100" s="0" t="s">
        <v>308</v>
      </c>
      <c r="K100" s="0" t="s">
        <v>39</v>
      </c>
    </row>
    <row r="101" customFormat="false" ht="15" hidden="false" customHeight="false" outlineLevel="0" collapsed="false">
      <c r="A101" s="5" t="s">
        <v>315</v>
      </c>
    </row>
    <row r="102" customFormat="false" ht="15" hidden="false" customHeight="false" outlineLevel="0" collapsed="false">
      <c r="A102" s="0" t="s">
        <v>316</v>
      </c>
      <c r="B102" s="0" t="s">
        <v>317</v>
      </c>
      <c r="C102" s="0" t="n">
        <v>29.327</v>
      </c>
      <c r="D102" s="0" t="n">
        <v>4.292</v>
      </c>
      <c r="E102" s="0" t="n">
        <v>0</v>
      </c>
      <c r="F102" s="0" t="s">
        <v>318</v>
      </c>
      <c r="G102" s="0" t="n">
        <v>16</v>
      </c>
      <c r="H102" s="0" t="n">
        <v>0</v>
      </c>
      <c r="I102" s="0" t="s">
        <v>319</v>
      </c>
      <c r="J102" s="0" t="s">
        <v>320</v>
      </c>
      <c r="K102" s="0" t="s">
        <v>39</v>
      </c>
    </row>
    <row r="103" customFormat="false" ht="15" hidden="false" customHeight="false" outlineLevel="0" collapsed="false">
      <c r="A103" s="0" t="s">
        <v>321</v>
      </c>
      <c r="B103" s="0" t="s">
        <v>322</v>
      </c>
      <c r="C103" s="0" t="n">
        <v>16.687</v>
      </c>
      <c r="D103" s="0" t="n">
        <v>4.292</v>
      </c>
      <c r="E103" s="0" t="n">
        <v>0</v>
      </c>
      <c r="F103" s="0" t="s">
        <v>318</v>
      </c>
      <c r="G103" s="0" t="n">
        <v>16</v>
      </c>
      <c r="H103" s="0" t="n">
        <v>0</v>
      </c>
      <c r="I103" s="0" t="s">
        <v>319</v>
      </c>
      <c r="J103" s="0" t="s">
        <v>323</v>
      </c>
      <c r="K103" s="0" t="s">
        <v>39</v>
      </c>
    </row>
    <row r="104" customFormat="false" ht="15" hidden="false" customHeight="false" outlineLevel="0" collapsed="false">
      <c r="A104" s="0" t="s">
        <v>324</v>
      </c>
      <c r="B104" s="0" t="s">
        <v>325</v>
      </c>
      <c r="C104" s="0" t="n">
        <v>4.093</v>
      </c>
      <c r="D104" s="0" t="n">
        <v>4.292</v>
      </c>
      <c r="E104" s="0" t="n">
        <v>0</v>
      </c>
      <c r="F104" s="0" t="s">
        <v>318</v>
      </c>
      <c r="G104" s="0" t="n">
        <v>16</v>
      </c>
      <c r="H104" s="0" t="n">
        <v>0</v>
      </c>
      <c r="I104" s="0" t="s">
        <v>319</v>
      </c>
      <c r="J104" s="0" t="s">
        <v>326</v>
      </c>
      <c r="K104" s="0" t="s">
        <v>39</v>
      </c>
    </row>
    <row r="105" customFormat="false" ht="15" hidden="false" customHeight="false" outlineLevel="0" collapsed="false">
      <c r="A105" s="0" t="s">
        <v>327</v>
      </c>
      <c r="B105" s="0" t="s">
        <v>328</v>
      </c>
      <c r="C105" s="0" t="n">
        <v>39.857</v>
      </c>
      <c r="D105" s="0" t="n">
        <v>2.042</v>
      </c>
      <c r="E105" s="0" t="n">
        <v>0</v>
      </c>
      <c r="F105" s="0" t="s">
        <v>318</v>
      </c>
      <c r="G105" s="0" t="n">
        <v>16</v>
      </c>
      <c r="H105" s="0" t="n">
        <v>0</v>
      </c>
      <c r="I105" s="0" t="s">
        <v>319</v>
      </c>
      <c r="J105" s="0" t="s">
        <v>329</v>
      </c>
      <c r="K105" s="0" t="s">
        <v>39</v>
      </c>
    </row>
    <row r="106" customFormat="false" ht="15" hidden="false" customHeight="false" outlineLevel="0" collapsed="false">
      <c r="A106" s="0" t="s">
        <v>330</v>
      </c>
      <c r="B106" s="0" t="s">
        <v>331</v>
      </c>
      <c r="C106" s="0" t="n">
        <v>51.297</v>
      </c>
      <c r="D106" s="0" t="n">
        <v>2.042</v>
      </c>
      <c r="E106" s="0" t="n">
        <v>0</v>
      </c>
      <c r="F106" s="0" t="s">
        <v>318</v>
      </c>
      <c r="G106" s="0" t="n">
        <v>16</v>
      </c>
      <c r="H106" s="0" t="n">
        <v>0</v>
      </c>
      <c r="I106" s="0" t="s">
        <v>319</v>
      </c>
      <c r="J106" s="0" t="s">
        <v>332</v>
      </c>
      <c r="K106" s="0" t="s">
        <v>39</v>
      </c>
    </row>
    <row r="107" customFormat="false" ht="15" hidden="false" customHeight="false" outlineLevel="0" collapsed="false">
      <c r="A107" s="0" t="s">
        <v>333</v>
      </c>
      <c r="B107" s="0" t="s">
        <v>334</v>
      </c>
      <c r="C107" s="0" t="n">
        <v>24.957</v>
      </c>
      <c r="D107" s="0" t="n">
        <v>4.626</v>
      </c>
      <c r="E107" s="0" t="n">
        <v>0</v>
      </c>
      <c r="F107" s="0" t="s">
        <v>318</v>
      </c>
      <c r="G107" s="0" t="n">
        <v>16</v>
      </c>
      <c r="H107" s="0" t="n">
        <v>0</v>
      </c>
      <c r="I107" s="0" t="s">
        <v>319</v>
      </c>
      <c r="J107" s="0" t="s">
        <v>335</v>
      </c>
      <c r="K107" s="0" t="s">
        <v>39</v>
      </c>
    </row>
    <row r="108" customFormat="false" ht="15" hidden="false" customHeight="false" outlineLevel="0" collapsed="false">
      <c r="A108" s="0" t="s">
        <v>336</v>
      </c>
      <c r="B108" s="0" t="s">
        <v>337</v>
      </c>
      <c r="C108" s="0" t="n">
        <v>52.637</v>
      </c>
      <c r="D108" s="0" t="n">
        <v>4.886</v>
      </c>
      <c r="E108" s="0" t="n">
        <v>0</v>
      </c>
      <c r="F108" s="0" t="s">
        <v>318</v>
      </c>
      <c r="G108" s="0" t="n">
        <v>16</v>
      </c>
      <c r="H108" s="0" t="n">
        <v>0</v>
      </c>
      <c r="I108" s="0" t="s">
        <v>319</v>
      </c>
      <c r="J108" s="0" t="s">
        <v>338</v>
      </c>
      <c r="K108" s="0" t="s">
        <v>39</v>
      </c>
    </row>
    <row r="109" customFormat="false" ht="15" hidden="false" customHeight="false" outlineLevel="0" collapsed="false">
      <c r="A109" s="0" t="s">
        <v>339</v>
      </c>
      <c r="B109" s="0" t="s">
        <v>340</v>
      </c>
      <c r="C109" s="0" t="n">
        <v>24.957</v>
      </c>
      <c r="D109" s="0" t="n">
        <v>4.626</v>
      </c>
      <c r="E109" s="0" t="n">
        <v>0</v>
      </c>
      <c r="F109" s="0" t="s">
        <v>318</v>
      </c>
      <c r="G109" s="0" t="n">
        <v>16</v>
      </c>
      <c r="H109" s="0" t="n">
        <v>0</v>
      </c>
      <c r="I109" s="0" t="s">
        <v>319</v>
      </c>
      <c r="J109" s="0" t="s">
        <v>335</v>
      </c>
      <c r="K109" s="0" t="s">
        <v>39</v>
      </c>
    </row>
    <row r="110" customFormat="false" ht="15" hidden="false" customHeight="false" outlineLevel="0" collapsed="false">
      <c r="A110" s="0" t="s">
        <v>341</v>
      </c>
      <c r="B110" s="0" t="s">
        <v>342</v>
      </c>
      <c r="C110" s="0" t="n">
        <v>22.97</v>
      </c>
      <c r="D110" s="0" t="n">
        <v>2.042</v>
      </c>
      <c r="E110" s="0" t="n">
        <v>0</v>
      </c>
      <c r="F110" s="0" t="s">
        <v>318</v>
      </c>
      <c r="G110" s="0" t="n">
        <v>16</v>
      </c>
      <c r="H110" s="0" t="n">
        <v>0</v>
      </c>
      <c r="I110" s="0" t="s">
        <v>319</v>
      </c>
      <c r="J110" s="0" t="s">
        <v>343</v>
      </c>
      <c r="K110" s="0" t="s">
        <v>39</v>
      </c>
    </row>
    <row r="111" customFormat="false" ht="15" hidden="false" customHeight="false" outlineLevel="0" collapsed="false">
      <c r="A111" s="0" t="s">
        <v>344</v>
      </c>
      <c r="B111" s="0" t="s">
        <v>345</v>
      </c>
      <c r="C111" s="0" t="n">
        <v>3.907</v>
      </c>
      <c r="D111" s="0" t="n">
        <v>2.042</v>
      </c>
      <c r="E111" s="0" t="n">
        <v>0</v>
      </c>
      <c r="F111" s="0" t="s">
        <v>318</v>
      </c>
      <c r="G111" s="0" t="n">
        <v>16</v>
      </c>
      <c r="H111" s="0" t="n">
        <v>0</v>
      </c>
      <c r="I111" s="0" t="s">
        <v>319</v>
      </c>
      <c r="J111" s="0" t="s">
        <v>326</v>
      </c>
      <c r="K111" s="0" t="s">
        <v>39</v>
      </c>
    </row>
    <row r="112" customFormat="false" ht="15" hidden="false" customHeight="false" outlineLevel="0" collapsed="false">
      <c r="A112" s="5" t="s">
        <v>346</v>
      </c>
    </row>
    <row r="113" customFormat="false" ht="15" hidden="false" customHeight="false" outlineLevel="0" collapsed="false">
      <c r="A113" s="0" t="s">
        <v>347</v>
      </c>
      <c r="B113" s="0" t="s">
        <v>348</v>
      </c>
      <c r="C113" s="0" t="n">
        <v>56.52</v>
      </c>
      <c r="D113" s="0" t="n">
        <v>1.864</v>
      </c>
      <c r="E113" s="0" t="n">
        <v>0</v>
      </c>
      <c r="F113" s="0" t="s">
        <v>96</v>
      </c>
      <c r="G113" s="0" t="n">
        <v>16</v>
      </c>
      <c r="H113" s="0" t="n">
        <v>0</v>
      </c>
      <c r="I113" s="0" t="s">
        <v>349</v>
      </c>
      <c r="J113" s="0" t="s">
        <v>350</v>
      </c>
      <c r="K113" s="0" t="s">
        <v>39</v>
      </c>
    </row>
    <row r="114" customFormat="false" ht="15" hidden="false" customHeight="false" outlineLevel="0" collapsed="false">
      <c r="A114" s="0" t="s">
        <v>351</v>
      </c>
      <c r="B114" s="0" t="s">
        <v>352</v>
      </c>
      <c r="C114" s="0" t="n">
        <v>20.907</v>
      </c>
      <c r="D114" s="0" t="n">
        <v>1.864</v>
      </c>
      <c r="E114" s="0" t="n">
        <v>0</v>
      </c>
      <c r="F114" s="0" t="s">
        <v>96</v>
      </c>
      <c r="G114" s="0" t="n">
        <v>16</v>
      </c>
      <c r="H114" s="0" t="n">
        <v>0</v>
      </c>
      <c r="I114" s="0" t="s">
        <v>349</v>
      </c>
      <c r="J114" s="0" t="s">
        <v>350</v>
      </c>
      <c r="K114" s="0" t="s">
        <v>39</v>
      </c>
    </row>
    <row r="115" customFormat="false" ht="15" hidden="false" customHeight="false" outlineLevel="0" collapsed="false">
      <c r="A115" s="0" t="s">
        <v>353</v>
      </c>
      <c r="B115" s="0" t="s">
        <v>354</v>
      </c>
      <c r="C115" s="0" t="n">
        <v>76.987</v>
      </c>
      <c r="D115" s="0" t="n">
        <v>1.864</v>
      </c>
      <c r="E115" s="0" t="n">
        <v>0</v>
      </c>
      <c r="F115" s="0" t="s">
        <v>96</v>
      </c>
      <c r="G115" s="0" t="n">
        <v>16</v>
      </c>
      <c r="H115" s="0" t="n">
        <v>0</v>
      </c>
      <c r="I115" s="0" t="s">
        <v>349</v>
      </c>
      <c r="J115" s="0" t="s">
        <v>355</v>
      </c>
      <c r="K115" s="0" t="s">
        <v>39</v>
      </c>
    </row>
    <row r="116" customFormat="false" ht="15" hidden="false" customHeight="false" outlineLevel="0" collapsed="false">
      <c r="A116" s="0" t="s">
        <v>356</v>
      </c>
      <c r="B116" s="0" t="s">
        <v>357</v>
      </c>
      <c r="C116" s="0" t="n">
        <v>52.58</v>
      </c>
      <c r="D116" s="0" t="n">
        <v>1.864</v>
      </c>
      <c r="E116" s="0" t="n">
        <v>0</v>
      </c>
      <c r="F116" s="0" t="s">
        <v>96</v>
      </c>
      <c r="G116" s="0" t="n">
        <v>16</v>
      </c>
      <c r="H116" s="0" t="n">
        <v>0</v>
      </c>
      <c r="I116" s="0" t="s">
        <v>349</v>
      </c>
      <c r="J116" s="0" t="s">
        <v>358</v>
      </c>
      <c r="K116" s="0" t="s">
        <v>39</v>
      </c>
    </row>
    <row r="117" customFormat="false" ht="15" hidden="false" customHeight="false" outlineLevel="0" collapsed="false">
      <c r="A117" s="0" t="s">
        <v>359</v>
      </c>
      <c r="B117" s="0" t="s">
        <v>360</v>
      </c>
      <c r="C117" s="0" t="n">
        <v>2.4</v>
      </c>
      <c r="D117" s="0" t="n">
        <v>1.864</v>
      </c>
      <c r="E117" s="0" t="n">
        <v>0</v>
      </c>
      <c r="F117" s="0" t="s">
        <v>96</v>
      </c>
      <c r="G117" s="0" t="n">
        <v>16</v>
      </c>
      <c r="H117" s="0" t="n">
        <v>0</v>
      </c>
      <c r="I117" s="0" t="s">
        <v>349</v>
      </c>
      <c r="J117" s="0" t="s">
        <v>358</v>
      </c>
      <c r="K117" s="0" t="s">
        <v>39</v>
      </c>
    </row>
    <row r="118" customFormat="false" ht="15" hidden="false" customHeight="false" outlineLevel="0" collapsed="false">
      <c r="A118" s="0" t="s">
        <v>361</v>
      </c>
      <c r="B118" s="0" t="s">
        <v>362</v>
      </c>
      <c r="C118" s="0" t="n">
        <v>23</v>
      </c>
      <c r="D118" s="0" t="n">
        <v>1.864</v>
      </c>
      <c r="E118" s="0" t="n">
        <v>0</v>
      </c>
      <c r="F118" s="0" t="s">
        <v>96</v>
      </c>
      <c r="G118" s="0" t="n">
        <v>16</v>
      </c>
      <c r="H118" s="0" t="n">
        <v>0</v>
      </c>
      <c r="I118" s="0" t="s">
        <v>349</v>
      </c>
      <c r="J118" s="0" t="s">
        <v>363</v>
      </c>
      <c r="K118" s="0" t="s">
        <v>39</v>
      </c>
    </row>
    <row r="119" customFormat="false" ht="15" hidden="false" customHeight="false" outlineLevel="0" collapsed="false">
      <c r="A119" s="0" t="s">
        <v>364</v>
      </c>
      <c r="B119" s="0" t="s">
        <v>365</v>
      </c>
      <c r="C119" s="0" t="n">
        <v>2.993</v>
      </c>
      <c r="D119" s="0" t="n">
        <v>1.864</v>
      </c>
      <c r="E119" s="0" t="n">
        <v>0</v>
      </c>
      <c r="F119" s="0" t="s">
        <v>96</v>
      </c>
      <c r="G119" s="0" t="n">
        <v>16</v>
      </c>
      <c r="H119" s="0" t="n">
        <v>0</v>
      </c>
      <c r="I119" s="0" t="s">
        <v>349</v>
      </c>
      <c r="J119" s="0" t="s">
        <v>358</v>
      </c>
      <c r="K119" s="0" t="s">
        <v>39</v>
      </c>
    </row>
    <row r="120" customFormat="false" ht="15" hidden="false" customHeight="false" outlineLevel="0" collapsed="false">
      <c r="A120" s="0" t="s">
        <v>366</v>
      </c>
      <c r="B120" s="0" t="s">
        <v>367</v>
      </c>
      <c r="C120" s="0" t="n">
        <v>2.993</v>
      </c>
      <c r="D120" s="0" t="n">
        <v>1.864</v>
      </c>
      <c r="E120" s="0" t="n">
        <v>0</v>
      </c>
      <c r="F120" s="0" t="s">
        <v>96</v>
      </c>
      <c r="G120" s="0" t="n">
        <v>16</v>
      </c>
      <c r="H120" s="0" t="n">
        <v>0</v>
      </c>
      <c r="I120" s="0" t="s">
        <v>349</v>
      </c>
      <c r="J120" s="0" t="s">
        <v>358</v>
      </c>
      <c r="K120" s="0" t="s">
        <v>39</v>
      </c>
    </row>
    <row r="121" customFormat="false" ht="15" hidden="false" customHeight="false" outlineLevel="0" collapsed="false">
      <c r="A121" s="5" t="s">
        <v>368</v>
      </c>
    </row>
    <row r="122" customFormat="false" ht="15" hidden="false" customHeight="false" outlineLevel="0" collapsed="false">
      <c r="A122" s="0" t="s">
        <v>369</v>
      </c>
      <c r="B122" s="0" t="s">
        <v>370</v>
      </c>
      <c r="C122" s="0" t="n">
        <v>4.833</v>
      </c>
      <c r="D122" s="0" t="n">
        <v>10.604</v>
      </c>
      <c r="E122" s="0" t="n">
        <v>0</v>
      </c>
      <c r="F122" s="0" t="s">
        <v>96</v>
      </c>
      <c r="G122" s="0" t="n">
        <v>16</v>
      </c>
      <c r="H122" s="0" t="n">
        <v>0</v>
      </c>
      <c r="I122" s="0" t="s">
        <v>371</v>
      </c>
      <c r="J122" s="0" t="s">
        <v>372</v>
      </c>
      <c r="K122" s="0" t="s">
        <v>39</v>
      </c>
    </row>
    <row r="123" customFormat="false" ht="15" hidden="false" customHeight="false" outlineLevel="0" collapsed="false">
      <c r="A123" s="0" t="s">
        <v>373</v>
      </c>
      <c r="B123" s="0" t="s">
        <v>374</v>
      </c>
      <c r="C123" s="0" t="n">
        <v>4.833</v>
      </c>
      <c r="D123" s="0" t="n">
        <v>10.604</v>
      </c>
      <c r="E123" s="0" t="n">
        <v>0</v>
      </c>
      <c r="F123" s="0" t="s">
        <v>96</v>
      </c>
      <c r="G123" s="0" t="n">
        <v>16</v>
      </c>
      <c r="H123" s="0" t="n">
        <v>0</v>
      </c>
      <c r="I123" s="0" t="s">
        <v>371</v>
      </c>
      <c r="J123" s="0" t="s">
        <v>372</v>
      </c>
      <c r="K123" s="0" t="s">
        <v>39</v>
      </c>
    </row>
    <row r="124" customFormat="false" ht="15" hidden="false" customHeight="false" outlineLevel="0" collapsed="false">
      <c r="A124" s="0" t="s">
        <v>375</v>
      </c>
      <c r="B124" s="0" t="s">
        <v>376</v>
      </c>
      <c r="C124" s="0" t="n">
        <v>4.833</v>
      </c>
      <c r="D124" s="0" t="n">
        <v>10.604</v>
      </c>
      <c r="E124" s="0" t="n">
        <v>0</v>
      </c>
      <c r="F124" s="0" t="s">
        <v>96</v>
      </c>
      <c r="G124" s="0" t="n">
        <v>16</v>
      </c>
      <c r="H124" s="0" t="n">
        <v>0</v>
      </c>
      <c r="I124" s="0" t="s">
        <v>371</v>
      </c>
      <c r="J124" s="0" t="s">
        <v>372</v>
      </c>
      <c r="K124" s="0" t="s">
        <v>39</v>
      </c>
    </row>
    <row r="125" customFormat="false" ht="15" hidden="false" customHeight="false" outlineLevel="0" collapsed="false">
      <c r="A125" s="0" t="s">
        <v>377</v>
      </c>
      <c r="B125" s="0" t="s">
        <v>378</v>
      </c>
      <c r="C125" s="0" t="n">
        <v>4.833</v>
      </c>
      <c r="D125" s="0" t="n">
        <v>10.604</v>
      </c>
      <c r="E125" s="0" t="n">
        <v>0</v>
      </c>
      <c r="F125" s="0" t="s">
        <v>96</v>
      </c>
      <c r="G125" s="0" t="n">
        <v>16</v>
      </c>
      <c r="H125" s="0" t="n">
        <v>0</v>
      </c>
      <c r="I125" s="0" t="s">
        <v>371</v>
      </c>
      <c r="J125" s="0" t="s">
        <v>372</v>
      </c>
      <c r="K125" s="0" t="s">
        <v>39</v>
      </c>
    </row>
    <row r="126" customFormat="false" ht="15" hidden="false" customHeight="false" outlineLevel="0" collapsed="false">
      <c r="A126" s="5" t="s">
        <v>379</v>
      </c>
    </row>
    <row r="127" customFormat="false" ht="15" hidden="false" customHeight="false" outlineLevel="0" collapsed="false">
      <c r="A127" s="0" t="s">
        <v>380</v>
      </c>
      <c r="B127" s="0" t="s">
        <v>381</v>
      </c>
      <c r="C127" s="0" t="n">
        <v>77.027</v>
      </c>
      <c r="D127" s="0" t="n">
        <v>4.375</v>
      </c>
      <c r="E127" s="0" t="n">
        <v>0</v>
      </c>
      <c r="F127" s="0" t="s">
        <v>96</v>
      </c>
      <c r="G127" s="0" t="n">
        <v>16</v>
      </c>
      <c r="H127" s="0" t="n">
        <v>0</v>
      </c>
      <c r="I127" s="0" t="s">
        <v>382</v>
      </c>
      <c r="J127" s="0" t="s">
        <v>383</v>
      </c>
      <c r="K127" s="0" t="s">
        <v>39</v>
      </c>
    </row>
    <row r="128" customFormat="false" ht="15" hidden="false" customHeight="false" outlineLevel="0" collapsed="false">
      <c r="A128" s="5" t="s">
        <v>384</v>
      </c>
    </row>
    <row r="129" customFormat="false" ht="15" hidden="false" customHeight="false" outlineLevel="0" collapsed="false">
      <c r="A129" s="0" t="s">
        <v>385</v>
      </c>
      <c r="B129" s="0" t="s">
        <v>386</v>
      </c>
      <c r="C129" s="0" t="n">
        <v>5.104</v>
      </c>
      <c r="D129" s="0" t="n">
        <v>6.375</v>
      </c>
      <c r="E129" s="0" t="n">
        <v>1</v>
      </c>
      <c r="F129" s="0" t="s">
        <v>96</v>
      </c>
      <c r="G129" s="0" t="n">
        <v>16</v>
      </c>
      <c r="H129" s="0" t="n">
        <v>12.76</v>
      </c>
      <c r="I129" s="0" t="s">
        <v>387</v>
      </c>
      <c r="J129" s="0" t="s">
        <v>388</v>
      </c>
      <c r="K129" s="0" t="s">
        <v>34</v>
      </c>
    </row>
    <row r="130" customFormat="false" ht="15" hidden="false" customHeight="false" outlineLevel="0" collapsed="false">
      <c r="A130" s="5" t="s">
        <v>389</v>
      </c>
    </row>
    <row r="131" customFormat="false" ht="15" hidden="false" customHeight="false" outlineLevel="0" collapsed="false">
      <c r="A131" s="0" t="s">
        <v>390</v>
      </c>
      <c r="B131" s="0" t="s">
        <v>391</v>
      </c>
      <c r="C131" s="0" t="n">
        <v>6.538</v>
      </c>
      <c r="D131" s="0" t="n">
        <v>7.375</v>
      </c>
      <c r="E131" s="0" t="n">
        <v>1</v>
      </c>
      <c r="F131" s="0" t="s">
        <v>96</v>
      </c>
      <c r="G131" s="0" t="n">
        <v>16</v>
      </c>
      <c r="H131" s="0" t="n">
        <v>6.54</v>
      </c>
      <c r="I131" s="0" t="s">
        <v>392</v>
      </c>
      <c r="J131" s="0" t="s">
        <v>393</v>
      </c>
      <c r="K131" s="0" t="s">
        <v>39</v>
      </c>
    </row>
    <row r="132" customFormat="false" ht="15" hidden="false" customHeight="false" outlineLevel="0" collapsed="false">
      <c r="A132" s="0" t="s">
        <v>394</v>
      </c>
      <c r="B132" s="0" t="s">
        <v>395</v>
      </c>
      <c r="C132" s="0" t="n">
        <v>5.483</v>
      </c>
      <c r="D132" s="0" t="n">
        <v>4.995</v>
      </c>
      <c r="E132" s="0" t="n">
        <v>1</v>
      </c>
      <c r="F132" s="0" t="s">
        <v>96</v>
      </c>
      <c r="G132" s="0" t="n">
        <v>16</v>
      </c>
      <c r="H132" s="0" t="n">
        <v>5.48</v>
      </c>
      <c r="I132" s="0" t="s">
        <v>392</v>
      </c>
      <c r="J132" s="0" t="s">
        <v>393</v>
      </c>
      <c r="K132" s="0" t="s">
        <v>39</v>
      </c>
    </row>
    <row r="133" customFormat="false" ht="15" hidden="false" customHeight="false" outlineLevel="0" collapsed="false">
      <c r="A133" s="6" t="s">
        <v>396</v>
      </c>
      <c r="C133" s="3" t="n">
        <f aca="false">SUM(C5:C132)</f>
        <v>1530.667</v>
      </c>
      <c r="H133" s="3" t="n">
        <f aca="false">SUM(H5:H132)</f>
        <v>16768.86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397</v>
      </c>
    </row>
    <row r="2" customFormat="false" ht="15" hidden="false" customHeight="false" outlineLevel="0" collapsed="false">
      <c r="A2" s="0" t="s">
        <v>398</v>
      </c>
    </row>
    <row r="3" customFormat="false" ht="15" hidden="false" customHeight="false" outlineLevel="0" collapsed="false">
      <c r="A3" s="4" t="s">
        <v>399</v>
      </c>
      <c r="B3" s="4" t="s">
        <v>400</v>
      </c>
      <c r="C3" s="4" t="s">
        <v>401</v>
      </c>
      <c r="D3" s="4" t="s">
        <v>402</v>
      </c>
      <c r="E3" s="4" t="s">
        <v>403</v>
      </c>
      <c r="F3" s="4" t="s">
        <v>404</v>
      </c>
      <c r="G3" s="4" t="s">
        <v>405</v>
      </c>
      <c r="H3" s="4" t="s">
        <v>406</v>
      </c>
      <c r="I3" s="4" t="s">
        <v>407</v>
      </c>
    </row>
    <row r="4" customFormat="false" ht="15" hidden="false" customHeight="false" outlineLevel="0" collapsed="false">
      <c r="A4" s="0" t="s">
        <v>408</v>
      </c>
      <c r="B4" s="0" t="s">
        <v>409</v>
      </c>
      <c r="C4" s="0" t="n">
        <v>4580.51</v>
      </c>
      <c r="D4" s="0" t="n">
        <f aca="false">Inputs!$B$4</f>
        <v>0.15</v>
      </c>
      <c r="E4" s="0" t="n">
        <f aca="false">C4*D4</f>
        <v>687.0765</v>
      </c>
      <c r="F4" s="0" t="n">
        <f aca="false">C4+E4</f>
        <v>5267.5865</v>
      </c>
      <c r="G4" s="0" t="s">
        <v>410</v>
      </c>
      <c r="H4" s="0" t="n">
        <f aca="false">ROUNDUP(ROUNDUP(F4/15.375,0)/MAX(1,INT(20/15.375)),0)</f>
        <v>343</v>
      </c>
      <c r="I4" s="0" t="s">
        <v>411</v>
      </c>
    </row>
    <row r="5" customFormat="false" ht="15" hidden="false" customHeight="false" outlineLevel="0" collapsed="false">
      <c r="A5" s="0" t="s">
        <v>412</v>
      </c>
      <c r="B5" s="0" t="s">
        <v>409</v>
      </c>
      <c r="C5" s="0" t="n">
        <v>957.63</v>
      </c>
      <c r="D5" s="0" t="n">
        <f aca="false">Inputs!$B$4</f>
        <v>0.15</v>
      </c>
      <c r="E5" s="0" t="n">
        <f aca="false">C5*D5</f>
        <v>143.6445</v>
      </c>
      <c r="F5" s="0" t="n">
        <f aca="false">C5+E5</f>
        <v>1101.2745</v>
      </c>
      <c r="G5" s="0" t="s">
        <v>410</v>
      </c>
      <c r="H5" s="0" t="n">
        <f aca="false">ROUNDUP(ROUNDUP(F5/4.886,0)/MAX(1,INT(20/4.886)),0)</f>
        <v>57</v>
      </c>
      <c r="I5" s="0" t="s">
        <v>413</v>
      </c>
    </row>
    <row r="6" customFormat="false" ht="15" hidden="false" customHeight="false" outlineLevel="0" collapsed="false">
      <c r="A6" s="0" t="s">
        <v>414</v>
      </c>
      <c r="B6" s="0" t="s">
        <v>409</v>
      </c>
      <c r="C6" s="0" t="n">
        <v>6356.68</v>
      </c>
      <c r="D6" s="0" t="n">
        <f aca="false">Inputs!$B$4</f>
        <v>0.15</v>
      </c>
      <c r="E6" s="0" t="n">
        <f aca="false">C6*D6</f>
        <v>953.502</v>
      </c>
      <c r="F6" s="0" t="n">
        <f aca="false">C6+E6</f>
        <v>7310.182</v>
      </c>
      <c r="G6" s="0" t="s">
        <v>410</v>
      </c>
      <c r="H6" s="0" t="n">
        <f aca="false">ROUNDUP(ROUNDUP(F6/15.375,0)/MAX(1,INT(20/15.375)),0)</f>
        <v>476</v>
      </c>
      <c r="I6" s="0" t="s">
        <v>415</v>
      </c>
    </row>
    <row r="7" customFormat="false" ht="15" hidden="false" customHeight="false" outlineLevel="0" collapsed="false">
      <c r="A7" s="0" t="s">
        <v>416</v>
      </c>
      <c r="B7" s="0" t="s">
        <v>409</v>
      </c>
      <c r="C7" s="0" t="n">
        <v>3998.45</v>
      </c>
      <c r="D7" s="0" t="n">
        <f aca="false">Inputs!$B$4</f>
        <v>0.15</v>
      </c>
      <c r="E7" s="0" t="n">
        <f aca="false">C7*D7</f>
        <v>599.7675</v>
      </c>
      <c r="F7" s="0" t="n">
        <f aca="false">C7+E7</f>
        <v>4598.2175</v>
      </c>
      <c r="G7" s="0" t="s">
        <v>410</v>
      </c>
      <c r="H7" s="0" t="n">
        <f aca="false">ROUNDUP(ROUNDUP(F7/15.375,0)/MAX(1,INT(20/15.375)),0)</f>
        <v>300</v>
      </c>
      <c r="I7" s="0" t="s">
        <v>417</v>
      </c>
    </row>
    <row r="8" customFormat="false" ht="15" hidden="false" customHeight="false" outlineLevel="0" collapsed="false">
      <c r="A8" s="0" t="s">
        <v>418</v>
      </c>
      <c r="B8" s="0" t="s">
        <v>409</v>
      </c>
      <c r="C8" s="0" t="n">
        <v>22</v>
      </c>
      <c r="D8" s="0" t="n">
        <f aca="false">Inputs!$B$4</f>
        <v>0.15</v>
      </c>
      <c r="E8" s="0" t="n">
        <f aca="false">C8*D8</f>
        <v>3.3</v>
      </c>
      <c r="F8" s="0" t="n">
        <f aca="false">C8+E8</f>
        <v>25.3</v>
      </c>
      <c r="G8" s="0" t="s">
        <v>410</v>
      </c>
      <c r="H8" s="0" t="n">
        <f aca="false">ROUNDUP(ROUNDUP(F8/5.375,0)/MAX(1,INT(20/5.375)),0)</f>
        <v>2</v>
      </c>
      <c r="I8" s="0" t="s">
        <v>419</v>
      </c>
    </row>
    <row r="9" customFormat="false" ht="15" hidden="false" customHeight="false" outlineLevel="0" collapsed="false">
      <c r="A9" s="0" t="s">
        <v>420</v>
      </c>
      <c r="B9" s="0" t="s">
        <v>409</v>
      </c>
      <c r="C9" s="0" t="n">
        <v>1346.9</v>
      </c>
      <c r="D9" s="0" t="n">
        <f aca="false">Inputs!$B$4</f>
        <v>0.15</v>
      </c>
      <c r="E9" s="0" t="n">
        <f aca="false">C9*D9</f>
        <v>202.035</v>
      </c>
      <c r="F9" s="0" t="n">
        <f aca="false">C9+E9</f>
        <v>1548.935</v>
      </c>
      <c r="G9" s="0" t="s">
        <v>421</v>
      </c>
      <c r="H9" s="0" t="n">
        <f aca="false">ROUNDUP(F9/10,0)</f>
        <v>155</v>
      </c>
      <c r="I9" s="0" t="s">
        <v>422</v>
      </c>
    </row>
    <row r="10" customFormat="false" ht="15" hidden="false" customHeight="false" outlineLevel="0" collapsed="false">
      <c r="A10" s="0" t="s">
        <v>423</v>
      </c>
      <c r="B10" s="0" t="s">
        <v>409</v>
      </c>
      <c r="C10" s="0" t="n">
        <v>1346.9</v>
      </c>
      <c r="D10" s="0" t="n">
        <f aca="false">Inputs!$B$4</f>
        <v>0.15</v>
      </c>
      <c r="E10" s="0" t="n">
        <f aca="false">C10*D10</f>
        <v>202.035</v>
      </c>
      <c r="F10" s="0" t="n">
        <f aca="false">C10+E10</f>
        <v>1548.935</v>
      </c>
      <c r="G10" s="0" t="s">
        <v>421</v>
      </c>
      <c r="H10" s="0" t="n">
        <f aca="false">ROUNDUP(F10/10,0)</f>
        <v>155</v>
      </c>
      <c r="I10" s="0" t="s">
        <v>424</v>
      </c>
    </row>
    <row r="11" customFormat="false" ht="15" hidden="false" customHeight="false" outlineLevel="0" collapsed="false">
      <c r="A11" s="0" t="s">
        <v>425</v>
      </c>
      <c r="B11" s="0" t="s">
        <v>409</v>
      </c>
      <c r="C11" s="0" t="n">
        <v>1313.61</v>
      </c>
      <c r="D11" s="0" t="n">
        <f aca="false">Inputs!$B$4</f>
        <v>0.15</v>
      </c>
      <c r="E11" s="0" t="n">
        <f aca="false">C11*D11</f>
        <v>197.0415</v>
      </c>
      <c r="F11" s="0" t="n">
        <f aca="false">C11+E11</f>
        <v>1510.6515</v>
      </c>
      <c r="G11" s="0" t="s">
        <v>421</v>
      </c>
      <c r="H11" s="0" t="n">
        <f aca="false">ROUNDUP(F11/10,0)</f>
        <v>152</v>
      </c>
      <c r="I11" s="0" t="s">
        <v>426</v>
      </c>
    </row>
    <row r="12" customFormat="false" ht="15" hidden="false" customHeight="false" outlineLevel="0" collapsed="false">
      <c r="A12" s="0" t="s">
        <v>427</v>
      </c>
      <c r="B12" s="0" t="s">
        <v>409</v>
      </c>
      <c r="C12" s="0" t="n">
        <v>181.21</v>
      </c>
      <c r="D12" s="0" t="n">
        <f aca="false">Inputs!$B$4</f>
        <v>0.15</v>
      </c>
      <c r="E12" s="0" t="n">
        <f aca="false">C12*D12</f>
        <v>27.1815</v>
      </c>
      <c r="F12" s="0" t="n">
        <f aca="false">C12+E12</f>
        <v>208.3915</v>
      </c>
      <c r="G12" s="0" t="s">
        <v>421</v>
      </c>
      <c r="H12" s="0" t="n">
        <f aca="false">ROUNDUP(F12/10,0)</f>
        <v>21</v>
      </c>
      <c r="I12" s="0" t="s">
        <v>428</v>
      </c>
    </row>
    <row r="13" customFormat="false" ht="15" hidden="false" customHeight="false" outlineLevel="0" collapsed="false">
      <c r="A13" s="0" t="s">
        <v>429</v>
      </c>
      <c r="B13" s="0" t="s">
        <v>409</v>
      </c>
      <c r="C13" s="0" t="n">
        <v>792.12</v>
      </c>
      <c r="D13" s="0" t="n">
        <f aca="false">Inputs!$B$4</f>
        <v>0.15</v>
      </c>
      <c r="E13" s="0" t="n">
        <f aca="false">C13*D13</f>
        <v>118.818</v>
      </c>
      <c r="F13" s="0" t="n">
        <f aca="false">C13+E13</f>
        <v>910.938</v>
      </c>
      <c r="G13" s="0" t="s">
        <v>421</v>
      </c>
      <c r="H13" s="0" t="n">
        <f aca="false">ROUNDUP(ROUNDUP(F13/9.333,0)/MAX(1,INT(10/9.333)),0)</f>
        <v>98</v>
      </c>
      <c r="I13" s="0" t="s">
        <v>430</v>
      </c>
    </row>
    <row r="14" customFormat="false" ht="15" hidden="false" customHeight="false" outlineLevel="0" collapsed="false">
      <c r="A14" s="0" t="s">
        <v>431</v>
      </c>
      <c r="B14" s="0" t="s">
        <v>409</v>
      </c>
      <c r="C14" s="0" t="n">
        <v>119.09</v>
      </c>
      <c r="D14" s="0" t="n">
        <f aca="false">Inputs!$B$4</f>
        <v>0.15</v>
      </c>
      <c r="E14" s="0" t="n">
        <f aca="false">C14*D14</f>
        <v>17.8635</v>
      </c>
      <c r="F14" s="0" t="n">
        <f aca="false">C14+E14</f>
        <v>136.9535</v>
      </c>
      <c r="G14" s="0" t="s">
        <v>421</v>
      </c>
      <c r="H14" s="0" t="n">
        <f aca="false">ROUNDUP(F14/10,0)</f>
        <v>14</v>
      </c>
      <c r="I14" s="0" t="s">
        <v>432</v>
      </c>
    </row>
    <row r="15" customFormat="false" ht="15" hidden="false" customHeight="false" outlineLevel="0" collapsed="false">
      <c r="A15" s="0" t="s">
        <v>433</v>
      </c>
      <c r="B15" s="0" t="s">
        <v>409</v>
      </c>
      <c r="C15" s="0" t="n">
        <v>2524.49</v>
      </c>
      <c r="D15" s="0" t="n">
        <f aca="false">Inputs!$B$4</f>
        <v>0.15</v>
      </c>
      <c r="E15" s="0" t="n">
        <f aca="false">C15*D15</f>
        <v>378.6735</v>
      </c>
      <c r="F15" s="0" t="n">
        <f aca="false">C15+E15</f>
        <v>2903.1635</v>
      </c>
      <c r="G15" s="0" t="s">
        <v>434</v>
      </c>
      <c r="H15" s="0" t="n">
        <f aca="false">ROUNDUP(F15/16,0)</f>
        <v>182</v>
      </c>
      <c r="I15" s="0" t="s">
        <v>435</v>
      </c>
    </row>
    <row r="16" customFormat="false" ht="15" hidden="false" customHeight="false" outlineLevel="0" collapsed="false">
      <c r="A16" s="0" t="s">
        <v>436</v>
      </c>
      <c r="B16" s="0" t="s">
        <v>409</v>
      </c>
      <c r="C16" s="0" t="n">
        <v>824.39</v>
      </c>
      <c r="D16" s="0" t="n">
        <f aca="false">Inputs!$B$4</f>
        <v>0.15</v>
      </c>
      <c r="E16" s="0" t="n">
        <f aca="false">C16*D16</f>
        <v>123.6585</v>
      </c>
      <c r="F16" s="0" t="n">
        <f aca="false">C16+E16</f>
        <v>948.0485</v>
      </c>
      <c r="G16" s="0" t="s">
        <v>437</v>
      </c>
      <c r="H16" s="0" t="n">
        <f aca="false">ROUNDUP(F16/12,0)</f>
        <v>80</v>
      </c>
      <c r="I16" s="0" t="s">
        <v>438</v>
      </c>
    </row>
    <row r="17" customFormat="false" ht="15" hidden="false" customHeight="false" outlineLevel="0" collapsed="false">
      <c r="A17" s="0" t="s">
        <v>439</v>
      </c>
      <c r="B17" s="0" t="s">
        <v>409</v>
      </c>
      <c r="C17" s="0" t="n">
        <v>320.95</v>
      </c>
      <c r="D17" s="0" t="n">
        <f aca="false">Inputs!$B$4</f>
        <v>0.15</v>
      </c>
      <c r="E17" s="0" t="n">
        <f aca="false">C17*D17</f>
        <v>48.1425</v>
      </c>
      <c r="F17" s="0" t="n">
        <f aca="false">C17+E17</f>
        <v>369.0925</v>
      </c>
      <c r="G17" s="0" t="s">
        <v>434</v>
      </c>
      <c r="H17" s="0" t="n">
        <f aca="false">ROUNDUP(F17/16,0)</f>
        <v>24</v>
      </c>
      <c r="I17" s="0" t="s">
        <v>440</v>
      </c>
    </row>
    <row r="18" customFormat="false" ht="15" hidden="false" customHeight="false" outlineLevel="0" collapsed="false">
      <c r="A18" s="0" t="s">
        <v>441</v>
      </c>
      <c r="B18" s="0" t="s">
        <v>409</v>
      </c>
      <c r="C18" s="0" t="n">
        <v>530.14</v>
      </c>
      <c r="D18" s="0" t="n">
        <f aca="false">Inputs!$B$4</f>
        <v>0.15</v>
      </c>
      <c r="E18" s="0" t="n">
        <f aca="false">C18*D18</f>
        <v>79.521</v>
      </c>
      <c r="F18" s="0" t="n">
        <f aca="false">C18+E18</f>
        <v>609.661</v>
      </c>
      <c r="G18" s="0" t="s">
        <v>442</v>
      </c>
      <c r="H18" s="0" t="n">
        <f aca="false">ROUNDUP(F18,0)</f>
        <v>610</v>
      </c>
      <c r="I18" s="0" t="s">
        <v>443</v>
      </c>
    </row>
    <row r="19" customFormat="false" ht="15" hidden="false" customHeight="false" outlineLevel="0" collapsed="false">
      <c r="A19" s="0" t="s">
        <v>444</v>
      </c>
      <c r="B19" s="0" t="s">
        <v>445</v>
      </c>
      <c r="C19" s="0" t="n">
        <v>113</v>
      </c>
      <c r="D19" s="0" t="n">
        <v>0.15</v>
      </c>
      <c r="E19" s="0" t="n">
        <f aca="false">C19*D19</f>
        <v>16.95</v>
      </c>
      <c r="F19" s="0" t="n">
        <f aca="false">C19+E19</f>
        <v>129.95</v>
      </c>
      <c r="G19" s="0" t="s">
        <v>445</v>
      </c>
      <c r="H19" s="0" t="n">
        <f aca="false">ROUNDUP(F19,0)</f>
        <v>130</v>
      </c>
      <c r="I19" s="0" t="s">
        <v>446</v>
      </c>
    </row>
    <row r="20" customFormat="false" ht="15" hidden="false" customHeight="false" outlineLevel="0" collapsed="false">
      <c r="A20" s="0" t="s">
        <v>447</v>
      </c>
      <c r="B20" s="0" t="s">
        <v>409</v>
      </c>
      <c r="C20" s="0" t="n">
        <v>941.22</v>
      </c>
      <c r="D20" s="0" t="n">
        <f aca="false">Inputs!$B$4</f>
        <v>0.15</v>
      </c>
      <c r="E20" s="0" t="n">
        <f aca="false">C20*D20</f>
        <v>141.183</v>
      </c>
      <c r="F20" s="0" t="n">
        <f aca="false">C20+E20</f>
        <v>1082.403</v>
      </c>
      <c r="G20" s="0" t="s">
        <v>421</v>
      </c>
      <c r="H20" s="0" t="n">
        <f aca="false">ROUNDUP(F20/10,0)</f>
        <v>109</v>
      </c>
      <c r="I20" s="0" t="s">
        <v>448</v>
      </c>
    </row>
    <row r="21" customFormat="false" ht="15" hidden="false" customHeight="false" outlineLevel="0" collapsed="false">
      <c r="A21" s="0" t="s">
        <v>449</v>
      </c>
      <c r="B21" s="0" t="s">
        <v>450</v>
      </c>
      <c r="C21" s="0" t="n">
        <v>17494.16</v>
      </c>
      <c r="D21" s="0" t="n">
        <f aca="false">Inputs!$B$5</f>
        <v>0.06</v>
      </c>
      <c r="E21" s="0" t="n">
        <f aca="false">C21*D21</f>
        <v>1049.6496</v>
      </c>
      <c r="F21" s="0" t="n">
        <f aca="false">C21+E21</f>
        <v>18543.8096</v>
      </c>
      <c r="G21" s="0" t="s">
        <v>451</v>
      </c>
      <c r="H21" s="0" t="n">
        <f aca="false">ROUNDUP(F21/48,0)</f>
        <v>387</v>
      </c>
      <c r="I21" s="0" t="s">
        <v>452</v>
      </c>
    </row>
    <row r="22" customFormat="false" ht="15" hidden="false" customHeight="false" outlineLevel="0" collapsed="false">
      <c r="A22" s="0" t="s">
        <v>453</v>
      </c>
      <c r="B22" s="0" t="s">
        <v>450</v>
      </c>
      <c r="C22" s="0" t="n">
        <v>258.91</v>
      </c>
      <c r="D22" s="0" t="n">
        <f aca="false">Inputs!$B$5</f>
        <v>0.06</v>
      </c>
      <c r="E22" s="0" t="n">
        <f aca="false">C22*D22</f>
        <v>15.5346</v>
      </c>
      <c r="F22" s="0" t="n">
        <f aca="false">C22+E22</f>
        <v>274.4446</v>
      </c>
      <c r="G22" s="0" t="s">
        <v>451</v>
      </c>
      <c r="H22" s="0" t="n">
        <f aca="false">ROUNDUP(F22/48,0)</f>
        <v>6</v>
      </c>
      <c r="I22" s="0" t="s">
        <v>454</v>
      </c>
    </row>
    <row r="23" customFormat="false" ht="15" hidden="false" customHeight="false" outlineLevel="0" collapsed="false">
      <c r="A23" s="0" t="s">
        <v>455</v>
      </c>
      <c r="B23" s="0" t="s">
        <v>450</v>
      </c>
      <c r="C23" s="0" t="n">
        <v>87.47</v>
      </c>
      <c r="D23" s="0" t="n">
        <f aca="false">Inputs!$B$5</f>
        <v>0.06</v>
      </c>
      <c r="E23" s="0" t="n">
        <f aca="false">C23*D23</f>
        <v>5.2482</v>
      </c>
      <c r="F23" s="0" t="n">
        <f aca="false">C23+E23</f>
        <v>92.7182</v>
      </c>
      <c r="G23" s="0" t="s">
        <v>456</v>
      </c>
      <c r="H23" s="0" t="n">
        <f aca="false">ROUNDUP(F23/32,0)</f>
        <v>3</v>
      </c>
      <c r="I23" s="0" t="s">
        <v>457</v>
      </c>
    </row>
    <row r="24" customFormat="false" ht="15" hidden="false" customHeight="false" outlineLevel="0" collapsed="false">
      <c r="A24" s="0" t="s">
        <v>458</v>
      </c>
      <c r="B24" s="0" t="s">
        <v>450</v>
      </c>
      <c r="C24" s="0" t="n">
        <v>68.04</v>
      </c>
      <c r="D24" s="0" t="n">
        <f aca="false">Inputs!$B$5</f>
        <v>0.06</v>
      </c>
      <c r="E24" s="0" t="n">
        <f aca="false">C24*D24</f>
        <v>4.0824</v>
      </c>
      <c r="F24" s="0" t="n">
        <f aca="false">C24+E24</f>
        <v>72.1224</v>
      </c>
      <c r="G24" s="0" t="s">
        <v>456</v>
      </c>
      <c r="H24" s="0" t="n">
        <f aca="false">ROUNDUP(F24/32,0)</f>
        <v>3</v>
      </c>
      <c r="I24" s="0" t="s">
        <v>459</v>
      </c>
    </row>
    <row r="25" customFormat="false" ht="15" hidden="false" customHeight="false" outlineLevel="0" collapsed="false">
      <c r="A25" s="0" t="s">
        <v>460</v>
      </c>
      <c r="B25" s="0" t="s">
        <v>450</v>
      </c>
      <c r="C25" s="0" t="n">
        <v>473.6</v>
      </c>
      <c r="D25" s="0" t="n">
        <f aca="false">Inputs!$B$5</f>
        <v>0.06</v>
      </c>
      <c r="E25" s="0" t="n">
        <f aca="false">C25*D25</f>
        <v>28.416</v>
      </c>
      <c r="F25" s="0" t="n">
        <f aca="false">C25+E25</f>
        <v>502.016</v>
      </c>
      <c r="G25" s="0" t="s">
        <v>456</v>
      </c>
      <c r="H25" s="0" t="n">
        <f aca="false">ROUNDUP(F25/32,0)</f>
        <v>16</v>
      </c>
      <c r="I25" s="0" t="s">
        <v>461</v>
      </c>
    </row>
    <row r="26" customFormat="false" ht="15" hidden="false" customHeight="false" outlineLevel="0" collapsed="false">
      <c r="A26" s="0" t="s">
        <v>462</v>
      </c>
      <c r="B26" s="0" t="s">
        <v>450</v>
      </c>
      <c r="C26" s="0" t="n">
        <v>944.17</v>
      </c>
      <c r="D26" s="0" t="n">
        <f aca="false">Inputs!$B$5</f>
        <v>0.06</v>
      </c>
      <c r="E26" s="0" t="n">
        <f aca="false">C26*D26</f>
        <v>56.6502</v>
      </c>
      <c r="F26" s="0" t="n">
        <f aca="false">C26+E26</f>
        <v>1000.8202</v>
      </c>
      <c r="G26" s="0" t="s">
        <v>456</v>
      </c>
      <c r="H26" s="0" t="n">
        <f aca="false">ROUNDUP(F26/32,0)</f>
        <v>32</v>
      </c>
      <c r="I26" s="0" t="s">
        <v>463</v>
      </c>
    </row>
    <row r="27" customFormat="false" ht="15" hidden="false" customHeight="false" outlineLevel="0" collapsed="false">
      <c r="A27" s="0" t="s">
        <v>464</v>
      </c>
      <c r="B27" s="0" t="s">
        <v>450</v>
      </c>
      <c r="C27" s="0" t="n">
        <v>6517.81</v>
      </c>
      <c r="D27" s="0" t="n">
        <f aca="false">Inputs!$B$5</f>
        <v>0.06</v>
      </c>
      <c r="E27" s="0" t="n">
        <f aca="false">C27*D27</f>
        <v>391.0686</v>
      </c>
      <c r="F27" s="0" t="n">
        <f aca="false">C27+E27</f>
        <v>6908.8786</v>
      </c>
      <c r="G27" s="0" t="s">
        <v>456</v>
      </c>
      <c r="H27" s="0" t="n">
        <f aca="false">ROUNDUP(F27/32,0)</f>
        <v>216</v>
      </c>
      <c r="I27" s="0" t="s">
        <v>465</v>
      </c>
    </row>
    <row r="28" customFormat="false" ht="15" hidden="false" customHeight="false" outlineLevel="0" collapsed="false">
      <c r="A28" s="0" t="s">
        <v>466</v>
      </c>
      <c r="B28" s="0" t="s">
        <v>409</v>
      </c>
      <c r="C28" s="0" t="n">
        <v>862.61</v>
      </c>
      <c r="D28" s="0" t="n">
        <f aca="false">Inputs!$B$5</f>
        <v>0.06</v>
      </c>
      <c r="E28" s="0" t="n">
        <f aca="false">C28*D28</f>
        <v>51.7566</v>
      </c>
      <c r="F28" s="0" t="n">
        <f aca="false">C28+E28</f>
        <v>914.3666</v>
      </c>
      <c r="G28" s="0" t="s">
        <v>467</v>
      </c>
      <c r="H28" s="0" t="n">
        <f aca="false">ROUNDUP(F28/8,0)</f>
        <v>115</v>
      </c>
      <c r="I28" s="0" t="s">
        <v>468</v>
      </c>
    </row>
    <row r="29" customFormat="false" ht="15" hidden="false" customHeight="false" outlineLevel="0" collapsed="false">
      <c r="A29" s="0" t="s">
        <v>469</v>
      </c>
      <c r="B29" s="0" t="s">
        <v>409</v>
      </c>
      <c r="C29" s="0" t="n">
        <v>642.55</v>
      </c>
      <c r="D29" s="0" t="n">
        <f aca="false">Inputs!$B$4</f>
        <v>0.15</v>
      </c>
      <c r="E29" s="0" t="n">
        <f aca="false">C29*D29</f>
        <v>96.3825</v>
      </c>
      <c r="F29" s="0" t="n">
        <f aca="false">C29+E29</f>
        <v>738.9325</v>
      </c>
      <c r="G29" s="0" t="s">
        <v>421</v>
      </c>
      <c r="H29" s="0" t="n">
        <f aca="false">ROUNDUP(ROUNDUP(F29/10,0)/MAX(1,INT(10/10)),0)</f>
        <v>74</v>
      </c>
      <c r="I29" s="0" t="s">
        <v>470</v>
      </c>
    </row>
    <row r="30" customFormat="false" ht="15" hidden="false" customHeight="false" outlineLevel="0" collapsed="false">
      <c r="A30" s="0" t="s">
        <v>471</v>
      </c>
      <c r="B30" s="0" t="s">
        <v>409</v>
      </c>
      <c r="C30" s="0" t="n">
        <v>1157.53</v>
      </c>
      <c r="D30" s="0" t="n">
        <f aca="false">Inputs!$B$4</f>
        <v>0.15</v>
      </c>
      <c r="E30" s="0" t="n">
        <f aca="false">C30*D30</f>
        <v>173.6295</v>
      </c>
      <c r="F30" s="0" t="n">
        <f aca="false">C30+E30</f>
        <v>1331.1595</v>
      </c>
      <c r="G30" s="0" t="s">
        <v>421</v>
      </c>
      <c r="H30" s="0" t="n">
        <f aca="false">ROUNDUP(F30/10,0)</f>
        <v>134</v>
      </c>
      <c r="I30" s="0" t="s">
        <v>472</v>
      </c>
    </row>
    <row r="31" customFormat="false" ht="15" hidden="false" customHeight="false" outlineLevel="0" collapsed="false">
      <c r="A31" s="0" t="s">
        <v>473</v>
      </c>
      <c r="B31" s="0" t="s">
        <v>450</v>
      </c>
      <c r="C31" s="0" t="n">
        <v>31.8</v>
      </c>
      <c r="D31" s="0" t="n">
        <f aca="false">Inputs!$B$5</f>
        <v>0.06</v>
      </c>
      <c r="E31" s="0" t="n">
        <f aca="false">C31*D31</f>
        <v>1.908</v>
      </c>
      <c r="F31" s="0" t="n">
        <f aca="false">C31+E31</f>
        <v>33.708</v>
      </c>
      <c r="G31" s="0" t="s">
        <v>474</v>
      </c>
      <c r="H31" s="0" t="n">
        <f aca="false">ROUNDUP(F31/15,0)</f>
        <v>3</v>
      </c>
      <c r="I31" s="0" t="s">
        <v>475</v>
      </c>
    </row>
    <row r="32" customFormat="false" ht="15" hidden="false" customHeight="false" outlineLevel="0" collapsed="false">
      <c r="A32" s="0" t="s">
        <v>476</v>
      </c>
      <c r="B32" s="0" t="s">
        <v>450</v>
      </c>
      <c r="C32" s="0" t="n">
        <v>334</v>
      </c>
      <c r="D32" s="0" t="n">
        <f aca="false">Inputs!$B$5</f>
        <v>0.06</v>
      </c>
      <c r="E32" s="0" t="n">
        <f aca="false">C32*D32</f>
        <v>20.04</v>
      </c>
      <c r="F32" s="0" t="n">
        <f aca="false">C32+E32</f>
        <v>354.04</v>
      </c>
      <c r="G32" s="0" t="s">
        <v>456</v>
      </c>
      <c r="H32" s="0" t="n">
        <f aca="false">ROUNDUP(F32/32,0)</f>
        <v>12</v>
      </c>
      <c r="I32" s="0" t="s">
        <v>477</v>
      </c>
    </row>
    <row r="33" customFormat="false" ht="15" hidden="false" customHeight="false" outlineLevel="0" collapsed="false">
      <c r="A33" s="0" t="s">
        <v>478</v>
      </c>
      <c r="B33" s="0" t="s">
        <v>409</v>
      </c>
      <c r="C33" s="0" t="n">
        <v>1200.7</v>
      </c>
      <c r="D33" s="0" t="n">
        <f aca="false">Inputs!$B$5</f>
        <v>0.06</v>
      </c>
      <c r="E33" s="0" t="n">
        <f aca="false">C33*D33</f>
        <v>72.042</v>
      </c>
      <c r="F33" s="0" t="n">
        <f aca="false">C33+E33</f>
        <v>1272.742</v>
      </c>
      <c r="G33" s="0" t="s">
        <v>479</v>
      </c>
      <c r="H33" s="0" t="n">
        <f aca="false">ROUNDUP(F33,0)</f>
        <v>1273</v>
      </c>
      <c r="I33" s="0" t="s">
        <v>480</v>
      </c>
    </row>
    <row r="34" customFormat="false" ht="15" hidden="false" customHeight="false" outlineLevel="0" collapsed="false">
      <c r="A34" s="0" t="s">
        <v>481</v>
      </c>
      <c r="B34" s="0" t="s">
        <v>450</v>
      </c>
      <c r="C34" s="0" t="n">
        <v>742.9</v>
      </c>
      <c r="D34" s="0" t="n">
        <f aca="false">Inputs!$B$5</f>
        <v>0.06</v>
      </c>
      <c r="E34" s="0" t="n">
        <f aca="false">C34*D34</f>
        <v>44.574</v>
      </c>
      <c r="F34" s="0" t="n">
        <f aca="false">C34+E34</f>
        <v>787.474</v>
      </c>
      <c r="G34" s="0" t="s">
        <v>450</v>
      </c>
      <c r="H34" s="0" t="n">
        <f aca="false">ROUNDUP(F34,0)</f>
        <v>788</v>
      </c>
      <c r="I34" s="0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483</v>
      </c>
      <c r="B1" s="4" t="s">
        <v>484</v>
      </c>
      <c r="C1" s="4" t="s">
        <v>485</v>
      </c>
    </row>
    <row r="2" customFormat="false" ht="15" hidden="false" customHeight="false" outlineLevel="0" collapsed="false">
      <c r="A2" s="0" t="s">
        <v>486</v>
      </c>
      <c r="B2" s="0" t="s">
        <v>487</v>
      </c>
      <c r="C2" s="0" t="s">
        <v>488</v>
      </c>
    </row>
    <row r="3" customFormat="false" ht="15" hidden="false" customHeight="false" outlineLevel="0" collapsed="false">
      <c r="A3" s="0" t="s">
        <v>489</v>
      </c>
      <c r="B3" s="0" t="s">
        <v>490</v>
      </c>
      <c r="C3" s="0" t="s">
        <v>491</v>
      </c>
    </row>
    <row r="4" customFormat="false" ht="15" hidden="false" customHeight="false" outlineLevel="0" collapsed="false">
      <c r="A4" s="0" t="s">
        <v>492</v>
      </c>
      <c r="B4" s="0" t="s">
        <v>493</v>
      </c>
      <c r="C4" s="0" t="s">
        <v>494</v>
      </c>
    </row>
    <row r="5" customFormat="false" ht="15" hidden="false" customHeight="false" outlineLevel="0" collapsed="false">
      <c r="A5" s="0" t="s">
        <v>495</v>
      </c>
      <c r="B5" s="0" t="s">
        <v>496</v>
      </c>
      <c r="C5" s="0" t="s">
        <v>497</v>
      </c>
    </row>
    <row r="6" customFormat="false" ht="15" hidden="false" customHeight="false" outlineLevel="0" collapsed="false">
      <c r="A6" s="0" t="s">
        <v>498</v>
      </c>
      <c r="B6" s="0" t="s">
        <v>499</v>
      </c>
      <c r="C6" s="0" t="s">
        <v>500</v>
      </c>
    </row>
    <row r="7" customFormat="false" ht="15" hidden="false" customHeight="false" outlineLevel="0" collapsed="false">
      <c r="A7" s="0" t="s">
        <v>501</v>
      </c>
      <c r="B7" s="0" t="s">
        <v>502</v>
      </c>
      <c r="C7" s="0" t="s">
        <v>503</v>
      </c>
    </row>
    <row r="8" customFormat="false" ht="15" hidden="false" customHeight="false" outlineLevel="0" collapsed="false">
      <c r="A8" s="0" t="s">
        <v>504</v>
      </c>
      <c r="B8" s="0" t="s">
        <v>505</v>
      </c>
      <c r="C8" s="0" t="s">
        <v>506</v>
      </c>
    </row>
    <row r="9" customFormat="false" ht="15" hidden="false" customHeight="false" outlineLevel="0" collapsed="false">
      <c r="A9" s="0" t="s">
        <v>507</v>
      </c>
      <c r="B9" s="0" t="s">
        <v>508</v>
      </c>
      <c r="C9" s="0" t="s">
        <v>509</v>
      </c>
    </row>
    <row r="10" customFormat="false" ht="15" hidden="false" customHeight="false" outlineLevel="0" collapsed="false">
      <c r="A10" s="0" t="s">
        <v>510</v>
      </c>
      <c r="B10" s="0" t="s">
        <v>511</v>
      </c>
      <c r="C10" s="0" t="s">
        <v>512</v>
      </c>
    </row>
    <row r="11" customFormat="false" ht="15" hidden="false" customHeight="false" outlineLevel="0" collapsed="false">
      <c r="A11" s="0" t="s">
        <v>513</v>
      </c>
      <c r="B11" s="0" t="s">
        <v>514</v>
      </c>
      <c r="C11" s="0" t="s">
        <v>515</v>
      </c>
    </row>
    <row r="12" customFormat="false" ht="15" hidden="false" customHeight="false" outlineLevel="0" collapsed="false">
      <c r="A12" s="0" t="s">
        <v>516</v>
      </c>
      <c r="B12" s="0" t="s">
        <v>517</v>
      </c>
      <c r="C12" s="0" t="s">
        <v>518</v>
      </c>
    </row>
    <row r="13" customFormat="false" ht="15" hidden="false" customHeight="false" outlineLevel="0" collapsed="false">
      <c r="A13" s="0" t="s">
        <v>519</v>
      </c>
      <c r="B13" s="0" t="s">
        <v>520</v>
      </c>
      <c r="C13" s="0" t="s">
        <v>521</v>
      </c>
    </row>
    <row r="14" customFormat="false" ht="15" hidden="false" customHeight="false" outlineLevel="0" collapsed="false">
      <c r="A14" s="0" t="s">
        <v>522</v>
      </c>
      <c r="B14" s="0" t="s">
        <v>523</v>
      </c>
    </row>
    <row r="15" customFormat="false" ht="15" hidden="false" customHeight="false" outlineLevel="0" collapsed="false">
      <c r="A15" s="0" t="s">
        <v>524</v>
      </c>
      <c r="B15" s="0" t="s">
        <v>525</v>
      </c>
    </row>
    <row r="16" customFormat="false" ht="15" hidden="false" customHeight="false" outlineLevel="0" collapsed="false">
      <c r="A16" s="0" t="s">
        <v>526</v>
      </c>
      <c r="B16" s="0" t="s">
        <v>527</v>
      </c>
      <c r="C16" s="0" t="s">
        <v>528</v>
      </c>
    </row>
    <row r="17" customFormat="false" ht="15" hidden="false" customHeight="false" outlineLevel="0" collapsed="false">
      <c r="A17" s="0" t="s">
        <v>529</v>
      </c>
      <c r="B17" s="0" t="s">
        <v>530</v>
      </c>
      <c r="C17" s="0" t="s">
        <v>531</v>
      </c>
    </row>
    <row r="18" customFormat="false" ht="15" hidden="false" customHeight="false" outlineLevel="0" collapsed="false">
      <c r="A18" s="0" t="s">
        <v>532</v>
      </c>
      <c r="B18" s="0" t="s">
        <v>533</v>
      </c>
      <c r="C18" s="0" t="s">
        <v>534</v>
      </c>
    </row>
    <row r="19" customFormat="false" ht="15" hidden="false" customHeight="false" outlineLevel="0" collapsed="false">
      <c r="A19" s="0" t="s">
        <v>535</v>
      </c>
      <c r="B19" s="0" t="s">
        <v>536</v>
      </c>
      <c r="C19" s="0" t="s">
        <v>537</v>
      </c>
    </row>
    <row r="20" customFormat="false" ht="15" hidden="false" customHeight="false" outlineLevel="0" collapsed="false">
      <c r="A20" s="0" t="s">
        <v>538</v>
      </c>
      <c r="B20" s="0" t="s">
        <v>539</v>
      </c>
      <c r="C20" s="0" t="s">
        <v>540</v>
      </c>
    </row>
    <row r="21" customFormat="false" ht="15" hidden="false" customHeight="false" outlineLevel="0" collapsed="false">
      <c r="A21" s="0" t="s">
        <v>541</v>
      </c>
      <c r="B21" s="0" t="s">
        <v>542</v>
      </c>
      <c r="C21" s="0" t="s">
        <v>543</v>
      </c>
    </row>
    <row r="22" customFormat="false" ht="15" hidden="false" customHeight="false" outlineLevel="0" collapsed="false">
      <c r="A22" s="0" t="s">
        <v>544</v>
      </c>
      <c r="B22" s="0" t="s">
        <v>545</v>
      </c>
      <c r="C22" s="0" t="s">
        <v>546</v>
      </c>
    </row>
    <row r="23" customFormat="false" ht="15" hidden="false" customHeight="false" outlineLevel="0" collapsed="false">
      <c r="A23" s="0" t="s">
        <v>547</v>
      </c>
      <c r="B23" s="0" t="s">
        <v>548</v>
      </c>
      <c r="C23" s="0" t="s">
        <v>549</v>
      </c>
    </row>
    <row r="24" customFormat="false" ht="15" hidden="false" customHeight="false" outlineLevel="0" collapsed="false">
      <c r="A24" s="0" t="s">
        <v>550</v>
      </c>
      <c r="B24" s="0" t="s">
        <v>551</v>
      </c>
      <c r="C24" s="0" t="s">
        <v>552</v>
      </c>
    </row>
    <row r="25" customFormat="false" ht="15" hidden="false" customHeight="false" outlineLevel="0" collapsed="false">
      <c r="A25" s="0" t="s">
        <v>553</v>
      </c>
      <c r="B25" s="0" t="s">
        <v>554</v>
      </c>
      <c r="C25" s="0" t="s">
        <v>555</v>
      </c>
    </row>
    <row r="26" customFormat="false" ht="15" hidden="false" customHeight="false" outlineLevel="0" collapsed="false">
      <c r="A26" s="0" t="s">
        <v>556</v>
      </c>
      <c r="B26" s="0" t="s">
        <v>557</v>
      </c>
      <c r="C26" s="0" t="s">
        <v>558</v>
      </c>
    </row>
    <row r="27" customFormat="false" ht="15" hidden="false" customHeight="false" outlineLevel="0" collapsed="false">
      <c r="A27" s="0" t="s">
        <v>559</v>
      </c>
      <c r="B27" s="0" t="s">
        <v>560</v>
      </c>
      <c r="C27" s="0" t="s">
        <v>561</v>
      </c>
    </row>
    <row r="28" customFormat="false" ht="15" hidden="false" customHeight="false" outlineLevel="0" collapsed="false">
      <c r="A28" s="0" t="s">
        <v>562</v>
      </c>
      <c r="B28" s="0" t="s">
        <v>563</v>
      </c>
      <c r="C28" s="0" t="s">
        <v>564</v>
      </c>
    </row>
    <row r="29" customFormat="false" ht="15" hidden="false" customHeight="false" outlineLevel="0" collapsed="false">
      <c r="A29" s="0" t="s">
        <v>565</v>
      </c>
      <c r="B29" s="0" t="s">
        <v>566</v>
      </c>
      <c r="C29" s="0" t="s">
        <v>567</v>
      </c>
    </row>
    <row r="30" customFormat="false" ht="15" hidden="false" customHeight="false" outlineLevel="0" collapsed="false">
      <c r="A30" s="0" t="s">
        <v>568</v>
      </c>
      <c r="B30" s="0" t="s">
        <v>569</v>
      </c>
      <c r="C30" s="0" t="s">
        <v>570</v>
      </c>
    </row>
    <row r="31" customFormat="false" ht="15" hidden="false" customHeight="false" outlineLevel="0" collapsed="false">
      <c r="A31" s="0" t="s">
        <v>571</v>
      </c>
      <c r="B31" s="0" t="s">
        <v>572</v>
      </c>
      <c r="C31" s="0" t="s">
        <v>573</v>
      </c>
    </row>
    <row r="32" customFormat="false" ht="15" hidden="false" customHeight="false" outlineLevel="0" collapsed="false">
      <c r="A32" s="0" t="s">
        <v>574</v>
      </c>
      <c r="B32" s="0" t="s">
        <v>575</v>
      </c>
      <c r="C32" s="0" t="s">
        <v>576</v>
      </c>
    </row>
    <row r="33" customFormat="false" ht="15" hidden="false" customHeight="false" outlineLevel="0" collapsed="false">
      <c r="A33" s="0" t="s">
        <v>577</v>
      </c>
      <c r="B33" s="0" t="s">
        <v>578</v>
      </c>
      <c r="C33" s="0" t="s">
        <v>579</v>
      </c>
    </row>
    <row r="34" customFormat="false" ht="15" hidden="false" customHeight="false" outlineLevel="0" collapsed="false">
      <c r="A34" s="0" t="s">
        <v>580</v>
      </c>
      <c r="B34" s="0" t="s">
        <v>581</v>
      </c>
      <c r="C34" s="0" t="s">
        <v>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0" t="s">
        <v>583</v>
      </c>
      <c r="B1" s="0" t="s">
        <v>584</v>
      </c>
      <c r="C1" s="0" t="s">
        <v>585</v>
      </c>
      <c r="D1" s="0" t="s">
        <v>586</v>
      </c>
    </row>
    <row r="2" customFormat="false" ht="15" hidden="false" customHeight="false" outlineLevel="0" collapsed="false">
      <c r="A2" s="0" t="n">
        <v>1</v>
      </c>
      <c r="B2" s="0" t="s">
        <v>587</v>
      </c>
      <c r="C2" s="0" t="s">
        <v>588</v>
      </c>
      <c r="D2" s="0" t="s">
        <v>589</v>
      </c>
    </row>
    <row r="3" customFormat="false" ht="15" hidden="false" customHeight="false" outlineLevel="0" collapsed="false">
      <c r="A3" s="0" t="n">
        <v>2</v>
      </c>
      <c r="B3" s="0" t="s">
        <v>590</v>
      </c>
      <c r="C3" s="0" t="s">
        <v>591</v>
      </c>
      <c r="D3" s="0" t="s">
        <v>589</v>
      </c>
    </row>
    <row r="4" customFormat="false" ht="15" hidden="false" customHeight="false" outlineLevel="0" collapsed="false">
      <c r="A4" s="0" t="n">
        <v>3</v>
      </c>
      <c r="B4" s="0" t="s">
        <v>592</v>
      </c>
      <c r="C4" s="0" t="s">
        <v>593</v>
      </c>
      <c r="D4" s="0" t="s">
        <v>589</v>
      </c>
    </row>
    <row r="5" customFormat="false" ht="15" hidden="false" customHeight="false" outlineLevel="0" collapsed="false">
      <c r="A5" s="0" t="n">
        <v>4</v>
      </c>
      <c r="B5" s="0" t="s">
        <v>594</v>
      </c>
      <c r="C5" s="0" t="s">
        <v>595</v>
      </c>
      <c r="D5" s="0" t="s">
        <v>589</v>
      </c>
    </row>
    <row r="6" customFormat="false" ht="15" hidden="false" customHeight="false" outlineLevel="0" collapsed="false">
      <c r="A6" s="0" t="n">
        <v>5</v>
      </c>
      <c r="B6" s="0" t="s">
        <v>596</v>
      </c>
      <c r="C6" s="0" t="s">
        <v>597</v>
      </c>
      <c r="D6" s="0" t="s">
        <v>589</v>
      </c>
    </row>
    <row r="7" customFormat="false" ht="15" hidden="false" customHeight="false" outlineLevel="0" collapsed="false">
      <c r="A7" s="0" t="n">
        <v>6</v>
      </c>
      <c r="B7" s="0" t="s">
        <v>598</v>
      </c>
      <c r="C7" s="0" t="s">
        <v>599</v>
      </c>
      <c r="D7" s="0" t="s">
        <v>589</v>
      </c>
    </row>
    <row r="8" customFormat="false" ht="15" hidden="false" customHeight="false" outlineLevel="0" collapsed="false">
      <c r="A8" s="0" t="n">
        <v>7</v>
      </c>
      <c r="B8" s="0" t="s">
        <v>600</v>
      </c>
      <c r="C8" s="0" t="s">
        <v>601</v>
      </c>
      <c r="D8" s="0" t="s">
        <v>589</v>
      </c>
    </row>
    <row r="9" customFormat="false" ht="15" hidden="false" customHeight="false" outlineLevel="0" collapsed="false">
      <c r="A9" s="0" t="n">
        <v>8</v>
      </c>
      <c r="B9" s="0" t="s">
        <v>602</v>
      </c>
      <c r="C9" s="0" t="s">
        <v>603</v>
      </c>
      <c r="D9" s="0" t="s">
        <v>589</v>
      </c>
    </row>
    <row r="10" customFormat="false" ht="15" hidden="false" customHeight="false" outlineLevel="0" collapsed="false">
      <c r="A10" s="0" t="n">
        <v>9</v>
      </c>
      <c r="B10" s="0" t="s">
        <v>604</v>
      </c>
      <c r="C10" s="0" t="s">
        <v>605</v>
      </c>
      <c r="D10" s="0" t="s">
        <v>589</v>
      </c>
    </row>
    <row r="11" customFormat="false" ht="15" hidden="false" customHeight="false" outlineLevel="0" collapsed="false">
      <c r="A11" s="0" t="n">
        <v>10</v>
      </c>
      <c r="B11" s="0" t="s">
        <v>606</v>
      </c>
      <c r="C11" s="0" t="s">
        <v>605</v>
      </c>
      <c r="D11" s="0" t="s">
        <v>589</v>
      </c>
    </row>
    <row r="12" customFormat="false" ht="15" hidden="false" customHeight="false" outlineLevel="0" collapsed="false">
      <c r="A12" s="0" t="n">
        <v>11</v>
      </c>
      <c r="B12" s="0" t="s">
        <v>607</v>
      </c>
      <c r="C12" s="0" t="s">
        <v>605</v>
      </c>
      <c r="D12" s="0" t="s">
        <v>589</v>
      </c>
    </row>
    <row r="13" customFormat="false" ht="15" hidden="false" customHeight="false" outlineLevel="0" collapsed="false">
      <c r="A13" s="0" t="n">
        <v>12</v>
      </c>
      <c r="B13" s="0" t="s">
        <v>608</v>
      </c>
      <c r="C13" s="0" t="s">
        <v>605</v>
      </c>
      <c r="D13" s="0" t="s">
        <v>589</v>
      </c>
    </row>
    <row r="14" customFormat="false" ht="15" hidden="false" customHeight="false" outlineLevel="0" collapsed="false">
      <c r="A14" s="0" t="n">
        <v>13</v>
      </c>
      <c r="B14" s="0" t="s">
        <v>609</v>
      </c>
      <c r="C14" s="0" t="s">
        <v>610</v>
      </c>
      <c r="D14" s="0" t="s">
        <v>589</v>
      </c>
    </row>
    <row r="15" customFormat="false" ht="15" hidden="false" customHeight="false" outlineLevel="0" collapsed="false">
      <c r="A15" s="0" t="n">
        <v>14</v>
      </c>
      <c r="B15" s="0" t="s">
        <v>611</v>
      </c>
      <c r="C15" s="0" t="s">
        <v>610</v>
      </c>
      <c r="D15" s="0" t="s">
        <v>589</v>
      </c>
    </row>
    <row r="16" customFormat="false" ht="15" hidden="false" customHeight="false" outlineLevel="0" collapsed="false">
      <c r="A16" s="0" t="n">
        <v>15</v>
      </c>
      <c r="B16" s="0" t="s">
        <v>612</v>
      </c>
      <c r="C16" s="0" t="s">
        <v>613</v>
      </c>
      <c r="D16" s="0" t="s">
        <v>589</v>
      </c>
    </row>
    <row r="17" customFormat="false" ht="15" hidden="false" customHeight="false" outlineLevel="0" collapsed="false">
      <c r="A17" s="0" t="n">
        <v>16</v>
      </c>
      <c r="B17" s="0" t="s">
        <v>614</v>
      </c>
      <c r="C17" s="0" t="s">
        <v>599</v>
      </c>
      <c r="D17" s="0" t="s">
        <v>589</v>
      </c>
    </row>
    <row r="18" customFormat="false" ht="15" hidden="false" customHeight="false" outlineLevel="0" collapsed="false">
      <c r="A18" s="0" t="n">
        <v>17</v>
      </c>
      <c r="B18" s="0" t="s">
        <v>615</v>
      </c>
      <c r="C18" s="0" t="s">
        <v>616</v>
      </c>
      <c r="D18" s="0" t="s">
        <v>589</v>
      </c>
    </row>
    <row r="19" customFormat="false" ht="15" hidden="false" customHeight="false" outlineLevel="0" collapsed="false">
      <c r="A19" s="0" t="n">
        <v>18</v>
      </c>
      <c r="B19" s="0" t="s">
        <v>617</v>
      </c>
      <c r="C19" s="0" t="s">
        <v>599</v>
      </c>
      <c r="D19" s="0" t="s">
        <v>589</v>
      </c>
    </row>
    <row r="20" customFormat="false" ht="15" hidden="false" customHeight="false" outlineLevel="0" collapsed="false">
      <c r="A20" s="0" t="n">
        <v>19</v>
      </c>
      <c r="B20" s="0" t="s">
        <v>618</v>
      </c>
      <c r="C20" s="0" t="s">
        <v>619</v>
      </c>
      <c r="D20" s="0" t="s">
        <v>589</v>
      </c>
    </row>
    <row r="21" customFormat="false" ht="15" hidden="false" customHeight="false" outlineLevel="0" collapsed="false">
      <c r="A21" s="0" t="n">
        <v>20</v>
      </c>
      <c r="B21" s="0" t="s">
        <v>620</v>
      </c>
      <c r="C21" s="0" t="s">
        <v>621</v>
      </c>
      <c r="D21" s="0" t="s">
        <v>589</v>
      </c>
    </row>
    <row r="22" customFormat="false" ht="15" hidden="false" customHeight="false" outlineLevel="0" collapsed="false">
      <c r="A22" s="0" t="n">
        <v>21</v>
      </c>
      <c r="B22" s="0" t="s">
        <v>622</v>
      </c>
      <c r="C22" s="0" t="s">
        <v>623</v>
      </c>
      <c r="D22" s="0" t="s">
        <v>589</v>
      </c>
    </row>
    <row r="23" customFormat="false" ht="15" hidden="false" customHeight="false" outlineLevel="0" collapsed="false">
      <c r="A23" s="0" t="n">
        <v>22</v>
      </c>
      <c r="B23" s="0" t="s">
        <v>624</v>
      </c>
      <c r="C23" s="0" t="s">
        <v>605</v>
      </c>
      <c r="D23" s="0" t="s">
        <v>589</v>
      </c>
    </row>
    <row r="24" customFormat="false" ht="15" hidden="false" customHeight="false" outlineLevel="0" collapsed="false">
      <c r="A24" s="0" t="n">
        <v>23</v>
      </c>
      <c r="B24" s="0" t="s">
        <v>625</v>
      </c>
      <c r="C24" s="0" t="s">
        <v>626</v>
      </c>
      <c r="D24" s="0" t="s">
        <v>589</v>
      </c>
    </row>
    <row r="25" customFormat="false" ht="15" hidden="false" customHeight="false" outlineLevel="0" collapsed="false">
      <c r="A25" s="0" t="n">
        <v>24</v>
      </c>
      <c r="B25" s="0" t="s">
        <v>627</v>
      </c>
      <c r="C25" s="0" t="s">
        <v>605</v>
      </c>
      <c r="D25" s="0" t="s">
        <v>589</v>
      </c>
    </row>
    <row r="26" customFormat="false" ht="15" hidden="false" customHeight="false" outlineLevel="0" collapsed="false">
      <c r="A26" s="0" t="n">
        <v>25</v>
      </c>
      <c r="B26" s="0" t="s">
        <v>628</v>
      </c>
      <c r="C26" s="0" t="s">
        <v>605</v>
      </c>
      <c r="D26" s="0" t="s">
        <v>589</v>
      </c>
    </row>
    <row r="27" customFormat="false" ht="15" hidden="false" customHeight="false" outlineLevel="0" collapsed="false">
      <c r="A27" s="0" t="n">
        <v>26</v>
      </c>
      <c r="B27" s="0" t="s">
        <v>629</v>
      </c>
      <c r="C27" s="0" t="s">
        <v>605</v>
      </c>
      <c r="D27" s="0" t="s">
        <v>589</v>
      </c>
    </row>
    <row r="28" customFormat="false" ht="15" hidden="false" customHeight="false" outlineLevel="0" collapsed="false">
      <c r="A28" s="0" t="n">
        <v>27</v>
      </c>
      <c r="B28" s="0" t="s">
        <v>630</v>
      </c>
      <c r="C28" s="0" t="s">
        <v>605</v>
      </c>
      <c r="D28" s="0" t="s">
        <v>589</v>
      </c>
    </row>
    <row r="29" customFormat="false" ht="15" hidden="false" customHeight="false" outlineLevel="0" collapsed="false">
      <c r="A29" s="0" t="n">
        <v>28</v>
      </c>
      <c r="B29" s="0" t="s">
        <v>631</v>
      </c>
      <c r="C29" s="0" t="s">
        <v>610</v>
      </c>
      <c r="D29" s="0" t="s">
        <v>589</v>
      </c>
    </row>
    <row r="30" customFormat="false" ht="15" hidden="false" customHeight="false" outlineLevel="0" collapsed="false">
      <c r="A30" s="0" t="n">
        <v>29</v>
      </c>
      <c r="B30" s="0" t="s">
        <v>632</v>
      </c>
      <c r="C30" s="0" t="s">
        <v>605</v>
      </c>
      <c r="D30" s="0" t="s">
        <v>589</v>
      </c>
    </row>
    <row r="31" customFormat="false" ht="15" hidden="false" customHeight="false" outlineLevel="0" collapsed="false">
      <c r="A31" s="0" t="n">
        <v>30</v>
      </c>
      <c r="B31" s="0" t="s">
        <v>633</v>
      </c>
      <c r="C31" s="0" t="s">
        <v>605</v>
      </c>
      <c r="D31" s="0" t="s">
        <v>589</v>
      </c>
    </row>
    <row r="32" customFormat="false" ht="15" hidden="false" customHeight="false" outlineLevel="0" collapsed="false">
      <c r="A32" s="0" t="n">
        <v>31</v>
      </c>
      <c r="B32" s="0" t="s">
        <v>634</v>
      </c>
      <c r="C32" s="0" t="s">
        <v>605</v>
      </c>
      <c r="D32" s="0" t="s">
        <v>589</v>
      </c>
    </row>
    <row r="33" customFormat="false" ht="15" hidden="false" customHeight="false" outlineLevel="0" collapsed="false">
      <c r="A33" s="0" t="n">
        <v>32</v>
      </c>
      <c r="B33" s="0" t="s">
        <v>635</v>
      </c>
      <c r="C33" s="0" t="s">
        <v>599</v>
      </c>
      <c r="D33" s="0" t="s">
        <v>589</v>
      </c>
    </row>
    <row r="34" customFormat="false" ht="15" hidden="false" customHeight="false" outlineLevel="0" collapsed="false">
      <c r="A34" s="0" t="n">
        <v>33</v>
      </c>
      <c r="B34" s="0" t="s">
        <v>636</v>
      </c>
      <c r="C34" s="0" t="s">
        <v>605</v>
      </c>
      <c r="D34" s="0" t="s">
        <v>589</v>
      </c>
    </row>
    <row r="35" customFormat="false" ht="15" hidden="false" customHeight="false" outlineLevel="0" collapsed="false">
      <c r="A35" s="0" t="n">
        <v>34</v>
      </c>
      <c r="B35" s="0" t="s">
        <v>637</v>
      </c>
      <c r="C35" s="0" t="s">
        <v>638</v>
      </c>
      <c r="D35" s="0" t="s">
        <v>639</v>
      </c>
    </row>
    <row r="36" customFormat="false" ht="15" hidden="false" customHeight="false" outlineLevel="0" collapsed="false">
      <c r="A36" s="0" t="n">
        <v>35</v>
      </c>
      <c r="B36" s="0" t="s">
        <v>640</v>
      </c>
      <c r="C36" s="0" t="s">
        <v>638</v>
      </c>
      <c r="D36" s="0" t="s">
        <v>639</v>
      </c>
    </row>
    <row r="37" customFormat="false" ht="15" hidden="false" customHeight="false" outlineLevel="0" collapsed="false">
      <c r="A37" s="0" t="n">
        <v>36</v>
      </c>
      <c r="B37" s="0" t="s">
        <v>641</v>
      </c>
      <c r="C37" s="0" t="s">
        <v>638</v>
      </c>
      <c r="D37" s="0" t="s">
        <v>639</v>
      </c>
    </row>
    <row r="38" customFormat="false" ht="15" hidden="false" customHeight="false" outlineLevel="0" collapsed="false">
      <c r="A38" s="0" t="n">
        <v>37</v>
      </c>
      <c r="B38" s="0" t="s">
        <v>642</v>
      </c>
      <c r="C38" s="0" t="s">
        <v>638</v>
      </c>
      <c r="D38" s="0" t="s">
        <v>639</v>
      </c>
    </row>
    <row r="39" customFormat="false" ht="15" hidden="false" customHeight="false" outlineLevel="0" collapsed="false">
      <c r="A39" s="0" t="n">
        <v>38</v>
      </c>
      <c r="B39" s="0" t="s">
        <v>643</v>
      </c>
      <c r="C39" s="0" t="s">
        <v>638</v>
      </c>
      <c r="D39" s="0" t="s">
        <v>639</v>
      </c>
    </row>
    <row r="40" customFormat="false" ht="15" hidden="false" customHeight="false" outlineLevel="0" collapsed="false">
      <c r="A40" s="0" t="n">
        <v>39</v>
      </c>
      <c r="B40" s="0" t="s">
        <v>644</v>
      </c>
      <c r="C40" s="0" t="s">
        <v>638</v>
      </c>
      <c r="D40" s="0" t="s">
        <v>639</v>
      </c>
    </row>
    <row r="41" customFormat="false" ht="15" hidden="false" customHeight="false" outlineLevel="0" collapsed="false">
      <c r="A41" s="0" t="n">
        <v>40</v>
      </c>
      <c r="B41" s="0" t="s">
        <v>645</v>
      </c>
      <c r="C41" s="0" t="s">
        <v>638</v>
      </c>
      <c r="D41" s="0" t="s">
        <v>639</v>
      </c>
    </row>
    <row r="42" customFormat="false" ht="15" hidden="false" customHeight="false" outlineLevel="0" collapsed="false">
      <c r="A42" s="0" t="n">
        <v>41</v>
      </c>
      <c r="B42" s="0" t="s">
        <v>646</v>
      </c>
      <c r="C42" s="0" t="s">
        <v>638</v>
      </c>
      <c r="D42" s="0" t="s">
        <v>639</v>
      </c>
    </row>
    <row r="43" customFormat="false" ht="15" hidden="false" customHeight="false" outlineLevel="0" collapsed="false">
      <c r="A43" s="0" t="n">
        <v>42</v>
      </c>
      <c r="B43" s="0" t="s">
        <v>647</v>
      </c>
      <c r="C43" s="0" t="s">
        <v>638</v>
      </c>
      <c r="D43" s="0" t="s">
        <v>639</v>
      </c>
    </row>
    <row r="44" customFormat="false" ht="15" hidden="false" customHeight="false" outlineLevel="0" collapsed="false">
      <c r="A44" s="0" t="n">
        <v>43</v>
      </c>
      <c r="B44" s="0" t="s">
        <v>648</v>
      </c>
      <c r="C44" s="0" t="s">
        <v>638</v>
      </c>
      <c r="D44" s="0" t="s">
        <v>639</v>
      </c>
    </row>
    <row r="45" customFormat="false" ht="15" hidden="false" customHeight="false" outlineLevel="0" collapsed="false">
      <c r="A45" s="0" t="n">
        <v>44</v>
      </c>
      <c r="B45" s="0" t="s">
        <v>649</v>
      </c>
      <c r="C45" s="0" t="s">
        <v>638</v>
      </c>
      <c r="D45" s="0" t="s">
        <v>639</v>
      </c>
    </row>
    <row r="46" customFormat="false" ht="15" hidden="false" customHeight="false" outlineLevel="0" collapsed="false">
      <c r="A46" s="0" t="n">
        <v>45</v>
      </c>
      <c r="B46" s="0" t="s">
        <v>650</v>
      </c>
      <c r="C46" s="0" t="s">
        <v>638</v>
      </c>
      <c r="D46" s="0" t="s">
        <v>639</v>
      </c>
    </row>
    <row r="47" customFormat="false" ht="15" hidden="false" customHeight="false" outlineLevel="0" collapsed="false">
      <c r="A47" s="0" t="n">
        <v>46</v>
      </c>
      <c r="B47" s="0" t="s">
        <v>651</v>
      </c>
      <c r="C47" s="0" t="s">
        <v>638</v>
      </c>
      <c r="D47" s="0" t="s">
        <v>639</v>
      </c>
    </row>
    <row r="48" customFormat="false" ht="15" hidden="false" customHeight="false" outlineLevel="0" collapsed="false">
      <c r="A48" s="0" t="n">
        <v>47</v>
      </c>
      <c r="B48" s="0" t="s">
        <v>652</v>
      </c>
      <c r="C48" s="0" t="s">
        <v>638</v>
      </c>
      <c r="D48" s="0" t="s">
        <v>639</v>
      </c>
    </row>
    <row r="49" customFormat="false" ht="15" hidden="false" customHeight="false" outlineLevel="0" collapsed="false">
      <c r="A49" s="0" t="n">
        <v>48</v>
      </c>
      <c r="B49" s="0" t="s">
        <v>653</v>
      </c>
      <c r="C49" s="0" t="s">
        <v>638</v>
      </c>
      <c r="D49" s="0" t="s">
        <v>639</v>
      </c>
    </row>
    <row r="50" customFormat="false" ht="15" hidden="false" customHeight="false" outlineLevel="0" collapsed="false">
      <c r="A50" s="0" t="n">
        <v>49</v>
      </c>
      <c r="B50" s="0" t="s">
        <v>654</v>
      </c>
      <c r="C50" s="0" t="s">
        <v>638</v>
      </c>
      <c r="D50" s="0" t="s">
        <v>639</v>
      </c>
    </row>
    <row r="51" customFormat="false" ht="15" hidden="false" customHeight="false" outlineLevel="0" collapsed="false">
      <c r="A51" s="0" t="n">
        <v>50</v>
      </c>
      <c r="B51" s="0" t="s">
        <v>655</v>
      </c>
      <c r="C51" s="0" t="s">
        <v>638</v>
      </c>
      <c r="D51" s="0" t="s">
        <v>639</v>
      </c>
    </row>
    <row r="52" customFormat="false" ht="15" hidden="false" customHeight="false" outlineLevel="0" collapsed="false">
      <c r="A52" s="0" t="n">
        <v>51</v>
      </c>
      <c r="B52" s="0" t="s">
        <v>656</v>
      </c>
      <c r="C52" s="0" t="s">
        <v>638</v>
      </c>
      <c r="D52" s="0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657</v>
      </c>
      <c r="B1" s="0" t="s">
        <v>658</v>
      </c>
      <c r="C1" s="0" t="s">
        <v>659</v>
      </c>
      <c r="D1" s="0" t="s">
        <v>660</v>
      </c>
    </row>
    <row r="2" customFormat="false" ht="15" hidden="false" customHeight="false" outlineLevel="0" collapsed="false">
      <c r="A2" s="0" t="s">
        <v>661</v>
      </c>
      <c r="B2" s="0" t="s">
        <v>662</v>
      </c>
      <c r="C2" s="0" t="s">
        <v>663</v>
      </c>
      <c r="D2" s="0" t="s">
        <v>664</v>
      </c>
    </row>
    <row r="3" customFormat="false" ht="15" hidden="false" customHeight="false" outlineLevel="0" collapsed="false">
      <c r="A3" s="0" t="s">
        <v>665</v>
      </c>
      <c r="B3" s="0" t="s">
        <v>666</v>
      </c>
      <c r="C3" s="0" t="s">
        <v>663</v>
      </c>
      <c r="D3" s="0" t="s">
        <v>667</v>
      </c>
    </row>
    <row r="4" customFormat="false" ht="15" hidden="false" customHeight="false" outlineLevel="0" collapsed="false">
      <c r="A4" s="0" t="s">
        <v>668</v>
      </c>
      <c r="B4" s="0" t="s">
        <v>669</v>
      </c>
      <c r="C4" s="0" t="s">
        <v>663</v>
      </c>
      <c r="D4" s="0" t="s">
        <v>670</v>
      </c>
    </row>
    <row r="5" customFormat="false" ht="15" hidden="false" customHeight="false" outlineLevel="0" collapsed="false">
      <c r="A5" s="0" t="s">
        <v>671</v>
      </c>
      <c r="B5" s="0" t="s">
        <v>672</v>
      </c>
      <c r="C5" s="0" t="s">
        <v>663</v>
      </c>
      <c r="D5" s="0" t="s">
        <v>673</v>
      </c>
    </row>
    <row r="6" customFormat="false" ht="15" hidden="false" customHeight="false" outlineLevel="0" collapsed="false">
      <c r="A6" s="0" t="s">
        <v>674</v>
      </c>
      <c r="B6" s="0" t="s">
        <v>675</v>
      </c>
      <c r="C6" s="0" t="s">
        <v>663</v>
      </c>
      <c r="D6" s="0" t="s">
        <v>676</v>
      </c>
    </row>
    <row r="7" customFormat="false" ht="15" hidden="false" customHeight="false" outlineLevel="0" collapsed="false">
      <c r="A7" s="0" t="s">
        <v>677</v>
      </c>
      <c r="B7" s="0" t="s">
        <v>678</v>
      </c>
      <c r="C7" s="0" t="s">
        <v>663</v>
      </c>
      <c r="D7" s="0" t="s">
        <v>679</v>
      </c>
    </row>
    <row r="8" customFormat="false" ht="15" hidden="false" customHeight="false" outlineLevel="0" collapsed="false">
      <c r="A8" s="0" t="s">
        <v>680</v>
      </c>
      <c r="B8" s="0" t="s">
        <v>681</v>
      </c>
      <c r="C8" s="0" t="s">
        <v>663</v>
      </c>
      <c r="D8" s="0" t="s">
        <v>682</v>
      </c>
    </row>
    <row r="9" customFormat="false" ht="15" hidden="false" customHeight="false" outlineLevel="0" collapsed="false">
      <c r="A9" s="0" t="s">
        <v>683</v>
      </c>
      <c r="B9" s="0" t="s">
        <v>684</v>
      </c>
      <c r="C9" s="0" t="s">
        <v>663</v>
      </c>
      <c r="D9" s="0" t="s">
        <v>685</v>
      </c>
    </row>
    <row r="10" customFormat="false" ht="15" hidden="false" customHeight="false" outlineLevel="0" collapsed="false">
      <c r="A10" s="0" t="s">
        <v>686</v>
      </c>
      <c r="B10" s="0" t="s">
        <v>687</v>
      </c>
      <c r="C10" s="0" t="s">
        <v>663</v>
      </c>
      <c r="D10" s="0" t="s">
        <v>688</v>
      </c>
    </row>
    <row r="11" customFormat="false" ht="15" hidden="false" customHeight="false" outlineLevel="0" collapsed="false">
      <c r="A11" s="0" t="s">
        <v>689</v>
      </c>
      <c r="B11" s="0" t="s">
        <v>690</v>
      </c>
      <c r="C11" s="0" t="s">
        <v>663</v>
      </c>
      <c r="D11" s="0" t="s">
        <v>691</v>
      </c>
    </row>
    <row r="12" customFormat="false" ht="15" hidden="false" customHeight="false" outlineLevel="0" collapsed="false">
      <c r="A12" s="0" t="s">
        <v>692</v>
      </c>
      <c r="B12" s="0" t="s">
        <v>693</v>
      </c>
      <c r="C12" s="0" t="s">
        <v>663</v>
      </c>
      <c r="D12" s="0" t="s">
        <v>694</v>
      </c>
    </row>
    <row r="13" customFormat="false" ht="15" hidden="false" customHeight="false" outlineLevel="0" collapsed="false">
      <c r="A13" s="0" t="s">
        <v>695</v>
      </c>
      <c r="B13" s="0" t="s">
        <v>696</v>
      </c>
      <c r="C13" s="0" t="s">
        <v>663</v>
      </c>
      <c r="D13" s="0" t="s">
        <v>697</v>
      </c>
    </row>
    <row r="14" customFormat="false" ht="15" hidden="false" customHeight="false" outlineLevel="0" collapsed="false">
      <c r="A14" s="0" t="s">
        <v>698</v>
      </c>
      <c r="B14" s="0" t="s">
        <v>699</v>
      </c>
      <c r="C14" s="0" t="s">
        <v>663</v>
      </c>
      <c r="D14" s="0" t="s">
        <v>700</v>
      </c>
    </row>
    <row r="15" customFormat="false" ht="15" hidden="false" customHeight="false" outlineLevel="0" collapsed="false">
      <c r="A15" s="0" t="s">
        <v>701</v>
      </c>
      <c r="B15" s="0" t="s">
        <v>702</v>
      </c>
      <c r="C15" s="0" t="s">
        <v>663</v>
      </c>
      <c r="D15" s="0" t="s">
        <v>703</v>
      </c>
    </row>
    <row r="16" customFormat="false" ht="15" hidden="false" customHeight="false" outlineLevel="0" collapsed="false">
      <c r="A16" s="0" t="s">
        <v>704</v>
      </c>
      <c r="B16" s="0" t="s">
        <v>705</v>
      </c>
      <c r="C16" s="0" t="s">
        <v>663</v>
      </c>
      <c r="D16" s="0" t="s">
        <v>706</v>
      </c>
    </row>
    <row r="17" customFormat="false" ht="15" hidden="false" customHeight="false" outlineLevel="0" collapsed="false">
      <c r="A17" s="0" t="s">
        <v>707</v>
      </c>
      <c r="B17" s="0" t="s">
        <v>708</v>
      </c>
      <c r="C17" s="0" t="s">
        <v>663</v>
      </c>
      <c r="D17" s="0" t="s">
        <v>709</v>
      </c>
    </row>
    <row r="18" customFormat="false" ht="15" hidden="false" customHeight="false" outlineLevel="0" collapsed="false">
      <c r="A18" s="0" t="s">
        <v>710</v>
      </c>
      <c r="B18" s="0" t="s">
        <v>711</v>
      </c>
      <c r="C18" s="0" t="s">
        <v>663</v>
      </c>
      <c r="D18" s="0" t="s">
        <v>712</v>
      </c>
    </row>
    <row r="19" customFormat="false" ht="15" hidden="false" customHeight="false" outlineLevel="0" collapsed="false">
      <c r="A19" s="0" t="s">
        <v>713</v>
      </c>
      <c r="B19" s="0" t="s">
        <v>714</v>
      </c>
      <c r="C19" s="0" t="s">
        <v>663</v>
      </c>
      <c r="D19" s="0" t="s">
        <v>715</v>
      </c>
    </row>
    <row r="20" customFormat="false" ht="15" hidden="false" customHeight="false" outlineLevel="0" collapsed="false">
      <c r="A20" s="0" t="s">
        <v>716</v>
      </c>
      <c r="B20" s="0" t="s">
        <v>717</v>
      </c>
      <c r="C20" s="0" t="s">
        <v>663</v>
      </c>
      <c r="D20" s="0" t="s">
        <v>718</v>
      </c>
    </row>
    <row r="21" customFormat="false" ht="15" hidden="false" customHeight="false" outlineLevel="0" collapsed="false">
      <c r="A21" s="0" t="s">
        <v>719</v>
      </c>
      <c r="B21" s="0" t="s">
        <v>720</v>
      </c>
      <c r="C21" s="0" t="s">
        <v>663</v>
      </c>
      <c r="D21" s="0" t="s">
        <v>721</v>
      </c>
    </row>
    <row r="22" customFormat="false" ht="15" hidden="false" customHeight="false" outlineLevel="0" collapsed="false">
      <c r="A22" s="0" t="s">
        <v>722</v>
      </c>
      <c r="B22" s="0" t="s">
        <v>723</v>
      </c>
      <c r="C22" s="0" t="s">
        <v>724</v>
      </c>
      <c r="D22" s="0" t="s">
        <v>725</v>
      </c>
    </row>
    <row r="23" customFormat="false" ht="15" hidden="false" customHeight="false" outlineLevel="0" collapsed="false">
      <c r="A23" s="0" t="s">
        <v>726</v>
      </c>
      <c r="B23" s="0" t="s">
        <v>727</v>
      </c>
      <c r="C23" s="0" t="s">
        <v>724</v>
      </c>
      <c r="D23" s="0" t="s">
        <v>728</v>
      </c>
    </row>
    <row r="24" customFormat="false" ht="15" hidden="false" customHeight="false" outlineLevel="0" collapsed="false">
      <c r="A24" s="0" t="s">
        <v>729</v>
      </c>
      <c r="B24" s="0" t="s">
        <v>730</v>
      </c>
      <c r="C24" s="0" t="s">
        <v>663</v>
      </c>
      <c r="D24" s="0" t="s">
        <v>595</v>
      </c>
    </row>
    <row r="25" customFormat="false" ht="15" hidden="false" customHeight="false" outlineLevel="0" collapsed="false">
      <c r="A25" s="0" t="s">
        <v>731</v>
      </c>
      <c r="B25" s="0" t="s">
        <v>732</v>
      </c>
      <c r="C25" s="0" t="s">
        <v>663</v>
      </c>
      <c r="D25" s="0" t="s">
        <v>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2026-10-17T05:53:56Z</dcterms:created>
  <dc:creator>openpyxl</dc:creator>
  <dc:description/>
  <dc:language>en-US</dc:language>
  <cp:lastModifiedBy/>
  <dcterms:modified xsi:type="dcterms:W3CDTF">2026-10-17T05:53:56Z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