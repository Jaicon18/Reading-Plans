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PARA REVISAR EN LA MANANA" sheetId="5" state="visible" r:id="rId7"/>
    <sheet name="Alcan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<sst xmlns="http://schemas.openxmlformats.org/spreadsheetml/2006/main" count="1005" uniqueCount="599">
  <si>
    <t xml:space="preserve">Bank of America - Broomfield, CO (CO1-111) - PRUEBA automatica 15B v65b   |   METAL FRAMING &amp; DRYWALL TAKEOFF</t>
  </si>
  <si>
    <t xml:space="preserve">Bid set: 2025.08.26_CO1-111_Broomfield_PERMIT SET_BID SET.pdf   ·   2026-10-17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</si>
  <si>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</si>
  <si>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</si>
  <si>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</si>
  <si>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</si>
  <si>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rule.</t>
  </si>
  <si>
    <t xml:space="preserve">Waste - EVERYTHING THAT IS NOT METAL</t>
  </si>
  <si>
    <t xml:space="preserve">Same figure as board.</t>
  </si>
  <si>
    <t xml:space="preserve">Board sheet width (ft)</t>
  </si>
  <si>
    <t xml:space="preserve">Board sheet length (ft)</t>
  </si>
  <si>
    <t xml:space="preserve">SF per board sheet</t>
  </si>
  <si>
    <t xml:space="preserve">Width x length.</t>
  </si>
  <si>
    <t xml:space="preserve">Stud stock length (ft)</t>
  </si>
  <si>
    <t xml:space="preserve">Track stock length (ft)</t>
  </si>
  <si>
    <t xml:space="preserve">ORGANIZED PARTITION TAKEOFF - Bank of America - Broomfield, CO (CO1-111) - PRUEBA automatica 15B v65b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</si>
  <si>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</si>
  <si>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</si>
  <si>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</si>
  <si>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</si>
  <si>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</si>
  <si>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</si>
  <si>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</si>
  <si>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</si>
  <si>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</si>
  <si>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</si>
  <si>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</si>
  <si>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</si>
  <si>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G</t>
  </si>
  <si>
    <t xml:space="preserve">G  #G-46  -  102 / 109</t>
  </si>
  <si>
    <t xml:space="preserve">G-46</t>
  </si>
  <si>
    <t xml:space="preserve">1-5/8"</t>
  </si>
  <si>
    <t xml:space="preserve">102 / 109</t>
  </si>
  <si>
    <t xml:space="preserve">A02.01 -&gt; 5/A12.01</t>
  </si>
  <si>
    <t xml:space="preserve">[CONFIRMADO]</t>
  </si>
  <si>
    <t xml:space="preserve">G  #G-49  -  109 / 110</t>
  </si>
  <si>
    <t xml:space="preserve">G-49</t>
  </si>
  <si>
    <t xml:space="preserve">109 / 110</t>
  </si>
  <si>
    <t xml:space="preserve">G  #G-51  -  110 / 114</t>
  </si>
  <si>
    <t xml:space="preserve">G-51</t>
  </si>
  <si>
    <t xml:space="preserve">110 / 114</t>
  </si>
  <si>
    <t xml:space="preserve">G  #G-SE0  -  104 / office</t>
  </si>
  <si>
    <t xml:space="preserve">G-SE0</t>
  </si>
  <si>
    <t xml:space="preserve">104 / office</t>
  </si>
  <si>
    <t xml:space="preserve">[DERIVADO]</t>
  </si>
  <si>
    <t xml:space="preserve">G  #G-SE1  -  104 / office</t>
  </si>
  <si>
    <t xml:space="preserve">G-SE1</t>
  </si>
  <si>
    <t xml:space="preserve">G  #G-SE2  -  104 / office</t>
  </si>
  <si>
    <t xml:space="preserve">G-SE2</t>
  </si>
  <si>
    <t xml:space="preserve">G  #G-SE3  -  104 / office</t>
  </si>
  <si>
    <t xml:space="preserve">G-SE3</t>
  </si>
  <si>
    <t xml:space="preserve">G  #G-SE4  -  104 / office</t>
  </si>
  <si>
    <t xml:space="preserve">G-SE4</t>
  </si>
  <si>
    <t xml:space="preserve">G  #G-44  -  106 / 107</t>
  </si>
  <si>
    <t xml:space="preserve">G-44</t>
  </si>
  <si>
    <t xml:space="preserve">106 / 107</t>
  </si>
  <si>
    <t xml:space="preserve">G  #G-47  -  107 / 108</t>
  </si>
  <si>
    <t xml:space="preserve">G-47</t>
  </si>
  <si>
    <t xml:space="preserve">107 / 108</t>
  </si>
  <si>
    <t xml:space="preserve">G  #G-50  -  108 / 116</t>
  </si>
  <si>
    <t xml:space="preserve">G-50</t>
  </si>
  <si>
    <t xml:space="preserve">108 / 116</t>
  </si>
  <si>
    <t xml:space="preserve">G  #DB-W1  -  109 / 104</t>
  </si>
  <si>
    <t xml:space="preserve">DB-W1</t>
  </si>
  <si>
    <t xml:space="preserve">109 / 104</t>
  </si>
  <si>
    <t xml:space="preserve">A02.01 -&gt; 8/A12.01</t>
  </si>
  <si>
    <t xml:space="preserve">G  #DB-W2  -  110 / 104</t>
  </si>
  <si>
    <t xml:space="preserve">DB-W2</t>
  </si>
  <si>
    <t xml:space="preserve">110 / 104</t>
  </si>
  <si>
    <t xml:space="preserve">G  #DB-E1  -  105 / 104</t>
  </si>
  <si>
    <t xml:space="preserve">DB-E1</t>
  </si>
  <si>
    <t xml:space="preserve">105 / 104</t>
  </si>
  <si>
    <t xml:space="preserve">G  #DB-E2  -  106 / 104</t>
  </si>
  <si>
    <t xml:space="preserve">DB-E2</t>
  </si>
  <si>
    <t xml:space="preserve">106 / 104</t>
  </si>
  <si>
    <t xml:space="preserve">G  #DB-E3  -  107 / 104</t>
  </si>
  <si>
    <t xml:space="preserve">DB-E3</t>
  </si>
  <si>
    <t xml:space="preserve">107 / 104</t>
  </si>
  <si>
    <t xml:space="preserve">G  #DB-E4  -  108 / 104</t>
  </si>
  <si>
    <t xml:space="preserve">DB-E4</t>
  </si>
  <si>
    <t xml:space="preserve">108 / 104</t>
  </si>
  <si>
    <t xml:space="preserve">TYPE G1</t>
  </si>
  <si>
    <t xml:space="preserve">G1  #G1-S2  -  109/110 / 104</t>
  </si>
  <si>
    <t xml:space="preserve">G1-S2</t>
  </si>
  <si>
    <t xml:space="preserve">109/110 / 104</t>
  </si>
  <si>
    <t xml:space="preserve">G1  #G1-S3  -  110 / 111</t>
  </si>
  <si>
    <t xml:space="preserve">G1-S3</t>
  </si>
  <si>
    <t xml:space="preserve">110 / 111</t>
  </si>
  <si>
    <t xml:space="preserve">G1  #G1-52  -  105 / 106</t>
  </si>
  <si>
    <t xml:space="preserve">G1-52</t>
  </si>
  <si>
    <t xml:space="preserve">105 / 106</t>
  </si>
  <si>
    <t xml:space="preserve">TYPE B2</t>
  </si>
  <si>
    <t xml:space="preserve">B2  #B2-25  -  102 / 104</t>
  </si>
  <si>
    <t xml:space="preserve">B2-25</t>
  </si>
  <si>
    <t xml:space="preserve">6"</t>
  </si>
  <si>
    <t xml:space="preserve">102 / 104</t>
  </si>
  <si>
    <t xml:space="preserve">A02.01 -&gt; 1/A12.01</t>
  </si>
  <si>
    <t xml:space="preserve">B2  #B2-28  -  118 / 116/119</t>
  </si>
  <si>
    <t xml:space="preserve">B2-28</t>
  </si>
  <si>
    <t xml:space="preserve">118 / 116/119</t>
  </si>
  <si>
    <t xml:space="preserve">B2  #B2-26a  -  114 / 111</t>
  </si>
  <si>
    <t xml:space="preserve">B2-26a</t>
  </si>
  <si>
    <t xml:space="preserve">114 / 111</t>
  </si>
  <si>
    <t xml:space="preserve">B2  #B2-27b  -  113/112/117/115 / 111</t>
  </si>
  <si>
    <t xml:space="preserve">B2-27b</t>
  </si>
  <si>
    <t xml:space="preserve">113/112/117/115 / 111</t>
  </si>
  <si>
    <t xml:space="preserve">TYPE B2K</t>
  </si>
  <si>
    <t xml:space="preserve">B2K  #B2K-31  -  108 / 104</t>
  </si>
  <si>
    <t xml:space="preserve">B2K-31</t>
  </si>
  <si>
    <t xml:space="preserve">A02.01 -&gt; 4/A12.01</t>
  </si>
  <si>
    <t xml:space="preserve">TYPE A1K</t>
  </si>
  <si>
    <t xml:space="preserve">A1K  #A1K-N  -  116 / 104</t>
  </si>
  <si>
    <t xml:space="preserve">A1K-N</t>
  </si>
  <si>
    <t xml:space="preserve">3-5/8"</t>
  </si>
  <si>
    <t xml:space="preserve">116 / 104</t>
  </si>
  <si>
    <t xml:space="preserve">A1K  #A1K-S  -  116 / 104</t>
  </si>
  <si>
    <t xml:space="preserve">A1K-S</t>
  </si>
  <si>
    <t xml:space="preserve">A1K  #A1K-SW  -  104 / 118</t>
  </si>
  <si>
    <t xml:space="preserve">A1K-SW</t>
  </si>
  <si>
    <t xml:space="preserve">104 / 118</t>
  </si>
  <si>
    <t xml:space="preserve">A1K  #A1K-J  -  104 / 116</t>
  </si>
  <si>
    <t xml:space="preserve">A1K-J</t>
  </si>
  <si>
    <t xml:space="preserve">104 / 116</t>
  </si>
  <si>
    <t xml:space="preserve">TYPE C1</t>
  </si>
  <si>
    <t xml:space="preserve">C1  #C1-38  -  116</t>
  </si>
  <si>
    <t xml:space="preserve">C1-38</t>
  </si>
  <si>
    <t xml:space="preserve">116</t>
  </si>
  <si>
    <t xml:space="preserve">A02.01 -&gt; 6/A12.01</t>
  </si>
  <si>
    <t xml:space="preserve">C1  #C1-36  -  104</t>
  </si>
  <si>
    <t xml:space="preserve">C1-36</t>
  </si>
  <si>
    <t xml:space="preserve">104</t>
  </si>
  <si>
    <t xml:space="preserve">C1  #C1-N  -  114</t>
  </si>
  <si>
    <t xml:space="preserve">C1-N</t>
  </si>
  <si>
    <t xml:space="preserve">114</t>
  </si>
  <si>
    <t xml:space="preserve">C1  #C1-S  -  113</t>
  </si>
  <si>
    <t xml:space="preserve">C1-S</t>
  </si>
  <si>
    <t xml:space="preserve">113</t>
  </si>
  <si>
    <t xml:space="preserve">C1  #PIER-NW  -  100</t>
  </si>
  <si>
    <t xml:space="preserve">PIER-NW</t>
  </si>
  <si>
    <t xml:space="preserve">100</t>
  </si>
  <si>
    <t xml:space="preserve">A02.01 -&gt; 1/A09.25</t>
  </si>
  <si>
    <t xml:space="preserve">C1  #PIER-NE  -  100</t>
  </si>
  <si>
    <t xml:space="preserve">PIER-NE</t>
  </si>
  <si>
    <t xml:space="preserve">A02.01 -&gt; 2/A09.25</t>
  </si>
  <si>
    <t xml:space="preserve">C1  #C1-34  -  101/103</t>
  </si>
  <si>
    <t xml:space="preserve">C1-34</t>
  </si>
  <si>
    <t xml:space="preserve">101/103</t>
  </si>
  <si>
    <t xml:space="preserve">A02.01 -&gt; 3/A08.21</t>
  </si>
  <si>
    <t xml:space="preserve">C1  #C1-35  -  101/103</t>
  </si>
  <si>
    <t xml:space="preserve">C1-35</t>
  </si>
  <si>
    <t xml:space="preserve">TYPE A1</t>
  </si>
  <si>
    <t xml:space="preserve">A1  #A1-0  -  104 / 122</t>
  </si>
  <si>
    <t xml:space="preserve">A1-0</t>
  </si>
  <si>
    <t xml:space="preserve">104 / 122</t>
  </si>
  <si>
    <t xml:space="preserve">A02.01 -&gt; 3/A12.01</t>
  </si>
  <si>
    <t xml:space="preserve">A1  #A1-1  -  MW01 niche / 122</t>
  </si>
  <si>
    <t xml:space="preserve">A1-1</t>
  </si>
  <si>
    <t xml:space="preserve">MW01 niche / 122</t>
  </si>
  <si>
    <t xml:space="preserve">A1  #A1-2  -  MW01 niche / 122</t>
  </si>
  <si>
    <t xml:space="preserve">A1-2</t>
  </si>
  <si>
    <t xml:space="preserve">A1  #A1-4  -  122 / 118B corridor</t>
  </si>
  <si>
    <t xml:space="preserve">A1-4</t>
  </si>
  <si>
    <t xml:space="preserve">122 / 118B corridor</t>
  </si>
  <si>
    <t xml:space="preserve">A1  #A1-6  -  111 / 103-9</t>
  </si>
  <si>
    <t xml:space="preserve">A1-6</t>
  </si>
  <si>
    <t xml:space="preserve">111 / 103-9</t>
  </si>
  <si>
    <t xml:space="preserve">A1  #A1-5  -  103-9 / 118</t>
  </si>
  <si>
    <t xml:space="preserve">A1-5</t>
  </si>
  <si>
    <t xml:space="preserve">103-9 / 118</t>
  </si>
  <si>
    <t xml:space="preserve">A1  #A1-111  -  110 / 111</t>
  </si>
  <si>
    <t xml:space="preserve">A1-111</t>
  </si>
  <si>
    <t xml:space="preserve">A1  #A1-7  -  111 / 120/121</t>
  </si>
  <si>
    <t xml:space="preserve">A1-7</t>
  </si>
  <si>
    <t xml:space="preserve">111 / 120/121</t>
  </si>
  <si>
    <t xml:space="preserve">A1  #A1-8  -  116 / 119</t>
  </si>
  <si>
    <t xml:space="preserve">A1-8</t>
  </si>
  <si>
    <t xml:space="preserve">116 / 119</t>
  </si>
  <si>
    <t xml:space="preserve">A1  #A1-ALN  -  114 / alcove</t>
  </si>
  <si>
    <t xml:space="preserve">A1-ALN</t>
  </si>
  <si>
    <t xml:space="preserve">114 / alcove</t>
  </si>
  <si>
    <t xml:space="preserve">A1  #A1-ALB  -  chase / alcove</t>
  </si>
  <si>
    <t xml:space="preserve">A1-ALB</t>
  </si>
  <si>
    <t xml:space="preserve">chase / alcove</t>
  </si>
  <si>
    <t xml:space="preserve">A1  #A1-ALS  -  alcove / 113</t>
  </si>
  <si>
    <t xml:space="preserve">A1-ALS</t>
  </si>
  <si>
    <t xml:space="preserve">alcove / 113</t>
  </si>
  <si>
    <t xml:space="preserve">TYPE A5</t>
  </si>
  <si>
    <t xml:space="preserve">A5  #A5-W122  -  111 / 122</t>
  </si>
  <si>
    <t xml:space="preserve">A5-W122</t>
  </si>
  <si>
    <t xml:space="preserve">111 / 122</t>
  </si>
  <si>
    <t xml:space="preserve">A5  #A5-E122  -  122 / 103</t>
  </si>
  <si>
    <t xml:space="preserve">A5-E122</t>
  </si>
  <si>
    <t xml:space="preserve">122 / 103</t>
  </si>
  <si>
    <t xml:space="preserve">A5  #A5-15  -  111 / 122</t>
  </si>
  <si>
    <t xml:space="preserve">A5-15</t>
  </si>
  <si>
    <t xml:space="preserve">A5  #A5-16  -  118 / 116 FCAM</t>
  </si>
  <si>
    <t xml:space="preserve">A5-16</t>
  </si>
  <si>
    <t xml:space="preserve">118 / 116 FCAM</t>
  </si>
  <si>
    <t xml:space="preserve">TYPE B</t>
  </si>
  <si>
    <t xml:space="preserve">B  #B-18  -  118B corridor / 120</t>
  </si>
  <si>
    <t xml:space="preserve">B-18</t>
  </si>
  <si>
    <t xml:space="preserve">118B corridor / 120</t>
  </si>
  <si>
    <t xml:space="preserve">B  #B-22  -  120 / 121</t>
  </si>
  <si>
    <t xml:space="preserve">B-22</t>
  </si>
  <si>
    <t xml:space="preserve">120 / 121</t>
  </si>
  <si>
    <t xml:space="preserve">B  #B-23  -  120/121 / 118</t>
  </si>
  <si>
    <t xml:space="preserve">B-23</t>
  </si>
  <si>
    <t xml:space="preserve">120/121 / 118</t>
  </si>
  <si>
    <t xml:space="preserve">B  #B-19  -  113 / 112/117</t>
  </si>
  <si>
    <t xml:space="preserve">B-19</t>
  </si>
  <si>
    <t xml:space="preserve">113 / 112/117</t>
  </si>
  <si>
    <t xml:space="preserve">B  #B-JS  -  112 / 117</t>
  </si>
  <si>
    <t xml:space="preserve">B-JS</t>
  </si>
  <si>
    <t xml:space="preserve">112 / 117</t>
  </si>
  <si>
    <t xml:space="preserve">B  #B-21  -  112/117 / 115</t>
  </si>
  <si>
    <t xml:space="preserve">B-21</t>
  </si>
  <si>
    <t xml:space="preserve">112/117 / 115</t>
  </si>
  <si>
    <t xml:space="preserve">TYPE EXT</t>
  </si>
  <si>
    <t xml:space="preserve">EXT  #EXT-N  -  interior</t>
  </si>
  <si>
    <t xml:space="preserve">EXT-N</t>
  </si>
  <si>
    <t xml:space="preserve">interior</t>
  </si>
  <si>
    <t xml:space="preserve">A02.01 -&gt; C/A09.21</t>
  </si>
  <si>
    <t xml:space="preserve">EXT  #EXT-E1  -  interior</t>
  </si>
  <si>
    <t xml:space="preserve">EXT-E1</t>
  </si>
  <si>
    <t xml:space="preserve">EXT  #EXT-E2  -  interior</t>
  </si>
  <si>
    <t xml:space="preserve">EXT-E2</t>
  </si>
  <si>
    <t xml:space="preserve">EXT  #EXT-S1  -  interior</t>
  </si>
  <si>
    <t xml:space="preserve">EXT-S1</t>
  </si>
  <si>
    <t xml:space="preserve">EXT  #EXT-S2  -  interior</t>
  </si>
  <si>
    <t xml:space="preserve">EXT-S2</t>
  </si>
  <si>
    <t xml:space="preserve">EXT  #EXT-W3  -  interior</t>
  </si>
  <si>
    <t xml:space="preserve">EXT-W3</t>
  </si>
  <si>
    <t xml:space="preserve">EXT  #EXT-W2  -  interior</t>
  </si>
  <si>
    <t xml:space="preserve">EXT-W2</t>
  </si>
  <si>
    <t xml:space="preserve">EXT  #EXT-SJ  -  interior</t>
  </si>
  <si>
    <t xml:space="preserve">EXT-SJ</t>
  </si>
  <si>
    <t xml:space="preserve">EXT  #EXT-WU  -  interior</t>
  </si>
  <si>
    <t xml:space="preserve">EXT-WU</t>
  </si>
  <si>
    <t xml:space="preserve">EXT  #SC-N1  -  100/103</t>
  </si>
  <si>
    <t xml:space="preserve">SC-N1</t>
  </si>
  <si>
    <t xml:space="preserve">100/103</t>
  </si>
  <si>
    <t xml:space="preserve">A02.01 -&gt; 2/A09.26</t>
  </si>
  <si>
    <t xml:space="preserve">EXT  #SC-N2  -  100/103</t>
  </si>
  <si>
    <t xml:space="preserve">SC-N2</t>
  </si>
  <si>
    <t xml:space="preserve">EXT  #SC-W1  -  100/103</t>
  </si>
  <si>
    <t xml:space="preserve">SC-W1</t>
  </si>
  <si>
    <t xml:space="preserve">TYPE CANOPY</t>
  </si>
  <si>
    <t xml:space="preserve">CANOPY  #FB-N  -  N</t>
  </si>
  <si>
    <t xml:space="preserve">FB-N</t>
  </si>
  <si>
    <t xml:space="preserve">3-5/8" canopy</t>
  </si>
  <si>
    <t xml:space="preserve">N</t>
  </si>
  <si>
    <t xml:space="preserve">A02.01 -&gt; 7/A09.26</t>
  </si>
  <si>
    <t xml:space="preserve">CANOPY  #FB-E  -  E</t>
  </si>
  <si>
    <t xml:space="preserve">FB-E</t>
  </si>
  <si>
    <t xml:space="preserve">E</t>
  </si>
  <si>
    <t xml:space="preserve">CANOPY  #FB-S  -  S</t>
  </si>
  <si>
    <t xml:space="preserve">FB-S</t>
  </si>
  <si>
    <t xml:space="preserve">S</t>
  </si>
  <si>
    <t xml:space="preserve">CANOPY  #FB-W  -  W</t>
  </si>
  <si>
    <t xml:space="preserve">FB-W</t>
  </si>
  <si>
    <t xml:space="preserve">W</t>
  </si>
  <si>
    <t xml:space="preserve">TYPE PARAPET</t>
  </si>
  <si>
    <t xml:space="preserve">PARAPET  #PAR-N1  -  parapet run N1</t>
  </si>
  <si>
    <t xml:space="preserve">PAR-N1</t>
  </si>
  <si>
    <t xml:space="preserve">6" parapet</t>
  </si>
  <si>
    <t xml:space="preserve">parapet run N1</t>
  </si>
  <si>
    <t xml:space="preserve">A02.01 -&gt; 11/S5.10</t>
  </si>
  <si>
    <t xml:space="preserve">PARAPET  #PAR-N2  -  parapet run N2</t>
  </si>
  <si>
    <t xml:space="preserve">PAR-N2</t>
  </si>
  <si>
    <t xml:space="preserve">parapet run N2</t>
  </si>
  <si>
    <t xml:space="preserve">PARAPET  #PAR-N3  -  parapet run N3</t>
  </si>
  <si>
    <t xml:space="preserve">PAR-N3</t>
  </si>
  <si>
    <t xml:space="preserve">parapet run N3</t>
  </si>
  <si>
    <t xml:space="preserve">PARAPET  #PAR-E1  -  parapet run E</t>
  </si>
  <si>
    <t xml:space="preserve">PAR-E1</t>
  </si>
  <si>
    <t xml:space="preserve">parapet run E</t>
  </si>
  <si>
    <t xml:space="preserve">PARAPET  #PAR-E2  -  parapet run E</t>
  </si>
  <si>
    <t xml:space="preserve">PAR-E2</t>
  </si>
  <si>
    <t xml:space="preserve">PARAPET  #PAR-S  -  parapet run S</t>
  </si>
  <si>
    <t xml:space="preserve">PAR-S</t>
  </si>
  <si>
    <t xml:space="preserve">parapet run S</t>
  </si>
  <si>
    <t xml:space="preserve">PARAPET  #PAR-J  -  parapet run J</t>
  </si>
  <si>
    <t xml:space="preserve">PAR-J</t>
  </si>
  <si>
    <t xml:space="preserve">parapet run J</t>
  </si>
  <si>
    <t xml:space="preserve">PARAPET  #PAR-W1  -  parapet run W1</t>
  </si>
  <si>
    <t xml:space="preserve">PAR-W1</t>
  </si>
  <si>
    <t xml:space="preserve">parapet run W1</t>
  </si>
  <si>
    <t xml:space="preserve">PARAPET  #PAR-W2  -  parapet run W2</t>
  </si>
  <si>
    <t xml:space="preserve">PAR-W2</t>
  </si>
  <si>
    <t xml:space="preserve">parapet run W2</t>
  </si>
  <si>
    <t xml:space="preserve">PARAPET  #PAR-W3  -  parapet run W2</t>
  </si>
  <si>
    <t xml:space="preserve">PAR-W3</t>
  </si>
  <si>
    <t xml:space="preserve">TYPE RS</t>
  </si>
  <si>
    <t xml:space="preserve">RS  #RS-1  -  roof_step</t>
  </si>
  <si>
    <t xml:space="preserve">RS-1</t>
  </si>
  <si>
    <t xml:space="preserve">roof_step</t>
  </si>
  <si>
    <t xml:space="preserve">A02.01 -&gt; 4/A02.02</t>
  </si>
  <si>
    <t xml:space="preserve">RS  #RS-2  -  roof_step</t>
  </si>
  <si>
    <t xml:space="preserve">RS-2</t>
  </si>
  <si>
    <t xml:space="preserve">RS  #RS-3  -  roof_step</t>
  </si>
  <si>
    <t xml:space="preserve">RS-3</t>
  </si>
  <si>
    <t xml:space="preserve">TYPE CANOPY-COL</t>
  </si>
  <si>
    <t xml:space="preserve">CANOPY-COL  #CW-1  -  column_wrap</t>
  </si>
  <si>
    <t xml:space="preserve">CW-1</t>
  </si>
  <si>
    <t xml:space="preserve">column_wrap</t>
  </si>
  <si>
    <t xml:space="preserve">A02.01 -&gt; 5/A09.25</t>
  </si>
  <si>
    <t xml:space="preserve">CANOPY-COL  #CW-2  -  column_wrap</t>
  </si>
  <si>
    <t xml:space="preserve">CW-2</t>
  </si>
  <si>
    <t xml:space="preserve">CANOPY-COL  #CW-3  -  column_wrap</t>
  </si>
  <si>
    <t xml:space="preserve">CW-3</t>
  </si>
  <si>
    <t xml:space="preserve">CANOPY-COL  #CW-4  -  column_wrap</t>
  </si>
  <si>
    <t xml:space="preserve">CW-4</t>
  </si>
  <si>
    <t xml:space="preserve">TYPE TRANS</t>
  </si>
  <si>
    <t xml:space="preserve">TRANS  #TR-104  -  104/103</t>
  </si>
  <si>
    <t xml:space="preserve">TR-104</t>
  </si>
  <si>
    <t xml:space="preserve">104/103</t>
  </si>
  <si>
    <t xml:space="preserve">A02.01 -&gt; 7/A09.33</t>
  </si>
  <si>
    <t xml:space="preserve">TYPE CSR</t>
  </si>
  <si>
    <t xml:space="preserve">CSR  #CSR-W  -  103</t>
  </si>
  <si>
    <t xml:space="preserve">CSR-W</t>
  </si>
  <si>
    <t xml:space="preserve">103</t>
  </si>
  <si>
    <t xml:space="preserve">A02.01 -&gt; 10/A09.33</t>
  </si>
  <si>
    <t xml:space="preserve">CSR  #CSR-E  -  116</t>
  </si>
  <si>
    <t xml:space="preserve">CSR-E</t>
  </si>
  <si>
    <t xml:space="preserve">TYPE BLKHD</t>
  </si>
  <si>
    <t xml:space="preserve">BLKHD  #BK-103a  -  103 / 103 inner</t>
  </si>
  <si>
    <t xml:space="preserve">BK-103a</t>
  </si>
  <si>
    <t xml:space="preserve">103 / 103 inner</t>
  </si>
  <si>
    <t xml:space="preserve">BLKHD  #BK-103b  -  103 / 103 inner</t>
  </si>
  <si>
    <t xml:space="preserve">BK-103b</t>
  </si>
  <si>
    <t xml:space="preserve">TYPE F</t>
  </si>
  <si>
    <t xml:space="preserve">F  #F-40  -  101 / 102</t>
  </si>
  <si>
    <t xml:space="preserve">F-40</t>
  </si>
  <si>
    <t xml:space="preserve">101 / 102</t>
  </si>
  <si>
    <t xml:space="preserve">A02.01 -&gt; 12/A12.01</t>
  </si>
  <si>
    <t xml:space="preserve">TYPE VH</t>
  </si>
  <si>
    <t xml:space="preserve">VH  #VH-S  -  100 / 101/103</t>
  </si>
  <si>
    <t xml:space="preserve">VH-S</t>
  </si>
  <si>
    <t xml:space="preserve">100 / 101/103</t>
  </si>
  <si>
    <t xml:space="preserve">A02.01 -&gt; 4/A12.10</t>
  </si>
  <si>
    <t xml:space="preserve">VH  #VH-E  -  100 / 101/103</t>
  </si>
  <si>
    <t xml:space="preserve">VH-E</t>
  </si>
  <si>
    <t xml:space="preserve">TYPE GRILLE</t>
  </si>
  <si>
    <t xml:space="preserve">GRILLE  #GH-103  -  101 / 103</t>
  </si>
  <si>
    <t xml:space="preserve">GH-103</t>
  </si>
  <si>
    <t xml:space="preserve">2-1/2"</t>
  </si>
  <si>
    <t xml:space="preserve">101 / 103</t>
  </si>
  <si>
    <t xml:space="preserve">A02.01 -&gt; 4/A08.21</t>
  </si>
  <si>
    <t xml:space="preserve">TOTAL - PARTITIONS</t>
  </si>
  <si>
    <t xml:space="preserve">MATERIAL SUMMARY - NET / WASTE / PURCHASE</t>
  </si>
  <si>
    <t xml:space="preserve">Waste lives HERE, in its own column, never inside the net quantity.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</si>
  <si>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</si>
  <si>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</si>
  <si>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</si>
  <si>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</si>
  <si>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</si>
  <si>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</si>
  <si>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</si>
  <si>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</si>
  <si>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</si>
  <si>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6" metal stud 600S162-54 ext. (S1.11 n.5) / 600S137-33 int. (7/S5.20)</t>
  </si>
  <si>
    <t xml:space="preserve">LF</t>
  </si>
  <si>
    <t xml:space="preserve">stick 20 ft</t>
  </si>
  <si>
    <t xml:space="preserve">familias_out.json familias['6" stud (todos los gauges)']; C/A09.21; 1/A12.01; 3/A12.01; 10/S5.10</t>
  </si>
  <si>
    <t xml:space="preserve">3-5/8" metal stud 362S137-33 (incl. canopy fascia / soffit joists, kickers, transitions)</t>
  </si>
  <si>
    <t xml:space="preserve">familias_out.json familias['3-5/8" stud (todos los gauges)']; 3/A12.01; 1/A12.01; 7/A09.26; 7/A09.33</t>
  </si>
  <si>
    <t xml:space="preserve">1-5/8" metal stud 162S125-33 double row (G / G1, office bulkheads)</t>
  </si>
  <si>
    <t xml:space="preserve">familias_out.json familias['1-5/8" stud']; 5/A12.01; 8/A12.01; 9/A12.01</t>
  </si>
  <si>
    <t xml:space="preserve">6" parapet stud 600S162-54 infill by bay</t>
  </si>
  <si>
    <t xml:space="preserve">familias_out.json familias['6" parapet stud']; 11/S5.10; 6/S5.10</t>
  </si>
  <si>
    <t xml:space="preserve">2-1/2" metal stud (coiling grille head)</t>
  </si>
  <si>
    <t xml:space="preserve">familias_out.json familias['2-1/2" stud']; 4/A08.21</t>
  </si>
  <si>
    <t xml:space="preserve">Bottom track (all sizes)</t>
  </si>
  <si>
    <t xml:space="preserve">piece 10 ft</t>
  </si>
  <si>
    <t xml:space="preserve">familias_out.json familias['bottom track (todos)']; corridas_out.json</t>
  </si>
  <si>
    <t xml:space="preserve">Top / deflection track (all sizes, slip / deflection)</t>
  </si>
  <si>
    <t xml:space="preserve">familias_out.json familias['top / deflection track (todos)']; 10/S5.10; 1/A12.01</t>
  </si>
  <si>
    <t xml:space="preserve">Ceiling / soffit track (GWB perimeter, transitions, CSR, canopy)</t>
  </si>
  <si>
    <t xml:space="preserve">familias_out.json familias['track de ceilings / soffits']; 7/A09.33; 10/A09.33; 7/A09.26</t>
  </si>
  <si>
    <t xml:space="preserve">Bracing 1-1/2" C.R. channel @ 48" O.C.</t>
  </si>
  <si>
    <t xml:space="preserve">piece 16 ft</t>
  </si>
  <si>
    <t xml:space="preserve">familias_out.json familias['bracing C.R. channel']; F/1/S5.20</t>
  </si>
  <si>
    <t xml:space="preserve">Purlin 1x1x1 16 GA (track to deck parallel to flute)</t>
  </si>
  <si>
    <t xml:space="preserve">familias_out.json familias['purlin (track to deck)']; 10/A09.33</t>
  </si>
  <si>
    <t xml:space="preserve">Header / box beam (by pieces, E1-E22)</t>
  </si>
  <si>
    <t xml:space="preserve">familias_out.json familias['header / box beam']; 7/S5.20; 11/A09.27; 8/A12.01</t>
  </si>
  <si>
    <t xml:space="preserve">Sill track (double &gt; 4'-0")</t>
  </si>
  <si>
    <t xml:space="preserve">familias_out.json familias['sill track']; 2/S5.20</t>
  </si>
  <si>
    <t xml:space="preserve">Framed openings MEP (track)</t>
  </si>
  <si>
    <t xml:space="preserve">familias_out.json familias['959.78']; framed_openings_out.json; 6/A09.33</t>
  </si>
  <si>
    <t xml:space="preserve">Furring channel 7/8" @ 16" O.C.</t>
  </si>
  <si>
    <t xml:space="preserve">piece 12 ft</t>
  </si>
  <si>
    <t xml:space="preserve">familias_out.json familias['furring channel']; A04.01</t>
  </si>
  <si>
    <t xml:space="preserve">Carrying channel 1-1/2" @ 48" O.C.</t>
  </si>
  <si>
    <t xml:space="preserve">familias_out.json familias['carrying channel']; A04.01</t>
  </si>
  <si>
    <t xml:space="preserve">Hanger wire 12 GA (113 PCS, LF derived)</t>
  </si>
  <si>
    <t xml:space="preserve">roll</t>
  </si>
  <si>
    <t xml:space="preserve">familias_out.json familias['hanger wire']; hanger_pcs</t>
  </si>
  <si>
    <t xml:space="preserve">5/8" gypsum board regular (walls + ceilings)</t>
  </si>
  <si>
    <t xml:space="preserve">SF</t>
  </si>
  <si>
    <t xml:space="preserve">4x12 sheet</t>
  </si>
  <si>
    <t xml:space="preserve">familias_out.json familias['5/8" gyp board regular (walls + ceilings)']; board_out.json</t>
  </si>
  <si>
    <t xml:space="preserve">5/8" gypsum board moisture resistant</t>
  </si>
  <si>
    <t xml:space="preserve">familias_out.json familias['5/8" gyp MOISTURE RESISTANT']; A08.01 note F</t>
  </si>
  <si>
    <t xml:space="preserve">Ballistic panel 3/8" UL752 Level-2 fiberglass</t>
  </si>
  <si>
    <t xml:space="preserve">4x8 sheet</t>
  </si>
  <si>
    <t xml:space="preserve">familias_out.json familias['ballistic panel']; 4/A12.01</t>
  </si>
  <si>
    <t xml:space="preserve">3/8" gypsum board (above ballistic)</t>
  </si>
  <si>
    <t xml:space="preserve">familias_out.json familias['3/8" gyp board']; 4/A12.01</t>
  </si>
  <si>
    <t xml:space="preserve">5/8" glass mat sheathing</t>
  </si>
  <si>
    <t xml:space="preserve">familias_out.json familias['5/8" glass mat sheathing']; 5/A09.26; 7/A09.26</t>
  </si>
  <si>
    <t xml:space="preserve">5/8" exterior gyp sheathing (parapet roof side)</t>
  </si>
  <si>
    <t xml:space="preserve">familias_out.json familias['5/8" EXTERIOR gyp sheathing']; 4/A09.26; A09.21</t>
  </si>
  <si>
    <t xml:space="preserve">FRT plywood (SF): nailbase, canopy fascia/soffit, column wraps, opening strips, backboards</t>
  </si>
  <si>
    <t xml:space="preserve">familias_out.json familias['FRT plywood (SF)']; C/A09.21; 7/A09.26; 5/A09.25; A11.03</t>
  </si>
  <si>
    <t xml:space="preserve">FRT blocking (FRT / FRTW labeled)</t>
  </si>
  <si>
    <t xml:space="preserve">piece 8 ft</t>
  </si>
  <si>
    <t xml:space="preserve">familias_out.json familias['FRT blocking']; A08.01 note E; A12.03; 4/A09.26</t>
  </si>
  <si>
    <t xml:space="preserve">Metal stud blocking 362CR22 (STUD BLOCKING 4/S5.20)</t>
  </si>
  <si>
    <t xml:space="preserve">familias_out.json familias['metal stud blocking (362CR / STUD BLOCKING)']; 4/S5.20</t>
  </si>
  <si>
    <t xml:space="preserve">Metal trim - corner bead, casing bead, shadow molding, gypsum edge trim</t>
  </si>
  <si>
    <t xml:space="preserve">familias_out.json familias['metal trim (corner bead, casing, shadow molding)']; 8/A12.01; 7/A09.33; 6/A09.33</t>
  </si>
  <si>
    <t xml:space="preserve">Cement board (tile cove base)</t>
  </si>
  <si>
    <t xml:space="preserve">3x5 sheet</t>
  </si>
  <si>
    <t xml:space="preserve">familias_out.json familias['cement board']; A08.01 CT-12C</t>
  </si>
  <si>
    <t xml:space="preserve">FRP panel</t>
  </si>
  <si>
    <t xml:space="preserve">familias_out.json familias['FRP']; A08.01; A05.01 key note 6</t>
  </si>
  <si>
    <t xml:space="preserve">Acoustical sealant (incl. sealant at base of gypsum, exterior)</t>
  </si>
  <si>
    <t xml:space="preserve">tube 25 LF</t>
  </si>
  <si>
    <t xml:space="preserve">familias_out.json familias['acoustical sealant']; 1/A12.01; 3/A12.01; 4/A12.01; 5/A12.01</t>
  </si>
  <si>
    <t xml:space="preserve">Level 5 finish</t>
  </si>
  <si>
    <t xml:space="preserve">familias_out.json familias['Level 5 finish']; A05.01 key notes 9, 10</t>
  </si>
  <si>
    <t xml:space="preserve">RFI</t>
  </si>
  <si>
    <t xml:space="preserve">Question / condition</t>
  </si>
  <si>
    <t xml:space="preserve">Delta of each alternative</t>
  </si>
  <si>
    <t xml:space="preserve">RFI-01</t>
  </si>
  <si>
    <t xml:space="preserve">Office front CONT. BOX BEAM run length (8/A12.01; 9/A12.01) is not dimensioned; measured between end stubs on A02.01: west front 18.17 ft, east front 39.97 ft [DERIVADO]. Confirm run limits (stub to stub vs face of bounding walls).</t>
  </si>
  <si>
    <t xml:space="preserve">west run to G-46/G-51 faces (21.51 ft): +(21.51-18.17) x 4 pieces = +13.4 LF header; east to north wall / G-50 (42.74 ft): +11.1 LF</t>
  </si>
  <si>
    <t xml:space="preserve">RFI-02</t>
  </si>
  <si>
    <t xml:space="preserve">Low-roof B.O.D. markers (S2.20 13'-0 5/8" and 12'-6 3/8") taken at grid B and grid A; studs south of grid B interpolated per wall (high side). Confirm marker locations.</t>
  </si>
  <si>
    <t xml:space="preserve">using 13'-0 5/8" flat for the whole low zone: approx +0.3 ft on south walls (studs and board)</t>
  </si>
  <si>
    <t xml:space="preserve">RFI-03</t>
  </si>
  <si>
    <t xml:space="preserve">Blocking material not labeled for artwork, cork/combo boards, lockers and wall stops; carried as 362CR22 metal stud blocking (4/S5.20). Wall stops per A00.30 hardware groups 04A/08/10/11/11B/12/16 (9 doors). Media wall monitor: 9/A12.02 draws one 3/4" FRT plywood piece 11" high x 3'-8 1/4", A03.01 KN 24 says 18" high - confirm.</t>
  </si>
  <si>
    <t xml:space="preserve">FRT wood instead of metal: same LF (approx 72 LF) moves to FRT blocking; media wall 2 strips: +3.69 LF FRT</t>
  </si>
  <si>
    <t xml:space="preserve">RFI-04</t>
  </si>
  <si>
    <t xml:space="preserve">Millwork FRTW blocking (A12.03-A12.06 sheet note D): runs per cabinet type and standards count (MW05, MW06A 3 standards x 7'-0") are not dimensioned [DERIVADO].</t>
  </si>
  <si>
    <t xml:space="preserve">2 standards instead of 3: -21.0 LF FRT blocking</t>
  </si>
  <si>
    <t xml:space="preserve">RFI-05</t>
  </si>
  <si>
    <t xml:space="preserve">Mop sink width not printed (P00.01 PF-07 'SEE PLANS'); FRP at mop sink (A05.01 key note 6) carried 2 sides x 2'-0" x 4'-0" [DERIVADO].</t>
  </si>
  <si>
    <t xml:space="preserve">28" mop sink: +2.67 SF FRP</t>
  </si>
  <si>
    <t xml:space="preserve">RFI-06</t>
  </si>
  <si>
    <t xml:space="preserve">Coiling grille 103: jamb FRT WOOD BLOCKING extent (3/A08.21 '(TYP)') not dimensioned; carried 2 x grille height 13'-6 1/2" (A00.30).</t>
  </si>
  <si>
    <t xml:space="preserve">blocking to deck 15.375: +3.67 LF FRT blocking</t>
  </si>
  <si>
    <t xml:space="preserve">RFI-07</t>
  </si>
  <si>
    <t xml:space="preserve">C1 type (6/A12.01) is drawn as block partition furring; on A02.01 the C1 tags sit on a plumbing chase (113/114), a media-wall bump-out, grille jamb boxes and an FCAM box. Board height not dimensioned (break line) -&gt; board to deck (60.11, 53.3).</t>
  </si>
  <si>
    <t xml:space="preserve">board to ceiling + 6" on C1 faces: approx -(H - ceiling - 0.5) x L per face</t>
  </si>
  <si>
    <t xml:space="preserve">RFI-08</t>
  </si>
  <si>
    <t xml:space="preserve">B2K tag has no row in the partition schedule; derived as A5K family (6" stud + 5/8" + 3/8" fiberglass + 5/8" = 7 5/8", measured 11.52 pt = 7.68") with 14 GA studs @ 24" O.C. per 4/A12.01 note [DERIVADO].</t>
  </si>
  <si>
    <t xml:space="preserve">none on LF; stud gauge only</t>
  </si>
  <si>
    <t xml:space="preserve">RFI-09</t>
  </si>
  <si>
    <t xml:space="preserve">Light fixture tags on E02.01 carry circuit suffixes (R-11A,b / R-11C,d); R-11C description says 12' LINEAR but catalog reads 20'-0" (E00.01).</t>
  </si>
  <si>
    <t xml:space="preserve">20' instead of 12' for R-11C/R-11CE (4 ea): +64 LF framed openings</t>
  </si>
  <si>
    <t xml:space="preserve">RFI-10</t>
  </si>
  <si>
    <t xml:space="preserve">No GWB ceiling suspension detail in the set (A09.33 has none; spec 09 21 16 not included). Carried furring channel 16" O.C., carrying channel and hangers 48" O.C., carrying N-S.</t>
  </si>
  <si>
    <t xml:space="preserve">furring 24" O.C.: approx -1/3 of furring channel LF</t>
  </si>
  <si>
    <t xml:space="preserve">RFI-11</t>
  </si>
  <si>
    <t xml:space="preserve">Three ACT-to-ACT ceiling height changes without callout on A04.01 (Central Zone 11'-6" to 9'-0" area 5.09 LF; to Corridor 8'-6" 5.00 LF; 9'-0" to Break 8'-6" 3.33 LF). Carried the first two as 7/A09.33 ACT-to-ACT steps (outer face + 6" inner face, trim 2 places); the third is the door 118A wall.</t>
  </si>
  <si>
    <t xml:space="preserve">no steps: -10.09 LF framing, -20 LF track, -20 LF corner bead and -20 LF shadow molding</t>
  </si>
  <si>
    <t xml:space="preserve">RFI-12</t>
  </si>
  <si>
    <t xml:space="preserve">A05.01 key note 9 (WC-20 Level 5) extent: carried on the F diagonal wall 24 HR vestibule face (17.46 x 10.0 = 175 SF).</t>
  </si>
  <si>
    <t xml:space="preserve">other wall or partial: up to -175 SF Level 5</t>
  </si>
  <si>
    <t xml:space="preserve">RFI-13</t>
  </si>
  <si>
    <t xml:space="preserve">Slot diffusers (SD TITUS TBDI-10, size 'SEE DRAWING' M00.03) in GWB ceilings 100/101/113/114: run lengths scaled from M01.01 (12.9 ft runs; 4 ft in restrooms) [DERIVADO].</t>
  </si>
  <si>
    <t xml:space="preserve">+/- 2 x 1 ft per run: approx +/- 20 LF framed openings</t>
  </si>
  <si>
    <t xml:space="preserve">RFI-14</t>
  </si>
  <si>
    <t xml:space="preserve">Drive-up canopy (west, B.O.D. 11'-9") soffit framing area not dimensioned for joists; carried 13.45 x 52.67 ft (grid 1-2 x G-B, S2.20) as canopy_joist 3 5/8" @ 16" (4,5/A09.33).</t>
  </si>
  <si>
    <t xml:space="preserve">if soffit is by canopy manufacturer: -708 SF FRT plywood and joists</t>
  </si>
  <si>
    <t xml:space="preserve">RFI-E01</t>
  </si>
  <si>
    <t xml:space="preserve">Elevation titles: 1/A09.01 'SOUTH ELEVATION' shows the plan-north entry; 2/A09.02 'NORTH ELEVATION' shows plan-south (S2.20 'BUILDING FOOTPRINT MIRRORED NORTH-SOUTH'). Facades named by A02.01 north arrow.</t>
  </si>
  <si>
    <t xml:space="preserve">labels only; totals unchanged</t>
  </si>
  <si>
    <t xml:space="preserve">RFI-E02</t>
  </si>
  <si>
    <t xml:space="preserve">Exterior stud: S1.11 note 5 600S162-54 @ 16" (12" within 6 ft of corners) vs 7/S5.20 600S137-33 @ 16". Carried S1.11 (more material, 56.2) with 12" zones at building corners.</t>
  </si>
  <si>
    <t xml:space="preserve">600S137-33 without corner zones: gauge 54 -&gt; 33 mil; approx -20 studs</t>
  </si>
  <si>
    <t xml:space="preserve">RFI-E04</t>
  </si>
  <si>
    <t xml:space="preserve">Wall sections draw canopy beams (W12x19, W16x26 CANOPY) on the wall line, also over storefront cripples SC-N1/SC-N2 (e.g. SC-N2 1.55 + 1.67 ft instead of 4.525), splitting studs in two lifts; carried continuous studs to deflection track under perimeter beam (canopy_beam_split false).</t>
  </si>
  <si>
    <t xml:space="preserve">split: approx -1'-0" per stud and +2 tracks on ~161 LF</t>
  </si>
  <si>
    <t xml:space="preserve">RFI-E05</t>
  </si>
  <si>
    <t xml:space="preserve">Parapet roof-side board: sections say 5/8" exterior gyp sheathing, 4/A09.26 says 5/8" DENS DECK (roofing); carried as 5/8" exterior gyp sheathing. Cap 3/4" FRT plywood blocking: 1 ply drawn in 4/A09.26.</t>
  </si>
  <si>
    <t xml:space="preserve">Dens Deck by roofer: -960 SF; 2 plies: +275 LF FRT blocking</t>
  </si>
  <si>
    <t xml:space="preserve">RFI-E06</t>
  </si>
  <si>
    <t xml:space="preserve">Canopy fascia and soffit stud spacing not printed; carried 16" O.C.</t>
  </si>
  <si>
    <t xml:space="preserve">24" O.C.: approx -1/3 canopy studs/joists</t>
  </si>
  <si>
    <t xml:space="preserve">RFI-E09</t>
  </si>
  <si>
    <t xml:space="preserve">West HSS lintel spans grid F-E (22.2 ft) vs 6'-6" storefront SF-W1; studs over the lintel carried only over the storefront (SC-W1).</t>
  </si>
  <si>
    <t xml:space="preserve">studs stop at lintel over additional ~15.4 ft: cripples +15.4 x 4.985 = +76.8 LF 6" stud (T.O.S. 9'-4 1/2")</t>
  </si>
  <si>
    <t xml:space="preserve">RFI-E10</t>
  </si>
  <si>
    <t xml:space="preserve">Roof step at grid B (4/A02.02, 9/S5.10): 3 stud rows drawn, row heights not dimensioned; carried 2'-10" (upper) and 2'-4" (two lower).</t>
  </si>
  <si>
    <t xml:space="preserve">rows scaled from 4/A02.02 (vector, not printed): 2.96 / 3.29 / 1.07 ft -&gt; approx -8 LF total; +/- 0.5 ft per row x 51.73 LF x 3</t>
  </si>
  <si>
    <t xml:space="preserve">RFI-E11</t>
  </si>
  <si>
    <t xml:space="preserve">Door 123 R.O. not dimensioned; carried 3'-4" measured between jambs on A02.01 (door 3'-0").</t>
  </si>
  <si>
    <t xml:space="preserve">R.O. 3'-0": -1.33 LF header (4 pieces)</t>
  </si>
  <si>
    <t xml:space="preserve">RFI-16</t>
  </si>
  <si>
    <t xml:space="preserve">Toilet accessories TA-8, TA-9, TA-10, TA-17 (1/A08.01) have no printed size (no product data in set); FRT blocking carried with assumed widths 1'-0" / 1'-6" + 16". Recessed TA-14 (113, 114) and TA-2 (118, 115) need wall framed openings; R.O. not printed - not carried.</t>
  </si>
  <si>
    <t xml:space="preserve">framed openings 4 x (header + sill track 2 x R.O.): approx +12 LF track and 8 jamb studs; blocking +/- 0.5 ft per item (9 items)</t>
  </si>
  <si>
    <t xml:space="preserve">RFI-17</t>
  </si>
  <si>
    <t xml:space="preserve">Items not carried pending size/extent: Chief PAC527L in-wall box recessed behind monitor wall (A03.01 KN 25, E02.02 note 13; C1-36); Knox box 7"x7"x3" recessed (A00.40, location by AHJ); access panels for FD/valves (M00.01 note 16) other than AP 2x2 in 100; A02.01 general note C blocking for coat hooks (3), FEC-2 bracket, hand sanitizers, wall phones (A11.02/A11.03); MW08 additional shelving blocking (3/A12.04); MW05A &amp; MW05B title vs one tag; second FRT strip drawn in 8/A12.01; FRT blocking at vestibule glass termination 8/A12.10.</t>
  </si>
  <si>
    <t xml:space="preserve">approx +20 LF metal blocking (note C), +2.4 to +7.6 LF FRT (MW08), +21 LF FRT (MW05B), +58.1 LF FRT (2nd box beam strip), +10 LF FRT (8/A12.10), 1-2 framed openings</t>
  </si>
  <si>
    <t xml:space="preserve">RFI-18</t>
  </si>
  <si>
    <t xml:space="preserve">Walk-up ATM plinth (A08.11: 2 layers 3/4" FRT plywood on 4x4 FRT) is rough carpentry; excluded from this scope - confirm.</t>
  </si>
  <si>
    <t xml:space="preserve">include: approx 2 x plinth area SF FRT plywood</t>
  </si>
  <si>
    <t xml:space="preserve">RFI-15</t>
  </si>
  <si>
    <t xml:space="preserve">Bracing crossing openings (53.4 literal) and bottom track at doors not deducted (E10): tool deltas.</t>
  </si>
  <si>
    <t xml:space="preserve">bracing -116.8 LF if not across openings; bottom track -50.5 LF if doors deducted</t>
  </si>
  <si>
    <t xml:space="preserve">#</t>
  </si>
  <si>
    <t xml:space="preserve">Punto</t>
  </si>
  <si>
    <t xml:space="preserve">Hoja + detalle</t>
  </si>
  <si>
    <t xml:space="preserve">Imagen</t>
  </si>
  <si>
    <t xml:space="preserve">Tool gap: contar_tags.py counts exact words; tags with circuit suffix (R-11A,b) give 0. Run with literal tags; proposed change in PARA REVISAR/contar_tags_sufijo.md</t>
  </si>
  <si>
    <t xml:space="preserve">E02.01</t>
  </si>
  <si>
    <t xml:space="preserve">Office front run lengths (E22) measured stub-to-stub, no printed dimension</t>
  </si>
  <si>
    <t xml:space="preserve">8/A12.01</t>
  </si>
  <si>
    <t xml:space="preserve">Walls crossing grid B by &lt; 1 ft (B2-26a, A5-15) taken in the low zone (grid B B.O.D.)</t>
  </si>
  <si>
    <t xml:space="preserve">S2.20</t>
  </si>
  <si>
    <t xml:space="preserve">closer.py exige STUD = full + cripples para sellar; studs_nodos separa cripples. Se selló con full + cripples (sin cambiar tools).</t>
  </si>
  <si>
    <t xml:space="preserve">7/S5.20</t>
  </si>
  <si>
    <t xml:space="preserve">A1K-SW medido desde x 1622.16 (hatch) -&gt; contorno ballistic 10.444 ft (E5)</t>
  </si>
  <si>
    <t xml:space="preserve">4/A12.01</t>
  </si>
  <si>
    <t xml:space="preserve">CSR soffit drop_lines = 2 (ACT-4 9'-0" both sides per 4/A12.08); RFI if one edge is a partition</t>
  </si>
  <si>
    <t xml:space="preserve">10/A09.33</t>
  </si>
  <si>
    <t xml:space="preserve">Exterior facades heights for nailbase are weighted averages by deck zone (E, W) [DERIVADO]</t>
  </si>
  <si>
    <t xml:space="preserve">C/A09.21</t>
  </si>
  <si>
    <t xml:space="preserve">Storefront upper zones (above HSS lintels) carried as storefront_cripples with interior board ceiling to deck; no nailbase over storefront (54.5)</t>
  </si>
  <si>
    <t xml:space="preserve">2/A09.26</t>
  </si>
  <si>
    <t xml:space="preserve">ACT to CSR soffit ceiling trim (24 LF) not carried: ACT perimeter trim is ACT scope; TR-104 shadow molding kept because 7/A09.33 draws it on the GWB transition</t>
  </si>
  <si>
    <t xml:space="preserve">Corner overlaps between walls approx 1.8 LF total (A1K-S/J, A5-W122/A1-111, A1-ALN/ALB/ALS) left as corner studs</t>
  </si>
  <si>
    <t xml:space="preserve">3/A12.01</t>
  </si>
  <si>
    <t xml:space="preserve">G1 measured thickness 12.72 pt = 8.48" vs 8" in A12.01 schedule; LF unaffected</t>
  </si>
  <si>
    <t xml:space="preserve">5/A12.01</t>
  </si>
  <si>
    <t xml:space="preserve">EXT-WU drive-up ATM: 6/A08.11 box beam at 6'-0" with ATM chassis and 2 1/2" sistered studs below; R.O. 2'-2 1/8" (elev) vs 2'-2 1/2" (plan) and 2.253 vs 2.177 in canon - medium certainty, not changed</t>
  </si>
  <si>
    <t xml:space="preserve">6/A08.11</t>
  </si>
  <si>
    <t xml:space="preserve">EXT-N west end: exterior face starts at storefront jamb x 1615.56 (column grid 7 inside wall) vs partition face x 1631.28 carried: +0.87 LF possible</t>
  </si>
  <si>
    <t xml:space="preserve">EXT-E2 / EXT-W3 board on sloped deck uses B.O.D. at grid B (13.052) instead of average 12.795: -6.4 SF per wall</t>
  </si>
  <si>
    <t xml:space="preserve">Grid B / A in canon y 1246.1 / 1700.5 vs column grid lines 1244.4 / 1698.84 (0.094 ft): negligible</t>
  </si>
  <si>
    <t xml:space="preserve">Back-check: A1K at cash window 116 take-off 9.2 LF vs back-check 7.0 LF [PENDIENTE]; check with A11.03 and 4/A12.01</t>
  </si>
  <si>
    <t xml:space="preserve">Back-check: parapet outer face nailbase (C/A09.21 continuous to ACM coping) was missing; added as FRT plywood strips T/STUD - wall stud top (+1,278 SF)</t>
  </si>
  <si>
    <t xml:space="preserve">ALC</t>
  </si>
  <si>
    <t xml:space="preserve">Alcance</t>
  </si>
  <si>
    <t xml:space="preserve">Estado</t>
  </si>
  <si>
    <t xml:space="preserve">Nota (cantidad, NO APLICA + hoja, o RFI)</t>
  </si>
  <si>
    <t xml:space="preserve">ALC-01</t>
  </si>
  <si>
    <t xml:space="preserve">CUANTIFICADO</t>
  </si>
  <si>
    <t xml:space="preserve">studs: 6", 3-5/8", 1-5/8"</t>
  </si>
  <si>
    <t xml:space="preserve">ALC-02</t>
  </si>
  <si>
    <t xml:space="preserve">exterior 6" CFMF C/A09.21</t>
  </si>
  <si>
    <t xml:space="preserve">ALC-03</t>
  </si>
  <si>
    <t xml:space="preserve">parapet infill 11/S5.10</t>
  </si>
  <si>
    <t xml:space="preserve">ALC-04</t>
  </si>
  <si>
    <t xml:space="preserve">bottom / top track</t>
  </si>
  <si>
    <t xml:space="preserve">ALC-05</t>
  </si>
  <si>
    <t xml:space="preserve">header / sill by pieces</t>
  </si>
  <si>
    <t xml:space="preserve">ALC-06</t>
  </si>
  <si>
    <t xml:space="preserve">C.R. channel F/1/S5.20</t>
  </si>
  <si>
    <t xml:space="preserve">ALC-07</t>
  </si>
  <si>
    <t xml:space="preserve">board_caras</t>
  </si>
  <si>
    <t xml:space="preserve">ALC-08</t>
  </si>
  <si>
    <t xml:space="preserve">MR at chase (A08.01 note F)</t>
  </si>
  <si>
    <t xml:space="preserve">ALC-09</t>
  </si>
  <si>
    <t xml:space="preserve">glass mat + ext gyp</t>
  </si>
  <si>
    <t xml:space="preserve">ALC-10</t>
  </si>
  <si>
    <t xml:space="preserve">FRT plywood SF</t>
  </si>
  <si>
    <t xml:space="preserve">ALC-11</t>
  </si>
  <si>
    <t xml:space="preserve">GWB ceilings 100/101/104/113/114</t>
  </si>
  <si>
    <t xml:space="preserve">ALC-12</t>
  </si>
  <si>
    <t xml:space="preserve">furring/carrying/hanger/track</t>
  </si>
  <si>
    <t xml:space="preserve">ALC-13</t>
  </si>
  <si>
    <t xml:space="preserve">CSR soffit, transitions, bulkheads</t>
  </si>
  <si>
    <t xml:space="preserve">ALC-14</t>
  </si>
  <si>
    <t xml:space="preserve">canopy fascia/soffit in 3-5/8" stud and FRT plywood rows</t>
  </si>
  <si>
    <t xml:space="preserve">ALC-15</t>
  </si>
  <si>
    <t xml:space="preserve">column wraps in FRT plywood and stud rows</t>
  </si>
  <si>
    <t xml:space="preserve">ALC-16</t>
  </si>
  <si>
    <t xml:space="preserve">FRT + metal blocking</t>
  </si>
  <si>
    <t xml:space="preserve">ALC-17</t>
  </si>
  <si>
    <t xml:space="preserve">framed openings MEP</t>
  </si>
  <si>
    <t xml:space="preserve">ALC-18</t>
  </si>
  <si>
    <t xml:space="preserve">metal trim</t>
  </si>
  <si>
    <t xml:space="preserve">ALC-19</t>
  </si>
  <si>
    <t xml:space="preserve">acoustical sealant</t>
  </si>
  <si>
    <t xml:space="preserve">ALC-20</t>
  </si>
  <si>
    <t xml:space="preserve">FRP + cement board</t>
  </si>
  <si>
    <t xml:space="preserve">ALC-21</t>
  </si>
  <si>
    <t xml:space="preserve">NO APLICA</t>
  </si>
  <si>
    <t xml:space="preserve">A02.01 / A12.01: no shaft or area separation walls in the partition schedule</t>
  </si>
  <si>
    <t xml:space="preserve">ALC-22</t>
  </si>
  <si>
    <t xml:space="preserve">A12.01 partition schedule FIRE RATING '--' for all types; A02.01 key note 6 and E02.02 note 29 = fire-rated plywood backboards (carried in FRT plywood, 2-5/A11.03); A05.01 'do not paint over fire rated stamp' (generic); M00.01, M00.03, E00.01 = penetration/firestop notes for rated walls (none in this project); E04.02 = typical 2 HOUR penetration detail (generic, no rated wall on A02.01)</t>
  </si>
  <si>
    <t xml:space="preserve">ALC-23</t>
  </si>
  <si>
    <t xml:space="preserve">ballistic panel 4/A12.01</t>
  </si>
  <si>
    <t xml:space="preserve">ALC-24</t>
  </si>
  <si>
    <t xml:space="preserve">Level 5 at WC-20 / WC-22 (A05.01)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</si>
</sst>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26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  <c r="B3" s="0" t="s">
        <v>3</v>
      </c>
      <c r="C3" s="0" t="s">
        <v>4</v>
      </c>
    </row>
    <row r="4" customFormat="false" ht="15" hidden="false" customHeight="false" outlineLevel="0" collapsed="false">
      <c r="A4" s="0" t="s">
        <v>5</v>
      </c>
      <c r="B4" s="2" t="n">
        <v>0.15</v>
      </c>
      <c r="C4" s="3" t="s">
        <v>6</v>
      </c>
    </row>
    <row r="5" customFormat="false" ht="15" hidden="false" customHeight="false" outlineLevel="0" collapsed="false">
      <c r="A5" s="0" t="s">
        <v>7</v>
      </c>
      <c r="B5" s="2" t="n">
        <v>0.06</v>
      </c>
      <c r="C5" s="3" t="s">
        <v>8</v>
      </c>
    </row>
    <row r="6" customFormat="false" ht="15" hidden="false" customHeight="false" outlineLevel="0" collapsed="false">
      <c r="A6" s="0" t="s">
        <v>9</v>
      </c>
      <c r="B6" s="2" t="n">
        <v>4</v>
      </c>
    </row>
    <row r="7" customFormat="false" ht="15" hidden="false" customHeight="false" outlineLevel="0" collapsed="false">
      <c r="A7" s="0" t="s">
        <v>10</v>
      </c>
      <c r="B7" s="2" t="n">
        <v>12</v>
      </c>
    </row>
    <row r="8" customFormat="false" ht="15" hidden="false" customHeight="false" outlineLevel="0" collapsed="false">
      <c r="A8" s="0" t="s">
        <v>11</v>
      </c>
      <c r="B8" s="2" t="n">
        <f aca="false">B6*B7</f>
        <v>48</v>
      </c>
      <c r="C8" s="3" t="s">
        <v>12</v>
      </c>
    </row>
    <row r="9" customFormat="false" ht="15" hidden="false" customHeight="false" outlineLevel="0" collapsed="false">
      <c r="A9" s="0" t="s">
        <v>13</v>
      </c>
      <c r="B9" s="2" t="n">
        <v>20</v>
      </c>
    </row>
    <row r="10" customFormat="false" ht="15" hidden="false" customHeight="false" outlineLevel="0" collapsed="false">
      <c r="A10" s="0" t="s">
        <v>14</v>
      </c>
      <c r="B10" s="2" t="n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10" min="9" style="0" width="23"/>
    <col collapsed="false" customWidth="true" hidden="false" outlineLevel="0" max="11" min="11" style="0" width="14"/>
  </cols>
  <sheetData>
    <row r="1" customFormat="false" ht="16.15" hidden="false" customHeight="false" outlineLevel="0" collapsed="false">
      <c r="A1" s="1" t="s">
        <v>15</v>
      </c>
    </row>
    <row r="2" customFormat="false" ht="15" hidden="false" customHeight="false" outlineLevel="0" collapsed="false">
      <c r="A2" s="0" t="s">
        <v>16</v>
      </c>
    </row>
    <row r="4" customFormat="false" ht="15" hidden="false" customHeight="false" outlineLevel="0" collapsed="false">
      <c r="A4" s="4" t="s">
        <v>17</v>
      </c>
      <c r="B4" s="4" t="s">
        <v>18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4" t="s">
        <v>24</v>
      </c>
      <c r="I4" s="4" t="s">
        <v>25</v>
      </c>
      <c r="J4" s="4" t="s">
        <v>26</v>
      </c>
      <c r="K4" s="4" t="s">
        <v>27</v>
      </c>
    </row>
    <row r="5" customFormat="false" ht="15" hidden="false" customHeight="false" outlineLevel="0" collapsed="false">
      <c r="A5" s="5" t="s">
        <v>28</v>
      </c>
    </row>
    <row r="6" customFormat="false" ht="15" hidden="false" customHeight="false" outlineLevel="0" collapsed="false">
      <c r="A6" s="0" t="s">
        <v>29</v>
      </c>
      <c r="B6" s="0" t="s">
        <v>30</v>
      </c>
      <c r="C6" s="0" t="n">
        <v>11.625</v>
      </c>
      <c r="D6" s="0" t="n">
        <v>15.375</v>
      </c>
      <c r="E6" s="0" t="n">
        <v>2</v>
      </c>
      <c r="F6" s="0" t="s">
        <v>31</v>
      </c>
      <c r="G6" s="0" t="n">
        <v>16</v>
      </c>
      <c r="H6" s="0" t="n">
        <v>714.94</v>
      </c>
      <c r="I6" s="0" t="s">
        <v>32</v>
      </c>
      <c r="J6" s="0" t="s">
        <v>33</v>
      </c>
      <c r="K6" s="0" t="s">
        <v>34</v>
      </c>
    </row>
    <row r="7" customFormat="false" ht="15" hidden="false" customHeight="false" outlineLevel="0" collapsed="false">
      <c r="A7" s="0" t="s">
        <v>35</v>
      </c>
      <c r="B7" s="0" t="s">
        <v>36</v>
      </c>
      <c r="C7" s="0" t="n">
        <v>11.625</v>
      </c>
      <c r="D7" s="0" t="n">
        <v>15.375</v>
      </c>
      <c r="E7" s="0" t="n">
        <v>2</v>
      </c>
      <c r="F7" s="0" t="s">
        <v>31</v>
      </c>
      <c r="G7" s="0" t="n">
        <v>16</v>
      </c>
      <c r="H7" s="0" t="n">
        <v>714.94</v>
      </c>
      <c r="I7" s="0" t="s">
        <v>37</v>
      </c>
      <c r="J7" s="0" t="s">
        <v>33</v>
      </c>
      <c r="K7" s="0" t="s">
        <v>34</v>
      </c>
    </row>
    <row r="8" customFormat="false" ht="15" hidden="false" customHeight="false" outlineLevel="0" collapsed="false">
      <c r="A8" s="0" t="s">
        <v>38</v>
      </c>
      <c r="B8" s="0" t="s">
        <v>39</v>
      </c>
      <c r="C8" s="0" t="n">
        <v>11.625</v>
      </c>
      <c r="D8" s="0" t="n">
        <v>15.375</v>
      </c>
      <c r="E8" s="0" t="n">
        <v>2</v>
      </c>
      <c r="F8" s="0" t="s">
        <v>31</v>
      </c>
      <c r="G8" s="0" t="n">
        <v>16</v>
      </c>
      <c r="H8" s="0" t="n">
        <v>714.94</v>
      </c>
      <c r="I8" s="0" t="s">
        <v>40</v>
      </c>
      <c r="J8" s="0" t="s">
        <v>33</v>
      </c>
      <c r="K8" s="0" t="s">
        <v>34</v>
      </c>
    </row>
    <row r="9" customFormat="false" ht="15" hidden="false" customHeight="false" outlineLevel="0" collapsed="false">
      <c r="A9" s="0" t="s">
        <v>41</v>
      </c>
      <c r="B9" s="0" t="s">
        <v>42</v>
      </c>
      <c r="C9" s="0" t="n">
        <v>2.42</v>
      </c>
      <c r="D9" s="0" t="n">
        <v>15.375</v>
      </c>
      <c r="E9" s="0" t="n">
        <v>2</v>
      </c>
      <c r="F9" s="0" t="s">
        <v>31</v>
      </c>
      <c r="G9" s="0" t="n">
        <v>16</v>
      </c>
      <c r="H9" s="0" t="n">
        <v>148.82</v>
      </c>
      <c r="I9" s="0" t="s">
        <v>43</v>
      </c>
      <c r="J9" s="0" t="s">
        <v>33</v>
      </c>
      <c r="K9" s="0" t="s">
        <v>44</v>
      </c>
    </row>
    <row r="10" customFormat="false" ht="15" hidden="false" customHeight="false" outlineLevel="0" collapsed="false">
      <c r="A10" s="0" t="s">
        <v>45</v>
      </c>
      <c r="B10" s="0" t="s">
        <v>46</v>
      </c>
      <c r="C10" s="0" t="n">
        <v>3.467</v>
      </c>
      <c r="D10" s="0" t="n">
        <v>15.375</v>
      </c>
      <c r="E10" s="0" t="n">
        <v>2</v>
      </c>
      <c r="F10" s="0" t="s">
        <v>31</v>
      </c>
      <c r="G10" s="0" t="n">
        <v>16</v>
      </c>
      <c r="H10" s="0" t="n">
        <v>213.22</v>
      </c>
      <c r="I10" s="0" t="s">
        <v>43</v>
      </c>
      <c r="J10" s="0" t="s">
        <v>33</v>
      </c>
      <c r="K10" s="0" t="s">
        <v>44</v>
      </c>
    </row>
    <row r="11" customFormat="false" ht="15" hidden="false" customHeight="false" outlineLevel="0" collapsed="false">
      <c r="A11" s="0" t="s">
        <v>47</v>
      </c>
      <c r="B11" s="0" t="s">
        <v>48</v>
      </c>
      <c r="C11" s="0" t="n">
        <v>3.253</v>
      </c>
      <c r="D11" s="0" t="n">
        <v>15.375</v>
      </c>
      <c r="E11" s="0" t="n">
        <v>2</v>
      </c>
      <c r="F11" s="0" t="s">
        <v>31</v>
      </c>
      <c r="G11" s="0" t="n">
        <v>16</v>
      </c>
      <c r="H11" s="0" t="n">
        <v>200.06</v>
      </c>
      <c r="I11" s="0" t="s">
        <v>43</v>
      </c>
      <c r="J11" s="0" t="s">
        <v>33</v>
      </c>
      <c r="K11" s="0" t="s">
        <v>44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n">
        <v>3.253</v>
      </c>
      <c r="D12" s="0" t="n">
        <v>15.375</v>
      </c>
      <c r="E12" s="0" t="n">
        <v>2</v>
      </c>
      <c r="F12" s="0" t="s">
        <v>31</v>
      </c>
      <c r="G12" s="0" t="n">
        <v>16</v>
      </c>
      <c r="H12" s="0" t="n">
        <v>200.06</v>
      </c>
      <c r="I12" s="0" t="s">
        <v>43</v>
      </c>
      <c r="J12" s="0" t="s">
        <v>33</v>
      </c>
      <c r="K12" s="0" t="s">
        <v>44</v>
      </c>
    </row>
    <row r="13" customFormat="false" ht="15" hidden="false" customHeight="false" outlineLevel="0" collapsed="false">
      <c r="A13" s="0" t="s">
        <v>51</v>
      </c>
      <c r="B13" s="0" t="s">
        <v>52</v>
      </c>
      <c r="C13" s="0" t="n">
        <v>0.973</v>
      </c>
      <c r="D13" s="0" t="n">
        <v>15.375</v>
      </c>
      <c r="E13" s="0" t="n">
        <v>2</v>
      </c>
      <c r="F13" s="0" t="s">
        <v>31</v>
      </c>
      <c r="G13" s="0" t="n">
        <v>16</v>
      </c>
      <c r="H13" s="0" t="n">
        <v>59.84</v>
      </c>
      <c r="I13" s="0" t="s">
        <v>43</v>
      </c>
      <c r="J13" s="0" t="s">
        <v>33</v>
      </c>
      <c r="K13" s="0" t="s">
        <v>44</v>
      </c>
    </row>
    <row r="14" customFormat="false" ht="15" hidden="false" customHeight="false" outlineLevel="0" collapsed="false">
      <c r="A14" s="0" t="s">
        <v>53</v>
      </c>
      <c r="B14" s="0" t="s">
        <v>54</v>
      </c>
      <c r="C14" s="0" t="n">
        <v>11.771</v>
      </c>
      <c r="D14" s="0" t="n">
        <v>15.375</v>
      </c>
      <c r="E14" s="0" t="n">
        <v>2</v>
      </c>
      <c r="F14" s="0" t="s">
        <v>31</v>
      </c>
      <c r="G14" s="0" t="n">
        <v>16</v>
      </c>
      <c r="H14" s="0" t="n">
        <v>723.92</v>
      </c>
      <c r="I14" s="0" t="s">
        <v>55</v>
      </c>
      <c r="J14" s="0" t="s">
        <v>33</v>
      </c>
      <c r="K14" s="0" t="s">
        <v>34</v>
      </c>
    </row>
    <row r="15" customFormat="false" ht="15" hidden="false" customHeight="false" outlineLevel="0" collapsed="false">
      <c r="A15" s="0" t="s">
        <v>56</v>
      </c>
      <c r="B15" s="0" t="s">
        <v>57</v>
      </c>
      <c r="C15" s="0" t="n">
        <v>11.771</v>
      </c>
      <c r="D15" s="0" t="n">
        <v>15.375</v>
      </c>
      <c r="E15" s="0" t="n">
        <v>2</v>
      </c>
      <c r="F15" s="0" t="s">
        <v>31</v>
      </c>
      <c r="G15" s="0" t="n">
        <v>16</v>
      </c>
      <c r="H15" s="0" t="n">
        <v>723.92</v>
      </c>
      <c r="I15" s="0" t="s">
        <v>58</v>
      </c>
      <c r="J15" s="0" t="s">
        <v>33</v>
      </c>
      <c r="K15" s="0" t="s">
        <v>34</v>
      </c>
    </row>
    <row r="16" customFormat="false" ht="15" hidden="false" customHeight="false" outlineLevel="0" collapsed="false">
      <c r="A16" s="0" t="s">
        <v>59</v>
      </c>
      <c r="B16" s="0" t="s">
        <v>60</v>
      </c>
      <c r="C16" s="0" t="n">
        <v>10.507</v>
      </c>
      <c r="D16" s="0" t="n">
        <v>15.375</v>
      </c>
      <c r="E16" s="0" t="n">
        <v>2</v>
      </c>
      <c r="F16" s="0" t="s">
        <v>31</v>
      </c>
      <c r="G16" s="0" t="n">
        <v>16</v>
      </c>
      <c r="H16" s="0" t="n">
        <v>646.18</v>
      </c>
      <c r="I16" s="0" t="s">
        <v>61</v>
      </c>
      <c r="J16" s="0" t="s">
        <v>33</v>
      </c>
      <c r="K16" s="0" t="s">
        <v>44</v>
      </c>
    </row>
    <row r="17" customFormat="false" ht="15" hidden="false" customHeight="false" outlineLevel="0" collapsed="false">
      <c r="A17" s="0" t="s">
        <v>62</v>
      </c>
      <c r="B17" s="0" t="s">
        <v>63</v>
      </c>
      <c r="C17" s="0" t="n">
        <v>7.333</v>
      </c>
      <c r="D17" s="0" t="n">
        <v>7.333</v>
      </c>
      <c r="E17" s="0" t="n">
        <v>2</v>
      </c>
      <c r="F17" s="0" t="s">
        <v>31</v>
      </c>
      <c r="G17" s="0" t="n">
        <v>16</v>
      </c>
      <c r="H17" s="0" t="n">
        <v>215.1</v>
      </c>
      <c r="I17" s="0" t="s">
        <v>64</v>
      </c>
      <c r="J17" s="0" t="s">
        <v>65</v>
      </c>
      <c r="K17" s="0" t="s">
        <v>44</v>
      </c>
    </row>
    <row r="18" customFormat="false" ht="15" hidden="false" customHeight="false" outlineLevel="0" collapsed="false">
      <c r="A18" s="0" t="s">
        <v>66</v>
      </c>
      <c r="B18" s="0" t="s">
        <v>67</v>
      </c>
      <c r="C18" s="0" t="n">
        <v>7.167</v>
      </c>
      <c r="D18" s="0" t="n">
        <v>7.333</v>
      </c>
      <c r="E18" s="0" t="n">
        <v>2</v>
      </c>
      <c r="F18" s="0" t="s">
        <v>31</v>
      </c>
      <c r="G18" s="0" t="n">
        <v>16</v>
      </c>
      <c r="H18" s="0" t="n">
        <v>210.22</v>
      </c>
      <c r="I18" s="0" t="s">
        <v>68</v>
      </c>
      <c r="J18" s="0" t="s">
        <v>65</v>
      </c>
      <c r="K18" s="0" t="s">
        <v>44</v>
      </c>
    </row>
    <row r="19" customFormat="false" ht="15" hidden="false" customHeight="false" outlineLevel="0" collapsed="false">
      <c r="A19" s="0" t="s">
        <v>69</v>
      </c>
      <c r="B19" s="0" t="s">
        <v>70</v>
      </c>
      <c r="C19" s="0" t="n">
        <v>7.5</v>
      </c>
      <c r="D19" s="0" t="n">
        <v>7.333</v>
      </c>
      <c r="E19" s="0" t="n">
        <v>2</v>
      </c>
      <c r="F19" s="0" t="s">
        <v>31</v>
      </c>
      <c r="G19" s="0" t="n">
        <v>16</v>
      </c>
      <c r="H19" s="0" t="n">
        <v>220</v>
      </c>
      <c r="I19" s="0" t="s">
        <v>71</v>
      </c>
      <c r="J19" s="0" t="s">
        <v>65</v>
      </c>
      <c r="K19" s="0" t="s">
        <v>44</v>
      </c>
    </row>
    <row r="20" customFormat="false" ht="15" hidden="false" customHeight="false" outlineLevel="0" collapsed="false">
      <c r="A20" s="0" t="s">
        <v>72</v>
      </c>
      <c r="B20" s="0" t="s">
        <v>73</v>
      </c>
      <c r="C20" s="0" t="n">
        <v>7.5</v>
      </c>
      <c r="D20" s="0" t="n">
        <v>7.333</v>
      </c>
      <c r="E20" s="0" t="n">
        <v>2</v>
      </c>
      <c r="F20" s="0" t="s">
        <v>31</v>
      </c>
      <c r="G20" s="0" t="n">
        <v>16</v>
      </c>
      <c r="H20" s="0" t="n">
        <v>220</v>
      </c>
      <c r="I20" s="0" t="s">
        <v>74</v>
      </c>
      <c r="J20" s="0" t="s">
        <v>65</v>
      </c>
      <c r="K20" s="0" t="s">
        <v>44</v>
      </c>
    </row>
    <row r="21" customFormat="false" ht="15" hidden="false" customHeight="false" outlineLevel="0" collapsed="false">
      <c r="A21" s="0" t="s">
        <v>75</v>
      </c>
      <c r="B21" s="0" t="s">
        <v>76</v>
      </c>
      <c r="C21" s="0" t="n">
        <v>7.5</v>
      </c>
      <c r="D21" s="0" t="n">
        <v>7.333</v>
      </c>
      <c r="E21" s="0" t="n">
        <v>2</v>
      </c>
      <c r="F21" s="0" t="s">
        <v>31</v>
      </c>
      <c r="G21" s="0" t="n">
        <v>16</v>
      </c>
      <c r="H21" s="0" t="n">
        <v>220</v>
      </c>
      <c r="I21" s="0" t="s">
        <v>77</v>
      </c>
      <c r="J21" s="0" t="s">
        <v>65</v>
      </c>
      <c r="K21" s="0" t="s">
        <v>44</v>
      </c>
    </row>
    <row r="22" customFormat="false" ht="15" hidden="false" customHeight="false" outlineLevel="0" collapsed="false">
      <c r="A22" s="0" t="s">
        <v>78</v>
      </c>
      <c r="B22" s="0" t="s">
        <v>79</v>
      </c>
      <c r="C22" s="0" t="n">
        <v>7.5</v>
      </c>
      <c r="D22" s="0" t="n">
        <v>7.333</v>
      </c>
      <c r="E22" s="0" t="n">
        <v>2</v>
      </c>
      <c r="F22" s="0" t="s">
        <v>31</v>
      </c>
      <c r="G22" s="0" t="n">
        <v>16</v>
      </c>
      <c r="H22" s="0" t="n">
        <v>220</v>
      </c>
      <c r="I22" s="0" t="s">
        <v>80</v>
      </c>
      <c r="J22" s="0" t="s">
        <v>65</v>
      </c>
      <c r="K22" s="0" t="s">
        <v>44</v>
      </c>
    </row>
    <row r="23" customFormat="false" ht="15" hidden="false" customHeight="false" outlineLevel="0" collapsed="false">
      <c r="A23" s="5" t="s">
        <v>81</v>
      </c>
    </row>
    <row r="24" customFormat="false" ht="15" hidden="false" customHeight="false" outlineLevel="0" collapsed="false">
      <c r="A24" s="0" t="s">
        <v>82</v>
      </c>
      <c r="B24" s="0" t="s">
        <v>83</v>
      </c>
      <c r="C24" s="0" t="n">
        <v>3.673</v>
      </c>
      <c r="D24" s="0" t="n">
        <v>15.375</v>
      </c>
      <c r="E24" s="0" t="n">
        <v>2</v>
      </c>
      <c r="F24" s="0" t="s">
        <v>31</v>
      </c>
      <c r="G24" s="0" t="n">
        <v>16</v>
      </c>
      <c r="H24" s="0" t="n">
        <v>225.88</v>
      </c>
      <c r="I24" s="0" t="s">
        <v>84</v>
      </c>
      <c r="J24" s="0" t="s">
        <v>33</v>
      </c>
      <c r="K24" s="0" t="s">
        <v>44</v>
      </c>
    </row>
    <row r="25" customFormat="false" ht="15" hidden="false" customHeight="false" outlineLevel="0" collapsed="false">
      <c r="A25" s="0" t="s">
        <v>85</v>
      </c>
      <c r="B25" s="0" t="s">
        <v>86</v>
      </c>
      <c r="C25" s="0" t="n">
        <v>3.727</v>
      </c>
      <c r="D25" s="0" t="n">
        <v>15.375</v>
      </c>
      <c r="E25" s="0" t="n">
        <v>2</v>
      </c>
      <c r="F25" s="0" t="s">
        <v>31</v>
      </c>
      <c r="G25" s="0" t="n">
        <v>16</v>
      </c>
      <c r="H25" s="0" t="n">
        <v>229.22</v>
      </c>
      <c r="I25" s="0" t="s">
        <v>87</v>
      </c>
      <c r="J25" s="0" t="s">
        <v>33</v>
      </c>
      <c r="K25" s="0" t="s">
        <v>44</v>
      </c>
    </row>
    <row r="26" customFormat="false" ht="15" hidden="false" customHeight="false" outlineLevel="0" collapsed="false">
      <c r="A26" s="0" t="s">
        <v>88</v>
      </c>
      <c r="B26" s="0" t="s">
        <v>89</v>
      </c>
      <c r="C26" s="0" t="n">
        <v>11.771</v>
      </c>
      <c r="D26" s="0" t="n">
        <v>15.375</v>
      </c>
      <c r="E26" s="0" t="n">
        <v>2</v>
      </c>
      <c r="F26" s="0" t="s">
        <v>31</v>
      </c>
      <c r="G26" s="0" t="n">
        <v>16</v>
      </c>
      <c r="H26" s="0" t="n">
        <v>723.92</v>
      </c>
      <c r="I26" s="0" t="s">
        <v>90</v>
      </c>
      <c r="J26" s="0" t="s">
        <v>33</v>
      </c>
      <c r="K26" s="0" t="s">
        <v>34</v>
      </c>
    </row>
    <row r="27" customFormat="false" ht="15" hidden="false" customHeight="false" outlineLevel="0" collapsed="false">
      <c r="A27" s="5" t="s">
        <v>91</v>
      </c>
    </row>
    <row r="28" customFormat="false" ht="15" hidden="false" customHeight="false" outlineLevel="0" collapsed="false">
      <c r="A28" s="0" t="s">
        <v>92</v>
      </c>
      <c r="B28" s="0" t="s">
        <v>93</v>
      </c>
      <c r="C28" s="0" t="n">
        <v>6.673</v>
      </c>
      <c r="D28" s="0" t="n">
        <v>15.375</v>
      </c>
      <c r="E28" s="0" t="n">
        <v>1</v>
      </c>
      <c r="F28" s="0" t="s">
        <v>94</v>
      </c>
      <c r="G28" s="0" t="n">
        <v>16</v>
      </c>
      <c r="H28" s="0" t="n">
        <v>142.58</v>
      </c>
      <c r="I28" s="0" t="s">
        <v>95</v>
      </c>
      <c r="J28" s="0" t="s">
        <v>96</v>
      </c>
      <c r="K28" s="0" t="s">
        <v>44</v>
      </c>
    </row>
    <row r="29" customFormat="false" ht="15" hidden="false" customHeight="false" outlineLevel="0" collapsed="false">
      <c r="A29" s="0" t="s">
        <v>97</v>
      </c>
      <c r="B29" s="0" t="s">
        <v>98</v>
      </c>
      <c r="C29" s="0" t="n">
        <v>15.073</v>
      </c>
      <c r="D29" s="0" t="n">
        <v>11.705</v>
      </c>
      <c r="E29" s="0" t="n">
        <v>1</v>
      </c>
      <c r="F29" s="0" t="s">
        <v>94</v>
      </c>
      <c r="G29" s="0" t="n">
        <v>16</v>
      </c>
      <c r="H29" s="0" t="n">
        <v>305.08</v>
      </c>
      <c r="I29" s="0" t="s">
        <v>99</v>
      </c>
      <c r="J29" s="0" t="s">
        <v>96</v>
      </c>
      <c r="K29" s="0" t="s">
        <v>44</v>
      </c>
    </row>
    <row r="30" customFormat="false" ht="15" hidden="false" customHeight="false" outlineLevel="0" collapsed="false">
      <c r="A30" s="0" t="s">
        <v>100</v>
      </c>
      <c r="B30" s="0" t="s">
        <v>101</v>
      </c>
      <c r="C30" s="0" t="n">
        <v>5.153</v>
      </c>
      <c r="D30" s="0" t="n">
        <v>13.052</v>
      </c>
      <c r="E30" s="0" t="n">
        <v>1</v>
      </c>
      <c r="F30" s="0" t="s">
        <v>94</v>
      </c>
      <c r="G30" s="0" t="n">
        <v>16</v>
      </c>
      <c r="H30" s="0" t="n">
        <v>86.74</v>
      </c>
      <c r="I30" s="0" t="s">
        <v>102</v>
      </c>
      <c r="J30" s="0" t="s">
        <v>96</v>
      </c>
      <c r="K30" s="0" t="s">
        <v>44</v>
      </c>
    </row>
    <row r="31" customFormat="false" ht="15" hidden="false" customHeight="false" outlineLevel="0" collapsed="false">
      <c r="A31" s="0" t="s">
        <v>103</v>
      </c>
      <c r="B31" s="0" t="s">
        <v>104</v>
      </c>
      <c r="C31" s="0" t="n">
        <v>15.787</v>
      </c>
      <c r="D31" s="0" t="n">
        <v>12.865</v>
      </c>
      <c r="E31" s="0" t="n">
        <v>1</v>
      </c>
      <c r="F31" s="0" t="s">
        <v>94</v>
      </c>
      <c r="G31" s="0" t="n">
        <v>16</v>
      </c>
      <c r="H31" s="0" t="n">
        <v>262.88</v>
      </c>
      <c r="I31" s="0" t="s">
        <v>105</v>
      </c>
      <c r="J31" s="0" t="s">
        <v>96</v>
      </c>
      <c r="K31" s="0" t="s">
        <v>44</v>
      </c>
    </row>
    <row r="32" customFormat="false" ht="15" hidden="false" customHeight="false" outlineLevel="0" collapsed="false">
      <c r="A32" s="5" t="s">
        <v>106</v>
      </c>
    </row>
    <row r="33" customFormat="false" ht="15" hidden="false" customHeight="false" outlineLevel="0" collapsed="false">
      <c r="A33" s="0" t="s">
        <v>107</v>
      </c>
      <c r="B33" s="0" t="s">
        <v>108</v>
      </c>
      <c r="C33" s="0" t="n">
        <v>1.26</v>
      </c>
      <c r="D33" s="0" t="n">
        <v>15.375</v>
      </c>
      <c r="E33" s="0" t="n">
        <v>1</v>
      </c>
      <c r="F33" s="0" t="s">
        <v>94</v>
      </c>
      <c r="G33" s="0" t="n">
        <v>24</v>
      </c>
      <c r="H33" s="0" t="n">
        <v>38.74</v>
      </c>
      <c r="I33" s="0" t="s">
        <v>80</v>
      </c>
      <c r="J33" s="0" t="s">
        <v>109</v>
      </c>
      <c r="K33" s="0" t="s">
        <v>44</v>
      </c>
    </row>
    <row r="34" customFormat="false" ht="15" hidden="false" customHeight="false" outlineLevel="0" collapsed="false">
      <c r="A34" s="5" t="s">
        <v>110</v>
      </c>
    </row>
    <row r="35" customFormat="false" ht="15" hidden="false" customHeight="false" outlineLevel="0" collapsed="false">
      <c r="A35" s="0" t="s">
        <v>111</v>
      </c>
      <c r="B35" s="0" t="s">
        <v>112</v>
      </c>
      <c r="C35" s="0" t="n">
        <v>3.417</v>
      </c>
      <c r="D35" s="0" t="n">
        <v>15.375</v>
      </c>
      <c r="E35" s="0" t="n">
        <v>1</v>
      </c>
      <c r="F35" s="0" t="s">
        <v>113</v>
      </c>
      <c r="G35" s="0" t="n">
        <v>24</v>
      </c>
      <c r="H35" s="0" t="n">
        <v>105.08</v>
      </c>
      <c r="I35" s="0" t="s">
        <v>114</v>
      </c>
      <c r="J35" s="0" t="s">
        <v>109</v>
      </c>
      <c r="K35" s="0" t="s">
        <v>34</v>
      </c>
    </row>
    <row r="36" customFormat="false" ht="15" hidden="false" customHeight="false" outlineLevel="0" collapsed="false">
      <c r="A36" s="0" t="s">
        <v>115</v>
      </c>
      <c r="B36" s="0" t="s">
        <v>116</v>
      </c>
      <c r="C36" s="0" t="n">
        <v>3.413</v>
      </c>
      <c r="D36" s="0" t="n">
        <v>12.939</v>
      </c>
      <c r="E36" s="0" t="n">
        <v>1</v>
      </c>
      <c r="F36" s="0" t="s">
        <v>113</v>
      </c>
      <c r="G36" s="0" t="n">
        <v>24</v>
      </c>
      <c r="H36" s="0" t="n">
        <v>88.32</v>
      </c>
      <c r="I36" s="0" t="s">
        <v>114</v>
      </c>
      <c r="J36" s="0" t="s">
        <v>109</v>
      </c>
      <c r="K36" s="0" t="s">
        <v>44</v>
      </c>
    </row>
    <row r="37" customFormat="false" ht="15" hidden="false" customHeight="false" outlineLevel="0" collapsed="false">
      <c r="A37" s="0" t="s">
        <v>117</v>
      </c>
      <c r="B37" s="0" t="s">
        <v>118</v>
      </c>
      <c r="C37" s="0" t="n">
        <v>1.767</v>
      </c>
      <c r="D37" s="0" t="n">
        <v>12.927</v>
      </c>
      <c r="E37" s="0" t="n">
        <v>1</v>
      </c>
      <c r="F37" s="0" t="s">
        <v>113</v>
      </c>
      <c r="G37" s="0" t="n">
        <v>24</v>
      </c>
      <c r="H37" s="0" t="n">
        <v>45.68</v>
      </c>
      <c r="I37" s="0" t="s">
        <v>119</v>
      </c>
      <c r="J37" s="0" t="s">
        <v>109</v>
      </c>
      <c r="K37" s="0" t="s">
        <v>44</v>
      </c>
    </row>
    <row r="38" customFormat="false" ht="15" hidden="false" customHeight="false" outlineLevel="0" collapsed="false">
      <c r="A38" s="0" t="s">
        <v>120</v>
      </c>
      <c r="B38" s="0" t="s">
        <v>121</v>
      </c>
      <c r="C38" s="0" t="n">
        <v>0.587</v>
      </c>
      <c r="D38" s="0" t="n">
        <v>12.939</v>
      </c>
      <c r="E38" s="0" t="n">
        <v>1</v>
      </c>
      <c r="F38" s="0" t="s">
        <v>113</v>
      </c>
      <c r="G38" s="0" t="n">
        <v>24</v>
      </c>
      <c r="H38" s="0" t="n">
        <v>15.2</v>
      </c>
      <c r="I38" s="0" t="s">
        <v>122</v>
      </c>
      <c r="J38" s="0" t="s">
        <v>109</v>
      </c>
      <c r="K38" s="0" t="s">
        <v>44</v>
      </c>
    </row>
    <row r="39" customFormat="false" ht="15" hidden="false" customHeight="false" outlineLevel="0" collapsed="false">
      <c r="A39" s="5" t="s">
        <v>123</v>
      </c>
    </row>
    <row r="40" customFormat="false" ht="15" hidden="false" customHeight="false" outlineLevel="0" collapsed="false">
      <c r="A40" s="0" t="s">
        <v>124</v>
      </c>
      <c r="B40" s="0" t="s">
        <v>125</v>
      </c>
      <c r="C40" s="0" t="n">
        <v>2.98</v>
      </c>
      <c r="D40" s="0" t="n">
        <v>12.925</v>
      </c>
      <c r="E40" s="0" t="n">
        <v>1</v>
      </c>
      <c r="F40" s="0" t="s">
        <v>113</v>
      </c>
      <c r="G40" s="0" t="n">
        <v>16</v>
      </c>
      <c r="H40" s="0" t="n">
        <v>38.52</v>
      </c>
      <c r="I40" s="0" t="s">
        <v>126</v>
      </c>
      <c r="J40" s="0" t="s">
        <v>127</v>
      </c>
      <c r="K40" s="0" t="s">
        <v>44</v>
      </c>
    </row>
    <row r="41" customFormat="false" ht="15" hidden="false" customHeight="false" outlineLevel="0" collapsed="false">
      <c r="A41" s="0" t="s">
        <v>128</v>
      </c>
      <c r="B41" s="0" t="s">
        <v>129</v>
      </c>
      <c r="C41" s="0" t="n">
        <v>10</v>
      </c>
      <c r="D41" s="0" t="n">
        <v>15.375</v>
      </c>
      <c r="E41" s="0" t="n">
        <v>1</v>
      </c>
      <c r="F41" s="0" t="s">
        <v>113</v>
      </c>
      <c r="G41" s="0" t="n">
        <v>16</v>
      </c>
      <c r="H41" s="0" t="n">
        <v>153.75</v>
      </c>
      <c r="I41" s="0" t="s">
        <v>130</v>
      </c>
      <c r="J41" s="0" t="s">
        <v>127</v>
      </c>
      <c r="K41" s="0" t="s">
        <v>34</v>
      </c>
    </row>
    <row r="42" customFormat="false" ht="15" hidden="false" customHeight="false" outlineLevel="0" collapsed="false">
      <c r="A42" s="0" t="s">
        <v>131</v>
      </c>
      <c r="B42" s="0" t="s">
        <v>132</v>
      </c>
      <c r="C42" s="0" t="n">
        <v>10.027</v>
      </c>
      <c r="D42" s="0" t="n">
        <v>12.918</v>
      </c>
      <c r="E42" s="0" t="n">
        <v>1</v>
      </c>
      <c r="F42" s="0" t="s">
        <v>113</v>
      </c>
      <c r="G42" s="0" t="n">
        <v>16</v>
      </c>
      <c r="H42" s="0" t="n">
        <v>129.53</v>
      </c>
      <c r="I42" s="0" t="s">
        <v>133</v>
      </c>
      <c r="J42" s="0" t="s">
        <v>127</v>
      </c>
      <c r="K42" s="0" t="s">
        <v>44</v>
      </c>
    </row>
    <row r="43" customFormat="false" ht="15" hidden="false" customHeight="false" outlineLevel="0" collapsed="false">
      <c r="A43" s="0" t="s">
        <v>134</v>
      </c>
      <c r="B43" s="0" t="s">
        <v>135</v>
      </c>
      <c r="C43" s="0" t="n">
        <v>10.027</v>
      </c>
      <c r="D43" s="0" t="n">
        <v>12.903</v>
      </c>
      <c r="E43" s="0" t="n">
        <v>1</v>
      </c>
      <c r="F43" s="0" t="s">
        <v>113</v>
      </c>
      <c r="G43" s="0" t="n">
        <v>16</v>
      </c>
      <c r="H43" s="0" t="n">
        <v>129.38</v>
      </c>
      <c r="I43" s="0" t="s">
        <v>136</v>
      </c>
      <c r="J43" s="0" t="s">
        <v>127</v>
      </c>
      <c r="K43" s="0" t="s">
        <v>44</v>
      </c>
    </row>
    <row r="44" customFormat="false" ht="15" hidden="false" customHeight="false" outlineLevel="0" collapsed="false">
      <c r="A44" s="0" t="s">
        <v>137</v>
      </c>
      <c r="B44" s="0" t="s">
        <v>138</v>
      </c>
      <c r="C44" s="0" t="n">
        <v>9.083</v>
      </c>
      <c r="D44" s="0" t="n">
        <v>14.36</v>
      </c>
      <c r="E44" s="0" t="n">
        <v>1</v>
      </c>
      <c r="F44" s="0" t="s">
        <v>113</v>
      </c>
      <c r="G44" s="0" t="n">
        <v>16</v>
      </c>
      <c r="H44" s="0" t="n">
        <v>95.37</v>
      </c>
      <c r="I44" s="0" t="s">
        <v>139</v>
      </c>
      <c r="J44" s="0" t="s">
        <v>140</v>
      </c>
      <c r="K44" s="0" t="s">
        <v>44</v>
      </c>
    </row>
    <row r="45" customFormat="false" ht="15" hidden="false" customHeight="false" outlineLevel="0" collapsed="false">
      <c r="A45" s="0" t="s">
        <v>141</v>
      </c>
      <c r="B45" s="0" t="s">
        <v>142</v>
      </c>
      <c r="C45" s="0" t="n">
        <v>9.083</v>
      </c>
      <c r="D45" s="0" t="n">
        <v>14.36</v>
      </c>
      <c r="E45" s="0" t="n">
        <v>1</v>
      </c>
      <c r="F45" s="0" t="s">
        <v>113</v>
      </c>
      <c r="G45" s="0" t="n">
        <v>16</v>
      </c>
      <c r="H45" s="0" t="n">
        <v>95.37</v>
      </c>
      <c r="I45" s="0" t="s">
        <v>139</v>
      </c>
      <c r="J45" s="0" t="s">
        <v>143</v>
      </c>
      <c r="K45" s="0" t="s">
        <v>44</v>
      </c>
    </row>
    <row r="46" customFormat="false" ht="15" hidden="false" customHeight="false" outlineLevel="0" collapsed="false">
      <c r="A46" s="0" t="s">
        <v>144</v>
      </c>
      <c r="B46" s="0" t="s">
        <v>145</v>
      </c>
      <c r="C46" s="0" t="n">
        <v>4</v>
      </c>
      <c r="D46" s="0" t="n">
        <v>15.375</v>
      </c>
      <c r="E46" s="0" t="n">
        <v>1</v>
      </c>
      <c r="F46" s="0" t="s">
        <v>113</v>
      </c>
      <c r="G46" s="0" t="n">
        <v>16</v>
      </c>
      <c r="H46" s="0" t="n">
        <v>61.5</v>
      </c>
      <c r="I46" s="0" t="s">
        <v>146</v>
      </c>
      <c r="J46" s="0" t="s">
        <v>147</v>
      </c>
      <c r="K46" s="0" t="s">
        <v>44</v>
      </c>
    </row>
    <row r="47" customFormat="false" ht="15" hidden="false" customHeight="false" outlineLevel="0" collapsed="false">
      <c r="A47" s="0" t="s">
        <v>148</v>
      </c>
      <c r="B47" s="0" t="s">
        <v>149</v>
      </c>
      <c r="C47" s="0" t="n">
        <v>4</v>
      </c>
      <c r="D47" s="0" t="n">
        <v>15.375</v>
      </c>
      <c r="E47" s="0" t="n">
        <v>1</v>
      </c>
      <c r="F47" s="0" t="s">
        <v>113</v>
      </c>
      <c r="G47" s="0" t="n">
        <v>16</v>
      </c>
      <c r="H47" s="0" t="n">
        <v>61.5</v>
      </c>
      <c r="I47" s="0" t="s">
        <v>146</v>
      </c>
      <c r="J47" s="0" t="s">
        <v>147</v>
      </c>
      <c r="K47" s="0" t="s">
        <v>44</v>
      </c>
    </row>
    <row r="48" customFormat="false" ht="15" hidden="false" customHeight="false" outlineLevel="0" collapsed="false">
      <c r="A48" s="5" t="s">
        <v>150</v>
      </c>
    </row>
    <row r="49" customFormat="false" ht="15" hidden="false" customHeight="false" outlineLevel="0" collapsed="false">
      <c r="A49" s="0" t="s">
        <v>151</v>
      </c>
      <c r="B49" s="0" t="s">
        <v>152</v>
      </c>
      <c r="C49" s="0" t="n">
        <v>17.02</v>
      </c>
      <c r="D49" s="0" t="n">
        <v>15.375</v>
      </c>
      <c r="E49" s="0" t="n">
        <v>1</v>
      </c>
      <c r="F49" s="0" t="s">
        <v>113</v>
      </c>
      <c r="G49" s="0" t="n">
        <v>16</v>
      </c>
      <c r="H49" s="0" t="n">
        <v>348.91</v>
      </c>
      <c r="I49" s="0" t="s">
        <v>153</v>
      </c>
      <c r="J49" s="0" t="s">
        <v>154</v>
      </c>
      <c r="K49" s="0" t="s">
        <v>44</v>
      </c>
    </row>
    <row r="50" customFormat="false" ht="15" hidden="false" customHeight="false" outlineLevel="0" collapsed="false">
      <c r="A50" s="0" t="s">
        <v>155</v>
      </c>
      <c r="B50" s="0" t="s">
        <v>156</v>
      </c>
      <c r="C50" s="0" t="n">
        <v>3.125</v>
      </c>
      <c r="D50" s="0" t="n">
        <v>15.375</v>
      </c>
      <c r="E50" s="0" t="n">
        <v>1</v>
      </c>
      <c r="F50" s="0" t="s">
        <v>113</v>
      </c>
      <c r="G50" s="0" t="n">
        <v>16</v>
      </c>
      <c r="H50" s="0" t="n">
        <v>56.24</v>
      </c>
      <c r="I50" s="0" t="s">
        <v>157</v>
      </c>
      <c r="J50" s="0" t="s">
        <v>154</v>
      </c>
      <c r="K50" s="0" t="s">
        <v>34</v>
      </c>
    </row>
    <row r="51" customFormat="false" ht="15" hidden="false" customHeight="false" outlineLevel="0" collapsed="false">
      <c r="A51" s="0" t="s">
        <v>158</v>
      </c>
      <c r="B51" s="0" t="s">
        <v>159</v>
      </c>
      <c r="C51" s="0" t="n">
        <v>2.427</v>
      </c>
      <c r="D51" s="0" t="n">
        <v>15.375</v>
      </c>
      <c r="E51" s="0" t="n">
        <v>1</v>
      </c>
      <c r="F51" s="0" t="s">
        <v>113</v>
      </c>
      <c r="G51" s="0" t="n">
        <v>16</v>
      </c>
      <c r="H51" s="0" t="n">
        <v>43.68</v>
      </c>
      <c r="I51" s="0" t="s">
        <v>157</v>
      </c>
      <c r="J51" s="0" t="s">
        <v>154</v>
      </c>
      <c r="K51" s="0" t="s">
        <v>44</v>
      </c>
    </row>
    <row r="52" customFormat="false" ht="15" hidden="false" customHeight="false" outlineLevel="0" collapsed="false">
      <c r="A52" s="0" t="s">
        <v>160</v>
      </c>
      <c r="B52" s="0" t="s">
        <v>161</v>
      </c>
      <c r="C52" s="0" t="n">
        <v>15.233</v>
      </c>
      <c r="D52" s="0" t="n">
        <v>12.971</v>
      </c>
      <c r="E52" s="0" t="n">
        <v>1</v>
      </c>
      <c r="F52" s="0" t="s">
        <v>113</v>
      </c>
      <c r="G52" s="0" t="n">
        <v>16</v>
      </c>
      <c r="H52" s="0" t="n">
        <v>274.2</v>
      </c>
      <c r="I52" s="0" t="s">
        <v>162</v>
      </c>
      <c r="J52" s="0" t="s">
        <v>154</v>
      </c>
      <c r="K52" s="0" t="s">
        <v>44</v>
      </c>
    </row>
    <row r="53" customFormat="false" ht="15" hidden="false" customHeight="false" outlineLevel="0" collapsed="false">
      <c r="A53" s="0" t="s">
        <v>163</v>
      </c>
      <c r="B53" s="0" t="s">
        <v>164</v>
      </c>
      <c r="C53" s="0" t="n">
        <v>1.733</v>
      </c>
      <c r="D53" s="0" t="n">
        <v>11.818</v>
      </c>
      <c r="E53" s="0" t="n">
        <v>1</v>
      </c>
      <c r="F53" s="0" t="s">
        <v>113</v>
      </c>
      <c r="G53" s="0" t="n">
        <v>16</v>
      </c>
      <c r="H53" s="0" t="n">
        <v>32.06</v>
      </c>
      <c r="I53" s="0" t="s">
        <v>165</v>
      </c>
      <c r="J53" s="0" t="s">
        <v>154</v>
      </c>
      <c r="K53" s="0" t="s">
        <v>44</v>
      </c>
    </row>
    <row r="54" customFormat="false" ht="15" hidden="false" customHeight="false" outlineLevel="0" collapsed="false">
      <c r="A54" s="0" t="s">
        <v>166</v>
      </c>
      <c r="B54" s="0" t="s">
        <v>167</v>
      </c>
      <c r="C54" s="0" t="n">
        <v>5.5</v>
      </c>
      <c r="D54" s="0" t="n">
        <v>12.927</v>
      </c>
      <c r="E54" s="0" t="n">
        <v>1</v>
      </c>
      <c r="F54" s="0" t="s">
        <v>113</v>
      </c>
      <c r="G54" s="0" t="n">
        <v>16</v>
      </c>
      <c r="H54" s="0" t="n">
        <v>47.31</v>
      </c>
      <c r="I54" s="0" t="s">
        <v>168</v>
      </c>
      <c r="J54" s="0" t="s">
        <v>154</v>
      </c>
      <c r="K54" s="0" t="s">
        <v>34</v>
      </c>
    </row>
    <row r="55" customFormat="false" ht="15" hidden="false" customHeight="false" outlineLevel="0" collapsed="false">
      <c r="A55" s="0" t="s">
        <v>169</v>
      </c>
      <c r="B55" s="0" t="s">
        <v>170</v>
      </c>
      <c r="C55" s="0" t="n">
        <v>5.583</v>
      </c>
      <c r="D55" s="0" t="n">
        <v>15.375</v>
      </c>
      <c r="E55" s="0" t="n">
        <v>1</v>
      </c>
      <c r="F55" s="0" t="s">
        <v>113</v>
      </c>
      <c r="G55" s="0" t="n">
        <v>16</v>
      </c>
      <c r="H55" s="0" t="n">
        <v>48.85</v>
      </c>
      <c r="I55" s="0" t="s">
        <v>87</v>
      </c>
      <c r="J55" s="0" t="s">
        <v>154</v>
      </c>
      <c r="K55" s="0" t="s">
        <v>34</v>
      </c>
    </row>
    <row r="56" customFormat="false" ht="15" hidden="false" customHeight="false" outlineLevel="0" collapsed="false">
      <c r="A56" s="0" t="s">
        <v>171</v>
      </c>
      <c r="B56" s="0" t="s">
        <v>172</v>
      </c>
      <c r="C56" s="0" t="n">
        <v>20.393</v>
      </c>
      <c r="D56" s="0" t="n">
        <v>11.815</v>
      </c>
      <c r="E56" s="0" t="n">
        <v>1</v>
      </c>
      <c r="F56" s="0" t="s">
        <v>113</v>
      </c>
      <c r="G56" s="0" t="n">
        <v>16</v>
      </c>
      <c r="H56" s="0" t="n">
        <v>376.71</v>
      </c>
      <c r="I56" s="0" t="s">
        <v>173</v>
      </c>
      <c r="J56" s="0" t="s">
        <v>154</v>
      </c>
      <c r="K56" s="0" t="s">
        <v>44</v>
      </c>
    </row>
    <row r="57" customFormat="false" ht="15" hidden="false" customHeight="false" outlineLevel="0" collapsed="false">
      <c r="A57" s="0" t="s">
        <v>174</v>
      </c>
      <c r="B57" s="0" t="s">
        <v>175</v>
      </c>
      <c r="C57" s="0" t="n">
        <v>11.667</v>
      </c>
      <c r="D57" s="0" t="n">
        <v>12.775</v>
      </c>
      <c r="E57" s="0" t="n">
        <v>1</v>
      </c>
      <c r="F57" s="0" t="s">
        <v>113</v>
      </c>
      <c r="G57" s="0" t="n">
        <v>16</v>
      </c>
      <c r="H57" s="0" t="n">
        <v>168.07</v>
      </c>
      <c r="I57" s="0" t="s">
        <v>176</v>
      </c>
      <c r="J57" s="0" t="s">
        <v>154</v>
      </c>
      <c r="K57" s="0" t="s">
        <v>34</v>
      </c>
    </row>
    <row r="58" customFormat="false" ht="15" hidden="false" customHeight="false" outlineLevel="0" collapsed="false">
      <c r="A58" s="0" t="s">
        <v>177</v>
      </c>
      <c r="B58" s="0" t="s">
        <v>178</v>
      </c>
      <c r="C58" s="0" t="n">
        <v>1.707</v>
      </c>
      <c r="D58" s="0" t="n">
        <v>12.957</v>
      </c>
      <c r="E58" s="0" t="n">
        <v>1</v>
      </c>
      <c r="F58" s="0" t="s">
        <v>113</v>
      </c>
      <c r="G58" s="0" t="n">
        <v>16</v>
      </c>
      <c r="H58" s="0" t="n">
        <v>30.72</v>
      </c>
      <c r="I58" s="0" t="s">
        <v>179</v>
      </c>
      <c r="J58" s="0" t="s">
        <v>154</v>
      </c>
      <c r="K58" s="0" t="s">
        <v>44</v>
      </c>
    </row>
    <row r="59" customFormat="false" ht="15" hidden="false" customHeight="false" outlineLevel="0" collapsed="false">
      <c r="A59" s="0" t="s">
        <v>180</v>
      </c>
      <c r="B59" s="0" t="s">
        <v>181</v>
      </c>
      <c r="C59" s="0" t="n">
        <v>4.887</v>
      </c>
      <c r="D59" s="0" t="n">
        <v>12.957</v>
      </c>
      <c r="E59" s="0" t="n">
        <v>1</v>
      </c>
      <c r="F59" s="0" t="s">
        <v>113</v>
      </c>
      <c r="G59" s="0" t="n">
        <v>16</v>
      </c>
      <c r="H59" s="0" t="n">
        <v>107.3</v>
      </c>
      <c r="I59" s="0" t="s">
        <v>182</v>
      </c>
      <c r="J59" s="0" t="s">
        <v>154</v>
      </c>
      <c r="K59" s="0" t="s">
        <v>44</v>
      </c>
    </row>
    <row r="60" customFormat="false" ht="15" hidden="false" customHeight="false" outlineLevel="0" collapsed="false">
      <c r="A60" s="0" t="s">
        <v>183</v>
      </c>
      <c r="B60" s="0" t="s">
        <v>184</v>
      </c>
      <c r="C60" s="0" t="n">
        <v>1.707</v>
      </c>
      <c r="D60" s="0" t="n">
        <v>12.865</v>
      </c>
      <c r="E60" s="0" t="n">
        <v>1</v>
      </c>
      <c r="F60" s="0" t="s">
        <v>113</v>
      </c>
      <c r="G60" s="0" t="n">
        <v>16</v>
      </c>
      <c r="H60" s="0" t="n">
        <v>30.72</v>
      </c>
      <c r="I60" s="0" t="s">
        <v>185</v>
      </c>
      <c r="J60" s="0" t="s">
        <v>154</v>
      </c>
      <c r="K60" s="0" t="s">
        <v>44</v>
      </c>
    </row>
    <row r="61" customFormat="false" ht="15" hidden="false" customHeight="false" outlineLevel="0" collapsed="false">
      <c r="A61" s="5" t="s">
        <v>186</v>
      </c>
    </row>
    <row r="62" customFormat="false" ht="15" hidden="false" customHeight="false" outlineLevel="0" collapsed="false">
      <c r="A62" s="0" t="s">
        <v>187</v>
      </c>
      <c r="B62" s="0" t="s">
        <v>188</v>
      </c>
      <c r="C62" s="0" t="n">
        <v>11.407</v>
      </c>
      <c r="D62" s="0" t="n">
        <v>15.375</v>
      </c>
      <c r="E62" s="0" t="n">
        <v>1</v>
      </c>
      <c r="F62" s="0" t="s">
        <v>94</v>
      </c>
      <c r="G62" s="0" t="n">
        <v>16</v>
      </c>
      <c r="H62" s="0" t="n">
        <v>205.32</v>
      </c>
      <c r="I62" s="0" t="s">
        <v>189</v>
      </c>
      <c r="J62" s="0" t="s">
        <v>154</v>
      </c>
      <c r="K62" s="0" t="s">
        <v>44</v>
      </c>
    </row>
    <row r="63" customFormat="false" ht="15" hidden="false" customHeight="false" outlineLevel="0" collapsed="false">
      <c r="A63" s="0" t="s">
        <v>190</v>
      </c>
      <c r="B63" s="0" t="s">
        <v>191</v>
      </c>
      <c r="C63" s="0" t="n">
        <v>19</v>
      </c>
      <c r="D63" s="0" t="n">
        <v>14.222</v>
      </c>
      <c r="E63" s="0" t="n">
        <v>1</v>
      </c>
      <c r="F63" s="0" t="s">
        <v>94</v>
      </c>
      <c r="G63" s="0" t="n">
        <v>16</v>
      </c>
      <c r="H63" s="0" t="n">
        <v>399</v>
      </c>
      <c r="I63" s="0" t="s">
        <v>192</v>
      </c>
      <c r="J63" s="0" t="s">
        <v>154</v>
      </c>
      <c r="K63" s="0" t="s">
        <v>34</v>
      </c>
    </row>
    <row r="64" customFormat="false" ht="15" hidden="false" customHeight="false" outlineLevel="0" collapsed="false">
      <c r="A64" s="0" t="s">
        <v>193</v>
      </c>
      <c r="B64" s="0" t="s">
        <v>194</v>
      </c>
      <c r="C64" s="0" t="n">
        <v>5</v>
      </c>
      <c r="D64" s="0" t="n">
        <v>11.907</v>
      </c>
      <c r="E64" s="0" t="n">
        <v>1</v>
      </c>
      <c r="F64" s="0" t="s">
        <v>94</v>
      </c>
      <c r="G64" s="0" t="n">
        <v>16</v>
      </c>
      <c r="H64" s="0" t="n">
        <v>42.22</v>
      </c>
      <c r="I64" s="0" t="s">
        <v>189</v>
      </c>
      <c r="J64" s="0" t="s">
        <v>154</v>
      </c>
      <c r="K64" s="0" t="s">
        <v>44</v>
      </c>
    </row>
    <row r="65" customFormat="false" ht="15" hidden="false" customHeight="false" outlineLevel="0" collapsed="false">
      <c r="A65" s="0" t="s">
        <v>195</v>
      </c>
      <c r="B65" s="0" t="s">
        <v>196</v>
      </c>
      <c r="C65" s="0" t="n">
        <v>3.28</v>
      </c>
      <c r="D65" s="0" t="n">
        <v>11.773</v>
      </c>
      <c r="E65" s="0" t="n">
        <v>1</v>
      </c>
      <c r="F65" s="0" t="s">
        <v>94</v>
      </c>
      <c r="G65" s="0" t="n">
        <v>16</v>
      </c>
      <c r="H65" s="0" t="n">
        <v>60.68</v>
      </c>
      <c r="I65" s="0" t="s">
        <v>197</v>
      </c>
      <c r="J65" s="0" t="s">
        <v>154</v>
      </c>
      <c r="K65" s="0" t="s">
        <v>44</v>
      </c>
    </row>
    <row r="66" customFormat="false" ht="15" hidden="false" customHeight="false" outlineLevel="0" collapsed="false">
      <c r="A66" s="5" t="s">
        <v>198</v>
      </c>
    </row>
    <row r="67" customFormat="false" ht="15" hidden="false" customHeight="false" outlineLevel="0" collapsed="false">
      <c r="A67" s="0" t="s">
        <v>199</v>
      </c>
      <c r="B67" s="0" t="s">
        <v>200</v>
      </c>
      <c r="C67" s="0" t="n">
        <v>9.987</v>
      </c>
      <c r="D67" s="0" t="n">
        <v>12.831</v>
      </c>
      <c r="E67" s="0" t="n">
        <v>1</v>
      </c>
      <c r="F67" s="0" t="s">
        <v>113</v>
      </c>
      <c r="G67" s="0" t="n">
        <v>16</v>
      </c>
      <c r="H67" s="0" t="n">
        <v>256.28</v>
      </c>
      <c r="I67" s="0" t="s">
        <v>201</v>
      </c>
      <c r="J67" s="0" t="s">
        <v>96</v>
      </c>
      <c r="K67" s="0" t="s">
        <v>44</v>
      </c>
    </row>
    <row r="68" customFormat="false" ht="15" hidden="false" customHeight="false" outlineLevel="0" collapsed="false">
      <c r="A68" s="0" t="s">
        <v>202</v>
      </c>
      <c r="B68" s="0" t="s">
        <v>203</v>
      </c>
      <c r="C68" s="0" t="n">
        <v>9.583</v>
      </c>
      <c r="D68" s="0" t="n">
        <v>12.702</v>
      </c>
      <c r="E68" s="0" t="n">
        <v>1</v>
      </c>
      <c r="F68" s="0" t="s">
        <v>113</v>
      </c>
      <c r="G68" s="0" t="n">
        <v>16</v>
      </c>
      <c r="H68" s="0" t="n">
        <v>243.44</v>
      </c>
      <c r="I68" s="0" t="s">
        <v>204</v>
      </c>
      <c r="J68" s="0" t="s">
        <v>96</v>
      </c>
      <c r="K68" s="0" t="s">
        <v>34</v>
      </c>
    </row>
    <row r="69" customFormat="false" ht="15" hidden="false" customHeight="false" outlineLevel="0" collapsed="false">
      <c r="A69" s="0" t="s">
        <v>205</v>
      </c>
      <c r="B69" s="0" t="s">
        <v>206</v>
      </c>
      <c r="C69" s="0" t="n">
        <v>13.74</v>
      </c>
      <c r="D69" s="0" t="n">
        <v>12.823</v>
      </c>
      <c r="E69" s="0" t="n">
        <v>1</v>
      </c>
      <c r="F69" s="0" t="s">
        <v>113</v>
      </c>
      <c r="G69" s="0" t="n">
        <v>16</v>
      </c>
      <c r="H69" s="0" t="n">
        <v>256.84</v>
      </c>
      <c r="I69" s="0" t="s">
        <v>207</v>
      </c>
      <c r="J69" s="0" t="s">
        <v>96</v>
      </c>
      <c r="K69" s="0" t="s">
        <v>44</v>
      </c>
    </row>
    <row r="70" customFormat="false" ht="15" hidden="false" customHeight="false" outlineLevel="0" collapsed="false">
      <c r="A70" s="0" t="s">
        <v>208</v>
      </c>
      <c r="B70" s="0" t="s">
        <v>209</v>
      </c>
      <c r="C70" s="0" t="n">
        <v>11.733</v>
      </c>
      <c r="D70" s="0" t="n">
        <v>12.751</v>
      </c>
      <c r="E70" s="0" t="n">
        <v>1</v>
      </c>
      <c r="F70" s="0" t="s">
        <v>113</v>
      </c>
      <c r="G70" s="0" t="n">
        <v>16</v>
      </c>
      <c r="H70" s="0" t="n">
        <v>251.44</v>
      </c>
      <c r="I70" s="0" t="s">
        <v>210</v>
      </c>
      <c r="J70" s="0" t="s">
        <v>96</v>
      </c>
      <c r="K70" s="0" t="s">
        <v>44</v>
      </c>
    </row>
    <row r="71" customFormat="false" ht="15" hidden="false" customHeight="false" outlineLevel="0" collapsed="false">
      <c r="A71" s="0" t="s">
        <v>211</v>
      </c>
      <c r="B71" s="0" t="s">
        <v>212</v>
      </c>
      <c r="C71" s="0" t="n">
        <v>3.5</v>
      </c>
      <c r="D71" s="0" t="n">
        <v>12.743</v>
      </c>
      <c r="E71" s="0" t="n">
        <v>1</v>
      </c>
      <c r="F71" s="0" t="s">
        <v>113</v>
      </c>
      <c r="G71" s="0" t="n">
        <v>16</v>
      </c>
      <c r="H71" s="0" t="n">
        <v>89.2</v>
      </c>
      <c r="I71" s="0" t="s">
        <v>213</v>
      </c>
      <c r="J71" s="0" t="s">
        <v>96</v>
      </c>
      <c r="K71" s="0" t="s">
        <v>44</v>
      </c>
    </row>
    <row r="72" customFormat="false" ht="15" hidden="false" customHeight="false" outlineLevel="0" collapsed="false">
      <c r="A72" s="0" t="s">
        <v>214</v>
      </c>
      <c r="B72" s="0" t="s">
        <v>215</v>
      </c>
      <c r="C72" s="0" t="n">
        <v>11.733</v>
      </c>
      <c r="D72" s="0" t="n">
        <v>12.671</v>
      </c>
      <c r="E72" s="0" t="n">
        <v>1</v>
      </c>
      <c r="F72" s="0" t="s">
        <v>113</v>
      </c>
      <c r="G72" s="0" t="n">
        <v>16</v>
      </c>
      <c r="H72" s="0" t="n">
        <v>297.34</v>
      </c>
      <c r="I72" s="0" t="s">
        <v>216</v>
      </c>
      <c r="J72" s="0" t="s">
        <v>96</v>
      </c>
      <c r="K72" s="0" t="s">
        <v>44</v>
      </c>
    </row>
    <row r="73" customFormat="false" ht="15" hidden="false" customHeight="false" outlineLevel="0" collapsed="false">
      <c r="A73" s="5" t="s">
        <v>217</v>
      </c>
    </row>
    <row r="74" customFormat="false" ht="15" hidden="false" customHeight="false" outlineLevel="0" collapsed="false">
      <c r="A74" s="0" t="s">
        <v>218</v>
      </c>
      <c r="B74" s="0" t="s">
        <v>219</v>
      </c>
      <c r="C74" s="0" t="n">
        <v>11.771</v>
      </c>
      <c r="D74" s="0" t="n">
        <v>14.362</v>
      </c>
      <c r="E74" s="0" t="n">
        <v>1</v>
      </c>
      <c r="F74" s="0" t="s">
        <v>94</v>
      </c>
      <c r="G74" s="0" t="n">
        <v>16</v>
      </c>
      <c r="H74" s="0" t="n">
        <v>180.98</v>
      </c>
      <c r="I74" s="0" t="s">
        <v>220</v>
      </c>
      <c r="J74" s="0" t="s">
        <v>221</v>
      </c>
      <c r="K74" s="0" t="s">
        <v>34</v>
      </c>
    </row>
    <row r="75" customFormat="false" ht="15" hidden="false" customHeight="false" outlineLevel="0" collapsed="false">
      <c r="A75" s="0" t="s">
        <v>222</v>
      </c>
      <c r="B75" s="0" t="s">
        <v>223</v>
      </c>
      <c r="C75" s="0" t="n">
        <v>50.481</v>
      </c>
      <c r="D75" s="0" t="n">
        <v>14.362</v>
      </c>
      <c r="E75" s="0" t="n">
        <v>1</v>
      </c>
      <c r="F75" s="0" t="s">
        <v>94</v>
      </c>
      <c r="G75" s="0" t="n">
        <v>16</v>
      </c>
      <c r="H75" s="0" t="n">
        <v>712.15</v>
      </c>
      <c r="I75" s="0" t="s">
        <v>220</v>
      </c>
      <c r="J75" s="0" t="s">
        <v>221</v>
      </c>
      <c r="K75" s="0" t="s">
        <v>44</v>
      </c>
    </row>
    <row r="76" customFormat="false" ht="15" hidden="false" customHeight="false" outlineLevel="0" collapsed="false">
      <c r="A76" s="0" t="s">
        <v>224</v>
      </c>
      <c r="B76" s="0" t="s">
        <v>225</v>
      </c>
      <c r="C76" s="0" t="n">
        <v>24.852</v>
      </c>
      <c r="D76" s="0" t="n">
        <v>11.907</v>
      </c>
      <c r="E76" s="0" t="n">
        <v>1</v>
      </c>
      <c r="F76" s="0" t="s">
        <v>94</v>
      </c>
      <c r="G76" s="0" t="n">
        <v>16</v>
      </c>
      <c r="H76" s="0" t="n">
        <v>324.37</v>
      </c>
      <c r="I76" s="0" t="s">
        <v>220</v>
      </c>
      <c r="J76" s="0" t="s">
        <v>221</v>
      </c>
      <c r="K76" s="0" t="s">
        <v>44</v>
      </c>
    </row>
    <row r="77" customFormat="false" ht="15" hidden="false" customHeight="false" outlineLevel="0" collapsed="false">
      <c r="A77" s="0" t="s">
        <v>226</v>
      </c>
      <c r="B77" s="0" t="s">
        <v>227</v>
      </c>
      <c r="C77" s="0" t="n">
        <v>34.062</v>
      </c>
      <c r="D77" s="0" t="n">
        <v>11.064</v>
      </c>
      <c r="E77" s="0" t="n">
        <v>1</v>
      </c>
      <c r="F77" s="0" t="s">
        <v>94</v>
      </c>
      <c r="G77" s="0" t="n">
        <v>16</v>
      </c>
      <c r="H77" s="0" t="n">
        <v>399.88</v>
      </c>
      <c r="I77" s="0" t="s">
        <v>220</v>
      </c>
      <c r="J77" s="0" t="s">
        <v>221</v>
      </c>
      <c r="K77" s="0" t="s">
        <v>44</v>
      </c>
    </row>
    <row r="78" customFormat="false" ht="15" hidden="false" customHeight="false" outlineLevel="0" collapsed="false">
      <c r="A78" s="0" t="s">
        <v>228</v>
      </c>
      <c r="B78" s="0" t="s">
        <v>229</v>
      </c>
      <c r="C78" s="0" t="n">
        <v>17.671</v>
      </c>
      <c r="D78" s="0" t="n">
        <v>11.394</v>
      </c>
      <c r="E78" s="0" t="n">
        <v>1</v>
      </c>
      <c r="F78" s="0" t="s">
        <v>94</v>
      </c>
      <c r="G78" s="0" t="n">
        <v>16</v>
      </c>
      <c r="H78" s="0" t="n">
        <v>221.58</v>
      </c>
      <c r="I78" s="0" t="s">
        <v>220</v>
      </c>
      <c r="J78" s="0" t="s">
        <v>221</v>
      </c>
      <c r="K78" s="0" t="s">
        <v>44</v>
      </c>
    </row>
    <row r="79" customFormat="false" ht="15" hidden="false" customHeight="false" outlineLevel="0" collapsed="false">
      <c r="A79" s="0" t="s">
        <v>230</v>
      </c>
      <c r="B79" s="0" t="s">
        <v>231</v>
      </c>
      <c r="C79" s="0" t="n">
        <v>24.852</v>
      </c>
      <c r="D79" s="0" t="n">
        <v>11.907</v>
      </c>
      <c r="E79" s="0" t="n">
        <v>1</v>
      </c>
      <c r="F79" s="0" t="s">
        <v>94</v>
      </c>
      <c r="G79" s="0" t="n">
        <v>16</v>
      </c>
      <c r="H79" s="0" t="n">
        <v>324.37</v>
      </c>
      <c r="I79" s="0" t="s">
        <v>220</v>
      </c>
      <c r="J79" s="0" t="s">
        <v>221</v>
      </c>
      <c r="K79" s="0" t="s">
        <v>44</v>
      </c>
    </row>
    <row r="80" customFormat="false" ht="15" hidden="false" customHeight="false" outlineLevel="0" collapsed="false">
      <c r="A80" s="0" t="s">
        <v>232</v>
      </c>
      <c r="B80" s="0" t="s">
        <v>233</v>
      </c>
      <c r="C80" s="0" t="n">
        <v>22.094</v>
      </c>
      <c r="D80" s="0" t="n">
        <v>14.362</v>
      </c>
      <c r="E80" s="0" t="n">
        <v>1</v>
      </c>
      <c r="F80" s="0" t="s">
        <v>94</v>
      </c>
      <c r="G80" s="0" t="n">
        <v>16</v>
      </c>
      <c r="H80" s="0" t="n">
        <v>307.7</v>
      </c>
      <c r="I80" s="0" t="s">
        <v>220</v>
      </c>
      <c r="J80" s="0" t="s">
        <v>221</v>
      </c>
      <c r="K80" s="0" t="s">
        <v>44</v>
      </c>
    </row>
    <row r="81" customFormat="false" ht="15" hidden="false" customHeight="false" outlineLevel="0" collapsed="false">
      <c r="A81" s="0" t="s">
        <v>234</v>
      </c>
      <c r="B81" s="0" t="s">
        <v>235</v>
      </c>
      <c r="C81" s="0" t="n">
        <v>3.875</v>
      </c>
      <c r="D81" s="0" t="n">
        <v>14.362</v>
      </c>
      <c r="E81" s="0" t="n">
        <v>1</v>
      </c>
      <c r="F81" s="0" t="s">
        <v>94</v>
      </c>
      <c r="G81" s="0" t="n">
        <v>16</v>
      </c>
      <c r="H81" s="0" t="n">
        <v>59.58</v>
      </c>
      <c r="I81" s="0" t="s">
        <v>220</v>
      </c>
      <c r="J81" s="0" t="s">
        <v>221</v>
      </c>
      <c r="K81" s="0" t="s">
        <v>34</v>
      </c>
    </row>
    <row r="82" customFormat="false" ht="15" hidden="false" customHeight="false" outlineLevel="0" collapsed="false">
      <c r="A82" s="0" t="s">
        <v>236</v>
      </c>
      <c r="B82" s="0" t="s">
        <v>237</v>
      </c>
      <c r="C82" s="0" t="n">
        <v>21.887</v>
      </c>
      <c r="D82" s="0" t="n">
        <v>14.362</v>
      </c>
      <c r="E82" s="0" t="n">
        <v>1</v>
      </c>
      <c r="F82" s="0" t="s">
        <v>94</v>
      </c>
      <c r="G82" s="0" t="n">
        <v>16</v>
      </c>
      <c r="H82" s="0" t="n">
        <v>330.65</v>
      </c>
      <c r="I82" s="0" t="s">
        <v>220</v>
      </c>
      <c r="J82" s="0" t="s">
        <v>221</v>
      </c>
      <c r="K82" s="0" t="s">
        <v>44</v>
      </c>
    </row>
    <row r="83" customFormat="false" ht="15" hidden="false" customHeight="false" outlineLevel="0" collapsed="false">
      <c r="A83" s="0" t="s">
        <v>238</v>
      </c>
      <c r="B83" s="0" t="s">
        <v>239</v>
      </c>
      <c r="C83" s="0" t="n">
        <v>12.562</v>
      </c>
      <c r="D83" s="0" t="n">
        <v>4.985</v>
      </c>
      <c r="E83" s="0" t="n">
        <v>1</v>
      </c>
      <c r="F83" s="0" t="s">
        <v>94</v>
      </c>
      <c r="G83" s="0" t="n">
        <v>16</v>
      </c>
      <c r="H83" s="0" t="n">
        <v>73.61</v>
      </c>
      <c r="I83" s="0" t="s">
        <v>240</v>
      </c>
      <c r="J83" s="0" t="s">
        <v>241</v>
      </c>
      <c r="K83" s="0" t="s">
        <v>44</v>
      </c>
    </row>
    <row r="84" customFormat="false" ht="15" hidden="false" customHeight="false" outlineLevel="0" collapsed="false">
      <c r="A84" s="0" t="s">
        <v>242</v>
      </c>
      <c r="B84" s="0" t="s">
        <v>243</v>
      </c>
      <c r="C84" s="0" t="n">
        <v>26.25</v>
      </c>
      <c r="D84" s="0" t="n">
        <v>4.525</v>
      </c>
      <c r="E84" s="0" t="n">
        <v>1</v>
      </c>
      <c r="F84" s="0" t="s">
        <v>94</v>
      </c>
      <c r="G84" s="0" t="n">
        <v>16</v>
      </c>
      <c r="H84" s="0" t="n">
        <v>141.75</v>
      </c>
      <c r="I84" s="0" t="s">
        <v>240</v>
      </c>
      <c r="J84" s="0" t="s">
        <v>241</v>
      </c>
      <c r="K84" s="0" t="s">
        <v>44</v>
      </c>
    </row>
    <row r="85" customFormat="false" ht="15" hidden="false" customHeight="false" outlineLevel="0" collapsed="false">
      <c r="A85" s="0" t="s">
        <v>244</v>
      </c>
      <c r="B85" s="0" t="s">
        <v>245</v>
      </c>
      <c r="C85" s="0" t="n">
        <v>6.5</v>
      </c>
      <c r="D85" s="0" t="n">
        <v>4.985</v>
      </c>
      <c r="E85" s="0" t="n">
        <v>1</v>
      </c>
      <c r="F85" s="0" t="s">
        <v>94</v>
      </c>
      <c r="G85" s="0" t="n">
        <v>16</v>
      </c>
      <c r="H85" s="0" t="n">
        <v>38.09</v>
      </c>
      <c r="I85" s="0" t="s">
        <v>240</v>
      </c>
      <c r="J85" s="0" t="s">
        <v>241</v>
      </c>
      <c r="K85" s="0" t="s">
        <v>44</v>
      </c>
    </row>
    <row r="86" customFormat="false" ht="15" hidden="false" customHeight="false" outlineLevel="0" collapsed="false">
      <c r="A86" s="5" t="s">
        <v>246</v>
      </c>
    </row>
    <row r="87" customFormat="false" ht="15" hidden="false" customHeight="false" outlineLevel="0" collapsed="false">
      <c r="A87" s="0" t="s">
        <v>247</v>
      </c>
      <c r="B87" s="0" t="s">
        <v>248</v>
      </c>
      <c r="C87" s="0" t="n">
        <v>78.167</v>
      </c>
      <c r="D87" s="0" t="n">
        <v>1.865</v>
      </c>
      <c r="E87" s="0" t="n">
        <v>0</v>
      </c>
      <c r="F87" s="0" t="s">
        <v>249</v>
      </c>
      <c r="G87" s="0" t="n">
        <v>16</v>
      </c>
      <c r="H87" s="0" t="n">
        <v>0</v>
      </c>
      <c r="I87" s="0" t="s">
        <v>250</v>
      </c>
      <c r="J87" s="0" t="s">
        <v>251</v>
      </c>
      <c r="K87" s="0" t="s">
        <v>44</v>
      </c>
    </row>
    <row r="88" customFormat="false" ht="15" hidden="false" customHeight="false" outlineLevel="0" collapsed="false">
      <c r="A88" s="0" t="s">
        <v>252</v>
      </c>
      <c r="B88" s="0" t="s">
        <v>253</v>
      </c>
      <c r="C88" s="0" t="n">
        <v>55.583</v>
      </c>
      <c r="D88" s="0" t="n">
        <v>1.865</v>
      </c>
      <c r="E88" s="0" t="n">
        <v>0</v>
      </c>
      <c r="F88" s="0" t="s">
        <v>249</v>
      </c>
      <c r="G88" s="0" t="n">
        <v>16</v>
      </c>
      <c r="H88" s="0" t="n">
        <v>0</v>
      </c>
      <c r="I88" s="0" t="s">
        <v>254</v>
      </c>
      <c r="J88" s="0" t="s">
        <v>251</v>
      </c>
      <c r="K88" s="0" t="s">
        <v>44</v>
      </c>
    </row>
    <row r="89" customFormat="false" ht="15" hidden="false" customHeight="false" outlineLevel="0" collapsed="false">
      <c r="A89" s="0" t="s">
        <v>255</v>
      </c>
      <c r="B89" s="0" t="s">
        <v>256</v>
      </c>
      <c r="C89" s="0" t="n">
        <v>29</v>
      </c>
      <c r="D89" s="0" t="n">
        <v>1.865</v>
      </c>
      <c r="E89" s="0" t="n">
        <v>0</v>
      </c>
      <c r="F89" s="0" t="s">
        <v>249</v>
      </c>
      <c r="G89" s="0" t="n">
        <v>16</v>
      </c>
      <c r="H89" s="0" t="n">
        <v>0</v>
      </c>
      <c r="I89" s="0" t="s">
        <v>257</v>
      </c>
      <c r="J89" s="0" t="s">
        <v>251</v>
      </c>
      <c r="K89" s="0" t="s">
        <v>44</v>
      </c>
    </row>
    <row r="90" customFormat="false" ht="15" hidden="false" customHeight="false" outlineLevel="0" collapsed="false">
      <c r="A90" s="0" t="s">
        <v>258</v>
      </c>
      <c r="B90" s="0" t="s">
        <v>259</v>
      </c>
      <c r="C90" s="0" t="n">
        <v>78.02</v>
      </c>
      <c r="D90" s="0" t="n">
        <v>1.865</v>
      </c>
      <c r="E90" s="0" t="n">
        <v>0</v>
      </c>
      <c r="F90" s="0" t="s">
        <v>249</v>
      </c>
      <c r="G90" s="0" t="n">
        <v>16</v>
      </c>
      <c r="H90" s="0" t="n">
        <v>0</v>
      </c>
      <c r="I90" s="0" t="s">
        <v>260</v>
      </c>
      <c r="J90" s="0" t="s">
        <v>251</v>
      </c>
      <c r="K90" s="0" t="s">
        <v>44</v>
      </c>
    </row>
    <row r="91" customFormat="false" ht="15" hidden="false" customHeight="false" outlineLevel="0" collapsed="false">
      <c r="A91" s="5" t="s">
        <v>261</v>
      </c>
    </row>
    <row r="92" customFormat="false" ht="15" hidden="false" customHeight="false" outlineLevel="0" collapsed="false">
      <c r="A92" s="0" t="s">
        <v>262</v>
      </c>
      <c r="B92" s="0" t="s">
        <v>263</v>
      </c>
      <c r="C92" s="0" t="n">
        <v>17.73</v>
      </c>
      <c r="D92" s="0" t="n">
        <v>4.292</v>
      </c>
      <c r="E92" s="0" t="n">
        <v>0</v>
      </c>
      <c r="F92" s="0" t="s">
        <v>264</v>
      </c>
      <c r="G92" s="0" t="n">
        <v>16</v>
      </c>
      <c r="H92" s="0" t="n">
        <v>0</v>
      </c>
      <c r="I92" s="0" t="s">
        <v>265</v>
      </c>
      <c r="J92" s="0" t="s">
        <v>266</v>
      </c>
      <c r="K92" s="0" t="s">
        <v>44</v>
      </c>
    </row>
    <row r="93" customFormat="false" ht="15" hidden="false" customHeight="false" outlineLevel="0" collapsed="false">
      <c r="A93" s="0" t="s">
        <v>267</v>
      </c>
      <c r="B93" s="0" t="s">
        <v>268</v>
      </c>
      <c r="C93" s="0" t="n">
        <v>4.61</v>
      </c>
      <c r="D93" s="0" t="n">
        <v>4.292</v>
      </c>
      <c r="E93" s="0" t="n">
        <v>0</v>
      </c>
      <c r="F93" s="0" t="s">
        <v>264</v>
      </c>
      <c r="G93" s="0" t="n">
        <v>16</v>
      </c>
      <c r="H93" s="0" t="n">
        <v>0</v>
      </c>
      <c r="I93" s="0" t="s">
        <v>269</v>
      </c>
      <c r="J93" s="0" t="s">
        <v>266</v>
      </c>
      <c r="K93" s="0" t="s">
        <v>44</v>
      </c>
    </row>
    <row r="94" customFormat="false" ht="15" hidden="false" customHeight="false" outlineLevel="0" collapsed="false">
      <c r="A94" s="0" t="s">
        <v>270</v>
      </c>
      <c r="B94" s="0" t="s">
        <v>271</v>
      </c>
      <c r="C94" s="0" t="n">
        <v>39.86</v>
      </c>
      <c r="D94" s="0" t="n">
        <v>2.042</v>
      </c>
      <c r="E94" s="0" t="n">
        <v>0</v>
      </c>
      <c r="F94" s="0" t="s">
        <v>264</v>
      </c>
      <c r="G94" s="0" t="n">
        <v>16</v>
      </c>
      <c r="H94" s="0" t="n">
        <v>0</v>
      </c>
      <c r="I94" s="0" t="s">
        <v>272</v>
      </c>
      <c r="J94" s="0" t="s">
        <v>266</v>
      </c>
      <c r="K94" s="0" t="s">
        <v>44</v>
      </c>
    </row>
    <row r="95" customFormat="false" ht="15" hidden="false" customHeight="false" outlineLevel="0" collapsed="false">
      <c r="A95" s="0" t="s">
        <v>273</v>
      </c>
      <c r="B95" s="0" t="s">
        <v>274</v>
      </c>
      <c r="C95" s="0" t="n">
        <v>51.37</v>
      </c>
      <c r="D95" s="0" t="n">
        <v>2.042</v>
      </c>
      <c r="E95" s="0" t="n">
        <v>0</v>
      </c>
      <c r="F95" s="0" t="s">
        <v>264</v>
      </c>
      <c r="G95" s="0" t="n">
        <v>16</v>
      </c>
      <c r="H95" s="0" t="n">
        <v>0</v>
      </c>
      <c r="I95" s="0" t="s">
        <v>275</v>
      </c>
      <c r="J95" s="0" t="s">
        <v>266</v>
      </c>
      <c r="K95" s="0" t="s">
        <v>44</v>
      </c>
    </row>
    <row r="96" customFormat="false" ht="15" hidden="false" customHeight="false" outlineLevel="0" collapsed="false">
      <c r="A96" s="0" t="s">
        <v>276</v>
      </c>
      <c r="B96" s="0" t="s">
        <v>277</v>
      </c>
      <c r="C96" s="0" t="n">
        <v>25.93</v>
      </c>
      <c r="D96" s="0" t="n">
        <v>4.625</v>
      </c>
      <c r="E96" s="0" t="n">
        <v>0</v>
      </c>
      <c r="F96" s="0" t="s">
        <v>264</v>
      </c>
      <c r="G96" s="0" t="n">
        <v>16</v>
      </c>
      <c r="H96" s="0" t="n">
        <v>0</v>
      </c>
      <c r="I96" s="0" t="s">
        <v>275</v>
      </c>
      <c r="J96" s="0" t="s">
        <v>266</v>
      </c>
      <c r="K96" s="0" t="s">
        <v>44</v>
      </c>
    </row>
    <row r="97" customFormat="false" ht="15" hidden="false" customHeight="false" outlineLevel="0" collapsed="false">
      <c r="A97" s="0" t="s">
        <v>278</v>
      </c>
      <c r="B97" s="0" t="s">
        <v>279</v>
      </c>
      <c r="C97" s="0" t="n">
        <v>53.68</v>
      </c>
      <c r="D97" s="0" t="n">
        <v>4.886</v>
      </c>
      <c r="E97" s="0" t="n">
        <v>0</v>
      </c>
      <c r="F97" s="0" t="s">
        <v>264</v>
      </c>
      <c r="G97" s="0" t="n">
        <v>16</v>
      </c>
      <c r="H97" s="0" t="n">
        <v>0</v>
      </c>
      <c r="I97" s="0" t="s">
        <v>280</v>
      </c>
      <c r="J97" s="0" t="s">
        <v>266</v>
      </c>
      <c r="K97" s="0" t="s">
        <v>44</v>
      </c>
    </row>
    <row r="98" customFormat="false" ht="15" hidden="false" customHeight="false" outlineLevel="0" collapsed="false">
      <c r="A98" s="0" t="s">
        <v>281</v>
      </c>
      <c r="B98" s="0" t="s">
        <v>282</v>
      </c>
      <c r="C98" s="0" t="n">
        <v>3.91</v>
      </c>
      <c r="D98" s="0" t="n">
        <v>4.292</v>
      </c>
      <c r="E98" s="0" t="n">
        <v>0</v>
      </c>
      <c r="F98" s="0" t="s">
        <v>264</v>
      </c>
      <c r="G98" s="0" t="n">
        <v>16</v>
      </c>
      <c r="H98" s="0" t="n">
        <v>0</v>
      </c>
      <c r="I98" s="0" t="s">
        <v>283</v>
      </c>
      <c r="J98" s="0" t="s">
        <v>266</v>
      </c>
      <c r="K98" s="0" t="s">
        <v>44</v>
      </c>
    </row>
    <row r="99" customFormat="false" ht="15" hidden="false" customHeight="false" outlineLevel="0" collapsed="false">
      <c r="A99" s="0" t="s">
        <v>284</v>
      </c>
      <c r="B99" s="0" t="s">
        <v>285</v>
      </c>
      <c r="C99" s="0" t="n">
        <v>30.37</v>
      </c>
      <c r="D99" s="0" t="n">
        <v>4.292</v>
      </c>
      <c r="E99" s="0" t="n">
        <v>0</v>
      </c>
      <c r="F99" s="0" t="s">
        <v>264</v>
      </c>
      <c r="G99" s="0" t="n">
        <v>16</v>
      </c>
      <c r="H99" s="0" t="n">
        <v>0</v>
      </c>
      <c r="I99" s="0" t="s">
        <v>286</v>
      </c>
      <c r="J99" s="0" t="s">
        <v>266</v>
      </c>
      <c r="K99" s="0" t="s">
        <v>44</v>
      </c>
    </row>
    <row r="100" customFormat="false" ht="15" hidden="false" customHeight="false" outlineLevel="0" collapsed="false">
      <c r="A100" s="0" t="s">
        <v>287</v>
      </c>
      <c r="B100" s="0" t="s">
        <v>288</v>
      </c>
      <c r="C100" s="0" t="n">
        <v>22.98</v>
      </c>
      <c r="D100" s="0" t="n">
        <v>2.042</v>
      </c>
      <c r="E100" s="0" t="n">
        <v>0</v>
      </c>
      <c r="F100" s="0" t="s">
        <v>264</v>
      </c>
      <c r="G100" s="0" t="n">
        <v>16</v>
      </c>
      <c r="H100" s="0" t="n">
        <v>0</v>
      </c>
      <c r="I100" s="0" t="s">
        <v>289</v>
      </c>
      <c r="J100" s="0" t="s">
        <v>266</v>
      </c>
      <c r="K100" s="0" t="s">
        <v>44</v>
      </c>
    </row>
    <row r="101" customFormat="false" ht="15" hidden="false" customHeight="false" outlineLevel="0" collapsed="false">
      <c r="A101" s="0" t="s">
        <v>290</v>
      </c>
      <c r="B101" s="0" t="s">
        <v>291</v>
      </c>
      <c r="C101" s="0" t="n">
        <v>24.95</v>
      </c>
      <c r="D101" s="0" t="n">
        <v>4.625</v>
      </c>
      <c r="E101" s="0" t="n">
        <v>0</v>
      </c>
      <c r="F101" s="0" t="s">
        <v>264</v>
      </c>
      <c r="G101" s="0" t="n">
        <v>16</v>
      </c>
      <c r="H101" s="0" t="n">
        <v>0</v>
      </c>
      <c r="I101" s="0" t="s">
        <v>289</v>
      </c>
      <c r="J101" s="0" t="s">
        <v>266</v>
      </c>
      <c r="K101" s="0" t="s">
        <v>44</v>
      </c>
    </row>
    <row r="102" customFormat="false" ht="15" hidden="false" customHeight="false" outlineLevel="0" collapsed="false">
      <c r="A102" s="5" t="s">
        <v>292</v>
      </c>
    </row>
    <row r="103" customFormat="false" ht="15" hidden="false" customHeight="false" outlineLevel="0" collapsed="false">
      <c r="A103" s="0" t="s">
        <v>293</v>
      </c>
      <c r="B103" s="0" t="s">
        <v>294</v>
      </c>
      <c r="C103" s="0" t="n">
        <v>51.729</v>
      </c>
      <c r="D103" s="0" t="n">
        <v>2.833</v>
      </c>
      <c r="E103" s="0" t="n">
        <v>0</v>
      </c>
      <c r="F103" s="0" t="s">
        <v>113</v>
      </c>
      <c r="G103" s="0" t="n">
        <v>16</v>
      </c>
      <c r="H103" s="0" t="n">
        <v>0</v>
      </c>
      <c r="I103" s="0" t="s">
        <v>295</v>
      </c>
      <c r="J103" s="0" t="s">
        <v>296</v>
      </c>
      <c r="K103" s="0" t="s">
        <v>44</v>
      </c>
    </row>
    <row r="104" customFormat="false" ht="15" hidden="false" customHeight="false" outlineLevel="0" collapsed="false">
      <c r="A104" s="0" t="s">
        <v>297</v>
      </c>
      <c r="B104" s="0" t="s">
        <v>298</v>
      </c>
      <c r="C104" s="0" t="n">
        <v>51.729</v>
      </c>
      <c r="D104" s="0" t="n">
        <v>2.323</v>
      </c>
      <c r="E104" s="0" t="n">
        <v>0</v>
      </c>
      <c r="F104" s="0" t="s">
        <v>113</v>
      </c>
      <c r="G104" s="0" t="n">
        <v>16</v>
      </c>
      <c r="H104" s="0" t="n">
        <v>0</v>
      </c>
      <c r="I104" s="0" t="s">
        <v>295</v>
      </c>
      <c r="J104" s="0" t="s">
        <v>296</v>
      </c>
      <c r="K104" s="0" t="s">
        <v>44</v>
      </c>
    </row>
    <row r="105" customFormat="false" ht="15" hidden="false" customHeight="false" outlineLevel="0" collapsed="false">
      <c r="A105" s="0" t="s">
        <v>299</v>
      </c>
      <c r="B105" s="0" t="s">
        <v>300</v>
      </c>
      <c r="C105" s="0" t="n">
        <v>51.729</v>
      </c>
      <c r="D105" s="0" t="n">
        <v>2.323</v>
      </c>
      <c r="E105" s="0" t="n">
        <v>0</v>
      </c>
      <c r="F105" s="0" t="s">
        <v>113</v>
      </c>
      <c r="G105" s="0" t="n">
        <v>16</v>
      </c>
      <c r="H105" s="0" t="n">
        <v>0</v>
      </c>
      <c r="I105" s="0" t="s">
        <v>295</v>
      </c>
      <c r="J105" s="0" t="s">
        <v>296</v>
      </c>
      <c r="K105" s="0" t="s">
        <v>44</v>
      </c>
    </row>
    <row r="106" customFormat="false" ht="15" hidden="false" customHeight="false" outlineLevel="0" collapsed="false">
      <c r="A106" s="5" t="s">
        <v>301</v>
      </c>
    </row>
    <row r="107" customFormat="false" ht="15" hidden="false" customHeight="false" outlineLevel="0" collapsed="false">
      <c r="A107" s="0" t="s">
        <v>302</v>
      </c>
      <c r="B107" s="0" t="s">
        <v>303</v>
      </c>
      <c r="C107" s="0" t="n">
        <v>5.667</v>
      </c>
      <c r="D107" s="0" t="n">
        <v>10.5</v>
      </c>
      <c r="E107" s="0" t="n">
        <v>0</v>
      </c>
      <c r="F107" s="0" t="s">
        <v>113</v>
      </c>
      <c r="G107" s="0" t="n">
        <v>16</v>
      </c>
      <c r="H107" s="0" t="n">
        <v>0</v>
      </c>
      <c r="I107" s="0" t="s">
        <v>304</v>
      </c>
      <c r="J107" s="0" t="s">
        <v>305</v>
      </c>
      <c r="K107" s="0" t="s">
        <v>44</v>
      </c>
    </row>
    <row r="108" customFormat="false" ht="15" hidden="false" customHeight="false" outlineLevel="0" collapsed="false">
      <c r="A108" s="0" t="s">
        <v>306</v>
      </c>
      <c r="B108" s="0" t="s">
        <v>307</v>
      </c>
      <c r="C108" s="0" t="n">
        <v>5.667</v>
      </c>
      <c r="D108" s="0" t="n">
        <v>10.5</v>
      </c>
      <c r="E108" s="0" t="n">
        <v>0</v>
      </c>
      <c r="F108" s="0" t="s">
        <v>113</v>
      </c>
      <c r="G108" s="0" t="n">
        <v>16</v>
      </c>
      <c r="H108" s="0" t="n">
        <v>0</v>
      </c>
      <c r="I108" s="0" t="s">
        <v>304</v>
      </c>
      <c r="J108" s="0" t="s">
        <v>305</v>
      </c>
      <c r="K108" s="0" t="s">
        <v>44</v>
      </c>
    </row>
    <row r="109" customFormat="false" ht="15" hidden="false" customHeight="false" outlineLevel="0" collapsed="false">
      <c r="A109" s="0" t="s">
        <v>308</v>
      </c>
      <c r="B109" s="0" t="s">
        <v>309</v>
      </c>
      <c r="C109" s="0" t="n">
        <v>5.667</v>
      </c>
      <c r="D109" s="0" t="n">
        <v>10.5</v>
      </c>
      <c r="E109" s="0" t="n">
        <v>0</v>
      </c>
      <c r="F109" s="0" t="s">
        <v>113</v>
      </c>
      <c r="G109" s="0" t="n">
        <v>16</v>
      </c>
      <c r="H109" s="0" t="n">
        <v>0</v>
      </c>
      <c r="I109" s="0" t="s">
        <v>304</v>
      </c>
      <c r="J109" s="0" t="s">
        <v>305</v>
      </c>
      <c r="K109" s="0" t="s">
        <v>44</v>
      </c>
    </row>
    <row r="110" customFormat="false" ht="15" hidden="false" customHeight="false" outlineLevel="0" collapsed="false">
      <c r="A110" s="0" t="s">
        <v>310</v>
      </c>
      <c r="B110" s="0" t="s">
        <v>311</v>
      </c>
      <c r="C110" s="0" t="n">
        <v>5.667</v>
      </c>
      <c r="D110" s="0" t="n">
        <v>10.5</v>
      </c>
      <c r="E110" s="0" t="n">
        <v>0</v>
      </c>
      <c r="F110" s="0" t="s">
        <v>113</v>
      </c>
      <c r="G110" s="0" t="n">
        <v>16</v>
      </c>
      <c r="H110" s="0" t="n">
        <v>0</v>
      </c>
      <c r="I110" s="0" t="s">
        <v>304</v>
      </c>
      <c r="J110" s="0" t="s">
        <v>305</v>
      </c>
      <c r="K110" s="0" t="s">
        <v>44</v>
      </c>
    </row>
    <row r="111" customFormat="false" ht="15" hidden="false" customHeight="false" outlineLevel="0" collapsed="false">
      <c r="A111" s="5" t="s">
        <v>312</v>
      </c>
    </row>
    <row r="112" customFormat="false" ht="15" hidden="false" customHeight="false" outlineLevel="0" collapsed="false">
      <c r="A112" s="0" t="s">
        <v>313</v>
      </c>
      <c r="B112" s="0" t="s">
        <v>314</v>
      </c>
      <c r="C112" s="0" t="n">
        <v>77.03</v>
      </c>
      <c r="D112" s="0" t="n">
        <v>4.375</v>
      </c>
      <c r="E112" s="0" t="n">
        <v>1</v>
      </c>
      <c r="F112" s="0" t="s">
        <v>113</v>
      </c>
      <c r="G112" s="0" t="n">
        <v>16</v>
      </c>
      <c r="H112" s="0" t="n">
        <v>77.03</v>
      </c>
      <c r="I112" s="0" t="s">
        <v>315</v>
      </c>
      <c r="J112" s="0" t="s">
        <v>316</v>
      </c>
      <c r="K112" s="0" t="s">
        <v>44</v>
      </c>
    </row>
    <row r="113" customFormat="false" ht="15" hidden="false" customHeight="false" outlineLevel="0" collapsed="false">
      <c r="A113" s="5" t="s">
        <v>317</v>
      </c>
    </row>
    <row r="114" customFormat="false" ht="15" hidden="false" customHeight="false" outlineLevel="0" collapsed="false">
      <c r="A114" s="0" t="s">
        <v>318</v>
      </c>
      <c r="B114" s="0" t="s">
        <v>319</v>
      </c>
      <c r="C114" s="0" t="n">
        <v>12.02</v>
      </c>
      <c r="D114" s="0" t="n">
        <v>6.298</v>
      </c>
      <c r="E114" s="0" t="n">
        <v>1</v>
      </c>
      <c r="F114" s="0" t="s">
        <v>113</v>
      </c>
      <c r="G114" s="0" t="n">
        <v>16</v>
      </c>
      <c r="H114" s="0" t="n">
        <v>18.03</v>
      </c>
      <c r="I114" s="0" t="s">
        <v>320</v>
      </c>
      <c r="J114" s="0" t="s">
        <v>321</v>
      </c>
      <c r="K114" s="0" t="s">
        <v>44</v>
      </c>
    </row>
    <row r="115" customFormat="false" ht="15" hidden="false" customHeight="false" outlineLevel="0" collapsed="false">
      <c r="A115" s="0" t="s">
        <v>322</v>
      </c>
      <c r="B115" s="0" t="s">
        <v>323</v>
      </c>
      <c r="C115" s="0" t="n">
        <v>12.02</v>
      </c>
      <c r="D115" s="0" t="n">
        <v>6.298</v>
      </c>
      <c r="E115" s="0" t="n">
        <v>1</v>
      </c>
      <c r="F115" s="0" t="s">
        <v>113</v>
      </c>
      <c r="G115" s="0" t="n">
        <v>16</v>
      </c>
      <c r="H115" s="0" t="n">
        <v>18.03</v>
      </c>
      <c r="I115" s="0" t="s">
        <v>126</v>
      </c>
      <c r="J115" s="0" t="s">
        <v>321</v>
      </c>
      <c r="K115" s="0" t="s">
        <v>44</v>
      </c>
    </row>
    <row r="116" customFormat="false" ht="15" hidden="false" customHeight="false" outlineLevel="0" collapsed="false">
      <c r="A116" s="5" t="s">
        <v>324</v>
      </c>
    </row>
    <row r="117" customFormat="false" ht="15" hidden="false" customHeight="false" outlineLevel="0" collapsed="false">
      <c r="A117" s="0" t="s">
        <v>325</v>
      </c>
      <c r="B117" s="0" t="s">
        <v>326</v>
      </c>
      <c r="C117" s="0" t="n">
        <v>5.09</v>
      </c>
      <c r="D117" s="0" t="n">
        <v>6.375</v>
      </c>
      <c r="E117" s="0" t="n">
        <v>1</v>
      </c>
      <c r="F117" s="0" t="s">
        <v>113</v>
      </c>
      <c r="G117" s="0" t="n">
        <v>16</v>
      </c>
      <c r="H117" s="0" t="n">
        <v>17.81</v>
      </c>
      <c r="I117" s="0" t="s">
        <v>327</v>
      </c>
      <c r="J117" s="0" t="s">
        <v>316</v>
      </c>
      <c r="K117" s="0" t="s">
        <v>44</v>
      </c>
    </row>
    <row r="118" customFormat="false" ht="15" hidden="false" customHeight="false" outlineLevel="0" collapsed="false">
      <c r="A118" s="0" t="s">
        <v>328</v>
      </c>
      <c r="B118" s="0" t="s">
        <v>329</v>
      </c>
      <c r="C118" s="0" t="n">
        <v>5</v>
      </c>
      <c r="D118" s="0" t="n">
        <v>6.875</v>
      </c>
      <c r="E118" s="0" t="n">
        <v>1</v>
      </c>
      <c r="F118" s="0" t="s">
        <v>113</v>
      </c>
      <c r="G118" s="0" t="n">
        <v>16</v>
      </c>
      <c r="H118" s="0" t="n">
        <v>20</v>
      </c>
      <c r="I118" s="0" t="s">
        <v>327</v>
      </c>
      <c r="J118" s="0" t="s">
        <v>316</v>
      </c>
      <c r="K118" s="0" t="s">
        <v>44</v>
      </c>
    </row>
    <row r="119" customFormat="false" ht="15" hidden="false" customHeight="false" outlineLevel="0" collapsed="false">
      <c r="A119" s="5" t="s">
        <v>330</v>
      </c>
    </row>
    <row r="120" customFormat="false" ht="15" hidden="false" customHeight="false" outlineLevel="0" collapsed="false">
      <c r="A120" s="0" t="s">
        <v>331</v>
      </c>
      <c r="B120" s="0" t="s">
        <v>332</v>
      </c>
      <c r="C120" s="0" t="n">
        <v>17.458</v>
      </c>
      <c r="D120" s="0" t="n">
        <v>15.375</v>
      </c>
      <c r="E120" s="0" t="n">
        <v>1</v>
      </c>
      <c r="F120" s="0" t="s">
        <v>113</v>
      </c>
      <c r="G120" s="0" t="n">
        <v>16</v>
      </c>
      <c r="H120" s="0" t="n">
        <v>328.34</v>
      </c>
      <c r="I120" s="0" t="s">
        <v>333</v>
      </c>
      <c r="J120" s="0" t="s">
        <v>334</v>
      </c>
      <c r="K120" s="0" t="s">
        <v>44</v>
      </c>
    </row>
    <row r="121" customFormat="false" ht="15" hidden="false" customHeight="false" outlineLevel="0" collapsed="false">
      <c r="A121" s="5" t="s">
        <v>335</v>
      </c>
    </row>
    <row r="122" customFormat="false" ht="15" hidden="false" customHeight="false" outlineLevel="0" collapsed="false">
      <c r="A122" s="0" t="s">
        <v>336</v>
      </c>
      <c r="B122" s="0" t="s">
        <v>337</v>
      </c>
      <c r="C122" s="0" t="n">
        <v>15.647</v>
      </c>
      <c r="D122" s="0" t="n">
        <v>5.375</v>
      </c>
      <c r="E122" s="0" t="n">
        <v>1</v>
      </c>
      <c r="F122" s="0" t="s">
        <v>113</v>
      </c>
      <c r="G122" s="0" t="n">
        <v>16</v>
      </c>
      <c r="H122" s="0" t="n">
        <v>15.64</v>
      </c>
      <c r="I122" s="0" t="s">
        <v>338</v>
      </c>
      <c r="J122" s="0" t="s">
        <v>339</v>
      </c>
      <c r="K122" s="0" t="s">
        <v>44</v>
      </c>
    </row>
    <row r="123" customFormat="false" ht="15" hidden="false" customHeight="false" outlineLevel="0" collapsed="false">
      <c r="A123" s="0" t="s">
        <v>340</v>
      </c>
      <c r="B123" s="0" t="s">
        <v>341</v>
      </c>
      <c r="C123" s="0" t="n">
        <v>6.413</v>
      </c>
      <c r="D123" s="0" t="n">
        <v>5.375</v>
      </c>
      <c r="E123" s="0" t="n">
        <v>1</v>
      </c>
      <c r="F123" s="0" t="s">
        <v>113</v>
      </c>
      <c r="G123" s="0" t="n">
        <v>16</v>
      </c>
      <c r="H123" s="0" t="n">
        <v>6.42</v>
      </c>
      <c r="I123" s="0" t="s">
        <v>338</v>
      </c>
      <c r="J123" s="0" t="s">
        <v>339</v>
      </c>
      <c r="K123" s="0" t="s">
        <v>44</v>
      </c>
    </row>
    <row r="124" customFormat="false" ht="15" hidden="false" customHeight="false" outlineLevel="0" collapsed="false">
      <c r="A124" s="5" t="s">
        <v>342</v>
      </c>
    </row>
    <row r="125" customFormat="false" ht="15" hidden="false" customHeight="false" outlineLevel="0" collapsed="false">
      <c r="A125" s="0" t="s">
        <v>343</v>
      </c>
      <c r="B125" s="0" t="s">
        <v>344</v>
      </c>
      <c r="C125" s="0" t="n">
        <v>13.333</v>
      </c>
      <c r="D125" s="0" t="n">
        <v>1</v>
      </c>
      <c r="E125" s="0" t="n">
        <v>1</v>
      </c>
      <c r="F125" s="0" t="s">
        <v>345</v>
      </c>
      <c r="G125" s="0" t="n">
        <v>16</v>
      </c>
      <c r="H125" s="0" t="n">
        <v>26.66</v>
      </c>
      <c r="I125" s="0" t="s">
        <v>346</v>
      </c>
      <c r="J125" s="0" t="s">
        <v>347</v>
      </c>
      <c r="K125" s="0" t="s">
        <v>44</v>
      </c>
    </row>
    <row r="126" customFormat="false" ht="15" hidden="false" customHeight="false" outlineLevel="0" collapsed="false">
      <c r="A126" s="6" t="s">
        <v>348</v>
      </c>
      <c r="C126" s="3" t="n">
        <f aca="false">SUM(C5:C125)</f>
        <v>1563.119</v>
      </c>
      <c r="H126" s="3" t="n">
        <f aca="false">SUM(H5:H125)</f>
        <v>16709.6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56"/>
    <col collapsed="false" customWidth="true" hidden="false" outlineLevel="0" max="9" min="9" style="0" width="60"/>
  </cols>
  <sheetData>
    <row r="1" customFormat="false" ht="16.15" hidden="false" customHeight="false" outlineLevel="0" collapsed="false">
      <c r="A1" s="1" t="s">
        <v>349</v>
      </c>
    </row>
    <row r="2" customFormat="false" ht="15" hidden="false" customHeight="false" outlineLevel="0" collapsed="false">
      <c r="A2" s="0" t="s">
        <v>350</v>
      </c>
    </row>
    <row r="3" customFormat="false" ht="15" hidden="false" customHeight="false" outlineLevel="0" collapsed="false">
      <c r="A3" s="4" t="s">
        <v>351</v>
      </c>
      <c r="B3" s="4" t="s">
        <v>352</v>
      </c>
      <c r="C3" s="4" t="s">
        <v>353</v>
      </c>
      <c r="D3" s="4" t="s">
        <v>354</v>
      </c>
      <c r="E3" s="4" t="s">
        <v>355</v>
      </c>
      <c r="F3" s="4" t="s">
        <v>356</v>
      </c>
      <c r="G3" s="4" t="s">
        <v>357</v>
      </c>
      <c r="H3" s="4" t="s">
        <v>358</v>
      </c>
      <c r="I3" s="4" t="s">
        <v>359</v>
      </c>
    </row>
    <row r="4" customFormat="false" ht="15" hidden="false" customHeight="false" outlineLevel="0" collapsed="false">
      <c r="A4" s="0" t="s">
        <v>360</v>
      </c>
      <c r="B4" s="0" t="s">
        <v>361</v>
      </c>
      <c r="C4" s="0" t="n">
        <v>4313.32</v>
      </c>
      <c r="D4" s="0" t="n">
        <f aca="false">Inputs!$B$4</f>
        <v>0.15</v>
      </c>
      <c r="E4" s="0" t="n">
        <f aca="false">C4*D4</f>
        <v>646.998</v>
      </c>
      <c r="F4" s="0" t="n">
        <f aca="false">C4+E4</f>
        <v>4960.318</v>
      </c>
      <c r="G4" s="0" t="s">
        <v>362</v>
      </c>
      <c r="H4" s="0" t="n">
        <f aca="false">ROUNDUP(ROUNDUP(F4/14.4,0)/MAX(1,INT(20/14.4)),0)</f>
        <v>345</v>
      </c>
      <c r="I4" s="0" t="s">
        <v>363</v>
      </c>
    </row>
    <row r="5" customFormat="false" ht="15" hidden="false" customHeight="false" outlineLevel="0" collapsed="false">
      <c r="A5" s="0" t="s">
        <v>364</v>
      </c>
      <c r="B5" s="0" t="s">
        <v>361</v>
      </c>
      <c r="C5" s="0" t="n">
        <v>6782.06</v>
      </c>
      <c r="D5" s="0" t="n">
        <f aca="false">Inputs!$B$4</f>
        <v>0.15</v>
      </c>
      <c r="E5" s="0" t="n">
        <f aca="false">C5*D5</f>
        <v>1017.309</v>
      </c>
      <c r="F5" s="0" t="n">
        <f aca="false">C5+E5</f>
        <v>7799.369</v>
      </c>
      <c r="G5" s="0" t="s">
        <v>362</v>
      </c>
      <c r="H5" s="0" t="n">
        <f aca="false">ROUNDUP(ROUNDUP(F5/13,0)/MAX(1,INT(20/13)),0)</f>
        <v>600</v>
      </c>
      <c r="I5" s="0" t="s">
        <v>365</v>
      </c>
    </row>
    <row r="6" customFormat="false" ht="15" hidden="false" customHeight="false" outlineLevel="0" collapsed="false">
      <c r="A6" s="0" t="s">
        <v>366</v>
      </c>
      <c r="B6" s="0" t="s">
        <v>361</v>
      </c>
      <c r="C6" s="0" t="n">
        <v>3890.84</v>
      </c>
      <c r="D6" s="0" t="n">
        <f aca="false">Inputs!$B$4</f>
        <v>0.15</v>
      </c>
      <c r="E6" s="0" t="n">
        <f aca="false">C6*D6</f>
        <v>583.626</v>
      </c>
      <c r="F6" s="0" t="n">
        <f aca="false">C6+E6</f>
        <v>4474.466</v>
      </c>
      <c r="G6" s="0" t="s">
        <v>362</v>
      </c>
      <c r="H6" s="0" t="n">
        <f aca="false">ROUNDUP(ROUNDUP(F6/15.375,0)/MAX(1,INT(20/15.375)),0)</f>
        <v>292</v>
      </c>
      <c r="I6" s="0" t="s">
        <v>367</v>
      </c>
    </row>
    <row r="7" customFormat="false" ht="15" hidden="false" customHeight="false" outlineLevel="0" collapsed="false">
      <c r="A7" s="0" t="s">
        <v>368</v>
      </c>
      <c r="B7" s="0" t="s">
        <v>361</v>
      </c>
      <c r="C7" s="0" t="n">
        <v>979.89</v>
      </c>
      <c r="D7" s="0" t="n">
        <f aca="false">Inputs!$B$4</f>
        <v>0.15</v>
      </c>
      <c r="E7" s="0" t="n">
        <f aca="false">C7*D7</f>
        <v>146.9835</v>
      </c>
      <c r="F7" s="0" t="n">
        <f aca="false">C7+E7</f>
        <v>1126.8735</v>
      </c>
      <c r="G7" s="0" t="s">
        <v>362</v>
      </c>
      <c r="H7" s="0" t="n">
        <f aca="false">ROUNDUP(ROUNDUP(F7/4.6,0)/MAX(1,INT(20/4.6)),0)</f>
        <v>62</v>
      </c>
      <c r="I7" s="0" t="s">
        <v>369</v>
      </c>
    </row>
    <row r="8" customFormat="false" ht="15" hidden="false" customHeight="false" outlineLevel="0" collapsed="false">
      <c r="A8" s="0" t="s">
        <v>370</v>
      </c>
      <c r="B8" s="0" t="s">
        <v>361</v>
      </c>
      <c r="C8" s="0" t="n">
        <v>11</v>
      </c>
      <c r="D8" s="0" t="n">
        <f aca="false">Inputs!$B$4</f>
        <v>0.15</v>
      </c>
      <c r="E8" s="0" t="n">
        <f aca="false">C8*D8</f>
        <v>1.65</v>
      </c>
      <c r="F8" s="0" t="n">
        <f aca="false">C8+E8</f>
        <v>12.65</v>
      </c>
      <c r="G8" s="0" t="s">
        <v>362</v>
      </c>
      <c r="H8" s="0" t="n">
        <f aca="false">ROUNDUP(ROUNDUP(F8/1,0)/MAX(1,INT(20/1)),0)</f>
        <v>1</v>
      </c>
      <c r="I8" s="0" t="s">
        <v>371</v>
      </c>
    </row>
    <row r="9" customFormat="false" ht="15" hidden="false" customHeight="false" outlineLevel="0" collapsed="false">
      <c r="A9" s="0" t="s">
        <v>372</v>
      </c>
      <c r="B9" s="0" t="s">
        <v>361</v>
      </c>
      <c r="C9" s="0" t="n">
        <v>1357.15</v>
      </c>
      <c r="D9" s="0" t="n">
        <f aca="false">Inputs!$B$4</f>
        <v>0.15</v>
      </c>
      <c r="E9" s="0" t="n">
        <f aca="false">C9*D9</f>
        <v>203.5725</v>
      </c>
      <c r="F9" s="0" t="n">
        <f aca="false">C9+E9</f>
        <v>1560.7225</v>
      </c>
      <c r="G9" s="0" t="s">
        <v>373</v>
      </c>
      <c r="H9" s="0" t="n">
        <f aca="false">ROUNDUP(F9/10,0)</f>
        <v>157</v>
      </c>
      <c r="I9" s="0" t="s">
        <v>374</v>
      </c>
    </row>
    <row r="10" customFormat="false" ht="15" hidden="false" customHeight="false" outlineLevel="0" collapsed="false">
      <c r="A10" s="0" t="s">
        <v>375</v>
      </c>
      <c r="B10" s="0" t="s">
        <v>361</v>
      </c>
      <c r="C10" s="0" t="n">
        <v>1357.15</v>
      </c>
      <c r="D10" s="0" t="n">
        <f aca="false">Inputs!$B$4</f>
        <v>0.15</v>
      </c>
      <c r="E10" s="0" t="n">
        <f aca="false">C10*D10</f>
        <v>203.5725</v>
      </c>
      <c r="F10" s="0" t="n">
        <f aca="false">C10+E10</f>
        <v>1560.7225</v>
      </c>
      <c r="G10" s="0" t="s">
        <v>373</v>
      </c>
      <c r="H10" s="0" t="n">
        <f aca="false">ROUNDUP(F10/10,0)</f>
        <v>157</v>
      </c>
      <c r="I10" s="0" t="s">
        <v>376</v>
      </c>
    </row>
    <row r="11" customFormat="false" ht="15" hidden="false" customHeight="false" outlineLevel="0" collapsed="false">
      <c r="A11" s="0" t="s">
        <v>377</v>
      </c>
      <c r="B11" s="0" t="s">
        <v>361</v>
      </c>
      <c r="C11" s="0" t="n">
        <v>1453.7</v>
      </c>
      <c r="D11" s="0" t="n">
        <f aca="false">Inputs!$B$4</f>
        <v>0.15</v>
      </c>
      <c r="E11" s="0" t="n">
        <f aca="false">C11*D11</f>
        <v>218.055</v>
      </c>
      <c r="F11" s="0" t="n">
        <f aca="false">C11+E11</f>
        <v>1671.755</v>
      </c>
      <c r="G11" s="0" t="s">
        <v>373</v>
      </c>
      <c r="H11" s="0" t="n">
        <f aca="false">ROUNDUP(F11/10,0)</f>
        <v>168</v>
      </c>
      <c r="I11" s="0" t="s">
        <v>378</v>
      </c>
    </row>
    <row r="12" customFormat="false" ht="15" hidden="false" customHeight="false" outlineLevel="0" collapsed="false">
      <c r="A12" s="0" t="s">
        <v>379</v>
      </c>
      <c r="B12" s="0" t="s">
        <v>361</v>
      </c>
      <c r="C12" s="0" t="n">
        <v>2529.73</v>
      </c>
      <c r="D12" s="0" t="n">
        <f aca="false">Inputs!$B$4</f>
        <v>0.15</v>
      </c>
      <c r="E12" s="0" t="n">
        <f aca="false">C12*D12</f>
        <v>379.4595</v>
      </c>
      <c r="F12" s="0" t="n">
        <f aca="false">C12+E12</f>
        <v>2909.1895</v>
      </c>
      <c r="G12" s="0" t="s">
        <v>380</v>
      </c>
      <c r="H12" s="0" t="n">
        <f aca="false">ROUNDUP(F12/16,0)</f>
        <v>182</v>
      </c>
      <c r="I12" s="0" t="s">
        <v>381</v>
      </c>
    </row>
    <row r="13" customFormat="false" ht="15" hidden="false" customHeight="false" outlineLevel="0" collapsed="false">
      <c r="A13" s="0" t="s">
        <v>382</v>
      </c>
      <c r="B13" s="0" t="s">
        <v>361</v>
      </c>
      <c r="C13" s="0" t="n">
        <v>221.13</v>
      </c>
      <c r="D13" s="0" t="n">
        <f aca="false">Inputs!$B$4</f>
        <v>0.15</v>
      </c>
      <c r="E13" s="0" t="n">
        <f aca="false">C13*D13</f>
        <v>33.1695</v>
      </c>
      <c r="F13" s="0" t="n">
        <f aca="false">C13+E13</f>
        <v>254.2995</v>
      </c>
      <c r="G13" s="0" t="s">
        <v>373</v>
      </c>
      <c r="H13" s="0" t="n">
        <f aca="false">ROUNDUP(F13/10,0)</f>
        <v>26</v>
      </c>
      <c r="I13" s="0" t="s">
        <v>383</v>
      </c>
    </row>
    <row r="14" customFormat="false" ht="15" hidden="false" customHeight="false" outlineLevel="0" collapsed="false">
      <c r="A14" s="0" t="s">
        <v>384</v>
      </c>
      <c r="B14" s="0" t="s">
        <v>361</v>
      </c>
      <c r="C14" s="0" t="n">
        <v>791.08</v>
      </c>
      <c r="D14" s="0" t="n">
        <f aca="false">Inputs!$B$4</f>
        <v>0.15</v>
      </c>
      <c r="E14" s="0" t="n">
        <f aca="false">C14*D14</f>
        <v>118.662</v>
      </c>
      <c r="F14" s="0" t="n">
        <f aca="false">C14+E14</f>
        <v>909.742</v>
      </c>
      <c r="G14" s="0" t="s">
        <v>373</v>
      </c>
      <c r="H14" s="0" t="n">
        <f aca="false">ROUNDUP(F14/10,0)</f>
        <v>91</v>
      </c>
      <c r="I14" s="0" t="s">
        <v>385</v>
      </c>
    </row>
    <row r="15" customFormat="false" ht="15" hidden="false" customHeight="false" outlineLevel="0" collapsed="false">
      <c r="A15" s="0" t="s">
        <v>386</v>
      </c>
      <c r="B15" s="0" t="s">
        <v>361</v>
      </c>
      <c r="C15" s="0" t="n">
        <v>119.17</v>
      </c>
      <c r="D15" s="0" t="n">
        <f aca="false">Inputs!$B$4</f>
        <v>0.15</v>
      </c>
      <c r="E15" s="0" t="n">
        <f aca="false">C15*D15</f>
        <v>17.8755</v>
      </c>
      <c r="F15" s="0" t="n">
        <f aca="false">C15+E15</f>
        <v>137.0455</v>
      </c>
      <c r="G15" s="0" t="s">
        <v>373</v>
      </c>
      <c r="H15" s="0" t="n">
        <f aca="false">ROUNDUP(F15/10,0)</f>
        <v>14</v>
      </c>
      <c r="I15" s="0" t="s">
        <v>387</v>
      </c>
    </row>
    <row r="16" customFormat="false" ht="15" hidden="false" customHeight="false" outlineLevel="0" collapsed="false">
      <c r="A16" s="0" t="s">
        <v>388</v>
      </c>
      <c r="B16" s="0" t="s">
        <v>361</v>
      </c>
      <c r="C16" s="0" t="n">
        <v>959.78</v>
      </c>
      <c r="D16" s="0" t="n">
        <f aca="false">Inputs!$B$4</f>
        <v>0.15</v>
      </c>
      <c r="E16" s="0" t="n">
        <f aca="false">C16*D16</f>
        <v>143.967</v>
      </c>
      <c r="F16" s="0" t="n">
        <f aca="false">C16+E16</f>
        <v>1103.747</v>
      </c>
      <c r="G16" s="0" t="s">
        <v>373</v>
      </c>
      <c r="H16" s="0" t="n">
        <f aca="false">ROUNDUP(F16/10,0)</f>
        <v>111</v>
      </c>
      <c r="I16" s="0" t="s">
        <v>389</v>
      </c>
    </row>
    <row r="17" customFormat="false" ht="15" hidden="false" customHeight="false" outlineLevel="0" collapsed="false">
      <c r="A17" s="0" t="s">
        <v>390</v>
      </c>
      <c r="B17" s="0" t="s">
        <v>361</v>
      </c>
      <c r="C17" s="0" t="n">
        <v>805.47</v>
      </c>
      <c r="D17" s="0" t="n">
        <f aca="false">Inputs!$B$4</f>
        <v>0.15</v>
      </c>
      <c r="E17" s="0" t="n">
        <f aca="false">C17*D17</f>
        <v>120.8205</v>
      </c>
      <c r="F17" s="0" t="n">
        <f aca="false">C17+E17</f>
        <v>926.2905</v>
      </c>
      <c r="G17" s="0" t="s">
        <v>391</v>
      </c>
      <c r="H17" s="0" t="n">
        <f aca="false">ROUNDUP(F17/12,0)</f>
        <v>78</v>
      </c>
      <c r="I17" s="0" t="s">
        <v>392</v>
      </c>
    </row>
    <row r="18" customFormat="false" ht="15" hidden="false" customHeight="false" outlineLevel="0" collapsed="false">
      <c r="A18" s="0" t="s">
        <v>393</v>
      </c>
      <c r="B18" s="0" t="s">
        <v>361</v>
      </c>
      <c r="C18" s="0" t="n">
        <v>316.1</v>
      </c>
      <c r="D18" s="0" t="n">
        <f aca="false">Inputs!$B$4</f>
        <v>0.15</v>
      </c>
      <c r="E18" s="0" t="n">
        <f aca="false">C18*D18</f>
        <v>47.415</v>
      </c>
      <c r="F18" s="0" t="n">
        <f aca="false">C18+E18</f>
        <v>363.515</v>
      </c>
      <c r="G18" s="0" t="s">
        <v>380</v>
      </c>
      <c r="H18" s="0" t="n">
        <f aca="false">ROUNDUP(F18/16,0)</f>
        <v>23</v>
      </c>
      <c r="I18" s="0" t="s">
        <v>394</v>
      </c>
    </row>
    <row r="19" customFormat="false" ht="15" hidden="false" customHeight="false" outlineLevel="0" collapsed="false">
      <c r="A19" s="0" t="s">
        <v>395</v>
      </c>
      <c r="B19" s="0" t="s">
        <v>361</v>
      </c>
      <c r="C19" s="0" t="n">
        <v>531.75</v>
      </c>
      <c r="D19" s="0" t="n">
        <f aca="false">Inputs!$B$4</f>
        <v>0.15</v>
      </c>
      <c r="E19" s="0" t="n">
        <f aca="false">C19*D19</f>
        <v>79.7625</v>
      </c>
      <c r="F19" s="0" t="n">
        <f aca="false">C19+E19</f>
        <v>611.5125</v>
      </c>
      <c r="G19" s="0" t="s">
        <v>396</v>
      </c>
      <c r="H19" s="0" t="n">
        <f aca="false">ROUNDUP(F19,0)</f>
        <v>612</v>
      </c>
      <c r="I19" s="0" t="s">
        <v>397</v>
      </c>
    </row>
    <row r="20" customFormat="false" ht="15" hidden="false" customHeight="false" outlineLevel="0" collapsed="false">
      <c r="A20" s="0" t="s">
        <v>398</v>
      </c>
      <c r="B20" s="0" t="s">
        <v>399</v>
      </c>
      <c r="C20" s="0" t="n">
        <v>17417.53</v>
      </c>
      <c r="D20" s="0" t="n">
        <f aca="false">Inputs!$B$5</f>
        <v>0.06</v>
      </c>
      <c r="E20" s="0" t="n">
        <f aca="false">C20*D20</f>
        <v>1045.0518</v>
      </c>
      <c r="F20" s="0" t="n">
        <f aca="false">C20+E20</f>
        <v>18462.5818</v>
      </c>
      <c r="G20" s="0" t="s">
        <v>400</v>
      </c>
      <c r="H20" s="0" t="n">
        <f aca="false">ROUNDUP(F20/48,0)</f>
        <v>385</v>
      </c>
      <c r="I20" s="0" t="s">
        <v>401</v>
      </c>
    </row>
    <row r="21" customFormat="false" ht="15" hidden="false" customHeight="false" outlineLevel="0" collapsed="false">
      <c r="A21" s="0" t="s">
        <v>402</v>
      </c>
      <c r="B21" s="0" t="s">
        <v>399</v>
      </c>
      <c r="C21" s="0" t="n">
        <v>258.91</v>
      </c>
      <c r="D21" s="0" t="n">
        <f aca="false">Inputs!$B$5</f>
        <v>0.06</v>
      </c>
      <c r="E21" s="0" t="n">
        <f aca="false">C21*D21</f>
        <v>15.5346</v>
      </c>
      <c r="F21" s="0" t="n">
        <f aca="false">C21+E21</f>
        <v>274.4446</v>
      </c>
      <c r="G21" s="0" t="s">
        <v>400</v>
      </c>
      <c r="H21" s="0" t="n">
        <f aca="false">ROUNDUP(F21/48,0)</f>
        <v>6</v>
      </c>
      <c r="I21" s="0" t="s">
        <v>403</v>
      </c>
    </row>
    <row r="22" customFormat="false" ht="15" hidden="false" customHeight="false" outlineLevel="0" collapsed="false">
      <c r="A22" s="0" t="s">
        <v>404</v>
      </c>
      <c r="B22" s="0" t="s">
        <v>399</v>
      </c>
      <c r="C22" s="0" t="n">
        <v>83.55</v>
      </c>
      <c r="D22" s="0" t="n">
        <f aca="false">Inputs!$B$5</f>
        <v>0.06</v>
      </c>
      <c r="E22" s="0" t="n">
        <f aca="false">C22*D22</f>
        <v>5.013</v>
      </c>
      <c r="F22" s="0" t="n">
        <f aca="false">C22+E22</f>
        <v>88.563</v>
      </c>
      <c r="G22" s="0" t="s">
        <v>405</v>
      </c>
      <c r="H22" s="0" t="n">
        <f aca="false">ROUNDUP(F22/32,0)</f>
        <v>3</v>
      </c>
      <c r="I22" s="0" t="s">
        <v>406</v>
      </c>
    </row>
    <row r="23" customFormat="false" ht="15" hidden="false" customHeight="false" outlineLevel="0" collapsed="false">
      <c r="A23" s="0" t="s">
        <v>407</v>
      </c>
      <c r="B23" s="0" t="s">
        <v>399</v>
      </c>
      <c r="C23" s="0" t="n">
        <v>62.95</v>
      </c>
      <c r="D23" s="0" t="n">
        <f aca="false">Inputs!$B$5</f>
        <v>0.06</v>
      </c>
      <c r="E23" s="0" t="n">
        <f aca="false">C23*D23</f>
        <v>3.777</v>
      </c>
      <c r="F23" s="0" t="n">
        <f aca="false">C23+E23</f>
        <v>66.727</v>
      </c>
      <c r="G23" s="0" t="s">
        <v>405</v>
      </c>
      <c r="H23" s="0" t="n">
        <f aca="false">ROUNDUP(F23/32,0)</f>
        <v>3</v>
      </c>
      <c r="I23" s="0" t="s">
        <v>408</v>
      </c>
    </row>
    <row r="24" customFormat="false" ht="15" hidden="false" customHeight="false" outlineLevel="0" collapsed="false">
      <c r="A24" s="0" t="s">
        <v>409</v>
      </c>
      <c r="B24" s="0" t="s">
        <v>399</v>
      </c>
      <c r="C24" s="0" t="n">
        <v>467.65</v>
      </c>
      <c r="D24" s="0" t="n">
        <f aca="false">Inputs!$B$5</f>
        <v>0.06</v>
      </c>
      <c r="E24" s="0" t="n">
        <f aca="false">C24*D24</f>
        <v>28.059</v>
      </c>
      <c r="F24" s="0" t="n">
        <f aca="false">C24+E24</f>
        <v>495.709</v>
      </c>
      <c r="G24" s="0" t="s">
        <v>405</v>
      </c>
      <c r="H24" s="0" t="n">
        <f aca="false">ROUNDUP(F24/32,0)</f>
        <v>16</v>
      </c>
      <c r="I24" s="0" t="s">
        <v>410</v>
      </c>
    </row>
    <row r="25" customFormat="false" ht="15" hidden="false" customHeight="false" outlineLevel="0" collapsed="false">
      <c r="A25" s="0" t="s">
        <v>411</v>
      </c>
      <c r="B25" s="0" t="s">
        <v>399</v>
      </c>
      <c r="C25" s="0" t="n">
        <v>959.82</v>
      </c>
      <c r="D25" s="0" t="n">
        <f aca="false">Inputs!$B$5</f>
        <v>0.06</v>
      </c>
      <c r="E25" s="0" t="n">
        <f aca="false">C25*D25</f>
        <v>57.5892</v>
      </c>
      <c r="F25" s="0" t="n">
        <f aca="false">C25+E25</f>
        <v>1017.4092</v>
      </c>
      <c r="G25" s="0" t="s">
        <v>405</v>
      </c>
      <c r="H25" s="0" t="n">
        <f aca="false">ROUNDUP(F25/32,0)</f>
        <v>32</v>
      </c>
      <c r="I25" s="0" t="s">
        <v>412</v>
      </c>
    </row>
    <row r="26" customFormat="false" ht="15" hidden="false" customHeight="false" outlineLevel="0" collapsed="false">
      <c r="A26" s="0" t="s">
        <v>413</v>
      </c>
      <c r="B26" s="0" t="s">
        <v>399</v>
      </c>
      <c r="C26" s="0" t="n">
        <v>5920.67</v>
      </c>
      <c r="D26" s="0" t="n">
        <f aca="false">Inputs!$B$5</f>
        <v>0.06</v>
      </c>
      <c r="E26" s="0" t="n">
        <f aca="false">C26*D26</f>
        <v>355.2402</v>
      </c>
      <c r="F26" s="0" t="n">
        <f aca="false">C26+E26</f>
        <v>6275.9102</v>
      </c>
      <c r="G26" s="0" t="s">
        <v>405</v>
      </c>
      <c r="H26" s="0" t="n">
        <f aca="false">ROUNDUP(F26/32,0)</f>
        <v>197</v>
      </c>
      <c r="I26" s="0" t="s">
        <v>414</v>
      </c>
    </row>
    <row r="27" customFormat="false" ht="15" hidden="false" customHeight="false" outlineLevel="0" collapsed="false">
      <c r="A27" s="0" t="s">
        <v>415</v>
      </c>
      <c r="B27" s="0" t="s">
        <v>361</v>
      </c>
      <c r="C27" s="0" t="n">
        <v>726.54</v>
      </c>
      <c r="D27" s="0" t="n">
        <f aca="false">Inputs!$B$5</f>
        <v>0.06</v>
      </c>
      <c r="E27" s="0" t="n">
        <f aca="false">C27*D27</f>
        <v>43.5924</v>
      </c>
      <c r="F27" s="0" t="n">
        <f aca="false">C27+E27</f>
        <v>770.1324</v>
      </c>
      <c r="G27" s="0" t="s">
        <v>416</v>
      </c>
      <c r="H27" s="0" t="n">
        <f aca="false">ROUNDUP(F27/8,0)</f>
        <v>97</v>
      </c>
      <c r="I27" s="0" t="s">
        <v>417</v>
      </c>
    </row>
    <row r="28" customFormat="false" ht="15" hidden="false" customHeight="false" outlineLevel="0" collapsed="false">
      <c r="A28" s="0" t="s">
        <v>418</v>
      </c>
      <c r="B28" s="0" t="s">
        <v>361</v>
      </c>
      <c r="C28" s="0" t="n">
        <v>648.11</v>
      </c>
      <c r="D28" s="0" t="n">
        <f aca="false">Inputs!$B$4</f>
        <v>0.15</v>
      </c>
      <c r="E28" s="0" t="n">
        <f aca="false">C28*D28</f>
        <v>97.2165</v>
      </c>
      <c r="F28" s="0" t="n">
        <f aca="false">C28+E28</f>
        <v>745.3265</v>
      </c>
      <c r="G28" s="0" t="s">
        <v>373</v>
      </c>
      <c r="H28" s="0" t="n">
        <f aca="false">ROUNDUP(ROUNDUP(F28/4,0)/MAX(1,INT(10/4)),0)</f>
        <v>94</v>
      </c>
      <c r="I28" s="0" t="s">
        <v>419</v>
      </c>
    </row>
    <row r="29" customFormat="false" ht="15" hidden="false" customHeight="false" outlineLevel="0" collapsed="false">
      <c r="A29" s="0" t="s">
        <v>420</v>
      </c>
      <c r="B29" s="0" t="s">
        <v>361</v>
      </c>
      <c r="C29" s="0" t="n">
        <v>834.21</v>
      </c>
      <c r="D29" s="0" t="n">
        <f aca="false">Inputs!$B$4</f>
        <v>0.15</v>
      </c>
      <c r="E29" s="0" t="n">
        <f aca="false">C29*D29</f>
        <v>125.1315</v>
      </c>
      <c r="F29" s="0" t="n">
        <f aca="false">C29+E29</f>
        <v>959.3415</v>
      </c>
      <c r="G29" s="0" t="s">
        <v>373</v>
      </c>
      <c r="H29" s="0" t="n">
        <f aca="false">ROUNDUP(F29/10,0)</f>
        <v>96</v>
      </c>
      <c r="I29" s="0" t="s">
        <v>421</v>
      </c>
    </row>
    <row r="30" customFormat="false" ht="15" hidden="false" customHeight="false" outlineLevel="0" collapsed="false">
      <c r="A30" s="0" t="s">
        <v>422</v>
      </c>
      <c r="B30" s="0" t="s">
        <v>399</v>
      </c>
      <c r="C30" s="0" t="n">
        <v>32.51</v>
      </c>
      <c r="D30" s="0" t="n">
        <f aca="false">Inputs!$B$5</f>
        <v>0.06</v>
      </c>
      <c r="E30" s="0" t="n">
        <f aca="false">C30*D30</f>
        <v>1.9506</v>
      </c>
      <c r="F30" s="0" t="n">
        <f aca="false">C30+E30</f>
        <v>34.4606</v>
      </c>
      <c r="G30" s="0" t="s">
        <v>423</v>
      </c>
      <c r="H30" s="0" t="n">
        <f aca="false">ROUNDUP(F30/15,0)</f>
        <v>3</v>
      </c>
      <c r="I30" s="0" t="s">
        <v>424</v>
      </c>
    </row>
    <row r="31" customFormat="false" ht="15" hidden="false" customHeight="false" outlineLevel="0" collapsed="false">
      <c r="A31" s="0" t="s">
        <v>425</v>
      </c>
      <c r="B31" s="0" t="s">
        <v>399</v>
      </c>
      <c r="C31" s="0" t="n">
        <v>341.11</v>
      </c>
      <c r="D31" s="0" t="n">
        <f aca="false">Inputs!$B$5</f>
        <v>0.06</v>
      </c>
      <c r="E31" s="0" t="n">
        <f aca="false">C31*D31</f>
        <v>20.4666</v>
      </c>
      <c r="F31" s="0" t="n">
        <f aca="false">C31+E31</f>
        <v>361.5766</v>
      </c>
      <c r="G31" s="0" t="s">
        <v>405</v>
      </c>
      <c r="H31" s="0" t="n">
        <f aca="false">ROUNDUP(F31/32,0)</f>
        <v>12</v>
      </c>
      <c r="I31" s="0" t="s">
        <v>426</v>
      </c>
    </row>
    <row r="32" customFormat="false" ht="15" hidden="false" customHeight="false" outlineLevel="0" collapsed="false">
      <c r="A32" s="0" t="s">
        <v>427</v>
      </c>
      <c r="B32" s="0" t="s">
        <v>361</v>
      </c>
      <c r="C32" s="0" t="n">
        <v>1255.34</v>
      </c>
      <c r="D32" s="0" t="n">
        <f aca="false">Inputs!$B$5</f>
        <v>0.06</v>
      </c>
      <c r="E32" s="0" t="n">
        <f aca="false">C32*D32</f>
        <v>75.3204</v>
      </c>
      <c r="F32" s="0" t="n">
        <f aca="false">C32+E32</f>
        <v>1330.6604</v>
      </c>
      <c r="G32" s="0" t="s">
        <v>428</v>
      </c>
      <c r="H32" s="0" t="n">
        <f aca="false">ROUNDUP(F32,0)</f>
        <v>1331</v>
      </c>
      <c r="I32" s="0" t="s">
        <v>429</v>
      </c>
    </row>
    <row r="33" customFormat="false" ht="15" hidden="false" customHeight="false" outlineLevel="0" collapsed="false">
      <c r="A33" s="0" t="s">
        <v>430</v>
      </c>
      <c r="B33" s="0" t="s">
        <v>399</v>
      </c>
      <c r="C33" s="0" t="n">
        <v>284.58</v>
      </c>
      <c r="D33" s="0" t="n">
        <f aca="false">Inputs!$B$5</f>
        <v>0.06</v>
      </c>
      <c r="E33" s="0" t="n">
        <f aca="false">C33*D33</f>
        <v>17.0748</v>
      </c>
      <c r="F33" s="0" t="n">
        <f aca="false">C33+E33</f>
        <v>301.6548</v>
      </c>
      <c r="G33" s="0" t="s">
        <v>399</v>
      </c>
      <c r="H33" s="0" t="n">
        <f aca="false">ROUNDUP(F33,0)</f>
        <v>302</v>
      </c>
      <c r="I33" s="0" t="s">
        <v>431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4" t="s">
        <v>432</v>
      </c>
      <c r="B1" s="4" t="s">
        <v>433</v>
      </c>
      <c r="C1" s="4" t="s">
        <v>434</v>
      </c>
    </row>
    <row r="2" customFormat="false" ht="15" hidden="false" customHeight="false" outlineLevel="0" collapsed="false">
      <c r="A2" s="0" t="s">
        <v>435</v>
      </c>
      <c r="B2" s="0" t="s">
        <v>436</v>
      </c>
      <c r="C2" s="0" t="s">
        <v>437</v>
      </c>
    </row>
    <row r="3" customFormat="false" ht="15" hidden="false" customHeight="false" outlineLevel="0" collapsed="false">
      <c r="A3" s="0" t="s">
        <v>438</v>
      </c>
      <c r="B3" s="0" t="s">
        <v>439</v>
      </c>
      <c r="C3" s="0" t="s">
        <v>440</v>
      </c>
    </row>
    <row r="4" customFormat="false" ht="15" hidden="false" customHeight="false" outlineLevel="0" collapsed="false">
      <c r="A4" s="0" t="s">
        <v>441</v>
      </c>
      <c r="B4" s="0" t="s">
        <v>442</v>
      </c>
      <c r="C4" s="0" t="s">
        <v>443</v>
      </c>
    </row>
    <row r="5" customFormat="false" ht="15" hidden="false" customHeight="false" outlineLevel="0" collapsed="false">
      <c r="A5" s="0" t="s">
        <v>444</v>
      </c>
      <c r="B5" s="0" t="s">
        <v>445</v>
      </c>
      <c r="C5" s="0" t="s">
        <v>446</v>
      </c>
    </row>
    <row r="6" customFormat="false" ht="15" hidden="false" customHeight="false" outlineLevel="0" collapsed="false">
      <c r="A6" s="0" t="s">
        <v>447</v>
      </c>
      <c r="B6" s="0" t="s">
        <v>448</v>
      </c>
      <c r="C6" s="0" t="s">
        <v>449</v>
      </c>
    </row>
    <row r="7" customFormat="false" ht="15" hidden="false" customHeight="false" outlineLevel="0" collapsed="false">
      <c r="A7" s="0" t="s">
        <v>450</v>
      </c>
      <c r="B7" s="0" t="s">
        <v>451</v>
      </c>
      <c r="C7" s="0" t="s">
        <v>452</v>
      </c>
    </row>
    <row r="8" customFormat="false" ht="15" hidden="false" customHeight="false" outlineLevel="0" collapsed="false">
      <c r="A8" s="0" t="s">
        <v>453</v>
      </c>
      <c r="B8" s="0" t="s">
        <v>454</v>
      </c>
      <c r="C8" s="0" t="s">
        <v>455</v>
      </c>
    </row>
    <row r="9" customFormat="false" ht="15" hidden="false" customHeight="false" outlineLevel="0" collapsed="false">
      <c r="A9" s="0" t="s">
        <v>456</v>
      </c>
      <c r="B9" s="0" t="s">
        <v>457</v>
      </c>
      <c r="C9" s="0" t="s">
        <v>458</v>
      </c>
    </row>
    <row r="10" customFormat="false" ht="15" hidden="false" customHeight="false" outlineLevel="0" collapsed="false">
      <c r="A10" s="0" t="s">
        <v>459</v>
      </c>
      <c r="B10" s="0" t="s">
        <v>460</v>
      </c>
      <c r="C10" s="0" t="s">
        <v>461</v>
      </c>
    </row>
    <row r="11" customFormat="false" ht="15" hidden="false" customHeight="false" outlineLevel="0" collapsed="false">
      <c r="A11" s="0" t="s">
        <v>462</v>
      </c>
      <c r="B11" s="0" t="s">
        <v>463</v>
      </c>
      <c r="C11" s="0" t="s">
        <v>464</v>
      </c>
    </row>
    <row r="12" customFormat="false" ht="15" hidden="false" customHeight="false" outlineLevel="0" collapsed="false">
      <c r="A12" s="0" t="s">
        <v>465</v>
      </c>
      <c r="B12" s="0" t="s">
        <v>466</v>
      </c>
      <c r="C12" s="0" t="s">
        <v>467</v>
      </c>
    </row>
    <row r="13" customFormat="false" ht="15" hidden="false" customHeight="false" outlineLevel="0" collapsed="false">
      <c r="A13" s="0" t="s">
        <v>468</v>
      </c>
      <c r="B13" s="0" t="s">
        <v>469</v>
      </c>
      <c r="C13" s="0" t="s">
        <v>470</v>
      </c>
    </row>
    <row r="14" customFormat="false" ht="15" hidden="false" customHeight="false" outlineLevel="0" collapsed="false">
      <c r="A14" s="0" t="s">
        <v>471</v>
      </c>
      <c r="B14" s="0" t="s">
        <v>472</v>
      </c>
      <c r="C14" s="0" t="s">
        <v>473</v>
      </c>
    </row>
    <row r="15" customFormat="false" ht="15" hidden="false" customHeight="false" outlineLevel="0" collapsed="false">
      <c r="A15" s="0" t="s">
        <v>474</v>
      </c>
      <c r="B15" s="0" t="s">
        <v>475</v>
      </c>
      <c r="C15" s="0" t="s">
        <v>476</v>
      </c>
    </row>
    <row r="16" customFormat="false" ht="15" hidden="false" customHeight="false" outlineLevel="0" collapsed="false">
      <c r="A16" s="0" t="s">
        <v>477</v>
      </c>
      <c r="B16" s="0" t="s">
        <v>478</v>
      </c>
      <c r="C16" s="0" t="s">
        <v>479</v>
      </c>
    </row>
    <row r="17" customFormat="false" ht="15" hidden="false" customHeight="false" outlineLevel="0" collapsed="false">
      <c r="A17" s="0" t="s">
        <v>480</v>
      </c>
      <c r="B17" s="0" t="s">
        <v>481</v>
      </c>
      <c r="C17" s="0" t="s">
        <v>482</v>
      </c>
    </row>
    <row r="18" customFormat="false" ht="15" hidden="false" customHeight="false" outlineLevel="0" collapsed="false">
      <c r="A18" s="0" t="s">
        <v>483</v>
      </c>
      <c r="B18" s="0" t="s">
        <v>484</v>
      </c>
      <c r="C18" s="0" t="s">
        <v>485</v>
      </c>
    </row>
    <row r="19" customFormat="false" ht="15" hidden="false" customHeight="false" outlineLevel="0" collapsed="false">
      <c r="A19" s="0" t="s">
        <v>486</v>
      </c>
      <c r="B19" s="0" t="s">
        <v>487</v>
      </c>
      <c r="C19" s="0" t="s">
        <v>488</v>
      </c>
    </row>
    <row r="20" customFormat="false" ht="15" hidden="false" customHeight="false" outlineLevel="0" collapsed="false">
      <c r="A20" s="0" t="s">
        <v>489</v>
      </c>
      <c r="B20" s="0" t="s">
        <v>490</v>
      </c>
      <c r="C20" s="0" t="s">
        <v>491</v>
      </c>
    </row>
    <row r="21" customFormat="false" ht="15" hidden="false" customHeight="false" outlineLevel="0" collapsed="false">
      <c r="A21" s="0" t="s">
        <v>492</v>
      </c>
      <c r="B21" s="0" t="s">
        <v>493</v>
      </c>
      <c r="C21" s="0" t="s">
        <v>494</v>
      </c>
    </row>
    <row r="22" customFormat="false" ht="15" hidden="false" customHeight="false" outlineLevel="0" collapsed="false">
      <c r="A22" s="0" t="s">
        <v>495</v>
      </c>
      <c r="B22" s="0" t="s">
        <v>496</v>
      </c>
      <c r="C22" s="0" t="s">
        <v>497</v>
      </c>
    </row>
    <row r="23" customFormat="false" ht="15" hidden="false" customHeight="false" outlineLevel="0" collapsed="false">
      <c r="A23" s="0" t="s">
        <v>498</v>
      </c>
      <c r="B23" s="0" t="s">
        <v>499</v>
      </c>
      <c r="C23" s="0" t="s">
        <v>500</v>
      </c>
    </row>
    <row r="24" customFormat="false" ht="15" hidden="false" customHeight="false" outlineLevel="0" collapsed="false">
      <c r="A24" s="0" t="s">
        <v>501</v>
      </c>
      <c r="B24" s="0" t="s">
        <v>502</v>
      </c>
      <c r="C24" s="0" t="s">
        <v>503</v>
      </c>
    </row>
    <row r="25" customFormat="false" ht="15" hidden="false" customHeight="false" outlineLevel="0" collapsed="false">
      <c r="A25" s="0" t="s">
        <v>504</v>
      </c>
      <c r="B25" s="0" t="s">
        <v>505</v>
      </c>
      <c r="C25" s="0" t="s">
        <v>506</v>
      </c>
    </row>
    <row r="26" customFormat="false" ht="15" hidden="false" customHeight="false" outlineLevel="0" collapsed="false">
      <c r="A26" s="0" t="s">
        <v>507</v>
      </c>
      <c r="B26" s="0" t="s">
        <v>508</v>
      </c>
      <c r="C26" s="0" t="s">
        <v>509</v>
      </c>
    </row>
    <row r="27" customFormat="false" ht="15" hidden="false" customHeight="false" outlineLevel="0" collapsed="false">
      <c r="A27" s="0" t="s">
        <v>510</v>
      </c>
      <c r="B27" s="0" t="s">
        <v>511</v>
      </c>
      <c r="C27" s="0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10"/>
  </cols>
  <sheetData>
    <row r="1" customFormat="false" ht="15" hidden="false" customHeight="false" outlineLevel="0" collapsed="false">
      <c r="A1" s="0" t="s">
        <v>513</v>
      </c>
      <c r="B1" s="0" t="s">
        <v>514</v>
      </c>
      <c r="C1" s="0" t="s">
        <v>515</v>
      </c>
      <c r="D1" s="0" t="s">
        <v>516</v>
      </c>
    </row>
    <row r="2" customFormat="false" ht="15" hidden="false" customHeight="false" outlineLevel="0" collapsed="false">
      <c r="A2" s="0" t="n">
        <v>1</v>
      </c>
      <c r="B2" s="0" t="s">
        <v>517</v>
      </c>
      <c r="C2" s="0" t="s">
        <v>518</v>
      </c>
    </row>
    <row r="3" customFormat="false" ht="15" hidden="false" customHeight="false" outlineLevel="0" collapsed="false">
      <c r="A3" s="0" t="n">
        <v>2</v>
      </c>
      <c r="B3" s="0" t="s">
        <v>519</v>
      </c>
      <c r="C3" s="0" t="s">
        <v>520</v>
      </c>
    </row>
    <row r="4" customFormat="false" ht="15" hidden="false" customHeight="false" outlineLevel="0" collapsed="false">
      <c r="A4" s="0" t="n">
        <v>3</v>
      </c>
      <c r="B4" s="0" t="s">
        <v>521</v>
      </c>
      <c r="C4" s="0" t="s">
        <v>522</v>
      </c>
    </row>
    <row r="5" customFormat="false" ht="15" hidden="false" customHeight="false" outlineLevel="0" collapsed="false">
      <c r="A5" s="0" t="n">
        <v>4</v>
      </c>
      <c r="B5" s="0" t="s">
        <v>523</v>
      </c>
      <c r="C5" s="0" t="s">
        <v>524</v>
      </c>
    </row>
    <row r="6" customFormat="false" ht="15" hidden="false" customHeight="false" outlineLevel="0" collapsed="false">
      <c r="A6" s="0" t="n">
        <v>5</v>
      </c>
      <c r="B6" s="0" t="s">
        <v>525</v>
      </c>
      <c r="C6" s="0" t="s">
        <v>526</v>
      </c>
    </row>
    <row r="7" customFormat="false" ht="15" hidden="false" customHeight="false" outlineLevel="0" collapsed="false">
      <c r="A7" s="0" t="n">
        <v>6</v>
      </c>
      <c r="B7" s="0" t="s">
        <v>527</v>
      </c>
      <c r="C7" s="0" t="s">
        <v>528</v>
      </c>
    </row>
    <row r="8" customFormat="false" ht="15" hidden="false" customHeight="false" outlineLevel="0" collapsed="false">
      <c r="A8" s="0" t="n">
        <v>7</v>
      </c>
      <c r="B8" s="0" t="s">
        <v>529</v>
      </c>
      <c r="C8" s="0" t="s">
        <v>530</v>
      </c>
    </row>
    <row r="9" customFormat="false" ht="15" hidden="false" customHeight="false" outlineLevel="0" collapsed="false">
      <c r="A9" s="0" t="n">
        <v>8</v>
      </c>
      <c r="B9" s="0" t="s">
        <v>531</v>
      </c>
      <c r="C9" s="0" t="s">
        <v>532</v>
      </c>
    </row>
    <row r="10" customFormat="false" ht="15" hidden="false" customHeight="false" outlineLevel="0" collapsed="false">
      <c r="A10" s="0" t="n">
        <v>9</v>
      </c>
      <c r="B10" s="0" t="s">
        <v>533</v>
      </c>
      <c r="C10" s="0" t="s">
        <v>528</v>
      </c>
    </row>
    <row r="11" customFormat="false" ht="15" hidden="false" customHeight="false" outlineLevel="0" collapsed="false">
      <c r="A11" s="0" t="n">
        <v>10</v>
      </c>
      <c r="B11" s="0" t="s">
        <v>534</v>
      </c>
      <c r="C11" s="0" t="s">
        <v>535</v>
      </c>
    </row>
    <row r="12" customFormat="false" ht="15" hidden="false" customHeight="false" outlineLevel="0" collapsed="false">
      <c r="A12" s="0" t="n">
        <v>11</v>
      </c>
      <c r="B12" s="0" t="s">
        <v>536</v>
      </c>
      <c r="C12" s="0" t="s">
        <v>537</v>
      </c>
    </row>
    <row r="13" customFormat="false" ht="15" hidden="false" customHeight="false" outlineLevel="0" collapsed="false">
      <c r="A13" s="0" t="n">
        <v>12</v>
      </c>
      <c r="B13" s="0" t="s">
        <v>538</v>
      </c>
      <c r="C13" s="0" t="s">
        <v>539</v>
      </c>
    </row>
    <row r="14" customFormat="false" ht="15" hidden="false" customHeight="false" outlineLevel="0" collapsed="false">
      <c r="A14" s="0" t="n">
        <v>13</v>
      </c>
      <c r="B14" s="0" t="s">
        <v>540</v>
      </c>
      <c r="C14" s="0" t="s">
        <v>530</v>
      </c>
    </row>
    <row r="15" customFormat="false" ht="15" hidden="false" customHeight="false" outlineLevel="0" collapsed="false">
      <c r="A15" s="0" t="n">
        <v>14</v>
      </c>
      <c r="B15" s="0" t="s">
        <v>541</v>
      </c>
      <c r="C15" s="0" t="s">
        <v>530</v>
      </c>
    </row>
    <row r="16" customFormat="false" ht="15" hidden="false" customHeight="false" outlineLevel="0" collapsed="false">
      <c r="A16" s="0" t="n">
        <v>15</v>
      </c>
      <c r="B16" s="0" t="s">
        <v>542</v>
      </c>
      <c r="C16" s="0" t="s">
        <v>522</v>
      </c>
    </row>
    <row r="17" customFormat="false" ht="15" hidden="false" customHeight="false" outlineLevel="0" collapsed="false">
      <c r="A17" s="0" t="n">
        <v>16</v>
      </c>
      <c r="B17" s="0" t="s">
        <v>543</v>
      </c>
      <c r="C17" s="0" t="s">
        <v>526</v>
      </c>
    </row>
    <row r="18" customFormat="false" ht="15" hidden="false" customHeight="false" outlineLevel="0" collapsed="false">
      <c r="A18" s="0" t="n">
        <v>17</v>
      </c>
      <c r="B18" s="0" t="s">
        <v>544</v>
      </c>
      <c r="C18" s="0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4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545</v>
      </c>
      <c r="B1" s="0" t="s">
        <v>546</v>
      </c>
      <c r="C1" s="0" t="s">
        <v>547</v>
      </c>
      <c r="D1" s="0" t="s">
        <v>548</v>
      </c>
    </row>
    <row r="2" customFormat="false" ht="15" hidden="false" customHeight="false" outlineLevel="0" collapsed="false">
      <c r="A2" s="0" t="s">
        <v>549</v>
      </c>
      <c r="B2" s="0" t="s">
        <v>549</v>
      </c>
      <c r="C2" s="0" t="s">
        <v>550</v>
      </c>
      <c r="D2" s="0" t="s">
        <v>551</v>
      </c>
    </row>
    <row r="3" customFormat="false" ht="15" hidden="false" customHeight="false" outlineLevel="0" collapsed="false">
      <c r="A3" s="0" t="s">
        <v>552</v>
      </c>
      <c r="B3" s="0" t="s">
        <v>552</v>
      </c>
      <c r="C3" s="0" t="s">
        <v>550</v>
      </c>
      <c r="D3" s="0" t="s">
        <v>553</v>
      </c>
    </row>
    <row r="4" customFormat="false" ht="15" hidden="false" customHeight="false" outlineLevel="0" collapsed="false">
      <c r="A4" s="0" t="s">
        <v>554</v>
      </c>
      <c r="B4" s="0" t="s">
        <v>554</v>
      </c>
      <c r="C4" s="0" t="s">
        <v>550</v>
      </c>
      <c r="D4" s="0" t="s">
        <v>555</v>
      </c>
    </row>
    <row r="5" customFormat="false" ht="15" hidden="false" customHeight="false" outlineLevel="0" collapsed="false">
      <c r="A5" s="0" t="s">
        <v>556</v>
      </c>
      <c r="B5" s="0" t="s">
        <v>556</v>
      </c>
      <c r="C5" s="0" t="s">
        <v>550</v>
      </c>
      <c r="D5" s="0" t="s">
        <v>557</v>
      </c>
    </row>
    <row r="6" customFormat="false" ht="15" hidden="false" customHeight="false" outlineLevel="0" collapsed="false">
      <c r="A6" s="0" t="s">
        <v>558</v>
      </c>
      <c r="B6" s="0" t="s">
        <v>558</v>
      </c>
      <c r="C6" s="0" t="s">
        <v>550</v>
      </c>
      <c r="D6" s="0" t="s">
        <v>559</v>
      </c>
    </row>
    <row r="7" customFormat="false" ht="15" hidden="false" customHeight="false" outlineLevel="0" collapsed="false">
      <c r="A7" s="0" t="s">
        <v>560</v>
      </c>
      <c r="B7" s="0" t="s">
        <v>560</v>
      </c>
      <c r="C7" s="0" t="s">
        <v>550</v>
      </c>
      <c r="D7" s="0" t="s">
        <v>561</v>
      </c>
    </row>
    <row r="8" customFormat="false" ht="15" hidden="false" customHeight="false" outlineLevel="0" collapsed="false">
      <c r="A8" s="0" t="s">
        <v>562</v>
      </c>
      <c r="B8" s="0" t="s">
        <v>562</v>
      </c>
      <c r="C8" s="0" t="s">
        <v>550</v>
      </c>
      <c r="D8" s="0" t="s">
        <v>563</v>
      </c>
    </row>
    <row r="9" customFormat="false" ht="15" hidden="false" customHeight="false" outlineLevel="0" collapsed="false">
      <c r="A9" s="0" t="s">
        <v>564</v>
      </c>
      <c r="B9" s="0" t="s">
        <v>564</v>
      </c>
      <c r="C9" s="0" t="s">
        <v>550</v>
      </c>
      <c r="D9" s="0" t="s">
        <v>565</v>
      </c>
    </row>
    <row r="10" customFormat="false" ht="15" hidden="false" customHeight="false" outlineLevel="0" collapsed="false">
      <c r="A10" s="0" t="s">
        <v>566</v>
      </c>
      <c r="B10" s="0" t="s">
        <v>566</v>
      </c>
      <c r="C10" s="0" t="s">
        <v>550</v>
      </c>
      <c r="D10" s="0" t="s">
        <v>567</v>
      </c>
    </row>
    <row r="11" customFormat="false" ht="15" hidden="false" customHeight="false" outlineLevel="0" collapsed="false">
      <c r="A11" s="0" t="s">
        <v>568</v>
      </c>
      <c r="B11" s="0" t="s">
        <v>568</v>
      </c>
      <c r="C11" s="0" t="s">
        <v>550</v>
      </c>
      <c r="D11" s="0" t="s">
        <v>569</v>
      </c>
    </row>
    <row r="12" customFormat="false" ht="15" hidden="false" customHeight="false" outlineLevel="0" collapsed="false">
      <c r="A12" s="0" t="s">
        <v>570</v>
      </c>
      <c r="B12" s="0" t="s">
        <v>570</v>
      </c>
      <c r="C12" s="0" t="s">
        <v>550</v>
      </c>
      <c r="D12" s="0" t="s">
        <v>571</v>
      </c>
    </row>
    <row r="13" customFormat="false" ht="15" hidden="false" customHeight="false" outlineLevel="0" collapsed="false">
      <c r="A13" s="0" t="s">
        <v>572</v>
      </c>
      <c r="B13" s="0" t="s">
        <v>572</v>
      </c>
      <c r="C13" s="0" t="s">
        <v>550</v>
      </c>
      <c r="D13" s="0" t="s">
        <v>573</v>
      </c>
    </row>
    <row r="14" customFormat="false" ht="15" hidden="false" customHeight="false" outlineLevel="0" collapsed="false">
      <c r="A14" s="0" t="s">
        <v>574</v>
      </c>
      <c r="B14" s="0" t="s">
        <v>574</v>
      </c>
      <c r="C14" s="0" t="s">
        <v>550</v>
      </c>
      <c r="D14" s="0" t="s">
        <v>575</v>
      </c>
    </row>
    <row r="15" customFormat="false" ht="15" hidden="false" customHeight="false" outlineLevel="0" collapsed="false">
      <c r="A15" s="0" t="s">
        <v>576</v>
      </c>
      <c r="B15" s="0" t="s">
        <v>576</v>
      </c>
      <c r="C15" s="0" t="s">
        <v>550</v>
      </c>
      <c r="D15" s="0" t="s">
        <v>577</v>
      </c>
    </row>
    <row r="16" customFormat="false" ht="15" hidden="false" customHeight="false" outlineLevel="0" collapsed="false">
      <c r="A16" s="0" t="s">
        <v>578</v>
      </c>
      <c r="B16" s="0" t="s">
        <v>578</v>
      </c>
      <c r="C16" s="0" t="s">
        <v>550</v>
      </c>
      <c r="D16" s="0" t="s">
        <v>579</v>
      </c>
    </row>
    <row r="17" customFormat="false" ht="15" hidden="false" customHeight="false" outlineLevel="0" collapsed="false">
      <c r="A17" s="0" t="s">
        <v>580</v>
      </c>
      <c r="B17" s="0" t="s">
        <v>580</v>
      </c>
      <c r="C17" s="0" t="s">
        <v>550</v>
      </c>
      <c r="D17" s="0" t="s">
        <v>581</v>
      </c>
    </row>
    <row r="18" customFormat="false" ht="15" hidden="false" customHeight="false" outlineLevel="0" collapsed="false">
      <c r="A18" s="0" t="s">
        <v>582</v>
      </c>
      <c r="B18" s="0" t="s">
        <v>582</v>
      </c>
      <c r="C18" s="0" t="s">
        <v>550</v>
      </c>
      <c r="D18" s="0" t="s">
        <v>583</v>
      </c>
    </row>
    <row r="19" customFormat="false" ht="15" hidden="false" customHeight="false" outlineLevel="0" collapsed="false">
      <c r="A19" s="0" t="s">
        <v>584</v>
      </c>
      <c r="B19" s="0" t="s">
        <v>584</v>
      </c>
      <c r="C19" s="0" t="s">
        <v>550</v>
      </c>
      <c r="D19" s="0" t="s">
        <v>585</v>
      </c>
    </row>
    <row r="20" customFormat="false" ht="15" hidden="false" customHeight="false" outlineLevel="0" collapsed="false">
      <c r="A20" s="0" t="s">
        <v>586</v>
      </c>
      <c r="B20" s="0" t="s">
        <v>586</v>
      </c>
      <c r="C20" s="0" t="s">
        <v>550</v>
      </c>
      <c r="D20" s="0" t="s">
        <v>587</v>
      </c>
    </row>
    <row r="21" customFormat="false" ht="15" hidden="false" customHeight="false" outlineLevel="0" collapsed="false">
      <c r="A21" s="0" t="s">
        <v>588</v>
      </c>
      <c r="B21" s="0" t="s">
        <v>588</v>
      </c>
      <c r="C21" s="0" t="s">
        <v>550</v>
      </c>
      <c r="D21" s="0" t="s">
        <v>589</v>
      </c>
    </row>
    <row r="22" customFormat="false" ht="15" hidden="false" customHeight="false" outlineLevel="0" collapsed="false">
      <c r="A22" s="0" t="s">
        <v>590</v>
      </c>
      <c r="B22" s="0" t="s">
        <v>590</v>
      </c>
      <c r="C22" s="0" t="s">
        <v>591</v>
      </c>
      <c r="D22" s="0" t="s">
        <v>592</v>
      </c>
    </row>
    <row r="23" customFormat="false" ht="15" hidden="false" customHeight="false" outlineLevel="0" collapsed="false">
      <c r="A23" s="0" t="s">
        <v>593</v>
      </c>
      <c r="B23" s="0" t="s">
        <v>593</v>
      </c>
      <c r="C23" s="0" t="s">
        <v>591</v>
      </c>
      <c r="D23" s="0" t="s">
        <v>594</v>
      </c>
    </row>
    <row r="24" customFormat="false" ht="15" hidden="false" customHeight="false" outlineLevel="0" collapsed="false">
      <c r="A24" s="0" t="s">
        <v>595</v>
      </c>
      <c r="B24" s="0" t="s">
        <v>595</v>
      </c>
      <c r="C24" s="0" t="s">
        <v>550</v>
      </c>
      <c r="D24" s="0" t="s">
        <v>596</v>
      </c>
    </row>
    <row r="25" customFormat="false" ht="15" hidden="false" customHeight="false" outlineLevel="0" collapsed="false">
      <c r="A25" s="0" t="s">
        <v>597</v>
      </c>
      <c r="B25" s="0" t="s">
        <v>597</v>
      </c>
      <c r="C25" s="0" t="s">
        <v>550</v>
      </c>
      <c r="D25" s="0" t="s">
        <v>598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2026-10-17T06:16:52Z</dcterms:created>
  <dc:creator>openpyxl</dc:creator>
  <dc:description/>
  <dc:language>en-US</dc:language>
  <cp:lastModifiedBy/>
  <dcterms:modified xsi:type="dcterms:W3CDTF">2026-10-17T06:16:52Z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