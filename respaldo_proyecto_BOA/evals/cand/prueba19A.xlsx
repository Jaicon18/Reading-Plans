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<sst xmlns="http://schemas.openxmlformats.org/spreadsheetml/2006/main" count="1108" uniqueCount="731">
  <si>
    <t xml:space="preserve">Bank of America - Broomfield, CO (CO1-111)   |   METAL FRAMING &amp; DRYWALL TAKEOFF</t>
  </si>
  <si>
    <t xml:space="preserve">Bid set: 2025.08.26_CO1-111_Broomfield_PERMIT SET_BID SET.pdf   ·   2026-10-19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</si>
  <si>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</si>
  <si>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</si>
  <si>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</si>
  <si>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</si>
  <si>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</si>
  <si>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</si>
  <si>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</si>
  <si>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</si>
  <si>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</si>
  <si>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</si>
  <si>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</si>
  <si>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</si>
  <si>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</si>
  <si>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</si>
  <si>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</si>
  <si>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</si>
  <si>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</si>
  <si>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</si>
  <si>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</si>
  <si>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</si>
  <si>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</si>
  <si>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</si>
  <si>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</si>
  <si>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</si>
  <si>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</si>
  <si>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</si>
  <si>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</si>
  <si>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</si>
  <si>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</si>
  <si>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</si>
  <si>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</si>
  <si>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</si>
  <si>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</si>
  <si>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</si>
  <si>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</si>
  <si>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</si>
  <si>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</si>
  <si>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</si>
  <si>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</si>
  <si>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</si>
  <si>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</si>
  <si>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</si>
  <si>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</si>
  <si>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</si>
  <si>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</si>
  <si>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</si>
  <si>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</si>
  <si>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</si>
  <si>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</si>
  <si>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</si>
  <si>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</si>
  <si>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</si>
  <si>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</si>
  <si>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</si>
  <si>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</si>
  <si>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</si>
  <si>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</si>
  <si>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</si>
  <si>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</si>
  <si>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#A1-01  -  north wall of CALLING CUBES 122 (waiting 104 / 122)</t>
  </si>
  <si>
    <t xml:space="preserve">A1-01</t>
  </si>
  <si>
    <t xml:space="preserve">3-5/8"</t>
  </si>
  <si>
    <t xml:space="preserve">north wall of CALLING CUBES 122 (waiting 104 / 122)</t>
  </si>
  <si>
    <t xml:space="preserve">3/A12.01</t>
  </si>
  <si>
    <t xml:space="preserve">[DERIVED]</t>
  </si>
  <si>
    <t xml:space="preserve">A1  #A1-04  -  north wall of CORRIDOR 111 (central zone 103 / corridor), door 111</t>
  </si>
  <si>
    <t xml:space="preserve">A1-04</t>
  </si>
  <si>
    <t xml:space="preserve">north wall of CORRIDOR 111 (central zone 103 / corridor), door 111</t>
  </si>
  <si>
    <t xml:space="preserve">[CONFIRMED]</t>
  </si>
  <si>
    <t xml:space="preserve">A1  #A1-05+A1-08+A1-07-s1+A1-07-s2  -  south wall of CALLING CUBES 122 (122 / BREAK ROOM 118, MW21 side) + corridor 111 east wall / west wall of break room strip, ELECTRICAL 120, NER 121 (door 118B) + L-run V leg east of MW21 (x 1523-1530), break room 118 / queue area 103 + L-run H leg with door 118A (break room 118 / queue area 103)</t>
  </si>
  <si>
    <t xml:space="preserve">A1-05+A1-08+A1-07-s1+A1-07-s2</t>
  </si>
  <si>
    <t xml:space="preserve">south wall of CALLING CUBES 122 (122 / BREAK ROOM 118, MW21 side) + corridor 111 east wall / west wall of break room strip, ELECTRICAL 120, NER 121 (door 118B) + L-run V leg east of MW21 (x 1523-1530), break room 118 / queue area 103 + L-run H leg with door 118A (break room 118 / queue area 103)</t>
  </si>
  <si>
    <t xml:space="preserve">A1  #A1-09  -  north wall of WORK ROOM 119 (cash window 116 / 119), door 119</t>
  </si>
  <si>
    <t xml:space="preserve">A1-09</t>
  </si>
  <si>
    <t xml:space="preserve">north wall of WORK ROOM 119 (cash window 116 / 119), door 119</t>
  </si>
  <si>
    <t xml:space="preserve">A1  #A1-02-s1+A1-02-s2  -  MW01 niche enclosure, east side (V) vs CALLING CUBES 122 + MW01 niche enclosure, south side (H) vs CALLING CUBES 122 / MW07</t>
  </si>
  <si>
    <t xml:space="preserve">A1-02-s1+A1-02-s2</t>
  </si>
  <si>
    <t xml:space="preserve">MW01 niche enclosure, east side (V) vs CALLING CUBES 122 + MW01 niche enclosure, south side (H) vs CALLING CUBES 122 / MW07</t>
  </si>
  <si>
    <t xml:space="preserve">A1  #A1-10-s1+A1-10-s2+A1-10-s3  -  drinking fountain alcove back wall (between WOMEN 114 and MEN 113) + drinking fountain alcove north leg (WOMEN 114 / alcove) + drinking fountain alcove south leg (MEN 113 / alcove)</t>
  </si>
  <si>
    <t xml:space="preserve">A1-10-s1+A1-10-s2+A1-10-s3</t>
  </si>
  <si>
    <t xml:space="preserve">drinking fountain alcove back wall (between WOMEN 114 and MEN 113) + drinking fountain alcove north leg (WOMEN 114 / alcove) + drinking fountain alcove south leg (MEN 113 / alcove)</t>
  </si>
  <si>
    <t xml:space="preserve">TYPE A5</t>
  </si>
  <si>
    <t xml:space="preserve">A5  #A5-01a-s3+A5-01b+A5-01a-s1+A5-01a-s2  -  west wall of CALLING CUBES 122, north of grid B (run with jog at door 111 / door 122 jamb) + west wall of CALLING CUBES 122, south of grid B (door 122)</t>
  </si>
  <si>
    <t xml:space="preserve">A5-01a-s3+A5-01b+A5-01a-s1+A5-01a-s2</t>
  </si>
  <si>
    <t xml:space="preserve">6"</t>
  </si>
  <si>
    <t xml:space="preserve">west wall of CALLING CUBES 122, north of grid B (run with jog at door 111 / door 122 jamb) + west wall of CALLING CUBES 122, south of grid B (door 122)</t>
  </si>
  <si>
    <t xml:space="preserve">A5  #A5-02a+A5-02b  -  east wall of CALLING CUBES 122, north of grid B + east wall of CALLING CUBES 122, south of grid B</t>
  </si>
  <si>
    <t xml:space="preserve">A5-02a+A5-02b</t>
  </si>
  <si>
    <t xml:space="preserve">east wall of CALLING CUBES 122, north of grid B + east wall of CALLING CUBES 122, south of grid B</t>
  </si>
  <si>
    <t xml:space="preserve">A5  #A5-03  -  break room 118 / FUTURE FCAM - cash window 116, x 1622-1633 from A1K south face to B2 (PT0027) jamb, door 116</t>
  </si>
  <si>
    <t xml:space="preserve">A5-03</t>
  </si>
  <si>
    <t xml:space="preserve">break room 118 / FUTURE FCAM - cash window 116, x 1622-1633 from A1K south face to B2 (PT0027) jamb, door 116</t>
  </si>
  <si>
    <t xml:space="preserve">TYPE F</t>
  </si>
  <si>
    <t xml:space="preserve">F  #F-01  -  diagonal (30 deg) wall 24 HR VESTIBULE 101 (ATM lobby) / ATM ROOM 102, walk-up ATM</t>
  </si>
  <si>
    <t xml:space="preserve">F-01</t>
  </si>
  <si>
    <t xml:space="preserve">diagonal (30 deg) wall 24 HR VESTIBULE 101 (ATM lobby) / ATM ROOM 102, walk-up ATM</t>
  </si>
  <si>
    <t xml:space="preserve">12/A12.01</t>
  </si>
  <si>
    <t xml:space="preserve">TYPE B</t>
  </si>
  <si>
    <t xml:space="preserve">B  #B-02  -  wall between Electrical 120 and NER 121</t>
  </si>
  <si>
    <t xml:space="preserve">B-02</t>
  </si>
  <si>
    <t xml:space="preserve">wall between Electrical 120 and NER 121</t>
  </si>
  <si>
    <t xml:space="preserve">1/A12.01</t>
  </si>
  <si>
    <t xml:space="preserve">B  #B-03a+B-03b  -  Men's 113 south wall (to janitor 112), west part under W8x10 + Men's 113 south wall, east part (to storage 117)</t>
  </si>
  <si>
    <t xml:space="preserve">B-03a+B-03b</t>
  </si>
  <si>
    <t xml:space="preserve">Men's 113 south wall (to janitor 112), west part under W8x10 + Men's 113 south wall, east part (to storage 117)</t>
  </si>
  <si>
    <t xml:space="preserve">B  #B-04  -  Janitor 112 / storage 117 south wall (to wellness 115)</t>
  </si>
  <si>
    <t xml:space="preserve">B-04</t>
  </si>
  <si>
    <t xml:space="preserve">Janitor 112 / storage 117 south wall (to wellness 115)</t>
  </si>
  <si>
    <t xml:space="preserve">B  #B-05  -  Janitor 112 / storage 117 dividing wall</t>
  </si>
  <si>
    <t xml:space="preserve">B-05</t>
  </si>
  <si>
    <t xml:space="preserve">Janitor 112 / storage 117 dividing wall</t>
  </si>
  <si>
    <t xml:space="preserve">B  #B-01-s1+B-01-s2  -  Electrical 120 north wall (north leg of the L run) + Electrical 120 / NER 121 east wall (east leg of the L run)</t>
  </si>
  <si>
    <t xml:space="preserve">B-01-s1+B-01-s2</t>
  </si>
  <si>
    <t xml:space="preserve">Electrical 120 north wall (north leg of the L run) + Electrical 120 / NER 121 east wall (east leg of the L run)</t>
  </si>
  <si>
    <t xml:space="preserve">TYPE B2</t>
  </si>
  <si>
    <t xml:space="preserve">B2  #B2-01  -  ATM room 102 east wall (door 102)</t>
  </si>
  <si>
    <t xml:space="preserve">B2-01</t>
  </si>
  <si>
    <t xml:space="preserve">ATM room 102 east wall (door 102)</t>
  </si>
  <si>
    <t xml:space="preserve">B2  #B2-02  -  Women's 114 east wall to corridor 111 (door 114), north of drinking-fountain alcove</t>
  </si>
  <si>
    <t xml:space="preserve">B2-02</t>
  </si>
  <si>
    <t xml:space="preserve">Women's 114 east wall to corridor 111 (door 114), north of drinking-fountain alcove</t>
  </si>
  <si>
    <t xml:space="preserve">B2  #B2-03  -  Men's 113 / storage 117 / wellness 115 east wall to corridor 111 (doors 113, 117, 115)</t>
  </si>
  <si>
    <t xml:space="preserve">B2-03</t>
  </si>
  <si>
    <t xml:space="preserve">Men's 113 / storage 117 / wellness 115 east wall to corridor 111 (doors 113, 117, 115)</t>
  </si>
  <si>
    <t xml:space="preserve">B2  #B2-04  -  Break room 118 / work room 119 dividing wall</t>
  </si>
  <si>
    <t xml:space="preserve">B2-04</t>
  </si>
  <si>
    <t xml:space="preserve">Break room 118 / work room 119 dividing wall</t>
  </si>
  <si>
    <t xml:space="preserve">TYPE C1</t>
  </si>
  <si>
    <t xml:space="preserve">C1  #C1-01  -  storefront pier NE of vestibule 100 (grid 4 / G-F)</t>
  </si>
  <si>
    <t xml:space="preserve">C1-01</t>
  </si>
  <si>
    <t xml:space="preserve">storefront pier NE of vestibule 100 (grid 4 / G-F)</t>
  </si>
  <si>
    <t xml:space="preserve">2/A09.25</t>
  </si>
  <si>
    <t xml:space="preserve">C1  #C1-02  -  storefront pier NW of vestibule 100 (grid 2 / G-F)</t>
  </si>
  <si>
    <t xml:space="preserve">C1-02</t>
  </si>
  <si>
    <t xml:space="preserve">storefront pier NW of vestibule 100 (grid 2 / G-F)</t>
  </si>
  <si>
    <t xml:space="preserve">1/A09.25</t>
  </si>
  <si>
    <t xml:space="preserve">C1  #C1-03  -  coiling grille 103 north jamb box (grid 4, vestibule 100/101/central 103 junction)</t>
  </si>
  <si>
    <t xml:space="preserve">C1-03</t>
  </si>
  <si>
    <t xml:space="preserve">coiling grille 103 north jamb box (grid 4, vestibule 100/101/central 103 junction)</t>
  </si>
  <si>
    <t xml:space="preserve">3/A08.21</t>
  </si>
  <si>
    <t xml:space="preserve">C1  #C1-04  -  coiling grille 103 south jamb box (grid 4/E, top of B2-01)</t>
  </si>
  <si>
    <t xml:space="preserve">C1-04</t>
  </si>
  <si>
    <t xml:space="preserve">coiling grille 103 south jamb box (grid 4/E, top of B2-01)</t>
  </si>
  <si>
    <t xml:space="preserve">C1  #C1-05  -  plumbing chase between restrooms, women's face (PT7: one wall per face)</t>
  </si>
  <si>
    <t xml:space="preserve">C1-05</t>
  </si>
  <si>
    <t xml:space="preserve">plumbing chase between restrooms, women's face (PT7: one wall per face)</t>
  </si>
  <si>
    <t xml:space="preserve">6/A12.01</t>
  </si>
  <si>
    <t xml:space="preserve">C1  #C1-06  -  plumbing chase between restrooms, men's face (PT7: one wall per face)</t>
  </si>
  <si>
    <t xml:space="preserve">C1-06</t>
  </si>
  <si>
    <t xml:space="preserve">plumbing chase between restrooms, men's face (PT7: one wall per face)</t>
  </si>
  <si>
    <t xml:space="preserve">C1  #C1-07-s1+C1-07-s2+C1-07-s3  -  media monitor furring box (key note 7), west return + media monitor furring box (key note 7), front facing waiting 104 + media monitor furring box (key note 7), east return</t>
  </si>
  <si>
    <t xml:space="preserve">C1-07-s1+C1-07-s2+C1-07-s3</t>
  </si>
  <si>
    <t xml:space="preserve">media monitor furring box (key note 7), west return + media monitor furring box (key note 7), front facing waiting 104 + media monitor furring box (key note 7), east return</t>
  </si>
  <si>
    <t xml:space="preserve">C1  #C1-08-s1+C1-08-s2  -  FUTURE FCAM niche furring, front facing cash window 116 + FUTURE FCAM niche furring, east end return to A1K</t>
  </si>
  <si>
    <t xml:space="preserve">C1-08-s1+C1-08-s2</t>
  </si>
  <si>
    <t xml:space="preserve">FUTURE FCAM niche furring, front facing cash window 116 + FUTURE FCAM niche furring, east end return to A1K</t>
  </si>
  <si>
    <t xml:space="preserve">TYPE G</t>
  </si>
  <si>
    <t xml:space="preserve">G  #G-01  -  east office front, north end stub (office 105, at north ext. wall)</t>
  </si>
  <si>
    <t xml:space="preserve">G-01</t>
  </si>
  <si>
    <t xml:space="preserve">1-5/8"</t>
  </si>
  <si>
    <t xml:space="preserve">east office front, north end stub (office 105, at north ext. wall)</t>
  </si>
  <si>
    <t xml:space="preserve">5/A12.01</t>
  </si>
  <si>
    <t xml:space="preserve">G  #G-02  -  east office front stub 105/106</t>
  </si>
  <si>
    <t xml:space="preserve">G-02</t>
  </si>
  <si>
    <t xml:space="preserve">east office front stub 105/106</t>
  </si>
  <si>
    <t xml:space="preserve">G  #G-03+G-04  -  east office front stub 106/107 (grid E column inside) + office 106 / 107 dividing wall</t>
  </si>
  <si>
    <t xml:space="preserve">G-03+G-04</t>
  </si>
  <si>
    <t xml:space="preserve">east office front stub 106/107 (grid E column inside) + office 106 / 107 dividing wall</t>
  </si>
  <si>
    <t xml:space="preserve">G  #G-06+G-05  -  office 107 / 108 dividing wall + east office front stub 107/108</t>
  </si>
  <si>
    <t xml:space="preserve">G-06+G-05</t>
  </si>
  <si>
    <t xml:space="preserve">office 107 / 108 dividing wall + east office front stub 107/108</t>
  </si>
  <si>
    <t xml:space="preserve">G  #G-08  -  office 108 south wall (to CSR / cash window 116)</t>
  </si>
  <si>
    <t xml:space="preserve">G-08</t>
  </si>
  <si>
    <t xml:space="preserve">office 108 south wall (to CSR / cash window 116)</t>
  </si>
  <si>
    <t xml:space="preserve">G  #G-09a+G-09b+G-09c+G-09d  -  office 109 north wall (to ATM room 102), west part under W12x19 (HI) on grid D + office 109 north wall, middle part under W8x10 on grid D + office 109 north wall, east part (to deck) incl. corner with the front + office 109 north wall G-09: 4" return at the west office front (end against vendor frame)</t>
  </si>
  <si>
    <t xml:space="preserve">G-09a+G-09b+G-09c+G-09d</t>
  </si>
  <si>
    <t xml:space="preserve">office 109 north wall (to ATM room 102), west part under W12x19 (HI) on grid D + office 109 north wall, middle part under W8x10 on grid D + office 109 north wall, east part (to deck) incl. corner with the front + office 109 north wall G-09: 4" return at the west office front (end against vendor frame)</t>
  </si>
  <si>
    <t xml:space="preserve">G  #G-10  -  office 109 / 110 dividing wall</t>
  </si>
  <si>
    <t xml:space="preserve">G-10</t>
  </si>
  <si>
    <t xml:space="preserve">office 109 / 110 dividing wall</t>
  </si>
  <si>
    <t xml:space="preserve">G  #G-11  -  office 110 south wall (to women's 114)</t>
  </si>
  <si>
    <t xml:space="preserve">G-11</t>
  </si>
  <si>
    <t xml:space="preserve">office 110 south wall (to women's 114)</t>
  </si>
  <si>
    <t xml:space="preserve">TYPE G1</t>
  </si>
  <si>
    <t xml:space="preserve">G1  #G1-01a+G1-01b  -  office 105 / 106 dividing wall, west part + office 105 / 106 dividing wall, east part under W8x10</t>
  </si>
  <si>
    <t xml:space="preserve">G1-01a+G1-01b</t>
  </si>
  <si>
    <t xml:space="preserve">office 105 / 106 dividing wall, west part + office 105 / 106 dividing wall, east part under W8x10</t>
  </si>
  <si>
    <t xml:space="preserve">G1  #G1-03  -  west office front stub 109/110</t>
  </si>
  <si>
    <t xml:space="preserve">G1-03</t>
  </si>
  <si>
    <t xml:space="preserve">west office front stub 109/110</t>
  </si>
  <si>
    <t xml:space="preserve">G1  #G1-04  -  west office front, south end stub (office 110)</t>
  </si>
  <si>
    <t xml:space="preserve">G1-04</t>
  </si>
  <si>
    <t xml:space="preserve">west office front, south end stub (office 110)</t>
  </si>
  <si>
    <t xml:space="preserve">TYPE BULKHEAD-G</t>
  </si>
  <si>
    <t xml:space="preserve">BULKHEAD-G  #BH-E1+BH-E2+BH-E3+BH-E4  -  office front bulkhead over the 105 office DFC-1A opening (OF-east CONT. BOX BEAM run) + office front bulkhead over the 106 office DFC-1A opening (OF-east CONT. BOX BEAM run) + office front bulkhead over the 107 office DFC-1A opening (OF-east CONT. BOX BEAM run) + office front bulkhead over the 108 office DFC-1A opening (OF-east CONT. BOX BEAM run)</t>
  </si>
  <si>
    <t xml:space="preserve">BH-E1+BH-E2+BH-E3+BH-E4</t>
  </si>
  <si>
    <t xml:space="preserve">office front bulkhead over the 105 office DFC-1A opening (OF-east CONT. BOX BEAM run) + office front bulkhead over the 106 office DFC-1A opening (OF-east CONT. BOX BEAM run) + office front bulkhead over the 107 office DFC-1A opening (OF-east CONT. BOX BEAM run) + office front bulkhead over the 108 office DFC-1A opening (OF-east CONT. BOX BEAM run)</t>
  </si>
  <si>
    <t xml:space="preserve">9/A12.01</t>
  </si>
  <si>
    <t xml:space="preserve">BULKHEAD-G  #BH-W1+BH-W2  -  office front bulkhead over the 109 office DFC-1A opening (OF-west CONT. BOX BEAM run) + office front bulkhead over the 110 office DFC-1A opening (OF-west CONT. BOX BEAM run)</t>
  </si>
  <si>
    <t xml:space="preserve">BH-W1+BH-W2</t>
  </si>
  <si>
    <t xml:space="preserve">office front bulkhead over the 109 office DFC-1A opening (OF-west CONT. BOX BEAM run) + office front bulkhead over the 110 office DFC-1A opening (OF-west CONT. BOX BEAM run)</t>
  </si>
  <si>
    <t xml:space="preserve">TYPE EXT-6CFMF</t>
  </si>
  <si>
    <t xml:space="preserve">EXT-6CFMF  #X-N1  -  103 CENTRAL ZONE / 105 OFFICE 1 ME</t>
  </si>
  <si>
    <t xml:space="preserve">X-N1</t>
  </si>
  <si>
    <t xml:space="preserve">103 CENTRAL ZONE / 105 OFFICE 1 ME</t>
  </si>
  <si>
    <t xml:space="preserve">C/A09.21</t>
  </si>
  <si>
    <t xml:space="preserve">EXT-6CFMF  #X-E1+X-E2  -  105 OFFICE 1 ME / 106 OFFICE 2 CL / 107 OFFICE 3 SB / 108 OFFICE 4 CB / 116 CASH WINDOW + 116 CASH WINDOW / 119 WORK ROOM</t>
  </si>
  <si>
    <t xml:space="preserve">X-E1+X-E2</t>
  </si>
  <si>
    <t xml:space="preserve">105 OFFICE 1 ME / 106 OFFICE 2 CL / 107 OFFICE 3 SB / 108 OFFICE 4 CB / 116 CASH WINDOW + 116 CASH WINDOW / 119 WORK ROOM</t>
  </si>
  <si>
    <t xml:space="preserve">EXT-6CFMF  #X-S1+X-S2  -  115 WELLNESS / 111 CORRIDOR (door 123) / 121 NER / 118 BREAK ROOM + 118 BREAK ROOM / 119 WORK ROOM</t>
  </si>
  <si>
    <t xml:space="preserve">X-S1+X-S2</t>
  </si>
  <si>
    <t xml:space="preserve">115 WELLNESS / 111 CORRIDOR (door 123) / 121 NER / 118 BREAK ROOM + 118 BREAK ROOM / 119 WORK ROOM</t>
  </si>
  <si>
    <t xml:space="preserve">EXT-6CFMF  #X-W3a+X-W3b  -  109 OFFICE 5 CB / 110 OFFICE 6 CB / 114 WOMEN'S RESTROOM + 114 WOMEN'S RESTROOM / 113 MEN'S RESTROOM / 112 JANITOR CLOSET / 115 WELLNESS</t>
  </si>
  <si>
    <t xml:space="preserve">X-W3a+X-W3b</t>
  </si>
  <si>
    <t xml:space="preserve">109 OFFICE 5 CB / 110 OFFICE 6 CB / 114 WOMEN'S RESTROOM + 114 WOMEN'S RESTROOM / 113 MEN'S RESTROOM / 112 JANITOR CLOSET / 115 WELLNESS</t>
  </si>
  <si>
    <t xml:space="preserve">EXT-6CFMF  #X-W2  -  102 ATM ROOM</t>
  </si>
  <si>
    <t xml:space="preserve">X-W2</t>
  </si>
  <si>
    <t xml:space="preserve">102 ATM ROOM</t>
  </si>
  <si>
    <t xml:space="preserve">EXT-6CFMF  #X-W1  -  100 VESTIBULE / 101 24 HR VESTIBULE / 102 ATM ROOM</t>
  </si>
  <si>
    <t xml:space="preserve">X-W1</t>
  </si>
  <si>
    <t xml:space="preserve">100 VESTIBULE / 101 24 HR VESTIBULE / 102 ATM ROOM</t>
  </si>
  <si>
    <t xml:space="preserve">EXT-6CFMF  #PIER-NW  -  PIER-NW</t>
  </si>
  <si>
    <t xml:space="preserve">PIER-NW</t>
  </si>
  <si>
    <t xml:space="preserve">EXT-6CFMF  #PIER-NE  -  PIER-NE</t>
  </si>
  <si>
    <t xml:space="preserve">PIER-NE</t>
  </si>
  <si>
    <t xml:space="preserve">TYPE CANOPY-COL</t>
  </si>
  <si>
    <t xml:space="preserve">CANOPY-COL  #COL-1  -  COL-1</t>
  </si>
  <si>
    <t xml:space="preserve">COL-1</t>
  </si>
  <si>
    <t xml:space="preserve">5/A09.25</t>
  </si>
  <si>
    <t xml:space="preserve">CANOPY-COL  #COL-2  -  COL-2</t>
  </si>
  <si>
    <t xml:space="preserve">COL-2</t>
  </si>
  <si>
    <t xml:space="preserve">CANOPY-COL  #COL-3  -  COL-3</t>
  </si>
  <si>
    <t xml:space="preserve">COL-3</t>
  </si>
  <si>
    <t xml:space="preserve">CANOPY-COL  #COL-4  -  COL-4</t>
  </si>
  <si>
    <t xml:space="preserve">COL-4</t>
  </si>
  <si>
    <t xml:space="preserve">TYPE EXT-PARAPET</t>
  </si>
  <si>
    <t xml:space="preserve">EXT-PARAPET  #PAR-G  -  PAR-G</t>
  </si>
  <si>
    <t xml:space="preserve">PAR-G</t>
  </si>
  <si>
    <t xml:space="preserve">6" parapet</t>
  </si>
  <si>
    <t xml:space="preserve">11/S5.10</t>
  </si>
  <si>
    <t xml:space="preserve">EXT-PARAPET  #PAR-R4  -  PAR-R4</t>
  </si>
  <si>
    <t xml:space="preserve">PAR-R4</t>
  </si>
  <si>
    <t xml:space="preserve">EXT-PARAPET  #PAR-F  -  PAR-F</t>
  </si>
  <si>
    <t xml:space="preserve">PAR-F</t>
  </si>
  <si>
    <t xml:space="preserve">EXT-PARAPET  #PAR-8a+PAR-8b  -  PAR-8a + PAR-8b</t>
  </si>
  <si>
    <t xml:space="preserve">PAR-8a+PAR-8b</t>
  </si>
  <si>
    <t xml:space="preserve">PAR-8a + PAR-8b</t>
  </si>
  <si>
    <t xml:space="preserve">EXT-PARAPET  #PAR-A  -  PAR-A</t>
  </si>
  <si>
    <t xml:space="preserve">PAR-A</t>
  </si>
  <si>
    <t xml:space="preserve">EXT-PARAPET  #PAR-3a+PAR-3b  -  PAR-3a + PAR-3b</t>
  </si>
  <si>
    <t xml:space="preserve">PAR-3a+PAR-3b</t>
  </si>
  <si>
    <t xml:space="preserve">PAR-3a + PAR-3b</t>
  </si>
  <si>
    <t xml:space="preserve">EXT-PARAPET  #PAR-D  -  PAR-D</t>
  </si>
  <si>
    <t xml:space="preserve">PAR-D</t>
  </si>
  <si>
    <t xml:space="preserve">EXT-PARAPET  #PAR-2  -  PAR-2</t>
  </si>
  <si>
    <t xml:space="preserve">PAR-2</t>
  </si>
  <si>
    <t xml:space="preserve">TYPE A1K</t>
  </si>
  <si>
    <t xml:space="preserve">A1K  #A1K-01-s1+A1K-01-s2  -  north end of teller counter strip (cash window 116 / office 108 side): jog leg x 1654-1662 + H leg 3'-5"</t>
  </si>
  <si>
    <t xml:space="preserve">A1K-01-s1+A1K-01-s2</t>
  </si>
  <si>
    <t xml:space="preserve">north end of teller counter strip (cash window 116 / office 108 side): jog leg x 1654-1662 + H leg 3'-5"</t>
  </si>
  <si>
    <t xml:space="preserve">4/A12.01</t>
  </si>
  <si>
    <t xml:space="preserve">A1K  #A1K-02-s1+A1K-02-s2+A1K-02-s3  -  south end of teller counter strip: H leg a (strip / FCAM C1 box) + jog + H leg b (queue 103 / FUTURE FCAM)</t>
  </si>
  <si>
    <t xml:space="preserve">A1K-02-s1+A1K-02-s2+A1K-02-s3</t>
  </si>
  <si>
    <t xml:space="preserve">south end of teller counter strip: H leg a (strip / FCAM C1 box) + jog + H leg b (queue 103 / FUTURE FCAM)</t>
  </si>
  <si>
    <t xml:space="preserve">TYPE B2K</t>
  </si>
  <si>
    <t xml:space="preserve">B2K  #B2K-01-s1+B2K-01-s2  -  south end of east office front (office 108 / queue area 103), hatched K, west of A1K-01</t>
  </si>
  <si>
    <t xml:space="preserve">B2K-01-s1+B2K-01-s2</t>
  </si>
  <si>
    <t xml:space="preserve">south end of east office front (office 108 / queue area 103), hatched K, west of A1K-01</t>
  </si>
  <si>
    <t xml:space="preserve">1/A12.01+4/A12.01</t>
  </si>
  <si>
    <t xml:space="preserve">TOTAL - PARTITIONS</t>
  </si>
  <si>
    <t xml:space="preserve">TYPE OTHER FRAMING (NOT A PARTITION)</t>
  </si>
  <si>
    <t xml:space="preserve">vestibule_head  #VH-S  -  24 HR vestibule glazing front VEST-S (vestibule 100 / 101, doors 101 + sidelites): framing above head</t>
  </si>
  <si>
    <t xml:space="preserve">VH-S</t>
  </si>
  <si>
    <t xml:space="preserve">24 HR vestibule glazing front VEST-S (vestibule 100 / 101, doors 101 + sidelites): framing above head</t>
  </si>
  <si>
    <t xml:space="preserve">7/A12.10</t>
  </si>
  <si>
    <t xml:space="preserve">vestibule_head  #VH-E  -  vestibule glazing front VEST-E (vestibule 100 / central zone 103, door 100A + sidelite), grid 4: framing above head</t>
  </si>
  <si>
    <t xml:space="preserve">VH-E</t>
  </si>
  <si>
    <t xml:space="preserve">vestibule glazing front VEST-E (vestibule 100 / central zone 103, door 100A + sidelite), grid 4: framing above head</t>
  </si>
  <si>
    <t xml:space="preserve">5/A12.10</t>
  </si>
  <si>
    <t xml:space="preserve">storefront_cripples  #SFC-G  -  100 VESTIBULE</t>
  </si>
  <si>
    <t xml:space="preserve">SFC-G</t>
  </si>
  <si>
    <t xml:space="preserve">100 VESTIBULE</t>
  </si>
  <si>
    <t xml:space="preserve">2/A09.26</t>
  </si>
  <si>
    <t xml:space="preserve">storefront_cripples  #SFC-F  -  103 CENTRAL ZONE</t>
  </si>
  <si>
    <t xml:space="preserve">SFC-F</t>
  </si>
  <si>
    <t xml:space="preserve">103 CENTRAL ZONE</t>
  </si>
  <si>
    <t xml:space="preserve">storefront_cripples  #SFC-W  -  100 VESTIBULE</t>
  </si>
  <si>
    <t xml:space="preserve">SFC-W</t>
  </si>
  <si>
    <t xml:space="preserve">roof_step  #RS-1  -  interior (roof step)</t>
  </si>
  <si>
    <t xml:space="preserve">RS-1</t>
  </si>
  <si>
    <t xml:space="preserve">interior (roof step)</t>
  </si>
  <si>
    <t xml:space="preserve">4/A02.02</t>
  </si>
  <si>
    <t xml:space="preserve">roof_step  #RS-2  -  interior (roof step)</t>
  </si>
  <si>
    <t xml:space="preserve">RS-2</t>
  </si>
  <si>
    <t xml:space="preserve">roof_step  #RS-3  -  interior (roof step)</t>
  </si>
  <si>
    <t xml:space="preserve">RS-3</t>
  </si>
  <si>
    <t xml:space="preserve">fascia_box  #FAS-S  -  FAS-S</t>
  </si>
  <si>
    <t xml:space="preserve">FAS-S</t>
  </si>
  <si>
    <t xml:space="preserve">A04.01; 3/A09.26</t>
  </si>
  <si>
    <t xml:space="preserve">ceiling_transition  #CT-104N  -  103 (ACT-4 11'-6" side) / 104 (GB side, 6" above GB ceiling) / 104 (bottom return)</t>
  </si>
  <si>
    <t xml:space="preserve">CT-104N</t>
  </si>
  <si>
    <t xml:space="preserve">103 (ACT-4 11'-6" side) / 104 (GB side, 6" above GB ceiling) / 104 (bottom return)</t>
  </si>
  <si>
    <t xml:space="preserve">7/A09.33</t>
  </si>
  <si>
    <t xml:space="preserve">ceiling_transition  #CT-104E  -  103 (ACT-4 11'-6" side) / 104 (GB side, 6" above GB ceiling) / 104 (bottom return)</t>
  </si>
  <si>
    <t xml:space="preserve">CT-104E</t>
  </si>
  <si>
    <t xml:space="preserve">ceiling_transition  #CT-104W  -  103 (ACT-4 11'-6" side) / 104 (GB side, 6" above GB ceiling) / 104 (bottom return)</t>
  </si>
  <si>
    <t xml:space="preserve">CT-104W</t>
  </si>
  <si>
    <t xml:space="preserve">soffit_side  #SS-116E-N  -  116 cash window (ACT-4 9'-0")</t>
  </si>
  <si>
    <t xml:space="preserve">SS-116E-N</t>
  </si>
  <si>
    <t xml:space="preserve">116 cash window (ACT-4 9'-0")</t>
  </si>
  <si>
    <t xml:space="preserve">9/A12.08</t>
  </si>
  <si>
    <t xml:space="preserve">soffit_side  #SS-116E-S  -  116 cash window (ACT-4 9'-0")</t>
  </si>
  <si>
    <t xml:space="preserve">SS-116E-S</t>
  </si>
  <si>
    <t xml:space="preserve">soffit_side  #SS-116W-N  -  103 central zone (ACT-4 9'-0")</t>
  </si>
  <si>
    <t xml:space="preserve">SS-116W-N</t>
  </si>
  <si>
    <t xml:space="preserve">103 central zone (ACT-4 9'-0")</t>
  </si>
  <si>
    <t xml:space="preserve">soffit_side  #SS-116W-S  -  103 central zone (ACT-4 9'-0")</t>
  </si>
  <si>
    <t xml:space="preserve">SS-116W-S</t>
  </si>
  <si>
    <t xml:space="preserve">grille_head  #GH-103  -  103</t>
  </si>
  <si>
    <t xml:space="preserve">GH-103</t>
  </si>
  <si>
    <t xml:space="preserve">2-1/2"</t>
  </si>
  <si>
    <t xml:space="preserve">103</t>
  </si>
  <si>
    <t xml:space="preserve">4/A08.21</t>
  </si>
  <si>
    <t xml:space="preserve">fascia_box  #FAS-W-s1  -  FAS-W-s1</t>
  </si>
  <si>
    <t xml:space="preserve">FAS-W-s1</t>
  </si>
  <si>
    <t xml:space="preserve">A04.01; 16/A09.27</t>
  </si>
  <si>
    <t xml:space="preserve">fascia_box  #FAS-W-s2  -  FAS-W-s2</t>
  </si>
  <si>
    <t xml:space="preserve">FAS-W-s2</t>
  </si>
  <si>
    <t xml:space="preserve">fascia_box  #FAS-E-s1  -  FAS-E-s1</t>
  </si>
  <si>
    <t xml:space="preserve">FAS-E-s1</t>
  </si>
  <si>
    <t xml:space="preserve">A04.01; 7/A09.26</t>
  </si>
  <si>
    <t xml:space="preserve">fascia_box  #FAS-E-s2  -  FAS-E-s2</t>
  </si>
  <si>
    <t xml:space="preserve">FAS-E-s2</t>
  </si>
  <si>
    <t xml:space="preserve">fascia_box  #FAS-N-s1  -  FAS-N-s1</t>
  </si>
  <si>
    <t xml:space="preserve">FAS-N-s1</t>
  </si>
  <si>
    <t xml:space="preserve">fascia_box  #FAS-N-s2  -  FAS-N-s2</t>
  </si>
  <si>
    <t xml:space="preserve">FAS-N-s2</t>
  </si>
  <si>
    <t xml:space="preserve">fascia_box  #FAS-N-s3  -  FAS-N-s3</t>
  </si>
  <si>
    <t xml:space="preserve">FAS-N-s3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</si>
  <si>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</si>
  <si>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</si>
  <si>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</si>
  <si>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</si>
  <si>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</si>
  <si>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</si>
  <si>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</si>
  <si>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</si>
  <si>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</si>
  <si>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</si>
  <si>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</si>
  <si>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</si>
  <si>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600S137-33 / 600S162-54 (exterior CFMF + A5, B2, B2K interior)</t>
  </si>
  <si>
    <t xml:space="preserve">LF</t>
  </si>
  <si>
    <t xml:space="preserve">stick 20 ft</t>
  </si>
  <si>
    <t xml:space="preserve">familias_out.json '6" stud (all gauges)' (canon.py); chain: A02.01 -&gt; A12.01 schedule -&gt; C/A09.21, 10/S5.10 -&gt; S1.11, 7/S5.20 (RFI-OPN-09 gauge)</t>
  </si>
  <si>
    <t xml:space="preserve">6" parapet stud 600S162-54 (parapet infill bay by bay, E3)</t>
  </si>
  <si>
    <t xml:space="preserve">familias_out.json '6" parapet stud' (canon.py); chain: A02.02 -&gt; A09.21/A09.22/A09.23 -&gt; 4/A09.26 -&gt; 6/S5.10, 11/S5.10</t>
  </si>
  <si>
    <t xml:space="preserve">3-5/8" metal stud 362S137-33 (A1, A1K, B, C1, F partitions; canopy joists / fascia; column wraps; transitions)</t>
  </si>
  <si>
    <t xml:space="preserve">familias_out.json '3-5/8" stud (all gauges)' (canon.py); chain: A02.01 -&gt; A12.01 -&gt; 3/4/5/6/12 A12.01 -&gt; 7/S5.20; A04.01 -&gt; 7/A09.26, 7/A09.33; 5/A09.25</t>
  </si>
  <si>
    <t xml:space="preserve">1-5/8" metal stud 162S125-33 (G / G1 double row, office front bulkheads)</t>
  </si>
  <si>
    <t xml:space="preserve">familias_out.json '1-5/8" stud' (canon.py); chain: A02.01 -&gt; A12.01 -&gt; 5/A12.01, 8/A12.01, 9/A12.01, 10/A12.01 -&gt; 7/S5.20</t>
  </si>
  <si>
    <t xml:space="preserve">Bottom track (all sizes, per stud size of each wall; doors not deducted, E10)</t>
  </si>
  <si>
    <t xml:space="preserve">familias_out.json 'bottom track (all)' (canon.py); chain: A02.01 -&gt; A12.01 details -&gt; 7/S5.20</t>
  </si>
  <si>
    <t xml:space="preserve">Top / deflection track (all sizes; deflection track at deck / beam, 10/S5.10)</t>
  </si>
  <si>
    <t xml:space="preserve">run 10 ft</t>
  </si>
  <si>
    <t xml:space="preserve">familias_out.json 'top / deflection track (all)' (canon.py); chain: A02.01 -&gt; A12.01 details -&gt; 10/S5.10 -&gt; 7/S5.20</t>
  </si>
  <si>
    <t xml:space="preserve">Ceiling / soffit track 362T125-33 (ceiling perimeter, soffits, transitions, canopy joist ends, fascia)</t>
  </si>
  <si>
    <t xml:space="preserve">familias_out.json 'ceiling / soffit track' (canon.py); chain: A04.01 -&gt; 7/A09.33, 10/A09.33, 9/A12.08 -&gt; 7/A09.26 (E13)</t>
  </si>
  <si>
    <t xml:space="preserve">Purlin 1x1x1 16 ga at track to deck parallel to flute (10/A09.33)</t>
  </si>
  <si>
    <t xml:space="preserve">familias_out.json 'purlin (track to deck)' (canon.py); chain: A02.01 / A04.01 -&gt; 10/A09.33 -&gt; S2.20 flute direction</t>
  </si>
  <si>
    <t xml:space="preserve">Header / box beam (metal stud, (R.O. + 1'-4") x pieces, E1/E2)</t>
  </si>
  <si>
    <t xml:space="preserve">familias_out.json 'header / box beam' (canon.py); chain: A00.30 / A09.01-02 -&gt; 11/A09.27, 4/A08.21, 8/A12.01, 9/A12.01, A12.10 -&gt; 7/S5.20 header schedule</t>
  </si>
  <si>
    <t xml:space="preserve">Sill track ((R.O. + 1'-4") x pieces, double &gt; 4'-0", E18)</t>
  </si>
  <si>
    <t xml:space="preserve">familias_out.json 'sill track' (canon.py); chain: A09.01-02 -&gt; 10/A09.27, A08.11 -&gt; 2/S5.20</t>
  </si>
  <si>
    <t xml:space="preserve">Bracing 1-1/2" C.R. channel @ 48" (rows = ROUNDUP(H x 12 / 48) - 1)</t>
  </si>
  <si>
    <t xml:space="preserve">C.R. channel 16 ft</t>
  </si>
  <si>
    <t xml:space="preserve">familias_out.json 'bracing C.R. channel' (canon.py); chain: A12.01 -&gt; F/1/S5.20</t>
  </si>
  <si>
    <t xml:space="preserve">Framed openings MEP (recessed fixtures, slot diffusers, access panel) 3-5/8" track</t>
  </si>
  <si>
    <t xml:space="preserve">framed_openings_out.json 'framed openings MEP'; chain: A04.01 -&gt; E00.01, E02.01 (contar_tags.py), M01.01, M00.03</t>
  </si>
  <si>
    <t xml:space="preserve">Furring channel 7/8" @ 16" O.C. (suspended GWB ceilings)</t>
  </si>
  <si>
    <t xml:space="preserve">hat channel 12 ft</t>
  </si>
  <si>
    <t xml:space="preserve">familias_out.json 'furring channel' (canon.py); chain: A04.01 SUSPENDED GWB legend -&gt; RFI-OPN-08 (spacing not printed)</t>
  </si>
  <si>
    <t xml:space="preserve">Carrying channel 1-1/2" C.R. @ 48" O.C.</t>
  </si>
  <si>
    <t xml:space="preserve">familias_out.json 'carrying channel' (canon.py); chain: A04.01 -&gt; RFI-OPN-08 / RFI-OPN-12</t>
  </si>
  <si>
    <t xml:space="preserve">Hanger wire 12 ga (LF = hangers x height per room, E4)</t>
  </si>
  <si>
    <t xml:space="preserve">familias_out.json 'hanger wire' (canon.py); chain: A04.01 -&gt; S2.20 B.O.D. per room</t>
  </si>
  <si>
    <t xml:space="preserve">5/8" gypsum board regular (walls + ceilings)</t>
  </si>
  <si>
    <t xml:space="preserve">SF</t>
  </si>
  <si>
    <t xml:space="preserve">4x12 sheet</t>
  </si>
  <si>
    <t xml:space="preserve">familias_out.json '5/8" gyp board regular (walls + ceilings)' (canon.py); chain: A02.01 -&gt; A12.01 details (face by face) -&gt; A04.01 ceilings</t>
  </si>
  <si>
    <t xml:space="preserve">5/8" gypsum board MOISTURE RESISTANT (behind toilet / lavatory, F/A08.01)</t>
  </si>
  <si>
    <t xml:space="preserve">familias_out.json '5/8" gyp MOISTURE RESISTANT' (canon.py); chain: A08.01 note F -&gt; C1 chase faces (D1)</t>
  </si>
  <si>
    <t xml:space="preserve">Ballistic panel 3/8" UL752 Level 2 fiberglass (Kevlar hatch, K types)</t>
  </si>
  <si>
    <t xml:space="preserve">4x8 sheet</t>
  </si>
  <si>
    <t xml:space="preserve">familias_out.json 'ballistic panel' (canon.py); chain: A02.01 legend -&gt; 4/A12.01 (R70.4 / R70.5)</t>
  </si>
  <si>
    <t xml:space="preserve">3/8" gypsum board over ballistic panel</t>
  </si>
  <si>
    <t xml:space="preserve">familias_out.json '3/8" gyp board' (canon.py); chain: 4/A12.01</t>
  </si>
  <si>
    <t xml:space="preserve">5/8" glass mat sheathing (base strip + canopy band)</t>
  </si>
  <si>
    <t xml:space="preserve">familias_out.json '5/8" glass mat sheathing' (canon.py); chain: A09.01-02 -&gt; 5/A09.26, 9/A09.27, 3/A09.26, 7/A09.26</t>
  </si>
  <si>
    <t xml:space="preserve">5/8" EXTERIOR gypsum sheathing (parapet roof side)</t>
  </si>
  <si>
    <t xml:space="preserve">familias_out.json '5/8" EXTERIOR gyp sheathing' (canon.py); chain: A02.02 -&gt; 4/A09.26 (53.5)</t>
  </si>
  <si>
    <t xml:space="preserve">Cement board at tile cove base (58.7)</t>
  </si>
  <si>
    <t xml:space="preserve">3x5 sheet</t>
  </si>
  <si>
    <t xml:space="preserve">familias_out.json 'cement board' (canon.py); chain: A05.01 / A08.01 -&gt; 3/A08.01</t>
  </si>
  <si>
    <t xml:space="preserve">FRP panel (restrooms + mop sink)</t>
  </si>
  <si>
    <t xml:space="preserve">familias_out.json 'FRP' (canon.py); chain: A08.01 -&gt; 3/A08.01, 5/A08.01</t>
  </si>
  <si>
    <t xml:space="preserve">Metal trim - corner bead, casing bead, shadow molding (53.1)</t>
  </si>
  <si>
    <t xml:space="preserve">trim stick 10 ft</t>
  </si>
  <si>
    <t xml:space="preserve">familias_out.json 'metal trim (corner bead, casing, shadow molding)' (canon.py); chain: A12.01 details, 4/A08.21, 9/A12.08, A12.10 -&gt; jamb returns (A5) + transitions</t>
  </si>
  <si>
    <t xml:space="preserve">Acoustical sealant (per partition type detail, top / bottom x faces)</t>
  </si>
  <si>
    <t xml:space="preserve">tube (25 LF per tube)</t>
  </si>
  <si>
    <t xml:space="preserve">familias_out.json 'acoustical sealant' (canon.py); chain: A12.01 details (sealant per type) -&gt; 8/9 A12.01 bulkhead beads</t>
  </si>
  <si>
    <t xml:space="preserve">Metal stud blocking 362CR / STUD BLOCKING (4/S5.20, edge of gypboard)</t>
  </si>
  <si>
    <t xml:space="preserve">familias_out.json 'metal stud blocking (362CR / STUD BLOCKING)' (canon.py); chain: 4/S5.20 -&gt; walls taller than sheet length; wall stops (A00.30 hardware groups)</t>
  </si>
  <si>
    <t xml:space="preserve">FRT blocking (millwork, toilet accessories, parapet, grille jambs)</t>
  </si>
  <si>
    <t xml:space="preserve">piece 8 ft</t>
  </si>
  <si>
    <t xml:space="preserve">familias_out.json 'FRT blocking' (canon.py); chain: A00.30 MW schedule -&gt; A12.03-A12.06 note D; A08.01 note E; 4/A09.26; 3/A08.21; 13/A12.02</t>
  </si>
  <si>
    <t xml:space="preserve">5/8" exterior grade FRT plywood (canopy soffits, fascia, column wraps)</t>
  </si>
  <si>
    <t xml:space="preserve">4x12 ft sheet (Inputs)</t>
  </si>
  <si>
    <t xml:space="preserve">familias_out.json FRT plywood by material; canon rows</t>
  </si>
  <si>
    <t xml:space="preserve">5/8" FRT plywood bonded to 2-1/2" polyiso (exterior sheathing / nailbase)</t>
  </si>
  <si>
    <t xml:space="preserve">3/4" FRT plywood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</si>
  <si>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</si>
  <si>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</si>
  <si>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</si>
  <si>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</si>
  <si>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</si>
  <si>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</si>
  <si>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2/S5.20 ADD FULL LENGTH ADDL HEAD TRACK @ OPNG &gt; 4'-0"; E1 estimator decision (R.O. + 1'-4"); 9/S5.20 typical opening</t>
  </si>
  <si>
    <t xml:space="preserve">Stud reinforcement at MEP penetrations</t>
  </si>
  <si>
    <t xml:space="preserve">each</t>
  </si>
  <si>
    <t xml:space="preserve">accesorios.py [CRITERION]: 6/S5.20; M01.01; 6/S5.20; P01.02 registered to A02.01 (dx -703.5, dy 49.5 pt); 1-1/2" CW label; 6/S5.20; P01.01 registered to A02.01 (dx -703.5, dy 49.5 pt); 2" V label; 6/S5.20; P01.01 registered to A02.01 (dx -703.5, dy 49.5 pt); 2" ST la</t>
  </si>
  <si>
    <t xml:space="preserve">Extra framing - sistered stud and furring at the ATM recess</t>
  </si>
  <si>
    <t xml:space="preserve">accesorios.py [CRITERION]: 6/A08.11</t>
  </si>
  <si>
    <t xml:space="preserve">2-1/2" CFMF @ 16" O.C. at coiling grille head (4/A08.21)</t>
  </si>
  <si>
    <t xml:space="preserve">accesorios.py [DERIVED]: 4/A08.21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</si>
  <si>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</si>
  <si>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</si>
  <si>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</si>
  <si>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A-D/A08.01 5'-0" TO TOP OF FRP; toilet room finish schedule WC-3 (FRP, A00.40); 1/A08.01 vector: room rectangle with 1 notch at the lavatory/chase corner (x 2137.92 -&gt; 2199.12 pt); A05.01 key note 6 FRP FROM FLOOR TO 4'-0" AFF, WIDTH TO MAT</t>
  </si>
  <si>
    <t xml:space="preserve">Power-driven fasteners and duct sleeves</t>
  </si>
  <si>
    <t xml:space="preserve">accesorios.py [DERIVED]: 11/S5.10 PAFs SPACED AT 12" O.C. MAX; M01.01; M01.01 registered to A02.01 (dx -572.0, dy 22.0 pt); duct edges cross both wall faces</t>
  </si>
  <si>
    <t xml:space="preserve">Access panel 2'x2'</t>
  </si>
  <si>
    <t xml:space="preserve">accesorios.py [CONFIRMED]: A04.01 key note 4 '2' X 2' LOCKING ACCESS PANEL. KEYED TO MATCH MAIN ENTRY.' (vestibule 100 GWB ceiling)</t>
  </si>
  <si>
    <t xml:space="preserve">Drywall screws 1-1/4" bugle head</t>
  </si>
  <si>
    <t xml:space="preserve">accesorios.py [DERIVED]: Inputs!B20 (Drywall screws per SF of board = 1.2) x 17783.1 SF of board</t>
  </si>
  <si>
    <t xml:space="preserve">Framing screws, pan head self-drilling</t>
  </si>
  <si>
    <t xml:space="preserve">accesorios.py [DERIVED]: Inputs!B21 (Framing screws per stud piece = 4) x 1787 stud pieces</t>
  </si>
  <si>
    <t xml:space="preserve">Power-driven fasteners, slab pins for the bottom track</t>
  </si>
  <si>
    <t xml:space="preserve">accesorios.py [DERIVED]: 490.54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</si>
  <si>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</si>
  <si>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243.04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</si>
  <si>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</si>
  <si>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</si>
  <si>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</si>
  <si>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17783.1 SF of board</t>
  </si>
  <si>
    <t xml:space="preserve">Joint tape, paper</t>
  </si>
  <si>
    <t xml:space="preserve">accesorios.py [DERIVED]: Inputs!B24 (Joint tape (LF per SF) = 0.37) x 17783.1 SF of board</t>
  </si>
  <si>
    <t xml:space="preserve">Level 5 finish</t>
  </si>
  <si>
    <t xml:space="preserve">accesorios.py [DERIVED]: A05.01 WC-18 tag room 105; A00.40 WC-18 WALL SURFACE TO BE LEVEL 5; A11.04 OFFICE 1 - SOUTH; A05.01 WC-18 tag room 106; A00.40 WC-18 WALL SURFACE TO BE LEVEL 5; 1/A11.01 OFFICE 2 - SOUTH; A05.01 WC-18 tag room 107; A00.40 WC-18 WALL SURFACE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</si>
  <si>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</si>
  <si>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</si>
  <si>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</si>
  <si>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</si>
  <si>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</si>
  <si>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106.27 lf</t>
  </si>
  <si>
    <t xml:space="preserve">RFI-ACC-extra-framing-atm</t>
  </si>
  <si>
    <t xml:space="preserve">extra framing ATM: ATM-DU: ATM recess not fully dimensioned (width CONFIRMED, sistered height CRITERION, furring rows DERIVED)</t>
  </si>
  <si>
    <t xml:space="preserve">7.21 lf</t>
  </si>
  <si>
    <t xml:space="preserve">RFI-ACC-gypsum-board-jamb-return</t>
  </si>
  <si>
    <t xml:space="preserve">gypsum board jamb return: jamb return width not dimensioned</t>
  </si>
  <si>
    <t xml:space="preserve">-60.59 sf</t>
  </si>
  <si>
    <t xml:space="preserve">RFI-ACC-slab-pins</t>
  </si>
  <si>
    <t xml:space="preserve">slab pins: pin spacing: 12" (interior anchorage) vs 16" (fastener schedule) vs 24" (type K box)</t>
  </si>
  <si>
    <t xml:space="preserve">16in: -122.64 pcs; 24in: -245.27 pcs</t>
  </si>
  <si>
    <t xml:space="preserve">RFI-ACC-stud-reinforcement-mep</t>
  </si>
  <si>
    <t xml:space="preserve">stud reinforcement MEP: penetrations from registered vector crossing; walls assumed to structure; E sheets not swept (RFI-ACC-05)</t>
  </si>
  <si>
    <t xml:space="preserve">+/-1 plate per crossing (40 crossings)</t>
  </si>
  <si>
    <t xml:space="preserve">RFI-ACC-extra-framing-atm-2</t>
  </si>
  <si>
    <t xml:space="preserve">extra framing ATM: ATM-DU sistered stud height not dimensioned (6'-0" criterion); furring = cladding excluded (RFI-ACC-06, RFI-OPN-04)</t>
  </si>
  <si>
    <t xml:space="preserve">+/-6 LF 2-1/2" stud</t>
  </si>
  <si>
    <t xml:space="preserve">RFI-ACC-level-5-finish</t>
  </si>
  <si>
    <t xml:space="preserve">Level 5 finish: A05.01 key note 9 WC-20 LEVEL 5 not tagged on any wall (RFI-OPN-10)</t>
  </si>
  <si>
    <t xml:space="preserve">0 SF if WC-20 absent; else L x H of each WC-20 wall</t>
  </si>
  <si>
    <t xml:space="preserve">RFI-OPN-01</t>
  </si>
  <si>
    <t xml:space="preserve">VEST-S / VEST-E box header: 4-7/A12.10 'METAL STUD FRAMING &amp; BOX HEADER AS NEEDED': box size, stud depth and head height not printed. Confirm box header over both vestibule glazing fronts.</t>
  </si>
  <si>
    <t xml:space="preserve">(15.646 + 1.333) x 4 + (6.417 + 1.333) x 4 = 98.9 LF header if counted (E11 counts it); 0 if not required</t>
  </si>
  <si>
    <t xml:space="preserve">RFI-OPN-02</t>
  </si>
  <si>
    <t xml:space="preserve">Office front CONT. BOX BEAM runs: Run length of CONT. BOX BEAM along east (105-108) and west (109-110) office fronts is not dimensioned; vector lengths used.</t>
  </si>
  <si>
    <t xml:space="preserve">east 42.73 ft, west 21.48 ft x 4 pcs; +/-1 ft per run = +/-4 LF each</t>
  </si>
  <si>
    <t xml:space="preserve">RFI-OPN-03</t>
  </si>
  <si>
    <t xml:space="preserve">ATM-DU R.O.: Drive-up ATM R.O. width 2'-2 1/2" (7/A08.11) vs 2'-2 1/8" (26.4", 5/A08.11). Which governs?</t>
  </si>
  <si>
    <t xml:space="preserve">0.031 ft x (4 box pcs + 2 sill) = 0.19 LF</t>
  </si>
  <si>
    <t xml:space="preserve">RFI-OPN-04</t>
  </si>
  <si>
    <t xml:space="preserve">ATM-DU sill / recess: Sill height above slab not dimensioned (only 2'-8 1/8" above finished drive lane); height of 2 1/2" studs sistered to 6" studs not dimensioned.</t>
  </si>
  <si>
    <t xml:space="preserve">sistered studs: (ROUNDUP(2.208/1.333)+1) = 3 x h; h 4-6 ft -&gt; 12-18 LF 2-1/2" stud</t>
  </si>
  <si>
    <t xml:space="preserve">RFI-OPN-05</t>
  </si>
  <si>
    <t xml:space="preserve">grille 103 head height: A00.30 lists door 103 height 13'-6 1/2" (not consistent with 2/A08.21 / 4/A08.21); grille opening head height not printed.</t>
  </si>
  <si>
    <t xml:space="preserve">grille jamb/king studs and wall above: per 1 ft of head height x 4 jambs = 4 LF; head chain (18"+6") unaffected</t>
  </si>
  <si>
    <t xml:space="preserve">RFI-OPN-06</t>
  </si>
  <si>
    <t xml:space="preserve">HM door R.O.: Door R.O. not printed; derived as door + 2 x 2" frame face (10,11/A12.02) and height + 2".</t>
  </si>
  <si>
    <t xml:space="preserve">if R.O. = door + 4 1/4": +0.02 ft per piece; 3'-4" R.O. sits at the 7/S5.20 SINGLE TRACK limit (3'-4") - any larger R.O. moves to DOUBLE TRACK: (3.354 + 1.333) x 1 = +4.69 LF per door (16 type A doors + 123)</t>
  </si>
  <si>
    <t xml:space="preserve">RFI-OPN-07</t>
  </si>
  <si>
    <t xml:space="preserve">Elevation titles: 1/A09.01 titled SOUTH ELEVATION shows the plan north (entry) face; 1/A09.02 titled NORTH shows the south face (S2.20 'BUILDING FOOTPRINT MIRRORED NORTH-SOUTH'). Refs use plan orientation.</t>
  </si>
  <si>
    <t xml:space="preserve">0 (labels only)</t>
  </si>
  <si>
    <t xml:space="preserve">RFI-OPN-08</t>
  </si>
  <si>
    <t xml:space="preserve">Suspended GWB ceiling spacing: Furring channel, carrying channel and hanger spacing for NEW SUSPENDED GYPSUM WALL BOARD not printed; assumed 16" / 48" / 48".</t>
  </si>
  <si>
    <t xml:space="preserve">furring @ 24" instead of 16" = -33 % furring LF</t>
  </si>
  <si>
    <t xml:space="preserve">RFI-OPN-09</t>
  </si>
  <si>
    <t xml:space="preserve">Exterior stud gauge / spacing: S1.11 LGSF note 5: 600S162-54 @ 12" O.C. within 6 ft of building corners and @ 16" elsewhere; 7/S5.20 lists 600S137-33 @ 16" for exterior walls.</t>
  </si>
  <si>
    <t xml:space="preserve">@12" within 6 ft of each corner: ~+1-2 studs per corner side x H</t>
  </si>
  <si>
    <t xml:space="preserve">RFI-OPN-10</t>
  </si>
  <si>
    <t xml:space="preserve">Level 5 WC-20: A05.01 key note 9 requires LEVEL 5 for WC-20, which is not in the A00.40 legend nor tagged.</t>
  </si>
  <si>
    <t xml:space="preserve">0 SF if WC-20 absent; else L x H of WC-20 walls</t>
  </si>
  <si>
    <t xml:space="preserve">RFI-OPN-11</t>
  </si>
  <si>
    <t xml:space="preserve">Window box beam: 11/A09.27 'METAL STUD BOX BEAM OR STEEL FRAMING AS REQUIRED': counted as metal stud box beam (E19), 4 pcs; stud depth not printed (6" assumed from wall).</t>
  </si>
  <si>
    <t xml:space="preserve">(8 + 1.333) x 4 x 6 windows = 224 LF 6" (0 if steel)</t>
  </si>
  <si>
    <t xml:space="preserve">RFI-OPN-12</t>
  </si>
  <si>
    <t xml:space="preserve">Carrying channel direction: Direction of carrying channels for suspended GWB ceilings not shown.</t>
  </si>
  <si>
    <t xml:space="preserve">depends on room proportions (carrying LF per room)</t>
  </si>
  <si>
    <t xml:space="preserve">RFI-OPN-13</t>
  </si>
  <si>
    <t xml:space="preserve">Board sheet length: Gypsum board sheet length not specified in set; 12 ft assumed (estimator stock).</t>
  </si>
  <si>
    <t xml:space="preserve">blocking / joint backing at faces &gt; sheet length</t>
  </si>
  <si>
    <t xml:space="preserve">RFI-INT1-01</t>
  </si>
  <si>
    <t xml:space="preserve">Kevlar (K) customer side / ballistic contour: A02.01 hatch NEW PARTITION WITH KEVLAR REINFORCEMENT wraps both ends of the teller counter strip (B2K + A1K at north, A1K at south). 4/A12.01 puts the panel on the CUSTOMER side; plan does not say which face is customer for B2K and the jogs. Taken: side away from the teller strip (office 108 / FUTURE FCAM), contour = 11.745 ft.</t>
  </si>
  <si>
    <t xml:space="preserve">customer = queue side instead: contour 5.772 + 5.767 = 11.539 ft -&gt; ballistic -0.21 x 8 = -1.6 SF; 3/8" -0.21 x (H - 8) = -1.2 SF</t>
  </si>
  <si>
    <t xml:space="preserve">RFI-INT1-02</t>
  </si>
  <si>
    <t xml:space="preserve">B2K partition type: Tag B2K (PC0011) is not in the A12.01 partition schedule. Assumed B2 (1/A12.01, 6" studs, board to structure) + K panel (4/A12.01) = 7 5/8" (measured 7.67"). Extent: hatch starts at x 1627 pt, wall outline at x 1622 (office front stub at x 1622-1631).</t>
  </si>
  <si>
    <t xml:space="preserve">type: if A1K (3 5/8") -&gt; 1.78 LF moves 6" -&gt; 3 5/8" stud/track; length 1.778 vs 1.261 ft (-0.517 ft: -0.52 x 2 tracks, -4.1 SF ballistic, -16 SF 5/8")</t>
  </si>
  <si>
    <t xml:space="preserve">RFI-INT1-03</t>
  </si>
  <si>
    <t xml:space="preserve">K wall stud gauge / spacing: 4/A12.01: 14 GA METAL STUDS @ 24" O.C. MAX vs 7/S5.20 interior 362S137-33 @ 16" O.C. Used 16" O.C. (meets both) and 14 GA.</t>
  </si>
  <si>
    <t xml:space="preserve">@ 24": A1K-01 -1 x 15.375, A1K-02 -2 x 12.94 (3 5/8"), B2K -1 x 15.375 (6") -&gt; -41.3 LF 3 5/8", -15.4 LF 6"</t>
  </si>
  <si>
    <t xml:space="preserve">RFI-INT1-04</t>
  </si>
  <si>
    <t xml:space="preserve">Doors at a partition type change: door 116 sits between A5 (PT0017) and B2 (PT0027) on line x 1622-1633; door 118B between A5 (west 122) and A1 (PT0008). Assigned door 116 to A5-03 and door 118B to A1-08 (R70.3: door inside one run).</t>
  </si>
  <si>
    <t xml:space="preserve">door 116 in B2 instead: A5 -3.333 LF / B2 +3.333 LF (6" both; B2 board to structure: +3.333 x (12.9 - 9.25) x 2 faces = +24 SF); door 118B in A5: A1 -3.333 / A5 +3.333 LF</t>
  </si>
  <si>
    <t xml:space="preserve">RFI-INT1-05</t>
  </si>
  <si>
    <t xml:space="preserve">Drinking fountain alcove walls (no tag): Alcove walls between restrooms 114/113 (4 7/8" thick, no tag) taken as A1 by note A/A02.01; adjacent restroom walls are B2 (7 1/4").</t>
  </si>
  <si>
    <t xml:space="preserve">if B (board to structure both faces): +8.68 x (12.96 - 9.0) x 2 = +68.7 SF 5/8"; if B2: 3 5/8" -&gt; 6" 8.68 LF</t>
  </si>
  <si>
    <t xml:space="preserve">RFI-INT1-06</t>
  </si>
  <si>
    <t xml:space="preserve">A1-07 V leg under W14x22 / A1-10 next to W14x22: The 1.73 ft V leg of A1-07 (x 1523-1530) lies under S2.20 W14x22 at x 1524.9; the run is carried at one height (12.93 ft, H leg).</t>
  </si>
  <si>
    <t xml:space="preserve">V leg studs stop at 11.79 ft: 3 studs x -1.14 = -3.4 LF 3 5/8" stud; same check for A1-10 back wall (W14x22 x 1089.5 just west of band, taken NOT under): if under, 4.89 ft -&gt; 5 studs x -1.14 = -5.7 LF</t>
  </si>
  <si>
    <t xml:space="preserve">RFI-INT2-01</t>
  </si>
  <si>
    <t xml:space="preserve">Untagged office-front end stubs: G-01 (2.42 ft) and G-07 (4") east; G1-02 (4") and G1-04 (2.67 ft) west are drawn as office-front stubs with the thickness of the tagged G / G1 stubs but carry no tag (note A: untagged = A1). Typed G / G1 by graphic.</t>
  </si>
  <si>
    <t xml:space="preserve">5.76 ft of G/G1 double-row 1-5/8" + 2 layers/face vs A1 single-row 3-5/8" (approx. +5.8 LF track x 2 rows, +4 board layers)</t>
  </si>
  <si>
    <t xml:space="preserve">RFI-INT2-02</t>
  </si>
  <si>
    <t xml:space="preserve">Office bulkhead stud height: 8, 9/A12.01: CONT. BOX BEAM depth not printed; bulkhead studs counted from the HOLD 8'-0 1/2" (7/A11.01) to structure.</t>
  </si>
  <si>
    <t xml:space="preserve">per 1 ft of box depth: 6 bulkheads x 7.5 ft x 2 rows -&gt; about -68 LF 1-5/8" stud</t>
  </si>
  <si>
    <t xml:space="preserve">RFI-INT2-03</t>
  </si>
  <si>
    <t xml:space="preserve">Storefront pier framing height (C1-01, C1-02): Piers straddle grid F (canopy B.O.D. 11'-9" vs high roof 15'-4 1/2") and the F-line W12x19 crosses the box; studs taken to the high-roof B.O.D.</t>
  </si>
  <si>
    <t xml:space="preserve">-3.6 ft x 16 studs = -58 LF (3-5/8" + 6") if framed to canopy B.O.D.</t>
  </si>
  <si>
    <t xml:space="preserve">RFI-INT2-04</t>
  </si>
  <si>
    <t xml:space="preserve">C1 board height: 6/A12.01 draws the 5/8" gyp to the top of the detail without termination; taken full height to structure (chase faces MR).</t>
  </si>
  <si>
    <t xml:space="preserve">if to ceiling + 6": C1-05/06 -(12.9 - 9.0) x 10.03 x 2 = -78 SF MR; C1-07 -(15.375 - 11.5) x 10.62 = -41 SF; C1-08 -(12.9 - 9.5) x 2.98 = -10 SF</t>
  </si>
  <si>
    <t xml:space="preserve">RFI-INT2-05</t>
  </si>
  <si>
    <t xml:space="preserve">Janitor / storage dividing wall type: Wall B-05 carries a half-size 'B' symbol (PA0034, ambiguous in the inventory). Taken as type B.</t>
  </si>
  <si>
    <t xml:space="preserve">0 LF (B and A1 are both 3 5/8" 4 7/8"); board B to structure vs A1 ceiling + 6": 2 faces x 3.5 x (12.74 - open-to-structure) = 0 (RCP keynote 1 open to structure)</t>
  </si>
  <si>
    <t xml:space="preserve">RFI-INT2-06</t>
  </si>
  <si>
    <t xml:space="preserve">Beams offset from wall lines: S2.20 beams whose axis falls just outside the wall band (W14x30 grid 7 E-B vs east front; W8x10 grid D/C vs G-10, B-04; W12x14 grid 4 vs VH-E): walls taken to deck (vigas_sobre_walls.py tol 3 pt flags them).</t>
  </si>
  <si>
    <t xml:space="preserve">east front G-03/G-05/G-07/BH-E3/BH-E4 -1.15 ft each x studs; G-10 2.76 ft run -0.66 ft x studs; VH-E -0.99 ft x 6 studs</t>
  </si>
  <si>
    <t xml:space="preserve">RFI-INT2-07</t>
  </si>
  <si>
    <t xml:space="preserve">Low roof deck height at interior walls: Low roof B.O.D. slopes from 13'-0 5/8" (grid B) to 12'-6 3/8" (grid A); wall heights interpolated linearly by position (V walls at the high end); B2-02 crosses grid B by 0.54 ft and is framed in one piece.</t>
  </si>
  <si>
    <t xml:space="preserve">+/-0.1 ft per wall vs marker reading</t>
  </si>
  <si>
    <t xml:space="preserve">RFI-INT2-08</t>
  </si>
  <si>
    <t xml:space="preserve">B-01 purlin on the north leg: B-01 is one L run (E28); its north leg (9.99 ft, H) is parallel to the flute and would take purlin, but purlin is decided per wall by band (V leg).</t>
  </si>
  <si>
    <t xml:space="preserve">+0.75 x 9.99 = 7.5 LF purlin if the north leg gets it</t>
  </si>
  <si>
    <t xml:space="preserve">RFI-EXT-01</t>
  </si>
  <si>
    <t xml:space="preserve">Grid 2 HSS9x5x5/8 (LLV) B.O.S. 8'-7 1/2" (S2.20) spans from the vestibule pier past SF-west to the column ~E.4/E: Does the 6" CFMF of X-W1 (24 HR vestibule west wall) stop under the HSS lintel with infill above, or run continuous to W12x19 (HI)? Taken continuous.</t>
  </si>
  <si>
    <t xml:space="preserve">if split: +2 x 14.18 LF track (bottom+top of the infill) ; studs -0.75 ft each over 14.18 ft</t>
  </si>
  <si>
    <t xml:space="preserve">RFI-EXT-02</t>
  </si>
  <si>
    <t xml:space="preserve">Roof step upper row height (4/A02.02): TOP OF BLOCKING TO ALIGN WITH HIGHEST POINT OF TAPERED INSULATION: tapered insulation thickness at grid B not printed; taken T/STEEL HI + deck + 6" min. insulation.</t>
  </si>
  <si>
    <t xml:space="preserve">each +1" of insulation = +0.083 ft x ROUNDUP(51.59/1.333)+1 = 40 studs -&gt; +3.3 LF 3-5/8" studs and +4.3 SF nailbase</t>
  </si>
  <si>
    <t xml:space="preserve">RFI-EXT-03</t>
  </si>
  <si>
    <t xml:space="preserve">Wall framing height at sloped low-roof edge beams (grids 3 and 8, B-A): Studs under sloped W14x22 (grids 3 and 8, B-A) taken at the high end B.O.D. 13'-0 5/8" (grid B, 59.13); low end 12'-6 3/8" at grid A.</t>
  </si>
  <si>
    <t xml:space="preserve">if average B.O.D. used: X-E2 / X-W3b -0.2604 ft x 22 studs x 2 = -11.46 LF 6" stud; board -13.23 SF</t>
  </si>
  <si>
    <t xml:space="preserve">RFI-RCP-01</t>
  </si>
  <si>
    <t xml:space="preserve">CSR soffit drop lines: 10/A09.33 shows the CSR soffit against a scheduled partition on one side; 4/A12.08 and 9/A12.08 show ACT-4 9'-0" on both long sides (2 drop lines). 2 used.</t>
  </si>
  <si>
    <t xml:space="preserve">one drop line 12.01 ft: studs 2 pieces (ROUNDUP(6.539/1.333)+1=6 x 7.375 + ROUNDUP(5.472/1.333)+1=6 x ~5.0) = ~74 LF 3-5/8" + 24 LF track + 18 SF board</t>
  </si>
  <si>
    <t xml:space="preserve">RFI-RCP-02</t>
  </si>
  <si>
    <t xml:space="preserve">Vestibule 100 hanger height: North 0.79 ft of vestibule 100 is between grids G-F under the canopy deck (B.O.D. 11'-9"); rest under high roof 15'-4 1/2". High-roof drop used for the whole room.</t>
  </si>
  <si>
    <t xml:space="preserve">one carrying row of hangers (~5 PCS) x (5.375 - 1.75) = -18 LF hanger wire if the strip hangs from canopy deck</t>
  </si>
  <si>
    <t xml:space="preserve">RFI-RCP-03</t>
  </si>
  <si>
    <t xml:space="preserve">Transition vertical stud spacing: 7/A09.33 prints kickers @ 48" O.C. but not the spacing of the vertical studs to structure; 16" assumed (7/S5.20).</t>
  </si>
  <si>
    <t xml:space="preserve">@24": CT-104N 14-&gt;10, CT-104E/W 24-&gt;16 each = -20 studs x 4.375 = -87.5 LF 3-5/8"</t>
  </si>
  <si>
    <t xml:space="preserve">RFI-RCP-04</t>
  </si>
  <si>
    <t xml:space="preserve">CSR soffit side board height: 10/A09.33 runs board 6" above the adjacent scheduled ceiling; 9/A12.08 shows the side to the ceiling line. 1.5 ft (8'-0" to 9'-0" + 6") used.</t>
  </si>
  <si>
    <t xml:space="preserve">0.5 ft x 12.01 x 2 sides = 12.0 SF 5/8" gyp</t>
  </si>
  <si>
    <t xml:space="preserve">RFI-RCP-05</t>
  </si>
  <si>
    <t xml:space="preserve">R-11C / R-11CE length: E00.01 describes R-11C/R-11CE as 12' LINEAR but the model code ends in -20'-0"; A04.01 draws 12'-0" (R-11 (12')). 12' loaded.</t>
  </si>
  <si>
    <t xml:space="preserve">2 x (20 - 12) x 4 = 64 LF framed openings if 20'</t>
  </si>
  <si>
    <t xml:space="preserve">RFI-RCP-06</t>
  </si>
  <si>
    <t xml:space="preserve">Drive-up canopy W soffit framing: 15/A09.27 and 16/A09.27 draw 3 5/8" metal stud framing from wall to fascia (17.1-21.0 ft clear) without span / support notes; joists E-W (wall to fascia) assumed, support to canopy deck (B.O.D. 11'-9") by others.</t>
  </si>
  <si>
    <t xml:space="preserve">joists N-S instead: ROUNDUP(20.983/1.333)+1 = 17 x 49.32 avg = 838 LF vs 802 LF (+36 LF 3-5/8"); track lines change accordingly</t>
  </si>
  <si>
    <t xml:space="preserve">RFI-RCP-07</t>
  </si>
  <si>
    <t xml:space="preserve">Ceiling step 11'-6" -&gt; 9'-0" in the 116 queue (central zone 103) without a wall: A04.01: ACT-4 field of the queue east of 122 (9'-0") meets the central zone 103 (ACT-4 11'-6") on a line at y ~1116 pt (x ~1530-1650) with no partition below (A02.01) and no detail called (7/A09.33 or 8/A09.33). Confirm the closure.</t>
  </si>
  <si>
    <t xml:space="preserve">if 7/A09.33 transition: ~6.9 ft x (2 ceiling track 13.8 LF + 7 vertical studs x (15.375 - 9.0) = 44.6 LF 3-5/8" + kickers @ 48" + board 6.9 x 3.0 = 20.7 SF + trim)</t>
  </si>
  <si>
    <t xml:space="preserve">#</t>
  </si>
  <si>
    <t xml:space="preserve">Item</t>
  </si>
  <si>
    <t xml:space="preserve">Sheet + detail</t>
  </si>
  <si>
    <t xml:space="preserve">Image</t>
  </si>
  <si>
    <t xml:space="preserve">Tag inventory (Stage 1, inventario_tags.py): 49 partition tags on A02.01 + 84 out-of-schedule candidates (MW / GB / E tags, not partitions) + 262 ambiguous symbols not counted. Confirm the numbered list (inventario.md) is complete.</t>
  </si>
  <si>
    <t xml:space="preserve">A02.01</t>
  </si>
  <si>
    <t xml:space="preserve">1_inventario/recortes/OVERVIEW_A02.01_p24.png</t>
  </si>
  <si>
    <t xml:space="preserve">PDF pages 5-7 have no extractable text (raster, civil/survey sheets): not inventoried by script; no Div 05/09 scope expected there.</t>
  </si>
  <si>
    <t xml:space="preserve">pages 5-7</t>
  </si>
  <si>
    <t xml:space="preserve">Facade orientation: north arrow on A02.01 points up (grid G/F = NORTH). Exterior elevation titles 1/A09.01 and 1/A09.02 read inverted N/S (RFI-OPN-07). Canopy fascia facades remapped to N-F / S-A / E-8 / W-2.</t>
  </si>
  <si>
    <t xml:space="preserve">A02.01; A09.01; A09.02</t>
  </si>
  <si>
    <t xml:space="preserve">3_revision/img_orq/north_A0201.png</t>
  </si>
  <si>
    <t xml:space="preserve">Type B2K is tagged on the plan (PC0011) but has no row in the A12.01 schedule: carried as B2 (1/A12.01) + K panel (4/A12.01), 7 5/8" (measured 7.67"). Extent of the K hatch at its west end could reduce B2K to 1.50 ft (RFI-INT1-02).</t>
  </si>
  <si>
    <t xml:space="preserve">1/A12.01; 4/A12.01</t>
  </si>
  <si>
    <t xml:space="preserve">3_revision/img_res_R2/009_028_B2K-01_G-07.png</t>
  </si>
  <si>
    <t xml:space="preserve">Wall B-05 is typed B from an ambiguous small symbol PA0034 (not counted by the inventory). If it is not a tag, the wall is A1 (same 3-5/8" stud, same board).</t>
  </si>
  <si>
    <t xml:space="preserve">2_lectura/A/img_A_int2/</t>
  </si>
  <si>
    <t xml:space="preserve">Untagged stubs at the office fronts (G-01, G1-04, ...) typed G / G1 by measured thickness; strictly by note A they would be A1 (RFI-INT2-01).</t>
  </si>
  <si>
    <t xml:space="preserve">A02.01 note A; 10/A12.01</t>
  </si>
  <si>
    <t xml:space="preserve">3_revision/img_res_R3/</t>
  </si>
  <si>
    <t xml:space="preserve">Studs at exterior walls: S1.11 (600S162-54 @ 12" near corners) vs 7/S5.20 (600S137-33 @ 16"): zones @ 12" applied within 6 ft of building corners; gauge per RFI-OPN-09.</t>
  </si>
  <si>
    <t xml:space="preserve">S1.11; 7/S5.20</t>
  </si>
  <si>
    <t xml:space="preserve">Suspended GWB ceiling spacing (furring 16", carrying 48", hanger 48") and board sheet length (12 ft) are not printed: criterion + RFI-OPN-08 / RFI-OPN-13.</t>
  </si>
  <si>
    <t xml:space="preserve">A04.01</t>
  </si>
  <si>
    <t xml:space="preserve">Vestibule box headers 'AS NEEDED' (E11) counted with an assumed size (RFI-OPN-01); office front CONT. BOX BEAM runs measured by vector (RFI-OPN-02, E22).</t>
  </si>
  <si>
    <t xml:space="preserve">4-7/A12.10; 8/A12.01; 9/A12.01</t>
  </si>
  <si>
    <t xml:space="preserve">2_lectura/A/img_A_00_openings/</t>
  </si>
  <si>
    <t xml:space="preserve">Low roof B.O.D. interpolated per wall between grid B (13'-0 5/8") and grid A (12'-6 3/8"); walls under S2.20 beams stop under them (E26). Several beams whose axis falls just outside the wall band were taken to deck (RFI-INT2-06).</t>
  </si>
  <si>
    <t xml:space="preserve">S2.20</t>
  </si>
  <si>
    <t xml:space="preserve">3_revision/img_orq/S220_grid2_3.png</t>
  </si>
  <si>
    <t xml:space="preserve">Partition Takeoff: particion.py (run, E28) joins A1-05 + A1-08 + A1-07 into one row (ends 8 pt apart) although the corners are A5 squares; LF is the same (42.99). One row or three is a presentation choice.</t>
  </si>
  <si>
    <t xml:space="preserve">3_revision/img_res_R1/item04_A1-05_A1-08.png</t>
  </si>
  <si>
    <t xml:space="preserve">Partition Takeoff 'Layers' column (partition_types.py) sums face rows instead of layer-feet / length (adenda v27): walls with split faces show 3-4. Board SF is correct. Tool change proposed in PARA REVISAR.</t>
  </si>
  <si>
    <t xml:space="preserve">partition_types.py</t>
  </si>
  <si>
    <t xml:space="preserve">Roof step upper row height (2.823 ft) depends on the tapered insulation high point, not dimensioned (RFI-EXT-02).</t>
  </si>
  <si>
    <t xml:space="preserve">C1 chase faces: the detail draws two thin layers outside the stud; one MR layer carried per face (R3 note).</t>
  </si>
  <si>
    <t xml:space="preserve">6/A12.01; A08.01 note F</t>
  </si>
  <si>
    <t xml:space="preserve">3_revision/img_res_R3/13_34_chase.png</t>
  </si>
  <si>
    <t xml:space="preserve">REF H02 - 14 GA studs of the K walls (4/A12.01) are bought inside the 33 mil rows: a separate row per gauge needs a template change (tools may not be modified in a test). Delta: 3-5/8" 14 GA 265.34 LF (16 sticks) + 6" 14 GA 107.62 LF (7 sticks) move out of 362S137-33 / 600S rows; total LF unchanged.</t>
  </si>
  <si>
    <t xml:space="preserve">3_revision/img_ADV/</t>
  </si>
  <si>
    <t xml:space="preserve">REF H06 - Material Summary mixes exterior 600S162-54 with interior 6" studs, and the exterior 600T200-97 top track with the other tracks: template change proposed. Delta: LF unchanged; rows by size / gauge.</t>
  </si>
  <si>
    <t xml:space="preserve">REF S1 - the CONT. BOX BEAM run (E22, one run per front x 4) includes 19.21 LF over the G stubs: E22 is an estimator criterion and is not overridden (59.8). Delta: -22.9 to -55.5 LF header.</t>
  </si>
  <si>
    <t xml:space="preserve">REF S2 - door bulkhead studs run from the HOLD to structure without deducting the box beam depth (depth not printed, RFI-INT2-02). Delta: -84 LF 1-5/8" per 1'-0" of box depth.</t>
  </si>
  <si>
    <t xml:space="preserve">REF S3 - G-05 / BH-E3 / BH-E4 may sit under the W14x30 flange on grid 7 (overlap 1" to 2.4" by registration; RFI-INT2-06). Delta: about -22 LF 1-5/8".</t>
  </si>
  <si>
    <t xml:space="preserve">REF S4 - C1-01 / C1-02 interior 3-5/8" part taken to 15.375 vs W12x19 bottom 14.3583 (pier height has no section; RFI-INT2-03). Delta: -8.1 LF 3-5/8".</t>
  </si>
  <si>
    <t xml:space="preserve">REF S5 - bottom / ceiling track purchase pieces use the stud stock cell (Inputs B10, 20 ft) instead of the track stock (B11, 10 ft): template. Delta: 78 -&gt; 155 and 71 -&gt; 142 pieces of 10 ft; LF unchanged.</t>
  </si>
  <si>
    <t xml:space="preserve">CRIT H4/H2/H3 - recessed wall accessories (TA-13, TA-14, TA-2, FEC-1): header + sill (58.4) not carried because no width is printed (59.8: stud-bay device -&gt; 0 + RFI); headers.py rejects recessed accessories as headers (60.5). Delta (RFI-ACC-10): TA-13 x2 +11.03 LF track; FEC-1 +6.67 LF if 2'-0" wide.</t>
  </si>
  <si>
    <t xml:space="preserve">CRIT H6 - outside corners of gypsum board that cannot be confirmed on the 1/4" plan (53.1): only the certain ones carried. Delta: +0 to +176 LF corner bead (RFI-ACC-07).</t>
  </si>
  <si>
    <t xml:space="preserve">CRIT S1 - ceiling step in the 116 queue (11'-6" to 9'-0") with no wall and no detail called; break line DERIVED. Delta (RFI-RCP-07): +13.8 LF ceiling track, +44.6 LF 3-5/8", +20.7 SF board.</t>
  </si>
  <si>
    <t xml:space="preserve">CRIT S5 - access panels of M00.01 note 16: not carried: FD-1..4 (M01.01) are in walls of 118 / 120 / 121 (ACT or open, not GWB); EF-1 / EF-2 in 113 / 114 are ceiling fans with their own grille; the drawings locate no panel in GWB. Delta: +1 access panel 2'x2' + 8 LF framed opening for each one the engineer places in GWB.</t>
  </si>
  <si>
    <t xml:space="preserve">BACKCHECK H2 - A1-01 face behind the C1-07 monitor box: no detail says whether it is boarded; carried boarded. Delta (RFI-ACC-12): -106.8 SF 5/8" regular.</t>
  </si>
  <si>
    <t xml:space="preserve">Material Summary buys 14 GA studs (4/A12.01: A1K 265.34 LF 3-5/8", B2K 107.62 LF 6") and exterior 600S162-54 / 600T200-97 inside the general stud / track rows: one family = one row in plantilla_excel; split by gauge proposed in PARA REVISAR (refuter H02/H06).</t>
  </si>
  <si>
    <t xml:space="preserve">4/A12.01; 7/S5.20</t>
  </si>
  <si>
    <t xml:space="preserve">adversarial/img_ref/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</si>
  <si>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</si>
  <si>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</si>
  <si>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</si>
  <si>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</si>
  <si>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</si>
  <si>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</si>
  <si>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6", 3-5/8", 1-5/8" studs + tracks from canon.py (A02.01 -&gt; A12.01)</t>
  </si>
  <si>
    <t xml:space="preserve">ALC-02</t>
  </si>
  <si>
    <t xml:space="preserve">Exterior wall framing (CFMF)</t>
  </si>
  <si>
    <t xml:space="preserve">EXT-6CFMF walls by facade (A02.01, C/A09.21, 10/S5.10)</t>
  </si>
  <si>
    <t xml:space="preserve">ALC-03</t>
  </si>
  <si>
    <t xml:space="preserve">Parapet framing</t>
  </si>
  <si>
    <t xml:space="preserve">EXT-PARAPET bay by bay (A02.02, 11/S5.10)</t>
  </si>
  <si>
    <t xml:space="preserve">ALC-04</t>
  </si>
  <si>
    <t xml:space="preserve">Top / deflection and bottom track</t>
  </si>
  <si>
    <t xml:space="preserve">bottom and top/deflection track rows (10/S5.10, 7/S5.20)</t>
  </si>
  <si>
    <t xml:space="preserve">ALC-05</t>
  </si>
  <si>
    <t xml:space="preserve">Headers, sills and jambs at openings</t>
  </si>
  <si>
    <t xml:space="preserve">header / box beam by pieces + sill track (7/S5.20, 2/S5.20, 11/A09.27)</t>
  </si>
  <si>
    <t xml:space="preserve">ALC-06</t>
  </si>
  <si>
    <t xml:space="preserve">Bracing / bridging</t>
  </si>
  <si>
    <t xml:space="preserve">1-1/2" C.R. channel @ 48" (F/1/S5.20)</t>
  </si>
  <si>
    <t xml:space="preserve">ALC-07</t>
  </si>
  <si>
    <t xml:space="preserve">Gypsum board on walls (layers per type)</t>
  </si>
  <si>
    <t xml:space="preserve">5/8" gypsum board face by face (A12.01)</t>
  </si>
  <si>
    <t xml:space="preserve">ALC-08</t>
  </si>
  <si>
    <t xml:space="preserve">Moisture / abuse / special board at wet zones</t>
  </si>
  <si>
    <t xml:space="preserve">5/8" moisture resistant behind toilet / lavatory (A08.01 note F)</t>
  </si>
  <si>
    <t xml:space="preserve">ALC-09</t>
  </si>
  <si>
    <t xml:space="preserve">Exterior gypsum / glass mat sheathing</t>
  </si>
  <si>
    <t xml:space="preserve">glass mat (5/A09.26, 9/A09.27, 7/A09.26) + exterior gyp sheathing at parapet (4/A09.26)</t>
  </si>
  <si>
    <t xml:space="preserve">ALC-10</t>
  </si>
  <si>
    <t xml:space="preserve">FRT plywood sheathing / substrate</t>
  </si>
  <si>
    <t xml:space="preserve">FRT plywood by material (A09.26, A09.27, A02.01 key note 6)</t>
  </si>
  <si>
    <t xml:space="preserve">ALC-11</t>
  </si>
  <si>
    <t xml:space="preserve">Gypsum board ceilings</t>
  </si>
  <si>
    <t xml:space="preserve">GWB ceilings 100, 101, 104, 113, 114 (A04.01) in 5/8" gypsum board row</t>
  </si>
  <si>
    <t xml:space="preserve">ALC-12</t>
  </si>
  <si>
    <t xml:space="preserve">Ceiling suspension (furring / carrying channel / hanger wire / track)</t>
  </si>
  <si>
    <t xml:space="preserve">furring, carrying, hanger wire, ceiling track (A04.01 SUSPENDED GWB legend; RFI-OPN-08)</t>
  </si>
  <si>
    <t xml:space="preserve">ALC-13</t>
  </si>
  <si>
    <t xml:space="preserve">Soffits and bulkheads (framing + board)</t>
  </si>
  <si>
    <t xml:space="preserve">CSR soffit (9/A12.08), transitions 7/A09.33, office front bulkheads (8/9 A12.01) in ceiling / soffit track and stud rows</t>
  </si>
  <si>
    <t xml:space="preserve">ALC-14</t>
  </si>
  <si>
    <t xml:space="preserve">Canopy / marquee framing and sheathing</t>
  </si>
  <si>
    <t xml:space="preserve">canopy joists, fascia boxes, soffit track (7/A09.26, 3/A09.26, 15/A09.27) in 3-5/8" stud and ceiling / soffit track rows</t>
  </si>
  <si>
    <t xml:space="preserve">ALC-15</t>
  </si>
  <si>
    <t xml:space="preserve">Column furring / wraps</t>
  </si>
  <si>
    <t xml:space="preserve">CANOPY-COL column wraps (5/A09.25) and C1 pier / grille jamb boxes (1/2/A09.25, 3/A08.21) in 3-5/8" stud row</t>
  </si>
  <si>
    <t xml:space="preserve">ALC-16</t>
  </si>
  <si>
    <t xml:space="preserve">Blocking (FRT wood / metal) for millwork and accessories</t>
  </si>
  <si>
    <t xml:space="preserve">FRT and metal stud blocking (A00.30 MW schedule, A08.01, 4/S5.20)</t>
  </si>
  <si>
    <t xml:space="preserve">ALC-17</t>
  </si>
  <si>
    <t xml:space="preserve">Framed openings (MEP, access panels, diffusers)</t>
  </si>
  <si>
    <t xml:space="preserve">framed_openings.py (E00.01, E02.01, M01.01) + access panel A04.01 key note 4</t>
  </si>
  <si>
    <t xml:space="preserve">ALC-18</t>
  </si>
  <si>
    <t xml:space="preserve">Trim: corner bead, casing bead, control joints, reveals</t>
  </si>
  <si>
    <t xml:space="preserve">metal trim row (53.1); control joints: not labeled in A12.01/A09.33 for gypsum (only stucco CJ, A09.31) -&gt; RFI</t>
  </si>
  <si>
    <t xml:space="preserve">ALC-19</t>
  </si>
  <si>
    <t xml:space="preserve">Acoustical sealant / sound attenuation</t>
  </si>
  <si>
    <t xml:space="preserve">acoustical sealant per type detail (A12.01); insulation EXCLUDED (estimator criterion)</t>
  </si>
  <si>
    <t xml:space="preserve">ALC-20</t>
  </si>
  <si>
    <t xml:space="preserve">FRP / cement board / tile backer</t>
  </si>
  <si>
    <t xml:space="preserve">FRP and cement board (A08.01, A05.01)</t>
  </si>
  <si>
    <t xml:space="preserve">ALC-21</t>
  </si>
  <si>
    <t xml:space="preserve">Shaft walls / area separation walls</t>
  </si>
  <si>
    <t xml:space="preserve">NOT APPLICABLE</t>
  </si>
  <si>
    <t xml:space="preserve">NOT APPLICABLE: A12.01 partition schedule lists no shaft wall or area separation type; the text scan found no SHAFT in the set</t>
  </si>
  <si>
    <t xml:space="preserve">ALC-22</t>
  </si>
  <si>
    <t xml:space="preserve">Rated assemblies (UL designs) and their board type</t>
  </si>
  <si>
    <t xml:space="preserve">NOT APPLICABLE: A02.01 'FIRE RATED 3/4" PLYWOOD BACKBOARD' (key note 6) is quantified in FRT plywood; A05.01 'FIRE RATED STAMP' is the same NER plywood; M00.01 / E00.01 hits are generic penetration notes; A12.01 has no rated partition type</t>
  </si>
  <si>
    <t xml:space="preserve">ALC-23</t>
  </si>
  <si>
    <t xml:space="preserve">Special panels (ballistic, lead-lined, abuse)</t>
  </si>
  <si>
    <t xml:space="preserve">ballistic panel + 3/8" gyp board (4/A12.01, Kevlar hatch)</t>
  </si>
  <si>
    <t xml:space="preserve">ALC-24</t>
  </si>
  <si>
    <t xml:space="preserve">Finish level (Level 4 / Level 5)</t>
  </si>
  <si>
    <t xml:space="preserve">Level 5 finish (WC-18, WC-22 per A00.40 / A05.01); rest Level 4 assumed (Clarifications)</t>
  </si>
  <si>
    <t xml:space="preserve">ALC-X25</t>
  </si>
  <si>
    <t xml:space="preserve">batt insulation</t>
  </si>
  <si>
    <t xml:space="preserve">EXCLUDED (estimator criterion: no insulation)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</si>
</sst>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17.021</v>
      </c>
      <c r="D6" s="0" t="n">
        <v>15.375</v>
      </c>
      <c r="E6" s="0" t="n">
        <v>4</v>
      </c>
      <c r="F6" s="0" t="s">
        <v>63</v>
      </c>
      <c r="G6" s="0" t="n">
        <v>16</v>
      </c>
      <c r="H6" s="0" t="n">
        <v>361.53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5</v>
      </c>
      <c r="D7" s="0" t="n">
        <v>15.375</v>
      </c>
      <c r="E7" s="0" t="n">
        <v>2</v>
      </c>
      <c r="F7" s="0" t="s">
        <v>63</v>
      </c>
      <c r="G7" s="0" t="n">
        <v>16</v>
      </c>
      <c r="H7" s="0" t="n">
        <v>50.56</v>
      </c>
      <c r="I7" s="0" t="s">
        <v>69</v>
      </c>
      <c r="J7" s="0" t="s">
        <v>65</v>
      </c>
      <c r="K7" s="0" t="s">
        <v>70</v>
      </c>
    </row>
    <row r="8" customFormat="false" ht="15" hidden="false" customHeight="false" outlineLevel="0" collapsed="false">
      <c r="A8" s="0" t="s">
        <v>71</v>
      </c>
      <c r="B8" s="0" t="s">
        <v>72</v>
      </c>
      <c r="C8" s="0" t="n">
        <v>42.987</v>
      </c>
      <c r="D8" s="0" t="n">
        <v>12.36</v>
      </c>
      <c r="E8" s="0" t="n">
        <v>2</v>
      </c>
      <c r="F8" s="0" t="s">
        <v>63</v>
      </c>
      <c r="G8" s="0" t="n">
        <v>16</v>
      </c>
      <c r="H8" s="0" t="n">
        <v>714.52</v>
      </c>
      <c r="I8" s="0" t="s">
        <v>73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74</v>
      </c>
      <c r="B9" s="0" t="s">
        <v>75</v>
      </c>
      <c r="C9" s="0" t="n">
        <v>11.667</v>
      </c>
      <c r="D9" s="0" t="n">
        <v>12.775</v>
      </c>
      <c r="E9" s="0" t="n">
        <v>2</v>
      </c>
      <c r="F9" s="0" t="s">
        <v>63</v>
      </c>
      <c r="G9" s="0" t="n">
        <v>16</v>
      </c>
      <c r="H9" s="0" t="n">
        <v>168.05</v>
      </c>
      <c r="I9" s="0" t="s">
        <v>76</v>
      </c>
      <c r="J9" s="0" t="s">
        <v>65</v>
      </c>
      <c r="K9" s="0" t="s">
        <v>70</v>
      </c>
    </row>
    <row r="10" customFormat="false" ht="15" hidden="false" customHeight="false" outlineLevel="0" collapsed="false">
      <c r="A10" s="0" t="s">
        <v>77</v>
      </c>
      <c r="B10" s="0" t="s">
        <v>78</v>
      </c>
      <c r="C10" s="0" t="n">
        <v>5.554</v>
      </c>
      <c r="D10" s="0" t="n">
        <v>15.375</v>
      </c>
      <c r="E10" s="0" t="n">
        <v>2</v>
      </c>
      <c r="F10" s="0" t="s">
        <v>63</v>
      </c>
      <c r="G10" s="0" t="n">
        <v>16</v>
      </c>
      <c r="H10" s="0" t="n">
        <v>135.38</v>
      </c>
      <c r="I10" s="0" t="s">
        <v>79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80</v>
      </c>
      <c r="B11" s="0" t="s">
        <v>81</v>
      </c>
      <c r="C11" s="0" t="n">
        <v>8.68</v>
      </c>
      <c r="D11" s="0" t="n">
        <v>12.958</v>
      </c>
      <c r="E11" s="0" t="n">
        <v>3</v>
      </c>
      <c r="F11" s="0" t="s">
        <v>63</v>
      </c>
      <c r="G11" s="0" t="n">
        <v>16</v>
      </c>
      <c r="H11" s="0" t="n">
        <v>139.19</v>
      </c>
      <c r="I11" s="0" t="s">
        <v>82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5" t="s">
        <v>83</v>
      </c>
    </row>
    <row r="13" customFormat="false" ht="15" hidden="false" customHeight="false" outlineLevel="0" collapsed="false">
      <c r="A13" s="0" t="s">
        <v>84</v>
      </c>
      <c r="B13" s="0" t="s">
        <v>85</v>
      </c>
      <c r="C13" s="0" t="n">
        <v>16.861</v>
      </c>
      <c r="D13" s="0" t="n">
        <v>14.486</v>
      </c>
      <c r="E13" s="0" t="n">
        <v>2</v>
      </c>
      <c r="F13" s="0" t="s">
        <v>86</v>
      </c>
      <c r="G13" s="0" t="n">
        <v>16</v>
      </c>
      <c r="H13" s="0" t="n">
        <v>288.72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n">
        <v>19.408</v>
      </c>
      <c r="D14" s="0" t="n">
        <v>13.709</v>
      </c>
      <c r="E14" s="0" t="n">
        <v>3</v>
      </c>
      <c r="F14" s="0" t="s">
        <v>86</v>
      </c>
      <c r="G14" s="0" t="n">
        <v>16</v>
      </c>
      <c r="H14" s="0" t="n">
        <v>378.66</v>
      </c>
      <c r="I14" s="0" t="s">
        <v>90</v>
      </c>
      <c r="J14" s="0" t="s">
        <v>65</v>
      </c>
      <c r="K14" s="0" t="s">
        <v>66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n">
        <v>6.611</v>
      </c>
      <c r="D15" s="0" t="n">
        <v>11.776</v>
      </c>
      <c r="E15" s="0" t="n">
        <v>2</v>
      </c>
      <c r="F15" s="0" t="s">
        <v>86</v>
      </c>
      <c r="G15" s="0" t="n">
        <v>16</v>
      </c>
      <c r="H15" s="0" t="n">
        <v>74.53</v>
      </c>
      <c r="I15" s="0" t="s">
        <v>93</v>
      </c>
      <c r="J15" s="0" t="s">
        <v>65</v>
      </c>
      <c r="K15" s="0" t="s">
        <v>66</v>
      </c>
    </row>
    <row r="16" customFormat="false" ht="15" hidden="false" customHeight="false" outlineLevel="0" collapsed="false">
      <c r="A16" s="5" t="s">
        <v>94</v>
      </c>
    </row>
    <row r="17" customFormat="false" ht="15" hidden="false" customHeight="false" outlineLevel="0" collapsed="false">
      <c r="A17" s="0" t="s">
        <v>95</v>
      </c>
      <c r="B17" s="0" t="s">
        <v>96</v>
      </c>
      <c r="C17" s="0" t="n">
        <v>17.764</v>
      </c>
      <c r="D17" s="0" t="n">
        <v>15.375</v>
      </c>
      <c r="E17" s="0" t="n">
        <v>2</v>
      </c>
      <c r="F17" s="0" t="s">
        <v>63</v>
      </c>
      <c r="G17" s="0" t="n">
        <v>16</v>
      </c>
      <c r="H17" s="0" t="n">
        <v>325.42</v>
      </c>
      <c r="I17" s="0" t="s">
        <v>97</v>
      </c>
      <c r="J17" s="0" t="s">
        <v>98</v>
      </c>
      <c r="K17" s="0" t="s">
        <v>66</v>
      </c>
    </row>
    <row r="18" customFormat="false" ht="15" hidden="false" customHeight="false" outlineLevel="0" collapsed="false">
      <c r="A18" s="5" t="s">
        <v>99</v>
      </c>
    </row>
    <row r="19" customFormat="false" ht="15" hidden="false" customHeight="false" outlineLevel="0" collapsed="false">
      <c r="A19" s="0" t="s">
        <v>100</v>
      </c>
      <c r="B19" s="0" t="s">
        <v>101</v>
      </c>
      <c r="C19" s="0" t="n">
        <v>9.583</v>
      </c>
      <c r="D19" s="0" t="n">
        <v>12.698</v>
      </c>
      <c r="E19" s="0" t="n">
        <v>2</v>
      </c>
      <c r="F19" s="0" t="s">
        <v>63</v>
      </c>
      <c r="G19" s="0" t="n">
        <v>16</v>
      </c>
      <c r="H19" s="0" t="n">
        <v>243.38</v>
      </c>
      <c r="I19" s="0" t="s">
        <v>102</v>
      </c>
      <c r="J19" s="0" t="s">
        <v>103</v>
      </c>
      <c r="K19" s="0" t="s">
        <v>70</v>
      </c>
    </row>
    <row r="20" customFormat="false" ht="15" hidden="false" customHeight="false" outlineLevel="0" collapsed="false">
      <c r="A20" s="0" t="s">
        <v>104</v>
      </c>
      <c r="B20" s="0" t="s">
        <v>105</v>
      </c>
      <c r="C20" s="0" t="n">
        <v>11.733</v>
      </c>
      <c r="D20" s="0" t="n">
        <v>12.343</v>
      </c>
      <c r="E20" s="0" t="n">
        <v>2</v>
      </c>
      <c r="F20" s="0" t="s">
        <v>63</v>
      </c>
      <c r="G20" s="0" t="n">
        <v>16</v>
      </c>
      <c r="H20" s="0" t="n">
        <v>241.88</v>
      </c>
      <c r="I20" s="0" t="s">
        <v>106</v>
      </c>
      <c r="J20" s="0" t="s">
        <v>103</v>
      </c>
      <c r="K20" s="0" t="s">
        <v>66</v>
      </c>
    </row>
    <row r="21" customFormat="false" ht="15" hidden="false" customHeight="false" outlineLevel="0" collapsed="false">
      <c r="A21" s="0" t="s">
        <v>107</v>
      </c>
      <c r="B21" s="0" t="s">
        <v>108</v>
      </c>
      <c r="C21" s="0" t="n">
        <v>11.733</v>
      </c>
      <c r="D21" s="0" t="n">
        <v>12.667</v>
      </c>
      <c r="E21" s="0" t="n">
        <v>2</v>
      </c>
      <c r="F21" s="0" t="s">
        <v>63</v>
      </c>
      <c r="G21" s="0" t="n">
        <v>16</v>
      </c>
      <c r="H21" s="0" t="n">
        <v>297.24</v>
      </c>
      <c r="I21" s="0" t="s">
        <v>109</v>
      </c>
      <c r="J21" s="0" t="s">
        <v>103</v>
      </c>
      <c r="K21" s="0" t="s">
        <v>66</v>
      </c>
    </row>
    <row r="22" customFormat="false" ht="15" hidden="false" customHeight="false" outlineLevel="0" collapsed="false">
      <c r="A22" s="0" t="s">
        <v>110</v>
      </c>
      <c r="B22" s="0" t="s">
        <v>111</v>
      </c>
      <c r="C22" s="0" t="n">
        <v>3.5</v>
      </c>
      <c r="D22" s="0" t="n">
        <v>12.743</v>
      </c>
      <c r="E22" s="0" t="n">
        <v>2</v>
      </c>
      <c r="F22" s="0" t="s">
        <v>63</v>
      </c>
      <c r="G22" s="0" t="n">
        <v>16</v>
      </c>
      <c r="H22" s="0" t="n">
        <v>89.2</v>
      </c>
      <c r="I22" s="0" t="s">
        <v>112</v>
      </c>
      <c r="J22" s="0" t="s">
        <v>103</v>
      </c>
      <c r="K22" s="0" t="s">
        <v>70</v>
      </c>
    </row>
    <row r="23" customFormat="false" ht="15" hidden="false" customHeight="false" outlineLevel="0" collapsed="false">
      <c r="A23" s="0" t="s">
        <v>113</v>
      </c>
      <c r="B23" s="0" t="s">
        <v>114</v>
      </c>
      <c r="C23" s="0" t="n">
        <v>23.729</v>
      </c>
      <c r="D23" s="0" t="n">
        <v>12.831</v>
      </c>
      <c r="E23" s="0" t="n">
        <v>2</v>
      </c>
      <c r="F23" s="0" t="s">
        <v>63</v>
      </c>
      <c r="G23" s="0" t="n">
        <v>16</v>
      </c>
      <c r="H23" s="0" t="n">
        <v>513.4</v>
      </c>
      <c r="I23" s="0" t="s">
        <v>115</v>
      </c>
      <c r="J23" s="0" t="s">
        <v>103</v>
      </c>
      <c r="K23" s="0" t="s">
        <v>70</v>
      </c>
    </row>
    <row r="24" customFormat="false" ht="15" hidden="false" customHeight="false" outlineLevel="0" collapsed="false">
      <c r="A24" s="5" t="s">
        <v>116</v>
      </c>
    </row>
    <row r="25" customFormat="false" ht="15" hidden="false" customHeight="false" outlineLevel="0" collapsed="false">
      <c r="A25" s="0" t="s">
        <v>117</v>
      </c>
      <c r="B25" s="0" t="s">
        <v>118</v>
      </c>
      <c r="C25" s="0" t="n">
        <v>5.667</v>
      </c>
      <c r="D25" s="0" t="n">
        <v>15.375</v>
      </c>
      <c r="E25" s="0" t="n">
        <v>2</v>
      </c>
      <c r="F25" s="0" t="s">
        <v>86</v>
      </c>
      <c r="G25" s="0" t="n">
        <v>16</v>
      </c>
      <c r="H25" s="0" t="n">
        <v>111.64</v>
      </c>
      <c r="I25" s="0" t="s">
        <v>119</v>
      </c>
      <c r="J25" s="0" t="s">
        <v>103</v>
      </c>
      <c r="K25" s="0" t="s">
        <v>70</v>
      </c>
    </row>
    <row r="26" customFormat="false" ht="15" hidden="false" customHeight="false" outlineLevel="0" collapsed="false">
      <c r="A26" s="0" t="s">
        <v>120</v>
      </c>
      <c r="B26" s="0" t="s">
        <v>121</v>
      </c>
      <c r="C26" s="0" t="n">
        <v>5.135</v>
      </c>
      <c r="D26" s="0" t="n">
        <v>13.052</v>
      </c>
      <c r="E26" s="0" t="n">
        <v>2</v>
      </c>
      <c r="F26" s="0" t="s">
        <v>86</v>
      </c>
      <c r="G26" s="0" t="n">
        <v>16</v>
      </c>
      <c r="H26" s="0" t="n">
        <v>86.28</v>
      </c>
      <c r="I26" s="0" t="s">
        <v>122</v>
      </c>
      <c r="J26" s="0" t="s">
        <v>103</v>
      </c>
      <c r="K26" s="0" t="s">
        <v>66</v>
      </c>
    </row>
    <row r="27" customFormat="false" ht="15" hidden="false" customHeight="false" outlineLevel="0" collapsed="false">
      <c r="A27" s="0" t="s">
        <v>123</v>
      </c>
      <c r="B27" s="0" t="s">
        <v>124</v>
      </c>
      <c r="C27" s="0" t="n">
        <v>15.378</v>
      </c>
      <c r="D27" s="0" t="n">
        <v>12.857</v>
      </c>
      <c r="E27" s="0" t="n">
        <v>2</v>
      </c>
      <c r="F27" s="0" t="s">
        <v>86</v>
      </c>
      <c r="G27" s="0" t="n">
        <v>16</v>
      </c>
      <c r="H27" s="0" t="n">
        <v>252.08</v>
      </c>
      <c r="I27" s="0" t="s">
        <v>125</v>
      </c>
      <c r="J27" s="0" t="s">
        <v>103</v>
      </c>
      <c r="K27" s="0" t="s">
        <v>66</v>
      </c>
    </row>
    <row r="28" customFormat="false" ht="15" hidden="false" customHeight="false" outlineLevel="0" collapsed="false">
      <c r="A28" s="0" t="s">
        <v>126</v>
      </c>
      <c r="B28" s="0" t="s">
        <v>127</v>
      </c>
      <c r="C28" s="0" t="n">
        <v>11.739</v>
      </c>
      <c r="D28" s="0" t="n">
        <v>11.64</v>
      </c>
      <c r="E28" s="0" t="n">
        <v>2</v>
      </c>
      <c r="F28" s="0" t="s">
        <v>86</v>
      </c>
      <c r="G28" s="0" t="n">
        <v>16</v>
      </c>
      <c r="H28" s="0" t="n">
        <v>273.28</v>
      </c>
      <c r="I28" s="0" t="s">
        <v>128</v>
      </c>
      <c r="J28" s="0" t="s">
        <v>103</v>
      </c>
      <c r="K28" s="0" t="s">
        <v>66</v>
      </c>
    </row>
    <row r="29" customFormat="false" ht="15" hidden="false" customHeight="false" outlineLevel="0" collapsed="false">
      <c r="A29" s="5" t="s">
        <v>129</v>
      </c>
    </row>
    <row r="30" customFormat="false" ht="15" hidden="false" customHeight="false" outlineLevel="0" collapsed="false">
      <c r="A30" s="0" t="s">
        <v>130</v>
      </c>
      <c r="B30" s="0" t="s">
        <v>131</v>
      </c>
      <c r="C30" s="0" t="n">
        <v>3.869</v>
      </c>
      <c r="D30" s="0" t="n">
        <v>15.375</v>
      </c>
      <c r="E30" s="0" t="n">
        <v>3</v>
      </c>
      <c r="F30" s="0" t="s">
        <v>63</v>
      </c>
      <c r="G30" s="0" t="n">
        <v>16</v>
      </c>
      <c r="H30" s="0" t="n">
        <v>39.66</v>
      </c>
      <c r="I30" s="0" t="s">
        <v>132</v>
      </c>
      <c r="J30" s="0" t="s">
        <v>133</v>
      </c>
      <c r="K30" s="0" t="s">
        <v>66</v>
      </c>
    </row>
    <row r="31" customFormat="false" ht="15" hidden="false" customHeight="false" outlineLevel="0" collapsed="false">
      <c r="A31" s="0" t="s">
        <v>134</v>
      </c>
      <c r="B31" s="0" t="s">
        <v>135</v>
      </c>
      <c r="C31" s="0" t="n">
        <v>3.132</v>
      </c>
      <c r="D31" s="0" t="n">
        <v>15.375</v>
      </c>
      <c r="E31" s="0" t="n">
        <v>2</v>
      </c>
      <c r="F31" s="0" t="s">
        <v>63</v>
      </c>
      <c r="G31" s="0" t="n">
        <v>16</v>
      </c>
      <c r="H31" s="0" t="n">
        <v>31.33</v>
      </c>
      <c r="I31" s="0" t="s">
        <v>136</v>
      </c>
      <c r="J31" s="0" t="s">
        <v>137</v>
      </c>
      <c r="K31" s="0" t="s">
        <v>66</v>
      </c>
    </row>
    <row r="32" customFormat="false" ht="15" hidden="false" customHeight="false" outlineLevel="0" collapsed="false">
      <c r="A32" s="0" t="s">
        <v>138</v>
      </c>
      <c r="B32" s="0" t="s">
        <v>139</v>
      </c>
      <c r="C32" s="0" t="n">
        <v>4</v>
      </c>
      <c r="D32" s="0" t="n">
        <v>14.383</v>
      </c>
      <c r="E32" s="0" t="n">
        <v>3</v>
      </c>
      <c r="F32" s="0" t="s">
        <v>63</v>
      </c>
      <c r="G32" s="0" t="n">
        <v>16</v>
      </c>
      <c r="H32" s="0" t="n">
        <v>43.75</v>
      </c>
      <c r="I32" s="0" t="s">
        <v>140</v>
      </c>
      <c r="J32" s="0" t="s">
        <v>141</v>
      </c>
      <c r="K32" s="0" t="s">
        <v>66</v>
      </c>
    </row>
    <row r="33" customFormat="false" ht="15" hidden="false" customHeight="false" outlineLevel="0" collapsed="false">
      <c r="A33" s="0" t="s">
        <v>142</v>
      </c>
      <c r="B33" s="0" t="s">
        <v>143</v>
      </c>
      <c r="C33" s="0" t="n">
        <v>2.75</v>
      </c>
      <c r="D33" s="0" t="n">
        <v>14.383</v>
      </c>
      <c r="E33" s="0" t="n">
        <v>2</v>
      </c>
      <c r="F33" s="0" t="s">
        <v>63</v>
      </c>
      <c r="G33" s="0" t="n">
        <v>16</v>
      </c>
      <c r="H33" s="0" t="n">
        <v>30.37</v>
      </c>
      <c r="I33" s="0" t="s">
        <v>144</v>
      </c>
      <c r="J33" s="0" t="s">
        <v>141</v>
      </c>
      <c r="K33" s="0" t="s">
        <v>66</v>
      </c>
    </row>
    <row r="34" customFormat="false" ht="15" hidden="false" customHeight="false" outlineLevel="0" collapsed="false">
      <c r="A34" s="0" t="s">
        <v>145</v>
      </c>
      <c r="B34" s="0" t="s">
        <v>146</v>
      </c>
      <c r="C34" s="0" t="n">
        <v>10.028</v>
      </c>
      <c r="D34" s="0" t="n">
        <v>12.923</v>
      </c>
      <c r="E34" s="0" t="n">
        <v>1</v>
      </c>
      <c r="F34" s="0" t="s">
        <v>63</v>
      </c>
      <c r="G34" s="0" t="n">
        <v>16</v>
      </c>
      <c r="H34" s="0" t="n">
        <v>129.59</v>
      </c>
      <c r="I34" s="0" t="s">
        <v>147</v>
      </c>
      <c r="J34" s="0" t="s">
        <v>148</v>
      </c>
      <c r="K34" s="0" t="s">
        <v>66</v>
      </c>
    </row>
    <row r="35" customFormat="false" ht="15" hidden="false" customHeight="false" outlineLevel="0" collapsed="false">
      <c r="A35" s="0" t="s">
        <v>149</v>
      </c>
      <c r="B35" s="0" t="s">
        <v>150</v>
      </c>
      <c r="C35" s="0" t="n">
        <v>10.028</v>
      </c>
      <c r="D35" s="0" t="n">
        <v>12.892</v>
      </c>
      <c r="E35" s="0" t="n">
        <v>1</v>
      </c>
      <c r="F35" s="0" t="s">
        <v>63</v>
      </c>
      <c r="G35" s="0" t="n">
        <v>16</v>
      </c>
      <c r="H35" s="0" t="n">
        <v>129.28</v>
      </c>
      <c r="I35" s="0" t="s">
        <v>151</v>
      </c>
      <c r="J35" s="0" t="s">
        <v>148</v>
      </c>
      <c r="K35" s="0" t="s">
        <v>66</v>
      </c>
    </row>
    <row r="36" customFormat="false" ht="15" hidden="false" customHeight="false" outlineLevel="0" collapsed="false">
      <c r="A36" s="0" t="s">
        <v>152</v>
      </c>
      <c r="B36" s="0" t="s">
        <v>153</v>
      </c>
      <c r="C36" s="0" t="n">
        <v>10.622</v>
      </c>
      <c r="D36" s="0" t="n">
        <v>15.375</v>
      </c>
      <c r="E36" s="0" t="n">
        <v>1</v>
      </c>
      <c r="F36" s="0" t="s">
        <v>63</v>
      </c>
      <c r="G36" s="0" t="n">
        <v>16</v>
      </c>
      <c r="H36" s="0" t="n">
        <v>163.31</v>
      </c>
      <c r="I36" s="0" t="s">
        <v>154</v>
      </c>
      <c r="J36" s="0" t="s">
        <v>148</v>
      </c>
      <c r="K36" s="0" t="s">
        <v>66</v>
      </c>
    </row>
    <row r="37" customFormat="false" ht="15" hidden="false" customHeight="false" outlineLevel="0" collapsed="false">
      <c r="A37" s="0" t="s">
        <v>155</v>
      </c>
      <c r="B37" s="0" t="s">
        <v>156</v>
      </c>
      <c r="C37" s="0" t="n">
        <v>3.206</v>
      </c>
      <c r="D37" s="0" t="n">
        <v>12.922</v>
      </c>
      <c r="E37" s="0" t="n">
        <v>1</v>
      </c>
      <c r="F37" s="0" t="s">
        <v>63</v>
      </c>
      <c r="G37" s="0" t="n">
        <v>16</v>
      </c>
      <c r="H37" s="0" t="n">
        <v>41.42</v>
      </c>
      <c r="I37" s="0" t="s">
        <v>157</v>
      </c>
      <c r="J37" s="0" t="s">
        <v>148</v>
      </c>
      <c r="K37" s="0" t="s">
        <v>66</v>
      </c>
    </row>
    <row r="38" customFormat="false" ht="15" hidden="false" customHeight="false" outlineLevel="0" collapsed="false">
      <c r="A38" s="5" t="s">
        <v>158</v>
      </c>
    </row>
    <row r="39" customFormat="false" ht="15" hidden="false" customHeight="false" outlineLevel="0" collapsed="false">
      <c r="A39" s="0" t="s">
        <v>159</v>
      </c>
      <c r="B39" s="0" t="s">
        <v>160</v>
      </c>
      <c r="C39" s="0" t="n">
        <v>2.422</v>
      </c>
      <c r="D39" s="0" t="n">
        <v>14.383</v>
      </c>
      <c r="E39" s="0" t="n">
        <v>4</v>
      </c>
      <c r="F39" s="0" t="s">
        <v>161</v>
      </c>
      <c r="G39" s="0" t="n">
        <v>16</v>
      </c>
      <c r="H39" s="0" t="n">
        <v>139.36</v>
      </c>
      <c r="I39" s="0" t="s">
        <v>162</v>
      </c>
      <c r="J39" s="0" t="s">
        <v>163</v>
      </c>
      <c r="K39" s="0" t="s">
        <v>66</v>
      </c>
    </row>
    <row r="40" customFormat="false" ht="15" hidden="false" customHeight="false" outlineLevel="0" collapsed="false">
      <c r="A40" s="0" t="s">
        <v>164</v>
      </c>
      <c r="B40" s="0" t="s">
        <v>165</v>
      </c>
      <c r="C40" s="0" t="n">
        <v>3.467</v>
      </c>
      <c r="D40" s="0" t="n">
        <v>14.383</v>
      </c>
      <c r="E40" s="0" t="n">
        <v>4</v>
      </c>
      <c r="F40" s="0" t="s">
        <v>161</v>
      </c>
      <c r="G40" s="0" t="n">
        <v>16</v>
      </c>
      <c r="H40" s="0" t="n">
        <v>199.46</v>
      </c>
      <c r="I40" s="0" t="s">
        <v>166</v>
      </c>
      <c r="J40" s="0" t="s">
        <v>163</v>
      </c>
      <c r="K40" s="0" t="s">
        <v>66</v>
      </c>
    </row>
    <row r="41" customFormat="false" ht="15" hidden="false" customHeight="false" outlineLevel="0" collapsed="false">
      <c r="A41" s="0" t="s">
        <v>167</v>
      </c>
      <c r="B41" s="0" t="s">
        <v>168</v>
      </c>
      <c r="C41" s="0" t="n">
        <v>15.026</v>
      </c>
      <c r="D41" s="0" t="n">
        <v>15.375</v>
      </c>
      <c r="E41" s="0" t="n">
        <v>4</v>
      </c>
      <c r="F41" s="0" t="s">
        <v>161</v>
      </c>
      <c r="G41" s="0" t="n">
        <v>16</v>
      </c>
      <c r="H41" s="0" t="n">
        <v>924.12</v>
      </c>
      <c r="I41" s="0" t="s">
        <v>169</v>
      </c>
      <c r="J41" s="0" t="s">
        <v>163</v>
      </c>
      <c r="K41" s="0" t="s">
        <v>66</v>
      </c>
    </row>
    <row r="42" customFormat="false" ht="15" hidden="false" customHeight="false" outlineLevel="0" collapsed="false">
      <c r="A42" s="0" t="s">
        <v>170</v>
      </c>
      <c r="B42" s="0" t="s">
        <v>171</v>
      </c>
      <c r="C42" s="0" t="n">
        <v>15.021</v>
      </c>
      <c r="D42" s="0" t="n">
        <v>15.375</v>
      </c>
      <c r="E42" s="0" t="n">
        <v>4</v>
      </c>
      <c r="F42" s="0" t="s">
        <v>161</v>
      </c>
      <c r="G42" s="0" t="n">
        <v>16</v>
      </c>
      <c r="H42" s="0" t="n">
        <v>923.78</v>
      </c>
      <c r="I42" s="0" t="s">
        <v>172</v>
      </c>
      <c r="J42" s="0" t="s">
        <v>163</v>
      </c>
      <c r="K42" s="0" t="s">
        <v>66</v>
      </c>
    </row>
    <row r="43" customFormat="false" ht="15" hidden="false" customHeight="false" outlineLevel="0" collapsed="false">
      <c r="A43" s="0" t="s">
        <v>173</v>
      </c>
      <c r="B43" s="0" t="s">
        <v>174</v>
      </c>
      <c r="C43" s="0" t="n">
        <v>10.072</v>
      </c>
      <c r="D43" s="0" t="n">
        <v>15.375</v>
      </c>
      <c r="E43" s="0" t="n">
        <v>4</v>
      </c>
      <c r="F43" s="0" t="s">
        <v>161</v>
      </c>
      <c r="G43" s="0" t="n">
        <v>16</v>
      </c>
      <c r="H43" s="0" t="n">
        <v>619.44</v>
      </c>
      <c r="I43" s="0" t="s">
        <v>175</v>
      </c>
      <c r="J43" s="0" t="s">
        <v>163</v>
      </c>
      <c r="K43" s="0" t="s">
        <v>66</v>
      </c>
    </row>
    <row r="44" customFormat="false" ht="15" hidden="false" customHeight="false" outlineLevel="0" collapsed="false">
      <c r="A44" s="0" t="s">
        <v>176</v>
      </c>
      <c r="B44" s="0" t="s">
        <v>177</v>
      </c>
      <c r="C44" s="0" t="n">
        <v>12.664</v>
      </c>
      <c r="D44" s="0" t="n">
        <v>14.821</v>
      </c>
      <c r="E44" s="0" t="n">
        <v>4</v>
      </c>
      <c r="F44" s="0" t="s">
        <v>161</v>
      </c>
      <c r="G44" s="0" t="n">
        <v>16</v>
      </c>
      <c r="H44" s="0" t="n">
        <v>750.78</v>
      </c>
      <c r="I44" s="0" t="s">
        <v>178</v>
      </c>
      <c r="J44" s="0" t="s">
        <v>163</v>
      </c>
      <c r="K44" s="0" t="s">
        <v>66</v>
      </c>
    </row>
    <row r="45" customFormat="false" ht="15" hidden="false" customHeight="false" outlineLevel="0" collapsed="false">
      <c r="A45" s="0" t="s">
        <v>179</v>
      </c>
      <c r="B45" s="0" t="s">
        <v>180</v>
      </c>
      <c r="C45" s="0" t="n">
        <v>11.625</v>
      </c>
      <c r="D45" s="0" t="n">
        <v>15.375</v>
      </c>
      <c r="E45" s="0" t="n">
        <v>4</v>
      </c>
      <c r="F45" s="0" t="s">
        <v>161</v>
      </c>
      <c r="G45" s="0" t="n">
        <v>16</v>
      </c>
      <c r="H45" s="0" t="n">
        <v>714.94</v>
      </c>
      <c r="I45" s="0" t="s">
        <v>181</v>
      </c>
      <c r="J45" s="0" t="s">
        <v>163</v>
      </c>
      <c r="K45" s="0" t="s">
        <v>70</v>
      </c>
    </row>
    <row r="46" customFormat="false" ht="15" hidden="false" customHeight="false" outlineLevel="0" collapsed="false">
      <c r="A46" s="0" t="s">
        <v>182</v>
      </c>
      <c r="B46" s="0" t="s">
        <v>183</v>
      </c>
      <c r="C46" s="0" t="n">
        <v>12.331</v>
      </c>
      <c r="D46" s="0" t="n">
        <v>15.375</v>
      </c>
      <c r="E46" s="0" t="n">
        <v>4</v>
      </c>
      <c r="F46" s="0" t="s">
        <v>161</v>
      </c>
      <c r="G46" s="0" t="n">
        <v>16</v>
      </c>
      <c r="H46" s="0" t="n">
        <v>758.34</v>
      </c>
      <c r="I46" s="0" t="s">
        <v>184</v>
      </c>
      <c r="J46" s="0" t="s">
        <v>163</v>
      </c>
      <c r="K46" s="0" t="s">
        <v>66</v>
      </c>
    </row>
    <row r="47" customFormat="false" ht="15" hidden="false" customHeight="false" outlineLevel="0" collapsed="false">
      <c r="A47" s="5" t="s">
        <v>185</v>
      </c>
    </row>
    <row r="48" customFormat="false" ht="15" hidden="false" customHeight="false" outlineLevel="0" collapsed="false">
      <c r="A48" s="0" t="s">
        <v>186</v>
      </c>
      <c r="B48" s="0" t="s">
        <v>187</v>
      </c>
      <c r="C48" s="0" t="n">
        <v>11.771</v>
      </c>
      <c r="D48" s="0" t="n">
        <v>15.183</v>
      </c>
      <c r="E48" s="0" t="n">
        <v>4</v>
      </c>
      <c r="F48" s="0" t="s">
        <v>161</v>
      </c>
      <c r="G48" s="0" t="n">
        <v>16</v>
      </c>
      <c r="H48" s="0" t="n">
        <v>714.86</v>
      </c>
      <c r="I48" s="0" t="s">
        <v>188</v>
      </c>
      <c r="J48" s="0" t="s">
        <v>163</v>
      </c>
      <c r="K48" s="0" t="s">
        <v>66</v>
      </c>
    </row>
    <row r="49" customFormat="false" ht="15" hidden="false" customHeight="false" outlineLevel="0" collapsed="false">
      <c r="A49" s="0" t="s">
        <v>189</v>
      </c>
      <c r="B49" s="0" t="s">
        <v>190</v>
      </c>
      <c r="C49" s="0" t="n">
        <v>3.506</v>
      </c>
      <c r="D49" s="0" t="n">
        <v>15.375</v>
      </c>
      <c r="E49" s="0" t="n">
        <v>4</v>
      </c>
      <c r="F49" s="0" t="s">
        <v>161</v>
      </c>
      <c r="G49" s="0" t="n">
        <v>16</v>
      </c>
      <c r="H49" s="0" t="n">
        <v>215.6</v>
      </c>
      <c r="I49" s="0" t="s">
        <v>191</v>
      </c>
      <c r="J49" s="0" t="s">
        <v>163</v>
      </c>
      <c r="K49" s="0" t="s">
        <v>66</v>
      </c>
    </row>
    <row r="50" customFormat="false" ht="15" hidden="false" customHeight="false" outlineLevel="0" collapsed="false">
      <c r="A50" s="0" t="s">
        <v>192</v>
      </c>
      <c r="B50" s="0" t="s">
        <v>193</v>
      </c>
      <c r="C50" s="0" t="n">
        <v>2.667</v>
      </c>
      <c r="D50" s="0" t="n">
        <v>15.375</v>
      </c>
      <c r="E50" s="0" t="n">
        <v>4</v>
      </c>
      <c r="F50" s="0" t="s">
        <v>161</v>
      </c>
      <c r="G50" s="0" t="n">
        <v>16</v>
      </c>
      <c r="H50" s="0" t="n">
        <v>164</v>
      </c>
      <c r="I50" s="0" t="s">
        <v>194</v>
      </c>
      <c r="J50" s="0" t="s">
        <v>163</v>
      </c>
      <c r="K50" s="0" t="s">
        <v>66</v>
      </c>
    </row>
    <row r="51" customFormat="false" ht="15" hidden="false" customHeight="false" outlineLevel="0" collapsed="false">
      <c r="A51" s="5" t="s">
        <v>195</v>
      </c>
    </row>
    <row r="52" customFormat="false" ht="15" hidden="false" customHeight="false" outlineLevel="0" collapsed="false">
      <c r="A52" s="0" t="s">
        <v>196</v>
      </c>
      <c r="B52" s="0" t="s">
        <v>197</v>
      </c>
      <c r="C52" s="0" t="n">
        <v>30</v>
      </c>
      <c r="D52" s="0" t="n">
        <v>6.837</v>
      </c>
      <c r="E52" s="0" t="n">
        <v>5</v>
      </c>
      <c r="F52" s="0" t="s">
        <v>161</v>
      </c>
      <c r="G52" s="0" t="n">
        <v>16</v>
      </c>
      <c r="H52" s="0" t="n">
        <v>835.8</v>
      </c>
      <c r="I52" s="0" t="s">
        <v>198</v>
      </c>
      <c r="J52" s="0" t="s">
        <v>199</v>
      </c>
      <c r="K52" s="0" t="s">
        <v>70</v>
      </c>
    </row>
    <row r="53" customFormat="false" ht="15" hidden="false" customHeight="false" outlineLevel="0" collapsed="false">
      <c r="A53" s="0" t="s">
        <v>200</v>
      </c>
      <c r="B53" s="0" t="s">
        <v>201</v>
      </c>
      <c r="C53" s="0" t="n">
        <v>15</v>
      </c>
      <c r="D53" s="0" t="n">
        <v>7.333</v>
      </c>
      <c r="E53" s="0" t="n">
        <v>5</v>
      </c>
      <c r="F53" s="0" t="s">
        <v>161</v>
      </c>
      <c r="G53" s="0" t="n">
        <v>16</v>
      </c>
      <c r="H53" s="0" t="n">
        <v>447.66</v>
      </c>
      <c r="I53" s="0" t="s">
        <v>202</v>
      </c>
      <c r="J53" s="0" t="s">
        <v>199</v>
      </c>
      <c r="K53" s="0" t="s">
        <v>70</v>
      </c>
    </row>
    <row r="54" customFormat="false" ht="15" hidden="false" customHeight="false" outlineLevel="0" collapsed="false">
      <c r="A54" s="5" t="s">
        <v>203</v>
      </c>
    </row>
    <row r="55" customFormat="false" ht="15" hidden="false" customHeight="false" outlineLevel="0" collapsed="false">
      <c r="A55" s="0" t="s">
        <v>204</v>
      </c>
      <c r="B55" s="0" t="s">
        <v>205</v>
      </c>
      <c r="C55" s="0" t="n">
        <v>13.184</v>
      </c>
      <c r="D55" s="0" t="n">
        <v>14.358</v>
      </c>
      <c r="E55" s="0" t="n">
        <v>2</v>
      </c>
      <c r="F55" s="0" t="s">
        <v>86</v>
      </c>
      <c r="G55" s="0" t="n">
        <v>16</v>
      </c>
      <c r="H55" s="0" t="n">
        <v>194.3</v>
      </c>
      <c r="I55" s="0" t="s">
        <v>206</v>
      </c>
      <c r="J55" s="0" t="s">
        <v>207</v>
      </c>
      <c r="K55" s="0" t="s">
        <v>66</v>
      </c>
    </row>
    <row r="56" customFormat="false" ht="15" hidden="false" customHeight="false" outlineLevel="0" collapsed="false">
      <c r="A56" s="0" t="s">
        <v>208</v>
      </c>
      <c r="B56" s="0" t="s">
        <v>209</v>
      </c>
      <c r="C56" s="0" t="n">
        <v>75.887</v>
      </c>
      <c r="D56" s="0" t="n">
        <v>13.539</v>
      </c>
      <c r="E56" s="0" t="n">
        <v>5</v>
      </c>
      <c r="F56" s="0" t="s">
        <v>86</v>
      </c>
      <c r="G56" s="0" t="n">
        <v>16</v>
      </c>
      <c r="H56" s="0" t="n">
        <v>1036.68</v>
      </c>
      <c r="I56" s="0" t="s">
        <v>210</v>
      </c>
      <c r="J56" s="0" t="s">
        <v>207</v>
      </c>
      <c r="K56" s="0" t="s">
        <v>66</v>
      </c>
    </row>
    <row r="57" customFormat="false" ht="15" hidden="false" customHeight="false" outlineLevel="0" collapsed="false">
      <c r="A57" s="0" t="s">
        <v>211</v>
      </c>
      <c r="B57" s="0" t="s">
        <v>212</v>
      </c>
      <c r="C57" s="0" t="n">
        <v>51.733</v>
      </c>
      <c r="D57" s="0" t="n">
        <v>11.17</v>
      </c>
      <c r="E57" s="0" t="n">
        <v>4</v>
      </c>
      <c r="F57" s="0" t="s">
        <v>86</v>
      </c>
      <c r="G57" s="0" t="n">
        <v>16</v>
      </c>
      <c r="H57" s="0" t="n">
        <v>621.07</v>
      </c>
      <c r="I57" s="0" t="s">
        <v>213</v>
      </c>
      <c r="J57" s="0" t="s">
        <v>207</v>
      </c>
      <c r="K57" s="0" t="s">
        <v>66</v>
      </c>
    </row>
    <row r="58" customFormat="false" ht="15" hidden="false" customHeight="false" outlineLevel="0" collapsed="false">
      <c r="A58" s="0" t="s">
        <v>214</v>
      </c>
      <c r="B58" s="0" t="s">
        <v>215</v>
      </c>
      <c r="C58" s="0" t="n">
        <v>47.927</v>
      </c>
      <c r="D58" s="0" t="n">
        <v>13.061</v>
      </c>
      <c r="E58" s="0" t="n">
        <v>3</v>
      </c>
      <c r="F58" s="0" t="s">
        <v>86</v>
      </c>
      <c r="G58" s="0" t="n">
        <v>16</v>
      </c>
      <c r="H58" s="0" t="n">
        <v>638.81</v>
      </c>
      <c r="I58" s="0" t="s">
        <v>216</v>
      </c>
      <c r="J58" s="0" t="s">
        <v>207</v>
      </c>
      <c r="K58" s="0" t="s">
        <v>66</v>
      </c>
    </row>
    <row r="59" customFormat="false" ht="15" hidden="false" customHeight="false" outlineLevel="0" collapsed="false">
      <c r="A59" s="0" t="s">
        <v>217</v>
      </c>
      <c r="B59" s="0" t="s">
        <v>218</v>
      </c>
      <c r="C59" s="0" t="n">
        <v>3.907</v>
      </c>
      <c r="D59" s="0" t="n">
        <v>14.358</v>
      </c>
      <c r="E59" s="0" t="n">
        <v>1</v>
      </c>
      <c r="F59" s="0" t="s">
        <v>86</v>
      </c>
      <c r="G59" s="0" t="n">
        <v>16</v>
      </c>
      <c r="H59" s="0" t="n">
        <v>60.07</v>
      </c>
      <c r="I59" s="0" t="s">
        <v>219</v>
      </c>
      <c r="J59" s="0" t="s">
        <v>207</v>
      </c>
      <c r="K59" s="0" t="s">
        <v>66</v>
      </c>
    </row>
    <row r="60" customFormat="false" ht="15" hidden="false" customHeight="false" outlineLevel="0" collapsed="false">
      <c r="A60" s="0" t="s">
        <v>220</v>
      </c>
      <c r="B60" s="0" t="s">
        <v>221</v>
      </c>
      <c r="C60" s="0" t="n">
        <v>21.462</v>
      </c>
      <c r="D60" s="0" t="n">
        <v>14.358</v>
      </c>
      <c r="E60" s="0" t="n">
        <v>3</v>
      </c>
      <c r="F60" s="0" t="s">
        <v>86</v>
      </c>
      <c r="G60" s="0" t="n">
        <v>16</v>
      </c>
      <c r="H60" s="0" t="n">
        <v>315.73</v>
      </c>
      <c r="I60" s="0" t="s">
        <v>222</v>
      </c>
      <c r="J60" s="0" t="s">
        <v>207</v>
      </c>
      <c r="K60" s="0" t="s">
        <v>66</v>
      </c>
    </row>
    <row r="61" customFormat="false" ht="15" hidden="false" customHeight="false" outlineLevel="0" collapsed="false">
      <c r="A61" s="0" t="s">
        <v>223</v>
      </c>
      <c r="B61" s="0" t="s">
        <v>224</v>
      </c>
      <c r="C61" s="0" t="n">
        <v>3.375</v>
      </c>
      <c r="D61" s="0" t="n">
        <v>14.358</v>
      </c>
      <c r="E61" s="0" t="n">
        <v>0</v>
      </c>
      <c r="F61" s="0" t="s">
        <v>86</v>
      </c>
      <c r="G61" s="0" t="n">
        <v>16</v>
      </c>
      <c r="H61" s="0" t="n">
        <v>0</v>
      </c>
      <c r="I61" s="0" t="s">
        <v>224</v>
      </c>
      <c r="J61" s="0" t="s">
        <v>137</v>
      </c>
      <c r="K61" s="0" t="s">
        <v>66</v>
      </c>
    </row>
    <row r="62" customFormat="false" ht="15" hidden="false" customHeight="false" outlineLevel="0" collapsed="false">
      <c r="A62" s="0" t="s">
        <v>225</v>
      </c>
      <c r="B62" s="0" t="s">
        <v>226</v>
      </c>
      <c r="C62" s="0" t="n">
        <v>2.896</v>
      </c>
      <c r="D62" s="0" t="n">
        <v>14.358</v>
      </c>
      <c r="E62" s="0" t="n">
        <v>0</v>
      </c>
      <c r="F62" s="0" t="s">
        <v>86</v>
      </c>
      <c r="G62" s="0" t="n">
        <v>16</v>
      </c>
      <c r="H62" s="0" t="n">
        <v>0</v>
      </c>
      <c r="I62" s="0" t="s">
        <v>226</v>
      </c>
      <c r="J62" s="0" t="s">
        <v>133</v>
      </c>
      <c r="K62" s="0" t="s">
        <v>66</v>
      </c>
    </row>
    <row r="63" customFormat="false" ht="15" hidden="false" customHeight="false" outlineLevel="0" collapsed="false">
      <c r="A63" s="5" t="s">
        <v>227</v>
      </c>
    </row>
    <row r="64" customFormat="false" ht="15" hidden="false" customHeight="false" outlineLevel="0" collapsed="false">
      <c r="A64" s="0" t="s">
        <v>228</v>
      </c>
      <c r="B64" s="0" t="s">
        <v>229</v>
      </c>
      <c r="C64" s="0" t="n">
        <v>5.667</v>
      </c>
      <c r="D64" s="0" t="n">
        <v>10.604</v>
      </c>
      <c r="E64" s="0" t="n">
        <v>0</v>
      </c>
      <c r="F64" s="0" t="s">
        <v>63</v>
      </c>
      <c r="G64" s="0" t="n">
        <v>16</v>
      </c>
      <c r="H64" s="0" t="n">
        <v>0</v>
      </c>
      <c r="I64" s="0" t="s">
        <v>229</v>
      </c>
      <c r="J64" s="0" t="s">
        <v>230</v>
      </c>
      <c r="K64" s="0" t="s">
        <v>66</v>
      </c>
    </row>
    <row r="65" customFormat="false" ht="15" hidden="false" customHeight="false" outlineLevel="0" collapsed="false">
      <c r="A65" s="0" t="s">
        <v>231</v>
      </c>
      <c r="B65" s="0" t="s">
        <v>232</v>
      </c>
      <c r="C65" s="0" t="n">
        <v>5.667</v>
      </c>
      <c r="D65" s="0" t="n">
        <v>10.604</v>
      </c>
      <c r="E65" s="0" t="n">
        <v>0</v>
      </c>
      <c r="F65" s="0" t="s">
        <v>63</v>
      </c>
      <c r="G65" s="0" t="n">
        <v>16</v>
      </c>
      <c r="H65" s="0" t="n">
        <v>0</v>
      </c>
      <c r="I65" s="0" t="s">
        <v>232</v>
      </c>
      <c r="J65" s="0" t="s">
        <v>230</v>
      </c>
      <c r="K65" s="0" t="s">
        <v>66</v>
      </c>
    </row>
    <row r="66" customFormat="false" ht="15" hidden="false" customHeight="false" outlineLevel="0" collapsed="false">
      <c r="A66" s="0" t="s">
        <v>233</v>
      </c>
      <c r="B66" s="0" t="s">
        <v>234</v>
      </c>
      <c r="C66" s="0" t="n">
        <v>5.667</v>
      </c>
      <c r="D66" s="0" t="n">
        <v>10.604</v>
      </c>
      <c r="E66" s="0" t="n">
        <v>0</v>
      </c>
      <c r="F66" s="0" t="s">
        <v>63</v>
      </c>
      <c r="G66" s="0" t="n">
        <v>16</v>
      </c>
      <c r="H66" s="0" t="n">
        <v>0</v>
      </c>
      <c r="I66" s="0" t="s">
        <v>234</v>
      </c>
      <c r="J66" s="0" t="s">
        <v>230</v>
      </c>
      <c r="K66" s="0" t="s">
        <v>66</v>
      </c>
    </row>
    <row r="67" customFormat="false" ht="15" hidden="false" customHeight="false" outlineLevel="0" collapsed="false">
      <c r="A67" s="0" t="s">
        <v>235</v>
      </c>
      <c r="B67" s="0" t="s">
        <v>236</v>
      </c>
      <c r="C67" s="0" t="n">
        <v>5.667</v>
      </c>
      <c r="D67" s="0" t="n">
        <v>10.604</v>
      </c>
      <c r="E67" s="0" t="n">
        <v>0</v>
      </c>
      <c r="F67" s="0" t="s">
        <v>63</v>
      </c>
      <c r="G67" s="0" t="n">
        <v>16</v>
      </c>
      <c r="H67" s="0" t="n">
        <v>0</v>
      </c>
      <c r="I67" s="0" t="s">
        <v>236</v>
      </c>
      <c r="J67" s="0" t="s">
        <v>230</v>
      </c>
      <c r="K67" s="0" t="s">
        <v>66</v>
      </c>
    </row>
    <row r="68" customFormat="false" ht="15" hidden="false" customHeight="false" outlineLevel="0" collapsed="false">
      <c r="A68" s="5" t="s">
        <v>237</v>
      </c>
    </row>
    <row r="69" customFormat="false" ht="15" hidden="false" customHeight="false" outlineLevel="0" collapsed="false">
      <c r="A69" s="0" t="s">
        <v>238</v>
      </c>
      <c r="B69" s="0" t="s">
        <v>239</v>
      </c>
      <c r="C69" s="0" t="n">
        <v>16.472</v>
      </c>
      <c r="D69" s="0" t="n">
        <v>4.292</v>
      </c>
      <c r="E69" s="0" t="n">
        <v>0</v>
      </c>
      <c r="F69" s="0" t="s">
        <v>240</v>
      </c>
      <c r="G69" s="0" t="n">
        <v>16</v>
      </c>
      <c r="H69" s="0" t="n">
        <v>0</v>
      </c>
      <c r="I69" s="0" t="s">
        <v>239</v>
      </c>
      <c r="J69" s="0" t="s">
        <v>241</v>
      </c>
      <c r="K69" s="0" t="s">
        <v>66</v>
      </c>
    </row>
    <row r="70" customFormat="false" ht="15" hidden="false" customHeight="false" outlineLevel="0" collapsed="false">
      <c r="A70" s="0" t="s">
        <v>242</v>
      </c>
      <c r="B70" s="0" t="s">
        <v>243</v>
      </c>
      <c r="C70" s="0" t="n">
        <v>3.877</v>
      </c>
      <c r="D70" s="0" t="n">
        <v>4.292</v>
      </c>
      <c r="E70" s="0" t="n">
        <v>0</v>
      </c>
      <c r="F70" s="0" t="s">
        <v>240</v>
      </c>
      <c r="G70" s="0" t="n">
        <v>16</v>
      </c>
      <c r="H70" s="0" t="n">
        <v>0</v>
      </c>
      <c r="I70" s="0" t="s">
        <v>243</v>
      </c>
      <c r="J70" s="0" t="s">
        <v>241</v>
      </c>
      <c r="K70" s="0" t="s">
        <v>66</v>
      </c>
    </row>
    <row r="71" customFormat="false" ht="15" hidden="false" customHeight="false" outlineLevel="0" collapsed="false">
      <c r="A71" s="0" t="s">
        <v>244</v>
      </c>
      <c r="B71" s="0" t="s">
        <v>245</v>
      </c>
      <c r="C71" s="0" t="n">
        <v>39.119</v>
      </c>
      <c r="D71" s="0" t="n">
        <v>2.042</v>
      </c>
      <c r="E71" s="0" t="n">
        <v>0</v>
      </c>
      <c r="F71" s="0" t="s">
        <v>240</v>
      </c>
      <c r="G71" s="0" t="n">
        <v>16</v>
      </c>
      <c r="H71" s="0" t="n">
        <v>0</v>
      </c>
      <c r="I71" s="0" t="s">
        <v>245</v>
      </c>
      <c r="J71" s="0" t="s">
        <v>241</v>
      </c>
      <c r="K71" s="0" t="s">
        <v>66</v>
      </c>
    </row>
    <row r="72" customFormat="false" ht="15" hidden="false" customHeight="false" outlineLevel="0" collapsed="false">
      <c r="A72" s="0" t="s">
        <v>246</v>
      </c>
      <c r="B72" s="0" t="s">
        <v>247</v>
      </c>
      <c r="C72" s="0" t="n">
        <v>75.824</v>
      </c>
      <c r="D72" s="0" t="n">
        <v>2.897</v>
      </c>
      <c r="E72" s="0" t="n">
        <v>0</v>
      </c>
      <c r="F72" s="0" t="s">
        <v>240</v>
      </c>
      <c r="G72" s="0" t="n">
        <v>16</v>
      </c>
      <c r="H72" s="0" t="n">
        <v>0</v>
      </c>
      <c r="I72" s="0" t="s">
        <v>248</v>
      </c>
      <c r="J72" s="0" t="s">
        <v>241</v>
      </c>
      <c r="K72" s="0" t="s">
        <v>66</v>
      </c>
    </row>
    <row r="73" customFormat="false" ht="15" hidden="false" customHeight="false" outlineLevel="0" collapsed="false">
      <c r="A73" s="0" t="s">
        <v>249</v>
      </c>
      <c r="B73" s="0" t="s">
        <v>250</v>
      </c>
      <c r="C73" s="0" t="n">
        <v>52.204</v>
      </c>
      <c r="D73" s="0" t="n">
        <v>4.885</v>
      </c>
      <c r="E73" s="0" t="n">
        <v>0</v>
      </c>
      <c r="F73" s="0" t="s">
        <v>240</v>
      </c>
      <c r="G73" s="0" t="n">
        <v>16</v>
      </c>
      <c r="H73" s="0" t="n">
        <v>0</v>
      </c>
      <c r="I73" s="0" t="s">
        <v>250</v>
      </c>
      <c r="J73" s="0" t="s">
        <v>241</v>
      </c>
      <c r="K73" s="0" t="s">
        <v>66</v>
      </c>
    </row>
    <row r="74" customFormat="false" ht="15" hidden="false" customHeight="false" outlineLevel="0" collapsed="false">
      <c r="A74" s="0" t="s">
        <v>251</v>
      </c>
      <c r="B74" s="0" t="s">
        <v>252</v>
      </c>
      <c r="C74" s="0" t="n">
        <v>47.927</v>
      </c>
      <c r="D74" s="0" t="n">
        <v>3.394</v>
      </c>
      <c r="E74" s="0" t="n">
        <v>0</v>
      </c>
      <c r="F74" s="0" t="s">
        <v>240</v>
      </c>
      <c r="G74" s="0" t="n">
        <v>16</v>
      </c>
      <c r="H74" s="0" t="n">
        <v>0</v>
      </c>
      <c r="I74" s="0" t="s">
        <v>253</v>
      </c>
      <c r="J74" s="0" t="s">
        <v>241</v>
      </c>
      <c r="K74" s="0" t="s">
        <v>66</v>
      </c>
    </row>
    <row r="75" customFormat="false" ht="15" hidden="false" customHeight="false" outlineLevel="0" collapsed="false">
      <c r="A75" s="0" t="s">
        <v>254</v>
      </c>
      <c r="B75" s="0" t="s">
        <v>255</v>
      </c>
      <c r="C75" s="0" t="n">
        <v>3.907</v>
      </c>
      <c r="D75" s="0" t="n">
        <v>4.292</v>
      </c>
      <c r="E75" s="0" t="n">
        <v>0</v>
      </c>
      <c r="F75" s="0" t="s">
        <v>240</v>
      </c>
      <c r="G75" s="0" t="n">
        <v>16</v>
      </c>
      <c r="H75" s="0" t="n">
        <v>0</v>
      </c>
      <c r="I75" s="0" t="s">
        <v>255</v>
      </c>
      <c r="J75" s="0" t="s">
        <v>241</v>
      </c>
      <c r="K75" s="0" t="s">
        <v>66</v>
      </c>
    </row>
    <row r="76" customFormat="false" ht="15" hidden="false" customHeight="false" outlineLevel="0" collapsed="false">
      <c r="A76" s="0" t="s">
        <v>256</v>
      </c>
      <c r="B76" s="0" t="s">
        <v>257</v>
      </c>
      <c r="C76" s="0" t="n">
        <v>28.898</v>
      </c>
      <c r="D76" s="0" t="n">
        <v>4.292</v>
      </c>
      <c r="E76" s="0" t="n">
        <v>0</v>
      </c>
      <c r="F76" s="0" t="s">
        <v>240</v>
      </c>
      <c r="G76" s="0" t="n">
        <v>16</v>
      </c>
      <c r="H76" s="0" t="n">
        <v>0</v>
      </c>
      <c r="I76" s="0" t="s">
        <v>257</v>
      </c>
      <c r="J76" s="0" t="s">
        <v>241</v>
      </c>
      <c r="K76" s="0" t="s">
        <v>66</v>
      </c>
    </row>
    <row r="77" customFormat="false" ht="15" hidden="false" customHeight="false" outlineLevel="0" collapsed="false">
      <c r="A77" s="5" t="s">
        <v>258</v>
      </c>
    </row>
    <row r="78" customFormat="false" ht="15" hidden="false" customHeight="false" outlineLevel="0" collapsed="false">
      <c r="A78" s="0" t="s">
        <v>259</v>
      </c>
      <c r="B78" s="0" t="s">
        <v>260</v>
      </c>
      <c r="C78" s="0" t="n">
        <v>4.203</v>
      </c>
      <c r="D78" s="0" t="n">
        <v>15.375</v>
      </c>
      <c r="E78" s="0" t="n">
        <v>2</v>
      </c>
      <c r="F78" s="0" t="s">
        <v>63</v>
      </c>
      <c r="G78" s="0" t="n">
        <v>16</v>
      </c>
      <c r="H78" s="0" t="n">
        <v>129.26</v>
      </c>
      <c r="I78" s="0" t="s">
        <v>261</v>
      </c>
      <c r="J78" s="0" t="s">
        <v>262</v>
      </c>
      <c r="K78" s="0" t="s">
        <v>66</v>
      </c>
    </row>
    <row r="79" customFormat="false" ht="15" hidden="false" customHeight="false" outlineLevel="0" collapsed="false">
      <c r="A79" s="0" t="s">
        <v>263</v>
      </c>
      <c r="B79" s="0" t="s">
        <v>264</v>
      </c>
      <c r="C79" s="0" t="n">
        <v>5.76</v>
      </c>
      <c r="D79" s="0" t="n">
        <v>12.939</v>
      </c>
      <c r="E79" s="0" t="n">
        <v>2</v>
      </c>
      <c r="F79" s="0" t="s">
        <v>63</v>
      </c>
      <c r="G79" s="0" t="n">
        <v>16</v>
      </c>
      <c r="H79" s="0" t="n">
        <v>149.06</v>
      </c>
      <c r="I79" s="0" t="s">
        <v>265</v>
      </c>
      <c r="J79" s="0" t="s">
        <v>262</v>
      </c>
      <c r="K79" s="0" t="s">
        <v>66</v>
      </c>
    </row>
    <row r="80" customFormat="false" ht="15" hidden="false" customHeight="false" outlineLevel="0" collapsed="false">
      <c r="A80" s="5" t="s">
        <v>266</v>
      </c>
    </row>
    <row r="81" customFormat="false" ht="15" hidden="false" customHeight="false" outlineLevel="0" collapsed="false">
      <c r="A81" s="0" t="s">
        <v>267</v>
      </c>
      <c r="B81" s="0" t="s">
        <v>268</v>
      </c>
      <c r="C81" s="0" t="n">
        <v>2.107</v>
      </c>
      <c r="D81" s="0" t="n">
        <v>15.375</v>
      </c>
      <c r="E81" s="0" t="n">
        <v>2</v>
      </c>
      <c r="F81" s="0" t="s">
        <v>86</v>
      </c>
      <c r="G81" s="0" t="n">
        <v>16</v>
      </c>
      <c r="H81" s="0" t="n">
        <v>64.76</v>
      </c>
      <c r="I81" s="0" t="s">
        <v>269</v>
      </c>
      <c r="J81" s="0" t="s">
        <v>270</v>
      </c>
      <c r="K81" s="0" t="s">
        <v>66</v>
      </c>
    </row>
    <row r="82" customFormat="false" ht="15" hidden="false" customHeight="false" outlineLevel="0" collapsed="false">
      <c r="B82" s="6" t="s">
        <v>271</v>
      </c>
      <c r="C82" s="4" t="n">
        <f aca="false">SUM(C5:C81)</f>
        <v>966.294</v>
      </c>
      <c r="H82" s="4" t="n">
        <f aca="false">SUM(H5:H81)</f>
        <v>15971.53</v>
      </c>
    </row>
    <row r="84" customFormat="false" ht="15" hidden="false" customHeight="false" outlineLevel="0" collapsed="false">
      <c r="A84" s="5" t="s">
        <v>272</v>
      </c>
    </row>
    <row r="85" customFormat="false" ht="15" hidden="false" customHeight="false" outlineLevel="0" collapsed="false">
      <c r="A85" s="0" t="s">
        <v>273</v>
      </c>
      <c r="B85" s="0" t="s">
        <v>274</v>
      </c>
      <c r="C85" s="0" t="n">
        <v>15.646</v>
      </c>
      <c r="D85" s="0" t="n">
        <v>5.375</v>
      </c>
      <c r="E85" s="0" t="n">
        <v>0</v>
      </c>
      <c r="F85" s="0" t="s">
        <v>63</v>
      </c>
      <c r="G85" s="0" t="n">
        <v>16</v>
      </c>
      <c r="H85" s="0" t="n">
        <v>0</v>
      </c>
      <c r="I85" s="0" t="s">
        <v>275</v>
      </c>
      <c r="J85" s="0" t="s">
        <v>276</v>
      </c>
      <c r="K85" s="0" t="s">
        <v>70</v>
      </c>
    </row>
    <row r="86" customFormat="false" ht="15" hidden="false" customHeight="false" outlineLevel="0" collapsed="false">
      <c r="A86" s="0" t="s">
        <v>277</v>
      </c>
      <c r="B86" s="0" t="s">
        <v>278</v>
      </c>
      <c r="C86" s="0" t="n">
        <v>6.417</v>
      </c>
      <c r="D86" s="0" t="n">
        <v>5.375</v>
      </c>
      <c r="E86" s="0" t="n">
        <v>1</v>
      </c>
      <c r="F86" s="0" t="s">
        <v>63</v>
      </c>
      <c r="G86" s="0" t="n">
        <v>16</v>
      </c>
      <c r="H86" s="0" t="n">
        <v>9.63</v>
      </c>
      <c r="I86" s="0" t="s">
        <v>279</v>
      </c>
      <c r="J86" s="0" t="s">
        <v>280</v>
      </c>
      <c r="K86" s="0" t="s">
        <v>70</v>
      </c>
    </row>
    <row r="87" customFormat="false" ht="15" hidden="false" customHeight="false" outlineLevel="0" collapsed="false">
      <c r="A87" s="0" t="s">
        <v>281</v>
      </c>
      <c r="B87" s="0" t="s">
        <v>282</v>
      </c>
      <c r="C87" s="0" t="n">
        <v>12.561</v>
      </c>
      <c r="D87" s="0" t="n">
        <v>4.983</v>
      </c>
      <c r="E87" s="0" t="n">
        <v>1</v>
      </c>
      <c r="F87" s="0" t="s">
        <v>86</v>
      </c>
      <c r="G87" s="0" t="n">
        <v>16</v>
      </c>
      <c r="H87" s="0" t="n">
        <v>86.36</v>
      </c>
      <c r="I87" s="0" t="s">
        <v>283</v>
      </c>
      <c r="J87" s="0" t="s">
        <v>284</v>
      </c>
      <c r="K87" s="0" t="s">
        <v>66</v>
      </c>
    </row>
    <row r="88" customFormat="false" ht="15" hidden="false" customHeight="false" outlineLevel="0" collapsed="false">
      <c r="A88" s="0" t="s">
        <v>285</v>
      </c>
      <c r="B88" s="0" t="s">
        <v>286</v>
      </c>
      <c r="C88" s="0" t="n">
        <v>26.25</v>
      </c>
      <c r="D88" s="0" t="n">
        <v>4.525</v>
      </c>
      <c r="E88" s="0" t="n">
        <v>1</v>
      </c>
      <c r="F88" s="0" t="s">
        <v>86</v>
      </c>
      <c r="G88" s="0" t="n">
        <v>16</v>
      </c>
      <c r="H88" s="0" t="n">
        <v>180.47</v>
      </c>
      <c r="I88" s="0" t="s">
        <v>287</v>
      </c>
      <c r="J88" s="0" t="s">
        <v>284</v>
      </c>
      <c r="K88" s="0" t="s">
        <v>66</v>
      </c>
    </row>
    <row r="89" customFormat="false" ht="15" hidden="false" customHeight="false" outlineLevel="0" collapsed="false">
      <c r="A89" s="0" t="s">
        <v>288</v>
      </c>
      <c r="B89" s="0" t="s">
        <v>289</v>
      </c>
      <c r="C89" s="0" t="n">
        <v>6.5</v>
      </c>
      <c r="D89" s="0" t="n">
        <v>4.983</v>
      </c>
      <c r="E89" s="0" t="n">
        <v>1</v>
      </c>
      <c r="F89" s="0" t="s">
        <v>86</v>
      </c>
      <c r="G89" s="0" t="n">
        <v>16</v>
      </c>
      <c r="H89" s="0" t="n">
        <v>44.69</v>
      </c>
      <c r="I89" s="0" t="s">
        <v>283</v>
      </c>
      <c r="J89" s="0" t="s">
        <v>284</v>
      </c>
      <c r="K89" s="0" t="s">
        <v>66</v>
      </c>
    </row>
    <row r="90" customFormat="false" ht="15" hidden="false" customHeight="false" outlineLevel="0" collapsed="false">
      <c r="A90" s="0" t="s">
        <v>290</v>
      </c>
      <c r="B90" s="0" t="s">
        <v>291</v>
      </c>
      <c r="C90" s="0" t="n">
        <v>51.593</v>
      </c>
      <c r="D90" s="0" t="n">
        <v>2.823</v>
      </c>
      <c r="E90" s="0" t="n">
        <v>0</v>
      </c>
      <c r="F90" s="0" t="s">
        <v>63</v>
      </c>
      <c r="G90" s="0" t="n">
        <v>16</v>
      </c>
      <c r="H90" s="0" t="n">
        <v>0</v>
      </c>
      <c r="I90" s="0" t="s">
        <v>292</v>
      </c>
      <c r="J90" s="0" t="s">
        <v>293</v>
      </c>
      <c r="K90" s="0" t="s">
        <v>66</v>
      </c>
    </row>
    <row r="91" customFormat="false" ht="15" hidden="false" customHeight="false" outlineLevel="0" collapsed="false">
      <c r="A91" s="0" t="s">
        <v>294</v>
      </c>
      <c r="B91" s="0" t="s">
        <v>295</v>
      </c>
      <c r="C91" s="0" t="n">
        <v>51.733</v>
      </c>
      <c r="D91" s="0" t="n">
        <v>3.465</v>
      </c>
      <c r="E91" s="0" t="n">
        <v>1</v>
      </c>
      <c r="F91" s="0" t="s">
        <v>63</v>
      </c>
      <c r="G91" s="0" t="n">
        <v>16</v>
      </c>
      <c r="H91" s="0" t="n">
        <v>179.24</v>
      </c>
      <c r="I91" s="0" t="s">
        <v>292</v>
      </c>
      <c r="J91" s="0" t="s">
        <v>293</v>
      </c>
      <c r="K91" s="0" t="s">
        <v>66</v>
      </c>
    </row>
    <row r="92" customFormat="false" ht="15" hidden="false" customHeight="false" outlineLevel="0" collapsed="false">
      <c r="A92" s="0" t="s">
        <v>296</v>
      </c>
      <c r="B92" s="0" t="s">
        <v>297</v>
      </c>
      <c r="C92" s="0" t="n">
        <v>51.733</v>
      </c>
      <c r="D92" s="0" t="n">
        <v>1.142</v>
      </c>
      <c r="E92" s="0" t="n">
        <v>1</v>
      </c>
      <c r="F92" s="0" t="s">
        <v>63</v>
      </c>
      <c r="G92" s="0" t="n">
        <v>16</v>
      </c>
      <c r="H92" s="0" t="n">
        <v>59.06</v>
      </c>
      <c r="I92" s="0" t="s">
        <v>292</v>
      </c>
      <c r="J92" s="0" t="s">
        <v>293</v>
      </c>
      <c r="K92" s="0" t="s">
        <v>66</v>
      </c>
    </row>
    <row r="93" customFormat="false" ht="15" hidden="false" customHeight="false" outlineLevel="0" collapsed="false">
      <c r="A93" s="0" t="s">
        <v>298</v>
      </c>
      <c r="B93" s="0" t="s">
        <v>299</v>
      </c>
      <c r="C93" s="0" t="n">
        <v>78.161</v>
      </c>
      <c r="D93" s="0" t="n">
        <v>1.979</v>
      </c>
      <c r="E93" s="0" t="n">
        <v>0</v>
      </c>
      <c r="F93" s="0" t="s">
        <v>63</v>
      </c>
      <c r="G93" s="0" t="n">
        <v>16</v>
      </c>
      <c r="H93" s="0" t="n">
        <v>0</v>
      </c>
      <c r="I93" s="0" t="s">
        <v>299</v>
      </c>
      <c r="J93" s="0" t="s">
        <v>300</v>
      </c>
      <c r="K93" s="0" t="s">
        <v>66</v>
      </c>
    </row>
    <row r="94" customFormat="false" ht="15" hidden="false" customHeight="false" outlineLevel="0" collapsed="false">
      <c r="A94" s="0" t="s">
        <v>301</v>
      </c>
      <c r="B94" s="0" t="s">
        <v>302</v>
      </c>
      <c r="C94" s="0" t="n">
        <v>17.028</v>
      </c>
      <c r="D94" s="0" t="n">
        <v>4.375</v>
      </c>
      <c r="E94" s="0" t="n">
        <v>3</v>
      </c>
      <c r="F94" s="0" t="s">
        <v>63</v>
      </c>
      <c r="G94" s="0" t="n">
        <v>16</v>
      </c>
      <c r="H94" s="0" t="n">
        <v>32.45</v>
      </c>
      <c r="I94" s="0" t="s">
        <v>303</v>
      </c>
      <c r="J94" s="0" t="s">
        <v>304</v>
      </c>
      <c r="K94" s="0" t="s">
        <v>66</v>
      </c>
    </row>
    <row r="95" customFormat="false" ht="15" hidden="false" customHeight="false" outlineLevel="0" collapsed="false">
      <c r="A95" s="0" t="s">
        <v>305</v>
      </c>
      <c r="B95" s="0" t="s">
        <v>306</v>
      </c>
      <c r="C95" s="0" t="n">
        <v>30</v>
      </c>
      <c r="D95" s="0" t="n">
        <v>4.375</v>
      </c>
      <c r="E95" s="0" t="n">
        <v>3</v>
      </c>
      <c r="F95" s="0" t="s">
        <v>63</v>
      </c>
      <c r="G95" s="0" t="n">
        <v>16</v>
      </c>
      <c r="H95" s="0" t="n">
        <v>57.18</v>
      </c>
      <c r="I95" s="0" t="s">
        <v>303</v>
      </c>
      <c r="J95" s="0" t="s">
        <v>304</v>
      </c>
      <c r="K95" s="0" t="s">
        <v>66</v>
      </c>
    </row>
    <row r="96" customFormat="false" ht="15" hidden="false" customHeight="false" outlineLevel="0" collapsed="false">
      <c r="A96" s="0" t="s">
        <v>307</v>
      </c>
      <c r="B96" s="0" t="s">
        <v>308</v>
      </c>
      <c r="C96" s="0" t="n">
        <v>30</v>
      </c>
      <c r="D96" s="0" t="n">
        <v>4.375</v>
      </c>
      <c r="E96" s="0" t="n">
        <v>3</v>
      </c>
      <c r="F96" s="0" t="s">
        <v>63</v>
      </c>
      <c r="G96" s="0" t="n">
        <v>16</v>
      </c>
      <c r="H96" s="0" t="n">
        <v>57.18</v>
      </c>
      <c r="I96" s="0" t="s">
        <v>303</v>
      </c>
      <c r="J96" s="0" t="s">
        <v>304</v>
      </c>
      <c r="K96" s="0" t="s">
        <v>66</v>
      </c>
    </row>
    <row r="97" customFormat="false" ht="15" hidden="false" customHeight="false" outlineLevel="0" collapsed="false">
      <c r="A97" s="0" t="s">
        <v>309</v>
      </c>
      <c r="B97" s="0" t="s">
        <v>310</v>
      </c>
      <c r="C97" s="0" t="n">
        <v>6.539</v>
      </c>
      <c r="D97" s="0" t="n">
        <v>7.375</v>
      </c>
      <c r="E97" s="0" t="n">
        <v>1</v>
      </c>
      <c r="F97" s="0" t="s">
        <v>63</v>
      </c>
      <c r="G97" s="0" t="n">
        <v>16</v>
      </c>
      <c r="H97" s="0" t="n">
        <v>9.81</v>
      </c>
      <c r="I97" s="0" t="s">
        <v>311</v>
      </c>
      <c r="J97" s="0" t="s">
        <v>312</v>
      </c>
      <c r="K97" s="0" t="s">
        <v>66</v>
      </c>
    </row>
    <row r="98" customFormat="false" ht="15" hidden="false" customHeight="false" outlineLevel="0" collapsed="false">
      <c r="A98" s="0" t="s">
        <v>313</v>
      </c>
      <c r="B98" s="0" t="s">
        <v>314</v>
      </c>
      <c r="C98" s="0" t="n">
        <v>5.472</v>
      </c>
      <c r="D98" s="0" t="n">
        <v>4.996</v>
      </c>
      <c r="E98" s="0" t="n">
        <v>1</v>
      </c>
      <c r="F98" s="0" t="s">
        <v>63</v>
      </c>
      <c r="G98" s="0" t="n">
        <v>16</v>
      </c>
      <c r="H98" s="0" t="n">
        <v>8.21</v>
      </c>
      <c r="I98" s="0" t="s">
        <v>311</v>
      </c>
      <c r="J98" s="0" t="s">
        <v>312</v>
      </c>
      <c r="K98" s="0" t="s">
        <v>66</v>
      </c>
    </row>
    <row r="99" customFormat="false" ht="15" hidden="false" customHeight="false" outlineLevel="0" collapsed="false">
      <c r="A99" s="0" t="s">
        <v>315</v>
      </c>
      <c r="B99" s="0" t="s">
        <v>316</v>
      </c>
      <c r="C99" s="0" t="n">
        <v>6.539</v>
      </c>
      <c r="D99" s="0" t="n">
        <v>7.375</v>
      </c>
      <c r="E99" s="0" t="n">
        <v>1</v>
      </c>
      <c r="F99" s="0" t="s">
        <v>63</v>
      </c>
      <c r="G99" s="0" t="n">
        <v>16</v>
      </c>
      <c r="H99" s="0" t="n">
        <v>9.81</v>
      </c>
      <c r="I99" s="0" t="s">
        <v>317</v>
      </c>
      <c r="J99" s="0" t="s">
        <v>312</v>
      </c>
      <c r="K99" s="0" t="s">
        <v>66</v>
      </c>
    </row>
    <row r="100" customFormat="false" ht="15" hidden="false" customHeight="false" outlineLevel="0" collapsed="false">
      <c r="A100" s="0" t="s">
        <v>318</v>
      </c>
      <c r="B100" s="0" t="s">
        <v>319</v>
      </c>
      <c r="C100" s="0" t="n">
        <v>5.472</v>
      </c>
      <c r="D100" s="0" t="n">
        <v>4.996</v>
      </c>
      <c r="E100" s="0" t="n">
        <v>1</v>
      </c>
      <c r="F100" s="0" t="s">
        <v>63</v>
      </c>
      <c r="G100" s="0" t="n">
        <v>16</v>
      </c>
      <c r="H100" s="0" t="n">
        <v>8.21</v>
      </c>
      <c r="I100" s="0" t="s">
        <v>317</v>
      </c>
      <c r="J100" s="0" t="s">
        <v>312</v>
      </c>
      <c r="K100" s="0" t="s">
        <v>66</v>
      </c>
    </row>
    <row r="101" customFormat="false" ht="15" hidden="false" customHeight="false" outlineLevel="0" collapsed="false">
      <c r="A101" s="0" t="s">
        <v>320</v>
      </c>
      <c r="B101" s="0" t="s">
        <v>321</v>
      </c>
      <c r="C101" s="0" t="n">
        <v>13.333</v>
      </c>
      <c r="D101" s="0" t="n">
        <v>2</v>
      </c>
      <c r="E101" s="0" t="n">
        <v>1</v>
      </c>
      <c r="F101" s="0" t="s">
        <v>322</v>
      </c>
      <c r="G101" s="0" t="n">
        <v>16</v>
      </c>
      <c r="H101" s="0" t="n">
        <v>26.67</v>
      </c>
      <c r="I101" s="0" t="s">
        <v>323</v>
      </c>
      <c r="J101" s="0" t="s">
        <v>324</v>
      </c>
      <c r="K101" s="0" t="s">
        <v>66</v>
      </c>
    </row>
    <row r="102" customFormat="false" ht="15" hidden="false" customHeight="false" outlineLevel="0" collapsed="false">
      <c r="A102" s="0" t="s">
        <v>325</v>
      </c>
      <c r="B102" s="0" t="s">
        <v>326</v>
      </c>
      <c r="C102" s="0" t="n">
        <v>55.993</v>
      </c>
      <c r="D102" s="0" t="n">
        <v>1.979</v>
      </c>
      <c r="E102" s="0" t="n">
        <v>0</v>
      </c>
      <c r="F102" s="0" t="s">
        <v>63</v>
      </c>
      <c r="G102" s="0" t="n">
        <v>16</v>
      </c>
      <c r="H102" s="0" t="n">
        <v>0</v>
      </c>
      <c r="I102" s="0" t="s">
        <v>326</v>
      </c>
      <c r="J102" s="0" t="s">
        <v>327</v>
      </c>
      <c r="K102" s="0" t="s">
        <v>66</v>
      </c>
    </row>
    <row r="103" customFormat="false" ht="15" hidden="false" customHeight="false" outlineLevel="0" collapsed="false">
      <c r="A103" s="0" t="s">
        <v>328</v>
      </c>
      <c r="B103" s="0" t="s">
        <v>329</v>
      </c>
      <c r="C103" s="0" t="n">
        <v>20.98</v>
      </c>
      <c r="D103" s="0" t="n">
        <v>1.979</v>
      </c>
      <c r="E103" s="0" t="n">
        <v>0</v>
      </c>
      <c r="F103" s="0" t="s">
        <v>63</v>
      </c>
      <c r="G103" s="0" t="n">
        <v>16</v>
      </c>
      <c r="H103" s="0" t="n">
        <v>0</v>
      </c>
      <c r="I103" s="0" t="s">
        <v>329</v>
      </c>
      <c r="J103" s="0" t="s">
        <v>327</v>
      </c>
      <c r="K103" s="0" t="s">
        <v>66</v>
      </c>
    </row>
    <row r="104" customFormat="false" ht="15" hidden="false" customHeight="false" outlineLevel="0" collapsed="false">
      <c r="A104" s="0" t="s">
        <v>330</v>
      </c>
      <c r="B104" s="0" t="s">
        <v>331</v>
      </c>
      <c r="C104" s="0" t="n">
        <v>52.053</v>
      </c>
      <c r="D104" s="0" t="n">
        <v>1.979</v>
      </c>
      <c r="E104" s="0" t="n">
        <v>0</v>
      </c>
      <c r="F104" s="0" t="s">
        <v>63</v>
      </c>
      <c r="G104" s="0" t="n">
        <v>16</v>
      </c>
      <c r="H104" s="0" t="n">
        <v>0</v>
      </c>
      <c r="I104" s="0" t="s">
        <v>331</v>
      </c>
      <c r="J104" s="0" t="s">
        <v>332</v>
      </c>
      <c r="K104" s="0" t="s">
        <v>66</v>
      </c>
    </row>
    <row r="105" customFormat="false" ht="15" hidden="false" customHeight="false" outlineLevel="0" collapsed="false">
      <c r="A105" s="0" t="s">
        <v>333</v>
      </c>
      <c r="B105" s="0" t="s">
        <v>334</v>
      </c>
      <c r="C105" s="0" t="n">
        <v>2.467</v>
      </c>
      <c r="D105" s="0" t="n">
        <v>1.979</v>
      </c>
      <c r="E105" s="0" t="n">
        <v>0</v>
      </c>
      <c r="F105" s="0" t="s">
        <v>63</v>
      </c>
      <c r="G105" s="0" t="n">
        <v>16</v>
      </c>
      <c r="H105" s="0" t="n">
        <v>0</v>
      </c>
      <c r="I105" s="0" t="s">
        <v>334</v>
      </c>
      <c r="J105" s="0" t="s">
        <v>332</v>
      </c>
      <c r="K105" s="0" t="s">
        <v>66</v>
      </c>
    </row>
    <row r="106" customFormat="false" ht="15" hidden="false" customHeight="false" outlineLevel="0" collapsed="false">
      <c r="A106" s="0" t="s">
        <v>335</v>
      </c>
      <c r="B106" s="0" t="s">
        <v>336</v>
      </c>
      <c r="C106" s="0" t="n">
        <v>23</v>
      </c>
      <c r="D106" s="0" t="n">
        <v>1.979</v>
      </c>
      <c r="E106" s="0" t="n">
        <v>0</v>
      </c>
      <c r="F106" s="0" t="s">
        <v>63</v>
      </c>
      <c r="G106" s="0" t="n">
        <v>16</v>
      </c>
      <c r="H106" s="0" t="n">
        <v>0</v>
      </c>
      <c r="I106" s="0" t="s">
        <v>336</v>
      </c>
      <c r="J106" s="0" t="s">
        <v>332</v>
      </c>
      <c r="K106" s="0" t="s">
        <v>66</v>
      </c>
    </row>
    <row r="107" customFormat="false" ht="15" hidden="false" customHeight="false" outlineLevel="0" collapsed="false">
      <c r="A107" s="0" t="s">
        <v>337</v>
      </c>
      <c r="B107" s="0" t="s">
        <v>338</v>
      </c>
      <c r="C107" s="0" t="n">
        <v>2.467</v>
      </c>
      <c r="D107" s="0" t="n">
        <v>1.979</v>
      </c>
      <c r="E107" s="0" t="n">
        <v>0</v>
      </c>
      <c r="F107" s="0" t="s">
        <v>63</v>
      </c>
      <c r="G107" s="0" t="n">
        <v>16</v>
      </c>
      <c r="H107" s="0" t="n">
        <v>0</v>
      </c>
      <c r="I107" s="0" t="s">
        <v>338</v>
      </c>
      <c r="J107" s="0" t="s">
        <v>332</v>
      </c>
      <c r="K107" s="0" t="s">
        <v>66</v>
      </c>
    </row>
    <row r="108" customFormat="false" ht="15" hidden="false" customHeight="false" outlineLevel="0" collapsed="false">
      <c r="A108" s="0" t="s">
        <v>339</v>
      </c>
      <c r="B108" s="0" t="s">
        <v>340</v>
      </c>
      <c r="C108" s="0" t="n">
        <v>2.467</v>
      </c>
      <c r="D108" s="0" t="n">
        <v>1.979</v>
      </c>
      <c r="E108" s="0" t="n">
        <v>0</v>
      </c>
      <c r="F108" s="0" t="s">
        <v>63</v>
      </c>
      <c r="G108" s="0" t="n">
        <v>16</v>
      </c>
      <c r="H108" s="0" t="n">
        <v>0</v>
      </c>
      <c r="I108" s="0" t="s">
        <v>340</v>
      </c>
      <c r="J108" s="0" t="s">
        <v>332</v>
      </c>
      <c r="K108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0" t="s">
        <v>342</v>
      </c>
    </row>
    <row r="3" customFormat="false" ht="15" hidden="false" customHeight="false" outlineLevel="0" collapsed="false">
      <c r="A3" s="2" t="s">
        <v>343</v>
      </c>
      <c r="B3" s="2" t="s">
        <v>344</v>
      </c>
      <c r="C3" s="2" t="s">
        <v>345</v>
      </c>
      <c r="D3" s="2" t="s">
        <v>346</v>
      </c>
      <c r="E3" s="2" t="s">
        <v>347</v>
      </c>
      <c r="F3" s="2" t="s">
        <v>348</v>
      </c>
      <c r="G3" s="2" t="s">
        <v>349</v>
      </c>
      <c r="H3" s="2" t="s">
        <v>350</v>
      </c>
      <c r="I3" s="2" t="s">
        <v>351</v>
      </c>
      <c r="J3" s="2" t="s">
        <v>352</v>
      </c>
    </row>
    <row r="4" customFormat="false" ht="15" hidden="false" customHeight="false" outlineLevel="0" collapsed="false">
      <c r="A4" s="0" t="s">
        <v>353</v>
      </c>
      <c r="B4" s="0" t="s">
        <v>354</v>
      </c>
      <c r="C4" s="0" t="n">
        <v>4663.02</v>
      </c>
      <c r="D4" s="0" t="n">
        <f aca="false">Inputs!$B$5</f>
        <v>0.15</v>
      </c>
      <c r="E4" s="0" t="n">
        <f aca="false">C4*D4</f>
        <v>699.453</v>
      </c>
      <c r="F4" s="0" t="n">
        <f aca="false">C4+E4</f>
        <v>5362.473</v>
      </c>
      <c r="G4" s="0" t="s">
        <v>355</v>
      </c>
      <c r="H4" s="0" t="n">
        <f aca="false">ROUNDUP(F4/Inputs!$B$10,0)</f>
        <v>269</v>
      </c>
      <c r="I4" s="0" t="s">
        <v>356</v>
      </c>
    </row>
    <row r="5" customFormat="false" ht="15" hidden="false" customHeight="false" outlineLevel="0" collapsed="false">
      <c r="A5" s="0" t="s">
        <v>357</v>
      </c>
      <c r="B5" s="0" t="s">
        <v>354</v>
      </c>
      <c r="C5" s="0" t="n">
        <v>1000.72</v>
      </c>
      <c r="D5" s="0" t="n">
        <f aca="false">Inputs!$B$5</f>
        <v>0.15</v>
      </c>
      <c r="E5" s="0" t="n">
        <f aca="false">C5*D5</f>
        <v>150.108</v>
      </c>
      <c r="F5" s="0" t="n">
        <f aca="false">C5+E5</f>
        <v>1150.828</v>
      </c>
      <c r="G5" s="0" t="s">
        <v>355</v>
      </c>
      <c r="H5" s="0" t="n">
        <f aca="false">ROUNDUP(F5/Inputs!$B$10,0)</f>
        <v>58</v>
      </c>
      <c r="I5" s="0" t="s">
        <v>358</v>
      </c>
    </row>
    <row r="6" customFormat="false" ht="15" hidden="false" customHeight="false" outlineLevel="0" collapsed="false">
      <c r="A6" s="0" t="s">
        <v>359</v>
      </c>
      <c r="B6" s="0" t="s">
        <v>354</v>
      </c>
      <c r="C6" s="0" t="n">
        <v>6960.88</v>
      </c>
      <c r="D6" s="0" t="n">
        <f aca="false">Inputs!$B$5</f>
        <v>0.15</v>
      </c>
      <c r="E6" s="0" t="n">
        <f aca="false">C6*D6</f>
        <v>1044.132</v>
      </c>
      <c r="F6" s="0" t="n">
        <f aca="false">C6+E6</f>
        <v>8005.012</v>
      </c>
      <c r="G6" s="0" t="s">
        <v>355</v>
      </c>
      <c r="H6" s="0" t="n">
        <f aca="false">ROUNDUP(F6/Inputs!$B$10,0)</f>
        <v>401</v>
      </c>
      <c r="I6" s="0" t="s">
        <v>360</v>
      </c>
    </row>
    <row r="7" customFormat="false" ht="15" hidden="false" customHeight="false" outlineLevel="0" collapsed="false">
      <c r="A7" s="0" t="s">
        <v>361</v>
      </c>
      <c r="B7" s="0" t="s">
        <v>354</v>
      </c>
      <c r="C7" s="0" t="n">
        <v>4038.84</v>
      </c>
      <c r="D7" s="0" t="n">
        <f aca="false">Inputs!$B$5</f>
        <v>0.15</v>
      </c>
      <c r="E7" s="0" t="n">
        <f aca="false">C7*D7</f>
        <v>605.826</v>
      </c>
      <c r="F7" s="0" t="n">
        <f aca="false">C7+E7</f>
        <v>4644.666</v>
      </c>
      <c r="G7" s="0" t="s">
        <v>355</v>
      </c>
      <c r="H7" s="0" t="n">
        <f aca="false">ROUNDUP(F7/Inputs!$B$10,0)</f>
        <v>233</v>
      </c>
      <c r="I7" s="0" t="s">
        <v>362</v>
      </c>
    </row>
    <row r="8" customFormat="false" ht="15" hidden="false" customHeight="false" outlineLevel="0" collapsed="false">
      <c r="A8" s="0" t="s">
        <v>363</v>
      </c>
      <c r="B8" s="0" t="s">
        <v>354</v>
      </c>
      <c r="C8" s="0" t="n">
        <v>1347.63</v>
      </c>
      <c r="D8" s="0" t="n">
        <f aca="false">Inputs!$B$5</f>
        <v>0.15</v>
      </c>
      <c r="E8" s="0" t="n">
        <f aca="false">C8*D8</f>
        <v>202.1445</v>
      </c>
      <c r="F8" s="0" t="n">
        <f aca="false">C8+E8</f>
        <v>1549.7745</v>
      </c>
      <c r="G8" s="0" t="s">
        <v>355</v>
      </c>
      <c r="H8" s="0" t="n">
        <f aca="false">ROUNDUP(F8/Inputs!$B$10,0)</f>
        <v>78</v>
      </c>
      <c r="I8" s="0" t="s">
        <v>364</v>
      </c>
    </row>
    <row r="9" customFormat="false" ht="15" hidden="false" customHeight="false" outlineLevel="0" collapsed="false">
      <c r="A9" s="0" t="s">
        <v>365</v>
      </c>
      <c r="B9" s="0" t="s">
        <v>354</v>
      </c>
      <c r="C9" s="0" t="n">
        <v>1347.63</v>
      </c>
      <c r="D9" s="0" t="n">
        <f aca="false">Inputs!$B$5</f>
        <v>0.15</v>
      </c>
      <c r="E9" s="0" t="n">
        <f aca="false">C9*D9</f>
        <v>202.1445</v>
      </c>
      <c r="F9" s="0" t="n">
        <f aca="false">C9+E9</f>
        <v>1549.7745</v>
      </c>
      <c r="G9" s="0" t="s">
        <v>366</v>
      </c>
      <c r="H9" s="0" t="n">
        <f aca="false">ROUNDUP(F9/Inputs!$B$11,0)</f>
        <v>155</v>
      </c>
      <c r="I9" s="0" t="s">
        <v>367</v>
      </c>
    </row>
    <row r="10" customFormat="false" ht="15" hidden="false" customHeight="false" outlineLevel="0" collapsed="false">
      <c r="A10" s="0" t="s">
        <v>368</v>
      </c>
      <c r="B10" s="0" t="s">
        <v>354</v>
      </c>
      <c r="C10" s="0" t="n">
        <v>1231.83</v>
      </c>
      <c r="D10" s="0" t="n">
        <f aca="false">Inputs!$B$5</f>
        <v>0.15</v>
      </c>
      <c r="E10" s="0" t="n">
        <f aca="false">C10*D10</f>
        <v>184.7745</v>
      </c>
      <c r="F10" s="0" t="n">
        <f aca="false">C10+E10</f>
        <v>1416.6045</v>
      </c>
      <c r="G10" s="0" t="s">
        <v>355</v>
      </c>
      <c r="H10" s="0" t="n">
        <f aca="false">ROUNDUP(F10/Inputs!$B$10,0)</f>
        <v>71</v>
      </c>
      <c r="I10" s="0" t="s">
        <v>369</v>
      </c>
    </row>
    <row r="11" customFormat="false" ht="15" hidden="false" customHeight="false" outlineLevel="0" collapsed="false">
      <c r="A11" s="0" t="s">
        <v>370</v>
      </c>
      <c r="B11" s="0" t="s">
        <v>354</v>
      </c>
      <c r="C11" s="0" t="n">
        <v>220.27</v>
      </c>
      <c r="D11" s="0" t="n">
        <f aca="false">Inputs!$B$5</f>
        <v>0.15</v>
      </c>
      <c r="E11" s="0" t="n">
        <f aca="false">C11*D11</f>
        <v>33.0405</v>
      </c>
      <c r="F11" s="0" t="n">
        <f aca="false">C11+E11</f>
        <v>253.3105</v>
      </c>
      <c r="G11" s="0" t="s">
        <v>366</v>
      </c>
      <c r="H11" s="0" t="n">
        <f aca="false">ROUNDUP(F11/Inputs!$B$11,0)</f>
        <v>26</v>
      </c>
      <c r="I11" s="0" t="s">
        <v>371</v>
      </c>
    </row>
    <row r="12" customFormat="false" ht="15" hidden="false" customHeight="false" outlineLevel="0" collapsed="false">
      <c r="A12" s="0" t="s">
        <v>372</v>
      </c>
      <c r="B12" s="0" t="s">
        <v>354</v>
      </c>
      <c r="C12" s="0" t="n">
        <v>815.15</v>
      </c>
      <c r="D12" s="0" t="n">
        <f aca="false">Inputs!$B$5</f>
        <v>0.15</v>
      </c>
      <c r="E12" s="0" t="n">
        <f aca="false">C12*D12</f>
        <v>122.2725</v>
      </c>
      <c r="F12" s="0" t="n">
        <f aca="false">C12+E12</f>
        <v>937.4225</v>
      </c>
      <c r="G12" s="0" t="s">
        <v>355</v>
      </c>
      <c r="H12" s="0" t="n">
        <f aca="false">ROUNDUP(F12/Inputs!$B$10,0)</f>
        <v>47</v>
      </c>
      <c r="I12" s="0" t="s">
        <v>373</v>
      </c>
    </row>
    <row r="13" customFormat="false" ht="15" hidden="false" customHeight="false" outlineLevel="0" collapsed="false">
      <c r="A13" s="0" t="s">
        <v>374</v>
      </c>
      <c r="B13" s="0" t="s">
        <v>354</v>
      </c>
      <c r="C13" s="0" t="n">
        <v>119.12</v>
      </c>
      <c r="D13" s="0" t="n">
        <f aca="false">Inputs!$B$5</f>
        <v>0.15</v>
      </c>
      <c r="E13" s="0" t="n">
        <f aca="false">C13*D13</f>
        <v>17.868</v>
      </c>
      <c r="F13" s="0" t="n">
        <f aca="false">C13+E13</f>
        <v>136.988</v>
      </c>
      <c r="G13" s="0" t="s">
        <v>366</v>
      </c>
      <c r="H13" s="0" t="n">
        <f aca="false">ROUNDUP(F13/Inputs!$B$11,0)</f>
        <v>14</v>
      </c>
      <c r="I13" s="0" t="s">
        <v>375</v>
      </c>
    </row>
    <row r="14" customFormat="false" ht="15" hidden="false" customHeight="false" outlineLevel="0" collapsed="false">
      <c r="A14" s="0" t="s">
        <v>376</v>
      </c>
      <c r="B14" s="0" t="s">
        <v>354</v>
      </c>
      <c r="C14" s="0" t="n">
        <v>2500.01</v>
      </c>
      <c r="D14" s="0" t="n">
        <f aca="false">Inputs!$B$5</f>
        <v>0.15</v>
      </c>
      <c r="E14" s="0" t="n">
        <f aca="false">C14*D14</f>
        <v>375.0015</v>
      </c>
      <c r="F14" s="0" t="n">
        <f aca="false">C14+E14</f>
        <v>2875.0115</v>
      </c>
      <c r="G14" s="0" t="s">
        <v>377</v>
      </c>
      <c r="H14" s="0" t="n">
        <f aca="false">ROUNDUP(F14/Inputs!$B$16,0)</f>
        <v>180</v>
      </c>
      <c r="I14" s="0" t="s">
        <v>378</v>
      </c>
    </row>
    <row r="15" customFormat="false" ht="15" hidden="false" customHeight="false" outlineLevel="0" collapsed="false">
      <c r="A15" s="0" t="s">
        <v>379</v>
      </c>
      <c r="B15" s="0" t="s">
        <v>354</v>
      </c>
      <c r="C15" s="0" t="n">
        <v>1027.2</v>
      </c>
      <c r="D15" s="0" t="n">
        <f aca="false">Inputs!$B$5</f>
        <v>0.15</v>
      </c>
      <c r="E15" s="0" t="n">
        <f aca="false">C15*D15</f>
        <v>154.08</v>
      </c>
      <c r="F15" s="0" t="n">
        <f aca="false">C15+E15</f>
        <v>1181.28</v>
      </c>
      <c r="G15" s="0" t="s">
        <v>355</v>
      </c>
      <c r="H15" s="0" t="n">
        <f aca="false">ROUNDUP(F15/Inputs!$B$10,0)</f>
        <v>60</v>
      </c>
      <c r="I15" s="0" t="s">
        <v>380</v>
      </c>
    </row>
    <row r="16" customFormat="false" ht="15" hidden="false" customHeight="false" outlineLevel="0" collapsed="false">
      <c r="A16" s="0" t="s">
        <v>381</v>
      </c>
      <c r="B16" s="0" t="s">
        <v>354</v>
      </c>
      <c r="C16" s="0" t="n">
        <v>756.58</v>
      </c>
      <c r="D16" s="0" t="n">
        <f aca="false">Inputs!$B$5</f>
        <v>0.15</v>
      </c>
      <c r="E16" s="0" t="n">
        <f aca="false">C16*D16</f>
        <v>113.487</v>
      </c>
      <c r="F16" s="0" t="n">
        <f aca="false">C16+E16</f>
        <v>870.067</v>
      </c>
      <c r="G16" s="0" t="s">
        <v>382</v>
      </c>
      <c r="H16" s="0" t="n">
        <f aca="false">ROUNDUP(F16/Inputs!$B$17,0)</f>
        <v>73</v>
      </c>
      <c r="I16" s="0" t="s">
        <v>383</v>
      </c>
    </row>
    <row r="17" customFormat="false" ht="15" hidden="false" customHeight="false" outlineLevel="0" collapsed="false">
      <c r="A17" s="0" t="s">
        <v>384</v>
      </c>
      <c r="B17" s="0" t="s">
        <v>354</v>
      </c>
      <c r="C17" s="0" t="n">
        <v>349.2</v>
      </c>
      <c r="D17" s="0" t="n">
        <f aca="false">Inputs!$B$5</f>
        <v>0.15</v>
      </c>
      <c r="E17" s="0" t="n">
        <f aca="false">C17*D17</f>
        <v>52.38</v>
      </c>
      <c r="F17" s="0" t="n">
        <f aca="false">C17+E17</f>
        <v>401.58</v>
      </c>
      <c r="G17" s="0" t="s">
        <v>377</v>
      </c>
      <c r="H17" s="0" t="n">
        <f aca="false">ROUNDUP(F17/Inputs!$B$16,0)</f>
        <v>26</v>
      </c>
      <c r="I17" s="0" t="s">
        <v>385</v>
      </c>
    </row>
    <row r="18" customFormat="false" ht="15" hidden="false" customHeight="false" outlineLevel="0" collapsed="false">
      <c r="A18" s="0" t="s">
        <v>386</v>
      </c>
      <c r="B18" s="0" t="s">
        <v>354</v>
      </c>
      <c r="C18" s="0" t="n">
        <v>530.15</v>
      </c>
      <c r="D18" s="0" t="n">
        <f aca="false">Inputs!$B$5</f>
        <v>0.15</v>
      </c>
      <c r="E18" s="0" t="n">
        <f aca="false">C18*D18</f>
        <v>79.5225</v>
      </c>
      <c r="F18" s="0" t="n">
        <f aca="false">C18+E18</f>
        <v>609.6725</v>
      </c>
      <c r="G18" s="0" t="s">
        <v>33</v>
      </c>
      <c r="H18" s="0" t="n">
        <f aca="false">ROUNDUP(F18,0)</f>
        <v>610</v>
      </c>
      <c r="I18" s="0" t="s">
        <v>387</v>
      </c>
    </row>
    <row r="19" customFormat="false" ht="15" hidden="false" customHeight="false" outlineLevel="0" collapsed="false">
      <c r="A19" s="0" t="s">
        <v>388</v>
      </c>
      <c r="B19" s="0" t="s">
        <v>389</v>
      </c>
      <c r="C19" s="0" t="n">
        <v>17451.73</v>
      </c>
      <c r="D19" s="0" t="n">
        <f aca="false">Inputs!$B$6</f>
        <v>0.06</v>
      </c>
      <c r="E19" s="0" t="n">
        <f aca="false">C19*D19</f>
        <v>1047.1038</v>
      </c>
      <c r="F19" s="0" t="n">
        <f aca="false">C19+E19</f>
        <v>18498.8338</v>
      </c>
      <c r="G19" s="0" t="s">
        <v>390</v>
      </c>
      <c r="H19" s="0" t="n">
        <f aca="false">ROUNDUP(F19/Inputs!$B$9,0)</f>
        <v>386</v>
      </c>
      <c r="I19" s="0" t="s">
        <v>391</v>
      </c>
    </row>
    <row r="20" customFormat="false" ht="15" hidden="false" customHeight="false" outlineLevel="0" collapsed="false">
      <c r="A20" s="0" t="s">
        <v>392</v>
      </c>
      <c r="B20" s="0" t="s">
        <v>389</v>
      </c>
      <c r="C20" s="0" t="n">
        <v>258.87</v>
      </c>
      <c r="D20" s="0" t="n">
        <f aca="false">Inputs!$B$6</f>
        <v>0.06</v>
      </c>
      <c r="E20" s="0" t="n">
        <f aca="false">C20*D20</f>
        <v>15.5322</v>
      </c>
      <c r="F20" s="0" t="n">
        <f aca="false">C20+E20</f>
        <v>274.4022</v>
      </c>
      <c r="G20" s="0" t="s">
        <v>390</v>
      </c>
      <c r="H20" s="0" t="n">
        <f aca="false">ROUNDUP(F20/Inputs!$B$9,0)</f>
        <v>6</v>
      </c>
      <c r="I20" s="0" t="s">
        <v>393</v>
      </c>
    </row>
    <row r="21" customFormat="false" ht="15" hidden="false" customHeight="false" outlineLevel="0" collapsed="false">
      <c r="A21" s="0" t="s">
        <v>394</v>
      </c>
      <c r="B21" s="0" t="s">
        <v>389</v>
      </c>
      <c r="C21" s="0" t="n">
        <v>93.89</v>
      </c>
      <c r="D21" s="0" t="n">
        <f aca="false">Inputs!$B$6</f>
        <v>0.06</v>
      </c>
      <c r="E21" s="0" t="n">
        <f aca="false">C21*D21</f>
        <v>5.6334</v>
      </c>
      <c r="F21" s="0" t="n">
        <f aca="false">C21+E21</f>
        <v>99.5234</v>
      </c>
      <c r="G21" s="0" t="s">
        <v>395</v>
      </c>
      <c r="H21" s="0" t="n">
        <f aca="false">ROUNDUP(F21/32,0)</f>
        <v>4</v>
      </c>
      <c r="I21" s="0" t="s">
        <v>396</v>
      </c>
    </row>
    <row r="22" customFormat="false" ht="15" hidden="false" customHeight="false" outlineLevel="0" collapsed="false">
      <c r="A22" s="0" t="s">
        <v>397</v>
      </c>
      <c r="B22" s="0" t="s">
        <v>389</v>
      </c>
      <c r="C22" s="0" t="n">
        <v>72.53</v>
      </c>
      <c r="D22" s="0" t="n">
        <f aca="false">Inputs!$B$6</f>
        <v>0.06</v>
      </c>
      <c r="E22" s="0" t="n">
        <f aca="false">C22*D22</f>
        <v>4.3518</v>
      </c>
      <c r="F22" s="0" t="n">
        <f aca="false">C22+E22</f>
        <v>76.8818</v>
      </c>
      <c r="G22" s="0" t="s">
        <v>395</v>
      </c>
      <c r="H22" s="0" t="n">
        <f aca="false">ROUNDUP(F22/32,0)</f>
        <v>3</v>
      </c>
      <c r="I22" s="0" t="s">
        <v>398</v>
      </c>
    </row>
    <row r="23" customFormat="false" ht="15" hidden="false" customHeight="false" outlineLevel="0" collapsed="false">
      <c r="A23" s="0" t="s">
        <v>399</v>
      </c>
      <c r="B23" s="0" t="s">
        <v>389</v>
      </c>
      <c r="C23" s="0" t="n">
        <v>480.91</v>
      </c>
      <c r="D23" s="0" t="n">
        <f aca="false">Inputs!$B$6</f>
        <v>0.06</v>
      </c>
      <c r="E23" s="0" t="n">
        <f aca="false">C23*D23</f>
        <v>28.8546</v>
      </c>
      <c r="F23" s="0" t="n">
        <f aca="false">C23+E23</f>
        <v>509.7646</v>
      </c>
      <c r="G23" s="0" t="s">
        <v>395</v>
      </c>
      <c r="H23" s="0" t="n">
        <f aca="false">ROUNDUP(F23/32,0)</f>
        <v>16</v>
      </c>
      <c r="I23" s="0" t="s">
        <v>400</v>
      </c>
    </row>
    <row r="24" customFormat="false" ht="15" hidden="false" customHeight="false" outlineLevel="0" collapsed="false">
      <c r="A24" s="0" t="s">
        <v>401</v>
      </c>
      <c r="B24" s="0" t="s">
        <v>389</v>
      </c>
      <c r="C24" s="0" t="n">
        <v>945.33</v>
      </c>
      <c r="D24" s="0" t="n">
        <f aca="false">Inputs!$B$6</f>
        <v>0.06</v>
      </c>
      <c r="E24" s="0" t="n">
        <f aca="false">C24*D24</f>
        <v>56.7198</v>
      </c>
      <c r="F24" s="0" t="n">
        <f aca="false">C24+E24</f>
        <v>1002.0498</v>
      </c>
      <c r="G24" s="0" t="s">
        <v>395</v>
      </c>
      <c r="H24" s="0" t="n">
        <f aca="false">ROUNDUP(F24/32,0)</f>
        <v>32</v>
      </c>
      <c r="I24" s="0" t="s">
        <v>402</v>
      </c>
    </row>
    <row r="25" customFormat="false" ht="15" hidden="false" customHeight="false" outlineLevel="0" collapsed="false">
      <c r="A25" s="0" t="s">
        <v>403</v>
      </c>
      <c r="B25" s="0" t="s">
        <v>389</v>
      </c>
      <c r="C25" s="0" t="n">
        <v>31.38</v>
      </c>
      <c r="D25" s="0" t="n">
        <f aca="false">Inputs!$B$6</f>
        <v>0.06</v>
      </c>
      <c r="E25" s="0" t="n">
        <f aca="false">C25*D25</f>
        <v>1.8828</v>
      </c>
      <c r="F25" s="0" t="n">
        <f aca="false">C25+E25</f>
        <v>33.2628</v>
      </c>
      <c r="G25" s="0" t="s">
        <v>404</v>
      </c>
      <c r="H25" s="0" t="n">
        <f aca="false">ROUNDUP(F25/15,0)</f>
        <v>3</v>
      </c>
      <c r="I25" s="0" t="s">
        <v>405</v>
      </c>
    </row>
    <row r="26" customFormat="false" ht="15" hidden="false" customHeight="false" outlineLevel="0" collapsed="false">
      <c r="A26" s="0" t="s">
        <v>406</v>
      </c>
      <c r="B26" s="0" t="s">
        <v>389</v>
      </c>
      <c r="C26" s="0" t="n">
        <v>329.75</v>
      </c>
      <c r="D26" s="0" t="n">
        <f aca="false">Inputs!$B$6</f>
        <v>0.06</v>
      </c>
      <c r="E26" s="0" t="n">
        <f aca="false">C26*D26</f>
        <v>19.785</v>
      </c>
      <c r="F26" s="0" t="n">
        <f aca="false">C26+E26</f>
        <v>349.535</v>
      </c>
      <c r="G26" s="0" t="s">
        <v>395</v>
      </c>
      <c r="H26" s="0" t="n">
        <f aca="false">ROUNDUP(F26/32,0)</f>
        <v>11</v>
      </c>
      <c r="I26" s="0" t="s">
        <v>407</v>
      </c>
    </row>
    <row r="27" customFormat="false" ht="15" hidden="false" customHeight="false" outlineLevel="0" collapsed="false">
      <c r="A27" s="0" t="s">
        <v>408</v>
      </c>
      <c r="B27" s="0" t="s">
        <v>354</v>
      </c>
      <c r="C27" s="0" t="n">
        <v>1075.55</v>
      </c>
      <c r="D27" s="0" t="n">
        <f aca="false">Inputs!$B$5</f>
        <v>0.15</v>
      </c>
      <c r="E27" s="0" t="n">
        <f aca="false">C27*D27</f>
        <v>161.3325</v>
      </c>
      <c r="F27" s="0" t="n">
        <f aca="false">C27+E27</f>
        <v>1236.8825</v>
      </c>
      <c r="G27" s="0" t="s">
        <v>409</v>
      </c>
      <c r="H27" s="0" t="n">
        <f aca="false">ROUNDUP(F27/Inputs!$B$18,0)</f>
        <v>124</v>
      </c>
      <c r="I27" s="0" t="s">
        <v>410</v>
      </c>
    </row>
    <row r="28" customFormat="false" ht="15" hidden="false" customHeight="false" outlineLevel="0" collapsed="false">
      <c r="A28" s="0" t="s">
        <v>411</v>
      </c>
      <c r="B28" s="0" t="s">
        <v>354</v>
      </c>
      <c r="C28" s="0" t="n">
        <v>1188.46</v>
      </c>
      <c r="D28" s="0" t="n">
        <f aca="false">Inputs!$B$6</f>
        <v>0.06</v>
      </c>
      <c r="E28" s="0" t="n">
        <f aca="false">C28*D28</f>
        <v>71.3076</v>
      </c>
      <c r="F28" s="0" t="n">
        <f aca="false">C28+E28</f>
        <v>1259.7676</v>
      </c>
      <c r="G28" s="0" t="s">
        <v>412</v>
      </c>
      <c r="H28" s="0" t="n">
        <f aca="false">ROUNDUP(F28/Inputs!$B$15,0)</f>
        <v>51</v>
      </c>
      <c r="I28" s="0" t="s">
        <v>413</v>
      </c>
    </row>
    <row r="29" customFormat="false" ht="15" hidden="false" customHeight="false" outlineLevel="0" collapsed="false">
      <c r="A29" s="0" t="s">
        <v>414</v>
      </c>
      <c r="B29" s="0" t="s">
        <v>354</v>
      </c>
      <c r="C29" s="0" t="n">
        <v>636.86</v>
      </c>
      <c r="D29" s="0" t="n">
        <f aca="false">Inputs!$B$5</f>
        <v>0.15</v>
      </c>
      <c r="E29" s="0" t="n">
        <f aca="false">C29*D29</f>
        <v>95.529</v>
      </c>
      <c r="F29" s="0" t="n">
        <f aca="false">C29+E29</f>
        <v>732.389</v>
      </c>
      <c r="G29" s="0" t="s">
        <v>355</v>
      </c>
      <c r="H29" s="0" t="n">
        <f aca="false">ROUNDUP(F29/Inputs!$B$10,0)</f>
        <v>37</v>
      </c>
      <c r="I29" s="0" t="s">
        <v>415</v>
      </c>
    </row>
    <row r="30" customFormat="false" ht="15" hidden="false" customHeight="false" outlineLevel="0" collapsed="false">
      <c r="A30" s="0" t="s">
        <v>416</v>
      </c>
      <c r="B30" s="0" t="s">
        <v>354</v>
      </c>
      <c r="C30" s="0" t="n">
        <v>901.49</v>
      </c>
      <c r="D30" s="0" t="n">
        <f aca="false">Inputs!$B$6</f>
        <v>0.06</v>
      </c>
      <c r="E30" s="0" t="n">
        <f aca="false">C30*D30</f>
        <v>54.0894</v>
      </c>
      <c r="F30" s="0" t="n">
        <f aca="false">C30+E30</f>
        <v>955.5794</v>
      </c>
      <c r="G30" s="0" t="s">
        <v>417</v>
      </c>
      <c r="H30" s="0" t="n">
        <f aca="false">ROUNDUP(F30/8,0)</f>
        <v>120</v>
      </c>
      <c r="I30" s="0" t="s">
        <v>418</v>
      </c>
    </row>
    <row r="31" customFormat="false" ht="15" hidden="false" customHeight="false" outlineLevel="0" collapsed="false">
      <c r="A31" s="0" t="s">
        <v>419</v>
      </c>
      <c r="B31" s="0" t="s">
        <v>389</v>
      </c>
      <c r="C31" s="0" t="n">
        <v>2157.25</v>
      </c>
      <c r="D31" s="0" t="n">
        <f aca="false">Inputs!$B$6</f>
        <v>0.06</v>
      </c>
      <c r="E31" s="0" t="n">
        <f aca="false">C31*D31</f>
        <v>129.435</v>
      </c>
      <c r="F31" s="0" t="n">
        <f aca="false">C31+E31</f>
        <v>2286.685</v>
      </c>
      <c r="G31" s="0" t="s">
        <v>420</v>
      </c>
      <c r="H31" s="0" t="n">
        <f aca="false">ROUNDUP(F31/Inputs!$B$9,0)</f>
        <v>48</v>
      </c>
      <c r="I31" s="0" t="s">
        <v>421</v>
      </c>
    </row>
    <row r="32" customFormat="false" ht="15" hidden="false" customHeight="false" outlineLevel="0" collapsed="false">
      <c r="A32" s="0" t="s">
        <v>422</v>
      </c>
      <c r="B32" s="0" t="s">
        <v>389</v>
      </c>
      <c r="C32" s="0" t="n">
        <v>4001.5</v>
      </c>
      <c r="D32" s="0" t="n">
        <f aca="false">Inputs!$B$6</f>
        <v>0.06</v>
      </c>
      <c r="E32" s="0" t="n">
        <f aca="false">C32*D32</f>
        <v>240.09</v>
      </c>
      <c r="F32" s="0" t="n">
        <f aca="false">C32+E32</f>
        <v>4241.59</v>
      </c>
      <c r="G32" s="0" t="s">
        <v>420</v>
      </c>
      <c r="H32" s="0" t="n">
        <f aca="false">ROUNDUP(F32/Inputs!$B$9,0)</f>
        <v>89</v>
      </c>
      <c r="I32" s="0" t="s">
        <v>421</v>
      </c>
    </row>
    <row r="33" customFormat="false" ht="15" hidden="false" customHeight="false" outlineLevel="0" collapsed="false">
      <c r="A33" s="0" t="s">
        <v>423</v>
      </c>
      <c r="B33" s="0" t="s">
        <v>389</v>
      </c>
      <c r="C33" s="0" t="n">
        <v>634.86</v>
      </c>
      <c r="D33" s="0" t="n">
        <f aca="false">Inputs!$B$6</f>
        <v>0.06</v>
      </c>
      <c r="E33" s="0" t="n">
        <f aca="false">C33*D33</f>
        <v>38.0916</v>
      </c>
      <c r="F33" s="0" t="n">
        <f aca="false">C33+E33</f>
        <v>672.9516</v>
      </c>
      <c r="G33" s="0" t="s">
        <v>420</v>
      </c>
      <c r="H33" s="0" t="n">
        <f aca="false">ROUNDUP(F33/Inputs!$B$9,0)</f>
        <v>15</v>
      </c>
      <c r="I33" s="0" t="s">
        <v>421</v>
      </c>
    </row>
    <row r="34" customFormat="false" ht="15" hidden="false" customHeight="false" outlineLevel="0" collapsed="false">
      <c r="A34" s="0" t="s">
        <v>424</v>
      </c>
      <c r="B34" s="0" t="s">
        <v>354</v>
      </c>
      <c r="C34" s="0" t="n">
        <v>208.56</v>
      </c>
      <c r="D34" s="0" t="n">
        <f aca="false">Inputs!$B$6</f>
        <v>0.06</v>
      </c>
      <c r="E34" s="0" t="n">
        <f aca="false">C34*D34</f>
        <v>12.5136</v>
      </c>
      <c r="F34" s="0" t="n">
        <f aca="false">C34+E34</f>
        <v>221.0736</v>
      </c>
      <c r="G34" s="0" t="s">
        <v>412</v>
      </c>
      <c r="H34" s="0" t="n">
        <f aca="false">ROUNDUP(F34/Inputs!$B$15,0)</f>
        <v>9</v>
      </c>
      <c r="I34" s="0" t="s">
        <v>425</v>
      </c>
    </row>
    <row r="35" customFormat="false" ht="15" hidden="false" customHeight="false" outlineLevel="0" collapsed="false">
      <c r="A35" s="0" t="s">
        <v>426</v>
      </c>
      <c r="B35" s="0" t="s">
        <v>427</v>
      </c>
      <c r="C35" s="0" t="n">
        <v>113</v>
      </c>
      <c r="D35" s="0" t="n">
        <v>0</v>
      </c>
      <c r="E35" s="0" t="n">
        <f aca="false">C35*D35</f>
        <v>0</v>
      </c>
      <c r="F35" s="0" t="n">
        <f aca="false">C35+E35</f>
        <v>113</v>
      </c>
      <c r="H35" s="0" t="n">
        <f aca="false">ROUNDUP(F35,0)</f>
        <v>113</v>
      </c>
      <c r="I35" s="0" t="s">
        <v>428</v>
      </c>
    </row>
    <row r="36" customFormat="false" ht="15" hidden="false" customHeight="false" outlineLevel="0" collapsed="false">
      <c r="A36" s="0" t="s">
        <v>429</v>
      </c>
      <c r="B36" s="0" t="s">
        <v>354</v>
      </c>
      <c r="C36" s="0" t="n">
        <v>56</v>
      </c>
      <c r="D36" s="0" t="n">
        <f aca="false">Inputs!$B$5</f>
        <v>0.15</v>
      </c>
      <c r="E36" s="0" t="n">
        <f aca="false">C36*D36</f>
        <v>8.4</v>
      </c>
      <c r="F36" s="0" t="n">
        <f aca="false">C36+E36</f>
        <v>64.4</v>
      </c>
      <c r="G36" s="0" t="s">
        <v>366</v>
      </c>
      <c r="H36" s="0" t="n">
        <f aca="false">ROUNDUP(F36/Inputs!$B$11,0)</f>
        <v>7</v>
      </c>
      <c r="I36" s="0" t="s">
        <v>430</v>
      </c>
    </row>
    <row r="37" customFormat="false" ht="15" hidden="false" customHeight="false" outlineLevel="0" collapsed="false">
      <c r="A37" s="0" t="s">
        <v>431</v>
      </c>
      <c r="B37" s="0" t="s">
        <v>427</v>
      </c>
      <c r="C37" s="0" t="n">
        <v>49</v>
      </c>
      <c r="D37" s="0" t="n">
        <v>0</v>
      </c>
      <c r="E37" s="0" t="n">
        <f aca="false">C37*D37</f>
        <v>0</v>
      </c>
      <c r="F37" s="0" t="n">
        <f aca="false">C37+E37</f>
        <v>49</v>
      </c>
      <c r="G37" s="0" t="s">
        <v>432</v>
      </c>
      <c r="H37" s="0" t="n">
        <f aca="false">ROUNDUP(F37,0)</f>
        <v>49</v>
      </c>
      <c r="I37" s="0" t="s">
        <v>433</v>
      </c>
    </row>
    <row r="38" customFormat="false" ht="15" hidden="false" customHeight="false" outlineLevel="0" collapsed="false">
      <c r="A38" s="0" t="s">
        <v>434</v>
      </c>
      <c r="B38" s="0" t="s">
        <v>354</v>
      </c>
      <c r="C38" s="0" t="n">
        <v>15</v>
      </c>
      <c r="D38" s="0" t="n">
        <f aca="false">Inputs!$B$5</f>
        <v>0.15</v>
      </c>
      <c r="E38" s="0" t="n">
        <f aca="false">C38*D38</f>
        <v>2.25</v>
      </c>
      <c r="F38" s="0" t="n">
        <f aca="false">C38+E38</f>
        <v>17.25</v>
      </c>
      <c r="G38" s="0" t="s">
        <v>355</v>
      </c>
      <c r="H38" s="0" t="n">
        <f aca="false">ROUNDUP(F38/Inputs!$B$10,0)</f>
        <v>1</v>
      </c>
      <c r="I38" s="0" t="s">
        <v>435</v>
      </c>
    </row>
    <row r="39" customFormat="false" ht="15" hidden="false" customHeight="false" outlineLevel="0" collapsed="false">
      <c r="A39" s="0" t="s">
        <v>436</v>
      </c>
      <c r="B39" s="0" t="s">
        <v>354</v>
      </c>
      <c r="C39" s="0" t="n">
        <v>10.43</v>
      </c>
      <c r="D39" s="0" t="n">
        <f aca="false">Inputs!$B$5</f>
        <v>0.15</v>
      </c>
      <c r="E39" s="0" t="n">
        <f aca="false">C39*D39</f>
        <v>1.5645</v>
      </c>
      <c r="F39" s="0" t="n">
        <f aca="false">C39+E39</f>
        <v>11.9945</v>
      </c>
      <c r="G39" s="0" t="s">
        <v>355</v>
      </c>
      <c r="H39" s="0" t="n">
        <f aca="false">ROUNDUP(F39/Inputs!$B$10,0)</f>
        <v>1</v>
      </c>
      <c r="I39" s="0" t="s">
        <v>437</v>
      </c>
    </row>
    <row r="40" customFormat="false" ht="15" hidden="false" customHeight="false" outlineLevel="0" collapsed="false">
      <c r="A40" s="0" t="s">
        <v>438</v>
      </c>
      <c r="B40" s="0" t="s">
        <v>389</v>
      </c>
      <c r="C40" s="0" t="n">
        <v>100.99</v>
      </c>
      <c r="D40" s="0" t="n">
        <f aca="false">Inputs!$B$6</f>
        <v>0.06</v>
      </c>
      <c r="E40" s="0" t="n">
        <f aca="false">C40*D40</f>
        <v>6.0594</v>
      </c>
      <c r="F40" s="0" t="n">
        <f aca="false">C40+E40</f>
        <v>107.0494</v>
      </c>
      <c r="G40" s="0" t="s">
        <v>420</v>
      </c>
      <c r="H40" s="0" t="n">
        <f aca="false">ROUNDUP(F40/Inputs!$B$9,0)</f>
        <v>3</v>
      </c>
      <c r="I40" s="0" t="s">
        <v>439</v>
      </c>
    </row>
    <row r="41" customFormat="false" ht="15" hidden="false" customHeight="false" outlineLevel="0" collapsed="false">
      <c r="A41" s="0" t="s">
        <v>440</v>
      </c>
      <c r="B41" s="0" t="s">
        <v>354</v>
      </c>
      <c r="C41" s="0" t="n">
        <v>221.5</v>
      </c>
      <c r="D41" s="0" t="n">
        <f aca="false">Inputs!$B$6</f>
        <v>0.06</v>
      </c>
      <c r="E41" s="0" t="n">
        <f aca="false">C41*D41</f>
        <v>13.29</v>
      </c>
      <c r="F41" s="0" t="n">
        <f aca="false">C41+E41</f>
        <v>234.79</v>
      </c>
      <c r="G41" s="0" t="s">
        <v>409</v>
      </c>
      <c r="H41" s="0" t="n">
        <f aca="false">ROUNDUP(F41/Inputs!$B$18,0)</f>
        <v>24</v>
      </c>
      <c r="I41" s="0" t="s">
        <v>441</v>
      </c>
    </row>
    <row r="42" customFormat="false" ht="15" hidden="false" customHeight="false" outlineLevel="0" collapsed="false">
      <c r="A42" s="0" t="s">
        <v>442</v>
      </c>
      <c r="B42" s="0" t="s">
        <v>427</v>
      </c>
      <c r="C42" s="0" t="n">
        <v>307</v>
      </c>
      <c r="D42" s="0" t="n">
        <v>0</v>
      </c>
      <c r="E42" s="0" t="n">
        <f aca="false">C42*D42</f>
        <v>0</v>
      </c>
      <c r="F42" s="0" t="n">
        <f aca="false">C42+E42</f>
        <v>307</v>
      </c>
      <c r="G42" s="0" t="s">
        <v>432</v>
      </c>
      <c r="H42" s="0" t="n">
        <f aca="false">ROUNDUP(F42,0)</f>
        <v>307</v>
      </c>
      <c r="I42" s="0" t="s">
        <v>443</v>
      </c>
    </row>
    <row r="43" customFormat="false" ht="15" hidden="false" customHeight="false" outlineLevel="0" collapsed="false">
      <c r="A43" s="0" t="s">
        <v>444</v>
      </c>
      <c r="B43" s="0" t="s">
        <v>427</v>
      </c>
      <c r="C43" s="0" t="n">
        <v>1</v>
      </c>
      <c r="D43" s="0" t="n">
        <v>0</v>
      </c>
      <c r="E43" s="0" t="n">
        <f aca="false">C43*D43</f>
        <v>0</v>
      </c>
      <c r="F43" s="0" t="n">
        <f aca="false">C43+E43</f>
        <v>1</v>
      </c>
      <c r="G43" s="0" t="s">
        <v>432</v>
      </c>
      <c r="H43" s="0" t="n">
        <f aca="false">ROUNDUP(F43,0)</f>
        <v>1</v>
      </c>
      <c r="I43" s="0" t="s">
        <v>445</v>
      </c>
    </row>
    <row r="44" customFormat="false" ht="15" hidden="false" customHeight="false" outlineLevel="0" collapsed="false">
      <c r="A44" s="0" t="s">
        <v>446</v>
      </c>
      <c r="B44" s="0" t="s">
        <v>427</v>
      </c>
      <c r="C44" s="0" t="n">
        <v>21339.76</v>
      </c>
      <c r="D44" s="0" t="n">
        <v>0</v>
      </c>
      <c r="E44" s="0" t="n">
        <f aca="false">C44*D44</f>
        <v>0</v>
      </c>
      <c r="F44" s="0" t="n">
        <f aca="false">C44+E44</f>
        <v>21339.76</v>
      </c>
      <c r="G44" s="0" t="s">
        <v>432</v>
      </c>
      <c r="H44" s="0" t="n">
        <f aca="false">ROUNDUP(F44,0)</f>
        <v>21340</v>
      </c>
      <c r="I44" s="0" t="s">
        <v>447</v>
      </c>
      <c r="J44" s="0" t="n">
        <f aca="false">Inputs!$B$20*17783.1</f>
        <v>21339.72</v>
      </c>
    </row>
    <row r="45" customFormat="false" ht="15" hidden="false" customHeight="false" outlineLevel="0" collapsed="false">
      <c r="A45" s="0" t="s">
        <v>448</v>
      </c>
      <c r="B45" s="0" t="s">
        <v>427</v>
      </c>
      <c r="C45" s="0" t="n">
        <v>7148</v>
      </c>
      <c r="D45" s="0" t="n">
        <v>0</v>
      </c>
      <c r="E45" s="0" t="n">
        <f aca="false">C45*D45</f>
        <v>0</v>
      </c>
      <c r="F45" s="0" t="n">
        <f aca="false">C45+E45</f>
        <v>7148</v>
      </c>
      <c r="G45" s="0" t="s">
        <v>432</v>
      </c>
      <c r="H45" s="0" t="n">
        <f aca="false">ROUNDUP(F45,0)</f>
        <v>7148</v>
      </c>
      <c r="I45" s="0" t="s">
        <v>449</v>
      </c>
      <c r="J45" s="0" t="n">
        <f aca="false">Inputs!$B$21*1787</f>
        <v>7148</v>
      </c>
    </row>
    <row r="46" customFormat="false" ht="15" hidden="false" customHeight="false" outlineLevel="0" collapsed="false">
      <c r="A46" s="0" t="s">
        <v>450</v>
      </c>
      <c r="B46" s="0" t="s">
        <v>427</v>
      </c>
      <c r="C46" s="0" t="n">
        <v>490.54</v>
      </c>
      <c r="D46" s="0" t="n">
        <v>0</v>
      </c>
      <c r="E46" s="0" t="n">
        <f aca="false">C46*D46</f>
        <v>0</v>
      </c>
      <c r="F46" s="0" t="n">
        <f aca="false">C46+E46</f>
        <v>490.54</v>
      </c>
      <c r="G46" s="0" t="s">
        <v>432</v>
      </c>
      <c r="H46" s="0" t="n">
        <f aca="false">ROUNDUP(F46,0)</f>
        <v>491</v>
      </c>
      <c r="I46" s="0" t="s">
        <v>451</v>
      </c>
      <c r="J46" s="0" t="n">
        <f aca="false">490.54/Inputs!$B$22</f>
        <v>490.54</v>
      </c>
    </row>
    <row r="47" customFormat="false" ht="15" hidden="false" customHeight="false" outlineLevel="0" collapsed="false">
      <c r="A47" s="0" t="s">
        <v>452</v>
      </c>
      <c r="B47" s="0" t="s">
        <v>427</v>
      </c>
      <c r="C47" s="0" t="n">
        <v>364.54</v>
      </c>
      <c r="D47" s="0" t="n">
        <v>0</v>
      </c>
      <c r="E47" s="0" t="n">
        <f aca="false">C47*D47</f>
        <v>0</v>
      </c>
      <c r="F47" s="0" t="n">
        <f aca="false">C47+E47</f>
        <v>364.54</v>
      </c>
      <c r="G47" s="0" t="s">
        <v>432</v>
      </c>
      <c r="H47" s="0" t="n">
        <f aca="false">ROUNDUP(F47,0)</f>
        <v>365</v>
      </c>
      <c r="I47" s="0" t="s">
        <v>453</v>
      </c>
      <c r="J47" s="0" t="n">
        <f aca="false">243.04/Inputs!$B$25</f>
        <v>364.541772911354</v>
      </c>
    </row>
    <row r="48" customFormat="false" ht="15" hidden="false" customHeight="false" outlineLevel="0" collapsed="false">
      <c r="A48" s="0" t="s">
        <v>454</v>
      </c>
      <c r="B48" s="0" t="s">
        <v>455</v>
      </c>
      <c r="C48" s="0" t="n">
        <v>1280.39</v>
      </c>
      <c r="D48" s="0" t="n">
        <v>0</v>
      </c>
      <c r="E48" s="0" t="n">
        <f aca="false">C48*D48</f>
        <v>0</v>
      </c>
      <c r="F48" s="0" t="n">
        <f aca="false">C48+E48</f>
        <v>1280.39</v>
      </c>
      <c r="G48" s="0" t="s">
        <v>456</v>
      </c>
      <c r="H48" s="0" t="n">
        <f aca="false">ROUNDUP(F48,0)</f>
        <v>1281</v>
      </c>
      <c r="I48" s="0" t="s">
        <v>457</v>
      </c>
      <c r="J48" s="0" t="n">
        <f aca="false">Inputs!$B$23*17783.1</f>
        <v>1280.3832</v>
      </c>
    </row>
    <row r="49" customFormat="false" ht="15" hidden="false" customHeight="false" outlineLevel="0" collapsed="false">
      <c r="A49" s="0" t="s">
        <v>458</v>
      </c>
      <c r="B49" s="0" t="s">
        <v>354</v>
      </c>
      <c r="C49" s="0" t="n">
        <v>6579.76</v>
      </c>
      <c r="D49" s="0" t="n">
        <v>0</v>
      </c>
      <c r="E49" s="0" t="n">
        <f aca="false">C49*D49</f>
        <v>0</v>
      </c>
      <c r="F49" s="0" t="n">
        <f aca="false">C49+E49</f>
        <v>6579.76</v>
      </c>
      <c r="G49" s="0" t="s">
        <v>354</v>
      </c>
      <c r="H49" s="0" t="n">
        <f aca="false">ROUNDUP(F49,0)</f>
        <v>6580</v>
      </c>
      <c r="I49" s="0" t="s">
        <v>459</v>
      </c>
      <c r="J49" s="0" t="n">
        <f aca="false">Inputs!$B$24*17783.1</f>
        <v>6579.747</v>
      </c>
    </row>
    <row r="50" customFormat="false" ht="15" hidden="false" customHeight="false" outlineLevel="0" collapsed="false">
      <c r="A50" s="0" t="s">
        <v>460</v>
      </c>
      <c r="B50" s="0" t="s">
        <v>389</v>
      </c>
      <c r="C50" s="0" t="n">
        <v>716.12</v>
      </c>
      <c r="D50" s="0" t="n">
        <f aca="false">Inputs!$B$6</f>
        <v>0.06</v>
      </c>
      <c r="E50" s="0" t="n">
        <f aca="false">C50*D50</f>
        <v>42.9672</v>
      </c>
      <c r="F50" s="0" t="n">
        <f aca="false">C50+E50</f>
        <v>759.0872</v>
      </c>
      <c r="G50" s="0" t="s">
        <v>389</v>
      </c>
      <c r="H50" s="0" t="n">
        <f aca="false">ROUNDUP(F50,0)</f>
        <v>760</v>
      </c>
      <c r="I50" s="0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462</v>
      </c>
      <c r="B1" s="2" t="s">
        <v>463</v>
      </c>
      <c r="C1" s="2" t="s">
        <v>464</v>
      </c>
    </row>
    <row r="2" customFormat="false" ht="15" hidden="false" customHeight="false" outlineLevel="0" collapsed="false">
      <c r="A2" s="0" t="s">
        <v>465</v>
      </c>
      <c r="B2" s="0" t="s">
        <v>466</v>
      </c>
      <c r="C2" s="0" t="s">
        <v>467</v>
      </c>
    </row>
    <row r="3" customFormat="false" ht="15" hidden="false" customHeight="false" outlineLevel="0" collapsed="false">
      <c r="A3" s="0" t="s">
        <v>468</v>
      </c>
      <c r="B3" s="0" t="s">
        <v>469</v>
      </c>
      <c r="C3" s="0" t="s">
        <v>470</v>
      </c>
    </row>
    <row r="4" customFormat="false" ht="15" hidden="false" customHeight="false" outlineLevel="0" collapsed="false">
      <c r="A4" s="0" t="s">
        <v>471</v>
      </c>
      <c r="B4" s="0" t="s">
        <v>472</v>
      </c>
      <c r="C4" s="0" t="s">
        <v>473</v>
      </c>
    </row>
    <row r="5" customFormat="false" ht="15" hidden="false" customHeight="false" outlineLevel="0" collapsed="false">
      <c r="A5" s="0" t="s">
        <v>474</v>
      </c>
      <c r="B5" s="0" t="s">
        <v>475</v>
      </c>
      <c r="C5" s="0" t="s">
        <v>476</v>
      </c>
    </row>
    <row r="6" customFormat="false" ht="15" hidden="false" customHeight="false" outlineLevel="0" collapsed="false">
      <c r="A6" s="0" t="s">
        <v>477</v>
      </c>
      <c r="B6" s="0" t="s">
        <v>478</v>
      </c>
      <c r="C6" s="0" t="s">
        <v>479</v>
      </c>
    </row>
    <row r="7" customFormat="false" ht="15" hidden="false" customHeight="false" outlineLevel="0" collapsed="false">
      <c r="A7" s="0" t="s">
        <v>480</v>
      </c>
      <c r="B7" s="0" t="s">
        <v>481</v>
      </c>
      <c r="C7" s="0" t="s">
        <v>482</v>
      </c>
    </row>
    <row r="8" customFormat="false" ht="15" hidden="false" customHeight="false" outlineLevel="0" collapsed="false">
      <c r="A8" s="0" t="s">
        <v>483</v>
      </c>
      <c r="B8" s="0" t="s">
        <v>484</v>
      </c>
      <c r="C8" s="0" t="s">
        <v>485</v>
      </c>
    </row>
    <row r="9" customFormat="false" ht="15" hidden="false" customHeight="false" outlineLevel="0" collapsed="false">
      <c r="A9" s="0" t="s">
        <v>486</v>
      </c>
      <c r="B9" s="0" t="s">
        <v>487</v>
      </c>
      <c r="C9" s="0" t="s">
        <v>488</v>
      </c>
    </row>
    <row r="10" customFormat="false" ht="15" hidden="false" customHeight="false" outlineLevel="0" collapsed="false">
      <c r="A10" s="0" t="s">
        <v>489</v>
      </c>
      <c r="B10" s="0" t="s">
        <v>490</v>
      </c>
      <c r="C10" s="0" t="s">
        <v>491</v>
      </c>
    </row>
    <row r="11" customFormat="false" ht="15" hidden="false" customHeight="false" outlineLevel="0" collapsed="false">
      <c r="A11" s="0" t="s">
        <v>492</v>
      </c>
      <c r="B11" s="0" t="s">
        <v>493</v>
      </c>
      <c r="C11" s="0" t="s">
        <v>494</v>
      </c>
    </row>
    <row r="12" customFormat="false" ht="15" hidden="false" customHeight="false" outlineLevel="0" collapsed="false">
      <c r="A12" s="0" t="s">
        <v>495</v>
      </c>
      <c r="B12" s="0" t="s">
        <v>496</v>
      </c>
      <c r="C12" s="0" t="s">
        <v>497</v>
      </c>
    </row>
    <row r="13" customFormat="false" ht="15" hidden="false" customHeight="false" outlineLevel="0" collapsed="false">
      <c r="A13" s="0" t="s">
        <v>498</v>
      </c>
      <c r="B13" s="0" t="s">
        <v>499</v>
      </c>
      <c r="C13" s="0" t="s">
        <v>500</v>
      </c>
    </row>
    <row r="14" customFormat="false" ht="15" hidden="false" customHeight="false" outlineLevel="0" collapsed="false">
      <c r="A14" s="0" t="s">
        <v>501</v>
      </c>
      <c r="B14" s="0" t="s">
        <v>502</v>
      </c>
      <c r="C14" s="0" t="s">
        <v>503</v>
      </c>
    </row>
    <row r="15" customFormat="false" ht="15" hidden="false" customHeight="false" outlineLevel="0" collapsed="false">
      <c r="A15" s="0" t="s">
        <v>504</v>
      </c>
      <c r="B15" s="0" t="s">
        <v>505</v>
      </c>
      <c r="C15" s="0" t="s">
        <v>506</v>
      </c>
    </row>
    <row r="16" customFormat="false" ht="15" hidden="false" customHeight="false" outlineLevel="0" collapsed="false">
      <c r="A16" s="0" t="s">
        <v>507</v>
      </c>
      <c r="B16" s="0" t="s">
        <v>508</v>
      </c>
      <c r="C16" s="0" t="s">
        <v>509</v>
      </c>
    </row>
    <row r="17" customFormat="false" ht="15" hidden="false" customHeight="false" outlineLevel="0" collapsed="false">
      <c r="A17" s="0" t="s">
        <v>510</v>
      </c>
      <c r="B17" s="0" t="s">
        <v>511</v>
      </c>
      <c r="C17" s="0" t="s">
        <v>512</v>
      </c>
    </row>
    <row r="18" customFormat="false" ht="15" hidden="false" customHeight="false" outlineLevel="0" collapsed="false">
      <c r="A18" s="0" t="s">
        <v>513</v>
      </c>
      <c r="B18" s="0" t="s">
        <v>514</v>
      </c>
      <c r="C18" s="0" t="s">
        <v>515</v>
      </c>
    </row>
    <row r="19" customFormat="false" ht="15" hidden="false" customHeight="false" outlineLevel="0" collapsed="false">
      <c r="A19" s="0" t="s">
        <v>516</v>
      </c>
      <c r="B19" s="0" t="s">
        <v>517</v>
      </c>
      <c r="C19" s="0" t="s">
        <v>518</v>
      </c>
    </row>
    <row r="20" customFormat="false" ht="15" hidden="false" customHeight="false" outlineLevel="0" collapsed="false">
      <c r="A20" s="0" t="s">
        <v>519</v>
      </c>
      <c r="B20" s="0" t="s">
        <v>520</v>
      </c>
      <c r="C20" s="0" t="s">
        <v>521</v>
      </c>
    </row>
    <row r="21" customFormat="false" ht="15" hidden="false" customHeight="false" outlineLevel="0" collapsed="false">
      <c r="A21" s="0" t="s">
        <v>522</v>
      </c>
      <c r="B21" s="0" t="s">
        <v>523</v>
      </c>
      <c r="C21" s="0" t="s">
        <v>524</v>
      </c>
    </row>
    <row r="22" customFormat="false" ht="15" hidden="false" customHeight="false" outlineLevel="0" collapsed="false">
      <c r="A22" s="0" t="s">
        <v>525</v>
      </c>
      <c r="B22" s="0" t="s">
        <v>526</v>
      </c>
      <c r="C22" s="0" t="s">
        <v>527</v>
      </c>
    </row>
    <row r="23" customFormat="false" ht="15" hidden="false" customHeight="false" outlineLevel="0" collapsed="false">
      <c r="A23" s="0" t="s">
        <v>528</v>
      </c>
      <c r="B23" s="0" t="s">
        <v>529</v>
      </c>
      <c r="C23" s="0" t="s">
        <v>530</v>
      </c>
    </row>
    <row r="24" customFormat="false" ht="15" hidden="false" customHeight="false" outlineLevel="0" collapsed="false">
      <c r="A24" s="0" t="s">
        <v>531</v>
      </c>
      <c r="B24" s="0" t="s">
        <v>532</v>
      </c>
      <c r="C24" s="0" t="s">
        <v>533</v>
      </c>
    </row>
    <row r="25" customFormat="false" ht="15" hidden="false" customHeight="false" outlineLevel="0" collapsed="false">
      <c r="A25" s="0" t="s">
        <v>534</v>
      </c>
      <c r="B25" s="0" t="s">
        <v>535</v>
      </c>
      <c r="C25" s="0" t="s">
        <v>536</v>
      </c>
    </row>
    <row r="26" customFormat="false" ht="15" hidden="false" customHeight="false" outlineLevel="0" collapsed="false">
      <c r="A26" s="0" t="s">
        <v>537</v>
      </c>
      <c r="B26" s="0" t="s">
        <v>538</v>
      </c>
      <c r="C26" s="0" t="s">
        <v>539</v>
      </c>
    </row>
    <row r="27" customFormat="false" ht="15" hidden="false" customHeight="false" outlineLevel="0" collapsed="false">
      <c r="A27" s="0" t="s">
        <v>540</v>
      </c>
      <c r="B27" s="0" t="s">
        <v>541</v>
      </c>
      <c r="C27" s="0" t="s">
        <v>542</v>
      </c>
    </row>
    <row r="28" customFormat="false" ht="15" hidden="false" customHeight="false" outlineLevel="0" collapsed="false">
      <c r="A28" s="0" t="s">
        <v>543</v>
      </c>
      <c r="B28" s="0" t="s">
        <v>544</v>
      </c>
      <c r="C28" s="0" t="s">
        <v>545</v>
      </c>
    </row>
    <row r="29" customFormat="false" ht="15" hidden="false" customHeight="false" outlineLevel="0" collapsed="false">
      <c r="A29" s="0" t="s">
        <v>546</v>
      </c>
      <c r="B29" s="0" t="s">
        <v>547</v>
      </c>
      <c r="C29" s="0" t="s">
        <v>548</v>
      </c>
    </row>
    <row r="30" customFormat="false" ht="15" hidden="false" customHeight="false" outlineLevel="0" collapsed="false">
      <c r="A30" s="0" t="s">
        <v>549</v>
      </c>
      <c r="B30" s="0" t="s">
        <v>550</v>
      </c>
      <c r="C30" s="0" t="s">
        <v>551</v>
      </c>
    </row>
    <row r="31" customFormat="false" ht="15" hidden="false" customHeight="false" outlineLevel="0" collapsed="false">
      <c r="A31" s="0" t="s">
        <v>552</v>
      </c>
      <c r="B31" s="0" t="s">
        <v>553</v>
      </c>
      <c r="C31" s="0" t="s">
        <v>554</v>
      </c>
    </row>
    <row r="32" customFormat="false" ht="15" hidden="false" customHeight="false" outlineLevel="0" collapsed="false">
      <c r="A32" s="0" t="s">
        <v>555</v>
      </c>
      <c r="B32" s="0" t="s">
        <v>556</v>
      </c>
      <c r="C32" s="0" t="s">
        <v>557</v>
      </c>
    </row>
    <row r="33" customFormat="false" ht="15" hidden="false" customHeight="false" outlineLevel="0" collapsed="false">
      <c r="A33" s="0" t="s">
        <v>558</v>
      </c>
      <c r="B33" s="0" t="s">
        <v>559</v>
      </c>
      <c r="C33" s="0" t="s">
        <v>560</v>
      </c>
    </row>
    <row r="34" customFormat="false" ht="15" hidden="false" customHeight="false" outlineLevel="0" collapsed="false">
      <c r="A34" s="0" t="s">
        <v>561</v>
      </c>
      <c r="B34" s="0" t="s">
        <v>562</v>
      </c>
      <c r="C34" s="0" t="s">
        <v>563</v>
      </c>
    </row>
    <row r="35" customFormat="false" ht="15" hidden="false" customHeight="false" outlineLevel="0" collapsed="false">
      <c r="A35" s="0" t="s">
        <v>564</v>
      </c>
      <c r="B35" s="0" t="s">
        <v>565</v>
      </c>
      <c r="C35" s="0" t="s">
        <v>566</v>
      </c>
    </row>
    <row r="36" customFormat="false" ht="15" hidden="false" customHeight="false" outlineLevel="0" collapsed="false">
      <c r="A36" s="0" t="s">
        <v>567</v>
      </c>
      <c r="B36" s="0" t="s">
        <v>568</v>
      </c>
      <c r="C36" s="0" t="s">
        <v>569</v>
      </c>
    </row>
    <row r="37" customFormat="false" ht="15" hidden="false" customHeight="false" outlineLevel="0" collapsed="false">
      <c r="A37" s="0" t="s">
        <v>570</v>
      </c>
      <c r="B37" s="0" t="s">
        <v>571</v>
      </c>
      <c r="C37" s="0" t="s">
        <v>572</v>
      </c>
    </row>
    <row r="38" customFormat="false" ht="15" hidden="false" customHeight="false" outlineLevel="0" collapsed="false">
      <c r="A38" s="0" t="s">
        <v>573</v>
      </c>
      <c r="B38" s="0" t="s">
        <v>574</v>
      </c>
      <c r="C38" s="0" t="s">
        <v>575</v>
      </c>
    </row>
    <row r="39" customFormat="false" ht="15" hidden="false" customHeight="false" outlineLevel="0" collapsed="false">
      <c r="A39" s="0" t="s">
        <v>576</v>
      </c>
      <c r="B39" s="0" t="s">
        <v>577</v>
      </c>
      <c r="C39" s="0" t="s">
        <v>578</v>
      </c>
    </row>
    <row r="40" customFormat="false" ht="15" hidden="false" customHeight="false" outlineLevel="0" collapsed="false">
      <c r="A40" s="0" t="s">
        <v>579</v>
      </c>
      <c r="B40" s="0" t="s">
        <v>580</v>
      </c>
      <c r="C40" s="0" t="s">
        <v>581</v>
      </c>
    </row>
    <row r="41" customFormat="false" ht="15" hidden="false" customHeight="false" outlineLevel="0" collapsed="false">
      <c r="A41" s="0" t="s">
        <v>582</v>
      </c>
      <c r="B41" s="0" t="s">
        <v>583</v>
      </c>
      <c r="C41" s="0" t="s">
        <v>584</v>
      </c>
    </row>
    <row r="42" customFormat="false" ht="15" hidden="false" customHeight="false" outlineLevel="0" collapsed="false">
      <c r="A42" s="0" t="s">
        <v>585</v>
      </c>
      <c r="B42" s="0" t="s">
        <v>586</v>
      </c>
      <c r="C42" s="0" t="s">
        <v>587</v>
      </c>
    </row>
    <row r="43" customFormat="false" ht="15" hidden="false" customHeight="false" outlineLevel="0" collapsed="false">
      <c r="A43" s="0" t="s">
        <v>588</v>
      </c>
      <c r="B43" s="0" t="s">
        <v>589</v>
      </c>
      <c r="C43" s="0" t="s">
        <v>590</v>
      </c>
    </row>
    <row r="44" customFormat="false" ht="15" hidden="false" customHeight="false" outlineLevel="0" collapsed="false">
      <c r="A44" s="0" t="s">
        <v>591</v>
      </c>
      <c r="B44" s="0" t="s">
        <v>592</v>
      </c>
      <c r="C44" s="0" t="s">
        <v>593</v>
      </c>
    </row>
    <row r="45" customFormat="false" ht="15" hidden="false" customHeight="false" outlineLevel="0" collapsed="false">
      <c r="A45" s="0" t="s">
        <v>594</v>
      </c>
      <c r="B45" s="0" t="s">
        <v>595</v>
      </c>
      <c r="C45" s="0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32"/>
    <col collapsed="false" customWidth="true" hidden="false" outlineLevel="0" max="4" min="4" style="0" width="47"/>
  </cols>
  <sheetData>
    <row r="1" customFormat="false" ht="15" hidden="false" customHeight="false" outlineLevel="0" collapsed="false">
      <c r="A1" s="0" t="s">
        <v>597</v>
      </c>
      <c r="B1" s="0" t="s">
        <v>598</v>
      </c>
      <c r="C1" s="0" t="s">
        <v>599</v>
      </c>
      <c r="D1" s="0" t="s">
        <v>600</v>
      </c>
    </row>
    <row r="2" customFormat="false" ht="15" hidden="false" customHeight="false" outlineLevel="0" collapsed="false">
      <c r="A2" s="0" t="n">
        <v>1</v>
      </c>
      <c r="B2" s="0" t="s">
        <v>601</v>
      </c>
      <c r="C2" s="0" t="s">
        <v>602</v>
      </c>
      <c r="D2" s="0" t="s">
        <v>603</v>
      </c>
    </row>
    <row r="3" customFormat="false" ht="15" hidden="false" customHeight="false" outlineLevel="0" collapsed="false">
      <c r="A3" s="0" t="n">
        <v>2</v>
      </c>
      <c r="B3" s="0" t="s">
        <v>604</v>
      </c>
      <c r="C3" s="0" t="s">
        <v>605</v>
      </c>
    </row>
    <row r="4" customFormat="false" ht="15" hidden="false" customHeight="false" outlineLevel="0" collapsed="false">
      <c r="A4" s="0" t="n">
        <v>3</v>
      </c>
      <c r="B4" s="0" t="s">
        <v>606</v>
      </c>
      <c r="C4" s="0" t="s">
        <v>607</v>
      </c>
      <c r="D4" s="0" t="s">
        <v>608</v>
      </c>
    </row>
    <row r="5" customFormat="false" ht="15" hidden="false" customHeight="false" outlineLevel="0" collapsed="false">
      <c r="A5" s="0" t="n">
        <v>4</v>
      </c>
      <c r="B5" s="0" t="s">
        <v>609</v>
      </c>
      <c r="C5" s="0" t="s">
        <v>610</v>
      </c>
      <c r="D5" s="0" t="s">
        <v>611</v>
      </c>
    </row>
    <row r="6" customFormat="false" ht="15" hidden="false" customHeight="false" outlineLevel="0" collapsed="false">
      <c r="A6" s="0" t="n">
        <v>5</v>
      </c>
      <c r="B6" s="0" t="s">
        <v>612</v>
      </c>
      <c r="C6" s="0" t="s">
        <v>602</v>
      </c>
      <c r="D6" s="0" t="s">
        <v>613</v>
      </c>
    </row>
    <row r="7" customFormat="false" ht="15" hidden="false" customHeight="false" outlineLevel="0" collapsed="false">
      <c r="A7" s="0" t="n">
        <v>6</v>
      </c>
      <c r="B7" s="0" t="s">
        <v>614</v>
      </c>
      <c r="C7" s="0" t="s">
        <v>615</v>
      </c>
      <c r="D7" s="0" t="s">
        <v>616</v>
      </c>
    </row>
    <row r="8" customFormat="false" ht="15" hidden="false" customHeight="false" outlineLevel="0" collapsed="false">
      <c r="A8" s="0" t="n">
        <v>7</v>
      </c>
      <c r="B8" s="0" t="s">
        <v>617</v>
      </c>
      <c r="C8" s="0" t="s">
        <v>618</v>
      </c>
    </row>
    <row r="9" customFormat="false" ht="15" hidden="false" customHeight="false" outlineLevel="0" collapsed="false">
      <c r="A9" s="0" t="n">
        <v>8</v>
      </c>
      <c r="B9" s="0" t="s">
        <v>619</v>
      </c>
      <c r="C9" s="0" t="s">
        <v>620</v>
      </c>
    </row>
    <row r="10" customFormat="false" ht="15" hidden="false" customHeight="false" outlineLevel="0" collapsed="false">
      <c r="A10" s="0" t="n">
        <v>9</v>
      </c>
      <c r="B10" s="0" t="s">
        <v>621</v>
      </c>
      <c r="C10" s="0" t="s">
        <v>622</v>
      </c>
      <c r="D10" s="0" t="s">
        <v>623</v>
      </c>
    </row>
    <row r="11" customFormat="false" ht="15" hidden="false" customHeight="false" outlineLevel="0" collapsed="false">
      <c r="A11" s="0" t="n">
        <v>10</v>
      </c>
      <c r="B11" s="0" t="s">
        <v>624</v>
      </c>
      <c r="C11" s="0" t="s">
        <v>625</v>
      </c>
      <c r="D11" s="0" t="s">
        <v>626</v>
      </c>
    </row>
    <row r="12" customFormat="false" ht="15" hidden="false" customHeight="false" outlineLevel="0" collapsed="false">
      <c r="A12" s="0" t="n">
        <v>11</v>
      </c>
      <c r="B12" s="0" t="s">
        <v>627</v>
      </c>
      <c r="C12" s="0" t="s">
        <v>602</v>
      </c>
      <c r="D12" s="0" t="s">
        <v>628</v>
      </c>
    </row>
    <row r="13" customFormat="false" ht="15" hidden="false" customHeight="false" outlineLevel="0" collapsed="false">
      <c r="A13" s="0" t="n">
        <v>12</v>
      </c>
      <c r="B13" s="0" t="s">
        <v>629</v>
      </c>
      <c r="C13" s="0" t="s">
        <v>630</v>
      </c>
    </row>
    <row r="14" customFormat="false" ht="15" hidden="false" customHeight="false" outlineLevel="0" collapsed="false">
      <c r="A14" s="0" t="n">
        <v>13</v>
      </c>
      <c r="B14" s="0" t="s">
        <v>631</v>
      </c>
      <c r="C14" s="0" t="s">
        <v>293</v>
      </c>
    </row>
    <row r="15" customFormat="false" ht="15" hidden="false" customHeight="false" outlineLevel="0" collapsed="false">
      <c r="A15" s="0" t="n">
        <v>14</v>
      </c>
      <c r="B15" s="0" t="s">
        <v>632</v>
      </c>
      <c r="C15" s="0" t="s">
        <v>633</v>
      </c>
      <c r="D15" s="0" t="s">
        <v>634</v>
      </c>
    </row>
    <row r="16" customFormat="false" ht="15" hidden="false" customHeight="false" outlineLevel="0" collapsed="false">
      <c r="A16" s="0" t="n">
        <v>15</v>
      </c>
      <c r="B16" s="0" t="s">
        <v>635</v>
      </c>
      <c r="D16" s="0" t="s">
        <v>636</v>
      </c>
    </row>
    <row r="17" customFormat="false" ht="15" hidden="false" customHeight="false" outlineLevel="0" collapsed="false">
      <c r="A17" s="0" t="n">
        <v>16</v>
      </c>
      <c r="B17" s="0" t="s">
        <v>637</v>
      </c>
      <c r="D17" s="0" t="s">
        <v>636</v>
      </c>
    </row>
    <row r="18" customFormat="false" ht="15" hidden="false" customHeight="false" outlineLevel="0" collapsed="false">
      <c r="A18" s="0" t="n">
        <v>17</v>
      </c>
      <c r="B18" s="0" t="s">
        <v>638</v>
      </c>
      <c r="D18" s="0" t="s">
        <v>636</v>
      </c>
    </row>
    <row r="19" customFormat="false" ht="15" hidden="false" customHeight="false" outlineLevel="0" collapsed="false">
      <c r="A19" s="0" t="n">
        <v>18</v>
      </c>
      <c r="B19" s="0" t="s">
        <v>639</v>
      </c>
      <c r="D19" s="0" t="s">
        <v>636</v>
      </c>
    </row>
    <row r="20" customFormat="false" ht="15" hidden="false" customHeight="false" outlineLevel="0" collapsed="false">
      <c r="A20" s="0" t="n">
        <v>19</v>
      </c>
      <c r="B20" s="0" t="s">
        <v>640</v>
      </c>
      <c r="D20" s="0" t="s">
        <v>636</v>
      </c>
    </row>
    <row r="21" customFormat="false" ht="15" hidden="false" customHeight="false" outlineLevel="0" collapsed="false">
      <c r="A21" s="0" t="n">
        <v>20</v>
      </c>
      <c r="B21" s="0" t="s">
        <v>641</v>
      </c>
      <c r="D21" s="0" t="s">
        <v>636</v>
      </c>
    </row>
    <row r="22" customFormat="false" ht="15" hidden="false" customHeight="false" outlineLevel="0" collapsed="false">
      <c r="A22" s="0" t="n">
        <v>21</v>
      </c>
      <c r="B22" s="0" t="s">
        <v>642</v>
      </c>
      <c r="D22" s="0" t="s">
        <v>636</v>
      </c>
    </row>
    <row r="23" customFormat="false" ht="15" hidden="false" customHeight="false" outlineLevel="0" collapsed="false">
      <c r="A23" s="0" t="n">
        <v>22</v>
      </c>
      <c r="B23" s="0" t="s">
        <v>643</v>
      </c>
      <c r="D23" s="0" t="s">
        <v>636</v>
      </c>
    </row>
    <row r="24" customFormat="false" ht="15" hidden="false" customHeight="false" outlineLevel="0" collapsed="false">
      <c r="A24" s="0" t="n">
        <v>23</v>
      </c>
      <c r="B24" s="0" t="s">
        <v>644</v>
      </c>
      <c r="D24" s="0" t="s">
        <v>636</v>
      </c>
    </row>
    <row r="25" customFormat="false" ht="15" hidden="false" customHeight="false" outlineLevel="0" collapsed="false">
      <c r="A25" s="0" t="n">
        <v>24</v>
      </c>
      <c r="B25" s="0" t="s">
        <v>645</v>
      </c>
      <c r="D25" s="0" t="s">
        <v>636</v>
      </c>
    </row>
    <row r="26" customFormat="false" ht="15" hidden="false" customHeight="false" outlineLevel="0" collapsed="false">
      <c r="A26" s="0" t="n">
        <v>25</v>
      </c>
      <c r="B26" s="0" t="s">
        <v>646</v>
      </c>
      <c r="D26" s="0" t="s">
        <v>636</v>
      </c>
    </row>
    <row r="27" customFormat="false" ht="15" hidden="false" customHeight="false" outlineLevel="0" collapsed="false">
      <c r="A27" s="0" t="n">
        <v>26</v>
      </c>
      <c r="B27" s="0" t="s">
        <v>647</v>
      </c>
      <c r="D27" s="0" t="s">
        <v>636</v>
      </c>
    </row>
    <row r="28" customFormat="false" ht="15" hidden="false" customHeight="false" outlineLevel="0" collapsed="false">
      <c r="A28" s="0" t="n">
        <v>27</v>
      </c>
      <c r="B28" s="0" t="s">
        <v>648</v>
      </c>
      <c r="C28" s="0" t="s">
        <v>649</v>
      </c>
      <c r="D28" s="0" t="s">
        <v>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651</v>
      </c>
      <c r="B1" s="0" t="s">
        <v>652</v>
      </c>
      <c r="C1" s="0" t="s">
        <v>59</v>
      </c>
      <c r="D1" s="0" t="s">
        <v>653</v>
      </c>
    </row>
    <row r="2" customFormat="false" ht="15" hidden="false" customHeight="false" outlineLevel="0" collapsed="false">
      <c r="A2" s="0" t="s">
        <v>654</v>
      </c>
      <c r="B2" s="0" t="s">
        <v>655</v>
      </c>
      <c r="C2" s="0" t="s">
        <v>656</v>
      </c>
      <c r="D2" s="0" t="s">
        <v>657</v>
      </c>
    </row>
    <row r="3" customFormat="false" ht="15" hidden="false" customHeight="false" outlineLevel="0" collapsed="false">
      <c r="A3" s="0" t="s">
        <v>658</v>
      </c>
      <c r="B3" s="0" t="s">
        <v>659</v>
      </c>
      <c r="C3" s="0" t="s">
        <v>656</v>
      </c>
      <c r="D3" s="0" t="s">
        <v>660</v>
      </c>
    </row>
    <row r="4" customFormat="false" ht="15" hidden="false" customHeight="false" outlineLevel="0" collapsed="false">
      <c r="A4" s="0" t="s">
        <v>661</v>
      </c>
      <c r="B4" s="0" t="s">
        <v>662</v>
      </c>
      <c r="C4" s="0" t="s">
        <v>656</v>
      </c>
      <c r="D4" s="0" t="s">
        <v>663</v>
      </c>
    </row>
    <row r="5" customFormat="false" ht="15" hidden="false" customHeight="false" outlineLevel="0" collapsed="false">
      <c r="A5" s="0" t="s">
        <v>664</v>
      </c>
      <c r="B5" s="0" t="s">
        <v>665</v>
      </c>
      <c r="C5" s="0" t="s">
        <v>656</v>
      </c>
      <c r="D5" s="0" t="s">
        <v>666</v>
      </c>
    </row>
    <row r="6" customFormat="false" ht="15" hidden="false" customHeight="false" outlineLevel="0" collapsed="false">
      <c r="A6" s="0" t="s">
        <v>667</v>
      </c>
      <c r="B6" s="0" t="s">
        <v>668</v>
      </c>
      <c r="C6" s="0" t="s">
        <v>656</v>
      </c>
      <c r="D6" s="0" t="s">
        <v>669</v>
      </c>
    </row>
    <row r="7" customFormat="false" ht="15" hidden="false" customHeight="false" outlineLevel="0" collapsed="false">
      <c r="A7" s="0" t="s">
        <v>670</v>
      </c>
      <c r="B7" s="0" t="s">
        <v>671</v>
      </c>
      <c r="C7" s="0" t="s">
        <v>656</v>
      </c>
      <c r="D7" s="0" t="s">
        <v>672</v>
      </c>
    </row>
    <row r="8" customFormat="false" ht="15" hidden="false" customHeight="false" outlineLevel="0" collapsed="false">
      <c r="A8" s="0" t="s">
        <v>673</v>
      </c>
      <c r="B8" s="0" t="s">
        <v>674</v>
      </c>
      <c r="C8" s="0" t="s">
        <v>656</v>
      </c>
      <c r="D8" s="0" t="s">
        <v>675</v>
      </c>
    </row>
    <row r="9" customFormat="false" ht="15" hidden="false" customHeight="false" outlineLevel="0" collapsed="false">
      <c r="A9" s="0" t="s">
        <v>676</v>
      </c>
      <c r="B9" s="0" t="s">
        <v>677</v>
      </c>
      <c r="C9" s="0" t="s">
        <v>656</v>
      </c>
      <c r="D9" s="0" t="s">
        <v>678</v>
      </c>
    </row>
    <row r="10" customFormat="false" ht="15" hidden="false" customHeight="false" outlineLevel="0" collapsed="false">
      <c r="A10" s="0" t="s">
        <v>679</v>
      </c>
      <c r="B10" s="0" t="s">
        <v>680</v>
      </c>
      <c r="C10" s="0" t="s">
        <v>656</v>
      </c>
      <c r="D10" s="0" t="s">
        <v>681</v>
      </c>
    </row>
    <row r="11" customFormat="false" ht="15" hidden="false" customHeight="false" outlineLevel="0" collapsed="false">
      <c r="A11" s="0" t="s">
        <v>682</v>
      </c>
      <c r="B11" s="0" t="s">
        <v>683</v>
      </c>
      <c r="C11" s="0" t="s">
        <v>656</v>
      </c>
      <c r="D11" s="0" t="s">
        <v>684</v>
      </c>
    </row>
    <row r="12" customFormat="false" ht="15" hidden="false" customHeight="false" outlineLevel="0" collapsed="false">
      <c r="A12" s="0" t="s">
        <v>685</v>
      </c>
      <c r="B12" s="0" t="s">
        <v>686</v>
      </c>
      <c r="C12" s="0" t="s">
        <v>656</v>
      </c>
      <c r="D12" s="0" t="s">
        <v>687</v>
      </c>
    </row>
    <row r="13" customFormat="false" ht="15" hidden="false" customHeight="false" outlineLevel="0" collapsed="false">
      <c r="A13" s="0" t="s">
        <v>688</v>
      </c>
      <c r="B13" s="0" t="s">
        <v>689</v>
      </c>
      <c r="C13" s="0" t="s">
        <v>656</v>
      </c>
      <c r="D13" s="0" t="s">
        <v>690</v>
      </c>
    </row>
    <row r="14" customFormat="false" ht="15" hidden="false" customHeight="false" outlineLevel="0" collapsed="false">
      <c r="A14" s="0" t="s">
        <v>691</v>
      </c>
      <c r="B14" s="0" t="s">
        <v>692</v>
      </c>
      <c r="C14" s="0" t="s">
        <v>656</v>
      </c>
      <c r="D14" s="0" t="s">
        <v>693</v>
      </c>
    </row>
    <row r="15" customFormat="false" ht="15" hidden="false" customHeight="false" outlineLevel="0" collapsed="false">
      <c r="A15" s="0" t="s">
        <v>694</v>
      </c>
      <c r="B15" s="0" t="s">
        <v>695</v>
      </c>
      <c r="C15" s="0" t="s">
        <v>656</v>
      </c>
      <c r="D15" s="0" t="s">
        <v>696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656</v>
      </c>
      <c r="D16" s="0" t="s">
        <v>699</v>
      </c>
    </row>
    <row r="17" customFormat="false" ht="15" hidden="false" customHeight="false" outlineLevel="0" collapsed="false">
      <c r="A17" s="0" t="s">
        <v>700</v>
      </c>
      <c r="B17" s="0" t="s">
        <v>701</v>
      </c>
      <c r="C17" s="0" t="s">
        <v>656</v>
      </c>
      <c r="D17" s="0" t="s">
        <v>702</v>
      </c>
    </row>
    <row r="18" customFormat="false" ht="15" hidden="false" customHeight="false" outlineLevel="0" collapsed="false">
      <c r="A18" s="0" t="s">
        <v>703</v>
      </c>
      <c r="B18" s="0" t="s">
        <v>704</v>
      </c>
      <c r="C18" s="0" t="s">
        <v>656</v>
      </c>
      <c r="D18" s="0" t="s">
        <v>705</v>
      </c>
    </row>
    <row r="19" customFormat="false" ht="15" hidden="false" customHeight="false" outlineLevel="0" collapsed="false">
      <c r="A19" s="0" t="s">
        <v>706</v>
      </c>
      <c r="B19" s="0" t="s">
        <v>707</v>
      </c>
      <c r="C19" s="0" t="s">
        <v>656</v>
      </c>
      <c r="D19" s="0" t="s">
        <v>708</v>
      </c>
    </row>
    <row r="20" customFormat="false" ht="15" hidden="false" customHeight="false" outlineLevel="0" collapsed="false">
      <c r="A20" s="0" t="s">
        <v>709</v>
      </c>
      <c r="B20" s="0" t="s">
        <v>710</v>
      </c>
      <c r="C20" s="0" t="s">
        <v>656</v>
      </c>
      <c r="D20" s="0" t="s">
        <v>711</v>
      </c>
    </row>
    <row r="21" customFormat="false" ht="15" hidden="false" customHeight="false" outlineLevel="0" collapsed="false">
      <c r="A21" s="0" t="s">
        <v>712</v>
      </c>
      <c r="B21" s="0" t="s">
        <v>713</v>
      </c>
      <c r="C21" s="0" t="s">
        <v>656</v>
      </c>
      <c r="D21" s="0" t="s">
        <v>714</v>
      </c>
    </row>
    <row r="22" customFormat="false" ht="15" hidden="false" customHeight="false" outlineLevel="0" collapsed="false">
      <c r="A22" s="0" t="s">
        <v>715</v>
      </c>
      <c r="B22" s="0" t="s">
        <v>716</v>
      </c>
      <c r="C22" s="0" t="s">
        <v>717</v>
      </c>
      <c r="D22" s="0" t="s">
        <v>718</v>
      </c>
    </row>
    <row r="23" customFormat="false" ht="15" hidden="false" customHeight="false" outlineLevel="0" collapsed="false">
      <c r="A23" s="0" t="s">
        <v>719</v>
      </c>
      <c r="B23" s="0" t="s">
        <v>720</v>
      </c>
      <c r="C23" s="0" t="s">
        <v>717</v>
      </c>
      <c r="D23" s="0" t="s">
        <v>721</v>
      </c>
    </row>
    <row r="24" customFormat="false" ht="15" hidden="false" customHeight="false" outlineLevel="0" collapsed="false">
      <c r="A24" s="0" t="s">
        <v>722</v>
      </c>
      <c r="B24" s="0" t="s">
        <v>723</v>
      </c>
      <c r="C24" s="0" t="s">
        <v>656</v>
      </c>
      <c r="D24" s="0" t="s">
        <v>724</v>
      </c>
    </row>
    <row r="25" customFormat="false" ht="15" hidden="false" customHeight="false" outlineLevel="0" collapsed="false">
      <c r="A25" s="0" t="s">
        <v>725</v>
      </c>
      <c r="B25" s="0" t="s">
        <v>726</v>
      </c>
      <c r="C25" s="0" t="s">
        <v>656</v>
      </c>
      <c r="D25" s="0" t="s">
        <v>727</v>
      </c>
    </row>
    <row r="26" customFormat="false" ht="15" hidden="false" customHeight="false" outlineLevel="0" collapsed="false">
      <c r="A26" s="0" t="s">
        <v>728</v>
      </c>
      <c r="B26" s="0" t="s">
        <v>729</v>
      </c>
      <c r="C26" s="0" t="s">
        <v>717</v>
      </c>
      <c r="D26" s="0" t="s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2026-10-19T01:03:49Z</dcterms:created>
  <dc:creator>openpyxl</dc:creator>
  <dc:description/>
  <dc:language>en-US</dc:language>
  <cp:lastModifiedBy/>
  <dcterms:modified xsi:type="dcterms:W3CDTF">2026-10-19T01:03:49Z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