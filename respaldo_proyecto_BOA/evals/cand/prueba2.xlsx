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keoff" sheetId="1" state="visible" r:id="rId3"/>
    <sheet name="Materials" sheetId="2" state="visible" r:id="rId4"/>
    <sheet name="Partition Types" sheetId="3" state="visible" r:id="rId5"/>
    <sheet name="RFIs" sheetId="4" state="visible" r:id="rId6"/>
    <sheet name="Clarifications" sheetId="5" state="visible" r:id="rId7"/>
    <sheet name="Revisar en la manana" sheetId="6" state="visible" r:id="rId8"/>
    <sheet name="Sheet 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<sst xmlns="http://schemas.openxmlformats.org/spreadsheetml/2006/main" count="895" uniqueCount="678">
  <si>
    <t xml:space="preserve">Bank of America - Broomfield, CO (CO1-111) - Organized Partition Takeoff Estimator - Div. 05 / Div. 09</t>
  </si>
  <si>
    <t xml:space="preserve">Bid set: 2025.08.26_CO1-111_Broomfield_PERMIT SET_BID SET.pdf (94 pages, rev. IF Permit 08/26/2025). Net quantities; waste in its own cells below. Status: [CONFIRMADO]/[DERIVADO]/[PENDIENTE].</t>
  </si>
  <si>
    <t xml:space="preserve">Partition / Scope</t>
  </si>
  <si>
    <t xml:space="preserve">Detail sequence (plan -&gt; detail -&gt; detail of detail -&gt; schedule)</t>
  </si>
  <si>
    <t xml:space="preserve">Status / derivation</t>
  </si>
  <si>
    <t xml:space="preserve">Length (LF)</t>
  </si>
  <si>
    <t xml:space="preserve">Height (FT)</t>
  </si>
  <si>
    <t xml:space="preserve">Layers</t>
  </si>
  <si>
    <t xml:space="preserve">Stud O.C. (in)</t>
  </si>
  <si>
    <t xml:space="preserve">Stud rows</t>
  </si>
  <si>
    <t xml:space="preserve">Extra studs (ea)</t>
  </si>
  <si>
    <t xml:space="preserve">Side 1 board height (FT)</t>
  </si>
  <si>
    <t xml:space="preserve">Side 1 layers</t>
  </si>
  <si>
    <t xml:space="preserve">Side 2 board height (FT)</t>
  </si>
  <si>
    <t xml:space="preserve">Side 2 layers</t>
  </si>
  <si>
    <t xml:space="preserve">Openings deduct (SF per face)</t>
  </si>
  <si>
    <t xml:space="preserve">6" Metal Stud (LF)</t>
  </si>
  <si>
    <t xml:space="preserve">3-5/8" Metal Stud (LF)</t>
  </si>
  <si>
    <t xml:space="preserve">1-5/8" Metal Stud (LF)</t>
  </si>
  <si>
    <t xml:space="preserve">2-1/2" Metal Stud (LF)</t>
  </si>
  <si>
    <t xml:space="preserve">6" parapet stud (LF)</t>
  </si>
  <si>
    <t xml:space="preserve">Bottom track (LF)</t>
  </si>
  <si>
    <t xml:space="preserve">Top / deflection track (LF)</t>
  </si>
  <si>
    <t xml:space="preserve">Header / box beam (LF)</t>
  </si>
  <si>
    <t xml:space="preserve">Sill track (LF)</t>
  </si>
  <si>
    <t xml:space="preserve">Bracing C.R. channel 1-1/2" (LF)</t>
  </si>
  <si>
    <t xml:space="preserve">5/8" Gyp Board regular (SF)</t>
  </si>
  <si>
    <t xml:space="preserve">5/8" Gyp MOISTURE RESISTANT (SF)</t>
  </si>
  <si>
    <t xml:space="preserve">3/8" Gyp Board (SF)</t>
  </si>
  <si>
    <t xml:space="preserve">5/8" EXTERIOR gyp sheathing (SF)</t>
  </si>
  <si>
    <t xml:space="preserve">5/8" glass mat sheathing (SF)</t>
  </si>
  <si>
    <t xml:space="preserve">FRT plywood (SF)</t>
  </si>
  <si>
    <t xml:space="preserve">Ballistic panel 3/8" UL752 fiberglass (SF)</t>
  </si>
  <si>
    <t xml:space="preserve">FRP-1 (SF)</t>
  </si>
  <si>
    <t xml:space="preserve">Durock / cement board (SF)</t>
  </si>
  <si>
    <t xml:space="preserve">Batt insulation (SF)</t>
  </si>
  <si>
    <t xml:space="preserve">FRT blocking (LF)</t>
  </si>
  <si>
    <t xml:space="preserve">Metal trim - corner bead / casing / shadow molding (LF)</t>
  </si>
  <si>
    <t xml:space="preserve">Acoustical sealant (LF)</t>
  </si>
  <si>
    <t xml:space="preserve">Furring channel 7/8" (LF)</t>
  </si>
  <si>
    <t xml:space="preserve">Carrying channel 1-1/2" (LF)</t>
  </si>
  <si>
    <t xml:space="preserve">Hanger wire 12 GA (LF)</t>
  </si>
  <si>
    <t xml:space="preserve">Track de ceilings / soffits (LF)</t>
  </si>
  <si>
    <t xml:space="preserve">Framed openings MEP / recessed (EA)</t>
  </si>
  <si>
    <t xml:space="preserve">Level 5 finish (SF)</t>
  </si>
  <si>
    <t xml:space="preserve">Demolition (SF)</t>
  </si>
  <si>
    <t xml:space="preserve">Labor (Hrs)</t>
  </si>
  <si>
    <t xml:space="preserve">Notes / RFI</t>
  </si>
  <si>
    <t xml:space="preserve">TYPE / SCOPE: A1</t>
  </si>
  <si>
    <t xml:space="preserve">W-06 A1 - Corridor 111 east / Electrical 120 + NER 121 west. side 1 (111): 1 layer 5/8" GWB to 9.0 ft | side 2 (120): 1 layer 5/8" GWB to 13.052 ft (ceiling + 6", 3/A12.01; open-to-structure face to deck)</t>
  </si>
  <si>
    <t xml:space="preserve">A02.01 -&gt; 3/A12.01 (A1 &amp; A5) -&gt; S5.20 METAL STUD PROPERTIES (362S137-33 @16") -&gt; A04.01 (ceiling per face) | zone LOW (S2.20 B.O.D. 13'-0 5/8" high end)</t>
  </si>
  <si>
    <t xml:space="preserve">[DERIVADO] L = vector faces A02.01 (band 119-121; tags A1@1214,1406 + A1@1220,1515) / 18 pt/ft; H = 13.052 = 13'-0 5/8" - 0'-0"</t>
  </si>
  <si>
    <t xml:space="preserve">1 1/2" C.R. channel @48" O.C. (S5.20 F. BRIDGING AND BRACING): floor(13.052/4)=3 lines</t>
  </si>
  <si>
    <t xml:space="preserve">W-01 A1 - Calling Cubes 122 north / Waiting 104. side 1 (122): 1 layer 5/8" GWB to 9.0 ft | side 2 (104): 1 layer 5/8" GWB to 11.5 ft (ceiling + 6", 3/A12.01; open-to-structure face to deck)</t>
  </si>
  <si>
    <t xml:space="preserve">A02.01 -&gt; 3/A12.01 (A1 &amp; A5) -&gt; S5.20 METAL STUD PROPERTIES (362S137-33 @16") -&gt; A04.01 (ceiling per face) | zone HI (S2.20 B.O.D. 15'-4 1/2")</t>
  </si>
  <si>
    <t xml:space="preserve">[DERIVADO] L = vector faces A02.01 (band 31-34; tag A1@1383,996) / 18 pt/ft; H = 15.375 = 15'-4 1/2" - 0'-0"</t>
  </si>
  <si>
    <t xml:space="preserve">1 1/2" C.R. channel @48" O.C. (S5.20 F. BRIDGING AND BRACING): floor(15.375/4)=3 lines</t>
  </si>
  <si>
    <t xml:space="preserve">W-05 A1 - Calling Cubes 122 south / Break Room 118 north. side 1 (122): 1 layer 5/8" GWB to 9.0 ft | side 2 (118): 1 layer 5/8" GWB to 9.0 ft (ceiling + 6", 3/A12.01; open-to-structure face to deck)</t>
  </si>
  <si>
    <t xml:space="preserve">[DERIVADO] L = vector faces A02.01 (band 50; tag A1@1376,1296) / 18 pt/ft; H = 13.052 = 13'-0 5/8" - 0'-0"</t>
  </si>
  <si>
    <t xml:space="preserve">W-09 A1 - Work Room 119 north / Cash Window 116. side 1 (116): 1 layer 5/8" GWB to 9.5 ft | side 2 (119): 1 layer 5/8" GWB to 9.0 ft (ceiling + 6", 3/A12.01; open-to-structure face to deck)</t>
  </si>
  <si>
    <t xml:space="preserve">[DERIVADO] L = vector faces A02.01 (band 62; tag A1@1740,1471) / 18 pt/ft; H = 13.052 = 13'-0 5/8" - 0'-0"</t>
  </si>
  <si>
    <t xml:space="preserve">W-07 A1 - Break Room 118 north / FCAM (door 118A). side 1 (STRIP): 1 layer 5/8" GWB to 9.5 ft | side 2 (118): 1 layer 5/8" GWB to 9.0 ft (ceiling + 6", 3/A12.01; open-to-structure face to deck)</t>
  </si>
  <si>
    <t xml:space="preserve">[DERIVADO] L = vector faces A02.01 (band 54,55; tag A1@1540,1335) / 18 pt/ft; H = 13.052 = 13'-0 5/8" - 0'-0"</t>
  </si>
  <si>
    <t xml:space="preserve">W-04 A1 - Corridor 111 north end (door 111). side 1 (111): 1 layer 5/8" GWB to 9.0 ft | side 2 (103): 1 layer 5/8" GWB to 12.0 ft (ceiling + 6", 3/A12.01; open-to-structure face to deck)</t>
  </si>
  <si>
    <t xml:space="preserve">[DERIVADO] L = vector faces A02.01 (band 45,46; tag A1@1147,1253) / 18 pt/ft; H = 15.375 = 15'-4 1/2" - 0'-0"</t>
  </si>
  <si>
    <t xml:space="preserve">W-02 A1 - MW01 printer recess - east side. side 1 (122): 1 layer 5/8" GWB to 9.0 ft | side 2 (103): 1 layer 5/8" GWB to 12.0 ft (ceiling + 6", 3/A12.01; open-to-structure face to deck)</t>
  </si>
  <si>
    <t xml:space="preserve">[DERIVADO] L = vector faces A02.01 (lw1.2 faces x1271.16/1278.48; tag A1@1299,1000) / 18 pt/ft; H = 15.375 = 15'-4 1/2" - 0'-0"</t>
  </si>
  <si>
    <t xml:space="preserve">W-03 A1 - MW01 printer recess - south side. side 1 (122): 1 layer 5/8" GWB to 9.0 ft | side 2 (103): 1 layer 5/8" GWB to 12.0 ft (ceiling + 6", 3/A12.01; open-to-structure face to deck)</t>
  </si>
  <si>
    <t xml:space="preserve">[DERIVADO] L = vector faces A02.01 (band 36; tag A1@1246,1063) / 18 pt/ft; H = 15.375 = 15'-4 1/2" - 0'-0"</t>
  </si>
  <si>
    <t xml:space="preserve">W-08 A1 - Calling Cubes east line - stub to Break Room. side 1 (118): 1 layer 5/8" GWB to 9.0 ft | side 2 (STRIP): 1 layer 5/8" GWB to 9.5 ft (ceiling + 6", 3/A12.01; open-to-structure face to deck)</t>
  </si>
  <si>
    <t xml:space="preserve">[DERIVADO] L = vector faces A02.01 (band 129; tag A1@1508,1342) / 18 pt/ft; H = 13.052 = 13'-0 5/8" - 0'-0"</t>
  </si>
  <si>
    <t xml:space="preserve">TYPE / SCOPE: A5</t>
  </si>
  <si>
    <t xml:space="preserve">W-13 A5 - Calling Cubes 122 east / Central Zone - HI zone part (north of grid B). side 1 (122): 1 layer 5/8" GWB to 9.0 ft | side 2 (103): 1 layer 5/8" GWB to 12.0 ft (ceiling + 6", 3/A12.01; open-to-structure face to deck)</t>
  </si>
  <si>
    <t xml:space="preserve">A02.01 -&gt; 3/A12.01 (A1 &amp; A5) -&gt; S5.20 METAL STUD PROPERTIES (600S137-33) -&gt; A04.01 (ceiling per face) | zone HI (S2.20 B.O.D. 15'-4 1/2")</t>
  </si>
  <si>
    <t xml:space="preserve">[DERIVADO] L = vector faces A02.01 (band 128; tag A5@1544,1118) / 18 pt/ft; H = 15.375 = 15'-4 1/2" - 0'-0"</t>
  </si>
  <si>
    <t xml:space="preserve">W-11 A5 - Calling Cubes 122 west / Office 5-6 corridor side. side 1 (103): 1 layer 5/8" GWB to 12.0 ft | side 2 (122): 1 layer 5/8" GWB to 9.0 ft (ceiling + 6", 3/A12.01; open-to-structure face to deck)</t>
  </si>
  <si>
    <t xml:space="preserve">[DERIVADO] L = vector faces A02.01 (band 115-117; tag A5@1209,1128) / 18 pt/ft; H = 15.375 = 15'-4 1/2" - 0'-0"</t>
  </si>
  <si>
    <t xml:space="preserve">W-13B A5 - Calling Cubes 122 east / Central strip - LOW zone part (south of grid B). side 1 (122): 1 layer 5/8" GWB to 9.0 ft | side 2 (STRIP): 1 layer 5/8" GWB to 9.5 ft (ceiling + 6", 3/A12.01; open-to-structure face to deck)</t>
  </si>
  <si>
    <t xml:space="preserve">A02.01 -&gt; 3/A12.01 (A1 &amp; A5) -&gt; S5.20 METAL STUD PROPERTIES (600S137-33) -&gt; A04.01 (ceiling per face) | zone LOW (S2.20 B.O.D. 13'-0 5/8" high end)</t>
  </si>
  <si>
    <t xml:space="preserve">[DERIVADO] L = vector faces A02.01 (band 128 split at grid B y1244.4) / 18 pt/ft; H = 13.052 = 13'-0 5/8" - 0'-0"</t>
  </si>
  <si>
    <t xml:space="preserve">W-14 A5 - Break Room 118 east / Cash Window - FCAM (south to door 116). side 1 (118): 1 layer 5/8" GWB to 9.0 ft | side 2 (116): 1 layer 5/8" GWB to 9.5 ft (ceiling + 6", 3/A12.01; open-to-structure face to deck)</t>
  </si>
  <si>
    <t xml:space="preserve">[DERIVADO] L = vector faces A02.01 (band 139; tag A5@1650,1409) / 18 pt/ft; H = 13.052 = 13'-0 5/8" - 0'-0"</t>
  </si>
  <si>
    <t xml:space="preserve">W-12 A5 - Corridor 111 east - stub north of door 122. side 1 (111): 1 layer 5/8" GWB to 9.0 ft | side 2 (122): 1 layer 5/8" GWB to 9.0 ft (ceiling + 6", 3/A12.01; open-to-structure face to deck)</t>
  </si>
  <si>
    <t xml:space="preserve">[DERIVADO] L = vector faces A02.01 (band 118; tag A5@1264,1240) / 18 pt/ft; H = 13.052 = 13'-0 5/8" - 0'-0"</t>
  </si>
  <si>
    <t xml:space="preserve">TYPE / SCOPE: B</t>
  </si>
  <si>
    <t xml:space="preserve">W-23 B - Electrical 120 + NER 121 east / Break Room (doors 120,121). each side: 1 layer 5/8" GWB full height to underside of structure (1/A12.01)</t>
  </si>
  <si>
    <t xml:space="preserve">A02.01 -&gt; 1/A12.01 (B, B2) -&gt; S5.20 METAL STUD PROPERTIES (362S137-33 @16") -&gt; S2.20 (B.O.D.) | zone LOW (S2.20 B.O.D. 13'-0 5/8" high end)</t>
  </si>
  <si>
    <t xml:space="preserve">[DERIVADO] L = vector faces A02.01 (band 123-126; tag B@1401,1583) / 18 pt/ft; H = 13.052 = 13'-0 5/8" - 0'-0"</t>
  </si>
  <si>
    <t xml:space="preserve">W-24 B - Janitor 112 + Storage 117 south / Wellness 115 north. each side: 1 layer 5/8" GWB full height to underside of structure (1/A12.01)</t>
  </si>
  <si>
    <t xml:space="preserve">[DERIVADO] L = vector faces A02.01 (band 65-67; tag B@1102,1607) / 18 pt/ft; H = 13.052 = 13'-0 5/8" - 0'-0"</t>
  </si>
  <si>
    <t xml:space="preserve">W-26 B - Men's RR 113 south / Janitor 112 north (door 112). each side: 1 layer 5/8" GWB full height to underside of structure (1/A12.01)</t>
  </si>
  <si>
    <t xml:space="preserve">[DERIVADO] L = vector faces A02.01 (lw1.2 faces y1508.52/1515.84; tag B@1052,1497) / 18 pt/ft; H = 13.052 = 13'-0 5/8" - 0'-0"</t>
  </si>
  <si>
    <t xml:space="preserve">W-21 B - Electrical 120 north / Break Room. each side: 1 layer 5/8" GWB full height to underside of structure (1/A12.01)</t>
  </si>
  <si>
    <t xml:space="preserve">[DERIVADO] L = vector faces A02.01 (band 60,61; tag B@1381,1457) / 18 pt/ft; H = 13.052 = 13'-0 5/8" - 0'-0"</t>
  </si>
  <si>
    <t xml:space="preserve">W-22 B - Electrical 120 / NER 121. each side: 1 layer 5/8" GWB full height to underside of structure (1/A12.01)</t>
  </si>
  <si>
    <t xml:space="preserve">[DERIVADO] L = vector faces A02.01 (band 64; tag B@1384,1572) / 18 pt/ft; H = 13.052 = 13'-0 5/8" - 0'-0"</t>
  </si>
  <si>
    <t xml:space="preserve">W-37 B - Drinking fountain alcove - back wall (restroom chase side). each side: 1 layer 5/8" GWB full height to underside of structure (1/A12.01)</t>
  </si>
  <si>
    <t xml:space="preserve">[DERIVADO] L = vector faces A02.01 (lw1.2 x1092.36/1099.68; thickness 4.88 in) / 18 pt/ft; H = 13.052 = 13'-0 5/8" - 0'-0"</t>
  </si>
  <si>
    <t xml:space="preserve">W-25 B - Janitor 112 / Storage 117 (MW06A-MW05). each side: 1 layer 5/8" GWB full height to underside of structure (1/A12.01)</t>
  </si>
  <si>
    <t xml:space="preserve">[DERIVADO] L = vector faces A02.01 (band 95; tag B@1048,1532) / 18 pt/ft; H = 13.052 = 13'-0 5/8" - 0'-0"</t>
  </si>
  <si>
    <t xml:space="preserve">W-38 B - Drinking fountain alcove - north return. each side: 1 layer 5/8" GWB full height to underside of structure (1/A12.01)</t>
  </si>
  <si>
    <t xml:space="preserve">[DERIVADO] L = vector faces A02.01 (lw1.2 y1328.64/1335.96) / 18 pt/ft; H = 13.052 = 13'-0 5/8" - 0'-0"</t>
  </si>
  <si>
    <t xml:space="preserve">W-39 B - Drinking fountain alcove - south return. each side: 1 layer 5/8" GWB full height to underside of structure (1/A12.01)</t>
  </si>
  <si>
    <t xml:space="preserve">[DERIVADO] L = vector faces A02.01 (lw1.2 y1409.28/1416.6) / 18 pt/ft; H = 13.052 = 13'-0 5/8" - 0'-0"</t>
  </si>
  <si>
    <t xml:space="preserve">TYPE / SCOPE: B2</t>
  </si>
  <si>
    <t xml:space="preserve">W-36 B2 - Break Room 118 east / Work Room 119 west. each side: 1 layer 5/8" GWB full height to underside of structure (1/A12.01)</t>
  </si>
  <si>
    <t xml:space="preserve">A02.01 -&gt; 1/A12.01 (B, B2) -&gt; S5.20 METAL STUD PROPERTIES (600S137-33 @16") -&gt; S2.20 (B.O.D.) | zone LOW (S2.20 B.O.D. 13'-0 5/8" high end)</t>
  </si>
  <si>
    <t xml:space="preserve">[DERIVADO] L = vector faces A02.01 (band 140-143; tags B2@1603,1493 + B2@1652,1622) / 18 pt/ft; H = 13.052 = 13'-0 5/8" - 0'-0"</t>
  </si>
  <si>
    <t xml:space="preserve">W-35 B2 - Wellness 115 east / Corridor (door 115). each side: 1 layer 5/8" GWB full height to underside of structure (1/A12.01)</t>
  </si>
  <si>
    <t xml:space="preserve">[DERIVADO] L = vector faces A02.01 (band 107,108; tag B2@1153,1596) / 18 pt/ft; H = 13.052 = 13'-0 5/8" - 0'-0"</t>
  </si>
  <si>
    <t xml:space="preserve">W-31 B2 - ATM Room 102 east / Central Zone (door 102). each side: 1 layer 5/8" GWB full height to underside of structure (1/A12.01)</t>
  </si>
  <si>
    <t xml:space="preserve">A02.01 -&gt; 1/A12.01 (B, B2) -&gt; S5.20 METAL STUD PROPERTIES (600S137-33 @16") -&gt; S2.20 (B.O.D.) | zone HI (S2.20 B.O.D. 15'-4 1/2")</t>
  </si>
  <si>
    <t xml:space="preserve">[DERIVADO] L = vector faces A02.01 (band 103,104; tag B2@1110,745) / 18 pt/ft; H = 15.375 = 15'-4 1/2" - 0'-0"</t>
  </si>
  <si>
    <t xml:space="preserve">W-32 B2 - Women's RR 114 east / Corridor - north of fountain alcove. each side: 1 layer 5/8" GWB full height to underside of structure (1/A12.01)</t>
  </si>
  <si>
    <t xml:space="preserve">[DERIVADO] L = vector faces A02.01 (lw1.2 x1123.08/1133.88; tag B2@1146,1313) / 18 pt/ft; H = 13.052 = 13'-0 5/8" - 0'-0"</t>
  </si>
  <si>
    <t xml:space="preserve">W-33 B2 - Men's RR 113 east / Corridor - south of fountain alcove. each side: 1 layer 5/8" GWB full height to underside of structure (1/A12.01)</t>
  </si>
  <si>
    <t xml:space="preserve">[DERIVADO] L = vector faces A02.01 (band 105; tag B2@1155,1438) / 18 pt/ft; H = 13.052 = 13'-0 5/8" - 0'-0"</t>
  </si>
  <si>
    <t xml:space="preserve">W-34 B2 - Men's RR 113 / Corridor - south of door 113. each side: 1 layer 5/8" GWB full height to underside of structure (1/A12.01)</t>
  </si>
  <si>
    <t xml:space="preserve">[DERIVADO] L = vector faces A02.01 (lw1.2 x1123.08/1133.88 y1501.68-1517.52) / 18 pt/ft; H = 13.052 = 13'-0 5/8" - 0'-0"</t>
  </si>
  <si>
    <t xml:space="preserve">TYPE / SCOPE: B2K</t>
  </si>
  <si>
    <t xml:space="preserve">W-41 B2K - Cash Window 116 north-west stub (teller line). teller side: 3/8" UL752 fiberglass to 8'-0" + 5/8" GWB | other side 5/8" GWB, full height (derived from 1/A12.01 + 4/A12.01)</t>
  </si>
  <si>
    <t xml:space="preserve">A02.01 (tag B2K) -&gt; 1/A12.01 (B2) + 4/A12.01 (K = 3/8" UL752 fiberglass) -&gt; S2.20 (B.O.D.) [type not in schedule, derived] | zone HI (S2.20 B.O.D. 15'-4 1/2")</t>
  </si>
  <si>
    <t xml:space="preserve">[DERIVADO] L = vector faces A02.01 (band 41 (7.67 in); tag B2K@1637,1137) / 18 pt/ft; H = 15.375 = 15'-4 1/2" - 0'-0"</t>
  </si>
  <si>
    <t xml:space="preserve">TYPE / SCOPE: A1K</t>
  </si>
  <si>
    <t xml:space="preserve">W-52 A1K - Cash Window 116 south / FCAM. teller side: 5/8" GWB over 3/8" UL752 fiberglass to 8'-0", 3/8" GWB 8'-0" to structure | customer side: 5/8" GWB to structure (4/A12.01)</t>
  </si>
  <si>
    <t xml:space="preserve">A02.01 -&gt; 4/A12.01 (A1K &amp; A5K, WALL CONSTRUCTION SHALL INCLUDE: 14 GA @24") -&gt; A12.08 (CSR line) -&gt; S2.20 | zone LOW (S2.20 B.O.D. 13'-0 5/8" high end)</t>
  </si>
  <si>
    <t xml:space="preserve">[DERIVADO] L = vector faces A02.01 (band 51 (5.27 in); tags A1K@1663,1331 + A1K@1644,1335) / 18 pt/ft; H = 13.052 = 13'-0 5/8" - 0'-0"</t>
  </si>
  <si>
    <t xml:space="preserve">W-51 A1K - Cash Window 116 north (inside G wall). teller side: 5/8" GWB over 3/8" UL752 fiberglass to 8'-0", 3/8" GWB 8'-0" to structure | customer side: 5/8" GWB to structure (4/A12.01)</t>
  </si>
  <si>
    <t xml:space="preserve">A02.01 -&gt; 4/A12.01 (A1K &amp; A5K, WALL CONSTRUCTION SHALL INCLUDE: 14 GA @24") -&gt; A12.08 (CSR line) -&gt; S2.20 | zone HI (S2.20 B.O.D. 15'-4 1/2")</t>
  </si>
  <si>
    <t xml:space="preserve">[DERIVADO] L = vector faces A02.01 (band 43 (5.2 in); tag A1K@1660,1149) / 18 pt/ft; H = 15.375 = 15'-4 1/2" - 0'-0"</t>
  </si>
  <si>
    <t xml:space="preserve">W-53 A1K - Cash Window 116 south-west stub. teller side: 5/8" GWB over 3/8" UL752 fiberglass to 8'-0", 3/8" GWB 8'-0" to structure | customer side: 5/8" GWB to structure (4/A12.01)</t>
  </si>
  <si>
    <t xml:space="preserve">[DERIVADO] L = vector faces A02.01 (band 56 (5.2 in); tag A1K@1644,1335 (2nd leg)) / 18 pt/ft; H = 13.052 = 13'-0 5/8" - 0'-0"</t>
  </si>
  <si>
    <t xml:space="preserve">TYPE / SCOPE: C1</t>
  </si>
  <si>
    <t xml:space="preserve">W-62 C1 - Restroom wet wall - Women's RR 114 side furring. one side: 1 layer 5/8" GWB to underside of structure (6/A12.01); other side furred/chase</t>
  </si>
  <si>
    <t xml:space="preserve">A02.01 -&gt; 6/A12.01 (C1: 3 5/8" stud + 5/8" GWB one face) -&gt; A08.01 (restroom notes E,F) -&gt; S2.20 | zone LOW (S2.20 B.O.D. 13'-0 5/8" high end)</t>
  </si>
  <si>
    <t xml:space="preserve">[DERIVADO] L = vector faces A02.01 (band 59 (13 in chase) north row; tag C1@1006,1342) / 18 pt/ft; H = 13.052 = 13'-0 5/8" - 0'-0"</t>
  </si>
  <si>
    <t xml:space="preserve">W-63 C1 - Restroom wet wall - Men's RR 113 side furring. one side: 1 layer 5/8" GWB to underside of structure (6/A12.01); other side furred/chase</t>
  </si>
  <si>
    <t xml:space="preserve">[DERIVADO] L = vector faces A02.01 (band 59 (13 in chase) south row; tag C1@1005,1399) / 18 pt/ft; H = 13.052 = 13'-0 5/8" - 0'-0"</t>
  </si>
  <si>
    <t xml:space="preserve">W-61 C1 - Waiting 104 - media wall furring (keynote 7) on north face of W-01. one side: 1 layer 5/8" GWB to underside of structure (6/A12.01); other side furred/chase</t>
  </si>
  <si>
    <t xml:space="preserve">A02.01 -&gt; 6/A12.01 (C1: 3 5/8" stud + 5/8" GWB one face) -&gt; A08.01 (restroom notes E,F) -&gt; S2.20 | zone HI (S2.20 B.O.D. 15'-4 1/2")</t>
  </si>
  <si>
    <t xml:space="preserve">[DERIVADO] L = vector faces A02.01 (band 29; tag C1@1305,943) / 18 pt/ft; H = 15.375 = 15'-4 1/2" - 0'-0"</t>
  </si>
  <si>
    <t xml:space="preserve">W-64 C1 - FCAM side furring at Cash Window south. one side: 1 layer 5/8" GWB to underside of structure (6/A12.01); other side furred/chase</t>
  </si>
  <si>
    <t xml:space="preserve">[DERIVADO] L = vector faces A02.01 (band 57,58; tag C1@1722,1373) / 18 pt/ft; H = 13.052 = 13'-0 5/8" - 0'-0"</t>
  </si>
  <si>
    <t xml:space="preserve">TYPE / SCOPE: F</t>
  </si>
  <si>
    <t xml:space="preserve">W-71 F - 24 HR Vestibule 101 / ATM Room 102 - diagonal (60 deg). lobby side (101): 3/4" FRT plywood to deck + 5/8" GWB to ceiling+6" | ATM side (102): 5/8" GWB to ceiling+6" (12/A12.01)</t>
  </si>
  <si>
    <t xml:space="preserve">A02.01 -&gt; 12/A12.01 (F: 3 5/8" @16", 3/4" FRT plywood public side to deck) -&gt; A08.11 (ATM) -&gt; S2.20 | zone HI (S2.20 B.O.D. 15'-4 1/2")</t>
  </si>
  <si>
    <t xml:space="preserve">[DERIVADO] L = vector faces A02.01 (lw1.2 diagonal faces (841.44,553.8)-(1113.6,710.88); tag F@1074,671) / 18 pt/ft; H = 15.375 = 15'-4 1/2" - 0'-0"</t>
  </si>
  <si>
    <t xml:space="preserve">TYPE / SCOPE: G</t>
  </si>
  <si>
    <t xml:space="preserve">W-81 G - Office 2 106 / Office 3 107. each side: 2 layers 5/8" GWB to underside of structure (5/A12.01)</t>
  </si>
  <si>
    <t xml:space="preserve">A02.01 -&gt; 5/A12.01 (G: double 1 5/8" stud + Soundguard isolator, 2 layers each face) -&gt; S2.20 | zone HI (S2.20 B.O.D. 15'-4 1/2")</t>
  </si>
  <si>
    <t xml:space="preserve">[DERIVADO] L = vector faces A02.01 (band 19; tag G@1713,742) / 18 pt/ft; H = 15.375 = 15'-4 1/2" - 0'-0"</t>
  </si>
  <si>
    <t xml:space="preserve">W-82 G - Office 3 107 / Office 4 108. each side: 2 layers 5/8" GWB to underside of structure (5/A12.01)</t>
  </si>
  <si>
    <t xml:space="preserve">[DERIVADO] L = vector faces A02.01 (band 28; tag G@1716,936) / 18 pt/ft; H = 15.375 = 15'-4 1/2" - 0'-0"</t>
  </si>
  <si>
    <t xml:space="preserve">W-84 G - ATM Room 102 / Office 5 109. each side: 2 layers 5/8" GWB to underside of structure (5/A12.01)</t>
  </si>
  <si>
    <t xml:space="preserve">[DERIVADO] L = vector faces A02.01 (band 23; tag G@1052,818) / 18 pt/ft; H = 15.375 = 15'-4 1/2" - 0'-0"</t>
  </si>
  <si>
    <t xml:space="preserve">W-85 G - Office 5 109 / Office 6 110. each side: 2 layers 5/8" GWB to underside of structure (5/A12.01)</t>
  </si>
  <si>
    <t xml:space="preserve">[DERIVADO] L = vector faces A02.01 (band 35; tag G@1054,1049) / 18 pt/ft; H = 15.375 = 15'-4 1/2" - 0'-0"</t>
  </si>
  <si>
    <t xml:space="preserve">W-86 G - Office 6 110 / Women's RR 114. each side: 2 layers 5/8" GWB to underside of structure (5/A12.01)</t>
  </si>
  <si>
    <t xml:space="preserve">[DERIVADO] L = vector faces A02.01 (band 44; tag G@1011,1211) / 18 pt/ft; H = 15.375 = 15'-4 1/2" - 0'-0"</t>
  </si>
  <si>
    <t xml:space="preserve">W-83 G - Office 4 108 / Cash Window 116. each side: 2 layers 5/8" GWB to underside of structure (5/A12.01)</t>
  </si>
  <si>
    <t xml:space="preserve">[DERIVADO] L = vector faces A02.01 (band 39,40,42; tag G@1767,1128) / 18 pt/ft; H = 15.375 = 15'-4 1/2" - 0'-0"</t>
  </si>
  <si>
    <t xml:space="preserve">W-88 G - Office 2 106 front - solid stub. each side: 2 layers 5/8" GWB to underside of structure (5/A12.01)</t>
  </si>
  <si>
    <t xml:space="preserve">[DERIVADO] L = vector faces A02.01 (band 133; tag G@1602,546) / 18 pt/ft; H = 15.375 = 15'-4 1/2" - 0'-0"</t>
  </si>
  <si>
    <t xml:space="preserve">W-87 G - Office 1 105 front - solid stub. each side: 2 layers 5/8" GWB to underside of structure (5/A12.01)</t>
  </si>
  <si>
    <t xml:space="preserve">[DERIVADO] L = vector faces A02.01 (band 131) / 18 pt/ft; H = 15.375 = 15'-4 1/2" - 0'-0"</t>
  </si>
  <si>
    <t xml:space="preserve">W-89 G - Office 3 107 front - solid stub. each side: 2 layers 5/8" GWB to underside of structure (5/A12.01)</t>
  </si>
  <si>
    <t xml:space="preserve">[DERIVADO] L = vector faces A02.01 (band 135; tag G@1605,748) / 18 pt/ft; H = 15.375 = 15'-4 1/2" - 0'-0"</t>
  </si>
  <si>
    <t xml:space="preserve">W-90 G - Office 4 108 front - solid stub. each side: 2 layers 5/8" GWB to underside of structure (5/A12.01)</t>
  </si>
  <si>
    <t xml:space="preserve">[DERIVADO] L = vector faces A02.01 (band 137; tag G@1602,940) / 18 pt/ft; H = 15.375 = 15'-4 1/2" - 0'-0"</t>
  </si>
  <si>
    <t xml:space="preserve">TYPE / SCOPE: G1</t>
  </si>
  <si>
    <t xml:space="preserve">W-95 G1 - Office 1 105 / Office 2 106. each side: 2 layers 5/8" GWB to underside of structure (5/A12.01)</t>
  </si>
  <si>
    <t xml:space="preserve">A02.01 -&gt; 5/A12.01 (G1: 8" overall) -&gt; S2.20 | zone HI (S2.20 B.O.D. 15'-4 1/2")</t>
  </si>
  <si>
    <t xml:space="preserve">[DERIVADO] L = vector faces A02.01 (band 15; tag G1@1714,548) / 18 pt/ft; H = 15.375 = 15'-4 1/2" - 0'-0"</t>
  </si>
  <si>
    <t xml:space="preserve">W-96 G1 - Office 5 109 front - solid stub. each side: 2 layers 5/8" GWB to underside of structure (5/A12.01)</t>
  </si>
  <si>
    <t xml:space="preserve">[DERIVADO] L = vector faces A02.01 (band 100; tag G1@1149,1007) / 18 pt/ft; H = 15.375 = 15'-4 1/2" - 0'-0"</t>
  </si>
  <si>
    <t xml:space="preserve">W-97 G1 - Office 6 110 front - solid stub. each side: 2 layers 5/8" GWB to underside of structure (5/A12.01)</t>
  </si>
  <si>
    <t xml:space="preserve">[DERIVADO] L = vector faces A02.01 (band 102) / 18 pt/ft; H = 15.375 = 15'-4 1/2" - 0'-0"</t>
  </si>
  <si>
    <t xml:space="preserve">TYPE / SCOPE: door header</t>
  </si>
  <si>
    <t xml:space="preserve">Door 102 header (3.5' x 8.0'), B2 host - head track + cripples above door; in W-31</t>
  </si>
  <si>
    <t xml:space="preserve">A02.01 -&gt; A00.30 DOOR SCHEDULE row 102 (HEAD 10/A12.02, JAMB 11/A12.02) -&gt; S5.20 HEADER SCHEDULE (head track; DBL JAMB) -&gt; 1/A12.01</t>
  </si>
  <si>
    <t xml:space="preserve">[DERIVADO] width/height = A00.30 row 102; cripples = ceil(3.5x12/16)=3 x (H - 8.0); H = stud height of host zone</t>
  </si>
  <si>
    <t xml:space="preserve">Door 111 header (3.0' x 8.0'), A1 host - head track + cripples above door; in W-04</t>
  </si>
  <si>
    <t xml:space="preserve">A02.01 -&gt; A00.30 DOOR SCHEDULE row 111 (HEAD 10/A12.02, JAMB 11/A12.02) -&gt; S5.20 HEADER SCHEDULE (head track; DBL JAMB) -&gt; 3/A12.01</t>
  </si>
  <si>
    <t xml:space="preserve">[DERIVADO] width/height = A00.30 row 111; cripples = ceil(3.0x12/16)=3 x (H - 8.0); H = stud height of host zone</t>
  </si>
  <si>
    <t xml:space="preserve">Door 112 header (3.0' x 7.0'), B host - head track + cripples above door; in W-26</t>
  </si>
  <si>
    <t xml:space="preserve">A02.01 -&gt; A00.30 DOOR SCHEDULE row 112 (HEAD 10/A12.02, JAMB 11/A12.02) -&gt; S5.20 HEADER SCHEDULE (head track; DBL JAMB) -&gt; 1/A12.01</t>
  </si>
  <si>
    <t xml:space="preserve">[DERIVADO] width/height = A00.30 row 112; cripples = ceil(3.0x12/16)=3 x (H - 7.0); H = stud height of host zone</t>
  </si>
  <si>
    <t xml:space="preserve">Door 115 header (3.0' x 7.0'), B2 host - head track + cripples above door; in W-35</t>
  </si>
  <si>
    <t xml:space="preserve">A02.01 -&gt; A00.30 DOOR SCHEDULE row 115 (HEAD 10/A12.02, JAMB 11/A12.02) -&gt; S5.20 HEADER SCHEDULE (head track; DBL JAMB) -&gt; 1/A12.01</t>
  </si>
  <si>
    <t xml:space="preserve">[DERIVADO] width/height = A00.30 row 115; cripples = ceil(3.0x12/16)=3 x (H - 7.0); H = stud height of host zone</t>
  </si>
  <si>
    <t xml:space="preserve">Door 118A header (3.0' x 8.0'), A1 host - head track + cripples above door; in W-07</t>
  </si>
  <si>
    <t xml:space="preserve">A02.01 -&gt; A00.30 DOOR SCHEDULE row 118A (HEAD 10/A12.02, JAMB 11/A12.02) -&gt; S5.20 HEADER SCHEDULE (head track; DBL JAMB) -&gt; 3/A12.01</t>
  </si>
  <si>
    <t xml:space="preserve">[DERIVADO] width/height = A00.30 row 118A; cripples = ceil(3.0x12/16)=3 x (H - 8.0); H = stud height of host zone</t>
  </si>
  <si>
    <t xml:space="preserve">Door 120 header (3.0' x 7.0'), B host - head track + cripples above door; in W-23</t>
  </si>
  <si>
    <t xml:space="preserve">A02.01 -&gt; A00.30 DOOR SCHEDULE row 120 (HEAD 10/A12.02, JAMB 11/A12.02) -&gt; S5.20 HEADER SCHEDULE (head track; DBL JAMB) -&gt; 1/A12.01</t>
  </si>
  <si>
    <t xml:space="preserve">[DERIVADO] width/height = A00.30 row 120; cripples = ceil(3.0x12/16)=3 x (H - 7.0); H = stud height of host zone</t>
  </si>
  <si>
    <t xml:space="preserve">Door 121 header (3.0' x 7.0'), B host - head track + cripples above door; in W-23</t>
  </si>
  <si>
    <t xml:space="preserve">A02.01 -&gt; A00.30 DOOR SCHEDULE row 121 (HEAD 10/A12.02, JAMB 11/A12.02) -&gt; S5.20 HEADER SCHEDULE (head track; DBL JAMB) -&gt; 1/A12.01</t>
  </si>
  <si>
    <t xml:space="preserve">[DERIVADO] width/height = A00.30 row 121; cripples = ceil(3.0x12/16)=3 x (H - 7.0); H = stud height of host zone</t>
  </si>
  <si>
    <t xml:space="preserve">Door 113 header (3.0' x 7.0'), B2 host - head track + cripples above door + jamb studs + board above door both faces; gap between W-33 and W-34 (y1441.7-1501.7) - full-height B2 above door</t>
  </si>
  <si>
    <t xml:space="preserve">A02.01 -&gt; A00.30 DOOR SCHEDULE row 113 (HEAD 10/A12.02, JAMB 11/A12.02) -&gt; S5.20 HEADER SCHEDULE (head track; DBL JAMB) -&gt; 1/A12.01</t>
  </si>
  <si>
    <t xml:space="preserve">[DERIVADO] width/height = A00.30 row 113; cripples = ceil(3.0x12/16)=3 x (H - 7.0); H = stud height of host zone</t>
  </si>
  <si>
    <t xml:space="preserve">Door 114 header (3.0' x 7.0'), B2 host - head track + cripples above door + jamb studs + board above door both faces; gap north of W-32 (y1236.4-1303.2) - full-height B2 above door</t>
  </si>
  <si>
    <t xml:space="preserve">A02.01 -&gt; A00.30 DOOR SCHEDULE row 114 (HEAD 10/A12.02, JAMB 11/A12.02) -&gt; S5.20 HEADER SCHEDULE (head track; DBL JAMB) -&gt; 1/A12.01</t>
  </si>
  <si>
    <t xml:space="preserve">[DERIVADO] width/height = A00.30 row 114; cripples = ceil(3.0x12/16)=3 x (H - 7.0); H = stud height of host zone</t>
  </si>
  <si>
    <t xml:space="preserve">Door 117 header (3.0' x 7.0'), B2 host - head track + cripples above door + jamb studs + board above door both faces; gap between W-34 and W-35 (y1517.5-1586.2) - full-height B2 above door</t>
  </si>
  <si>
    <t xml:space="preserve">A02.01 -&gt; A00.30 DOOR SCHEDULE row 117 (HEAD 10/A12.02, JAMB 11/A12.02) -&gt; S5.20 HEADER SCHEDULE (head track; DBL JAMB) -&gt; 1/A12.01</t>
  </si>
  <si>
    <t xml:space="preserve">[DERIVADO] width/height = A00.30 row 117; cripples = ceil(3.0x12/16)=3 x (H - 7.0); H = stud height of host zone</t>
  </si>
  <si>
    <t xml:space="preserve">Door 116 header (3.0' x 7.0'), B2 host - head track + cripples above door + jamb studs + board above door both faces; dies between W-14 (A5) and W-36 (B2): charged complete to B2 (full height); W-14 excludes it</t>
  </si>
  <si>
    <t xml:space="preserve">A02.01 -&gt; A00.30 DOOR SCHEDULE row 116 (HEAD 10/A12.02, JAMB 11/A12.02) -&gt; S5.20 HEADER SCHEDULE (head track; DBL JAMB) -&gt; 1/A12.01</t>
  </si>
  <si>
    <t xml:space="preserve">[DERIVADO] width/height = A00.30 row 116; cripples = ceil(3.0x12/16)=3 x (H - 7.0); H = stud height of host zone</t>
  </si>
  <si>
    <t xml:space="preserve">Door 119 header (3.0' x 7.0'), A1 host - head track + cripples above door + jamb studs + board above door both faces; gap between W-09 and east exterior wall (x1780.1-1843.1)</t>
  </si>
  <si>
    <t xml:space="preserve">A02.01 -&gt; A00.30 DOOR SCHEDULE row 119 (HEAD 10/A12.02, JAMB 11/A12.02) -&gt; S5.20 HEADER SCHEDULE (head track; DBL JAMB) -&gt; 3/A12.01</t>
  </si>
  <si>
    <t xml:space="preserve">[DERIVADO] width/height = A00.30 row 119; cripples = ceil(3.0x12/16)=3 x (H - 7.0); H = stud height of host zone</t>
  </si>
  <si>
    <t xml:space="preserve">Door 122 header (3.0' x 7.0'), A5 host - head track + cripples above door + jamb studs + board above door both faces; gap between W-12 and W-05 junction (y1253.8-1313.8)</t>
  </si>
  <si>
    <t xml:space="preserve">A02.01 -&gt; A00.30 DOOR SCHEDULE row 122 (HEAD 10/A12.02, JAMB 11/A12.02) -&gt; S5.20 HEADER SCHEDULE (head track; DBL JAMB) -&gt; 3/A12.01</t>
  </si>
  <si>
    <t xml:space="preserve">[DERIVADO] width/height = A00.30 row 122; cripples = ceil(3.0x12/16)=3 x (H - 7.0); H = stud height of host zone</t>
  </si>
  <si>
    <t xml:space="preserve">Door 118B header (3.0' x 7.0'), A1 host - head track + cripples above door + jamb studs + board above door both faces; gap between W-05 junction and W-06 (y1326.4-1386.4)</t>
  </si>
  <si>
    <t xml:space="preserve">A02.01 -&gt; A00.30 DOOR SCHEDULE row 118B (HEAD 10/A12.02, JAMB 11/A12.02) -&gt; S5.20 HEADER SCHEDULE (head track; DBL JAMB) -&gt; 3/A12.01</t>
  </si>
  <si>
    <t xml:space="preserve">[DERIVADO] width/height = A00.30 row 118B; cripples = ceil(3.0x12/16)=3 x (H - 7.0); H = stud height of host zone</t>
  </si>
  <si>
    <t xml:space="preserve">TYPE / SCOPE: G (bulkhead)</t>
  </si>
  <si>
    <t xml:space="preserve">Office front bulkhead over DFC-1A (vendor, Div 08) - Office 1 105: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</si>
  <si>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A02.01 (office front 7'-6" HOLD) -&gt; 8/A12.01 OFFICE BULKHEAD @ DOOR -&gt; 9/A12.01 @ GLASS PANEL -&gt; 10/A12.01 OFFICE JAMB -&gt; A11.04 (office front to ceiling) -&gt; A04.01 (ACT-4 9'-0") -&gt; S2.20</t>
  </si>
  <si>
    <t xml:space="preserve">[DERIVADO] L = office front opening (381.0-516.0 pt)/18 = 7.5; band = 15.375 - 9.0</t>
  </si>
  <si>
    <t xml:space="preserve">Office front bulkhead over DFC-1A (vendor, Div 08) - Office 2 106: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</si>
  <si>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[DERIVADO] L = office front opening (578.4-713.4 pt)/18 = 7.5; band = 15.375 - 9.0</t>
  </si>
  <si>
    <t xml:space="preserve">Office front bulkhead over DFC-1A (vendor, Div 08) - Office 3 107: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</si>
  <si>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[DERIVADO] L = office front opening (772.0-907.0 pt)/18 = 7.5; band = 15.375 - 9.0</t>
  </si>
  <si>
    <t xml:space="preserve">Office front bulkhead over DFC-1A (vendor, Div 08) - Office 4 108: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</si>
  <si>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[DERIVADO] L = office front opening (965.5-1100.5 pt)/18 = 7.5; band = 15.375 - 9.0</t>
  </si>
  <si>
    <t xml:space="preserve">Office front bulkhead over DFC-1A (vendor, Div 08) - Office 5 109: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</si>
  <si>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[DERIVADO] L = office front opening (846.0-981.0 pt)/18 = 7.5; band = 15.375 - 9.0</t>
  </si>
  <si>
    <t xml:space="preserve">Office front bulkhead over DFC-1A (vendor, Div 08) - Office 6 110: double row 1 5/8" stud + Soundguard isolator, CONT. BOX BEAM, 3/4" FRT plywood blocking, 2 layers 5/8" GWB each face to underside of deck, corner bead, shadow molding both faces. Band = deck 15.375 - office front top 9.0 (= office ceiling A04.01) = 6.375 ft each face</t>
  </si>
  <si>
    <t xml:space="preserve">[DERIVADO] L = office front opening (1044.0-1179.0 pt)/18 = 7.5; band = 15.375 - 9.0</t>
  </si>
  <si>
    <t xml:space="preserve">TYPE / SCOPE: bulkhead</t>
  </si>
  <si>
    <t xml:space="preserve">Bulkhead over interior all-glass doors/sidelites 101 between Vestibule 100 and 24 HR Vestibule 101: metal stud framing &amp; box header, 5/8" GWB both faces + bottom, FRT blocking, corner bead. Band = GB ceiling 10'-0" - door 8'-4" = 1.667 ft</t>
  </si>
  <si>
    <t xml:space="preserve">A02.01 (doors 101, glazing line y~461) -&gt; A00.30 row 101 (E, 8'-4", 04/A12.10) -&gt; 4,5,6,7/A12.10 (METAL STUD FRAMING &amp; BOX HEADER AS NEEDED) -&gt; A04.01 (100/101 GB 10'-0")</t>
  </si>
  <si>
    <t xml:space="preserve">[DERIVADO] L = (1123.1 - 841.6)/18 = 15.64; band = 10.0 - 8.333</t>
  </si>
  <si>
    <t xml:space="preserve">Coiling grille 103 head: 1'-6" bulkhead (2 1/2" CFMF @16", (2) 6" CFMF box beam header, 5/8" GWB both faces + bottom, corner bead) under 10'-0" ceiling + 6" metal framing above ceiling to deck with 3/4" FRT plywood (vestibule side) and 5/8" GWB (central zone side)</t>
  </si>
  <si>
    <t xml:space="preserve">A02.01 (door 103, 13'-4" R.O.) -&gt; A00.30 row 103 (A08.21) -&gt; 4/A08.21 HEAD DETAIL -&gt; 3/A08.21 JAMB -&gt; 2/A08.21 ELEVATION -&gt; A04.01 (101 GB 10'-0") -&gt; S2.20</t>
  </si>
  <si>
    <t xml:space="preserve">[DERIVADO] L = R.O. 14'-3" (1/A08.21); bulkhead 1'-6" [CONFIRMADO 4/A08.21]; above-ceiling band = 15.375 - 10.0 = 5.375</t>
  </si>
  <si>
    <t xml:space="preserve">TYPE / SCOPE: soffit</t>
  </si>
  <si>
    <t xml:space="preserve">Cash Window 116 CSR soffit, GB 8'-0" over teller line (3'-5" wide x 12'-0 1/4"), 1'-0" drop below ACT-4 9'-0" both sides: 3 5/8" metal studs @16", kickers to structure @48", 5/8" FRT plywood blocking, 5/8" GWB bottom + faces + ends, corner bead, paint P-18</t>
  </si>
  <si>
    <t xml:space="preserve">A04.01 (116 GB 8'-0") -&gt; A12.08 CSR LINE (3'-5", 12'-0 1/4" R.O. HOLD) -&gt; 10/A09.33 CEILING DETAIL @ CSR SOFFIT -&gt; 8/A09.33 TYPICAL BULKHEAD -&gt; S2.20</t>
  </si>
  <si>
    <t xml:space="preserve">[DERIVADO] L = 12.01 (RCP lines y1128.5-1344.7) = 12'-0 1/4" printed A12.08; width 3.41 = 3'-5" printed; drop 1.0 = 9'-0" - 8'-0"</t>
  </si>
  <si>
    <t xml:space="preserve">TYPE / SCOPE: EXT 6" CFMF</t>
  </si>
  <si>
    <t xml:space="preserve">EXT-S 6" CFMF exterior wall - SOUTH (plan) - grid A, LOW zone: South wall x894.5-1852.9 (door 123). Interior side: 5/8" GWB @ perimeter exterior wall to deck (to 13.052 ft) | exterior side: 5/8" FRT plywood bonded to 2 1/2" polyiso (sheathing/insulation system) full height; parapet 4.365 ft above deck: back side 5/8" exterior gypsum sheathing</t>
  </si>
  <si>
    <t xml:space="preserve">A02.01 -&gt; F/A09.22 T/STUD LP 17'-5"; 4/A09.25 DOOR JAMB; 13,14/A09.27 -&gt; S5.20 METAL STUD PROPERTIES (600S137-33 @16", bottom 600T125-33, top 600T200-97; 1 1/2" C.R. CHANNEL @48") -&gt; 4/A09.26 PARAPET -&gt; S2.20 (B.O.D.)</t>
  </si>
  <si>
    <t xml:space="preserve">[DERIVADO] L = A02.01 vector y1693.4/1710.8 /18 pt/ft; T/STUD 17.417 = 17'-5" (A09.21); deck 13.052</t>
  </si>
  <si>
    <t xml:space="preserve">EXT-E1 6" CFMF exterior wall - EAST (plan) - grid 8, HI zone: East wall y327.5-1244.4 (Offices 105-108, Cash Window). Interior side: 5/8" GWB @ perimeter exterior wall to deck (to 15.375 ft) | exterior side: 5/8" FRT plywood bonded to 2 1/2" polyiso (sheathing/insulation system) full height; parapet 2.042 ft above deck: back side 5/8" exterior gypsum sheathing</t>
  </si>
  <si>
    <t xml:space="preserve">A02.01 -&gt; D/A09.22 T/STUD LP 17'-5", B/GLAZING 6'-6", T/GLAZING 8'-6"; 3/A09.25 WINDOW JAMB -&gt; S5.20 METAL STUD PROPERTIES (600S137-33 @16", bottom 600T125-33, top 600T200-97; 1 1/2" C.R. CHANNEL @48") -&gt; 4/A09.26 PARAPET -&gt; S2.20 (B.O.D.)</t>
  </si>
  <si>
    <t xml:space="preserve">[DERIVADO] L = A02.01 vector x1843.1/1852.9 /18 pt/ft; T/STUD 17.417 = 17'-5" (A09.21); deck 15.375</t>
  </si>
  <si>
    <t xml:space="preserve">EXT-N2 6" CFMF exterior wall - NORTH (plan) - grid F: Wall above north storefront (26'-3", x1143.2-1615.6): T/GLAZING 8'-6" to T/STUD. Interior side: 5/8" GWB @ perimeter exterior wall to deck (to 15.375 ft) | exterior side: 5/8" FRT plywood bonded to 2 1/2" polyiso (sheathing/insulation system) full height; parapet 2.042 ft above deck: back side 5/8" exterior gypsum sheathing</t>
  </si>
  <si>
    <t xml:space="preserve">A02.01 -&gt; A/A09.21 T/GLAZING 8'-6"; 2/A09.26 STOREFRONT HEAD -&gt; S5.20 METAL STUD PROPERTIES (600S137-33 @16", bottom 600T125-33, top 600T200-97; 1 1/2" C.R. CHANNEL @48") -&gt; 4/A09.26 PARAPET -&gt; S2.20 (B.O.D.)</t>
  </si>
  <si>
    <t xml:space="preserve">[DERIVADO] L = A02.01 26'-3" printed; RCP line y320 x1143.2-1615.6 /18 pt/ft; T/STUD 17.417 = 17'-5" (A09.21); deck 15.375</t>
  </si>
  <si>
    <t xml:space="preserve">EXT-W2 6" CFMF exterior wall - WEST (plan) - grid 2, LOW zone: West wall y1244.4-1710.8 (Restrooms, Janitor, Wellness). Interior side: 5/8" GWB @ perimeter exterior wall to deck (to 13.052 ft) | exterior side: 5/8" FRT plywood bonded to 2 1/2" polyiso (sheathing/insulation system) full height; parapet 4.365 ft above deck: back side 5/8" exterior gypsum sheathing</t>
  </si>
  <si>
    <t xml:space="preserve">A02.01 -&gt; H/A09.23 -&gt; S5.20 METAL STUD PROPERTIES (600S137-33 @16", bottom 600T125-33, top 600T200-97; 1 1/2" C.R. CHANNEL @48") -&gt; 4/A09.26 PARAPET -&gt; S2.20 (B.O.D.)</t>
  </si>
  <si>
    <t xml:space="preserve">[DERIVADO] L = A02.01 vector x894.5/911.9 /18 pt/ft; T/STUD 17.417 = 17'-5" (A09.21); deck 13.052</t>
  </si>
  <si>
    <t xml:space="preserve">EXT-E2 6" CFMF exterior wall - EAST (plan) - grid 8, LOW zone: East wall y1244.4-1703.4 (Cash Window, Work Room 119). Interior side: 5/8" GWB @ perimeter exterior wall to deck (to 13.052 ft) | exterior side: 5/8" FRT plywood bonded to 2 1/2" polyiso (sheathing/insulation system) full height; parapet 4.365 ft above deck: back side 5/8" exterior gypsum sheathing</t>
  </si>
  <si>
    <t xml:space="preserve">A02.01 -&gt; D/A09.22 -&gt; S5.20 METAL STUD PROPERTIES (600S137-33 @16", bottom 600T125-33, top 600T200-97; 1 1/2" C.R. CHANNEL @48") -&gt; 4/A09.26 PARAPET -&gt; S2.20 (B.O.D.)</t>
  </si>
  <si>
    <t xml:space="preserve">[DERIVADO] L = A02.01 vector x1843.1/1852.9 /18 pt/ft; T/STUD 17.417 = 17'-5" (A09.21); deck 13.052</t>
  </si>
  <si>
    <t xml:space="preserve">EXT-W1 6" CFMF exterior wall - WEST (plan) - grid 2, HI zone: West wall y840.7-1244.4 (Offices 109-110). Interior side: 5/8" GWB @ perimeter exterior wall to deck (to 15.375 ft) | exterior side: 5/8" FRT plywood bonded to 2 1/2" polyiso (sheathing/insulation system) full height; parapet 2.042 ft above deck: back side 5/8" exterior gypsum sheathing</t>
  </si>
  <si>
    <t xml:space="preserve">A02.01 -&gt; H/A09.23 T.O. PARAPET 1 17'-9" -&gt; T/STUD 17'-5"; 3/A09.25 -&gt; S5.20 METAL STUD PROPERTIES (600S137-33 @16", bottom 600T125-33, top 600T200-97; 1 1/2" C.R. CHANNEL @48") -&gt; 4/A09.26 PARAPET -&gt; S2.20 (B.O.D.)</t>
  </si>
  <si>
    <t xml:space="preserve">[DERIVADO] L = A02.01 vector x894.5/911.9 /18 pt/ft; T/STUD 17.417 = 17'-5" (A09.21); deck 15.375</t>
  </si>
  <si>
    <t xml:space="preserve">EXT-W4 6" CFMF exterior wall - WEST (plan) - grid 3, HP block: West wall 24 HR Vestibule 101 + ATM Room 102 (y454.4-848.4) incl. Day 1 ATM. Interior side: 5/8" GWB @ perimeter exterior wall to deck (to 15.375 ft) | exterior side: 5/8" FRT plywood bonded to 2 1/2" polyiso (sheathing/insulation system) full height; parapet 4.292 ft above deck: back side 5/8" exterior gypsum sheathing</t>
  </si>
  <si>
    <t xml:space="preserve">A02.01 -&gt; J/A09.23 T.O. PARAPET 2 20'-0"; A08.11 ATM -&gt; S5.20 METAL STUD PROPERTIES (600S137-33 @16", bottom 600T125-33, top 600T200-97; 1 1/2" C.R. CHANNEL @48") -&gt; 4/A09.26 PARAPET -&gt; S2.20 (B.O.D.)</t>
  </si>
  <si>
    <t xml:space="preserve">[DERIVADO] L = RCP line x824.8 y454.4-848.4 /18 pt/ft; T/STUD 19.667 = 19'-8" (A09.21); deck 15.375</t>
  </si>
  <si>
    <t xml:space="preserve">EXT-N3 6" CFMF exterior wall - NORTH (plan) - grid G: Wall above vestibule 100 storefront (x824.8-1143.1): T/GLAZING 8'-6" to T/STUD HP. Interior side: 5/8" GWB @ perimeter exterior wall to deck (to 15.375 ft) | exterior side: 5/8" FRT plywood bonded to 2 1/2" polyiso (sheathing/insulation system) full height; parapet 4.292 ft above deck: back side 5/8" exterior gypsum sheathing</t>
  </si>
  <si>
    <t xml:space="preserve">A02.01 -&gt; A/A09.21 + B/A09.21 T/STUD HP 19'-8"; 1/A09.26 ENTRANCE DOOR -&gt; S5.20 METAL STUD PROPERTIES (600S137-33 @16", bottom 600T125-33, top 600T200-97; 1 1/2" C.R. CHANNEL @48") -&gt; 4/A09.26 PARAPET -&gt; S2.20 (B.O.D.)</t>
  </si>
  <si>
    <t xml:space="preserve">[DERIVADO] L = RCP line y301.9 x824.8-1143.1 /18 pt/ft; T/STUD 19.667 = 19'-8" (A09.21); deck 15.375</t>
  </si>
  <si>
    <t xml:space="preserve">EXT-N1 6" CFMF exterior wall - NORTH (plan) - grid F: North wall at Offices 105 (x1615.6-1852.9). Interior side: 5/8" GWB @ perimeter exterior wall to deck (to 15.375 ft) | exterior side: 5/8" FRT plywood bonded to 2 1/2" polyiso (sheathing/insulation system) full height; parapet 2.042 ft above deck: back side 5/8" exterior gypsum sheathing</t>
  </si>
  <si>
    <t xml:space="preserve">A02.01 -&gt; C/A09.21 T/STUD LP 17'-5" -&gt; S5.20 METAL STUD PROPERTIES (600S137-33 @16", bottom 600T125-33, top 600T200-97; 1 1/2" C.R. CHANNEL @48") -&gt; 4/A09.26 PARAPET -&gt; S2.20 (B.O.D.)</t>
  </si>
  <si>
    <t xml:space="preserve">[DERIVADO] L = A02.01 vector y327.5/337.4 x1615.6-1852.9 /18 pt/ft; T/STUD 17.417 = 17'-5" (A09.21); deck 15.375</t>
  </si>
  <si>
    <t xml:space="preserve">EXT-W5 6" CFMF exterior wall - WEST (plan) - grid 3, HP block: Wall above vestibule 100 west storefront (y301.9-454.4). Interior side: 5/8" GWB @ perimeter exterior wall to deck (to 15.375 ft) | exterior side: 5/8" FRT plywood bonded to 2 1/2" polyiso (sheathing/insulation system) full height; parapet 4.292 ft above deck: back side 5/8" exterior gypsum sheathing</t>
  </si>
  <si>
    <t xml:space="preserve">A02.01 -&gt; 1/A09.25 STOREFRONT PIER -&gt; S5.20 METAL STUD PROPERTIES (600S137-33 @16", bottom 600T125-33, top 600T200-97; 1 1/2" C.R. CHANNEL @48") -&gt; 4/A09.26 PARAPET -&gt; S2.20 (B.O.D.)</t>
  </si>
  <si>
    <t xml:space="preserve">[DERIVADO] L = RCP line x832.4 from y454.4 /18 pt/ft; T/STUD 19.667 = 19'-8" (A09.21); deck 15.375</t>
  </si>
  <si>
    <t xml:space="preserve">EXT-W3 6" CFMF exterior wall - WEST (plan) - grid 3 step: West step wall y840 (x824.8-894.5). Interior side: 5/8" GWB @ perimeter exterior wall to deck (to 15.375 ft) | exterior side: 5/8" FRT plywood bonded to 2 1/2" polyiso (sheathing/insulation system) full height; parapet 2.042 ft above deck: back side 5/8" exterior gypsum sheathing</t>
  </si>
  <si>
    <t xml:space="preserve">A02.01 -&gt; J/A09.23 -&gt; S5.20 METAL STUD PROPERTIES (600S137-33 @16", bottom 600T125-33, top 600T200-97; 1 1/2" C.R. CHANNEL @48") -&gt; 4/A09.26 PARAPET -&gt; S2.20 (B.O.D.)</t>
  </si>
  <si>
    <t xml:space="preserve">[DERIVADO] L = RCP line y848.4 x824.8-894.5 /18 pt/ft; T/STUD 17.417 = 17'-5" (A09.21); deck 15.375</t>
  </si>
  <si>
    <t xml:space="preserve">TYPE / SCOPE: parapet</t>
  </si>
  <si>
    <t xml:space="preserve">PAR-HP1 6" CFMF parapet return of high block above main roof: HP block east return (x~1141, y301.9-848.4); 19.667 - 15.375 = 4.29 ft; exterior gypsum sheathing roof side + FRT plywood/polyiso ACM side</t>
  </si>
  <si>
    <t xml:space="preserve">A09.01 WEST ELEVATION + A09.02 NORTH ELEVATION (EPS-3 BEYOND, T.O. PARAPET 2 20'-0") -&gt; J/A09.23 -&gt; 4/A09.26 PARAPET -&gt; S5.20</t>
  </si>
  <si>
    <t xml:space="preserve">[DERIVADO] L = vector line of HP block on A02.01/A04.01; H = 19.667 - 15.375 = 4.292 [RFI-06 confirm HP block extent]</t>
  </si>
  <si>
    <t xml:space="preserve">PAR-HP2 6" CFMF parapet return of high block above main roof: HP block south return (y~848, x824.8-1141); 19.667 - 15.375 = 4.29 ft; exterior gypsum sheathing roof side + FRT plywood/polyiso ACM side</t>
  </si>
  <si>
    <t xml:space="preserve">TYPE / SCOPE: canopy soffit</t>
  </si>
  <si>
    <t xml:space="preserve">Canopy soffit (west drive-up + north/east perimeter canopy), PT-4 5/8" cement plaster (by others) on 5/8" exterior grade FRT plywood sheathing on 3 5/8" metal stud framing @16" O.C. Area = canopy edge polygon (RCP A04.01 lines) - building footprint = 1374.6 SF</t>
  </si>
  <si>
    <t xml:space="preserve">A04.01 (dotted GB/PT-4 canopy area) -&gt; 3/A09.26 ENTRANCE CANOPY -&gt; 7/A09.26 SIDE CANOPY -&gt; 4,5/A09.33 CANOPY LINEAR LIGHT (5/8" EXTERIOR SHEATHING ON 3 5/8" CFMF @16") -&gt; S2.20 (W12x19 CANOPY steel)</t>
  </si>
  <si>
    <t xml:space="preserve">[DERIVADO] shoelace area of 12-vertex polygon on A04.01 (pt/18)^2 = 1374.6 SF</t>
  </si>
  <si>
    <t xml:space="preserve">South canopy over door 123 (x947.6-1361.6, 3.01 ft deep): soffit 69.3 SF + fascia 29.02 LF, same build-up</t>
  </si>
  <si>
    <t xml:space="preserve">A04.01 (south canopy) -&gt; F/A09.22 SECTION F (T/CANOPY 12'-8", B/CANOPY 10'-6") -&gt; 7/A09.26 -&gt; S5.20</t>
  </si>
  <si>
    <t xml:space="preserve">[DERIVADO] 23.0 x 3.01 from A04.01 lines</t>
  </si>
  <si>
    <t xml:space="preserve">TYPE / SCOPE: canopy fascia</t>
  </si>
  <si>
    <t xml:space="preserve">Canopy fascia framing: 3 5/8" metal studs @16" B/STUD 10'-8 5/8" to T/STUD 12'-7" (1.865 ft), composite metal panel (by others) on AWB on 5/8" ext. grade FRT plywood; perimeter 207.57 LF</t>
  </si>
  <si>
    <t xml:space="preserve">A04.01 -&gt; 3/A09.26 -&gt; 7/A09.26 (T/STUD 12'-7", B/STUD 10'-8 5/8") -&gt; S5.20 (362S137-33)</t>
  </si>
  <si>
    <t xml:space="preserve">[DERIVADO] perimeter of canopy edge on A04.01 = 207.57 LF; H = 12.583 - 10.719</t>
  </si>
  <si>
    <t xml:space="preserve">TYPE / SCOPE: column wrap</t>
  </si>
  <si>
    <t xml:space="preserve">Canopy column wraps (4 EA at grid 1): 3 5/8" metal framing, FOS 1'-2 1/2" each side, 5/8" ext. grade FRT plywood, PT-03 stucco by others; slab to B/CANOPY 10'-6"</t>
  </si>
  <si>
    <t xml:space="preserve">A02.01 (4 canopy columns grid 1) -&gt; 5/A09.25 DETAIL @ CANOPY COLUMN (FOS 1'-2 1/2") -&gt; A09.01 WEST ELEVATION (B/CANOPY 10'-6") -&gt; S2.10/S2.20 columns</t>
  </si>
  <si>
    <t xml:space="preserve">[DERIVADO] framing perimeter = 4 x 14.5" = 4.833 ft/col x 4 cols = 19.33 LF; sheathing perimeter = 4 x (14.5"+1.25") = 5.25 ft/col; H = 10'-6" - 0'-0"</t>
  </si>
  <si>
    <t xml:space="preserve">TYPE / SCOPE: C1 pier</t>
  </si>
  <si>
    <t xml:space="preserve">Storefront piers / column enclosures at vestibule (4 EA, tagged C1 on A02.01): 3 5/8" metal framing + 3/4" FRT plywood + 5/8" GWB interior faces, perimeter 21.28 LF to deck</t>
  </si>
  <si>
    <t xml:space="preserve">A02.01 (C1 tags at vestibule columns) -&gt; 1,2/A09.25 DETAIL @ STOREFRONT PIER -&gt; 6/A12.01 (C1) -&gt; S2.20</t>
  </si>
  <si>
    <t xml:space="preserve">[DERIVADO] perimeters from vector boxes: 6.44+6.56+4.00+4.28 = 21.28 LF; H = 15.375 [RFI-05 C1 tag vs pier detail]</t>
  </si>
  <si>
    <t xml:space="preserve">TYPE / SCOPE: GWB ceiling</t>
  </si>
  <si>
    <t xml:space="preserve">GWB ceiling Waiting 104 (GB island) at 11.0 ft A.F.F. (510.9 SF): 5/8" GWB on 7/8" furring channel @16" O.C. on 1 1/2" carrying channel @48" O.C., 12 GA hanger wire @48"x48" (4.375 ft to deck), perimeter track 94.06 LF; free edges N+W+E = 77.03 LF drop 6" to ACT-4 11'-6" (7/A09.33): GWB 38.5 SF + corner bead</t>
  </si>
  <si>
    <t xml:space="preserve">A04.01 (tag GB 11.0') -&gt; A04.01 RCP NOTES A,E -&gt; 3/A09.33 (12 GAUGE HANGER WIRE) -&gt; 7/A09.33 TRANSITION -&gt; S2.20 (deck)</t>
  </si>
  <si>
    <t xml:space="preserve">[DERIVADO] area = 17.03 x 30.00 (RCP lines x1223.9-1530.4, y427.4-967.4; 30'-0" printed); hanger = 15.375 - 11.0</t>
  </si>
  <si>
    <t xml:space="preserve">GWB ceiling 24 HR Vestibule 101 at 10.0 ft A.F.F. (155.5 SF): 5/8" GWB on 7/8" furring channel @16" O.C. on 1 1/2" carrying channel @48" O.C., 12 GA hanger wire @48"x48" (5.375 ft to deck), perimeter track 53.91 LF</t>
  </si>
  <si>
    <t xml:space="preserve">A04.01 (tag GB 10.0') -&gt; A04.01 RCP NOTES A,E -&gt; 3/A09.33 (12 GAUGE HANGER WIRE) -&gt; 7/A09.33 TRANSITION -&gt; S2.20 (deck)</t>
  </si>
  <si>
    <t xml:space="preserve">[DERIVADO] area = polygon x832.4-1125.2 / diagonal F wall; hanger = 15.375 - 10.0</t>
  </si>
  <si>
    <t xml:space="preserve">GWB ceiling Vestibule 100 at 10.0 ft A.F.F. (122.8 SF): 5/8" GWB on 7/8" furring channel @16" O.C. on 1 1/2" carrying channel @48" O.C., 12 GA hanger wire @48"x48" (5.375 ft to deck), perimeter track 48.3 LF</t>
  </si>
  <si>
    <t xml:space="preserve">[DERIVADO] area = 16.27 x 7.86 (x832.4-1125.2, y319.6-461) - column boxes 5.1; hanger = 15.375 - 10.0</t>
  </si>
  <si>
    <t xml:space="preserve">GWB ceiling Women's RR 114 at 8.5 ft A.F.F. (76.2 SF): 5/8" GWB on 7/8" furring channel @16" O.C. on 1 1/2" carrying channel @48" O.C., 12 GA hanger wire @48"x48" (4.552 ft to deck), perimeter track 36.8 LF</t>
  </si>
  <si>
    <t xml:space="preserve">A04.01 (tag GB 8.5') -&gt; A04.01 RCP NOTES A,E -&gt; 3/A09.33 (12 GAUGE HANGER WIRE) -&gt; 7/A09.33 TRANSITION -&gt; S2.20 (deck)</t>
  </si>
  <si>
    <t xml:space="preserve">[DERIVADO] area = 11.73 x 6.67 - fountain alcove 2.0; hanger = 13.052 - 8.5</t>
  </si>
  <si>
    <t xml:space="preserve">GWB ceiling Men's RR 113 at 8.5 ft A.F.F. (76.2 SF): 5/8" GWB on 7/8" furring channel @16" O.C. on 1 1/2" carrying channel @48" O.C., 12 GA hanger wire @48"x48" (4.552 ft to deck), perimeter track 36.8 LF</t>
  </si>
  <si>
    <t xml:space="preserve">TYPE / SCOPE: insulation</t>
  </si>
  <si>
    <t xml:space="preserve">Sound batt insulation above restroom ceilings 113/114 (RCP keynote 11)</t>
  </si>
  <si>
    <t xml:space="preserve">A04.01 keynote 11 INSTALL SOUND BATT INSULATION ABOVE CEILING -&gt; CIE-113/CIE-114</t>
  </si>
  <si>
    <t xml:space="preserve">[DERIVADO] = CIE-113 + CIE-114 areas</t>
  </si>
  <si>
    <t xml:space="preserve">TYPE / SCOPE: FRT blocking</t>
  </si>
  <si>
    <t xml:space="preserve">Wall stop blocking 2'-0" per door at 14 wood doors (102,111-122): 14 x 2.0</t>
  </si>
  <si>
    <t xml:space="preserve">A00.30 DOOR SHEET NOTE D "PROVIDE BLOCKING AT EACH WALL STOP" -&gt; HARDWARE GROUP 08 (1 EA WALL STOP) [RFI-09 confirm per group]</t>
  </si>
  <si>
    <t xml:space="preserve">[DERIVADO] piece-by-piece list in description</t>
  </si>
  <si>
    <t xml:space="preserve">Restroom accessories (x2 rooms): grab bars 42"(4.0)+36"(3.5)+18"(2.0), mirror 2x2.0, soap 1.5, TP 1.5, dryer 2x2.0, baby station 2x3.0, seat cover 1.5, utility hook 1.5, coat hook 1.0, lavatory 2x2.0 = 32.5 LF/room + napkin disposal 1.5 (women) = 66.5</t>
  </si>
  <si>
    <t xml:space="preserve">A08.01 SHEET NOTE E "FRT BLOCKING IN WALLS FOR ALL TOILET ROOM ACCESSORIES" -&gt; TOILET ACCESSORY LEGEND TA-3..TA-17 -&gt; ELEVATIONS A,B,C,D/A08.01</t>
  </si>
  <si>
    <t xml:space="preserve">Millwork: MW01 2 runs x 3.1=6.2; MW07 base+upper 2 x 6.6=13.2; MW08 1 x 7.4; MW11 1 x 12.6; MW12 counter+upper 2 x 8.9=17.8; MW13 2 x 11.67=23.3; MW21 1 x 15.2; MW18 2 x 5.0=10.0; MW05/MW06A shelf standards 6 x 7.0=42.0 -&gt; total 147.7</t>
  </si>
  <si>
    <t xml:space="preserve">A00.30 MILLWORK SCHEDULE -&gt; A12.03/A12.04/A12.05/A12.06 -&gt; A02.01 note C</t>
  </si>
  <si>
    <t xml:space="preserve">85" display media monitor (keynote 7) on C1 furring W-61: 2 runs x 6.0</t>
  </si>
  <si>
    <t xml:space="preserve">A02.01 KEY NOTE 7 "PROVIDE BLOCKING IN WALL AS REQUIRED" -&gt; A11.01 (elev 7/8) -&gt; W-61</t>
  </si>
  <si>
    <t xml:space="preserve">Lockers (keynote 5) - allowance 2 runs x 6.0</t>
  </si>
  <si>
    <t xml:space="preserve">A02.01 KEY NOTE 5 "PROVIDE BLOCKING IN WALL AS REQUIRED FOR LOCKERS" [RFI-09 locker location/length]</t>
  </si>
  <si>
    <t xml:space="preserve">Roof hatch / ladder at Janitor 112 (keynote 3/4, RCP 9): ladder bracket blocking 2 x 2.0 + hatch curb 4 x 2.5</t>
  </si>
  <si>
    <t xml:space="preserve">A04.01 KEY NOTE 9 "ROOF HATCH AND LADDER. PROVIDE BLOCKING AS REQUIRED" -&gt; A09.30</t>
  </si>
  <si>
    <t xml:space="preserve">Wall-mounted equipment (FEC-1, FEC-2 surround, A11 artwork x6 offices 4.0 each, electrical panels/AV) - allowance</t>
  </si>
  <si>
    <t xml:space="preserve">A02.01 CONSTRUCTION PLAN NOTE C "PROVIDE BLOCKING FOR ALL EQUIPMENT AND ACCESSORIES MOUNTED ON WALLS" -&gt; A11.04 ARTWORK</t>
  </si>
  <si>
    <t xml:space="preserve">3/4" FRT plywood blocking at parapet top / coping (exterior perimeter 269.35 LF (EXT rows) + HP returns 48.04 = 317.39 LF)</t>
  </si>
  <si>
    <t xml:space="preserve">4/A09.26 "3/4" F.R.T. PLYWOOD BLOCKING AS REQUIRED" -&gt; A09.21/A09.22/A09.23</t>
  </si>
  <si>
    <t xml:space="preserve">TYPE / SCOPE: FRT plywood</t>
  </si>
  <si>
    <t xml:space="preserve">3/4" fire rated plywood backboard painted white, 6" AFF (keynote 6) - NER 121 + Electrical 120: 2 sheets 4x8 each room = 128 SF</t>
  </si>
  <si>
    <t xml:space="preserve">A02.01 KEY NOTE 6 -&gt; A11.03 INTERIOR ELEVATIONS (NER/ELECTRICAL)</t>
  </si>
  <si>
    <t xml:space="preserve">[DERIVADO] 4 sheets x 32 SF [RFI-09 confirm wall extents]</t>
  </si>
  <si>
    <t xml:space="preserve">TYPE / SCOPE: framed openings</t>
  </si>
  <si>
    <t xml:space="preserve">Framed openings: FEC-1 + FEC-2 recessed cabinets (2), TA-14 recessed waste receptacles (2), TA-13 hand dryer recess kits (2), 2'x2' locking access panel in Vestibule GB ceiling (RCP keynote 4) (1), Day 1 ATM through-wall at W-71 + EXT-W4 (2) = 9 EA</t>
  </si>
  <si>
    <t xml:space="preserve">A02.01 (FEC-1, FEC-2) -&gt; A08.01 TA-13/TA-14 -&gt; A04.01 KEY NOTE 4 -&gt; A08.11 ATM DETAILS</t>
  </si>
  <si>
    <t xml:space="preserve">[DERIVADO] count</t>
  </si>
  <si>
    <t xml:space="preserve">TYPE / SCOPE: FRP</t>
  </si>
  <si>
    <t xml:space="preserve">FRP WC-3 (Marlite Symmetrix) restrooms 113/114: band 0'-6" to 5'-0" (4.5 ft) around room perimeter less door: 2 x (36.8 - 3.0) LF</t>
  </si>
  <si>
    <t xml:space="preserve">A08.01 TOILET ROOM FINISH SCHEDULE (WC-3) -&gt; ELEVATIONS A-D/A08.01 "5'-0" TO TOP OF FRP" -&gt; 3,7/A08.01 FRP DETAILS -&gt; A00.40 (WC-3 GC/GC)</t>
  </si>
  <si>
    <t xml:space="preserve">[DERIVADO] 67.6 LF x 4.5 ft</t>
  </si>
  <si>
    <t xml:space="preserve">FRP Janitor 112 at mop sink: 0 to 4'-0" AFF, back + 2 sides, mop sink 2.5 ft wide each = 7.5 LF</t>
  </si>
  <si>
    <t xml:space="preserve">A05.01 FINISH KEY NOTE 6 -&gt; 4,5/A08.01 MOP SINK -&gt; A00.40</t>
  </si>
  <si>
    <t xml:space="preserve">[DERIVADO] 7.5 LF x 4.0 ft</t>
  </si>
  <si>
    <t xml:space="preserve">TYPE / SCOPE: Level 5</t>
  </si>
  <si>
    <t xml:space="preserve">Level 5 finish at WC-18 felt panels (6 office walls: W-95, W-81, W-82, W-85, W-86 office side + EXT-N1 office 105 = 11.77x3+11.63x2+12.28 = 70.87 LF x 9.0) + WC-22 waiting (W-61 9.29 x 11.0) + WC-20 24HR vestibule F wall lobby side (17.46 x 10.0)</t>
  </si>
  <si>
    <t xml:space="preserve">A05.01 FINISH KEY NOTES 9,10,12 -&gt; A00.40 WC-18/WC-20/WC-22 "WALL SURFACE TO BE LEVEL 5" -&gt; A11.04 / A11.01</t>
  </si>
  <si>
    <t xml:space="preserve">[DERIVADO] 637.8 + 102.2 + 174.6</t>
  </si>
  <si>
    <t xml:space="preserve">TYPE / SCOPE: MEP</t>
  </si>
  <si>
    <t xml:space="preserve">MEP crossings at full-height partitions (B, B2, G, G1, F, A1K) and exterior walls: geometric cross-check NOT performed (no registration); framed duct openings per S5.20 WALL OPENINGS DETAILS - no quantity carried</t>
  </si>
  <si>
    <t xml:space="preserve">A02.01 -&gt; M01.01 MECHANICAL NEW WORK PLAN -&gt; P01.01/P01.02 -&gt; S5.20 WALL OPENINGS DETAILS</t>
  </si>
  <si>
    <t xml:space="preserve">[PENDIENTE] RFI-10</t>
  </si>
  <si>
    <t xml:space="preserve">TOTAL NET (all rows)</t>
  </si>
  <si>
    <t xml:space="preserve">WASTE % (own cell, editable: metal 15%, board 6%; none on blocking count items, framed openings, Level 5)</t>
  </si>
  <si>
    <t xml:space="preserve">WASTE quantity</t>
  </si>
  <si>
    <t xml:space="preserve">PURCHASE (net + waste)</t>
  </si>
  <si>
    <t xml:space="preserve">PURCHASE UNIT CONVERSION (sheet size is a variable - edit width x length)</t>
  </si>
  <si>
    <t xml:space="preserve">Gyp board sheet width (ft)</t>
  </si>
  <si>
    <t xml:space="preserve">Gyp board sheet length (ft)</t>
  </si>
  <si>
    <t xml:space="preserve">SF per sheet</t>
  </si>
  <si>
    <t xml:space="preserve">5/8" Gyp regular sheets</t>
  </si>
  <si>
    <t xml:space="preserve">5/8" Gyp MR sheets</t>
  </si>
  <si>
    <t xml:space="preserve">3/8" Gyp sheets (4x8)</t>
  </si>
  <si>
    <t xml:space="preserve">5/8" exterior gyp sheathing sheets (4x8)</t>
  </si>
  <si>
    <t xml:space="preserve">FRT plywood sheets (4x8)</t>
  </si>
  <si>
    <t xml:space="preserve">Stud stock length (ft)</t>
  </si>
  <si>
    <t xml:space="preserve">6" studs (pieces)</t>
  </si>
  <si>
    <t xml:space="preserve">3-5/8" studs (pieces)</t>
  </si>
  <si>
    <t xml:space="preserve">1-5/8" studs (pieces)</t>
  </si>
  <si>
    <t xml:space="preserve">2-1/2" studs (pieces)</t>
  </si>
  <si>
    <t xml:space="preserve">6" parapet studs (pieces)</t>
  </si>
  <si>
    <t xml:space="preserve">bottom track 10' pcs (pieces)</t>
  </si>
  <si>
    <t xml:space="preserve">top track 10' pcs (pieces)</t>
  </si>
  <si>
    <t xml:space="preserve">Material (family)</t>
  </si>
  <si>
    <t xml:space="preserve">Net</t>
  </si>
  <si>
    <t xml:space="preserve">Waste %</t>
  </si>
  <si>
    <t xml:space="preserve">Waste</t>
  </si>
  <si>
    <t xml:space="preserve">Purchase</t>
  </si>
  <si>
    <t xml:space="preserve">Unit</t>
  </si>
  <si>
    <t xml:space="preserve">Source column</t>
  </si>
  <si>
    <t xml:space="preserve">LF</t>
  </si>
  <si>
    <t xml:space="preserve">Takeoff column O</t>
  </si>
  <si>
    <t xml:space="preserve">Takeoff column P</t>
  </si>
  <si>
    <t xml:space="preserve">Takeoff column Q</t>
  </si>
  <si>
    <t xml:space="preserve">Takeoff column R</t>
  </si>
  <si>
    <t xml:space="preserve">Takeoff column S</t>
  </si>
  <si>
    <t xml:space="preserve">Takeoff column T</t>
  </si>
  <si>
    <t xml:space="preserve">Takeoff column U</t>
  </si>
  <si>
    <t xml:space="preserve">Takeoff column V</t>
  </si>
  <si>
    <t xml:space="preserve">Takeoff column W</t>
  </si>
  <si>
    <t xml:space="preserve">Takeoff column X</t>
  </si>
  <si>
    <t xml:space="preserve">SF</t>
  </si>
  <si>
    <t xml:space="preserve">Takeoff column Y</t>
  </si>
  <si>
    <t xml:space="preserve">Takeoff column Z</t>
  </si>
  <si>
    <t xml:space="preserve">Takeoff column AA</t>
  </si>
  <si>
    <t xml:space="preserve">Takeoff column AB</t>
  </si>
  <si>
    <t xml:space="preserve">Takeoff column AC</t>
  </si>
  <si>
    <t xml:space="preserve">Takeoff column AD</t>
  </si>
  <si>
    <t xml:space="preserve">Takeoff column AE</t>
  </si>
  <si>
    <t xml:space="preserve">Takeoff column AF</t>
  </si>
  <si>
    <t xml:space="preserve">Takeoff column AG</t>
  </si>
  <si>
    <t xml:space="preserve">Takeoff column AH</t>
  </si>
  <si>
    <t xml:space="preserve">Takeoff column AI</t>
  </si>
  <si>
    <t xml:space="preserve">Takeoff column AJ</t>
  </si>
  <si>
    <t xml:space="preserve">Takeoff column AK</t>
  </si>
  <si>
    <t xml:space="preserve">Takeoff column AL</t>
  </si>
  <si>
    <t xml:space="preserve">Takeoff column AM</t>
  </si>
  <si>
    <t xml:space="preserve">Takeoff column AN</t>
  </si>
  <si>
    <t xml:space="preserve">Takeoff column AO</t>
  </si>
  <si>
    <t xml:space="preserve">EA</t>
  </si>
  <si>
    <t xml:space="preserve">Takeoff column AP</t>
  </si>
  <si>
    <t xml:space="preserve">Takeoff column AQ</t>
  </si>
  <si>
    <t xml:space="preserve">Type</t>
  </si>
  <si>
    <t xml:space="preserve">Detail</t>
  </si>
  <si>
    <t xml:space="preserve">Stud</t>
  </si>
  <si>
    <t xml:space="preserve">Spacing / gauge</t>
  </si>
  <si>
    <t xml:space="preserve">Side 1 (layers / board / height)</t>
  </si>
  <si>
    <t xml:space="preserve">Side 2 (layers / board / height)</t>
  </si>
  <si>
    <t xml:space="preserve">Top track condition</t>
  </si>
  <si>
    <t xml:space="preserve">Insulation</t>
  </si>
  <si>
    <t xml:space="preserve">Status</t>
  </si>
  <si>
    <t xml:space="preserve">A1</t>
  </si>
  <si>
    <t xml:space="preserve">3/A12.01</t>
  </si>
  <si>
    <t xml:space="preserve">3 5/8" 362S137-33 (S5.20)</t>
  </si>
  <si>
    <t xml:space="preserve">16" O.C., 33 mil (20 ga)</t>
  </si>
  <si>
    <t xml:space="preserve">1 layer 5/8" GWB to ceiling + 6"</t>
  </si>
  <si>
    <t xml:space="preserve">CONTINUOUS SLIP TRACK to underside of structure (3/A12.01); slip track profile not designated in S5.20 -&gt; RFI-18</t>
  </si>
  <si>
    <t xml:space="preserve">Batt (YES)</t>
  </si>
  <si>
    <t xml:space="preserve">[CONFIRMADO] 3/A12.01 table: 3 5/8", 5/8", 4 7/8"</t>
  </si>
  <si>
    <t xml:space="preserve">A5</t>
  </si>
  <si>
    <t xml:space="preserve">6" 600S137-33</t>
  </si>
  <si>
    <t xml:space="preserve">16" O.C.</t>
  </si>
  <si>
    <t xml:space="preserve">same</t>
  </si>
  <si>
    <t xml:space="preserve">CONTINUOUS SLIP TRACK</t>
  </si>
  <si>
    <t xml:space="preserve">Batt</t>
  </si>
  <si>
    <t xml:space="preserve">[CONFIRMADO] 3/A12.01: 6", 5/8", 7 1/4"</t>
  </si>
  <si>
    <t xml:space="preserve">B</t>
  </si>
  <si>
    <t xml:space="preserve">1/A12.01</t>
  </si>
  <si>
    <t xml:space="preserve">3 5/8"</t>
  </si>
  <si>
    <t xml:space="preserve">1 layer 5/8" GWB full height to structure</t>
  </si>
  <si>
    <t xml:space="preserve">[CONFIRMADO] 1/A12.01: 3 5/8", 4 7/8"</t>
  </si>
  <si>
    <t xml:space="preserve">B2</t>
  </si>
  <si>
    <t xml:space="preserve">6"</t>
  </si>
  <si>
    <t xml:space="preserve">1 layer 5/8" GWB full height</t>
  </si>
  <si>
    <t xml:space="preserve">[CONFIRMADO] 1/A12.01: 6", 7 1/4"</t>
  </si>
  <si>
    <t xml:space="preserve">B2K</t>
  </si>
  <si>
    <t xml:space="preserve">1/A12.01 + 4/A12.01 (derived, not in schedule)</t>
  </si>
  <si>
    <t xml:space="preserve">3/8" UL752 fiberglass to 8'-0" + 5/8" GWB full height</t>
  </si>
  <si>
    <t xml:space="preserve">5/8" GWB full height</t>
  </si>
  <si>
    <t xml:space="preserve">slip track</t>
  </si>
  <si>
    <t xml:space="preserve">[DERIVADO] B2 + K (A5K delta 7 5/8" - 7 1/4" = 3/8"); measured 7.67" on A02.01 -&gt; RFI-02</t>
  </si>
  <si>
    <t xml:space="preserve">A1K</t>
  </si>
  <si>
    <t xml:space="preserve">4/A12.01</t>
  </si>
  <si>
    <t xml:space="preserve">3 5/8" 14 GA</t>
  </si>
  <si>
    <t xml:space="preserve">24" O.C. MAX (WALL CONSTRUCTION SHALL INCLUDE)</t>
  </si>
  <si>
    <t xml:space="preserve">teller side: 5/8" GWB over 3/8" UL752 LEVEL-2 fiberglass to 8'-0"; 3/8" GWB 8'-0" to structure</t>
  </si>
  <si>
    <t xml:space="preserve">customer side: 5/8" GWB</t>
  </si>
  <si>
    <t xml:space="preserve">CONTINUOUS SLIP TRACK; PAF @2'-0" O.C. alternating, within 3" of track ends</t>
  </si>
  <si>
    <t xml:space="preserve">[CONFIRMADO] 4/A12.01 note text</t>
  </si>
  <si>
    <t xml:space="preserve">C1</t>
  </si>
  <si>
    <t xml:space="preserve">6/A12.01</t>
  </si>
  <si>
    <t xml:space="preserve">1 layer 5/8" GWB (furred face)</t>
  </si>
  <si>
    <t xml:space="preserve">-- (block / chase side)</t>
  </si>
  <si>
    <t xml:space="preserve">to structure</t>
  </si>
  <si>
    <t xml:space="preserve">--</t>
  </si>
  <si>
    <t xml:space="preserve">[CONFIRMADO] 6/A12.01</t>
  </si>
  <si>
    <t xml:space="preserve">F</t>
  </si>
  <si>
    <t xml:space="preserve">12/A12.01</t>
  </si>
  <si>
    <t xml:space="preserve">16" O.C., span floor to deck, brace as required</t>
  </si>
  <si>
    <t xml:space="preserve">ATM lobby: 3/4" FRT plywood to deck + 5/8" GWB</t>
  </si>
  <si>
    <t xml:space="preserve">ATM room: 5/8" GWB to ceiling + 6"</t>
  </si>
  <si>
    <t xml:space="preserve">track to deck</t>
  </si>
  <si>
    <t xml:space="preserve">[CONFIRMADO] 12/A12.01</t>
  </si>
  <si>
    <t xml:space="preserve">G</t>
  </si>
  <si>
    <t xml:space="preserve">5/A12.01</t>
  </si>
  <si>
    <t xml:space="preserve">double row 1 5/8" + Soundguard isolator (Marinoware)</t>
  </si>
  <si>
    <t xml:space="preserve">16" O.C. each row</t>
  </si>
  <si>
    <t xml:space="preserve">2 layers 5/8" GWB to structure</t>
  </si>
  <si>
    <t xml:space="preserve">METAL STUD TRACK</t>
  </si>
  <si>
    <t xml:space="preserve">[CONFIRMADO] 5/A12.01: 1 5/8", 6 1/8"</t>
  </si>
  <si>
    <t xml:space="preserve">G1</t>
  </si>
  <si>
    <t xml:space="preserve">double row 1 5/8" + isolator</t>
  </si>
  <si>
    <t xml:space="preserve">2 layers 5/8" GWB</t>
  </si>
  <si>
    <t xml:space="preserve">[CONFIRMADO] 5/A12.01: 8"</t>
  </si>
  <si>
    <t xml:space="preserve">A6 / A8 / A5K</t>
  </si>
  <si>
    <t xml:space="preserve">2/A12.01, 4/A12.01</t>
  </si>
  <si>
    <t xml:space="preserve">NOT ON PLAN: no tag found on A02.01 (census 51 boxed tags) -&gt; not quantified</t>
  </si>
  <si>
    <t xml:space="preserve">EXT 6" CFMF</t>
  </si>
  <si>
    <t xml:space="preserve">A09.21-A09.23, A09.26, S5.20</t>
  </si>
  <si>
    <t xml:space="preserve">16" O.C.; bottom 600T125-33; top 600T200-97; 1 1/2" C.R. channel @48"</t>
  </si>
  <si>
    <t xml:space="preserve">interior: 5/8" GWB to deck</t>
  </si>
  <si>
    <t xml:space="preserve">exterior: 5/8" FRT plywood bonded to 2 1/2" polyiso; parapet back 5/8" exterior gypsum sheathing</t>
  </si>
  <si>
    <t xml:space="preserve">top track 600T200-97 at T/STUD</t>
  </si>
  <si>
    <t xml:space="preserve">spray foam by others</t>
  </si>
  <si>
    <t xml:space="preserve">[CONFIRMADO] S5.20 METAL STUD PROPERTIES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</si>
  <si>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</si>
  <si>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</si>
  <si>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</si>
  <si>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</si>
  <si>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transposed: A09.01 "SOUTH ELEVATION" shows the plan-north facade (entrance, grids 8-&gt;1) and A09.02 "NORTH ELEVATION" shows plan-south (door 123). A11.04 office elevations titled SOUTH show WC-18 which A05.01 places on the plan-north wall. Take-off follows plan orientation (north arrow A02.01).</t>
  </si>
  <si>
    <t xml:space="preserve">No quantity change; risk of other trades mis-reading.</t>
  </si>
  <si>
    <t xml:space="preserve">RFI-02</t>
  </si>
  <si>
    <t xml:space="preserve">Tag B2K (Cash Window NW stub) has no row in the 1/A12.01 schedule. Carried as B2 + 3/8" UL752 fiberglass panel (A5K logic), measured 7.67" in plan.</t>
  </si>
  <si>
    <t xml:space="preserve">If plain B2: - 10.1 SF ballistic panel.</t>
  </si>
  <si>
    <t xml:space="preserve">RFI-03</t>
  </si>
  <si>
    <t xml:space="preserve">LOW roof zone (grids A-B) deck slopes 13'-0 5/8" to 12'-6 3/8" (S2.20). Studs carried at high end 13.052 ft.</t>
  </si>
  <si>
    <t xml:space="preserve">Using low end: - 126.6 LF of studs (and matching board on full-height faces).</t>
  </si>
  <si>
    <t xml:space="preserve">RFI-04</t>
  </si>
  <si>
    <t xml:space="preserve">Office bulkheads 8,9/A12.01: "METAL STUD" double row with isolator, size not given. Carried 1 5/8" (G family).</t>
  </si>
  <si>
    <t xml:space="preserve">If 3 5/8": same LF moves from 1-5/8" to 3-5/8" column (535.5 LF).</t>
  </si>
  <si>
    <t xml:space="preserve">RFI-05</t>
  </si>
  <si>
    <t xml:space="preserve">C1 tags at the 4 vestibule column/pier boxes: 6/A12.01 shows C1 as block partition furring; 1,2/A09.25 show storefront pier (3 5/8" framing, 3/4" FRT plywood, 5/8" GWB). Carried as piers (PIER row).</t>
  </si>
  <si>
    <t xml:space="preserve">RFI-06</t>
  </si>
  <si>
    <t xml:space="preserve">High parapet block (T.O. PARAPET 2 20'-0") extent: carried over vestibule/ATM block with east (30.36 LF) and south (17.68 LF) returns 4.29 ft high above main roof.</t>
  </si>
  <si>
    <t xml:space="preserve">Returns = 206 SF FRT plywood + 206 SF ext. gyp sheathing + 262 LF parapet studs.</t>
  </si>
  <si>
    <t xml:space="preserve">RFI-07</t>
  </si>
  <si>
    <t xml:space="preserve">Drinking fountain alcove (Corridor 111) drawn 4 7/8" while adjacent tags are B2 (7 1/4"). Carried as B (3 5/8").</t>
  </si>
  <si>
    <t xml:space="preserve">If B2: 8.69 LF moves from 3-5/8" to 6" studs.</t>
  </si>
  <si>
    <t xml:space="preserve">RFI-08</t>
  </si>
  <si>
    <t xml:space="preserve">GWB ceiling suspension not specified (only "12 GAUGE HANGER WIRE" 3/A09.33). Carried 7/8" furring channel @16" on 1 1/2" CRC @48", 12 GA hanger wire @48"x48", perimeter track (ASTM C754).</t>
  </si>
  <si>
    <t xml:space="preserve">Alt: drywall grid (heavy duty main runner + cross tee) - removes furring/CRC.</t>
  </si>
  <si>
    <t xml:space="preserve">RFI-09</t>
  </si>
  <si>
    <t xml:space="preserve">Blocking allowances: wall stops on all 14 wood doors (confirm per hardware group), lockers keynote 5 (location not shown), 3/4" fire rated plywood backboards (extent), equipment note C.</t>
  </si>
  <si>
    <t xml:space="preserve">Allowance lines BLK-WS 28 LF, BLK-LKR 12 LF, BB-NER 128 SF, BLK-EQ 40 LF.</t>
  </si>
  <si>
    <t xml:space="preserve">RFI-10</t>
  </si>
  <si>
    <t xml:space="preserve">MEP crossings at full-height partitions and exterior walls not cross-checked geometrically (M01.01/P01.01 not registered). No framed duct openings carried.</t>
  </si>
  <si>
    <t xml:space="preserve">To be priced after MEP review.</t>
  </si>
  <si>
    <t xml:space="preserve">RFI-11</t>
  </si>
  <si>
    <t xml:space="preserve">Canopy soffit sheathing: 3,7/A09.26 = 5/8" ext. grade FRT plywood; 4,5/A09.33 = "5/8" EXTERIOR SHEATHING". Carried FRT plywood.</t>
  </si>
  <si>
    <t xml:space="preserve">Alt 5/8" exterior gypsum sheathing on 1,443.9 SF.</t>
  </si>
  <si>
    <t xml:space="preserve">RFI-12</t>
  </si>
  <si>
    <t xml:space="preserve">Coiling grille 103: opening height not legible on A08.21; head bulkhead 1'-6" taken from 4/A08.21 below 10'-0" ceiling.</t>
  </si>
  <si>
    <t xml:space="preserve">RFI-13</t>
  </si>
  <si>
    <t xml:space="preserve">Day 1 ATM / Future ATM through-wall openings (A08.11) not deducted from F wall / EXT-W4 board and sheathing; counted as 2 framed openings.</t>
  </si>
  <si>
    <t xml:space="preserve">Deduction approx. 2 x 2.25 x 4 = 18 SF per face.</t>
  </si>
  <si>
    <t xml:space="preserve">RFI-14</t>
  </si>
  <si>
    <t xml:space="preserve">Exterior "sheathing/insulation system: 5/8" FRT plywood bonded to 2 1/2" polyiso" - confirm it is in the framing/drywall scope (often Div 07).</t>
  </si>
  <si>
    <t xml:space="preserve">If excluded: - FRT plywood on exterior rows.</t>
  </si>
  <si>
    <t xml:space="preserve">RFI-15</t>
  </si>
  <si>
    <t xml:space="preserve">Vestibule pier/column enclosures: board carried to deck.</t>
  </si>
  <si>
    <t xml:space="preserve">To ceiling + 6" instead: approx. - 105 SF GWB.</t>
  </si>
  <si>
    <t xml:space="preserve">RFI-16</t>
  </si>
  <si>
    <t xml:space="preserve">MR board (A08.01 note F "behind toilet and lavatory"): carried on the restroom wet wall furring (W-62/W-63) only.</t>
  </si>
  <si>
    <t xml:space="preserve">Add exterior west wall restroom faces if toilets there.</t>
  </si>
  <si>
    <t xml:space="preserve">RFI-17</t>
  </si>
  <si>
    <t xml:space="preserve">A1/A5 batt insulation carried full stud height (3/A12.01 shows batt + 2'-0" lap at ceiling).</t>
  </si>
  <si>
    <t xml:space="preserve">To ceiling + 2'-0" only: reduces batt SF.</t>
  </si>
  <si>
    <t xml:space="preserve">RFI-18</t>
  </si>
  <si>
    <t xml:space="preserve">Continuous slip track (A1, A5, B, B2, A1K, F) has no profile designation; S5.20 lists 600T200-97 top track for exterior walls only. Carried interior top track as slip track of the same stud size, 2" leg.</t>
  </si>
  <si>
    <t xml:space="preserve">Price delta slip track vs standard track.</t>
  </si>
  <si>
    <t xml:space="preserve">#</t>
  </si>
  <si>
    <t xml:space="preserve">Clarifications &amp; Exclusions</t>
  </si>
  <si>
    <t xml:space="preserve">1</t>
  </si>
  <si>
    <t xml:space="preserve">Ground-up new building (A00.00: GROUND UP - NEW FINANCIAL CENTER, Type II-B, Group B, 4,260 SF). No demolition / existing walls: Demolition column = 0.</t>
  </si>
  <si>
    <t xml:space="preserve">2</t>
  </si>
  <si>
    <t xml:space="preserve">Excluded (other divisions / vendors): aluminum storefront &amp; entrance doors (Div 08), Allsteel DFC-1A office fronts (bank vendor, A02.01 note E), coiling grille (vendor), airlock all-glass 24 HR vestibule (A12.10), ACM / EPS-3 / EPS-5 panels and coping (Div 07), PT-3/PT-4 stucco (Div 09 24), spray foam insulation, roofing, ACT ceilings and grid (Div 09 51), millwork, toilet partitions &amp; accessories (Div 10), light fixtures (Div 26), signage.</t>
  </si>
  <si>
    <t xml:space="preserve">3</t>
  </si>
  <si>
    <t xml:space="preserve">Included: interior framing &amp; GWB per partition types, office front bulkheads (8,9/A12.01), coiling grille head, CSR soffit, GWB ceilings with suspension, exterior 6" CFMF incl. parapets, FRT plywood/polyiso sheathing (RFI-14), parapet back exterior gypsum sheathing, canopy soffit &amp; fascia framing + FRT plywood, canopy column wraps, storefront piers, FRT blocking, framed openings, FRP WC-3 (A00.40 "GC/GC"), batt insulation, acoustical sealant, metal trim.</t>
  </si>
  <si>
    <t xml:space="preserve">4</t>
  </si>
  <si>
    <t xml:space="preserve">Finish level: Level 4 assumed everywhere except Level 5 at WC-18, WC-20, WC-22 (A00.40, A05.01 keynotes 9,10).</t>
  </si>
  <si>
    <t xml:space="preserve">5</t>
  </si>
  <si>
    <t xml:space="preserve">Control joints: none labeled for interior GWB; stucco CJ by others (A09.31) - excluded.</t>
  </si>
  <si>
    <t xml:space="preserve">6</t>
  </si>
  <si>
    <t xml:space="preserve">No fire-rated assemblies: every type in 1-6/A12.01 lists FIRE RATING "--"; no fire tape carried.</t>
  </si>
  <si>
    <t xml:space="preserve">7</t>
  </si>
  <si>
    <t xml:space="preserve">Trade criteria not drawn: wall stop blocking 2'-0" per stop; jambs 2 studs per side (S5.20 DBL JAMB); waste metal 15%, board 6% in own cells.</t>
  </si>
  <si>
    <t xml:space="preserve">8</t>
  </si>
  <si>
    <t xml:space="preserve">Heights: north (HI) zone deck 15'-4 1/2", south (LOW) zone 13'-0 5/8" high end (S2.20); T/STUD 17'-5" (LP) and 19'-8" (HP) (A09.21).</t>
  </si>
  <si>
    <t xml:space="preserve">Punto (los términos del trade quedan en inglés)</t>
  </si>
  <si>
    <t xml:space="preserve">Referencia</t>
  </si>
  <si>
    <t xml:space="preserve">Barrido por tag: 51 tags con caja real en A02.01 (A1 10, G 9, C1 8, B 7, B2 6, A5 4, A1K 3, G1 2, F 1, B2K 1) -&gt; 54 walls interiores numerados W-01..W-97. Revisar la lista y los planos marcados por tipo (carpeta Planos marcados).</t>
  </si>
  <si>
    <t xml:space="preserve">Punto de revisión (pausa del barrido)</t>
  </si>
  <si>
    <t xml:space="preserve">Walls sin tag (rojo en los planos): W-34, W-37, W-38, W-39 (alcove de bebederos), W-87 (stub office 1), W-97 (stub office 6), W-13B (split en grid B). Confirmar tipo.</t>
  </si>
  <si>
    <t xml:space="preserve">Elevaciones N/S con títulos invertidos (A09.01/A09.02 y A11.04). Se trabajó con la orientación de la planta.</t>
  </si>
  <si>
    <t xml:space="preserve">B2K no existe en el schedule: se derivó como B2 + 3/8" fiberglass (delta 10.1 SF ballistic panel).</t>
  </si>
  <si>
    <t xml:space="preserve">Zona LOW con pendiente: se usó el extremo alto 13'-0 5/8" (delta -126.6 LF stud si se usa el bajo).</t>
  </si>
  <si>
    <t xml:space="preserve">Bulkheads de office front: stud doble 1 5/8" supuesto (detalle no da medida).</t>
  </si>
  <si>
    <t xml:space="preserve">Suspensión de GWB ceilings no especificada: se usó furring channel + carrying channel + hanger wire.</t>
  </si>
  <si>
    <t xml:space="preserve">Cruce MEP no hecho por geometría: sin framed openings de ductos.</t>
  </si>
  <si>
    <t xml:space="preserve">9</t>
  </si>
  <si>
    <t xml:space="preserve">Soffit del canopy: FRT plywood vs exterior sheathing (delta 1,443.9 SF).</t>
  </si>
  <si>
    <t xml:space="preserve">10</t>
  </si>
  <si>
    <t xml:space="preserve">Allowances de blocking (wall stops, lockers, backboards, equipo).</t>
  </si>
  <si>
    <t xml:space="preserve">11</t>
  </si>
  <si>
    <t xml:space="preserve">Day 1 ATM / Future ATM: aberturas no deducidas.</t>
  </si>
  <si>
    <t xml:space="preserve">12</t>
  </si>
  <si>
    <t xml:space="preserve">Alcance del sheathing/insulation system exterior (FRT plywood + polyiso).</t>
  </si>
  <si>
    <t xml:space="preserve">13</t>
  </si>
  <si>
    <t xml:space="preserve">Herramienta alcances.py compuerta depende de eval_takeoff.py (calificador, prohibido bajarlo): la compuerta no pudo correr. Ver resumen.</t>
  </si>
  <si>
    <t xml:space="preserve">Falla de herramienta</t>
  </si>
  <si>
    <t xml:space="preserve">page_index (0-based)</t>
  </si>
  <si>
    <t xml:space="preserve">Sheet (title block, largest text)</t>
  </si>
  <si>
    <t xml:space="preserve">SIN ROTULO</t>
  </si>
  <si>
    <t xml:space="preserve">A00.00</t>
  </si>
  <si>
    <t xml:space="preserve">C1.1</t>
  </si>
  <si>
    <t xml:space="preserve">C7.2</t>
  </si>
  <si>
    <t xml:space="preserve">A00.30</t>
  </si>
  <si>
    <t xml:space="preserve">A00.40</t>
  </si>
  <si>
    <t xml:space="preserve">A00.41</t>
  </si>
  <si>
    <t xml:space="preserve">A00.60</t>
  </si>
  <si>
    <t xml:space="preserve">A02.01</t>
  </si>
  <si>
    <t xml:space="preserve">A02.02</t>
  </si>
  <si>
    <t xml:space="preserve">A03.01</t>
  </si>
  <si>
    <t xml:space="preserve">A04.01</t>
  </si>
  <si>
    <t xml:space="preserve">A05.01</t>
  </si>
  <si>
    <t xml:space="preserve">A06.01</t>
  </si>
  <si>
    <t xml:space="preserve">A08.01</t>
  </si>
  <si>
    <t xml:space="preserve">A08.11</t>
  </si>
  <si>
    <t xml:space="preserve">A08.21</t>
  </si>
  <si>
    <t xml:space="preserve">A09.01</t>
  </si>
  <si>
    <t xml:space="preserve">A09.02</t>
  </si>
  <si>
    <t xml:space="preserve">A09.21</t>
  </si>
  <si>
    <t xml:space="preserve">A09.22</t>
  </si>
  <si>
    <t xml:space="preserve">A09.23</t>
  </si>
  <si>
    <t xml:space="preserve">A09.25</t>
  </si>
  <si>
    <t xml:space="preserve">A09.26</t>
  </si>
  <si>
    <t xml:space="preserve">A09.27</t>
  </si>
  <si>
    <t xml:space="preserve">A09.30</t>
  </si>
  <si>
    <t xml:space="preserve">A09.31</t>
  </si>
  <si>
    <t xml:space="preserve">A09.33</t>
  </si>
  <si>
    <t xml:space="preserve">A11.01</t>
  </si>
  <si>
    <t xml:space="preserve">A11.02</t>
  </si>
  <si>
    <t xml:space="preserve">A11.03</t>
  </si>
  <si>
    <t xml:space="preserve">A11.04</t>
  </si>
  <si>
    <t xml:space="preserve">A12.01</t>
  </si>
  <si>
    <t xml:space="preserve">A12.02</t>
  </si>
  <si>
    <t xml:space="preserve">A12.03</t>
  </si>
  <si>
    <t xml:space="preserve">A12.04</t>
  </si>
  <si>
    <t xml:space="preserve">A12.05</t>
  </si>
  <si>
    <t xml:space="preserve">A12.06</t>
  </si>
  <si>
    <t xml:space="preserve">A12.08</t>
  </si>
  <si>
    <t xml:space="preserve">A12.10</t>
  </si>
  <si>
    <t xml:space="preserve">A12.11</t>
  </si>
  <si>
    <t xml:space="preserve">S1.10</t>
  </si>
  <si>
    <t xml:space="preserve">S1.11</t>
  </si>
  <si>
    <t xml:space="preserve">S1.14</t>
  </si>
  <si>
    <t xml:space="preserve">S2.10</t>
  </si>
  <si>
    <t xml:space="preserve">S2.20</t>
  </si>
  <si>
    <t xml:space="preserve">S3.10</t>
  </si>
  <si>
    <t xml:space="preserve">S3.20</t>
  </si>
  <si>
    <t xml:space="preserve">S3.21</t>
  </si>
  <si>
    <t xml:space="preserve">S5.10</t>
  </si>
  <si>
    <t xml:space="preserve">S5.11</t>
  </si>
  <si>
    <t xml:space="preserve">S5.20</t>
  </si>
  <si>
    <t xml:space="preserve">S5.30</t>
  </si>
  <si>
    <t xml:space="preserve">M00.01</t>
  </si>
  <si>
    <t xml:space="preserve">M00.02</t>
  </si>
  <si>
    <t xml:space="preserve">M00.03</t>
  </si>
  <si>
    <t xml:space="preserve">M00.04</t>
  </si>
  <si>
    <t xml:space="preserve">M00.05</t>
  </si>
  <si>
    <t xml:space="preserve">M01.01</t>
  </si>
  <si>
    <t xml:space="preserve">M01.02</t>
  </si>
  <si>
    <t xml:space="preserve">M02.01</t>
  </si>
  <si>
    <t xml:space="preserve">M03.01</t>
  </si>
  <si>
    <t xml:space="preserve">E00.01</t>
  </si>
  <si>
    <t xml:space="preserve">E01.01</t>
  </si>
  <si>
    <t xml:space="preserve">E02.01</t>
  </si>
  <si>
    <t xml:space="preserve">E02.02</t>
  </si>
  <si>
    <t xml:space="preserve">E02.03</t>
  </si>
  <si>
    <t xml:space="preserve">E02.04</t>
  </si>
  <si>
    <t xml:space="preserve">E02.05</t>
  </si>
  <si>
    <t xml:space="preserve">E03.01</t>
  </si>
  <si>
    <t xml:space="preserve">E04.01</t>
  </si>
  <si>
    <t xml:space="preserve">E04.02</t>
  </si>
  <si>
    <t xml:space="preserve">P00.01</t>
  </si>
  <si>
    <t xml:space="preserve">P01.01</t>
  </si>
  <si>
    <t xml:space="preserve">P01.02</t>
  </si>
  <si>
    <t xml:space="preserve">P02.01</t>
  </si>
  <si>
    <t xml:space="preserve">P03.01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</si>
</sst>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"/>
    <numFmt numFmtId="167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5"/>
    <col collapsed="false" customWidth="true" hidden="false" outlineLevel="0" max="3" min="3" style="0" width="40"/>
    <col collapsed="false" customWidth="true" hidden="false" outlineLevel="0" max="5" min="4" style="0" width="9"/>
    <col collapsed="false" customWidth="true" hidden="false" outlineLevel="0" max="7" min="6" style="0" width="7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4" min="14" style="0" width="9"/>
    <col collapsed="false" customWidth="true" hidden="false" outlineLevel="0" max="21" min="15" style="0" width="10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10"/>
    <col collapsed="false" customWidth="true" hidden="false" outlineLevel="0" max="26" min="25" style="0" width="11"/>
    <col collapsed="false" customWidth="true" hidden="false" outlineLevel="0" max="27" min="27" style="0" width="9"/>
    <col collapsed="false" customWidth="true" hidden="false" outlineLevel="0" max="28" min="28" style="0" width="10"/>
    <col collapsed="false" customWidth="true" hidden="false" outlineLevel="0" max="29" min="29" style="0" width="9"/>
    <col collapsed="false" customWidth="true" hidden="false" outlineLevel="0" max="31" min="30" style="0" width="10"/>
    <col collapsed="false" customWidth="true" hidden="false" outlineLevel="0" max="33" min="32" style="0" width="9"/>
    <col collapsed="false" customWidth="true" hidden="false" outlineLevel="0" max="34" min="34" style="0" width="10"/>
    <col collapsed="false" customWidth="true" hidden="false" outlineLevel="0" max="35" min="35" style="0" width="9"/>
    <col collapsed="false" customWidth="true" hidden="false" outlineLevel="0" max="36" min="36" style="0" width="11"/>
    <col collapsed="false" customWidth="true" hidden="false" outlineLevel="0" max="43" min="37" style="0" width="9"/>
    <col collapsed="false" customWidth="true" hidden="false" outlineLevel="0" max="44" min="44" style="0" width="8"/>
    <col collapsed="false" customWidth="true" hidden="false" outlineLevel="0" max="45" min="45" style="0" width="7"/>
    <col collapsed="false" customWidth="true" hidden="false" outlineLevel="0" max="46" min="4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75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  <c r="AN4" s="2" t="s">
        <v>41</v>
      </c>
      <c r="AO4" s="2" t="s">
        <v>42</v>
      </c>
      <c r="AP4" s="2" t="s">
        <v>43</v>
      </c>
      <c r="AQ4" s="2" t="s">
        <v>44</v>
      </c>
      <c r="AR4" s="2" t="s">
        <v>45</v>
      </c>
      <c r="AS4" s="2" t="s">
        <v>46</v>
      </c>
      <c r="AT4" s="2" t="s">
        <v>47</v>
      </c>
    </row>
    <row r="5" customFormat="false" ht="15" hidden="false" customHeight="false" outlineLevel="0" collapsed="false">
      <c r="A5" s="3" t="s">
        <v>48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customFormat="false" ht="55.2" hidden="false" customHeight="false" outlineLevel="0" collapsed="false">
      <c r="A6" s="5" t="s">
        <v>49</v>
      </c>
      <c r="B6" s="5" t="s">
        <v>50</v>
      </c>
      <c r="C6" s="5" t="s">
        <v>51</v>
      </c>
      <c r="D6" s="0" t="n">
        <v>17.06</v>
      </c>
      <c r="E6" s="0" t="n">
        <v>13.052</v>
      </c>
      <c r="F6" s="0" t="n">
        <v>2</v>
      </c>
      <c r="G6" s="0" t="n">
        <v>16</v>
      </c>
      <c r="H6" s="0" t="n">
        <v>1</v>
      </c>
      <c r="I6" s="0" t="n">
        <v>2</v>
      </c>
      <c r="J6" s="0" t="n">
        <v>9</v>
      </c>
      <c r="K6" s="0" t="n">
        <v>1</v>
      </c>
      <c r="L6" s="0" t="n">
        <v>13.052</v>
      </c>
      <c r="M6" s="0" t="n">
        <v>1</v>
      </c>
      <c r="N6" s="0" t="n">
        <v>0</v>
      </c>
      <c r="P6" s="6" t="n">
        <f aca="false">(ROUNDUP(D6*12/G6,0)+1+I6)*E6*H6</f>
        <v>208.832</v>
      </c>
      <c r="T6" s="6" t="n">
        <f aca="false">(D6-0)*H6</f>
        <v>17.06</v>
      </c>
      <c r="U6" s="6" t="n">
        <f aca="false">D6*H6</f>
        <v>17.06</v>
      </c>
      <c r="X6" s="6" t="n">
        <f aca="false">D6*3</f>
        <v>51.18</v>
      </c>
      <c r="Y6" s="6" t="n">
        <f aca="false">D6*(J6*K6+L6*M6)-N6*2</f>
        <v>376.20712</v>
      </c>
      <c r="AH6" s="6" t="n">
        <f aca="false">D6*E6</f>
        <v>222.66712</v>
      </c>
      <c r="AK6" s="6" t="n">
        <f aca="false">D6*2*H6</f>
        <v>34.12</v>
      </c>
      <c r="AT6" s="5" t="s">
        <v>52</v>
      </c>
    </row>
    <row r="7" customFormat="false" ht="41.75" hidden="false" customHeight="false" outlineLevel="0" collapsed="false">
      <c r="A7" s="5" t="s">
        <v>53</v>
      </c>
      <c r="B7" s="5" t="s">
        <v>54</v>
      </c>
      <c r="C7" s="5" t="s">
        <v>55</v>
      </c>
      <c r="D7" s="0" t="n">
        <v>16.42</v>
      </c>
      <c r="E7" s="0" t="n">
        <v>15.375</v>
      </c>
      <c r="F7" s="0" t="n">
        <v>2</v>
      </c>
      <c r="G7" s="0" t="n">
        <v>16</v>
      </c>
      <c r="H7" s="0" t="n">
        <v>1</v>
      </c>
      <c r="I7" s="0" t="n">
        <v>2</v>
      </c>
      <c r="J7" s="0" t="n">
        <v>9</v>
      </c>
      <c r="K7" s="0" t="n">
        <v>1</v>
      </c>
      <c r="L7" s="0" t="n">
        <v>11.5</v>
      </c>
      <c r="M7" s="0" t="n">
        <v>1</v>
      </c>
      <c r="N7" s="0" t="n">
        <v>0</v>
      </c>
      <c r="P7" s="6" t="n">
        <f aca="false">(ROUNDUP(D7*12/G7,0)+1+I7)*E7*H7</f>
        <v>246</v>
      </c>
      <c r="T7" s="6" t="n">
        <f aca="false">(D7-0)*H7</f>
        <v>16.42</v>
      </c>
      <c r="U7" s="6" t="n">
        <f aca="false">D7*H7</f>
        <v>16.42</v>
      </c>
      <c r="X7" s="6" t="n">
        <f aca="false">D7*3</f>
        <v>49.26</v>
      </c>
      <c r="Y7" s="6" t="n">
        <f aca="false">D7*(J7*K7+L7*M7)-N7*2</f>
        <v>336.61</v>
      </c>
      <c r="AH7" s="6" t="n">
        <f aca="false">D7*E7</f>
        <v>252.4575</v>
      </c>
      <c r="AK7" s="6" t="n">
        <f aca="false">D7*2*H7</f>
        <v>32.84</v>
      </c>
      <c r="AT7" s="5" t="s">
        <v>56</v>
      </c>
    </row>
    <row r="8" customFormat="false" ht="41.75" hidden="false" customHeight="false" outlineLevel="0" collapsed="false">
      <c r="A8" s="5" t="s">
        <v>57</v>
      </c>
      <c r="B8" s="5" t="s">
        <v>50</v>
      </c>
      <c r="C8" s="5" t="s">
        <v>58</v>
      </c>
      <c r="D8" s="0" t="n">
        <v>15.23</v>
      </c>
      <c r="E8" s="0" t="n">
        <v>13.052</v>
      </c>
      <c r="F8" s="0" t="n">
        <v>2</v>
      </c>
      <c r="G8" s="0" t="n">
        <v>16</v>
      </c>
      <c r="H8" s="0" t="n">
        <v>1</v>
      </c>
      <c r="I8" s="0" t="n">
        <v>2</v>
      </c>
      <c r="J8" s="0" t="n">
        <v>9</v>
      </c>
      <c r="K8" s="0" t="n">
        <v>1</v>
      </c>
      <c r="L8" s="0" t="n">
        <v>9</v>
      </c>
      <c r="M8" s="0" t="n">
        <v>1</v>
      </c>
      <c r="N8" s="0" t="n">
        <v>0</v>
      </c>
      <c r="P8" s="6" t="n">
        <f aca="false">(ROUNDUP(D8*12/G8,0)+1+I8)*E8*H8</f>
        <v>195.78</v>
      </c>
      <c r="T8" s="6" t="n">
        <f aca="false">(D8-0)*H8</f>
        <v>15.23</v>
      </c>
      <c r="U8" s="6" t="n">
        <f aca="false">D8*H8</f>
        <v>15.23</v>
      </c>
      <c r="X8" s="6" t="n">
        <f aca="false">D8*3</f>
        <v>45.69</v>
      </c>
      <c r="Y8" s="6" t="n">
        <f aca="false">D8*(J8*K8+L8*M8)-N8*2</f>
        <v>274.14</v>
      </c>
      <c r="AH8" s="6" t="n">
        <f aca="false">D8*E8</f>
        <v>198.78196</v>
      </c>
      <c r="AK8" s="6" t="n">
        <f aca="false">D8*2*H8</f>
        <v>30.46</v>
      </c>
      <c r="AT8" s="5" t="s">
        <v>52</v>
      </c>
    </row>
    <row r="9" customFormat="false" ht="41.75" hidden="false" customHeight="false" outlineLevel="0" collapsed="false">
      <c r="A9" s="5" t="s">
        <v>59</v>
      </c>
      <c r="B9" s="5" t="s">
        <v>50</v>
      </c>
      <c r="C9" s="5" t="s">
        <v>60</v>
      </c>
      <c r="D9" s="0" t="n">
        <v>8.17</v>
      </c>
      <c r="E9" s="0" t="n">
        <v>13.052</v>
      </c>
      <c r="F9" s="0" t="n">
        <v>2</v>
      </c>
      <c r="G9" s="0" t="n">
        <v>16</v>
      </c>
      <c r="H9" s="0" t="n">
        <v>1</v>
      </c>
      <c r="I9" s="0" t="n">
        <v>2</v>
      </c>
      <c r="J9" s="0" t="n">
        <v>9.5</v>
      </c>
      <c r="K9" s="0" t="n">
        <v>1</v>
      </c>
      <c r="L9" s="0" t="n">
        <v>9</v>
      </c>
      <c r="M9" s="0" t="n">
        <v>1</v>
      </c>
      <c r="N9" s="0" t="n">
        <v>0</v>
      </c>
      <c r="P9" s="6" t="n">
        <f aca="false">(ROUNDUP(D9*12/G9,0)+1+I9)*E9*H9</f>
        <v>130.52</v>
      </c>
      <c r="T9" s="6" t="n">
        <f aca="false">(D9-0)*H9</f>
        <v>8.17</v>
      </c>
      <c r="U9" s="6" t="n">
        <f aca="false">D9*H9</f>
        <v>8.17</v>
      </c>
      <c r="X9" s="6" t="n">
        <f aca="false">D9*3</f>
        <v>24.51</v>
      </c>
      <c r="Y9" s="6" t="n">
        <f aca="false">D9*(J9*K9+L9*M9)-N9*2</f>
        <v>151.145</v>
      </c>
      <c r="AH9" s="6" t="n">
        <f aca="false">D9*E9</f>
        <v>106.63484</v>
      </c>
      <c r="AK9" s="6" t="n">
        <f aca="false">D9*2*H9</f>
        <v>16.34</v>
      </c>
      <c r="AT9" s="5" t="s">
        <v>52</v>
      </c>
    </row>
    <row r="10" customFormat="false" ht="41.75" hidden="false" customHeight="false" outlineLevel="0" collapsed="false">
      <c r="A10" s="5" t="s">
        <v>61</v>
      </c>
      <c r="B10" s="5" t="s">
        <v>50</v>
      </c>
      <c r="C10" s="5" t="s">
        <v>62</v>
      </c>
      <c r="D10" s="0" t="n">
        <v>5.11</v>
      </c>
      <c r="E10" s="0" t="n">
        <v>13.052</v>
      </c>
      <c r="F10" s="0" t="n">
        <v>2</v>
      </c>
      <c r="G10" s="0" t="n">
        <v>16</v>
      </c>
      <c r="H10" s="0" t="n">
        <v>1</v>
      </c>
      <c r="I10" s="0" t="n">
        <v>6</v>
      </c>
      <c r="J10" s="0" t="n">
        <v>9.5</v>
      </c>
      <c r="K10" s="0" t="n">
        <v>1</v>
      </c>
      <c r="L10" s="0" t="n">
        <v>9</v>
      </c>
      <c r="M10" s="0" t="n">
        <v>1</v>
      </c>
      <c r="N10" s="0" t="n">
        <v>24</v>
      </c>
      <c r="P10" s="6" t="n">
        <f aca="false">(ROUNDUP(D10*12/G10,0)+1+I10)*E10*H10</f>
        <v>143.572</v>
      </c>
      <c r="T10" s="6" t="n">
        <f aca="false">(D10-3)*H10</f>
        <v>2.11</v>
      </c>
      <c r="U10" s="6" t="n">
        <f aca="false">D10*H10</f>
        <v>5.11</v>
      </c>
      <c r="X10" s="6" t="n">
        <f aca="false">D10*3</f>
        <v>15.33</v>
      </c>
      <c r="Y10" s="6" t="n">
        <f aca="false">D10*(J10*K10+L10*M10)-N10*2</f>
        <v>46.535</v>
      </c>
      <c r="AH10" s="6" t="n">
        <f aca="false">D10*E10</f>
        <v>66.69572</v>
      </c>
      <c r="AK10" s="6" t="n">
        <f aca="false">D10*2*H10</f>
        <v>10.22</v>
      </c>
      <c r="AT10" s="5" t="s">
        <v>52</v>
      </c>
    </row>
    <row r="11" customFormat="false" ht="41.75" hidden="false" customHeight="false" outlineLevel="0" collapsed="false">
      <c r="A11" s="5" t="s">
        <v>63</v>
      </c>
      <c r="B11" s="5" t="s">
        <v>54</v>
      </c>
      <c r="C11" s="5" t="s">
        <v>64</v>
      </c>
      <c r="D11" s="0" t="n">
        <v>5</v>
      </c>
      <c r="E11" s="0" t="n">
        <v>15.375</v>
      </c>
      <c r="F11" s="0" t="n">
        <v>2</v>
      </c>
      <c r="G11" s="0" t="n">
        <v>16</v>
      </c>
      <c r="H11" s="0" t="n">
        <v>1</v>
      </c>
      <c r="I11" s="0" t="n">
        <v>6</v>
      </c>
      <c r="J11" s="0" t="n">
        <v>9</v>
      </c>
      <c r="K11" s="0" t="n">
        <v>1</v>
      </c>
      <c r="L11" s="0" t="n">
        <v>12</v>
      </c>
      <c r="M11" s="0" t="n">
        <v>1</v>
      </c>
      <c r="N11" s="0" t="n">
        <v>24</v>
      </c>
      <c r="P11" s="6" t="n">
        <f aca="false">(ROUNDUP(D11*12/G11,0)+1+I11)*E11*H11</f>
        <v>169.125</v>
      </c>
      <c r="T11" s="6" t="n">
        <f aca="false">(D11-3)*H11</f>
        <v>2</v>
      </c>
      <c r="U11" s="6" t="n">
        <f aca="false">D11*H11</f>
        <v>5</v>
      </c>
      <c r="X11" s="6" t="n">
        <f aca="false">D11*3</f>
        <v>15</v>
      </c>
      <c r="Y11" s="6" t="n">
        <f aca="false">D11*(J11*K11+L11*M11)-N11*2</f>
        <v>57</v>
      </c>
      <c r="AH11" s="6" t="n">
        <f aca="false">D11*E11</f>
        <v>76.875</v>
      </c>
      <c r="AK11" s="6" t="n">
        <f aca="false">D11*2*H11</f>
        <v>10</v>
      </c>
      <c r="AT11" s="5" t="s">
        <v>56</v>
      </c>
    </row>
    <row r="12" customFormat="false" ht="41.75" hidden="false" customHeight="false" outlineLevel="0" collapsed="false">
      <c r="A12" s="5" t="s">
        <v>65</v>
      </c>
      <c r="B12" s="5" t="s">
        <v>54</v>
      </c>
      <c r="C12" s="5" t="s">
        <v>66</v>
      </c>
      <c r="D12" s="0" t="n">
        <v>3.12</v>
      </c>
      <c r="E12" s="0" t="n">
        <v>15.375</v>
      </c>
      <c r="F12" s="0" t="n">
        <v>2</v>
      </c>
      <c r="G12" s="0" t="n">
        <v>16</v>
      </c>
      <c r="H12" s="0" t="n">
        <v>1</v>
      </c>
      <c r="I12" s="0" t="n">
        <v>2</v>
      </c>
      <c r="J12" s="0" t="n">
        <v>9</v>
      </c>
      <c r="K12" s="0" t="n">
        <v>1</v>
      </c>
      <c r="L12" s="0" t="n">
        <v>12</v>
      </c>
      <c r="M12" s="0" t="n">
        <v>1</v>
      </c>
      <c r="N12" s="0" t="n">
        <v>0</v>
      </c>
      <c r="P12" s="6" t="n">
        <f aca="false">(ROUNDUP(D12*12/G12,0)+1+I12)*E12*H12</f>
        <v>92.25</v>
      </c>
      <c r="T12" s="6" t="n">
        <f aca="false">(D12-0)*H12</f>
        <v>3.12</v>
      </c>
      <c r="U12" s="6" t="n">
        <f aca="false">D12*H12</f>
        <v>3.12</v>
      </c>
      <c r="X12" s="6" t="n">
        <f aca="false">D12*3</f>
        <v>9.36</v>
      </c>
      <c r="Y12" s="6" t="n">
        <f aca="false">D12*(J12*K12+L12*M12)-N12*2</f>
        <v>65.52</v>
      </c>
      <c r="AH12" s="6" t="n">
        <f aca="false">D12*E12</f>
        <v>47.97</v>
      </c>
      <c r="AK12" s="6" t="n">
        <f aca="false">D12*2*H12</f>
        <v>6.24</v>
      </c>
      <c r="AT12" s="5" t="s">
        <v>56</v>
      </c>
    </row>
    <row r="13" customFormat="false" ht="41.75" hidden="false" customHeight="false" outlineLevel="0" collapsed="false">
      <c r="A13" s="5" t="s">
        <v>67</v>
      </c>
      <c r="B13" s="5" t="s">
        <v>54</v>
      </c>
      <c r="C13" s="5" t="s">
        <v>68</v>
      </c>
      <c r="D13" s="0" t="n">
        <v>2.02</v>
      </c>
      <c r="E13" s="0" t="n">
        <v>15.375</v>
      </c>
      <c r="F13" s="0" t="n">
        <v>2</v>
      </c>
      <c r="G13" s="0" t="n">
        <v>16</v>
      </c>
      <c r="H13" s="0" t="n">
        <v>1</v>
      </c>
      <c r="I13" s="0" t="n">
        <v>2</v>
      </c>
      <c r="J13" s="0" t="n">
        <v>9</v>
      </c>
      <c r="K13" s="0" t="n">
        <v>1</v>
      </c>
      <c r="L13" s="0" t="n">
        <v>12</v>
      </c>
      <c r="M13" s="0" t="n">
        <v>1</v>
      </c>
      <c r="N13" s="0" t="n">
        <v>0</v>
      </c>
      <c r="P13" s="6" t="n">
        <f aca="false">(ROUNDUP(D13*12/G13,0)+1+I13)*E13*H13</f>
        <v>76.875</v>
      </c>
      <c r="T13" s="6" t="n">
        <f aca="false">(D13-0)*H13</f>
        <v>2.02</v>
      </c>
      <c r="U13" s="6" t="n">
        <f aca="false">D13*H13</f>
        <v>2.02</v>
      </c>
      <c r="X13" s="6" t="n">
        <f aca="false">D13*3</f>
        <v>6.06</v>
      </c>
      <c r="Y13" s="6" t="n">
        <f aca="false">D13*(J13*K13+L13*M13)-N13*2</f>
        <v>42.42</v>
      </c>
      <c r="AH13" s="6" t="n">
        <f aca="false">D13*E13</f>
        <v>31.0575</v>
      </c>
      <c r="AK13" s="6" t="n">
        <f aca="false">D13*2*H13</f>
        <v>4.04</v>
      </c>
      <c r="AT13" s="5" t="s">
        <v>56</v>
      </c>
    </row>
    <row r="14" customFormat="false" ht="41.75" hidden="false" customHeight="false" outlineLevel="0" collapsed="false">
      <c r="A14" s="5" t="s">
        <v>69</v>
      </c>
      <c r="B14" s="5" t="s">
        <v>50</v>
      </c>
      <c r="C14" s="5" t="s">
        <v>70</v>
      </c>
      <c r="D14" s="0" t="n">
        <v>1.73</v>
      </c>
      <c r="E14" s="0" t="n">
        <v>13.052</v>
      </c>
      <c r="F14" s="0" t="n">
        <v>2</v>
      </c>
      <c r="G14" s="0" t="n">
        <v>16</v>
      </c>
      <c r="H14" s="0" t="n">
        <v>1</v>
      </c>
      <c r="I14" s="0" t="n">
        <v>2</v>
      </c>
      <c r="J14" s="0" t="n">
        <v>9</v>
      </c>
      <c r="K14" s="0" t="n">
        <v>1</v>
      </c>
      <c r="L14" s="0" t="n">
        <v>9.5</v>
      </c>
      <c r="M14" s="0" t="n">
        <v>1</v>
      </c>
      <c r="N14" s="0" t="n">
        <v>0</v>
      </c>
      <c r="P14" s="6" t="n">
        <f aca="false">(ROUNDUP(D14*12/G14,0)+1+I14)*E14*H14</f>
        <v>65.26</v>
      </c>
      <c r="T14" s="6" t="n">
        <f aca="false">(D14-0)*H14</f>
        <v>1.73</v>
      </c>
      <c r="U14" s="6" t="n">
        <f aca="false">D14*H14</f>
        <v>1.73</v>
      </c>
      <c r="X14" s="6" t="n">
        <f aca="false">D14*3</f>
        <v>5.19</v>
      </c>
      <c r="Y14" s="6" t="n">
        <f aca="false">D14*(J14*K14+L14*M14)-N14*2</f>
        <v>32.005</v>
      </c>
      <c r="AH14" s="6" t="n">
        <f aca="false">D14*E14</f>
        <v>22.57996</v>
      </c>
      <c r="AK14" s="6" t="n">
        <f aca="false">D14*2*H14</f>
        <v>3.46</v>
      </c>
      <c r="AT14" s="5" t="s">
        <v>52</v>
      </c>
    </row>
    <row r="15" customFormat="false" ht="15" hidden="false" customHeight="false" outlineLevel="0" collapsed="false">
      <c r="A15" s="3" t="s">
        <v>71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customFormat="false" ht="55.2" hidden="false" customHeight="false" outlineLevel="0" collapsed="false">
      <c r="A16" s="5" t="s">
        <v>72</v>
      </c>
      <c r="B16" s="5" t="s">
        <v>73</v>
      </c>
      <c r="C16" s="5" t="s">
        <v>74</v>
      </c>
      <c r="D16" s="0" t="n">
        <v>14.98</v>
      </c>
      <c r="E16" s="0" t="n">
        <v>15.375</v>
      </c>
      <c r="F16" s="0" t="n">
        <v>2</v>
      </c>
      <c r="G16" s="0" t="n">
        <v>16</v>
      </c>
      <c r="H16" s="0" t="n">
        <v>1</v>
      </c>
      <c r="I16" s="0" t="n">
        <v>2</v>
      </c>
      <c r="J16" s="0" t="n">
        <v>9</v>
      </c>
      <c r="K16" s="0" t="n">
        <v>1</v>
      </c>
      <c r="L16" s="0" t="n">
        <v>12</v>
      </c>
      <c r="M16" s="0" t="n">
        <v>1</v>
      </c>
      <c r="N16" s="0" t="n">
        <v>0</v>
      </c>
      <c r="O16" s="6" t="n">
        <f aca="false">(ROUNDUP(D16*12/G16,0)+1+I16)*E16*H16</f>
        <v>230.625</v>
      </c>
      <c r="T16" s="6" t="n">
        <f aca="false">(D16-0)*H16</f>
        <v>14.98</v>
      </c>
      <c r="U16" s="6" t="n">
        <f aca="false">D16*H16</f>
        <v>14.98</v>
      </c>
      <c r="X16" s="6" t="n">
        <f aca="false">D16*3</f>
        <v>44.94</v>
      </c>
      <c r="Y16" s="6" t="n">
        <f aca="false">D16*(J16*K16+L16*M16)-N16*2</f>
        <v>314.58</v>
      </c>
      <c r="AH16" s="6" t="n">
        <f aca="false">D16*E16</f>
        <v>230.3175</v>
      </c>
      <c r="AK16" s="6" t="n">
        <f aca="false">D16*2*H16</f>
        <v>29.96</v>
      </c>
      <c r="AT16" s="5" t="s">
        <v>56</v>
      </c>
    </row>
    <row r="17" customFormat="false" ht="41.75" hidden="false" customHeight="false" outlineLevel="0" collapsed="false">
      <c r="A17" s="5" t="s">
        <v>75</v>
      </c>
      <c r="B17" s="5" t="s">
        <v>73</v>
      </c>
      <c r="C17" s="5" t="s">
        <v>76</v>
      </c>
      <c r="D17" s="0" t="n">
        <v>10.59</v>
      </c>
      <c r="E17" s="0" t="n">
        <v>15.375</v>
      </c>
      <c r="F17" s="0" t="n">
        <v>2</v>
      </c>
      <c r="G17" s="0" t="n">
        <v>16</v>
      </c>
      <c r="H17" s="0" t="n">
        <v>1</v>
      </c>
      <c r="I17" s="0" t="n">
        <v>2</v>
      </c>
      <c r="J17" s="0" t="n">
        <v>12</v>
      </c>
      <c r="K17" s="0" t="n">
        <v>1</v>
      </c>
      <c r="L17" s="0" t="n">
        <v>9</v>
      </c>
      <c r="M17" s="0" t="n">
        <v>1</v>
      </c>
      <c r="N17" s="0" t="n">
        <v>0</v>
      </c>
      <c r="O17" s="6" t="n">
        <f aca="false">(ROUNDUP(D17*12/G17,0)+1+I17)*E17*H17</f>
        <v>169.125</v>
      </c>
      <c r="T17" s="6" t="n">
        <f aca="false">(D17-0)*H17</f>
        <v>10.59</v>
      </c>
      <c r="U17" s="6" t="n">
        <f aca="false">D17*H17</f>
        <v>10.59</v>
      </c>
      <c r="X17" s="6" t="n">
        <f aca="false">D17*3</f>
        <v>31.77</v>
      </c>
      <c r="Y17" s="6" t="n">
        <f aca="false">D17*(J17*K17+L17*M17)-N17*2</f>
        <v>222.39</v>
      </c>
      <c r="AH17" s="6" t="n">
        <f aca="false">D17*E17</f>
        <v>162.82125</v>
      </c>
      <c r="AK17" s="6" t="n">
        <f aca="false">D17*2*H17</f>
        <v>21.18</v>
      </c>
      <c r="AT17" s="5" t="s">
        <v>56</v>
      </c>
    </row>
    <row r="18" customFormat="false" ht="55.2" hidden="false" customHeight="false" outlineLevel="0" collapsed="false">
      <c r="A18" s="5" t="s">
        <v>77</v>
      </c>
      <c r="B18" s="5" t="s">
        <v>78</v>
      </c>
      <c r="C18" s="5" t="s">
        <v>79</v>
      </c>
      <c r="D18" s="0" t="n">
        <v>4.02</v>
      </c>
      <c r="E18" s="0" t="n">
        <v>13.052</v>
      </c>
      <c r="F18" s="0" t="n">
        <v>2</v>
      </c>
      <c r="G18" s="0" t="n">
        <v>16</v>
      </c>
      <c r="H18" s="0" t="n">
        <v>1</v>
      </c>
      <c r="I18" s="0" t="n">
        <v>2</v>
      </c>
      <c r="J18" s="0" t="n">
        <v>9</v>
      </c>
      <c r="K18" s="0" t="n">
        <v>1</v>
      </c>
      <c r="L18" s="0" t="n">
        <v>9.5</v>
      </c>
      <c r="M18" s="0" t="n">
        <v>1</v>
      </c>
      <c r="N18" s="0" t="n">
        <v>0</v>
      </c>
      <c r="O18" s="6" t="n">
        <f aca="false">(ROUNDUP(D18*12/G18,0)+1+I18)*E18*H18</f>
        <v>91.364</v>
      </c>
      <c r="T18" s="6" t="n">
        <f aca="false">(D18-0)*H18</f>
        <v>4.02</v>
      </c>
      <c r="U18" s="6" t="n">
        <f aca="false">D18*H18</f>
        <v>4.02</v>
      </c>
      <c r="X18" s="6" t="n">
        <f aca="false">D18*3</f>
        <v>12.06</v>
      </c>
      <c r="Y18" s="6" t="n">
        <f aca="false">D18*(J18*K18+L18*M18)-N18*2</f>
        <v>74.37</v>
      </c>
      <c r="AH18" s="6" t="n">
        <f aca="false">D18*E18</f>
        <v>52.46904</v>
      </c>
      <c r="AK18" s="6" t="n">
        <f aca="false">D18*2*H18</f>
        <v>8.04</v>
      </c>
      <c r="AT18" s="5" t="s">
        <v>52</v>
      </c>
    </row>
    <row r="19" customFormat="false" ht="55.2" hidden="false" customHeight="false" outlineLevel="0" collapsed="false">
      <c r="A19" s="5" t="s">
        <v>80</v>
      </c>
      <c r="B19" s="5" t="s">
        <v>78</v>
      </c>
      <c r="C19" s="5" t="s">
        <v>81</v>
      </c>
      <c r="D19" s="0" t="n">
        <v>3.28</v>
      </c>
      <c r="E19" s="0" t="n">
        <v>13.052</v>
      </c>
      <c r="F19" s="0" t="n">
        <v>2</v>
      </c>
      <c r="G19" s="0" t="n">
        <v>16</v>
      </c>
      <c r="H19" s="0" t="n">
        <v>1</v>
      </c>
      <c r="I19" s="0" t="n">
        <v>2</v>
      </c>
      <c r="J19" s="0" t="n">
        <v>9</v>
      </c>
      <c r="K19" s="0" t="n">
        <v>1</v>
      </c>
      <c r="L19" s="0" t="n">
        <v>9.5</v>
      </c>
      <c r="M19" s="0" t="n">
        <v>1</v>
      </c>
      <c r="N19" s="0" t="n">
        <v>0</v>
      </c>
      <c r="O19" s="6" t="n">
        <f aca="false">(ROUNDUP(D19*12/G19,0)+1+I19)*E19*H19</f>
        <v>78.312</v>
      </c>
      <c r="T19" s="6" t="n">
        <f aca="false">(D19-0)*H19</f>
        <v>3.28</v>
      </c>
      <c r="U19" s="6" t="n">
        <f aca="false">D19*H19</f>
        <v>3.28</v>
      </c>
      <c r="X19" s="6" t="n">
        <f aca="false">D19*3</f>
        <v>9.84</v>
      </c>
      <c r="Y19" s="6" t="n">
        <f aca="false">D19*(J19*K19+L19*M19)-N19*2</f>
        <v>60.68</v>
      </c>
      <c r="AH19" s="6" t="n">
        <f aca="false">D19*E19</f>
        <v>42.81056</v>
      </c>
      <c r="AK19" s="6" t="n">
        <f aca="false">D19*2*H19</f>
        <v>6.56</v>
      </c>
      <c r="AT19" s="5" t="s">
        <v>52</v>
      </c>
    </row>
    <row r="20" customFormat="false" ht="41.75" hidden="false" customHeight="false" outlineLevel="0" collapsed="false">
      <c r="A20" s="5" t="s">
        <v>82</v>
      </c>
      <c r="B20" s="5" t="s">
        <v>78</v>
      </c>
      <c r="C20" s="5" t="s">
        <v>83</v>
      </c>
      <c r="D20" s="0" t="n">
        <v>0.97</v>
      </c>
      <c r="E20" s="0" t="n">
        <v>13.052</v>
      </c>
      <c r="F20" s="0" t="n">
        <v>2</v>
      </c>
      <c r="G20" s="0" t="n">
        <v>16</v>
      </c>
      <c r="H20" s="0" t="n">
        <v>1</v>
      </c>
      <c r="I20" s="0" t="n">
        <v>2</v>
      </c>
      <c r="J20" s="0" t="n">
        <v>9</v>
      </c>
      <c r="K20" s="0" t="n">
        <v>1</v>
      </c>
      <c r="L20" s="0" t="n">
        <v>9</v>
      </c>
      <c r="M20" s="0" t="n">
        <v>1</v>
      </c>
      <c r="N20" s="0" t="n">
        <v>0</v>
      </c>
      <c r="O20" s="6" t="n">
        <f aca="false">(ROUNDUP(D20*12/G20,0)+1+I20)*E20*H20</f>
        <v>52.208</v>
      </c>
      <c r="T20" s="6" t="n">
        <f aca="false">(D20-0)*H20</f>
        <v>0.97</v>
      </c>
      <c r="U20" s="6" t="n">
        <f aca="false">D20*H20</f>
        <v>0.97</v>
      </c>
      <c r="X20" s="6" t="n">
        <f aca="false">D20*3</f>
        <v>2.91</v>
      </c>
      <c r="Y20" s="6" t="n">
        <f aca="false">D20*(J20*K20+L20*M20)-N20*2</f>
        <v>17.46</v>
      </c>
      <c r="AH20" s="6" t="n">
        <f aca="false">D20*E20</f>
        <v>12.66044</v>
      </c>
      <c r="AK20" s="6" t="n">
        <f aca="false">D20*2*H20</f>
        <v>1.94</v>
      </c>
      <c r="AT20" s="5" t="s">
        <v>52</v>
      </c>
    </row>
    <row r="21" customFormat="false" ht="15" hidden="false" customHeight="false" outlineLevel="0" collapsed="false">
      <c r="A21" s="3" t="s">
        <v>84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customFormat="false" ht="41.75" hidden="false" customHeight="false" outlineLevel="0" collapsed="false">
      <c r="A22" s="5" t="s">
        <v>85</v>
      </c>
      <c r="B22" s="5" t="s">
        <v>86</v>
      </c>
      <c r="C22" s="5" t="s">
        <v>87</v>
      </c>
      <c r="D22" s="0" t="n">
        <v>13.74</v>
      </c>
      <c r="E22" s="0" t="n">
        <v>13.052</v>
      </c>
      <c r="F22" s="0" t="n">
        <v>2</v>
      </c>
      <c r="G22" s="0" t="n">
        <v>16</v>
      </c>
      <c r="H22" s="0" t="n">
        <v>1</v>
      </c>
      <c r="I22" s="0" t="n">
        <v>10</v>
      </c>
      <c r="J22" s="0" t="n">
        <v>13.052</v>
      </c>
      <c r="K22" s="0" t="n">
        <v>1</v>
      </c>
      <c r="L22" s="0" t="n">
        <v>13.052</v>
      </c>
      <c r="M22" s="0" t="n">
        <v>1</v>
      </c>
      <c r="N22" s="0" t="n">
        <v>42</v>
      </c>
      <c r="P22" s="6" t="n">
        <f aca="false">(ROUNDUP(D22*12/G22,0)+1+I22)*E22*H22</f>
        <v>287.144</v>
      </c>
      <c r="T22" s="6" t="n">
        <f aca="false">(D22-6)*H22</f>
        <v>7.74</v>
      </c>
      <c r="U22" s="6" t="n">
        <f aca="false">D22*H22</f>
        <v>13.74</v>
      </c>
      <c r="X22" s="6" t="n">
        <f aca="false">D22*3</f>
        <v>41.22</v>
      </c>
      <c r="Y22" s="6" t="n">
        <f aca="false">D22*(J22*K22+L22*M22)-N22*2</f>
        <v>274.66896</v>
      </c>
      <c r="AH22" s="6" t="n">
        <f aca="false">D22*E22</f>
        <v>179.33448</v>
      </c>
      <c r="AK22" s="6" t="n">
        <f aca="false">D22*4</f>
        <v>54.96</v>
      </c>
      <c r="AT22" s="5" t="s">
        <v>52</v>
      </c>
    </row>
    <row r="23" customFormat="false" ht="41.75" hidden="false" customHeight="false" outlineLevel="0" collapsed="false">
      <c r="A23" s="5" t="s">
        <v>88</v>
      </c>
      <c r="B23" s="5" t="s">
        <v>86</v>
      </c>
      <c r="C23" s="5" t="s">
        <v>89</v>
      </c>
      <c r="D23" s="0" t="n">
        <v>11.73</v>
      </c>
      <c r="E23" s="0" t="n">
        <v>13.052</v>
      </c>
      <c r="F23" s="0" t="n">
        <v>2</v>
      </c>
      <c r="G23" s="0" t="n">
        <v>16</v>
      </c>
      <c r="H23" s="0" t="n">
        <v>1</v>
      </c>
      <c r="I23" s="0" t="n">
        <v>2</v>
      </c>
      <c r="J23" s="0" t="n">
        <v>13.052</v>
      </c>
      <c r="K23" s="0" t="n">
        <v>1</v>
      </c>
      <c r="L23" s="0" t="n">
        <v>13.052</v>
      </c>
      <c r="M23" s="0" t="n">
        <v>1</v>
      </c>
      <c r="N23" s="0" t="n">
        <v>0</v>
      </c>
      <c r="P23" s="6" t="n">
        <f aca="false">(ROUNDUP(D23*12/G23,0)+1+I23)*E23*H23</f>
        <v>156.624</v>
      </c>
      <c r="T23" s="6" t="n">
        <f aca="false">(D23-0)*H23</f>
        <v>11.73</v>
      </c>
      <c r="U23" s="6" t="n">
        <f aca="false">D23*H23</f>
        <v>11.73</v>
      </c>
      <c r="X23" s="6" t="n">
        <f aca="false">D23*3</f>
        <v>35.19</v>
      </c>
      <c r="Y23" s="6" t="n">
        <f aca="false">D23*(J23*K23+L23*M23)-N23*2</f>
        <v>306.19992</v>
      </c>
      <c r="AH23" s="6" t="n">
        <f aca="false">D23*E23</f>
        <v>153.09996</v>
      </c>
      <c r="AK23" s="6" t="n">
        <f aca="false">D23*4</f>
        <v>46.92</v>
      </c>
      <c r="AT23" s="5" t="s">
        <v>52</v>
      </c>
    </row>
    <row r="24" customFormat="false" ht="41.75" hidden="false" customHeight="false" outlineLevel="0" collapsed="false">
      <c r="A24" s="5" t="s">
        <v>90</v>
      </c>
      <c r="B24" s="5" t="s">
        <v>86</v>
      </c>
      <c r="C24" s="5" t="s">
        <v>91</v>
      </c>
      <c r="D24" s="0" t="n">
        <v>11.73</v>
      </c>
      <c r="E24" s="0" t="n">
        <v>13.052</v>
      </c>
      <c r="F24" s="0" t="n">
        <v>2</v>
      </c>
      <c r="G24" s="0" t="n">
        <v>16</v>
      </c>
      <c r="H24" s="0" t="n">
        <v>1</v>
      </c>
      <c r="I24" s="0" t="n">
        <v>6</v>
      </c>
      <c r="J24" s="0" t="n">
        <v>13.052</v>
      </c>
      <c r="K24" s="0" t="n">
        <v>1</v>
      </c>
      <c r="L24" s="0" t="n">
        <v>13.052</v>
      </c>
      <c r="M24" s="0" t="n">
        <v>1</v>
      </c>
      <c r="N24" s="0" t="n">
        <v>21</v>
      </c>
      <c r="P24" s="6" t="n">
        <f aca="false">(ROUNDUP(D24*12/G24,0)+1+I24)*E24*H24</f>
        <v>208.832</v>
      </c>
      <c r="T24" s="6" t="n">
        <f aca="false">(D24-3)*H24</f>
        <v>8.73</v>
      </c>
      <c r="U24" s="6" t="n">
        <f aca="false">D24*H24</f>
        <v>11.73</v>
      </c>
      <c r="X24" s="6" t="n">
        <f aca="false">D24*3</f>
        <v>35.19</v>
      </c>
      <c r="Y24" s="6" t="n">
        <f aca="false">D24*(J24*K24+L24*M24)-N24*2</f>
        <v>264.19992</v>
      </c>
      <c r="AH24" s="6" t="n">
        <f aca="false">D24*E24</f>
        <v>153.09996</v>
      </c>
      <c r="AK24" s="6" t="n">
        <f aca="false">D24*4</f>
        <v>46.92</v>
      </c>
      <c r="AT24" s="5" t="s">
        <v>52</v>
      </c>
    </row>
    <row r="25" customFormat="false" ht="41.75" hidden="false" customHeight="false" outlineLevel="0" collapsed="false">
      <c r="A25" s="5" t="s">
        <v>92</v>
      </c>
      <c r="B25" s="5" t="s">
        <v>86</v>
      </c>
      <c r="C25" s="5" t="s">
        <v>93</v>
      </c>
      <c r="D25" s="0" t="n">
        <v>9.58</v>
      </c>
      <c r="E25" s="0" t="n">
        <v>13.052</v>
      </c>
      <c r="F25" s="0" t="n">
        <v>2</v>
      </c>
      <c r="G25" s="0" t="n">
        <v>16</v>
      </c>
      <c r="H25" s="0" t="n">
        <v>1</v>
      </c>
      <c r="I25" s="0" t="n">
        <v>2</v>
      </c>
      <c r="J25" s="0" t="n">
        <v>13.052</v>
      </c>
      <c r="K25" s="0" t="n">
        <v>1</v>
      </c>
      <c r="L25" s="0" t="n">
        <v>13.052</v>
      </c>
      <c r="M25" s="0" t="n">
        <v>1</v>
      </c>
      <c r="N25" s="0" t="n">
        <v>0</v>
      </c>
      <c r="P25" s="6" t="n">
        <f aca="false">(ROUNDUP(D25*12/G25,0)+1+I25)*E25*H25</f>
        <v>143.572</v>
      </c>
      <c r="T25" s="6" t="n">
        <f aca="false">(D25-0)*H25</f>
        <v>9.58</v>
      </c>
      <c r="U25" s="6" t="n">
        <f aca="false">D25*H25</f>
        <v>9.58</v>
      </c>
      <c r="X25" s="6" t="n">
        <f aca="false">D25*3</f>
        <v>28.74</v>
      </c>
      <c r="Y25" s="6" t="n">
        <f aca="false">D25*(J25*K25+L25*M25)-N25*2</f>
        <v>250.07632</v>
      </c>
      <c r="AH25" s="6" t="n">
        <f aca="false">D25*E25</f>
        <v>125.03816</v>
      </c>
      <c r="AK25" s="6" t="n">
        <f aca="false">D25*4</f>
        <v>38.32</v>
      </c>
      <c r="AT25" s="5" t="s">
        <v>52</v>
      </c>
    </row>
    <row r="26" customFormat="false" ht="41.75" hidden="false" customHeight="false" outlineLevel="0" collapsed="false">
      <c r="A26" s="5" t="s">
        <v>94</v>
      </c>
      <c r="B26" s="5" t="s">
        <v>86</v>
      </c>
      <c r="C26" s="5" t="s">
        <v>95</v>
      </c>
      <c r="D26" s="0" t="n">
        <v>9.58</v>
      </c>
      <c r="E26" s="0" t="n">
        <v>13.052</v>
      </c>
      <c r="F26" s="0" t="n">
        <v>2</v>
      </c>
      <c r="G26" s="0" t="n">
        <v>16</v>
      </c>
      <c r="H26" s="0" t="n">
        <v>1</v>
      </c>
      <c r="I26" s="0" t="n">
        <v>2</v>
      </c>
      <c r="J26" s="0" t="n">
        <v>13.052</v>
      </c>
      <c r="K26" s="0" t="n">
        <v>1</v>
      </c>
      <c r="L26" s="0" t="n">
        <v>13.052</v>
      </c>
      <c r="M26" s="0" t="n">
        <v>1</v>
      </c>
      <c r="N26" s="0" t="n">
        <v>0</v>
      </c>
      <c r="P26" s="6" t="n">
        <f aca="false">(ROUNDUP(D26*12/G26,0)+1+I26)*E26*H26</f>
        <v>143.572</v>
      </c>
      <c r="T26" s="6" t="n">
        <f aca="false">(D26-0)*H26</f>
        <v>9.58</v>
      </c>
      <c r="U26" s="6" t="n">
        <f aca="false">D26*H26</f>
        <v>9.58</v>
      </c>
      <c r="X26" s="6" t="n">
        <f aca="false">D26*3</f>
        <v>28.74</v>
      </c>
      <c r="Y26" s="6" t="n">
        <f aca="false">D26*(J26*K26+L26*M26)-N26*2</f>
        <v>250.07632</v>
      </c>
      <c r="AH26" s="6" t="n">
        <f aca="false">D26*E26</f>
        <v>125.03816</v>
      </c>
      <c r="AK26" s="6" t="n">
        <f aca="false">D26*4</f>
        <v>38.32</v>
      </c>
      <c r="AT26" s="5" t="s">
        <v>52</v>
      </c>
    </row>
    <row r="27" customFormat="false" ht="41.75" hidden="false" customHeight="false" outlineLevel="0" collapsed="false">
      <c r="A27" s="5" t="s">
        <v>96</v>
      </c>
      <c r="B27" s="5" t="s">
        <v>86</v>
      </c>
      <c r="C27" s="5" t="s">
        <v>97</v>
      </c>
      <c r="D27" s="0" t="n">
        <v>4.89</v>
      </c>
      <c r="E27" s="0" t="n">
        <v>13.052</v>
      </c>
      <c r="F27" s="0" t="n">
        <v>2</v>
      </c>
      <c r="G27" s="0" t="n">
        <v>16</v>
      </c>
      <c r="H27" s="0" t="n">
        <v>1</v>
      </c>
      <c r="I27" s="0" t="n">
        <v>2</v>
      </c>
      <c r="J27" s="0" t="n">
        <v>13.052</v>
      </c>
      <c r="K27" s="0" t="n">
        <v>1</v>
      </c>
      <c r="L27" s="0" t="n">
        <v>13.052</v>
      </c>
      <c r="M27" s="0" t="n">
        <v>1</v>
      </c>
      <c r="N27" s="0" t="n">
        <v>0</v>
      </c>
      <c r="P27" s="6" t="n">
        <f aca="false">(ROUNDUP(D27*12/G27,0)+1+I27)*E27*H27</f>
        <v>91.364</v>
      </c>
      <c r="T27" s="6" t="n">
        <f aca="false">(D27-0)*H27</f>
        <v>4.89</v>
      </c>
      <c r="U27" s="6" t="n">
        <f aca="false">D27*H27</f>
        <v>4.89</v>
      </c>
      <c r="X27" s="6" t="n">
        <f aca="false">D27*3</f>
        <v>14.67</v>
      </c>
      <c r="Y27" s="6" t="n">
        <f aca="false">D27*(J27*K27+L27*M27)-N27*2</f>
        <v>127.64856</v>
      </c>
      <c r="AH27" s="6" t="n">
        <f aca="false">D27*E27</f>
        <v>63.82428</v>
      </c>
      <c r="AK27" s="6" t="n">
        <f aca="false">D27*4</f>
        <v>19.56</v>
      </c>
      <c r="AT27" s="5" t="s">
        <v>52</v>
      </c>
    </row>
    <row r="28" customFormat="false" ht="41.75" hidden="false" customHeight="false" outlineLevel="0" collapsed="false">
      <c r="A28" s="5" t="s">
        <v>98</v>
      </c>
      <c r="B28" s="5" t="s">
        <v>86</v>
      </c>
      <c r="C28" s="5" t="s">
        <v>99</v>
      </c>
      <c r="D28" s="0" t="n">
        <v>3.5</v>
      </c>
      <c r="E28" s="0" t="n">
        <v>13.052</v>
      </c>
      <c r="F28" s="0" t="n">
        <v>2</v>
      </c>
      <c r="G28" s="0" t="n">
        <v>16</v>
      </c>
      <c r="H28" s="0" t="n">
        <v>1</v>
      </c>
      <c r="I28" s="0" t="n">
        <v>2</v>
      </c>
      <c r="J28" s="0" t="n">
        <v>13.052</v>
      </c>
      <c r="K28" s="0" t="n">
        <v>1</v>
      </c>
      <c r="L28" s="0" t="n">
        <v>13.052</v>
      </c>
      <c r="M28" s="0" t="n">
        <v>1</v>
      </c>
      <c r="N28" s="0" t="n">
        <v>0</v>
      </c>
      <c r="P28" s="6" t="n">
        <f aca="false">(ROUNDUP(D28*12/G28,0)+1+I28)*E28*H28</f>
        <v>78.312</v>
      </c>
      <c r="T28" s="6" t="n">
        <f aca="false">(D28-0)*H28</f>
        <v>3.5</v>
      </c>
      <c r="U28" s="6" t="n">
        <f aca="false">D28*H28</f>
        <v>3.5</v>
      </c>
      <c r="X28" s="6" t="n">
        <f aca="false">D28*3</f>
        <v>10.5</v>
      </c>
      <c r="Y28" s="6" t="n">
        <f aca="false">D28*(J28*K28+L28*M28)-N28*2</f>
        <v>91.364</v>
      </c>
      <c r="AH28" s="6" t="n">
        <f aca="false">D28*E28</f>
        <v>45.682</v>
      </c>
      <c r="AK28" s="6" t="n">
        <f aca="false">D28*4</f>
        <v>14</v>
      </c>
      <c r="AT28" s="5" t="s">
        <v>52</v>
      </c>
    </row>
    <row r="29" customFormat="false" ht="41.75" hidden="false" customHeight="false" outlineLevel="0" collapsed="false">
      <c r="A29" s="5" t="s">
        <v>100</v>
      </c>
      <c r="B29" s="5" t="s">
        <v>86</v>
      </c>
      <c r="C29" s="5" t="s">
        <v>101</v>
      </c>
      <c r="D29" s="0" t="n">
        <v>1.9</v>
      </c>
      <c r="E29" s="0" t="n">
        <v>13.052</v>
      </c>
      <c r="F29" s="0" t="n">
        <v>2</v>
      </c>
      <c r="G29" s="0" t="n">
        <v>16</v>
      </c>
      <c r="H29" s="0" t="n">
        <v>1</v>
      </c>
      <c r="I29" s="0" t="n">
        <v>2</v>
      </c>
      <c r="J29" s="0" t="n">
        <v>13.052</v>
      </c>
      <c r="K29" s="0" t="n">
        <v>1</v>
      </c>
      <c r="L29" s="0" t="n">
        <v>13.052</v>
      </c>
      <c r="M29" s="0" t="n">
        <v>1</v>
      </c>
      <c r="N29" s="0" t="n">
        <v>0</v>
      </c>
      <c r="P29" s="6" t="n">
        <f aca="false">(ROUNDUP(D29*12/G29,0)+1+I29)*E29*H29</f>
        <v>65.26</v>
      </c>
      <c r="T29" s="6" t="n">
        <f aca="false">(D29-0)*H29</f>
        <v>1.9</v>
      </c>
      <c r="U29" s="6" t="n">
        <f aca="false">D29*H29</f>
        <v>1.9</v>
      </c>
      <c r="X29" s="6" t="n">
        <f aca="false">D29*3</f>
        <v>5.7</v>
      </c>
      <c r="Y29" s="6" t="n">
        <f aca="false">D29*(J29*K29+L29*M29)-N29*2</f>
        <v>49.5976</v>
      </c>
      <c r="AH29" s="6" t="n">
        <f aca="false">D29*E29</f>
        <v>24.7988</v>
      </c>
      <c r="AK29" s="6" t="n">
        <f aca="false">D29*4</f>
        <v>7.6</v>
      </c>
      <c r="AT29" s="5" t="s">
        <v>52</v>
      </c>
    </row>
    <row r="30" customFormat="false" ht="41.75" hidden="false" customHeight="false" outlineLevel="0" collapsed="false">
      <c r="A30" s="5" t="s">
        <v>102</v>
      </c>
      <c r="B30" s="5" t="s">
        <v>86</v>
      </c>
      <c r="C30" s="5" t="s">
        <v>103</v>
      </c>
      <c r="D30" s="0" t="n">
        <v>1.9</v>
      </c>
      <c r="E30" s="0" t="n">
        <v>13.052</v>
      </c>
      <c r="F30" s="0" t="n">
        <v>2</v>
      </c>
      <c r="G30" s="0" t="n">
        <v>16</v>
      </c>
      <c r="H30" s="0" t="n">
        <v>1</v>
      </c>
      <c r="I30" s="0" t="n">
        <v>2</v>
      </c>
      <c r="J30" s="0" t="n">
        <v>13.052</v>
      </c>
      <c r="K30" s="0" t="n">
        <v>1</v>
      </c>
      <c r="L30" s="0" t="n">
        <v>13.052</v>
      </c>
      <c r="M30" s="0" t="n">
        <v>1</v>
      </c>
      <c r="N30" s="0" t="n">
        <v>0</v>
      </c>
      <c r="P30" s="6" t="n">
        <f aca="false">(ROUNDUP(D30*12/G30,0)+1+I30)*E30*H30</f>
        <v>65.26</v>
      </c>
      <c r="T30" s="6" t="n">
        <f aca="false">(D30-0)*H30</f>
        <v>1.9</v>
      </c>
      <c r="U30" s="6" t="n">
        <f aca="false">D30*H30</f>
        <v>1.9</v>
      </c>
      <c r="X30" s="6" t="n">
        <f aca="false">D30*3</f>
        <v>5.7</v>
      </c>
      <c r="Y30" s="6" t="n">
        <f aca="false">D30*(J30*K30+L30*M30)-N30*2</f>
        <v>49.5976</v>
      </c>
      <c r="AH30" s="6" t="n">
        <f aca="false">D30*E30</f>
        <v>24.7988</v>
      </c>
      <c r="AK30" s="6" t="n">
        <f aca="false">D30*4</f>
        <v>7.6</v>
      </c>
      <c r="AT30" s="5" t="s">
        <v>52</v>
      </c>
    </row>
    <row r="31" customFormat="false" ht="15" hidden="false" customHeight="false" outlineLevel="0" collapsed="false">
      <c r="A31" s="3" t="s">
        <v>104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customFormat="false" ht="55.2" hidden="false" customHeight="false" outlineLevel="0" collapsed="false">
      <c r="A32" s="5" t="s">
        <v>105</v>
      </c>
      <c r="B32" s="5" t="s">
        <v>106</v>
      </c>
      <c r="C32" s="5" t="s">
        <v>107</v>
      </c>
      <c r="D32" s="0" t="n">
        <v>11.74</v>
      </c>
      <c r="E32" s="0" t="n">
        <v>13.052</v>
      </c>
      <c r="F32" s="0" t="n">
        <v>2</v>
      </c>
      <c r="G32" s="0" t="n">
        <v>16</v>
      </c>
      <c r="H32" s="0" t="n">
        <v>1</v>
      </c>
      <c r="I32" s="0" t="n">
        <v>2</v>
      </c>
      <c r="J32" s="0" t="n">
        <v>13.052</v>
      </c>
      <c r="K32" s="0" t="n">
        <v>1</v>
      </c>
      <c r="L32" s="0" t="n">
        <v>13.052</v>
      </c>
      <c r="M32" s="0" t="n">
        <v>1</v>
      </c>
      <c r="N32" s="0" t="n">
        <v>0</v>
      </c>
      <c r="O32" s="6" t="n">
        <f aca="false">(ROUNDUP(D32*12/G32,0)+1+I32)*E32*H32</f>
        <v>156.624</v>
      </c>
      <c r="T32" s="6" t="n">
        <f aca="false">(D32-0)*H32</f>
        <v>11.74</v>
      </c>
      <c r="U32" s="6" t="n">
        <f aca="false">D32*H32</f>
        <v>11.74</v>
      </c>
      <c r="X32" s="6" t="n">
        <f aca="false">D32*3</f>
        <v>35.22</v>
      </c>
      <c r="Y32" s="6" t="n">
        <f aca="false">D32*(J32*K32+L32*M32)-N32*2</f>
        <v>306.46096</v>
      </c>
      <c r="AH32" s="6" t="n">
        <f aca="false">D32*E32</f>
        <v>153.23048</v>
      </c>
      <c r="AK32" s="6" t="n">
        <f aca="false">D32*4</f>
        <v>46.96</v>
      </c>
      <c r="AT32" s="5" t="s">
        <v>52</v>
      </c>
    </row>
    <row r="33" customFormat="false" ht="41.75" hidden="false" customHeight="false" outlineLevel="0" collapsed="false">
      <c r="A33" s="5" t="s">
        <v>108</v>
      </c>
      <c r="B33" s="5" t="s">
        <v>106</v>
      </c>
      <c r="C33" s="5" t="s">
        <v>109</v>
      </c>
      <c r="D33" s="0" t="n">
        <v>5.96</v>
      </c>
      <c r="E33" s="0" t="n">
        <v>13.052</v>
      </c>
      <c r="F33" s="0" t="n">
        <v>2</v>
      </c>
      <c r="G33" s="0" t="n">
        <v>16</v>
      </c>
      <c r="H33" s="0" t="n">
        <v>1</v>
      </c>
      <c r="I33" s="0" t="n">
        <v>6</v>
      </c>
      <c r="J33" s="0" t="n">
        <v>13.052</v>
      </c>
      <c r="K33" s="0" t="n">
        <v>1</v>
      </c>
      <c r="L33" s="0" t="n">
        <v>13.052</v>
      </c>
      <c r="M33" s="0" t="n">
        <v>1</v>
      </c>
      <c r="N33" s="0" t="n">
        <v>21</v>
      </c>
      <c r="O33" s="6" t="n">
        <f aca="false">(ROUNDUP(D33*12/G33,0)+1+I33)*E33*H33</f>
        <v>156.624</v>
      </c>
      <c r="T33" s="6" t="n">
        <f aca="false">(D33-3)*H33</f>
        <v>2.96</v>
      </c>
      <c r="U33" s="6" t="n">
        <f aca="false">D33*H33</f>
        <v>5.96</v>
      </c>
      <c r="X33" s="6" t="n">
        <f aca="false">D33*3</f>
        <v>17.88</v>
      </c>
      <c r="Y33" s="6" t="n">
        <f aca="false">D33*(J33*K33+L33*M33)-N33*2</f>
        <v>113.57984</v>
      </c>
      <c r="AH33" s="6" t="n">
        <f aca="false">D33*E33</f>
        <v>77.78992</v>
      </c>
      <c r="AK33" s="6" t="n">
        <f aca="false">D33*4</f>
        <v>23.84</v>
      </c>
      <c r="AT33" s="5" t="s">
        <v>52</v>
      </c>
    </row>
    <row r="34" customFormat="false" ht="41.75" hidden="false" customHeight="false" outlineLevel="0" collapsed="false">
      <c r="A34" s="5" t="s">
        <v>110</v>
      </c>
      <c r="B34" s="5" t="s">
        <v>111</v>
      </c>
      <c r="C34" s="5" t="s">
        <v>112</v>
      </c>
      <c r="D34" s="0" t="n">
        <v>5.66</v>
      </c>
      <c r="E34" s="0" t="n">
        <v>15.375</v>
      </c>
      <c r="F34" s="0" t="n">
        <v>2</v>
      </c>
      <c r="G34" s="0" t="n">
        <v>16</v>
      </c>
      <c r="H34" s="0" t="n">
        <v>1</v>
      </c>
      <c r="I34" s="0" t="n">
        <v>6</v>
      </c>
      <c r="J34" s="0" t="n">
        <v>15.375</v>
      </c>
      <c r="K34" s="0" t="n">
        <v>1</v>
      </c>
      <c r="L34" s="0" t="n">
        <v>15.375</v>
      </c>
      <c r="M34" s="0" t="n">
        <v>1</v>
      </c>
      <c r="N34" s="0" t="n">
        <v>28</v>
      </c>
      <c r="O34" s="6" t="n">
        <f aca="false">(ROUNDUP(D34*12/G34,0)+1+I34)*E34*H34</f>
        <v>184.5</v>
      </c>
      <c r="T34" s="6" t="n">
        <f aca="false">(D34-3.5)*H34</f>
        <v>2.16</v>
      </c>
      <c r="U34" s="6" t="n">
        <f aca="false">D34*H34</f>
        <v>5.66</v>
      </c>
      <c r="X34" s="6" t="n">
        <f aca="false">D34*3</f>
        <v>16.98</v>
      </c>
      <c r="Y34" s="6" t="n">
        <f aca="false">D34*(J34*K34+L34*M34)-N34*2</f>
        <v>118.045</v>
      </c>
      <c r="AH34" s="6" t="n">
        <f aca="false">D34*E34</f>
        <v>87.0225</v>
      </c>
      <c r="AK34" s="6" t="n">
        <f aca="false">D34*4</f>
        <v>22.64</v>
      </c>
      <c r="AT34" s="5" t="s">
        <v>56</v>
      </c>
    </row>
    <row r="35" customFormat="false" ht="41.75" hidden="false" customHeight="false" outlineLevel="0" collapsed="false">
      <c r="A35" s="5" t="s">
        <v>113</v>
      </c>
      <c r="B35" s="5" t="s">
        <v>106</v>
      </c>
      <c r="C35" s="5" t="s">
        <v>114</v>
      </c>
      <c r="D35" s="0" t="n">
        <v>1.82</v>
      </c>
      <c r="E35" s="0" t="n">
        <v>13.052</v>
      </c>
      <c r="F35" s="0" t="n">
        <v>2</v>
      </c>
      <c r="G35" s="0" t="n">
        <v>16</v>
      </c>
      <c r="H35" s="0" t="n">
        <v>1</v>
      </c>
      <c r="I35" s="0" t="n">
        <v>2</v>
      </c>
      <c r="J35" s="0" t="n">
        <v>13.052</v>
      </c>
      <c r="K35" s="0" t="n">
        <v>1</v>
      </c>
      <c r="L35" s="0" t="n">
        <v>13.052</v>
      </c>
      <c r="M35" s="0" t="n">
        <v>1</v>
      </c>
      <c r="N35" s="0" t="n">
        <v>0</v>
      </c>
      <c r="O35" s="6" t="n">
        <f aca="false">(ROUNDUP(D35*12/G35,0)+1+I35)*E35*H35</f>
        <v>65.26</v>
      </c>
      <c r="T35" s="6" t="n">
        <f aca="false">(D35-0)*H35</f>
        <v>1.82</v>
      </c>
      <c r="U35" s="6" t="n">
        <f aca="false">D35*H35</f>
        <v>1.82</v>
      </c>
      <c r="X35" s="6" t="n">
        <f aca="false">D35*3</f>
        <v>5.46</v>
      </c>
      <c r="Y35" s="6" t="n">
        <f aca="false">D35*(J35*K35+L35*M35)-N35*2</f>
        <v>47.50928</v>
      </c>
      <c r="AH35" s="6" t="n">
        <f aca="false">D35*E35</f>
        <v>23.75464</v>
      </c>
      <c r="AK35" s="6" t="n">
        <f aca="false">D35*4</f>
        <v>7.28</v>
      </c>
      <c r="AT35" s="5" t="s">
        <v>52</v>
      </c>
    </row>
    <row r="36" customFormat="false" ht="41.75" hidden="false" customHeight="false" outlineLevel="0" collapsed="false">
      <c r="A36" s="5" t="s">
        <v>115</v>
      </c>
      <c r="B36" s="5" t="s">
        <v>106</v>
      </c>
      <c r="C36" s="5" t="s">
        <v>116</v>
      </c>
      <c r="D36" s="0" t="n">
        <v>1.8</v>
      </c>
      <c r="E36" s="0" t="n">
        <v>13.052</v>
      </c>
      <c r="F36" s="0" t="n">
        <v>2</v>
      </c>
      <c r="G36" s="0" t="n">
        <v>16</v>
      </c>
      <c r="H36" s="0" t="n">
        <v>1</v>
      </c>
      <c r="I36" s="0" t="n">
        <v>2</v>
      </c>
      <c r="J36" s="0" t="n">
        <v>13.052</v>
      </c>
      <c r="K36" s="0" t="n">
        <v>1</v>
      </c>
      <c r="L36" s="0" t="n">
        <v>13.052</v>
      </c>
      <c r="M36" s="0" t="n">
        <v>1</v>
      </c>
      <c r="N36" s="0" t="n">
        <v>0</v>
      </c>
      <c r="O36" s="6" t="n">
        <f aca="false">(ROUNDUP(D36*12/G36,0)+1+I36)*E36*H36</f>
        <v>65.26</v>
      </c>
      <c r="T36" s="6" t="n">
        <f aca="false">(D36-0)*H36</f>
        <v>1.8</v>
      </c>
      <c r="U36" s="6" t="n">
        <f aca="false">D36*H36</f>
        <v>1.8</v>
      </c>
      <c r="X36" s="6" t="n">
        <f aca="false">D36*3</f>
        <v>5.4</v>
      </c>
      <c r="Y36" s="6" t="n">
        <f aca="false">D36*(J36*K36+L36*M36)-N36*2</f>
        <v>46.9872</v>
      </c>
      <c r="AH36" s="6" t="n">
        <f aca="false">D36*E36</f>
        <v>23.4936</v>
      </c>
      <c r="AK36" s="6" t="n">
        <f aca="false">D36*4</f>
        <v>7.2</v>
      </c>
      <c r="AT36" s="5" t="s">
        <v>52</v>
      </c>
    </row>
    <row r="37" customFormat="false" ht="41.75" hidden="false" customHeight="false" outlineLevel="0" collapsed="false">
      <c r="A37" s="5" t="s">
        <v>117</v>
      </c>
      <c r="B37" s="5" t="s">
        <v>106</v>
      </c>
      <c r="C37" s="5" t="s">
        <v>118</v>
      </c>
      <c r="D37" s="0" t="n">
        <v>0.88</v>
      </c>
      <c r="E37" s="0" t="n">
        <v>13.052</v>
      </c>
      <c r="F37" s="0" t="n">
        <v>2</v>
      </c>
      <c r="G37" s="0" t="n">
        <v>16</v>
      </c>
      <c r="H37" s="0" t="n">
        <v>1</v>
      </c>
      <c r="I37" s="0" t="n">
        <v>2</v>
      </c>
      <c r="J37" s="0" t="n">
        <v>13.052</v>
      </c>
      <c r="K37" s="0" t="n">
        <v>1</v>
      </c>
      <c r="L37" s="0" t="n">
        <v>13.052</v>
      </c>
      <c r="M37" s="0" t="n">
        <v>1</v>
      </c>
      <c r="N37" s="0" t="n">
        <v>0</v>
      </c>
      <c r="O37" s="6" t="n">
        <f aca="false">(ROUNDUP(D37*12/G37,0)+1+I37)*E37*H37</f>
        <v>52.208</v>
      </c>
      <c r="T37" s="6" t="n">
        <f aca="false">(D37-0)*H37</f>
        <v>0.88</v>
      </c>
      <c r="U37" s="6" t="n">
        <f aca="false">D37*H37</f>
        <v>0.88</v>
      </c>
      <c r="X37" s="6" t="n">
        <f aca="false">D37*3</f>
        <v>2.64</v>
      </c>
      <c r="Y37" s="6" t="n">
        <f aca="false">D37*(J37*K37+L37*M37)-N37*2</f>
        <v>22.97152</v>
      </c>
      <c r="AH37" s="6" t="n">
        <f aca="false">D37*E37</f>
        <v>11.48576</v>
      </c>
      <c r="AK37" s="6" t="n">
        <f aca="false">D37*4</f>
        <v>3.52</v>
      </c>
      <c r="AT37" s="5" t="s">
        <v>52</v>
      </c>
    </row>
    <row r="38" customFormat="false" ht="15" hidden="false" customHeight="false" outlineLevel="0" collapsed="false">
      <c r="A38" s="3" t="s">
        <v>119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customFormat="false" ht="41.75" hidden="false" customHeight="false" outlineLevel="0" collapsed="false">
      <c r="A39" s="5" t="s">
        <v>120</v>
      </c>
      <c r="B39" s="5" t="s">
        <v>121</v>
      </c>
      <c r="C39" s="5" t="s">
        <v>122</v>
      </c>
      <c r="D39" s="0" t="n">
        <v>1.26</v>
      </c>
      <c r="E39" s="0" t="n">
        <v>15.375</v>
      </c>
      <c r="F39" s="0" t="n">
        <v>2</v>
      </c>
      <c r="G39" s="0" t="n">
        <v>16</v>
      </c>
      <c r="H39" s="0" t="n">
        <v>1</v>
      </c>
      <c r="I39" s="0" t="n">
        <v>2</v>
      </c>
      <c r="J39" s="0" t="n">
        <v>15.375</v>
      </c>
      <c r="K39" s="0" t="n">
        <v>1</v>
      </c>
      <c r="L39" s="0" t="n">
        <v>15.375</v>
      </c>
      <c r="M39" s="0" t="n">
        <v>1</v>
      </c>
      <c r="N39" s="0" t="n">
        <v>0</v>
      </c>
      <c r="O39" s="6" t="n">
        <f aca="false">(ROUNDUP(D39*12/G39,0)+1+I39)*E39*H39</f>
        <v>61.5</v>
      </c>
      <c r="T39" s="6" t="n">
        <f aca="false">(D39-0)*H39</f>
        <v>1.26</v>
      </c>
      <c r="U39" s="6" t="n">
        <f aca="false">D39*H39</f>
        <v>1.26</v>
      </c>
      <c r="X39" s="6" t="n">
        <f aca="false">D39*3</f>
        <v>3.78</v>
      </c>
      <c r="Y39" s="6" t="n">
        <f aca="false">D39*(J39*K39+L39*M39)-N39*2</f>
        <v>38.745</v>
      </c>
      <c r="AE39" s="6" t="n">
        <f aca="false">D39*8</f>
        <v>10.08</v>
      </c>
      <c r="AH39" s="6" t="n">
        <f aca="false">D39*E39</f>
        <v>19.3725</v>
      </c>
      <c r="AK39" s="6" t="n">
        <f aca="false">D39*4</f>
        <v>5.04</v>
      </c>
      <c r="AT39" s="5" t="s">
        <v>56</v>
      </c>
    </row>
    <row r="40" customFormat="false" ht="15" hidden="false" customHeight="false" outlineLevel="0" collapsed="false">
      <c r="A40" s="3" t="s">
        <v>123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customFormat="false" ht="55.2" hidden="false" customHeight="false" outlineLevel="0" collapsed="false">
      <c r="A41" s="5" t="s">
        <v>124</v>
      </c>
      <c r="B41" s="5" t="s">
        <v>125</v>
      </c>
      <c r="C41" s="5" t="s">
        <v>126</v>
      </c>
      <c r="D41" s="0" t="n">
        <v>2.62</v>
      </c>
      <c r="E41" s="0" t="n">
        <v>13.052</v>
      </c>
      <c r="F41" s="0" t="n">
        <v>2</v>
      </c>
      <c r="G41" s="0" t="n">
        <v>24</v>
      </c>
      <c r="H41" s="0" t="n">
        <v>1</v>
      </c>
      <c r="I41" s="0" t="n">
        <v>2</v>
      </c>
      <c r="J41" s="0" t="n">
        <v>13.052</v>
      </c>
      <c r="K41" s="0" t="n">
        <v>1</v>
      </c>
      <c r="L41" s="0" t="n">
        <v>13.052</v>
      </c>
      <c r="M41" s="0" t="n">
        <v>1</v>
      </c>
      <c r="N41" s="0" t="n">
        <v>0</v>
      </c>
      <c r="P41" s="6" t="n">
        <f aca="false">(ROUNDUP(D41*12/G41,0)+1+I41)*E41*H41</f>
        <v>65.26</v>
      </c>
      <c r="T41" s="6" t="n">
        <f aca="false">(D41-0)*H41</f>
        <v>2.62</v>
      </c>
      <c r="U41" s="6" t="n">
        <f aca="false">D41*H41</f>
        <v>2.62</v>
      </c>
      <c r="X41" s="6" t="n">
        <f aca="false">D41*3</f>
        <v>7.86</v>
      </c>
      <c r="Y41" s="6" t="n">
        <f aca="false">D41*(8*1+E41*1)-N41*2</f>
        <v>55.15624</v>
      </c>
      <c r="AA41" s="6" t="n">
        <f aca="false">D41*(E41-8)</f>
        <v>13.23624</v>
      </c>
      <c r="AE41" s="6" t="n">
        <f aca="false">D41*8</f>
        <v>20.96</v>
      </c>
      <c r="AH41" s="6" t="n">
        <f aca="false">D41*E41</f>
        <v>34.19624</v>
      </c>
      <c r="AJ41" s="6" t="n">
        <f aca="false">D41*2</f>
        <v>5.24</v>
      </c>
      <c r="AK41" s="6" t="n">
        <f aca="false">D41*2*H41</f>
        <v>5.24</v>
      </c>
      <c r="AT41" s="5" t="s">
        <v>52</v>
      </c>
    </row>
    <row r="42" customFormat="false" ht="41.75" hidden="false" customHeight="false" outlineLevel="0" collapsed="false">
      <c r="A42" s="5" t="s">
        <v>127</v>
      </c>
      <c r="B42" s="5" t="s">
        <v>128</v>
      </c>
      <c r="C42" s="5" t="s">
        <v>129</v>
      </c>
      <c r="D42" s="0" t="n">
        <v>2.57</v>
      </c>
      <c r="E42" s="0" t="n">
        <v>15.375</v>
      </c>
      <c r="F42" s="0" t="n">
        <v>2</v>
      </c>
      <c r="G42" s="0" t="n">
        <v>24</v>
      </c>
      <c r="H42" s="0" t="n">
        <v>1</v>
      </c>
      <c r="I42" s="0" t="n">
        <v>2</v>
      </c>
      <c r="J42" s="0" t="n">
        <v>15.375</v>
      </c>
      <c r="K42" s="0" t="n">
        <v>1</v>
      </c>
      <c r="L42" s="0" t="n">
        <v>15.375</v>
      </c>
      <c r="M42" s="0" t="n">
        <v>1</v>
      </c>
      <c r="N42" s="0" t="n">
        <v>0</v>
      </c>
      <c r="P42" s="6" t="n">
        <f aca="false">(ROUNDUP(D42*12/G42,0)+1+I42)*E42*H42</f>
        <v>76.875</v>
      </c>
      <c r="T42" s="6" t="n">
        <f aca="false">(D42-0)*H42</f>
        <v>2.57</v>
      </c>
      <c r="U42" s="6" t="n">
        <f aca="false">D42*H42</f>
        <v>2.57</v>
      </c>
      <c r="X42" s="6" t="n">
        <f aca="false">D42*3</f>
        <v>7.71</v>
      </c>
      <c r="Y42" s="6" t="n">
        <f aca="false">D42*(8*1+E42*1)-N42*2</f>
        <v>60.07375</v>
      </c>
      <c r="AA42" s="6" t="n">
        <f aca="false">D42*(E42-8)</f>
        <v>18.95375</v>
      </c>
      <c r="AE42" s="6" t="n">
        <f aca="false">D42*8</f>
        <v>20.56</v>
      </c>
      <c r="AH42" s="6" t="n">
        <f aca="false">D42*E42</f>
        <v>39.51375</v>
      </c>
      <c r="AJ42" s="6" t="n">
        <f aca="false">D42*2</f>
        <v>5.14</v>
      </c>
      <c r="AK42" s="6" t="n">
        <f aca="false">D42*2*H42</f>
        <v>5.14</v>
      </c>
      <c r="AT42" s="5" t="s">
        <v>56</v>
      </c>
    </row>
    <row r="43" customFormat="false" ht="41.75" hidden="false" customHeight="false" outlineLevel="0" collapsed="false">
      <c r="A43" s="5" t="s">
        <v>130</v>
      </c>
      <c r="B43" s="5" t="s">
        <v>125</v>
      </c>
      <c r="C43" s="5" t="s">
        <v>131</v>
      </c>
      <c r="D43" s="0" t="n">
        <v>1.16</v>
      </c>
      <c r="E43" s="0" t="n">
        <v>13.052</v>
      </c>
      <c r="F43" s="0" t="n">
        <v>2</v>
      </c>
      <c r="G43" s="0" t="n">
        <v>24</v>
      </c>
      <c r="H43" s="0" t="n">
        <v>1</v>
      </c>
      <c r="I43" s="0" t="n">
        <v>2</v>
      </c>
      <c r="J43" s="0" t="n">
        <v>13.052</v>
      </c>
      <c r="K43" s="0" t="n">
        <v>1</v>
      </c>
      <c r="L43" s="0" t="n">
        <v>13.052</v>
      </c>
      <c r="M43" s="0" t="n">
        <v>1</v>
      </c>
      <c r="N43" s="0" t="n">
        <v>0</v>
      </c>
      <c r="P43" s="6" t="n">
        <f aca="false">(ROUNDUP(D43*12/G43,0)+1+I43)*E43*H43</f>
        <v>52.208</v>
      </c>
      <c r="T43" s="6" t="n">
        <f aca="false">(D43-0)*H43</f>
        <v>1.16</v>
      </c>
      <c r="U43" s="6" t="n">
        <f aca="false">D43*H43</f>
        <v>1.16</v>
      </c>
      <c r="X43" s="6" t="n">
        <f aca="false">D43*3</f>
        <v>3.48</v>
      </c>
      <c r="Y43" s="6" t="n">
        <f aca="false">D43*(8*1+E43*1)-N43*2</f>
        <v>24.42032</v>
      </c>
      <c r="AA43" s="6" t="n">
        <f aca="false">D43*(E43-8)</f>
        <v>5.86032</v>
      </c>
      <c r="AE43" s="6" t="n">
        <f aca="false">D43*8</f>
        <v>9.28</v>
      </c>
      <c r="AH43" s="6" t="n">
        <f aca="false">D43*E43</f>
        <v>15.14032</v>
      </c>
      <c r="AJ43" s="6" t="n">
        <f aca="false">D43*2</f>
        <v>2.32</v>
      </c>
      <c r="AK43" s="6" t="n">
        <f aca="false">D43*2*H43</f>
        <v>2.32</v>
      </c>
      <c r="AT43" s="5" t="s">
        <v>52</v>
      </c>
    </row>
    <row r="44" customFormat="false" ht="15" hidden="false" customHeight="false" outlineLevel="0" collapsed="false">
      <c r="A44" s="3" t="s">
        <v>132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customFormat="false" ht="41.75" hidden="false" customHeight="false" outlineLevel="0" collapsed="false">
      <c r="A45" s="5" t="s">
        <v>133</v>
      </c>
      <c r="B45" s="5" t="s">
        <v>134</v>
      </c>
      <c r="C45" s="5" t="s">
        <v>135</v>
      </c>
      <c r="D45" s="0" t="n">
        <v>10.03</v>
      </c>
      <c r="E45" s="0" t="n">
        <v>13.052</v>
      </c>
      <c r="F45" s="0" t="n">
        <v>1</v>
      </c>
      <c r="G45" s="0" t="n">
        <v>16</v>
      </c>
      <c r="H45" s="0" t="n">
        <v>1</v>
      </c>
      <c r="I45" s="0" t="n">
        <v>2</v>
      </c>
      <c r="J45" s="0" t="n">
        <v>13.052</v>
      </c>
      <c r="K45" s="0" t="n">
        <v>1</v>
      </c>
      <c r="L45" s="0" t="n">
        <v>0</v>
      </c>
      <c r="M45" s="0" t="n">
        <v>0</v>
      </c>
      <c r="N45" s="0" t="n">
        <v>0</v>
      </c>
      <c r="P45" s="6" t="n">
        <f aca="false">(ROUNDUP(D45*12/G45,0)+1+I45)*E45*H45</f>
        <v>143.572</v>
      </c>
      <c r="T45" s="6" t="n">
        <f aca="false">(D45-0)*H45</f>
        <v>10.03</v>
      </c>
      <c r="U45" s="6" t="n">
        <f aca="false">D45*H45</f>
        <v>10.03</v>
      </c>
      <c r="X45" s="6" t="n">
        <f aca="false">D45*3</f>
        <v>30.09</v>
      </c>
      <c r="Z45" s="6" t="n">
        <f aca="false">D45*J45*K45-N45</f>
        <v>130.91156</v>
      </c>
      <c r="AK45" s="6" t="n">
        <f aca="false">D45*2*H45</f>
        <v>20.06</v>
      </c>
      <c r="AT45" s="5" t="s">
        <v>52</v>
      </c>
    </row>
    <row r="46" customFormat="false" ht="41.75" hidden="false" customHeight="false" outlineLevel="0" collapsed="false">
      <c r="A46" s="5" t="s">
        <v>136</v>
      </c>
      <c r="B46" s="5" t="s">
        <v>134</v>
      </c>
      <c r="C46" s="5" t="s">
        <v>137</v>
      </c>
      <c r="D46" s="0" t="n">
        <v>10.03</v>
      </c>
      <c r="E46" s="0" t="n">
        <v>13.052</v>
      </c>
      <c r="F46" s="0" t="n">
        <v>1</v>
      </c>
      <c r="G46" s="0" t="n">
        <v>16</v>
      </c>
      <c r="H46" s="0" t="n">
        <v>1</v>
      </c>
      <c r="I46" s="0" t="n">
        <v>2</v>
      </c>
      <c r="J46" s="0" t="n">
        <v>13.052</v>
      </c>
      <c r="K46" s="0" t="n">
        <v>1</v>
      </c>
      <c r="L46" s="0" t="n">
        <v>0</v>
      </c>
      <c r="M46" s="0" t="n">
        <v>0</v>
      </c>
      <c r="N46" s="0" t="n">
        <v>0</v>
      </c>
      <c r="P46" s="6" t="n">
        <f aca="false">(ROUNDUP(D46*12/G46,0)+1+I46)*E46*H46</f>
        <v>143.572</v>
      </c>
      <c r="T46" s="6" t="n">
        <f aca="false">(D46-0)*H46</f>
        <v>10.03</v>
      </c>
      <c r="U46" s="6" t="n">
        <f aca="false">D46*H46</f>
        <v>10.03</v>
      </c>
      <c r="X46" s="6" t="n">
        <f aca="false">D46*3</f>
        <v>30.09</v>
      </c>
      <c r="Z46" s="6" t="n">
        <f aca="false">D46*J46*K46-N46</f>
        <v>130.91156</v>
      </c>
      <c r="AK46" s="6" t="n">
        <f aca="false">D46*2*H46</f>
        <v>20.06</v>
      </c>
      <c r="AT46" s="5" t="s">
        <v>52</v>
      </c>
    </row>
    <row r="47" customFormat="false" ht="41.75" hidden="false" customHeight="false" outlineLevel="0" collapsed="false">
      <c r="A47" s="5" t="s">
        <v>138</v>
      </c>
      <c r="B47" s="5" t="s">
        <v>139</v>
      </c>
      <c r="C47" s="5" t="s">
        <v>140</v>
      </c>
      <c r="D47" s="0" t="n">
        <v>9.29</v>
      </c>
      <c r="E47" s="0" t="n">
        <v>15.375</v>
      </c>
      <c r="F47" s="0" t="n">
        <v>1</v>
      </c>
      <c r="G47" s="0" t="n">
        <v>16</v>
      </c>
      <c r="H47" s="0" t="n">
        <v>1</v>
      </c>
      <c r="I47" s="0" t="n">
        <v>2</v>
      </c>
      <c r="J47" s="0" t="n">
        <v>15.375</v>
      </c>
      <c r="K47" s="0" t="n">
        <v>1</v>
      </c>
      <c r="L47" s="0" t="n">
        <v>0</v>
      </c>
      <c r="M47" s="0" t="n">
        <v>0</v>
      </c>
      <c r="N47" s="0" t="n">
        <v>0</v>
      </c>
      <c r="P47" s="6" t="n">
        <f aca="false">(ROUNDUP(D47*12/G47,0)+1+I47)*E47*H47</f>
        <v>153.75</v>
      </c>
      <c r="T47" s="6" t="n">
        <f aca="false">(D47-0)*H47</f>
        <v>9.29</v>
      </c>
      <c r="U47" s="6" t="n">
        <f aca="false">D47*H47</f>
        <v>9.29</v>
      </c>
      <c r="X47" s="6" t="n">
        <f aca="false">D47*3</f>
        <v>27.87</v>
      </c>
      <c r="Y47" s="6" t="n">
        <f aca="false">D47*(J47*K47+L47*M47)-N47*2</f>
        <v>142.83375</v>
      </c>
      <c r="AK47" s="6" t="n">
        <f aca="false">D47*2*H47</f>
        <v>18.58</v>
      </c>
      <c r="AT47" s="5" t="s">
        <v>56</v>
      </c>
    </row>
    <row r="48" customFormat="false" ht="41.75" hidden="false" customHeight="false" outlineLevel="0" collapsed="false">
      <c r="A48" s="5" t="s">
        <v>141</v>
      </c>
      <c r="B48" s="5" t="s">
        <v>134</v>
      </c>
      <c r="C48" s="5" t="s">
        <v>142</v>
      </c>
      <c r="D48" s="0" t="n">
        <v>2.62</v>
      </c>
      <c r="E48" s="0" t="n">
        <v>13.052</v>
      </c>
      <c r="F48" s="0" t="n">
        <v>1</v>
      </c>
      <c r="G48" s="0" t="n">
        <v>16</v>
      </c>
      <c r="H48" s="0" t="n">
        <v>1</v>
      </c>
      <c r="I48" s="0" t="n">
        <v>2</v>
      </c>
      <c r="J48" s="0" t="n">
        <v>13.052</v>
      </c>
      <c r="K48" s="0" t="n">
        <v>1</v>
      </c>
      <c r="L48" s="0" t="n">
        <v>0</v>
      </c>
      <c r="M48" s="0" t="n">
        <v>0</v>
      </c>
      <c r="N48" s="0" t="n">
        <v>0</v>
      </c>
      <c r="P48" s="6" t="n">
        <f aca="false">(ROUNDUP(D48*12/G48,0)+1+I48)*E48*H48</f>
        <v>65.26</v>
      </c>
      <c r="T48" s="6" t="n">
        <f aca="false">(D48-0)*H48</f>
        <v>2.62</v>
      </c>
      <c r="U48" s="6" t="n">
        <f aca="false">D48*H48</f>
        <v>2.62</v>
      </c>
      <c r="X48" s="6" t="n">
        <f aca="false">D48*3</f>
        <v>7.86</v>
      </c>
      <c r="Y48" s="6" t="n">
        <f aca="false">D48*(J48*K48+L48*M48)-N48*2</f>
        <v>34.19624</v>
      </c>
      <c r="AK48" s="6" t="n">
        <f aca="false">D48*2*H48</f>
        <v>5.24</v>
      </c>
      <c r="AT48" s="5" t="s">
        <v>52</v>
      </c>
    </row>
    <row r="49" customFormat="false" ht="15" hidden="false" customHeight="false" outlineLevel="0" collapsed="false">
      <c r="A49" s="3" t="s">
        <v>143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customFormat="false" ht="55.2" hidden="false" customHeight="false" outlineLevel="0" collapsed="false">
      <c r="A50" s="5" t="s">
        <v>144</v>
      </c>
      <c r="B50" s="5" t="s">
        <v>145</v>
      </c>
      <c r="C50" s="5" t="s">
        <v>146</v>
      </c>
      <c r="D50" s="0" t="n">
        <v>17.46</v>
      </c>
      <c r="E50" s="0" t="n">
        <v>15.375</v>
      </c>
      <c r="F50" s="0" t="n">
        <v>2</v>
      </c>
      <c r="G50" s="0" t="n">
        <v>16</v>
      </c>
      <c r="H50" s="0" t="n">
        <v>1</v>
      </c>
      <c r="I50" s="0" t="n">
        <v>2</v>
      </c>
      <c r="J50" s="0" t="n">
        <v>10.5</v>
      </c>
      <c r="K50" s="0" t="n">
        <v>1</v>
      </c>
      <c r="L50" s="0" t="n">
        <v>9</v>
      </c>
      <c r="M50" s="0" t="n">
        <v>1</v>
      </c>
      <c r="N50" s="0" t="n">
        <v>0</v>
      </c>
      <c r="P50" s="6" t="n">
        <f aca="false">(ROUNDUP(D50*12/G50,0)+1+I50)*E50*H50</f>
        <v>261.375</v>
      </c>
      <c r="T50" s="6" t="n">
        <f aca="false">(D50-0)*H50</f>
        <v>17.46</v>
      </c>
      <c r="U50" s="6" t="n">
        <f aca="false">D50*H50</f>
        <v>17.46</v>
      </c>
      <c r="X50" s="6" t="n">
        <f aca="false">D50*3</f>
        <v>52.38</v>
      </c>
      <c r="Y50" s="6" t="n">
        <f aca="false">D50*(J50*K50+L50*M50)-N50*2</f>
        <v>340.47</v>
      </c>
      <c r="AD50" s="6" t="n">
        <f aca="false">D50*E50</f>
        <v>268.4475</v>
      </c>
      <c r="AH50" s="6" t="n">
        <f aca="false">D50*E50</f>
        <v>268.4475</v>
      </c>
      <c r="AK50" s="6" t="n">
        <f aca="false">D50*2*H50</f>
        <v>34.92</v>
      </c>
      <c r="AT50" s="5" t="s">
        <v>56</v>
      </c>
    </row>
    <row r="51" customFormat="false" ht="15" hidden="false" customHeight="false" outlineLevel="0" collapsed="false">
      <c r="A51" s="3" t="s">
        <v>147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customFormat="false" ht="41.75" hidden="false" customHeight="false" outlineLevel="0" collapsed="false">
      <c r="A52" s="5" t="s">
        <v>148</v>
      </c>
      <c r="B52" s="5" t="s">
        <v>149</v>
      </c>
      <c r="C52" s="5" t="s">
        <v>150</v>
      </c>
      <c r="D52" s="0" t="n">
        <v>11.77</v>
      </c>
      <c r="E52" s="0" t="n">
        <v>15.375</v>
      </c>
      <c r="F52" s="0" t="n">
        <v>4</v>
      </c>
      <c r="G52" s="0" t="n">
        <v>16</v>
      </c>
      <c r="H52" s="0" t="n">
        <v>2</v>
      </c>
      <c r="I52" s="0" t="n">
        <v>2</v>
      </c>
      <c r="J52" s="0" t="n">
        <v>15.375</v>
      </c>
      <c r="K52" s="0" t="n">
        <v>2</v>
      </c>
      <c r="L52" s="0" t="n">
        <v>15.375</v>
      </c>
      <c r="M52" s="0" t="n">
        <v>2</v>
      </c>
      <c r="N52" s="0" t="n">
        <v>0</v>
      </c>
      <c r="Q52" s="6" t="n">
        <f aca="false">(ROUNDUP(D52*12/G52,0)+1+I52)*E52*H52</f>
        <v>369</v>
      </c>
      <c r="T52" s="6" t="n">
        <f aca="false">(D52-0)*H52</f>
        <v>23.54</v>
      </c>
      <c r="U52" s="6" t="n">
        <f aca="false">D52*H52</f>
        <v>23.54</v>
      </c>
      <c r="Y52" s="6" t="n">
        <f aca="false">D52*(J52*K52+L52*M52)-N52*2</f>
        <v>723.855</v>
      </c>
      <c r="AH52" s="6" t="n">
        <f aca="false">D52*E52</f>
        <v>180.96375</v>
      </c>
      <c r="AK52" s="6" t="n">
        <f aca="false">D52*4</f>
        <v>47.08</v>
      </c>
      <c r="AT52" s="5"/>
    </row>
    <row r="53" customFormat="false" ht="41.75" hidden="false" customHeight="false" outlineLevel="0" collapsed="false">
      <c r="A53" s="5" t="s">
        <v>151</v>
      </c>
      <c r="B53" s="5" t="s">
        <v>149</v>
      </c>
      <c r="C53" s="5" t="s">
        <v>152</v>
      </c>
      <c r="D53" s="0" t="n">
        <v>11.77</v>
      </c>
      <c r="E53" s="0" t="n">
        <v>15.375</v>
      </c>
      <c r="F53" s="0" t="n">
        <v>4</v>
      </c>
      <c r="G53" s="0" t="n">
        <v>16</v>
      </c>
      <c r="H53" s="0" t="n">
        <v>2</v>
      </c>
      <c r="I53" s="0" t="n">
        <v>2</v>
      </c>
      <c r="J53" s="0" t="n">
        <v>15.375</v>
      </c>
      <c r="K53" s="0" t="n">
        <v>2</v>
      </c>
      <c r="L53" s="0" t="n">
        <v>15.375</v>
      </c>
      <c r="M53" s="0" t="n">
        <v>2</v>
      </c>
      <c r="N53" s="0" t="n">
        <v>0</v>
      </c>
      <c r="Q53" s="6" t="n">
        <f aca="false">(ROUNDUP(D53*12/G53,0)+1+I53)*E53*H53</f>
        <v>369</v>
      </c>
      <c r="T53" s="6" t="n">
        <f aca="false">(D53-0)*H53</f>
        <v>23.54</v>
      </c>
      <c r="U53" s="6" t="n">
        <f aca="false">D53*H53</f>
        <v>23.54</v>
      </c>
      <c r="Y53" s="6" t="n">
        <f aca="false">D53*(J53*K53+L53*M53)-N53*2</f>
        <v>723.855</v>
      </c>
      <c r="AH53" s="6" t="n">
        <f aca="false">D53*E53</f>
        <v>180.96375</v>
      </c>
      <c r="AK53" s="6" t="n">
        <f aca="false">D53*4</f>
        <v>47.08</v>
      </c>
      <c r="AT53" s="5"/>
    </row>
    <row r="54" customFormat="false" ht="41.75" hidden="false" customHeight="false" outlineLevel="0" collapsed="false">
      <c r="A54" s="5" t="s">
        <v>153</v>
      </c>
      <c r="B54" s="5" t="s">
        <v>149</v>
      </c>
      <c r="C54" s="5" t="s">
        <v>154</v>
      </c>
      <c r="D54" s="0" t="n">
        <v>11.63</v>
      </c>
      <c r="E54" s="0" t="n">
        <v>15.375</v>
      </c>
      <c r="F54" s="0" t="n">
        <v>4</v>
      </c>
      <c r="G54" s="0" t="n">
        <v>16</v>
      </c>
      <c r="H54" s="0" t="n">
        <v>2</v>
      </c>
      <c r="I54" s="0" t="n">
        <v>2</v>
      </c>
      <c r="J54" s="0" t="n">
        <v>15.375</v>
      </c>
      <c r="K54" s="0" t="n">
        <v>2</v>
      </c>
      <c r="L54" s="0" t="n">
        <v>15.375</v>
      </c>
      <c r="M54" s="0" t="n">
        <v>2</v>
      </c>
      <c r="N54" s="0" t="n">
        <v>0</v>
      </c>
      <c r="Q54" s="6" t="n">
        <f aca="false">(ROUNDUP(D54*12/G54,0)+1+I54)*E54*H54</f>
        <v>369</v>
      </c>
      <c r="T54" s="6" t="n">
        <f aca="false">(D54-0)*H54</f>
        <v>23.26</v>
      </c>
      <c r="U54" s="6" t="n">
        <f aca="false">D54*H54</f>
        <v>23.26</v>
      </c>
      <c r="Y54" s="6" t="n">
        <f aca="false">D54*(J54*K54+L54*M54)-N54*2</f>
        <v>715.245</v>
      </c>
      <c r="AH54" s="6" t="n">
        <f aca="false">D54*E54</f>
        <v>178.81125</v>
      </c>
      <c r="AK54" s="6" t="n">
        <f aca="false">D54*4</f>
        <v>46.52</v>
      </c>
      <c r="AT54" s="5"/>
    </row>
    <row r="55" customFormat="false" ht="41.75" hidden="false" customHeight="false" outlineLevel="0" collapsed="false">
      <c r="A55" s="5" t="s">
        <v>155</v>
      </c>
      <c r="B55" s="5" t="s">
        <v>149</v>
      </c>
      <c r="C55" s="5" t="s">
        <v>156</v>
      </c>
      <c r="D55" s="0" t="n">
        <v>11.63</v>
      </c>
      <c r="E55" s="0" t="n">
        <v>15.375</v>
      </c>
      <c r="F55" s="0" t="n">
        <v>4</v>
      </c>
      <c r="G55" s="0" t="n">
        <v>16</v>
      </c>
      <c r="H55" s="0" t="n">
        <v>2</v>
      </c>
      <c r="I55" s="0" t="n">
        <v>2</v>
      </c>
      <c r="J55" s="0" t="n">
        <v>15.375</v>
      </c>
      <c r="K55" s="0" t="n">
        <v>2</v>
      </c>
      <c r="L55" s="0" t="n">
        <v>15.375</v>
      </c>
      <c r="M55" s="0" t="n">
        <v>2</v>
      </c>
      <c r="N55" s="0" t="n">
        <v>0</v>
      </c>
      <c r="Q55" s="6" t="n">
        <f aca="false">(ROUNDUP(D55*12/G55,0)+1+I55)*E55*H55</f>
        <v>369</v>
      </c>
      <c r="T55" s="6" t="n">
        <f aca="false">(D55-0)*H55</f>
        <v>23.26</v>
      </c>
      <c r="U55" s="6" t="n">
        <f aca="false">D55*H55</f>
        <v>23.26</v>
      </c>
      <c r="Y55" s="6" t="n">
        <f aca="false">D55*(J55*K55+L55*M55)-N55*2</f>
        <v>715.245</v>
      </c>
      <c r="AH55" s="6" t="n">
        <f aca="false">D55*E55</f>
        <v>178.81125</v>
      </c>
      <c r="AK55" s="6" t="n">
        <f aca="false">D55*4</f>
        <v>46.52</v>
      </c>
      <c r="AT55" s="5"/>
    </row>
    <row r="56" customFormat="false" ht="41.75" hidden="false" customHeight="false" outlineLevel="0" collapsed="false">
      <c r="A56" s="5" t="s">
        <v>157</v>
      </c>
      <c r="B56" s="5" t="s">
        <v>149</v>
      </c>
      <c r="C56" s="5" t="s">
        <v>158</v>
      </c>
      <c r="D56" s="0" t="n">
        <v>11.63</v>
      </c>
      <c r="E56" s="0" t="n">
        <v>15.375</v>
      </c>
      <c r="F56" s="0" t="n">
        <v>4</v>
      </c>
      <c r="G56" s="0" t="n">
        <v>16</v>
      </c>
      <c r="H56" s="0" t="n">
        <v>2</v>
      </c>
      <c r="I56" s="0" t="n">
        <v>2</v>
      </c>
      <c r="J56" s="0" t="n">
        <v>15.375</v>
      </c>
      <c r="K56" s="0" t="n">
        <v>2</v>
      </c>
      <c r="L56" s="0" t="n">
        <v>15.375</v>
      </c>
      <c r="M56" s="0" t="n">
        <v>2</v>
      </c>
      <c r="N56" s="0" t="n">
        <v>0</v>
      </c>
      <c r="Q56" s="6" t="n">
        <f aca="false">(ROUNDUP(D56*12/G56,0)+1+I56)*E56*H56</f>
        <v>369</v>
      </c>
      <c r="T56" s="6" t="n">
        <f aca="false">(D56-0)*H56</f>
        <v>23.26</v>
      </c>
      <c r="U56" s="6" t="n">
        <f aca="false">D56*H56</f>
        <v>23.26</v>
      </c>
      <c r="Y56" s="6" t="n">
        <f aca="false">D56*(J56*K56+L56*M56)-N56*2</f>
        <v>715.245</v>
      </c>
      <c r="AH56" s="6" t="n">
        <f aca="false">D56*E56</f>
        <v>178.81125</v>
      </c>
      <c r="AK56" s="6" t="n">
        <f aca="false">D56*4</f>
        <v>46.52</v>
      </c>
      <c r="AT56" s="5"/>
    </row>
    <row r="57" customFormat="false" ht="41.75" hidden="false" customHeight="false" outlineLevel="0" collapsed="false">
      <c r="A57" s="5" t="s">
        <v>159</v>
      </c>
      <c r="B57" s="5" t="s">
        <v>149</v>
      </c>
      <c r="C57" s="5" t="s">
        <v>160</v>
      </c>
      <c r="D57" s="0" t="n">
        <v>10.51</v>
      </c>
      <c r="E57" s="0" t="n">
        <v>15.375</v>
      </c>
      <c r="F57" s="0" t="n">
        <v>4</v>
      </c>
      <c r="G57" s="0" t="n">
        <v>16</v>
      </c>
      <c r="H57" s="0" t="n">
        <v>2</v>
      </c>
      <c r="I57" s="0" t="n">
        <v>2</v>
      </c>
      <c r="J57" s="0" t="n">
        <v>15.375</v>
      </c>
      <c r="K57" s="0" t="n">
        <v>2</v>
      </c>
      <c r="L57" s="0" t="n">
        <v>15.375</v>
      </c>
      <c r="M57" s="0" t="n">
        <v>2</v>
      </c>
      <c r="N57" s="0" t="n">
        <v>0</v>
      </c>
      <c r="Q57" s="6" t="n">
        <f aca="false">(ROUNDUP(D57*12/G57,0)+1+I57)*E57*H57</f>
        <v>338.25</v>
      </c>
      <c r="T57" s="6" t="n">
        <f aca="false">(D57-0)*H57</f>
        <v>21.02</v>
      </c>
      <c r="U57" s="6" t="n">
        <f aca="false">D57*H57</f>
        <v>21.02</v>
      </c>
      <c r="Y57" s="6" t="n">
        <f aca="false">D57*(J57*K57+L57*M57)-N57*2</f>
        <v>646.365</v>
      </c>
      <c r="AH57" s="6" t="n">
        <f aca="false">D57*E57</f>
        <v>161.59125</v>
      </c>
      <c r="AK57" s="6" t="n">
        <f aca="false">D57*4</f>
        <v>42.04</v>
      </c>
      <c r="AT57" s="5"/>
    </row>
    <row r="58" customFormat="false" ht="41.75" hidden="false" customHeight="false" outlineLevel="0" collapsed="false">
      <c r="A58" s="5" t="s">
        <v>161</v>
      </c>
      <c r="B58" s="5" t="s">
        <v>149</v>
      </c>
      <c r="C58" s="5" t="s">
        <v>162</v>
      </c>
      <c r="D58" s="0" t="n">
        <v>2.43</v>
      </c>
      <c r="E58" s="0" t="n">
        <v>15.375</v>
      </c>
      <c r="F58" s="0" t="n">
        <v>4</v>
      </c>
      <c r="G58" s="0" t="n">
        <v>16</v>
      </c>
      <c r="H58" s="0" t="n">
        <v>2</v>
      </c>
      <c r="I58" s="0" t="n">
        <v>2</v>
      </c>
      <c r="J58" s="0" t="n">
        <v>15.375</v>
      </c>
      <c r="K58" s="0" t="n">
        <v>2</v>
      </c>
      <c r="L58" s="0" t="n">
        <v>15.375</v>
      </c>
      <c r="M58" s="0" t="n">
        <v>2</v>
      </c>
      <c r="N58" s="0" t="n">
        <v>0</v>
      </c>
      <c r="Q58" s="6" t="n">
        <f aca="false">(ROUNDUP(D58*12/G58,0)+1+I58)*E58*H58</f>
        <v>153.75</v>
      </c>
      <c r="T58" s="6" t="n">
        <f aca="false">(D58-0)*H58</f>
        <v>4.86</v>
      </c>
      <c r="U58" s="6" t="n">
        <f aca="false">D58*H58</f>
        <v>4.86</v>
      </c>
      <c r="Y58" s="6" t="n">
        <f aca="false">D58*(J58*K58+L58*M58)-N58*2</f>
        <v>149.445</v>
      </c>
      <c r="AH58" s="6" t="n">
        <f aca="false">D58*E58</f>
        <v>37.36125</v>
      </c>
      <c r="AK58" s="6" t="n">
        <f aca="false">D58*4</f>
        <v>9.72</v>
      </c>
      <c r="AT58" s="5"/>
    </row>
    <row r="59" customFormat="false" ht="41.75" hidden="false" customHeight="false" outlineLevel="0" collapsed="false">
      <c r="A59" s="5" t="s">
        <v>163</v>
      </c>
      <c r="B59" s="5" t="s">
        <v>149</v>
      </c>
      <c r="C59" s="5" t="s">
        <v>164</v>
      </c>
      <c r="D59" s="0" t="n">
        <v>2.42</v>
      </c>
      <c r="E59" s="0" t="n">
        <v>15.375</v>
      </c>
      <c r="F59" s="0" t="n">
        <v>4</v>
      </c>
      <c r="G59" s="0" t="n">
        <v>16</v>
      </c>
      <c r="H59" s="0" t="n">
        <v>2</v>
      </c>
      <c r="I59" s="0" t="n">
        <v>2</v>
      </c>
      <c r="J59" s="0" t="n">
        <v>15.375</v>
      </c>
      <c r="K59" s="0" t="n">
        <v>2</v>
      </c>
      <c r="L59" s="0" t="n">
        <v>15.375</v>
      </c>
      <c r="M59" s="0" t="n">
        <v>2</v>
      </c>
      <c r="N59" s="0" t="n">
        <v>0</v>
      </c>
      <c r="Q59" s="6" t="n">
        <f aca="false">(ROUNDUP(D59*12/G59,0)+1+I59)*E59*H59</f>
        <v>153.75</v>
      </c>
      <c r="T59" s="6" t="n">
        <f aca="false">(D59-0)*H59</f>
        <v>4.84</v>
      </c>
      <c r="U59" s="6" t="n">
        <f aca="false">D59*H59</f>
        <v>4.84</v>
      </c>
      <c r="Y59" s="6" t="n">
        <f aca="false">D59*(J59*K59+L59*M59)-N59*2</f>
        <v>148.83</v>
      </c>
      <c r="AH59" s="6" t="n">
        <f aca="false">D59*E59</f>
        <v>37.2075</v>
      </c>
      <c r="AK59" s="6" t="n">
        <f aca="false">D59*4</f>
        <v>9.68</v>
      </c>
      <c r="AT59" s="5"/>
    </row>
    <row r="60" customFormat="false" ht="41.75" hidden="false" customHeight="false" outlineLevel="0" collapsed="false">
      <c r="A60" s="5" t="s">
        <v>165</v>
      </c>
      <c r="B60" s="5" t="s">
        <v>149</v>
      </c>
      <c r="C60" s="5" t="s">
        <v>166</v>
      </c>
      <c r="D60" s="0" t="n">
        <v>2.42</v>
      </c>
      <c r="E60" s="0" t="n">
        <v>15.375</v>
      </c>
      <c r="F60" s="0" t="n">
        <v>4</v>
      </c>
      <c r="G60" s="0" t="n">
        <v>16</v>
      </c>
      <c r="H60" s="0" t="n">
        <v>2</v>
      </c>
      <c r="I60" s="0" t="n">
        <v>2</v>
      </c>
      <c r="J60" s="0" t="n">
        <v>15.375</v>
      </c>
      <c r="K60" s="0" t="n">
        <v>2</v>
      </c>
      <c r="L60" s="0" t="n">
        <v>15.375</v>
      </c>
      <c r="M60" s="0" t="n">
        <v>2</v>
      </c>
      <c r="N60" s="0" t="n">
        <v>0</v>
      </c>
      <c r="Q60" s="6" t="n">
        <f aca="false">(ROUNDUP(D60*12/G60,0)+1+I60)*E60*H60</f>
        <v>153.75</v>
      </c>
      <c r="T60" s="6" t="n">
        <f aca="false">(D60-0)*H60</f>
        <v>4.84</v>
      </c>
      <c r="U60" s="6" t="n">
        <f aca="false">D60*H60</f>
        <v>4.84</v>
      </c>
      <c r="Y60" s="6" t="n">
        <f aca="false">D60*(J60*K60+L60*M60)-N60*2</f>
        <v>148.83</v>
      </c>
      <c r="AH60" s="6" t="n">
        <f aca="false">D60*E60</f>
        <v>37.2075</v>
      </c>
      <c r="AK60" s="6" t="n">
        <f aca="false">D60*4</f>
        <v>9.68</v>
      </c>
      <c r="AT60" s="5"/>
    </row>
    <row r="61" customFormat="false" ht="41.75" hidden="false" customHeight="false" outlineLevel="0" collapsed="false">
      <c r="A61" s="5" t="s">
        <v>167</v>
      </c>
      <c r="B61" s="5" t="s">
        <v>149</v>
      </c>
      <c r="C61" s="5" t="s">
        <v>168</v>
      </c>
      <c r="D61" s="0" t="n">
        <v>2.41</v>
      </c>
      <c r="E61" s="0" t="n">
        <v>15.375</v>
      </c>
      <c r="F61" s="0" t="n">
        <v>4</v>
      </c>
      <c r="G61" s="0" t="n">
        <v>16</v>
      </c>
      <c r="H61" s="0" t="n">
        <v>2</v>
      </c>
      <c r="I61" s="0" t="n">
        <v>2</v>
      </c>
      <c r="J61" s="0" t="n">
        <v>15.375</v>
      </c>
      <c r="K61" s="0" t="n">
        <v>2</v>
      </c>
      <c r="L61" s="0" t="n">
        <v>15.375</v>
      </c>
      <c r="M61" s="0" t="n">
        <v>2</v>
      </c>
      <c r="N61" s="0" t="n">
        <v>0</v>
      </c>
      <c r="Q61" s="6" t="n">
        <f aca="false">(ROUNDUP(D61*12/G61,0)+1+I61)*E61*H61</f>
        <v>153.75</v>
      </c>
      <c r="T61" s="6" t="n">
        <f aca="false">(D61-0)*H61</f>
        <v>4.82</v>
      </c>
      <c r="U61" s="6" t="n">
        <f aca="false">D61*H61</f>
        <v>4.82</v>
      </c>
      <c r="Y61" s="6" t="n">
        <f aca="false">D61*(J61*K61+L61*M61)-N61*2</f>
        <v>148.215</v>
      </c>
      <c r="AH61" s="6" t="n">
        <f aca="false">D61*E61</f>
        <v>37.05375</v>
      </c>
      <c r="AK61" s="6" t="n">
        <f aca="false">D61*4</f>
        <v>9.64</v>
      </c>
      <c r="AT61" s="5"/>
    </row>
    <row r="62" customFormat="false" ht="15" hidden="false" customHeight="false" outlineLevel="0" collapsed="false">
      <c r="A62" s="3" t="s">
        <v>169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customFormat="false" ht="41.75" hidden="false" customHeight="false" outlineLevel="0" collapsed="false">
      <c r="A63" s="5" t="s">
        <v>170</v>
      </c>
      <c r="B63" s="5" t="s">
        <v>171</v>
      </c>
      <c r="C63" s="5" t="s">
        <v>172</v>
      </c>
      <c r="D63" s="0" t="n">
        <v>11.77</v>
      </c>
      <c r="E63" s="0" t="n">
        <v>15.375</v>
      </c>
      <c r="F63" s="0" t="n">
        <v>4</v>
      </c>
      <c r="G63" s="0" t="n">
        <v>16</v>
      </c>
      <c r="H63" s="0" t="n">
        <v>2</v>
      </c>
      <c r="I63" s="0" t="n">
        <v>2</v>
      </c>
      <c r="J63" s="0" t="n">
        <v>15.375</v>
      </c>
      <c r="K63" s="0" t="n">
        <v>2</v>
      </c>
      <c r="L63" s="0" t="n">
        <v>15.375</v>
      </c>
      <c r="M63" s="0" t="n">
        <v>2</v>
      </c>
      <c r="N63" s="0" t="n">
        <v>0</v>
      </c>
      <c r="Q63" s="6" t="n">
        <f aca="false">(ROUNDUP(D63*12/G63,0)+1+I63)*E63*H63</f>
        <v>369</v>
      </c>
      <c r="T63" s="6" t="n">
        <f aca="false">(D63-0)*H63</f>
        <v>23.54</v>
      </c>
      <c r="U63" s="6" t="n">
        <f aca="false">D63*H63</f>
        <v>23.54</v>
      </c>
      <c r="Y63" s="6" t="n">
        <f aca="false">D63*(J63*K63+L63*M63)-N63*2</f>
        <v>723.855</v>
      </c>
      <c r="AH63" s="6" t="n">
        <f aca="false">D63*E63</f>
        <v>180.96375</v>
      </c>
      <c r="AK63" s="6" t="n">
        <f aca="false">D63*4</f>
        <v>47.08</v>
      </c>
      <c r="AT63" s="5"/>
    </row>
    <row r="64" customFormat="false" ht="41.75" hidden="false" customHeight="false" outlineLevel="0" collapsed="false">
      <c r="A64" s="5" t="s">
        <v>173</v>
      </c>
      <c r="B64" s="5" t="s">
        <v>171</v>
      </c>
      <c r="C64" s="5" t="s">
        <v>174</v>
      </c>
      <c r="D64" s="0" t="n">
        <v>2.67</v>
      </c>
      <c r="E64" s="0" t="n">
        <v>15.375</v>
      </c>
      <c r="F64" s="0" t="n">
        <v>4</v>
      </c>
      <c r="G64" s="0" t="n">
        <v>16</v>
      </c>
      <c r="H64" s="0" t="n">
        <v>2</v>
      </c>
      <c r="I64" s="0" t="n">
        <v>2</v>
      </c>
      <c r="J64" s="0" t="n">
        <v>15.375</v>
      </c>
      <c r="K64" s="0" t="n">
        <v>2</v>
      </c>
      <c r="L64" s="0" t="n">
        <v>15.375</v>
      </c>
      <c r="M64" s="0" t="n">
        <v>2</v>
      </c>
      <c r="N64" s="0" t="n">
        <v>0</v>
      </c>
      <c r="Q64" s="6" t="n">
        <f aca="false">(ROUNDUP(D64*12/G64,0)+1+I64)*E64*H64</f>
        <v>184.5</v>
      </c>
      <c r="T64" s="6" t="n">
        <f aca="false">(D64-0)*H64</f>
        <v>5.34</v>
      </c>
      <c r="U64" s="6" t="n">
        <f aca="false">D64*H64</f>
        <v>5.34</v>
      </c>
      <c r="Y64" s="6" t="n">
        <f aca="false">D64*(J64*K64+L64*M64)-N64*2</f>
        <v>164.205</v>
      </c>
      <c r="AH64" s="6" t="n">
        <f aca="false">D64*E64</f>
        <v>41.05125</v>
      </c>
      <c r="AK64" s="6" t="n">
        <f aca="false">D64*4</f>
        <v>10.68</v>
      </c>
      <c r="AT64" s="5"/>
    </row>
    <row r="65" customFormat="false" ht="28.35" hidden="false" customHeight="false" outlineLevel="0" collapsed="false">
      <c r="A65" s="5" t="s">
        <v>175</v>
      </c>
      <c r="B65" s="5" t="s">
        <v>171</v>
      </c>
      <c r="C65" s="5" t="s">
        <v>176</v>
      </c>
      <c r="D65" s="0" t="n">
        <v>2.67</v>
      </c>
      <c r="E65" s="0" t="n">
        <v>15.375</v>
      </c>
      <c r="F65" s="0" t="n">
        <v>4</v>
      </c>
      <c r="G65" s="0" t="n">
        <v>16</v>
      </c>
      <c r="H65" s="0" t="n">
        <v>2</v>
      </c>
      <c r="I65" s="0" t="n">
        <v>2</v>
      </c>
      <c r="J65" s="0" t="n">
        <v>15.375</v>
      </c>
      <c r="K65" s="0" t="n">
        <v>2</v>
      </c>
      <c r="L65" s="0" t="n">
        <v>15.375</v>
      </c>
      <c r="M65" s="0" t="n">
        <v>2</v>
      </c>
      <c r="N65" s="0" t="n">
        <v>0</v>
      </c>
      <c r="Q65" s="6" t="n">
        <f aca="false">(ROUNDUP(D65*12/G65,0)+1+I65)*E65*H65</f>
        <v>184.5</v>
      </c>
      <c r="T65" s="6" t="n">
        <f aca="false">(D65-0)*H65</f>
        <v>5.34</v>
      </c>
      <c r="U65" s="6" t="n">
        <f aca="false">D65*H65</f>
        <v>5.34</v>
      </c>
      <c r="Y65" s="6" t="n">
        <f aca="false">D65*(J65*K65+L65*M65)-N65*2</f>
        <v>164.205</v>
      </c>
      <c r="AH65" s="6" t="n">
        <f aca="false">D65*E65</f>
        <v>41.05125</v>
      </c>
      <c r="AK65" s="6" t="n">
        <f aca="false">D65*4</f>
        <v>10.68</v>
      </c>
      <c r="AT65" s="5"/>
    </row>
    <row r="66" customFormat="false" ht="15" hidden="false" customHeight="false" outlineLevel="0" collapsed="false">
      <c r="A66" s="3" t="s">
        <v>177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customFormat="false" ht="41.75" hidden="false" customHeight="false" outlineLevel="0" collapsed="false">
      <c r="A67" s="5" t="s">
        <v>178</v>
      </c>
      <c r="B67" s="5" t="s">
        <v>179</v>
      </c>
      <c r="C67" s="5" t="s">
        <v>180</v>
      </c>
      <c r="D67" s="0" t="n">
        <v>3.5</v>
      </c>
      <c r="E67" s="0" t="n">
        <v>15.375</v>
      </c>
      <c r="F67" s="0" t="n">
        <v>0</v>
      </c>
      <c r="G67" s="0" t="n">
        <v>16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6" t="n">
        <f aca="false">3*(E67-8)</f>
        <v>22.125</v>
      </c>
      <c r="V67" s="6" t="n">
        <f aca="false">D67+1</f>
        <v>4.5</v>
      </c>
      <c r="AT67" s="5"/>
    </row>
    <row r="68" customFormat="false" ht="41.75" hidden="false" customHeight="false" outlineLevel="0" collapsed="false">
      <c r="A68" s="5" t="s">
        <v>181</v>
      </c>
      <c r="B68" s="5" t="s">
        <v>182</v>
      </c>
      <c r="C68" s="5" t="s">
        <v>183</v>
      </c>
      <c r="D68" s="0" t="n">
        <v>3</v>
      </c>
      <c r="E68" s="0" t="n">
        <v>15.375</v>
      </c>
      <c r="F68" s="0" t="n">
        <v>0</v>
      </c>
      <c r="G68" s="0" t="n">
        <v>16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P68" s="6" t="n">
        <f aca="false">3*(E68-8)</f>
        <v>22.125</v>
      </c>
      <c r="V68" s="6" t="n">
        <f aca="false">D68+1</f>
        <v>4</v>
      </c>
      <c r="AT68" s="5"/>
    </row>
    <row r="69" customFormat="false" ht="41.75" hidden="false" customHeight="false" outlineLevel="0" collapsed="false">
      <c r="A69" s="5" t="s">
        <v>184</v>
      </c>
      <c r="B69" s="5" t="s">
        <v>185</v>
      </c>
      <c r="C69" s="5" t="s">
        <v>186</v>
      </c>
      <c r="D69" s="0" t="n">
        <v>3</v>
      </c>
      <c r="E69" s="0" t="n">
        <v>13.052</v>
      </c>
      <c r="F69" s="0" t="n">
        <v>0</v>
      </c>
      <c r="G69" s="0" t="n">
        <v>16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6" t="n">
        <f aca="false">3*(E69-7)</f>
        <v>18.156</v>
      </c>
      <c r="V69" s="6" t="n">
        <f aca="false">D69+1</f>
        <v>4</v>
      </c>
      <c r="AT69" s="5"/>
    </row>
    <row r="70" customFormat="false" ht="41.75" hidden="false" customHeight="false" outlineLevel="0" collapsed="false">
      <c r="A70" s="5" t="s">
        <v>187</v>
      </c>
      <c r="B70" s="5" t="s">
        <v>188</v>
      </c>
      <c r="C70" s="5" t="s">
        <v>189</v>
      </c>
      <c r="D70" s="0" t="n">
        <v>3</v>
      </c>
      <c r="E70" s="0" t="n">
        <v>13.052</v>
      </c>
      <c r="F70" s="0" t="n">
        <v>0</v>
      </c>
      <c r="G70" s="0" t="n">
        <v>16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6" t="n">
        <f aca="false">3*(E70-7)</f>
        <v>18.156</v>
      </c>
      <c r="V70" s="6" t="n">
        <f aca="false">D70+1</f>
        <v>4</v>
      </c>
      <c r="AT70" s="5"/>
    </row>
    <row r="71" customFormat="false" ht="41.75" hidden="false" customHeight="false" outlineLevel="0" collapsed="false">
      <c r="A71" s="5" t="s">
        <v>190</v>
      </c>
      <c r="B71" s="5" t="s">
        <v>191</v>
      </c>
      <c r="C71" s="5" t="s">
        <v>192</v>
      </c>
      <c r="D71" s="0" t="n">
        <v>3</v>
      </c>
      <c r="E71" s="0" t="n">
        <v>13.052</v>
      </c>
      <c r="F71" s="0" t="n">
        <v>0</v>
      </c>
      <c r="G71" s="0" t="n">
        <v>16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6" t="n">
        <f aca="false">3*(E71-8)</f>
        <v>15.156</v>
      </c>
      <c r="V71" s="6" t="n">
        <f aca="false">D71+1</f>
        <v>4</v>
      </c>
      <c r="AT71" s="5"/>
    </row>
    <row r="72" customFormat="false" ht="41.75" hidden="false" customHeight="false" outlineLevel="0" collapsed="false">
      <c r="A72" s="5" t="s">
        <v>193</v>
      </c>
      <c r="B72" s="5" t="s">
        <v>194</v>
      </c>
      <c r="C72" s="5" t="s">
        <v>195</v>
      </c>
      <c r="D72" s="0" t="n">
        <v>3</v>
      </c>
      <c r="E72" s="0" t="n">
        <v>13.052</v>
      </c>
      <c r="F72" s="0" t="n">
        <v>0</v>
      </c>
      <c r="G72" s="0" t="n">
        <v>16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6" t="n">
        <f aca="false">3*(E72-7)</f>
        <v>18.156</v>
      </c>
      <c r="V72" s="6" t="n">
        <f aca="false">D72+1</f>
        <v>4</v>
      </c>
      <c r="AT72" s="5"/>
    </row>
    <row r="73" customFormat="false" ht="41.75" hidden="false" customHeight="false" outlineLevel="0" collapsed="false">
      <c r="A73" s="5" t="s">
        <v>196</v>
      </c>
      <c r="B73" s="5" t="s">
        <v>197</v>
      </c>
      <c r="C73" s="5" t="s">
        <v>198</v>
      </c>
      <c r="D73" s="0" t="n">
        <v>3</v>
      </c>
      <c r="E73" s="0" t="n">
        <v>13.052</v>
      </c>
      <c r="F73" s="0" t="n">
        <v>0</v>
      </c>
      <c r="G73" s="0" t="n">
        <v>16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6" t="n">
        <f aca="false">3*(E73-7)</f>
        <v>18.156</v>
      </c>
      <c r="V73" s="6" t="n">
        <f aca="false">D73+1</f>
        <v>4</v>
      </c>
      <c r="AT73" s="5"/>
    </row>
    <row r="74" customFormat="false" ht="41.75" hidden="false" customHeight="false" outlineLevel="0" collapsed="false">
      <c r="A74" s="5" t="s">
        <v>199</v>
      </c>
      <c r="B74" s="5" t="s">
        <v>200</v>
      </c>
      <c r="C74" s="5" t="s">
        <v>201</v>
      </c>
      <c r="D74" s="0" t="n">
        <v>3</v>
      </c>
      <c r="E74" s="0" t="n">
        <v>13.052</v>
      </c>
      <c r="F74" s="0" t="n">
        <v>0</v>
      </c>
      <c r="G74" s="0" t="n">
        <v>16</v>
      </c>
      <c r="H74" s="0" t="n">
        <v>1</v>
      </c>
      <c r="I74" s="0" t="n">
        <v>0</v>
      </c>
      <c r="J74" s="0" t="n">
        <v>13.052</v>
      </c>
      <c r="K74" s="0" t="n">
        <v>0</v>
      </c>
      <c r="L74" s="0" t="n">
        <v>13.052</v>
      </c>
      <c r="M74" s="0" t="n">
        <v>0</v>
      </c>
      <c r="N74" s="0" t="n">
        <v>0</v>
      </c>
      <c r="O74" s="6" t="n">
        <f aca="false">(3+4)*(E74-7)+4*7</f>
        <v>70.364</v>
      </c>
      <c r="U74" s="6" t="n">
        <f aca="false">D74</f>
        <v>3</v>
      </c>
      <c r="V74" s="6" t="n">
        <f aca="false">D74+1</f>
        <v>4</v>
      </c>
      <c r="Y74" s="6" t="n">
        <f aca="false">D74*((J74-7)+(L74-7))</f>
        <v>36.312</v>
      </c>
      <c r="AH74" s="6" t="n">
        <f aca="false">D74*(E74-7)</f>
        <v>18.156</v>
      </c>
      <c r="AT74" s="5"/>
    </row>
    <row r="75" customFormat="false" ht="41.75" hidden="false" customHeight="false" outlineLevel="0" collapsed="false">
      <c r="A75" s="5" t="s">
        <v>202</v>
      </c>
      <c r="B75" s="5" t="s">
        <v>203</v>
      </c>
      <c r="C75" s="5" t="s">
        <v>204</v>
      </c>
      <c r="D75" s="0" t="n">
        <v>3</v>
      </c>
      <c r="E75" s="0" t="n">
        <v>13.052</v>
      </c>
      <c r="F75" s="0" t="n">
        <v>0</v>
      </c>
      <c r="G75" s="0" t="n">
        <v>16</v>
      </c>
      <c r="H75" s="0" t="n">
        <v>1</v>
      </c>
      <c r="I75" s="0" t="n">
        <v>0</v>
      </c>
      <c r="J75" s="0" t="n">
        <v>13.052</v>
      </c>
      <c r="K75" s="0" t="n">
        <v>0</v>
      </c>
      <c r="L75" s="0" t="n">
        <v>13.052</v>
      </c>
      <c r="M75" s="0" t="n">
        <v>0</v>
      </c>
      <c r="N75" s="0" t="n">
        <v>0</v>
      </c>
      <c r="O75" s="6" t="n">
        <f aca="false">(3+4)*(E75-7)+4*7</f>
        <v>70.364</v>
      </c>
      <c r="U75" s="6" t="n">
        <f aca="false">D75</f>
        <v>3</v>
      </c>
      <c r="V75" s="6" t="n">
        <f aca="false">D75+1</f>
        <v>4</v>
      </c>
      <c r="Y75" s="6" t="n">
        <f aca="false">D75*((J75-7)+(L75-7))</f>
        <v>36.312</v>
      </c>
      <c r="AH75" s="6" t="n">
        <f aca="false">D75*(E75-7)</f>
        <v>18.156</v>
      </c>
      <c r="AT75" s="5"/>
    </row>
    <row r="76" customFormat="false" ht="41.75" hidden="false" customHeight="false" outlineLevel="0" collapsed="false">
      <c r="A76" s="5" t="s">
        <v>205</v>
      </c>
      <c r="B76" s="5" t="s">
        <v>206</v>
      </c>
      <c r="C76" s="5" t="s">
        <v>207</v>
      </c>
      <c r="D76" s="0" t="n">
        <v>3</v>
      </c>
      <c r="E76" s="0" t="n">
        <v>13.052</v>
      </c>
      <c r="F76" s="0" t="n">
        <v>0</v>
      </c>
      <c r="G76" s="0" t="n">
        <v>16</v>
      </c>
      <c r="H76" s="0" t="n">
        <v>1</v>
      </c>
      <c r="I76" s="0" t="n">
        <v>0</v>
      </c>
      <c r="J76" s="0" t="n">
        <v>13.052</v>
      </c>
      <c r="K76" s="0" t="n">
        <v>0</v>
      </c>
      <c r="L76" s="0" t="n">
        <v>13.052</v>
      </c>
      <c r="M76" s="0" t="n">
        <v>0</v>
      </c>
      <c r="N76" s="0" t="n">
        <v>0</v>
      </c>
      <c r="O76" s="6" t="n">
        <f aca="false">(3+4)*(E76-7)+4*7</f>
        <v>70.364</v>
      </c>
      <c r="U76" s="6" t="n">
        <f aca="false">D76</f>
        <v>3</v>
      </c>
      <c r="V76" s="6" t="n">
        <f aca="false">D76+1</f>
        <v>4</v>
      </c>
      <c r="Y76" s="6" t="n">
        <f aca="false">D76*((J76-7)+(L76-7))</f>
        <v>36.312</v>
      </c>
      <c r="AH76" s="6" t="n">
        <f aca="false">D76*(E76-7)</f>
        <v>18.156</v>
      </c>
      <c r="AT76" s="5"/>
    </row>
    <row r="77" customFormat="false" ht="55.2" hidden="false" customHeight="false" outlineLevel="0" collapsed="false">
      <c r="A77" s="5" t="s">
        <v>208</v>
      </c>
      <c r="B77" s="5" t="s">
        <v>209</v>
      </c>
      <c r="C77" s="5" t="s">
        <v>210</v>
      </c>
      <c r="D77" s="0" t="n">
        <v>3</v>
      </c>
      <c r="E77" s="0" t="n">
        <v>13.052</v>
      </c>
      <c r="F77" s="0" t="n">
        <v>0</v>
      </c>
      <c r="G77" s="0" t="n">
        <v>16</v>
      </c>
      <c r="H77" s="0" t="n">
        <v>1</v>
      </c>
      <c r="I77" s="0" t="n">
        <v>0</v>
      </c>
      <c r="J77" s="0" t="n">
        <v>13.052</v>
      </c>
      <c r="K77" s="0" t="n">
        <v>0</v>
      </c>
      <c r="L77" s="0" t="n">
        <v>13.052</v>
      </c>
      <c r="M77" s="0" t="n">
        <v>0</v>
      </c>
      <c r="N77" s="0" t="n">
        <v>0</v>
      </c>
      <c r="O77" s="6" t="n">
        <f aca="false">(3+4)*(E77-7)+4*7</f>
        <v>70.364</v>
      </c>
      <c r="U77" s="6" t="n">
        <f aca="false">D77</f>
        <v>3</v>
      </c>
      <c r="V77" s="6" t="n">
        <f aca="false">D77+1</f>
        <v>4</v>
      </c>
      <c r="Y77" s="6" t="n">
        <f aca="false">D77*((J77-7)+(L77-7))</f>
        <v>36.312</v>
      </c>
      <c r="AH77" s="6" t="n">
        <f aca="false">D77*(E77-7)</f>
        <v>18.156</v>
      </c>
      <c r="AT77" s="5"/>
    </row>
    <row r="78" customFormat="false" ht="41.75" hidden="false" customHeight="false" outlineLevel="0" collapsed="false">
      <c r="A78" s="5" t="s">
        <v>211</v>
      </c>
      <c r="B78" s="5" t="s">
        <v>212</v>
      </c>
      <c r="C78" s="5" t="s">
        <v>213</v>
      </c>
      <c r="D78" s="0" t="n">
        <v>3</v>
      </c>
      <c r="E78" s="0" t="n">
        <v>13.052</v>
      </c>
      <c r="F78" s="0" t="n">
        <v>0</v>
      </c>
      <c r="G78" s="0" t="n">
        <v>16</v>
      </c>
      <c r="H78" s="0" t="n">
        <v>1</v>
      </c>
      <c r="I78" s="0" t="n">
        <v>0</v>
      </c>
      <c r="J78" s="0" t="n">
        <v>9.5</v>
      </c>
      <c r="K78" s="0" t="n">
        <v>0</v>
      </c>
      <c r="L78" s="0" t="n">
        <v>9</v>
      </c>
      <c r="M78" s="0" t="n">
        <v>0</v>
      </c>
      <c r="N78" s="0" t="n">
        <v>0</v>
      </c>
      <c r="P78" s="6" t="n">
        <f aca="false">(3+4)*(E78-7)+4*7</f>
        <v>70.364</v>
      </c>
      <c r="U78" s="6" t="n">
        <f aca="false">D78</f>
        <v>3</v>
      </c>
      <c r="V78" s="6" t="n">
        <f aca="false">D78+1</f>
        <v>4</v>
      </c>
      <c r="Y78" s="6" t="n">
        <f aca="false">D78*((J78-7)+(L78-7))</f>
        <v>13.5</v>
      </c>
      <c r="AH78" s="6" t="n">
        <f aca="false">D78*(E78-7)</f>
        <v>18.156</v>
      </c>
      <c r="AT78" s="5"/>
    </row>
    <row r="79" customFormat="false" ht="41.75" hidden="false" customHeight="false" outlineLevel="0" collapsed="false">
      <c r="A79" s="5" t="s">
        <v>214</v>
      </c>
      <c r="B79" s="5" t="s">
        <v>215</v>
      </c>
      <c r="C79" s="5" t="s">
        <v>216</v>
      </c>
      <c r="D79" s="0" t="n">
        <v>3</v>
      </c>
      <c r="E79" s="0" t="n">
        <v>13.052</v>
      </c>
      <c r="F79" s="0" t="n">
        <v>0</v>
      </c>
      <c r="G79" s="0" t="n">
        <v>16</v>
      </c>
      <c r="H79" s="0" t="n">
        <v>1</v>
      </c>
      <c r="I79" s="0" t="n">
        <v>0</v>
      </c>
      <c r="J79" s="0" t="n">
        <v>9</v>
      </c>
      <c r="K79" s="0" t="n">
        <v>0</v>
      </c>
      <c r="L79" s="0" t="n">
        <v>9</v>
      </c>
      <c r="M79" s="0" t="n">
        <v>0</v>
      </c>
      <c r="N79" s="0" t="n">
        <v>0</v>
      </c>
      <c r="O79" s="6" t="n">
        <f aca="false">(3+4)*(E79-7)+4*7</f>
        <v>70.364</v>
      </c>
      <c r="U79" s="6" t="n">
        <f aca="false">D79</f>
        <v>3</v>
      </c>
      <c r="V79" s="6" t="n">
        <f aca="false">D79+1</f>
        <v>4</v>
      </c>
      <c r="Y79" s="6" t="n">
        <f aca="false">D79*((J79-7)+(L79-7))</f>
        <v>12</v>
      </c>
      <c r="AH79" s="6" t="n">
        <f aca="false">D79*(E79-7)</f>
        <v>18.156</v>
      </c>
      <c r="AT79" s="5"/>
    </row>
    <row r="80" customFormat="false" ht="41.75" hidden="false" customHeight="false" outlineLevel="0" collapsed="false">
      <c r="A80" s="5" t="s">
        <v>217</v>
      </c>
      <c r="B80" s="5" t="s">
        <v>218</v>
      </c>
      <c r="C80" s="5" t="s">
        <v>219</v>
      </c>
      <c r="D80" s="0" t="n">
        <v>3</v>
      </c>
      <c r="E80" s="0" t="n">
        <v>13.052</v>
      </c>
      <c r="F80" s="0" t="n">
        <v>0</v>
      </c>
      <c r="G80" s="0" t="n">
        <v>16</v>
      </c>
      <c r="H80" s="0" t="n">
        <v>1</v>
      </c>
      <c r="I80" s="0" t="n">
        <v>0</v>
      </c>
      <c r="J80" s="0" t="n">
        <v>9</v>
      </c>
      <c r="K80" s="0" t="n">
        <v>0</v>
      </c>
      <c r="L80" s="0" t="n">
        <v>9</v>
      </c>
      <c r="M80" s="0" t="n">
        <v>0</v>
      </c>
      <c r="N80" s="0" t="n">
        <v>0</v>
      </c>
      <c r="P80" s="6" t="n">
        <f aca="false">(3+4)*(E80-7)+4*7</f>
        <v>70.364</v>
      </c>
      <c r="U80" s="6" t="n">
        <f aca="false">D80</f>
        <v>3</v>
      </c>
      <c r="V80" s="6" t="n">
        <f aca="false">D80+1</f>
        <v>4</v>
      </c>
      <c r="Y80" s="6" t="n">
        <f aca="false">D80*((J80-7)+(L80-7))</f>
        <v>12</v>
      </c>
      <c r="AH80" s="6" t="n">
        <f aca="false">D80*(E80-7)</f>
        <v>18.156</v>
      </c>
      <c r="AT80" s="5"/>
    </row>
    <row r="81" customFormat="false" ht="15" hidden="false" customHeight="false" outlineLevel="0" collapsed="false">
      <c r="A81" s="3" t="s">
        <v>220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customFormat="false" ht="68.65" hidden="false" customHeight="false" outlineLevel="0" collapsed="false">
      <c r="A82" s="5" t="s">
        <v>221</v>
      </c>
      <c r="B82" s="5" t="s">
        <v>222</v>
      </c>
      <c r="C82" s="5" t="s">
        <v>223</v>
      </c>
      <c r="D82" s="0" t="n">
        <v>7.5</v>
      </c>
      <c r="E82" s="0" t="n">
        <v>6.375</v>
      </c>
      <c r="F82" s="0" t="n">
        <v>4</v>
      </c>
      <c r="G82" s="0" t="n">
        <v>16</v>
      </c>
      <c r="H82" s="0" t="n">
        <v>2</v>
      </c>
      <c r="I82" s="0" t="n">
        <v>0</v>
      </c>
      <c r="J82" s="0" t="n">
        <v>6.375</v>
      </c>
      <c r="K82" s="0" t="n">
        <v>2</v>
      </c>
      <c r="L82" s="0" t="n">
        <v>6.375</v>
      </c>
      <c r="M82" s="0" t="n">
        <v>2</v>
      </c>
      <c r="N82" s="0" t="n">
        <v>0</v>
      </c>
      <c r="Q82" s="6" t="n">
        <f aca="false">(ROUNDUP(D82*12/16,0)+1)*E82*2</f>
        <v>89.25</v>
      </c>
      <c r="T82" s="6" t="n">
        <f aca="false">D82*2</f>
        <v>15</v>
      </c>
      <c r="U82" s="6" t="n">
        <f aca="false">D82*2</f>
        <v>15</v>
      </c>
      <c r="V82" s="6" t="n">
        <f aca="false">D82</f>
        <v>7.5</v>
      </c>
      <c r="Y82" s="6" t="n">
        <f aca="false">D82*E82*4</f>
        <v>191.25</v>
      </c>
      <c r="AH82" s="6" t="n">
        <f aca="false">D82*E82</f>
        <v>47.8125</v>
      </c>
      <c r="AI82" s="6" t="n">
        <f aca="false">D82</f>
        <v>7.5</v>
      </c>
      <c r="AJ82" s="6" t="n">
        <f aca="false">D82*4</f>
        <v>30</v>
      </c>
      <c r="AK82" s="6" t="n">
        <f aca="false">D82*2</f>
        <v>15</v>
      </c>
      <c r="AT82" s="5"/>
    </row>
    <row r="83" customFormat="false" ht="68.65" hidden="false" customHeight="false" outlineLevel="0" collapsed="false">
      <c r="A83" s="5" t="s">
        <v>224</v>
      </c>
      <c r="B83" s="5" t="s">
        <v>222</v>
      </c>
      <c r="C83" s="5" t="s">
        <v>225</v>
      </c>
      <c r="D83" s="0" t="n">
        <v>7.5</v>
      </c>
      <c r="E83" s="0" t="n">
        <v>6.375</v>
      </c>
      <c r="F83" s="0" t="n">
        <v>4</v>
      </c>
      <c r="G83" s="0" t="n">
        <v>16</v>
      </c>
      <c r="H83" s="0" t="n">
        <v>2</v>
      </c>
      <c r="I83" s="0" t="n">
        <v>0</v>
      </c>
      <c r="J83" s="0" t="n">
        <v>6.375</v>
      </c>
      <c r="K83" s="0" t="n">
        <v>2</v>
      </c>
      <c r="L83" s="0" t="n">
        <v>6.375</v>
      </c>
      <c r="M83" s="0" t="n">
        <v>2</v>
      </c>
      <c r="N83" s="0" t="n">
        <v>0</v>
      </c>
      <c r="Q83" s="6" t="n">
        <f aca="false">(ROUNDUP(D83*12/16,0)+1)*E83*2</f>
        <v>89.25</v>
      </c>
      <c r="T83" s="6" t="n">
        <f aca="false">D83*2</f>
        <v>15</v>
      </c>
      <c r="U83" s="6" t="n">
        <f aca="false">D83*2</f>
        <v>15</v>
      </c>
      <c r="V83" s="6" t="n">
        <f aca="false">D83</f>
        <v>7.5</v>
      </c>
      <c r="Y83" s="6" t="n">
        <f aca="false">D83*E83*4</f>
        <v>191.25</v>
      </c>
      <c r="AH83" s="6" t="n">
        <f aca="false">D83*E83</f>
        <v>47.8125</v>
      </c>
      <c r="AI83" s="6" t="n">
        <f aca="false">D83</f>
        <v>7.5</v>
      </c>
      <c r="AJ83" s="6" t="n">
        <f aca="false">D83*4</f>
        <v>30</v>
      </c>
      <c r="AK83" s="6" t="n">
        <f aca="false">D83*2</f>
        <v>15</v>
      </c>
      <c r="AT83" s="5"/>
    </row>
    <row r="84" customFormat="false" ht="68.65" hidden="false" customHeight="false" outlineLevel="0" collapsed="false">
      <c r="A84" s="5" t="s">
        <v>226</v>
      </c>
      <c r="B84" s="5" t="s">
        <v>222</v>
      </c>
      <c r="C84" s="5" t="s">
        <v>227</v>
      </c>
      <c r="D84" s="0" t="n">
        <v>7.5</v>
      </c>
      <c r="E84" s="0" t="n">
        <v>6.375</v>
      </c>
      <c r="F84" s="0" t="n">
        <v>4</v>
      </c>
      <c r="G84" s="0" t="n">
        <v>16</v>
      </c>
      <c r="H84" s="0" t="n">
        <v>2</v>
      </c>
      <c r="I84" s="0" t="n">
        <v>0</v>
      </c>
      <c r="J84" s="0" t="n">
        <v>6.375</v>
      </c>
      <c r="K84" s="0" t="n">
        <v>2</v>
      </c>
      <c r="L84" s="0" t="n">
        <v>6.375</v>
      </c>
      <c r="M84" s="0" t="n">
        <v>2</v>
      </c>
      <c r="N84" s="0" t="n">
        <v>0</v>
      </c>
      <c r="Q84" s="6" t="n">
        <f aca="false">(ROUNDUP(D84*12/16,0)+1)*E84*2</f>
        <v>89.25</v>
      </c>
      <c r="T84" s="6" t="n">
        <f aca="false">D84*2</f>
        <v>15</v>
      </c>
      <c r="U84" s="6" t="n">
        <f aca="false">D84*2</f>
        <v>15</v>
      </c>
      <c r="V84" s="6" t="n">
        <f aca="false">D84</f>
        <v>7.5</v>
      </c>
      <c r="Y84" s="6" t="n">
        <f aca="false">D84*E84*4</f>
        <v>191.25</v>
      </c>
      <c r="AH84" s="6" t="n">
        <f aca="false">D84*E84</f>
        <v>47.8125</v>
      </c>
      <c r="AI84" s="6" t="n">
        <f aca="false">D84</f>
        <v>7.5</v>
      </c>
      <c r="AJ84" s="6" t="n">
        <f aca="false">D84*4</f>
        <v>30</v>
      </c>
      <c r="AK84" s="6" t="n">
        <f aca="false">D84*2</f>
        <v>15</v>
      </c>
      <c r="AT84" s="5"/>
    </row>
    <row r="85" customFormat="false" ht="68.65" hidden="false" customHeight="false" outlineLevel="0" collapsed="false">
      <c r="A85" s="5" t="s">
        <v>228</v>
      </c>
      <c r="B85" s="5" t="s">
        <v>222</v>
      </c>
      <c r="C85" s="5" t="s">
        <v>229</v>
      </c>
      <c r="D85" s="0" t="n">
        <v>7.5</v>
      </c>
      <c r="E85" s="0" t="n">
        <v>6.375</v>
      </c>
      <c r="F85" s="0" t="n">
        <v>4</v>
      </c>
      <c r="G85" s="0" t="n">
        <v>16</v>
      </c>
      <c r="H85" s="0" t="n">
        <v>2</v>
      </c>
      <c r="I85" s="0" t="n">
        <v>0</v>
      </c>
      <c r="J85" s="0" t="n">
        <v>6.375</v>
      </c>
      <c r="K85" s="0" t="n">
        <v>2</v>
      </c>
      <c r="L85" s="0" t="n">
        <v>6.375</v>
      </c>
      <c r="M85" s="0" t="n">
        <v>2</v>
      </c>
      <c r="N85" s="0" t="n">
        <v>0</v>
      </c>
      <c r="Q85" s="6" t="n">
        <f aca="false">(ROUNDUP(D85*12/16,0)+1)*E85*2</f>
        <v>89.25</v>
      </c>
      <c r="T85" s="6" t="n">
        <f aca="false">D85*2</f>
        <v>15</v>
      </c>
      <c r="U85" s="6" t="n">
        <f aca="false">D85*2</f>
        <v>15</v>
      </c>
      <c r="V85" s="6" t="n">
        <f aca="false">D85</f>
        <v>7.5</v>
      </c>
      <c r="Y85" s="6" t="n">
        <f aca="false">D85*E85*4</f>
        <v>191.25</v>
      </c>
      <c r="AH85" s="6" t="n">
        <f aca="false">D85*E85</f>
        <v>47.8125</v>
      </c>
      <c r="AI85" s="6" t="n">
        <f aca="false">D85</f>
        <v>7.5</v>
      </c>
      <c r="AJ85" s="6" t="n">
        <f aca="false">D85*4</f>
        <v>30</v>
      </c>
      <c r="AK85" s="6" t="n">
        <f aca="false">D85*2</f>
        <v>15</v>
      </c>
      <c r="AT85" s="5"/>
    </row>
    <row r="86" customFormat="false" ht="68.65" hidden="false" customHeight="false" outlineLevel="0" collapsed="false">
      <c r="A86" s="5" t="s">
        <v>230</v>
      </c>
      <c r="B86" s="5" t="s">
        <v>222</v>
      </c>
      <c r="C86" s="5" t="s">
        <v>231</v>
      </c>
      <c r="D86" s="0" t="n">
        <v>7.5</v>
      </c>
      <c r="E86" s="0" t="n">
        <v>6.375</v>
      </c>
      <c r="F86" s="0" t="n">
        <v>4</v>
      </c>
      <c r="G86" s="0" t="n">
        <v>16</v>
      </c>
      <c r="H86" s="0" t="n">
        <v>2</v>
      </c>
      <c r="I86" s="0" t="n">
        <v>0</v>
      </c>
      <c r="J86" s="0" t="n">
        <v>6.375</v>
      </c>
      <c r="K86" s="0" t="n">
        <v>2</v>
      </c>
      <c r="L86" s="0" t="n">
        <v>6.375</v>
      </c>
      <c r="M86" s="0" t="n">
        <v>2</v>
      </c>
      <c r="N86" s="0" t="n">
        <v>0</v>
      </c>
      <c r="Q86" s="6" t="n">
        <f aca="false">(ROUNDUP(D86*12/16,0)+1)*E86*2</f>
        <v>89.25</v>
      </c>
      <c r="T86" s="6" t="n">
        <f aca="false">D86*2</f>
        <v>15</v>
      </c>
      <c r="U86" s="6" t="n">
        <f aca="false">D86*2</f>
        <v>15</v>
      </c>
      <c r="V86" s="6" t="n">
        <f aca="false">D86</f>
        <v>7.5</v>
      </c>
      <c r="Y86" s="6" t="n">
        <f aca="false">D86*E86*4</f>
        <v>191.25</v>
      </c>
      <c r="AH86" s="6" t="n">
        <f aca="false">D86*E86</f>
        <v>47.8125</v>
      </c>
      <c r="AI86" s="6" t="n">
        <f aca="false">D86</f>
        <v>7.5</v>
      </c>
      <c r="AJ86" s="6" t="n">
        <f aca="false">D86*4</f>
        <v>30</v>
      </c>
      <c r="AK86" s="6" t="n">
        <f aca="false">D86*2</f>
        <v>15</v>
      </c>
      <c r="AT86" s="5"/>
    </row>
    <row r="87" customFormat="false" ht="68.65" hidden="false" customHeight="false" outlineLevel="0" collapsed="false">
      <c r="A87" s="5" t="s">
        <v>232</v>
      </c>
      <c r="B87" s="5" t="s">
        <v>222</v>
      </c>
      <c r="C87" s="5" t="s">
        <v>233</v>
      </c>
      <c r="D87" s="0" t="n">
        <v>7.5</v>
      </c>
      <c r="E87" s="0" t="n">
        <v>6.375</v>
      </c>
      <c r="F87" s="0" t="n">
        <v>4</v>
      </c>
      <c r="G87" s="0" t="n">
        <v>16</v>
      </c>
      <c r="H87" s="0" t="n">
        <v>2</v>
      </c>
      <c r="I87" s="0" t="n">
        <v>0</v>
      </c>
      <c r="J87" s="0" t="n">
        <v>6.375</v>
      </c>
      <c r="K87" s="0" t="n">
        <v>2</v>
      </c>
      <c r="L87" s="0" t="n">
        <v>6.375</v>
      </c>
      <c r="M87" s="0" t="n">
        <v>2</v>
      </c>
      <c r="N87" s="0" t="n">
        <v>0</v>
      </c>
      <c r="Q87" s="6" t="n">
        <f aca="false">(ROUNDUP(D87*12/16,0)+1)*E87*2</f>
        <v>89.25</v>
      </c>
      <c r="T87" s="6" t="n">
        <f aca="false">D87*2</f>
        <v>15</v>
      </c>
      <c r="U87" s="6" t="n">
        <f aca="false">D87*2</f>
        <v>15</v>
      </c>
      <c r="V87" s="6" t="n">
        <f aca="false">D87</f>
        <v>7.5</v>
      </c>
      <c r="Y87" s="6" t="n">
        <f aca="false">D87*E87*4</f>
        <v>191.25</v>
      </c>
      <c r="AH87" s="6" t="n">
        <f aca="false">D87*E87</f>
        <v>47.8125</v>
      </c>
      <c r="AI87" s="6" t="n">
        <f aca="false">D87</f>
        <v>7.5</v>
      </c>
      <c r="AJ87" s="6" t="n">
        <f aca="false">D87*4</f>
        <v>30</v>
      </c>
      <c r="AK87" s="6" t="n">
        <f aca="false">D87*2</f>
        <v>15</v>
      </c>
      <c r="AT87" s="5"/>
    </row>
    <row r="88" customFormat="false" ht="15" hidden="false" customHeight="false" outlineLevel="0" collapsed="false">
      <c r="A88" s="3" t="s">
        <v>234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customFormat="false" ht="55.2" hidden="false" customHeight="false" outlineLevel="0" collapsed="false">
      <c r="A89" s="5" t="s">
        <v>235</v>
      </c>
      <c r="B89" s="5" t="s">
        <v>236</v>
      </c>
      <c r="C89" s="5" t="s">
        <v>237</v>
      </c>
      <c r="D89" s="0" t="n">
        <v>15.64</v>
      </c>
      <c r="E89" s="0" t="n">
        <v>1.667</v>
      </c>
      <c r="F89" s="0" t="n">
        <v>0</v>
      </c>
      <c r="G89" s="0" t="n">
        <v>16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6" t="n">
        <f aca="false">(ROUNDUP(D89*12/16,0)+1)*E89</f>
        <v>21.671</v>
      </c>
      <c r="T89" s="6" t="n">
        <f aca="false">D89</f>
        <v>15.64</v>
      </c>
      <c r="U89" s="6" t="n">
        <f aca="false">D89</f>
        <v>15.64</v>
      </c>
      <c r="V89" s="6" t="n">
        <f aca="false">D89</f>
        <v>15.64</v>
      </c>
      <c r="Y89" s="6" t="n">
        <f aca="false">D89*(E89*2+0.4)</f>
        <v>58.39976</v>
      </c>
      <c r="AI89" s="6" t="n">
        <f aca="false">D89</f>
        <v>15.64</v>
      </c>
      <c r="AJ89" s="6" t="n">
        <f aca="false">D89*2</f>
        <v>31.28</v>
      </c>
      <c r="AT89" s="5"/>
    </row>
    <row r="90" customFormat="false" ht="55.2" hidden="false" customHeight="false" outlineLevel="0" collapsed="false">
      <c r="A90" s="5" t="s">
        <v>238</v>
      </c>
      <c r="B90" s="5" t="s">
        <v>239</v>
      </c>
      <c r="C90" s="5" t="s">
        <v>240</v>
      </c>
      <c r="D90" s="0" t="n">
        <v>14.25</v>
      </c>
      <c r="E90" s="0" t="n">
        <v>5.375</v>
      </c>
      <c r="F90" s="0" t="n">
        <v>0</v>
      </c>
      <c r="G90" s="0" t="n">
        <v>16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6" t="n">
        <f aca="false">(ROUNDUP(D90*12/16,0)+1)*E90+4*E90</f>
        <v>86</v>
      </c>
      <c r="R90" s="6" t="n">
        <f aca="false">(ROUNDUP(D90*12/16,0)+1)*1.5</f>
        <v>18</v>
      </c>
      <c r="T90" s="6" t="n">
        <f aca="false">D90</f>
        <v>14.25</v>
      </c>
      <c r="U90" s="6" t="n">
        <f aca="false">D90</f>
        <v>14.25</v>
      </c>
      <c r="V90" s="6" t="n">
        <f aca="false">D90*2</f>
        <v>28.5</v>
      </c>
      <c r="Y90" s="6" t="n">
        <f aca="false">D90*(1.5*2+1)+D90*E90</f>
        <v>133.59375</v>
      </c>
      <c r="AD90" s="6" t="n">
        <f aca="false">D90*E90</f>
        <v>76.59375</v>
      </c>
      <c r="AH90" s="6" t="n">
        <f aca="false">D90*E90</f>
        <v>76.59375</v>
      </c>
      <c r="AJ90" s="6" t="n">
        <f aca="false">D90*2</f>
        <v>28.5</v>
      </c>
      <c r="AT90" s="5"/>
    </row>
    <row r="91" customFormat="false" ht="15" hidden="false" customHeight="false" outlineLevel="0" collapsed="false">
      <c r="A91" s="3" t="s">
        <v>241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customFormat="false" ht="55.2" hidden="false" customHeight="false" outlineLevel="0" collapsed="false">
      <c r="A92" s="5" t="s">
        <v>242</v>
      </c>
      <c r="B92" s="5" t="s">
        <v>243</v>
      </c>
      <c r="C92" s="5" t="s">
        <v>244</v>
      </c>
      <c r="D92" s="0" t="n">
        <v>12.01</v>
      </c>
      <c r="E92" s="0" t="n">
        <v>1</v>
      </c>
      <c r="F92" s="0" t="n">
        <v>0</v>
      </c>
      <c r="G92" s="0" t="n">
        <v>16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6" t="n">
        <f aca="false">(ROUNDUP(D92*12/16,0)+1)*3.41+(ROUNDUP(D92*12/16,0)+1)*2*E92+(ROUNDUP(D92/4,0)+1)*2*(15.375-8)</f>
        <v>133.26</v>
      </c>
      <c r="Y92" s="6" t="n">
        <f aca="false">D92*3.41+D92*E92*2+3.41*E92*2</f>
        <v>71.7941</v>
      </c>
      <c r="AI92" s="6" t="n">
        <f aca="false">D92*2</f>
        <v>24.02</v>
      </c>
      <c r="AJ92" s="6" t="n">
        <f aca="false">D92*2+3.41*2</f>
        <v>30.84</v>
      </c>
      <c r="AO92" s="6" t="n">
        <f aca="false">D92*4</f>
        <v>48.04</v>
      </c>
      <c r="AT92" s="5"/>
    </row>
    <row r="93" customFormat="false" ht="15" hidden="false" customHeight="false" outlineLevel="0" collapsed="false">
      <c r="A93" s="3" t="s">
        <v>245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customFormat="false" ht="82.05" hidden="false" customHeight="false" outlineLevel="0" collapsed="false">
      <c r="A94" s="5" t="s">
        <v>246</v>
      </c>
      <c r="B94" s="5" t="s">
        <v>247</v>
      </c>
      <c r="C94" s="5" t="s">
        <v>248</v>
      </c>
      <c r="D94" s="0" t="n">
        <v>53.24</v>
      </c>
      <c r="E94" s="0" t="n">
        <v>17.417</v>
      </c>
      <c r="F94" s="0" t="n">
        <v>1</v>
      </c>
      <c r="G94" s="0" t="n">
        <v>16</v>
      </c>
      <c r="H94" s="0" t="n">
        <v>1</v>
      </c>
      <c r="I94" s="0" t="n">
        <v>6</v>
      </c>
      <c r="J94" s="0" t="n">
        <v>13.052</v>
      </c>
      <c r="K94" s="0" t="n">
        <v>1</v>
      </c>
      <c r="L94" s="0" t="n">
        <v>0</v>
      </c>
      <c r="M94" s="0" t="n">
        <v>0</v>
      </c>
      <c r="N94" s="0" t="n">
        <v>24</v>
      </c>
      <c r="O94" s="6" t="n">
        <f aca="false">(ROUNDUP(D94*12/16,0)+1+I94)*(J94-0)</f>
        <v>613.444</v>
      </c>
      <c r="S94" s="6" t="n">
        <f aca="false">(ROUNDUP(D94*12/16,0)+1+I94)*(E94-J94)</f>
        <v>205.155</v>
      </c>
      <c r="T94" s="6" t="n">
        <f aca="false">D94-3</f>
        <v>50.24</v>
      </c>
      <c r="U94" s="6" t="n">
        <f aca="false">D94</f>
        <v>53.24</v>
      </c>
      <c r="W94" s="6" t="n">
        <f aca="false">4</f>
        <v>4</v>
      </c>
      <c r="X94" s="6" t="n">
        <f aca="false">D94*ROUNDDOWN((E94-0)/4,0)</f>
        <v>212.96</v>
      </c>
      <c r="Y94" s="6" t="n">
        <f aca="false">D94*(J94-0)-N94</f>
        <v>670.88848</v>
      </c>
      <c r="AB94" s="6" t="n">
        <f aca="false">D94*(E94-J94)</f>
        <v>232.3926</v>
      </c>
      <c r="AD94" s="6" t="n">
        <f aca="false">D94*(E94-0)-N94</f>
        <v>903.28108</v>
      </c>
      <c r="AJ94" s="6" t="n">
        <f aca="false">22</f>
        <v>22</v>
      </c>
      <c r="AT94" s="5"/>
    </row>
    <row r="95" customFormat="false" ht="82.05" hidden="false" customHeight="false" outlineLevel="0" collapsed="false">
      <c r="A95" s="5" t="s">
        <v>249</v>
      </c>
      <c r="B95" s="5" t="s">
        <v>250</v>
      </c>
      <c r="C95" s="5" t="s">
        <v>251</v>
      </c>
      <c r="D95" s="0" t="n">
        <v>50.94</v>
      </c>
      <c r="E95" s="0" t="n">
        <v>17.417</v>
      </c>
      <c r="F95" s="0" t="n">
        <v>1</v>
      </c>
      <c r="G95" s="0" t="n">
        <v>16</v>
      </c>
      <c r="H95" s="0" t="n">
        <v>1</v>
      </c>
      <c r="I95" s="0" t="n">
        <v>18</v>
      </c>
      <c r="J95" s="0" t="n">
        <v>15.375</v>
      </c>
      <c r="K95" s="0" t="n">
        <v>1</v>
      </c>
      <c r="L95" s="0" t="n">
        <v>0</v>
      </c>
      <c r="M95" s="0" t="n">
        <v>0</v>
      </c>
      <c r="N95" s="0" t="n">
        <v>64</v>
      </c>
      <c r="O95" s="6" t="n">
        <f aca="false">(ROUNDUP(D95*12/16,0)+1+I95)*(J95-0)</f>
        <v>891.75</v>
      </c>
      <c r="S95" s="6" t="n">
        <f aca="false">(ROUNDUP(D95*12/16,0)+1+I95)*(E95-J95)</f>
        <v>118.436</v>
      </c>
      <c r="T95" s="6" t="n">
        <f aca="false">D95</f>
        <v>50.94</v>
      </c>
      <c r="U95" s="6" t="n">
        <f aca="false">D95</f>
        <v>50.94</v>
      </c>
      <c r="W95" s="6" t="n">
        <f aca="false">36</f>
        <v>36</v>
      </c>
      <c r="X95" s="6" t="n">
        <f aca="false">D95*ROUNDDOWN((E95-0)/4,0)</f>
        <v>203.76</v>
      </c>
      <c r="Y95" s="6" t="n">
        <f aca="false">D95*(J95-0)-N95</f>
        <v>719.2025</v>
      </c>
      <c r="AB95" s="6" t="n">
        <f aca="false">D95*(E95-J95)</f>
        <v>104.01948</v>
      </c>
      <c r="AD95" s="6" t="n">
        <f aca="false">D95*(E95-0)-N95</f>
        <v>823.22198</v>
      </c>
      <c r="AJ95" s="6" t="n">
        <f aca="false">80</f>
        <v>80</v>
      </c>
      <c r="AT95" s="5"/>
    </row>
    <row r="96" customFormat="false" ht="82.05" hidden="false" customHeight="false" outlineLevel="0" collapsed="false">
      <c r="A96" s="5" t="s">
        <v>252</v>
      </c>
      <c r="B96" s="5" t="s">
        <v>253</v>
      </c>
      <c r="C96" s="5" t="s">
        <v>254</v>
      </c>
      <c r="D96" s="0" t="n">
        <v>26.24</v>
      </c>
      <c r="E96" s="0" t="n">
        <v>17.417</v>
      </c>
      <c r="F96" s="0" t="n">
        <v>1</v>
      </c>
      <c r="G96" s="0" t="n">
        <v>16</v>
      </c>
      <c r="H96" s="0" t="n">
        <v>1</v>
      </c>
      <c r="I96" s="0" t="n">
        <v>2</v>
      </c>
      <c r="J96" s="0" t="n">
        <v>15.375</v>
      </c>
      <c r="K96" s="0" t="n">
        <v>1</v>
      </c>
      <c r="L96" s="0" t="n">
        <v>0</v>
      </c>
      <c r="M96" s="0" t="n">
        <v>0</v>
      </c>
      <c r="N96" s="0" t="n">
        <v>0</v>
      </c>
      <c r="O96" s="6" t="n">
        <f aca="false">(ROUNDUP(D96*12/16,0)+1+I96)*(J96-8.5)</f>
        <v>158.125</v>
      </c>
      <c r="S96" s="6" t="n">
        <f aca="false">(ROUNDUP(D96*12/16,0)+1+I96)*(E96-J96)</f>
        <v>46.966</v>
      </c>
      <c r="T96" s="6" t="n">
        <f aca="false">0</f>
        <v>0</v>
      </c>
      <c r="U96" s="6" t="n">
        <f aca="false">D96</f>
        <v>26.24</v>
      </c>
      <c r="V96" s="6" t="n">
        <f aca="false">D96</f>
        <v>26.24</v>
      </c>
      <c r="X96" s="6" t="n">
        <f aca="false">D96*ROUNDDOWN((E96-8.5)/4,0)</f>
        <v>52.48</v>
      </c>
      <c r="Y96" s="6" t="n">
        <f aca="false">D96*(J96-8.5)-N96</f>
        <v>180.4</v>
      </c>
      <c r="AB96" s="6" t="n">
        <f aca="false">D96*(E96-J96)</f>
        <v>53.58208</v>
      </c>
      <c r="AD96" s="6" t="n">
        <f aca="false">D96*(E96-8.5)-N96</f>
        <v>233.98208</v>
      </c>
      <c r="AJ96" s="6" t="n">
        <f aca="false">D96*2</f>
        <v>52.48</v>
      </c>
      <c r="AT96" s="5"/>
    </row>
    <row r="97" customFormat="false" ht="82.05" hidden="false" customHeight="false" outlineLevel="0" collapsed="false">
      <c r="A97" s="5" t="s">
        <v>255</v>
      </c>
      <c r="B97" s="5" t="s">
        <v>256</v>
      </c>
      <c r="C97" s="5" t="s">
        <v>257</v>
      </c>
      <c r="D97" s="0" t="n">
        <v>25.91</v>
      </c>
      <c r="E97" s="0" t="n">
        <v>17.417</v>
      </c>
      <c r="F97" s="0" t="n">
        <v>1</v>
      </c>
      <c r="G97" s="0" t="n">
        <v>16</v>
      </c>
      <c r="H97" s="0" t="n">
        <v>1</v>
      </c>
      <c r="I97" s="0" t="n">
        <v>2</v>
      </c>
      <c r="J97" s="0" t="n">
        <v>13.052</v>
      </c>
      <c r="K97" s="0" t="n">
        <v>1</v>
      </c>
      <c r="L97" s="0" t="n">
        <v>0</v>
      </c>
      <c r="M97" s="0" t="n">
        <v>0</v>
      </c>
      <c r="N97" s="0" t="n">
        <v>0</v>
      </c>
      <c r="O97" s="6" t="n">
        <f aca="false">(ROUNDUP(D97*12/16,0)+1+I97)*(J97-0)</f>
        <v>300.196</v>
      </c>
      <c r="S97" s="6" t="n">
        <f aca="false">(ROUNDUP(D97*12/16,0)+1+I97)*(E97-J97)</f>
        <v>100.395</v>
      </c>
      <c r="T97" s="6" t="n">
        <f aca="false">D97</f>
        <v>25.91</v>
      </c>
      <c r="U97" s="6" t="n">
        <f aca="false">D97</f>
        <v>25.91</v>
      </c>
      <c r="X97" s="6" t="n">
        <f aca="false">D97*ROUNDDOWN((E97-0)/4,0)</f>
        <v>103.64</v>
      </c>
      <c r="Y97" s="6" t="n">
        <f aca="false">D97*(J97-0)-N97</f>
        <v>338.17732</v>
      </c>
      <c r="AB97" s="6" t="n">
        <f aca="false">D97*(E97-J97)</f>
        <v>113.09715</v>
      </c>
      <c r="AD97" s="6" t="n">
        <f aca="false">D97*(E97-0)-N97</f>
        <v>451.27447</v>
      </c>
      <c r="AT97" s="5"/>
    </row>
    <row r="98" customFormat="false" ht="82.05" hidden="false" customHeight="false" outlineLevel="0" collapsed="false">
      <c r="A98" s="5" t="s">
        <v>258</v>
      </c>
      <c r="B98" s="5" t="s">
        <v>259</v>
      </c>
      <c r="C98" s="5" t="s">
        <v>260</v>
      </c>
      <c r="D98" s="0" t="n">
        <v>25.5</v>
      </c>
      <c r="E98" s="0" t="n">
        <v>17.417</v>
      </c>
      <c r="F98" s="0" t="n">
        <v>1</v>
      </c>
      <c r="G98" s="0" t="n">
        <v>16</v>
      </c>
      <c r="H98" s="0" t="n">
        <v>1</v>
      </c>
      <c r="I98" s="0" t="n">
        <v>2</v>
      </c>
      <c r="J98" s="0" t="n">
        <v>13.052</v>
      </c>
      <c r="K98" s="0" t="n">
        <v>1</v>
      </c>
      <c r="L98" s="0" t="n">
        <v>0</v>
      </c>
      <c r="M98" s="0" t="n">
        <v>0</v>
      </c>
      <c r="N98" s="0" t="n">
        <v>0</v>
      </c>
      <c r="O98" s="6" t="n">
        <f aca="false">(ROUNDUP(D98*12/16,0)+1+I98)*(J98-0)</f>
        <v>300.196</v>
      </c>
      <c r="S98" s="6" t="n">
        <f aca="false">(ROUNDUP(D98*12/16,0)+1+I98)*(E98-J98)</f>
        <v>100.395</v>
      </c>
      <c r="T98" s="6" t="n">
        <f aca="false">D98</f>
        <v>25.5</v>
      </c>
      <c r="U98" s="6" t="n">
        <f aca="false">D98</f>
        <v>25.5</v>
      </c>
      <c r="X98" s="6" t="n">
        <f aca="false">D98*ROUNDDOWN((E98-0)/4,0)</f>
        <v>102</v>
      </c>
      <c r="Y98" s="6" t="n">
        <f aca="false">D98*(J98-0)-N98</f>
        <v>332.826</v>
      </c>
      <c r="AB98" s="6" t="n">
        <f aca="false">D98*(E98-J98)</f>
        <v>111.3075</v>
      </c>
      <c r="AD98" s="6" t="n">
        <f aca="false">D98*(E98-0)-N98</f>
        <v>444.1335</v>
      </c>
      <c r="AT98" s="5"/>
    </row>
    <row r="99" customFormat="false" ht="82.05" hidden="false" customHeight="false" outlineLevel="0" collapsed="false">
      <c r="A99" s="5" t="s">
        <v>261</v>
      </c>
      <c r="B99" s="5" t="s">
        <v>262</v>
      </c>
      <c r="C99" s="5" t="s">
        <v>263</v>
      </c>
      <c r="D99" s="0" t="n">
        <v>22.43</v>
      </c>
      <c r="E99" s="0" t="n">
        <v>17.417</v>
      </c>
      <c r="F99" s="0" t="n">
        <v>1</v>
      </c>
      <c r="G99" s="0" t="n">
        <v>16</v>
      </c>
      <c r="H99" s="0" t="n">
        <v>1</v>
      </c>
      <c r="I99" s="0" t="n">
        <v>10</v>
      </c>
      <c r="J99" s="0" t="n">
        <v>15.375</v>
      </c>
      <c r="K99" s="0" t="n">
        <v>1</v>
      </c>
      <c r="L99" s="0" t="n">
        <v>0</v>
      </c>
      <c r="M99" s="0" t="n">
        <v>0</v>
      </c>
      <c r="N99" s="0" t="n">
        <v>32</v>
      </c>
      <c r="O99" s="6" t="n">
        <f aca="false">(ROUNDUP(D99*12/16,0)+1+I99)*(J99-0)</f>
        <v>430.5</v>
      </c>
      <c r="S99" s="6" t="n">
        <f aca="false">(ROUNDUP(D99*12/16,0)+1+I99)*(E99-J99)</f>
        <v>57.176</v>
      </c>
      <c r="T99" s="6" t="n">
        <f aca="false">D99</f>
        <v>22.43</v>
      </c>
      <c r="U99" s="6" t="n">
        <f aca="false">D99</f>
        <v>22.43</v>
      </c>
      <c r="W99" s="6" t="n">
        <f aca="false">18</f>
        <v>18</v>
      </c>
      <c r="X99" s="6" t="n">
        <f aca="false">D99*ROUNDDOWN((E99-0)/4,0)</f>
        <v>89.72</v>
      </c>
      <c r="Y99" s="6" t="n">
        <f aca="false">D99*(J99-0)-N99</f>
        <v>312.86125</v>
      </c>
      <c r="AB99" s="6" t="n">
        <f aca="false">D99*(E99-J99)</f>
        <v>45.80206</v>
      </c>
      <c r="AD99" s="6" t="n">
        <f aca="false">D99*(E99-0)-N99</f>
        <v>358.66331</v>
      </c>
      <c r="AJ99" s="6" t="n">
        <f aca="false">40</f>
        <v>40</v>
      </c>
      <c r="AT99" s="5"/>
    </row>
    <row r="100" customFormat="false" ht="82.05" hidden="false" customHeight="false" outlineLevel="0" collapsed="false">
      <c r="A100" s="5" t="s">
        <v>264</v>
      </c>
      <c r="B100" s="5" t="s">
        <v>265</v>
      </c>
      <c r="C100" s="5" t="s">
        <v>266</v>
      </c>
      <c r="D100" s="0" t="n">
        <v>21.89</v>
      </c>
      <c r="E100" s="0" t="n">
        <v>19.667</v>
      </c>
      <c r="F100" s="0" t="n">
        <v>1</v>
      </c>
      <c r="G100" s="0" t="n">
        <v>16</v>
      </c>
      <c r="H100" s="0" t="n">
        <v>1</v>
      </c>
      <c r="I100" s="0" t="n">
        <v>2</v>
      </c>
      <c r="J100" s="0" t="n">
        <v>15.375</v>
      </c>
      <c r="K100" s="0" t="n">
        <v>1</v>
      </c>
      <c r="L100" s="0" t="n">
        <v>0</v>
      </c>
      <c r="M100" s="0" t="n">
        <v>0</v>
      </c>
      <c r="N100" s="0" t="n">
        <v>0</v>
      </c>
      <c r="O100" s="6" t="n">
        <f aca="false">(ROUNDUP(D100*12/16,0)+1+I100)*(J100-0)</f>
        <v>307.5</v>
      </c>
      <c r="S100" s="6" t="n">
        <f aca="false">(ROUNDUP(D100*12/16,0)+1+I100)*(E100-J100)</f>
        <v>85.84</v>
      </c>
      <c r="T100" s="6" t="n">
        <f aca="false">D100</f>
        <v>21.89</v>
      </c>
      <c r="U100" s="6" t="n">
        <f aca="false">D100</f>
        <v>21.89</v>
      </c>
      <c r="X100" s="6" t="n">
        <f aca="false">D100*ROUNDDOWN((E100-0)/4,0)</f>
        <v>87.56</v>
      </c>
      <c r="Y100" s="6" t="n">
        <f aca="false">D100*(J100-0)-N100</f>
        <v>336.55875</v>
      </c>
      <c r="AB100" s="6" t="n">
        <f aca="false">D100*(E100-J100)</f>
        <v>93.95188</v>
      </c>
      <c r="AD100" s="6" t="n">
        <f aca="false">D100*(E100-0)-N100</f>
        <v>430.51063</v>
      </c>
      <c r="AT100" s="5"/>
    </row>
    <row r="101" customFormat="false" ht="82.05" hidden="false" customHeight="false" outlineLevel="0" collapsed="false">
      <c r="A101" s="5" t="s">
        <v>267</v>
      </c>
      <c r="B101" s="5" t="s">
        <v>268</v>
      </c>
      <c r="C101" s="5" t="s">
        <v>269</v>
      </c>
      <c r="D101" s="0" t="n">
        <v>17.68</v>
      </c>
      <c r="E101" s="0" t="n">
        <v>19.667</v>
      </c>
      <c r="F101" s="0" t="n">
        <v>1</v>
      </c>
      <c r="G101" s="0" t="n">
        <v>16</v>
      </c>
      <c r="H101" s="0" t="n">
        <v>1</v>
      </c>
      <c r="I101" s="0" t="n">
        <v>2</v>
      </c>
      <c r="J101" s="0" t="n">
        <v>15.375</v>
      </c>
      <c r="K101" s="0" t="n">
        <v>1</v>
      </c>
      <c r="L101" s="0" t="n">
        <v>0</v>
      </c>
      <c r="M101" s="0" t="n">
        <v>0</v>
      </c>
      <c r="N101" s="0" t="n">
        <v>0</v>
      </c>
      <c r="O101" s="6" t="n">
        <f aca="false">(ROUNDUP(D101*12/16,0)+1+I101)*(J101-8.5)</f>
        <v>116.875</v>
      </c>
      <c r="S101" s="6" t="n">
        <f aca="false">(ROUNDUP(D101*12/16,0)+1+I101)*(E101-J101)</f>
        <v>72.964</v>
      </c>
      <c r="T101" s="6" t="n">
        <f aca="false">0</f>
        <v>0</v>
      </c>
      <c r="U101" s="6" t="n">
        <f aca="false">D101</f>
        <v>17.68</v>
      </c>
      <c r="V101" s="6" t="n">
        <f aca="false">D101</f>
        <v>17.68</v>
      </c>
      <c r="X101" s="6" t="n">
        <f aca="false">D101*ROUNDDOWN((E101-8.5)/4,0)</f>
        <v>35.36</v>
      </c>
      <c r="Y101" s="6" t="n">
        <f aca="false">D101*(J101-8.5)-N101</f>
        <v>121.55</v>
      </c>
      <c r="AB101" s="6" t="n">
        <f aca="false">D101*(E101-J101)</f>
        <v>75.88256</v>
      </c>
      <c r="AD101" s="6" t="n">
        <f aca="false">D101*(E101-8.5)-N101</f>
        <v>197.43256</v>
      </c>
      <c r="AJ101" s="6" t="n">
        <f aca="false">D101*2</f>
        <v>35.36</v>
      </c>
      <c r="AT101" s="5"/>
    </row>
    <row r="102" customFormat="false" ht="82.05" hidden="false" customHeight="false" outlineLevel="0" collapsed="false">
      <c r="A102" s="5" t="s">
        <v>270</v>
      </c>
      <c r="B102" s="5" t="s">
        <v>271</v>
      </c>
      <c r="C102" s="5" t="s">
        <v>272</v>
      </c>
      <c r="D102" s="0" t="n">
        <v>13.18</v>
      </c>
      <c r="E102" s="0" t="n">
        <v>17.417</v>
      </c>
      <c r="F102" s="0" t="n">
        <v>1</v>
      </c>
      <c r="G102" s="0" t="n">
        <v>16</v>
      </c>
      <c r="H102" s="0" t="n">
        <v>1</v>
      </c>
      <c r="I102" s="0" t="n">
        <v>2</v>
      </c>
      <c r="J102" s="0" t="n">
        <v>15.375</v>
      </c>
      <c r="K102" s="0" t="n">
        <v>1</v>
      </c>
      <c r="L102" s="0" t="n">
        <v>0</v>
      </c>
      <c r="M102" s="0" t="n">
        <v>0</v>
      </c>
      <c r="N102" s="0" t="n">
        <v>0</v>
      </c>
      <c r="O102" s="6" t="n">
        <f aca="false">(ROUNDUP(D102*12/16,0)+1+I102)*(J102-0)</f>
        <v>199.875</v>
      </c>
      <c r="S102" s="6" t="n">
        <f aca="false">(ROUNDUP(D102*12/16,0)+1+I102)*(E102-J102)</f>
        <v>26.546</v>
      </c>
      <c r="T102" s="6" t="n">
        <f aca="false">D102</f>
        <v>13.18</v>
      </c>
      <c r="U102" s="6" t="n">
        <f aca="false">D102</f>
        <v>13.18</v>
      </c>
      <c r="X102" s="6" t="n">
        <f aca="false">D102*ROUNDDOWN((E102-0)/4,0)</f>
        <v>52.72</v>
      </c>
      <c r="Y102" s="6" t="n">
        <f aca="false">D102*(J102-0)-N102</f>
        <v>202.6425</v>
      </c>
      <c r="AB102" s="6" t="n">
        <f aca="false">D102*(E102-J102)</f>
        <v>26.91356</v>
      </c>
      <c r="AD102" s="6" t="n">
        <f aca="false">D102*(E102-0)-N102</f>
        <v>229.55606</v>
      </c>
      <c r="AT102" s="5"/>
    </row>
    <row r="103" customFormat="false" ht="82.05" hidden="false" customHeight="false" outlineLevel="0" collapsed="false">
      <c r="A103" s="5" t="s">
        <v>273</v>
      </c>
      <c r="B103" s="5" t="s">
        <v>274</v>
      </c>
      <c r="C103" s="5" t="s">
        <v>275</v>
      </c>
      <c r="D103" s="0" t="n">
        <v>8.47</v>
      </c>
      <c r="E103" s="0" t="n">
        <v>19.667</v>
      </c>
      <c r="F103" s="0" t="n">
        <v>1</v>
      </c>
      <c r="G103" s="0" t="n">
        <v>16</v>
      </c>
      <c r="H103" s="0" t="n">
        <v>1</v>
      </c>
      <c r="I103" s="0" t="n">
        <v>2</v>
      </c>
      <c r="J103" s="0" t="n">
        <v>15.375</v>
      </c>
      <c r="K103" s="0" t="n">
        <v>1</v>
      </c>
      <c r="L103" s="0" t="n">
        <v>0</v>
      </c>
      <c r="M103" s="0" t="n">
        <v>0</v>
      </c>
      <c r="N103" s="0" t="n">
        <v>0</v>
      </c>
      <c r="O103" s="6" t="n">
        <f aca="false">(ROUNDUP(D103*12/16,0)+1+I103)*(J103-8.5)</f>
        <v>68.75</v>
      </c>
      <c r="S103" s="6" t="n">
        <f aca="false">(ROUNDUP(D103*12/16,0)+1+I103)*(E103-J103)</f>
        <v>42.92</v>
      </c>
      <c r="T103" s="6" t="n">
        <f aca="false">0</f>
        <v>0</v>
      </c>
      <c r="U103" s="6" t="n">
        <f aca="false">D103</f>
        <v>8.47</v>
      </c>
      <c r="V103" s="6" t="n">
        <f aca="false">D103</f>
        <v>8.47</v>
      </c>
      <c r="X103" s="6" t="n">
        <f aca="false">D103*ROUNDDOWN((E103-8.5)/4,0)</f>
        <v>16.94</v>
      </c>
      <c r="Y103" s="6" t="n">
        <f aca="false">D103*(J103-8.5)-N103</f>
        <v>58.23125</v>
      </c>
      <c r="AB103" s="6" t="n">
        <f aca="false">D103*(E103-J103)</f>
        <v>36.35324</v>
      </c>
      <c r="AD103" s="6" t="n">
        <f aca="false">D103*(E103-8.5)-N103</f>
        <v>94.58449</v>
      </c>
      <c r="AJ103" s="6" t="n">
        <f aca="false">D103*2</f>
        <v>16.94</v>
      </c>
      <c r="AT103" s="5"/>
    </row>
    <row r="104" customFormat="false" ht="82.05" hidden="false" customHeight="false" outlineLevel="0" collapsed="false">
      <c r="A104" s="5" t="s">
        <v>276</v>
      </c>
      <c r="B104" s="5" t="s">
        <v>277</v>
      </c>
      <c r="C104" s="5" t="s">
        <v>278</v>
      </c>
      <c r="D104" s="0" t="n">
        <v>3.87</v>
      </c>
      <c r="E104" s="0" t="n">
        <v>17.417</v>
      </c>
      <c r="F104" s="0" t="n">
        <v>1</v>
      </c>
      <c r="G104" s="0" t="n">
        <v>16</v>
      </c>
      <c r="H104" s="0" t="n">
        <v>1</v>
      </c>
      <c r="I104" s="0" t="n">
        <v>2</v>
      </c>
      <c r="J104" s="0" t="n">
        <v>15.375</v>
      </c>
      <c r="K104" s="0" t="n">
        <v>1</v>
      </c>
      <c r="L104" s="0" t="n">
        <v>0</v>
      </c>
      <c r="M104" s="0" t="n">
        <v>0</v>
      </c>
      <c r="N104" s="0" t="n">
        <v>0</v>
      </c>
      <c r="O104" s="6" t="n">
        <f aca="false">(ROUNDUP(D104*12/16,0)+1+I104)*(J104-0)</f>
        <v>92.25</v>
      </c>
      <c r="S104" s="6" t="n">
        <f aca="false">(ROUNDUP(D104*12/16,0)+1+I104)*(E104-J104)</f>
        <v>12.252</v>
      </c>
      <c r="T104" s="6" t="n">
        <f aca="false">D104</f>
        <v>3.87</v>
      </c>
      <c r="U104" s="6" t="n">
        <f aca="false">D104</f>
        <v>3.87</v>
      </c>
      <c r="X104" s="6" t="n">
        <f aca="false">D104*ROUNDDOWN((E104-0)/4,0)</f>
        <v>15.48</v>
      </c>
      <c r="Y104" s="6" t="n">
        <f aca="false">D104*(J104-0)-N104</f>
        <v>59.50125</v>
      </c>
      <c r="AB104" s="6" t="n">
        <f aca="false">D104*(E104-J104)</f>
        <v>7.90254000000001</v>
      </c>
      <c r="AD104" s="6" t="n">
        <f aca="false">D104*(E104-0)-N104</f>
        <v>67.40379</v>
      </c>
      <c r="AT104" s="5"/>
    </row>
    <row r="105" customFormat="false" ht="15" hidden="false" customHeight="false" outlineLevel="0" collapsed="false">
      <c r="A105" s="3" t="s">
        <v>279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customFormat="false" ht="41.75" hidden="false" customHeight="false" outlineLevel="0" collapsed="false">
      <c r="A106" s="5" t="s">
        <v>280</v>
      </c>
      <c r="B106" s="5" t="s">
        <v>281</v>
      </c>
      <c r="C106" s="5" t="s">
        <v>282</v>
      </c>
      <c r="D106" s="0" t="n">
        <v>30.36</v>
      </c>
      <c r="E106" s="0" t="n">
        <v>4.292</v>
      </c>
      <c r="F106" s="0" t="n">
        <v>0</v>
      </c>
      <c r="G106" s="0" t="n">
        <v>16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S106" s="6" t="n">
        <f aca="false">(ROUNDUP(D106*12/16,0)+1)*E106</f>
        <v>103.008</v>
      </c>
      <c r="T106" s="6" t="n">
        <f aca="false">D106</f>
        <v>30.36</v>
      </c>
      <c r="U106" s="6" t="n">
        <f aca="false">D106</f>
        <v>30.36</v>
      </c>
      <c r="X106" s="6" t="n">
        <f aca="false">D106*1</f>
        <v>30.36</v>
      </c>
      <c r="AB106" s="6" t="n">
        <f aca="false">D106*E106</f>
        <v>130.30512</v>
      </c>
      <c r="AD106" s="6" t="n">
        <f aca="false">D106*E106</f>
        <v>130.30512</v>
      </c>
      <c r="AT106" s="5"/>
    </row>
    <row r="107" customFormat="false" ht="41.75" hidden="false" customHeight="false" outlineLevel="0" collapsed="false">
      <c r="A107" s="5" t="s">
        <v>283</v>
      </c>
      <c r="B107" s="5" t="s">
        <v>281</v>
      </c>
      <c r="C107" s="5" t="s">
        <v>282</v>
      </c>
      <c r="D107" s="0" t="n">
        <v>17.68</v>
      </c>
      <c r="E107" s="0" t="n">
        <v>4.292</v>
      </c>
      <c r="F107" s="0" t="n">
        <v>0</v>
      </c>
      <c r="G107" s="0" t="n">
        <v>16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S107" s="6" t="n">
        <f aca="false">(ROUNDUP(D107*12/16,0)+1)*E107</f>
        <v>64.38</v>
      </c>
      <c r="T107" s="6" t="n">
        <f aca="false">D107</f>
        <v>17.68</v>
      </c>
      <c r="U107" s="6" t="n">
        <f aca="false">D107</f>
        <v>17.68</v>
      </c>
      <c r="X107" s="6" t="n">
        <f aca="false">D107*1</f>
        <v>17.68</v>
      </c>
      <c r="AB107" s="6" t="n">
        <f aca="false">D107*E107</f>
        <v>75.88256</v>
      </c>
      <c r="AD107" s="6" t="n">
        <f aca="false">D107*E107</f>
        <v>75.88256</v>
      </c>
      <c r="AT107" s="5"/>
    </row>
    <row r="108" customFormat="false" ht="15" hidden="false" customHeight="false" outlineLevel="0" collapsed="false">
      <c r="A108" s="3" t="s">
        <v>284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customFormat="false" ht="55.2" hidden="false" customHeight="false" outlineLevel="0" collapsed="false">
      <c r="A109" s="5" t="s">
        <v>285</v>
      </c>
      <c r="B109" s="5" t="s">
        <v>286</v>
      </c>
      <c r="C109" s="5" t="s">
        <v>287</v>
      </c>
      <c r="D109" s="0" t="n">
        <v>1374.6</v>
      </c>
      <c r="E109" s="0" t="n">
        <v>1</v>
      </c>
      <c r="F109" s="0" t="n">
        <v>0</v>
      </c>
      <c r="G109" s="0" t="n">
        <v>16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6" t="n">
        <f aca="false">D109*12/16</f>
        <v>1030.95</v>
      </c>
      <c r="AD109" s="6" t="n">
        <f aca="false">D109</f>
        <v>1374.6</v>
      </c>
      <c r="AJ109" s="6" t="n">
        <f aca="false">207.57</f>
        <v>207.57</v>
      </c>
      <c r="AO109" s="6" t="n">
        <f aca="false">207.57*1</f>
        <v>207.57</v>
      </c>
      <c r="AT109" s="5"/>
    </row>
    <row r="110" customFormat="false" ht="28.35" hidden="false" customHeight="false" outlineLevel="0" collapsed="false">
      <c r="A110" s="5" t="s">
        <v>288</v>
      </c>
      <c r="B110" s="5" t="s">
        <v>289</v>
      </c>
      <c r="C110" s="5" t="s">
        <v>290</v>
      </c>
      <c r="D110" s="0" t="n">
        <v>69.3</v>
      </c>
      <c r="E110" s="0" t="n">
        <v>1.865</v>
      </c>
      <c r="F110" s="0" t="n">
        <v>0</v>
      </c>
      <c r="G110" s="0" t="n">
        <v>16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6" t="n">
        <f aca="false">D110*12/16+(ROUNDUP(29.02*12/16,0)+1)*E110</f>
        <v>94.87</v>
      </c>
      <c r="T110" s="6" t="n">
        <f aca="false">29.02</f>
        <v>29.02</v>
      </c>
      <c r="U110" s="6" t="n">
        <f aca="false">29.02</f>
        <v>29.02</v>
      </c>
      <c r="AD110" s="6" t="n">
        <f aca="false">D110+29.02*E110</f>
        <v>123.4223</v>
      </c>
      <c r="AJ110" s="6" t="n">
        <f aca="false">29.02</f>
        <v>29.02</v>
      </c>
      <c r="AO110" s="6" t="n">
        <f aca="false">29.02</f>
        <v>29.02</v>
      </c>
      <c r="AT110" s="5"/>
    </row>
    <row r="111" customFormat="false" ht="15" hidden="false" customHeight="false" outlineLevel="0" collapsed="false">
      <c r="A111" s="3" t="s">
        <v>291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customFormat="false" ht="41.75" hidden="false" customHeight="false" outlineLevel="0" collapsed="false">
      <c r="A112" s="5" t="s">
        <v>292</v>
      </c>
      <c r="B112" s="5" t="s">
        <v>293</v>
      </c>
      <c r="C112" s="5" t="s">
        <v>294</v>
      </c>
      <c r="D112" s="0" t="n">
        <v>207.57</v>
      </c>
      <c r="E112" s="0" t="n">
        <v>1.865</v>
      </c>
      <c r="F112" s="0" t="n">
        <v>0</v>
      </c>
      <c r="G112" s="0" t="n">
        <v>16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6" t="n">
        <f aca="false">(ROUNDUP(D112*12/16,0)+1)*E112</f>
        <v>292.805</v>
      </c>
      <c r="T112" s="6" t="n">
        <f aca="false">D112</f>
        <v>207.57</v>
      </c>
      <c r="U112" s="6" t="n">
        <f aca="false">D112</f>
        <v>207.57</v>
      </c>
      <c r="AD112" s="6" t="n">
        <f aca="false">D112*E112</f>
        <v>387.11805</v>
      </c>
      <c r="AT112" s="5"/>
    </row>
    <row r="113" customFormat="false" ht="15" hidden="false" customHeight="false" outlineLevel="0" collapsed="false">
      <c r="A113" s="3" t="s">
        <v>295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customFormat="false" ht="55.2" hidden="false" customHeight="false" outlineLevel="0" collapsed="false">
      <c r="A114" s="5" t="s">
        <v>296</v>
      </c>
      <c r="B114" s="5" t="s">
        <v>297</v>
      </c>
      <c r="C114" s="5" t="s">
        <v>298</v>
      </c>
      <c r="D114" s="0" t="n">
        <v>19.33</v>
      </c>
      <c r="E114" s="0" t="n">
        <v>10.5</v>
      </c>
      <c r="F114" s="0" t="n">
        <v>0</v>
      </c>
      <c r="G114" s="0" t="n">
        <v>16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6" t="n">
        <f aca="false">4*4*E114+4*4*E114*0</f>
        <v>168</v>
      </c>
      <c r="T114" s="6" t="n">
        <f aca="false">D114</f>
        <v>19.33</v>
      </c>
      <c r="U114" s="6" t="n">
        <f aca="false">D114</f>
        <v>19.33</v>
      </c>
      <c r="AD114" s="6" t="n">
        <f aca="false">4*5.25*E114</f>
        <v>220.5</v>
      </c>
      <c r="AJ114" s="6" t="n">
        <f aca="false">4*4*E114</f>
        <v>168</v>
      </c>
      <c r="AT114" s="5"/>
    </row>
    <row r="115" customFormat="false" ht="15" hidden="false" customHeight="false" outlineLevel="0" collapsed="false">
      <c r="A115" s="3" t="s">
        <v>299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customFormat="false" ht="41.75" hidden="false" customHeight="false" outlineLevel="0" collapsed="false">
      <c r="A116" s="5" t="s">
        <v>300</v>
      </c>
      <c r="B116" s="5" t="s">
        <v>301</v>
      </c>
      <c r="C116" s="5" t="s">
        <v>302</v>
      </c>
      <c r="D116" s="0" t="n">
        <v>21.28</v>
      </c>
      <c r="E116" s="0" t="n">
        <v>15.375</v>
      </c>
      <c r="F116" s="0" t="n">
        <v>0</v>
      </c>
      <c r="G116" s="0" t="n">
        <v>16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6" t="n">
        <f aca="false">(4*4+ROUNDUP(D116*12/16,0))*E116</f>
        <v>492</v>
      </c>
      <c r="T116" s="6" t="n">
        <f aca="false">D116</f>
        <v>21.28</v>
      </c>
      <c r="U116" s="6" t="n">
        <f aca="false">D116</f>
        <v>21.28</v>
      </c>
      <c r="Y116" s="6" t="n">
        <f aca="false">D116*E116</f>
        <v>327.18</v>
      </c>
      <c r="AD116" s="6" t="n">
        <f aca="false">D116*E116</f>
        <v>327.18</v>
      </c>
      <c r="AJ116" s="6" t="n">
        <f aca="false">4*4*E116</f>
        <v>246</v>
      </c>
      <c r="AT116" s="5"/>
    </row>
    <row r="117" customFormat="false" ht="15" hidden="false" customHeight="false" outlineLevel="0" collapsed="false">
      <c r="A117" s="3" t="s">
        <v>303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customFormat="false" ht="68.65" hidden="false" customHeight="false" outlineLevel="0" collapsed="false">
      <c r="A118" s="5" t="s">
        <v>304</v>
      </c>
      <c r="B118" s="5" t="s">
        <v>305</v>
      </c>
      <c r="C118" s="5" t="s">
        <v>306</v>
      </c>
      <c r="D118" s="0" t="n">
        <v>510.9</v>
      </c>
      <c r="E118" s="0" t="n">
        <v>4.375</v>
      </c>
      <c r="F118" s="0" t="n">
        <v>0</v>
      </c>
      <c r="G118" s="0" t="n">
        <v>16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6" t="n">
        <f aca="false">77.03*12/16*0.5+(ROUNDUP(77.03*12/16,0))*1</f>
        <v>86.88625</v>
      </c>
      <c r="Y118" s="6" t="n">
        <f aca="false">D118+77.03*0.5</f>
        <v>549.415</v>
      </c>
      <c r="AJ118" s="6" t="n">
        <f aca="false">77.03</f>
        <v>77.03</v>
      </c>
      <c r="AL118" s="6" t="n">
        <f aca="false">D118*12/16</f>
        <v>383.175</v>
      </c>
      <c r="AM118" s="6" t="n">
        <f aca="false">D118/4</f>
        <v>127.725</v>
      </c>
      <c r="AN118" s="6" t="n">
        <f aca="false">ROUNDUP(D118/16,0)*E118</f>
        <v>140</v>
      </c>
      <c r="AO118" s="6" t="n">
        <f aca="false">94.06</f>
        <v>94.06</v>
      </c>
      <c r="AT118" s="5"/>
    </row>
    <row r="119" customFormat="false" ht="55.2" hidden="false" customHeight="false" outlineLevel="0" collapsed="false">
      <c r="A119" s="5" t="s">
        <v>307</v>
      </c>
      <c r="B119" s="5" t="s">
        <v>308</v>
      </c>
      <c r="C119" s="5" t="s">
        <v>309</v>
      </c>
      <c r="D119" s="0" t="n">
        <v>155.5</v>
      </c>
      <c r="E119" s="0" t="n">
        <v>5.375</v>
      </c>
      <c r="F119" s="0" t="n">
        <v>0</v>
      </c>
      <c r="G119" s="0" t="n">
        <v>16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Y119" s="6" t="n">
        <f aca="false">D119</f>
        <v>155.5</v>
      </c>
      <c r="AL119" s="6" t="n">
        <f aca="false">D119*12/16</f>
        <v>116.625</v>
      </c>
      <c r="AM119" s="6" t="n">
        <f aca="false">D119/4</f>
        <v>38.875</v>
      </c>
      <c r="AN119" s="6" t="n">
        <f aca="false">ROUNDUP(D119/16,0)*E119</f>
        <v>53.75</v>
      </c>
      <c r="AO119" s="6" t="n">
        <f aca="false">53.91</f>
        <v>53.91</v>
      </c>
      <c r="AT119" s="5"/>
    </row>
    <row r="120" customFormat="false" ht="55.2" hidden="false" customHeight="false" outlineLevel="0" collapsed="false">
      <c r="A120" s="5" t="s">
        <v>310</v>
      </c>
      <c r="B120" s="5" t="s">
        <v>308</v>
      </c>
      <c r="C120" s="5" t="s">
        <v>311</v>
      </c>
      <c r="D120" s="0" t="n">
        <v>122.8</v>
      </c>
      <c r="E120" s="0" t="n">
        <v>5.375</v>
      </c>
      <c r="F120" s="0" t="n">
        <v>0</v>
      </c>
      <c r="G120" s="0" t="n">
        <v>16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Y120" s="6" t="n">
        <f aca="false">D120</f>
        <v>122.8</v>
      </c>
      <c r="AL120" s="6" t="n">
        <f aca="false">D120*12/16</f>
        <v>92.1</v>
      </c>
      <c r="AM120" s="6" t="n">
        <f aca="false">D120/4</f>
        <v>30.7</v>
      </c>
      <c r="AN120" s="6" t="n">
        <f aca="false">ROUNDUP(D120/16,0)*E120</f>
        <v>43</v>
      </c>
      <c r="AO120" s="6" t="n">
        <f aca="false">48.3</f>
        <v>48.3</v>
      </c>
      <c r="AT120" s="5"/>
    </row>
    <row r="121" customFormat="false" ht="55.2" hidden="false" customHeight="false" outlineLevel="0" collapsed="false">
      <c r="A121" s="5" t="s">
        <v>312</v>
      </c>
      <c r="B121" s="5" t="s">
        <v>313</v>
      </c>
      <c r="C121" s="5" t="s">
        <v>314</v>
      </c>
      <c r="D121" s="0" t="n">
        <v>76.2</v>
      </c>
      <c r="E121" s="0" t="n">
        <v>4.552</v>
      </c>
      <c r="F121" s="0" t="n">
        <v>0</v>
      </c>
      <c r="G121" s="0" t="n">
        <v>16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Y121" s="6" t="n">
        <f aca="false">D121</f>
        <v>76.2</v>
      </c>
      <c r="AL121" s="6" t="n">
        <f aca="false">D121*12/16</f>
        <v>57.15</v>
      </c>
      <c r="AM121" s="6" t="n">
        <f aca="false">D121/4</f>
        <v>19.05</v>
      </c>
      <c r="AN121" s="6" t="n">
        <f aca="false">ROUNDUP(D121/16,0)*E121</f>
        <v>22.76</v>
      </c>
      <c r="AO121" s="6" t="n">
        <f aca="false">36.8</f>
        <v>36.8</v>
      </c>
      <c r="AT121" s="5"/>
    </row>
    <row r="122" customFormat="false" ht="41.75" hidden="false" customHeight="false" outlineLevel="0" collapsed="false">
      <c r="A122" s="5" t="s">
        <v>315</v>
      </c>
      <c r="B122" s="5" t="s">
        <v>313</v>
      </c>
      <c r="C122" s="5" t="s">
        <v>314</v>
      </c>
      <c r="D122" s="0" t="n">
        <v>76.2</v>
      </c>
      <c r="E122" s="0" t="n">
        <v>4.552</v>
      </c>
      <c r="F122" s="0" t="n">
        <v>0</v>
      </c>
      <c r="G122" s="0" t="n">
        <v>16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Y122" s="6" t="n">
        <f aca="false">D122</f>
        <v>76.2</v>
      </c>
      <c r="AL122" s="6" t="n">
        <f aca="false">D122*12/16</f>
        <v>57.15</v>
      </c>
      <c r="AM122" s="6" t="n">
        <f aca="false">D122/4</f>
        <v>19.05</v>
      </c>
      <c r="AN122" s="6" t="n">
        <f aca="false">ROUNDUP(D122/16,0)*E122</f>
        <v>22.76</v>
      </c>
      <c r="AO122" s="6" t="n">
        <f aca="false">36.8</f>
        <v>36.8</v>
      </c>
      <c r="AT122" s="5"/>
    </row>
    <row r="123" customFormat="false" ht="15" hidden="false" customHeight="false" outlineLevel="0" collapsed="false">
      <c r="A123" s="3" t="s">
        <v>316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customFormat="false" ht="28.35" hidden="false" customHeight="false" outlineLevel="0" collapsed="false">
      <c r="A124" s="5" t="s">
        <v>317</v>
      </c>
      <c r="B124" s="5" t="s">
        <v>318</v>
      </c>
      <c r="C124" s="5" t="s">
        <v>319</v>
      </c>
      <c r="D124" s="0" t="n">
        <v>152.4</v>
      </c>
      <c r="E124" s="0" t="n">
        <v>0</v>
      </c>
      <c r="F124" s="0" t="n">
        <v>0</v>
      </c>
      <c r="G124" s="0" t="n">
        <v>16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AH124" s="6" t="n">
        <f aca="false">D124</f>
        <v>152.4</v>
      </c>
      <c r="AT124" s="5"/>
    </row>
    <row r="125" customFormat="false" ht="15" hidden="false" customHeight="false" outlineLevel="0" collapsed="false">
      <c r="A125" s="3" t="s">
        <v>320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customFormat="false" ht="41.75" hidden="false" customHeight="false" outlineLevel="0" collapsed="false">
      <c r="A126" s="5" t="s">
        <v>321</v>
      </c>
      <c r="B126" s="5" t="s">
        <v>322</v>
      </c>
      <c r="C126" s="5" t="s">
        <v>323</v>
      </c>
      <c r="D126" s="0" t="n">
        <v>28</v>
      </c>
      <c r="E126" s="0" t="n">
        <v>0</v>
      </c>
      <c r="F126" s="0" t="n">
        <v>0</v>
      </c>
      <c r="G126" s="0" t="n">
        <v>16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AI126" s="6" t="n">
        <f aca="false">D126</f>
        <v>28</v>
      </c>
      <c r="AT126" s="5"/>
    </row>
    <row r="127" customFormat="false" ht="68.65" hidden="false" customHeight="false" outlineLevel="0" collapsed="false">
      <c r="A127" s="5" t="s">
        <v>324</v>
      </c>
      <c r="B127" s="5" t="s">
        <v>325</v>
      </c>
      <c r="C127" s="5" t="s">
        <v>323</v>
      </c>
      <c r="D127" s="0" t="n">
        <v>66.5</v>
      </c>
      <c r="E127" s="0" t="n">
        <v>0</v>
      </c>
      <c r="F127" s="0" t="n">
        <v>0</v>
      </c>
      <c r="G127" s="0" t="n">
        <v>16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AI127" s="6" t="n">
        <f aca="false">D127</f>
        <v>66.5</v>
      </c>
      <c r="AT127" s="5"/>
    </row>
    <row r="128" customFormat="false" ht="55.2" hidden="false" customHeight="false" outlineLevel="0" collapsed="false">
      <c r="A128" s="5" t="s">
        <v>326</v>
      </c>
      <c r="B128" s="5" t="s">
        <v>327</v>
      </c>
      <c r="C128" s="5" t="s">
        <v>323</v>
      </c>
      <c r="D128" s="0" t="n">
        <v>147.7</v>
      </c>
      <c r="E128" s="0" t="n">
        <v>0</v>
      </c>
      <c r="F128" s="0" t="n">
        <v>0</v>
      </c>
      <c r="G128" s="0" t="n">
        <v>16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AI128" s="6" t="n">
        <f aca="false">D128</f>
        <v>147.7</v>
      </c>
      <c r="AT128" s="5"/>
    </row>
    <row r="129" customFormat="false" ht="28.35" hidden="false" customHeight="false" outlineLevel="0" collapsed="false">
      <c r="A129" s="5" t="s">
        <v>328</v>
      </c>
      <c r="B129" s="5" t="s">
        <v>329</v>
      </c>
      <c r="C129" s="5" t="s">
        <v>323</v>
      </c>
      <c r="D129" s="0" t="n">
        <v>12</v>
      </c>
      <c r="E129" s="0" t="n">
        <v>0</v>
      </c>
      <c r="F129" s="0" t="n">
        <v>0</v>
      </c>
      <c r="G129" s="0" t="n">
        <v>16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AI129" s="6" t="n">
        <f aca="false">D129</f>
        <v>12</v>
      </c>
      <c r="AT129" s="5"/>
    </row>
    <row r="130" customFormat="false" ht="28.35" hidden="false" customHeight="false" outlineLevel="0" collapsed="false">
      <c r="A130" s="5" t="s">
        <v>330</v>
      </c>
      <c r="B130" s="5" t="s">
        <v>331</v>
      </c>
      <c r="C130" s="5" t="s">
        <v>323</v>
      </c>
      <c r="D130" s="0" t="n">
        <v>12</v>
      </c>
      <c r="E130" s="0" t="n">
        <v>0</v>
      </c>
      <c r="F130" s="0" t="n">
        <v>0</v>
      </c>
      <c r="G130" s="0" t="n">
        <v>16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AI130" s="6" t="n">
        <f aca="false">D130</f>
        <v>12</v>
      </c>
      <c r="AT130" s="5"/>
    </row>
    <row r="131" customFormat="false" ht="28.35" hidden="false" customHeight="false" outlineLevel="0" collapsed="false">
      <c r="A131" s="5" t="s">
        <v>332</v>
      </c>
      <c r="B131" s="5" t="s">
        <v>333</v>
      </c>
      <c r="C131" s="5" t="s">
        <v>323</v>
      </c>
      <c r="D131" s="0" t="n">
        <v>14</v>
      </c>
      <c r="E131" s="0" t="n">
        <v>0</v>
      </c>
      <c r="F131" s="0" t="n">
        <v>0</v>
      </c>
      <c r="G131" s="0" t="n">
        <v>16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AI131" s="6" t="n">
        <f aca="false">D131</f>
        <v>14</v>
      </c>
      <c r="AT131" s="5"/>
    </row>
    <row r="132" customFormat="false" ht="41.75" hidden="false" customHeight="false" outlineLevel="0" collapsed="false">
      <c r="A132" s="5" t="s">
        <v>334</v>
      </c>
      <c r="B132" s="5" t="s">
        <v>335</v>
      </c>
      <c r="C132" s="5" t="s">
        <v>323</v>
      </c>
      <c r="D132" s="0" t="n">
        <v>40</v>
      </c>
      <c r="E132" s="0" t="n">
        <v>0</v>
      </c>
      <c r="F132" s="0" t="n">
        <v>0</v>
      </c>
      <c r="G132" s="0" t="n">
        <v>16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AI132" s="6" t="n">
        <f aca="false">D132</f>
        <v>40</v>
      </c>
      <c r="AT132" s="5"/>
    </row>
    <row r="133" customFormat="false" ht="28.35" hidden="false" customHeight="false" outlineLevel="0" collapsed="false">
      <c r="A133" s="5" t="s">
        <v>336</v>
      </c>
      <c r="B133" s="5" t="s">
        <v>337</v>
      </c>
      <c r="C133" s="5" t="s">
        <v>323</v>
      </c>
      <c r="D133" s="0" t="n">
        <v>317.39</v>
      </c>
      <c r="E133" s="0" t="n">
        <v>0</v>
      </c>
      <c r="F133" s="0" t="n">
        <v>0</v>
      </c>
      <c r="G133" s="0" t="n">
        <v>16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AI133" s="6" t="n">
        <f aca="false">D133</f>
        <v>317.39</v>
      </c>
      <c r="AT133" s="5"/>
    </row>
    <row r="134" customFormat="false" ht="15" hidden="false" customHeight="false" outlineLevel="0" collapsed="false">
      <c r="A134" s="3" t="s">
        <v>338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customFormat="false" ht="28.35" hidden="false" customHeight="false" outlineLevel="0" collapsed="false">
      <c r="A135" s="5" t="s">
        <v>339</v>
      </c>
      <c r="B135" s="5" t="s">
        <v>340</v>
      </c>
      <c r="C135" s="5" t="s">
        <v>341</v>
      </c>
      <c r="D135" s="0" t="n">
        <v>128</v>
      </c>
      <c r="E135" s="0" t="n">
        <v>0</v>
      </c>
      <c r="F135" s="0" t="n">
        <v>0</v>
      </c>
      <c r="G135" s="0" t="n">
        <v>16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AD135" s="6" t="n">
        <f aca="false">D135</f>
        <v>128</v>
      </c>
      <c r="AT135" s="5"/>
    </row>
    <row r="136" customFormat="false" ht="15" hidden="false" customHeight="false" outlineLevel="0" collapsed="false">
      <c r="A136" s="3" t="s">
        <v>342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customFormat="false" ht="55.2" hidden="false" customHeight="false" outlineLevel="0" collapsed="false">
      <c r="A137" s="5" t="s">
        <v>343</v>
      </c>
      <c r="B137" s="5" t="s">
        <v>344</v>
      </c>
      <c r="C137" s="5" t="s">
        <v>345</v>
      </c>
      <c r="D137" s="0" t="n">
        <v>9</v>
      </c>
      <c r="E137" s="0" t="n">
        <v>0</v>
      </c>
      <c r="F137" s="0" t="n">
        <v>0</v>
      </c>
      <c r="G137" s="0" t="n">
        <v>16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6" t="n">
        <f aca="false">D137*2*4</f>
        <v>72</v>
      </c>
      <c r="AP137" s="6" t="n">
        <f aca="false">D137</f>
        <v>9</v>
      </c>
      <c r="AT137" s="5"/>
    </row>
    <row r="138" customFormat="false" ht="15" hidden="false" customHeight="false" outlineLevel="0" collapsed="false">
      <c r="A138" s="3" t="s">
        <v>346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customFormat="false" ht="41.75" hidden="false" customHeight="false" outlineLevel="0" collapsed="false">
      <c r="A139" s="5" t="s">
        <v>347</v>
      </c>
      <c r="B139" s="5" t="s">
        <v>348</v>
      </c>
      <c r="C139" s="5" t="s">
        <v>349</v>
      </c>
      <c r="D139" s="0" t="n">
        <v>67.6</v>
      </c>
      <c r="E139" s="0" t="n">
        <v>4.5</v>
      </c>
      <c r="F139" s="0" t="n">
        <v>0</v>
      </c>
      <c r="G139" s="0" t="n">
        <v>16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AF139" s="6" t="n">
        <f aca="false">D139*E139</f>
        <v>304.2</v>
      </c>
      <c r="AJ139" s="6" t="n">
        <f aca="false">D139</f>
        <v>67.6</v>
      </c>
      <c r="AT139" s="5"/>
    </row>
    <row r="140" customFormat="false" ht="28.35" hidden="false" customHeight="false" outlineLevel="0" collapsed="false">
      <c r="A140" s="5" t="s">
        <v>350</v>
      </c>
      <c r="B140" s="5" t="s">
        <v>351</v>
      </c>
      <c r="C140" s="5" t="s">
        <v>352</v>
      </c>
      <c r="D140" s="0" t="n">
        <v>7.5</v>
      </c>
      <c r="E140" s="0" t="n">
        <v>4</v>
      </c>
      <c r="F140" s="0" t="n">
        <v>0</v>
      </c>
      <c r="G140" s="0" t="n">
        <v>16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AF140" s="6" t="n">
        <f aca="false">D140*E140</f>
        <v>30</v>
      </c>
      <c r="AJ140" s="6" t="n">
        <f aca="false">D140</f>
        <v>7.5</v>
      </c>
      <c r="AT140" s="5"/>
    </row>
    <row r="141" customFormat="false" ht="15" hidden="false" customHeight="false" outlineLevel="0" collapsed="false">
      <c r="A141" s="3" t="s">
        <v>353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customFormat="false" ht="55.2" hidden="false" customHeight="false" outlineLevel="0" collapsed="false">
      <c r="A142" s="5" t="s">
        <v>354</v>
      </c>
      <c r="B142" s="5" t="s">
        <v>355</v>
      </c>
      <c r="C142" s="5" t="s">
        <v>356</v>
      </c>
      <c r="D142" s="0" t="n">
        <v>914.6</v>
      </c>
      <c r="E142" s="0" t="n">
        <v>0</v>
      </c>
      <c r="F142" s="0" t="n">
        <v>0</v>
      </c>
      <c r="G142" s="0" t="n">
        <v>16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AQ142" s="6" t="n">
        <f aca="false">D142</f>
        <v>914.6</v>
      </c>
      <c r="AT142" s="5"/>
    </row>
    <row r="143" customFormat="false" ht="15" hidden="false" customHeight="false" outlineLevel="0" collapsed="false">
      <c r="A143" s="3" t="s">
        <v>357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customFormat="false" ht="55.2" hidden="false" customHeight="false" outlineLevel="0" collapsed="false">
      <c r="A144" s="5" t="s">
        <v>358</v>
      </c>
      <c r="B144" s="5" t="s">
        <v>359</v>
      </c>
      <c r="C144" s="5" t="s">
        <v>360</v>
      </c>
      <c r="D144" s="0" t="n">
        <v>0</v>
      </c>
      <c r="E144" s="0" t="n">
        <v>0</v>
      </c>
      <c r="F144" s="0" t="n">
        <v>0</v>
      </c>
      <c r="G144" s="0" t="n">
        <v>16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AT144" s="5"/>
    </row>
    <row r="146" customFormat="false" ht="15" hidden="false" customHeight="false" outlineLevel="0" collapsed="false">
      <c r="A146" s="7" t="s">
        <v>361</v>
      </c>
      <c r="O146" s="8" t="n">
        <f aca="false">SUM(O5:O144)</f>
        <v>5321.172</v>
      </c>
      <c r="P146" s="8" t="n">
        <f aca="false">SUM(P5:P144)</f>
        <v>6154.94525</v>
      </c>
      <c r="Q146" s="8" t="n">
        <f aca="false">SUM(Q5:Q144)</f>
        <v>4071.75</v>
      </c>
      <c r="R146" s="8" t="n">
        <f aca="false">SUM(R5:R144)</f>
        <v>18</v>
      </c>
      <c r="S146" s="8" t="n">
        <f aca="false">SUM(S5:S144)</f>
        <v>1036.433</v>
      </c>
      <c r="T146" s="8" t="n">
        <f aca="false">SUM(T5:T144)</f>
        <v>1090.2</v>
      </c>
      <c r="U146" s="8" t="n">
        <f aca="false">SUM(U5:U144)</f>
        <v>1188.09</v>
      </c>
      <c r="V146" s="8" t="n">
        <f aca="false">SUM(V5:V144)</f>
        <v>198.03</v>
      </c>
      <c r="W146" s="8" t="n">
        <f aca="false">SUM(W5:W144)</f>
        <v>58</v>
      </c>
      <c r="X146" s="8" t="n">
        <f aca="false">SUM(X5:X144)</f>
        <v>1804.11</v>
      </c>
      <c r="Y146" s="8" t="n">
        <f aca="false">SUM(Y5:Y144)</f>
        <v>17207.50533</v>
      </c>
      <c r="Z146" s="8" t="n">
        <f aca="false">SUM(Z5:Z144)</f>
        <v>261.82312</v>
      </c>
      <c r="AA146" s="8" t="n">
        <f aca="false">SUM(AA5:AA144)</f>
        <v>38.05031</v>
      </c>
      <c r="AB146" s="8" t="n">
        <f aca="false">SUM(AB5:AB144)</f>
        <v>1107.39233</v>
      </c>
      <c r="AC146" s="8" t="n">
        <f aca="false">SUM(AC5:AC144)</f>
        <v>0</v>
      </c>
      <c r="AD146" s="8" t="n">
        <f aca="false">SUM(AD5:AD144)</f>
        <v>7346.09323</v>
      </c>
      <c r="AE146" s="8" t="n">
        <f aca="false">SUM(AE5:AE144)</f>
        <v>60.88</v>
      </c>
      <c r="AF146" s="8" t="n">
        <f aca="false">SUM(AF5:AF144)</f>
        <v>334.2</v>
      </c>
      <c r="AG146" s="8" t="n">
        <f aca="false">SUM(AG5:AG144)</f>
        <v>0</v>
      </c>
      <c r="AH146" s="8" t="n">
        <f aca="false">SUM(AH5:AH144)</f>
        <v>5289.7697</v>
      </c>
      <c r="AI146" s="8" t="n">
        <f aca="false">SUM(AI5:AI144)</f>
        <v>722.25</v>
      </c>
      <c r="AJ146" s="8" t="n">
        <f aca="false">SUM(AJ5:AJ144)</f>
        <v>1332.82</v>
      </c>
      <c r="AK146" s="8" t="n">
        <f aca="false">SUM(AK5:AK144)</f>
        <v>1190.56</v>
      </c>
      <c r="AL146" s="8" t="n">
        <f aca="false">SUM(AL5:AL144)</f>
        <v>706.2</v>
      </c>
      <c r="AM146" s="8" t="n">
        <f aca="false">SUM(AM5:AM144)</f>
        <v>235.4</v>
      </c>
      <c r="AN146" s="8" t="n">
        <f aca="false">SUM(AN5:AN144)</f>
        <v>282.27</v>
      </c>
      <c r="AO146" s="8" t="n">
        <f aca="false">SUM(AO5:AO144)</f>
        <v>554.5</v>
      </c>
      <c r="AP146" s="8" t="n">
        <f aca="false">SUM(AP5:AP144)</f>
        <v>9</v>
      </c>
      <c r="AQ146" s="8" t="n">
        <f aca="false">SUM(AQ5:AQ144)</f>
        <v>914.6</v>
      </c>
    </row>
    <row r="147" customFormat="false" ht="15" hidden="false" customHeight="false" outlineLevel="0" collapsed="false">
      <c r="A147" s="0" t="s">
        <v>362</v>
      </c>
      <c r="O147" s="9" t="n">
        <v>0.15</v>
      </c>
      <c r="P147" s="9" t="n">
        <v>0.15</v>
      </c>
      <c r="Q147" s="9" t="n">
        <v>0.15</v>
      </c>
      <c r="R147" s="9" t="n">
        <v>0.15</v>
      </c>
      <c r="S147" s="9" t="n">
        <v>0.15</v>
      </c>
      <c r="T147" s="9" t="n">
        <v>0.15</v>
      </c>
      <c r="U147" s="9" t="n">
        <v>0.15</v>
      </c>
      <c r="V147" s="9" t="n">
        <v>0.15</v>
      </c>
      <c r="W147" s="9" t="n">
        <v>0.15</v>
      </c>
      <c r="X147" s="9" t="n">
        <v>0.15</v>
      </c>
      <c r="Y147" s="9" t="n">
        <v>0.06</v>
      </c>
      <c r="Z147" s="9" t="n">
        <v>0.06</v>
      </c>
      <c r="AA147" s="9" t="n">
        <v>0.06</v>
      </c>
      <c r="AB147" s="9" t="n">
        <v>0.06</v>
      </c>
      <c r="AC147" s="9" t="n">
        <v>0.06</v>
      </c>
      <c r="AD147" s="9" t="n">
        <v>0.06</v>
      </c>
      <c r="AE147" s="9" t="n">
        <v>0.06</v>
      </c>
      <c r="AF147" s="9" t="n">
        <v>0.06</v>
      </c>
      <c r="AG147" s="9" t="n">
        <v>0.06</v>
      </c>
      <c r="AH147" s="9" t="n">
        <v>0</v>
      </c>
      <c r="AI147" s="9" t="n">
        <v>0</v>
      </c>
      <c r="AJ147" s="9" t="n">
        <v>0.15</v>
      </c>
      <c r="AK147" s="9" t="n">
        <v>0</v>
      </c>
      <c r="AL147" s="9" t="n">
        <v>0.15</v>
      </c>
      <c r="AM147" s="9" t="n">
        <v>0.15</v>
      </c>
      <c r="AN147" s="9" t="n">
        <v>0.15</v>
      </c>
      <c r="AO147" s="9" t="n">
        <v>0.15</v>
      </c>
      <c r="AP147" s="9" t="n">
        <v>0</v>
      </c>
      <c r="AQ147" s="9" t="n">
        <v>0</v>
      </c>
    </row>
    <row r="148" customFormat="false" ht="15" hidden="false" customHeight="false" outlineLevel="0" collapsed="false">
      <c r="A148" s="0" t="s">
        <v>363</v>
      </c>
      <c r="O148" s="10" t="n">
        <f aca="false">O146*O147</f>
        <v>798.1758</v>
      </c>
      <c r="P148" s="10" t="n">
        <f aca="false">P146*P147</f>
        <v>923.2417875</v>
      </c>
      <c r="Q148" s="10" t="n">
        <f aca="false">Q146*Q147</f>
        <v>610.7625</v>
      </c>
      <c r="R148" s="10" t="n">
        <f aca="false">R146*R147</f>
        <v>2.7</v>
      </c>
      <c r="S148" s="10" t="n">
        <f aca="false">S146*S147</f>
        <v>155.46495</v>
      </c>
      <c r="T148" s="10" t="n">
        <f aca="false">T146*T147</f>
        <v>163.53</v>
      </c>
      <c r="U148" s="10" t="n">
        <f aca="false">U146*U147</f>
        <v>178.2135</v>
      </c>
      <c r="V148" s="10" t="n">
        <f aca="false">V146*V147</f>
        <v>29.7045</v>
      </c>
      <c r="W148" s="10" t="n">
        <f aca="false">W146*W147</f>
        <v>8.7</v>
      </c>
      <c r="X148" s="10" t="n">
        <f aca="false">X146*X147</f>
        <v>270.6165</v>
      </c>
      <c r="Y148" s="10" t="n">
        <f aca="false">Y146*Y147</f>
        <v>1032.4503198</v>
      </c>
      <c r="Z148" s="10" t="n">
        <f aca="false">Z146*Z147</f>
        <v>15.7093872</v>
      </c>
      <c r="AA148" s="10" t="n">
        <f aca="false">AA146*AA147</f>
        <v>2.2830186</v>
      </c>
      <c r="AB148" s="10" t="n">
        <f aca="false">AB146*AB147</f>
        <v>66.4435398</v>
      </c>
      <c r="AC148" s="10" t="n">
        <f aca="false">AC146*AC147</f>
        <v>0</v>
      </c>
      <c r="AD148" s="10" t="n">
        <f aca="false">AD146*AD147</f>
        <v>440.7655938</v>
      </c>
      <c r="AE148" s="10" t="n">
        <f aca="false">AE146*AE147</f>
        <v>3.6528</v>
      </c>
      <c r="AF148" s="10" t="n">
        <f aca="false">AF146*AF147</f>
        <v>20.052</v>
      </c>
      <c r="AG148" s="10" t="n">
        <f aca="false">AG146*AG147</f>
        <v>0</v>
      </c>
      <c r="AH148" s="10" t="n">
        <f aca="false">AH146*AH147</f>
        <v>0</v>
      </c>
      <c r="AI148" s="10" t="n">
        <f aca="false">AI146*AI147</f>
        <v>0</v>
      </c>
      <c r="AJ148" s="10" t="n">
        <f aca="false">AJ146*AJ147</f>
        <v>199.923</v>
      </c>
      <c r="AK148" s="10" t="n">
        <f aca="false">AK146*AK147</f>
        <v>0</v>
      </c>
      <c r="AL148" s="10" t="n">
        <f aca="false">AL146*AL147</f>
        <v>105.93</v>
      </c>
      <c r="AM148" s="10" t="n">
        <f aca="false">AM146*AM147</f>
        <v>35.31</v>
      </c>
      <c r="AN148" s="10" t="n">
        <f aca="false">AN146*AN147</f>
        <v>42.3405</v>
      </c>
      <c r="AO148" s="10" t="n">
        <f aca="false">AO146*AO147</f>
        <v>83.175</v>
      </c>
      <c r="AP148" s="10" t="n">
        <f aca="false">AP146*AP147</f>
        <v>0</v>
      </c>
      <c r="AQ148" s="10" t="n">
        <f aca="false">AQ146*AQ147</f>
        <v>0</v>
      </c>
    </row>
    <row r="149" customFormat="false" ht="15" hidden="false" customHeight="false" outlineLevel="0" collapsed="false">
      <c r="A149" s="0" t="s">
        <v>364</v>
      </c>
      <c r="O149" s="10" t="n">
        <f aca="false">O146+O148</f>
        <v>6119.3478</v>
      </c>
      <c r="P149" s="10" t="n">
        <f aca="false">P146+P148</f>
        <v>7078.1870375</v>
      </c>
      <c r="Q149" s="10" t="n">
        <f aca="false">Q146+Q148</f>
        <v>4682.5125</v>
      </c>
      <c r="R149" s="10" t="n">
        <f aca="false">R146+R148</f>
        <v>20.7</v>
      </c>
      <c r="S149" s="10" t="n">
        <f aca="false">S146+S148</f>
        <v>1191.89795</v>
      </c>
      <c r="T149" s="10" t="n">
        <f aca="false">T146+T148</f>
        <v>1253.73</v>
      </c>
      <c r="U149" s="10" t="n">
        <f aca="false">U146+U148</f>
        <v>1366.3035</v>
      </c>
      <c r="V149" s="10" t="n">
        <f aca="false">V146+V148</f>
        <v>227.7345</v>
      </c>
      <c r="W149" s="10" t="n">
        <f aca="false">W146+W148</f>
        <v>66.7</v>
      </c>
      <c r="X149" s="10" t="n">
        <f aca="false">X146+X148</f>
        <v>2074.7265</v>
      </c>
      <c r="Y149" s="10" t="n">
        <f aca="false">Y146+Y148</f>
        <v>18239.9556498</v>
      </c>
      <c r="Z149" s="10" t="n">
        <f aca="false">Z146+Z148</f>
        <v>277.5325072</v>
      </c>
      <c r="AA149" s="10" t="n">
        <f aca="false">AA146+AA148</f>
        <v>40.3333286</v>
      </c>
      <c r="AB149" s="10" t="n">
        <f aca="false">AB146+AB148</f>
        <v>1173.8358698</v>
      </c>
      <c r="AC149" s="10" t="n">
        <f aca="false">AC146+AC148</f>
        <v>0</v>
      </c>
      <c r="AD149" s="10" t="n">
        <f aca="false">AD146+AD148</f>
        <v>7786.8588238</v>
      </c>
      <c r="AE149" s="10" t="n">
        <f aca="false">AE146+AE148</f>
        <v>64.5328</v>
      </c>
      <c r="AF149" s="10" t="n">
        <f aca="false">AF146+AF148</f>
        <v>354.252</v>
      </c>
      <c r="AG149" s="10" t="n">
        <f aca="false">AG146+AG148</f>
        <v>0</v>
      </c>
      <c r="AH149" s="10" t="n">
        <f aca="false">AH146+AH148</f>
        <v>5289.7697</v>
      </c>
      <c r="AI149" s="10" t="n">
        <f aca="false">AI146+AI148</f>
        <v>722.25</v>
      </c>
      <c r="AJ149" s="10" t="n">
        <f aca="false">AJ146+AJ148</f>
        <v>1532.743</v>
      </c>
      <c r="AK149" s="10" t="n">
        <f aca="false">AK146+AK148</f>
        <v>1190.56</v>
      </c>
      <c r="AL149" s="10" t="n">
        <f aca="false">AL146+AL148</f>
        <v>812.13</v>
      </c>
      <c r="AM149" s="10" t="n">
        <f aca="false">AM146+AM148</f>
        <v>270.71</v>
      </c>
      <c r="AN149" s="10" t="n">
        <f aca="false">AN146+AN148</f>
        <v>324.6105</v>
      </c>
      <c r="AO149" s="10" t="n">
        <f aca="false">AO146+AO148</f>
        <v>637.675</v>
      </c>
      <c r="AP149" s="10" t="n">
        <f aca="false">AP146+AP148</f>
        <v>9</v>
      </c>
      <c r="AQ149" s="10" t="n">
        <f aca="false">AQ146+AQ148</f>
        <v>914.6</v>
      </c>
    </row>
    <row r="151" customFormat="false" ht="15" hidden="false" customHeight="false" outlineLevel="0" collapsed="false">
      <c r="A151" s="7" t="s">
        <v>365</v>
      </c>
    </row>
    <row r="152" customFormat="false" ht="15" hidden="false" customHeight="false" outlineLevel="0" collapsed="false">
      <c r="A152" s="0" t="s">
        <v>366</v>
      </c>
      <c r="D152" s="0" t="n">
        <v>4</v>
      </c>
    </row>
    <row r="153" customFormat="false" ht="15" hidden="false" customHeight="false" outlineLevel="0" collapsed="false">
      <c r="A153" s="0" t="s">
        <v>367</v>
      </c>
      <c r="D153" s="0" t="n">
        <v>12</v>
      </c>
    </row>
    <row r="154" customFormat="false" ht="15" hidden="false" customHeight="false" outlineLevel="0" collapsed="false">
      <c r="A154" s="0" t="s">
        <v>368</v>
      </c>
      <c r="D154" s="0" t="n">
        <f aca="false">D152*D153</f>
        <v>48</v>
      </c>
    </row>
    <row r="155" customFormat="false" ht="15" hidden="false" customHeight="false" outlineLevel="0" collapsed="false">
      <c r="A155" s="0" t="s">
        <v>369</v>
      </c>
      <c r="D155" s="0" t="n">
        <f aca="false">ROUNDUP(Y149/D154,0)</f>
        <v>380</v>
      </c>
    </row>
    <row r="156" customFormat="false" ht="15" hidden="false" customHeight="false" outlineLevel="0" collapsed="false">
      <c r="A156" s="0" t="s">
        <v>370</v>
      </c>
      <c r="D156" s="0" t="n">
        <f aca="false">ROUNDUP(Z149/D154,0)</f>
        <v>6</v>
      </c>
    </row>
    <row r="157" customFormat="false" ht="15" hidden="false" customHeight="false" outlineLevel="0" collapsed="false">
      <c r="A157" s="0" t="s">
        <v>371</v>
      </c>
      <c r="D157" s="0" t="n">
        <f aca="false">ROUNDUP(AA149/32,0)</f>
        <v>2</v>
      </c>
    </row>
    <row r="158" customFormat="false" ht="15" hidden="false" customHeight="false" outlineLevel="0" collapsed="false">
      <c r="A158" s="0" t="s">
        <v>372</v>
      </c>
      <c r="D158" s="0" t="n">
        <f aca="false">ROUNDUP(AB149/32,0)</f>
        <v>37</v>
      </c>
    </row>
    <row r="159" customFormat="false" ht="15" hidden="false" customHeight="false" outlineLevel="0" collapsed="false">
      <c r="A159" s="0" t="s">
        <v>373</v>
      </c>
      <c r="D159" s="0" t="n">
        <f aca="false">ROUNDUP(AD149/32,0)</f>
        <v>244</v>
      </c>
    </row>
    <row r="160" customFormat="false" ht="15" hidden="false" customHeight="false" outlineLevel="0" collapsed="false">
      <c r="A160" s="0" t="s">
        <v>374</v>
      </c>
      <c r="D160" s="0" t="n">
        <v>16</v>
      </c>
    </row>
    <row r="161" customFormat="false" ht="15" hidden="false" customHeight="false" outlineLevel="0" collapsed="false">
      <c r="A161" s="0" t="s">
        <v>375</v>
      </c>
      <c r="D161" s="0" t="n">
        <f aca="false">ROUNDUP(O149/D160,0)</f>
        <v>383</v>
      </c>
    </row>
    <row r="162" customFormat="false" ht="15" hidden="false" customHeight="false" outlineLevel="0" collapsed="false">
      <c r="A162" s="0" t="s">
        <v>376</v>
      </c>
      <c r="D162" s="0" t="n">
        <f aca="false">ROUNDUP(P149/D160,0)</f>
        <v>443</v>
      </c>
    </row>
    <row r="163" customFormat="false" ht="15" hidden="false" customHeight="false" outlineLevel="0" collapsed="false">
      <c r="A163" s="0" t="s">
        <v>377</v>
      </c>
      <c r="D163" s="0" t="n">
        <f aca="false">ROUNDUP(Q149/D160,0)</f>
        <v>293</v>
      </c>
    </row>
    <row r="164" customFormat="false" ht="15" hidden="false" customHeight="false" outlineLevel="0" collapsed="false">
      <c r="A164" s="0" t="s">
        <v>378</v>
      </c>
      <c r="D164" s="0" t="n">
        <f aca="false">ROUNDUP(R149/D160,0)</f>
        <v>2</v>
      </c>
    </row>
    <row r="165" customFormat="false" ht="15" hidden="false" customHeight="false" outlineLevel="0" collapsed="false">
      <c r="A165" s="0" t="s">
        <v>379</v>
      </c>
      <c r="D165" s="0" t="n">
        <f aca="false">ROUNDUP(S149/D160,0)</f>
        <v>75</v>
      </c>
    </row>
    <row r="166" customFormat="false" ht="15" hidden="false" customHeight="false" outlineLevel="0" collapsed="false">
      <c r="A166" s="0" t="s">
        <v>380</v>
      </c>
      <c r="D166" s="0" t="n">
        <f aca="false">ROUNDUP(T149/10,0)</f>
        <v>126</v>
      </c>
    </row>
    <row r="167" customFormat="false" ht="15" hidden="false" customHeight="false" outlineLevel="0" collapsed="false">
      <c r="A167" s="0" t="s">
        <v>381</v>
      </c>
      <c r="D167" s="0" t="n">
        <f aca="false">ROUNDUP(U149/10,0)</f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5" hidden="false" customHeight="false" outlineLevel="0" collapsed="false">
      <c r="A1" s="0" t="s">
        <v>382</v>
      </c>
      <c r="B1" s="0" t="s">
        <v>383</v>
      </c>
      <c r="C1" s="0" t="s">
        <v>384</v>
      </c>
      <c r="D1" s="0" t="s">
        <v>385</v>
      </c>
      <c r="E1" s="0" t="s">
        <v>386</v>
      </c>
      <c r="F1" s="0" t="s">
        <v>387</v>
      </c>
      <c r="G1" s="0" t="s">
        <v>388</v>
      </c>
    </row>
    <row r="2" customFormat="false" ht="15" hidden="false" customHeight="false" outlineLevel="0" collapsed="false">
      <c r="A2" s="0" t="s">
        <v>16</v>
      </c>
      <c r="B2" s="10" t="n">
        <f aca="false">Takeoff!O146</f>
        <v>5321.172</v>
      </c>
      <c r="C2" s="9" t="n">
        <f aca="false">Takeoff!O147</f>
        <v>0.15</v>
      </c>
      <c r="D2" s="10" t="n">
        <f aca="false">Takeoff!O148</f>
        <v>798.1758</v>
      </c>
      <c r="E2" s="10" t="n">
        <f aca="false">Takeoff!O149</f>
        <v>6119.3478</v>
      </c>
      <c r="F2" s="0" t="s">
        <v>389</v>
      </c>
      <c r="G2" s="0" t="s">
        <v>390</v>
      </c>
    </row>
    <row r="3" customFormat="false" ht="15" hidden="false" customHeight="false" outlineLevel="0" collapsed="false">
      <c r="A3" s="0" t="s">
        <v>17</v>
      </c>
      <c r="B3" s="10" t="n">
        <f aca="false">Takeoff!P146</f>
        <v>6154.94525</v>
      </c>
      <c r="C3" s="9" t="n">
        <f aca="false">Takeoff!P147</f>
        <v>0.15</v>
      </c>
      <c r="D3" s="10" t="n">
        <f aca="false">Takeoff!P148</f>
        <v>923.2417875</v>
      </c>
      <c r="E3" s="10" t="n">
        <f aca="false">Takeoff!P149</f>
        <v>7078.1870375</v>
      </c>
      <c r="F3" s="0" t="s">
        <v>389</v>
      </c>
      <c r="G3" s="0" t="s">
        <v>391</v>
      </c>
    </row>
    <row r="4" customFormat="false" ht="15" hidden="false" customHeight="false" outlineLevel="0" collapsed="false">
      <c r="A4" s="0" t="s">
        <v>18</v>
      </c>
      <c r="B4" s="10" t="n">
        <f aca="false">Takeoff!Q146</f>
        <v>4071.75</v>
      </c>
      <c r="C4" s="9" t="n">
        <f aca="false">Takeoff!Q147</f>
        <v>0.15</v>
      </c>
      <c r="D4" s="10" t="n">
        <f aca="false">Takeoff!Q148</f>
        <v>610.7625</v>
      </c>
      <c r="E4" s="10" t="n">
        <f aca="false">Takeoff!Q149</f>
        <v>4682.5125</v>
      </c>
      <c r="F4" s="0" t="s">
        <v>389</v>
      </c>
      <c r="G4" s="0" t="s">
        <v>392</v>
      </c>
    </row>
    <row r="5" customFormat="false" ht="15" hidden="false" customHeight="false" outlineLevel="0" collapsed="false">
      <c r="A5" s="0" t="s">
        <v>19</v>
      </c>
      <c r="B5" s="10" t="n">
        <f aca="false">Takeoff!R146</f>
        <v>18</v>
      </c>
      <c r="C5" s="9" t="n">
        <f aca="false">Takeoff!R147</f>
        <v>0.15</v>
      </c>
      <c r="D5" s="10" t="n">
        <f aca="false">Takeoff!R148</f>
        <v>2.7</v>
      </c>
      <c r="E5" s="10" t="n">
        <f aca="false">Takeoff!R149</f>
        <v>20.7</v>
      </c>
      <c r="F5" s="0" t="s">
        <v>389</v>
      </c>
      <c r="G5" s="0" t="s">
        <v>393</v>
      </c>
    </row>
    <row r="6" customFormat="false" ht="15" hidden="false" customHeight="false" outlineLevel="0" collapsed="false">
      <c r="A6" s="0" t="s">
        <v>20</v>
      </c>
      <c r="B6" s="10" t="n">
        <f aca="false">Takeoff!S146</f>
        <v>1036.433</v>
      </c>
      <c r="C6" s="9" t="n">
        <f aca="false">Takeoff!S147</f>
        <v>0.15</v>
      </c>
      <c r="D6" s="10" t="n">
        <f aca="false">Takeoff!S148</f>
        <v>155.46495</v>
      </c>
      <c r="E6" s="10" t="n">
        <f aca="false">Takeoff!S149</f>
        <v>1191.89795</v>
      </c>
      <c r="F6" s="0" t="s">
        <v>389</v>
      </c>
      <c r="G6" s="0" t="s">
        <v>394</v>
      </c>
    </row>
    <row r="7" customFormat="false" ht="15" hidden="false" customHeight="false" outlineLevel="0" collapsed="false">
      <c r="A7" s="0" t="s">
        <v>21</v>
      </c>
      <c r="B7" s="10" t="n">
        <f aca="false">Takeoff!T146</f>
        <v>1090.2</v>
      </c>
      <c r="C7" s="9" t="n">
        <f aca="false">Takeoff!T147</f>
        <v>0.15</v>
      </c>
      <c r="D7" s="10" t="n">
        <f aca="false">Takeoff!T148</f>
        <v>163.53</v>
      </c>
      <c r="E7" s="10" t="n">
        <f aca="false">Takeoff!T149</f>
        <v>1253.73</v>
      </c>
      <c r="F7" s="0" t="s">
        <v>389</v>
      </c>
      <c r="G7" s="0" t="s">
        <v>395</v>
      </c>
    </row>
    <row r="8" customFormat="false" ht="15" hidden="false" customHeight="false" outlineLevel="0" collapsed="false">
      <c r="A8" s="0" t="s">
        <v>22</v>
      </c>
      <c r="B8" s="10" t="n">
        <f aca="false">Takeoff!U146</f>
        <v>1188.09</v>
      </c>
      <c r="C8" s="9" t="n">
        <f aca="false">Takeoff!U147</f>
        <v>0.15</v>
      </c>
      <c r="D8" s="10" t="n">
        <f aca="false">Takeoff!U148</f>
        <v>178.2135</v>
      </c>
      <c r="E8" s="10" t="n">
        <f aca="false">Takeoff!U149</f>
        <v>1366.3035</v>
      </c>
      <c r="F8" s="0" t="s">
        <v>389</v>
      </c>
      <c r="G8" s="0" t="s">
        <v>396</v>
      </c>
    </row>
    <row r="9" customFormat="false" ht="15" hidden="false" customHeight="false" outlineLevel="0" collapsed="false">
      <c r="A9" s="0" t="s">
        <v>23</v>
      </c>
      <c r="B9" s="10" t="n">
        <f aca="false">Takeoff!V146</f>
        <v>198.03</v>
      </c>
      <c r="C9" s="9" t="n">
        <f aca="false">Takeoff!V147</f>
        <v>0.15</v>
      </c>
      <c r="D9" s="10" t="n">
        <f aca="false">Takeoff!V148</f>
        <v>29.7045</v>
      </c>
      <c r="E9" s="10" t="n">
        <f aca="false">Takeoff!V149</f>
        <v>227.7345</v>
      </c>
      <c r="F9" s="0" t="s">
        <v>389</v>
      </c>
      <c r="G9" s="0" t="s">
        <v>397</v>
      </c>
    </row>
    <row r="10" customFormat="false" ht="15" hidden="false" customHeight="false" outlineLevel="0" collapsed="false">
      <c r="A10" s="0" t="s">
        <v>24</v>
      </c>
      <c r="B10" s="10" t="n">
        <f aca="false">Takeoff!W146</f>
        <v>58</v>
      </c>
      <c r="C10" s="9" t="n">
        <f aca="false">Takeoff!W147</f>
        <v>0.15</v>
      </c>
      <c r="D10" s="10" t="n">
        <f aca="false">Takeoff!W148</f>
        <v>8.7</v>
      </c>
      <c r="E10" s="10" t="n">
        <f aca="false">Takeoff!W149</f>
        <v>66.7</v>
      </c>
      <c r="F10" s="0" t="s">
        <v>389</v>
      </c>
      <c r="G10" s="0" t="s">
        <v>398</v>
      </c>
    </row>
    <row r="11" customFormat="false" ht="15" hidden="false" customHeight="false" outlineLevel="0" collapsed="false">
      <c r="A11" s="0" t="s">
        <v>25</v>
      </c>
      <c r="B11" s="10" t="n">
        <f aca="false">Takeoff!X146</f>
        <v>1804.11</v>
      </c>
      <c r="C11" s="9" t="n">
        <f aca="false">Takeoff!X147</f>
        <v>0.15</v>
      </c>
      <c r="D11" s="10" t="n">
        <f aca="false">Takeoff!X148</f>
        <v>270.6165</v>
      </c>
      <c r="E11" s="10" t="n">
        <f aca="false">Takeoff!X149</f>
        <v>2074.7265</v>
      </c>
      <c r="F11" s="0" t="s">
        <v>389</v>
      </c>
      <c r="G11" s="0" t="s">
        <v>399</v>
      </c>
    </row>
    <row r="12" customFormat="false" ht="15" hidden="false" customHeight="false" outlineLevel="0" collapsed="false">
      <c r="A12" s="0" t="s">
        <v>26</v>
      </c>
      <c r="B12" s="10" t="n">
        <f aca="false">Takeoff!Y146</f>
        <v>17207.50533</v>
      </c>
      <c r="C12" s="9" t="n">
        <f aca="false">Takeoff!Y147</f>
        <v>0.06</v>
      </c>
      <c r="D12" s="10" t="n">
        <f aca="false">Takeoff!Y148</f>
        <v>1032.4503198</v>
      </c>
      <c r="E12" s="10" t="n">
        <f aca="false">Takeoff!Y149</f>
        <v>18239.9556498</v>
      </c>
      <c r="F12" s="0" t="s">
        <v>400</v>
      </c>
      <c r="G12" s="0" t="s">
        <v>401</v>
      </c>
    </row>
    <row r="13" customFormat="false" ht="15" hidden="false" customHeight="false" outlineLevel="0" collapsed="false">
      <c r="A13" s="0" t="s">
        <v>27</v>
      </c>
      <c r="B13" s="10" t="n">
        <f aca="false">Takeoff!Z146</f>
        <v>261.82312</v>
      </c>
      <c r="C13" s="9" t="n">
        <f aca="false">Takeoff!Z147</f>
        <v>0.06</v>
      </c>
      <c r="D13" s="10" t="n">
        <f aca="false">Takeoff!Z148</f>
        <v>15.7093872</v>
      </c>
      <c r="E13" s="10" t="n">
        <f aca="false">Takeoff!Z149</f>
        <v>277.5325072</v>
      </c>
      <c r="F13" s="0" t="s">
        <v>400</v>
      </c>
      <c r="G13" s="0" t="s">
        <v>402</v>
      </c>
    </row>
    <row r="14" customFormat="false" ht="15" hidden="false" customHeight="false" outlineLevel="0" collapsed="false">
      <c r="A14" s="0" t="s">
        <v>28</v>
      </c>
      <c r="B14" s="10" t="n">
        <f aca="false">Takeoff!AA146</f>
        <v>38.05031</v>
      </c>
      <c r="C14" s="9" t="n">
        <f aca="false">Takeoff!AA147</f>
        <v>0.06</v>
      </c>
      <c r="D14" s="10" t="n">
        <f aca="false">Takeoff!AA148</f>
        <v>2.2830186</v>
      </c>
      <c r="E14" s="10" t="n">
        <f aca="false">Takeoff!AA149</f>
        <v>40.3333286</v>
      </c>
      <c r="F14" s="0" t="s">
        <v>400</v>
      </c>
      <c r="G14" s="0" t="s">
        <v>403</v>
      </c>
    </row>
    <row r="15" customFormat="false" ht="15" hidden="false" customHeight="false" outlineLevel="0" collapsed="false">
      <c r="A15" s="0" t="s">
        <v>29</v>
      </c>
      <c r="B15" s="10" t="n">
        <f aca="false">Takeoff!AB146</f>
        <v>1107.39233</v>
      </c>
      <c r="C15" s="9" t="n">
        <f aca="false">Takeoff!AB147</f>
        <v>0.06</v>
      </c>
      <c r="D15" s="10" t="n">
        <f aca="false">Takeoff!AB148</f>
        <v>66.4435398</v>
      </c>
      <c r="E15" s="10" t="n">
        <f aca="false">Takeoff!AB149</f>
        <v>1173.8358698</v>
      </c>
      <c r="F15" s="0" t="s">
        <v>400</v>
      </c>
      <c r="G15" s="0" t="s">
        <v>404</v>
      </c>
    </row>
    <row r="16" customFormat="false" ht="15" hidden="false" customHeight="false" outlineLevel="0" collapsed="false">
      <c r="A16" s="0" t="s">
        <v>30</v>
      </c>
      <c r="B16" s="10" t="n">
        <f aca="false">Takeoff!AC146</f>
        <v>0</v>
      </c>
      <c r="C16" s="9" t="n">
        <f aca="false">Takeoff!AC147</f>
        <v>0.06</v>
      </c>
      <c r="D16" s="10" t="n">
        <f aca="false">Takeoff!AC148</f>
        <v>0</v>
      </c>
      <c r="E16" s="10" t="n">
        <f aca="false">Takeoff!AC149</f>
        <v>0</v>
      </c>
      <c r="F16" s="0" t="s">
        <v>400</v>
      </c>
      <c r="G16" s="0" t="s">
        <v>405</v>
      </c>
    </row>
    <row r="17" customFormat="false" ht="15" hidden="false" customHeight="false" outlineLevel="0" collapsed="false">
      <c r="A17" s="0" t="s">
        <v>31</v>
      </c>
      <c r="B17" s="10" t="n">
        <f aca="false">Takeoff!AD146</f>
        <v>7346.09323</v>
      </c>
      <c r="C17" s="9" t="n">
        <f aca="false">Takeoff!AD147</f>
        <v>0.06</v>
      </c>
      <c r="D17" s="10" t="n">
        <f aca="false">Takeoff!AD148</f>
        <v>440.7655938</v>
      </c>
      <c r="E17" s="10" t="n">
        <f aca="false">Takeoff!AD149</f>
        <v>7786.8588238</v>
      </c>
      <c r="F17" s="0" t="s">
        <v>400</v>
      </c>
      <c r="G17" s="0" t="s">
        <v>406</v>
      </c>
    </row>
    <row r="18" customFormat="false" ht="15" hidden="false" customHeight="false" outlineLevel="0" collapsed="false">
      <c r="A18" s="0" t="s">
        <v>32</v>
      </c>
      <c r="B18" s="10" t="n">
        <f aca="false">Takeoff!AE146</f>
        <v>60.88</v>
      </c>
      <c r="C18" s="9" t="n">
        <f aca="false">Takeoff!AE147</f>
        <v>0.06</v>
      </c>
      <c r="D18" s="10" t="n">
        <f aca="false">Takeoff!AE148</f>
        <v>3.6528</v>
      </c>
      <c r="E18" s="10" t="n">
        <f aca="false">Takeoff!AE149</f>
        <v>64.5328</v>
      </c>
      <c r="F18" s="0" t="s">
        <v>400</v>
      </c>
      <c r="G18" s="0" t="s">
        <v>407</v>
      </c>
    </row>
    <row r="19" customFormat="false" ht="15" hidden="false" customHeight="false" outlineLevel="0" collapsed="false">
      <c r="A19" s="0" t="s">
        <v>33</v>
      </c>
      <c r="B19" s="10" t="n">
        <f aca="false">Takeoff!AF146</f>
        <v>334.2</v>
      </c>
      <c r="C19" s="9" t="n">
        <f aca="false">Takeoff!AF147</f>
        <v>0.06</v>
      </c>
      <c r="D19" s="10" t="n">
        <f aca="false">Takeoff!AF148</f>
        <v>20.052</v>
      </c>
      <c r="E19" s="10" t="n">
        <f aca="false">Takeoff!AF149</f>
        <v>354.252</v>
      </c>
      <c r="F19" s="0" t="s">
        <v>400</v>
      </c>
      <c r="G19" s="0" t="s">
        <v>408</v>
      </c>
    </row>
    <row r="20" customFormat="false" ht="15" hidden="false" customHeight="false" outlineLevel="0" collapsed="false">
      <c r="A20" s="0" t="s">
        <v>34</v>
      </c>
      <c r="B20" s="10" t="n">
        <f aca="false">Takeoff!AG146</f>
        <v>0</v>
      </c>
      <c r="C20" s="9" t="n">
        <f aca="false">Takeoff!AG147</f>
        <v>0.06</v>
      </c>
      <c r="D20" s="10" t="n">
        <f aca="false">Takeoff!AG148</f>
        <v>0</v>
      </c>
      <c r="E20" s="10" t="n">
        <f aca="false">Takeoff!AG149</f>
        <v>0</v>
      </c>
      <c r="F20" s="0" t="s">
        <v>400</v>
      </c>
      <c r="G20" s="0" t="s">
        <v>409</v>
      </c>
    </row>
    <row r="21" customFormat="false" ht="15" hidden="false" customHeight="false" outlineLevel="0" collapsed="false">
      <c r="A21" s="0" t="s">
        <v>35</v>
      </c>
      <c r="B21" s="10" t="n">
        <f aca="false">Takeoff!AH146</f>
        <v>5289.7697</v>
      </c>
      <c r="C21" s="9" t="n">
        <f aca="false">Takeoff!AH147</f>
        <v>0</v>
      </c>
      <c r="D21" s="10" t="n">
        <f aca="false">Takeoff!AH148</f>
        <v>0</v>
      </c>
      <c r="E21" s="10" t="n">
        <f aca="false">Takeoff!AH149</f>
        <v>5289.7697</v>
      </c>
      <c r="F21" s="0" t="s">
        <v>400</v>
      </c>
      <c r="G21" s="0" t="s">
        <v>410</v>
      </c>
    </row>
    <row r="22" customFormat="false" ht="15" hidden="false" customHeight="false" outlineLevel="0" collapsed="false">
      <c r="A22" s="0" t="s">
        <v>36</v>
      </c>
      <c r="B22" s="10" t="n">
        <f aca="false">Takeoff!AI146</f>
        <v>722.25</v>
      </c>
      <c r="C22" s="9" t="n">
        <f aca="false">Takeoff!AI147</f>
        <v>0</v>
      </c>
      <c r="D22" s="10" t="n">
        <f aca="false">Takeoff!AI148</f>
        <v>0</v>
      </c>
      <c r="E22" s="10" t="n">
        <f aca="false">Takeoff!AI149</f>
        <v>722.25</v>
      </c>
      <c r="F22" s="0" t="s">
        <v>389</v>
      </c>
      <c r="G22" s="0" t="s">
        <v>411</v>
      </c>
    </row>
    <row r="23" customFormat="false" ht="15" hidden="false" customHeight="false" outlineLevel="0" collapsed="false">
      <c r="A23" s="0" t="s">
        <v>37</v>
      </c>
      <c r="B23" s="10" t="n">
        <f aca="false">Takeoff!AJ146</f>
        <v>1332.82</v>
      </c>
      <c r="C23" s="9" t="n">
        <f aca="false">Takeoff!AJ147</f>
        <v>0.15</v>
      </c>
      <c r="D23" s="10" t="n">
        <f aca="false">Takeoff!AJ148</f>
        <v>199.923</v>
      </c>
      <c r="E23" s="10" t="n">
        <f aca="false">Takeoff!AJ149</f>
        <v>1532.743</v>
      </c>
      <c r="F23" s="0" t="s">
        <v>389</v>
      </c>
      <c r="G23" s="0" t="s">
        <v>412</v>
      </c>
    </row>
    <row r="24" customFormat="false" ht="15" hidden="false" customHeight="false" outlineLevel="0" collapsed="false">
      <c r="A24" s="0" t="s">
        <v>38</v>
      </c>
      <c r="B24" s="10" t="n">
        <f aca="false">Takeoff!AK146</f>
        <v>1190.56</v>
      </c>
      <c r="C24" s="9" t="n">
        <f aca="false">Takeoff!AK147</f>
        <v>0</v>
      </c>
      <c r="D24" s="10" t="n">
        <f aca="false">Takeoff!AK148</f>
        <v>0</v>
      </c>
      <c r="E24" s="10" t="n">
        <f aca="false">Takeoff!AK149</f>
        <v>1190.56</v>
      </c>
      <c r="F24" s="0" t="s">
        <v>389</v>
      </c>
      <c r="G24" s="0" t="s">
        <v>413</v>
      </c>
    </row>
    <row r="25" customFormat="false" ht="15" hidden="false" customHeight="false" outlineLevel="0" collapsed="false">
      <c r="A25" s="0" t="s">
        <v>39</v>
      </c>
      <c r="B25" s="10" t="n">
        <f aca="false">Takeoff!AL146</f>
        <v>706.2</v>
      </c>
      <c r="C25" s="9" t="n">
        <f aca="false">Takeoff!AL147</f>
        <v>0.15</v>
      </c>
      <c r="D25" s="10" t="n">
        <f aca="false">Takeoff!AL148</f>
        <v>105.93</v>
      </c>
      <c r="E25" s="10" t="n">
        <f aca="false">Takeoff!AL149</f>
        <v>812.13</v>
      </c>
      <c r="F25" s="0" t="s">
        <v>389</v>
      </c>
      <c r="G25" s="0" t="s">
        <v>414</v>
      </c>
    </row>
    <row r="26" customFormat="false" ht="15" hidden="false" customHeight="false" outlineLevel="0" collapsed="false">
      <c r="A26" s="0" t="s">
        <v>40</v>
      </c>
      <c r="B26" s="10" t="n">
        <f aca="false">Takeoff!AM146</f>
        <v>235.4</v>
      </c>
      <c r="C26" s="9" t="n">
        <f aca="false">Takeoff!AM147</f>
        <v>0.15</v>
      </c>
      <c r="D26" s="10" t="n">
        <f aca="false">Takeoff!AM148</f>
        <v>35.31</v>
      </c>
      <c r="E26" s="10" t="n">
        <f aca="false">Takeoff!AM149</f>
        <v>270.71</v>
      </c>
      <c r="F26" s="0" t="s">
        <v>389</v>
      </c>
      <c r="G26" s="0" t="s">
        <v>415</v>
      </c>
    </row>
    <row r="27" customFormat="false" ht="15" hidden="false" customHeight="false" outlineLevel="0" collapsed="false">
      <c r="A27" s="0" t="s">
        <v>41</v>
      </c>
      <c r="B27" s="10" t="n">
        <f aca="false">Takeoff!AN146</f>
        <v>282.27</v>
      </c>
      <c r="C27" s="9" t="n">
        <f aca="false">Takeoff!AN147</f>
        <v>0.15</v>
      </c>
      <c r="D27" s="10" t="n">
        <f aca="false">Takeoff!AN148</f>
        <v>42.3405</v>
      </c>
      <c r="E27" s="10" t="n">
        <f aca="false">Takeoff!AN149</f>
        <v>324.6105</v>
      </c>
      <c r="F27" s="0" t="s">
        <v>389</v>
      </c>
      <c r="G27" s="0" t="s">
        <v>416</v>
      </c>
    </row>
    <row r="28" customFormat="false" ht="15" hidden="false" customHeight="false" outlineLevel="0" collapsed="false">
      <c r="A28" s="0" t="s">
        <v>42</v>
      </c>
      <c r="B28" s="10" t="n">
        <f aca="false">Takeoff!AO146</f>
        <v>554.5</v>
      </c>
      <c r="C28" s="9" t="n">
        <f aca="false">Takeoff!AO147</f>
        <v>0.15</v>
      </c>
      <c r="D28" s="10" t="n">
        <f aca="false">Takeoff!AO148</f>
        <v>83.175</v>
      </c>
      <c r="E28" s="10" t="n">
        <f aca="false">Takeoff!AO149</f>
        <v>637.675</v>
      </c>
      <c r="F28" s="0" t="s">
        <v>389</v>
      </c>
      <c r="G28" s="0" t="s">
        <v>417</v>
      </c>
    </row>
    <row r="29" customFormat="false" ht="15" hidden="false" customHeight="false" outlineLevel="0" collapsed="false">
      <c r="A29" s="0" t="s">
        <v>43</v>
      </c>
      <c r="B29" s="10" t="n">
        <f aca="false">Takeoff!AP146</f>
        <v>9</v>
      </c>
      <c r="C29" s="9" t="n">
        <f aca="false">Takeoff!AP147</f>
        <v>0</v>
      </c>
      <c r="D29" s="10" t="n">
        <f aca="false">Takeoff!AP148</f>
        <v>0</v>
      </c>
      <c r="E29" s="10" t="n">
        <f aca="false">Takeoff!AP149</f>
        <v>9</v>
      </c>
      <c r="F29" s="0" t="s">
        <v>418</v>
      </c>
      <c r="G29" s="0" t="s">
        <v>419</v>
      </c>
    </row>
    <row r="30" customFormat="false" ht="15" hidden="false" customHeight="false" outlineLevel="0" collapsed="false">
      <c r="A30" s="0" t="s">
        <v>44</v>
      </c>
      <c r="B30" s="10" t="n">
        <f aca="false">Takeoff!AQ146</f>
        <v>914.6</v>
      </c>
      <c r="C30" s="9" t="n">
        <f aca="false">Takeoff!AQ147</f>
        <v>0</v>
      </c>
      <c r="D30" s="10" t="n">
        <f aca="false">Takeoff!AQ148</f>
        <v>0</v>
      </c>
      <c r="E30" s="10" t="n">
        <f aca="false">Takeoff!AQ149</f>
        <v>914.6</v>
      </c>
      <c r="F30" s="0" t="s">
        <v>400</v>
      </c>
      <c r="G30" s="0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7" min="5" style="0" width="40"/>
    <col collapsed="false" customWidth="true" hidden="false" outlineLevel="0" max="8" min="8" style="0" width="12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11" t="s">
        <v>421</v>
      </c>
      <c r="B1" s="11" t="s">
        <v>422</v>
      </c>
      <c r="C1" s="11" t="s">
        <v>423</v>
      </c>
      <c r="D1" s="11" t="s">
        <v>424</v>
      </c>
      <c r="E1" s="11" t="s">
        <v>425</v>
      </c>
      <c r="F1" s="11" t="s">
        <v>426</v>
      </c>
      <c r="G1" s="11" t="s">
        <v>427</v>
      </c>
      <c r="H1" s="11" t="s">
        <v>428</v>
      </c>
      <c r="I1" s="11" t="s">
        <v>429</v>
      </c>
    </row>
    <row r="2" customFormat="false" ht="41.75" hidden="false" customHeight="false" outlineLevel="0" collapsed="false">
      <c r="A2" s="5" t="s">
        <v>430</v>
      </c>
      <c r="B2" s="5" t="s">
        <v>431</v>
      </c>
      <c r="C2" s="5" t="s">
        <v>432</v>
      </c>
      <c r="D2" s="5" t="s">
        <v>433</v>
      </c>
      <c r="E2" s="5" t="s">
        <v>434</v>
      </c>
      <c r="F2" s="5" t="s">
        <v>434</v>
      </c>
      <c r="G2" s="5" t="s">
        <v>435</v>
      </c>
      <c r="H2" s="5" t="s">
        <v>436</v>
      </c>
      <c r="I2" s="5" t="s">
        <v>437</v>
      </c>
    </row>
    <row r="3" customFormat="false" ht="15" hidden="false" customHeight="false" outlineLevel="0" collapsed="false">
      <c r="A3" s="5" t="s">
        <v>438</v>
      </c>
      <c r="B3" s="5" t="s">
        <v>431</v>
      </c>
      <c r="C3" s="5" t="s">
        <v>439</v>
      </c>
      <c r="D3" s="5" t="s">
        <v>440</v>
      </c>
      <c r="E3" s="5" t="s">
        <v>434</v>
      </c>
      <c r="F3" s="5" t="s">
        <v>441</v>
      </c>
      <c r="G3" s="5" t="s">
        <v>442</v>
      </c>
      <c r="H3" s="5" t="s">
        <v>443</v>
      </c>
      <c r="I3" s="5" t="s">
        <v>444</v>
      </c>
    </row>
    <row r="4" customFormat="false" ht="15" hidden="false" customHeight="false" outlineLevel="0" collapsed="false">
      <c r="A4" s="5" t="s">
        <v>445</v>
      </c>
      <c r="B4" s="5" t="s">
        <v>446</v>
      </c>
      <c r="C4" s="5" t="s">
        <v>447</v>
      </c>
      <c r="D4" s="5" t="s">
        <v>440</v>
      </c>
      <c r="E4" s="5" t="s">
        <v>448</v>
      </c>
      <c r="F4" s="5" t="s">
        <v>441</v>
      </c>
      <c r="G4" s="5" t="s">
        <v>442</v>
      </c>
      <c r="H4" s="5" t="s">
        <v>443</v>
      </c>
      <c r="I4" s="5" t="s">
        <v>449</v>
      </c>
    </row>
    <row r="5" customFormat="false" ht="15" hidden="false" customHeight="false" outlineLevel="0" collapsed="false">
      <c r="A5" s="5" t="s">
        <v>450</v>
      </c>
      <c r="B5" s="5" t="s">
        <v>446</v>
      </c>
      <c r="C5" s="5" t="s">
        <v>451</v>
      </c>
      <c r="D5" s="5" t="s">
        <v>440</v>
      </c>
      <c r="E5" s="5" t="s">
        <v>452</v>
      </c>
      <c r="F5" s="5" t="s">
        <v>441</v>
      </c>
      <c r="G5" s="5" t="s">
        <v>442</v>
      </c>
      <c r="H5" s="5" t="s">
        <v>443</v>
      </c>
      <c r="I5" s="5" t="s">
        <v>453</v>
      </c>
    </row>
    <row r="6" customFormat="false" ht="28.35" hidden="false" customHeight="false" outlineLevel="0" collapsed="false">
      <c r="A6" s="5" t="s">
        <v>454</v>
      </c>
      <c r="B6" s="5" t="s">
        <v>455</v>
      </c>
      <c r="C6" s="5" t="s">
        <v>451</v>
      </c>
      <c r="D6" s="5" t="s">
        <v>440</v>
      </c>
      <c r="E6" s="5" t="s">
        <v>456</v>
      </c>
      <c r="F6" s="5" t="s">
        <v>457</v>
      </c>
      <c r="G6" s="5" t="s">
        <v>458</v>
      </c>
      <c r="H6" s="5" t="s">
        <v>443</v>
      </c>
      <c r="I6" s="5" t="s">
        <v>459</v>
      </c>
    </row>
    <row r="7" customFormat="false" ht="28.35" hidden="false" customHeight="false" outlineLevel="0" collapsed="false">
      <c r="A7" s="5" t="s">
        <v>460</v>
      </c>
      <c r="B7" s="5" t="s">
        <v>461</v>
      </c>
      <c r="C7" s="5" t="s">
        <v>462</v>
      </c>
      <c r="D7" s="5" t="s">
        <v>463</v>
      </c>
      <c r="E7" s="5" t="s">
        <v>464</v>
      </c>
      <c r="F7" s="5" t="s">
        <v>465</v>
      </c>
      <c r="G7" s="5" t="s">
        <v>466</v>
      </c>
      <c r="H7" s="5" t="s">
        <v>443</v>
      </c>
      <c r="I7" s="5" t="s">
        <v>467</v>
      </c>
    </row>
    <row r="8" customFormat="false" ht="15" hidden="false" customHeight="false" outlineLevel="0" collapsed="false">
      <c r="A8" s="5" t="s">
        <v>468</v>
      </c>
      <c r="B8" s="5" t="s">
        <v>469</v>
      </c>
      <c r="C8" s="5" t="s">
        <v>447</v>
      </c>
      <c r="D8" s="5" t="s">
        <v>440</v>
      </c>
      <c r="E8" s="5" t="s">
        <v>470</v>
      </c>
      <c r="F8" s="5" t="s">
        <v>471</v>
      </c>
      <c r="G8" s="5" t="s">
        <v>472</v>
      </c>
      <c r="H8" s="5" t="s">
        <v>473</v>
      </c>
      <c r="I8" s="5" t="s">
        <v>474</v>
      </c>
    </row>
    <row r="9" customFormat="false" ht="28.35" hidden="false" customHeight="false" outlineLevel="0" collapsed="false">
      <c r="A9" s="5" t="s">
        <v>475</v>
      </c>
      <c r="B9" s="5" t="s">
        <v>476</v>
      </c>
      <c r="C9" s="5" t="s">
        <v>447</v>
      </c>
      <c r="D9" s="5" t="s">
        <v>477</v>
      </c>
      <c r="E9" s="5" t="s">
        <v>478</v>
      </c>
      <c r="F9" s="5" t="s">
        <v>479</v>
      </c>
      <c r="G9" s="5" t="s">
        <v>480</v>
      </c>
      <c r="H9" s="5" t="s">
        <v>443</v>
      </c>
      <c r="I9" s="5" t="s">
        <v>481</v>
      </c>
    </row>
    <row r="10" customFormat="false" ht="41.75" hidden="false" customHeight="false" outlineLevel="0" collapsed="false">
      <c r="A10" s="5" t="s">
        <v>482</v>
      </c>
      <c r="B10" s="5" t="s">
        <v>483</v>
      </c>
      <c r="C10" s="5" t="s">
        <v>484</v>
      </c>
      <c r="D10" s="5" t="s">
        <v>485</v>
      </c>
      <c r="E10" s="5" t="s">
        <v>486</v>
      </c>
      <c r="F10" s="5" t="s">
        <v>486</v>
      </c>
      <c r="G10" s="5" t="s">
        <v>487</v>
      </c>
      <c r="H10" s="5" t="s">
        <v>443</v>
      </c>
      <c r="I10" s="5" t="s">
        <v>488</v>
      </c>
    </row>
    <row r="11" customFormat="false" ht="15" hidden="false" customHeight="false" outlineLevel="0" collapsed="false">
      <c r="A11" s="5" t="s">
        <v>489</v>
      </c>
      <c r="B11" s="5" t="s">
        <v>483</v>
      </c>
      <c r="C11" s="5" t="s">
        <v>490</v>
      </c>
      <c r="D11" s="5" t="s">
        <v>440</v>
      </c>
      <c r="E11" s="5" t="s">
        <v>491</v>
      </c>
      <c r="F11" s="5" t="s">
        <v>491</v>
      </c>
      <c r="G11" s="5" t="s">
        <v>487</v>
      </c>
      <c r="H11" s="5" t="s">
        <v>443</v>
      </c>
      <c r="I11" s="5" t="s">
        <v>492</v>
      </c>
    </row>
    <row r="12" customFormat="false" ht="28.35" hidden="false" customHeight="false" outlineLevel="0" collapsed="false">
      <c r="A12" s="5" t="s">
        <v>493</v>
      </c>
      <c r="B12" s="5" t="s">
        <v>494</v>
      </c>
      <c r="C12" s="5" t="s">
        <v>473</v>
      </c>
      <c r="D12" s="5" t="s">
        <v>473</v>
      </c>
      <c r="E12" s="5" t="s">
        <v>473</v>
      </c>
      <c r="F12" s="5" t="s">
        <v>473</v>
      </c>
      <c r="G12" s="5" t="s">
        <v>473</v>
      </c>
      <c r="H12" s="5" t="s">
        <v>473</v>
      </c>
      <c r="I12" s="5" t="s">
        <v>495</v>
      </c>
    </row>
    <row r="13" customFormat="false" ht="41.75" hidden="false" customHeight="false" outlineLevel="0" collapsed="false">
      <c r="A13" s="5" t="s">
        <v>496</v>
      </c>
      <c r="B13" s="5" t="s">
        <v>497</v>
      </c>
      <c r="C13" s="5" t="s">
        <v>439</v>
      </c>
      <c r="D13" s="5" t="s">
        <v>498</v>
      </c>
      <c r="E13" s="5" t="s">
        <v>499</v>
      </c>
      <c r="F13" s="5" t="s">
        <v>500</v>
      </c>
      <c r="G13" s="5" t="s">
        <v>501</v>
      </c>
      <c r="H13" s="5" t="s">
        <v>502</v>
      </c>
      <c r="I13" s="5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1" t="s">
        <v>504</v>
      </c>
      <c r="B1" s="11" t="s">
        <v>505</v>
      </c>
      <c r="C1" s="11" t="s">
        <v>506</v>
      </c>
    </row>
    <row r="2" customFormat="false" ht="41.75" hidden="false" customHeight="false" outlineLevel="0" collapsed="false">
      <c r="A2" s="5" t="s">
        <v>507</v>
      </c>
      <c r="B2" s="5" t="s">
        <v>508</v>
      </c>
      <c r="C2" s="5" t="s">
        <v>509</v>
      </c>
    </row>
    <row r="3" customFormat="false" ht="28.35" hidden="false" customHeight="false" outlineLevel="0" collapsed="false">
      <c r="A3" s="5" t="s">
        <v>510</v>
      </c>
      <c r="B3" s="5" t="s">
        <v>511</v>
      </c>
      <c r="C3" s="5" t="s">
        <v>512</v>
      </c>
    </row>
    <row r="4" customFormat="false" ht="28.35" hidden="false" customHeight="false" outlineLevel="0" collapsed="false">
      <c r="A4" s="5" t="s">
        <v>513</v>
      </c>
      <c r="B4" s="5" t="s">
        <v>514</v>
      </c>
      <c r="C4" s="5" t="s">
        <v>515</v>
      </c>
    </row>
    <row r="5" customFormat="false" ht="15" hidden="false" customHeight="false" outlineLevel="0" collapsed="false">
      <c r="A5" s="5" t="s">
        <v>516</v>
      </c>
      <c r="B5" s="5" t="s">
        <v>517</v>
      </c>
      <c r="C5" s="5" t="s">
        <v>518</v>
      </c>
    </row>
    <row r="6" customFormat="false" ht="28.35" hidden="false" customHeight="false" outlineLevel="0" collapsed="false">
      <c r="A6" s="5" t="s">
        <v>519</v>
      </c>
      <c r="B6" s="5" t="s">
        <v>520</v>
      </c>
      <c r="C6" s="5" t="s">
        <v>473</v>
      </c>
    </row>
    <row r="7" customFormat="false" ht="28.35" hidden="false" customHeight="false" outlineLevel="0" collapsed="false">
      <c r="A7" s="5" t="s">
        <v>521</v>
      </c>
      <c r="B7" s="5" t="s">
        <v>522</v>
      </c>
      <c r="C7" s="5" t="s">
        <v>523</v>
      </c>
    </row>
    <row r="8" customFormat="false" ht="15" hidden="false" customHeight="false" outlineLevel="0" collapsed="false">
      <c r="A8" s="5" t="s">
        <v>524</v>
      </c>
      <c r="B8" s="5" t="s">
        <v>525</v>
      </c>
      <c r="C8" s="5" t="s">
        <v>526</v>
      </c>
    </row>
    <row r="9" customFormat="false" ht="28.35" hidden="false" customHeight="false" outlineLevel="0" collapsed="false">
      <c r="A9" s="5" t="s">
        <v>527</v>
      </c>
      <c r="B9" s="5" t="s">
        <v>528</v>
      </c>
      <c r="C9" s="5" t="s">
        <v>529</v>
      </c>
    </row>
    <row r="10" customFormat="false" ht="28.35" hidden="false" customHeight="false" outlineLevel="0" collapsed="false">
      <c r="A10" s="5" t="s">
        <v>530</v>
      </c>
      <c r="B10" s="5" t="s">
        <v>531</v>
      </c>
      <c r="C10" s="5" t="s">
        <v>532</v>
      </c>
    </row>
    <row r="11" customFormat="false" ht="28.35" hidden="false" customHeight="false" outlineLevel="0" collapsed="false">
      <c r="A11" s="5" t="s">
        <v>533</v>
      </c>
      <c r="B11" s="5" t="s">
        <v>534</v>
      </c>
      <c r="C11" s="5" t="s">
        <v>535</v>
      </c>
    </row>
    <row r="12" customFormat="false" ht="28.35" hidden="false" customHeight="false" outlineLevel="0" collapsed="false">
      <c r="A12" s="5" t="s">
        <v>536</v>
      </c>
      <c r="B12" s="5" t="s">
        <v>537</v>
      </c>
      <c r="C12" s="5" t="s">
        <v>538</v>
      </c>
    </row>
    <row r="13" customFormat="false" ht="15" hidden="false" customHeight="false" outlineLevel="0" collapsed="false">
      <c r="A13" s="5" t="s">
        <v>539</v>
      </c>
      <c r="B13" s="5" t="s">
        <v>540</v>
      </c>
      <c r="C13" s="5" t="s">
        <v>473</v>
      </c>
    </row>
    <row r="14" customFormat="false" ht="28.35" hidden="false" customHeight="false" outlineLevel="0" collapsed="false">
      <c r="A14" s="5" t="s">
        <v>541</v>
      </c>
      <c r="B14" s="5" t="s">
        <v>542</v>
      </c>
      <c r="C14" s="5" t="s">
        <v>543</v>
      </c>
    </row>
    <row r="15" customFormat="false" ht="28.35" hidden="false" customHeight="false" outlineLevel="0" collapsed="false">
      <c r="A15" s="5" t="s">
        <v>544</v>
      </c>
      <c r="B15" s="5" t="s">
        <v>545</v>
      </c>
      <c r="C15" s="5" t="s">
        <v>546</v>
      </c>
    </row>
    <row r="16" customFormat="false" ht="15" hidden="false" customHeight="false" outlineLevel="0" collapsed="false">
      <c r="A16" s="5" t="s">
        <v>547</v>
      </c>
      <c r="B16" s="5" t="s">
        <v>548</v>
      </c>
      <c r="C16" s="5" t="s">
        <v>549</v>
      </c>
    </row>
    <row r="17" customFormat="false" ht="15" hidden="false" customHeight="false" outlineLevel="0" collapsed="false">
      <c r="A17" s="5" t="s">
        <v>550</v>
      </c>
      <c r="B17" s="5" t="s">
        <v>551</v>
      </c>
      <c r="C17" s="5" t="s">
        <v>552</v>
      </c>
    </row>
    <row r="18" customFormat="false" ht="15" hidden="false" customHeight="false" outlineLevel="0" collapsed="false">
      <c r="A18" s="5" t="s">
        <v>553</v>
      </c>
      <c r="B18" s="5" t="s">
        <v>554</v>
      </c>
      <c r="C18" s="5" t="s">
        <v>555</v>
      </c>
    </row>
    <row r="19" customFormat="false" ht="28.35" hidden="false" customHeight="false" outlineLevel="0" collapsed="false">
      <c r="A19" s="5" t="s">
        <v>556</v>
      </c>
      <c r="B19" s="5" t="s">
        <v>557</v>
      </c>
      <c r="C19" s="5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0"/>
  </cols>
  <sheetData>
    <row r="1" customFormat="false" ht="15" hidden="false" customHeight="false" outlineLevel="0" collapsed="false">
      <c r="A1" s="11" t="s">
        <v>559</v>
      </c>
      <c r="B1" s="11" t="s">
        <v>560</v>
      </c>
    </row>
    <row r="2" customFormat="false" ht="15" hidden="false" customHeight="false" outlineLevel="0" collapsed="false">
      <c r="A2" s="5" t="s">
        <v>561</v>
      </c>
      <c r="B2" s="5" t="s">
        <v>562</v>
      </c>
    </row>
    <row r="3" customFormat="false" ht="41.75" hidden="false" customHeight="false" outlineLevel="0" collapsed="false">
      <c r="A3" s="5" t="s">
        <v>563</v>
      </c>
      <c r="B3" s="5" t="s">
        <v>564</v>
      </c>
    </row>
    <row r="4" customFormat="false" ht="41.75" hidden="false" customHeight="false" outlineLevel="0" collapsed="false">
      <c r="A4" s="5" t="s">
        <v>565</v>
      </c>
      <c r="B4" s="5" t="s">
        <v>566</v>
      </c>
    </row>
    <row r="5" customFormat="false" ht="15" hidden="false" customHeight="false" outlineLevel="0" collapsed="false">
      <c r="A5" s="5" t="s">
        <v>567</v>
      </c>
      <c r="B5" s="5" t="s">
        <v>568</v>
      </c>
    </row>
    <row r="6" customFormat="false" ht="15" hidden="false" customHeight="false" outlineLevel="0" collapsed="false">
      <c r="A6" s="5" t="s">
        <v>569</v>
      </c>
      <c r="B6" s="5" t="s">
        <v>570</v>
      </c>
    </row>
    <row r="7" customFormat="false" ht="15" hidden="false" customHeight="false" outlineLevel="0" collapsed="false">
      <c r="A7" s="5" t="s">
        <v>571</v>
      </c>
      <c r="B7" s="5" t="s">
        <v>572</v>
      </c>
    </row>
    <row r="8" customFormat="false" ht="15" hidden="false" customHeight="false" outlineLevel="0" collapsed="false">
      <c r="A8" s="5" t="s">
        <v>573</v>
      </c>
      <c r="B8" s="5" t="s">
        <v>574</v>
      </c>
    </row>
    <row r="9" customFormat="false" ht="15" hidden="false" customHeight="false" outlineLevel="0" collapsed="false">
      <c r="A9" s="5" t="s">
        <v>575</v>
      </c>
      <c r="B9" s="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1" t="s">
        <v>559</v>
      </c>
      <c r="B1" s="11" t="s">
        <v>577</v>
      </c>
      <c r="C1" s="11" t="s">
        <v>578</v>
      </c>
    </row>
    <row r="2" customFormat="false" ht="28.35" hidden="false" customHeight="false" outlineLevel="0" collapsed="false">
      <c r="A2" s="5" t="s">
        <v>561</v>
      </c>
      <c r="B2" s="5" t="s">
        <v>579</v>
      </c>
      <c r="C2" s="5" t="s">
        <v>580</v>
      </c>
    </row>
    <row r="3" customFormat="false" ht="28.35" hidden="false" customHeight="false" outlineLevel="0" collapsed="false">
      <c r="A3" s="5" t="s">
        <v>563</v>
      </c>
      <c r="B3" s="5" t="s">
        <v>581</v>
      </c>
      <c r="C3" s="5" t="s">
        <v>524</v>
      </c>
    </row>
    <row r="4" customFormat="false" ht="15" hidden="false" customHeight="false" outlineLevel="0" collapsed="false">
      <c r="A4" s="5" t="s">
        <v>565</v>
      </c>
      <c r="B4" s="5" t="s">
        <v>582</v>
      </c>
      <c r="C4" s="5" t="s">
        <v>507</v>
      </c>
    </row>
    <row r="5" customFormat="false" ht="15" hidden="false" customHeight="false" outlineLevel="0" collapsed="false">
      <c r="A5" s="5" t="s">
        <v>567</v>
      </c>
      <c r="B5" s="5" t="s">
        <v>583</v>
      </c>
      <c r="C5" s="5" t="s">
        <v>510</v>
      </c>
    </row>
    <row r="6" customFormat="false" ht="15" hidden="false" customHeight="false" outlineLevel="0" collapsed="false">
      <c r="A6" s="5" t="s">
        <v>569</v>
      </c>
      <c r="B6" s="5" t="s">
        <v>584</v>
      </c>
      <c r="C6" s="5" t="s">
        <v>513</v>
      </c>
    </row>
    <row r="7" customFormat="false" ht="15" hidden="false" customHeight="false" outlineLevel="0" collapsed="false">
      <c r="A7" s="5" t="s">
        <v>571</v>
      </c>
      <c r="B7" s="5" t="s">
        <v>585</v>
      </c>
      <c r="C7" s="5" t="s">
        <v>516</v>
      </c>
    </row>
    <row r="8" customFormat="false" ht="15" hidden="false" customHeight="false" outlineLevel="0" collapsed="false">
      <c r="A8" s="5" t="s">
        <v>573</v>
      </c>
      <c r="B8" s="5" t="s">
        <v>586</v>
      </c>
      <c r="C8" s="5" t="s">
        <v>527</v>
      </c>
    </row>
    <row r="9" customFormat="false" ht="15" hidden="false" customHeight="false" outlineLevel="0" collapsed="false">
      <c r="A9" s="5" t="s">
        <v>575</v>
      </c>
      <c r="B9" s="5" t="s">
        <v>587</v>
      </c>
      <c r="C9" s="5" t="s">
        <v>533</v>
      </c>
    </row>
    <row r="10" customFormat="false" ht="15" hidden="false" customHeight="false" outlineLevel="0" collapsed="false">
      <c r="A10" s="5" t="s">
        <v>588</v>
      </c>
      <c r="B10" s="5" t="s">
        <v>589</v>
      </c>
      <c r="C10" s="5" t="s">
        <v>536</v>
      </c>
    </row>
    <row r="11" customFormat="false" ht="15" hidden="false" customHeight="false" outlineLevel="0" collapsed="false">
      <c r="A11" s="5" t="s">
        <v>590</v>
      </c>
      <c r="B11" s="5" t="s">
        <v>591</v>
      </c>
      <c r="C11" s="5" t="s">
        <v>530</v>
      </c>
    </row>
    <row r="12" customFormat="false" ht="15" hidden="false" customHeight="false" outlineLevel="0" collapsed="false">
      <c r="A12" s="5" t="s">
        <v>592</v>
      </c>
      <c r="B12" s="5" t="s">
        <v>593</v>
      </c>
      <c r="C12" s="5" t="s">
        <v>541</v>
      </c>
    </row>
    <row r="13" customFormat="false" ht="15" hidden="false" customHeight="false" outlineLevel="0" collapsed="false">
      <c r="A13" s="5" t="s">
        <v>594</v>
      </c>
      <c r="B13" s="5" t="s">
        <v>595</v>
      </c>
      <c r="C13" s="5" t="s">
        <v>544</v>
      </c>
    </row>
    <row r="14" customFormat="false" ht="15" hidden="false" customHeight="false" outlineLevel="0" collapsed="false">
      <c r="A14" s="5" t="s">
        <v>596</v>
      </c>
      <c r="B14" s="5" t="s">
        <v>597</v>
      </c>
      <c r="C14" s="5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</cols>
  <sheetData>
    <row r="1" customFormat="false" ht="28.35" hidden="false" customHeight="false" outlineLevel="0" collapsed="false">
      <c r="A1" s="11" t="s">
        <v>599</v>
      </c>
      <c r="B1" s="11" t="s">
        <v>600</v>
      </c>
    </row>
    <row r="2" customFormat="false" ht="15" hidden="false" customHeight="false" outlineLevel="0" collapsed="false">
      <c r="A2" s="5" t="n">
        <v>0</v>
      </c>
      <c r="B2" s="5" t="s">
        <v>601</v>
      </c>
    </row>
    <row r="3" customFormat="false" ht="15" hidden="false" customHeight="false" outlineLevel="0" collapsed="false">
      <c r="A3" s="5" t="n">
        <v>1</v>
      </c>
      <c r="B3" s="5" t="s">
        <v>602</v>
      </c>
    </row>
    <row r="4" customFormat="false" ht="15" hidden="false" customHeight="false" outlineLevel="0" collapsed="false">
      <c r="A4" s="5" t="n">
        <v>2</v>
      </c>
      <c r="B4" s="5" t="s">
        <v>603</v>
      </c>
    </row>
    <row r="5" customFormat="false" ht="15" hidden="false" customHeight="false" outlineLevel="0" collapsed="false">
      <c r="A5" s="5" t="n">
        <v>3</v>
      </c>
      <c r="B5" s="5" t="s">
        <v>601</v>
      </c>
    </row>
    <row r="6" customFormat="false" ht="15" hidden="false" customHeight="false" outlineLevel="0" collapsed="false">
      <c r="A6" s="5" t="n">
        <v>4</v>
      </c>
      <c r="B6" s="5" t="s">
        <v>601</v>
      </c>
    </row>
    <row r="7" customFormat="false" ht="15" hidden="false" customHeight="false" outlineLevel="0" collapsed="false">
      <c r="A7" s="5" t="n">
        <v>5</v>
      </c>
      <c r="B7" s="5" t="s">
        <v>601</v>
      </c>
    </row>
    <row r="8" customFormat="false" ht="15" hidden="false" customHeight="false" outlineLevel="0" collapsed="false">
      <c r="A8" s="5" t="n">
        <v>6</v>
      </c>
      <c r="B8" s="5" t="s">
        <v>601</v>
      </c>
    </row>
    <row r="9" customFormat="false" ht="15" hidden="false" customHeight="false" outlineLevel="0" collapsed="false">
      <c r="A9" s="5" t="n">
        <v>7</v>
      </c>
      <c r="B9" s="5" t="s">
        <v>601</v>
      </c>
    </row>
    <row r="10" customFormat="false" ht="15" hidden="false" customHeight="false" outlineLevel="0" collapsed="false">
      <c r="A10" s="5" t="n">
        <v>8</v>
      </c>
      <c r="B10" s="5" t="s">
        <v>601</v>
      </c>
    </row>
    <row r="11" customFormat="false" ht="15" hidden="false" customHeight="false" outlineLevel="0" collapsed="false">
      <c r="A11" s="5" t="n">
        <v>9</v>
      </c>
      <c r="B11" s="5" t="s">
        <v>601</v>
      </c>
    </row>
    <row r="12" customFormat="false" ht="15" hidden="false" customHeight="false" outlineLevel="0" collapsed="false">
      <c r="A12" s="5" t="n">
        <v>10</v>
      </c>
      <c r="B12" s="5" t="s">
        <v>601</v>
      </c>
    </row>
    <row r="13" customFormat="false" ht="15" hidden="false" customHeight="false" outlineLevel="0" collapsed="false">
      <c r="A13" s="5" t="n">
        <v>11</v>
      </c>
      <c r="B13" s="5" t="s">
        <v>604</v>
      </c>
    </row>
    <row r="14" customFormat="false" ht="15" hidden="false" customHeight="false" outlineLevel="0" collapsed="false">
      <c r="A14" s="5" t="n">
        <v>12</v>
      </c>
      <c r="B14" s="5" t="s">
        <v>601</v>
      </c>
    </row>
    <row r="15" customFormat="false" ht="15" hidden="false" customHeight="false" outlineLevel="0" collapsed="false">
      <c r="A15" s="5" t="n">
        <v>13</v>
      </c>
      <c r="B15" s="5" t="s">
        <v>601</v>
      </c>
    </row>
    <row r="16" customFormat="false" ht="15" hidden="false" customHeight="false" outlineLevel="0" collapsed="false">
      <c r="A16" s="5" t="n">
        <v>14</v>
      </c>
      <c r="B16" s="5" t="s">
        <v>601</v>
      </c>
    </row>
    <row r="17" customFormat="false" ht="15" hidden="false" customHeight="false" outlineLevel="0" collapsed="false">
      <c r="A17" s="5" t="n">
        <v>15</v>
      </c>
      <c r="B17" s="5" t="s">
        <v>601</v>
      </c>
    </row>
    <row r="18" customFormat="false" ht="15" hidden="false" customHeight="false" outlineLevel="0" collapsed="false">
      <c r="A18" s="5" t="n">
        <v>16</v>
      </c>
      <c r="B18" s="5" t="s">
        <v>601</v>
      </c>
    </row>
    <row r="19" customFormat="false" ht="15" hidden="false" customHeight="false" outlineLevel="0" collapsed="false">
      <c r="A19" s="5" t="n">
        <v>17</v>
      </c>
      <c r="B19" s="5" t="s">
        <v>601</v>
      </c>
    </row>
    <row r="20" customFormat="false" ht="15" hidden="false" customHeight="false" outlineLevel="0" collapsed="false">
      <c r="A20" s="5" t="n">
        <v>18</v>
      </c>
      <c r="B20" s="5" t="s">
        <v>601</v>
      </c>
    </row>
    <row r="21" customFormat="false" ht="15" hidden="false" customHeight="false" outlineLevel="0" collapsed="false">
      <c r="A21" s="5" t="n">
        <v>19</v>
      </c>
      <c r="B21" s="5" t="s">
        <v>605</v>
      </c>
    </row>
    <row r="22" customFormat="false" ht="15" hidden="false" customHeight="false" outlineLevel="0" collapsed="false">
      <c r="A22" s="5" t="n">
        <v>20</v>
      </c>
      <c r="B22" s="5" t="s">
        <v>606</v>
      </c>
    </row>
    <row r="23" customFormat="false" ht="15" hidden="false" customHeight="false" outlineLevel="0" collapsed="false">
      <c r="A23" s="5" t="n">
        <v>21</v>
      </c>
      <c r="B23" s="5" t="s">
        <v>607</v>
      </c>
    </row>
    <row r="24" customFormat="false" ht="15" hidden="false" customHeight="false" outlineLevel="0" collapsed="false">
      <c r="A24" s="5" t="n">
        <v>22</v>
      </c>
      <c r="B24" s="5" t="s">
        <v>608</v>
      </c>
    </row>
    <row r="25" customFormat="false" ht="15" hidden="false" customHeight="false" outlineLevel="0" collapsed="false">
      <c r="A25" s="5" t="n">
        <v>23</v>
      </c>
      <c r="B25" s="5" t="s">
        <v>609</v>
      </c>
    </row>
    <row r="26" customFormat="false" ht="15" hidden="false" customHeight="false" outlineLevel="0" collapsed="false">
      <c r="A26" s="5" t="n">
        <v>24</v>
      </c>
      <c r="B26" s="5" t="s">
        <v>610</v>
      </c>
    </row>
    <row r="27" customFormat="false" ht="15" hidden="false" customHeight="false" outlineLevel="0" collapsed="false">
      <c r="A27" s="5" t="n">
        <v>25</v>
      </c>
      <c r="B27" s="5" t="s">
        <v>610</v>
      </c>
    </row>
    <row r="28" customFormat="false" ht="15" hidden="false" customHeight="false" outlineLevel="0" collapsed="false">
      <c r="A28" s="5" t="n">
        <v>26</v>
      </c>
      <c r="B28" s="5" t="s">
        <v>610</v>
      </c>
    </row>
    <row r="29" customFormat="false" ht="15" hidden="false" customHeight="false" outlineLevel="0" collapsed="false">
      <c r="A29" s="5" t="n">
        <v>27</v>
      </c>
      <c r="B29" s="5" t="s">
        <v>611</v>
      </c>
    </row>
    <row r="30" customFormat="false" ht="15" hidden="false" customHeight="false" outlineLevel="0" collapsed="false">
      <c r="A30" s="5" t="n">
        <v>28</v>
      </c>
      <c r="B30" s="5" t="s">
        <v>612</v>
      </c>
    </row>
    <row r="31" customFormat="false" ht="15" hidden="false" customHeight="false" outlineLevel="0" collapsed="false">
      <c r="A31" s="5" t="n">
        <v>29</v>
      </c>
      <c r="B31" s="5" t="s">
        <v>613</v>
      </c>
    </row>
    <row r="32" customFormat="false" ht="15" hidden="false" customHeight="false" outlineLevel="0" collapsed="false">
      <c r="A32" s="5" t="n">
        <v>30</v>
      </c>
      <c r="B32" s="5" t="s">
        <v>614</v>
      </c>
    </row>
    <row r="33" customFormat="false" ht="15" hidden="false" customHeight="false" outlineLevel="0" collapsed="false">
      <c r="A33" s="5" t="n">
        <v>31</v>
      </c>
      <c r="B33" s="5" t="s">
        <v>615</v>
      </c>
    </row>
    <row r="34" customFormat="false" ht="15" hidden="false" customHeight="false" outlineLevel="0" collapsed="false">
      <c r="A34" s="5" t="n">
        <v>32</v>
      </c>
      <c r="B34" s="5" t="s">
        <v>616</v>
      </c>
    </row>
    <row r="35" customFormat="false" ht="15" hidden="false" customHeight="false" outlineLevel="0" collapsed="false">
      <c r="A35" s="5" t="n">
        <v>33</v>
      </c>
      <c r="B35" s="5" t="s">
        <v>617</v>
      </c>
    </row>
    <row r="36" customFormat="false" ht="15" hidden="false" customHeight="false" outlineLevel="0" collapsed="false">
      <c r="A36" s="5" t="n">
        <v>34</v>
      </c>
      <c r="B36" s="5" t="s">
        <v>618</v>
      </c>
    </row>
    <row r="37" customFormat="false" ht="15" hidden="false" customHeight="false" outlineLevel="0" collapsed="false">
      <c r="A37" s="5" t="n">
        <v>35</v>
      </c>
      <c r="B37" s="5" t="s">
        <v>619</v>
      </c>
    </row>
    <row r="38" customFormat="false" ht="15" hidden="false" customHeight="false" outlineLevel="0" collapsed="false">
      <c r="A38" s="5" t="n">
        <v>36</v>
      </c>
      <c r="B38" s="5" t="s">
        <v>620</v>
      </c>
    </row>
    <row r="39" customFormat="false" ht="15" hidden="false" customHeight="false" outlineLevel="0" collapsed="false">
      <c r="A39" s="5" t="n">
        <v>37</v>
      </c>
      <c r="B39" s="5" t="s">
        <v>621</v>
      </c>
    </row>
    <row r="40" customFormat="false" ht="15" hidden="false" customHeight="false" outlineLevel="0" collapsed="false">
      <c r="A40" s="5" t="n">
        <v>38</v>
      </c>
      <c r="B40" s="5" t="s">
        <v>622</v>
      </c>
    </row>
    <row r="41" customFormat="false" ht="15" hidden="false" customHeight="false" outlineLevel="0" collapsed="false">
      <c r="A41" s="5" t="n">
        <v>39</v>
      </c>
      <c r="B41" s="5" t="s">
        <v>623</v>
      </c>
    </row>
    <row r="42" customFormat="false" ht="15" hidden="false" customHeight="false" outlineLevel="0" collapsed="false">
      <c r="A42" s="5" t="n">
        <v>40</v>
      </c>
      <c r="B42" s="5" t="s">
        <v>624</v>
      </c>
    </row>
    <row r="43" customFormat="false" ht="15" hidden="false" customHeight="false" outlineLevel="0" collapsed="false">
      <c r="A43" s="5" t="n">
        <v>41</v>
      </c>
      <c r="B43" s="5" t="s">
        <v>625</v>
      </c>
    </row>
    <row r="44" customFormat="false" ht="15" hidden="false" customHeight="false" outlineLevel="0" collapsed="false">
      <c r="A44" s="5" t="n">
        <v>42</v>
      </c>
      <c r="B44" s="5" t="s">
        <v>626</v>
      </c>
    </row>
    <row r="45" customFormat="false" ht="15" hidden="false" customHeight="false" outlineLevel="0" collapsed="false">
      <c r="A45" s="5" t="n">
        <v>43</v>
      </c>
      <c r="B45" s="5" t="s">
        <v>627</v>
      </c>
    </row>
    <row r="46" customFormat="false" ht="15" hidden="false" customHeight="false" outlineLevel="0" collapsed="false">
      <c r="A46" s="5" t="n">
        <v>44</v>
      </c>
      <c r="B46" s="5" t="s">
        <v>628</v>
      </c>
    </row>
    <row r="47" customFormat="false" ht="15" hidden="false" customHeight="false" outlineLevel="0" collapsed="false">
      <c r="A47" s="5" t="n">
        <v>45</v>
      </c>
      <c r="B47" s="5" t="s">
        <v>629</v>
      </c>
    </row>
    <row r="48" customFormat="false" ht="15" hidden="false" customHeight="false" outlineLevel="0" collapsed="false">
      <c r="A48" s="5" t="n">
        <v>46</v>
      </c>
      <c r="B48" s="5" t="s">
        <v>630</v>
      </c>
    </row>
    <row r="49" customFormat="false" ht="15" hidden="false" customHeight="false" outlineLevel="0" collapsed="false">
      <c r="A49" s="5" t="n">
        <v>47</v>
      </c>
      <c r="B49" s="5" t="s">
        <v>631</v>
      </c>
    </row>
    <row r="50" customFormat="false" ht="15" hidden="false" customHeight="false" outlineLevel="0" collapsed="false">
      <c r="A50" s="5" t="n">
        <v>48</v>
      </c>
      <c r="B50" s="5" t="s">
        <v>632</v>
      </c>
    </row>
    <row r="51" customFormat="false" ht="15" hidden="false" customHeight="false" outlineLevel="0" collapsed="false">
      <c r="A51" s="5" t="n">
        <v>49</v>
      </c>
      <c r="B51" s="5" t="s">
        <v>633</v>
      </c>
    </row>
    <row r="52" customFormat="false" ht="15" hidden="false" customHeight="false" outlineLevel="0" collapsed="false">
      <c r="A52" s="5" t="n">
        <v>50</v>
      </c>
      <c r="B52" s="5" t="s">
        <v>634</v>
      </c>
    </row>
    <row r="53" customFormat="false" ht="15" hidden="false" customHeight="false" outlineLevel="0" collapsed="false">
      <c r="A53" s="5" t="n">
        <v>51</v>
      </c>
      <c r="B53" s="5" t="s">
        <v>635</v>
      </c>
    </row>
    <row r="54" customFormat="false" ht="15" hidden="false" customHeight="false" outlineLevel="0" collapsed="false">
      <c r="A54" s="5" t="n">
        <v>52</v>
      </c>
      <c r="B54" s="5" t="s">
        <v>636</v>
      </c>
    </row>
    <row r="55" customFormat="false" ht="15" hidden="false" customHeight="false" outlineLevel="0" collapsed="false">
      <c r="A55" s="5" t="n">
        <v>53</v>
      </c>
      <c r="B55" s="5" t="s">
        <v>637</v>
      </c>
    </row>
    <row r="56" customFormat="false" ht="15" hidden="false" customHeight="false" outlineLevel="0" collapsed="false">
      <c r="A56" s="5" t="n">
        <v>54</v>
      </c>
      <c r="B56" s="5" t="s">
        <v>638</v>
      </c>
    </row>
    <row r="57" customFormat="false" ht="15" hidden="false" customHeight="false" outlineLevel="0" collapsed="false">
      <c r="A57" s="5" t="n">
        <v>55</v>
      </c>
      <c r="B57" s="5" t="s">
        <v>639</v>
      </c>
    </row>
    <row r="58" customFormat="false" ht="15" hidden="false" customHeight="false" outlineLevel="0" collapsed="false">
      <c r="A58" s="5" t="n">
        <v>56</v>
      </c>
      <c r="B58" s="5" t="s">
        <v>640</v>
      </c>
    </row>
    <row r="59" customFormat="false" ht="15" hidden="false" customHeight="false" outlineLevel="0" collapsed="false">
      <c r="A59" s="5" t="n">
        <v>57</v>
      </c>
      <c r="B59" s="5" t="s">
        <v>641</v>
      </c>
    </row>
    <row r="60" customFormat="false" ht="15" hidden="false" customHeight="false" outlineLevel="0" collapsed="false">
      <c r="A60" s="5" t="n">
        <v>58</v>
      </c>
      <c r="B60" s="5" t="s">
        <v>642</v>
      </c>
    </row>
    <row r="61" customFormat="false" ht="15" hidden="false" customHeight="false" outlineLevel="0" collapsed="false">
      <c r="A61" s="5" t="n">
        <v>59</v>
      </c>
      <c r="B61" s="5" t="s">
        <v>643</v>
      </c>
    </row>
    <row r="62" customFormat="false" ht="15" hidden="false" customHeight="false" outlineLevel="0" collapsed="false">
      <c r="A62" s="5" t="n">
        <v>60</v>
      </c>
      <c r="B62" s="5" t="s">
        <v>644</v>
      </c>
    </row>
    <row r="63" customFormat="false" ht="15" hidden="false" customHeight="false" outlineLevel="0" collapsed="false">
      <c r="A63" s="5" t="n">
        <v>61</v>
      </c>
      <c r="B63" s="5" t="s">
        <v>645</v>
      </c>
    </row>
    <row r="64" customFormat="false" ht="15" hidden="false" customHeight="false" outlineLevel="0" collapsed="false">
      <c r="A64" s="5" t="n">
        <v>62</v>
      </c>
      <c r="B64" s="5" t="s">
        <v>646</v>
      </c>
    </row>
    <row r="65" customFormat="false" ht="15" hidden="false" customHeight="false" outlineLevel="0" collapsed="false">
      <c r="A65" s="5" t="n">
        <v>63</v>
      </c>
      <c r="B65" s="5" t="s">
        <v>647</v>
      </c>
    </row>
    <row r="66" customFormat="false" ht="15" hidden="false" customHeight="false" outlineLevel="0" collapsed="false">
      <c r="A66" s="5" t="n">
        <v>64</v>
      </c>
      <c r="B66" s="5" t="s">
        <v>648</v>
      </c>
    </row>
    <row r="67" customFormat="false" ht="15" hidden="false" customHeight="false" outlineLevel="0" collapsed="false">
      <c r="A67" s="5" t="n">
        <v>65</v>
      </c>
      <c r="B67" s="5" t="s">
        <v>649</v>
      </c>
    </row>
    <row r="68" customFormat="false" ht="15" hidden="false" customHeight="false" outlineLevel="0" collapsed="false">
      <c r="A68" s="5" t="n">
        <v>66</v>
      </c>
      <c r="B68" s="5" t="s">
        <v>650</v>
      </c>
    </row>
    <row r="69" customFormat="false" ht="15" hidden="false" customHeight="false" outlineLevel="0" collapsed="false">
      <c r="A69" s="5" t="n">
        <v>67</v>
      </c>
      <c r="B69" s="5" t="s">
        <v>651</v>
      </c>
    </row>
    <row r="70" customFormat="false" ht="15" hidden="false" customHeight="false" outlineLevel="0" collapsed="false">
      <c r="A70" s="5" t="n">
        <v>68</v>
      </c>
      <c r="B70" s="5" t="s">
        <v>652</v>
      </c>
    </row>
    <row r="71" customFormat="false" ht="15" hidden="false" customHeight="false" outlineLevel="0" collapsed="false">
      <c r="A71" s="5" t="n">
        <v>69</v>
      </c>
      <c r="B71" s="5" t="s">
        <v>653</v>
      </c>
    </row>
    <row r="72" customFormat="false" ht="15" hidden="false" customHeight="false" outlineLevel="0" collapsed="false">
      <c r="A72" s="5" t="n">
        <v>70</v>
      </c>
      <c r="B72" s="5" t="s">
        <v>654</v>
      </c>
    </row>
    <row r="73" customFormat="false" ht="15" hidden="false" customHeight="false" outlineLevel="0" collapsed="false">
      <c r="A73" s="5" t="n">
        <v>71</v>
      </c>
      <c r="B73" s="5" t="s">
        <v>655</v>
      </c>
    </row>
    <row r="74" customFormat="false" ht="15" hidden="false" customHeight="false" outlineLevel="0" collapsed="false">
      <c r="A74" s="5" t="n">
        <v>72</v>
      </c>
      <c r="B74" s="5" t="s">
        <v>656</v>
      </c>
    </row>
    <row r="75" customFormat="false" ht="15" hidden="false" customHeight="false" outlineLevel="0" collapsed="false">
      <c r="A75" s="5" t="n">
        <v>73</v>
      </c>
      <c r="B75" s="5" t="s">
        <v>657</v>
      </c>
    </row>
    <row r="76" customFormat="false" ht="15" hidden="false" customHeight="false" outlineLevel="0" collapsed="false">
      <c r="A76" s="5" t="n">
        <v>74</v>
      </c>
      <c r="B76" s="5" t="s">
        <v>658</v>
      </c>
    </row>
    <row r="77" customFormat="false" ht="15" hidden="false" customHeight="false" outlineLevel="0" collapsed="false">
      <c r="A77" s="5" t="n">
        <v>75</v>
      </c>
      <c r="B77" s="5" t="s">
        <v>659</v>
      </c>
    </row>
    <row r="78" customFormat="false" ht="15" hidden="false" customHeight="false" outlineLevel="0" collapsed="false">
      <c r="A78" s="5" t="n">
        <v>76</v>
      </c>
      <c r="B78" s="5" t="s">
        <v>660</v>
      </c>
    </row>
    <row r="79" customFormat="false" ht="15" hidden="false" customHeight="false" outlineLevel="0" collapsed="false">
      <c r="A79" s="5" t="n">
        <v>77</v>
      </c>
      <c r="B79" s="5" t="s">
        <v>661</v>
      </c>
    </row>
    <row r="80" customFormat="false" ht="15" hidden="false" customHeight="false" outlineLevel="0" collapsed="false">
      <c r="A80" s="5" t="n">
        <v>78</v>
      </c>
      <c r="B80" s="5" t="s">
        <v>662</v>
      </c>
    </row>
    <row r="81" customFormat="false" ht="15" hidden="false" customHeight="false" outlineLevel="0" collapsed="false">
      <c r="A81" s="5" t="n">
        <v>79</v>
      </c>
      <c r="B81" s="5" t="s">
        <v>663</v>
      </c>
    </row>
    <row r="82" customFormat="false" ht="15" hidden="false" customHeight="false" outlineLevel="0" collapsed="false">
      <c r="A82" s="5" t="n">
        <v>80</v>
      </c>
      <c r="B82" s="5" t="s">
        <v>664</v>
      </c>
    </row>
    <row r="83" customFormat="false" ht="15" hidden="false" customHeight="false" outlineLevel="0" collapsed="false">
      <c r="A83" s="5" t="n">
        <v>81</v>
      </c>
      <c r="B83" s="5" t="s">
        <v>665</v>
      </c>
    </row>
    <row r="84" customFormat="false" ht="15" hidden="false" customHeight="false" outlineLevel="0" collapsed="false">
      <c r="A84" s="5" t="n">
        <v>82</v>
      </c>
      <c r="B84" s="5" t="s">
        <v>666</v>
      </c>
    </row>
    <row r="85" customFormat="false" ht="15" hidden="false" customHeight="false" outlineLevel="0" collapsed="false">
      <c r="A85" s="5" t="n">
        <v>83</v>
      </c>
      <c r="B85" s="5" t="s">
        <v>667</v>
      </c>
    </row>
    <row r="86" customFormat="false" ht="15" hidden="false" customHeight="false" outlineLevel="0" collapsed="false">
      <c r="A86" s="5" t="n">
        <v>84</v>
      </c>
      <c r="B86" s="5" t="s">
        <v>668</v>
      </c>
    </row>
    <row r="87" customFormat="false" ht="15" hidden="false" customHeight="false" outlineLevel="0" collapsed="false">
      <c r="A87" s="5" t="n">
        <v>85</v>
      </c>
      <c r="B87" s="5" t="s">
        <v>669</v>
      </c>
    </row>
    <row r="88" customFormat="false" ht="15" hidden="false" customHeight="false" outlineLevel="0" collapsed="false">
      <c r="A88" s="5" t="n">
        <v>86</v>
      </c>
      <c r="B88" s="5" t="s">
        <v>670</v>
      </c>
    </row>
    <row r="89" customFormat="false" ht="15" hidden="false" customHeight="false" outlineLevel="0" collapsed="false">
      <c r="A89" s="5" t="n">
        <v>87</v>
      </c>
      <c r="B89" s="5" t="s">
        <v>671</v>
      </c>
    </row>
    <row r="90" customFormat="false" ht="15" hidden="false" customHeight="false" outlineLevel="0" collapsed="false">
      <c r="A90" s="5" t="n">
        <v>88</v>
      </c>
      <c r="B90" s="5" t="s">
        <v>672</v>
      </c>
    </row>
    <row r="91" customFormat="false" ht="15" hidden="false" customHeight="false" outlineLevel="0" collapsed="false">
      <c r="A91" s="5" t="n">
        <v>89</v>
      </c>
      <c r="B91" s="5" t="s">
        <v>673</v>
      </c>
    </row>
    <row r="92" customFormat="false" ht="15" hidden="false" customHeight="false" outlineLevel="0" collapsed="false">
      <c r="A92" s="5" t="n">
        <v>90</v>
      </c>
      <c r="B92" s="5" t="s">
        <v>674</v>
      </c>
    </row>
    <row r="93" customFormat="false" ht="15" hidden="false" customHeight="false" outlineLevel="0" collapsed="false">
      <c r="A93" s="5" t="n">
        <v>91</v>
      </c>
      <c r="B93" s="5" t="s">
        <v>675</v>
      </c>
    </row>
    <row r="94" customFormat="false" ht="15" hidden="false" customHeight="false" outlineLevel="0" collapsed="false">
      <c r="A94" s="5" t="n">
        <v>92</v>
      </c>
      <c r="B94" s="5" t="s">
        <v>676</v>
      </c>
    </row>
    <row r="95" customFormat="false" ht="15" hidden="false" customHeight="false" outlineLevel="0" collapsed="false">
      <c r="A95" s="5" t="n">
        <v>93</v>
      </c>
      <c r="B95" s="5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2026-10-14T01:09:12Z</dcterms:created>
  <dc:creator>openpyxl</dc:creator>
  <dc:description/>
  <dc:language>en-US</dc:language>
  <cp:lastModifiedBy/>
  <dcterms:modified xsi:type="dcterms:W3CDTF">2026-10-14T01:09:12Z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