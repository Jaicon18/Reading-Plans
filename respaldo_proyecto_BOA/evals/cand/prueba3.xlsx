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keoff" sheetId="1" state="visible" r:id="rId3"/>
    <sheet name="Inputs" sheetId="2" state="visible" r:id="rId4"/>
    <sheet name="Breakdown" sheetId="3" state="visible" r:id="rId5"/>
    <sheet name="Materials" sheetId="4" state="visible" r:id="rId6"/>
    <sheet name="RFIs" sheetId="5" state="visible" r:id="rId7"/>
    <sheet name="Revisar en la manana" sheetId="6" state="visible" r:id="rId8"/>
    <sheet name="Clarifications" sheetId="7" state="visible" r:id="rId9"/>
    <sheet name="Registro" sheetId="8" state="visible" r:id="rId10"/>
    <sheet name="Excluded (double count)" sheetId="9" state="visible" r:id="rId11"/>
    <sheet name="Info by others" sheetId="10" state="visible" r:id="rId12"/>
    <sheet name="Worker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<sst xmlns="http://schemas.openxmlformats.org/spreadsheetml/2006/main" count="10228" uniqueCount="2453">
  <si>
    <t xml:space="preserve">Item #</t>
  </si>
  <si>
    <t xml:space="preserve">Partition / Scope</t>
  </si>
  <si>
    <t xml:space="preserve">Location</t>
  </si>
  <si>
    <t xml:space="preserve">Length (LF)</t>
  </si>
  <si>
    <t xml:space="preserve">Height (FT)</t>
  </si>
  <si>
    <t xml:space="preserve">Layers</t>
  </si>
  <si>
    <t xml:space="preserve">6" Metal Stud (LF)</t>
  </si>
  <si>
    <t xml:space="preserve">3-5/8" Metal Stud (LF)</t>
  </si>
  <si>
    <t xml:space="preserve">1-5/8" Metal Stud (LF)</t>
  </si>
  <si>
    <t xml:space="preserve">5/8" Gyp Board (SF)</t>
  </si>
  <si>
    <t xml:space="preserve">FRP-1 (SF)</t>
  </si>
  <si>
    <t xml:space="preserve">FRP-2 (SF)</t>
  </si>
  <si>
    <t xml:space="preserve">Durock (SF)</t>
  </si>
  <si>
    <t xml:space="preserve">Demolition (SF)</t>
  </si>
  <si>
    <t xml:space="preserve">Labor (Hrs)</t>
  </si>
  <si>
    <t xml:space="preserve">Bottom track (LF)</t>
  </si>
  <si>
    <t xml:space="preserve">Top / deflection track (LF)</t>
  </si>
  <si>
    <t xml:space="preserve">Faces (side by side)</t>
  </si>
  <si>
    <t xml:space="preserve">Detail sequence</t>
  </si>
  <si>
    <t xml:space="preserve">Status</t>
  </si>
  <si>
    <t xml:space="preserve">Worker</t>
  </si>
  <si>
    <t xml:space="preserve">Registro ids</t>
  </si>
  <si>
    <t xml:space="preserve">Notes</t>
  </si>
  <si>
    <t xml:space="preserve">A1-01</t>
  </si>
  <si>
    <t xml:space="preserve">A1 - 3-5/8" metal stud 362S137-33 @ 16" O.C., 1 layer 5/8" gyp each side to 6" above scheduled ceiling, batt insulation, wall thickness 4 7/8" (3-5/8 + 5/8 + 5/8 = 4.875 OK)</t>
  </si>
  <si>
    <t xml:space="preserve">A02.01 between grid C and B, grid 5-6 (x 1223.9-1519.4 pt, y 967.4-974.8 pt): north wall of CALLING CUBES 122, south of WAITING 104</t>
  </si>
  <si>
    <t xml:space="preserve">S (MW01 pocket, open to structure kn.1 A04.01): 1 layer 5/8" gyp, 9.0 ft (122) / to deck | N (WAITING 104): 1 layer 5/8" gyp, 11.5 ft (104)</t>
  </si>
  <si>
    <t xml:space="preserve">A02.01 tag -&gt; 3/A12.01 (PARTITION TYPE A1 &amp; A5 + schedule row A1) -&gt; 7/S5.20 (362S137-33 @16", header schedule) -&gt; 1F/S5.20 (1 1/2" C.R. channel @ 48") -&gt; 2/S5.20 &amp; 9/S5.20 (head track / dbl jamb at openings) -&gt; A00.30 door schedule -&gt; 10/A12.02 &amp; 11/A12.02 (HM frame head/jamb) -&gt; A04.01 RCP (ceiling per face) -&gt; S2.20 (B.O.D.) -&gt; A11.0x elevations (openings)</t>
  </si>
  <si>
    <t xml:space="preserve">DERIVADO / PENDIENTE</t>
  </si>
  <si>
    <t xml:space="preserve">w1</t>
  </si>
  <si>
    <t xml:space="preserve">TAG-A1-01</t>
  </si>
  <si>
    <t xml:space="preserve">tagged. Geometry: faces y 967.44 / 974.76 pt (lw1.2/0.6) = 7.32 pt = 4.88" = WALL THICKNESS A1 4 7/8" OK; x 1223.88 -&gt; 1519.44 = 295.56 pt / 18 = 16.42 ft [DERIVADO vector]. Height: over MW01 pocket x1223.88-1271.16: zone D-B (hatched) on S2.20 has no B.O.D. tag; provisional 15'-4 1/2" (B.O.D. EL. tag "NO SLOPE" S2.20) -&gt; RFI-w1-01 ; x1271.16-1519.44: zone D-B (hatched) on S2.20 has no B.O.D. tag; provisional 15'-4 1/2" (B.O.D. EL. tag "NO SLOPE" S2.20) -&gt; RFI-w1-01. Openings: none (A11.02/A11.03 elevations show no other openings). North face x1287-1467 sits 3.75" (5.6 pt) behind C1 wall (keynote 7 85" display) -&gt; board on that hidden portion included as Alt A, RFI-w1-05. North face of the MW01-pocket segment: pocket is open to structure (A04.01 keynote 1) -&gt; board to deck.</t>
  </si>
  <si>
    <t xml:space="preserve">A1-02</t>
  </si>
  <si>
    <t xml:space="preserve">A02.01 grid C-B / 5 (x 1271.2-1278.5, y 974.8-1038.4): east side of MW01 pocket, inside CALLING CUBES 122</t>
  </si>
  <si>
    <t xml:space="preserve">W (MW01 pocket, open to structure): 1 layer 5/8" gyp, to deck | E (CALLING CUBES 122): 1 layer 5/8" gyp, 9.0 ft (122)</t>
  </si>
  <si>
    <t xml:space="preserve">TAG-A1-02</t>
  </si>
  <si>
    <t xml:space="preserve">tagged. Geometry: faces x 1271.16 / 1278.48 = 7.32 pt = 4 7/8" OK; y 974.76 -&gt; 1038.36 = 63.60 pt = 3.53 ft [DERIVADO vector]; pocket printed 3'-1 1/2" (A02.01) = 56.25 pt ~ 974.76-1031.04 OK. Height: y974.76-1038.36: zone D-B (hatched) on S2.20 has no B.O.D. tag; provisional 15'-4 1/2" (B.O.D. EL. tag "NO SLOPE" S2.20) -&gt; RFI-w1-01. Openings: none (A11.02/A11.03 elevations show no other openings). MW01 = printer cabinet (A12.03, doors 8'-4" high); blocking for millwork not quantified (other scope).</t>
  </si>
  <si>
    <t xml:space="preserve">A1-03</t>
  </si>
  <si>
    <t xml:space="preserve">A02.01 grid C-B / 5 (x 1223.9-1271.2, y 1031.0-1038.4): south side of MW01 pocket, above MW07</t>
  </si>
  <si>
    <t xml:space="preserve">N (MW01 pocket, open to structure): 1 layer 5/8" gyp, to deck | S (CALLING CUBES 122 / MW07): 1 layer 5/8" gyp, 9.0 ft (122)</t>
  </si>
  <si>
    <t xml:space="preserve">TAG-A1-03</t>
  </si>
  <si>
    <t xml:space="preserve">tagged. Geometry: faces y 1031.04 / 1038.36 = 7.32 pt = 4 7/8" OK; x 1223.88 -&gt; 1271.16 = 47.28 pt = 2.63 ft; printed 2'-7 1/2" (A02.01) = 47.25 pt OK [CONFIRMADO A02.01 "2' - 7 1/2""]. Height: x1223.88-1271.16: zone D-B (hatched) on S2.20 has no B.O.D. tag; provisional 15'-4 1/2" (B.O.D. EL. tag "NO SLOPE" S2.20) -&gt; RFI-w1-01. Openings: none (A11.02/A11.03 elevations show no other openings). </t>
  </si>
  <si>
    <t xml:space="preserve">A5-01</t>
  </si>
  <si>
    <t xml:space="preserve">A5 - 6" metal stud 600S137-33 @ 16" O.C., 1 layer 5/8" gyp each side to 6" above scheduled ceiling, batt insulation, wall thickness 7 1/4" (6 + 5/8 + 5/8 = 7.25 OK)</t>
  </si>
  <si>
    <t xml:space="preserve">A02.01 grid 5, between grid C and B (x 1223.9-1245.2, y 1038.4-1257.5): west wall of CALLING CUBES 122 / east side of corridor; includes door 122</t>
  </si>
  <si>
    <t xml:space="preserve">E (CALLING CUBES 122): 1 layer 5/8" gyp, 9.0 ft (122) | W (corridor, untagged ceiling): 1 layer 5/8" gyp, 9.0 ft (111) / 9.0 ft (corrN)</t>
  </si>
  <si>
    <t xml:space="preserve">A02.01 tag -&gt; 3/A12.01 (PARTITION TYPE A1 &amp; A5 + schedule row A5) -&gt; 7/S5.20 (362S137-33 @16", header schedule) -&gt; 1F/S5.20 (1 1/2" C.R. channel @ 48") -&gt; 2/S5.20 &amp; 9/S5.20 (head track / dbl jamb at openings) -&gt; A00.30 door schedule -&gt; 10/A12.02 &amp; 11/A12.02 (HM frame head/jamb) -&gt; A04.01 RCP (ceiling per face) -&gt; S2.20 (B.O.D.) -&gt; A11.0x elevations (openings)</t>
  </si>
  <si>
    <t xml:space="preserve">TAG-A5-02, TAG-A5-03</t>
  </si>
  <si>
    <t xml:space="preserve">tagged. Geometry: faces x 1223.88 / 1234.80 = 10.92 pt = 7.28" = WALL THICKNESS A5 7 1/4" OK (bottom 27 pt jogs to x1234.80/1245.24); y 1038.36 -&gt; 1257.48 (end cap) = 219.12 pt = 12.17 ft; door 122 opening 1257.48 -&gt; 1313.76 = 56.28 pt = 3.13 ft [DERIVADO vector]. Height: y1038.36-1246.1 (north of grid B): zone D-B (hatched) on S2.20 has no B.O.D. tag; provisional 15'-4 1/2" (B.O.D. EL. tag "NO SLOPE" S2.20) -&gt; RFI-w1-01 ; y1246.1-1257.48: S2.20 B.O.D. EL. 13'-0 5/8" @ grid B, 12'-6 3/8" @ grid A, linear: 156.625 - 6.25*(1252.0-1246.1)/454.4 = 156.54 in. Openings: door 122 (3'-0" x 7'-0", A00.30) RO 37.52 in x 86 in (door height + 2" HM frame head 10/A12.02). Two tags (A5-02, A5-03) dedup to one wall. FEC-1 recess (fire extinguisher cabinet, ~10" wide) in west face: no deduction (cabinet), blocking not quantified.</t>
  </si>
  <si>
    <t xml:space="preserve">A5-02</t>
  </si>
  <si>
    <t xml:space="preserve">A02.01 between grid 5 and 6 near grid 6 (x 1519.4-1530.2, y 967.4-1324.1): east wall of CALLING CUBES 122</t>
  </si>
  <si>
    <t xml:space="preserve">W (CALLING CUBES 122): 1 layer 5/8" gyp, 9.0 ft (122) | E (strip in front of offices 107/108): 1 layer 5/8" gyp, 9.0 ft (strip) / 9.5 ft (cust)</t>
  </si>
  <si>
    <t xml:space="preserve">TAG-A5-01</t>
  </si>
  <si>
    <t xml:space="preserve">tagged. Geometry: faces x 1519.44 / 1530.24 = 10.80 pt = 7.2" = A5 7 1/4" OK; y 967.44 -&gt; 1324.08 = 356.64 pt = 19.81 ft; room 122 printed 19'-0" = 974.76-1316.76 (342 pt) OK. Height: y967.44-1117.6: zone D-B (hatched) on S2.20 has no B.O.D. tag; provisional 15'-4 1/2" (B.O.D. EL. tag "NO SLOPE" S2.20) -&gt; RFI-w1-01 ; y1117.6-1246.1: zone D-B (hatched) on S2.20 has no B.O.D. tag; provisional 15'-4 1/2" (B.O.D. EL. tag "NO SLOPE" S2.20) -&gt; RFI-w1-01 ; y1246.1-1324.08: S2.20 B.O.D. EL. 13'-0 5/8" @ grid B, 12'-6 3/8" @ grid A, linear: 156.625 - 6.25*(1285.0-1246.1)/454.4 = 156.09 in. Openings: none (A11.02/A11.03 elevations show no other openings). </t>
  </si>
  <si>
    <t xml:space="preserve">A1-04</t>
  </si>
  <si>
    <t xml:space="preserve">A02.01 grid B / between 4 and 5 (x 1133.9-1220.4, y 1229.0-1236.4): north end of CORRIDOR 111, west stub + door 111</t>
  </si>
  <si>
    <t xml:space="preserve">S (CORRIDOR 111): 1 layer 5/8" gyp, 9.0 ft (111) | N (corridor, untagged): 1 layer 5/8" gyp, 9.0 ft (corrN)</t>
  </si>
  <si>
    <t xml:space="preserve">TAG-A1-04</t>
  </si>
  <si>
    <t xml:space="preserve">tagged. Geometry: faces y 1229.04 / 1236.36 = 7.32 pt = 4 7/8" OK; stub x 1133.88 (B2 face) -&gt; 1160.40 (end cap) = 26.52 pt = 1.47 ft; door 111 opening 1160.40 -&gt; 1220.40 = 60 pt = 3.33 ft [DERIVADO vector]. Height: x1133.88-1160.40: zone D-B (hatched) on S2.20 has no B.O.D. tag; provisional 15'-4 1/2" (B.O.D. EL. tag "NO SLOPE" S2.20) -&gt; RFI-w1-01. Openings: door 111 (3'-0" x 8'-0", A00.30) RO 40.00 in x 98 in (door height + 2" HM frame head 10/A12.02). Wall sits 13 pt north of grid B -&gt; B.O.D. zone D-B (RFI-w1-01).</t>
  </si>
  <si>
    <t xml:space="preserve">A1-D01</t>
  </si>
  <si>
    <t xml:space="preserve">A02.01 grid B / 5 (x 1220.4-1234.4, y 1229.0-1236.4): stub between door 111 east jamb and A5-01 (untagged -&gt; sheet note A)</t>
  </si>
  <si>
    <t xml:space="preserve">WALL-A1-DEFAULT</t>
  </si>
  <si>
    <t xml:space="preserve">UNTAGGED (sheet note A default A1). Geometry: faces y 1229.04(0.6)/1236.36(1.2) = 7.32 pt = 4 7/8" OK; x 1220.40 -&gt; 1234.44 = 14.04 pt = 0.78 ft [DERIVADO vector]. Height: x1220.40-1234.44: zone D-B (hatched) on S2.20 has no B.O.D. tag; provisional 15'-4 1/2" (B.O.D. EL. tag "NO SLOPE" S2.20) -&gt; RFI-w1-01. Openings: none (A11.02/A11.03 elevations show no other openings). No tag; A02.01 sheet note A: "ALL PARTITIONS TO BE TYPE "A1", UNLESS OTHERWISE NOTED." Thickness 7.32 pt = A1 confirms.</t>
  </si>
  <si>
    <t xml:space="preserve">A1-05</t>
  </si>
  <si>
    <t xml:space="preserve">A02.01 between grid 5 and 6, just south of grid B (x 1234.4-1519.4, y 1316.8-1324.1): south wall of CALLING CUBES 122 / north of BREAK ROOM 118 (MW21)</t>
  </si>
  <si>
    <t xml:space="preserve">N (CALLING CUBES 122): 1 layer 5/8" gyp, 9.0 ft (122) | S (BREAK ROOM 118): 1 layer 5/8" gyp, 9.0 ft (118)</t>
  </si>
  <si>
    <t xml:space="preserve">DERIVADO</t>
  </si>
  <si>
    <t xml:space="preserve">TAG-A1-05</t>
  </si>
  <si>
    <t xml:space="preserve">tagged. Geometry: faces y 1316.76 / 1324.08 = 7.32 pt = 4 7/8" OK; x 1234.44 -&gt; 1519.44 = 285.0 pt = 15.83 ft; room 122 printed 15'-9 3/4" = 1234.80-1519.44 (284.64 pt = 15.81 ft) OK. Height: x1234.44-1519.44: S2.20 B.O.D. EL. 13'-0 5/8" @ grid B, 12'-6 3/8" @ grid A, linear: 156.625 - 6.25*(1320.4-1246.1)/454.4 = 155.60 in. Openings: none (A11.02/A11.03 elevations show no other openings). MW21 millwork on south face (blocking by others).</t>
  </si>
  <si>
    <t xml:space="preserve">A1-06</t>
  </si>
  <si>
    <t xml:space="preserve">A02.01 grid 6, south of grid B (x 1522.9-1553.6, y 1324.1-1362.6): L-stub below A5-02 between BREAK ROOM 118 and customer area; includes door 118A band</t>
  </si>
  <si>
    <t xml:space="preserve">side 1 (BREAK ROOM 118): 1 layer 5/8" gyp, 9.0 ft (118) | side 2 (customer area): 1 layer 5/8" gyp, 9.5 ft (cust)</t>
  </si>
  <si>
    <t xml:space="preserve">TAG-A1-06, TAG-A1-07</t>
  </si>
  <si>
    <t xml:space="preserve">tagged. Geometry: vertical faces x 1522.92 / 1530.24 = 7.32 pt, y 1324.08 -&gt; 1362.60 = 38.52 pt; horizontal faces y 1355.28 / 1362.60 = 7.32 pt, x 1530.24 -&gt; 1553.64 (end cap) = 23.40 pt; total 61.92 pt = 3.44 ft; door 118A opening 1553.64 -&gt; 1613.64 = 60 pt = 3.33 ft. Height: vertical y1324.08-1362.60: S2.20 B.O.D. EL. 13'-0 5/8" @ grid B, 12'-6 3/8" @ grid A, linear: 156.625 - 6.25*(1343.0-1246.1)/454.4 = 155.29 in ; horizontal x1530.24-1553.64: S2.20 B.O.D. EL. 13'-0 5/8" @ grid B, 12'-6 3/8" @ grid A, linear: 156.625 - 6.25*(1359.0-1246.1)/454.4 = 155.07 in. Openings: door 118A (3'-0" x 8'-0", A00.30) RO 40.00 in x 98 in (door height + 2" HM frame head 10/A12.02). Two tags (A1-06, A1-07) point to the same L-stub (dedup). Band above door 118A assigned here as A1 (RFI-w1-07: could be A1K, the other jamb is A1K-02).</t>
  </si>
  <si>
    <t xml:space="preserve">A1-07</t>
  </si>
  <si>
    <t xml:space="preserve">A02.01 grid 5, between grid B and A (x 1234.4-1241.8, y 1386.4-1693.4): west wall of ELECTRICAL 120 and NER 121 / east side of CORRIDOR 111; includes door 118B band</t>
  </si>
  <si>
    <t xml:space="preserve">W (CORRIDOR 111): 1 layer 5/8" gyp, 9.0 ft (111) | E (BREAK ROOM 118 / FEC-2 alcove): 1 layer 5/8" gyp, 9.0 ft (118) / to deck</t>
  </si>
  <si>
    <t xml:space="preserve">TAG-A1-08, TAG-A1-10</t>
  </si>
  <si>
    <t xml:space="preserve">tagged. Geometry: faces x 1234.44 / 1241.76 = 7.32 pt = 4 7/8" OK; y 1386.36 (end cap) -&gt; 1693.44 (exterior wall inner face) = 307.08 pt = 17.06 ft; door 118B opening 1332.0 -&gt; 1386.36 = 54.36 pt = 3.02 ft. Height: y1386.36-1438.80: S2.20 B.O.D. EL. 13'-0 5/8" @ grid B, 12'-6 3/8" @ grid A, linear: 156.625 - 6.25*(1412.0-1246.1)/454.4 = 154.34 in ; y1438.80-1693.44: S2.20 B.O.D. EL. 13'-0 5/8" @ grid B, 12'-6 3/8" @ grid A, linear: 156.625 - 6.25*(1566.0-1246.1)/454.4 = 152.22 in. Openings: door 118B (3'-0" x 7'-0", A00.30) RO 36.24 in x 86 in (door height + 2" HM frame head 10/A12.02). Tags A1-08 and A1-10 are on the same continuous wall (dedup). Key note 6 (3/4" FRT backboard) on the electrical/NER face: FRT plywood not in my scope (blocking/backboard) -&gt; fronteras.</t>
  </si>
  <si>
    <t xml:space="preserve">A1-08</t>
  </si>
  <si>
    <t xml:space="preserve">A02.01 between grid 7 and 8, south of grid B (x 1633.1-1780.1, y 1488.1-1495.4): north wall of WORK ROOM 119 / south of CASH WINDOW 116 (MW12)</t>
  </si>
  <si>
    <t xml:space="preserve">N (CASH WINDOW 116): 1 layer 5/8" gyp, 9.5 ft (116) | S (WORK ROOM 119): 1 layer 5/8" gyp, 9.0 ft (119)</t>
  </si>
  <si>
    <t xml:space="preserve">TAG-A1-09</t>
  </si>
  <si>
    <t xml:space="preserve">tagged. Geometry: faces y 1488.12 / 1495.44 = 7.32 pt = 4 7/8" OK; x 1633.08 (B2 face) -&gt; 1780.08 (end cap) = 147.0 pt = 8.17 ft [DERIVADO vector]. Height: x1633.08-1780.08: S2.20 B.O.D. EL. 13'-0 5/8" @ grid B, 12'-6 3/8" @ grid A, linear: 156.625 - 6.25*(1491.8-1246.1)/454.4 = 153.25 in. Openings: none (A11.02/A11.03 elevations show no other openings). MW12 millwork on south face (blocking by others).</t>
  </si>
  <si>
    <t xml:space="preserve">A5-03</t>
  </si>
  <si>
    <t xml:space="preserve">A02.01 grid 7, south of grid B (x 1622.2-1633.1, y 1362.6-1422.1): between BREAK ROOM 118 and FUTURE FCAM / CASH WINDOW 116; includes door 116 band</t>
  </si>
  <si>
    <t xml:space="preserve">W (BREAK ROOM 118): 1 layer 5/8" gyp, 9.0 ft (118) | E (FUTURE FCAM / CASH WINDOW 116): 1 layer 5/8" gyp, 9.5 ft (cust)</t>
  </si>
  <si>
    <t xml:space="preserve">TAG-A5-04</t>
  </si>
  <si>
    <t xml:space="preserve">tagged. Geometry: faces x 1622.16 / 1633.08 = 10.92 pt = 7.28" = A5 7 1/4" OK; y 1362.60 -&gt; 1422.12 (end cap) = 59.52 pt = 3.31 ft; door 116 opening 1422.12 -&gt; 1482.12 = 60 pt = 3.33 ft. Height: y1362.60-1422.12: S2.20 B.O.D. EL. 13'-0 5/8" @ grid B, 12'-6 3/8" @ grid A, linear: 156.625 - 6.25*(1392.0-1246.1)/454.4 = 154.62 in. Openings: door 116 (3'-0" x 7'-0", A00.30) RO 40.00 in x 86 in (door height + 2" HM frame head 10/A12.02). Band above door 116 assigned here (A5); the other jamb is a B2 wall (other worker) -&gt; RFI-w1-07 / fronteras.</t>
  </si>
  <si>
    <t xml:space="preserve">A1K-01</t>
  </si>
  <si>
    <t xml:space="preserve">A1K - 3-5/8" 14 GA metal stud @ 24" O.C. max, 5/8" gyp each side to underside of structure; customer side: 3/8" UL752 level-2 fiberglass (NIJ II) to 8'-0" + 3/8" gyp 8'-0" to structure, under the 5/8" gyp; appropriate metal trim and casing beads; wall thickness 5 1/4" (3-5/8 + 5/8 + 5/8 + 3/8 = 5.25 OK)</t>
  </si>
  <si>
    <t xml:space="preserve">A02.01 grid 7, between grid C and B (x 1654.0-1715.4, y 1120.7-1128.5): north wall of teller line (CSR), south of office 108 G wall</t>
  </si>
  <si>
    <t xml:space="preserve">teller side: 1 layer 5/8" gyp to underside of structure (184.50 in) | customer side: 3/8" UL752 fiberglass 0-8'-0" + 3/8" gyp 8'-0" to structure, 1 layer 5/8" gyp over, to structure</t>
  </si>
  <si>
    <t xml:space="preserve">A02.01 tag -&gt; 4/A12.01 (PARTITION TYPE A1K &amp; A5K + schedule row A1K + WALL CONSTRUCTION SHALL INCLUDE) -&gt; 7/S5.20 (362S137-33 @16", header schedule) -&gt; 1F/S5.20 (1 1/2" C.R. channel @ 48") -&gt; 2/S5.20 &amp; 9/S5.20 (head track / dbl jamb at openings) -&gt; A00.30 door schedule -&gt; 10/A12.02 &amp; 11/A12.02 (HM frame head/jamb) -&gt; A04.01 RCP (ceiling per face) -&gt; S2.20 (B.O.D.) -&gt; A11.0x elevations (openings)</t>
  </si>
  <si>
    <t xml:space="preserve">TAG-A1K-01</t>
  </si>
  <si>
    <t xml:space="preserve">tagged. Geometry: faces y 1120.68 / 1128.48 = 7.80 pt = 5.20" ~ WALL THICKNESS A1K 5 1/4" (7.875 pt) OK; x 1653.96 -&gt; 1715.40 = 61.44 pt = 3.41 ft = printed 3'-5" [CONFIRMADO A02.01 "3' - 5""]. Height: x1653.96-1715.40: zone D-B (hatched) on S2.20 has no B.O.D. tag; provisional 15'-4 1/2" (B.O.D. EL. tag "NO SLOPE" S2.20) -&gt; RFI-w1-01. Openings: none (A11.02/A11.03 elevations show no other openings). Teller side = south. North face is 4.9 pt (3.3") from office 108 G wall face (concealed); ballistic side assumed north (non-teller) -&gt; RFI-w1-04. Zone D-B B.O.D. -&gt; RFI-w1-01.</t>
  </si>
  <si>
    <t xml:space="preserve">A1K-02</t>
  </si>
  <si>
    <t xml:space="preserve">A02.01 grid 7, south of grid B (east seg x 1654.0-1715.4 y 1344.7-1352.6; west seg x 1613.6-1654.0 y 1355.3-1363.1): south wall of teller line, north of FUTURE FCAM / door 118A</t>
  </si>
  <si>
    <t xml:space="preserve">teller side: 1 layer 5/8" gyp to underside of structure (155.21 in) | customer side: 3/8" UL752 fiberglass 0-8'-0" + 3/8" gyp 8'-0" to structure, 1 layer 5/8" gyp over, to structure</t>
  </si>
  <si>
    <t xml:space="preserve">TAG-A1K-02, TAG-A1K-03</t>
  </si>
  <si>
    <t xml:space="preserve">tagged. Geometry: east seg faces y 1344.72 / 1352.64 = 7.92 pt = 5.28" OK; west seg faces y 1355.28 / 1363.08 = 7.80 pt OK; lengths 61.44 + 40.32 = 101.76 pt = 5.65 ft [DERIVADO vector]. Height: east x1653.96-1715.40: S2.20 B.O.D. EL. 13'-0 5/8" @ grid B, 12'-6 3/8" @ grid A, linear: 156.625 - 6.25*(1348.7-1246.1)/454.4 = 155.21 in ; west x1613.64-1653.96: S2.20 B.O.D. EL. 13'-0 5/8" @ grid B, 12'-6 3/8" @ grid A, linear: 156.625 - 6.25*(1359.2-1246.1)/454.4 = 155.07 in. Openings: none (A11.02/A11.03 elevations show no other openings). Tags A1K-02/A1K-03 dedup to one wall with a jog. South face of east segment is directly against C1 counter wall (concealed) -&gt; RFI-w1-04.</t>
  </si>
  <si>
    <t xml:space="preserve">B-01</t>
  </si>
  <si>
    <t xml:space="preserve">B - 3-5/8" metal stud 362S137-33 @ 16" O.C., 1 layer 5/8" gyp each side to underside of structure, batt insulation, cont. acoustical sealant top and bottom both sides, wall thickness 4 7/8" (3-5/8 + 5/8 + 5/8 = 4.875 OK)</t>
  </si>
  <si>
    <t xml:space="preserve">A02.01 grid 5-6, between grid B and A (x 1241.8-1421.5, y 1438.8-1446.1): north wall of ELECTRICAL 120 / south of FEC-2 alcove (BREAK ROOM 118)</t>
  </si>
  <si>
    <t xml:space="preserve">S (ELECTRICAL 120): 1 layer 5/8" gyp, to deck | N (FEC-2 alcove / BREAK ROOM 118): 1 layer 5/8" gyp, to deck</t>
  </si>
  <si>
    <t xml:space="preserve">A02.01 tag -&gt; 1/A12.01 (PARTITION TYPE B, B2 + schedule row B) -&gt; 7/S5.20 (362S137-33 @16", header schedule) -&gt; 1F/S5.20 (1 1/2" C.R. channel @ 48") -&gt; 2/S5.20 &amp; 9/S5.20 (head track / dbl jamb at openings) -&gt; A00.30 door schedule -&gt; 10/A12.02 &amp; 11/A12.02 (HM frame head/jamb) -&gt; A04.01 RCP (ceiling per face) -&gt; S2.20 (B.O.D.) -&gt; A11.0x elevations (openings)</t>
  </si>
  <si>
    <t xml:space="preserve">TAG-B-02</t>
  </si>
  <si>
    <t xml:space="preserve">tagged. Geometry: faces y 1438.80 / 1446.12 = 7.32 pt = 4 7/8" = B OK; x 1241.76 -&gt; 1421.52 = 179.76 pt = 9.99 ft; room printed 9'-7" = 1241.76-1414.20 (172.44 pt = 9.58 ft) OK. Height: x1241.76-1421.52: S2.20 B.O.D. EL. 13'-0 5/8" @ grid B, 12'-6 3/8" @ grid A, linear: 156.625 - 6.25*(1442.5-1246.1)/454.4 = 153.92 in. Openings: none (A11.02/A11.03 elevations show no other openings). FEC-2 cabinet on north face (x~1290-1343): no deduction.</t>
  </si>
  <si>
    <t xml:space="preserve">B-02</t>
  </si>
  <si>
    <t xml:space="preserve">A02.01 grid 5-6, between grid B and A (x 1241.8-1414.2, y 1551.1-1558.4): between ELECTRICAL 120 and NER 121</t>
  </si>
  <si>
    <t xml:space="preserve">N (ELECTRICAL 120): 1 layer 5/8" gyp, to deck | S (NER 121): 1 layer 5/8" gyp, to deck</t>
  </si>
  <si>
    <t xml:space="preserve">TAG-B-07</t>
  </si>
  <si>
    <t xml:space="preserve">tagged. Geometry: faces y 1551.12 / 1558.44 = 7.32 pt = 4 7/8" OK; x 1241.76 -&gt; 1414.20 = 172.44 pt = 9.58 ft (= printed 9'-7"). Height: x1241.76-1414.20: S2.20 B.O.D. EL. 13'-0 5/8" @ grid B, 12'-6 3/8" @ grid A, linear: 156.625 - 6.25*(1554.8-1246.1)/454.4 = 152.38 in. Openings: none (A11.02/A11.03 elevations show no other openings). </t>
  </si>
  <si>
    <t xml:space="preserve">B-03</t>
  </si>
  <si>
    <t xml:space="preserve">A02.01 grid 6 side, between grid B and A (x 1414.2-1421.5, y 1446.1-1693.4): east wall of ELECTRICAL 120 and NER 121 / west of BREAK ROOM 118, with doors 120 and 121</t>
  </si>
  <si>
    <t xml:space="preserve">W (ELECTRICAL 120): 1 layer 5/8" gyp, to deck | E (BREAK ROOM 118): 1 layer 5/8" gyp, to deck</t>
  </si>
  <si>
    <t xml:space="preserve">TAG-B-08</t>
  </si>
  <si>
    <t xml:space="preserve">tagged. Geometry: faces x 1414.20 / 1421.52 = 7.32 pt = 4 7/8" OK; solid 1446.12-1468.68 (22.56) + 1528.68-1596.00 (67.32) + 1656.00-1693.44 (37.44) = 127.32 pt = 7.07 ft; doors 120 (1468.68-1528.68) and 121 (1596.00-1656.00) = 60 pt each. Height: y1446.12-1468.68 (no tag, continuity): S2.20 B.O.D. EL. 13'-0 5/8" @ grid B, 12'-6 3/8" @ grid A, linear: 156.625 - 6.25*(1457.0-1246.1)/454.4 = 153.72 in ; y1528.68-1596.00 (tag B-08): S2.20 B.O.D. EL. 13'-0 5/8" @ grid B, 12'-6 3/8" @ grid A, linear: 156.625 - 6.25*(1562.0-1246.1)/454.4 = 152.28 in ; y1656.00-1693.44 (no tag, continuity): S2.20 B.O.D. EL. 13'-0 5/8" @ grid B, 12'-6 3/8" @ grid A, linear: 156.625 - 6.25*(1675.0-1246.1)/454.4 = 150.73 in. Openings: door 120 (3'-0" x 7'-0", A00.30) RO 40.00 in x 86 in (door height + 2" HM frame head 10/A12.02), door 121 (3'-0" x 7'-0", A00.30) RO 40.00 in x 86 in (door height + 2" HM frame head 10/A12.02). End segments have no tag of their own: taken as B by continuity of the same wall line (RFI-w1-06, alt A1 by note A).</t>
  </si>
  <si>
    <t xml:space="preserve">B-04</t>
  </si>
  <si>
    <t xml:space="preserve">A02.01 grid 2-4, between grid B and A (x 911.9-1123.1, y 1508.5-1515.8): north wall of JANITOR CLOSET 112 and STORAGE 117 / south of MEN'S RESTROOM 113, with door 112</t>
  </si>
  <si>
    <t xml:space="preserve">S (JANITOR CLOSET 112, open to structure): 1 layer 5/8" gyp, to deck | N (MEN'S RESTROOM 113): 1 layer 5/8" gyp, to deck</t>
  </si>
  <si>
    <t xml:space="preserve">TAG-B-03</t>
  </si>
  <si>
    <t xml:space="preserve">tagged. Geometry: faces y 1508.52 / 1515.84 = 7.32 pt = 4 7/8" OK; west seg 911.88-981.72 (69.84 pt, no tag) + east seg 1041.72-1123.08 (81.36 pt, tag B-03) = 151.20 pt = 8.40 ft; door 112 opening 981.72-1041.72 = 60 pt. Height: west x911.88-981.72 (no tag, continuity): S2.20 B.O.D. EL. 13'-0 5/8" @ grid B, 12'-6 3/8" @ grid A, linear: 156.625 - 6.25*(1512.0-1246.1)/454.4 = 152.97 in ; east x1041.72-1123.08 (tag B-03): S2.20 B.O.D. EL. 13'-0 5/8" @ grid B, 12'-6 3/8" @ grid A, linear: 156.625 - 6.25*(1512.0-1246.1)/454.4 = 152.97 in. Openings: door 112 (3'-0" x 7'-0", A00.30) RO 40.00 in x 86 in (door height + 2" HM frame head 10/A12.02). JANITOR CLOSET label on A02.01 sits below the wall with a leader into this room; A04.01 confirms room 112 = y1515-1580 with keynote 1 (open to structure). West segment continuity -&gt; RFI-w1-06.</t>
  </si>
  <si>
    <t xml:space="preserve">B-05</t>
  </si>
  <si>
    <t xml:space="preserve">A02.01 grid 3-4, between grid B and A (x 1064.9-1072.2, y 1515.8-1578.8): between JANITOR CLOSET 112 (MW06A) and STORAGE 117 (MW05)</t>
  </si>
  <si>
    <t xml:space="preserve">W (JANITOR CLOSET 112): 1 layer 5/8" gyp, to deck | E (STORAGE 117): 1 layer 5/8" gyp, to deck</t>
  </si>
  <si>
    <t xml:space="preserve">TAG-B-04</t>
  </si>
  <si>
    <t xml:space="preserve">tagged. Geometry: faces x 1064.88 / 1072.20 = 7.32 pt OK; y 1515.84 -&gt; 1578.84 = 63.0 pt = 3.50 ft. Height: y1515.84-1578.84: S2.20 B.O.D. EL. 13'-0 5/8" @ grid B, 12'-6 3/8" @ grid A, linear: 156.625 - 6.25*(1547.0-1246.1)/454.4 = 152.49 in. Openings: none (A11.02/A11.03 elevations show no other openings). </t>
  </si>
  <si>
    <t xml:space="preserve">B-06</t>
  </si>
  <si>
    <t xml:space="preserve">A02.01 grid 2-4, between grid B and A (x 911.9-1123.1, y 1578.8-1586.2): south wall of JANITOR CLOSET 112 and STORAGE 117 / north of WELLNESS 115</t>
  </si>
  <si>
    <t xml:space="preserve">N (JANITOR 112 / STORAGE 117): 1 layer 5/8" gyp, to deck | S (WELLNESS 115): 1 layer 5/8" gyp, to deck</t>
  </si>
  <si>
    <t xml:space="preserve">TAG-B-06, TAG-B-09</t>
  </si>
  <si>
    <t xml:space="preserve">tagged. Geometry: faces y 1578.84 / 1586.16 = 7.32 pt OK; x 911.88 -&gt; 1123.08 = 211.2 pt = 11.73 ft. Height: x911.88-1123.08: S2.20 B.O.D. EL. 13'-0 5/8" @ grid B, 12'-6 3/8" @ grid A, linear: 156.625 - 6.25*(1582.5-1246.1)/454.4 = 152.00 in. Openings: none (A11.02/A11.03 elevations show no other openings). Tags B-06 and B-09 on the same wall (dedup). Small recess x1042-1060 on south face (no deduction).</t>
  </si>
  <si>
    <t xml:space="preserve">B2-01</t>
  </si>
  <si>
    <t xml:space="preserve">B2 | 6" metal stud 600S137-33 (20ga) @ 16" O.C., 1 layer 5/8" gyp each face to underside of structure, batt insulation, cont. slip track, cont. acoustical sealant | schedule 1/A12.01 B2: STUD SIZE 6", GYPSUM BOARD 5/8", WALL THICKNESS 7 1/4" -&gt; 6 + 5/8 + 5/8 = 7 1/4" (closes)</t>
  </si>
  <si>
    <t xml:space="preserve">A02.01 east wall of ATM ROOM 102 between column enclosure (C1-04) and door 102 jamb, grid 4 / E (band x=1123.08-1133.88 pt)</t>
  </si>
  <si>
    <t xml:space="preserve">side 1 (ATM ROOM 102 (west)): 1 layer 5/8" gyp to deck 15.38 ft | side 2 (CENTRAL ZONE 103 (east)): 1 layer 5/8" gyp to deck 15.38 ft</t>
  </si>
  <si>
    <t xml:space="preserve">A02.01 tag B2 -&gt; 1/A12.01 (PARTITION TYPE B, B2 + schedule) -&gt; S5.20 7 (stud/track properties) -&gt; S5.20 2/9 (head track/openings) -&gt; S5.20 1-F (bridging)</t>
  </si>
  <si>
    <t xml:space="preserve">w2</t>
  </si>
  <si>
    <t xml:space="preserve">TAG-B2-01</t>
  </si>
  <si>
    <t xml:space="preserve">Studs: 6" per schedule (6 + 5/8 + 5/8 = 7 1/4" closes; measured 7.20 in). Gauge not named on A12.01 -&gt; 33 mil per S5.20 600S137-33 [DERIVADO]. Top track: 1/A12.01 'CONTINUOUS SLIP TRACK'; S5.20 7 lists 600T200-97 as TOP TRACK. Height: board and studs to underside of structure per 1/A12.01.</t>
  </si>
  <si>
    <t xml:space="preserve">B2-02</t>
  </si>
  <si>
    <t xml:space="preserve">A02.01 corridor 111 west wall between door 114 jamb and women's restroom lav alcove, grid 4 / B (x=1123.08-1133.88)</t>
  </si>
  <si>
    <t xml:space="preserve">side 1 (WOMEN'S RESTROOM 114 alcove (west)): 1 layer 5/8" gyp to deck 12.97 ft | side 2 (CORRIDOR 111 (east)): 1 layer 5/8" gyp to deck 12.97 ft</t>
  </si>
  <si>
    <t xml:space="preserve">TAG-B2-02</t>
  </si>
  <si>
    <t xml:space="preserve">Studs: 6" per schedule (6 + 5/8 + 5/8 = 7 1/4" closes; measured 7.20 in). Gauge not named on A12.01 -&gt; 33 mil per S5.20 600S137-33 [DERIVADO]. Top track: 1/A12.01 'CONTINUOUS SLIP TRACK'; S5.20 7 lists 600T200-97 as TOP TRACK. Height: board and studs to underside of structure per 1/A12.01. | LEADER R3: stud LF rescaled to the high end of the sloped zone (13.052 ft instead of 12.97 ft).</t>
  </si>
  <si>
    <t xml:space="preserve">B2-03</t>
  </si>
  <si>
    <t xml:space="preserve">A02.01 corridor 111 west wall between men's restroom lav alcove and door 113 jamb, grid 4 / B-A</t>
  </si>
  <si>
    <t xml:space="preserve">side 1 (MEN'S RESTROOM 113 (west)): 1 layer 5/8" gyp to deck 12.85 ft | side 2 (CORRIDOR 111 (east)): 1 layer 5/8" gyp to deck 12.85 ft</t>
  </si>
  <si>
    <t xml:space="preserve">TAG-B2-03</t>
  </si>
  <si>
    <t xml:space="preserve">Studs: 6" per schedule (6 + 5/8 + 5/8 = 7 1/4" closes; measured 7.20 in). Gauge not named on A12.01 -&gt; 33 mil per S5.20 600S137-33 [DERIVADO]. Top track: 1/A12.01 'CONTINUOUS SLIP TRACK'; S5.20 7 lists 600T200-97 as TOP TRACK. Height: board and studs to underside of structure per 1/A12.01. | LEADER R3: stud LF rescaled to the high end of the sloped zone (13.052 ft instead of 12.85 ft).</t>
  </si>
  <si>
    <t xml:space="preserve">B2-07</t>
  </si>
  <si>
    <t xml:space="preserve">A02.01 corridor west wall stub between door 113 and door 117 (same B2 line as TAG-B2-03, untagged stub, thickness 10.80 pt = 7.20" = B2)</t>
  </si>
  <si>
    <t xml:space="preserve">side 1 (MEN'S RR 113 / STORAGE 117 (west)): 1 layer 5/8" gyp to deck 12.75 ft | side 2 (CORRIDOR (east)): 1 layer 5/8" gyp to deck 12.75 ft</t>
  </si>
  <si>
    <t xml:space="preserve">Studs: 6" per schedule (6 + 5/8 + 5/8 = 7 1/4" closes; measured 7.20 in). Gauge not named on A12.01 -&gt; 33 mil per S5.20 600S137-33 [DERIVADO]. Top track: 1/A12.01 'CONTINUOUS SLIP TRACK'; S5.20 7 lists 600T200-97 as TOP TRACK. Height: board and studs to underside of structure per 1/A12.01. | LEADER R3: stud LF rescaled to the high end of the sloped zone (13.052 ft instead of 12.75 ft).</t>
  </si>
  <si>
    <t xml:space="preserve">B2-05</t>
  </si>
  <si>
    <t xml:space="preserve">A02.01 corridor west wall between door 117 and door 115 (storage 117 / wellness 115), grid 4 / B-A</t>
  </si>
  <si>
    <t xml:space="preserve">side 1 (STORAGE 117 + WELLNESS 115 (west)): 1 layer 5/8" gyp to deck 12.64 ft | side 2 (CORRIDOR (east)): 1 layer 5/8" gyp to deck 12.64 ft</t>
  </si>
  <si>
    <t xml:space="preserve">TAG-B2-05</t>
  </si>
  <si>
    <t xml:space="preserve">Studs: 6" per schedule (6 + 5/8 + 5/8 = 7 1/4" closes; measured 7.20 in). Gauge not named on A12.01 -&gt; 33 mil per S5.20 600S137-33 [DERIVADO]. Top track: 1/A12.01 'CONTINUOUS SLIP TRACK'; S5.20 7 lists 600T200-97 as TOP TRACK. Height: board and studs to underside of structure per 1/A12.01. | LEADER R3: stud LF rescaled to the high end of the sloped zone (13.052 ft instead of 12.64 ft).</t>
  </si>
  <si>
    <t xml:space="preserve">B2-08</t>
  </si>
  <si>
    <t xml:space="preserve">A02.01 corridor west wall stub between door 115 jamb and south exterior wall (same B2 line, untagged)</t>
  </si>
  <si>
    <t xml:space="preserve">side 1 (WELLNESS 115 (west)): 1 layer 5/8" gyp to deck 12.54 ft | side 2 (CORRIDOR / vestibule at door 123 (east)): 1 layer 5/8" gyp to deck 12.54 ft</t>
  </si>
  <si>
    <t xml:space="preserve">Studs: 6" per schedule (6 + 5/8 + 5/8 = 7 1/4" closes; measured 7.20 in). Gauge not named on A12.01 -&gt; 33 mil per S5.20 600S137-33 [DERIVADO]. Top track: 1/A12.01 'CONTINUOUS SLIP TRACK'; S5.20 7 lists 600T200-97 as TOP TRACK. Height: board and studs to underside of structure per 1/A12.01. | LEADER R3: stud LF rescaled to the high end of the sloped zone (13.052 ft instead of 12.54 ft).</t>
  </si>
  <si>
    <t xml:space="preserve">B2-04</t>
  </si>
  <si>
    <t xml:space="preserve">A02.01 wall between BREAK ROOM 118 (west) and WORK ROOM 119 (east), from door 116 jamb (end cap y=1482.12) to south exterior wall (y=1693.44), grid 7 / B-A. Two tags (B2-04 at y=1493, B2-06 at y=1622) on the SAME band -&gt; one wall (dedup)</t>
  </si>
  <si>
    <t xml:space="preserve">side 1 (BREAK ROOM 118 (west)): 1 layer 5/8" gyp to deck 12.66 ft | side 2 (WORK ROOM 119 (east)): 1 layer 5/8" gyp to deck 12.66 ft</t>
  </si>
  <si>
    <t xml:space="preserve">TAG-B2-04, TAG-B2-06</t>
  </si>
  <si>
    <t xml:space="preserve">Studs: 6" per schedule (6 + 5/8 + 5/8 = 7 1/4" closes; measured 7.28 in). Gauge not named on A12.01 -&gt; 33 mil per S5.20 600S137-33 [DERIVADO]. Top track: 1/A12.01 'CONTINUOUS SLIP TRACK'; S5.20 7 lists 600T200-97 as TOP TRACK. Height: board and studs to underside of structure per 1/A12.01. | LEADER R3: stud LF rescaled to the high end of the sloped zone (13.052 ft instead of 12.66 ft).</t>
  </si>
  <si>
    <t xml:space="preserve">B2K-01</t>
  </si>
  <si>
    <t xml:space="preserve">B2K | 6" metal stud 14ga (68 mil) @ 24" O.C. max, 5/8" gyp teller side, 3/8" UL752 fiberglass to 8'-0" + 3/8" gyp above + 5/8" gyp customer side, batt insulation | B2K DERIVED: (a) layer arithmetic 6" stud + 5/8" gyp (teller side) + 3/8" UL752 fiberglass + 5/8" gyp (customer side) = 7 5/8"; (b) K-family delta A1K-A1 = 5 1/4" - 4 7/8" = 3/8" and A5K-A5 = 7 5/8" - 7 1/4" = 3/8" -&gt; B2K = B2 7 1/4" + 3/8" = 7 5/8"; (c) measured band y=1106.52/1118.04 = 11.52 pt / 1.5 = 7.68 in ~ 7 5/8" (7.625 in, diff 0.05 in). Three checks close -&gt; [DERIVADO]</t>
  </si>
  <si>
    <t xml:space="preserve">A02.01 short kevlar-hatched wall at SW corner of CASH WINDOW 116 / south of OFFICE 108 front, grid 7 / C-B.2 (band y=1106.52-1118.04, x=1622.04-1653.96); continues east as A1K (w1) and G-08</t>
  </si>
  <si>
    <t xml:space="preserve">teller side (CASH WINDOW 116 / south): 1 layer 5/8" to deck | customer side (OFFICE 108 / north - side assignment PENDIENTE, RFI-w2-04): 3/8" fiberglass to 8'-0" + 3/8" gyp 8'-0" to deck + 5/8" gyp to deck</t>
  </si>
  <si>
    <t xml:space="preserve">A02.01 tag B2K -&gt; (no schedule row) -&gt; 1/A12.01 (B2 row) + 4/A12.01 (K family WALL CONSTRUCTION SHALL INCLUDE) -&gt; S5.20 7</t>
  </si>
  <si>
    <t xml:space="preserve">TAG-B2K-01</t>
  </si>
  <si>
    <t xml:space="preserve">Studs 14 GA @ 24" O.C. from 4/A12.01 note (manda sobre schedule). Casing bead at fiberglass edges per 4/A12.01 'APPROPRIATE METAL TRIM AND CASING BEADS': see material row.</t>
  </si>
  <si>
    <t xml:space="preserve">G-01</t>
  </si>
  <si>
    <t xml:space="preserve">G | double row 1-5/8" metal stud 162S125-33 (20ga) @ 16" O.C. each row, SOUNDGUARD isolator by Marinoware between rows, 2 layers 5/8" gyp each face to underside of deck, batt insulation | schedule 5/A12.01 G: STUD 1 5/8", GYP 5/8", WALL THICKNESS 6 1/8" -&gt; 2 rows x 1 5/8 = 3 1/4" + 2 layers x 5/8 x 2 faces = 2 1/2" = 5 3/4" + 3/8" gap at SOUNDGUARD isolator = 6 1/8" (closes); measured band 9.24 pt / 1.5 = 6.16 in</t>
  </si>
  <si>
    <t xml:space="preserve">A02.01 east office front line (grid 7), solid segment between OFFICE 105 opening and OFFICE 106 opening incl. 4" return (516.00-522.00) and the G1-01 junction</t>
  </si>
  <si>
    <t xml:space="preserve">side 1 (CENTRAL ZONE 103 (west)): 2 layers 5/8" to deck 15.375 ft | side 2 (OFFICES 105/106 (east)): 2 layers 5/8" to deck 15.375 ft</t>
  </si>
  <si>
    <t xml:space="preserve">A02.01 tag G -&gt; 5/A12.01 (PARTITION G + schedule) -&gt; 8/A12.01 + 9/A12.01 + 10/A12.01 (2 LAYERS 5/8" TO UNDERSIDE OF DECK, METAL STUDS ATTACH TO STRUCTURE ABOVE, SOUNDGUARD ISOLATOR) -&gt; S5.20 7 -&gt; S5.20 1-F</t>
  </si>
  <si>
    <t xml:space="preserve">TAG-G-01</t>
  </si>
  <si>
    <t xml:space="preserve">Two tracks top + two bottom (one per row), two rows of studs. Stud O.C. not printed on A12.01 -&gt; 16" per S5.20 7 'INTERIOR WALLS @ 16" O.C.' [DERIVADO]. 1-5/8" studs spanning 15.38 ft to deck is beyond typical limiting heights -&gt; RFI-w2-07. Isolator count PENDIENTE (RFI-w2-02).</t>
  </si>
  <si>
    <t xml:space="preserve">G-10</t>
  </si>
  <si>
    <t xml:space="preserve">A02.01 east office front line (grid 7), north solid segment of OFFICE 105 front between north exterior wall (y=337.44) and office front opening (y=381.00); untagged, same band/thickness as TAG-G-01 front run</t>
  </si>
  <si>
    <t xml:space="preserve">side 1 (CENTRAL ZONE 103 (west)): 2 layers 5/8" to deck 15.375 ft | side 2 (OFFICE 105 (east)): 2 layers 5/8" to deck 15.375 ft</t>
  </si>
  <si>
    <t xml:space="preserve">G-03</t>
  </si>
  <si>
    <t xml:space="preserve">A02.01 east office front line (grid 7), solid segment between OFFICE 106 and OFFICE 107 openings incl. G-02 junction</t>
  </si>
  <si>
    <t xml:space="preserve">side 1 (CENTRAL ZONE 103 (west)): 2 layers 5/8" to deck 15.375 ft | side 2 (OFFICES 106/107 (east)): 2 layers 5/8" to deck 15.375 ft</t>
  </si>
  <si>
    <t xml:space="preserve">TAG-G-03</t>
  </si>
  <si>
    <t xml:space="preserve">G-06</t>
  </si>
  <si>
    <t xml:space="preserve">A02.01 east office front line (grid 7), solid segment between OFFICE 107 and OFFICE 108 openings incl. G-05 junction</t>
  </si>
  <si>
    <t xml:space="preserve">side 1 (CENTRAL ZONE 103 (west)): 2 layers 5/8" to deck 15.375 ft | side 2 (OFFICES 107/108 (east)): 2 layers 5/8" to deck 15.375 ft</t>
  </si>
  <si>
    <t xml:space="preserve">TAG-G-06</t>
  </si>
  <si>
    <t xml:space="preserve">G-02</t>
  </si>
  <si>
    <t xml:space="preserve">A02.01 demising wall OFFICE 106 / OFFICE 107, from office front (x=1631.28) to east exterior wall inner face (x=1826.28), grid 7-8 / E</t>
  </si>
  <si>
    <t xml:space="preserve">side 1 (OFFICE 106 (north)): 2 layers 5/8" to deck 15.375 ft | side 2 (OFFICE 107 (south)): 2 layers 5/8" to deck 15.375 ft</t>
  </si>
  <si>
    <t xml:space="preserve">TAG-G-02</t>
  </si>
  <si>
    <t xml:space="preserve">G-05</t>
  </si>
  <si>
    <t xml:space="preserve">A02.01 demising wall OFFICE 107 / OFFICE 108, grid 7-8 / C</t>
  </si>
  <si>
    <t xml:space="preserve">side 1 (OFFICE 107 (north)): 2 layers 5/8" to deck 15.375 ft | side 2 (OFFICE 108 (south)): 2 layers 5/8" to deck 15.375 ft</t>
  </si>
  <si>
    <t xml:space="preserve">TAG-G-05</t>
  </si>
  <si>
    <t xml:space="preserve">G-08</t>
  </si>
  <si>
    <t xml:space="preserve">A02.01 wall OFFICE 108 (north) / CASH WINDOW 116 (south), from end of B2K/A1K transition (x=1661.76) to east exterior wall (x=1843.08), grid 7-8 / B.2</t>
  </si>
  <si>
    <t xml:space="preserve">side 1 (OFFICE 108 (north)): 2 layers 5/8" to deck 15.375 ft | side 2 (CASH WINDOW 116 (south; x 1661.76-1708.08 the south face is 3.3" off the A1K face - see notes)): 2 layers 5/8" to deck 15.375 ft</t>
  </si>
  <si>
    <t xml:space="preserve">TAG-G-08</t>
  </si>
  <si>
    <t xml:space="preserve">Two tracks top + two bottom (one per row), two rows of studs. Stud O.C. not printed on A12.01 -&gt; 16" per S5.20 7 'INTERIOR WALLS @ 16" O.C.' [DERIVADO]. 1-5/8" studs spanning 15.38 ft to deck is beyond typical limiting heights -&gt; RFI-w2-07. Isolator count PENDIENTE (RFI-w2-02). South face x 1661.76-1708.08 (2.57 ft) sits 4.92 pt (3.3 in) from the A1K top face y=1120.68 (w1) - board on that face may be impractical; quantified full, see fronteras.</t>
  </si>
  <si>
    <t xml:space="preserve">G-04</t>
  </si>
  <si>
    <t xml:space="preserve">A02.01 wall ATM ROOM 102 (north) / OFFICE 109 (south), from west exterior wall inner face (x=911.88) to office front corner (x=1133.88), grid 3-4 / D</t>
  </si>
  <si>
    <t xml:space="preserve">side 1 (ATM ROOM 102 (north)): 2 layers 5/8" to deck 15.375 ft | side 2 (OFFICE 109 (south)): 2 layers 5/8" to deck 15.375 ft</t>
  </si>
  <si>
    <t xml:space="preserve">TAG-G-04</t>
  </si>
  <si>
    <t xml:space="preserve">G-07</t>
  </si>
  <si>
    <t xml:space="preserve">A02.01 demising wall OFFICE 109 / OFFICE 110, west exterior wall to G1 office front (x=1121.16), grid 3-4 / C-B.2</t>
  </si>
  <si>
    <t xml:space="preserve">side 1 (OFFICE 109 (north)): 2 layers 5/8" to deck 15.375 ft | side 2 (OFFICE 110 (south)): 2 layers 5/8" to deck 15.375 ft</t>
  </si>
  <si>
    <t xml:space="preserve">TAG-G-07</t>
  </si>
  <si>
    <t xml:space="preserve">G-09</t>
  </si>
  <si>
    <t xml:space="preserve">A02.01 wall OFFICE 110 (north) / WOMEN'S RESTROOM 114 (south), west exterior wall to G1 office front, grid 3-4 / B</t>
  </si>
  <si>
    <t xml:space="preserve">side 1 (OFFICE 110 (north)): 2 layers 5/8" to deck 15.375 ft | side 2 (WOMEN'S RESTROOM 114 (south)): 2 layers 5/8" to deck 15.375 ft</t>
  </si>
  <si>
    <t xml:space="preserve">TAG-G-09</t>
  </si>
  <si>
    <t xml:space="preserve">G1-01</t>
  </si>
  <si>
    <t xml:space="preserve">G1 | double row 1-5/8" metal stud 162S125-33 (20ga) @ 16" O.C. each row, SOUNDGUARD isolator by Marinoware between rows, 2 layers 5/8" gyp each face to underside of deck, batt insulation | schedule 5/A12.01 G1: STUD 1 5/8", GYP 5/8", WALL THICKNESS 8" -&gt; 3 1/4" + 2 1/2" = 5 3/4" + 2 1/4" gap = 8"; measured band 12.72 pt / 1.5 = 8.48 in (0.48 in over schedule, both G1 instances) -&gt; RFI-w2-05</t>
  </si>
  <si>
    <t xml:space="preserve">A02.01 demising wall OFFICE 105 / OFFICE 106, office front to east exterior wall, grid 7-8 / E.4</t>
  </si>
  <si>
    <t xml:space="preserve">side 1 (OFFICE 105 (north)): 2 layers 5/8" to deck 15.375 ft | side 2 (OFFICE 106 (south)): 2 layers 5/8" to deck 15.375 ft</t>
  </si>
  <si>
    <t xml:space="preserve">A02.01 tag G1 -&gt; 5/A12.01 (PARTITION G (G1 row) + schedule) -&gt; 8/A12.01 + 9/A12.01 + 10/A12.01 (2 LAYERS 5/8" TO UNDERSIDE OF DECK, METAL STUDS ATTACH TO STRUCTURE ABOVE, SOUNDGUARD ISOLATOR) -&gt; S5.20 7 -&gt; S5.20 1-F</t>
  </si>
  <si>
    <t xml:space="preserve">TAG-G1-01</t>
  </si>
  <si>
    <t xml:space="preserve">G1-02</t>
  </si>
  <si>
    <t xml:space="preserve">A02.01 west office front line (grid 4) for OFFICES 109/110, from G-04 corner (y=840.00) to end cap at y=1243.20 (door 114 jamb); gross 22.40 ft minus 2 office-front openings 7'-6" (846.00-981.00 and 1044.12-1179.12) = solid segments 840.00-846.00, 981.00-1044.12, 1179.12-1243.20</t>
  </si>
  <si>
    <t xml:space="preserve">side 1 (OFFICES 109/110 (west)): 2 layers 5/8" to deck 15.375 ft | side 2 (CENTRAL ZONE 103 (east)): 2 layers 5/8" to deck 15.375 ft</t>
  </si>
  <si>
    <t xml:space="preserve">TAG-G1-02</t>
  </si>
  <si>
    <t xml:space="preserve">F-01</t>
  </si>
  <si>
    <t xml:space="preserve">F | 3-5/8" metal stud 362S137-33 (20ga) @ 16" O.C. floor to deck, 3/4" FRT plywood public side to deck + 5/8" gyp public side to ceiling, 5/8" gyp ATM room side to 6" above ceiling, batt insulation | F has no schedule row: 12/A12.01 '3 5/8" METAL STUDS AT 16" O.C.' + 5/8" gyp each side + 3/4" FRT plywood public side -&gt; 3 5/8 + 5/8 + 3/4 + 5/8 = 5 5/8"; measured perpendicular face offset 9.72 pt x cos30 = 8.42 pt / 1.5 = 5.61 in (closes)</t>
  </si>
  <si>
    <t xml:space="preserve">A02.01 diagonal (60 deg) wall between 24 HR VESTIBULE 101 (public, north-east side) and ATM ROOM 102 (south-west side), from west exterior wall inner face (x=841.44) to column enclosure C1-04 at grid 4 / E (x~1123); contains DAY 1 ATM (NHA 9T TTW WU) opening 2'-3" R.O. (A08.11)</t>
  </si>
  <si>
    <t xml:space="preserve">side 1 public (24 HR VESTIBULE 101): 3/4" FRT plywood to deck 15.375 ft + 1 layer 5/8" gyp to 10'-0" | side 2 (ATM ROOM 102): 1 layer 5/8" gyp to 9'-0"</t>
  </si>
  <si>
    <t xml:space="preserve">A02.01 tag F -&gt; 12/A12.01 (PARTITION TYPE F) -&gt; A08.11 7 (ATM ROOM PLAN) + A08.11 1 (ATM ELEVATION R.O.) -&gt; A12.10 (vestibule, ceiling) -&gt; S5.20 7/9 -&gt; S5.20 1-F</t>
  </si>
  <si>
    <t xml:space="preserve">TAG-F-01</t>
  </si>
  <si>
    <t xml:space="preserve">12/A12.01 shows no sealant callout -&gt; none quantified. 'BRACE AS REQUIRED (TYP.)' -&gt; S5.20 1-F bridging applied. Wall is north of grid E -&gt; deck 15'-4 1/2". ATM surround / MW18 millwork blocking = w5.</t>
  </si>
  <si>
    <t xml:space="preserve">OPN-F01-ATM</t>
  </si>
  <si>
    <t xml:space="preserve">Opening in F-01: DAY 1 ATM through-the-wall unit, R.O. 2'-3" W x 2'-8 1/4" H, sill 2'-7 3/4" A.F.F.</t>
  </si>
  <si>
    <t xml:space="preserve">A02.01 / A08.11 7 diagonal F wall, ATM centered on wall (CL) between 24 HR VESTIBULE 101 and ATM ROOM 102</t>
  </si>
  <si>
    <t xml:space="preserve">band above head (5.333 ft to deck 15.375) and band below sill (2.646 ft) on both faces; net opening 6.05 SF deducted in F-01</t>
  </si>
  <si>
    <t xml:space="preserve">A02.01 -&gt; A08.11 7 -&gt; A08.11 1 (R.O. 2'-3" x 2'-8 1/4", 2'-7 3/4" A.F.F.) -&gt; A08.11 4 -&gt; S5.20 7 HEADER SCHEDULE -&gt; S5.20 2/9</t>
  </si>
  <si>
    <t xml:space="preserve">TAG-F-01, OPENINGS-HEADERS, ALC-05</t>
  </si>
  <si>
    <t xml:space="preserve">Bands above/below the ATM are part of F-01 board areas (only the net R.O. was deducted). Head = 2'-7 3/4" + 2'-8 1/4" = 5'-4" A.F.F. [DERIVADO].</t>
  </si>
  <si>
    <t xml:space="preserve">C1-03</t>
  </si>
  <si>
    <t xml:space="preserve">C1 | 3-5/8" metal stud 362S137-33 (20ga) @ 16" O.C. furring, 1 layer 5/8" gyp ONE face (exposed side) against BLOCK PARTITION / column / wall (block by Div 04 / others) | 6/A12.01: '3 5/8" METAL STUDS' + '5/8" GYPSUM BOARD' one face -&gt; 3 5/8 + 5/8 = 4 1/4" (no schedule row); measured furring band 6.36 pt / 1.5 = 4.24 in (closes)</t>
  </si>
  <si>
    <t xml:space="preserve">A02.01 column enclosure (12"x12") at junction VESTIBULE 100 / 24 HR VESTIBULE 101 / CENTRAL ZONE 103, grid 4 / E.4-F: box x 1123.20-1141.20 y 452.88-470.88</t>
  </si>
  <si>
    <t xml:space="preserve">exposed face (VESTIBULE 100 / 24 HR VESTIBULE 101 / CENTRAL ZONE 103): 1 layer 5/8" gyp, height PENDIENTE (provisional 15.375 ft) | back face: against block/column/wall - no board</t>
  </si>
  <si>
    <t xml:space="preserve">A02.01 tag C1 -&gt; 6/A12.01 (PARTITION TYPE C1: BLOCK PARTITION + 3 5/8" METAL STUDS + 5/8" GYPSUM BOARD) -&gt; S5.20 7</t>
  </si>
  <si>
    <t xml:space="preserve">TAG-C1-03</t>
  </si>
  <si>
    <t xml:space="preserve">Only furring + 1 face of board quantified (block partition / column / A1 wall by others). C1 has no schedule row (no insulation listed). Height PENDIENTE RFI-w2-03; stud and board quantities computed with provisional height to deck and flagged PENDIENTE.</t>
  </si>
  <si>
    <t xml:space="preserve">C1-04</t>
  </si>
  <si>
    <t xml:space="preserve">A02.01 column enclosure at ATM ROOM 102 NE corner (end of F-01 / top of B2-01), grid 4 / E: exposed faces E x=1141.20 (710.88-728.04), N y=710.88 (1134.84-1141.20), S y=728.88 (1133.88-1141.20)</t>
  </si>
  <si>
    <t xml:space="preserve">exposed face (CENTRAL ZONE 103 / 24 HR VESTIBULE 101): 1 layer 5/8" gyp, height PENDIENTE (provisional 15.375 ft) | back face: against block/column/wall - no board</t>
  </si>
  <si>
    <t xml:space="preserve">TAG-C1-04</t>
  </si>
  <si>
    <t xml:space="preserve">C1-05</t>
  </si>
  <si>
    <t xml:space="preserve">A02.01 85" display media monitor build-out (keynote 7) on north face of CALLING CUBES 122 A1 wall, facing WAITING 104, grid 5-6 / C: front face y=955.44 x 1287.24-1467.24 ('10'-0"' printed) + 2 returns 8" ('8"' printed)</t>
  </si>
  <si>
    <t xml:space="preserve">exposed face (WAITING 104): 1 layer 5/8" gyp, height PENDIENTE (provisional 15.375 ft) | back face: against block/column/wall - no board</t>
  </si>
  <si>
    <t xml:space="preserve">TAG-C1-05</t>
  </si>
  <si>
    <t xml:space="preserve">C1-06</t>
  </si>
  <si>
    <t xml:space="preserve">A02.01 WOMEN'S RESTROOM 114 face of plumbing/block wall between restrooms, grid 3-4 / B-A: furring face y=1355.40/1357.20 x 911.88-1092.36</t>
  </si>
  <si>
    <t xml:space="preserve">exposed face (WOMEN'S RESTROOM 114): 1 layer 5/8" gyp, height PENDIENTE (provisional 12.923 ft) | back face: against block/column/wall - no board</t>
  </si>
  <si>
    <t xml:space="preserve">TAG-C1-06</t>
  </si>
  <si>
    <t xml:space="preserve">Only furring + 1 face of board quantified (block partition / column / A1 wall by others). C1 has no schedule row (no insulation listed). Height PENDIENTE RFI-w2-03; stud and board quantities computed with provisional height to deck and flagged PENDIENTE. | LEADER R3: stud LF rescaled to the high end of the sloped zone (13.052 ft instead of 12.92 ft).</t>
  </si>
  <si>
    <t xml:space="preserve">C1-08</t>
  </si>
  <si>
    <t xml:space="preserve">A02.01 MEN'S RESTROOM 113 face of plumbing/block wall between restrooms, grid 3-4 / B-A: furring face y=1382.16/1389.48 x 911.88-1092.36</t>
  </si>
  <si>
    <t xml:space="preserve">exposed face (MEN'S RESTROOM 113): 1 layer 5/8" gyp, height PENDIENTE (provisional 12.892 ft) | back face: against block/column/wall - no board</t>
  </si>
  <si>
    <t xml:space="preserve">TAG-C1-08</t>
  </si>
  <si>
    <t xml:space="preserve">Only furring + 1 face of board quantified (block partition / column / A1 wall by others). C1 has no schedule row (no insulation listed). Height PENDIENTE RFI-w2-03; stud and board quantities computed with provisional height to deck and flagged PENDIENTE. | LEADER R3: stud LF rescaled to the high end of the sloped zone (13.052 ft instead of 12.89 ft).</t>
  </si>
  <si>
    <t xml:space="preserve">C1-07</t>
  </si>
  <si>
    <t xml:space="preserve">A02.01 FUTURE FCAM build-out on south face of A1K wall (w1), CASH WINDOW 116 area, grid 7 / B.2: front face y=1363.08 x 1661.76-1715.40 + 2 returns 10.44 pt</t>
  </si>
  <si>
    <t xml:space="preserve">exposed face (FUTURE FCAM / CASH WINDOW 116): 1 layer 5/8" gyp, height PENDIENTE (provisional 15.375 ft) | back face: against block/column/wall - no board</t>
  </si>
  <si>
    <t xml:space="preserve">TAG-C1-07</t>
  </si>
  <si>
    <t xml:space="preserve">BH-105</t>
  </si>
  <si>
    <t xml:space="preserve">Office front bulkhead over OFFICE 105 (office front DFC-1A ALLSTEEL by bank vendor, Div 08) in G wall: box beam + double-row 1-5/8" studs to structure + slip track + SOUNDGUARD isolator, 2 layers 5/8" each face to deck, FRT plywood blocking, corner bead, shadow molding, sealant</t>
  </si>
  <si>
    <t xml:space="preserve">A02.01 OFFICE 105 front, x=1622.04-1631.28, opening y 381.00-516.00 pt ('7'-6" HOLD CLEAR FINISHED OPENING')</t>
  </si>
  <si>
    <t xml:space="preserve">OFFICE 105 side: 2 layers 5/8" from head 8.042 ft to deck 15.375 ft (band 7.333 ft) | CENTRAL ZONE 103 side: same</t>
  </si>
  <si>
    <t xml:space="preserve">A02.01 office front ('7'-6" HOLD CLEAR FINISHED OPENING', note E ALLSTEEL OFFICE FRONT BY BANK VENDOR) -&gt; A11.01 (head) -&gt; 8/A12.01 (@ door) + 9/A12.01 (@ glass panel) -&gt; 10/A12.01 (jamb) -&gt; 5/A12.01 (G/G1) -&gt; S5.20 7 HEADER SCHEDULE -&gt; S2.20 B.O.D.</t>
  </si>
  <si>
    <t xml:space="preserve">BULKHEADS-OFFICE, DET-8/A12.01, DET-9/A12.01, DET-10/A12.01, ALC-13, ALC-05, TAG-G-01</t>
  </si>
  <si>
    <t xml:space="preserve">Width CONFIRMADO A02.01 '7'-6" HOLD CLEAR FINISHED OPENING' (vector 135.00 pt = 7.50 ft). Head A11.01 7 CENTRAL ZONE - EAST '8'-0 1/2" HOLD. TYP. FROM SLAB' [CONFIRMADO]. Deck deck = S2.20 B.O.D. EL. 15'-4 1/2" (high roof, no slope; same T/STEEL 15'-4 1/2" in A09.23 Section H at grid 3, between grids E and B) - T/slab LEVEL 1 0'-0" (A09.23) = 15.375 ft. Band = 15.375 - 8.042 = 7.333 ft [DERIVADO]. 8/A12.01 applies to the door portion, 9/A12.01 to the glass portion of the same 7'-6" opening: identical construction, one row per office.</t>
  </si>
  <si>
    <t xml:space="preserve">BH-106</t>
  </si>
  <si>
    <t xml:space="preserve">Office front bulkhead over OFFICE 106 (office front DFC-1A ALLSTEEL by bank vendor, Div 08) in G wall: box beam + double-row 1-5/8" studs to structure + slip track + SOUNDGUARD isolator, 2 layers 5/8" each face to deck, FRT plywood blocking, corner bead, shadow molding, sealant</t>
  </si>
  <si>
    <t xml:space="preserve">A02.01 OFFICE 106 front, x=1622.04-1631.28, opening y 578.40-713.40 pt ('7'-6" HOLD CLEAR FINISHED OPENING')</t>
  </si>
  <si>
    <t xml:space="preserve">OFFICE 106 side: 2 layers 5/8" from head 8.042 ft to deck 15.375 ft (band 7.333 ft) | CENTRAL ZONE 103 side: same</t>
  </si>
  <si>
    <t xml:space="preserve">BH-107</t>
  </si>
  <si>
    <t xml:space="preserve">Office front bulkhead over OFFICE 107 (office front DFC-1A ALLSTEEL by bank vendor, Div 08) in G wall: box beam + double-row 1-5/8" studs to structure + slip track + SOUNDGUARD isolator, 2 layers 5/8" each face to deck, FRT plywood blocking, corner bead, shadow molding, sealant</t>
  </si>
  <si>
    <t xml:space="preserve">A02.01 OFFICE 107 front, x=1622.04-1631.28, opening y 771.96-906.96 pt ('7'-6" HOLD CLEAR FINISHED OPENING')</t>
  </si>
  <si>
    <t xml:space="preserve">OFFICE 107 side: 2 layers 5/8" from head 8.042 ft to deck 15.375 ft (band 7.333 ft) | CENTRAL ZONE 103 side: same</t>
  </si>
  <si>
    <t xml:space="preserve">BH-108</t>
  </si>
  <si>
    <t xml:space="preserve">Office front bulkhead over OFFICE 108 (office front DFC-1A ALLSTEEL by bank vendor, Div 08) in G wall: box beam + double-row 1-5/8" studs to structure + slip track + SOUNDGUARD isolator, 2 layers 5/8" each face to deck, FRT plywood blocking, corner bead, shadow molding, sealant</t>
  </si>
  <si>
    <t xml:space="preserve">A02.01 OFFICE 108 front, x=1622.04-1631.28, opening y 965.52-1100.52 pt ('7'-6" HOLD CLEAR FINISHED OPENING')</t>
  </si>
  <si>
    <t xml:space="preserve">OFFICE 108 side: 2 layers 5/8" from head 8.042 ft to deck 15.375 ft (band 7.333 ft) | CENTRAL ZONE 103 side: same</t>
  </si>
  <si>
    <t xml:space="preserve">BH-109</t>
  </si>
  <si>
    <t xml:space="preserve">Office front bulkhead over OFFICE 109 (office front DFC-1A ALLSTEEL by bank vendor, Div 08) in G1 wall: box beam + double-row 1-5/8" studs to structure + slip track + SOUNDGUARD isolator, 2 layers 5/8" each face to deck, FRT plywood blocking, corner bead, shadow molding, sealant</t>
  </si>
  <si>
    <t xml:space="preserve">A02.01 OFFICE 109 front, x=1121.16-1133.88, opening y 846.00-981.00 pt ('7'-6" HOLD CLEAR FINISHED OPENING')</t>
  </si>
  <si>
    <t xml:space="preserve">OFFICE 109 side: 2 layers 5/8" from head 8.000 ft to deck 15.375 ft (band 7.375 ft) | CENTRAL ZONE 103 side: same</t>
  </si>
  <si>
    <t xml:space="preserve">BULKHEADS-OFFICE, DET-8/A12.01, DET-9/A12.01, DET-10/A12.01, ALC-13, ALC-05, TAG-G1-02</t>
  </si>
  <si>
    <t xml:space="preserve">Width CONFIRMADO A02.01 '7'-6" HOLD CLEAR FINISHED OPENING' (vector 135.00 pt = 7.50 ft). Head A11.01 8 CENTRAL ZONE - WEST '8'-0" CLEAR FINISHED OPENING' [CONFIRMADO]. Deck deck = S2.20 B.O.D. EL. 15'-4 1/2" (high roof, no slope; same T/STEEL 15'-4 1/2" in A09.23 Section H at grid 3, between grids E and B) - T/slab LEVEL 1 0'-0" (A09.23) = 15.375 ft. Band = 15.375 - 8.000 = 7.375 ft [DERIVADO]. 8/A12.01 applies to the door portion, 9/A12.01 to the glass portion of the same 7'-6" opening: identical construction, one row per office.</t>
  </si>
  <si>
    <t xml:space="preserve">BH-110</t>
  </si>
  <si>
    <t xml:space="preserve">Office front bulkhead over OFFICE 110 (office front DFC-1A ALLSTEEL by bank vendor, Div 08) in G1 wall: box beam + double-row 1-5/8" studs to structure + slip track + SOUNDGUARD isolator, 2 layers 5/8" each face to deck, FRT plywood blocking, corner bead, shadow molding, sealant</t>
  </si>
  <si>
    <t xml:space="preserve">A02.01 OFFICE 110 front, x=1121.16-1133.88, opening y 1044.12-1179.12 pt ('7'-6" HOLD CLEAR FINISHED OPENING')</t>
  </si>
  <si>
    <t xml:space="preserve">OFFICE 110 side: 2 layers 5/8" from head 8.000 ft to deck 15.375 ft (band 7.375 ft) | CENTRAL ZONE 103 side: same</t>
  </si>
  <si>
    <t xml:space="preserve">OPN-102</t>
  </si>
  <si>
    <t xml:space="preserve">Door 102 opening in B2 wall B2-01: header, double jambs, cripples, board band above head (6" studs)</t>
  </si>
  <si>
    <t xml:space="preserve">A02.01 door 102, band x=1123.08-1133.88, opening y 755.88-824.88 pt</t>
  </si>
  <si>
    <t xml:space="preserve">both faces: 1 layer 5/8" gyp band from head 8.167 ft to deck 15.375 ft = 7.208 ft</t>
  </si>
  <si>
    <t xml:space="preserve">A02.01 door 102 -&gt; A00.30 DOOR SCHEDULE (3'-6" x 8'-0", type A HM frame) -&gt; 10/A12.02 head, 11/A12.02 jamb -&gt; 1/A12.01 -&gt; S5.20 7 HEADER SCHEDULE -&gt; S5.20 2/9</t>
  </si>
  <si>
    <t xml:space="preserve">OPENINGS-HEADERS, ALC-05</t>
  </si>
  <si>
    <t xml:space="preserve">Opening width = vector gap 69.00 pt / 18 = 3.83 ft (= door 3.50 ft + 2 x 2" HM frame). Head R.O. = door 8'-0" (A00.30) + 2" frame = 8.167 ft [DERIVADO]. deck = S2.20 B.O.D. EL. 15'-4 1/2" (high roof, no slope; same T/STEEL 15'-4 1/2" in A09.23 Section H at grid 3, between grids E and B) - T/slab LEVEL 1 0'-0" (A09.23) = 15.375 ft</t>
  </si>
  <si>
    <t xml:space="preserve">OPN-114</t>
  </si>
  <si>
    <t xml:space="preserve">Door 114 opening in B2 wall B2-02: header, double jambs, cripples, board band above head (6" studs)</t>
  </si>
  <si>
    <t xml:space="preserve">A02.01 door 114, band x=1123.08-1133.88, opening y 1243.20-1303.20 pt</t>
  </si>
  <si>
    <t xml:space="preserve">both faces: 1 layer 5/8" gyp band from head 7.167 ft to deck 13.021 ft = 5.854 ft</t>
  </si>
  <si>
    <t xml:space="preserve">A02.01 door 114 -&gt; A00.30 DOOR SCHEDULE (3'-0" x 7'-0", type A HM frame) -&gt; 10/A12.02 head, 11/A12.02 jamb -&gt; 1/A12.01 -&gt; S5.20 7 HEADER SCHEDULE -&gt; S5.20 2/9</t>
  </si>
  <si>
    <t xml:space="preserve">Opening width = vector gap 60.00 pt / 18 = 3.33 ft (= door 3.00 ft + 2 x 2" HM frame). Head R.O. = door 7'-0" (A00.30) + 2" frame = 7.167 ft [DERIVADO]. deck interpolated N-S between S2.20 B.O.D. EL. 13'-0 5/8" @ grid B (y=1246.1 pt) and 12'-6 3/8" @ grid A (y=1700.5 pt): 13.052 - (1273.2-1246.1)/454.4 x 0.521 = 13.021 ft (minus T/slab 0'-0")</t>
  </si>
  <si>
    <t xml:space="preserve">OPN-113</t>
  </si>
  <si>
    <t xml:space="preserve">Door 113 opening in B2 wall B2-03: header, double jambs, cripples, board band above head (6" studs)</t>
  </si>
  <si>
    <t xml:space="preserve">A02.01 door 113, band x=1123.08-1133.88, opening y 1441.68-1501.68 pt</t>
  </si>
  <si>
    <t xml:space="preserve">both faces: 1 layer 5/8" gyp band from head 7.167 ft to deck 12.794 ft = 5.627 ft</t>
  </si>
  <si>
    <t xml:space="preserve">A02.01 door 113 -&gt; A00.30 DOOR SCHEDULE (3'-0" x 7'-0", type A HM frame) -&gt; 10/A12.02 head, 11/A12.02 jamb -&gt; 1/A12.01 -&gt; S5.20 7 HEADER SCHEDULE -&gt; S5.20 2/9</t>
  </si>
  <si>
    <t xml:space="preserve">Opening width = vector gap 60.00 pt / 18 = 3.33 ft (= door 3.00 ft + 2 x 2" HM frame). Head R.O. = door 7'-0" (A00.30) + 2" frame = 7.167 ft [DERIVADO]. deck interpolated N-S between S2.20 B.O.D. EL. 13'-0 5/8" @ grid B (y=1246.1 pt) and 12'-6 3/8" @ grid A (y=1700.5 pt): 13.052 - (1471.7-1246.1)/454.4 x 0.521 = 12.794 ft (minus T/slab 0'-0")</t>
  </si>
  <si>
    <t xml:space="preserve">OPN-117</t>
  </si>
  <si>
    <t xml:space="preserve">Door 117 opening in B2 wall B2-07/B2-05: header, double jambs, cripples, board band above head (6" studs)</t>
  </si>
  <si>
    <t xml:space="preserve">A02.01 door 117, band x=1123.08-1133.88, opening y 1517.52-1577.52 pt</t>
  </si>
  <si>
    <t xml:space="preserve">both faces: 1 layer 5/8" gyp band from head 7.167 ft to deck 12.707 ft = 5.540 ft</t>
  </si>
  <si>
    <t xml:space="preserve">A02.01 door 117 -&gt; A00.30 DOOR SCHEDULE (3'-0" x 7'-0", type A HM frame) -&gt; 10/A12.02 head, 11/A12.02 jamb -&gt; 1/A12.01 -&gt; S5.20 7 HEADER SCHEDULE -&gt; S5.20 2/9</t>
  </si>
  <si>
    <t xml:space="preserve">Opening width = vector gap 60.00 pt / 18 = 3.33 ft (= door 3.00 ft + 2 x 2" HM frame). Head R.O. = door 7'-0" (A00.30) + 2" frame = 7.167 ft [DERIVADO]. deck interpolated N-S between S2.20 B.O.D. EL. 13'-0 5/8" @ grid B (y=1246.1 pt) and 12'-6 3/8" @ grid A (y=1700.5 pt): 13.052 - (1547.5-1246.1)/454.4 x 0.521 = 12.707 ft (minus T/slab 0'-0")</t>
  </si>
  <si>
    <t xml:space="preserve">OPN-115</t>
  </si>
  <si>
    <t xml:space="preserve">Door 115 opening in B2 wall B2-05/B2-08: header, double jambs, cripples, board band above head (6" studs)</t>
  </si>
  <si>
    <t xml:space="preserve">A02.01 door 115, band x=1123.08-1133.88, opening y 1626.00-1686.00 pt</t>
  </si>
  <si>
    <t xml:space="preserve">both faces: 1 layer 5/8" gyp band from head 7.167 ft to deck 12.582 ft = 5.416 ft</t>
  </si>
  <si>
    <t xml:space="preserve">A02.01 door 115 -&gt; A00.30 DOOR SCHEDULE (3'-0" x 7'-0", type A HM frame) -&gt; 10/A12.02 head, 11/A12.02 jamb -&gt; 1/A12.01 -&gt; S5.20 7 HEADER SCHEDULE -&gt; S5.20 2/9</t>
  </si>
  <si>
    <t xml:space="preserve">Opening width = vector gap 60.00 pt / 18 = 3.33 ft (= door 3.00 ft + 2 x 2" HM frame). Head R.O. = door 7'-0" (A00.30) + 2" frame = 7.167 ft [DERIVADO]. deck interpolated N-S between S2.20 B.O.D. EL. 13'-0 5/8" @ grid B (y=1246.1 pt) and 12'-6 3/8" @ grid A (y=1700.5 pt): 13.052 - (1656.0-1246.1)/454.4 x 0.521 = 12.582 ft (minus T/slab 0'-0")</t>
  </si>
  <si>
    <t xml:space="preserve">EXT-N1</t>
  </si>
  <si>
    <t xml:space="preserve">Exterior wall CFMF 6" 600S162-54 (S1.11) + parapet infill 600S162-54 between HSS 5x5 posts (11/S5.10); 5/8" FRT plywood/2-1/2" polyiso sheathing; 5/8" gyp interior to deck</t>
  </si>
  <si>
    <t xml:space="preserve">A02.01 NORTH facade (grid F) - grid 2 to 4, Vestibule 100 entrance bay</t>
  </si>
  <si>
    <t xml:space="preserve">exterior face: composite metal panel/ACM/stucco (NIC) on AWB on 5/8" FRT plywood bonded to 2-1/2" polyiso from T/BASE 0'-6" to T/STUD 19'-8", 5/8" glass mat at base strip and canopy band | interior face (Vestibule 100): 1 layer 5/8" gyp board to deck 15'-4.5" | parapet roof side: 5/8" exterior gyp sheathing 15'-4.5" to 19'-8"</t>
  </si>
  <si>
    <t xml:space="preserve">A02.01 -&gt; A/A09.21 (Section A @ entrance door) &amp; B/A09.21 (Section B @ entrance) -&gt; 4/A09.26 (parapet) -&gt; 3/A09.26 (entrance canopy) -&gt; 2/A09.26 (storefront head) -&gt; 1/A09.26 (entrance door) -&gt; 5/A09.26 (ACM base) -&gt; 1/A12.10 -&gt; 1/A09.25 &amp; 2/A09.25 (storefront piers) -&gt; S2.20 (B.O.D. 15'-4 1/2", HSS9x5x5/8 T.O.S. 9'-4 1/2") -&gt; 10/S5.10, 11/S5.10 (parapet infill) -&gt; 1,2,7/S5.20 -&gt; S1.11 LT GA note 5</t>
  </si>
  <si>
    <t xml:space="preserve">w3</t>
  </si>
  <si>
    <t xml:space="preserve">EXT-WALLS, EXT-PARAPET, ALC-02, ALC-03, ALC-09, ALC-10</t>
  </si>
  <si>
    <t xml:space="preserve">L_frame source: A02.01 printed chain 2'-6 3/4" + 12'-6 3/4" + 2'-6 3/4" = 17'-8 1/4" (outer face to storefront 4-7 jamb) - 8" (outer face to stud centerline per 5/A09.26 dims 8"|3" BOS) = 17'-0 1/4". L_interior: L_frame - 3.6" (stud half + 5/8" gyp at NW corner) [vector check: interior face x=841.56pt]. Stud height slab-&gt;B.O.D. 15'-4.5" [DERIVADO S2.20 B.O.D. - T/SLAB 0'-0"]; parapet B.O.D.-&gt;T/STUD 19'-8" (4'-3.5"). Openings (from storefront/window frames on elevations + plan, not door schedule): Vestibule entrance storefront (AF-2/GL-2, doors 100): 12'-6.75" wide x 8'-6" head from slab (HSS steel header by others; cripples from HSS T.O.S. 9'-4.5" to B.O.D.). Canopy band length on this run: 17.02 ft.</t>
  </si>
  <si>
    <t xml:space="preserve">EXT-N2</t>
  </si>
  <si>
    <t xml:space="preserve">A02.01 NORTH facade (grid F) - grid 4 to 7, storefront run at Central Zone 103</t>
  </si>
  <si>
    <t xml:space="preserve">exterior face: composite metal panel/ACM/stucco (NIC) on AWB on 5/8" FRT plywood bonded to 2-1/2" polyiso from T/BASE 0'-6" to T/STUD 17'-5", 5/8" glass mat at base strip and canopy band | interior face (Central Zone 103): 1 layer 5/8" gyp board to deck 15'-4.5" | parapet roof side: 5/8" exterior gyp sheathing 15'-4.5" to 17'-5"</t>
  </si>
  <si>
    <t xml:space="preserve">A02.01 -&gt; 1/A09.01 (titled SOUTH ELEVATION, is the NORTH facade) -&gt; 11/A09.27 (storefront head T/OPENING 8'-6") -&gt; 6/A09.26 (storefront base) -&gt; 3/A09.26 (canopy) -&gt; 4/A09.26 (parapet) -&gt; S2.20 (HSS9x5x5/8 (LLV) T.O.S. 9'-4 1/2" on F 4-7, B.O.D. 15'-4 1/2") -&gt; 11/S5.10</t>
  </si>
  <si>
    <t xml:space="preserve">L_frame source: A02.01 printed 26'-3" (storefront run). L_interior: A02.01 printed 26'-3". Stud height slab-&gt;B.O.D. 15'-4.5" [DERIVADO S2.20 B.O.D. - T/SLAB 0'-0"]; parapet B.O.D.-&gt;T/STUD 17'-5" (2'-0.5"). Openings (from storefront/window frames on elevations + plan, not door schedule): Storefront 4-7 (AF-2/GL-2), full run: 26'-3" wide x 8'-6" head from slab (HSS steel header by others; cripples from HSS T.O.S. 9'-4.5" to B.O.D.). Canopy band length on this run: 26.25 ft. No studs below 9'-4 1/2": HSS9x5x5/8 (LLV) steel header spans grid 4-7 at storefront head (S2.20); framing above is cripples HSS-&gt;B.O.D. plus parapet infill.</t>
  </si>
  <si>
    <t xml:space="preserve">EXT-N3</t>
  </si>
  <si>
    <t xml:space="preserve">A02.01 NORTH facade (grid F) - grid 7 to 8, Office 105</t>
  </si>
  <si>
    <t xml:space="preserve">exterior face: composite metal panel/ACM/stucco (NIC) on AWB on 5/8" FRT plywood bonded to 2-1/2" polyiso from T/BASE 0'-6" to T/STUD 17'-5", 5/8" glass mat at base strip and canopy band | interior face (Office 1 ME 105): 1 layer 5/8" gyp board to deck 15'-4.5" | parapet roof side: 5/8" exterior gyp sheathing 15'-4.5" to 17'-5"</t>
  </si>
  <si>
    <t xml:space="preserve">A02.01 -&gt; C/A09.21 (Section C, T/STUD LP 17'-5") -&gt; 4/A09.26 -&gt; 3/A09.26 -&gt; 5/A09.26 -&gt; S2.20 -&gt; 10,11/S5.10 -&gt; S5.20 -&gt; S1.11</t>
  </si>
  <si>
    <t xml:space="preserve">L_frame source: vector A02.01: storefront jamb x=1615.6pt to grid 8 x=1848.35pt = 232.75pt/18 = 12'-11 1/8" (= 12'-3 1/2" grid 7-8 printed + 7 5/8"). L_interior: A02.01 printed 11'-9 1/4" (Office 105). Stud height slab-&gt;B.O.D. 15'-4.5" [DERIVADO S2.20 B.O.D. - T/SLAB 0'-0"]; parapet B.O.D.-&gt;T/STUD 17'-5" (2'-0.5"). Openings (from storefront/window frames on elevations + plan, not door schedule): none. Canopy band length on this run: 12.93 ft.</t>
  </si>
  <si>
    <t xml:space="preserve">EXT-E1</t>
  </si>
  <si>
    <t xml:space="preserve">A02.01 EAST facade (grid 8) - grid F to B (high roof zone), Offices 105-108 / Cash Window 116</t>
  </si>
  <si>
    <t xml:space="preserve">exterior face: composite metal panel/ACM/stucco (NIC) on AWB on 5/8" FRT plywood bonded to 2-1/2" polyiso from T/BASE 0'-6" to T/STUD 17'-5", 5/8" glass mat at base strip and canopy band | interior face (Offices 105,106,107,108; Cash Window 116): 1 layer 5/8" gyp board to deck 15'-4.5" | parapet roof side: 5/8" exterior gyp sheathing 15'-4.5" to 17'-5"</t>
  </si>
  <si>
    <t xml:space="preserve">A02.01 -&gt; 1/A09.02 (EAST ELEVATION) -&gt; D/A09.22 (Section D) -&gt; 10/A09.27 (sill, B/OPENING 6'-6", T/STUD 6'-4 1/2") -&gt; 11/A09.27 (head 8'-6", metal stud box beam) -&gt; 3/A09.25 (window jamb) -&gt; 7/A09.26 (side canopy) -&gt; 9/A09.27 (metal panel base) -&gt; 4/A09.26 -&gt; S2.20 -&gt; 11/S5.10 -&gt; S5.20</t>
  </si>
  <si>
    <t xml:space="preserve">L_frame source: S2.20 printed grid chain F-E 22'-2 3/4" + E-D 5'-9 3/8" + D-C 5'-3 1/8" + C-B 17'-5" = 50'-8 1/4" (matches A02.01 grid vector 912.35pt/18). L_interior: vector A02.01 interior face y=337.44pt to grid B y=1246.1pt = 908.66pt/18. Stud height slab-&gt;B.O.D. 15'-4.5" [DERIVADO S2.20 B.O.D. - T/SLAB 0'-0"]; parapet B.O.D.-&gt;T/STUD 17'-5" (2'-0.5"). Openings (from storefront/window frames on elevations + plan, not door schedule): Window GL-2 Office 105: R.O. 8'-0" x 2'-0" (sill 6'-6", head 8'-6"); Window GL-2 Office 106: R.O. 8'-0" x 2'-0" (sill 6'-6", head 8'-6"); Window GL-2 Office 107: R.O. 8'-0" x 2'-0" (sill 6'-6", head 8'-6"); Window GL-2 Office 108: R.O. 8'-0" x 2'-0" (sill 6'-6", head 8'-6"). Canopy band length on this run: 47.38 ft.</t>
  </si>
  <si>
    <t xml:space="preserve">EXT-E2</t>
  </si>
  <si>
    <t xml:space="preserve">A02.01 EAST facade (grid 8) - grid B to A (low sloped roof zone), Cash Window 116 / Work Room 119</t>
  </si>
  <si>
    <t xml:space="preserve">exterior face: composite metal panel/ACM/stucco (NIC) on AWB on 5/8" FRT plywood bonded to 2-1/2" polyiso from T/BASE 0'-6" to T/STUD 17'-5", 5/8" glass mat at base strip and canopy band | interior face (Cash Window 116, Work Room 119): 1 layer 5/8" gyp board to deck 13'-0.625" | parapet roof side: 5/8" exterior gyp sheathing 13'-0.625" to 17'-5"</t>
  </si>
  <si>
    <t xml:space="preserve">A02.01 -&gt; 1/A09.02 -&gt; E/A09.22 (Section E, T/STEEL 12'-11 1/8") -&gt; 12/A09.27 (stucco base) -&gt; 4/A09.26 -&gt; S2.20 (B.O.D. 13'-0 5/8" @B / 12'-6 3/8" @A) -&gt; 9/S5.10 (roof step @ B) -&gt; 11/S5.10 -&gt; S5.20</t>
  </si>
  <si>
    <t xml:space="preserve">L_frame source: S2.20 printed B-A 25'-3". L_interior: vector A02.01 grid B y=1246.1 to interior face y=1693.44 = 447.34pt/18. Stud height slab-&gt;B.O.D. 13'-0.625" [DERIVADO S2.20 B.O.D. - T/SLAB 0'-0"]; parapet B.O.D.-&gt;T/STUD 17'-5" (4'-4.375"). Openings (from storefront/window frames on elevations + plan, not door schedule): none. Canopy band length on this run: 0.00 ft. Sloped low roof: heights taken at HIGH end (grid B, B.O.D. 13'-0 5/8"); at grid A B.O.D. = 12'-6 3/8" (RFI-w3-06 gives delta).</t>
  </si>
  <si>
    <t xml:space="preserve">EXT-S1</t>
  </si>
  <si>
    <t xml:space="preserve">A02.01 SOUTH facade (grid A) - grid 3 to 8, Wellness 115 / Corridor / NER 121 / Break 118 / Work Room 119</t>
  </si>
  <si>
    <t xml:space="preserve">exterior face: composite metal panel/ACM/stucco (NIC) on AWB on 5/8" FRT plywood bonded to 2-1/2" polyiso from T/BASE 0'-6" to T/STUD 17'-5", 5/8" glass mat at base strip and canopy band | interior face (Wellness 115, Corridor 111/123, NER 121, Break Room 118, Work Room 119): 1 layer 5/8" gyp board to deck 12'-6.375" | parapet roof side: 5/8" exterior gyp sheathing 12'-6.375" to 17'-5"</t>
  </si>
  <si>
    <t xml:space="preserve">A02.01 -&gt; 2/A09.02 (titled NORTH ELEVATION, is the SOUTH facade) -&gt; F/A09.22 (Section F, T/STUD LP 17'-5", T/STEEL 12'-6 3/8") -&gt; 14/A09.27 (HM door head 8'-2") -&gt; 13/A09.27 -&gt; 7/A09.26 (side canopy) -&gt; 12/A09.27 -&gt; S2.20 (B.O.D. 12'-6 3/8" @ A; canopy C10x15.3) -&gt; 13/S5.10 -&gt; 11/S5.10 -&gt; S5.20</t>
  </si>
  <si>
    <t xml:space="preserve">L_frame source: S2.20 printed 52'-4" (grid 3-8) = A02.01 grid dims 12'-4"+6'-1 1/2"+15'-11"+5'-8"+12'-3 1/2". L_interior: A02.01 printed 51'-8 3/4" (interior face to interior face; vector 911.88-&gt;1843.08 = 931.2pt). Stud height slab-&gt;B.O.D. 12'-6.375" [DERIVADO S2.20 B.O.D. - T/SLAB 0'-0"]; parapet B.O.D.-&gt;T/STUD 17'-5" (4'-10.625"). Openings (from storefront/window frames on elevations + plan, not door schedule): HM door 123 (exterior egress): R.O. 3'-4" x 8'-2" (head 8'-2" per 14/A09.27; width = plan gap 60pt/18). Canopy band length on this run: 23.00 ft. B.O.D. constant along grid A = 12'-6 3/8" (slope runs N-S, S2.20 SLOPE arrow).</t>
  </si>
  <si>
    <t xml:space="preserve">EXT-W1</t>
  </si>
  <si>
    <t xml:space="preserve">A02.01 WEST facade (grid 3) - grid A to B (low sloped roof zone), Restrooms 113/114 / Janitor 112 / Wellness 115</t>
  </si>
  <si>
    <t xml:space="preserve">exterior face: composite metal panel/ACM/stucco (NIC) on AWB on 5/8" FRT plywood bonded to 2-1/2" polyiso from T/BASE 0'-6" to T/STUD 17'-5", 5/8" glass mat at base strip and canopy band | interior face (Women's 114, Men's 113, Janitor 112, Wellness 115): 1 layer 5/8" gyp board to deck 13'-0.625" | parapet roof side: 5/8" exterior gyp sheathing 13'-0.625" to 17'-5"</t>
  </si>
  <si>
    <t xml:space="preserve">A02.01 -&gt; 2/A09.01 (WEST ELEVATION) -&gt; 12/A09.27 (stucco base) -&gt; 4/A09.26 -&gt; 1/A08.01 (enlarged restrooms) -&gt; S2.20 -&gt; 11/S5.10 -&gt; S5.20</t>
  </si>
  <si>
    <t xml:space="preserve">L_frame source: S2.20 printed B-A 25'-3". L_interior: vector A02.01 grid B to interior face y=1693.44. Stud height slab-&gt;B.O.D. 13'-0.625" [DERIVADO S2.20 B.O.D. - T/SLAB 0'-0"]; parapet B.O.D.-&gt;T/STUD 17'-5" (4'-4.375"). Openings (from storefront/window frames on elevations + plan, not door schedule): none. Canopy band length on this run: 0.00 ft. Sloped low roof: heights taken at HIGH end (grid B, B.O.D. 13'-0 5/8"); at grid A B.O.D. = 12'-6 3/8" (RFI-w3-06 gives delta).</t>
  </si>
  <si>
    <t xml:space="preserve">EXT-W2</t>
  </si>
  <si>
    <t xml:space="preserve">A02.01 WEST facade (grid 3) - grid B to D (high roof zone), Offices 109/110</t>
  </si>
  <si>
    <t xml:space="preserve">exterior face: composite metal panel/ACM/stucco (NIC) on AWB on 5/8" FRT plywood bonded to 2-1/2" polyiso from T/BASE 0'-6" to T/STUD 17'-5", 5/8" glass mat at base strip and canopy band | interior face (Office 5 CB 109, Office 6 CB 110): 1 layer 5/8" gyp board to deck 15'-4.5" | parapet roof side: 5/8" exterior gyp sheathing 15'-4.5" to 17'-5"</t>
  </si>
  <si>
    <t xml:space="preserve">A02.01 -&gt; H/A09.23 (Section H, T.O. PARAPET 1 17'-9", T/STEEL 15'-4 1/2", B/GLAZING 6'-6", T/GLAZING 8'-6") -&gt; 10/A09.27, 11/A09.27 -&gt; 3/A09.25 -&gt; 15/A09.27 (drive up canopy) -&gt; 9/A09.27 -&gt; 4/A09.26 -&gt; S2.20 -&gt; 11/S5.10 -&gt; S5.20</t>
  </si>
  <si>
    <t xml:space="preserve">L_frame source: S2.20 printed D-C 5'-3 1/8" + C-B 17'-5" = 22'-8 1/8". L_interior: vector A02.01 y=848.4 to grid B y=1246.1 = 397.7pt/18. Stud height slab-&gt;B.O.D. 15'-4.5" [DERIVADO S2.20 B.O.D. - T/SLAB 0'-0"]; parapet B.O.D.-&gt;T/STUD 17'-5" (2'-0.5"). Openings (from storefront/window frames on elevations + plan, not door schedule): Window GL-2 Office 109: R.O. 8'-0" x 2'-0" (sill 6'-6", head 8'-6"); Window GL-2 Office 110: R.O. 8'-0" x 2'-0" (sill 6'-6", head 8'-6"). Canopy band length on this run: 22.68 ft.</t>
  </si>
  <si>
    <t xml:space="preserve">EXT-W3</t>
  </si>
  <si>
    <t xml:space="preserve">A02.01 WEST step return (grid D) - grid 2 to 3, ATM Room 102 (faces south under drive-up canopy)</t>
  </si>
  <si>
    <t xml:space="preserve">exterior face: composite metal panel/ACM/stucco (NIC) on AWB on 5/8" FRT plywood bonded to 2-1/2" polyiso from T/BASE 0'-6" to T/STUD 19'-8", 5/8" glass mat at base strip and canopy band | interior face (ATM Room 102): 1 layer 5/8" gyp board to deck 15'-4.5" | parapet roof side: 5/8" exterior gyp sheathing 15'-4.5" to 19'-8"</t>
  </si>
  <si>
    <t xml:space="preserve">A02.01 -&gt; 2/A09.02 (keynote 2 end flashing at parapet height change) -&gt; 2/A09.01 -&gt; 4/A09.26 -&gt; S2.20 -&gt; 11/S5.10</t>
  </si>
  <si>
    <t xml:space="preserve">L_frame source: A02.01 printed grid 2-3 3'-10 1/2". L_interior: vector A02.01 interior faces x=841.56 to 911.88 = 70.32pt/18. Stud height slab-&gt;B.O.D. 15'-4.5" [DERIVADO S2.20 B.O.D. - T/SLAB 0'-0"]; parapet B.O.D.-&gt;T/STUD 19'-8" (4'-3.5"). Openings (from storefront/window frames on elevations + plan, not door schedule): none. Canopy band length on this run: 3.88 ft.</t>
  </si>
  <si>
    <t xml:space="preserve">EXT-W4</t>
  </si>
  <si>
    <t xml:space="preserve">A02.01 WEST facade (grid 2) - grid D to F (vestibule block, parapet 2), Vestibule 100 / 24 HR Vestibule 101 / ATM Room 102</t>
  </si>
  <si>
    <t xml:space="preserve">exterior face: composite metal panel/ACM/stucco (NIC) on AWB on 5/8" FRT plywood bonded to 2-1/2" polyiso from T/BASE 0'-6" to T/STUD 19'-8", 5/8" glass mat at base strip and canopy band | interior face (Vestibule 100, 24 HR Vestibule 101, ATM Room 102): 1 layer 5/8" gyp board to deck 15'-4.5" | parapet roof side: 5/8" exterior gyp sheathing 15'-4.5" to 19'-8"</t>
  </si>
  <si>
    <t xml:space="preserve">A02.01 -&gt; J/A09.23 (Section J, T.O. PARAPET 2 20'-0", T/STEEL 15'-4 1/2") -&gt; 2/A09.26 (storefront head) -&gt; 6/A09.26 (storefront base) -&gt; 15/A09.27, 16/A09.27 (drive up canopy) -&gt; 7/A08.11 (ATM room plan), 9/A08.11 (ATM west elev, METAL STUD BOX BEAM 2'-8", R.O. 2'-7 1/4") -&gt; 4/A09.26 -&gt; S2.20 (HSS9x5x5/8 B.O.S. 8'-7 1/2" on grid 2) -&gt; 11/S5.10</t>
  </si>
  <si>
    <t xml:space="preserve">L_frame source: S2.20 printed F-E 22'-2 3/4" + E-D 5'-9 3/8" = 27'-11 1/8". L_interior: vector A02.01 interior face x=841.56 from y=337.44 to 831.7 = 494.26pt/18. Stud height slab-&gt;B.O.D. 15'-4.5" [DERIVADO S2.20 B.O.D. - T/SLAB 0'-0"]; parapet B.O.D.-&gt;T/STUD 19'-8" (4'-3.5"). Openings (from storefront/window frames on elevations + plan, not door schedule): Vestibule 100 west storefront (AF-2/GL-2): 6'-6" wide x 8'-6" head from slab (HSS steel header by others; cripples from HSS T.O.S. 9'-4.5" to B.O.D.); Drive-up ATM NHA 9D TTW rough opening: R.O. 2'-7.25" x 2'-8.25" (sill 4'-0", head 6'-8.25"). Canopy band length on this run: 28.01 ft. FRONTIER: interior face at 24 HR VESTIBULE 101 (approx. y 462-&gt;745pt, 15.7 LF x 15'-4 1/2" = ~242 SF of the board above) shows a hatched liner (NEW PARTITION WITH KEVLAR REINFORCEMENT, A1K/A5K per legend) - if w1/w2 counts that liner with its own board, drop this portion here (RFI-w3-10). Walk-up ATM (NHA 9T) is in the interior diagonal wall (not this item). DU ATM R.O. deducted only as 2'-7 1/4" x 2'-8 1/4" [DERIVADO A08.11]; FRT 2x4/4x4 framing and plywood plinth by w5.</t>
  </si>
  <si>
    <t xml:space="preserve">EXT-CANOPY-N</t>
  </si>
  <si>
    <t xml:space="preserve">Canopy/marquee: fascia 3-5/8" metal stud framing + 5/8" ext. grade FRT plywood (composite metal panel EPS-1 by others); soffit 3-5/8" metal stud framing + 5/8" ext. grade FRT plywood (PT-4 stucco by others)</t>
  </si>
  <si>
    <t xml:space="preserve">A04.01 / A02.01 NORTH canopy strip along grid F (grid 1 to beyond grid 8), 1/A09.01 + 3/A09.26</t>
  </si>
  <si>
    <t xml:space="preserve">fascia outer face + top: 5/8" FRT plywood (2'-5.75" girth) | soffit underside: 5/8" FRT plywood 329.5 SF</t>
  </si>
  <si>
    <t xml:space="preserve">A02.01 / A04.01 (canopy outline, PT-4 soffit) -&gt; A09.01/A09.02 (T/CANOPY 12'-8", B/CANOPY 10'-6") -&gt; A09.21/A09.22/A09.23 sections -&gt; 3/A09.26 (entrance canopy) -&gt; 7/A09.26 (side canopy) -&gt; 15/A09.27, 16/A09.27 (drive up canopy) -&gt; S2.20 (B.O.D. 11'-9" TYP. @ CANOPY, NO SLOPE; canopy beams C10x15.3/C12x30) -&gt; 8/S5.10, 13/S5.10</t>
  </si>
  <si>
    <t xml:space="preserve">EXT-CANOPY, ALC-14, ALC-10</t>
  </si>
  <si>
    <t xml:space="preserve">Fascia length source: vector A04.01: outer fascia y=238.44pt x=507.48-&gt;1914.36 (1406.88pt); soffit inside fascia x=516.84-&gt;1904.88 by y=247.92-&gt;320.04 (building outer face) = 1388.04 x 72.12 pt2/324, + 0.53' x (26'-3" + 12'-6 3/4") at storefront bays where glass line is ~9.5pt inboard. Canopy steel, deck, TPO, EPS-1 panels, PT-4 stucco and SA-4 soffit vents are NIC (other trades).</t>
  </si>
  <si>
    <t xml:space="preserve">EXT-CANOPY-W</t>
  </si>
  <si>
    <t xml:space="preserve">A04.01 / A02.01 WEST drive-up canopy (grid 1 to grid 2/3, grid G/F to B), 2/A09.01 + 15/A09.27 + 16/A09.27</t>
  </si>
  <si>
    <t xml:space="preserve">fascia outer face + top: 5/8" FRT plywood (2'-5.75" girth) | soffit underside: 5/8" FRT plywood 958.0 SF</t>
  </si>
  <si>
    <t xml:space="preserve">Fascia length source: vector A04.01: west fascia x=507.48 y=238.44-&gt;1255.8 (1017.36pt) + south fascia y=1255.8 x=507.48-&gt;894.48 (387pt); soffit = (824.76-516.84)x(848.4-320.04) + (894.48-516.84)x(1246.44-848.4) pt2/324 - 4 column enclosures 1'-5"x1'-5" (5/A09.25). Canopy steel, deck, TPO, EPS-1 panels, PT-4 stucco and SA-4 soffit vents are NIC (other trades).</t>
  </si>
  <si>
    <t xml:space="preserve">EXT-CANOPY-E</t>
  </si>
  <si>
    <t xml:space="preserve">A04.01 / A02.01 EAST canopy strip along grid 8 (F to B.2), 1/A09.02 + D/A09.22 + 7/A09.26</t>
  </si>
  <si>
    <t xml:space="preserve">fascia outer face + top: 5/8" FRT plywood (2'-5.75" girth) | soffit underside: 5/8" FRT plywood 117.3 SF</t>
  </si>
  <si>
    <t xml:space="preserve">Fascia length source: vector A04.01: fascia x=1914.36 y=238.44-&gt;1184.88 (946.44pt) + south return y=1184.88 x=1860.48-&gt;1914.36 (53.88pt); soffit (1904.88-1860.48)x(1175.76-320.04) pt2/324. Canopy steel, deck, TPO, EPS-1 panels, PT-4 stucco and SA-4 soffit vents are NIC (other trades).</t>
  </si>
  <si>
    <t xml:space="preserve">EXT-CANOPY-S</t>
  </si>
  <si>
    <t xml:space="preserve">A04.01 / A02.01 SOUTH canopy over HM door 123 (grid 3.4 to 5+), 2/A09.02 + 7/A09.26 + 13/S5.10</t>
  </si>
  <si>
    <t xml:space="preserve">fascia outer face + top: 5/8" FRT plywood (2'-5.75" girth) | soffit underside: 5/8" FRT plywood 54.3 SF</t>
  </si>
  <si>
    <t xml:space="preserve">Fascia length source: vector A04.01: fascia y=1764.96 x=947.64-&gt;1361.64 (414pt) + 2 end returns (1764.96-1710.84)=54.12pt; soffit (1351.44-957.0)x(1755.48-1710.84) pt2/324. Canopy steel, deck, TPO, EPS-1 panels, PT-4 stucco and SA-4 soffit vents are NIC (other trades).</t>
  </si>
  <si>
    <t xml:space="preserve">EXT-COL-1</t>
  </si>
  <si>
    <t xml:space="preserve">Canopy column enclosure (column wrap) 1'-5" x 1'-5" FOS: 3-5/8" metal framing + 5/8" ext. grade FRT plywood (PT-03 stucco by others)</t>
  </si>
  <si>
    <t xml:space="preserve">A02.01 west column line grid 1 at grids G, E.4, C.5, B.2 (4 columns; callouts 5/A09.25 x3 + 5/A09.25 SIM x1)</t>
  </si>
  <si>
    <t xml:space="preserve">4 faces each column: 5/8" FRT plywood slab to B/canopy 10'-7 1/4"</t>
  </si>
  <si>
    <t xml:space="preserve">A02.01 (5/A09.25 at grid 1/G, 1/E.4, 1/C.5, 1/B.2 SIM) -&gt; 5/A09.25 DETAIL @ CANOPY COLUMN -&gt; 2/A09.01 (PT-3 columns to B/CANOPY 10'-6") -&gt; 16/A09.27 (B/STUD 10'-7 1/4") -&gt; S2.20 (HSS columns on grid 1)</t>
  </si>
  <si>
    <t xml:space="preserve">EXT-COLUMNS, ALC-15, ALC-10</t>
  </si>
  <si>
    <t xml:space="preserve">Enclosure perimeter 4 x 1'-5" = 5'-8" per column [DERIVADO 5/A09.25: 1'-2 1/2" FOS + 2 1/2" FOS]; plumbing drain lines inside (NIC). 4" pipe bollards NIC.</t>
  </si>
  <si>
    <t xml:space="preserve">EXT-PIERS</t>
  </si>
  <si>
    <t xml:space="preserve">Storefront pier column enclosures at Vestibule 100 (HSS columns at F/2 and F/4): 3-5/8" metal furring + 5/8" gyp interior + 3/4" FRT plywood at storefront jambs (6" CFMF and exterior FRT/polyiso counted in EXT-N1)</t>
  </si>
  <si>
    <t xml:space="preserve">A02.01 grid F/2 and F/4 (vestibule 100 corners)</t>
  </si>
  <si>
    <t xml:space="preserve">interior (Vestibule 100): 5/8" gyp to deck | jambs: 3/4" FRT plywood</t>
  </si>
  <si>
    <t xml:space="preserve">A02.01 -&gt; 1/A12.10 (24 HR VESTIBULE PLAN, calls 1/A09.25 and 2/A09.25) -&gt; 1/A09.25, 2/A09.25 DETAIL @ STOREFRONT PIER -&gt; S2.20 (HSS columns)</t>
  </si>
  <si>
    <t xml:space="preserve">EXT-COLUMNS, ALC-15, ALC-10, EXT-WALLS</t>
  </si>
  <si>
    <t xml:space="preserve">Pier geometry approximated from detail graphic; quantities DERIVADO, verify in shop drawings.</t>
  </si>
  <si>
    <t xml:space="preserve">CIELO-100</t>
  </si>
  <si>
    <t xml:space="preserve">Suspended GWB ceiling GB 10'-0" - 5/8" gyp on 7/8" hat furring / 1-1/2" CRC / hanger wire (suspension basis RFI-w4-01)</t>
  </si>
  <si>
    <t xml:space="preserve">A04.01 between grids 2/3-4, F to ~E.4 (north of 24HR vestibule)</t>
  </si>
  <si>
    <t xml:space="preserve">ceiling underside: 1 layer 5/8" gyp, painted P-15 flat (RCP note E, A00.40 P-15 "FLAT FINISH FOR CEILINGS"); finish level not stated (RFI-w4-03)</t>
  </si>
  <si>
    <t xml:space="preserve">A04.01 (GB 10'-0" tag, RCP note E P-15) -&gt; A/A09.21 &amp; B/A09.21 (GYP. BOARD CEILING SYSTEM @ entrance) -&gt; 2/A09.26 (storefront head, scheduled ceiling) -&gt; 1/A12.10 (24HR vestibule plan, dims 4'-9 1/2" + 6'-2" + 4'-8 1/4") -&gt; S2.20 (B.O.D. EL. 15'-4 1/2" NO SLOPE, bay F-E) -&gt; J/A09.23 (T/STEEL 15'-4 1/2")</t>
  </si>
  <si>
    <t xml:space="preserve">w4</t>
  </si>
  <si>
    <t xml:space="preserve">RCP-CEILINGS, RCP-SUSPENSION, ALC-11, ALC-12</t>
  </si>
  <si>
    <t xml:space="preserve">Suspension spacing NOT shown on any sheet (A09.33 has no GWB suspended ceiling detail) - basis ASTM C754 typical, RFI-w4-01: 1-1/2" CRC @ 48" O.C., hangers @ 48" O.C. along each CRC, 7/8" hat furring @ 16" O.C. perpendicular; line count = ceil((D-0.5ft)/spacing)+1 evenly spaced, first line 3" off wall; chords measured on the vector polygon.</t>
  </si>
  <si>
    <t xml:space="preserve">CIELO-101</t>
  </si>
  <si>
    <t xml:space="preserve">A04.01 between grids 2/3-4, south of Vestibule 100, bounded by diagonal wall to ATM Room 102</t>
  </si>
  <si>
    <t xml:space="preserve">A04.01 (GB 10'-0") -&gt; 1/A12.10 + 4,5,6,7/A12.10 (scheduled ceiling refer to RCP; metal stud box header over glass = wall scope) -&gt; S2.20 (B.O.D. 15'-4 1/2", bay F-E) -&gt; J/A09.23</t>
  </si>
  <si>
    <t xml:space="preserve">CIELO-104</t>
  </si>
  <si>
    <t xml:space="preserve">Suspended GWB ceiling GB 11'-0" - 5/8" gyp on 7/8" hat furring / 1-1/2" CRC / hanger wire (suspension basis RFI-w4-01)</t>
  </si>
  <si>
    <t xml:space="preserve">A04.01 between grids 4/5-6, from ~F+5' to just south of D (centre of Central Zone 103), south edge on Calling Cubes 122 north wall</t>
  </si>
  <si>
    <t xml:space="preserve">A04.01 (GB 11'-0" island inside CENTRAL ZONE 103 ACT-4 11'-6"; printed 30'-0" length) -&gt; 7/A09.33 TYPICAL CEILING TRANSITION (typical, NOT keyed on RCP - RFI-w4-06) -&gt; S2.20 (B.O.D. 15'-4 1/2" bay F-E) -&gt; H/A09.23 (T/STEEL 15'-4 1/2" at grid 3, E-B zone)</t>
  </si>
  <si>
    <t xml:space="preserve">CIELO-114</t>
  </si>
  <si>
    <t xml:space="preserve">Suspended GWB ceiling GB 8'-6" - 5/8" gyp on 7/8" hat furring / 1-1/2" CRC / hanger wire (suspension basis RFI-w4-01)</t>
  </si>
  <si>
    <t xml:space="preserve">A04.01 between grids 3-4, just south of grid B (west of Corridor 111)</t>
  </si>
  <si>
    <t xml:space="preserve">A04.01 (GB 8'-6", keynote 11 sound batt above ceiling) -&gt; A08.01 (toilet room finish: P-15) -&gt; S2.20 (roof bay B-A, B.O.D. 13'-0 5/8" @B sloping to 12'-6 3/8" @A) -&gt; E/A09.22 (T/STEEL 12'-11 1/8" check)</t>
  </si>
  <si>
    <t xml:space="preserve">CIELO-113</t>
  </si>
  <si>
    <t xml:space="preserve">A04.01 between grids 3-4, south of Women's 114 (west of Corridor 111)</t>
  </si>
  <si>
    <t xml:space="preserve">A04.01 (GB 8'-6", keynote 11 sound batt above ceiling) -&gt; A08.01 -&gt; S2.20 (bay B-A sloped) -&gt; E/A09.22</t>
  </si>
  <si>
    <t xml:space="preserve">SOFFIT-01</t>
  </si>
  <si>
    <t xml:space="preserve">CSR soffit GB 8'-0" - 3-5/8" metal stud framing @ 16" O.C. hung from deck, 5/8" gyp bottom + 2 faces, corner bead</t>
  </si>
  <si>
    <t xml:space="preserve">A04.01 between grids 7-8, straddling grid B, between CENTRAL ZONE 103 (ACT-4 9'-0") and CASH WINDOW 116 (ACT-4 9'-0"), pier to pier</t>
  </si>
  <si>
    <t xml:space="preserve">bottom 3'-5" wide at 8'-0" AFF; west face (Central Zone 103) and east face (Cash Window 116) 1'-0" visible to 9'-0" ACT + 6" above; ends abut piers; paint P-18 all sides (9/A12.08)</t>
  </si>
  <si>
    <t xml:space="preserve">A04.01 (GB 8'-0" hatch, 3'-5" &amp; 1'-1" dims) -&gt; 4/A12.08 RCP-CSR LINE (GB 8'-0", P-18, 3'-5", 6'-0" fixture CLs) -&gt; 1/A12.08 (12'-0 1/4" R.O. HOLD, 13'-2 1/4", 3'-5") -&gt; 9/A12.08 CSR LINE SECTION (3-5/8" studs @16" O.C., 5/8" FRT plywood blocking, corner bead, P-18 all sides) -&gt; 10/A09.33 CEILING DETAIL @ CSR SOFFIT (cont. track + PAF to deck, alternate purlin detail, cont. corner bead, ceiling trim, FRTW blocking, 6" above ceiling) -&gt; 6/A09.33 INTERIOR TRIMLESS FIXTURE (3-5/8" framing @16", gypsum edge trim) -&gt; S2.20 B.O.D.</t>
  </si>
  <si>
    <t xml:space="preserve">CONFIRMADO / DERIVADO / PENDIENTE</t>
  </si>
  <si>
    <t xml:space="preserve">RCP-SOFFITS, ALC-13</t>
  </si>
  <si>
    <t xml:space="preserve">Only GWB soffit/drop found on A04.01 interior. Detail 8/A09.33 TYPICAL BULKHEAD not keyed anywhere on A04.01 (office bulkheads 8/9 A12.01 belong to w2).</t>
  </si>
  <si>
    <t xml:space="preserve">BLK-WS-111</t>
  </si>
  <si>
    <t xml:space="preserve">Wall stop blocking (WS407CCV) - rule 2'-0" per stop</t>
  </si>
  <si>
    <t xml:space="preserve">A02.01 door 111 (Corridor 111 / Central Zone); wall: A5 #16 (calling-cube west wall, x1234-1245) corridor face - open leaf rests along it</t>
  </si>
  <si>
    <t xml:space="preserve">A5 #16 (calling-cube west wall, x1234-1245) corridor face - open leaf rests along it</t>
  </si>
  <si>
    <t xml:space="preserve">A02.01 door tag -&gt; A00.30 door schedule (HW group) -&gt; A00.30 HARDWARE GROUPS -&gt; sheet note D</t>
  </si>
  <si>
    <t xml:space="preserve">w5</t>
  </si>
  <si>
    <t xml:space="preserve">BLOCKING, ALC-16</t>
  </si>
  <si>
    <t xml:space="preserve">Wall identified from the open-leaf position drawn on A02.01 (A02.01 note B hinge 6" from perpendicular partition) [DERIVADO]. Doors WITHOUT wall stop (verified in A00.30 HW groups): 102 (11C), 112 (09), 120 (10A), 121 (10B), 122 (11D = FLOOR STOP FS436), 123 (13), aluminum 100/100A/101/103/105-110 (no wall stop).</t>
  </si>
  <si>
    <t xml:space="preserve">BLK-WS-113</t>
  </si>
  <si>
    <t xml:space="preserve">A02.01 door 113 (Men's Restroom 113); wall: B #20 (men's/janitor wall, y1508-1515) men's face</t>
  </si>
  <si>
    <t xml:space="preserve">B #20 (men's/janitor wall, y1508-1515) men's face</t>
  </si>
  <si>
    <t xml:space="preserve">BLK-WS-114</t>
  </si>
  <si>
    <t xml:space="preserve">A02.01 door 114 (Women's Restroom 114); wall: G #52 (women's north wall, y1227-1236) women's face</t>
  </si>
  <si>
    <t xml:space="preserve">G #52 (women's north wall, y1227-1236) women's face</t>
  </si>
  <si>
    <t xml:space="preserve">BLK-WS-115</t>
  </si>
  <si>
    <t xml:space="preserve">A02.01 door 115 (Wellness 115); wall: exterior south wall (EXT-S band y1693-1711) interior face, wellness</t>
  </si>
  <si>
    <t xml:space="preserve">exterior south wall (EXT-S band y1693-1711) interior face, wellness</t>
  </si>
  <si>
    <t xml:space="preserve">BLK-WS-116</t>
  </si>
  <si>
    <t xml:space="preserve">A02.01 door 116 (Cash Window 116 side); wall: A1 #9 (y1488-1495) cash-window (north) face, west end</t>
  </si>
  <si>
    <t xml:space="preserve">A1 #9 (y1488-1495) cash-window (north) face, west end</t>
  </si>
  <si>
    <t xml:space="preserve">BLK-WS-117</t>
  </si>
  <si>
    <t xml:space="preserve">A02.01 door 117 (Storage 117 -&gt; swings into Corridor 111); wall: B2 #27 (x1123-1134) corridor face at hinge jamb [leaf has no wall to rest on - see RFI-w5-07]</t>
  </si>
  <si>
    <t xml:space="preserve">B2 #27 (x1123-1134) corridor face at hinge jamb [leaf has no wall to rest on - see RFI-w5-07]</t>
  </si>
  <si>
    <t xml:space="preserve">BLK-WS-118A</t>
  </si>
  <si>
    <t xml:space="preserve">A02.01 door 118A (Break Room 118 / Central Zone); wall: A1 #7 (x1523-1530, y1324-1355) break-room face</t>
  </si>
  <si>
    <t xml:space="preserve">A1 #7 (x1523-1530, y1324-1355) break-room face</t>
  </si>
  <si>
    <t xml:space="preserve">BLK-WS-118B</t>
  </si>
  <si>
    <t xml:space="preserve">A02.01 door 118B (Break Room 118 (from Corridor 111)); wall: A1 #5 (y1317-1324) break-room (south) face</t>
  </si>
  <si>
    <t xml:space="preserve">A1 #5 (y1317-1324) break-room (south) face</t>
  </si>
  <si>
    <t xml:space="preserve">BLK-WS-119</t>
  </si>
  <si>
    <t xml:space="preserve">A02.01 door 119 (Work Room 119); wall: A1 #9 (y1488-1495) work-room (south) face, east end</t>
  </si>
  <si>
    <t xml:space="preserve">A1 #9 (y1488-1495) work-room (south) face, east end</t>
  </si>
  <si>
    <t xml:space="preserve">BLK-MW01</t>
  </si>
  <si>
    <t xml:space="preserve">Millwork schedule tag MW01: Printer cabinet, full height 8'-4" (B1/A12.03)</t>
  </si>
  <si>
    <t xml:space="preserve">Corridor 111 alcove (NW of Calling Cubes); back wall A1 #2 (x1271-1278) west face</t>
  </si>
  <si>
    <t xml:space="preserve">A02.01 tag -&gt; A00.30 millwork schedule -&gt; 6/A12.03 + 7/A12.03 + 3/A12.03 shelf glide 'BLOCKING'</t>
  </si>
  <si>
    <t xml:space="preserve">Rule: base cabinet/counter 1 run, upper or full-height 2 runs, standards vertical x height.</t>
  </si>
  <si>
    <t xml:space="preserve">BLK-MW05</t>
  </si>
  <si>
    <t xml:space="preserve">Millwork schedule tag MW05: Adjustable shelves on standards (2/A12.04 '7'-0"' standards, 3 standards drawn 6"-EQ-EQ-6")</t>
  </si>
  <si>
    <t xml:space="preserve">Storage 117; wall B #19 (x1065-1072) storage (east) face</t>
  </si>
  <si>
    <t xml:space="preserve">A02.01 tag -&gt; A00.30 millwork schedule -&gt; 1/A12.04 plan 3'-6" -&gt; 2/A12.04 elevation -&gt; 7/A12.04 section 'SCHED. PARTITION REINFORCED TO ACCOMODATE SHELF LOADING'</t>
  </si>
  <si>
    <t xml:space="preserve">BLK-MW06A-W</t>
  </si>
  <si>
    <t xml:space="preserve">Millwork schedule tag MW06A (west instance): Janitor adjustable shelves on standards over mop sink (6/A12.04: 3 standards x 3'-0")</t>
  </si>
  <si>
    <t xml:space="preserve">Janitor Closet 112; west wall = exterior west wall (EXT-O-BAJO band x894-912) interior face, over mop sink</t>
  </si>
  <si>
    <t xml:space="preserve">A02.01 tag -&gt; A00.30 millwork schedule -&gt; 5/A12.04 plan 3'-5 1/2" x 1'-3" -&gt; 6/A12.04 elevation -&gt; 7/A12.04</t>
  </si>
  <si>
    <t xml:space="preserve">BLK-MW06A-E</t>
  </si>
  <si>
    <t xml:space="preserve">Millwork schedule tag MW06A (east instance): Janitor adjustable shelves on standards (second MW06A tag on A02.01 and 1/A08.01)</t>
  </si>
  <si>
    <t xml:space="preserve">Janitor Closet 112; east wall B #19 (x1065-1072) janitor (west) face</t>
  </si>
  <si>
    <t xml:space="preserve">A02.01 tag -&gt; A00.30 millwork schedule -&gt; A02.01 + 1/A08.01 (2nd MW06A tag) -&gt; 6/A12.04 (only elevation)</t>
  </si>
  <si>
    <t xml:space="preserve">BLK-MW07</t>
  </si>
  <si>
    <t xml:space="preserve">Millwork schedule tag MW07: Calling cube base cabinet 6'-7 1/2" + upper open cabinet 2'-6" high full length</t>
  </si>
  <si>
    <t xml:space="preserve">Calling Cubes 122; west wall A5 #15 (x1224-1235) east face</t>
  </si>
  <si>
    <t xml:space="preserve">A02.01 tag -&gt; A00.30 millwork schedule -&gt; 1/A12.05 plan '6'-7 1/2"' -&gt; 2/A12.05 elevation (4'-1 1/2" + 2'-6"; upper 2'-6") -&gt; 4A/4B/A12.05 -&gt; 4/A11.02</t>
  </si>
  <si>
    <t xml:space="preserve">BLK-MW08</t>
  </si>
  <si>
    <t xml:space="preserve">Millwork schedule tag MW08: Break room base cabinet with sink 7'-7"</t>
  </si>
  <si>
    <t xml:space="preserve">Break Room 118; east wall B2 #28 (x1622-1633) break-room (west) face</t>
  </si>
  <si>
    <t xml:space="preserve">A02.01 tag -&gt; A00.30 millwork schedule -&gt; 9/A12.04 plan '7'-7"' -&gt; 10/A12.04 -&gt; 12/A12.04, 3/A12.04 'PROVIDE ADDITIONAL PRESSURE TREATED BLOCKING IN PARTITION' -&gt; 8/A11.02</t>
  </si>
  <si>
    <t xml:space="preserve">BLK-MW11</t>
  </si>
  <si>
    <t xml:space="preserve">Millwork schedule tag MW11: Teller work counter base cabinets 13'-6"</t>
  </si>
  <si>
    <t xml:space="preserve">Cash Window 116; east exterior wall (EXT-E band x1843-1860) interior face</t>
  </si>
  <si>
    <t xml:space="preserve">A02.01 tag -&gt; A00.30 millwork schedule -&gt; 5/A12.05 plan '13'-6"' -&gt; 6/A12.05 -&gt; 7/A12.05 'METAL ANGLE SUPPORT WHERE WALL-SUPPORTED' -&gt; 9/A11.03</t>
  </si>
  <si>
    <t xml:space="preserve">BLK-MW12</t>
  </si>
  <si>
    <t xml:space="preserve">Millwork schedule tag MW12: Teller workroom L counter + 1'-3" deep open uppers</t>
  </si>
  <si>
    <t xml:space="preserve">Work Room 119; north leg on A1 #9 (y1488-1495) work-room face; west leg on B2 #28 (x1622-1633) work-room (east) face</t>
  </si>
  <si>
    <t xml:space="preserve">A02.01 tag -&gt; A00.30 millwork schedule -&gt; 9/A12.05 plan (2'-0" + 5'-0", 2'-0" + 2'-3 1/4") -&gt; 10/A12.05 + 11/A12.05 (upper 2'-6" high, length by vector) -&gt; 11/A12.04 'PROVIDE ADDITIONAL BLOCKING IN PARTITION' -&gt; 10,11/A11.02</t>
  </si>
  <si>
    <t xml:space="preserve">BLK-MW13</t>
  </si>
  <si>
    <t xml:space="preserve">Millwork schedule tag MW13: Cash vault full-height shelving/locking cabinets 11'-8"</t>
  </si>
  <si>
    <t xml:space="preserve">Work Room 119; south exterior wall (EXT-S band y1693-1711) interior face</t>
  </si>
  <si>
    <t xml:space="preserve">A02.01 tag -&gt; A00.30 millwork schedule -&gt; 1/A12.06 plan '11'-8"' -&gt; 2/A12.06 (4'-4" HOLD + 3'-3" + 3'-11 1/2") -&gt; 4/A12.06, 3/A12.06 'PROVIDE ADDITIONAL BLOCKING IN PARITITION AND MOUNT SHELVING UNIT TO STUDS AND BLOCKING ONLY' -&gt; 9/A11.02</t>
  </si>
  <si>
    <t xml:space="preserve">BLK-MW18</t>
  </si>
  <si>
    <t xml:space="preserve">Millwork schedule tag MW18: ATM room cabinet 3'-4" + adjustable shelves on standards 3'-0"</t>
  </si>
  <si>
    <t xml:space="preserve">ATM Room 102; diagonal partition F #40, ATM-ROOM face (F FRT plywood is on the public/vestibule face, 12/A12.01)</t>
  </si>
  <si>
    <t xml:space="preserve">A02.01 tag -&gt; A00.30 millwork schedule -&gt; 8/A12.06 plan '3'-4"' -&gt; 9/A12.06 (standards 2 per section, 3'-0") -&gt; 10/A12.06 -&gt; 8/A08.11</t>
  </si>
  <si>
    <t xml:space="preserve">BLK-MW21</t>
  </si>
  <si>
    <t xml:space="preserve">Millwork schedule tag MW21: Break room open counter w/ supports 10'-0"</t>
  </si>
  <si>
    <t xml:space="preserve">Break Room 118; north wall A1 #5 (y1317-1324) break-room (south) face</t>
  </si>
  <si>
    <t xml:space="preserve">A02.01 tag -&gt; A00.30 millwork schedule -&gt; 5/A12.06 plan '10'-0"' -&gt; 6/A12.06 -&gt; 7/A12.06 'METAL ANGLE ON BOTH SIDES' -&gt; 6/A11.02</t>
  </si>
  <si>
    <t xml:space="preserve">BLK-TA-3-M</t>
  </si>
  <si>
    <t xml:space="preserve">Toilet accessory TA-3: Grab bar 42"</t>
  </si>
  <si>
    <t xml:space="preserve">A08.01 1/A08.01 Men's Restroom 113; west exterior wall interior face (EXT-O-BAJO), elev D</t>
  </si>
  <si>
    <t xml:space="preserve">west exterior wall interior face (EXT-O-BAJO), elev D</t>
  </si>
  <si>
    <t xml:space="preserve">A02.01 -&gt; 1/A08.01 plan tag -&gt; A/B/C/D A08.01 elevation -&gt; legend</t>
  </si>
  <si>
    <t xml:space="preserve">BLOCKING, ALC-16, WET-ZONES</t>
  </si>
  <si>
    <t xml:space="preserve">Elevations A-D are typical for both restrooms (mirrored).</t>
  </si>
  <si>
    <t xml:space="preserve">BLK-TA-4-M</t>
  </si>
  <si>
    <t xml:space="preserve">Toilet accessory TA-4: Grab bar 36"</t>
  </si>
  <si>
    <t xml:space="preserve">A08.01 1/A08.01 Men's Restroom 113; chase wall C1 #39 men's face (behind WC), elev A</t>
  </si>
  <si>
    <t xml:space="preserve">chase wall C1 #39 men's face (behind WC), elev A</t>
  </si>
  <si>
    <t xml:space="preserve">BLK-TA-5-M</t>
  </si>
  <si>
    <t xml:space="preserve">Toilet accessory TA-5: Grab bar 18" vertical</t>
  </si>
  <si>
    <t xml:space="preserve">A08.01 1/A08.01 Men's Restroom 113; west exterior wall interior face, elev D</t>
  </si>
  <si>
    <t xml:space="preserve">west exterior wall interior face, elev D</t>
  </si>
  <si>
    <t xml:space="preserve">BLK-TA-7-M</t>
  </si>
  <si>
    <t xml:space="preserve">Toilet accessory TA-7: ADA LED backlit mirror (A08.01 KN8: GC mounts to face of GWB)</t>
  </si>
  <si>
    <t xml:space="preserve">A08.01 1/A08.01 Men's Restroom 113; chase wall C1 #39 men's face over lav, elev A</t>
  </si>
  <si>
    <t xml:space="preserve">chase wall C1 #39 men's face over lav, elev A</t>
  </si>
  <si>
    <t xml:space="preserve">BLK-TA-8-M</t>
  </si>
  <si>
    <t xml:space="preserve">Toilet accessory TA-8: Automated soap dispenser</t>
  </si>
  <si>
    <t xml:space="preserve">A08.01 1/A08.01 Men's Restroom 113; east lav/alcove wall (B2) men's face, elev B</t>
  </si>
  <si>
    <t xml:space="preserve">east lav/alcove wall (B2) men's face, elev B</t>
  </si>
  <si>
    <t xml:space="preserve">BLK-TA-10-M</t>
  </si>
  <si>
    <t xml:space="preserve">Toilet accessory TA-10: Toilet paper dispenser</t>
  </si>
  <si>
    <t xml:space="preserve">BLK-TA-16-M</t>
  </si>
  <si>
    <t xml:space="preserve">Toilet accessory TA-16: KB208 baby changing station (surface)</t>
  </si>
  <si>
    <t xml:space="preserve">A08.01 1/A08.01 Men's Restroom 113; south wall B #20 men's face, elev C</t>
  </si>
  <si>
    <t xml:space="preserve">south wall B #20 men's face, elev C</t>
  </si>
  <si>
    <t xml:space="preserve">BLK-TA-17-M</t>
  </si>
  <si>
    <t xml:space="preserve">Toilet accessory TA-17: Seat cover dispenser</t>
  </si>
  <si>
    <t xml:space="preserve">BLK-PF-02-M</t>
  </si>
  <si>
    <t xml:space="preserve">Toilet accessory PF-02: Wall-hung lavatory (P00.01 schedule support 'WALL', no carrier listed) - A08.01 note E 'FRT BLOCKING ... FOR ALL TOILET ROOM ACCESSORIES AND FIXTURES'</t>
  </si>
  <si>
    <t xml:space="preserve">A08.01 1/A08.01 Men's Restroom 113; chase wall C1 #39 men's face, elev A</t>
  </si>
  <si>
    <t xml:space="preserve">chase wall C1 #39 men's face, elev A</t>
  </si>
  <si>
    <t xml:space="preserve">REC-TA-13-M</t>
  </si>
  <si>
    <t xml:space="preserve">Toilet accessory TA-13: Hand dryer with ADA recess kit (recessed) - recess framing</t>
  </si>
  <si>
    <t xml:space="preserve">A08.01 Men's Restroom 113; chase wall C1 #39 men's face, elev A</t>
  </si>
  <si>
    <t xml:space="preserve">1/A08.01 -&gt; A/A08.01</t>
  </si>
  <si>
    <t xml:space="preserve">BLOCKING, ALC-17, WET-ZONES</t>
  </si>
  <si>
    <t xml:space="preserve">Recessed unit: header+sill+jambs in studs; size per manufacturer - verify.</t>
  </si>
  <si>
    <t xml:space="preserve">REC-TA-14-M</t>
  </si>
  <si>
    <t xml:space="preserve">Toilet accessory TA-14: Recessed waste receptacle - recess framing</t>
  </si>
  <si>
    <t xml:space="preserve">A08.01 Men's Restroom 113; east alcove return wall (B2) face, elev A</t>
  </si>
  <si>
    <t xml:space="preserve">east alcove return wall (B2) face, elev A</t>
  </si>
  <si>
    <t xml:space="preserve">BLK-TA-3-W</t>
  </si>
  <si>
    <t xml:space="preserve">A08.01 1/A08.01 Women's Restroom 114; west exterior wall interior face (EXT-O-BAJO), elev D</t>
  </si>
  <si>
    <t xml:space="preserve">BLK-TA-4-W</t>
  </si>
  <si>
    <t xml:space="preserve">A08.01 1/A08.01 Women's Restroom 114; chase wall C1 #37 women's face (behind WC), elev A</t>
  </si>
  <si>
    <t xml:space="preserve">chase wall C1 #37 women's face (behind WC), elev A</t>
  </si>
  <si>
    <t xml:space="preserve">BLK-TA-5-W</t>
  </si>
  <si>
    <t xml:space="preserve">A08.01 1/A08.01 Women's Restroom 114; west exterior wall interior face, elev D</t>
  </si>
  <si>
    <t xml:space="preserve">BLK-TA-7-W</t>
  </si>
  <si>
    <t xml:space="preserve">A08.01 1/A08.01 Women's Restroom 114; chase wall C1 #37 women's face over lav, elev A</t>
  </si>
  <si>
    <t xml:space="preserve">chase wall C1 #37 women's face over lav, elev A</t>
  </si>
  <si>
    <t xml:space="preserve">BLK-TA-8-W</t>
  </si>
  <si>
    <t xml:space="preserve">A08.01 1/A08.01 Women's Restroom 114; east lav/alcove wall (B2) men's face, elev B</t>
  </si>
  <si>
    <t xml:space="preserve">BLK-TA-10-W</t>
  </si>
  <si>
    <t xml:space="preserve">BLK-TA-16-W</t>
  </si>
  <si>
    <t xml:space="preserve">A08.01 1/A08.01 Women's Restroom 114; north wall G #52 women's face, elev C</t>
  </si>
  <si>
    <t xml:space="preserve">north wall G #52 women's face, elev C</t>
  </si>
  <si>
    <t xml:space="preserve">BLK-TA-9-W</t>
  </si>
  <si>
    <t xml:space="preserve">Toilet accessory TA-9: Sanitary napkin disposal (women only)</t>
  </si>
  <si>
    <t xml:space="preserve">BLK-TA-17-W</t>
  </si>
  <si>
    <t xml:space="preserve">BLK-PF-02-W</t>
  </si>
  <si>
    <t xml:space="preserve">A08.01 1/A08.01 Women's Restroom 114; chase wall C1 #37 women's face, elev A</t>
  </si>
  <si>
    <t xml:space="preserve">chase wall C1 #37 women's face, elev A</t>
  </si>
  <si>
    <t xml:space="preserve">REC-TA-13-W</t>
  </si>
  <si>
    <t xml:space="preserve">A08.01 Women's Restroom 114; chase wall C1 #37 women's face, elev A</t>
  </si>
  <si>
    <t xml:space="preserve">REC-TA-14-W</t>
  </si>
  <si>
    <t xml:space="preserve">A08.01 Women's Restroom 114; east alcove return wall (B2) face, elev A</t>
  </si>
  <si>
    <t xml:space="preserve">EXCL-TA-6</t>
  </si>
  <si>
    <t xml:space="preserve">Toilet accessory TA-6 - EXCLUDED</t>
  </si>
  <si>
    <t xml:space="preserve">A08.01 restrooms 113/114</t>
  </si>
  <si>
    <t xml:space="preserve">A08.01 legend</t>
  </si>
  <si>
    <t xml:space="preserve">EXCLUSION: utility/coat hook is mounted ON THE DOOR leaf (elev B '4'-0" TO T.O. COAT HOOK' drawn on door) - no wall blocking</t>
  </si>
  <si>
    <t xml:space="preserve">EXCL-TA-12</t>
  </si>
  <si>
    <t xml:space="preserve">Toilet accessory TA-12 - EXCLUDED</t>
  </si>
  <si>
    <t xml:space="preserve">EXCLUSION: underlavatory guard mounts on piping (P00.01 PF-02 'TRUEBRO LAV GUARD') - no blocking</t>
  </si>
  <si>
    <t xml:space="preserve">REC-TA-2-BR</t>
  </si>
  <si>
    <t xml:space="preserve">TA-2 recessed paper towel dispenser - recess framing</t>
  </si>
  <si>
    <t xml:space="preserve">Break Room 118; B2 #28 break-room face above MW08 (8/A11.02)</t>
  </si>
  <si>
    <t xml:space="preserve">B2 #28 break-room face above MW08 (8/A11.02)</t>
  </si>
  <si>
    <t xml:space="preserve">A08.01 legend -&gt; A11.02 8 / 15</t>
  </si>
  <si>
    <t xml:space="preserve">BLOCKING, ALC-17</t>
  </si>
  <si>
    <t xml:space="preserve">REC-TA-2-WL</t>
  </si>
  <si>
    <t xml:space="preserve">Wellness 115; B #21 (y1579-1586) wellness (south) face (15/A11.02, marker 15 = north wall)</t>
  </si>
  <si>
    <t xml:space="preserve">B #21 (y1579-1586) wellness (south) face (15/A11.02, marker 15 = north wall)</t>
  </si>
  <si>
    <t xml:space="preserve">BLK-TA-19</t>
  </si>
  <si>
    <t xml:space="preserve">TA-19 wellness mirror</t>
  </si>
  <si>
    <t xml:space="preserve">Wellness 115; exterior south wall (EXT-S) interior face (14/A11.02)</t>
  </si>
  <si>
    <t xml:space="preserve">A08.01 legend -&gt; 14/A11.02</t>
  </si>
  <si>
    <t xml:space="preserve">BLK-EQ-07</t>
  </si>
  <si>
    <t xml:space="preserve">A00.40 equip 7 combo board 48"W x 36"H (owner, contractor to install)</t>
  </si>
  <si>
    <t xml:space="preserve">Calling Cubes 122; south wall A1 #5 (y1317-1324) calling-cube (north) face - 2/A11.02 (marker 2 = south wall)</t>
  </si>
  <si>
    <t xml:space="preserve">A02.01 note C -&gt; A00.40 equipment schedule / A06.01 -&gt; A11.0x elevation</t>
  </si>
  <si>
    <t xml:space="preserve">BLK-EQ-58-CC</t>
  </si>
  <si>
    <t xml:space="preserve">A00.40 equip 58 security monitor 15" + 113 mounting arm</t>
  </si>
  <si>
    <t xml:space="preserve">Calling Cubes 122; west wall A5 #15 east face (4/A11.02)</t>
  </si>
  <si>
    <t xml:space="preserve">BLK-EQ-58-WR</t>
  </si>
  <si>
    <t xml:space="preserve">A00.40 equip 58 security monitor 17/19" (work room) + arm</t>
  </si>
  <si>
    <t xml:space="preserve">Work Room 119; exterior south wall (EXT-S) interior face above MW13 (9/A11.02)</t>
  </si>
  <si>
    <t xml:space="preserve">BLK-EQ-69-N</t>
  </si>
  <si>
    <t xml:space="preserve">A00.40 equip 69 cork board 36"x48" (drawn landscape 4'-0" wide)</t>
  </si>
  <si>
    <t xml:space="preserve">Break Room 118; north wall A1 #5 break-room face, 2'-6" from west end (6/A11.02)</t>
  </si>
  <si>
    <t xml:space="preserve">BLK-EQ-69-S</t>
  </si>
  <si>
    <t xml:space="preserve">A00.40 equip 69 cork board</t>
  </si>
  <si>
    <t xml:space="preserve">Break Room 118; exterior south wall (EXT-S) interior face (5/A11.02)</t>
  </si>
  <si>
    <t xml:space="preserve">BLK-EQ-CW16</t>
  </si>
  <si>
    <t xml:space="preserve">A06.01 furniture CW-16 Hollman break room lockers FLC1 'PROVIDED &amp; INSTALLED BY GC' + A02.01 key note 5 'PROVIDE BLOCKING IN WALL AS REQUIRED FOR LOCKERS'</t>
  </si>
  <si>
    <t xml:space="preserve">Break Room 118; exterior south wall (EXT-S) interior face (5/A11.02, A02.01 KN5)</t>
  </si>
  <si>
    <t xml:space="preserve">BLK-EQ-03-BR</t>
  </si>
  <si>
    <t xml:space="preserve">equipment hex tag 3 (hook rails 1'-6" x2) - tag not in A00.40 schedule</t>
  </si>
  <si>
    <t xml:space="preserve">Break Room 118; EXT-S interior face (5/A11.02)</t>
  </si>
  <si>
    <t xml:space="preserve">BLK-EQ-FE-BR</t>
  </si>
  <si>
    <t xml:space="preserve">fire extinguisher on bracket 'FE'</t>
  </si>
  <si>
    <t xml:space="preserve">BLK-EQ-24-BR</t>
  </si>
  <si>
    <t xml:space="preserve">A00.40 equip 24 wall-mount phone</t>
  </si>
  <si>
    <t xml:space="preserve">Break Room 118; west wall A1 #8 break-room face near door 118B (7/A11.02)</t>
  </si>
  <si>
    <t xml:space="preserve">BLK-EQ-24-WR</t>
  </si>
  <si>
    <t xml:space="preserve">Work Room 119; north wall A1 #9 work-room face (10/A11.02)</t>
  </si>
  <si>
    <t xml:space="preserve">BLK-EQ-24-WL</t>
  </si>
  <si>
    <t xml:space="preserve">Wellness 115; EXT-S interior face (14/A11.02)</t>
  </si>
  <si>
    <t xml:space="preserve">BLK-EQ-64-WL</t>
  </si>
  <si>
    <t xml:space="preserve">A00.40 equip 64 hand sanitizer</t>
  </si>
  <si>
    <t xml:space="preserve">Wellness 115; B #21 wellness face (15/A11.02)</t>
  </si>
  <si>
    <t xml:space="preserve">BLK-EQ-64-WR</t>
  </si>
  <si>
    <t xml:space="preserve">Work Room 119; exterior east wall (EXT-E) interior face (12/A11.02)</t>
  </si>
  <si>
    <t xml:space="preserve">BLK-EQ-64-CW</t>
  </si>
  <si>
    <t xml:space="preserve">A00.40 equip 64 hand sanitizer (exception window)</t>
  </si>
  <si>
    <t xml:space="preserve">Cash Window 116; EXT-E interior face (9/A11.03)</t>
  </si>
  <si>
    <t xml:space="preserve">BLK-EQ-03-WL</t>
  </si>
  <si>
    <t xml:space="preserve">equipment hex tag 3 (2 single hooks)</t>
  </si>
  <si>
    <t xml:space="preserve">BLK-LADDER</t>
  </si>
  <si>
    <t xml:space="preserve">Roof access ladder to roof hatch (A02.01 KN3/KN4, A04.01 KN9 'PROVIDE BLOCKING AS REQUIRED')</t>
  </si>
  <si>
    <t xml:space="preserve">Janitor Closet 112; south wall B #21 (y1579-1586) janitor (north) face</t>
  </si>
  <si>
    <t xml:space="preserve">BLK-WH-1-PLATFORM</t>
  </si>
  <si>
    <t xml:space="preserve">P00.01 WH-1 on platform above mop sink; 3/P00.01 '2X BLOCKING BETWEEN STUDS (TYP)', 'ATTACH STRAP W/ 3/4" LAG SCREWS INTO BLOCKING STUDS'</t>
  </si>
  <si>
    <t xml:space="preserve">Janitor Closet 112; west wall (EXT-O-BAJO interior face) over mop sink</t>
  </si>
  <si>
    <t xml:space="preserve">PLY-85MONITOR</t>
  </si>
  <si>
    <t xml:space="preserve">85" media monitor (A02.01 KN7, A00.40 equip 93 Legrand LSTU) - 3/4" FRT plywood blocking inline with studs</t>
  </si>
  <si>
    <t xml:space="preserve">Waiting 104 / Central Zone: north face of calling-cube block, C1 #36 bump (media wall 1/A11.01, WC-22)</t>
  </si>
  <si>
    <t xml:space="preserve">C1 #36 waiting-side face</t>
  </si>
  <si>
    <t xml:space="preserve">A02.01 KN7 -&gt; 1/A11.01 -&gt; 13/A12.02 -&gt; 9/A12.02</t>
  </si>
  <si>
    <t xml:space="preserve">PLY-KN6-ELEC</t>
  </si>
  <si>
    <t xml:space="preserve">A02.01 KN6 fire-rated 3/4" plywood backboard, 6" AFF, 8'-0" high - Electrical 120 (3 walls)</t>
  </si>
  <si>
    <t xml:space="preserve">Electrical 120: north B #18 (9'-7"), south B #22 (9'-7"), west A1 #8 (5'-10") electrical faces</t>
  </si>
  <si>
    <t xml:space="preserve">electrical faces</t>
  </si>
  <si>
    <t xml:space="preserve">A02.01 KN6 -&gt; A11.03 2/3/4 -&gt; E02.02 note 29</t>
  </si>
  <si>
    <t xml:space="preserve">BLOCKING, ALC-16, ALC-22</t>
  </si>
  <si>
    <t xml:space="preserve">Not part of any partition type; leader decides if Div 06 / by others.</t>
  </si>
  <si>
    <t xml:space="preserve">PLY-KN6-NER</t>
  </si>
  <si>
    <t xml:space="preserve">A02.01 KN6 fire-rated 3/4" plywood backboard - NER 121</t>
  </si>
  <si>
    <t xml:space="preserve">NER 121: west wall A1 #8 NER face 7'-6"</t>
  </si>
  <si>
    <t xml:space="preserve">NER west face</t>
  </si>
  <si>
    <t xml:space="preserve">A02.01 KN6 -&gt; 5/A11.03 -&gt; E02.02 note 29</t>
  </si>
  <si>
    <t xml:space="preserve">PLY-CSR-SOFFIT</t>
  </si>
  <si>
    <t xml:space="preserve">CSR line soffit - 5/8" fire treated plywood blocking (9/A12.08)</t>
  </si>
  <si>
    <t xml:space="preserve">Central Zone 103 / Cash Window 116 CSR line opening 12'-0 1/4" R.O. (1/A12.08)</t>
  </si>
  <si>
    <t xml:space="preserve">A02.01 -&gt; 1/A12.08 -&gt; 9/A12.08</t>
  </si>
  <si>
    <t xml:space="preserve">FRONTERA w4 (soffit framing/board). Count only once.</t>
  </si>
  <si>
    <t xml:space="preserve">BLK-PF-06-EWC</t>
  </si>
  <si>
    <t xml:space="preserve">PF-06 Elkay EZSTL8WSLK bi-level wall-hung EWC (P00.01 support 'WALL', no carrier listed)</t>
  </si>
  <si>
    <t xml:space="preserve">Corridor 111 alcove east of restroom chase (A02.01, 30"x54" clear)</t>
  </si>
  <si>
    <t xml:space="preserve">A02.01 -&gt; P00.01 schedule -&gt; P01.01</t>
  </si>
  <si>
    <t xml:space="preserve">PENDIENTE</t>
  </si>
  <si>
    <t xml:space="preserve">REC-FEC-1</t>
  </si>
  <si>
    <t xml:space="preserve">FEC-1 fire extinguisher cabinet (A02.01 legend) - recess framing</t>
  </si>
  <si>
    <t xml:space="preserve">Corridor 111 / A5 #15 west face</t>
  </si>
  <si>
    <t xml:space="preserve">A02.01</t>
  </si>
  <si>
    <t xml:space="preserve">REC-FEC-2</t>
  </si>
  <si>
    <t xml:space="preserve">FEC-2 fire extinguisher cabinet (A02.01 legend) - recess framing</t>
  </si>
  <si>
    <t xml:space="preserve">Break Room 118 strip, north face of B #18</t>
  </si>
  <si>
    <t xml:space="preserve">EXCL-72</t>
  </si>
  <si>
    <t xml:space="preserve">A00.40 equip 39/41a/43/56/57 (Diebold/Hamilton pedestals, safe, ATMs) - EXCLUDED</t>
  </si>
  <si>
    <t xml:space="preserve">see scope</t>
  </si>
  <si>
    <t xml:space="preserve">A00.40 / A06.01 / P00.01</t>
  </si>
  <si>
    <t xml:space="preserve">EXCLUSION: floor-standing / ATM by vendor (ATM in partition F w2, plinth 3/A08.11 GC wood framing - not Div 05/09)</t>
  </si>
  <si>
    <t xml:space="preserve">EXCL-73</t>
  </si>
  <si>
    <t xml:space="preserve">A00.40 equip 59/63/102 cameras &amp; 360 motion - EXCLUDED</t>
  </si>
  <si>
    <t xml:space="preserve">EXCLUSION: ceiling mounted (RCP) - no wall blocking</t>
  </si>
  <si>
    <t xml:space="preserve">EXCL-74</t>
  </si>
  <si>
    <t xml:space="preserve">A00.40 equip 61/62/86/94/99/100/101/103/105/106 (holdup, robbery light, contacts, keypad, motion, card readers, fob, transaction camera, teller monitor) - EXCLUDED</t>
  </si>
  <si>
    <t xml:space="preserve">EXCLUSION: light devices on boxes or in millwork - no blocking required by any note</t>
  </si>
  <si>
    <t xml:space="preserve">EXCL-75</t>
  </si>
  <si>
    <t xml:space="preserve">A00.40 equip 9 wall clock - EXCLUDED</t>
  </si>
  <si>
    <t xml:space="preserve">EXCLUSION: 10" battery clock - light, no blocking</t>
  </si>
  <si>
    <t xml:space="preserve">EXCL-76</t>
  </si>
  <si>
    <t xml:space="preserve">A00.40 equip 10/10A/11/12/14/22/23/25/26/26A/30/32/71/112/115 - EXCLUDED</t>
  </si>
  <si>
    <t xml:space="preserve">EXCLUSION: desk/counter technology items - not wall mounted</t>
  </si>
  <si>
    <t xml:space="preserve">EXCL-77</t>
  </si>
  <si>
    <t xml:space="preserve">A00.40 equip 29/51/55/66/96 - EXCLUDED</t>
  </si>
  <si>
    <t xml:space="preserve">EXCLUSION: floor carts / bins / tablet storage - floor standing</t>
  </si>
  <si>
    <t xml:space="preserve">EXCL-78</t>
  </si>
  <si>
    <t xml:space="preserve">A00.40 equip 88 flag pole - EXCLUDED</t>
  </si>
  <si>
    <t xml:space="preserve">EXCLUSION: site (A00.60)</t>
  </si>
  <si>
    <t xml:space="preserve">EXCL-79</t>
  </si>
  <si>
    <t xml:space="preserve">A00.40 equip 93 85" monitor mount - EXCLUDED</t>
  </si>
  <si>
    <t xml:space="preserve">EXCLUSION: covered by PLY-85MONITOR</t>
  </si>
  <si>
    <t xml:space="preserve">EXCL-80</t>
  </si>
  <si>
    <t xml:space="preserve">A00.40 equip 111 wall mount monitor arm / 113 security monitor arm - EXCLUDED</t>
  </si>
  <si>
    <t xml:space="preserve">EXCLUSION: 113 covered by EQ-58 items; 111 not located on any plan/elevation (see revisar)</t>
  </si>
  <si>
    <t xml:space="preserve">EXCL-81</t>
  </si>
  <si>
    <t xml:space="preserve">A06.01 MA-2 monitor arm (dual) - EXCLUDED</t>
  </si>
  <si>
    <t xml:space="preserve">EXCLUSION: desk mounted</t>
  </si>
  <si>
    <t xml:space="preserve">EXCL-82</t>
  </si>
  <si>
    <t xml:space="preserve">A06.01 WHS-FC wellness hand sanitizer - EXCLUDED</t>
  </si>
  <si>
    <t xml:space="preserve">EXCLUSION: floor stand per A06.01 symbol at vestibule (not verified) - see revisar</t>
  </si>
  <si>
    <t xml:space="preserve">EXCL-83</t>
  </si>
  <si>
    <t xml:space="preserve">A11.01/A11.03/A11.04 ARTWORK 4'-0"x4'-0" in offices 105-110 - EXCLUDED</t>
  </si>
  <si>
    <t xml:space="preserve">EXCLUSION: artwork by owner; not equipment/accessory - RFI-w5-13</t>
  </si>
  <si>
    <t xml:space="preserve">EXCL-84</t>
  </si>
  <si>
    <t xml:space="preserve">P00.01 PF-01 water closet - EXCLUDED</t>
  </si>
  <si>
    <t xml:space="preserve">EXCLUSION: ZURN Z1202-ND4 carrier (plumbing scope)</t>
  </si>
  <si>
    <t xml:space="preserve">EXCL-85</t>
  </si>
  <si>
    <t xml:space="preserve">P00.01 FPWH wall hydrant / IMB-1 ice maker box - EXCLUDED</t>
  </si>
  <si>
    <t xml:space="preserve">EXCLUSION: recessed boxes - no blocking</t>
  </si>
  <si>
    <t xml:space="preserve">EXCL-86</t>
  </si>
  <si>
    <t xml:space="preserve">Office bulkhead plywood 8/9/10 A12.01 and partition F FRT plywood 12/A12.01 - EXCLUDED</t>
  </si>
  <si>
    <t xml:space="preserve">EXCLUSION: w2 scope (excluded per assignment)</t>
  </si>
  <si>
    <t xml:space="preserve">WZ-FRP-M</t>
  </si>
  <si>
    <t xml:space="preserve">FRP WC-3 wainscot 5'-0" high above 6" tile cove base (top of FRP 5'-6" AFF)</t>
  </si>
  <si>
    <t xml:space="preserve">A08.01 Men's Restroom 113</t>
  </si>
  <si>
    <t xml:space="preserve">chase C1 #39 9.93 LF=49.6 SF | west exterior wall interior face 6.56 LF=32.8 SF | south B #20 (11.625-3.0 door 112)=8.625 LF=43.1 SF | east door wall B2 (5.06-3.0 door 113)=2.06 LF=10.3 SF | alcove returns B2 (1.51+1.64)=3.15 LF=15.75 SF</t>
  </si>
  <si>
    <t xml:space="preserve">A02.01 -&gt; 1/A08.01 -&gt; 2/A08.01 finish plan -&gt; A-D/A08.01 -&gt; 3/A08.01 -&gt; 7/A08.01 -&gt; A00.40 WC-3</t>
  </si>
  <si>
    <t xml:space="preserve">WET-ZONES, ALC-20</t>
  </si>
  <si>
    <t xml:space="preserve">FRP band height: the 5'-0" dimension IS the FRP band (printed from top of base to top of FRP), so band = 5'-0" [CONFIRMADO]; top AFF = 0.5 + 5.0 = 5.5 ft [DERIVADO].</t>
  </si>
  <si>
    <t xml:space="preserve">WZ-MR-M</t>
  </si>
  <si>
    <t xml:space="preserve">Moisture resistant board RECLASSIFICATION (not new board) behind toilet and lavatory</t>
  </si>
  <si>
    <t xml:space="preserve">A08.01 Men's Restroom 113 - chase wall face C1 #39 men's side (WC on carrier + lav both on this face, elev A)</t>
  </si>
  <si>
    <t xml:space="preserve">C1 chase face</t>
  </si>
  <si>
    <t xml:space="preserve">1/A08.01 -&gt; A/A08.01 -&gt; A04.01</t>
  </si>
  <si>
    <t xml:space="preserve">WET-ZONES, ALC-08</t>
  </si>
  <si>
    <t xml:space="preserve">Do NOT add as new board: deduct same SF from the regular board of the C1 face (w1/w2). Alternate (all restroom faces) in RFI-w5-02.</t>
  </si>
  <si>
    <t xml:space="preserve">WZ-CB-M</t>
  </si>
  <si>
    <t xml:space="preserve">Tile cove base CT-12C substrate - cement board band (trade criterion) [RFI-w5-01]</t>
  </si>
  <si>
    <t xml:space="preserve">all restroom faces, 0-6"</t>
  </si>
  <si>
    <t xml:space="preserve">3/A08.01</t>
  </si>
  <si>
    <t xml:space="preserve">No wall tile anywhere in the project except the 6" cove base (A05.01, A08.01, A00.40 CT-12C). Floor tile CT-16 not our scope.</t>
  </si>
  <si>
    <t xml:space="preserve">WZ-FRP-W</t>
  </si>
  <si>
    <t xml:space="preserve">A08.01 Women's Restroom 114</t>
  </si>
  <si>
    <t xml:space="preserve">chase C1 #37 9.93 LF=49.6 SF | west exterior wall interior face 6.56 LF=32.8 SF | north G #52 11.625 LF=58.1 SF | east door wall (5.02-3.0 door 114)=2.02 LF=10.1 SF | alcove returns (1.54+1.64)=3.18 LF=15.9 SF</t>
  </si>
  <si>
    <t xml:space="preserve">WZ-MR-W</t>
  </si>
  <si>
    <t xml:space="preserve">A08.01 Women's Restroom 114 - chase wall face C1 #37 women's side (WC on carrier + lav both on this face, elev A)</t>
  </si>
  <si>
    <t xml:space="preserve">WZ-CB-W</t>
  </si>
  <si>
    <t xml:space="preserve">WZ-FRP-JAN</t>
  </si>
  <si>
    <t xml:space="preserve">FRP WC-2 (glass fiber reinforced) at mop sink - floor to 4'-0" AFF, both sides of mop sink</t>
  </si>
  <si>
    <t xml:space="preserve">Janitor Closet 112 NW corner: west exterior wall interior face 2'-0" + north wall B #20 janitor face 2'-0"</t>
  </si>
  <si>
    <t xml:space="preserve">janitor west + north</t>
  </si>
  <si>
    <t xml:space="preserve">A02.01 -&gt; 1/A08.01 -&gt; 4,5/A08.01 -&gt; A05.01 KN6 -&gt; 6/A12.04 -&gt; A00.40</t>
  </si>
  <si>
    <t xml:space="preserve">No MR/cement board called at janitor; alternate MR behind mop sink 2 faces x 2'-0" x 8'-6" = 34 SF (reclass) - leader option.</t>
  </si>
  <si>
    <t xml:space="preserve">WZ-CENSUS</t>
  </si>
  <si>
    <t xml:space="preserve">Wet-zone census (A08.01 x A05.01 x A00.40)</t>
  </si>
  <si>
    <t xml:space="preserve">all rooms</t>
  </si>
  <si>
    <t xml:space="preserve">A08.01 + A05.01 + A00.40 + P00.01</t>
  </si>
  <si>
    <t xml:space="preserve">WET-ZONES</t>
  </si>
  <si>
    <t xml:space="preserve">113 Men's / 114 Women's: WC-3 FRP 5'-0" + CT-12C base + MR behind WC/lav (C1 chase faces) + FD floor drain; 112 Janitor: PF-07 mop sink + WC-2 FRP 4'-0" (2 faces) + WH-1 platform, base B-12/VCT-2 (dry finish); 118 Break Room: PF-04 counter sink in MW08 (PL-7 backsplash) + IMB-1 ice maker box - finish P-15/B-12, no special board; 111 Corridor: PF-06 EWC alcove - CT-14 floor, P-15, no special board; 115 Wellness: TA-2 only (no sink) - dry; 116/119/120/121: dry. No showers, no wall tile.</t>
  </si>
  <si>
    <t xml:space="preserve">MEP-c01</t>
  </si>
  <si>
    <t xml:space="preserve">Duct 14x12 rect crossing wall whose studs reach structure (A12.01 types A1/A5/B/B2/G/C1/bulkhead: studs/track to underside of structure)</t>
  </si>
  <si>
    <t xml:space="preserve">M01.01 over A02.01 (offset dx=-571.92, dy=21.84, tools/mep.py); A1 #1 (calling cubes north wall y967-975) @x1490</t>
  </si>
  <si>
    <t xml:space="preserve">A1 #1 (calling cubes north wall y967-975) @x1490</t>
  </si>
  <si>
    <t xml:space="preserve">A02.01 wall band -&gt; M01.01 (tools/cruzar_mep.py, verified by image) -&gt; A12.01 type detail</t>
  </si>
  <si>
    <t xml:space="preserve">MEP-CROSS, ALC-17</t>
  </si>
  <si>
    <t xml:space="preserve">A1/A5/G: board stops 6" above ceiling, opening is in studs only (no board cut); B/B2/C1/bulkhead: board to deck, cut + seal.</t>
  </si>
  <si>
    <t xml:space="preserve">MEP-c02</t>
  </si>
  <si>
    <t xml:space="preserve">Duct 10 dia crossing wall whose studs reach structure (A12.01 types A1/A5/B/B2/G/C1/bulkhead: studs/track to underside of structure)</t>
  </si>
  <si>
    <t xml:space="preserve">M01.01 over A02.01 (offset dx=-571.92, dy=21.84, tools/mep.py); A1 #5 (y1317-1324) @x1333</t>
  </si>
  <si>
    <t xml:space="preserve">A1 #5 (y1317-1324) @x1333</t>
  </si>
  <si>
    <t xml:space="preserve">MEP-c03</t>
  </si>
  <si>
    <t xml:space="preserve">Duct 8 dia crossing wall whose studs reach structure (A12.01 types A1/A5/B/B2/G/C1/bulkhead: studs/track to underside of structure)</t>
  </si>
  <si>
    <t xml:space="preserve">M01.01 over A02.01 (offset dx=-571.92, dy=21.84, tools/mep.py); A1 #9 (y1488-1495) @x1722</t>
  </si>
  <si>
    <t xml:space="preserve">A1 #9 (y1488-1495) @x1722</t>
  </si>
  <si>
    <t xml:space="preserve">MEP-c04</t>
  </si>
  <si>
    <t xml:space="preserve">M01.01 over A02.01 (offset dx=-571.92, dy=21.84, tools/mep.py); A1 #9 @x1802</t>
  </si>
  <si>
    <t xml:space="preserve">A1 #9 @x1802</t>
  </si>
  <si>
    <t xml:space="preserve">MEP-c05</t>
  </si>
  <si>
    <t xml:space="preserve">Duct 14 dia crossing wall whose studs reach structure (A12.01 types A1/A5/B/B2/G/C1/bulkhead: studs/track to underside of structure)</t>
  </si>
  <si>
    <t xml:space="preserve">M01.01 over A02.01 (offset dx=-571.92, dy=21.84, tools/mep.py); A5 #14 (x1519-1530) @y1189</t>
  </si>
  <si>
    <t xml:space="preserve">A5 #14 (x1519-1530) @y1189</t>
  </si>
  <si>
    <t xml:space="preserve">MEP-c06</t>
  </si>
  <si>
    <t xml:space="preserve">Duct 12x14 rect crossing wall whose studs reach structure (A12.01 types A1/A5/B/B2/G/C1/bulkhead: studs/track to underside of structure)</t>
  </si>
  <si>
    <t xml:space="preserve">M01.01 over A02.01 (offset dx=-571.92, dy=21.84, tools/mep.py); A5 #17 (x1622-1633) @y1398</t>
  </si>
  <si>
    <t xml:space="preserve">A5 #17 (x1622-1633) @y1398</t>
  </si>
  <si>
    <t xml:space="preserve">MEP-c07</t>
  </si>
  <si>
    <t xml:space="preserve">Duct 8x8 rect crossing wall whose studs reach structure (A12.01 types A1/A5/B/B2/G/C1/bulkhead: studs/track to underside of structure)</t>
  </si>
  <si>
    <t xml:space="preserve">M01.01 over A02.01 (offset dx=-571.92, dy=21.84, tools/mep.py); B #19 (x1065-1072) @y1530</t>
  </si>
  <si>
    <t xml:space="preserve">B #19 (x1065-1072) @y1530</t>
  </si>
  <si>
    <t xml:space="preserve">MEP-c08</t>
  </si>
  <si>
    <t xml:space="preserve">M01.01 over A02.01 (offset dx=-571.92, dy=21.84, tools/mep.py); B2 #27 (x1123-1134) @y1530</t>
  </si>
  <si>
    <t xml:space="preserve">B2 #27 (x1123-1134) @y1530</t>
  </si>
  <si>
    <t xml:space="preserve">MEP-c09a</t>
  </si>
  <si>
    <t xml:space="preserve">Duct ~8 (label illegible, vector 0.64 ft) crossing wall whose studs reach structure (A12.01 types A1/A5/B/B2/G/C1/bulkhead: studs/track to underside of structure)</t>
  </si>
  <si>
    <t xml:space="preserve">M01.01 over A02.01 (offset dx=-571.92, dy=21.84, tools/mep.py); B2 #27 @y1600</t>
  </si>
  <si>
    <t xml:space="preserve">B2 #27 @y1600</t>
  </si>
  <si>
    <t xml:space="preserve">MEP-c09b</t>
  </si>
  <si>
    <t xml:space="preserve">M01.01 over A02.01 (offset dx=-571.92, dy=21.84, tools/mep.py); B2 #27 @y1620</t>
  </si>
  <si>
    <t xml:space="preserve">B2 #27 @y1620</t>
  </si>
  <si>
    <t xml:space="preserve">MEP-c10a</t>
  </si>
  <si>
    <t xml:space="preserve">Duct ~8 (vector 0.67 ft, no label) crossing wall whose studs reach structure (A12.01 types A1/A5/B/B2/G/C1/bulkhead: studs/track to underside of structure)</t>
  </si>
  <si>
    <t xml:space="preserve">M01.01 over A02.01 (offset dx=-571.92, dy=21.84, tools/mep.py); C1 #37 (y1356-1363) @x918</t>
  </si>
  <si>
    <t xml:space="preserve">C1 #37 (y1356-1363) @x918</t>
  </si>
  <si>
    <t xml:space="preserve">MEP-c10b</t>
  </si>
  <si>
    <t xml:space="preserve">Duct ~8 (same duct) crossing wall whose studs reach structure (A12.01 types A1/A5/B/B2/G/C1/bulkhead: studs/track to underside of structure)</t>
  </si>
  <si>
    <t xml:space="preserve">M01.01 over A02.01 (offset dx=-571.92, dy=21.84, tools/mep.py); C1 #39 (y1382-1388) @x918</t>
  </si>
  <si>
    <t xml:space="preserve">C1 #39 (y1382-1388) @x918</t>
  </si>
  <si>
    <t xml:space="preserve">MEP-c11</t>
  </si>
  <si>
    <t xml:space="preserve">Duct 8x10 rect crossing wall whose studs reach structure (A12.01 types A1/A5/B/B2/G/C1/bulkhead: studs/track to underside of structure)</t>
  </si>
  <si>
    <t xml:space="preserve">M01.01 over A02.01 (offset dx=-571.92, dy=21.84, tools/mep.py); G #46 (y913-922) @x1755</t>
  </si>
  <si>
    <t xml:space="preserve">G #46 (y913-922) @x1755</t>
  </si>
  <si>
    <t xml:space="preserve">MEP-c12</t>
  </si>
  <si>
    <t xml:space="preserve">M01.01 over A02.01 (offset dx=-571.92, dy=21.84, tools/mep.py); G #46 @x1821</t>
  </si>
  <si>
    <t xml:space="preserve">G #46 @x1821</t>
  </si>
  <si>
    <t xml:space="preserve">MEP-c13</t>
  </si>
  <si>
    <t xml:space="preserve">M01.01 over A02.01 (offset dx=-571.92, dy=21.84, tools/mep.py); G #47 (y1106-1116) @x1821</t>
  </si>
  <si>
    <t xml:space="preserve">G #47 (y1106-1116) @x1821</t>
  </si>
  <si>
    <t xml:space="preserve">MEP-c14</t>
  </si>
  <si>
    <t xml:space="preserve">M01.01 over A02.01 (offset dx=-571.92, dy=21.84, tools/mep.py); G #48 (y831-840) @x929</t>
  </si>
  <si>
    <t xml:space="preserve">G #48 (y831-840) @x929</t>
  </si>
  <si>
    <t xml:space="preserve">MEP-c15</t>
  </si>
  <si>
    <t xml:space="preserve">M01.01 over A02.01 (offset dx=-571.92, dy=21.84, tools/mep.py); G #49 (y1029-1038) @x1014</t>
  </si>
  <si>
    <t xml:space="preserve">G #49 (y1029-1038) @x1014</t>
  </si>
  <si>
    <t xml:space="preserve">MEP-c16</t>
  </si>
  <si>
    <t xml:space="preserve">M01.01 over A02.01 (offset dx=-571.92, dy=21.84, tools/mep.py); G #52 (y1227-1236) @x987</t>
  </si>
  <si>
    <t xml:space="preserve">G #52 (y1227-1236) @x987</t>
  </si>
  <si>
    <t xml:space="preserve">MEP-c17</t>
  </si>
  <si>
    <t xml:space="preserve">Duct 12x10 rect crossing wall whose studs reach structure (A12.01 types A1/A5/B/B2/G/C1/bulkhead: studs/track to underside of structure)</t>
  </si>
  <si>
    <t xml:space="preserve">M01.01 over A02.01 (offset dx=-571.92, dy=21.84, tools/mep.py); G #52 @x1096</t>
  </si>
  <si>
    <t xml:space="preserve">G #52 @x1096</t>
  </si>
  <si>
    <t xml:space="preserve">MEP-c18</t>
  </si>
  <si>
    <t xml:space="preserve">M01.01 over A02.01 (offset dx=-571.92, dy=21.84, tools/mep.py); G1 #50 (y522-535) @x1823</t>
  </si>
  <si>
    <t xml:space="preserve">G1 #50 (y522-535) @x1823</t>
  </si>
  <si>
    <t xml:space="preserve">MEP-c19</t>
  </si>
  <si>
    <t xml:space="preserve">Duct ~8 (vector 0.64 ft) crossing wall whose studs reach structure (A12.01 types A1/A5/B/B2/G/C1/bulkhead: studs/track to underside of structure)</t>
  </si>
  <si>
    <t xml:space="preserve">M01.01 over A02.01 (offset dx=-571.92, dy=21.84, tools/mep.py); office front BULKHEAD #55 (x1121-1134) @y885</t>
  </si>
  <si>
    <t xml:space="preserve">office front BULKHEAD #55 (x1121-1134) @y885</t>
  </si>
  <si>
    <t xml:space="preserve">MEP-FD1</t>
  </si>
  <si>
    <t xml:space="preserve">Sidewall grille R-2 14x14 w/ FD - framed opening in wall (fire damper sleeve)</t>
  </si>
  <si>
    <t xml:space="preserve">M01.01; Electrical 120 north wall B #18</t>
  </si>
  <si>
    <t xml:space="preserve">Electrical 120 north wall B #18</t>
  </si>
  <si>
    <t xml:space="preserve">M01.01 -&gt; M00.01 legend FD -&gt; M00.03</t>
  </si>
  <si>
    <t xml:space="preserve">MEP-CROSS, ALC-17, ALC-22</t>
  </si>
  <si>
    <t xml:space="preserve">FD in unrated wall: see ALC-22 / RFI-w5-03. Access to FD from ACT-5 ceiling (no wall access panel).</t>
  </si>
  <si>
    <t xml:space="preserve">MEP-FD2</t>
  </si>
  <si>
    <t xml:space="preserve">M01.01; Electrical/NER wall B #22</t>
  </si>
  <si>
    <t xml:space="preserve">Electrical/NER wall B #22</t>
  </si>
  <si>
    <t xml:space="preserve">MEP-FD3</t>
  </si>
  <si>
    <t xml:space="preserve">Sidewall grille S-2 12x8 w/ FD - framed opening in wall (fire damper sleeve)</t>
  </si>
  <si>
    <t xml:space="preserve">M01.01; Electrical east wall B #23</t>
  </si>
  <si>
    <t xml:space="preserve">Electrical east wall B #23</t>
  </si>
  <si>
    <t xml:space="preserve">MEP-FD4</t>
  </si>
  <si>
    <t xml:space="preserve">Sidewall grille S-2 12x12 w/ FD - framed opening in wall (fire damper sleeve)</t>
  </si>
  <si>
    <t xml:space="preserve">M01.01; NER east wall B #23</t>
  </si>
  <si>
    <t xml:space="preserve">NER east wall B #23</t>
  </si>
  <si>
    <t xml:space="preserve">MEP-GWB-VEST</t>
  </si>
  <si>
    <t xml:space="preserve">Linear slot diffusers (LSD) in GWB ceilings - Vestibule 100 (6 segments) + 24HR Vestibule 101 (6 segments)</t>
  </si>
  <si>
    <t xml:space="preserve">A04.01 GB 10'-0" ceilings 100/101 (w4 ceilings)</t>
  </si>
  <si>
    <t xml:space="preserve">ceiling</t>
  </si>
  <si>
    <t xml:space="preserve">M01.01 -&gt; M00.01 -&gt; M00.03 -&gt; A04.01</t>
  </si>
  <si>
    <t xml:space="preserve">A04.01 RCP does not show these diffusers - RFI-w5-06. FRONTERA w4.</t>
  </si>
  <si>
    <t xml:space="preserve">MEP-GWB-RR</t>
  </si>
  <si>
    <t xml:space="preserve">HVAC devices in restroom GWB ceilings (2 per restroom)</t>
  </si>
  <si>
    <t xml:space="preserve">A04.01 GB 8'-6" restrooms 113/114 (w4 ceilings)</t>
  </si>
  <si>
    <t xml:space="preserve">A04.01 -&gt; M01.01</t>
  </si>
  <si>
    <t xml:space="preserve">FRONTERA w4.</t>
  </si>
  <si>
    <t xml:space="preserve">MEP-AP-KN4</t>
  </si>
  <si>
    <t xml:space="preserve">2'x2' locking access panel in GWB ceiling, keyed to main entry</t>
  </si>
  <si>
    <t xml:space="preserve">A04.01 Vestibule 100 GB 10'-0" ceiling</t>
  </si>
  <si>
    <t xml:space="preserve">A04.01 KN4</t>
  </si>
  <si>
    <t xml:space="preserve">CONFIRMADO / DERIVADO</t>
  </si>
  <si>
    <t xml:space="preserve">No other AP tags on M01.01/E02.0x/P01.0x (text search 'AP'/'ACCESS'): RFI-w5-04.</t>
  </si>
  <si>
    <t xml:space="preserve">MEP-PLUMB</t>
  </si>
  <si>
    <t xml:space="preserve">Plumbing chases / pipe penetrations</t>
  </si>
  <si>
    <t xml:space="preserve">P01.01/P01.02 restrooms + janitor</t>
  </si>
  <si>
    <t xml:space="preserve">P01.01 -&gt; P01.02 -&gt; P00.01</t>
  </si>
  <si>
    <t xml:space="preserve">MEP-CROSS</t>
  </si>
  <si>
    <t xml:space="preserve">Restroom piping is inside the C1 chase (4'-1" A08.01; P00.01 PF-01 'CONFIRM CHASE THICKNESS BEFORE ORDERING CARRIERS') - chase framing = wall scope (C1 #37/#39, w1/w2). Pipe crossings found (tools/cruzar_mep.py): P01.02 @ B #20, P01.01 @ G #43, G1 #50, EXT-N, EXT-E x3 - single pipes (n=1-2, &lt;=0.2 ft) through stud knockouts: NO framed opening required. Light fixtures excluded (not ours).</t>
  </si>
  <si>
    <t xml:space="preserve">FO-LIGHT-R11C</t>
  </si>
  <si>
    <t xml:space="preserve">Framed opening for recessed fixture R-11C/R-11CE 12' linear gyp recessed slot (trim flange, mud-in) - fixture by Div 26 EXCLUDED</t>
  </si>
  <si>
    <t xml:space="preserve">A04.01 WAITING 104 GWB ceiling (GB 11'-0"), 4 fixtures tagged R-11 (12')</t>
  </si>
  <si>
    <t xml:space="preserve">ceiling only</t>
  </si>
  <si>
    <t xml:space="preserve">A04.01 RCP (tags R-11 (12') x4 in WAITING 104) -&gt; E00.01 LIGHT FIXTURE SCHEDULE R-11C: '12' LINEAR GYP RECESSED SLOT LED FIXTURE ... TF' -&gt; E02.01 lighting plan</t>
  </si>
  <si>
    <t xml:space="preserve">leader</t>
  </si>
  <si>
    <t xml:space="preserve">Leader item: gap found at integration (w4 handed fixture list to w5, w5 counted diffusers only). R-14A/B and R-15 are 3.5" square downlights (E00.01): board cut-out only, no framed opening. CSR soffit '2 R-11 trimless' (w4) type A/B/C not confirmed -&gt; RFI-L-03.</t>
  </si>
  <si>
    <t xml:space="preserve">FIN-L5-WC18</t>
  </si>
  <si>
    <t xml:space="preserve">Gypsum board finish Level 5 at WC-18 walls (A00.40 WC-18 'WALL SURFACE TO BE LEVEL 5')</t>
  </si>
  <si>
    <t xml:space="preserve">Offices 105-110, one wall each (A05.01 WC-18 tags)</t>
  </si>
  <si>
    <t xml:space="preserve">one face per office</t>
  </si>
  <si>
    <t xml:space="preserve">A05.01 (WC-18 tags) -&gt; A00.40 finish legend WC-18 -&gt; A04.01 ACT-4 9'-0"</t>
  </si>
  <si>
    <t xml:space="preserve">leader (from w5 evidence)</t>
  </si>
  <si>
    <t xml:space="preserve">ALC-24</t>
  </si>
  <si>
    <t xml:space="preserve">Level 5 quantity was in w5's registro evidence but not in an item; leader moved it to a row (integration gap #6). Rest of the job Level 4 assumed.</t>
  </si>
  <si>
    <t xml:space="preserve">TOTALS (net, no waste)</t>
  </si>
  <si>
    <t xml:space="preserve">Input</t>
  </si>
  <si>
    <t xml:space="preserve">Value</t>
  </si>
  <si>
    <t xml:space="preserve">Waste - ALL METAL, any type</t>
  </si>
  <si>
    <t xml:space="preserve">Waste - EVERYTHING THAT IS NOT METAL</t>
  </si>
  <si>
    <t xml:space="preserve">Stock length - metal stud (ft)</t>
  </si>
  <si>
    <t xml:space="preserve">Stock length - track / header / angle (ft)</t>
  </si>
  <si>
    <t xml:space="preserve">Stock length - 1-1/2" C.R. channel: bracing, carrying (ft)</t>
  </si>
  <si>
    <t xml:space="preserve">Stock length - 7/8" furring channel (ft)</t>
  </si>
  <si>
    <t xml:space="preserve">Stock length - trim: corner bead, casing, shadow molding (ft)</t>
  </si>
  <si>
    <t xml:space="preserve">Board sheet width (ft)</t>
  </si>
  <si>
    <t xml:space="preserve">Board sheet length (ft)</t>
  </si>
  <si>
    <t xml:space="preserve">Material</t>
  </si>
  <si>
    <t xml:space="preserve">Unit</t>
  </si>
  <si>
    <t xml:space="preserve">Net</t>
  </si>
  <si>
    <t xml:space="preserve">Source (sheet + detail)</t>
  </si>
  <si>
    <t xml:space="preserve">Operation</t>
  </si>
  <si>
    <t xml:space="preserve">3-5/8" metal stud 362S137-33 (20ga, 33 mil) (LF)</t>
  </si>
  <si>
    <t xml:space="preserve">LF</t>
  </si>
  <si>
    <t xml:space="preserve">PENDING</t>
  </si>
  <si>
    <t xml:space="preserve">3/A12.01 schedule A1: STUD SIZE 3 5/8", GYPSUM BOARD 5/8", WALL THICKNESS 4 7/8", INSULATION YES; S5.20 det 7 "362S137-33 ... INTERIOR WALLS @ 16" O.C."; height = B.O.D. (S2.20)</t>
  </si>
  <si>
    <t xml:space="preserve">field: over MW01 pocket x1223.88-1271.16: floor(31.52 in/16)+1 = 2 x 184.50 in; x1271.16-1519.44: floor(165.52 in/16)+1 = 11 x 184.50 in; additional 3 (T from A1-02 (+2), corner to A5-02 east wall (+1)) x 184.50 in; opening double jambs +0 (9/S5.20 "DBL JAMB STUD") x full height; cripples 0 (above RO, @16") total 0.00 LF -&gt; total 246.00 LF</t>
  </si>
  <si>
    <t xml:space="preserve">bottom track 362T125-33 3-5/8" (20ga) (LF)</t>
  </si>
  <si>
    <t xml:space="preserve">3/A12.01 schedule A1: STUD SIZE 3 5/8", GYPSUM BOARD 5/8", WALL THICKNESS 4 7/8", INSULATION YES; S5.20 det 7 "362S137-33 ... INTERIOR WALLS @ 16" O.C."</t>
  </si>
  <si>
    <t xml:space="preserve">wall length minus door openings = 16.42 ft</t>
  </si>
  <si>
    <t xml:space="preserve">top deflection slip track 362T200-33 3-5/8" (20ga) (LF)</t>
  </si>
  <si>
    <t xml:space="preserve">3/A12.01 "CONTINUOUS SLIP TRACK" at underside of structure; S1.11 note 2 deflection at non-load-bearing walls</t>
  </si>
  <si>
    <t xml:space="preserve">continuous over openings: 16.42 + 0.00 = 16.42 ft</t>
  </si>
  <si>
    <t xml:space="preserve">bracing C.R. channel 1-1/2" @ 48" O.C. (LF)</t>
  </si>
  <si>
    <t xml:space="preserve">1F/S5.20 "1 1/2" C.R. CHANNEL @ 48" O.C." (continuous bridging)</t>
  </si>
  <si>
    <t xml:space="preserve">rows at [48, 96, 144] in AFF; each row = solid length 16.42 ft + openings only where row is above RO head</t>
  </si>
  <si>
    <t xml:space="preserve">5/8" gypsum board regular - face S (SF)</t>
  </si>
  <si>
    <t xml:space="preserve">SF</t>
  </si>
  <si>
    <t xml:space="preserve">3/A12.01 schedule A1: STUD SIZE 3 5/8", GYPSUM BOARD 5/8", WALL THICKNESS 4 7/8", INSULATION YES; A04.01 RCP per room</t>
  </si>
  <si>
    <t xml:space="preserve">S (MW01 pocket, open to structure kn.1 A04.01) over MW01 pocket x1223.88-1271.16: 2.63 ft x 15.38 ft; S (CALLING CUBES 122) x1271.16-1519.44: 13.79 ft x 9.00 ft</t>
  </si>
  <si>
    <t xml:space="preserve">5/8" gypsum board regular - face N (SF)</t>
  </si>
  <si>
    <t xml:space="preserve">N (WAITING 104) over MW01 pocket x1223.88-1271.16: 2.63 ft x 11.50 ft; N (WAITING 104) x1271.16-1519.44: 13.79 ft x 11.50 ft</t>
  </si>
  <si>
    <t xml:space="preserve">batt insulation 3-1/2" (for 3-5/8" stud cavity) (SF)</t>
  </si>
  <si>
    <t xml:space="preserve">3/A12.01 schedule A1: STUD SIZE 3 5/8", GYPSUM BOARD 5/8", WALL THICKNESS 4 7/8", INSULATION YES INSULATION "YES" / "BATT INSULATION"</t>
  </si>
  <si>
    <t xml:space="preserve">cavity height = highest boarded face per segment (B, A1K: to structure); openings net, bands kept</t>
  </si>
  <si>
    <t xml:space="preserve">acoustical sealant continuous (LF)</t>
  </si>
  <si>
    <t xml:space="preserve">3/A12.01 "CONT ACOUS SEALANT" at bottom both sides</t>
  </si>
  <si>
    <t xml:space="preserve">2 x 16.42 (bottom)</t>
  </si>
  <si>
    <t xml:space="preserve">field: y974.76-1038.36: floor(42.40 in/16)+1 = 3 x 184.50 in; additional 1 (corner with A1-03 (+1)) x 184.50 in; opening double jambs +0 (9/S5.20 "DBL JAMB STUD") x full height; cripples 0 (above RO, @16") total 0.00 LF -&gt; total 61.50 LF</t>
  </si>
  <si>
    <t xml:space="preserve">wall length minus door openings = 3.53 ft</t>
  </si>
  <si>
    <t xml:space="preserve">continuous over openings: 3.53 + 0.00 = 3.53 ft</t>
  </si>
  <si>
    <t xml:space="preserve">rows at [48, 96, 144] in AFF; each row = solid length 3.53 ft + openings only where row is above RO head</t>
  </si>
  <si>
    <t xml:space="preserve">5/8" gypsum board regular - face W (SF)</t>
  </si>
  <si>
    <t xml:space="preserve">W (MW01 pocket, open to structure) y974.76-1038.36: 3.53 ft x 15.38 ft</t>
  </si>
  <si>
    <t xml:space="preserve">5/8" gypsum board regular - face E (SF)</t>
  </si>
  <si>
    <t xml:space="preserve">E (CALLING CUBES 122) y974.76-1038.36: 3.53 ft x 9.00 ft</t>
  </si>
  <si>
    <t xml:space="preserve">2 x 3.53 (bottom)</t>
  </si>
  <si>
    <t xml:space="preserve">field: x1223.88-1271.16: floor(31.52 in/16)+1 = 2 x 184.50 in; additional 0 (ends counted in A1-02 / A5-01) x 184.50 in; opening double jambs +0 (9/S5.20 "DBL JAMB STUD") x full height; cripples 0 (above RO, @16") total 0.00 LF -&gt; total 30.75 LF</t>
  </si>
  <si>
    <t xml:space="preserve">wall length minus door openings = 2.63 ft</t>
  </si>
  <si>
    <t xml:space="preserve">continuous over openings: 2.63 + 0.00 = 2.63 ft</t>
  </si>
  <si>
    <t xml:space="preserve">rows at [48, 96, 144] in AFF; each row = solid length 2.63 ft + openings only where row is above RO head</t>
  </si>
  <si>
    <t xml:space="preserve">N (MW01 pocket, open to structure) x1223.88-1271.16: 2.63 ft x 15.38 ft</t>
  </si>
  <si>
    <t xml:space="preserve">S (CALLING CUBES 122 / MW07) x1223.88-1271.16: 2.63 ft x 9.00 ft</t>
  </si>
  <si>
    <t xml:space="preserve">2 x 2.63 (bottom)</t>
  </si>
  <si>
    <t xml:space="preserve">6" metal stud 600S137-33 (20ga, 33 mil) (LF)</t>
  </si>
  <si>
    <t xml:space="preserve">3/A12.01 schedule A5: STUD SIZE 6", GYPSUM BOARD 5/8", WALL THICKNESS 7 1/4", INSULATION YES; S5.20 det 7 METAL STUD PROPERTIES 600S137-33 / 600T125-33 BOTTOM TRACK / 600T200-97 TOP TRACK; height = B.O.D. (S2.20)</t>
  </si>
  <si>
    <t xml:space="preserve">field: y1038.36-1246.1 (north of grid B): floor(138.49 in/16)+1 = 9 x 184.50 in; y1246.1-1257.48: floor(7.59 in/16)+1 = 1 x 156.54 in; additional 3 (T under A1-03 (+1), FEC-1 recessed cabinet jambs y1059-1074 (+2)) x 184.50 in; opening double jambs +2 (9/S5.20 "DBL JAMB STUD") x full height; cripples 2 (above RO, @16") total 11.68 LF -&gt; total 235.24 LF</t>
  </si>
  <si>
    <t xml:space="preserve">bottom track 600T125-33 6" (20ga) (LF)</t>
  </si>
  <si>
    <t xml:space="preserve">3/A12.01 schedule A5: STUD SIZE 6", GYPSUM BOARD 5/8", WALL THICKNESS 7 1/4", INSULATION YES; S5.20 det 7 METAL STUD PROPERTIES 600S137-33 / 600T125-33 BOTTOM TRACK / 600T200-97 TOP TRACK</t>
  </si>
  <si>
    <t xml:space="preserve">wall length minus door openings = 12.17 ft</t>
  </si>
  <si>
    <t xml:space="preserve">top deflection slip track 600T200-97 6" (12ga, per S5.20 TOP TRACK) (LF)</t>
  </si>
  <si>
    <t xml:space="preserve">continuous over openings: 12.17 + 3.13 = 15.30 ft</t>
  </si>
  <si>
    <t xml:space="preserve">header / box beam single track 600T125-43 (18 GA) 6" at door 122 (LF)</t>
  </si>
  <si>
    <t xml:space="preserve">7/S5.20 HEADER SCHEDULE "ALL FLOORS / NON LOAD BRG / INTERIOR / 3'-4" / SINGLE TRACK 18 GAUGE"; 2/S5.20 head track cut &amp; bent to jambs; 10/A12.02 head @ HM frame</t>
  </si>
  <si>
    <t xml:space="preserve">RO 37.52 in (vector) + 2 x 3" tabs = 3.63 ft</t>
  </si>
  <si>
    <t xml:space="preserve">rows at [48, 96, 144] in AFF; each row = solid length 12.17 ft + openings only where row is above RO head</t>
  </si>
  <si>
    <t xml:space="preserve">3/A12.01 schedule A5: STUD SIZE 6", GYPSUM BOARD 5/8", WALL THICKNESS 7 1/4", INSULATION YES; A04.01 RCP per room</t>
  </si>
  <si>
    <t xml:space="preserve">E (CALLING CUBES 122) y1038.36-1246.1 (north of grid B): 11.54 ft x 9.00 ft; E (CALLING CUBES 122) y1246.1-1257.48: 0.63 ft x 9.00 ft; band above door 122: 3.13 ft x (108.00 - 86)/12 = 5.73 SF (below band = 0, door to floor; net opening deducted)</t>
  </si>
  <si>
    <t xml:space="preserve">W (corridor, untagged ceiling) y1038.36-1246.1 (north of grid B): 11.54 ft x 9.00 ft; W (CORRIDOR 111) y1246.1-1257.48: 0.63 ft x 9.00 ft; band above door 122: 3.13 ft x (108.00 - 86)/12 = 5.73 SF (below band = 0, door to floor; net opening deducted)</t>
  </si>
  <si>
    <t xml:space="preserve">batt insulation 6" (for 6" stud cavity) (SF)</t>
  </si>
  <si>
    <t xml:space="preserve">3/A12.01 schedule A5: STUD SIZE 6", GYPSUM BOARD 5/8", WALL THICKNESS 7 1/4", INSULATION YES INSULATION "YES" / "BATT INSULATION"</t>
  </si>
  <si>
    <t xml:space="preserve">2 x 12.17 (bottom)</t>
  </si>
  <si>
    <t xml:space="preserve">field: y967.44-1117.6: floor(100.11 in/16)+1 = 7 x 184.50 in; y1117.6-1246.1: floor(85.67 in/16)+1 = 6 x 184.50 in; y1246.1-1324.08: floor(51.99 in/16)+1 = 4 x 156.09 in; additional 3 (corner A1-01 (+1), T with A1-05 / A1-06 (+2)) x 184.50 in; opening double jambs +0 (9/S5.20 "DBL JAMB STUD") x full height; cripples 0 (above RO, @16") total 0.00 LF -&gt; total 298.03 LF</t>
  </si>
  <si>
    <t xml:space="preserve">wall length minus door openings = 19.81 ft</t>
  </si>
  <si>
    <t xml:space="preserve">continuous over openings: 19.81 + 0.00 = 19.81 ft</t>
  </si>
  <si>
    <t xml:space="preserve">rows at [48, 96, 144] in AFF; each row = solid length 19.81 ft + openings only where row is above RO head</t>
  </si>
  <si>
    <t xml:space="preserve">W (CALLING CUBES 122) y967.44-1117.6: 8.34 ft x 9.00 ft; W (CALLING CUBES 122) y1117.6-1246.1: 7.14 ft x 9.00 ft; W (CALLING CUBES 122) y1246.1-1324.08: 4.33 ft x 9.00 ft</t>
  </si>
  <si>
    <t xml:space="preserve">E (strip in front of offices 107/108) y967.44-1117.6: 8.34 ft x 9.00 ft; E (customer area ACT-4 9'-0") y1117.6-1246.1: 7.14 ft x 9.50 ft; E (customer area ACT-4 9'-0") y1246.1-1324.08: 4.33 ft x 9.50 ft</t>
  </si>
  <si>
    <t xml:space="preserve">2 x 19.81 (bottom)</t>
  </si>
  <si>
    <t xml:space="preserve">field: x1133.88-1160.40: floor(17.68 in/16)+1 = 2 x 184.50 in; additional 1 (end against B2 wall x1123-1134 (+1)) x 184.50 in; opening double jambs +2 (9/S5.20 "DBL JAMB STUD") x full height; cripples 2 (above RO, @16") total 14.42 LF -&gt; total 91.29 LF</t>
  </si>
  <si>
    <t xml:space="preserve">wall length minus door openings = 1.47 ft</t>
  </si>
  <si>
    <t xml:space="preserve">continuous over openings: 1.47 + 3.33 = 4.81 ft</t>
  </si>
  <si>
    <t xml:space="preserve">header / box beam single track 362T125-43 (18 GA) 3-5/8" at door 111 (LF)</t>
  </si>
  <si>
    <t xml:space="preserve">RO 40.00 in (vector) + 2 x 3" tabs = 3.83 ft</t>
  </si>
  <si>
    <t xml:space="preserve">rows at [48, 96, 144] in AFF; each row = solid length 1.47 ft + openings only where row is above RO head</t>
  </si>
  <si>
    <t xml:space="preserve">S (CORRIDOR 111) x1133.88-1160.40: 1.47 ft x 9.00 ft; band above door 111: 3.33 ft x (108.00 - 98)/12 = 2.78 SF (below band = 0, door to floor; net opening deducted)</t>
  </si>
  <si>
    <t xml:space="preserve">N (corridor, untagged) x1133.88-1160.40: 1.47 ft x 9.00 ft; band above door 111: 3.33 ft x (108.00 - 98)/12 = 2.78 SF (below band = 0, door to floor; net opening deducted)</t>
  </si>
  <si>
    <t xml:space="preserve">2 x 1.47 (bottom)</t>
  </si>
  <si>
    <t xml:space="preserve">field: x1220.40-1234.44: floor(9.36 in/16)+1 = 1 x 184.50 in; additional 0 (end into A5-01) x 184.50 in; opening double jambs +0 (9/S5.20 "DBL JAMB STUD") x full height; cripples 0 (above RO, @16") total 0.00 LF -&gt; total 15.38 LF</t>
  </si>
  <si>
    <t xml:space="preserve">wall length minus door openings = 0.78 ft</t>
  </si>
  <si>
    <t xml:space="preserve">continuous over openings: 0.78 + 0.00 = 0.78 ft</t>
  </si>
  <si>
    <t xml:space="preserve">rows at [48, 96, 144] in AFF; each row = solid length 0.78 ft + openings only where row is above RO head</t>
  </si>
  <si>
    <t xml:space="preserve">S (CORRIDOR 111) x1220.40-1234.44: 0.78 ft x 9.00 ft</t>
  </si>
  <si>
    <t xml:space="preserve">N (corridor, untagged) x1220.40-1234.44: 0.78 ft x 9.00 ft</t>
  </si>
  <si>
    <t xml:space="preserve">2 x 0.78 (bottom)</t>
  </si>
  <si>
    <t xml:space="preserve">field: x1234.44-1519.44: floor(190.00 in/16)+1 = 12 x 155.60 in; additional 3 (west end jamb post for doors 122 and 118B (+2), corner A5-02 (+1)) x 155.60 in; opening double jambs +0 (9/S5.20 "DBL JAMB STUD") x full height; cripples 0 (above RO, @16") total 0.00 LF -&gt; total 194.50 LF</t>
  </si>
  <si>
    <t xml:space="preserve">wall length minus door openings = 15.83 ft</t>
  </si>
  <si>
    <t xml:space="preserve">continuous over openings: 15.83 + 0.00 = 15.83 ft</t>
  </si>
  <si>
    <t xml:space="preserve">rows at [48, 96, 144] in AFF; each row = solid length 15.83 ft + openings only where row is above RO head</t>
  </si>
  <si>
    <t xml:space="preserve">N (CALLING CUBES 122) x1234.44-1519.44: 15.83 ft x 9.00 ft</t>
  </si>
  <si>
    <t xml:space="preserve">S (BREAK ROOM 118) x1234.44-1519.44: 15.83 ft x 9.00 ft</t>
  </si>
  <si>
    <t xml:space="preserve">2 x 15.83 (bottom)</t>
  </si>
  <si>
    <t xml:space="preserve">field: vertical y1324.08-1362.60: floor(25.68 in/16)+1 = 2 x 155.29 in; horizontal x1530.24-1553.64: floor(15.60 in/16)+1 = 1 x 155.07 in; additional 1 (corner of L (+1)) x 155.29 in; opening double jambs +2 (9/S5.20 "DBL JAMB STUD") x full height; cripples 2 (above RO, @16") total 9.51 LF -&gt; total 87.10 LF</t>
  </si>
  <si>
    <t xml:space="preserve">wall length minus door openings = 3.44 ft</t>
  </si>
  <si>
    <t xml:space="preserve">continuous over openings: 3.44 + 3.33 = 6.77 ft</t>
  </si>
  <si>
    <t xml:space="preserve">header / box beam single track 362T125-43 (18 GA) 3-5/8" at door 118A (LF)</t>
  </si>
  <si>
    <t xml:space="preserve">rows at [48, 96, 144] in AFF; each row = solid length 3.44 ft + openings only where row is above RO head</t>
  </si>
  <si>
    <t xml:space="preserve">5/8" gypsum board regular - face side 1 (SF)</t>
  </si>
  <si>
    <t xml:space="preserve">side 1 (BREAK ROOM 118) vertical y1324.08-1362.60: 2.14 ft x 9.00 ft; side 1 (BREAK ROOM 118) horizontal x1530.24-1553.64: 1.30 ft x 9.00 ft; band above door 118A: 3.33 ft x (108.00 - 98)/12 = 2.78 SF (below band = 0, door to floor; net opening deducted)</t>
  </si>
  <si>
    <t xml:space="preserve">5/8" gypsum board regular - face side 2 (SF)</t>
  </si>
  <si>
    <t xml:space="preserve">side 2 (customer area) vertical y1324.08-1362.60: 2.14 ft x 9.50 ft; side 2 (customer area) horizontal x1530.24-1553.64: 1.30 ft x 9.50 ft; band above door 118A: 3.33 ft x (114.00 - 98)/12 = 4.44 SF (below band = 0, door to floor; net opening deducted)</t>
  </si>
  <si>
    <t xml:space="preserve">2 x 3.44 (bottom)</t>
  </si>
  <si>
    <t xml:space="preserve">field: y1386.36-1438.80: floor(34.96 in/16)+1 = 3 x 154.34 in; y1438.80-1693.44: floor(169.76 in/16)+1 = 11 x 152.22 in; additional 5 (T from B-01 (+2), T from B-02 (+2), end at exterior wall (+1)) x 154.34 in; opening double jambs +2 (9/S5.20 "DBL JAMB STUD") x full height; cripples 2 (above RO, @16") total 11.51 LF -&gt; total 279.78 LF</t>
  </si>
  <si>
    <t xml:space="preserve">wall length minus door openings = 17.06 ft</t>
  </si>
  <si>
    <t xml:space="preserve">continuous over openings: 17.06 + 3.02 = 20.08 ft</t>
  </si>
  <si>
    <t xml:space="preserve">header / box beam single track 362T125-43 (18 GA) 3-5/8" at door 118B (LF)</t>
  </si>
  <si>
    <t xml:space="preserve">RO 36.24 in (vector) + 2 x 3" tabs = 3.52 ft</t>
  </si>
  <si>
    <t xml:space="preserve">rows at [48, 96, 144] in AFF; each row = solid length 17.06 ft + openings only where row is above RO head</t>
  </si>
  <si>
    <t xml:space="preserve">W (CORRIDOR 111) y1386.36-1438.80: 2.91 ft x 9.00 ft; W (CORRIDOR 111) y1438.80-1693.44: 14.15 ft x 9.00 ft; band above door 118B: 3.02 ft x (108.00 - 86)/12 = 5.54 SF (below band = 0, door to floor; net opening deducted)</t>
  </si>
  <si>
    <t xml:space="preserve">E (BREAK ROOM 118 / FEC-2 alcove) y1386.36-1438.80: 2.91 ft x 9.00 ft; E (ELECTRICAL 120 / NER 121, open to structure kn.1) y1438.80-1693.44: 14.15 ft x 12.69 ft; band above door 118B: 3.02 ft x (108.00 - 86)/12 = 5.54 SF (below band = 0, door to floor; net opening deducted)</t>
  </si>
  <si>
    <t xml:space="preserve">2 x 17.06 (bottom)</t>
  </si>
  <si>
    <t xml:space="preserve">field: x1633.08-1780.08: floor(98.00 in/16)+1 = 7 x 153.25 in; additional 1 (end against B2 wall (+1)) x 153.25 in; opening double jambs +0 (9/S5.20 "DBL JAMB STUD") x full height; cripples 0 (above RO, @16") total 0.00 LF -&gt; total 102.17 LF</t>
  </si>
  <si>
    <t xml:space="preserve">wall length minus door openings = 8.17 ft</t>
  </si>
  <si>
    <t xml:space="preserve">continuous over openings: 8.17 + 0.00 = 8.17 ft</t>
  </si>
  <si>
    <t xml:space="preserve">rows at [48, 96, 144] in AFF; each row = solid length 8.17 ft + openings only where row is above RO head</t>
  </si>
  <si>
    <t xml:space="preserve">N (CASH WINDOW 116) x1633.08-1780.08: 8.17 ft x 9.50 ft</t>
  </si>
  <si>
    <t xml:space="preserve">S (WORK ROOM 119) x1633.08-1780.08: 8.17 ft x 9.00 ft</t>
  </si>
  <si>
    <t xml:space="preserve">2 x 8.17 (bottom)</t>
  </si>
  <si>
    <t xml:space="preserve">corner bead (LF)</t>
  </si>
  <si>
    <t xml:space="preserve">A02.01 end cap (free wall end)</t>
  </si>
  <si>
    <t xml:space="preserve">free end cap at x1780.08: corner bead both faces 114" + 108" = 18.50 LF</t>
  </si>
  <si>
    <t xml:space="preserve">field: y1362.60-1422.12: floor(39.68 in/16)+1 = 3 x 154.62 in; additional 1 (top junction with A1K-02 (+1)) x 154.62 in; opening double jambs +2 (9/S5.20 "DBL JAMB STUD") x full height; cripples 2 (above RO, @16") total 11.30 LF -&gt; total 88.47 LF</t>
  </si>
  <si>
    <t xml:space="preserve">wall length minus door openings = 3.31 ft</t>
  </si>
  <si>
    <t xml:space="preserve">continuous over openings: 3.31 + 3.33 = 6.64 ft</t>
  </si>
  <si>
    <t xml:space="preserve">header / box beam single track 600T125-43 (18 GA) 6" at door 116 (LF)</t>
  </si>
  <si>
    <t xml:space="preserve">rows at [48, 96, 144] in AFF; each row = solid length 3.31 ft + openings only where row is above RO head</t>
  </si>
  <si>
    <t xml:space="preserve">W (BREAK ROOM 118) y1362.60-1422.12: 3.31 ft x 9.00 ft; band above door 116: 3.33 ft x (108.00 - 86)/12 = 6.11 SF (below band = 0, door to floor; net opening deducted)</t>
  </si>
  <si>
    <t xml:space="preserve">E (FUTURE FCAM / CASH WINDOW 116) y1362.60-1422.12: 3.31 ft x 9.50 ft; band above door 116: 3.33 ft x (114.00 - 86)/12 = 7.78 SF (below band = 0, door to floor; net opening deducted)</t>
  </si>
  <si>
    <t xml:space="preserve">2 x 3.31 (bottom)</t>
  </si>
  <si>
    <t xml:space="preserve">3-5/8" metal stud 362S137-68 (14ga, 68 mil) (LF)</t>
  </si>
  <si>
    <t xml:space="preserve">4/A12.01 schedule A1K: STUD SIZE 3 5/8", GYPSUM BOARD 5/8", WALL THICKNESS 5 1/4", INSULATION YES; WALL CONSTRUCTION SHALL INCLUDE: 5/8" GYP BD OVER FIBERGLASS PANEL; 3/8" UL752 LISTED LEVEL-2 FIBERGLASS ... TO A HEIGHT OF 8'-0". PROVIDE 3/8" GYP. BD. FROM 8'-0" TO UNDERSIDE OF STRUCTURE ABOVE; 14 GA. METAL STUDS @ 24" O.C. MAX; 5/8" GYP. BD.; APPROPRIATE METAL TRIM AND CASING BEADS; height = B.O.D. (S2.20)</t>
  </si>
  <si>
    <t xml:space="preserve">field: x1653.96-1715.40: floor(40.96 in/24)+1 = 2 x 184.50 in; additional 0 () x 184.50 in; opening double jambs +0 (9/S5.20 "DBL JAMB STUD") x full height; cripples 0 (above RO, @24") total 0.00 LF -&gt; total 30.75 LF</t>
  </si>
  <si>
    <t xml:space="preserve">bottom track 362T125-68 3-5/8" (14ga) (LF)</t>
  </si>
  <si>
    <t xml:space="preserve">4/A12.01 schedule A1K: STUD SIZE 3 5/8", GYPSUM BOARD 5/8", WALL THICKNESS 5 1/4", INSULATION YES; WALL CONSTRUCTION SHALL INCLUDE: 5/8" GYP BD OVER FIBERGLASS PANEL; 3/8" UL752 LISTED LEVEL-2 FIBERGLASS ... TO A HEIGHT OF 8'-0". PROVIDE 3/8" GYP. BD. FROM 8'-0" TO UNDERSIDE OF STRUCTURE ABOVE; 14 GA. METAL STUDS @ 24" O.C. MAX; 5/8" GYP. BD.; APPROPRIATE METAL TRIM AND CASING BEADS</t>
  </si>
  <si>
    <t xml:space="preserve">wall length minus door openings = 3.41 ft</t>
  </si>
  <si>
    <t xml:space="preserve">top deflection slip track 362T200-68 3-5/8" (14ga) (LF)</t>
  </si>
  <si>
    <t xml:space="preserve">4/A12.01 "CONTINUOUS SLIP TRACK" at underside of structure; S1.11 note 2 deflection at non-load-bearing walls</t>
  </si>
  <si>
    <t xml:space="preserve">continuous over openings: 3.41 + 0.00 = 3.41 ft</t>
  </si>
  <si>
    <t xml:space="preserve">rows at [48, 96, 144] in AFF; each row = solid length 3.41 ft + openings only where row is above RO head</t>
  </si>
  <si>
    <t xml:space="preserve">5/8" gypsum board regular - teller side to underside of structure (SF)</t>
  </si>
  <si>
    <t xml:space="preserve">4/A12.01 "5/8" GYP. BD." teller side to UNDERSIDE OF STRUCTURE ABOVE</t>
  </si>
  <si>
    <t xml:space="preserve">sum L x B.O.D. height</t>
  </si>
  <si>
    <t xml:space="preserve">5/8" gypsum board regular - customer side over ballistic, to underside of structure (SF)</t>
  </si>
  <si>
    <t xml:space="preserve">4/A12.01 "5/8" GYP. BD. OVER FIBERGLASS PANEL"</t>
  </si>
  <si>
    <t xml:space="preserve">ballistic panel 3/8" UL752 level 2 fiberglass (SF)</t>
  </si>
  <si>
    <t xml:space="preserve">4/A12.01 "3/8" UL752 LISTED LEVEL-2 FIBERGLASS (BULLET RESISTANT, NIJ TYPE II) TO A HEIGHT OF 8'-0""</t>
  </si>
  <si>
    <t xml:space="preserve">3.41 ft x 8.0 ft</t>
  </si>
  <si>
    <t xml:space="preserve">3/8" gyp board customer side from 8'-0" to underside of structure (SF)</t>
  </si>
  <si>
    <t xml:space="preserve">4/A12.01 "PROVIDE 3/8" GYP. BD. FROM 8'-0" TO UNDERSIDE OF STRUCTURE ABOVE"</t>
  </si>
  <si>
    <t xml:space="preserve">sum L x (B.O.D. - 96 in)</t>
  </si>
  <si>
    <t xml:space="preserve">4/A12.01 schedule A1K: STUD SIZE 3 5/8", GYPSUM BOARD 5/8", WALL THICKNESS 5 1/4", INSULATION YES INSULATION "YES" / "BATT INSULATION"</t>
  </si>
  <si>
    <t xml:space="preserve">4/A12.01 "CONTINUOUS ACOUSTICAL SEALANT" top and bottom both sides</t>
  </si>
  <si>
    <t xml:space="preserve">2 x 3.41 (bottom) + 2 x 3.41 (top)</t>
  </si>
  <si>
    <t xml:space="preserve">casing bead (LF) - APPROPRIATE METAL TRIM AND CASING BEADS</t>
  </si>
  <si>
    <t xml:space="preserve">4/A12.01 "APPROPRIATE METAL TRIM AND CASING BEADS"</t>
  </si>
  <si>
    <t xml:space="preserve">placeholder: 2 wall ends x 2 faces x 184.50 in = 61.50 LF; actual trim locations not drawn -&gt; RFI-w1-04</t>
  </si>
  <si>
    <t xml:space="preserve">field: east x1653.96-1715.40: floor(40.96 in/24)+1 = 2 x 155.21 in; west x1613.64-1653.96: floor(26.88 in/24)+1 = 2 x 155.07 in; additional 1 (jog at x1654-1662 (+1)) x 155.21 in; opening double jambs +0 (9/S5.20 "DBL JAMB STUD") x full height; cripples 0 (above RO, @24") total 0.00 LF -&gt; total 64.65 LF</t>
  </si>
  <si>
    <t xml:space="preserve">wall length minus door openings = 5.65 ft</t>
  </si>
  <si>
    <t xml:space="preserve">continuous over openings: 5.65 + 0.00 = 5.65 ft</t>
  </si>
  <si>
    <t xml:space="preserve">rows at [48, 96, 144] in AFF; each row = solid length 5.65 ft + openings only where row is above RO head</t>
  </si>
  <si>
    <t xml:space="preserve">5.65 ft x 8.0 ft</t>
  </si>
  <si>
    <t xml:space="preserve">2 x 5.65 (bottom) + 2 x 5.65 (top)</t>
  </si>
  <si>
    <t xml:space="preserve">placeholder: 2 wall ends x 2 faces x 155.21 in = 51.74 LF; actual trim locations not drawn -&gt; RFI-w1-04</t>
  </si>
  <si>
    <t xml:space="preserve">1/A12.01 schedule B: STUD SIZE 3 5/8", GYPSUM BOARD 5/8", WALL THICKNESS 4 7/8", INSULATION YES; detail shows board to UNDERSIDE OF STRUCTURE, CONT ACOUS SEALANT top &amp; bottom; height = B.O.D. (S2.20)</t>
  </si>
  <si>
    <t xml:space="preserve">field: x1241.76-1421.52: floor(119.84 in/16)+1 = 8 x 153.92 in; additional 1 (corner with B-03 (+1)) x 153.92 in; opening double jambs +0 (9/S5.20 "DBL JAMB STUD") x full height; cripples 0 (above RO, @16") total 0.00 LF -&gt; total 115.44 LF</t>
  </si>
  <si>
    <t xml:space="preserve">1/A12.01 schedule B: STUD SIZE 3 5/8", GYPSUM BOARD 5/8", WALL THICKNESS 4 7/8", INSULATION YES; detail shows board to UNDERSIDE OF STRUCTURE, CONT ACOUS SEALANT top &amp; bottom</t>
  </si>
  <si>
    <t xml:space="preserve">wall length minus door openings = 9.99 ft</t>
  </si>
  <si>
    <t xml:space="preserve">1/A12.01 "CONTINUOUS SLIP TRACK" at underside of structure; S1.11 note 2 deflection at non-load-bearing walls</t>
  </si>
  <si>
    <t xml:space="preserve">continuous over openings: 9.99 + 0.00 = 9.99 ft</t>
  </si>
  <si>
    <t xml:space="preserve">rows at [48, 96, 144] in AFF; each row = solid length 9.99 ft + openings only where row is above RO head</t>
  </si>
  <si>
    <t xml:space="preserve">1/A12.01 schedule B: STUD SIZE 3 5/8", GYPSUM BOARD 5/8", WALL THICKNESS 4 7/8", INSULATION YES; A04.01 RCP per room</t>
  </si>
  <si>
    <t xml:space="preserve">S (ELECTRICAL 120) x1241.76-1421.52: 9.99 ft x 12.83 ft</t>
  </si>
  <si>
    <t xml:space="preserve">N (FEC-2 alcove / BREAK ROOM 118) x1241.76-1421.52: 9.99 ft x 12.83 ft</t>
  </si>
  <si>
    <t xml:space="preserve">1/A12.01 schedule B: STUD SIZE 3 5/8", GYPSUM BOARD 5/8", WALL THICKNESS 4 7/8", INSULATION YES INSULATION "YES" / "BATT INSULATION"</t>
  </si>
  <si>
    <t xml:space="preserve">1/A12.01 "CONT ACOUS SEALANT" top and bottom both sides</t>
  </si>
  <si>
    <t xml:space="preserve">2 x 9.99 (bottom) + 2 x 9.99 (top)</t>
  </si>
  <si>
    <t xml:space="preserve">field: x1241.76-1414.20: floor(114.96 in/16)+1 = 8 x 152.38 in; additional 0 (ends counted in A1-07 / B-03) x 152.38 in; opening double jambs +0 (9/S5.20 "DBL JAMB STUD") x full height; cripples 0 (above RO, @16") total 0.00 LF -&gt; total 101.59 LF</t>
  </si>
  <si>
    <t xml:space="preserve">wall length minus door openings = 9.58 ft</t>
  </si>
  <si>
    <t xml:space="preserve">continuous over openings: 9.58 + 0.00 = 9.58 ft</t>
  </si>
  <si>
    <t xml:space="preserve">rows at [48, 96, 144] in AFF; each row = solid length 9.58 ft + openings only where row is above RO head</t>
  </si>
  <si>
    <t xml:space="preserve">N (ELECTRICAL 120) x1241.76-1414.20: 9.58 ft x 12.70 ft</t>
  </si>
  <si>
    <t xml:space="preserve">S (NER 121) x1241.76-1414.20: 9.58 ft x 12.70 ft</t>
  </si>
  <si>
    <t xml:space="preserve">2 x 9.58 (bottom) + 2 x 9.58 (top)</t>
  </si>
  <si>
    <t xml:space="preserve">field: y1446.12-1468.68 (no tag, continuity): floor(15.04 in/16)+1 = 1 x 153.72 in; y1528.68-1596.00 (tag B-08): floor(44.88 in/16)+1 = 3 x 152.28 in; y1656.00-1693.44 (no tag, continuity): floor(24.96 in/16)+1 = 2 x 150.73 in; additional 2 (T from B-02 (+2)) x 153.72 in; opening double jambs +4 (9/S5.20 "DBL JAMB STUD") x full height; cripples 4 (above RO, @16") total 22.09 LF -&gt; total 174.47 LF</t>
  </si>
  <si>
    <t xml:space="preserve">wall length minus door openings = 7.07 ft</t>
  </si>
  <si>
    <t xml:space="preserve">continuous over openings: 7.07 + 6.67 = 13.74 ft</t>
  </si>
  <si>
    <t xml:space="preserve">header / box beam single track 362T125-43 (18 GA) 3-5/8" at door 120 (LF)</t>
  </si>
  <si>
    <t xml:space="preserve">header / box beam single track 362T125-43 (18 GA) 3-5/8" at door 121 (LF)</t>
  </si>
  <si>
    <t xml:space="preserve">rows at [48, 96, 144] in AFF; each row = solid length 7.07 ft + openings only where row is above RO head</t>
  </si>
  <si>
    <t xml:space="preserve">W (ELECTRICAL 120) y1446.12-1468.68 (no tag, continuity): 1.25 ft x 12.81 ft; W (ELECTRICAL/NER) y1528.68-1596.00 (tag B-08): 3.74 ft x 12.69 ft; W (NER 121) y1656.00-1693.44 (no tag, continuity): 2.08 ft x 12.56 ft; band above door 120: 3.33 ft x (153.16 - 86)/12 = 18.66 SF (below band = 0, door to floor; net opening deducted); band above door 121: 3.33 ft x (151.40 - 86)/12 = 18.17 SF (below band = 0, door to floor; net opening deducted)</t>
  </si>
  <si>
    <t xml:space="preserve">E (BREAK ROOM 118) y1446.12-1468.68 (no tag, continuity): 1.25 ft x 12.81 ft; E (BREAK ROOM 118) y1528.68-1596.00 (tag B-08): 3.74 ft x 12.69 ft; E (BREAK ROOM 118) y1656.00-1693.44 (no tag, continuity): 2.08 ft x 12.56 ft; band above door 120: 3.33 ft x (153.16 - 86)/12 = 18.66 SF (below band = 0, door to floor; net opening deducted); band above door 121: 3.33 ft x (151.40 - 86)/12 = 18.17 SF (below band = 0, door to floor; net opening deducted)</t>
  </si>
  <si>
    <t xml:space="preserve">2 x 7.07 (bottom) + 2 x 13.74 (top)</t>
  </si>
  <si>
    <t xml:space="preserve">field: west x911.88-981.72 (no tag, continuity): floor(46.56 in/16)+1 = 3 x 152.97 in; east x1041.72-1123.08 (tag B-03): floor(54.24 in/16)+1 = 4 x 152.97 in; additional 2 (T from B-05 (+2)) x 152.97 in; opening double jambs +2 (9/S5.20 "DBL JAMB STUD") x full height; cripples 2 (above RO, @16") total 11.16 LF -&gt; total 151.38 LF</t>
  </si>
  <si>
    <t xml:space="preserve">wall length minus door openings = 8.40 ft</t>
  </si>
  <si>
    <t xml:space="preserve">continuous over openings: 8.40 + 3.33 = 11.73 ft</t>
  </si>
  <si>
    <t xml:space="preserve">header / box beam single track 362T125-43 (18 GA) 3-5/8" at door 112 (LF)</t>
  </si>
  <si>
    <t xml:space="preserve">rows at [48, 96, 144] in AFF; each row = solid length 8.40 ft + openings only where row is above RO head</t>
  </si>
  <si>
    <t xml:space="preserve">S (JANITOR CLOSET 112, open to structure) west x911.88-981.72 (no tag, continuity): 3.88 ft x 12.75 ft; S (JANITOR 112 / STORAGE 117) east x1041.72-1123.08 (tag B-03): 4.52 ft x 12.75 ft; band above door 112: 3.33 ft x (152.97 - 86)/12 = 18.60 SF (below band = 0, door to floor; net opening deducted)</t>
  </si>
  <si>
    <t xml:space="preserve">N (MEN'S RESTROOM 113) west x911.88-981.72 (no tag, continuity): 3.88 ft x 12.75 ft; N (MEN'S RESTROOM 113 vestibule) east x1041.72-1123.08 (tag B-03): 4.52 ft x 12.75 ft; band above door 112: 3.33 ft x (152.97 - 86)/12 = 18.60 SF (below band = 0, door to floor; net opening deducted)</t>
  </si>
  <si>
    <t xml:space="preserve">2 x 8.40 (bottom) + 2 x 11.73 (top)</t>
  </si>
  <si>
    <t xml:space="preserve">field: y1515.84-1578.84: floor(42.00 in/16)+1 = 3 x 152.49 in; additional 0 (ends counted in B-04/B-06) x 152.49 in; opening double jambs +0 (9/S5.20 "DBL JAMB STUD") x full height; cripples 0 (above RO, @16") total 0.00 LF -&gt; total 38.12 LF</t>
  </si>
  <si>
    <t xml:space="preserve">wall length minus door openings = 3.50 ft</t>
  </si>
  <si>
    <t xml:space="preserve">continuous over openings: 3.50 + 0.00 = 3.50 ft</t>
  </si>
  <si>
    <t xml:space="preserve">rows at [48, 96, 144] in AFF; each row = solid length 3.50 ft + openings only where row is above RO head</t>
  </si>
  <si>
    <t xml:space="preserve">W (JANITOR CLOSET 112) y1515.84-1578.84: 3.50 ft x 12.71 ft</t>
  </si>
  <si>
    <t xml:space="preserve">E (STORAGE 117) y1515.84-1578.84: 3.50 ft x 12.71 ft</t>
  </si>
  <si>
    <t xml:space="preserve">2 x 3.50 (bottom) + 2 x 3.50 (top)</t>
  </si>
  <si>
    <t xml:space="preserve">field: x911.88-1123.08: floor(140.80 in/16)+1 = 9 x 152.00 in; additional 2 (T from B-05 (+2)) x 152.00 in; opening double jambs +0 (9/S5.20 "DBL JAMB STUD") x full height; cripples 0 (above RO, @16") total 0.00 LF -&gt; total 139.33 LF</t>
  </si>
  <si>
    <t xml:space="preserve">wall length minus door openings = 11.73 ft</t>
  </si>
  <si>
    <t xml:space="preserve">continuous over openings: 11.73 + 0.00 = 11.73 ft</t>
  </si>
  <si>
    <t xml:space="preserve">rows at [48, 96, 144] in AFF; each row = solid length 11.73 ft + openings only where row is above RO head</t>
  </si>
  <si>
    <t xml:space="preserve">N (JANITOR 112 / STORAGE 117) x911.88-1123.08: 11.73 ft x 12.67 ft</t>
  </si>
  <si>
    <t xml:space="preserve">S (WELLNESS 115) x911.88-1123.08: 11.73 ft x 12.67 ft</t>
  </si>
  <si>
    <t xml:space="preserve">2 x 11.73 (bottom) + 2 x 11.73 (top)</t>
  </si>
  <si>
    <t xml:space="preserve">6" metal stud 600S137-33 (20ga) (LF)</t>
  </si>
  <si>
    <t xml:space="preserve">B2 + S5.20 7 METAL STUD PROPERTIES: '362S137-33 3 5/8" INTERIOR WALLS @ 16" O.C.'; '600S137-33 6"'; '600T125-33 BOTTOM TRACK'; '600T200-97 TOP TRACK'</t>
  </si>
  <si>
    <t xml:space="preserve">rows 1 x (floor(1.65 ft x 12 / 16)+1 = 2 field + 1 extra (1 end/jamb stud at the second end (field formula already gives one stud at each end; +1 for the jamb/end-cap side))) = 3 studs x 15.375 ft stud height (deck = S2.20 B.O.D. EL. 15'-4 1/2" (high roof, no slope; same T/STEEL 15'-4 1/2" in A09.23 Section H at grid 3, between grids E and B) - T/slab LEVEL 1 0'-0" (A09.23) = 15.375 ft)</t>
  </si>
  <si>
    <t xml:space="preserve">1/A12.01 (PARTITION TYPE B, B2 + schedule)</t>
  </si>
  <si>
    <t xml:space="preserve">1 run(s) x 1.65 ft (vector band faces x=1123.08/1133.88 pt (thickness 10.80 pt = 7.20 in vs schedule 7 1/4"), extent y 726.12-&gt;755.88 = 29.76 pt / 18 = 1.65 ft)</t>
  </si>
  <si>
    <t xml:space="preserve">top deflection slip track 600T200-97 6" x 2" leg (12ga) (LF)</t>
  </si>
  <si>
    <t xml:space="preserve">5/8" gypsum board type X (LF/SF) - 1 layer</t>
  </si>
  <si>
    <t xml:space="preserve">1/A12.01 schedule GYPSUM BOARD 5/8"; detail shows board to UNDERSIDE OF STRUCTURE both faces</t>
  </si>
  <si>
    <t xml:space="preserve">face ATM ROOM 102 (west): 1.65 ft x 15.375 ft (floor to deck) = 25.42 SF (wall length excludes door openings; band above each door is its own OPN row)</t>
  </si>
  <si>
    <t xml:space="preserve">face CENTRAL ZONE 103 (east): 1.65 ft x 15.375 ft (floor to deck) = 25.42 SF (wall length excludes door openings; band above each door is its own OPN row)</t>
  </si>
  <si>
    <t xml:space="preserve">batt insulation sound attenuation, 6" cavity (thickness per spec 09 21 16 - PENDIENTE) (SF)</t>
  </si>
  <si>
    <t xml:space="preserve">1/A12.01 schedule INSULATION YES; detail BATT INSULATION</t>
  </si>
  <si>
    <t xml:space="preserve">1.65 ft x 15.375 ft full cavity</t>
  </si>
  <si>
    <t xml:space="preserve">acoustical sealant (LF)</t>
  </si>
  <si>
    <t xml:space="preserve">1/A12.01 CONT ACOUS SEALANT (top and bottom, both faces)</t>
  </si>
  <si>
    <t xml:space="preserve">4 runs (top+bottom, both faces) x 1.65 ft</t>
  </si>
  <si>
    <t xml:space="preserve">bracing C.R. channel 1-1/2" 16ga @ 48" O.C. (LF)</t>
  </si>
  <si>
    <t xml:space="preserve">S5.20 1-F 'BRIDGING AND BRACING - CONTINUOUS BRIDGING' 1 1/2" C.R. CHANNEL @ 48" O.C.; S1.11 CFS note 4 (bridging per delegated submittal)</t>
  </si>
  <si>
    <t xml:space="preserve">rows of bridging = ceil(184.5 in / 48) - 1 = 3 x 1 stud row(s) x 1.65 ft [applies S5.20 1-F generically; RFI-w2-06]</t>
  </si>
  <si>
    <t xml:space="preserve">rows 1 x (floor(1.82 ft x 12 / 16)+1 = 2 field + 1 extra (1 end/jamb stud at the second end (field formula already gives one stud at each end; +1 for the jamb/end-cap side))) = 3 studs x 12.968 ft stud height (deck interpolated N-S between S2.20 B.O.D. EL. 13'-0 5/8" @ grid B (y=1246.1 pt) and 12'-6 3/8" @ grid A (y=1700.5 pt): 13.052 - (1319.6-1246.1)/454.4 x 0.521 = 12.968 ft (minus T/slab 0'-0")) || LEADER R3: x (13.052 / 12.97) = high end of sloped zone B-A per skill (S2.20 13'-0 5/8")</t>
  </si>
  <si>
    <t xml:space="preserve">1 run(s) x 1.82 ft (vector band faces x=1123.08/1133.88 pt (thickness 10.80 pt = 7.20 in vs schedule 7 1/4"), extent y 1303.20-&gt;1335.96 = 32.76 pt / 18 = 1.82 ft)</t>
  </si>
  <si>
    <t xml:space="preserve">face WOMEN'S RESTROOM 114 alcove (west): 1.82 ft x 12.968 ft (floor to deck) = 23.60 SF (wall length excludes door openings; band above each door is its own OPN row)</t>
  </si>
  <si>
    <t xml:space="preserve">face CORRIDOR 111 (east): 1.82 ft x 12.968 ft (floor to deck) = 23.60 SF (wall length excludes door openings; band above each door is its own OPN row)</t>
  </si>
  <si>
    <t xml:space="preserve">1.82 ft x 12.968 ft full cavity</t>
  </si>
  <si>
    <t xml:space="preserve">4 runs (top+bottom, both faces) x 1.82 ft</t>
  </si>
  <si>
    <t xml:space="preserve">rows of bridging = ceil(155.6 in / 48) - 1 = 3 x 1 stud row(s) x 1.82 ft [applies S5.20 1-F generically; RFI-w2-06]</t>
  </si>
  <si>
    <t xml:space="preserve">rows 1 x (floor(1.80 ft x 12 / 16)+1 = 2 field + 1 extra (1 end/jamb stud at the second end (field formula already gives one stud at each end; +1 for the jamb/end-cap side))) = 3 studs x 12.846 ft stud height (deck interpolated N-S between S2.20 B.O.D. EL. 13'-0 5/8" @ grid B (y=1246.1 pt) and 12'-6 3/8" @ grid A (y=1700.5 pt): 13.052 - (1425.5-1246.1)/454.4 x 0.521 = 12.846 ft (minus T/slab 0'-0")) || LEADER R3: x (13.052 / 12.85) = high end of sloped zone B-A per skill (S2.20 13'-0 5/8")</t>
  </si>
  <si>
    <t xml:space="preserve">1 run(s) x 1.80 ft (vector band faces x=1123.08/1133.88 pt (thickness 10.80 pt = 7.20 in vs schedule 7 1/4"), extent y 1409.28-&gt;1441.68 = 32.40 pt / 18 = 1.80 ft)</t>
  </si>
  <si>
    <t xml:space="preserve">face MEN'S RESTROOM 113 (west): 1.80 ft x 12.846 ft (floor to deck) = 23.12 SF (wall length excludes door openings; band above each door is its own OPN row)</t>
  </si>
  <si>
    <t xml:space="preserve">face CORRIDOR 111 (east): 1.80 ft x 12.846 ft (floor to deck) = 23.12 SF (wall length excludes door openings; band above each door is its own OPN row)</t>
  </si>
  <si>
    <t xml:space="preserve">1.80 ft x 12.846 ft full cavity</t>
  </si>
  <si>
    <t xml:space="preserve">4 runs (top+bottom, both faces) x 1.80 ft</t>
  </si>
  <si>
    <t xml:space="preserve">rows of bridging = ceil(154.2 in / 48) - 1 = 3 x 1 stud row(s) x 1.80 ft [applies S5.20 1-F generically; RFI-w2-06]</t>
  </si>
  <si>
    <t xml:space="preserve">rows 1 x (floor(0.88 ft x 12 / 16)+1 = 1 field + 1 extra (1 end/jamb stud at the second end (field formula already gives one stud at each end; +1 for the jamb/end-cap side))) = 2 studs x 12.750 ft stud height (deck interpolated N-S between S2.20 B.O.D. EL. 13'-0 5/8" @ grid B (y=1246.1 pt) and 12'-6 3/8" @ grid A (y=1700.5 pt): 13.052 - (1509.6-1246.1)/454.4 x 0.521 = 12.750 ft (minus T/slab 0'-0")) || LEADER R3: x (13.052 / 12.75) = high end of sloped zone B-A per skill (S2.20 13'-0 5/8")</t>
  </si>
  <si>
    <t xml:space="preserve">1 run(s) x 0.88 ft (vector band faces x=1123.08/1133.88 pt (thickness 10.80 pt = 7.20 in vs schedule 7 1/4"), extent y 1501.68-&gt;1517.52 = 15.84 pt / 18 = 0.88 ft)</t>
  </si>
  <si>
    <t xml:space="preserve">face MEN'S RR 113 / STORAGE 117 (west): 0.88 ft x 12.750 ft (floor to deck) = 11.22 SF (wall length excludes door openings; band above each door is its own OPN row)</t>
  </si>
  <si>
    <t xml:space="preserve">face CORRIDOR (east): 0.88 ft x 12.750 ft (floor to deck) = 11.22 SF (wall length excludes door openings; band above each door is its own OPN row)</t>
  </si>
  <si>
    <t xml:space="preserve">0.88 ft x 12.750 ft full cavity</t>
  </si>
  <si>
    <t xml:space="preserve">4 runs (top+bottom, both faces) x 0.88 ft</t>
  </si>
  <si>
    <t xml:space="preserve">rows of bridging = ceil(153.0 in / 48) - 1 = 3 x 1 stud row(s) x 0.88 ft [applies S5.20 1-F generically; RFI-w2-06]</t>
  </si>
  <si>
    <t xml:space="preserve">rows 1 x (floor(2.69 ft x 12 / 16)+1 = 3 field + 1 extra (1 end/jamb stud at the second end (field formula already gives one stud at each end; +1 for the jamb/end-cap side))) = 4 studs x 12.644 ft stud height (deck interpolated N-S between S2.20 B.O.D. EL. 13'-0 5/8" @ grid B (y=1246.1 pt) and 12'-6 3/8" @ grid A (y=1700.5 pt): 13.052 - (1601.8-1246.1)/454.4 x 0.521 = 12.644 ft (minus T/slab 0'-0")) || LEADER R3: x (13.052 / 12.64) = high end of sloped zone B-A per skill (S2.20 13'-0 5/8")</t>
  </si>
  <si>
    <t xml:space="preserve">1 run(s) x 2.69 ft (vector band faces x=1123.08/1133.88 pt (thickness 10.80 pt = 7.20 in vs schedule 7 1/4"), extent y 1577.52-&gt;1626.00 = 48.48 pt / 18 = 2.69 ft)</t>
  </si>
  <si>
    <t xml:space="preserve">face STORAGE 117 + WELLNESS 115 (west): 2.69 ft x 12.644 ft (floor to deck) = 34.06 SF (wall length excludes door openings; band above each door is its own OPN row)</t>
  </si>
  <si>
    <t xml:space="preserve">face CORRIDOR (east): 2.69 ft x 12.644 ft (floor to deck) = 34.06 SF (wall length excludes door openings; band above each door is its own OPN row)</t>
  </si>
  <si>
    <t xml:space="preserve">2.69 ft x 12.644 ft full cavity</t>
  </si>
  <si>
    <t xml:space="preserve">4 runs (top+bottom, both faces) x 2.69 ft</t>
  </si>
  <si>
    <t xml:space="preserve">rows of bridging = ceil(151.7 in / 48) - 1 = 3 x 1 stud row(s) x 2.69 ft [applies S5.20 1-F generically; RFI-w2-06]</t>
  </si>
  <si>
    <t xml:space="preserve">rows 1 x (floor(0.41 ft x 12 / 16)+1 = 1 field + 1 extra (1 end/jamb stud at the second end (field formula already gives one stud at each end; +1 for the jamb/end-cap side))) = 2 studs x 12.544 ft stud height (deck interpolated N-S between S2.20 B.O.D. EL. 13'-0 5/8" @ grid B (y=1246.1 pt) and 12'-6 3/8" @ grid A (y=1700.5 pt): 13.052 - (1689.7-1246.1)/454.4 x 0.521 = 12.544 ft (minus T/slab 0'-0")) || LEADER R3: x (13.052 / 12.54) = high end of sloped zone B-A per skill (S2.20 13'-0 5/8")</t>
  </si>
  <si>
    <t xml:space="preserve">1 run(s) x 0.41 ft (vector band faces x=1123.08/1133.88 pt (thickness 10.80 pt = 7.20 in vs schedule 7 1/4"), extent y 1686.00-&gt;1693.44 = 7.44 pt / 18 = 0.41 ft)</t>
  </si>
  <si>
    <t xml:space="preserve">face WELLNESS 115 (west): 0.41 ft x 12.544 ft (floor to deck) = 5.18 SF (wall length excludes door openings; band above each door is its own OPN row)</t>
  </si>
  <si>
    <t xml:space="preserve">face CORRIDOR / vestibule at door 123 (east): 0.41 ft x 12.544 ft (floor to deck) = 5.18 SF (wall length excludes door openings; band above each door is its own OPN row)</t>
  </si>
  <si>
    <t xml:space="preserve">0.41 ft x 12.544 ft full cavity</t>
  </si>
  <si>
    <t xml:space="preserve">4 runs (top+bottom, both faces) x 0.41 ft</t>
  </si>
  <si>
    <t xml:space="preserve">rows of bridging = ceil(150.5 in / 48) - 1 = 3 x 1 stud row(s) x 0.41 ft [applies S5.20 1-F generically; RFI-w2-06]</t>
  </si>
  <si>
    <t xml:space="preserve">rows 1 x (floor(11.74 ft x 12 / 16)+1 = 9 field + 3 extra (+1 end cap at door 116 jamb, +2 at intersection with A1 wall y=1488 (w1) - backing)) = 12 studs x 12.660 ft stud height (deck interpolated N-S between S2.20 B.O.D. EL. 13'-0 5/8" @ grid B (y=1246.1 pt) and 12'-6 3/8" @ grid A (y=1700.5 pt): 13.052 - (1587.8-1246.1)/454.4 x 0.521 = 12.660 ft (minus T/slab 0'-0")) || LEADER R3: x (13.052 / 12.66) = high end of sloped zone B-A per skill (S2.20 13'-0 5/8")</t>
  </si>
  <si>
    <t xml:space="preserve">1 run(s) x 11.74 ft (vector band faces x=1622.16/1633.08 pt (thickness 10.92 pt = 7.28 in vs schedule 7 1/4"), extent y 1482.12-&gt;1693.44 = 211.32 pt / 18 = 11.74 ft)</t>
  </si>
  <si>
    <t xml:space="preserve">face BREAK ROOM 118 (west): 11.74 ft x 12.660 ft (floor to deck) = 148.63 SF (wall length excludes door openings; band above each door is its own OPN row)</t>
  </si>
  <si>
    <t xml:space="preserve">face WORK ROOM 119 (east): 11.74 ft x 12.660 ft (floor to deck) = 148.63 SF (wall length excludes door openings; band above each door is its own OPN row)</t>
  </si>
  <si>
    <t xml:space="preserve">11.74 ft x 12.660 ft full cavity</t>
  </si>
  <si>
    <t xml:space="preserve">4 runs (top+bottom, both faces) x 11.74 ft</t>
  </si>
  <si>
    <t xml:space="preserve">rows of bridging = ceil(151.9 in / 48) - 1 = 3 x 1 stud row(s) x 11.74 ft [applies S5.20 1-F generically; RFI-w2-06]</t>
  </si>
  <si>
    <t xml:space="preserve">6" metal stud 14ga 600S137-68 (LF)</t>
  </si>
  <si>
    <t xml:space="preserve">B2K + S5.20 7 METAL STUD PROPERTIES: '362S137-33 3 5/8" INTERIOR WALLS @ 16" O.C.'; '600S137-33 6"'; '600T125-33 BOTTOM TRACK'; '600T200-97 TOP TRACK'</t>
  </si>
  <si>
    <t xml:space="preserve">rows 1 x (floor(1.77 ft x 12 / 24)+1 = 1 field + 1 extra (+1 end cap stud at west end)) = 2 studs x 15.375 ft stud height (deck = S2.20 B.O.D. EL. 15'-4 1/2" (high roof, no slope; same T/STEEL 15'-4 1/2" in A09.23 Section H at grid 3, between grids E and B) - T/slab LEVEL 1 0'-0" (A09.23) = 15.375 ft)</t>
  </si>
  <si>
    <t xml:space="preserve">bottom track 6" 14ga (68 mil) (LF)</t>
  </si>
  <si>
    <t xml:space="preserve">(no schedule row)</t>
  </si>
  <si>
    <t xml:space="preserve">1 run(s) x 1.77 ft (bottom face y=1118.04 x 1623.00-&gt;1653.96 + end cap x=1622.04: 1653.96-1622.04 = 31.92 pt / 18 = 1.77 ft)</t>
  </si>
  <si>
    <t xml:space="preserve">top deflection slip track 6" x 2" leg (LF)</t>
  </si>
  <si>
    <t xml:space="preserve">5/8" gypsum board type X (LF/SF) - teller side, 1 layer</t>
  </si>
  <si>
    <t xml:space="preserve">4/A12.01 TELLER SIDE 5/8" GYP. BD. to underside of structure</t>
  </si>
  <si>
    <t xml:space="preserve">1.77 ft x 15.375 ft = 27.27 SF</t>
  </si>
  <si>
    <t xml:space="preserve">4/A12.01 '3/8" UL752 LISTED LEVEL-2 FIBERGLASS ... TO A HEIGHT OF 8'-0"'</t>
  </si>
  <si>
    <t xml:space="preserve">1.77 ft x 8.00 ft = 14.19 SF (customer side)</t>
  </si>
  <si>
    <t xml:space="preserve">3/8" gyp board (SF) - customer side above 8'-0"</t>
  </si>
  <si>
    <t xml:space="preserve">4/A12.01 'PROVIDE 3/8" GYP. BD. FROM 8'-0" TO UNDERSIDE OF STRUCTURE ABOVE'</t>
  </si>
  <si>
    <t xml:space="preserve">1.77 ft x (15.375 - 8.00) = 13.08 SF</t>
  </si>
  <si>
    <t xml:space="preserve">5/8" gypsum board type X (LF/SF) - customer side over fiberglass, 1 layer</t>
  </si>
  <si>
    <t xml:space="preserve">4/A12.01 '5/8" GYP. BD. OVER FIBERGLASS PANEL'</t>
  </si>
  <si>
    <t xml:space="preserve">5/8" gypsum board type X (LF/SF) - end return at west end cap (faces central zone)</t>
  </si>
  <si>
    <t xml:space="preserve">A02.01 end cap x=1622.04 (11.52 pt)</t>
  </si>
  <si>
    <t xml:space="preserve">0.64 ft x 15.375 ft</t>
  </si>
  <si>
    <t xml:space="preserve">batt insulation sound attenuation, 6" cavity (SF)</t>
  </si>
  <si>
    <t xml:space="preserve">4/A12.01 schedule INSULATION YES</t>
  </si>
  <si>
    <t xml:space="preserve">1.77 x 15.375</t>
  </si>
  <si>
    <t xml:space="preserve">4/A12.01 CONTINUOUS ACOUSTICAL SEALANT top and bottom, both sides</t>
  </si>
  <si>
    <t xml:space="preserve">4 runs (top+bottom, both faces) x 1.77 ft</t>
  </si>
  <si>
    <t xml:space="preserve">rows of bridging = ceil(184.5 in / 48) - 1 = 3 x 1 stud row(s) x 1.77 ft [applies S5.20 1-F generically; RFI-w2-06]</t>
  </si>
  <si>
    <t xml:space="preserve">casing bead (LF)</t>
  </si>
  <si>
    <t xml:space="preserve">4/A12.01 'APPROPRIATE METAL TRIM AND CASING BEADS'</t>
  </si>
  <si>
    <t xml:space="preserve">end cap vertical edges 2 x 15.375 + top edge under deck 2 x 1.77</t>
  </si>
  <si>
    <t xml:space="preserve">1-5/8" metal stud 162S125-33 (20ga) (LF)</t>
  </si>
  <si>
    <t xml:space="preserve">G + S5.20 7 METAL STUD PROPERTIES: '362S137-33 3 5/8" INTERIOR WALLS @ 16" O.C.'; '600S137-33 6"'; '600T125-33 BOTTOM TRACK'; '600T200-97 TOP TRACK'</t>
  </si>
  <si>
    <t xml:space="preserve">rows 2 x (floor(3.47 ft x 12 / 16)+1 = 3 field + 3 extra (per row: +3 (end caps / jambs / intersections))) = 12 studs x 15.375 ft stud height (deck = S2.20 B.O.D. EL. 15'-4 1/2" (high roof, no slope; same T/STEEL 15'-4 1/2" in A09.23 Section H at grid 3, between grids E and B) - T/slab LEVEL 1 0'-0" (A09.23) = 15.375 ft)</t>
  </si>
  <si>
    <t xml:space="preserve">bottom track 1-5/8" 162T125-33 (20ga) (LF)</t>
  </si>
  <si>
    <t xml:space="preserve">5/A12.01 (PARTITION G + schedule)</t>
  </si>
  <si>
    <t xml:space="preserve">2 run(s) x 3.47 ft (vector band x faces 1622.04/1631.28 (9.24 pt = 6.16 in), extent 516.00-&gt;578.40 = 62.40 pt / 18 = 3.47 ft)</t>
  </si>
  <si>
    <t xml:space="preserve">top deflection slip track 1-5/8" x 2" leg (20ga) (LF)</t>
  </si>
  <si>
    <t xml:space="preserve">5/8" gypsum board type X (LF/SF) - 2 layers</t>
  </si>
  <si>
    <t xml:space="preserve">5/A12.01 (2 layers each face drawn) + 8/A12.01 '2 LAYERS 5/8" GYPSUM WALL BOARD TO EXTEND TO UNDERSIDE OF DECK'</t>
  </si>
  <si>
    <t xml:space="preserve">face CENTRAL ZONE 103 (west): 2 layers x 3.47 ft x 15.375 ft = 106.60 SF</t>
  </si>
  <si>
    <t xml:space="preserve">same</t>
  </si>
  <si>
    <t xml:space="preserve">face OFFICES 105/106 (east): 2 layers x 3.47 ft x 15.375 ft = 106.60 SF</t>
  </si>
  <si>
    <t xml:space="preserve">batt insulation sound attenuation (thickness per spec - PENDIENTE) (SF)</t>
  </si>
  <si>
    <t xml:space="preserve">5/A12.01 BATT INSULATION; schedule INSULATION YES</t>
  </si>
  <si>
    <t xml:space="preserve">3.47 ft x 15.375 ft</t>
  </si>
  <si>
    <t xml:space="preserve">5/A12.01 sealant at base both faces + 8/A12.01 SEALANT at underside of structure both faces</t>
  </si>
  <si>
    <t xml:space="preserve">4 runs (top+bottom, both faces) x 3.47 ft</t>
  </si>
  <si>
    <t xml:space="preserve">rows of bridging = ceil(184.5 in / 48) - 1 = 3 x 2 stud row(s) x 3.47 ft [applies S5.20 1-F generically; RFI-w2-06]</t>
  </si>
  <si>
    <t xml:space="preserve">SOUNDGUARD isolator by Marinoware (EA)</t>
  </si>
  <si>
    <t xml:space="preserve">EA</t>
  </si>
  <si>
    <t xml:space="preserve">5/A12.01 + 8/A12.01 'SOUNDGUARD ISOLATOR BY MARINOWARE'</t>
  </si>
  <si>
    <t xml:space="preserve">spacing not printed -&gt; RFI-w2-02 (if 1 per stud pair @ 48" vertical: 3 per stud pair)</t>
  </si>
  <si>
    <t xml:space="preserve">rows 2 x (floor(2.42 ft x 12 / 16)+1 = 2 field + 1 extra (per row: +1 (end caps / jambs / intersections))) = 6 studs x 15.375 ft stud height (deck = S2.20 B.O.D. EL. 15'-4 1/2" (high roof, no slope; same T/STEEL 15'-4 1/2" in A09.23 Section H at grid 3, between grids E and B) - T/slab LEVEL 1 0'-0" (A09.23) = 15.375 ft)</t>
  </si>
  <si>
    <t xml:space="preserve">2 run(s) x 2.42 ft (vector band x faces 1622.04/1631.28 (9.24 pt = 6.16 in), extent 337.44-&gt;381.00 = 43.56 pt / 18 = 2.42 ft)</t>
  </si>
  <si>
    <t xml:space="preserve">face CENTRAL ZONE 103 (west): 2 layers x 2.42 ft x 15.375 ft = 74.41 SF</t>
  </si>
  <si>
    <t xml:space="preserve">face OFFICE 105 (east): 2 layers x 2.42 ft x 15.375 ft = 74.41 SF</t>
  </si>
  <si>
    <t xml:space="preserve">2.42 ft x 15.375 ft</t>
  </si>
  <si>
    <t xml:space="preserve">4 runs (top+bottom, both faces) x 2.42 ft</t>
  </si>
  <si>
    <t xml:space="preserve">rows of bridging = ceil(184.5 in / 48) - 1 = 3 x 2 stud row(s) x 2.42 ft [applies S5.20 1-F generically; RFI-w2-06]</t>
  </si>
  <si>
    <t xml:space="preserve">rows 2 x (floor(3.25 ft x 12 / 16)+1 = 3 field + 3 extra (per row: +3 (end caps / jambs / intersections))) = 12 studs x 15.375 ft stud height (deck = S2.20 B.O.D. EL. 15'-4 1/2" (high roof, no slope; same T/STEEL 15'-4 1/2" in A09.23 Section H at grid 3, between grids E and B) - T/slab LEVEL 1 0'-0" (A09.23) = 15.375 ft)</t>
  </si>
  <si>
    <t xml:space="preserve">2 run(s) x 3.25 ft (vector band x faces 1622.04/1631.28 (9.24 pt = 6.16 in), extent 713.40-&gt;771.96 = 58.56 pt / 18 = 3.25 ft)</t>
  </si>
  <si>
    <t xml:space="preserve">face CENTRAL ZONE 103 (west): 2 layers x 3.25 ft x 15.375 ft = 100.04 SF</t>
  </si>
  <si>
    <t xml:space="preserve">face OFFICES 106/107 (east): 2 layers x 3.25 ft x 15.375 ft = 100.04 SF</t>
  </si>
  <si>
    <t xml:space="preserve">3.25 ft x 15.375 ft</t>
  </si>
  <si>
    <t xml:space="preserve">4 runs (top+bottom, both faces) x 3.25 ft</t>
  </si>
  <si>
    <t xml:space="preserve">rows of bridging = ceil(184.5 in / 48) - 1 = 3 x 2 stud row(s) x 3.25 ft [applies S5.20 1-F generically; RFI-w2-06]</t>
  </si>
  <si>
    <t xml:space="preserve">2 run(s) x 3.25 ft (vector band x faces 1622.04/1631.28 (9.24 pt = 6.16 in), extent 906.96-&gt;965.52 = 58.56 pt / 18 = 3.25 ft)</t>
  </si>
  <si>
    <t xml:space="preserve">face OFFICES 107/108 (east): 2 layers x 3.25 ft x 15.375 ft = 100.04 SF</t>
  </si>
  <si>
    <t xml:space="preserve">rows 2 x (floor(10.83 ft x 12 / 16)+1 = 9 field + 1 extra (per row: +1 (end caps / jambs / intersections))) = 20 studs x 15.375 ft stud height (deck = S2.20 B.O.D. EL. 15'-4 1/2" (high roof, no slope; same T/STEEL 15'-4 1/2" in A09.23 Section H at grid 3, between grids E and B) - T/slab LEVEL 1 0'-0" (A09.23) = 15.375 ft)</t>
  </si>
  <si>
    <t xml:space="preserve">2 run(s) x 10.83 ft (vector band y faces 719.16/728.40 (9.24 pt = 6.16 in), extent 1631.28-&gt;1826.28 = 195.00 pt / 18 = 10.83 ft)</t>
  </si>
  <si>
    <t xml:space="preserve">face OFFICE 106 (north): 2 layers x 10.83 ft x 15.375 ft = 333.12 SF</t>
  </si>
  <si>
    <t xml:space="preserve">face OFFICE 107 (south): 2 layers x 10.83 ft x 15.375 ft = 333.12 SF</t>
  </si>
  <si>
    <t xml:space="preserve">10.83 ft x 15.375 ft</t>
  </si>
  <si>
    <t xml:space="preserve">4 runs (top+bottom, both faces) x 10.83 ft</t>
  </si>
  <si>
    <t xml:space="preserve">rows of bridging = ceil(184.5 in / 48) - 1 = 3 x 2 stud row(s) x 10.83 ft [applies S5.20 1-F generically; RFI-w2-06]</t>
  </si>
  <si>
    <t xml:space="preserve">2 run(s) x 10.83 ft (vector band y faces 912.84/922.08 (9.24 pt = 6.16 in), extent 1631.28-&gt;1826.28 = 195.00 pt / 18 = 10.83 ft)</t>
  </si>
  <si>
    <t xml:space="preserve">face OFFICE 107 (north): 2 layers x 10.83 ft x 15.375 ft = 333.12 SF</t>
  </si>
  <si>
    <t xml:space="preserve">face OFFICE 108 (south): 2 layers x 10.83 ft x 15.375 ft = 333.12 SF</t>
  </si>
  <si>
    <t xml:space="preserve">rows 2 x (floor(10.07 ft x 12 / 16)+1 = 8 field + 1 extra (per row: +1 (end caps / jambs / intersections))) = 18 studs x 15.375 ft stud height (deck = S2.20 B.O.D. EL. 15'-4 1/2" (high roof, no slope; same T/STEEL 15'-4 1/2" in A09.23 Section H at grid 3, between grids E and B) - T/slab LEVEL 1 0'-0" (A09.23) = 15.375 ft)</t>
  </si>
  <si>
    <t xml:space="preserve">2 run(s) x 10.07 ft (vector band y faces 1106.52/1115.76 (9.24 pt = 6.16 in), extent 1661.76-&gt;1843.08 = 181.32 pt / 18 = 10.07 ft)</t>
  </si>
  <si>
    <t xml:space="preserve">face OFFICE 108 (north): 2 layers x 10.07 ft x 15.375 ft = 309.75 SF</t>
  </si>
  <si>
    <t xml:space="preserve">face CASH WINDOW 116 (south; x 1661.76-1708.08 the south face is 3.3" off the A1K face - see notes): 2 layers x 10.07 ft x 15.375 ft = 309.75 SF</t>
  </si>
  <si>
    <t xml:space="preserve">10.07 ft x 15.375 ft</t>
  </si>
  <si>
    <t xml:space="preserve">4 runs (top+bottom, both faces) x 10.07 ft</t>
  </si>
  <si>
    <t xml:space="preserve">rows of bridging = ceil(184.5 in / 48) - 1 = 3 x 2 stud row(s) x 10.07 ft [applies S5.20 1-F generically; RFI-w2-06]</t>
  </si>
  <si>
    <t xml:space="preserve">rows 2 x (floor(12.33 ft x 12 / 16)+1 = 10 field + 2 extra (per row: +2 (end caps / jambs / intersections))) = 24 studs x 15.375 ft stud height (deck = S2.20 B.O.D. EL. 15'-4 1/2" (high roof, no slope; same T/STEEL 15'-4 1/2" in A09.23 Section H at grid 3, between grids E and B) - T/slab LEVEL 1 0'-0" (A09.23) = 15.375 ft)</t>
  </si>
  <si>
    <t xml:space="preserve">2 run(s) x 12.33 ft (vector band y faces 830.76/840.00 (9.24 pt = 6.16 in), extent 911.88-&gt;1133.88 = 222.00 pt / 18 = 12.33 ft)</t>
  </si>
  <si>
    <t xml:space="preserve">face ATM ROOM 102 (north): 2 layers x 12.33 ft x 15.375 ft = 379.25 SF</t>
  </si>
  <si>
    <t xml:space="preserve">face OFFICE 109 (south): 2 layers x 12.33 ft x 15.375 ft = 379.25 SF</t>
  </si>
  <si>
    <t xml:space="preserve">12.33 ft x 15.375 ft</t>
  </si>
  <si>
    <t xml:space="preserve">4 runs (top+bottom, both faces) x 12.33 ft</t>
  </si>
  <si>
    <t xml:space="preserve">rows of bridging = ceil(184.5 in / 48) - 1 = 3 x 2 stud row(s) x 12.33 ft [applies S5.20 1-F generically; RFI-w2-06]</t>
  </si>
  <si>
    <t xml:space="preserve">rows 2 x (floor(11.63 ft x 12 / 16)+1 = 9 field + 1 extra (per row: +1 (end caps / jambs / intersections))) = 20 studs x 15.375 ft stud height (deck = S2.20 B.O.D. EL. 15'-4 1/2" (high roof, no slope; same T/STEEL 15'-4 1/2" in A09.23 Section H at grid 3, between grids E and B) - T/slab LEVEL 1 0'-0" (A09.23) = 15.375 ft)</t>
  </si>
  <si>
    <t xml:space="preserve">2 run(s) x 11.63 ft (vector band y faces 1029.00/1038.12 (9.12 pt = 6.08 in), extent 911.88-&gt;1121.16 = 209.28 pt / 18 = 11.63 ft)</t>
  </si>
  <si>
    <t xml:space="preserve">face OFFICE 109 (north): 2 layers x 11.63 ft x 15.375 ft = 357.52 SF</t>
  </si>
  <si>
    <t xml:space="preserve">face OFFICE 110 (south): 2 layers x 11.63 ft x 15.375 ft = 357.52 SF</t>
  </si>
  <si>
    <t xml:space="preserve">11.63 ft x 15.375 ft</t>
  </si>
  <si>
    <t xml:space="preserve">4 runs (top+bottom, both faces) x 11.63 ft</t>
  </si>
  <si>
    <t xml:space="preserve">rows of bridging = ceil(184.5 in / 48) - 1 = 3 x 2 stud row(s) x 11.63 ft [applies S5.20 1-F generically; RFI-w2-06]</t>
  </si>
  <si>
    <t xml:space="preserve">2 run(s) x 11.63 ft (vector band y faces 1227.12/1236.36 (9.24 pt = 6.16 in), extent 911.88-&gt;1121.16 = 209.28 pt / 18 = 11.63 ft)</t>
  </si>
  <si>
    <t xml:space="preserve">face OFFICE 110 (north): 2 layers x 11.63 ft x 15.375 ft = 357.52 SF</t>
  </si>
  <si>
    <t xml:space="preserve">face WOMEN'S RESTROOM 114 (south): 2 layers x 11.63 ft x 15.375 ft = 357.52 SF</t>
  </si>
  <si>
    <t xml:space="preserve">G1 + S5.20 7 METAL STUD PROPERTIES: '362S137-33 3 5/8" INTERIOR WALLS @ 16" O.C.'; '600S137-33 6"'; '600T125-33 BOTTOM TRACK'; '600T200-97 TOP TRACK'</t>
  </si>
  <si>
    <t xml:space="preserve">5/A12.01 (PARTITION G (G1 row) + schedule)</t>
  </si>
  <si>
    <t xml:space="preserve">2 run(s) x 10.83 ft (vector band y faces 522.00/534.72 (12.72 pt = 8.48 in), extent 1631.28-&gt;1826.28 = 195.00 pt / 18 = 10.83 ft)</t>
  </si>
  <si>
    <t xml:space="preserve">face OFFICE 105 (north): 2 layers x 10.83 ft x 15.375 ft = 333.12 SF</t>
  </si>
  <si>
    <t xml:space="preserve">face OFFICE 106 (south): 2 layers x 10.83 ft x 15.375 ft = 333.12 SF</t>
  </si>
  <si>
    <t xml:space="preserve">rows 2 x (floor(7.40 ft x 12 / 16)+1 = 6 field + 4 extra (per row: +4 (end caps / jambs / intersections))) = 20 studs x 15.375 ft stud height (deck = S2.20 B.O.D. EL. 15'-4 1/2" (high roof, no slope; same T/STEEL 15'-4 1/2" in A09.23 Section H at grid 3, between grids E and B) - T/slab LEVEL 1 0'-0" (A09.23) = 15.375 ft)</t>
  </si>
  <si>
    <t xml:space="preserve">2 run(s) x 7.40 ft (vector band x faces 1121.16/1133.88 (12.72 pt = 8.48 in), extent 840.00-&gt;1243.20 = 403.20 pt / 18 = 22.40 ft; minus office-front openings 2 x 135.00 pt (7'-6" each, A02.01 '7'-6" HOLD CLEAR FINISHED OPENING') -&gt; net solid (403.20-270.00)/18 = 7.40 ft)</t>
  </si>
  <si>
    <t xml:space="preserve">face OFFICES 109/110 (west): 2 layers x 7.40 ft x 15.375 ft = 227.55 SF</t>
  </si>
  <si>
    <t xml:space="preserve">face CENTRAL ZONE 103 (east): 2 layers x 7.40 ft x 15.375 ft = 227.55 SF</t>
  </si>
  <si>
    <t xml:space="preserve">7.40 ft x 15.375 ft</t>
  </si>
  <si>
    <t xml:space="preserve">4 runs (top+bottom, both faces) x 7.40 ft</t>
  </si>
  <si>
    <t xml:space="preserve">rows of bridging = ceil(184.5 in / 48) - 1 = 3 x 2 stud row(s) x 7.40 ft [applies S5.20 1-F generically; RFI-w2-06]</t>
  </si>
  <si>
    <t xml:space="preserve">3-5/8" metal stud 362S137-33 (20ga) (LF)</t>
  </si>
  <si>
    <t xml:space="preserve">F + S5.20 7 METAL STUD PROPERTIES: '362S137-33 3 5/8" INTERIOR WALLS @ 16" O.C.'; '600S137-33 6"'; '600T125-33 BOTTOM TRACK'; '600T200-97 TOP TRACK'</t>
  </si>
  <si>
    <t xml:space="preserve">rows 1 x (floor(17.76 ft x 12 / 16)+1 = 14 field + 5 extra (+4 double jamb studs at ATM R.O. (S5.20 9 DBL JAMB STUD), +1 end stud)) = 19 studs x 15.375 ft stud height (deck = S2.20 B.O.D. EL. 15'-4 1/2" (high roof, no slope; same T/STEEL 15'-4 1/2" in A09.23 Section H at grid 3, between grids E and B) - T/slab LEVEL 1 0'-0" (A09.23) = 15.375 ft)</t>
  </si>
  <si>
    <t xml:space="preserve">12/A12.01 (PARTITION TYPE F)</t>
  </si>
  <si>
    <t xml:space="preserve">1 run(s) x 17.76 ft (diagonal faces at 30.0 deg: public face 136.88+40.49+136.88 = 314.25 pt, ATM-room face 132.04+40.49+122.20+12.74+17.74 = 325.21 pt; centerline (avg) 319.73 pt / 18 = 17.76 ft)</t>
  </si>
  <si>
    <t xml:space="preserve">top deflection slip track 3-5/8" x 2" leg (20ga) (LF)</t>
  </si>
  <si>
    <t xml:space="preserve">FRT plywood 3/4" (SF)</t>
  </si>
  <si>
    <t xml:space="preserve">12/A12.01 '3/4" FRT PLYWOOD ON PUBLIC SIDE OF PARTITION, EXTEND TO DECK ABOVE'</t>
  </si>
  <si>
    <t xml:space="preserve">public face (24 HR VESTIBULE 101) 17.46 ft x 15.375 ft - ATM R.O. 2.25 x 2.688 = 262.38 SF</t>
  </si>
  <si>
    <t xml:space="preserve">5/8" gypsum board type X (LF/SF) - public side over FRT, 1 layer</t>
  </si>
  <si>
    <t xml:space="preserve">12/A12.01 5/8" GYPSUM WALLBOARD (stops at ATM LOBBY ceiling); A04.01 24 HR VESTIBULE 101 'GB 10'-0"'</t>
  </si>
  <si>
    <t xml:space="preserve">17.46 ft x 10.00 ft - 6.05 SF R.O. = 168.54 SF</t>
  </si>
  <si>
    <t xml:space="preserve">5/8" gypsum board type X (LF/SF) - ATM room side, 1 layer</t>
  </si>
  <si>
    <t xml:space="preserve">12/A12.01 5/8" GYPSUM WALLBOARD to 6" above CEILING AS SCHEDULED; A04.01 ATM ROOM 102 'ACT-5 8'-6"'</t>
  </si>
  <si>
    <t xml:space="preserve">18.07 ft x (8.50 + 0.50) ft - 6.05 SF = 156.56 SF</t>
  </si>
  <si>
    <t xml:space="preserve">batt insulation sound attenuation 3-1/2" (SF)</t>
  </si>
  <si>
    <t xml:space="preserve">12/A12.01 BATT INSULATION</t>
  </si>
  <si>
    <t xml:space="preserve">17.76 x 15.375 - R.O. 6.05</t>
  </si>
  <si>
    <t xml:space="preserve">rows of bridging = ceil(184.5 in / 48) - 1 = 3 x 1 stud row(s) x 17.76 ft [applies S5.20 1-F generically; RFI-w2-06]</t>
  </si>
  <si>
    <t xml:space="preserve">header / box beam 3-5/8" track 18ga (43 mil) single (LF)</t>
  </si>
  <si>
    <t xml:space="preserve">S5.20 7 HEADER SCHEDULE - WALLS: NON LOAD BRG INTERIOR max span 3'-4" 'SINGLE TRACK 18 GAUGE'; 6'-0" 'DOUBLE TRACK 18 GAUGE'; 8'-0" '2-362CSJ20'; A08.11 1 '2'-3" R.O.'</t>
  </si>
  <si>
    <t xml:space="preserve">span 27 in &lt;= 3'-4" -&gt; single track; 1 x 2.25 ft</t>
  </si>
  <si>
    <t xml:space="preserve">sill track 3-5/8" 18ga (43 mil) (LF)</t>
  </si>
  <si>
    <t xml:space="preserve">S5.20 2 'INVERT DETAIL FOR SILL CONDITION'</t>
  </si>
  <si>
    <t xml:space="preserve">1 x 2.25 ft</t>
  </si>
  <si>
    <t xml:space="preserve">S5.20 9 cripples @ 16" O.C.</t>
  </si>
  <si>
    <t xml:space="preserve">cripples floor(27/16)+1 = 2 above (2 x 10.042) + 2 below (2 x 2.646)</t>
  </si>
  <si>
    <t xml:space="preserve">A08.11 4 ATM SURROUND (trim at R.O.) - surround by ATM vendor</t>
  </si>
  <si>
    <t xml:space="preserve">perimeter of R.O. on public face 2 x (2.25 + 2.688)</t>
  </si>
  <si>
    <t xml:space="preserve">C1 + S5.20 7 METAL STUD PROPERTIES: '362S137-33 3 5/8" INTERIOR WALLS @ 16" O.C.'; '600S137-33 6"'; '600T125-33 BOTTOM TRACK'; '600T200-97 TOP TRACK'</t>
  </si>
  <si>
    <t xml:space="preserve">rows 1 x (floor(4.00 ft x 12 / 16)+1 = 4 field + 4 extra (+4 corner/end studs)) = 8 studs x 15.375 ft stud height (deck = S2.20 B.O.D. EL. 15'-4 1/2" (high roof, no slope; same T/STEEL 15'-4 1/2" in A09.23 Section H at grid 3, between grids E and B) - T/slab LEVEL 1 0'-0" (A09.23) = 15.375 ft [PENDIENTE: 6/A12.01 shows a break line at the top, height of C1 furring not dimensioned -&gt; RFI-w2-03; provisional value = to underside of deck])</t>
  </si>
  <si>
    <t xml:space="preserve">6/A12.01 (PARTITION TYPE C1: BLOCK PARTITION + 3 5/8" METAL STUDS + 5/8" GYPSUM BOARD)</t>
  </si>
  <si>
    <t xml:space="preserve">1 run(s) x 4.00 ft (4 faces x 18.00 pt = 72.00 pt / 18 = 4.00 ft)</t>
  </si>
  <si>
    <t xml:space="preserve">top track fixed 3-5/8" (20ga) (LF)</t>
  </si>
  <si>
    <t xml:space="preserve">5/8" gypsum board type X (LF/SF) - 1 layer, exposed face only</t>
  </si>
  <si>
    <t xml:space="preserve">6/A12.01 '5/8" GYPSUM BOARD' (one face)</t>
  </si>
  <si>
    <t xml:space="preserve">4.00 ft x 15.375 ft (provisional to deck) = 61.50 SF; RFI-w2-03</t>
  </si>
  <si>
    <t xml:space="preserve">outside corners of furred enclosure (A02.01 geometry)</t>
  </si>
  <si>
    <t xml:space="preserve">4 outside corners x 15.375 ft</t>
  </si>
  <si>
    <t xml:space="preserve">rows 1 x (floor(1.71 ft x 12 / 16)+1 = 2 field + 3 extra (+3 corner/end studs)) = 5 studs x 15.375 ft stud height (deck = S2.20 B.O.D. EL. 15'-4 1/2" (high roof, no slope; same T/STEEL 15'-4 1/2" in A09.23 Section H at grid 3, between grids E and B) - T/slab LEVEL 1 0'-0" (A09.23) = 15.375 ft [PENDIENTE: 6/A12.01 shows a break line at the top, height of C1 furring not dimensioned -&gt; RFI-w2-03; provisional value = to underside of deck])</t>
  </si>
  <si>
    <t xml:space="preserve">1 run(s) x 1.71 ft (17.16 + 6.36 + 7.32 = 30.84 pt / 18 = 1.71 ft)</t>
  </si>
  <si>
    <t xml:space="preserve">1.71 ft x 15.375 ft (provisional to deck) = 26.34 SF; RFI-w2-03</t>
  </si>
  <si>
    <t xml:space="preserve">2 outside corners x 15.375 ft</t>
  </si>
  <si>
    <t xml:space="preserve">rows 1 x (floor(11.33 ft x 12 / 16)+1 = 9 field + 3 extra (+3 corner/end studs)) = 12 studs x 15.375 ft stud height (deck = S2.20 B.O.D. EL. 15'-4 1/2" (high roof, no slope; same T/STEEL 15'-4 1/2" in A09.23 Section H at grid 3, between grids E and B) - T/slab LEVEL 1 0'-0" (A09.23) = 15.375 ft [PENDIENTE: 6/A12.01 shows a break line at the top, height of C1 furring not dimensioned -&gt; RFI-w2-03; provisional value = to underside of deck])</t>
  </si>
  <si>
    <t xml:space="preserve">1 run(s) x 11.33 ft (front 180.00 pt (= printed 10'-0") + returns 2 x 12.00 pt (= printed 8") / 18 = 11.33 ft)</t>
  </si>
  <si>
    <t xml:space="preserve">11.33 ft x 15.375 ft (provisional to deck) = 174.25 SF; RFI-w2-03</t>
  </si>
  <si>
    <t xml:space="preserve">rows 1 x (floor(10.03 ft x 12 / 16)+1 = 8 field + 1 extra (+1 corner/end studs)) = 9 studs x 12.923 ft stud height (deck interpolated N-S between S2.20 B.O.D. EL. 13'-0 5/8" @ grid B (y=1246.1 pt) and 12'-6 3/8" @ grid A (y=1700.5 pt): 13.052 - (1359.1-1246.1)/454.4 x 0.521 = 12.923 ft (minus T/slab 0'-0") [PENDIENTE: 6/A12.01 shows a break line at the top, height of C1 furring not dimensioned -&gt; RFI-w2-03; provisional value = to underside of deck]) || LEADER R3: x (13.052 / 12.92) = high end of sloped zone B-A per skill (S2.20 13'-0 5/8")</t>
  </si>
  <si>
    <t xml:space="preserve">1 run(s) x 10.03 ft (x 911.88-&gt;1092.36 = 180.48 pt / 18 = 10.03 ft)</t>
  </si>
  <si>
    <t xml:space="preserve">10.03 ft x 12.923 ft (provisional to deck) = 129.57 SF; RFI-w2-03</t>
  </si>
  <si>
    <t xml:space="preserve">rows 1 x (floor(10.03 ft x 12 / 16)+1 = 8 field + 1 extra (+1 corner/end studs)) = 9 studs x 12.892 ft stud height (deck interpolated N-S between S2.20 B.O.D. EL. 13'-0 5/8" @ grid B (y=1246.1 pt) and 12'-6 3/8" @ grid A (y=1700.5 pt): 13.052 - (1385.8-1246.1)/454.4 x 0.521 = 12.892 ft (minus T/slab 0'-0") [PENDIENTE: 6/A12.01 shows a break line at the top, height of C1 furring not dimensioned -&gt; RFI-w2-03; provisional value = to underside of deck]) || LEADER R3: x (13.052 / 12.89) = high end of sloped zone B-A per skill (S2.20 13'-0 5/8")</t>
  </si>
  <si>
    <t xml:space="preserve">10.03 ft x 12.892 ft (provisional to deck) = 129.26 SF; RFI-w2-03</t>
  </si>
  <si>
    <t xml:space="preserve">rows 1 x (floor(4.14 ft x 12 / 16)+1 = 4 field + 3 extra (+3 corner/end studs)) = 7 studs x 15.375 ft stud height (deck interpolated N-S between S2.20 B.O.D. EL. 13'-0 5/8" @ grid B (y=1246.1 pt) and 12'-6 3/8" @ grid A (y=1700.5 pt): 13.052 - (1357.9-1246.1)/454.4 x 0.521 = 12.924 ft (minus T/slab 0'-0") [PENDIENTE: 6/A12.01 shows a break line at the top, height of C1 furring not dimensioned -&gt; RFI-w2-03; provisional value = to underside of deck])</t>
  </si>
  <si>
    <t xml:space="preserve">1 run(s) x 4.14 ft (53.64 + 2 x 10.44 = 74.52 pt / 18 = 4.14 ft)</t>
  </si>
  <si>
    <t xml:space="preserve">4.14 ft x 15.375 ft (provisional to deck) = 63.65 SF; RFI-w2-03</t>
  </si>
  <si>
    <t xml:space="preserve">header / box beam 2-362CSJ20 (cont. box beam) (LF)</t>
  </si>
  <si>
    <t xml:space="preserve">8/A12.01 + 9/A12.01 'CONT. BOX BEAM' (size not given) + S5.20 7 HEADER SCHEDULE - WALLS: NON LOAD BRG INTERIOR max span 3'-4" 'SINGLE TRACK 18 GAUGE'; 6'-0" 'DOUBLE TRACK 18 GAUGE'; 8'-0" '2-362CSJ20' (span 7'-6" &lt;= 8'-0")</t>
  </si>
  <si>
    <t xml:space="preserve">1 x 7.50 ft opening width</t>
  </si>
  <si>
    <t xml:space="preserve">8/A12.01 'METAL STUDS ATTACH TO STRUCTURE ABOVE' (G/G1 rows)</t>
  </si>
  <si>
    <t xml:space="preserve">2 rows x (floor(90 in/16)+1 = 6) cripples x band 7.333 ft</t>
  </si>
  <si>
    <t xml:space="preserve">10/A12.01 OFFICE JAMB DETAIL + S5.20 9 'DBL JAMB STUD'</t>
  </si>
  <si>
    <t xml:space="preserve">2 jambs x 2 rows x 2 studs = 8 x 15.375 ft (floor to deck)</t>
  </si>
  <si>
    <t xml:space="preserve">8/A12.01 'CONT. SLIP TRACK'</t>
  </si>
  <si>
    <t xml:space="preserve">2 rows x 7.50 ft</t>
  </si>
  <si>
    <t xml:space="preserve">8/A12.01 '2 LAYERS 5/8" GYPSUM WALL BOARD TO EXTEND TO UNDERSIDE OF DECK'</t>
  </si>
  <si>
    <t xml:space="preserve">office face: 2 layers x 7.50 ft x band (15.375 deck - 8.042 head = 7.333) ft</t>
  </si>
  <si>
    <t xml:space="preserve">central zone face: 2 layers x 7.50 x 7.333</t>
  </si>
  <si>
    <t xml:space="preserve">5/8" gypsum board type X (LF/SF) - soffit of bulkhead, 1 layer</t>
  </si>
  <si>
    <t xml:space="preserve">8/A12.01 gyp under FRT plywood blocking at bulkhead underside</t>
  </si>
  <si>
    <t xml:space="preserve">7.50 ft x wall thickness 0.513 ft</t>
  </si>
  <si>
    <t xml:space="preserve">FRT blocking 3/4" plywood (LF)</t>
  </si>
  <si>
    <t xml:space="preserve">8/A12.01 + 10/A12.01 '3/4" FRT PLYWOOD BLOCKING'</t>
  </si>
  <si>
    <t xml:space="preserve">head 7.50 ft + 2 jambs x 8.042 ft</t>
  </si>
  <si>
    <t xml:space="preserve">8/A12.01 + 10/A12.01 'CORNER BEAD, TYPICAL'</t>
  </si>
  <si>
    <t xml:space="preserve">2 head edges x 7.50 + 2 jambs x 2 edges x 8.042</t>
  </si>
  <si>
    <t xml:space="preserve">shadow molding (LF)</t>
  </si>
  <si>
    <t xml:space="preserve">8/A12.01 'SHADOW MOLDING - AS SPECIFIED' (ceiling-to-bulkhead)</t>
  </si>
  <si>
    <t xml:space="preserve">1 x 7.50 ft (office side; frontera w4 for remaining ceiling perimeter)</t>
  </si>
  <si>
    <t xml:space="preserve">8/A12.01 'SEALANT' at underside of structure (2 faces) and at office-front head (2 faces) + 10/A12.01 'SEALANT' at jambs</t>
  </si>
  <si>
    <t xml:space="preserve">top 2 x 7.50 + head 2 x 7.50 + jambs 4 x 8.042</t>
  </si>
  <si>
    <t xml:space="preserve">batt insulation sound attenuation (SF)</t>
  </si>
  <si>
    <t xml:space="preserve">8/A12.01 batt drawn in bulkhead cavity</t>
  </si>
  <si>
    <t xml:space="preserve">7.50 x 7.333</t>
  </si>
  <si>
    <t xml:space="preserve">8/A12.01 'SOUNDGUARD ISOLATOR BY MARINOWARE'</t>
  </si>
  <si>
    <t xml:space="preserve">spacing not printed -&gt; RFI-w2-02</t>
  </si>
  <si>
    <t xml:space="preserve">2 rows x (floor(90 in/16)+1 = 6) cripples x band 7.375 ft</t>
  </si>
  <si>
    <t xml:space="preserve">office face: 2 layers x 7.50 ft x band (15.375 deck - 8.000 head = 7.375) ft</t>
  </si>
  <si>
    <t xml:space="preserve">central zone face: 2 layers x 7.50 x 7.375</t>
  </si>
  <si>
    <t xml:space="preserve">7.50 ft x wall thickness 0.707 ft</t>
  </si>
  <si>
    <t xml:space="preserve">head 7.50 ft + 2 jambs x 8.000 ft</t>
  </si>
  <si>
    <t xml:space="preserve">2 head edges x 7.50 + 2 jambs x 2 edges x 8.000</t>
  </si>
  <si>
    <t xml:space="preserve">top 2 x 7.50 + head 2 x 7.50 + jambs 4 x 8.000</t>
  </si>
  <si>
    <t xml:space="preserve">7.50 x 7.375</t>
  </si>
  <si>
    <t xml:space="preserve">header / box beam 6" track 18ga (43 mil) double (LF)</t>
  </si>
  <si>
    <t xml:space="preserve">S5.20 7 HEADER SCHEDULE - WALLS: NON LOAD BRG INTERIOR max span 3'-4" 'SINGLE TRACK 18 GAUGE'; 6'-0" 'DOUBLE TRACK 18 GAUGE'; 8'-0" '2-362CSJ20'</t>
  </si>
  <si>
    <t xml:space="preserve">span 46.0 in &lt;= 6'-0" -&gt; DOUBLE TRACK 18 GAUGE: 2 x 3.83</t>
  </si>
  <si>
    <t xml:space="preserve">S5.20 9 OPNG IN NON-LOAD-BRG WALLS (DBL JAMB STUD, cripples)</t>
  </si>
  <si>
    <t xml:space="preserve">cripples 3 x 7.208 + 2 added jamb studs (2nd stud of each DBL JAMB) x 15.375</t>
  </si>
  <si>
    <t xml:space="preserve">1/A12.01 CONTINUOUS SLIP TRACK over opening</t>
  </si>
  <si>
    <t xml:space="preserve">1 x 3.83</t>
  </si>
  <si>
    <t xml:space="preserve">1/A12.01 board to underside of structure</t>
  </si>
  <si>
    <t xml:space="preserve">2 faces x 3.83 ft x 7.208 ft</t>
  </si>
  <si>
    <t xml:space="preserve">1/A12.01 CONT ACOUS SEALANT at top, both faces</t>
  </si>
  <si>
    <t xml:space="preserve">2 x 3.83</t>
  </si>
  <si>
    <t xml:space="preserve">header / box beam 6" track 18ga (43 mil) single (LF)</t>
  </si>
  <si>
    <t xml:space="preserve">span 40.0 in &lt;= 3'-4" -&gt; SINGLE TRACK 18 GAUGE</t>
  </si>
  <si>
    <t xml:space="preserve">cripples 3 x 5.854 + 2 added jamb studs (2nd stud of each DBL JAMB) x 13.021</t>
  </si>
  <si>
    <t xml:space="preserve">1 x 3.33</t>
  </si>
  <si>
    <t xml:space="preserve">2 faces x 3.33 ft x 5.854 ft</t>
  </si>
  <si>
    <t xml:space="preserve">2 x 3.33</t>
  </si>
  <si>
    <t xml:space="preserve">cripples 3 x 5.627 + 2 added jamb studs (2nd stud of each DBL JAMB) x 12.794</t>
  </si>
  <si>
    <t xml:space="preserve">2 faces x 3.33 ft x 5.627 ft</t>
  </si>
  <si>
    <t xml:space="preserve">cripples 3 x 5.540 + 2 added jamb studs (2nd stud of each DBL JAMB) x 12.707</t>
  </si>
  <si>
    <t xml:space="preserve">2 faces x 3.33 ft x 5.540 ft</t>
  </si>
  <si>
    <t xml:space="preserve">cripples 3 x 5.416 + 2 added jamb studs (2nd stud of each DBL JAMB) x 12.582</t>
  </si>
  <si>
    <t xml:space="preserve">2 faces x 3.33 ft x 5.416 ft</t>
  </si>
  <si>
    <t xml:space="preserve">6" metal stud 600S162-54 (16ga) @ 16" O.C. (12" O.C. within 6' of building corners) (LF)</t>
  </si>
  <si>
    <t xml:space="preserve">S1.11 LT GA note 5 "ALL OTHER EXTERIOR STUDS: 600S162-54 @ 16\" O.C." / "STUDS WITHIN 6 FT OF BUILDING CORNERS: 600S162-54 @ 12\" O.C."; height = B.O.D. per S2.20</t>
  </si>
  <si>
    <t xml:space="preserve">full-height studs = floor(204.2in/16)+1=13 + corner 12"OC zones 2 + three-stud corner 2 + partition intersections 1 - studs inside openings 9 + double jambs 4 = 13 x 15'-4.5" = 199.9 LF; cripples above heads 9 = 54.0 LF; cripples below sills 0 = 0.0 LF</t>
  </si>
  <si>
    <t xml:space="preserve">6" parapet stud 600S162-54 (16ga) @ 16" O.C. parapet infill (LF)</t>
  </si>
  <si>
    <t xml:space="preserve">11/S5.10 "PARAPET WALL INFILL FRAMING TO BE 600S162-54 @ 16\" W/ 600T125-54 TOP &amp; BOT." + "ONE STUD EA. SIDE OF EA. POST - 5'-0\" O.C. MAX"</t>
  </si>
  <si>
    <t xml:space="preserve">(floor(204.2/16)+1=13 + 2 x 4 HSS posts @5'-0" max) = 21 studs x parapet height (T/STUD 19'-8" - B.O.D. 15'-4.5" = 4'-3.5")</t>
  </si>
  <si>
    <t xml:space="preserve">bottom track 600T125-33 (6" 20ga) (LF)</t>
  </si>
  <si>
    <t xml:space="preserve">7/S5.20 METAL STUD SCHEDULE "600T125-33 ... BOTTOM TRACK CONT. EXTERIOR"</t>
  </si>
  <si>
    <t xml:space="preserve">17.02 - floor openings 12.56</t>
  </si>
  <si>
    <t xml:space="preserve">top deflection slip track 600T200-97 (6" x 2" leg, 12ga) (LF)</t>
  </si>
  <si>
    <t xml:space="preserve">7/S5.20 "600T200-97 ... TOP TRACK CONT." + 10/S5.10 "DEFLECTION TRACK PER LT GA MFR"</t>
  </si>
  <si>
    <t xml:space="preserve">run length 17.02 at B.O.D./perimeter beam</t>
  </si>
  <si>
    <t xml:space="preserve">bottom track 600T125-54 (6" 16ga) parapet infill (LF)</t>
  </si>
  <si>
    <t xml:space="preserve">11/S5.10 "600T125-54 TOP &amp; BOT."</t>
  </si>
  <si>
    <t xml:space="preserve">run length 17.02</t>
  </si>
  <si>
    <t xml:space="preserve">top track fixed 600T125-54 (6" 16ga) parapet infill (LF)</t>
  </si>
  <si>
    <t xml:space="preserve">run length 17.02 at T/STUD 19'-8"</t>
  </si>
  <si>
    <t xml:space="preserve">sill track / head track 600T125-54 at openings (LF)</t>
  </si>
  <si>
    <t xml:space="preserve">2/S5.20 "HEAD TRACK (DOUBLE TRACK @ OPNG &gt; 4'-0\")", "INVERT DETAIL FOR SILL CONDITION"</t>
  </si>
  <si>
    <t xml:space="preserve">head track 25.12 + sill track 0.00</t>
  </si>
  <si>
    <t xml:space="preserve">bracing C.R. channel 1-1/2" @ 48" O.C. (bridging thru stud webs) (LF)</t>
  </si>
  <si>
    <t xml:space="preserve">S5.20 detail 1-F "1 1/2\" C.R. CHANNEL @ 48\" O.C."</t>
  </si>
  <si>
    <t xml:space="preserve">3 rows x 17.02 - rows cut by openings 25.12 + parapet rows 1 x 17.02</t>
  </si>
  <si>
    <t xml:space="preserve">FRT plywood 5/8" bonded to 2-1/2" polyiso insulation - exterior sheathing/insulation system (SF)</t>
  </si>
  <si>
    <t xml:space="preserve">A09.21/22/23 "SHEATHING/INSULATION SYSTEM: 5/8\" FRT PLYWOOD BONDED TO 2 1/2\" POLYISO INSULATION"; 5/A09.26 T/BASE 0'-6"</t>
  </si>
  <si>
    <t xml:space="preserve">17.02 x (T/STUD 19'-8" - T/BASE 0'-6") - openings 100.5 - canopy band 17.02 x 1.979</t>
  </si>
  <si>
    <t xml:space="preserve">5/8" glass mat sheathing - exterior face at base strip and canopy band (SF)</t>
  </si>
  <si>
    <t xml:space="preserve">5/A09.26, 9/A09.27, 12/A09.27 "5/8\" GLASS MAT SHEATHING" below T/BASE 0'-6"; 3/A09.26 &amp; 7/A09.26 "SPRAY FOAM INSULATION ON 5/8\" GLASS-MAT SHEATHING" behind canopy</t>
  </si>
  <si>
    <t xml:space="preserve">base (17.02-12.56) x 0.5 + canopy band 17.02 x 1.979 (B/STUD 10'-7 1/4" to T/STUD 12'-7")</t>
  </si>
  <si>
    <t xml:space="preserve">5/8" exterior gyp sheathing - parapet roof side (inboard face) (SF)</t>
  </si>
  <si>
    <t xml:space="preserve">A09.21/22/23 parapet "5/8\" EXTERIOR GYPSUM SHEATHING" (roof side)</t>
  </si>
  <si>
    <t xml:space="preserve">17.02 x (19'-8" - B.O.D. 15'-4.5")</t>
  </si>
  <si>
    <t xml:space="preserve">FRT plywood 3/4" - parapet top blocking under ACM coping (SF)</t>
  </si>
  <si>
    <t xml:space="preserve">4/A09.26 "3/4\" F.R.T. PLYWOOD BLOCKING AS REQUIRED" (8"+3" = 11" wall width)</t>
  </si>
  <si>
    <t xml:space="preserve">17.02 x 11"</t>
  </si>
  <si>
    <t xml:space="preserve">5/8" gypsum board regular (type not specified) - interior face of exterior wall, to deck (SF)</t>
  </si>
  <si>
    <t xml:space="preserve">A09.21/22/23 "5/8\" GYP. BOARD @ PERIMETER EXTERIOR WALL TO DECK"; S2.20 B.O.D.</t>
  </si>
  <si>
    <t xml:space="preserve">interior length 16.72 x 15'-4.5" (to deck) - openings 106.8</t>
  </si>
  <si>
    <t xml:space="preserve">5/8" gypsum board regular - jamb/head/sill returns at exterior openings (SF)</t>
  </si>
  <si>
    <t xml:space="preserve">2/A09.26 &amp; 11/A09.27 "GYPSUM BOARD JAMB RETURN BEYOND"; 3/A09.25 window jamb</t>
  </si>
  <si>
    <t xml:space="preserve">opening perimeter (excl. HM door, frame wraps wall) x 6" return</t>
  </si>
  <si>
    <t xml:space="preserve">2/A09.26, 10/A09.27, 11/A09.27 (board edge at frame)</t>
  </si>
  <si>
    <t xml:space="preserve">opening perimeter (jambs+head+sill)</t>
  </si>
  <si>
    <t xml:space="preserve">return outside corner at interior face</t>
  </si>
  <si>
    <t xml:space="preserve">FRT plywood 3/4" - opening perimeter lining (head/jamb/sill) (SF)</t>
  </si>
  <si>
    <t xml:space="preserve">2/A09.26 "3/4\" FRT PLYWOOD"; 10/A09.27, 11/A09.27, 14/A09.27, 3/A09.25, 4/A09.25 "3/4\" FRT PLYWOOD"</t>
  </si>
  <si>
    <t xml:space="preserve">opening perimeter 29.56 x 6"</t>
  </si>
  <si>
    <t xml:space="preserve">acoustical sealant (LF) - sealant at base of gypsum board per 5/A09.26</t>
  </si>
  <si>
    <t xml:space="preserve">5/A09.26 "SEALANT AT BASE OF GYPSUM"</t>
  </si>
  <si>
    <t xml:space="preserve">16.72 - floor openings 12.56</t>
  </si>
  <si>
    <t xml:space="preserve">full-height studs = floor(315.0in/16)+1=20 + corner 12"OC zones 0 + three-stud corner 0 + partition intersections 0 - studs inside openings 19 + double jambs 4 = 5 x 15'-4.5" = 76.9 LF; cripples above heads 19 = 114.0 LF; cripples below sills 0 = 0.0 LF</t>
  </si>
  <si>
    <t xml:space="preserve">(floor(315.0/16)+1=20 + 2 x 6 HSS posts @5'-0" max) = 32 studs x parapet height (T/STUD 17'-5" - B.O.D. 15'-4.5" = 2'-0.5")</t>
  </si>
  <si>
    <t xml:space="preserve">26.25 - floor openings 26.25</t>
  </si>
  <si>
    <t xml:space="preserve">run length 26.25 at B.O.D./perimeter beam</t>
  </si>
  <si>
    <t xml:space="preserve">run length 26.25</t>
  </si>
  <si>
    <t xml:space="preserve">run length 26.25 at T/STUD 17'-5"</t>
  </si>
  <si>
    <t xml:space="preserve">head track 52.50 + sill track 0.00</t>
  </si>
  <si>
    <t xml:space="preserve">3 rows x 26.25 - rows cut by openings 52.50 + parapet rows 0 x 26.25</t>
  </si>
  <si>
    <t xml:space="preserve">26.25 x (T/STUD 17'-5" - T/BASE 0'-6") - openings 210.0 - canopy band 26.25 x 1.979</t>
  </si>
  <si>
    <t xml:space="preserve">base (26.25-26.25) x 0.5 + canopy band 26.25 x 1.979 (B/STUD 10'-7 1/4" to T/STUD 12'-7")</t>
  </si>
  <si>
    <t xml:space="preserve">26.25 x (17'-5" - B.O.D. 15'-4.5")</t>
  </si>
  <si>
    <t xml:space="preserve">26.25 x 11"</t>
  </si>
  <si>
    <t xml:space="preserve">interior length 26.25 x 15'-4.5" (to deck) - openings 223.1</t>
  </si>
  <si>
    <t xml:space="preserve">opening perimeter 43.25 x 6"</t>
  </si>
  <si>
    <t xml:space="preserve">full-height studs = floor(155.2in/16)+1=10 + corner 12"OC zones 2 + three-stud corner 2 + partition intersections 0 - studs inside openings 0 + double jambs 0 = 14 x 15'-4.5" = 215.2 LF; cripples above heads 0 = 0.0 LF; cripples below sills 0 = 0.0 LF</t>
  </si>
  <si>
    <t xml:space="preserve">(floor(155.2/16)+1=10 + 2 x 3 HSS posts @5'-0" max) = 16 studs x parapet height (T/STUD 17'-5" - B.O.D. 15'-4.5" = 2'-0.5")</t>
  </si>
  <si>
    <t xml:space="preserve">12.93 - floor openings 0.00</t>
  </si>
  <si>
    <t xml:space="preserve">run length 12.93 at B.O.D./perimeter beam</t>
  </si>
  <si>
    <t xml:space="preserve">run length 12.93</t>
  </si>
  <si>
    <t xml:space="preserve">run length 12.93 at T/STUD 17'-5"</t>
  </si>
  <si>
    <t xml:space="preserve">3 rows x 12.93 - rows cut by openings 0.00 + parapet rows 0 x 12.93</t>
  </si>
  <si>
    <t xml:space="preserve">12.93 x (T/STUD 17'-5" - T/BASE 0'-6") - openings 0.0 - canopy band 12.93 x 1.979</t>
  </si>
  <si>
    <t xml:space="preserve">base (12.93-0.00) x 0.5 + canopy band 12.93 x 1.979 (B/STUD 10'-7 1/4" to T/STUD 12'-7")</t>
  </si>
  <si>
    <t xml:space="preserve">12.93 x (17'-5" - B.O.D. 15'-4.5")</t>
  </si>
  <si>
    <t xml:space="preserve">12.93 x 11"</t>
  </si>
  <si>
    <t xml:space="preserve">interior length 11.77 x 15'-4.5" (to deck) - openings 0.0</t>
  </si>
  <si>
    <t xml:space="preserve">11.77 - floor openings 0.00</t>
  </si>
  <si>
    <t xml:space="preserve">full-height studs = floor(608.2in/16)+1=39 + corner 12"OC zones 2 + three-stud corner 0 + partition intersections 4 - studs inside openings 24 + double jambs 16 = 37 x 15'-4.5" = 568.9 LF; cripples above heads 24 = 147.0 LF; cripples below sills 24 = 153.0 LF</t>
  </si>
  <si>
    <t xml:space="preserve">(floor(608.2/16)+1=39 + 2 x 11 HSS posts @5'-0" max) = 61 studs x parapet height (T/STUD 17'-5" - B.O.D. 15'-4.5" = 2'-0.5")</t>
  </si>
  <si>
    <t xml:space="preserve">50.69 - floor openings 0.00</t>
  </si>
  <si>
    <t xml:space="preserve">run length 50.69 at B.O.D./perimeter beam</t>
  </si>
  <si>
    <t xml:space="preserve">run length 50.69</t>
  </si>
  <si>
    <t xml:space="preserve">run length 50.69 at T/STUD 17'-5"</t>
  </si>
  <si>
    <t xml:space="preserve">head track 64.00 + sill track 32.00</t>
  </si>
  <si>
    <t xml:space="preserve">header / box beam 2-600S162-54 metal stud box beam (LF)</t>
  </si>
  <si>
    <t xml:space="preserve">11/A09.27 &amp; 14/A09.27 "METAL STUD BOX BEAM AS REQUIRED. PACK W/ BATT INSULATION" (size not given - RFI-w3-01)</t>
  </si>
  <si>
    <t xml:space="preserve">sum (R.O. width + 6" bearing) over window/door openings</t>
  </si>
  <si>
    <t xml:space="preserve">3 rows x 50.69 - rows cut by openings 32.00 + parapet rows 0 x 50.69</t>
  </si>
  <si>
    <t xml:space="preserve">50.69 x (T/STUD 17'-5" - T/BASE 0'-6") - openings 64.0 - canopy band 47.38 x 1.979</t>
  </si>
  <si>
    <t xml:space="preserve">base (50.69-0.00) x 0.5 + canopy band 47.38 x 1.979 (B/STUD 10'-7 1/4" to T/STUD 12'-7")</t>
  </si>
  <si>
    <t xml:space="preserve">50.69 x (17'-5" - B.O.D. 15'-4.5")</t>
  </si>
  <si>
    <t xml:space="preserve">50.69 x 11"</t>
  </si>
  <si>
    <t xml:space="preserve">interior length 50.48 x 15'-4.5" (to deck) - openings 64.0</t>
  </si>
  <si>
    <t xml:space="preserve">opening perimeter 80.00 x 6"</t>
  </si>
  <si>
    <t xml:space="preserve">50.48 - floor openings 0.00</t>
  </si>
  <si>
    <t xml:space="preserve">full-height studs = floor(303.0in/16)+1=19 + corner 12"OC zones 2 + three-stud corner 0 + partition intersections 1 - studs inside openings 0 + double jambs 0 = 22 x 13'-0.625" = 287.1 LF; cripples above heads 0 = 0.0 LF; cripples below sills 0 = 0.0 LF</t>
  </si>
  <si>
    <t xml:space="preserve">(floor(303.0/16)+1=19 + 2 x 6 HSS posts @5'-0" max) = 31 studs x parapet height (T/STUD 17'-5" - B.O.D. 13'-0.625" = 4'-4.375")</t>
  </si>
  <si>
    <t xml:space="preserve">25.25 - floor openings 0.00</t>
  </si>
  <si>
    <t xml:space="preserve">run length 25.25 at B.O.D./perimeter beam</t>
  </si>
  <si>
    <t xml:space="preserve">run length 25.25</t>
  </si>
  <si>
    <t xml:space="preserve">run length 25.25 at T/STUD 17'-5"</t>
  </si>
  <si>
    <t xml:space="preserve">3 rows x 25.25 - rows cut by openings 0.00 + parapet rows 1 x 25.25</t>
  </si>
  <si>
    <t xml:space="preserve">25.25 x (T/STUD 17'-5" - T/BASE 0'-6") - openings 0.0 - canopy band 0.00 x 1.979</t>
  </si>
  <si>
    <t xml:space="preserve">base (25.25-0.00) x 0.5 + canopy band 0.00 x 1.979 (B/STUD 10'-7 1/4" to T/STUD 12'-7")</t>
  </si>
  <si>
    <t xml:space="preserve">25.25 x (17'-5" - B.O.D. 13'-0.625")</t>
  </si>
  <si>
    <t xml:space="preserve">25.25 x 11"</t>
  </si>
  <si>
    <t xml:space="preserve">interior length 24.85 x 13'-0.625" (to deck) - openings 0.0</t>
  </si>
  <si>
    <t xml:space="preserve">24.85 - floor openings 0.00</t>
  </si>
  <si>
    <t xml:space="preserve">full-height studs = floor(628.0in/16)+1=40 + corner 12"OC zones 4 + three-stud corner 4 + partition intersections 4 - studs inside openings 2 + double jambs 4 = 54 x 12'-6.375" = 676.7 LF; cripples above heads 2 = 7.2 LF; cripples below sills 0 = 0.0 LF</t>
  </si>
  <si>
    <t xml:space="preserve">(floor(628.0/16)+1=40 + 2 x 11 HSS posts @5'-0" max) = 62 studs x parapet height (T/STUD 17'-5" - B.O.D. 12'-6.375" = 4'-10.625")</t>
  </si>
  <si>
    <t xml:space="preserve">52.33 - floor openings 3.33</t>
  </si>
  <si>
    <t xml:space="preserve">run length 52.33 at B.O.D./perimeter beam</t>
  </si>
  <si>
    <t xml:space="preserve">run length 52.33</t>
  </si>
  <si>
    <t xml:space="preserve">run length 52.33 at T/STUD 17'-5"</t>
  </si>
  <si>
    <t xml:space="preserve">head track 3.33 + sill track 0.00</t>
  </si>
  <si>
    <t xml:space="preserve">3 rows x 52.33 - rows cut by openings 6.67 + parapet rows 1 x 52.33</t>
  </si>
  <si>
    <t xml:space="preserve">52.33 x (T/STUD 17'-5" - T/BASE 0'-6") - openings 25.6 - canopy band 23.00 x 1.979</t>
  </si>
  <si>
    <t xml:space="preserve">base (52.33-3.33) x 0.5 + canopy band 23.00 x 1.979 (B/STUD 10'-7 1/4" to T/STUD 12'-7")</t>
  </si>
  <si>
    <t xml:space="preserve">52.33 x (17'-5" - B.O.D. 12'-6.375")</t>
  </si>
  <si>
    <t xml:space="preserve">52.33 x 11"</t>
  </si>
  <si>
    <t xml:space="preserve">interior length 51.73 x 12'-6.375" (to deck) - openings 27.2</t>
  </si>
  <si>
    <t xml:space="preserve">opening perimeter 19.67 x 6"</t>
  </si>
  <si>
    <t xml:space="preserve">51.73 - floor openings 3.33</t>
  </si>
  <si>
    <t xml:space="preserve">full-height studs = floor(303.0in/16)+1=19 + corner 12"OC zones 2 + three-stud corner 0 + partition intersections 3 - studs inside openings 0 + double jambs 0 = 24 x 13'-0.625" = 313.2 LF; cripples above heads 0 = 0.0 LF; cripples below sills 0 = 0.0 LF</t>
  </si>
  <si>
    <t xml:space="preserve">full-height studs = floor(272.1in/16)+1=18 + corner 12"OC zones 2 + three-stud corner 2 + partition intersections 2 - studs inside openings 12 + double jambs 8 = 20 x 15'-4.5" = 307.5 LF; cripples above heads 12 = 73.5 LF; cripples below sills 12 = 76.5 LF</t>
  </si>
  <si>
    <t xml:space="preserve">(floor(272.1/16)+1=18 + 2 x 5 HSS posts @5'-0" max) = 28 studs x parapet height (T/STUD 17'-5" - B.O.D. 15'-4.5" = 2'-0.5")</t>
  </si>
  <si>
    <t xml:space="preserve">22.68 - floor openings 0.00</t>
  </si>
  <si>
    <t xml:space="preserve">run length 22.68 at B.O.D./perimeter beam</t>
  </si>
  <si>
    <t xml:space="preserve">run length 22.68</t>
  </si>
  <si>
    <t xml:space="preserve">run length 22.68 at T/STUD 17'-5"</t>
  </si>
  <si>
    <t xml:space="preserve">head track 32.00 + sill track 16.00</t>
  </si>
  <si>
    <t xml:space="preserve">3 rows x 22.68 - rows cut by openings 16.00 + parapet rows 0 x 22.68</t>
  </si>
  <si>
    <t xml:space="preserve">22.68 x (T/STUD 17'-5" - T/BASE 0'-6") - openings 32.0 - canopy band 22.68 x 1.979</t>
  </si>
  <si>
    <t xml:space="preserve">base (22.68-0.00) x 0.5 + canopy band 22.68 x 1.979 (B/STUD 10'-7 1/4" to T/STUD 12'-7")</t>
  </si>
  <si>
    <t xml:space="preserve">22.68 x (17'-5" - B.O.D. 15'-4.5")</t>
  </si>
  <si>
    <t xml:space="preserve">22.68 x 11"</t>
  </si>
  <si>
    <t xml:space="preserve">interior length 22.09 x 15'-4.5" (to deck) - openings 32.0</t>
  </si>
  <si>
    <t xml:space="preserve">opening perimeter 40.00 x 6"</t>
  </si>
  <si>
    <t xml:space="preserve">22.09 - floor openings 0.00</t>
  </si>
  <si>
    <t xml:space="preserve">full-height studs = floor(46.5in/16)+1=3 + corner 12"OC zones 2 + three-stud corner 2 + partition intersections 0 - studs inside openings 0 + double jambs 0 = 7 x 15'-4.5" = 107.6 LF; cripples above heads 0 = 0.0 LF; cripples below sills 0 = 0.0 LF</t>
  </si>
  <si>
    <t xml:space="preserve">(floor(46.5/16)+1=3 + 2 x 1 HSS posts @5'-0" max) = 5 studs x parapet height (T/STUD 19'-8" - B.O.D. 15'-4.5" = 4'-3.5")</t>
  </si>
  <si>
    <t xml:space="preserve">3.88 - floor openings 0.00</t>
  </si>
  <si>
    <t xml:space="preserve">run length 3.88 at B.O.D./perimeter beam</t>
  </si>
  <si>
    <t xml:space="preserve">run length 3.88</t>
  </si>
  <si>
    <t xml:space="preserve">run length 3.88 at T/STUD 19'-8"</t>
  </si>
  <si>
    <t xml:space="preserve">3 rows x 3.88 - rows cut by openings 0.00 + parapet rows 1 x 3.88</t>
  </si>
  <si>
    <t xml:space="preserve">3.88 x (T/STUD 19'-8" - T/BASE 0'-6") - openings 0.0 - canopy band 3.88 x 1.979</t>
  </si>
  <si>
    <t xml:space="preserve">base (3.88-0.00) x 0.5 + canopy band 3.88 x 1.979 (B/STUD 10'-7 1/4" to T/STUD 12'-7")</t>
  </si>
  <si>
    <t xml:space="preserve">3.88 x (19'-8" - B.O.D. 15'-4.5")</t>
  </si>
  <si>
    <t xml:space="preserve">3.88 x 11"</t>
  </si>
  <si>
    <t xml:space="preserve">interior length 3.91 x 15'-4.5" (to deck) - openings 0.0</t>
  </si>
  <si>
    <t xml:space="preserve">3.91 - floor openings 0.00</t>
  </si>
  <si>
    <t xml:space="preserve">full-height studs = floor(336.1in/16)+1=22 + corner 12"OC zones 2 + three-stud corner 0 + partition intersections 1 - studs inside openings 5 + double jambs 8 = 28 x 15'-4.5" = 430.5 LF; cripples above heads 5 = 31.9 LF; cripples below sills 1 = 3.8 LF</t>
  </si>
  <si>
    <t xml:space="preserve">(floor(336.1/16)+1=22 + 2 x 6 HSS posts @5'-0" max) = 34 studs x parapet height (T/STUD 19'-8" - B.O.D. 15'-4.5" = 4'-3.5")</t>
  </si>
  <si>
    <t xml:space="preserve">28.01 - floor openings 6.50</t>
  </si>
  <si>
    <t xml:space="preserve">run length 28.01 at B.O.D./perimeter beam</t>
  </si>
  <si>
    <t xml:space="preserve">run length 28.01</t>
  </si>
  <si>
    <t xml:space="preserve">run length 28.01 at T/STUD 19'-8"</t>
  </si>
  <si>
    <t xml:space="preserve">head track 15.60 + sill track 2.60</t>
  </si>
  <si>
    <t xml:space="preserve">3 rows x 28.01 - rows cut by openings 13.00 + parapet rows 1 x 28.01</t>
  </si>
  <si>
    <t xml:space="preserve">28.01 x (T/STUD 19'-8" - T/BASE 0'-6") - openings 59.0 - canopy band 28.01 x 1.979</t>
  </si>
  <si>
    <t xml:space="preserve">base (28.01-6.50) x 0.5 + canopy band 28.01 x 1.979 (B/STUD 10'-7 1/4" to T/STUD 12'-7")</t>
  </si>
  <si>
    <t xml:space="preserve">28.01 x (19'-8" - B.O.D. 15'-4.5")</t>
  </si>
  <si>
    <t xml:space="preserve">28.01 x 11"</t>
  </si>
  <si>
    <t xml:space="preserve">interior length 27.46 x 15'-4.5" (to deck) - openings 62.2</t>
  </si>
  <si>
    <t xml:space="preserve">opening perimeter 34.08 x 6"</t>
  </si>
  <si>
    <t xml:space="preserve">27.46 - floor openings 6.50</t>
  </si>
  <si>
    <t xml:space="preserve">3-5/8" metal stud 362S137-33 (20ga, gauge not specified - RFI) canopy fascia framing (LF)</t>
  </si>
  <si>
    <t xml:space="preserve">3/A09.26, 7/A09.26, 16/A09.27 "COMPOSITE METAL PANEL ON AWB ON 5/8\" EXT. GRADE FRT PLYWOOD SHEATHING ON 3 5/8\" METAL STUD FRAMING"; T/STUD 12'-7", B/STUD 10'-8 5/8"</t>
  </si>
  <si>
    <t xml:space="preserve">floor(937.9/16)+1 = 59 studs x 1'-10.375" (12'-7" - 10'-8 5/8")</t>
  </si>
  <si>
    <t xml:space="preserve">track ceilings/soffits 3-5/8" 20ga - canopy fascia top &amp; bottom track (LF)</t>
  </si>
  <si>
    <t xml:space="preserve">3/A09.26 fascia framing</t>
  </si>
  <si>
    <t xml:space="preserve">2 x 78.16</t>
  </si>
  <si>
    <t xml:space="preserve">FRT plywood 5/8" exterior grade - canopy fascia sheathing (outer face + top) (SF)</t>
  </si>
  <si>
    <t xml:space="preserve">3/A09.26 "5/8\" EXT. GRADE FRT PLYWOOD SHEATHING" (fascia 12'-7" to 10'-7 1/4" + 6" top)</t>
  </si>
  <si>
    <t xml:space="preserve">78.16 x 2.479</t>
  </si>
  <si>
    <t xml:space="preserve">3-5/8" metal stud 362S137-33 (20ga, gauge/spacing not specified - RFI) canopy soffit framing @ 16" O.C. (LF)</t>
  </si>
  <si>
    <t xml:space="preserve">3/A09.26, 7/A09.26, 15/A09.27, 16/A09.27 "5/8\" PORTLAND CEMENT PLASTER SYSTEM (PT-4) ON (2) LAYERS GRADE 'D' BUILDING PAPER ON 5/8\" EXT. GRADE FRT PLYWOOD SHEATHING ON 3 5/8\" METAL STUD FRAMING"</t>
  </si>
  <si>
    <t xml:space="preserve">soffit area 329.5 SF x 0.75 LF/SF (members @ 16" O.C.)</t>
  </si>
  <si>
    <t xml:space="preserve">FRT plywood 5/8" exterior grade - canopy soffit sheathing under PT-4 stucco (SF)</t>
  </si>
  <si>
    <t xml:space="preserve">3/A09.26 soffit note (same as above); RCP A04.01 PT-4 soffit</t>
  </si>
  <si>
    <t xml:space="preserve">vector A04.01: outer fascia y=238.44pt x=507.48-&gt;1914.36 (1406.88pt); soffit inside fascia x=516.84-&gt;1904.88 by y=247.92-&gt;320.04 (building outer face) = 1388.04 x 72.12 pt2/324, + 0.53' x (26'-3" + 12'-6 3/4") at storefront bays where glass line is ~9.5pt inboard</t>
  </si>
  <si>
    <t xml:space="preserve">floor(936.2/16)+1 = 59 studs x 1'-10.375" (12'-7" - 10'-8 5/8")</t>
  </si>
  <si>
    <t xml:space="preserve">2 x 78.02</t>
  </si>
  <si>
    <t xml:space="preserve">78.02 x 2.479</t>
  </si>
  <si>
    <t xml:space="preserve">soffit area 958.0 SF x 0.75 LF/SF (members @ 16" O.C.)</t>
  </si>
  <si>
    <t xml:space="preserve">vector A04.01: west fascia x=507.48 y=238.44-&gt;1255.8 (1017.36pt) + south fascia y=1255.8 x=507.48-&gt;894.48 (387pt); soffit = (824.76-516.84)x(848.4-320.04) + (894.48-516.84)x(1246.44-848.4) pt2/324 - 4 column enclosures 1'-5"x1'-5" (5/A09.25)</t>
  </si>
  <si>
    <t xml:space="preserve">floor(666.9/16)+1 = 42 studs x 1'-10.375" (12'-7" - 10'-8 5/8")</t>
  </si>
  <si>
    <t xml:space="preserve">2 x 55.57</t>
  </si>
  <si>
    <t xml:space="preserve">55.57 x 2.479</t>
  </si>
  <si>
    <t xml:space="preserve">soffit area 117.3 SF x 0.75 LF/SF (members @ 16" O.C.)</t>
  </si>
  <si>
    <t xml:space="preserve">vector A04.01: fascia x=1914.36 y=238.44-&gt;1184.88 (946.44pt) + south return y=1184.88 x=1860.48-&gt;1914.36 (53.88pt); soffit (1904.88-1860.48)x(1175.76-320.04) pt2/324</t>
  </si>
  <si>
    <t xml:space="preserve">floor(348.2/16)+1 = 22 studs x 1'-10.375" (12'-7" - 10'-8 5/8")</t>
  </si>
  <si>
    <t xml:space="preserve">2 x 29.01</t>
  </si>
  <si>
    <t xml:space="preserve">29.01 x 2.479</t>
  </si>
  <si>
    <t xml:space="preserve">soffit area 54.3 SF x 0.75 LF/SF (members @ 16" O.C.)</t>
  </si>
  <si>
    <t xml:space="preserve">vector A04.01: fascia y=1764.96 x=947.64-&gt;1361.64 (414pt) + 2 end returns (1764.96-1710.84)=54.12pt; soffit (1351.44-957.0)x(1755.48-1710.84) pt2/324</t>
  </si>
  <si>
    <t xml:space="preserve">3-5/8" metal stud 362S137-33 (20ga, gauge not specified - RFI) column enclosure framing (LF)</t>
  </si>
  <si>
    <t xml:space="preserve">5/A09.25 "STUCCO SYSTEM (PT-03) ON 5/8\" EXTERIOR GRADE FRT PLYWOOD ON 3-5/8\" METAL FRAMING"</t>
  </si>
  <si>
    <t xml:space="preserve">4 columns x 8 studs (2 per corner, per detail graphic) x 10'-7.25" (slab to B/STUD 10'-7 1/4" per 16/A09.27)</t>
  </si>
  <si>
    <t xml:space="preserve">track ceilings/soffits 3-5/8" 20ga - column enclosure top &amp; bottom track (LF)</t>
  </si>
  <si>
    <t xml:space="preserve">5/A09.25</t>
  </si>
  <si>
    <t xml:space="preserve">4 columns x 2 runs x 4 sides x (1'-5" - 3")</t>
  </si>
  <si>
    <t xml:space="preserve">FRT plywood 5/8" exterior grade - column enclosure sheathing under PT-3 stucco (SF)</t>
  </si>
  <si>
    <t xml:space="preserve">5/A09.25 FOS dims 1'-2 1/2" + 2 1/2" = 1'-5" each side</t>
  </si>
  <si>
    <t xml:space="preserve">4 columns x 4 faces x 1'-5" x 10'-7.25"</t>
  </si>
  <si>
    <t xml:space="preserve">3-5/8" metal stud 362S137-33 (20ga, gauge not specified - RFI) storefront pier furring (LF)</t>
  </si>
  <si>
    <t xml:space="preserve">1/A09.25 "3 5/8\" METAL STUD", 2/A09.25 "3 5/8\" METAL FRAMING"</t>
  </si>
  <si>
    <t xml:space="preserve">2 piers x 6 studs (3 L-shaped furring members per detail graphic) x 15'-4.5" (to deck)</t>
  </si>
  <si>
    <t xml:space="preserve">5/8" gypsum board regular - storefront pier interior faces to deck (SF)</t>
  </si>
  <si>
    <t xml:space="preserve">2/A09.25 face 1'-8 1/2"+8 1/4" = 2'-4 3/4"; 1/A09.25 faces 3"+1'-9" = 2'-0" + side 1'-3"</t>
  </si>
  <si>
    <t xml:space="preserve">(2'-4 3/4" + 2'-0" + 1'-3") x 15'-4.5"</t>
  </si>
  <si>
    <t xml:space="preserve">FRT plywood 3/4" - storefront pier jamb faces (SF)</t>
  </si>
  <si>
    <t xml:space="preserve">1/A09.25 &amp; 2/A09.25 "3/4\" FRT PLYWOOD" at both storefront jambs</t>
  </si>
  <si>
    <t xml:space="preserve">2 piers x 2 jambs x 1'-0" x 8'-6" (storefront height)</t>
  </si>
  <si>
    <t xml:space="preserve">5/8" gypsum board regular - suspended ceiling, 1 layer (type not specified, RFI-w4-03) (SF)</t>
  </si>
  <si>
    <t xml:space="preserve">A04.01 legend "NEW SUSPENDED GYPSUM WALL BOARD CEILING/SOFFIT" + tag GB 10'-0"; 5/8" per 10/A09.33 &amp; 7/A09.33</t>
  </si>
  <si>
    <t xml:space="preserve">shoelace area of vector polygon / 324 pt2 per SF (1/4"=1'-0": 18 pt/ft): polygon (pt): (869.5,319.56)-(1103.0,319.56)-(1103.0,337.44)-(1129.2,337.44)-(1129.2,452.9)-(1124.2,452.9)-(1124.2,460.44)-(841.56,460.44)-(841.56,337.44)-(869.5,337.44); interior faces of storefront/walls, corner pier notches removed. Cross-check: 841.56-&gt;1124.2 = 282.64pt = 15.70 ft vs printed 4'-9 1/2"+6'-2"+4'-8 1/4" = 15'-7 3/4" (15.65 ft) on 1/A12.10.</t>
  </si>
  <si>
    <t xml:space="preserve">carrying channel 1-1/2" CRC 16ga @ 48" O.C. (LF)</t>
  </si>
  <si>
    <t xml:space="preserve">no sheet gives spacing - basis ASTM C754, RFI-w4-01</t>
  </si>
  <si>
    <t xml:space="preserve">5 N-S lines @&lt;=48" O.C. inside polygon, sum of chords = 36.73 LF</t>
  </si>
  <si>
    <t xml:space="preserve">furring channel 7/8" hat 25ga @ 16" O.C. (LF)</t>
  </si>
  <si>
    <t xml:space="preserve">7 E-W lines @&lt;=16" O.C., sum of chords = 108.57 LF (alt @24" O.C.: 5 lines = 76.61 LF)</t>
  </si>
  <si>
    <t xml:space="preserve">hanger wire 12 ga galv. @ 48" x 48" - bay F-E (B.O.D. 15'-4 1/2") (LF)</t>
  </si>
  <si>
    <t xml:space="preserve">S2.20 B.O.D. tags; ceiling height A04.01 GB 10'-0"; 12 ga per 3/A09.33 (ACT note, GWB gauge RFI-w4-02)</t>
  </si>
  <si>
    <t xml:space="preserve">15 hangers x (B.O.D. - 10.00 ft ceiling) = 80.62 LF (excludes wrap/tie length)</t>
  </si>
  <si>
    <t xml:space="preserve">track ceilings/soffits - perimeter wall angle / furring track at walls (LF)</t>
  </si>
  <si>
    <t xml:space="preserve">perimeter of vector polygon; perimeter member not detailed (RFI-w4-01)</t>
  </si>
  <si>
    <t xml:space="preserve">polygon perimeter = 47.61 LF</t>
  </si>
  <si>
    <t xml:space="preserve">shoelace area of vector polygon / 324 pt2 per SF (1/4"=1'-0": 18 pt/ft): polygon (pt): (841.56,463.44)-(1125.24,463.44)-(1125.24,710.88)-(1113.6,710.88)-(841.44,553.8); diagonal = room-side face of ATM diagonal wall (vector line 841.44,553.8 -&gt; 1113.6,710.88).</t>
  </si>
  <si>
    <t xml:space="preserve">5 N-S lines @&lt;=48" O.C. inside polygon, sum of chords = 47.62 LF</t>
  </si>
  <si>
    <t xml:space="preserve">11 E-W lines @&lt;=16" O.C., sum of chords = 118.81 LF (alt @24" O.C.: 8 lines = 85.48 LF)</t>
  </si>
  <si>
    <t xml:space="preserve">19 hangers x (B.O.D. - 10.00 ft ceiling) = 102.12 LF (excludes wrap/tie length)</t>
  </si>
  <si>
    <t xml:space="preserve">polygon perimeter = 52.63 LF</t>
  </si>
  <si>
    <t xml:space="preserve">A04.01 legend "NEW SUSPENDED GYPSUM WALL BOARD CEILING/SOFFIT" + tag GB 11'-0"; 5/8" per 10/A09.33 &amp; 7/A09.33</t>
  </si>
  <si>
    <t xml:space="preserve">shoelace area of vector polygon / 324 pt2 per SF (1/4"=1'-0": 18 pt/ft): rectangle (pt) x 1223.88-1530.36, y 427.44-967.44 = 17.03 ft x 30.00 ft (30'-0" printed on A04.01 = CONFIRMADO; width 17.03 ft vector DERIVADO). Edges N/E/W abut ACT-4 11'-6" (drop edge 77.03 LF); S edge 17.03 LF abuts wall.</t>
  </si>
  <si>
    <t xml:space="preserve">6 N-S lines @&lt;=48" O.C. inside polygon, sum of chords = 180.00 LF</t>
  </si>
  <si>
    <t xml:space="preserve">24 E-W lines @&lt;=16" O.C., sum of chords = 408.64 LF (alt @24" O.C.: 16 lines = 272.43 LF)</t>
  </si>
  <si>
    <t xml:space="preserve">S2.20 B.O.D. tags; ceiling height A04.01 GB 11'-0"; 12 ga per 3/A09.33 (ACT note, GWB gauge RFI-w4-02)</t>
  </si>
  <si>
    <t xml:space="preserve">30 hangers x (B.O.D. - 11.00 ft ceiling) = 131.25 LF (excludes wrap/tie length)</t>
  </si>
  <si>
    <t xml:space="preserve">hanger wire 12 ga galv. @ 48" x 48" - bay E-B (B.O.D. 15'-4 1/2" derived) (LF)</t>
  </si>
  <si>
    <t xml:space="preserve">24 hangers x (B.O.D. - 11.00 ft ceiling) = 105.00 LF (excludes wrap/tie length)</t>
  </si>
  <si>
    <t xml:space="preserve">wall-side edge only (S edge 1223.88-&gt;1530.36 pt = 17.03 LF); other 3 edges are drop edges</t>
  </si>
  <si>
    <t xml:space="preserve">5/8" gypsum board regular - drop edge vertical face (11'-0" GB to 11'-6" ACT + 6" above ACT) (SF)</t>
  </si>
  <si>
    <t xml:space="preserve">7/A09.33 TYPICAL CEILING TRANSITION (6" dims) - not keyed, RFI-w4-06</t>
  </si>
  <si>
    <t xml:space="preserve">drop-edge LF 30.00+17.03+30.00 = 77.03 LF x (0.5 ft visible [11'-6" - 11'-0"] + 0.5 ft above ACT) = 77.03 SF</t>
  </si>
  <si>
    <t xml:space="preserve">7/A09.33 "CORNER BEAD - TYPICAL"</t>
  </si>
  <si>
    <t xml:space="preserve">bottom outside edge along drop edges = 77.03 LF</t>
  </si>
  <si>
    <t xml:space="preserve">shadow molding at ACT-4 to GWB face (LF)</t>
  </si>
  <si>
    <t xml:space="preserve">7/A09.33 "SHADOW MOLDING AS SPECIFIED" (may be by ACT installer)</t>
  </si>
  <si>
    <t xml:space="preserve">77.03 LF</t>
  </si>
  <si>
    <t xml:space="preserve">track ceilings/soffits - drop edge face framing (LF)</t>
  </si>
  <si>
    <t xml:space="preserve">7/A09.33 (framing of face not dimensioned) RFI-w4-06</t>
  </si>
  <si>
    <t xml:space="preserve">1 run along drop edges = 77.03 LF</t>
  </si>
  <si>
    <t xml:space="preserve">3-5/8" metal stud kicker @ 48" O.C. to structure, gauge not specified (LF)</t>
  </si>
  <si>
    <t xml:space="preserve">7/A09.33 "3 5/8" METAL STUD KICKER AT 48" O.C. ATTACH TO STRUCTURE ABOVE"</t>
  </si>
  <si>
    <t xml:space="preserve">kickers: N edge ceil(17.03/4)+1=6, E &amp; W edges ceil(30/4)+1=9 each -&gt; 24 EA; length at 45 deg = (15.375-12.0) x 1.414 = 4.77 ft; 24 x 4.77 = 114.48 LF</t>
  </si>
  <si>
    <t xml:space="preserve">A04.01 legend "NEW SUSPENDED GYPSUM WALL BOARD CEILING/SOFFIT" + tag GB 8'-6"; 5/8" per 10/A09.33 &amp; 7/A09.33</t>
  </si>
  <si>
    <t xml:space="preserve">shoelace area of vector polygon / 324 pt2 per SF (1/4"=1'-0": 18 pt/ft): L-polygon (pt): (911.88,1236.36)-(1123.08,1236.36)-(1123.08,1328.6)-(1092.48,1328.6)-(1092.48,1356.36)-(911.88,1356.36)</t>
  </si>
  <si>
    <t xml:space="preserve">4 N-S lines @&lt;=48" O.C. inside polygon, sum of chords = 25.12 LF</t>
  </si>
  <si>
    <t xml:space="preserve">6 E-W lines @&lt;=16" O.C., sum of chords = 67.00 LF (alt @24" O.C.: 5 lines = 56.97 LF)</t>
  </si>
  <si>
    <t xml:space="preserve">hanger wire 12 ga galv. @ 48" x 48" - bay B-A sloped (B.O.D. 12.931-13.052 ft) (LF)</t>
  </si>
  <si>
    <t xml:space="preserve">S2.20 B.O.D. tags; ceiling height A04.01 GB 8'-6"; 12 ga per 3/A09.33 (ACT note, GWB gauge RFI-w4-02)</t>
  </si>
  <si>
    <t xml:space="preserve">12 hangers x (B.O.D. - 8.50 ft ceiling) = 53.96 LF (excludes wrap/tie length)</t>
  </si>
  <si>
    <t xml:space="preserve">polygon perimeter = 36.80 LF</t>
  </si>
  <si>
    <t xml:space="preserve">batt insulation sound attenuation above ceiling, thickness not specified (SF)</t>
  </si>
  <si>
    <t xml:space="preserve">A04.01 keynote 11 "INSTALL SOUND BATT INSULATION ABOVE CEILING"</t>
  </si>
  <si>
    <t xml:space="preserve">shoelace area of vector polygon / 324 pt2 per SF (1/4"=1'-0": 18 pt/ft): L-polygon (pt): (911.88,1388.52)-(1092.48,1388.52)-(1092.48,1416.6)-(1123.08,1416.6)-(1123.08,1508.52)-(911.88,1508.52)</t>
  </si>
  <si>
    <t xml:space="preserve">4 N-S lines @&lt;=48" O.C. inside polygon, sum of chords = 25.11 LF</t>
  </si>
  <si>
    <t xml:space="preserve">hanger wire 12 ga galv. @ 48" x 48" - bay B-A sloped (B.O.D. 12.756-12.884 ft) (LF)</t>
  </si>
  <si>
    <t xml:space="preserve">12 hangers x (B.O.D. - 8.50 ft ceiling) = 51.79 LF (excludes wrap/tie length)</t>
  </si>
  <si>
    <t xml:space="preserve">5/8" gypsum board regular - soffit bottom (SF)</t>
  </si>
  <si>
    <t xml:space="preserve">4/A12.08 "3'-5"" + 1/A12.08 "12'-0 1/4" R.O. HOLD"; A04.01 GB 8'-0"; vector check 61.44pt x 216.24pt = 3.41 x 12.01 ft</t>
  </si>
  <si>
    <t xml:space="preserve">3.4167 ft x 12.0208 ft = 41.07 SF</t>
  </si>
  <si>
    <t xml:space="preserve">5/8" gypsum board regular - soffit vertical faces, 2 sides (Central Zone 103 side + Cash Window 116 side) (SF)</t>
  </si>
  <si>
    <t xml:space="preserve">10/A09.33 (6" above scheduled ceiling) + 9/A12.08 "PAINT SOFFIT P-18, ALL SIDES"; RFI-w4-04</t>
  </si>
  <si>
    <t xml:space="preserve">2 sides x 12.0208 LF x (1.0 ft visible [9'-0" ACT-4 - 8'-0"] + 0.5 ft above ACT) = 36.06 SF (alt to deck 151.2 SF)</t>
  </si>
  <si>
    <t xml:space="preserve">soffit end caps / returns (SF)</t>
  </si>
  <si>
    <t xml:space="preserve">CONFIRMADO</t>
  </si>
  <si>
    <t xml:space="preserve">1/A12.08 &amp; 4/A12.08: soffit spans pier to pier (hatched piers both ends)</t>
  </si>
  <si>
    <t xml:space="preserve">no exposed ends</t>
  </si>
  <si>
    <t xml:space="preserve">3-5/8" metal stud - soffit vertical hangers @ 16" O.C., gauge not specified (LF)</t>
  </si>
  <si>
    <t xml:space="preserve">9/A12.08 "3 5/8" METAL STUDS AT 16" O.C."; 10/A09.33 CONT. TRACK + POWDER-DRIVEN FASTENERS to deck</t>
  </si>
  <si>
    <t xml:space="preserve">per side floor(144.25"/16")+1 = 10 studs; 5 north of grid B x (15.375-8.0)=7.375 ft + 5 south x (12.994-8.0)=4.994 ft = 61.85 LF; x2 sides = 123.69 LF</t>
  </si>
  <si>
    <t xml:space="preserve">3-5/8" metal stud - soffit bottom cross members @ 16" O.C., gauge not specified (LF)</t>
  </si>
  <si>
    <t xml:space="preserve">9/A12.08 studs at 16" O.C. at soffit bottom</t>
  </si>
  <si>
    <t xml:space="preserve">10 pcs x (41" - 2x5/8" board - 2x3-5/8" studs = 32.5") = 10 x 2.708 = 27.08 LF</t>
  </si>
  <si>
    <t xml:space="preserve">track ceilings/soffits 3-5/8" - continuous top track at deck (LF)</t>
  </si>
  <si>
    <t xml:space="preserve">10/A09.33 "CONT. TRACK" + "POWDER-DRIVEN FASTENERS"</t>
  </si>
  <si>
    <t xml:space="preserve">2 runs x 12.0208 = 24.04 LF</t>
  </si>
  <si>
    <t xml:space="preserve">track ceilings/soffits 3-5/8" - bottom track of soffit sides (LF)</t>
  </si>
  <si>
    <t xml:space="preserve">10/A09.33 / 9/A12.08</t>
  </si>
  <si>
    <t xml:space="preserve">10/A09.33 "CONT. CORNER BEAD"; 9/A12.08 "CORNER BEAD"</t>
  </si>
  <si>
    <t xml:space="preserve">2 bottom edges x 12.0208 = 24.04 LF</t>
  </si>
  <si>
    <t xml:space="preserve">shadow molding / ceiling trim at ACT-4 both sides (LF)</t>
  </si>
  <si>
    <t xml:space="preserve">10/A09.33 "CEILING TRIM" (may be by ACT installer)</t>
  </si>
  <si>
    <t xml:space="preserve">2 x 12.0208 = 24.04 LF</t>
  </si>
  <si>
    <t xml:space="preserve">powder-driven fasteners at deck track (EA)</t>
  </si>
  <si>
    <t xml:space="preserve">10/A09.33 shows PAF, spacing not given; alternate 1x1x1 16ga purlin across min (2) flutes if flutes parallel (VIF)</t>
  </si>
  <si>
    <t xml:space="preserve">RFI-w4-05</t>
  </si>
  <si>
    <t xml:space="preserve">FRT blocking 2x wood (FRTW per A12.03-A12.06 sheet note D) (LF)</t>
  </si>
  <si>
    <t xml:space="preserve">A00.30 sheet note D 'PROVIDE BLOCKING AT EACH WALL STOP.' + Hardware Group No. 4A (04A) lists '1 EA WALL STOP WS407CCV' (door 111 row of DOOR SCHEDULE)</t>
  </si>
  <si>
    <t xml:space="preserve">1 stop x 2'-0" (trade rule) = 2.00 LF</t>
  </si>
  <si>
    <t xml:space="preserve">A00.30 sheet note D 'PROVIDE BLOCKING AT EACH WALL STOP.' + Hardware Group No. 08 lists '1 EA WALL STOP WS407CCV' (door 113 row of DOOR SCHEDULE)</t>
  </si>
  <si>
    <t xml:space="preserve">A00.30 sheet note D 'PROVIDE BLOCKING AT EACH WALL STOP.' + Hardware Group No. 08 lists '1 EA WALL STOP WS407CCV' (door 114 row of DOOR SCHEDULE)</t>
  </si>
  <si>
    <t xml:space="preserve">A00.30 sheet note D 'PROVIDE BLOCKING AT EACH WALL STOP.' + Hardware Group No. 16 lists '1 EA WALL STOP WS407CCV' (door 115 row of DOOR SCHEDULE)</t>
  </si>
  <si>
    <t xml:space="preserve">A00.30 sheet note D 'PROVIDE BLOCKING AT EACH WALL STOP.' + Hardware Group No. 11 lists '1 EA WALL STOP WS407CCV' (door 116 row of DOOR SCHEDULE)</t>
  </si>
  <si>
    <t xml:space="preserve">A00.30 sheet note D 'PROVIDE BLOCKING AT EACH WALL STOP.' + Hardware Group No. 10 lists '1 EA WALL STOP WS407CCV' (door 117 row of DOOR SCHEDULE)</t>
  </si>
  <si>
    <t xml:space="preserve">A00.30 sheet note D 'PROVIDE BLOCKING AT EACH WALL STOP.' + Hardware Group No. 11B lists '1 EA WALL STOP WS407CCV' (door 118A row of DOOR SCHEDULE)</t>
  </si>
  <si>
    <t xml:space="preserve">A00.30 sheet note D 'PROVIDE BLOCKING AT EACH WALL STOP.' + Hardware Group No. 11 lists '1 EA WALL STOP WS407CCV' (door 118B row of DOOR SCHEDULE)</t>
  </si>
  <si>
    <t xml:space="preserve">A00.30 sheet note D 'PROVIDE BLOCKING AT EACH WALL STOP.' + Hardware Group No. 12 lists '1 EA WALL STOP WS407CCV' (door 119 row of DOOR SCHEDULE)</t>
  </si>
  <si>
    <t xml:space="preserve">A00.30 MILLWORK SCHEDULE row MW01; A12.0x sheet note D 'PROVIDE FRTW BLOCKING AT ALL MILLWORK VERTICAL SURFACE CLEATS AND MOUNTING LOCATIONS'; lengths printed on the A12.0x plan</t>
  </si>
  <si>
    <t xml:space="preserve">2 runs x 3'-1 1/2" overall (A1-A4/A12.03 '3'-1 1/2" OVERALL') = 6.25</t>
  </si>
  <si>
    <t xml:space="preserve">A00.30 MILLWORK SCHEDULE row MW05; A12.0x sheet note D 'PROVIDE FRTW BLOCKING AT ALL MILLWORK VERTICAL SURFACE CLEATS AND MOUNTING LOCATIONS'; lengths printed on the A12.0x plan</t>
  </si>
  <si>
    <t xml:space="preserve">3 standards x 7'-0" = 21.00</t>
  </si>
  <si>
    <t xml:space="preserve">A00.30 MILLWORK SCHEDULE row MW06A; A12.0x sheet note D 'PROVIDE FRTW BLOCKING AT ALL MILLWORK VERTICAL SURFACE CLEATS AND MOUNTING LOCATIONS'; lengths printed on the A12.0x plan</t>
  </si>
  <si>
    <t xml:space="preserve">3 standards x 3'-0" = 9.00</t>
  </si>
  <si>
    <t xml:space="preserve">3 standards x 3'-0" = 9.00 (same elevation assumed - RFI-w5-10)</t>
  </si>
  <si>
    <t xml:space="preserve">A00.30 MILLWORK SCHEDULE row MW07; A12.0x sheet note D 'PROVIDE FRTW BLOCKING AT ALL MILLWORK VERTICAL SURFACE CLEATS AND MOUNTING LOCATIONS'; lengths printed on the A12.0x plan</t>
  </si>
  <si>
    <t xml:space="preserve">base 1 run x 6.625 + upper 2 runs x 6.625 = 19.875</t>
  </si>
  <si>
    <t xml:space="preserve">A00.30 MILLWORK SCHEDULE row MW08; A12.0x sheet note D 'PROVIDE FRTW BLOCKING AT ALL MILLWORK VERTICAL SURFACE CLEATS AND MOUNTING LOCATIONS'; lengths printed on the A12.0x plan</t>
  </si>
  <si>
    <t xml:space="preserve">base 1 run x 7'-7" = 7.583</t>
  </si>
  <si>
    <t xml:space="preserve">A00.30 MILLWORK SCHEDULE row MW11; A12.0x sheet note D 'PROVIDE FRTW BLOCKING AT ALL MILLWORK VERTICAL SURFACE CLEATS AND MOUNTING LOCATIONS'; lengths printed on the A12.0x plan</t>
  </si>
  <si>
    <t xml:space="preserve">base 1 run x 13'-6" = 13.50</t>
  </si>
  <si>
    <t xml:space="preserve">A00.30 MILLWORK SCHEDULE row MW12; A12.0x sheet note D 'PROVIDE FRTW BLOCKING AT ALL MILLWORK VERTICAL SURFACE CLEATS AND MOUNTING LOCATIONS'; lengths printed on the A12.0x plan</t>
  </si>
  <si>
    <t xml:space="preserve">base: 1 x (2'-0"+5'-0") + 1 x (2'-0"+2'-3 1/4") = 7.0+4.271; uppers 2 runs x (5.76 [vector 11/A12.05] + 2.97 [vector 10/A12.05]) = 17.46; total 28.73</t>
  </si>
  <si>
    <t xml:space="preserve">A00.30 MILLWORK SCHEDULE row MW13; A12.0x sheet note D 'PROVIDE FRTW BLOCKING AT ALL MILLWORK VERTICAL SURFACE CLEATS AND MOUNTING LOCATIONS'; lengths printed on the A12.0x plan</t>
  </si>
  <si>
    <t xml:space="preserve">full-height unit 2 runs x 11'-8" = 23.333</t>
  </si>
  <si>
    <t xml:space="preserve">A00.30 MILLWORK SCHEDULE row MW18; A12.0x sheet note D 'PROVIDE FRTW BLOCKING AT ALL MILLWORK VERTICAL SURFACE CLEATS AND MOUNTING LOCATIONS'; lengths printed on the A12.0x plan</t>
  </si>
  <si>
    <t xml:space="preserve">base 1 x 3'-4" = 3.333 + 3 standards x 3'-0" = 9.0; total 12.333</t>
  </si>
  <si>
    <t xml:space="preserve">A00.30 MILLWORK SCHEDULE row MW21; A12.0x sheet note D 'PROVIDE FRTW BLOCKING AT ALL MILLWORK VERTICAL SURFACE CLEATS AND MOUNTING LOCATIONS'; lengths printed on the A12.0x plan</t>
  </si>
  <si>
    <t xml:space="preserve">1 run x 10'-0" = 10.00</t>
  </si>
  <si>
    <t xml:space="preserve">A08.01 TOILET ACCESSORY LEGENDS row TA-3 + sheet note E 'CONTRACTOR TO PROVIDE FRT BLOCKING IN WALLS FOR ALL TOILET ROOM ACCESSORIES AND FIXTURES AS REQUIRED'</t>
  </si>
  <si>
    <t xml:space="preserve">1 run x 42" = 3.50</t>
  </si>
  <si>
    <t xml:space="preserve">A08.01 TOILET ACCESSORY LEGENDS row TA-4 + sheet note E 'CONTRACTOR TO PROVIDE FRT BLOCKING IN WALLS FOR ALL TOILET ROOM ACCESSORIES AND FIXTURES AS REQUIRED'</t>
  </si>
  <si>
    <t xml:space="preserve">1 run x 36" = 3.00</t>
  </si>
  <si>
    <t xml:space="preserve">A08.01 TOILET ACCESSORY LEGENDS row TA-5 + sheet note E 'CONTRACTOR TO PROVIDE FRT BLOCKING IN WALLS FOR ALL TOILET ROOM ACCESSORIES AND FIXTURES AS REQUIRED'</t>
  </si>
  <si>
    <t xml:space="preserve">vertical bar: 2 horizontal pieces (one per flange) x 1'-4" stud bay = 2.67</t>
  </si>
  <si>
    <t xml:space="preserve">A08.01 TOILET ACCESSORY LEGENDS row TA-7 + sheet note E 'CONTRACTOR TO PROVIDE FRT BLOCKING IN WALLS FOR ALL TOILET ROOM ACCESSORIES AND FIXTURES AS REQUIRED'</t>
  </si>
  <si>
    <t xml:space="preserve">2 runs (top+bottom) x 2.0 ft width [vector, elev A 1/2"=1'-0"] = 4.00</t>
  </si>
  <si>
    <t xml:space="preserve">A08.01 TOILET ACCESSORY LEGENDS row TA-8 + sheet note E 'CONTRACTOR TO PROVIDE FRT BLOCKING IN WALLS FOR ALL TOILET ROOM ACCESSORIES AND FIXTURES AS REQUIRED'</t>
  </si>
  <si>
    <t xml:space="preserve">small accessory: 1 piece x 1'-4" stud bay</t>
  </si>
  <si>
    <t xml:space="preserve">A08.01 TOILET ACCESSORY LEGENDS row TA-10 + sheet note E 'CONTRACTOR TO PROVIDE FRT BLOCKING IN WALLS FOR ALL TOILET ROOM ACCESSORIES AND FIXTURES AS REQUIRED'</t>
  </si>
  <si>
    <t xml:space="preserve">1 piece x 1'-4"</t>
  </si>
  <si>
    <t xml:space="preserve">A08.01 TOILET ACCESSORY LEGENDS row TA-16 + sheet note E 'CONTRACTOR TO PROVIDE FRT BLOCKING IN WALLS FOR ALL TOILET ROOM ACCESSORIES AND FIXTURES AS REQUIRED'</t>
  </si>
  <si>
    <t xml:space="preserve">2 runs x 2.85 ft [vector elev C] = 5.70</t>
  </si>
  <si>
    <t xml:space="preserve">A08.01 TOILET ACCESSORY LEGENDS row TA-17 + sheet note E 'CONTRACTOR TO PROVIDE FRT BLOCKING IN WALLS FOR ALL TOILET ROOM ACCESSORIES AND FIXTURES AS REQUIRED'</t>
  </si>
  <si>
    <t xml:space="preserve">1 run x 1.6 ft [vector elev D]</t>
  </si>
  <si>
    <t xml:space="preserve">A08.01 TOILET ACCESSORY LEGENDS row PF-02 + sheet note E 'CONTRACTOR TO PROVIDE FRT BLOCKING IN WALLS FOR ALL TOILET ROOM ACCESSORIES AND FIXTURES AS REQUIRED'</t>
  </si>
  <si>
    <t xml:space="preserve">1 run x 2.0 ft [vector 1/A08.01]</t>
  </si>
  <si>
    <t xml:space="preserve">framed opening recessed accessory TA-13 (LF)</t>
  </si>
  <si>
    <t xml:space="preserve">A08.01 legend TA-13 ('RECESS')</t>
  </si>
  <si>
    <t xml:space="preserve">perimeter 2 x (1.45 + 2.18) ft, vector size from elev A 1/2"=1'-0" (no printed size)</t>
  </si>
  <si>
    <t xml:space="preserve">framed opening recessed accessory TA-14 (LF)</t>
  </si>
  <si>
    <t xml:space="preserve">A08.01 legend TA-14 ('RECESS')</t>
  </si>
  <si>
    <t xml:space="preserve">perimeter 2 x (1.15 + 2.35) ft, vector size from elev A 1/2"=1'-0" (no printed size)</t>
  </si>
  <si>
    <t xml:space="preserve">A08.01 TOILET ACCESSORY LEGENDS row TA-9 + sheet note E 'CONTRACTOR TO PROVIDE FRT BLOCKING IN WALLS FOR ALL TOILET ROOM ACCESSORIES AND FIXTURES AS REQUIRED'</t>
  </si>
  <si>
    <t xml:space="preserve">framed opening recessed accessory TA-2 (LF)</t>
  </si>
  <si>
    <t xml:space="preserve">A08.01 legend 'TA-2 BREAKROOM, WELLNESS RECESSED PAPER TOWEL DISPENSER'</t>
  </si>
  <si>
    <t xml:space="preserve">perimeter 2 x (1.13 + 1.59) ft [vector, A11.02 1/2"=1'-0"]</t>
  </si>
  <si>
    <t xml:space="preserve">A08.01 legend TA-19 '40" AFF TO BOTTOM OF REFLECTIVE SURFACE'</t>
  </si>
  <si>
    <t xml:space="preserve">2 runs x 1.96 ft [vector 14/A11.02]</t>
  </si>
  <si>
    <t xml:space="preserve">A02.01 general note C 'CONTRACTOR SHALL PROVIDE BLOCKING FOR ALL EQUIPMENT AND ACCESSORIES MOUNTED ON WALLS' + schedule row</t>
  </si>
  <si>
    <t xml:space="preserve">2 runs x 4'-0" (schedule 48" W)</t>
  </si>
  <si>
    <t xml:space="preserve">2 pieces x 1'-4" (arm plate)</t>
  </si>
  <si>
    <t xml:space="preserve">2 pieces x 1'-4"</t>
  </si>
  <si>
    <t xml:space="preserve">2 runs x 4'-0"</t>
  </si>
  <si>
    <t xml:space="preserve">2 runs x 4.86 ft [vector width 5/A11.02, 4 columns]</t>
  </si>
  <si>
    <t xml:space="preserve">2 rails x 1'-6" printed</t>
  </si>
  <si>
    <t xml:space="preserve">3 bracket levels (3/A09.30) x 2'-0" (1'-6" min ladder + brackets) [DERIVADO]</t>
  </si>
  <si>
    <t xml:space="preserve">3 rows (strap, platform, brace - 3/P00.01) x 2'-0" assumed platform width [DERIVADO, width not printed - RFI-w5-11]</t>
  </si>
  <si>
    <t xml:space="preserve">13/A12.02 '3/4" FRT PLYWOOD BLOCKING TO BE PROVIDED AND INSTALLED INLINE WITH METAL STUDS'; 9/A12.02</t>
  </si>
  <si>
    <t xml:space="preserve">vector of dashed rectangle 13/A12.02 (1/2"=1'-0" = 36 pt/ft): (563.5-430.8)/36 = 3.686 ft x (463.1-430.1)/36 = 0.917 ft = 3.38 SF (= 3.69 LF of 11" strip)</t>
  </si>
  <si>
    <t xml:space="preserve">A02.01 KN6 'PROVIDE FIRE RATED 3/4" PLYWOOD BACKBOARD PAINTED WHITE, INSTALL 6" AFF'; 2,3,4/A11.03 '3/4" FRT PLYWOOD' '8'-0"'; room dims A02.01 '9'-7"' '5'-10"'</t>
  </si>
  <si>
    <t xml:space="preserve">(9.583 + 9.583 + 5.833) x 8.0 = 200.0 SF</t>
  </si>
  <si>
    <t xml:space="preserve">5/A11.03 '3/4" FRT PLYWOOD' 8'-0"; E02.02 note 29 'PROVIDE 8'x7'-6"x3/4" FIRE-RATED PLYWOOD BACKBOARDS'; A02.01 NER '7'-6"'</t>
  </si>
  <si>
    <t xml:space="preserve">7.5 x 8.0 = 60.0 SF</t>
  </si>
  <si>
    <t xml:space="preserve">FRT plywood 5/8" (SF)</t>
  </si>
  <si>
    <t xml:space="preserve">9/A12.08 '5/8" FIRE TREATED PLYWOOD BLOCKING'; 1/A12.08 '12'-0 1/4" R.O. HOLD', '3'-5"'</t>
  </si>
  <si>
    <t xml:space="preserve">12.021 x 3.417 = 41.1 SF (full soffit underside assumed)</t>
  </si>
  <si>
    <t xml:space="preserve">P00.01 plumbing fixture schedule PF-06 'SELF CONTAINED, WALL HUNG, BI-LEVEL'</t>
  </si>
  <si>
    <t xml:space="preserve">no mounting width printed - RFI-w5-08</t>
  </si>
  <si>
    <t xml:space="preserve">framed opening recessed accessory FEC-1 (LF)</t>
  </si>
  <si>
    <t xml:space="preserve">A02.01 legend 'FIRE EXTINGUISHER CABINET'</t>
  </si>
  <si>
    <t xml:space="preserve">cabinet type/size not printed - RFI-w5-09</t>
  </si>
  <si>
    <t xml:space="preserve">framed opening recessed accessory FEC-2 (LF)</t>
  </si>
  <si>
    <t xml:space="preserve">FRP WC-3 Marlite Symmetrix (SF)</t>
  </si>
  <si>
    <t xml:space="preserve">A08.01 elev A-D '5'-0" TO TOP OF FRP' measured from top of 6" CT-12C cove base ('6"'); A00.40 WC-3 FRP Marlite Symmetrix 'GC GC' (ordered by GC, installed by GC); A08.01 finish schedule P-15 'TOP OF FRP - 6" ABOVE CEILING'</t>
  </si>
  <si>
    <t xml:space="preserve">perimeter 36.33 LF (vector 1/A08.01 at 36 pt/ft; printed check 11'-7 1/2" x 6'-6 3/4") - doors 6.0 = 30.33 LF x 5.0 ft = 151.65 SF - mirror housing TA-7 (A08.01 KN8 'PROVIDE FRP AROUND THE MIRROR'S HOUSING') 2.0 x (5.5-3.33) = 4.33 SF -&gt; 147.32 SF</t>
  </si>
  <si>
    <t xml:space="preserve">PVC edge trim molding FRP (LF)</t>
  </si>
  <si>
    <t xml:space="preserve">3/A08.01 'PVC EDGE TRIM MOLDING' top + 'PVC EDGE TRIP MOLDING' bottom</t>
  </si>
  <si>
    <t xml:space="preserve">top cap = net perimeter 30.33 LF (bottom trim same LF, by FRP installer)</t>
  </si>
  <si>
    <t xml:space="preserve">5/8" gyp moisture resistant (reclassified from the face board of wall type C1) (SF)</t>
  </si>
  <si>
    <t xml:space="preserve">A08.01 sheet note F 'USE MOISTURE RESISTANT GYPSUM BOARD BEHIND TOILET AND LAVATORY.'; A04.01 'GB 8'-6"'</t>
  </si>
  <si>
    <t xml:space="preserve">chase face 9.925 LF (vector (2558.3-2201.0)/36) x 8.5 ft (GB ceiling 8'-6") = 84.4 SF</t>
  </si>
  <si>
    <t xml:space="preserve">cement board 1/2" tile backer at 6" CT-12C base band (SF)</t>
  </si>
  <si>
    <t xml:space="preserve">A08.01 CT-12C 6x6x5/16 cove base; 3/A08.01 shows base on mortar bed over gypsum (no backer called)</t>
  </si>
  <si>
    <t xml:space="preserve">30.33 LF x 0.5 ft = 15.165 SF (reclass of gyp face, alternate A = 0 SF as drawn / MR)</t>
  </si>
  <si>
    <t xml:space="preserve">perimeter 36.3 LF (vector 1/A08.01 at 36 pt/ft; printed check 11'-7 1/2" x 6'-6 3/4") - doors 3.0 = 33.3 LF x 5.0 ft = 166.5 SF - mirror housing TA-7 (A08.01 KN8 'PROVIDE FRP AROUND THE MIRROR'S HOUSING') 2.0 x (5.5-3.33) = 4.33 SF -&gt; 162.17 SF</t>
  </si>
  <si>
    <t xml:space="preserve">top cap = net perimeter 33.3 LF (bottom trim same LF, by FRP installer)</t>
  </si>
  <si>
    <t xml:space="preserve">33.3 LF x 0.5 ft = 16.65 SF (reclass of gyp face, alternate A = 0 SF as drawn / MR)</t>
  </si>
  <si>
    <t xml:space="preserve">FRP WC-2 glass fiber reinforced panel (SF)</t>
  </si>
  <si>
    <t xml:space="preserve">A05.01 finish KN6 'FRP FROM FLOOR TO 4'-0" AFF, WIDTH TO MATCH WIDTH OF MOP SINK AT BOTH SIDES'; 6/A12.04 'WC-2' '4'-0"'; A00.40 WC-2 'GC GC'; P00.01 PF-07 Acorn TSH-24</t>
  </si>
  <si>
    <t xml:space="preserve">2 faces x 2.0 ft (vector 6/A12.04 = 24", matches TSH-24) x 4.0 ft = 16.0 SF; no base behind mop sink (4/A08.01: FRP to tiling flange)</t>
  </si>
  <si>
    <t xml:space="preserve">framed opening MEP duct 14x12 rect (LF)</t>
  </si>
  <si>
    <t xml:space="preserve">M01.01 duct size label at crossing (image); A12.01 partition details '...UNDERSIDE OF STRUCTURE'</t>
  </si>
  <si>
    <t xml:space="preserve">track/stud perimeter 2 x (14" + 12") = 4.333 LF (nominal duct size, clearance by field)</t>
  </si>
  <si>
    <t xml:space="preserve">framed opening MEP duct 10 dia (LF)</t>
  </si>
  <si>
    <t xml:space="preserve">track/stud perimeter 2 x (10" + 10") = 3.333 LF (nominal duct size, clearance by field)</t>
  </si>
  <si>
    <t xml:space="preserve">framed opening MEP duct 8 dia (LF)</t>
  </si>
  <si>
    <t xml:space="preserve">track/stud perimeter 2 x (8" + 8") = 2.667 LF (nominal duct size, clearance by field)</t>
  </si>
  <si>
    <t xml:space="preserve">framed opening MEP duct 14 dia (LF)</t>
  </si>
  <si>
    <t xml:space="preserve">track/stud perimeter 2 x (14" + 14") = 4.667 LF (nominal duct size, clearance by field)</t>
  </si>
  <si>
    <t xml:space="preserve">framed opening MEP duct 12x14 rect (LF)</t>
  </si>
  <si>
    <t xml:space="preserve">track/stud perimeter 2 x (12" + 14") = 4.333 LF (nominal duct size, clearance by field)</t>
  </si>
  <si>
    <t xml:space="preserve">framed opening MEP duct 8x8 rect (LF)</t>
  </si>
  <si>
    <t xml:space="preserve">framed opening MEP duct approx. 8 (label illegible, vector 0.64 ft) (LF)</t>
  </si>
  <si>
    <t xml:space="preserve">framed opening MEP duct approx. 8 (vector 0.67 ft, no label) (LF)</t>
  </si>
  <si>
    <t xml:space="preserve">framed opening MEP duct approx. 8 (same duct) (LF)</t>
  </si>
  <si>
    <t xml:space="preserve">framed opening MEP duct 8x10 rect (LF)</t>
  </si>
  <si>
    <t xml:space="preserve">track/stud perimeter 2 x (8" + 10") = 3.0 LF (nominal duct size, clearance by field)</t>
  </si>
  <si>
    <t xml:space="preserve">framed opening MEP duct 12x10 rect (LF)</t>
  </si>
  <si>
    <t xml:space="preserve">track/stud perimeter 2 x (12" + 10") = 3.667 LF (nominal duct size, clearance by field)</t>
  </si>
  <si>
    <t xml:space="preserve">framed opening MEP duct approx. 8 (vector 0.64 ft) (LF)</t>
  </si>
  <si>
    <t xml:space="preserve">framed opening MEP sidewall grille R-2 14x14 w/ FD (LF)</t>
  </si>
  <si>
    <t xml:space="preserve">M01.01 'R-2 14x14, TYP. 2' 'S-2, 12x8 200 CFM' 'S-2, 12x12 600 CFM' + 'FD'; M00.03 R-2/E-2 TITUS 355ZRL</t>
  </si>
  <si>
    <t xml:space="preserve">2 x (14+14)" = 4.667 LF</t>
  </si>
  <si>
    <t xml:space="preserve">framed opening MEP sidewall grille S-2 12x8 w/ FD (LF)</t>
  </si>
  <si>
    <t xml:space="preserve">2 x (12+8)" = 3.333 LF</t>
  </si>
  <si>
    <t xml:space="preserve">framed opening MEP sidewall grille S-2 12x12 w/ FD (LF)</t>
  </si>
  <si>
    <t xml:space="preserve">2 x (12+12)" = 4.0 LF</t>
  </si>
  <si>
    <t xml:space="preserve">framed opening MEP linear diffuser approx. 4'-1" x 6" in GWB ceiling (LF)</t>
  </si>
  <si>
    <t xml:space="preserve">M01.01 linear diffusers 125/60/75 CFM; M00.01 'LSD LINEAR SLOT DIFFUSER'; M00.03 note 3 'FURNISH RAPID-MOUNT FRAMES ... IN DRYWALL CEILINGS'</t>
  </si>
  <si>
    <t xml:space="preserve">12 EA x 2 x (4.13 + 0.53) ft (vector, 1/4"=1'-0") = 111.84 LF</t>
  </si>
  <si>
    <t xml:space="preserve">framed opening MEP 2'x2' device in GWB ceiling (LF)</t>
  </si>
  <si>
    <t xml:space="preserve">A04.01 legend 'NEW 2'x2' HVAC DIFFUSER/GRILLE' symbols (2 per restroom); M01.01 75 CFM / 60 CFM</t>
  </si>
  <si>
    <t xml:space="preserve">4 EA x 2 x (2.0+2.0) = 32.0 LF (alt M01.01 ~6"x1'-9": 4 x 4.58 = 18.3 LF, RFI-w5-05)</t>
  </si>
  <si>
    <t xml:space="preserve">access panel 2'x2' locking (EA)</t>
  </si>
  <si>
    <t xml:space="preserve">A04.01 KN4 '2' X 2' LOCKING ACCESS PANEL. KEYED TO MATCH MAIN ENTRY.'</t>
  </si>
  <si>
    <t xml:space="preserve">1 tag</t>
  </si>
  <si>
    <t xml:space="preserve">framed opening MEP access panel 2'x2' (LF)</t>
  </si>
  <si>
    <t xml:space="preserve">2 x (2+2) = 8.0 LF</t>
  </si>
  <si>
    <t xml:space="preserve">framed opening MEP recessed fixture R-11C 12' linear - sides (LF)</t>
  </si>
  <si>
    <t xml:space="preserve">A04.01 'R-11 (12')' x4 (pdftotext of A04.01); E00.01 schedule R-11C 12' LINEAR GYP</t>
  </si>
  <si>
    <t xml:space="preserve">4 fixtures x 12.0 ft x 2 sides = 96.0 LF</t>
  </si>
  <si>
    <t xml:space="preserve">framed opening MEP recessed fixture R-11C 12' linear - ends (LF)</t>
  </si>
  <si>
    <t xml:space="preserve">E00.01 schedule gives no housing width</t>
  </si>
  <si>
    <t xml:space="preserve">4 x 2 ends x housing width (not printed) - RFI-L-03</t>
  </si>
  <si>
    <t xml:space="preserve">finish level 5 at WC-18 walls - gypsum board skim (SF)</t>
  </si>
  <si>
    <t xml:space="preserve">A00.40 WC-18; A05.01 tags; A04.01 ceiling 9'-0"</t>
  </si>
  <si>
    <t xml:space="preserve">(4 x 11'-9 1/4" + 2 x 11'-7 1/2") x 9'-0" = (47.083 + 23.250) x 9.0 = 633.0 SF</t>
  </si>
  <si>
    <t xml:space="preserve">finish level 5 at WC-22 media wall (SF)</t>
  </si>
  <si>
    <t xml:space="preserve">A00.40 WC-22, A05.01 KN10</t>
  </si>
  <si>
    <t xml:space="preserve">width EQ-EQ not printed - RFI-w5-14</t>
  </si>
  <si>
    <t xml:space="preserve">NET</t>
  </si>
  <si>
    <t xml:space="preserve">Waste class</t>
  </si>
  <si>
    <t xml:space="preserve">Waste %</t>
  </si>
  <si>
    <t xml:space="preserve">Waste</t>
  </si>
  <si>
    <t xml:space="preserve">Purchase</t>
  </si>
  <si>
    <t xml:space="preserve">Stock (ft or SF/sheet)</t>
  </si>
  <si>
    <t xml:space="preserve">Purchase units (pcs)</t>
  </si>
  <si>
    <t xml:space="preserve">Items</t>
  </si>
  <si>
    <t xml:space="preserve">METAL</t>
  </si>
  <si>
    <t xml:space="preserve">BH-105, BH-106, BH-107, BH-108, BH-109, BH-110, G-01, G-02, G-03, G-04, G-05, G-06, G-07, G-08, G-09, G-10, G1-01, G1-02</t>
  </si>
  <si>
    <t xml:space="preserve">C1-06, C1-08, F-01, OPN-F01-ATM</t>
  </si>
  <si>
    <t xml:space="preserve">A1-05, A1-06, A1-07, A1-08, B-01, B-02, B-03, B-04, B-05, B-06</t>
  </si>
  <si>
    <t xml:space="preserve">EXT-CANOPY-E, EXT-CANOPY-N, EXT-CANOPY-S, EXT-CANOPY-W</t>
  </si>
  <si>
    <t xml:space="preserve">B2-01, B2-02, B2-03, B2-04, B2-05, B2-07, B2-08, OPN-102, OPN-113, OPN-114, OPN-115, OPN-117</t>
  </si>
  <si>
    <t xml:space="preserve">EXT-E1, EXT-E2, EXT-N1, EXT-N2, EXT-N3, EXT-S1, EXT-W1, EXT-W2, EXT-W3, EXT-W4</t>
  </si>
  <si>
    <t xml:space="preserve">A1-01, A1-02, A1-03, A1-04, A1-05, A1-06, A1-07, A1-08, A1-D01, A1K-01, A1K-02, B-01, B-02, B-03, B-04, B-05, B-06</t>
  </si>
  <si>
    <t xml:space="preserve">A5-01, A5-02, A5-03</t>
  </si>
  <si>
    <t xml:space="preserve">G-01, G-02, G-03, G-04, G-05, G-06, G-07, G-08, G-09, G-10, G1-01, G1-02</t>
  </si>
  <si>
    <t xml:space="preserve">A1-01, A1-02, A1-03, A1-04, A1-05, A1-06, A1-07, A1-08, A1-D01, B-01, B-02, B-03, B-04, B-05, B-06, C1-03, C1-04, C1-05, C1-06, C1-07, C1-08, F-01</t>
  </si>
  <si>
    <t xml:space="preserve">A1K-01, A1K-02</t>
  </si>
  <si>
    <t xml:space="preserve">A5-01, A5-02, A5-03, B2-01, B2-02, B2-03, B2-04, B2-05, B2-07, B2-08</t>
  </si>
  <si>
    <t xml:space="preserve">B2-01, B2-02, B2-03, B2-04, B2-05, B2-07, B2-08, B2K-01, F-01, G-01, G-02, G-03, G-04, G-05, G-06, G-07, G-08, G-09, G-10, G1-01, G1-02</t>
  </si>
  <si>
    <t xml:space="preserve">A1-01, A1-02, A1-03, A1-04, A1-05, A1-06, A1-07, A1-08, A1-D01, A1K-01, A1K-02, A5-01, A5-02, A5-03, B-01, B-02, B-03, B-04, B-05, B-06</t>
  </si>
  <si>
    <t xml:space="preserve">CIELO-100, CIELO-101, CIELO-104, CIELO-113, CIELO-114</t>
  </si>
  <si>
    <t xml:space="preserve">B2K-01, EXT-E1, EXT-N1, EXT-N2, EXT-W2, EXT-W4, OPN-F01-ATM</t>
  </si>
  <si>
    <t xml:space="preserve">A1-08, BH-105, BH-106, BH-107, BH-108, BH-109, BH-110, CIELO-104, EXT-E1, EXT-N1, EXT-N2, EXT-W2, EXT-W4, SOFFIT-01</t>
  </si>
  <si>
    <t xml:space="preserve">CIELO-100, CIELO-101, CIELO-104</t>
  </si>
  <si>
    <t xml:space="preserve">BH-105, BH-106, BH-107, BH-108, BH-109, BH-110</t>
  </si>
  <si>
    <t xml:space="preserve">EXT-E1, EXT-S1, EXT-W2, EXT-W4</t>
  </si>
  <si>
    <t xml:space="preserve">OPN-113, OPN-114, OPN-115, OPN-117</t>
  </si>
  <si>
    <t xml:space="preserve">EXT-E1, EXT-N1, EXT-N2, EXT-S1, EXT-W2, EXT-W4</t>
  </si>
  <si>
    <t xml:space="preserve">A1-01, A1-02, A1-03, A1-04, A1-05, A1-06, A1-07, A1-08, A1-D01, B-01, B-02, B-03, B-04, B-05, B-06</t>
  </si>
  <si>
    <t xml:space="preserve">C1-03, C1-04, C1-05, C1-06, C1-07, C1-08</t>
  </si>
  <si>
    <t xml:space="preserve">NOT METAL</t>
  </si>
  <si>
    <t xml:space="preserve">WZ-MR-M, WZ-MR-W</t>
  </si>
  <si>
    <t xml:space="preserve">A1-02, A1-07, A5-01, A5-02, A5-03, B-03, B-05</t>
  </si>
  <si>
    <t xml:space="preserve">A1-01, A1-04, A1-05, A1-08, A1-D01, B-01, B-02, B-04, B-06</t>
  </si>
  <si>
    <t xml:space="preserve">A1-03, A1-04, A1-05, A1-08, A1-D01, B-01, B-02, B-04, B-06</t>
  </si>
  <si>
    <t xml:space="preserve">A1-07, A5-01, A5-02, A5-03, B-03, B-05</t>
  </si>
  <si>
    <t xml:space="preserve">EXT-E1, EXT-N1, EXT-N2, EXT-W2, EXT-W4</t>
  </si>
  <si>
    <t xml:space="preserve">B2-01, B2-02, B2-03, B2-04, B2-05, B2-07, B2-08, B2K-01, BH-105, BH-106, BH-107, BH-108, BH-109, BH-110, G-01, G-02, G-03, G-04, G-05, G-06, G-07, G-08, G-09, G-10, G1-01, G1-02, OPN-102, OPN-113, OPN-114, OPN-115, OPN-117</t>
  </si>
  <si>
    <t xml:space="preserve">A1K-01, A1K-02, B2K-01</t>
  </si>
  <si>
    <t xml:space="preserve">CIELO-113, CIELO-114</t>
  </si>
  <si>
    <t xml:space="preserve">B2-01, B2-02, B2-03, B2-04, B2-05, B2-07, B2-08</t>
  </si>
  <si>
    <t xml:space="preserve">WZ-CB-M, WZ-CB-W</t>
  </si>
  <si>
    <t xml:space="preserve">MEP-c02, MEP-c12, MEP-c13</t>
  </si>
  <si>
    <t xml:space="preserve">MEP-c03, MEP-c04, MEP-c09b, MEP-c15</t>
  </si>
  <si>
    <t xml:space="preserve">MEP-c11, MEP-c14, MEP-c16, MEP-c18</t>
  </si>
  <si>
    <t xml:space="preserve">MEP-c07, MEP-c08</t>
  </si>
  <si>
    <t xml:space="preserve">MEP-FD1, MEP-FD2</t>
  </si>
  <si>
    <t xml:space="preserve">REC-TA-13-M, REC-TA-13-W</t>
  </si>
  <si>
    <t xml:space="preserve">REC-TA-14-M, REC-TA-14-W</t>
  </si>
  <si>
    <t xml:space="preserve">REC-TA-2-BR, REC-TA-2-WL</t>
  </si>
  <si>
    <t xml:space="preserve">WZ-FRP-M, WZ-FRP-W</t>
  </si>
  <si>
    <t xml:space="preserve">BLK-EQ-03-BR, BLK-EQ-03-WL, BLK-EQ-07, BLK-EQ-24-BR, BLK-EQ-24-WL, BLK-EQ-24-WR, BLK-EQ-58-CC, BLK-EQ-58-WR, BLK-EQ-64-CW, BLK-EQ-64-WL, BLK-EQ-64-WR, BLK-EQ-69-N, BLK-EQ-69-S, BLK-EQ-CW16, BLK-EQ-FE-BR, BLK-LADDER, BLK-MW01, BLK-MW05, BLK-MW06A-E, BLK-MW06A-W, BLK-MW07, BLK-MW08, BLK-MW11, BLK-MW12, BLK-MW13, BLK-MW18, BLK-MW21, BLK-PF-02-M, BLK-PF-02-W, BLK-TA-10-M, BLK-TA-10-W, BLK-TA-16-M, BLK-TA-16-W, BLK-TA-17-M, BLK-TA-17-W, BLK-TA-19, BLK-TA-3-M, BLK-TA-3-W, BLK-TA-4-M, BLK-TA-4-W, BLK-TA-5-M, BLK-TA-5-W, BLK-TA-7-M, BLK-TA-7-W, BLK-TA-8-M, BLK-TA-8-W, BLK-TA-9-W, BLK-WH-1-PLATFORM, BLK-WS-111, BLK-WS-113, BLK-WS-114, BLK-WS-115, BLK-WS-116, BLK-WS-117, BLK-WS-118A, BLK-WS-118B, BLK-WS-119</t>
  </si>
  <si>
    <t xml:space="preserve">F-01, PLY-85MONITOR, PLY-KN6-ELEC, PLY-KN6-NER</t>
  </si>
  <si>
    <t xml:space="preserve">Id</t>
  </si>
  <si>
    <t xml:space="preserve">Pregunta</t>
  </si>
  <si>
    <t xml:space="preserve">Alternativas</t>
  </si>
  <si>
    <t xml:space="preserve">Delta</t>
  </si>
  <si>
    <t xml:space="preserve">RFI-w1-01</t>
  </si>
  <si>
    <t xml:space="preserve">S2.20 gives B.O.D. EL. 15'-4 1/2" (NO SLOPE, north of grid D) and 13'-0 5/8" -&gt; 12'-6 3/8" (grid B to A, sloped). The hatched solar zone between grid D and grid B (beam W14x22 (HI) at grid B) has no B.O.D. tag. What is the underside of deck there? Affects A1-01, A1-02, A1-03, A1-04, A1-D01, A5-01 (north part), A5-02 (north part), A1K-01.</t>
  </si>
  <si>
    <t xml:space="preserve">A (used, provisional): 15'-4 1/2" -&gt; 362S137-33 1108.5 LF, 600S137-33 621.7 LF, 362S137-68 95.4 LF | B: 13'-0 5/8" -&gt; 1038.8 LF, 556.7 LF, 90.8 LF</t>
  </si>
  <si>
    <t xml:space="preserve">A - B = +69.7 LF 362S137-33, +65.0 LF 600S137-33, +4.7 LF 362S137-68; +20.4 SF 5/8" gyp &amp; batt on A1 deck faces (MW01 pocket); A1K-01 +7.9 SF on each 5/8" face, 3/8" gyp and batt</t>
  </si>
  <si>
    <t xml:space="preserve">RFI-w1-02</t>
  </si>
  <si>
    <t xml:space="preserve">Confirm B.O.D. datum (assumed T/slab = 0'-0") and that the 13'-0 5/8" / 12'-6 3/8" values apply at grid B / grid A with linear slope (used for every wall south of grid B).</t>
  </si>
  <si>
    <t xml:space="preserve">A (used): linear interpolation 156.625" @ B -&gt; 150.375" @ A | B: constant 13'-0 5/8" for whole zone</t>
  </si>
  <si>
    <t xml:space="preserve">B adds at most 6.25" per stud on walls near grid A (~+1 to +3 % stud LF of south walls; e.g. B-03 +~3.5 LF)</t>
  </si>
  <si>
    <t xml:space="preserve">RFI-w1-03</t>
  </si>
  <si>
    <t xml:space="preserve">Ceiling of the strip in front of offices 107/108 east of CALLING CUBES 122 (x1530-1622, y967-1117 pt) has no ceiling tag on A04.01. Note A default 8'-6" or central zone ACT-4 11'-6"?</t>
  </si>
  <si>
    <t xml:space="preserve">A (used): 8'-6" -&gt; board 9'-0" on A5-02 east face | B: 11'-6" -&gt; board 12'-0"</t>
  </si>
  <si>
    <t xml:space="preserve">B = +25.0 SF 5/8" gyp and +25.0 SF batt 6" on A5-02 (8.34 ft x 3.0 ft)</t>
  </si>
  <si>
    <t xml:space="preserve">RFI-w1-04</t>
  </si>
  <si>
    <t xml:space="preserve">A1K-01 separates the teller line from a 3.3" gap against the office 108 G wall (neither face is "customer side"), and the south face of the east segment of A1K-02 is directly against the C1 counter. Which face gets the ballistic panel on A1K-01, and are the concealed faces boarded? Where are the "APPROPRIATE METAL TRIM AND CASING BEADS" required?</t>
  </si>
  <si>
    <t xml:space="preserve">A (used): ballistic + 5/8" + 3/8" on the non-teller face of both walls, all faces boarded, casing bead placeholder 4 x height per wall (PENDIENTE) | B: no board on concealed faces (A1K-01 north, A1K-02 east-seg south)</t>
  </si>
  <si>
    <t xml:space="preserve">B = -96.6 SF 5/8" gyp (52.5 + 44.1) and -42.0 SF 3/8" gyp above 8'; ballistic SF unchanged (72.5 SF); casing bead 113.2 LF placeholder to be replaced by actual trim takeoff</t>
  </si>
  <si>
    <t xml:space="preserve">RFI-w1-05</t>
  </si>
  <si>
    <t xml:space="preserve">A1-01 north face between x1287-1467 pt is 3.75" behind the C1 wall (85" display wall, keynote 7). Board this hidden face to 11'-6"?</t>
  </si>
  <si>
    <t xml:space="preserve">A (used): boarded | B: not boarded</t>
  </si>
  <si>
    <t xml:space="preserve">B = -115.0 SF 5/8" gyp (10.0 ft x 11.5 ft)</t>
  </si>
  <si>
    <t xml:space="preserve">RFI-w1-06</t>
  </si>
  <si>
    <t xml:space="preserve">Untagged segments in line with tagged B walls (B-03 ends y1446-1469 and y1656-1693; B-04 west segment x912-982 beyond door 112): type B by continuity or A1 by sheet note A?</t>
  </si>
  <si>
    <t xml:space="preserve">A (used): B (board to structure both sides, sealant top) | B: A1 (board 6" above ceiling on the side facing a ceiling, no top sealant)</t>
  </si>
  <si>
    <t xml:space="preserve">B = about -26.8 SF 5/8" gyp (break room face 4.8 + 7.4 SF, men's restroom face 14.6 SF) and -14.4 LF acoustical sealant; framing unchanged</t>
  </si>
  <si>
    <t xml:space="preserve">RFI-w1-07</t>
  </si>
  <si>
    <t xml:space="preserve">Wall type over doors 118A (jambs: A1 stub A1-06 and A1K-02) and 116 (jambs: A5 A5-03 and a B2 wall).</t>
  </si>
  <si>
    <t xml:space="preserve">A (used): band over 118A = A1, band over 116 = A5 | B: 118A band = A1K (to structure, 14 GA @24", 3/8" gyp above 8'); 116 band = B2 (to structure)</t>
  </si>
  <si>
    <t xml:space="preserve">B = +24.4 SF 5/8" gyp and +15.8 SF 3/8" gyp at 118A; +23.8 SF 5/8" gyp at 116 (and that band would move to the B2 worker)</t>
  </si>
  <si>
    <t xml:space="preserve">RFI-w1-08</t>
  </si>
  <si>
    <t xml:space="preserve">Track gauges: S5.20 METAL STUD PROPERTIES lists only 600T125-33 (BOTTOM TRACK) and 600T200-97 (TOP TRACK), no 3-5/8" track. Confirm 362T125-33 / 362T200-33 for A1 &amp; B, 600T200-97 top track for interior A5, and 14 GA tracks for A1K.</t>
  </si>
  <si>
    <t xml:space="preserve">A (used): as listed | B: 600T200-33 top track for A5 (interior non-load-bearing)</t>
  </si>
  <si>
    <t xml:space="preserve">no LF change; material grade/cost only</t>
  </si>
  <si>
    <t xml:space="preserve">RFI-w1-09</t>
  </si>
  <si>
    <t xml:space="preserve">3/A12.01 shows two unlabeled "2'-0"" dimensions at the top of the partition (above the ceiling, each side). What do they denote (bracing, insulation extent, board extent)?</t>
  </si>
  <si>
    <t xml:space="preserve">A (used): ignored | B: e.g. 2'-0" extra board/insulation above ceiling</t>
  </si>
  <si>
    <t xml:space="preserve">if board extends 2'-0" instead of 6" above ceiling: about +1.5 ft x A1/A5 length per face (~ +2 x 114 LF x 1.5 = +340 SF)</t>
  </si>
  <si>
    <t xml:space="preserve">RFI-w1-10</t>
  </si>
  <si>
    <t xml:space="preserve">MW01 printer cabinet (A12.03, 8'-4" doors) sits in the A1 pocket; the plan shows no wall on the cabinet front line (x1224, y975-1031). Is there gyp/framing above the cabinet from 8'-4" to deck/ceiling?</t>
  </si>
  <si>
    <t xml:space="preserve">A (used): none (millwork scope) | B: header + infill 3.13 ft wide from 8'-4" to structure</t>
  </si>
  <si>
    <t xml:space="preserve">B = about +2 x 3.13 ft x 7.0 ft = +44 SF 5/8" gyp + header/studs</t>
  </si>
  <si>
    <t xml:space="preserve">RFI-w2-01</t>
  </si>
  <si>
    <t xml:space="preserve">Confirm underside of deck between grids E and B east of grid 5 (offices 107/108, B2K, G-05/G-08, bulkheads BH-107/108). S2.20 prints B.O.D. 15'-4 1/2" (no slope) between F and E and A09.23 Section H shows T/STEEL 15'-4 1/2" at grid 3 between E and B, but S2.20 shows '@ LOW ROOF' just south of grid E (grids 5-6). All w2 walls north of grid B were taken at 15'-4 1/2".</t>
  </si>
  <si>
    <t xml:space="preserve">A: 15'-4 1/2" (used) | B: 13'-0 5/8" (B.O.D. printed at grid B)</t>
  </si>
  <si>
    <t xml:space="preserve">-2.32 ft per stud/board face for affected walls: e.g. G-05 10.83 LF x 2 rows x 9 studs... board -2.32 x 10.83 x 4 layers = -100.5 SF; bulkheads BH-107/108 band 7.333 -&gt; 5.010 ft (-34.8 SF each of 4 layers x 7.5 LF).</t>
  </si>
  <si>
    <t xml:space="preserve">RFI-w2-02</t>
  </si>
  <si>
    <t xml:space="preserve">SOUNDGUARD isolator by Marinoware (5/A12.01, 8/A12.01, 10/A12.01): provide spacing (horizontal and vertical) and model for G/G1 double-row walls and office bulkheads.</t>
  </si>
  <si>
    <t xml:space="preserve">A: 1 per stud pair @ 48" vertical (3 per pair at 15'-4 1/2") | B: per manufacturer</t>
  </si>
  <si>
    <t xml:space="preserve">A: approx. G/G1 total 97.94 LF -&gt; ~85 stud pairs x 3 = ~255 EA</t>
  </si>
  <si>
    <t xml:space="preserve">RFI-w2-03</t>
  </si>
  <si>
    <t xml:space="preserve">Partition type C1 (6/A12.01) has no schedule row and the detail is cut at the top: confirm height of C1 stud furring and gyp (to underside of deck, or to ceiling + 6"), and confirm 'BLOCK PARTITION' scope at restrooms and at column enclosures (vestibule C1-01..C1-04).</t>
  </si>
  <si>
    <t xml:space="preserve">A: to deck (15'-4 1/2" or 12'-11" in restrooms) - provisional values in result | B: to ceiling + 6" (vestibules GB 10'-0" -&gt; 10'-6"; restrooms ceiling per A04.01 -&gt; ~9'-0")</t>
  </si>
  <si>
    <t xml:space="preserve">C1 total 46.60 LF: B vs A approx -4.9 ft (vestibules/media/FCAM) and -3.9 ft (restrooms) per LF of face -&gt; about -208 SF board</t>
  </si>
  <si>
    <t xml:space="preserve">RFI-w2-04</t>
  </si>
  <si>
    <t xml:space="preserve">B2K-01 (only B2K tag, south of OFFICE 108 at grid 7/B.2): confirm which face is CUSTOMER SIDE (fiberglass panel) - office 108 (north) or cash window 116 (south).</t>
  </si>
  <si>
    <t xml:space="preserve">A: north (office 108) | B: south</t>
  </si>
  <si>
    <t xml:space="preserve">no quantity change; affects location of 14.2 SF ballistic panel</t>
  </si>
  <si>
    <t xml:space="preserve">RFI-w2-05</t>
  </si>
  <si>
    <t xml:space="preserve">G1 schedule thickness 8" vs plan band 8.48" (G1-01 and G1-02). Confirm G1 build-up (2 layers each face + 2 1/4" gap?).</t>
  </si>
  <si>
    <t xml:space="preserve">A: 2 layers each face, 1 5/8" rows, 2 1/4" gap (used) | B: 3 layers one face</t>
  </si>
  <si>
    <t xml:space="preserve">B: +1 layer 5/8" x (10.83 + 7.40) LF x 15.375 = +280 SF</t>
  </si>
  <si>
    <t xml:space="preserve">RFI-w2-06</t>
  </si>
  <si>
    <t xml:space="preserve">Is S5.20 1-F continuous bridging (1 1/2" C.R. channel @ 48" O.C.) required in interior non-load-bearing partitions (B2, G/G1, F, C1)? S1.11 note 4 defers bridging/bracing to the CFS delegated submittal.</t>
  </si>
  <si>
    <t xml:space="preserve">A: yes, rows @ 48" (used) | B: per delegated design / none</t>
  </si>
  <si>
    <t xml:space="preserve">B: remove all 'bracing C.R. channel' rows (see items)</t>
  </si>
  <si>
    <t xml:space="preserve">RFI-w2-07</t>
  </si>
  <si>
    <t xml:space="preserve">G/G1 use 1 5/8" studs per schedule but run to deck at 15'-4 1/2". Confirm stud size/gauge and whether intermediate bracing to structure is required (limiting height).</t>
  </si>
  <si>
    <t xml:space="preserve">A: 1 5/8" 20ga per schedule (used) | B: 2 1/2" or heavier per delegated design</t>
  </si>
  <si>
    <t xml:space="preserve">material change only (same LF)</t>
  </si>
  <si>
    <t xml:space="preserve">RFI-w2-08</t>
  </si>
  <si>
    <t xml:space="preserve">Office front head heights differ: east (A11.01 7) '8'-0 1/2" HOLD TYP FROM SLAB' vs west (A11.01 8) '8'-0" CLEAR FINISHED OPENING'. Confirm.</t>
  </si>
  <si>
    <t xml:space="preserve">A: as printed per side (used) | B: 8'-0 1/2" both</t>
  </si>
  <si>
    <t xml:space="preserve">B: west bulkheads band -0.042 ft x 7.5 LF x 4 layers = -1.25 SF each</t>
  </si>
  <si>
    <t xml:space="preserve">RFI-w3-01</t>
  </si>
  <si>
    <t xml:space="preserve">Exterior stud gauge/spacing conflict: S1.11 LT GA note 5 requires 600S162-54 @ 16" O.C. (12" O.C. within 6 ft of building corners); 7/S5.20 METAL STUD SCHEDULE lists 600S137-33 @ 16" for EXTERIOR WALLS with 600T125-33 bottom / 600T200-97 top track. Also header size for 'METAL STUD BOX BEAM AS REQUIRED' (11/14 A09.27) not given. Which governs?</t>
  </si>
  <si>
    <t xml:space="preserve">A: 600S162-54 per S1.11 (taken): 3844.6 LF + 1110.7 LF parapet | B: 600S137-33 @16" everywhere: same LF minus corner-zone extras (~ -14 studs x ~15' = ~-200 LF) and lighter gauge; tracks 600T125-33/600T200-97 either way</t>
  </si>
  <si>
    <t xml:space="preserve">~200 LF studs and gauge 16ga vs 20ga (material weight ~ x1.6 on ~4,950 LF)</t>
  </si>
  <si>
    <t xml:space="preserve">RFI-w3-02</t>
  </si>
  <si>
    <t xml:space="preserve">Architectural sections (A09.21/22/23, 4/A09.26) draw the 6" CFMF continuous from slab to T/STUD outboard of the perimeter beam; structural 6 &amp; 10/S5.10 show light-gauge wall with deflection track under the perimeter beam and 11/S5.10 separate parapet infill 600S162-54 between HSS 5x5 posts @5'-0". Confirm system and elevation of deflection track (B.O.D. vs bottom of perimeter beam W12-W18).</t>
  </si>
  <si>
    <t xml:space="preserve">A (taken): wall slab-&gt;B.O.D. with deflection track + separate parapet infill w/ extra stud each side of each HSS post | B: continuous studs slab-&gt;T/STUD (no parapet tracks, no post studs) | C: wall to underside of beam (~1'-0" to 1'-6" lower) + infill above</t>
  </si>
  <si>
    <t xml:space="preserve">B: -528.6 LF tracks (600T125-54 x2) and ~ -2 studs per 5 ft of parapet (~-250 LF); C: board/stud height to beam bottom differs ~1'-0" (~ -260 LF studs)</t>
  </si>
  <si>
    <t xml:space="preserve">RFI-w3-03</t>
  </si>
  <si>
    <t xml:space="preserve">Elevation titles transposed: 1/A09.01 is titled 'SOUTH ELEVATION' but is called from the TOP (north side) of A02.01, its triangle points south, grid order is 8..1 and content (vestibule entry 2-4, storefront 4-7, solid 7-8) matches grid F = NORTH facade (A02.01 north arrow points up). 2/A09.02 titled 'NORTH ELEVATION' is the SOUTH facade (grid A, door 123). Confirm titles.</t>
  </si>
  <si>
    <t xml:space="preserve">A: titles are transposed (taken, 4 evidences) | B: north arrow wrong</t>
  </si>
  <si>
    <t xml:space="preserve">No quantity delta; orientation labels only</t>
  </si>
  <si>
    <t xml:space="preserve">RFI-w3-04</t>
  </si>
  <si>
    <t xml:space="preserve">Interior board at perimeter exterior walls is '5/8" GYP. BOARD @ PERIMETER EXTERIOR WALL TO DECK' with no type. Confirm regular vs type X (vs moisture/abuse at restrooms 113/114, Janitor 112).</t>
  </si>
  <si>
    <t xml:space="preserve">A: 5/8" regular (taken) 3221.3 SF + returns 113.4 SF + piers 90.6 SF | B: 5/8" type X same SF</t>
  </si>
  <si>
    <t xml:space="preserve">type change only, 3425 SF</t>
  </si>
  <si>
    <t xml:space="preserve">RFI-w3-05</t>
  </si>
  <si>
    <t xml:space="preserve">Canopy fascia/soffit and column enclosure framing is '3 5/8" METAL STUD FRAMING' with no gauge, spacing, or attachment to canopy steel (suspension, hangers, bracing). Provide.</t>
  </si>
  <si>
    <t xml:space="preserve">A (taken): 362S137-33 @16" O.C. direct to steel: fascia 339.3 LF + soffit 1094.3 LF + columns 339.3 LF + piers 184.5 LF | B: suspended system (carrying channel + hangers) for drive-up canopy soffit 958 SF</t>
  </si>
  <si>
    <t xml:space="preserve">B adds ~ 958 SF of suspension (~700 LF carrying channel + hangers @4'x4')</t>
  </si>
  <si>
    <t xml:space="preserve">RFI-w3-06</t>
  </si>
  <si>
    <t xml:space="preserve">Low roof B-&gt;A slopes (S2.20 B.O.D. 13'-0 5/8" at B to 12'-6 3/8" at A). East E2 and West W1 board/stud heights taken at high end. Confirm whether board 'to deck' follows the slope (cut) or a level line.</t>
  </si>
  <si>
    <t xml:space="preserve">A (taken): high end 13'-0 5/8" | B: average 12'-9 1/2"</t>
  </si>
  <si>
    <t xml:space="preserve">B: -0.26' x (24.85+24.85) LF = -12.9 SF board per face and ~ -10 LF studs</t>
  </si>
  <si>
    <t xml:space="preserve">RFI-w3-07</t>
  </si>
  <si>
    <t xml:space="preserve">Drive-up ATM (NHA 9D TTW) rough opening in exterior wall W4 (ATM Room 102 west wall): A08.11 gives R.O. 2'-7 1/4" (31.3") and 2'-8 1/4", METAL STUD BOX BEAM 2'-8", 2 1/2" studs sistered to 6" studs, 2x4/4x4 FRT framing and FRT plywood plinth. Confirm R.O. W x H and sill height, and who furnishes FRT wood framing.</t>
  </si>
  <si>
    <t xml:space="preserve">A (taken): deduct 2'-7 1/4" x 2'-8 1/4" = 7.0 SF; box beam ~3.1 LF; wood framing by w5 | B: no deduction</t>
  </si>
  <si>
    <t xml:space="preserve">7.0 SF board/sheathing</t>
  </si>
  <si>
    <t xml:space="preserve">RFI-w3-08</t>
  </si>
  <si>
    <t xml:space="preserve">Raised parapet 2 (T.O. 20'-0"): taken only on W4 (grid 2, F-&gt;D), N1 (grid F, 2-&gt;4) and the D-line return W3, with roof-side face finished per keynote 7. Confirm there is no parapet along grid 4 (F-&gt;D) and grid D (2-&gt;4) around the vestibule block.</t>
  </si>
  <si>
    <t xml:space="preserve">A (taken): no parapet on grid 4/D | B: parapet on grid 4 (28.01') + D (16.2') at 4'-3 1/2"</t>
  </si>
  <si>
    <t xml:space="preserve">B adds ~44 LF parapet: ~190 LF studs, 88 LF tracks, ~380 SF sheathing (2 faces)</t>
  </si>
  <si>
    <t xml:space="preserve">RFI-w3-09</t>
  </si>
  <si>
    <t xml:space="preserve">Scope: (a) '5/8" FRT PLYWOOD BONDED TO 2 1/2" POLYISO' composite sheathing - by framing/drywall or by envelope contractor? (b) parapet roof side: sections say '5/8" EXTERIOR GYPSUM SHEATHING', 4/A09.26 says 'ROOF MEMBRANE ON 5/8" DENS DECK OR EQUAL' (roofer). (c) spray foam insulation by insulation sub.</t>
  </si>
  <si>
    <t xml:space="preserve">A (taken): (a) included 3731.3 SF, (b) included 915.8 SF as exterior gyp sheathing, (c) excluded (informational 4221.9 SF) | B: (a)/(b) by others</t>
  </si>
  <si>
    <t xml:space="preserve">3731.3 SF + 915.8 SF</t>
  </si>
  <si>
    <t xml:space="preserve">RFI-w3-10</t>
  </si>
  <si>
    <t xml:space="preserve">24 HR VESTIBULE 101 west wall (grid 2): plan shows a hatched liner (NEW PARTITION WITH KEVLAR REINFORCEMENT) inside the exterior wall. Does the exterior wall still receive its own 5/8" gyp to deck behind the liner?</t>
  </si>
  <si>
    <t xml:space="preserve">A (taken): yes, counted in W4 (~242 SF) | B: no, liner by w1/w2 only</t>
  </si>
  <si>
    <t xml:space="preserve">~242 SF 5/8" gyp</t>
  </si>
  <si>
    <t xml:space="preserve">RFI-w4-01</t>
  </si>
  <si>
    <t xml:space="preserve">No sheet defines the suspension system for the GWB ceilings (A09.33 has no suspended GWB ceiling detail; A04.01 legend only says NEW SUSPENDED GYPSUM WALL BOARD CEILING/SOFFIT). Confirm system (CRC + hat furring vs proprietary drywall grid), member sizes/gauges, hanger/carrying/furring spacing and perimeter member.</t>
  </si>
  <si>
    <t xml:space="preserve">A (used): ASTM C754 - CRC 1-1/2" @48", hangers @48"x48", 7/8" hat @16": carrying 314.58 LF, furring 770.02 LF, 112 hangers / 524.74 LF wire | B: same with hat @24": furring 548.46 LF | C: drywall suspension grid (main tee/cross tee) - replaces CRC + hat entirely</t>
  </si>
  <si>
    <t xml:space="preserve">furring A vs B = 221.56 LF; alternative C changes all suspension lines</t>
  </si>
  <si>
    <t xml:space="preserve">RFI-w4-02</t>
  </si>
  <si>
    <t xml:space="preserve">Hanger wire gauge for GWB ceilings and attachment point: only "TYPICAL 12 GAUGE HANGER WIRE" appears (3/A09.33, ACT). S1.10 note 9: "SUSPENDED CEILINGS ... SHALL NOT BE SUPPORTED BY DECKS" - hangers must go to joists/beams (W12x14 / W14x30 / W14x22). Confirm gauge and whether trapeze/bridging channels are required between joists.</t>
  </si>
  <si>
    <t xml:space="preserve">A (used): wire length = B.O.D. - ceiling height = 524.74 LF (112 hangers) | B: attach to bottom of joists (~12-14" below deck) = approx 413 LF</t>
  </si>
  <si>
    <t xml:space="preserve">approx -112 LF wire if to joist bottoms, plus trapeze members not counted</t>
  </si>
  <si>
    <t xml:space="preserve">RFI-w4-03</t>
  </si>
  <si>
    <t xml:space="preserve">Ceiling board type and finish level not specified (regular vs type X; moisture-resistant in restrooms 113/114; exterior-exposed 24HR vestibule 101). A05.01 notes A/B refer to finish schedule A00.31, which is NOT in the set (index lists A00.30 and A00.40 only); A00.40 has no GWB ceiling entry (only P-15 flat for ceilings) so RCP ceilings cannot be cross-checked against a room finish schedule.</t>
  </si>
  <si>
    <t xml:space="preserve">A (used): 5/8" regular, Level 4 (assumed) 934.69 SF ceilings + drop face 77.03 SF + soffit 77.13 SF | B: 5/8" MR in 113/114 (151.17 SF) | C: 5/8" type X all</t>
  </si>
  <si>
    <t xml:space="preserve">material type change only; SF unchanged</t>
  </si>
  <si>
    <t xml:space="preserve">RFI-w4-04</t>
  </si>
  <si>
    <t xml:space="preserve">CSR soffit side faces: 10/A09.33 shows board 6" above the scheduled ceiling (and one side as a scheduled partition), 9/A12.08 shows both soffit sides framed with board continuing above the ceiling. Confirm board height above ACT on both faces.</t>
  </si>
  <si>
    <t xml:space="preserve">A (used): 1'-6" per face (1'-0" visible + 6") = 36.06 SF | B: board to deck both faces = 2 x [6.53 ft x 7.375 + 5.49 ft x 4.994] = 151.2 SF</t>
  </si>
  <si>
    <t xml:space="preserve">+115.1 SF gyp board</t>
  </si>
  <si>
    <t xml:space="preserve">CSR soffit (SOFFIT-01) straddles grid B where roof steps from bay E-B (B.O.D. 15'-4 1/2") to bay B-A (B.O.D. 13'-0 5/8" sloping) with W14x22 (HI)/(LOW) beams. Confirm anchorage at the beam line, stud gauge (not given on 9/A12.08 or 10/A09.33), PAF spacing, flute direction (alternate purlin detail VIF) and whether lateral bracing/kickers are required.</t>
  </si>
  <si>
    <t xml:space="preserve">A (used): studs to deck each bay, 123.69 LF vertical, gauge PENDIENTE | B: studs to underside of W14 beams + 1x1x1 16ga purlins</t>
  </si>
  <si>
    <t xml:space="preserve">stud LF -/+ approx 20 LF; PAF/purlin count pending</t>
  </si>
  <si>
    <t xml:space="preserve">RFI-w4-06</t>
  </si>
  <si>
    <t xml:space="preserve">Waiting 104 GB ceiling at 11'-0" sits as an island inside Central Zone 103 ACT-4 at 11'-6" (6" drop). No detail is keyed for the drop edge; 7/A09.33 TYPICAL CEILING TRANSITION assumed. Also S2.20 has no B.O.D. tag for bay E-B; 15'-4 1/2" taken from H/A09.23 T/STEEL. Confirm edge construction and E-B B.O.D.</t>
  </si>
  <si>
    <t xml:space="preserve">A (used): 77.03 LF drop edge: 77.03 SF gyp face, 77.03 LF corner bead, 77.03 LF shadow molding, 77.03 LF track, 24 kickers 114.48 LF | B: GB flush with ACT at 11'-6" (no drop): all drop-edge items = 0, hanger wire -0.5 ft x 54 = -27 LF</t>
  </si>
  <si>
    <t xml:space="preserve">-77.03 SF / -77.03 LF bead / -114.48 LF kickers if B</t>
  </si>
  <si>
    <t xml:space="preserve">RFI-w4-07</t>
  </si>
  <si>
    <t xml:space="preserve">Restrooms 113/114 keynote 11 "INSTALL SOUND BATT INSULATION ABOVE CEILING": thickness / R-value / facing not specified; confirm if by drywall contractor.</t>
  </si>
  <si>
    <t xml:space="preserve">A (used): 151.17 SF batt, thickness PENDIENTE | B: by others = 0</t>
  </si>
  <si>
    <t xml:space="preserve">151.17 SF</t>
  </si>
  <si>
    <t xml:space="preserve">RFI-w4-08</t>
  </si>
  <si>
    <t xml:space="preserve">B.O.D. in sloped bay B-A interpolated linearly between S2.20 tags 13'-0 5/8" (near B) and 12'-6 3/8" (near A). Confirm slope is linear from grid B to grid A.</t>
  </si>
  <si>
    <t xml:space="preserve">A (used): linear, restroom hangers 12.76-13.05 ft | B: constant 13'-0 5/8"</t>
  </si>
  <si>
    <t xml:space="preserve">approx +2 LF hanger wire if B</t>
  </si>
  <si>
    <t xml:space="preserve">RFI-w5-01</t>
  </si>
  <si>
    <t xml:space="preserve">3/A08.01 shows CT-12C tile cove base on mortar bed directly over gypsum board. Provide cement board backer at the 6" tile base band, or MR/regular gyp as drawn?</t>
  </si>
  <si>
    <t xml:space="preserve">A: as drawn, 0 SF cement board | B: 1/2" cement board 6" band 113+114 = 15.17+16.65 = 31.8 SF (reclass from gyp)</t>
  </si>
  <si>
    <t xml:space="preserve">+31.8 SF cement board / -31.8 SF gyp</t>
  </si>
  <si>
    <t xml:space="preserve">RFI-w5-02</t>
  </si>
  <si>
    <t xml:space="preserve">A08.01 note F limits MR board to 'behind toilet and lavatory'. Confirm MR only on chase faces or all restroom walls (FRP walls)?</t>
  </si>
  <si>
    <t xml:space="preserve">A: chase faces 168.8 SF | B: all restroom faces to 8'-6" = (30.33+33.30) x 8.5 = 540.9 SF</t>
  </si>
  <si>
    <t xml:space="preserve">+372.1 SF MR (reclass)</t>
  </si>
  <si>
    <t xml:space="preserve">RFI-w5-03</t>
  </si>
  <si>
    <t xml:space="preserve">M01.01 shows fire dampers (FD) at R-2 and S-2 grilles in Electrical 120 and NER 121 walls, but A12.01 lists no fire rating for any partition type. Are these walls rated (UL design, type X to deck, firestopping)?</t>
  </si>
  <si>
    <t xml:space="preserve">A: unrated, FD deleted - framed openings only (15.7 LF) | B: rated walls B #18,#22,#23 (+A1 #8?) - type X both faces to deck, UL design, rated sealant/firestop</t>
  </si>
  <si>
    <t xml:space="preserve">scope change on ~43 LF of walls (w1/w2)</t>
  </si>
  <si>
    <t xml:space="preserve">RFI-w5-04</t>
  </si>
  <si>
    <t xml:space="preserve">M00.01 note 16 and P00.01 note 15 require access panels but no AP/AD is located on M01.01/P01.0x/E0x. Only A04.01 KN4 (1 EA in vestibule) is shown. Quantity/locations in GWB ceilings (vestibules, waiting, restrooms, CSR soffit)?</t>
  </si>
  <si>
    <t xml:space="preserve">A: 1 EA (KN4) | B: +N EA per MEP coordination</t>
  </si>
  <si>
    <t xml:space="preserve">unknown, ~$ per EA</t>
  </si>
  <si>
    <t xml:space="preserve">RFI-w5-05</t>
  </si>
  <si>
    <t xml:space="preserve">Restroom GB ceiling HVAC devices: A04.01 shows 2'x2' symbols, M01.01 shows narrow grilles (~6"x1'-9"). Which size?</t>
  </si>
  <si>
    <t xml:space="preserve">A: 4 x 2'x2' = 32.0 LF framing | B: 4 x 6"x1'-9" = 18.3 LF</t>
  </si>
  <si>
    <t xml:space="preserve">-13.7 LF</t>
  </si>
  <si>
    <t xml:space="preserve">RFI-w5-06</t>
  </si>
  <si>
    <t xml:space="preserve">M01.01 shows 12 linear slot diffuser segments in GB ceilings of Vestibule 100 / 24HR Vestibule 101; A04.01 RCP does not show them. Confirm devices and lengths.</t>
  </si>
  <si>
    <t xml:space="preserve">A: 12 x ~4'-1"x6" = 111.8 LF framed openings | B: none</t>
  </si>
  <si>
    <t xml:space="preserve">111.8 LF</t>
  </si>
  <si>
    <t xml:space="preserve">RFI-w5-07</t>
  </si>
  <si>
    <t xml:space="preserve">Door 117 (storage, HW group 10) swings 90 deg into Corridor 111 with no wall behind the open leaf; door 111 similar. Where is the wall stop (A00.30 note D)?</t>
  </si>
  <si>
    <t xml:space="preserve">A: wall stop on adjacent wall B2 #27 / A5 #16 = 2.0 LF each | B: floor stop, 0 LF</t>
  </si>
  <si>
    <t xml:space="preserve">-4.0 LF</t>
  </si>
  <si>
    <t xml:space="preserve">RFI-w5-08</t>
  </si>
  <si>
    <t xml:space="preserve">PF-06 bi-level EWC is 'WALL' supported with no carrier listed (P00.01). Carrier by plumbing or FRT blocking by framer? Mounting plate size?</t>
  </si>
  <si>
    <t xml:space="preserve">A: plumbing carrier, 0 LF | B: FRT blocking 2 runs x unit width (~3'-3" -&gt; ~6.5 LF)</t>
  </si>
  <si>
    <t xml:space="preserve">~6.5 LF</t>
  </si>
  <si>
    <t xml:space="preserve">RFI-w5-09</t>
  </si>
  <si>
    <t xml:space="preserve">FEC-1 / FEC-2 fire extinguisher cabinets: surface, semi-recessed or recessed? Cabinet size?</t>
  </si>
  <si>
    <t xml:space="preserve">A: surface on blocking 2 x 1'-4" each | B: semi-recessed framed opening ~2 x (2'-0"+2'-6") = 9 LF each</t>
  </si>
  <si>
    <t xml:space="preserve">~2.7 LF vs 18 LF</t>
  </si>
  <si>
    <t xml:space="preserve">RFI-w5-10</t>
  </si>
  <si>
    <t xml:space="preserve">Second MW06A (janitor east wall B #19) has no own elevation; 6/A12.04 shows standards 3'-0" only because of the mop sink. Same 3'-0" standards or full height like MW05 (7'-0")?</t>
  </si>
  <si>
    <t xml:space="preserve">A: 3 x 3'-0" = 9.0 LF | B: 3 x 7'-0" = 21.0 LF</t>
  </si>
  <si>
    <t xml:space="preserve">+12.0 LF</t>
  </si>
  <si>
    <t xml:space="preserve">RFI-w5-11</t>
  </si>
  <si>
    <t xml:space="preserve">WH-1 platform (3/P00.01) is 'above mop sink' on the janitor west wall where MW06A standards are also drawn (6/A12.04). Platform width/height and conflict resolution?</t>
  </si>
  <si>
    <t xml:space="preserve">A: 3 rows x 2'-0" = 6.0 LF (assumed) | B: per platform 40-SWHP actual width</t>
  </si>
  <si>
    <t xml:space="preserve">+/- few LF</t>
  </si>
  <si>
    <t xml:space="preserve">RFI-w5-12</t>
  </si>
  <si>
    <t xml:space="preserve">2/A12.04 is titled 'MW05A &amp; MW05B' but the schedule and A02.01 show a single MW05. One or two units?</t>
  </si>
  <si>
    <t xml:space="preserve">A: 1 unit 21.0 LF | B: 2 units 42.0 LF</t>
  </si>
  <si>
    <t xml:space="preserve">+21.0 LF</t>
  </si>
  <si>
    <t xml:space="preserve">RFI-w5-13</t>
  </si>
  <si>
    <t xml:space="preserve">ARTWORK 4'-0"x4'-0" shown in offices 105-110 (A11.01/A11.03/A11.04). Is blocking required (A02.01 note C covers equipment/accessories)?</t>
  </si>
  <si>
    <t xml:space="preserve">A: no blocking | B: 2 runs x 4'-0" x 6 = 48.0 LF</t>
  </si>
  <si>
    <t xml:space="preserve">+48.0 LF</t>
  </si>
  <si>
    <t xml:space="preserve">RFI-w5-14</t>
  </si>
  <si>
    <t xml:space="preserve">A05.01 KN9 calls Level 5 for WC-20, but WC-20 is not tagged on any plan/elevation or in A00.40. Where is WC-20?</t>
  </si>
  <si>
    <t xml:space="preserve">A: none | B: wall(s) TBD at Level 5</t>
  </si>
  <si>
    <t xml:space="preserve">unknown SF</t>
  </si>
  <si>
    <t xml:space="preserve">RFI-w5-15</t>
  </si>
  <si>
    <t xml:space="preserve">Equipment hexagon tag '3' (hook rails/hooks, break room + wellness, A11.02) is not in the A00.40 equipment schedule. Confirm item and who installs.</t>
  </si>
  <si>
    <t xml:space="preserve">A: hooks as drawn 5.67 LF blocking | B: delete</t>
  </si>
  <si>
    <t xml:space="preserve">-5.67 LF</t>
  </si>
  <si>
    <t xml:space="preserve">RFI-L-01</t>
  </si>
  <si>
    <t xml:space="preserve">Sloped low-roof zone between grid B and grid A (S2.20 13'-0 5/8" @ B to 12'-6 3/8" @ A): interior studs are priced at the HIGH end 13'-0 5/8" (skill rule: cut to highest condition of the zone). Confirm.</t>
  </si>
  <si>
    <t xml:space="preserve">A (used): constant 13.052 ft | B: wall-by-wall interpolation (w1/w2 original)</t>
  </si>
  <si>
    <t xml:space="preserve">B is about 1-3% less stud LF on walls south of grid B (see Breakdown operations tagged LEADER R3)</t>
  </si>
  <si>
    <t xml:space="preserve">RFI-L-02</t>
  </si>
  <si>
    <t xml:space="preserve">Storefront piers at F/2 and F/4 carry a C1 tag (6/A12.01 block partition furring) AND callouts 1/A09.25 and 2/A09.25 DETAIL @ STOREFRONT PIER. Which governs?</t>
  </si>
  <si>
    <t xml:space="preserve">A (used): 1,2/A09.25 pier detail (w3 EXT-PIERS: 184.5 LF 3-5/8" stud, 90.6 SF gyp, 34.0 SF 3/4" FRT plywood) | B: C1 furring (w2 C1-01/C1-02, height PENDING)</t>
  </si>
  <si>
    <t xml:space="preserve">B removes the 34.0 SF FRT plywood jambs; stud LF similar</t>
  </si>
  <si>
    <t xml:space="preserve">RFI-L-03</t>
  </si>
  <si>
    <t xml:space="preserve">Recessed linear fixtures R-11C (12') in WAITING 104 and the 2 R-11 in the CSR soffit: housing width for framed-opening ends, and which R-11 variant goes in the CSR soffit.</t>
  </si>
  <si>
    <t xml:space="preserve">A: R-11A 4' gyp (2 x 8 LF = 16 LF sides) | B: R-11C 12'</t>
  </si>
  <si>
    <t xml:space="preserve">ends: 8 x housing width (~0.25 ft each = ~2 LF); CSR sides 16 LF (A) vs 48 LF (B)</t>
  </si>
  <si>
    <t xml:space="preserve">Punto</t>
  </si>
  <si>
    <t xml:space="preserve">Renglones del registro en pendiente_rfi (revisar con el arquitecto): TAG-A1-01, TAG-A1-02, TAG-A1-03, TAG-A1-04, TAG-A1K-01, TAG-A5-01, TAG-A5-02, TAG-A5-03, TAG-C1-01, TAG-C1-02, TAG-C1-03, TAG-C1-04, TAG-C1-05, TAG-C1-06, TAG-C1-07, TAG-C1-08, TYPE-C1, DET-6/A12.01, RCP-SUSPENSION, RCP-SOFFITS, ALC-22</t>
  </si>
  <si>
    <t xml:space="preserve">Conflictos resueltos por el líder al integrar: ver hoja Clarifications (R1-R8) y hoja 'Excluded (double count)'.</t>
  </si>
  <si>
    <t xml:space="preserve">[w1] RFI-w1-01 is the biggest open item: 8 walls north of grid B use provisional B.O.D. 15'-4 1/2".</t>
  </si>
  <si>
    <t xml:space="preserve">[w1] 5/8" board type: schedule only says 5/8", no fire rating -&gt; priced as regular; check spec 09 29 00 for type X.</t>
  </si>
  <si>
    <t xml:space="preserve">[w1] Batt insulation thickness (3-1/2" / 6") derived from stud depth; no spec thickness on drawings.</t>
  </si>
  <si>
    <t xml:space="preserve">[w1] Casing bead on A1K (113.2 LF) is a placeholder (PENDIENTE) until trim locations are defined.</t>
  </si>
  <si>
    <t xml:space="preserve">[w1] Header length = RO + 6" (2/S5.20 cut-and-bend tabs) is a derived convention; openings measured by vector (doors 122 = 37.5" and 118B = 36.2" between end caps; the rest 40").</t>
  </si>
  <si>
    <t xml:space="preserve">[w1] Tags TAG-B-01 and TAG-B-05 in tags_asignados are not partition tags (section marker / legend letter); real B walls: 6 (7 real B tags).</t>
  </si>
  <si>
    <t xml:space="preserve">[w1] Dedup: A1-06+A1-07 tags -&gt; wall A1-06; A1-08+A1-10 tags -&gt; wall A1-07; A5-02+A5-03 tags -&gt; A5-01; A1K-02+A1K-03 -&gt; A1K-02; B-06+B-09 -&gt; B-06.</t>
  </si>
  <si>
    <t xml:space="preserve">[w1] Wall numbering: A1-07 = wall of tags TAG-A1-08/10, A1-08 = wall of TAG-A1-09 (numbers are per wall, not per tag).</t>
  </si>
  <si>
    <t xml:space="preserve">[w2] RFI-w2-01 deck zone E-B east of grid 5 (affects G-05, G-06, G-08, B2K-01, BH-107, BH-108, C1-05, C1-07).</t>
  </si>
  <si>
    <t xml:space="preserve">[w2] C1 heights all PENDIENTE (RFI-w2-03) - provisional to deck.</t>
  </si>
  <si>
    <t xml:space="preserve">[w2] Door 116 header ownership (w2 vs w1).</t>
  </si>
  <si>
    <t xml:space="preserve">[w2] Vestibule storefront heads (A12.10) and coiling grille header (A08.21) - unassigned.</t>
  </si>
  <si>
    <t xml:space="preserve">[w2] Gyp board type (X vs regular) not in drawings - spec section 09 29 00 not in set; named type X provisionally.</t>
  </si>
  <si>
    <t xml:space="preserve">[w3] RFI-w3-02 (continuous stud vs. parapet infill) is the largest framing swing; tracks 528.6 LF and ~250 LF studs depend on it.</t>
  </si>
  <si>
    <t xml:space="preserve">[w3] North storefront 4-7 and vestibule storefront heads at 8'-6" carry HSS9x5x5/8 steel headers (S2.20) - no metal header counted there.</t>
  </si>
  <si>
    <t xml:space="preserve">[w3] Exterior lengths are stud-centerline lengths between grid lines (BOS 3" from grid per 5/A09.26, i.e., grid = stud centerline); exterior sheathing uses the same length (outside corners would add ~0.67' each, ~4 LF total - not added).</t>
  </si>
  <si>
    <t xml:space="preserve">[w3] Spray foam insulation listed only as informational (BY OTHERS).</t>
  </si>
  <si>
    <t xml:space="preserve">[w3] Canopy soffit areas are from A04.01 vector outline; drive-up canopy soffit 958 SF assumes framing @16" (0.75 LF/SF).</t>
  </si>
  <si>
    <t xml:space="preserve">[w3] Piers 1/2 A09.25 quantities approximated from detail graphic (DERIVADO).</t>
  </si>
  <si>
    <t xml:space="preserve">[w4] Suspension spacing is an ASTM C754 basis, not a drawing value (RFI-w4-01) - leader decide whether to carry alt A or B.</t>
  </si>
  <si>
    <t xml:space="preserve">[w4] Waiting 104 drop-edge items depend on RFI-w4-06 (not keyed).</t>
  </si>
  <si>
    <t xml:space="preserve">[w4] CSR soffit straddles roof step at grid B (RFI-w4-05).</t>
  </si>
  <si>
    <t xml:space="preserve">[w4] A00.31 finish schedule referenced on A05.01 is missing from the set (RFI-w4-03).</t>
  </si>
  <si>
    <t xml:space="preserve">[w4] Waiting width 17.03 ft and vestibule/restroom areas are vector-derived (no full printed dimension strings); Vestibule 100 width cross-checked vs 1/A12.10 within 0.05 ft.</t>
  </si>
  <si>
    <t xml:space="preserve">[w5] A11.02 / A11.04 elevation titles appear inverted vs the plan markers (e.g. 5/A11.02 'BREAK ROOM - NORTH' shows the south wall with lockers CW-16 = A02.01 KN5 and A06.01 CW-16; 6/A11.02 'SOUTH' shows MW21 on the north wall). Walls in this result follow the plan markers + A06.01 + A05.01 tags.</t>
  </si>
  <si>
    <t xml:space="preserve">[w5] Wall-stop walls are DERIVADO from the drawn open-leaf position; confirm in the field with hardware supplier.</t>
  </si>
  <si>
    <t xml:space="preserve">[w5] Vector-derived sizes (mirror, baby changer, TA-13/14/2 recesses, MW12 uppers, lockers width, chase face 9.93 LF) should be verified against product data.</t>
  </si>
  <si>
    <t xml:space="preserve">[w5] A00.40 equip 111 wall mount monitor arm and A06.01 WHS-FC hand sanitizer not located/verified - check with owner.</t>
  </si>
  <si>
    <t xml:space="preserve">[w5] Level 4 is not stated anywhere for the rest of GWB (default assumption).</t>
  </si>
  <si>
    <t xml:space="preserve">[w5] WC-22 media wall Level 5 width not printed (EQ-EQ) - needs w2 wall length of C1 #36 face.</t>
  </si>
  <si>
    <t xml:space="preserve">Clarification</t>
  </si>
  <si>
    <t xml:space="preserve">LEADER R1 - Door 116 sits between A5-03 (w1) and B2-04 (w2). The opening (header 600T125-43, jambs, top track over the opening) is carried COMPLETE in A5-03; w2 OPN-116 is excluded to avoid double count.</t>
  </si>
  <si>
    <t xml:space="preserve">LEADER R2 - Storefront piers F/2 and F/4 are taken from 1/A09.25 and 2/A09.25 (w3 EXT-PIERS). w2 C1-01 and C1-02 (same elements via the C1 tag) are excluded. RFI-L-02.</t>
  </si>
  <si>
    <t xml:space="preserve">LEADER R3 - Sloped zone grid B-A: interior stud LF rescaled to the high end 13'-0 5/8" (S2.20) per skill rule; exterior wall S1 on grid A keeps its real eave height (axis exception). RFI-L-01.</t>
  </si>
  <si>
    <t xml:space="preserve">LEADER R4 - 24 HR VESTIBULE 101 west wall (grid 2): w3 raised a possible Kevlar double count (RFI-w3-10). Checked at 600 dpi: the band shows a ladder pattern, not the diagonal hatch of the A02.01 legend 'NEW PARTITION WITH KEVLAR REINFORCMENT'. No Kevlar liner there: no gap and no double count.</t>
  </si>
  <si>
    <t xml:space="preserve">LEADER R5 - Moisture resistant board 168.8 SF (w5 WZ-MR-M/W) is a RECLASSIFICATION of the restroom faces of the C1 chase walls (w2 C1-06, C1-08). Those C1 board quantities are still PENDING (height RFI-w2-03); when they are priced, deduct 168.8 SF from regular/type X board.</t>
  </si>
  <si>
    <t xml:space="preserve">LEADER R6 - Framed openings for recessed fixtures: added leader item FO-LIGHT-R11C (96 LF). Luminaires themselves are Div 26, EXCLUDED. R-14/R-15 3.5" downlights = cut-out only.</t>
  </si>
  <si>
    <t xml:space="preserve">Gypsum board type (regular vs type X) is not specified anywhere in the set (A12.01 schedule shows no fire rating '--'); workers named it as found; see RFI-w2/w3/w4 board-type RFIs.</t>
  </si>
  <si>
    <t xml:space="preserve">Finish level: Level 5 only where w5 found WC-18 (offices 105-110, 633 SF); elsewhere Level 4 assumed (not specified).</t>
  </si>
  <si>
    <t xml:space="preserve">Control joints: no interior gypsum control joint is detailed (CJ on A04.01 is at exterior canopy stucco/soffit) - EXCLUDED with reason (w5 ALC-18).</t>
  </si>
  <si>
    <t xml:space="preserve">Fasteners, screws, joint compound and tape are yields, not plan quantities: not included.</t>
  </si>
  <si>
    <t xml:space="preserve">Waste is in its own cells (Materials sheet): ALL METAL 15%, EVERYTHING ELSE 6%. Quantities in Takeoff and Breakdown are NET.</t>
  </si>
  <si>
    <t xml:space="preserve">LEADER R7 - The 2'x2' access panel in Vestibule 100 (A04.01 key note 4) was counted by w4 (CIELO-100) and w5 (MEP-AP-KN4): kept once in w5.</t>
  </si>
  <si>
    <t xml:space="preserve">LEADER R8 - Spray foam insulation in exterior 6" stud cavities (w3, 4222.0 SF) is listed as INFO / BY OTHERS (RFI-w3-09), not in the purchase list.</t>
  </si>
  <si>
    <t xml:space="preserve">Tipo</t>
  </si>
  <si>
    <t xml:space="preserve">Estado</t>
  </si>
  <si>
    <t xml:space="preserve">Nota</t>
  </si>
  <si>
    <t xml:space="preserve">tag</t>
  </si>
  <si>
    <t xml:space="preserve">pendiente_rfi</t>
  </si>
  <si>
    <t xml:space="preserve">[w1] tag at (1382.8, 996.2) pt A02.01 -&gt; wall A1-01 (A1), 16.42 LF; thickness check: faces y 967.44 / 974.76 pt (lw1.2/0.6) = 7.32 pt = 4.88" = WALL THICKNESS A1 4 7/8" OK; images /home/user/boa3/workers/w1/A0201_zoom_type_A1_walls_marked.jpg, /home/user/boa3/workers/w1/A0201_zoom_MW01_pocket_A1.jpg | Height of this wall depends on RFI-w1-01 (B.O.D. zone D-B not printed; provisional 15'-4 1/2"). (RFI-w1-01)</t>
  </si>
  <si>
    <t xml:space="preserve">[w1] tag at (1299.1, 1000.4) pt A02.01 -&gt; wall A1-02 (A1), 3.53 LF; thickness check: faces x 1271.16 / 1278.48 = 7.32 pt = 4 7/8" OK; images /home/user/boa3/workers/w1/A0201_zoom_type_A1_walls_marked.jpg, /home/user/boa3/workers/w1/A0201_zoom_MW01_pocket_A1.jpg | Height of this wall depends on RFI-w1-01 (B.O.D. zone D-B not printed; provisional 15'-4 1/2"). (RFI-w1-01)</t>
  </si>
  <si>
    <t xml:space="preserve">[w1] tag at (1246.2, 1063.5) pt A02.01 -&gt; wall A1-03 (A1), 2.63 LF; thickness check: faces y 1031.04 / 1038.36 = 7.32 pt = 4 7/8" OK; images /home/user/boa3/workers/w1/A0201_zoom_type_A1_walls_marked.jpg, /home/user/boa3/workers/w1/A0201_zoom_MW01_pocket_A1.jpg | Height of this wall depends on RFI-w1-01 (B.O.D. zone D-B not printed; provisional 15'-4 1/2"). (RFI-w1-01)</t>
  </si>
  <si>
    <t xml:space="preserve">[w1] tag at (1147.2, 1253.7) pt A02.01 -&gt; wall A1-04 (A1), 4.81 LF; thickness check: faces y 1229.04 / 1236.36 = 7.32 pt = 4 7/8" OK; images /home/user/boa3/workers/w1/A0201_zoom_type_A1_walls_marked.jpg, /home/user/boa3/workers/w1/A0201_zoom_door111_A1-04.jpg | Height of this wall depends on RFI-w1-01 (B.O.D. zone D-B not printed; provisional 15'-4 1/2"). (RFI-w1-01)</t>
  </si>
  <si>
    <t xml:space="preserve">verificado</t>
  </si>
  <si>
    <t xml:space="preserve">[w1] tag at (1376.4, 1296.8) pt A02.01 -&gt; wall A1-05 (A1), 15.83 LF; thickness check: faces y 1316.76 / 1324.08 = 7.32 pt = 4 7/8" OK; images /home/user/boa3/workers/w1/A0201_zoom_type_A1_walls_marked.jpg, /home/user/boa3/workers/w1/A0201_zoom_doors_122_118B.jpg</t>
  </si>
  <si>
    <t xml:space="preserve">TAG-A1-06</t>
  </si>
  <si>
    <t xml:space="preserve">[w1] tag at (1540.4, 1335.3) pt A02.01 -&gt; wall A1-06 (A1), 6.77 LF; thickness check: vertical faces x 1522.92 / 1530.24 = 7.32 pt, y 1324.08 -&gt; 1362.60 = 38.52 pt; images /home/user/boa3/workers/w1/A0201_zoom_type_A1_walls_marked.jpg, /home/user/boa3/workers/w1/A0201_zoom_teller_A1K_A5.jpg</t>
  </si>
  <si>
    <t xml:space="preserve">TAG-A1-07</t>
  </si>
  <si>
    <t xml:space="preserve">[w1] tag at (1508.1, 1342.9) pt A02.01 -&gt; wall A1-06 (A1), 6.77 LF; thickness check: vertical faces x 1522.92 / 1530.24 = 7.32 pt, y 1324.08 -&gt; 1362.60 = 38.52 pt; images /home/user/boa3/workers/w1/A0201_zoom_type_A1_walls_marked.jpg, /home/user/boa3/workers/w1/A0201_zoom_teller_A1K_A5.jpg</t>
  </si>
  <si>
    <t xml:space="preserve">TAG-A1-08</t>
  </si>
  <si>
    <t xml:space="preserve">[w1] tag at (1213.6, 1406.6) pt A02.01 -&gt; wall A1-07 (A1), 20.08 LF; thickness check: faces x 1234.44 / 1241.76 = 7.32 pt = 4 7/8" OK; images /home/user/boa3/workers/w1/A0201_zoom_type_A1_walls_marked.jpg, /home/user/boa3/workers/w1/A0201_zoom_electrical_NER_A1_B_walls.jpg</t>
  </si>
  <si>
    <t xml:space="preserve">[w1] tag at (1740.2, 1471.6) pt A02.01 -&gt; wall A1-08 (A1), 8.17 LF; thickness check: faces y 1488.12 / 1495.44 = 7.32 pt = 4 7/8" OK; images /home/user/boa3/workers/w1/A0201_zoom_type_A1_walls_marked.jpg, /home/user/boa3/workers/w1/A0401_RCP_south_east_calling_cubes_teller_break_work.jpg</t>
  </si>
  <si>
    <t xml:space="preserve">TAG-A1-10</t>
  </si>
  <si>
    <t xml:space="preserve">[w1] tag at (1220.0, 1515.5) pt A02.01 -&gt; wall A1-07 (A1), 20.08 LF; thickness check: faces x 1234.44 / 1241.76 = 7.32 pt = 4 7/8" OK; images /home/user/boa3/workers/w1/A0201_zoom_type_A1_walls_marked.jpg, /home/user/boa3/workers/w1/A0201_zoom_electrical_NER_A1_B_walls.jpg</t>
  </si>
  <si>
    <t xml:space="preserve">[w1] tag at (1659.6, 1149.7) pt A02.01 -&gt; wall A1K-01 (A1K), 3.41 LF; thickness check: faces y 1120.68 / 1128.48 = 7.80 pt = 5.20" ~ WALL THICKNESS A1K 5 1/4" (7.875 pt) OK; images /home/user/boa3/workers/w1/A0201_zoom_type_A1K_walls_marked.jpg, /home/user/boa3/workers/w1/A0201_zoom_teller_A1K_A5.jpg | Height of this wall depends on RFI-w1-01 (B.O.D. zone D-B not printed; provisional 15'-4 1/2"). (RFI-w1-01)</t>
  </si>
  <si>
    <t xml:space="preserve">TAG-A1K-02</t>
  </si>
  <si>
    <t xml:space="preserve">[w1] tag at (1662.5, 1331.7) pt A02.01 -&gt; wall A1K-02 (A1K), 5.65 LF; thickness check: east seg faces y 1344.72 / 1352.64 = 7.92 pt = 5.28" OK; images /home/user/boa3/workers/w1/A0201_zoom_type_A1K_walls_marked.jpg, /home/user/boa3/workers/w1/A0201_zoom_teller_A1K_A5.jpg</t>
  </si>
  <si>
    <t xml:space="preserve">TAG-A1K-03</t>
  </si>
  <si>
    <t xml:space="preserve">[w1] tag at (1644.3, 1335.5) pt A02.01 -&gt; wall A1K-02 (A1K), 5.65 LF; thickness check: east seg faces y 1344.72 / 1352.64 = 7.92 pt = 5.28" OK; images /home/user/boa3/workers/w1/A0201_zoom_type_A1K_walls_marked.jpg, /home/user/boa3/workers/w1/A0201_zoom_teller_A1K_A5.jpg</t>
  </si>
  <si>
    <t xml:space="preserve">[w1] tag at (1543.4, 1118.5) pt A02.01 -&gt; wall A5-02 (A5), 19.81 LF; thickness check: faces x 1519.44 / 1530.24 = 10.80 pt = 7.2" = A5 7 1/4" OK; images /home/user/boa3/workers/w1/A0201_zoom_type_A5_walls_marked.jpg, /home/user/boa3/workers/w1/A0401_RCP_strip_east_of_calling_cubes.jpg | Height of this wall depends on RFI-w1-01 (B.O.D. zone D-B not printed; provisional 15'-4 1/2"). (RFI-w1-01)</t>
  </si>
  <si>
    <t xml:space="preserve">TAG-A5-02</t>
  </si>
  <si>
    <t xml:space="preserve">[w1] tag at (1209.3, 1128.9) pt A02.01 -&gt; wall A5-01 (A5), 15.30 LF; thickness check: faces x 1223.88 / 1234.80 = 10.92 pt = 7.28" = WALL THICKNESS A5 7 1/4" OK (bottom 27 pt jogs to x1234.80/1245.24); images /home/user/boa3/workers/w1/A0201_zoom_type_A5_walls_marked.jpg, /home/user/boa3/workers/w1/A0201_zoom_doors_122_118B.jpg | Height of this wall depends on RFI-w1-01 (B.O.D. zone D-B not printed; provisional 15'-4 1/2"). (RFI-w1-01)</t>
  </si>
  <si>
    <t xml:space="preserve">TAG-A5-03</t>
  </si>
  <si>
    <t xml:space="preserve">[w1] tag at (1264.2, 1240.5) pt A02.01 -&gt; wall A5-01 (A5), 15.30 LF; thickness check: faces x 1223.88 / 1234.80 = 10.92 pt = 7.28" = WALL THICKNESS A5 7 1/4" OK (bottom 27 pt jogs to x1234.80/1245.24); images /home/user/boa3/workers/w1/A0201_zoom_type_A5_walls_marked.jpg, /home/user/boa3/workers/w1/A0201_zoom_doors_122_118B.jpg | Height of this wall depends on RFI-w1-01 (B.O.D. zone D-B not printed; provisional 15'-4 1/2"). (RFI-w1-01)</t>
  </si>
  <si>
    <t xml:space="preserve">[w1] tag at (1650.0, 1409.7) pt A02.01 -&gt; wall A5-03 (A5), 6.64 LF; thickness check: faces x 1622.16 / 1633.08 = 10.92 pt = 7.28" = A5 7 1/4" OK; images /home/user/boa3/workers/w1/A0201_zoom_type_A5_walls_marked.jpg, /home/user/boa3/workers/w1/A0201_zoom_teller_A1K_A5.jpg</t>
  </si>
  <si>
    <t xml:space="preserve">TAG-B-01</t>
  </si>
  <si>
    <t xml:space="preserve">[w1] NOT a partition tag: the "B" at (856.3,188.7) pt is the letter of section marker "B / A9.21" outside the building (north-west); no wall. Image /home/user/boa3/workers/w1/A0201_assigned_tags_montage.jpg (tile TAG-B-01) and /home/user/boa3/workers/w1/A0201_full_type_B_walls_marked.jpg (grey circle).</t>
  </si>
  <si>
    <t xml:space="preserve">[w1] tag at (1380.4, 1457.5) pt A02.01 -&gt; wall B-01 (B), 9.99 LF; thickness check: faces y 1438.80 / 1446.12 = 7.32 pt = 4 7/8" = B OK; images /home/user/boa3/workers/w1/A0201_zoom_type_B_walls_marked.jpg, /home/user/boa3/workers/w1/A0201_zoom_electrical_NER_A1_B_walls.jpg</t>
  </si>
  <si>
    <t xml:space="preserve">[w1] tag at (1052.0, 1497.2) pt A02.01 -&gt; wall B-04 (B), 11.73 LF; thickness check: faces y 1508.52 / 1515.84 = 7.32 pt = 4 7/8" OK; images /home/user/boa3/workers/w1/A0201_zoom_type_B_walls_marked.jpg, /home/user/boa3/workers/w1/A0201_zoom_janitor_storage_B_walls.jpg</t>
  </si>
  <si>
    <t xml:space="preserve">[w1] tag at (1048.3, 1532.7) pt A02.01 -&gt; wall B-05 (B), 3.50 LF; thickness check: faces x 1064.88 / 1072.20 = 7.32 pt OK; images /home/user/boa3/workers/w1/A0201_zoom_type_B_walls_marked.jpg, /home/user/boa3/workers/w1/A0201_zoom_janitor_storage_B_walls.jpg</t>
  </si>
  <si>
    <t xml:space="preserve">TAG-B-05</t>
  </si>
  <si>
    <t xml:space="preserve">[w1] NOT a partition tag: the "B" at (2380.8,1536.2) pt is the "B" letter of the INTERIOR ELEVATION INDICATION legend (right side of A02.01); no wall. Image /home/user/boa3/workers/w1/A0201_assigned_tags_montage.jpg (tile TAG-B-05) and /home/user/boa3/workers/w1/A0201_full_type_B_walls_marked.jpg.</t>
  </si>
  <si>
    <t xml:space="preserve">TAG-B-06</t>
  </si>
  <si>
    <t xml:space="preserve">[w1] tag at (944.2, 1567.0) pt A02.01 -&gt; wall B-06 (B), 11.73 LF; thickness check: faces y 1578.84 / 1586.16 = 7.32 pt OK; images /home/user/boa3/workers/w1/A0201_zoom_type_B_walls_marked.jpg, /home/user/boa3/workers/w1/A0201_zoom_janitor_storage_B_walls.jpg</t>
  </si>
  <si>
    <t xml:space="preserve">[w1] tag at (1383.3, 1572.5) pt A02.01 -&gt; wall B-02 (B), 9.58 LF; thickness check: faces y 1551.12 / 1558.44 = 7.32 pt = 4 7/8" OK; images /home/user/boa3/workers/w1/A0201_zoom_type_B_walls_marked.jpg, /home/user/boa3/workers/w1/A0201_zoom_electrical_NER_A1_B_walls.jpg</t>
  </si>
  <si>
    <t xml:space="preserve">[w1] tag at (1400.8, 1584.1) pt A02.01 -&gt; wall B-03 (B), 13.74 LF; thickness check: faces x 1414.20 / 1421.52 = 7.32 pt = 4 7/8" OK; images /home/user/boa3/workers/w1/A0201_zoom_type_B_walls_marked.jpg, /home/user/boa3/workers/w1/A0201_zoom_electrical_NER_A1_B_walls.jpg</t>
  </si>
  <si>
    <t xml:space="preserve">TAG-B-09</t>
  </si>
  <si>
    <t xml:space="preserve">[w1] tag at (1101.8, 1607.6) pt A02.01 -&gt; wall B-06 (B), 11.73 LF; thickness check: faces y 1578.84 / 1586.16 = 7.32 pt OK; images /home/user/boa3/workers/w1/A0201_zoom_type_B_walls_marked.jpg, /home/user/boa3/workers/w1/A0201_zoom_janitor_storage_B_walls.jpg</t>
  </si>
  <si>
    <t xml:space="preserve">[w2] 1/A12.01; leader -&gt; band x/y per item B2-01 (1.65 LF); image /home/user/boa3/workers/w2/A02.01_type_B2_marked.jpg; length by vector (see items)</t>
  </si>
  <si>
    <t xml:space="preserve">[w2] 1/A12.01; leader -&gt; band x/y per item B2-02 (1.82 LF); image /home/user/boa3/workers/w2/A02.01_type_B2_marked.jpg; length by vector (see items)</t>
  </si>
  <si>
    <t xml:space="preserve">[w2] 1/A12.01; leader -&gt; band x/y per item B2-03 (1.80 LF), B2-07 (0.88 LF); image /home/user/boa3/workers/w2/A02.01_type_B2_marked.jpg; length by vector (see items)</t>
  </si>
  <si>
    <t xml:space="preserve">TAG-B2-04</t>
  </si>
  <si>
    <t xml:space="preserve">[w2] 1/A12.01; leader -&gt; band x/y per item B2-04 (11.74 LF); image /home/user/boa3/workers/w2/A02.01_type_B2_marked.jpg; length by vector (see items); TAG-B2-06 is the SAME wall as TAG-B2-04 (one band x=1622.16/1633.08 y 1482.12-1693.44) -&gt; deduplicated into B2-04</t>
  </si>
  <si>
    <t xml:space="preserve">[w2] 1/A12.01; leader -&gt; band x/y per item B2-05 (2.69 LF), B2-08 (0.41 LF); image /home/user/boa3/workers/w2/A02.01_type_B2_marked.jpg; length by vector (see items)</t>
  </si>
  <si>
    <t xml:space="preserve">TAG-B2-06</t>
  </si>
  <si>
    <t xml:space="preserve">[w2] B2K-01 1.77 LF; derived 1/A12.01 + 4/A12.01 (3 checks close, see item); image /home/user/boa3/workers/w2/A02.01_type_B2K_marked.jpg</t>
  </si>
  <si>
    <t xml:space="preserve">TAG-C1-01</t>
  </si>
  <si>
    <t xml:space="preserve">[w2] 6/A12.01; item C1-01 (2.71 LF); image /home/user/boa3/workers/w2/A02.01_type_C1_marked.jpg; length by vector DERIVADO, height PENDIENTE RFI-w2-03 (C1 furring height not dimensioned)</t>
  </si>
  <si>
    <t xml:space="preserve">TAG-C1-02</t>
  </si>
  <si>
    <t xml:space="preserve">[w2] 6/A12.01; item C1-02 (2.65 LF); image /home/user/boa3/workers/w2/A02.01_type_C1_marked.jpg; length by vector DERIVADO, height PENDIENTE RFI-w2-03 (C1 furring height not dimensioned)</t>
  </si>
  <si>
    <t xml:space="preserve">[w2] 6/A12.01; item C1-03 (4.00 LF); image /home/user/boa3/workers/w2/A02.01_type_C1_marked.jpg; length by vector DERIVADO, height PENDIENTE RFI-w2-03 (C1 furring height not dimensioned)</t>
  </si>
  <si>
    <t xml:space="preserve">[w2] 6/A12.01; item C1-04 (1.71 LF); image /home/user/boa3/workers/w2/A02.01_type_C1_marked.jpg; length by vector DERIVADO, height PENDIENTE RFI-w2-03 (C1 furring height not dimensioned)</t>
  </si>
  <si>
    <t xml:space="preserve">[w2] 6/A12.01; item C1-05 (11.33 LF); image /home/user/boa3/workers/w2/A02.01_type_C1_marked.jpg; length by vector DERIVADO, height PENDIENTE RFI-w2-03 (C1 furring height not dimensioned)</t>
  </si>
  <si>
    <t xml:space="preserve">[w2] 6/A12.01; item C1-06 (10.03 LF); image /home/user/boa3/workers/w2/A02.01_type_C1_marked.jpg; length by vector DERIVADO, height PENDIENTE RFI-w2-03 (C1 furring height not dimensioned)</t>
  </si>
  <si>
    <t xml:space="preserve">[w2] 6/A12.01; item C1-07 (4.14 LF); image /home/user/boa3/workers/w2/A02.01_type_C1_marked.jpg; length by vector DERIVADO, height PENDIENTE RFI-w2-03 (C1 furring height not dimensioned)</t>
  </si>
  <si>
    <t xml:space="preserve">[w2] 6/A12.01; item C1-08 (10.03 LF); image /home/user/boa3/workers/w2/A02.01_type_C1_marked.jpg; length by vector DERIVADO, height PENDIENTE RFI-w2-03 (C1 furring height not dimensioned)</t>
  </si>
  <si>
    <t xml:space="preserve">[w2] F-01 17.76 LF diagonal; 12/A12.01 + A08.11 7/1; image /home/user/boa3/workers/w2/A02.01_type_F_marked.jpg</t>
  </si>
  <si>
    <t xml:space="preserve">TAG-F-02</t>
  </si>
  <si>
    <t xml:space="preserve">[w2] NOT a partition tag: the 'F' at (1184.5,1779.8) is the section bubble F/A9.22 (Section F on A09.22) at door 123; image /home/user/boa3/workers/w2/A02.01_type_F_marked.jpg (circled) - nothing to quantify</t>
  </si>
  <si>
    <t xml:space="preserve">TAG-F-03</t>
  </si>
  <si>
    <t xml:space="preserve">[w2] NOT a partition tag: the 'F' at (770.1,2022.3) is the drawing title bubble 'F / A02.01 CONSTRUCTION PLAN'; image /home/user/boa3/workers/w2/A02.01_type_F_marked.jpg (circled) - nothing to quantify</t>
  </si>
  <si>
    <t xml:space="preserve">[w2] 5/A12.01 (+8/9/10 A12.01); items G-01 (3.47 LF), G-10 (2.42 LF), BH-105 (7.50 LF), BH-106 (7.50 LF), BH-107 (7.50 LF), BH-108 (7.50 LF); image /home/user/boa3/workers/w2/A02.01_type_G_marked.jpg; length by vector, height to deck 15'-4 1/2" DERIVADO (S2.20 + A09.23 H; confirm RFI-w2-01)</t>
  </si>
  <si>
    <t xml:space="preserve">[w2] 5/A12.01 (+8/9/10 A12.01); items G-02 (10.83 LF); image /home/user/boa3/workers/w2/A02.01_type_G_marked.jpg; length by vector, height to deck 15'-4 1/2" DERIVADO (S2.20 + A09.23 H; confirm RFI-w2-01)</t>
  </si>
  <si>
    <t xml:space="preserve">[w2] 5/A12.01 (+8/9/10 A12.01); items G-03 (3.25 LF); image /home/user/boa3/workers/w2/A02.01_type_G_marked.jpg; length by vector, height to deck 15'-4 1/2" DERIVADO (S2.20 + A09.23 H; confirm RFI-w2-01)</t>
  </si>
  <si>
    <t xml:space="preserve">[w2] 5/A12.01 (+8/9/10 A12.01); items G-04 (12.33 LF); image /home/user/boa3/workers/w2/A02.01_type_G_marked.jpg; length by vector, height to deck 15'-4 1/2" DERIVADO (S2.20 + A09.23 H; confirm RFI-w2-01)</t>
  </si>
  <si>
    <t xml:space="preserve">[w2] 5/A12.01 (+8/9/10 A12.01); items G-05 (10.83 LF); image /home/user/boa3/workers/w2/A02.01_type_G_marked.jpg; length by vector, height to deck 15'-4 1/2" DERIVADO (S2.20 + A09.23 H; confirm RFI-w2-01)</t>
  </si>
  <si>
    <t xml:space="preserve">[w2] 5/A12.01 (+8/9/10 A12.01); items G-06 (3.25 LF); image /home/user/boa3/workers/w2/A02.01_type_G_marked.jpg; length by vector, height to deck 15'-4 1/2" DERIVADO (S2.20 + A09.23 H; confirm RFI-w2-01)</t>
  </si>
  <si>
    <t xml:space="preserve">[w2] 5/A12.01 (+8/9/10 A12.01); items G-07 (11.63 LF); image /home/user/boa3/workers/w2/A02.01_type_G_marked.jpg; length by vector, height to deck 15'-4 1/2" DERIVADO (S2.20 + A09.23 H; confirm RFI-w2-01)</t>
  </si>
  <si>
    <t xml:space="preserve">[w2] 5/A12.01 (+8/9/10 A12.01); items G-08 (10.07 LF); image /home/user/boa3/workers/w2/A02.01_type_G_marked.jpg; length by vector, height to deck 15'-4 1/2" DERIVADO (S2.20 + A09.23 H; confirm RFI-w2-01)</t>
  </si>
  <si>
    <t xml:space="preserve">[w2] 5/A12.01 (+8/9/10 A12.01); items G-09 (11.63 LF); image /home/user/boa3/workers/w2/A02.01_type_G_marked.jpg; length by vector, height to deck 15'-4 1/2" DERIVADO (S2.20 + A09.23 H; confirm RFI-w2-01)</t>
  </si>
  <si>
    <t xml:space="preserve">[w2] 5/A12.01 (+8/9/10 A12.01); items G1-01 (10.83 LF); image /home/user/boa3/workers/w2/A02.01_type_G1_marked.jpg; length by vector, height to deck 15'-4 1/2" DERIVADO (S2.20 + A09.23 H; confirm RFI-w2-01)</t>
  </si>
  <si>
    <t xml:space="preserve">[w2] 5/A12.01 (+8/9/10 A12.01); items G1-02 (7.40 LF), BH-109 (7.50 LF), BH-110 (7.50 LF); image /home/user/boa3/workers/w2/A02.01_type_G1_marked.jpg; length by vector, height to deck 15'-4 1/2" DERIVADO (S2.20 + A09.23 H; confirm RFI-w2-01)</t>
  </si>
  <si>
    <t xml:space="preserve">TYPE-A1</t>
  </si>
  <si>
    <t xml:space="preserve">[w1] 3/A12.01 schedule row A1: STUD 3 5/8", GYP 5/8", WALL THICKNESS 4 7/8", INSULATION YES; arithmetic 3.625+0.625+0.625 = 4.875 OK; measured faces 7.32 pt = 4.88" on every A1 wall; studs 362S137-33 @16" (7/S5.20). 9 walls, 79.02 LF (incl. door bands). Image /home/user/boa3/workers/w1/det3_A1201_partition_A1_A5.jpg</t>
  </si>
  <si>
    <t xml:space="preserve">TYPE-A1K</t>
  </si>
  <si>
    <t xml:space="preserve">[w1] 4/A12.01 schedule row A1K: STUD 3 5/8", GYP 5/8", WALL THICKNESS 5 1/4"; arithmetic 3.625+0.625+0.625+0.375(ballistic) = 5.25 OK; measured 7.80-7.92 pt = 5.2-5.28". WALL CONSTRUCTION SHALL INCLUDE: 14 GA studs @24" max, 3/8" UL752 L2 fiberglass to 8'-0", 3/8" gyp 8'-0" to structure, appropriate metal trim and casing beads. 2 walls, 9.07 LF. Image /home/user/boa3/workers/w1/det4_A1201_partition_A1K_A5K.jpg</t>
  </si>
  <si>
    <t xml:space="preserve">TYPE-A5</t>
  </si>
  <si>
    <t xml:space="preserve">[w1] 3/A12.01 schedule row A5: STUD 6", GYP 5/8", WALL THICKNESS 7 1/4"; arithmetic 6+0.625+0.625 = 7.25 OK (NOT 3-5/8"); measured faces 10.80-10.92 pt = 7.2-7.28". 3 walls, 41.75 LF. Image /home/user/boa3/workers/w1/det3_A1201_partition_A1_A5.jpg</t>
  </si>
  <si>
    <t xml:space="preserve">TYPE-A5K</t>
  </si>
  <si>
    <t xml:space="preserve">[w1] Row exists in 4/A12.01 (A5K 6", 5/8", 7 5/8"). Sweep: word "A5K" appears 0 times on A02.01 (pdfplumber words of page 24; tag counter: A1 11, A1K 3, A5 4, B 11, A5K 0) and only on A12.01 in the whole set; no wall measures 7 5/8" (11.44 pt) in the vector pair scan -&gt; 0 LF. Image /home/user/boa3/workers/w1/det4_A1201_partition_A1K_A5K.jpg</t>
  </si>
  <si>
    <t xml:space="preserve">TYPE-A6</t>
  </si>
  <si>
    <t xml:space="preserve">[w1] Row exists in 2/A12.01 (A6 3 5/8", 4 7/8"). Sweep: word "A6" appears 0 times on A02.01 and only on A12.01 in the set -&gt; no instances, 0 LF. Image /home/user/boa3/workers/w1/det2_A1201_partition_A6_A8.jpg</t>
  </si>
  <si>
    <t xml:space="preserve">TYPE-A8</t>
  </si>
  <si>
    <t xml:space="preserve">[w1] Row exists in 2/A12.01 (A8 6", 7 1/4"). Sweep: word "A8" appears 0 times on A02.01 and only on A12.01 -&gt; no instances, 0 LF. Image /home/user/boa3/workers/w1/det2_A1201_partition_A6_A8.jpg</t>
  </si>
  <si>
    <t xml:space="preserve">TYPE-B</t>
  </si>
  <si>
    <t xml:space="preserve">[w1] 1/A12.01 schedule row B: STUD 3 5/8", GYP 5/8", WALL THICKNESS 4 7/8", INSULATION YES; board to UNDERSIDE OF STRUCTURE both sides, CONT ACOUS SEALANT top &amp; bottom; arithmetic 4.875 OK; measured 7.32 pt. 6 walls, 60.27 LF (2 tags in tags_asignados were false positives). Image /home/user/boa3/workers/w1/det1_A1201_partition_B_B2.jpg</t>
  </si>
  <si>
    <t xml:space="preserve">TYPE-B2</t>
  </si>
  <si>
    <t xml:space="preserve">[w2] 1/A12.01 schedule row B2: 6" / 5/8" / 7 1/4" / INSULATION YES; 6+5/8+5/8=7 1/4 closes; measured 7.20-7.28 in. 7 walls, 20.99 LF. /home/user/boa3/workers/w2/det1_A12.01_partition_B_B2.jpg</t>
  </si>
  <si>
    <t xml:space="preserve">TYPE-B2K</t>
  </si>
  <si>
    <t xml:space="preserve">[w2] No schedule row -&gt; DERIVADO: layers 6+5/8+3/8+5/8 = 7 5/8; K delta (A1K-A1 = A5K-A5 = 3/8) -&gt; 7 1/4+3/8 = 7 5/8; measured 7.68 in. 14ga @24" per 4/A12.01. /home/user/boa3/workers/w2/det4_A12.01_partition_A1K_A5K_ref_for_B2K.jpg</t>
  </si>
  <si>
    <t xml:space="preserve">TYPE-C1</t>
  </si>
  <si>
    <t xml:space="preserve">[w2] 6/A12.01: block partition + 3 5/8" studs + 5/8" gyp ONE face; 4 1/4" measured 4.24 in; height not given -&gt; RFI-w2-03. 8 items 46.60 LF. /home/user/boa3/workers/w2/det6_A12.01_partition_C1.jpg</t>
  </si>
  <si>
    <t xml:space="preserve">TYPE-F</t>
  </si>
  <si>
    <t xml:space="preserve">[w2] 12/A12.01: 3 5/8" @16" floor to deck, 3/4" FRT plywood public side to deck, 5/8" gyp both sides; 5 5/8 = measured 5.61 in. /home/user/boa3/workers/w2/det12_A12.01_partition_F.jpg</t>
  </si>
  <si>
    <t xml:space="preserve">TYPE-G</t>
  </si>
  <si>
    <t xml:space="preserve">[w2] 5/A12.01 row G: 1 5/8" double row / 5/8" / 6 1/8" / YES; 3 1/4 + 2 1/2 + 3/8 gap = 6 1/8 closes; measured 6.16 in. 10 walls 79.71 LF. /home/user/boa3/workers/w2/det5_A12.01_partition_G_G1.jpg</t>
  </si>
  <si>
    <t xml:space="preserve">TYPE-G1</t>
  </si>
  <si>
    <t xml:space="preserve">[w2] 5/A12.01 row G1: 1 5/8" double row / 5/8" / 8" / YES; measured 8.48 in (0.48 in over, RFI-w2-05, no quantity impact). 2 walls 18.23 LF</t>
  </si>
  <si>
    <t xml:space="preserve">DET-1/A12.01</t>
  </si>
  <si>
    <t xml:space="preserve">detalle</t>
  </si>
  <si>
    <t xml:space="preserve">[w2] /home/user/boa3/workers/w2/det1_A12.01_partition_B_B2.jpg - applied to B2-01..B2-08 (slip track, sealant top/bottom both faces, board to underside of structure)</t>
  </si>
  <si>
    <t xml:space="preserve">DET-2/A12.01</t>
  </si>
  <si>
    <t xml:space="preserve">[w1] Opened: PARTITION TYPE A6 &amp; A8 - studs to UNDERSIDE OF STRUCTURE with METAL STUD TRACK (SECURE TO STRUCTURE), one face to 6" above SCHEDULED CEILING, other face to structure, batt, CONT ACOUS SEALANT bottom. No A6/A8 instances on A02.01 -&gt; nothing quantified. Image /home/user/boa3/workers/w1/det2_A1201_partition_A6_A8.jpg</t>
  </si>
  <si>
    <t xml:space="preserve">DET-3/A12.01</t>
  </si>
  <si>
    <t xml:space="preserve">[w1] Opened: PARTITION TYPE A1 &amp; A5 - CONTINUOUS SLIP TRACK at UNDERSIDE OF STRUCTURE, board both sides to 6" above SCHEDULED CEILING, BATT INSULATION, METAL STUD TRACK + CONT ACOUS SEALANT at TOP OF STRUCTURAL SLAB; unlabeled "2'-0"" dims at top (RFI-w1-09). Applied to A1 (79.02 LF) and A5 (41.75 LF). Image /home/user/boa3/workers/w1/det3_A1201_partition_A1_A5.jpg</t>
  </si>
  <si>
    <t xml:space="preserve">DET-4/A12.01</t>
  </si>
  <si>
    <t xml:space="preserve">[w1] Opened: PARTITION TYPE A1K &amp; A5K - TELLER SIDE / CUSTOMER SIDE, both boards to UNDERSIDE OF STRUCTURE ABOVE, CONTINUOUS ACOUSTICAL SEALANT top &amp; bottom, POWER DRIVEN FASTENERS @ 2'-0" O.C., WALL CONSTRUCTION SHALL INCLUDE (overrides schedule): 14 GA studs @24" max, 3/8" UL752 L2 fiberglass to 8'-0", 3/8" gyp above, trim &amp; casing beads. Applied to A1K (9.07 LF). Image /home/user/boa3/workers/w1/det4_A1201_partition_A1K_A5K.jpg</t>
  </si>
  <si>
    <t xml:space="preserve">DET-5/A12.01</t>
  </si>
  <si>
    <t xml:space="preserve">[w2] /home/user/boa3/workers/w2/det5_A12.01_partition_G_G1.jpg - applied to all G/G1 items (2 rows, 2 tracks top + 2 bottom, 2 layers each face, isolator)</t>
  </si>
  <si>
    <t xml:space="preserve">DET-6/A12.01</t>
  </si>
  <si>
    <t xml:space="preserve">[w2] /home/user/boa3/workers/w2/det6_A12.01_partition_C1.jpg - furring + 1 face; faces count = 1 per tag (restroom wall has 2 tags = 2 faces, C1-06 &amp; C1-08); height RFI-w2-03</t>
  </si>
  <si>
    <t xml:space="preserve">DET-8/A12.01</t>
  </si>
  <si>
    <t xml:space="preserve">[w2] /home/user/boa3/workers/w2/det8_A12.01_office_bulkhead_at_door.jpg - BH-105..BH-110</t>
  </si>
  <si>
    <t xml:space="preserve">DET-9/A12.01</t>
  </si>
  <si>
    <t xml:space="preserve">[w2] /home/user/boa3/workers/w2/det9_A12.01_office_bulkhead_at_glass.jpg - BH-105..BH-110 (glass portion of same 7'-6" opening)</t>
  </si>
  <si>
    <t xml:space="preserve">DET-10/A12.01</t>
  </si>
  <si>
    <t xml:space="preserve">[w2] /home/user/boa3/workers/w2/det10_A12.01_office_jamb.jpg - jamb studs/FRT blocking/corner bead/sealant inside BH-105..110</t>
  </si>
  <si>
    <t xml:space="preserve">DET-12/A12.01</t>
  </si>
  <si>
    <t xml:space="preserve">[w2] /home/user/boa3/workers/w2/det12_A12.01_partition_F.jpg - F-01 + OPN-F01-ATM</t>
  </si>
  <si>
    <t xml:space="preserve">wall</t>
  </si>
  <si>
    <t xml:space="preserve">[w1] Geometric sweep of A02.01 (all heavy-line face pairs 4.5-14 pt and thin-line pairs 7.1-11.1 pt inside the building, each checked against tags/other types): only 1 untagged interior partition not belonging to another type/exterior/office front: A1-D01 stub between door 111 and A5-01, x1220.4-1234.4 y1229-1236 pt, 0.78 LF (faces 7.32 pt = A1). Untagged continuation segments of tagged B walls are reported as B with RFI-w1-06 (alt A1). Images /home/user/boa3/workers/w1/A0201_zoom_type_A1_walls_marked.jpg, /home/user/boa3/workers/w1/A0201_zoom_door111_A1-04.jpg</t>
  </si>
  <si>
    <t xml:space="preserve">EXT-WALLS</t>
  </si>
  <si>
    <t xml:space="preserve">[w3] 10 runs, one per facade/grid run: N1 (F 2-4) 17.02 LF, N2 (F 4-7 storefront, wall above head only) 26.25 LF, N3 (F 7-8) 12.93 LF, E1 (8, F-B) 50.69 LF, E2 (8, B-A) 25.25 LF, S1 (A, 3-8) 52.33 LF, W1 (3, A-B) 25.25 LF, W2 (3, B-D) 22.68 LF, W3 (D return 2-3) 3.88 LF, W4 (2, D-F) 28.01 LF = 264.3 LF stud centerline [DERIVADO from S2.20/A02.01 printed grid chains]. Chain A02.01 -&gt; A09.21/22/23 sections -&gt; 4,5,2,3,7/A09.26 -&gt; 9-16/A09.27 -&gt; S1.11 note 5 (600S162-54 @16"/12") -&gt; 7/S5.20 -&gt; 10,11/S5.10. Heights: slab-&gt;B.O.D. 15'-4 1/2" (F-B) / 13'-0 5/8"-&gt;12'-6 3/8" (B-A) per S2.20. Images: img/A02.01_exterior_axes_marked_*.jpg, img/A09.0x_elevations_orientation_check.jpg, detail crops. Open items RFI-w3-01,02,04,06,09,10.</t>
  </si>
  <si>
    <t xml:space="preserve">EXT-PARAPET</t>
  </si>
  <si>
    <t xml:space="preserve">[w3] Parapet infill per 11/S5.10 '600S162-54 @ 16" W/ 600T125-54 TOP &amp; BOT.' between HSS5x5x1/4 posts @5'-0" (10/S5.10) from B.O.D. to T/STUD LP 17'-5" (T.O. PARAPET 1 17'-9") or HP 19'-8" (T.O. PARAPET 2 20'-0", at W4 grid 2 D-F, N1 F 2-4, W3 return) per A09.01/A09.02 datums and A09.21/22/23 sections; parapet heights: 2'-0 1/2" (LP over high roof), 4'-3 1/2" (HP), 4'-4 3/8" (LP @ B low roof), 4'-10 5/8" (LP @ A). Total parapet studs 1110.7 LF, tracks 264.3 + 264.3 LF, roof-side 5/8" exterior gyp sheathing 915.8 SF (4/A09.26 shows DensDeck by roofer - RFI-w3-09). Images img/S5.10_details_10_11_6_parapet_infill.jpg, img/4_A09.26_parapet.jpg. RFI-w3-02 (continuous stud vs separate infill), RFI-w3-08 (parapet 2 extent).</t>
  </si>
  <si>
    <t xml:space="preserve">EXT-CANOPY</t>
  </si>
  <si>
    <t xml:space="preserve">soffit</t>
  </si>
  <si>
    <t xml:space="preserve">[w3] 4 canopy runs from A04.01 vector outline (img/A04.01_RCP_canopy_soffits_marked.jpg): N fascia 78.16 LF / soffit 329.5 SF; W drive-up fascia 78.02 LF / soffit 958.0 SF; E fascia 55.57 LF / soffit 117.3 SF; S (door 123) fascia 29.01 LF / soffit 54.3 SF. Assembly per 3/A09.26, 7/A09.26, 15-16/A09.27: 3-5/8" metal stud framing + 5/8" ext. grade FRT plywood (fascia T/STUD 12'-7", B/STUD 10'-8 5/8" / 10'-7 1/4"); S2.20 canopy B.O.D. 11'-9" no slope. Gauge/spacing/attachment not given -&gt; RFI-w3-05.</t>
  </si>
  <si>
    <t xml:space="preserve">EXT-COLUMNS</t>
  </si>
  <si>
    <t xml:space="preserve">[w3] Column enclosures YES: (a) 4 canopy columns on grid 1 (G, E.4, C.5, B.2) per A02.01 callouts 5/A09.25 (x3 + SIM) -&gt; 5/A09.25 'STUCCO SYSTEM (PT-03) ON 5/8" EXTERIOR GRADE FRT PLYWOOD ON 3-5/8" METAL FRAMING', 1'-5" x 1'-5" FOS, height slab -&gt; B/STUD 10'-7 1/4" (16/A09.27): 339.3 LF studs, 240.4 SF FRT plywood; (b) 2 storefront piers F/2, F/4 per 1/A12.10 -&gt; 1/A09.25, 2/A09.25 (3-5/8" metal furring, 3/4" FRT plywood jambs, 5/8" gyp interior). Images img/5_A09.25_canopy_column_enclosure.jpg, img/1_A09.25_*, img/2_A09.25_*.</t>
  </si>
  <si>
    <t xml:space="preserve">BULKHEADS-OFFICE</t>
  </si>
  <si>
    <t xml:space="preserve">abertura</t>
  </si>
  <si>
    <t xml:space="preserve">[w2] 6 office-front bulkheads BH-105..BH-110, each 7.50 LF (A02.01 '7'-6" HOLD CLEAR FINISHED OPENING'); band east = 15.375 - 8.042 (A11.01 7 '8'-0 1/2" HOLD TYP FROM SLAB') = 7.333 ft; west = 15.375 - 8.000 (A11.01 8 '8'-0" CLEAR FINISHED OPENING') = 7.375 ft; 2 layers each face to deck, box beam 2-362CSJ20, slip track x2, isolator, FRT blocking, corner bead, shadow molding, sealant. Images /home/user/boa3/workers/w2/A02.01_office_bulkheads_marked.jpg, /home/user/boa3/workers/w2/A11.01_det7_central_zone_east_office_fronts_105-108.jpg, /home/user/boa3/workers/w2/A11.01_det8_central_zone_west_office_fronts_109-110.jpg. Deck confirmation RFI-w2-01; isolator count RFI-w2-02</t>
  </si>
  <si>
    <t xml:space="preserve">OPENINGS-HEADERS</t>
  </si>
  <si>
    <t xml:space="preserve">[w2] A00.30 door schedule door-by-door (location on A02.01, image /home/user/boa3/workers/w2/A02.01_openings_doors_marked.jpg): 100: exterior storefront north (VESTIBULE 100) - w3 (exterior); no framed header | 100A: interior aluminum storefront VESTIBULE 100 / CENTRAL ZONE 103 (A12.10 4 'METAL STUD FRAMING &amp; BOX HEADER AS NEEDED') - not a w2 partition type -&gt; leader assign (frontera) | 101: interior aluminum storefront VESTIBULE 100 / 24 HR VESTIBULE 101 (A12.10 6 box header as needed) - leader assign (frontera) | 102: B2 line x=1123.08-1133.88 (B2-01 jamb) -&gt; w2 OPN-102 (double track 18ga, 3'-10" R.O.) | 103: coiling grille 13'-4" R.O. line x~1130 (24 HR VESTIBULE 101 / CENTRAL ZONE 103), header = A08.21 6" CFMF BOX BEAM HEADER + 3 5/8" framing + 3/4" FRT plywood to deck -&gt; not a w2 type, leader assign (frontera) | 105: office front (G east) - w2 BH-105 (vendor door DFC-1A 3'-0" x 7'-10") | 106: office front (G east) - w2 BH-106 | 107: office front (G east) - w2 BH-107 | 108: office front (G east) - w2 BH-108 | 109: office front (G1 west) - w2 BH-109 | 110: office front (G1 west) - w2 BH-110 | 111: vertical wall at corridor 111 entry, tags A5/A1 (x~1205) - w1 counts header | 112: MEN'S RR / JANITOR CLOSET 112 wall, tag B - w1 | 113: B2 corridor line (between B2-03 and B2-07) - w2 OPN-113 | 114: B2 corridor line (between G1-02 end cap y=1243.20 and B2-02) - w2 OPN-114 | 115: B2 corridor line (between B2-05 and B2-08) - w2 OPN-115 | 116: line x=1622.16-1633.08 between A5 segm</t>
  </si>
  <si>
    <t xml:space="preserve">RCP-CEILINGS</t>
  </si>
  <si>
    <t xml:space="preserve">cielo</t>
  </si>
  <si>
    <t xml:space="preserve">[w4] A04.01 swept room by room (22 rooms + niche): GWB ceilings = Vestibule 100 (GB 10'-0") 121.97 SF, 24HR Vestibule 101 (GB 10'-0") 150.75 SF, Waiting 104 (GB 11'-0") 510.80 SF, Women 114 (GB 8'-6") 75.60 SF, Men 113 (GB 8'-6") 75.57 SF = 934.69 SF; vector polygons on A04.01 (shoelace /324); image /home/user/boa3/workers/w4/A0401_RCP_marked_GWB_ceilings_blue_soffits_orange.jpg</t>
  </si>
  <si>
    <t xml:space="preserve">RCP-SUSPENSION</t>
  </si>
  <si>
    <t xml:space="preserve">[w4] No suspension detail in set (A09.33 checked: dets 1-8,10 none for GWB). Quantities on ASTM C754 basis: carrying 314.58 LF, furring 770.02 LF (@24": 548.46), hanger wire 112 EA / 524.74 LF (B.O.D. S2.20 15'-4 1/2", 13'-0 5/8"-&gt;12'-6 3/8"), perimeter track 190.87 LF + drop-edge track 77.03 LF. RFI-w4-01/02/06/08. Images /home/user/boa3/workers/w4/A0401_RCP_marked_GWB_ceilings_blue_soffits_orange.jpg, /home/user/boa3/workers/w4/S220_roof_framing_BOD_tags_circled.jpg</t>
  </si>
  <si>
    <t xml:space="preserve">RCP-SOFFITS</t>
  </si>
  <si>
    <t xml:space="preserve">[w4] 1 interior GWB soffit: SOFFIT-01 CSR soffit GB 8'-0", 3'-5" x 12'-0 1/4" (4/A12.08, 1/A12.08), framing 3-5/8" @16" (9/A12.08), cont. track + PAF to deck (10/A09.33): bottom 41.07 SF, faces 36.06 SF, studs 123.69+27.08 LF, track 48.08 LF, corner bead 24.04 LF. RFI-w4-04/05. Images A1208_det04/det01/det09, A0933_det10</t>
  </si>
  <si>
    <t xml:space="preserve">zona_humeda</t>
  </si>
  <si>
    <t xml:space="preserve">[w5] Census A08.01xA05.01xA00.40: FRP WC-3 113=147.3 SF, 114=162.2 SF; FRP WC-2 janitor 16 SF; MR reclass 168.8 SF (C1 chase faces, note F); cement board alt 31.8 SF (RFI-w5-01); img A0801_elevD_exterior_wall.jpg, A0501_wet_zones_finish_plan.jpg</t>
  </si>
  <si>
    <t xml:space="preserve">BLOCKING</t>
  </si>
  <si>
    <t xml:space="preserve">otro</t>
  </si>
  <si>
    <t xml:space="preserve">[w5] FRT blocking total 300.166 LF (57 items, every A00.30 MW tag + A08.01 TA tag + wall-mounted A00.40/A06.01 item has a row or exclusion) + FRT plywood 3/4" 263.4 SF + 5/8" 41.1 SF; A02.01 note C, A00.30 note D, A12.0x note D, A08.01 note E; img A0201_blocking_locations_plan.jpg. Open items: RFI-w5-07/08/09/10/11/13.</t>
  </si>
  <si>
    <t xml:space="preserve">mep</t>
  </si>
  <si>
    <t xml:space="preserve">[w5] 21 duct-wall crossings M01.01 (tools/cruzar_mep.py + image each) + 4 FD sidewall grilles + 12 LSD + 4 RR devices in GWB ceilings + 1 AP (A04.01 KN4); img M0101_c01..c19_*.jpg. RFIs w5-04/05/06.</t>
  </si>
  <si>
    <t xml:space="preserve">TRIM-SEALANT</t>
  </si>
  <si>
    <t xml:space="preserve">[leader] corner bead / casing bead / shadow molding / sealant quantified inside each wall, bulkhead, soffit and exterior item (w1 3/A12.01 4/A12.01; w2 8/9/10 A12.01; w3 A09.26/A09.27; w4 7/A09.33 10/A09.33); see Materials 'metal trim' and 'acoustical sealant'. Control joints EXCLUDED with reason (w5 ALC-18).</t>
  </si>
  <si>
    <t xml:space="preserve">INSULATION</t>
  </si>
  <si>
    <t xml:space="preserve">[leader] batt insulation per type where A12.01 schedule says INSULATION YES (w1 A1/A5/A1K/B; w2 B2/G/G1/bulkheads) + restroom ceilings (w4 A04.01 key note 11); thickness RFI-w4-07 and w2; exterior spray foam INFO by others (RFI-w3-09).</t>
  </si>
  <si>
    <t xml:space="preserve">ALC-01</t>
  </si>
  <si>
    <t xml:space="preserve">alcance</t>
  </si>
  <si>
    <t xml:space="preserve">[leader] CUANTIFICADO: Materials 3-5/8" stud, 6" stud, 1-5/8" stud + bottom/top track (w1 A1/A1K/A5/B, w2 B2/B2K/C1/F/G/G1); 3/A12.01, 1/A12.01, 5/A12.01. Heights north of grid B pending RFI-w1-01 (deck), quantities priced at 15'-4 1/2" S2.20.</t>
  </si>
  <si>
    <t xml:space="preserve">ALC-02</t>
  </si>
  <si>
    <t xml:space="preserve">[w3] Exterior CFMF quantified in EXT-N1..EXT-W4 (3844.6 LF 600S162-54 below B.O.D.; tracks 600T125-33 bottom 215.6 LF, 600T200-97 deflection top 264.3 LF; head/sill tracks 243.2 LF; box beams 57.9 LF; C.R. channel bridging 799.3 LF). Sources S1.11 note 5, 7/S5.20, 1-F &amp; 2/S5.20, A09.2x sections. Gauge conflict S1.11 vs S5.20 -&gt; RFI-w3-01.</t>
  </si>
  <si>
    <t xml:space="preserve">ALC-03</t>
  </si>
  <si>
    <t xml:space="preserve">[w3] Parapet framing quantified (see EXT-PARAPET): 1110.7 LF 600S162-54 + 264.3 LF 600T125-54 bottom + 264.3 LF top (11/S5.10).</t>
  </si>
  <si>
    <t xml:space="preserve">ALC-04</t>
  </si>
  <si>
    <t xml:space="preserve">[w1] Bottom and top track separate lines in every item: bottom track 362T125-33 119.60 LF, 600T125-33 35.29 LF, 362T125-68 9.06 LF (openings deducted); top deflection slip track 362T200-33 139.29 LF, 600T200-97 41.75 LF, 362T200-68 9.06 LF (continuous over openings). Sources 3/A12.01, 1/A12.01, 4/A12.01 "CONTINUOUS SLIP TRACK", S5.20 METAL STUD PROPERTIES (600T125-33 BOTTOM TRACK / 600T200-97 TOP TRACK), S1.11 note 2 deflection clips. Gauge choice for 3-5/8" tracks DERIVADO (RFI-w1-08).</t>
  </si>
  <si>
    <t xml:space="preserve">ALC-05</t>
  </si>
  <si>
    <t xml:space="preserve">[w2] Headers/jambs/sills in w2 walls: OPN-102/113/114/115/116/117 (header track per S5.20 7, dbl jamb S5.20 9, cripples), OPN-F01-ATM (header + sill track per S5.20 2 'invert for sill'), BH-105..110 (box beam 2-362CSJ20 + jambs 10/A12.01). Images /home/user/boa3/workers/w2/S5.20_det7_header_schedule_stud_props.jpg, /home/user/boa3/workers/w2/S5.20_det9_opening_nonloadbearing.jpg</t>
  </si>
  <si>
    <t xml:space="preserve">ALC-06</t>
  </si>
  <si>
    <t xml:space="preserve">[leader] CUANTIFICADO: bracing C.R. channel 1-1/2" @ 48" per 1F/S5.20 'CONTINUOUS BRIDGING' (w1, w2) + exterior bridging (w3); applicability to interior walls is RFI-w2-06.</t>
  </si>
  <si>
    <t xml:space="preserve">ALC-07</t>
  </si>
  <si>
    <t xml:space="preserve">[leader] CUANTIFICADO: 5/8" gypsum board per face per type in Takeoff/Breakdown (w1, w2, w3 interior face, w4 ceilings); 3/A12.01, 1/A12.01, 5/A12.01, A04.01. Face heights north of grid B pending RFI-w1-01.</t>
  </si>
  <si>
    <t xml:space="preserve">ALC-08</t>
  </si>
  <si>
    <t xml:space="preserve">[w5] A08.01 sheet note F 'USE MOISTURE RESISTANT GYPSUM BOARD BEHIND TOILET AND LAVATORY' -&gt; 168.8 SF reclass on C1 chase faces (WZ-MR-M/W). No abuse/impact board in A12.01 schedule (all types 5/8" gyp; ballistic A1K counted under ALC-23 by w-wall). RFI-w5-02 for extent.</t>
  </si>
  <si>
    <t xml:space="preserve">ALC-09</t>
  </si>
  <si>
    <t xml:space="preserve">[w3] Exterior gypsum / glass mat: 5/8" glass mat sheathing 466.3 SF (base strip 0'-0" to T/BASE 0'-6" per 5/A09.26, 9/A09.27, 12/A09.27 + canopy band 10'-7 1/4" to 12'-7" per 3/A09.26, 7/A09.26); 5/8" exterior gyp sheathing at parapet roof side 915.8 SF (A09.21/22/23 '5/8" EXTERIOR GYPSUM SHEATHING'; 4/A09.26 calls DensDeck under roof membrane -&gt; RFI-w3-09).</t>
  </si>
  <si>
    <t xml:space="preserve">ALC-10</t>
  </si>
  <si>
    <t xml:space="preserve">[w3] FRT plywood exterior: (1) wall sheathing/insulation system '5/8" FRT PLYWOOD BONDED TO 2 1/2" POLYISO INSULATION' (A09.21/22/23, A09.25/26/27, A09.31) 3731.3 SF net; (2) 3/4" FRT plywood at opening perimeters 123.3 SF (2/A09.26, 10/11/14 A09.27, 3/A09.25), parapet cap blocking 242.3 SF (4/A09.26 'AS REQUIRED'), pier jambs 34.0 SF; (3) 5/8" ext. grade FRT plywood canopy fascia 596.9 SF + soffit 1459.1 SF (3/A09.26, 7/A09.26, 15-16/A09.27) and column enclosures 240.4 SF (5/A09.25). Scope of composite panel install -&gt; RFI-w3-09.</t>
  </si>
  <si>
    <t xml:space="preserve">ALC-11</t>
  </si>
  <si>
    <t xml:space="preserve">[w4] GWB ceilings 5 rooms = 934.69 SF (+ Waiting drop face 77.03 SF), A04.01 vector; type/finish level RFI-w4-03; image /home/user/boa3/workers/w4/A0401_RCP_marked_GWB_ceilings_blue_soffits_orange.jpg</t>
  </si>
  <si>
    <t xml:space="preserve">ALC-12</t>
  </si>
  <si>
    <t xml:space="preserve">[leader] CUANTIFICADO las 4 partes (w4): furring channel 770.02 LF, carrying channel 314.58 LF, hanger wire 524.74 LF, ceiling track 190.87 LF; A04.01 + A09.33; spacing basis ASTM C754 because the set has no GWB suspension detail -&gt; RFI-w4-01/02.</t>
  </si>
  <si>
    <t xml:space="preserve">ALC-13</t>
  </si>
  <si>
    <t xml:space="preserve">[leader] CUANTIFICADO: office bulkheads BH-105..110 (w2, 8/9/10 A12.01) + CSR soffit SOFFIT-01 (w4, 1/4/9 A12.08, 10/A09.33) + Waiting 104 drop edge (w4, 7/A09.33); open points RFI-w4-04/05/06.</t>
  </si>
  <si>
    <t xml:space="preserve">ALC-14</t>
  </si>
  <si>
    <t xml:space="preserve">[w3] Canopy/marquee framing and sheathing quantified in EXT-CANOPY-N/W/E/S (fascia 240.8 LF; soffit 1459.1 SF) - see EXT-CANOPY.</t>
  </si>
  <si>
    <t xml:space="preserve">ALC-15</t>
  </si>
  <si>
    <t xml:space="preserve">[w3] Column wraps EXIST although the text scan did not find 'column wrap/furring': the plan calls them 'DETAIL @ CANOPY COLUMN' 5/A09.25 (4 columns grid 1) and 'DETAIL @ STOREFRONT PIER' 1/A09.25, 2/A09.25 (HSS at F/2, F/4, called from 1/A12.10). Quantified as EXT-COL-1 and EXT-PIERS. Images img/5_A09.25_canopy_column_enclosure.jpg, img/1_A09.25_storefront_pier_grid2.jpg, img/2_A09.25_storefront_pier_grid4.jpg.</t>
  </si>
  <si>
    <t xml:space="preserve">ALC-16</t>
  </si>
  <si>
    <t xml:space="preserve">[w5] Quantified: 300.166 LF FRT blocking + FRT plywood (see BLOCKING).</t>
  </si>
  <si>
    <t xml:space="preserve">ALC-17</t>
  </si>
  <si>
    <t xml:space="preserve">[w5] Quantified: duct framed openings, FD grilles, GWB ceiling devices, recessed accessories (TA-2/13/14), 1 EA access panel A04.01 KN4. FEC-1/2 pending RFI-w5-09; APs per M00.01 note 16 RFI-w5-04.</t>
  </si>
  <si>
    <t xml:space="preserve">ALC-18</t>
  </si>
  <si>
    <t xml:space="preserve">[w5] Project-level: corner bead 8,9,10/A12.01 office bulkheads/jambs, 9/A12.08 CSR soffit, A09.33 'CORNER BEAD - TYPICAL', A08.21 coiling grille; casing bead 4/A12.01 A1K 'APPROPRIATE METAL TRIM AND CASING BEADS'; shadow molding 8,9/A12.01 + A09.33; J-bead A09.31 (exterior transition); control joints: NO interior GWB CJ on any interior sheet (A02.01, A11.0x, A12.0x searched) - CJ marks on A04.01 are at exterior canopy soffit (w4) and A09.01/A09.22 stucco CJ (exterior, not GWB); reveals A09.26 = ACM exterior (not Div 09). Per-wall LF counted by w1-w4.</t>
  </si>
  <si>
    <t xml:space="preserve">ALC-19</t>
  </si>
  <si>
    <t xml:space="preserve">[w1] Acoustical sealant 466.62 LF (A1/A5 bottom both sides 3/A12.01; B and A1K top+bottom both sides 1/A12.01, 4/A12.01) and batt insulation 1944.31 SF (schedule INSULATION YES on A1, A5, A1K, B). Images det1/det3/det4 crops.</t>
  </si>
  <si>
    <t xml:space="preserve">ALC-20</t>
  </si>
  <si>
    <t xml:space="preserve">[w5] FRP WC-3 309.5 SF net (113+114), FRP WC-2 16 SF janitor (A05.01 KN6, 6/A12.04), both 'GC GC' per A00.40; cement board: no wall tile, only 6" CT-12C base -&gt; trade alt 31.8 SF (RFI-w5-01); 'EXTERIOR CEMENT BOARD' A09.26/A09.27 = exterior cladding -&gt; frontera exterior worker.</t>
  </si>
  <si>
    <t xml:space="preserve">ALC-21</t>
  </si>
  <si>
    <t xml:space="preserve">[w5] NO APLICA: A12.01 partition schedule (A1,A1K,A5,A5K,A6,A8,B,B2,C1,F,G,G1) has no shaft-wall / area-separation type; text search of all 94 pages: no 'SHAFT WALL'/'AREA SEPARATION'/'SHAFTLINER'/'C-H STUD' (only S5.11 'BRACING TO STUD').</t>
  </si>
  <si>
    <t xml:space="preserve">ALC-22</t>
  </si>
  <si>
    <t xml:space="preserve">[w5] A12.01 schedules: FIRE RATING '--' and U.L. NUMBER '--' for every type -&gt; no rated assemblies. Scan hits are NOT assemblies: A02.01 KN6/E02.02 note 29 = fire-rated plywood backboard (PLY-KN6); A05.01 KN11 'DO NOT PAINT OVER FIRE RATED STAMP' (plywood); E00.01 note 8, M00.01 note 11, M03.01 = conditional 'where rated'; E04.02 = typical firestop detail. CONFLICT: M01.01 shows 4 FD at Electrical 120/NER 121 walls (B type, unrated) -&gt; RFI-w5-03.</t>
  </si>
  <si>
    <t xml:space="preserve">ALC-23</t>
  </si>
  <si>
    <t xml:space="preserve">[w1] Ballistic panel 3/8" UL752 level-2 fiberglass 72.54 SF on A1K-01 + A1K-02 (to 8'-0" per 4/A12.01 WALL CONSTRUCTION SHALL INCLUDE) + 3/8" gyp 8'-0" to structure 53.04 SF. Side of panel on A1K-01 and concealed faces -&gt; RFI-w1-04 (does not change ballistic SF). Image /home/user/boa3/workers/w1/det4_A1201_partition_A1K_A5K.jpg</t>
  </si>
  <si>
    <t xml:space="preserve">[w5] Level 5: A00.40 WC-18 'WALL SURFACE TO BE LEVEL 5' (offices 105-110, 1 wall each per A05.01 tags) = (4 x 11'-9 1/4" + 2 x 11'-7 1/2") x 9'-0" (A04.01 ACT-4 9'-0") = 633.0 SF [DERIVADO]; WC-22 media wall (A00.40 + A05.01 KN10 'PROVIDE LEVEL 5 FINISH') on C1 #36 waiting face - width EQ-EQ not printed [PENDIENTE]; WC-20 (A05.01 KN9) not tagged anywhere -&gt; RFI-w5-14. Rest Level 4 (default, not stated - see revisar).</t>
  </si>
  <si>
    <t xml:space="preserve">Motivo</t>
  </si>
  <si>
    <t xml:space="preserve">C1-01</t>
  </si>
  <si>
    <t xml:space="preserve">R2: storefront pier F/4 quantified by w3 EXT-PIERS from 2/A09.25 DETAIL @ STOREFRONT PIER (called by 1/A12.10). Excluded to avoid double count; RFI-L-02.</t>
  </si>
  <si>
    <t xml:space="preserve">C1-02</t>
  </si>
  <si>
    <t xml:space="preserve">R2: storefront pier F/2 quantified by w3 EXT-PIERS from 1/A09.25 DETAIL @ STOREFRONT PIER (called by 1/A12.10). Excluded to avoid double count; RFI-L-02.</t>
  </si>
  <si>
    <t xml:space="preserve">OPN-116</t>
  </si>
  <si>
    <t xml:space="preserve">R1: door 116 header/jambs/top track already inside w1 A5-03 (A5 wall owns the opening, band x=1622.16-1633.08 pt). Excluded to avoid double count.</t>
  </si>
  <si>
    <t xml:space="preserve">CIELO-100 access panel</t>
  </si>
  <si>
    <t xml:space="preserve">R7: same 2'x2' access panel (A04.01 key note 4, Vestibule 100) is in w5 MEP-AP-KN4 with its framing. Excluded to avoid double count.</t>
  </si>
  <si>
    <t xml:space="preserve">Item</t>
  </si>
  <si>
    <t xml:space="preserve">spray foam insulation in 6" stud cavity - BY OTHERS / verify (SF)</t>
  </si>
  <si>
    <t xml:space="preserve">Scope</t>
  </si>
  <si>
    <t xml:space="preserve">Inicio_utc</t>
  </si>
  <si>
    <t xml:space="preserve">Fin_utc</t>
  </si>
  <si>
    <t xml:space="preserve">Rfis</t>
  </si>
  <si>
    <t xml:space="preserve">interior partitions A1/A1K/A5/B + default A1</t>
  </si>
  <si>
    <t xml:space="preserve">2026-10-14T01:38:41Z</t>
  </si>
  <si>
    <t xml:space="preserve">2026-10-14T02:04:22Z</t>
  </si>
  <si>
    <t xml:space="preserve">20</t>
  </si>
  <si>
    <t xml:space="preserve">10</t>
  </si>
  <si>
    <t xml:space="preserve">B2/B2K/C1/F/G/G1 + office bulkheads + door headers</t>
  </si>
  <si>
    <t xml:space="preserve">2026-10-14T01:38:42Z</t>
  </si>
  <si>
    <t xml:space="preserve">2026-10-14T01:59:43Z</t>
  </si>
  <si>
    <t xml:space="preserve">39</t>
  </si>
  <si>
    <t xml:space="preserve">8</t>
  </si>
  <si>
    <t xml:space="preserve">exterior walls, parapet, canopy, column enclosures</t>
  </si>
  <si>
    <t xml:space="preserve">Wed Oct 14 01:38:41 UTC 2026</t>
  </si>
  <si>
    <t xml:space="preserve">Wed Oct 14 02:01:16 UTC 2026</t>
  </si>
  <si>
    <t xml:space="preserve">16</t>
  </si>
  <si>
    <t xml:space="preserve">GWB ceilings, suspension, soffits</t>
  </si>
  <si>
    <t xml:space="preserve">2026-10-14T01:53:43Z</t>
  </si>
  <si>
    <t xml:space="preserve">6</t>
  </si>
  <si>
    <t xml:space="preserve">blocking, wet zones, MEP, FRP, scope verdicts</t>
  </si>
  <si>
    <t xml:space="preserve">2026-10-14T02:11:21Z</t>
  </si>
  <si>
    <t xml:space="preserve">124</t>
  </si>
  <si>
    <t xml:space="preserve">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</si>
</sst>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A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38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10" min="7" style="0" width="12"/>
    <col collapsed="false" customWidth="true" hidden="false" outlineLevel="0" max="15" min="11" style="0" width="9"/>
    <col collapsed="false" customWidth="true" hidden="false" outlineLevel="0" max="17" min="16" style="0" width="12"/>
    <col collapsed="false" customWidth="true" hidden="false" outlineLevel="0" max="19" min="18" style="0" width="60"/>
    <col collapsed="false" customWidth="true" hidden="false" outlineLevel="0" max="20" min="20" style="0" width="22"/>
    <col collapsed="false" customWidth="true" hidden="false" outlineLevel="0" max="21" min="21" style="0" width="7"/>
    <col collapsed="false" customWidth="true" hidden="false" outlineLevel="0" max="22" min="22" style="0" width="28"/>
    <col collapsed="false" customWidth="true" hidden="false" outlineLevel="0" max="23" min="23" style="0" width="50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s">
        <v>25</v>
      </c>
      <c r="D2" s="0" t="n">
        <v>16.42</v>
      </c>
      <c r="E2" s="0" t="n">
        <v>15.38</v>
      </c>
      <c r="F2" s="0" t="n">
        <v>2</v>
      </c>
      <c r="H2" s="0" t="n">
        <v>246</v>
      </c>
      <c r="J2" s="0" t="n">
        <v>353.36</v>
      </c>
      <c r="P2" s="0" t="n">
        <v>16.42</v>
      </c>
      <c r="Q2" s="0" t="n">
        <v>16.42</v>
      </c>
      <c r="R2" s="0" t="s">
        <v>26</v>
      </c>
      <c r="S2" s="0" t="s">
        <v>27</v>
      </c>
      <c r="T2" s="2" t="s">
        <v>28</v>
      </c>
      <c r="U2" s="3" t="s">
        <v>29</v>
      </c>
      <c r="V2" s="3" t="s">
        <v>30</v>
      </c>
      <c r="W2" s="3" t="s">
        <v>31</v>
      </c>
    </row>
    <row r="3" customFormat="false" ht="15" hidden="false" customHeight="false" outlineLevel="0" collapsed="false">
      <c r="A3" s="0" t="s">
        <v>32</v>
      </c>
      <c r="B3" s="0" t="s">
        <v>24</v>
      </c>
      <c r="C3" s="0" t="s">
        <v>33</v>
      </c>
      <c r="D3" s="0" t="n">
        <v>3.53</v>
      </c>
      <c r="E3" s="0" t="n">
        <v>15.38</v>
      </c>
      <c r="F3" s="0" t="n">
        <v>2</v>
      </c>
      <c r="H3" s="0" t="n">
        <v>61.5</v>
      </c>
      <c r="J3" s="0" t="n">
        <v>86.13</v>
      </c>
      <c r="P3" s="0" t="n">
        <v>3.53</v>
      </c>
      <c r="Q3" s="0" t="n">
        <v>3.53</v>
      </c>
      <c r="R3" s="0" t="s">
        <v>34</v>
      </c>
      <c r="S3" s="0" t="s">
        <v>27</v>
      </c>
      <c r="T3" s="2" t="s">
        <v>28</v>
      </c>
      <c r="U3" s="3" t="s">
        <v>29</v>
      </c>
      <c r="V3" s="3" t="s">
        <v>35</v>
      </c>
      <c r="W3" s="3" t="s">
        <v>36</v>
      </c>
    </row>
    <row r="4" customFormat="false" ht="15" hidden="false" customHeight="false" outlineLevel="0" collapsed="false">
      <c r="A4" s="0" t="s">
        <v>37</v>
      </c>
      <c r="B4" s="0" t="s">
        <v>24</v>
      </c>
      <c r="C4" s="0" t="s">
        <v>38</v>
      </c>
      <c r="D4" s="0" t="n">
        <v>2.63</v>
      </c>
      <c r="E4" s="0" t="n">
        <v>15.38</v>
      </c>
      <c r="F4" s="0" t="n">
        <v>2</v>
      </c>
      <c r="H4" s="0" t="n">
        <v>30.75</v>
      </c>
      <c r="J4" s="0" t="n">
        <v>64.03</v>
      </c>
      <c r="P4" s="0" t="n">
        <v>2.63</v>
      </c>
      <c r="Q4" s="0" t="n">
        <v>2.63</v>
      </c>
      <c r="R4" s="0" t="s">
        <v>39</v>
      </c>
      <c r="S4" s="0" t="s">
        <v>27</v>
      </c>
      <c r="T4" s="2" t="s">
        <v>28</v>
      </c>
      <c r="U4" s="3" t="s">
        <v>29</v>
      </c>
      <c r="V4" s="3" t="s">
        <v>40</v>
      </c>
      <c r="W4" s="3" t="s">
        <v>41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44</v>
      </c>
      <c r="D5" s="0" t="n">
        <v>15.3</v>
      </c>
      <c r="E5" s="0" t="n">
        <v>15.38</v>
      </c>
      <c r="F5" s="0" t="n">
        <v>2</v>
      </c>
      <c r="G5" s="0" t="n">
        <v>235.24</v>
      </c>
      <c r="J5" s="0" t="n">
        <v>230.58</v>
      </c>
      <c r="P5" s="0" t="n">
        <v>12.17</v>
      </c>
      <c r="Q5" s="0" t="n">
        <v>15.3</v>
      </c>
      <c r="R5" s="0" t="s">
        <v>45</v>
      </c>
      <c r="S5" s="0" t="s">
        <v>46</v>
      </c>
      <c r="T5" s="2" t="s">
        <v>28</v>
      </c>
      <c r="U5" s="3" t="s">
        <v>29</v>
      </c>
      <c r="V5" s="3" t="s">
        <v>47</v>
      </c>
      <c r="W5" s="3" t="s">
        <v>48</v>
      </c>
    </row>
    <row r="6" customFormat="false" ht="15" hidden="false" customHeight="false" outlineLevel="0" collapsed="false">
      <c r="A6" s="0" t="s">
        <v>49</v>
      </c>
      <c r="B6" s="0" t="s">
        <v>43</v>
      </c>
      <c r="C6" s="0" t="s">
        <v>50</v>
      </c>
      <c r="D6" s="0" t="n">
        <v>19.81</v>
      </c>
      <c r="E6" s="0" t="n">
        <v>15.38</v>
      </c>
      <c r="F6" s="0" t="n">
        <v>2</v>
      </c>
      <c r="G6" s="0" t="n">
        <v>298.03</v>
      </c>
      <c r="J6" s="0" t="n">
        <v>362.38</v>
      </c>
      <c r="P6" s="0" t="n">
        <v>19.81</v>
      </c>
      <c r="Q6" s="0" t="n">
        <v>19.81</v>
      </c>
      <c r="R6" s="0" t="s">
        <v>51</v>
      </c>
      <c r="S6" s="0" t="s">
        <v>46</v>
      </c>
      <c r="T6" s="2" t="s">
        <v>28</v>
      </c>
      <c r="U6" s="3" t="s">
        <v>29</v>
      </c>
      <c r="V6" s="3" t="s">
        <v>52</v>
      </c>
      <c r="W6" s="3" t="s">
        <v>53</v>
      </c>
    </row>
    <row r="7" customFormat="false" ht="15" hidden="false" customHeight="false" outlineLevel="0" collapsed="false">
      <c r="A7" s="0" t="s">
        <v>54</v>
      </c>
      <c r="B7" s="0" t="s">
        <v>24</v>
      </c>
      <c r="C7" s="0" t="s">
        <v>55</v>
      </c>
      <c r="D7" s="0" t="n">
        <v>4.81</v>
      </c>
      <c r="E7" s="0" t="n">
        <v>15.38</v>
      </c>
      <c r="F7" s="0" t="n">
        <v>2</v>
      </c>
      <c r="H7" s="0" t="n">
        <v>91.29</v>
      </c>
      <c r="J7" s="0" t="n">
        <v>32.08</v>
      </c>
      <c r="P7" s="0" t="n">
        <v>1.47</v>
      </c>
      <c r="Q7" s="0" t="n">
        <v>4.81</v>
      </c>
      <c r="R7" s="0" t="s">
        <v>56</v>
      </c>
      <c r="S7" s="0" t="s">
        <v>27</v>
      </c>
      <c r="T7" s="2" t="s">
        <v>28</v>
      </c>
      <c r="U7" s="3" t="s">
        <v>29</v>
      </c>
      <c r="V7" s="3" t="s">
        <v>57</v>
      </c>
      <c r="W7" s="3" t="s">
        <v>58</v>
      </c>
    </row>
    <row r="8" customFormat="false" ht="15" hidden="false" customHeight="false" outlineLevel="0" collapsed="false">
      <c r="A8" s="0" t="s">
        <v>59</v>
      </c>
      <c r="B8" s="0" t="s">
        <v>24</v>
      </c>
      <c r="C8" s="0" t="s">
        <v>60</v>
      </c>
      <c r="D8" s="0" t="n">
        <v>0.78</v>
      </c>
      <c r="E8" s="0" t="n">
        <v>15.38</v>
      </c>
      <c r="F8" s="0" t="n">
        <v>2</v>
      </c>
      <c r="H8" s="0" t="n">
        <v>15.38</v>
      </c>
      <c r="J8" s="0" t="n">
        <v>14.04</v>
      </c>
      <c r="P8" s="0" t="n">
        <v>0.78</v>
      </c>
      <c r="Q8" s="0" t="n">
        <v>0.78</v>
      </c>
      <c r="R8" s="0" t="s">
        <v>56</v>
      </c>
      <c r="S8" s="0" t="s">
        <v>27</v>
      </c>
      <c r="T8" s="2" t="s">
        <v>28</v>
      </c>
      <c r="U8" s="3" t="s">
        <v>29</v>
      </c>
      <c r="V8" s="3" t="s">
        <v>61</v>
      </c>
      <c r="W8" s="3" t="s">
        <v>62</v>
      </c>
    </row>
    <row r="9" customFormat="false" ht="15" hidden="false" customHeight="false" outlineLevel="0" collapsed="false">
      <c r="A9" s="0" t="s">
        <v>63</v>
      </c>
      <c r="B9" s="0" t="s">
        <v>24</v>
      </c>
      <c r="C9" s="0" t="s">
        <v>64</v>
      </c>
      <c r="D9" s="0" t="n">
        <v>15.83</v>
      </c>
      <c r="E9" s="0" t="n">
        <v>12.97</v>
      </c>
      <c r="F9" s="0" t="n">
        <v>2</v>
      </c>
      <c r="H9" s="0" t="n">
        <v>194.5</v>
      </c>
      <c r="J9" s="0" t="n">
        <v>285</v>
      </c>
      <c r="P9" s="0" t="n">
        <v>15.83</v>
      </c>
      <c r="Q9" s="0" t="n">
        <v>15.83</v>
      </c>
      <c r="R9" s="0" t="s">
        <v>65</v>
      </c>
      <c r="S9" s="0" t="s">
        <v>27</v>
      </c>
      <c r="T9" s="0" t="s">
        <v>66</v>
      </c>
      <c r="U9" s="0" t="s">
        <v>29</v>
      </c>
      <c r="V9" s="0" t="s">
        <v>67</v>
      </c>
      <c r="W9" s="0" t="s">
        <v>68</v>
      </c>
    </row>
    <row r="10" customFormat="false" ht="15" hidden="false" customHeight="false" outlineLevel="0" collapsed="false">
      <c r="A10" s="0" t="s">
        <v>69</v>
      </c>
      <c r="B10" s="0" t="s">
        <v>24</v>
      </c>
      <c r="C10" s="0" t="s">
        <v>70</v>
      </c>
      <c r="D10" s="0" t="n">
        <v>6.77</v>
      </c>
      <c r="E10" s="0" t="n">
        <v>12.94</v>
      </c>
      <c r="F10" s="0" t="n">
        <v>2</v>
      </c>
      <c r="H10" s="0" t="n">
        <v>87.1</v>
      </c>
      <c r="J10" s="0" t="n">
        <v>70.86</v>
      </c>
      <c r="P10" s="0" t="n">
        <v>3.44</v>
      </c>
      <c r="Q10" s="0" t="n">
        <v>6.77</v>
      </c>
      <c r="R10" s="0" t="s">
        <v>71</v>
      </c>
      <c r="S10" s="0" t="s">
        <v>27</v>
      </c>
      <c r="T10" s="0" t="s">
        <v>66</v>
      </c>
      <c r="U10" s="0" t="s">
        <v>29</v>
      </c>
      <c r="V10" s="0" t="s">
        <v>72</v>
      </c>
      <c r="W10" s="0" t="s">
        <v>73</v>
      </c>
    </row>
    <row r="11" customFormat="false" ht="15" hidden="false" customHeight="false" outlineLevel="0" collapsed="false">
      <c r="A11" s="0" t="s">
        <v>74</v>
      </c>
      <c r="B11" s="0" t="s">
        <v>24</v>
      </c>
      <c r="C11" s="0" t="s">
        <v>75</v>
      </c>
      <c r="D11" s="0" t="n">
        <v>20.08</v>
      </c>
      <c r="E11" s="0" t="n">
        <v>12.86</v>
      </c>
      <c r="F11" s="0" t="n">
        <v>2</v>
      </c>
      <c r="H11" s="0" t="n">
        <v>279.79</v>
      </c>
      <c r="J11" s="0" t="n">
        <v>370.29</v>
      </c>
      <c r="P11" s="0" t="n">
        <v>17.06</v>
      </c>
      <c r="Q11" s="0" t="n">
        <v>20.08</v>
      </c>
      <c r="R11" s="0" t="s">
        <v>76</v>
      </c>
      <c r="S11" s="0" t="s">
        <v>27</v>
      </c>
      <c r="T11" s="0" t="s">
        <v>66</v>
      </c>
      <c r="U11" s="0" t="s">
        <v>29</v>
      </c>
      <c r="V11" s="0" t="s">
        <v>77</v>
      </c>
      <c r="W11" s="0" t="s">
        <v>78</v>
      </c>
    </row>
    <row r="12" customFormat="false" ht="15" hidden="false" customHeight="false" outlineLevel="0" collapsed="false">
      <c r="A12" s="0" t="s">
        <v>79</v>
      </c>
      <c r="B12" s="0" t="s">
        <v>24</v>
      </c>
      <c r="C12" s="0" t="s">
        <v>80</v>
      </c>
      <c r="D12" s="0" t="n">
        <v>8.17</v>
      </c>
      <c r="E12" s="0" t="n">
        <v>12.77</v>
      </c>
      <c r="F12" s="0" t="n">
        <v>2</v>
      </c>
      <c r="H12" s="0" t="n">
        <v>102.17</v>
      </c>
      <c r="J12" s="0" t="n">
        <v>151.08</v>
      </c>
      <c r="P12" s="0" t="n">
        <v>8.17</v>
      </c>
      <c r="Q12" s="0" t="n">
        <v>8.17</v>
      </c>
      <c r="R12" s="0" t="s">
        <v>81</v>
      </c>
      <c r="S12" s="0" t="s">
        <v>27</v>
      </c>
      <c r="T12" s="0" t="s">
        <v>66</v>
      </c>
      <c r="U12" s="0" t="s">
        <v>29</v>
      </c>
      <c r="V12" s="0" t="s">
        <v>82</v>
      </c>
      <c r="W12" s="0" t="s">
        <v>83</v>
      </c>
    </row>
    <row r="13" customFormat="false" ht="15" hidden="false" customHeight="false" outlineLevel="0" collapsed="false">
      <c r="A13" s="0" t="s">
        <v>84</v>
      </c>
      <c r="B13" s="0" t="s">
        <v>43</v>
      </c>
      <c r="C13" s="0" t="s">
        <v>85</v>
      </c>
      <c r="D13" s="0" t="n">
        <v>6.64</v>
      </c>
      <c r="E13" s="0" t="n">
        <v>12.89</v>
      </c>
      <c r="F13" s="0" t="n">
        <v>2</v>
      </c>
      <c r="G13" s="0" t="n">
        <v>88.47</v>
      </c>
      <c r="J13" s="0" t="n">
        <v>75.06</v>
      </c>
      <c r="P13" s="0" t="n">
        <v>3.31</v>
      </c>
      <c r="Q13" s="0" t="n">
        <v>6.64</v>
      </c>
      <c r="R13" s="0" t="s">
        <v>86</v>
      </c>
      <c r="S13" s="0" t="s">
        <v>46</v>
      </c>
      <c r="T13" s="0" t="s">
        <v>66</v>
      </c>
      <c r="U13" s="0" t="s">
        <v>29</v>
      </c>
      <c r="V13" s="0" t="s">
        <v>87</v>
      </c>
      <c r="W13" s="0" t="s">
        <v>88</v>
      </c>
    </row>
    <row r="14" customFormat="false" ht="15" hidden="false" customHeight="false" outlineLevel="0" collapsed="false">
      <c r="A14" s="0" t="s">
        <v>89</v>
      </c>
      <c r="B14" s="0" t="s">
        <v>90</v>
      </c>
      <c r="C14" s="0" t="s">
        <v>91</v>
      </c>
      <c r="D14" s="0" t="n">
        <v>3.41</v>
      </c>
      <c r="E14" s="0" t="n">
        <v>15.38</v>
      </c>
      <c r="F14" s="0" t="n">
        <v>3</v>
      </c>
      <c r="H14" s="0" t="n">
        <v>30.75</v>
      </c>
      <c r="J14" s="0" t="n">
        <v>104.96</v>
      </c>
      <c r="P14" s="0" t="n">
        <v>3.41</v>
      </c>
      <c r="Q14" s="0" t="n">
        <v>3.41</v>
      </c>
      <c r="R14" s="0" t="s">
        <v>92</v>
      </c>
      <c r="S14" s="0" t="s">
        <v>93</v>
      </c>
      <c r="T14" s="2" t="s">
        <v>28</v>
      </c>
      <c r="U14" s="3" t="s">
        <v>29</v>
      </c>
      <c r="V14" s="3" t="s">
        <v>94</v>
      </c>
      <c r="W14" s="3" t="s">
        <v>95</v>
      </c>
    </row>
    <row r="15" customFormat="false" ht="15" hidden="false" customHeight="false" outlineLevel="0" collapsed="false">
      <c r="A15" s="0" t="s">
        <v>96</v>
      </c>
      <c r="B15" s="0" t="s">
        <v>90</v>
      </c>
      <c r="C15" s="0" t="s">
        <v>97</v>
      </c>
      <c r="D15" s="0" t="n">
        <v>5.65</v>
      </c>
      <c r="E15" s="0" t="n">
        <v>12.93</v>
      </c>
      <c r="F15" s="0" t="n">
        <v>3</v>
      </c>
      <c r="H15" s="0" t="n">
        <v>64.65</v>
      </c>
      <c r="J15" s="0" t="n">
        <v>146.2</v>
      </c>
      <c r="P15" s="0" t="n">
        <v>5.65</v>
      </c>
      <c r="Q15" s="0" t="n">
        <v>5.65</v>
      </c>
      <c r="R15" s="0" t="s">
        <v>98</v>
      </c>
      <c r="S15" s="0" t="s">
        <v>93</v>
      </c>
      <c r="T15" s="2" t="s">
        <v>28</v>
      </c>
      <c r="U15" s="3" t="s">
        <v>29</v>
      </c>
      <c r="V15" s="3" t="s">
        <v>99</v>
      </c>
      <c r="W15" s="3" t="s">
        <v>100</v>
      </c>
    </row>
    <row r="16" customFormat="false" ht="15" hidden="false" customHeight="false" outlineLevel="0" collapsed="false">
      <c r="A16" s="0" t="s">
        <v>101</v>
      </c>
      <c r="B16" s="0" t="s">
        <v>102</v>
      </c>
      <c r="C16" s="0" t="s">
        <v>103</v>
      </c>
      <c r="D16" s="0" t="n">
        <v>9.99</v>
      </c>
      <c r="E16" s="0" t="n">
        <v>12.83</v>
      </c>
      <c r="F16" s="0" t="n">
        <v>2</v>
      </c>
      <c r="H16" s="0" t="n">
        <v>115.44</v>
      </c>
      <c r="J16" s="0" t="n">
        <v>256.2</v>
      </c>
      <c r="P16" s="0" t="n">
        <v>9.99</v>
      </c>
      <c r="Q16" s="0" t="n">
        <v>9.99</v>
      </c>
      <c r="R16" s="0" t="s">
        <v>104</v>
      </c>
      <c r="S16" s="0" t="s">
        <v>105</v>
      </c>
      <c r="T16" s="0" t="s">
        <v>66</v>
      </c>
      <c r="U16" s="0" t="s">
        <v>29</v>
      </c>
      <c r="V16" s="0" t="s">
        <v>106</v>
      </c>
      <c r="W16" s="0" t="s">
        <v>107</v>
      </c>
    </row>
    <row r="17" customFormat="false" ht="15" hidden="false" customHeight="false" outlineLevel="0" collapsed="false">
      <c r="A17" s="0" t="s">
        <v>108</v>
      </c>
      <c r="B17" s="0" t="s">
        <v>102</v>
      </c>
      <c r="C17" s="0" t="s">
        <v>109</v>
      </c>
      <c r="D17" s="0" t="n">
        <v>9.58</v>
      </c>
      <c r="E17" s="0" t="n">
        <v>12.7</v>
      </c>
      <c r="F17" s="0" t="n">
        <v>2</v>
      </c>
      <c r="H17" s="0" t="n">
        <v>101.59</v>
      </c>
      <c r="J17" s="0" t="n">
        <v>243.3</v>
      </c>
      <c r="P17" s="0" t="n">
        <v>9.58</v>
      </c>
      <c r="Q17" s="0" t="n">
        <v>9.58</v>
      </c>
      <c r="R17" s="0" t="s">
        <v>110</v>
      </c>
      <c r="S17" s="0" t="s">
        <v>105</v>
      </c>
      <c r="T17" s="0" t="s">
        <v>66</v>
      </c>
      <c r="U17" s="0" t="s">
        <v>29</v>
      </c>
      <c r="V17" s="0" t="s">
        <v>111</v>
      </c>
      <c r="W17" s="0" t="s">
        <v>112</v>
      </c>
    </row>
    <row r="18" customFormat="false" ht="15" hidden="false" customHeight="false" outlineLevel="0" collapsed="false">
      <c r="A18" s="0" t="s">
        <v>113</v>
      </c>
      <c r="B18" s="0" t="s">
        <v>102</v>
      </c>
      <c r="C18" s="0" t="s">
        <v>114</v>
      </c>
      <c r="D18" s="0" t="n">
        <v>13.74</v>
      </c>
      <c r="E18" s="0" t="n">
        <v>12.81</v>
      </c>
      <c r="F18" s="0" t="n">
        <v>2</v>
      </c>
      <c r="H18" s="0" t="n">
        <v>174.48</v>
      </c>
      <c r="J18" s="0" t="n">
        <v>252.92</v>
      </c>
      <c r="P18" s="0" t="n">
        <v>7.07</v>
      </c>
      <c r="Q18" s="0" t="n">
        <v>13.74</v>
      </c>
      <c r="R18" s="0" t="s">
        <v>115</v>
      </c>
      <c r="S18" s="0" t="s">
        <v>105</v>
      </c>
      <c r="T18" s="0" t="s">
        <v>66</v>
      </c>
      <c r="U18" s="0" t="s">
        <v>29</v>
      </c>
      <c r="V18" s="0" t="s">
        <v>116</v>
      </c>
      <c r="W18" s="0" t="s">
        <v>117</v>
      </c>
    </row>
    <row r="19" customFormat="false" ht="15" hidden="false" customHeight="false" outlineLevel="0" collapsed="false">
      <c r="A19" s="0" t="s">
        <v>118</v>
      </c>
      <c r="B19" s="0" t="s">
        <v>102</v>
      </c>
      <c r="C19" s="0" t="s">
        <v>119</v>
      </c>
      <c r="D19" s="0" t="n">
        <v>11.73</v>
      </c>
      <c r="E19" s="0" t="n">
        <v>12.75</v>
      </c>
      <c r="F19" s="0" t="n">
        <v>2</v>
      </c>
      <c r="H19" s="0" t="n">
        <v>151.38</v>
      </c>
      <c r="J19" s="0" t="n">
        <v>251.36</v>
      </c>
      <c r="P19" s="0" t="n">
        <v>8.4</v>
      </c>
      <c r="Q19" s="0" t="n">
        <v>11.73</v>
      </c>
      <c r="R19" s="0" t="s">
        <v>120</v>
      </c>
      <c r="S19" s="0" t="s">
        <v>105</v>
      </c>
      <c r="T19" s="0" t="s">
        <v>66</v>
      </c>
      <c r="U19" s="0" t="s">
        <v>29</v>
      </c>
      <c r="V19" s="0" t="s">
        <v>121</v>
      </c>
      <c r="W19" s="0" t="s">
        <v>122</v>
      </c>
    </row>
    <row r="20" customFormat="false" ht="15" hidden="false" customHeight="false" outlineLevel="0" collapsed="false">
      <c r="A20" s="0" t="s">
        <v>123</v>
      </c>
      <c r="B20" s="0" t="s">
        <v>102</v>
      </c>
      <c r="C20" s="0" t="s">
        <v>124</v>
      </c>
      <c r="D20" s="0" t="n">
        <v>3.5</v>
      </c>
      <c r="E20" s="0" t="n">
        <v>12.71</v>
      </c>
      <c r="F20" s="0" t="n">
        <v>2</v>
      </c>
      <c r="H20" s="0" t="n">
        <v>38.12</v>
      </c>
      <c r="J20" s="0" t="n">
        <v>88.96</v>
      </c>
      <c r="P20" s="0" t="n">
        <v>3.5</v>
      </c>
      <c r="Q20" s="0" t="n">
        <v>3.5</v>
      </c>
      <c r="R20" s="0" t="s">
        <v>125</v>
      </c>
      <c r="S20" s="0" t="s">
        <v>105</v>
      </c>
      <c r="T20" s="0" t="s">
        <v>66</v>
      </c>
      <c r="U20" s="0" t="s">
        <v>29</v>
      </c>
      <c r="V20" s="0" t="s">
        <v>126</v>
      </c>
      <c r="W20" s="0" t="s">
        <v>127</v>
      </c>
    </row>
    <row r="21" customFormat="false" ht="15" hidden="false" customHeight="false" outlineLevel="0" collapsed="false">
      <c r="A21" s="0" t="s">
        <v>128</v>
      </c>
      <c r="B21" s="0" t="s">
        <v>102</v>
      </c>
      <c r="C21" s="0" t="s">
        <v>129</v>
      </c>
      <c r="D21" s="0" t="n">
        <v>11.73</v>
      </c>
      <c r="E21" s="0" t="n">
        <v>12.67</v>
      </c>
      <c r="F21" s="0" t="n">
        <v>2</v>
      </c>
      <c r="H21" s="0" t="n">
        <v>139.33</v>
      </c>
      <c r="J21" s="0" t="n">
        <v>297.24</v>
      </c>
      <c r="P21" s="0" t="n">
        <v>11.73</v>
      </c>
      <c r="Q21" s="0" t="n">
        <v>11.73</v>
      </c>
      <c r="R21" s="0" t="s">
        <v>130</v>
      </c>
      <c r="S21" s="0" t="s">
        <v>105</v>
      </c>
      <c r="T21" s="0" t="s">
        <v>66</v>
      </c>
      <c r="U21" s="0" t="s">
        <v>29</v>
      </c>
      <c r="V21" s="0" t="s">
        <v>131</v>
      </c>
      <c r="W21" s="0" t="s">
        <v>132</v>
      </c>
    </row>
    <row r="22" customFormat="false" ht="15" hidden="false" customHeight="false" outlineLevel="0" collapsed="false">
      <c r="A22" s="0" t="s">
        <v>133</v>
      </c>
      <c r="B22" s="0" t="s">
        <v>134</v>
      </c>
      <c r="C22" s="0" t="s">
        <v>135</v>
      </c>
      <c r="D22" s="0" t="n">
        <v>1.65</v>
      </c>
      <c r="E22" s="0" t="n">
        <v>15.38</v>
      </c>
      <c r="F22" s="0" t="n">
        <v>2</v>
      </c>
      <c r="G22" s="0" t="n">
        <v>46.13</v>
      </c>
      <c r="J22" s="0" t="n">
        <v>50.84</v>
      </c>
      <c r="P22" s="0" t="n">
        <v>1.65</v>
      </c>
      <c r="Q22" s="0" t="n">
        <v>1.65</v>
      </c>
      <c r="R22" s="0" t="s">
        <v>136</v>
      </c>
      <c r="S22" s="0" t="s">
        <v>137</v>
      </c>
      <c r="T22" s="0" t="s">
        <v>66</v>
      </c>
      <c r="U22" s="0" t="s">
        <v>138</v>
      </c>
      <c r="V22" s="0" t="s">
        <v>139</v>
      </c>
      <c r="W22" s="0" t="s">
        <v>140</v>
      </c>
    </row>
    <row r="23" customFormat="false" ht="15" hidden="false" customHeight="false" outlineLevel="0" collapsed="false">
      <c r="A23" s="0" t="s">
        <v>141</v>
      </c>
      <c r="B23" s="0" t="s">
        <v>134</v>
      </c>
      <c r="C23" s="0" t="s">
        <v>142</v>
      </c>
      <c r="D23" s="0" t="n">
        <v>1.82</v>
      </c>
      <c r="E23" s="0" t="n">
        <v>12.97</v>
      </c>
      <c r="F23" s="0" t="n">
        <v>2</v>
      </c>
      <c r="G23" s="0" t="n">
        <v>39.15</v>
      </c>
      <c r="J23" s="0" t="n">
        <v>47.2</v>
      </c>
      <c r="P23" s="0" t="n">
        <v>1.82</v>
      </c>
      <c r="Q23" s="0" t="n">
        <v>1.82</v>
      </c>
      <c r="R23" s="0" t="s">
        <v>143</v>
      </c>
      <c r="S23" s="0" t="s">
        <v>137</v>
      </c>
      <c r="T23" s="0" t="s">
        <v>66</v>
      </c>
      <c r="U23" s="0" t="s">
        <v>138</v>
      </c>
      <c r="V23" s="0" t="s">
        <v>144</v>
      </c>
      <c r="W23" s="0" t="s">
        <v>145</v>
      </c>
    </row>
    <row r="24" customFormat="false" ht="15" hidden="false" customHeight="false" outlineLevel="0" collapsed="false">
      <c r="A24" s="0" t="s">
        <v>146</v>
      </c>
      <c r="B24" s="0" t="s">
        <v>134</v>
      </c>
      <c r="C24" s="0" t="s">
        <v>147</v>
      </c>
      <c r="D24" s="0" t="n">
        <v>1.8</v>
      </c>
      <c r="E24" s="0" t="n">
        <v>12.85</v>
      </c>
      <c r="F24" s="0" t="n">
        <v>2</v>
      </c>
      <c r="G24" s="0" t="n">
        <v>39.15</v>
      </c>
      <c r="J24" s="0" t="n">
        <v>46.24</v>
      </c>
      <c r="P24" s="0" t="n">
        <v>1.8</v>
      </c>
      <c r="Q24" s="0" t="n">
        <v>1.8</v>
      </c>
      <c r="R24" s="0" t="s">
        <v>148</v>
      </c>
      <c r="S24" s="0" t="s">
        <v>137</v>
      </c>
      <c r="T24" s="0" t="s">
        <v>66</v>
      </c>
      <c r="U24" s="0" t="s">
        <v>138</v>
      </c>
      <c r="V24" s="0" t="s">
        <v>149</v>
      </c>
      <c r="W24" s="0" t="s">
        <v>150</v>
      </c>
    </row>
    <row r="25" customFormat="false" ht="15" hidden="false" customHeight="false" outlineLevel="0" collapsed="false">
      <c r="A25" s="0" t="s">
        <v>151</v>
      </c>
      <c r="B25" s="0" t="s">
        <v>134</v>
      </c>
      <c r="C25" s="0" t="s">
        <v>152</v>
      </c>
      <c r="D25" s="0" t="n">
        <v>0.88</v>
      </c>
      <c r="E25" s="0" t="n">
        <v>12.75</v>
      </c>
      <c r="F25" s="0" t="n">
        <v>2</v>
      </c>
      <c r="G25" s="0" t="n">
        <v>26.1</v>
      </c>
      <c r="J25" s="0" t="n">
        <v>22.44</v>
      </c>
      <c r="P25" s="0" t="n">
        <v>0.88</v>
      </c>
      <c r="Q25" s="0" t="n">
        <v>0.88</v>
      </c>
      <c r="R25" s="0" t="s">
        <v>153</v>
      </c>
      <c r="S25" s="0" t="s">
        <v>137</v>
      </c>
      <c r="T25" s="0" t="s">
        <v>66</v>
      </c>
      <c r="U25" s="0" t="s">
        <v>138</v>
      </c>
      <c r="V25" s="0" t="s">
        <v>149</v>
      </c>
      <c r="W25" s="0" t="s">
        <v>154</v>
      </c>
    </row>
    <row r="26" customFormat="false" ht="15" hidden="false" customHeight="false" outlineLevel="0" collapsed="false">
      <c r="A26" s="0" t="s">
        <v>155</v>
      </c>
      <c r="B26" s="0" t="s">
        <v>134</v>
      </c>
      <c r="C26" s="0" t="s">
        <v>156</v>
      </c>
      <c r="D26" s="0" t="n">
        <v>2.69</v>
      </c>
      <c r="E26" s="0" t="n">
        <v>12.64</v>
      </c>
      <c r="F26" s="0" t="n">
        <v>2</v>
      </c>
      <c r="G26" s="0" t="n">
        <v>52.23</v>
      </c>
      <c r="J26" s="0" t="n">
        <v>68.12</v>
      </c>
      <c r="P26" s="0" t="n">
        <v>2.69</v>
      </c>
      <c r="Q26" s="0" t="n">
        <v>2.69</v>
      </c>
      <c r="R26" s="0" t="s">
        <v>157</v>
      </c>
      <c r="S26" s="0" t="s">
        <v>137</v>
      </c>
      <c r="T26" s="0" t="s">
        <v>66</v>
      </c>
      <c r="U26" s="0" t="s">
        <v>138</v>
      </c>
      <c r="V26" s="0" t="s">
        <v>158</v>
      </c>
      <c r="W26" s="0" t="s">
        <v>159</v>
      </c>
    </row>
    <row r="27" customFormat="false" ht="15" hidden="false" customHeight="false" outlineLevel="0" collapsed="false">
      <c r="A27" s="0" t="s">
        <v>160</v>
      </c>
      <c r="B27" s="0" t="s">
        <v>134</v>
      </c>
      <c r="C27" s="0" t="s">
        <v>161</v>
      </c>
      <c r="D27" s="0" t="n">
        <v>0.41</v>
      </c>
      <c r="E27" s="0" t="n">
        <v>12.54</v>
      </c>
      <c r="F27" s="0" t="n">
        <v>2</v>
      </c>
      <c r="G27" s="0" t="n">
        <v>26.11</v>
      </c>
      <c r="J27" s="0" t="n">
        <v>10.36</v>
      </c>
      <c r="P27" s="0" t="n">
        <v>0.41</v>
      </c>
      <c r="Q27" s="0" t="n">
        <v>0.41</v>
      </c>
      <c r="R27" s="0" t="s">
        <v>162</v>
      </c>
      <c r="S27" s="0" t="s">
        <v>137</v>
      </c>
      <c r="T27" s="0" t="s">
        <v>66</v>
      </c>
      <c r="U27" s="0" t="s">
        <v>138</v>
      </c>
      <c r="V27" s="0" t="s">
        <v>158</v>
      </c>
      <c r="W27" s="0" t="s">
        <v>163</v>
      </c>
    </row>
    <row r="28" customFormat="false" ht="15" hidden="false" customHeight="false" outlineLevel="0" collapsed="false">
      <c r="A28" s="0" t="s">
        <v>164</v>
      </c>
      <c r="B28" s="0" t="s">
        <v>134</v>
      </c>
      <c r="C28" s="0" t="s">
        <v>165</v>
      </c>
      <c r="D28" s="0" t="n">
        <v>11.74</v>
      </c>
      <c r="E28" s="0" t="n">
        <v>12.66</v>
      </c>
      <c r="F28" s="0" t="n">
        <v>2</v>
      </c>
      <c r="G28" s="0" t="n">
        <v>156.64</v>
      </c>
      <c r="J28" s="0" t="n">
        <v>297.26</v>
      </c>
      <c r="P28" s="0" t="n">
        <v>11.74</v>
      </c>
      <c r="Q28" s="0" t="n">
        <v>11.74</v>
      </c>
      <c r="R28" s="0" t="s">
        <v>166</v>
      </c>
      <c r="S28" s="0" t="s">
        <v>137</v>
      </c>
      <c r="T28" s="0" t="s">
        <v>66</v>
      </c>
      <c r="U28" s="0" t="s">
        <v>138</v>
      </c>
      <c r="V28" s="0" t="s">
        <v>167</v>
      </c>
      <c r="W28" s="0" t="s">
        <v>168</v>
      </c>
    </row>
    <row r="29" customFormat="false" ht="15" hidden="false" customHeight="false" outlineLevel="0" collapsed="false">
      <c r="A29" s="0" t="s">
        <v>169</v>
      </c>
      <c r="B29" s="0" t="s">
        <v>170</v>
      </c>
      <c r="C29" s="0" t="s">
        <v>171</v>
      </c>
      <c r="D29" s="0" t="n">
        <v>1.77</v>
      </c>
      <c r="E29" s="0" t="n">
        <v>15.38</v>
      </c>
      <c r="F29" s="0" t="n">
        <v>4</v>
      </c>
      <c r="G29" s="0" t="n">
        <v>30.75</v>
      </c>
      <c r="J29" s="0" t="n">
        <v>64.38</v>
      </c>
      <c r="P29" s="0" t="n">
        <v>1.77</v>
      </c>
      <c r="Q29" s="0" t="n">
        <v>1.77</v>
      </c>
      <c r="R29" s="0" t="s">
        <v>172</v>
      </c>
      <c r="S29" s="0" t="s">
        <v>173</v>
      </c>
      <c r="T29" s="0" t="s">
        <v>66</v>
      </c>
      <c r="U29" s="0" t="s">
        <v>138</v>
      </c>
      <c r="V29" s="0" t="s">
        <v>174</v>
      </c>
      <c r="W29" s="0" t="s">
        <v>175</v>
      </c>
    </row>
    <row r="30" customFormat="false" ht="15" hidden="false" customHeight="false" outlineLevel="0" collapsed="false">
      <c r="A30" s="0" t="s">
        <v>176</v>
      </c>
      <c r="B30" s="0" t="s">
        <v>177</v>
      </c>
      <c r="C30" s="0" t="s">
        <v>178</v>
      </c>
      <c r="D30" s="0" t="n">
        <v>3.47</v>
      </c>
      <c r="E30" s="0" t="n">
        <v>15.38</v>
      </c>
      <c r="F30" s="0" t="n">
        <v>4</v>
      </c>
      <c r="I30" s="0" t="n">
        <v>184.5</v>
      </c>
      <c r="J30" s="0" t="n">
        <v>213.2</v>
      </c>
      <c r="P30" s="0" t="n">
        <v>6.93</v>
      </c>
      <c r="Q30" s="0" t="n">
        <v>6.93</v>
      </c>
      <c r="R30" s="0" t="s">
        <v>179</v>
      </c>
      <c r="S30" s="0" t="s">
        <v>180</v>
      </c>
      <c r="T30" s="2" t="s">
        <v>28</v>
      </c>
      <c r="U30" s="3" t="s">
        <v>138</v>
      </c>
      <c r="V30" s="3" t="s">
        <v>181</v>
      </c>
      <c r="W30" s="3" t="s">
        <v>182</v>
      </c>
    </row>
    <row r="31" customFormat="false" ht="15" hidden="false" customHeight="false" outlineLevel="0" collapsed="false">
      <c r="A31" s="0" t="s">
        <v>183</v>
      </c>
      <c r="B31" s="0" t="s">
        <v>177</v>
      </c>
      <c r="C31" s="0" t="s">
        <v>184</v>
      </c>
      <c r="D31" s="0" t="n">
        <v>2.42</v>
      </c>
      <c r="E31" s="0" t="n">
        <v>15.38</v>
      </c>
      <c r="F31" s="0" t="n">
        <v>4</v>
      </c>
      <c r="I31" s="0" t="n">
        <v>92.25</v>
      </c>
      <c r="J31" s="0" t="n">
        <v>148.84</v>
      </c>
      <c r="P31" s="0" t="n">
        <v>4.84</v>
      </c>
      <c r="Q31" s="0" t="n">
        <v>4.84</v>
      </c>
      <c r="R31" s="0" t="s">
        <v>185</v>
      </c>
      <c r="S31" s="0" t="s">
        <v>180</v>
      </c>
      <c r="T31" s="2" t="s">
        <v>28</v>
      </c>
      <c r="U31" s="3" t="s">
        <v>138</v>
      </c>
      <c r="V31" s="3" t="s">
        <v>181</v>
      </c>
      <c r="W31" s="3" t="s">
        <v>182</v>
      </c>
    </row>
    <row r="32" customFormat="false" ht="15" hidden="false" customHeight="false" outlineLevel="0" collapsed="false">
      <c r="A32" s="0" t="s">
        <v>186</v>
      </c>
      <c r="B32" s="0" t="s">
        <v>177</v>
      </c>
      <c r="C32" s="0" t="s">
        <v>187</v>
      </c>
      <c r="D32" s="0" t="n">
        <v>3.25</v>
      </c>
      <c r="E32" s="0" t="n">
        <v>15.38</v>
      </c>
      <c r="F32" s="0" t="n">
        <v>4</v>
      </c>
      <c r="I32" s="0" t="n">
        <v>184.5</v>
      </c>
      <c r="J32" s="0" t="n">
        <v>200.08</v>
      </c>
      <c r="P32" s="0" t="n">
        <v>6.51</v>
      </c>
      <c r="Q32" s="0" t="n">
        <v>6.51</v>
      </c>
      <c r="R32" s="0" t="s">
        <v>188</v>
      </c>
      <c r="S32" s="0" t="s">
        <v>180</v>
      </c>
      <c r="T32" s="2" t="s">
        <v>28</v>
      </c>
      <c r="U32" s="3" t="s">
        <v>138</v>
      </c>
      <c r="V32" s="3" t="s">
        <v>189</v>
      </c>
      <c r="W32" s="3" t="s">
        <v>182</v>
      </c>
    </row>
    <row r="33" customFormat="false" ht="15" hidden="false" customHeight="false" outlineLevel="0" collapsed="false">
      <c r="A33" s="0" t="s">
        <v>190</v>
      </c>
      <c r="B33" s="0" t="s">
        <v>177</v>
      </c>
      <c r="C33" s="0" t="s">
        <v>191</v>
      </c>
      <c r="D33" s="0" t="n">
        <v>3.25</v>
      </c>
      <c r="E33" s="0" t="n">
        <v>15.38</v>
      </c>
      <c r="F33" s="0" t="n">
        <v>4</v>
      </c>
      <c r="I33" s="0" t="n">
        <v>184.5</v>
      </c>
      <c r="J33" s="0" t="n">
        <v>200.08</v>
      </c>
      <c r="P33" s="0" t="n">
        <v>6.51</v>
      </c>
      <c r="Q33" s="0" t="n">
        <v>6.51</v>
      </c>
      <c r="R33" s="0" t="s">
        <v>192</v>
      </c>
      <c r="S33" s="0" t="s">
        <v>180</v>
      </c>
      <c r="T33" s="2" t="s">
        <v>28</v>
      </c>
      <c r="U33" s="3" t="s">
        <v>138</v>
      </c>
      <c r="V33" s="3" t="s">
        <v>193</v>
      </c>
      <c r="W33" s="3" t="s">
        <v>182</v>
      </c>
    </row>
    <row r="34" customFormat="false" ht="15" hidden="false" customHeight="false" outlineLevel="0" collapsed="false">
      <c r="A34" s="0" t="s">
        <v>194</v>
      </c>
      <c r="B34" s="0" t="s">
        <v>177</v>
      </c>
      <c r="C34" s="0" t="s">
        <v>195</v>
      </c>
      <c r="D34" s="0" t="n">
        <v>10.83</v>
      </c>
      <c r="E34" s="0" t="n">
        <v>15.38</v>
      </c>
      <c r="F34" s="0" t="n">
        <v>4</v>
      </c>
      <c r="I34" s="0" t="n">
        <v>307.5</v>
      </c>
      <c r="J34" s="0" t="n">
        <v>666.26</v>
      </c>
      <c r="P34" s="0" t="n">
        <v>21.67</v>
      </c>
      <c r="Q34" s="0" t="n">
        <v>21.67</v>
      </c>
      <c r="R34" s="0" t="s">
        <v>196</v>
      </c>
      <c r="S34" s="0" t="s">
        <v>180</v>
      </c>
      <c r="T34" s="2" t="s">
        <v>28</v>
      </c>
      <c r="U34" s="3" t="s">
        <v>138</v>
      </c>
      <c r="V34" s="3" t="s">
        <v>197</v>
      </c>
      <c r="W34" s="3" t="s">
        <v>182</v>
      </c>
    </row>
    <row r="35" customFormat="false" ht="15" hidden="false" customHeight="false" outlineLevel="0" collapsed="false">
      <c r="A35" s="0" t="s">
        <v>198</v>
      </c>
      <c r="B35" s="0" t="s">
        <v>177</v>
      </c>
      <c r="C35" s="0" t="s">
        <v>199</v>
      </c>
      <c r="D35" s="0" t="n">
        <v>10.83</v>
      </c>
      <c r="E35" s="0" t="n">
        <v>15.38</v>
      </c>
      <c r="F35" s="0" t="n">
        <v>4</v>
      </c>
      <c r="I35" s="0" t="n">
        <v>307.5</v>
      </c>
      <c r="J35" s="0" t="n">
        <v>666.26</v>
      </c>
      <c r="P35" s="0" t="n">
        <v>21.67</v>
      </c>
      <c r="Q35" s="0" t="n">
        <v>21.67</v>
      </c>
      <c r="R35" s="0" t="s">
        <v>200</v>
      </c>
      <c r="S35" s="0" t="s">
        <v>180</v>
      </c>
      <c r="T35" s="2" t="s">
        <v>28</v>
      </c>
      <c r="U35" s="3" t="s">
        <v>138</v>
      </c>
      <c r="V35" s="3" t="s">
        <v>201</v>
      </c>
      <c r="W35" s="3" t="s">
        <v>182</v>
      </c>
    </row>
    <row r="36" customFormat="false" ht="15" hidden="false" customHeight="false" outlineLevel="0" collapsed="false">
      <c r="A36" s="0" t="s">
        <v>202</v>
      </c>
      <c r="B36" s="0" t="s">
        <v>177</v>
      </c>
      <c r="C36" s="0" t="s">
        <v>203</v>
      </c>
      <c r="D36" s="0" t="n">
        <v>10.07</v>
      </c>
      <c r="E36" s="0" t="n">
        <v>15.38</v>
      </c>
      <c r="F36" s="0" t="n">
        <v>4</v>
      </c>
      <c r="I36" s="0" t="n">
        <v>276.75</v>
      </c>
      <c r="J36" s="0" t="n">
        <v>619.52</v>
      </c>
      <c r="P36" s="0" t="n">
        <v>20.15</v>
      </c>
      <c r="Q36" s="0" t="n">
        <v>20.15</v>
      </c>
      <c r="R36" s="0" t="s">
        <v>204</v>
      </c>
      <c r="S36" s="0" t="s">
        <v>180</v>
      </c>
      <c r="T36" s="2" t="s">
        <v>28</v>
      </c>
      <c r="U36" s="3" t="s">
        <v>138</v>
      </c>
      <c r="V36" s="3" t="s">
        <v>205</v>
      </c>
      <c r="W36" s="3" t="s">
        <v>206</v>
      </c>
    </row>
    <row r="37" customFormat="false" ht="15" hidden="false" customHeight="false" outlineLevel="0" collapsed="false">
      <c r="A37" s="0" t="s">
        <v>207</v>
      </c>
      <c r="B37" s="0" t="s">
        <v>177</v>
      </c>
      <c r="C37" s="0" t="s">
        <v>208</v>
      </c>
      <c r="D37" s="0" t="n">
        <v>12.33</v>
      </c>
      <c r="E37" s="0" t="n">
        <v>15.38</v>
      </c>
      <c r="F37" s="0" t="n">
        <v>4</v>
      </c>
      <c r="I37" s="0" t="n">
        <v>369</v>
      </c>
      <c r="J37" s="0" t="n">
        <v>758.5</v>
      </c>
      <c r="P37" s="0" t="n">
        <v>24.67</v>
      </c>
      <c r="Q37" s="0" t="n">
        <v>24.67</v>
      </c>
      <c r="R37" s="0" t="s">
        <v>209</v>
      </c>
      <c r="S37" s="0" t="s">
        <v>180</v>
      </c>
      <c r="T37" s="2" t="s">
        <v>28</v>
      </c>
      <c r="U37" s="3" t="s">
        <v>138</v>
      </c>
      <c r="V37" s="3" t="s">
        <v>210</v>
      </c>
      <c r="W37" s="3" t="s">
        <v>182</v>
      </c>
    </row>
    <row r="38" customFormat="false" ht="15" hidden="false" customHeight="false" outlineLevel="0" collapsed="false">
      <c r="A38" s="0" t="s">
        <v>211</v>
      </c>
      <c r="B38" s="0" t="s">
        <v>177</v>
      </c>
      <c r="C38" s="0" t="s">
        <v>212</v>
      </c>
      <c r="D38" s="0" t="n">
        <v>11.63</v>
      </c>
      <c r="E38" s="0" t="n">
        <v>15.38</v>
      </c>
      <c r="F38" s="0" t="n">
        <v>4</v>
      </c>
      <c r="I38" s="0" t="n">
        <v>307.5</v>
      </c>
      <c r="J38" s="0" t="n">
        <v>715.04</v>
      </c>
      <c r="P38" s="0" t="n">
        <v>23.25</v>
      </c>
      <c r="Q38" s="0" t="n">
        <v>23.25</v>
      </c>
      <c r="R38" s="0" t="s">
        <v>213</v>
      </c>
      <c r="S38" s="0" t="s">
        <v>180</v>
      </c>
      <c r="T38" s="2" t="s">
        <v>28</v>
      </c>
      <c r="U38" s="3" t="s">
        <v>138</v>
      </c>
      <c r="V38" s="3" t="s">
        <v>214</v>
      </c>
      <c r="W38" s="3" t="s">
        <v>182</v>
      </c>
    </row>
    <row r="39" customFormat="false" ht="15" hidden="false" customHeight="false" outlineLevel="0" collapsed="false">
      <c r="A39" s="0" t="s">
        <v>215</v>
      </c>
      <c r="B39" s="0" t="s">
        <v>177</v>
      </c>
      <c r="C39" s="0" t="s">
        <v>216</v>
      </c>
      <c r="D39" s="0" t="n">
        <v>11.63</v>
      </c>
      <c r="E39" s="0" t="n">
        <v>15.38</v>
      </c>
      <c r="F39" s="0" t="n">
        <v>4</v>
      </c>
      <c r="I39" s="0" t="n">
        <v>307.5</v>
      </c>
      <c r="J39" s="0" t="n">
        <v>715.04</v>
      </c>
      <c r="P39" s="0" t="n">
        <v>23.25</v>
      </c>
      <c r="Q39" s="0" t="n">
        <v>23.25</v>
      </c>
      <c r="R39" s="0" t="s">
        <v>217</v>
      </c>
      <c r="S39" s="0" t="s">
        <v>180</v>
      </c>
      <c r="T39" s="2" t="s">
        <v>28</v>
      </c>
      <c r="U39" s="3" t="s">
        <v>138</v>
      </c>
      <c r="V39" s="3" t="s">
        <v>218</v>
      </c>
      <c r="W39" s="3" t="s">
        <v>182</v>
      </c>
    </row>
    <row r="40" customFormat="false" ht="15" hidden="false" customHeight="false" outlineLevel="0" collapsed="false">
      <c r="A40" s="0" t="s">
        <v>219</v>
      </c>
      <c r="B40" s="0" t="s">
        <v>220</v>
      </c>
      <c r="C40" s="0" t="s">
        <v>221</v>
      </c>
      <c r="D40" s="0" t="n">
        <v>10.83</v>
      </c>
      <c r="E40" s="0" t="n">
        <v>15.38</v>
      </c>
      <c r="F40" s="0" t="n">
        <v>4</v>
      </c>
      <c r="I40" s="0" t="n">
        <v>307.5</v>
      </c>
      <c r="J40" s="0" t="n">
        <v>666.26</v>
      </c>
      <c r="P40" s="0" t="n">
        <v>21.67</v>
      </c>
      <c r="Q40" s="0" t="n">
        <v>21.67</v>
      </c>
      <c r="R40" s="0" t="s">
        <v>222</v>
      </c>
      <c r="S40" s="0" t="s">
        <v>223</v>
      </c>
      <c r="T40" s="2" t="s">
        <v>28</v>
      </c>
      <c r="U40" s="3" t="s">
        <v>138</v>
      </c>
      <c r="V40" s="3" t="s">
        <v>224</v>
      </c>
      <c r="W40" s="3" t="s">
        <v>182</v>
      </c>
    </row>
    <row r="41" customFormat="false" ht="15" hidden="false" customHeight="false" outlineLevel="0" collapsed="false">
      <c r="A41" s="0" t="s">
        <v>225</v>
      </c>
      <c r="B41" s="0" t="s">
        <v>220</v>
      </c>
      <c r="C41" s="0" t="s">
        <v>226</v>
      </c>
      <c r="D41" s="0" t="n">
        <v>7.4</v>
      </c>
      <c r="E41" s="0" t="n">
        <v>15.38</v>
      </c>
      <c r="F41" s="0" t="n">
        <v>4</v>
      </c>
      <c r="I41" s="0" t="n">
        <v>307.5</v>
      </c>
      <c r="J41" s="0" t="n">
        <v>455.1</v>
      </c>
      <c r="P41" s="0" t="n">
        <v>14.8</v>
      </c>
      <c r="Q41" s="0" t="n">
        <v>14.8</v>
      </c>
      <c r="R41" s="0" t="s">
        <v>227</v>
      </c>
      <c r="S41" s="0" t="s">
        <v>223</v>
      </c>
      <c r="T41" s="2" t="s">
        <v>28</v>
      </c>
      <c r="U41" s="3" t="s">
        <v>138</v>
      </c>
      <c r="V41" s="3" t="s">
        <v>228</v>
      </c>
      <c r="W41" s="3" t="s">
        <v>182</v>
      </c>
    </row>
    <row r="42" customFormat="false" ht="15" hidden="false" customHeight="false" outlineLevel="0" collapsed="false">
      <c r="A42" s="0" t="s">
        <v>229</v>
      </c>
      <c r="B42" s="0" t="s">
        <v>230</v>
      </c>
      <c r="C42" s="0" t="s">
        <v>231</v>
      </c>
      <c r="D42" s="0" t="n">
        <v>17.76</v>
      </c>
      <c r="E42" s="0" t="n">
        <v>15.38</v>
      </c>
      <c r="F42" s="0" t="n">
        <v>3</v>
      </c>
      <c r="H42" s="0" t="n">
        <v>292.13</v>
      </c>
      <c r="J42" s="0" t="n">
        <v>325.1</v>
      </c>
      <c r="P42" s="0" t="n">
        <v>17.76</v>
      </c>
      <c r="Q42" s="0" t="n">
        <v>17.76</v>
      </c>
      <c r="R42" s="0" t="s">
        <v>232</v>
      </c>
      <c r="S42" s="0" t="s">
        <v>233</v>
      </c>
      <c r="T42" s="0" t="s">
        <v>66</v>
      </c>
      <c r="U42" s="0" t="s">
        <v>138</v>
      </c>
      <c r="V42" s="0" t="s">
        <v>234</v>
      </c>
      <c r="W42" s="0" t="s">
        <v>235</v>
      </c>
    </row>
    <row r="43" customFormat="false" ht="15" hidden="false" customHeight="false" outlineLevel="0" collapsed="false">
      <c r="A43" s="0" t="s">
        <v>236</v>
      </c>
      <c r="B43" s="0" t="s">
        <v>237</v>
      </c>
      <c r="C43" s="0" t="s">
        <v>238</v>
      </c>
      <c r="D43" s="0" t="n">
        <v>2.25</v>
      </c>
      <c r="E43" s="0" t="n">
        <v>10.04</v>
      </c>
      <c r="F43" s="0" t="n">
        <v>3</v>
      </c>
      <c r="H43" s="0" t="n">
        <v>25.38</v>
      </c>
      <c r="R43" s="0" t="s">
        <v>239</v>
      </c>
      <c r="S43" s="0" t="s">
        <v>240</v>
      </c>
      <c r="T43" s="0" t="s">
        <v>66</v>
      </c>
      <c r="U43" s="0" t="s">
        <v>138</v>
      </c>
      <c r="V43" s="0" t="s">
        <v>241</v>
      </c>
      <c r="W43" s="0" t="s">
        <v>242</v>
      </c>
    </row>
    <row r="44" customFormat="false" ht="15" hidden="false" customHeight="false" outlineLevel="0" collapsed="false">
      <c r="A44" s="0" t="s">
        <v>243</v>
      </c>
      <c r="B44" s="0" t="s">
        <v>244</v>
      </c>
      <c r="C44" s="0" t="s">
        <v>245</v>
      </c>
      <c r="D44" s="0" t="n">
        <v>4</v>
      </c>
      <c r="E44" s="0" t="n">
        <v>15.38</v>
      </c>
      <c r="F44" s="0" t="n">
        <v>1</v>
      </c>
      <c r="H44" s="0" t="n">
        <v>123</v>
      </c>
      <c r="J44" s="0" t="n">
        <v>61.5</v>
      </c>
      <c r="P44" s="0" t="n">
        <v>4</v>
      </c>
      <c r="Q44" s="0" t="n">
        <v>4</v>
      </c>
      <c r="R44" s="0" t="s">
        <v>246</v>
      </c>
      <c r="S44" s="0" t="s">
        <v>247</v>
      </c>
      <c r="T44" s="2" t="s">
        <v>28</v>
      </c>
      <c r="U44" s="3" t="s">
        <v>138</v>
      </c>
      <c r="V44" s="3" t="s">
        <v>248</v>
      </c>
      <c r="W44" s="3" t="s">
        <v>249</v>
      </c>
    </row>
    <row r="45" customFormat="false" ht="15" hidden="false" customHeight="false" outlineLevel="0" collapsed="false">
      <c r="A45" s="0" t="s">
        <v>250</v>
      </c>
      <c r="B45" s="0" t="s">
        <v>244</v>
      </c>
      <c r="C45" s="0" t="s">
        <v>251</v>
      </c>
      <c r="D45" s="0" t="n">
        <v>1.71</v>
      </c>
      <c r="E45" s="0" t="n">
        <v>15.38</v>
      </c>
      <c r="F45" s="0" t="n">
        <v>1</v>
      </c>
      <c r="H45" s="0" t="n">
        <v>76.88</v>
      </c>
      <c r="J45" s="0" t="n">
        <v>26.34</v>
      </c>
      <c r="P45" s="0" t="n">
        <v>1.71</v>
      </c>
      <c r="Q45" s="0" t="n">
        <v>1.71</v>
      </c>
      <c r="R45" s="0" t="s">
        <v>252</v>
      </c>
      <c r="S45" s="0" t="s">
        <v>247</v>
      </c>
      <c r="T45" s="2" t="s">
        <v>28</v>
      </c>
      <c r="U45" s="3" t="s">
        <v>138</v>
      </c>
      <c r="V45" s="3" t="s">
        <v>253</v>
      </c>
      <c r="W45" s="3" t="s">
        <v>249</v>
      </c>
    </row>
    <row r="46" customFormat="false" ht="15" hidden="false" customHeight="false" outlineLevel="0" collapsed="false">
      <c r="A46" s="0" t="s">
        <v>254</v>
      </c>
      <c r="B46" s="0" t="s">
        <v>244</v>
      </c>
      <c r="C46" s="0" t="s">
        <v>255</v>
      </c>
      <c r="D46" s="0" t="n">
        <v>11.33</v>
      </c>
      <c r="E46" s="0" t="n">
        <v>15.38</v>
      </c>
      <c r="F46" s="0" t="n">
        <v>1</v>
      </c>
      <c r="H46" s="0" t="n">
        <v>184.5</v>
      </c>
      <c r="J46" s="0" t="n">
        <v>174.25</v>
      </c>
      <c r="P46" s="0" t="n">
        <v>11.33</v>
      </c>
      <c r="Q46" s="0" t="n">
        <v>11.33</v>
      </c>
      <c r="R46" s="0" t="s">
        <v>256</v>
      </c>
      <c r="S46" s="0" t="s">
        <v>247</v>
      </c>
      <c r="T46" s="2" t="s">
        <v>28</v>
      </c>
      <c r="U46" s="3" t="s">
        <v>138</v>
      </c>
      <c r="V46" s="3" t="s">
        <v>257</v>
      </c>
      <c r="W46" s="3" t="s">
        <v>249</v>
      </c>
    </row>
    <row r="47" customFormat="false" ht="15" hidden="false" customHeight="false" outlineLevel="0" collapsed="false">
      <c r="A47" s="0" t="s">
        <v>258</v>
      </c>
      <c r="B47" s="0" t="s">
        <v>244</v>
      </c>
      <c r="C47" s="0" t="s">
        <v>259</v>
      </c>
      <c r="D47" s="0" t="n">
        <v>10.03</v>
      </c>
      <c r="E47" s="0" t="n">
        <v>12.92</v>
      </c>
      <c r="F47" s="0" t="n">
        <v>1</v>
      </c>
      <c r="H47" s="0" t="n">
        <v>117.49</v>
      </c>
      <c r="J47" s="0" t="n">
        <v>129.57</v>
      </c>
      <c r="P47" s="0" t="n">
        <v>10.03</v>
      </c>
      <c r="Q47" s="0" t="n">
        <v>10.03</v>
      </c>
      <c r="R47" s="0" t="s">
        <v>260</v>
      </c>
      <c r="S47" s="0" t="s">
        <v>247</v>
      </c>
      <c r="T47" s="2" t="s">
        <v>28</v>
      </c>
      <c r="U47" s="3" t="s">
        <v>138</v>
      </c>
      <c r="V47" s="3" t="s">
        <v>261</v>
      </c>
      <c r="W47" s="3" t="s">
        <v>262</v>
      </c>
    </row>
    <row r="48" customFormat="false" ht="15" hidden="false" customHeight="false" outlineLevel="0" collapsed="false">
      <c r="A48" s="0" t="s">
        <v>263</v>
      </c>
      <c r="B48" s="0" t="s">
        <v>244</v>
      </c>
      <c r="C48" s="0" t="s">
        <v>264</v>
      </c>
      <c r="D48" s="0" t="n">
        <v>10.03</v>
      </c>
      <c r="E48" s="0" t="n">
        <v>12.89</v>
      </c>
      <c r="F48" s="0" t="n">
        <v>1</v>
      </c>
      <c r="H48" s="0" t="n">
        <v>117.49</v>
      </c>
      <c r="J48" s="0" t="n">
        <v>129.26</v>
      </c>
      <c r="P48" s="0" t="n">
        <v>10.03</v>
      </c>
      <c r="Q48" s="0" t="n">
        <v>10.03</v>
      </c>
      <c r="R48" s="0" t="s">
        <v>265</v>
      </c>
      <c r="S48" s="0" t="s">
        <v>247</v>
      </c>
      <c r="T48" s="2" t="s">
        <v>28</v>
      </c>
      <c r="U48" s="3" t="s">
        <v>138</v>
      </c>
      <c r="V48" s="3" t="s">
        <v>266</v>
      </c>
      <c r="W48" s="3" t="s">
        <v>267</v>
      </c>
    </row>
    <row r="49" customFormat="false" ht="15" hidden="false" customHeight="false" outlineLevel="0" collapsed="false">
      <c r="A49" s="0" t="s">
        <v>268</v>
      </c>
      <c r="B49" s="0" t="s">
        <v>244</v>
      </c>
      <c r="C49" s="0" t="s">
        <v>269</v>
      </c>
      <c r="D49" s="0" t="n">
        <v>4.14</v>
      </c>
      <c r="E49" s="0" t="n">
        <v>15.38</v>
      </c>
      <c r="F49" s="0" t="n">
        <v>1</v>
      </c>
      <c r="H49" s="0" t="n">
        <v>107.63</v>
      </c>
      <c r="J49" s="0" t="n">
        <v>63.65</v>
      </c>
      <c r="P49" s="0" t="n">
        <v>4.14</v>
      </c>
      <c r="Q49" s="0" t="n">
        <v>4.14</v>
      </c>
      <c r="R49" s="0" t="s">
        <v>270</v>
      </c>
      <c r="S49" s="0" t="s">
        <v>247</v>
      </c>
      <c r="T49" s="2" t="s">
        <v>28</v>
      </c>
      <c r="U49" s="3" t="s">
        <v>138</v>
      </c>
      <c r="V49" s="3" t="s">
        <v>271</v>
      </c>
      <c r="W49" s="3" t="s">
        <v>249</v>
      </c>
    </row>
    <row r="50" customFormat="false" ht="15" hidden="false" customHeight="false" outlineLevel="0" collapsed="false">
      <c r="A50" s="0" t="s">
        <v>272</v>
      </c>
      <c r="B50" s="0" t="s">
        <v>273</v>
      </c>
      <c r="C50" s="0" t="s">
        <v>274</v>
      </c>
      <c r="D50" s="0" t="n">
        <v>7.5</v>
      </c>
      <c r="E50" s="0" t="n">
        <v>7.33</v>
      </c>
      <c r="F50" s="0" t="n">
        <v>4</v>
      </c>
      <c r="I50" s="0" t="n">
        <v>211</v>
      </c>
      <c r="J50" s="0" t="n">
        <v>223.85</v>
      </c>
      <c r="Q50" s="0" t="n">
        <v>15</v>
      </c>
      <c r="R50" s="0" t="s">
        <v>275</v>
      </c>
      <c r="S50" s="0" t="s">
        <v>276</v>
      </c>
      <c r="T50" s="2" t="s">
        <v>28</v>
      </c>
      <c r="U50" s="3" t="s">
        <v>138</v>
      </c>
      <c r="V50" s="3" t="s">
        <v>277</v>
      </c>
      <c r="W50" s="3" t="s">
        <v>278</v>
      </c>
    </row>
    <row r="51" customFormat="false" ht="15" hidden="false" customHeight="false" outlineLevel="0" collapsed="false">
      <c r="A51" s="0" t="s">
        <v>279</v>
      </c>
      <c r="B51" s="0" t="s">
        <v>280</v>
      </c>
      <c r="C51" s="0" t="s">
        <v>281</v>
      </c>
      <c r="D51" s="0" t="n">
        <v>7.5</v>
      </c>
      <c r="E51" s="0" t="n">
        <v>7.33</v>
      </c>
      <c r="F51" s="0" t="n">
        <v>4</v>
      </c>
      <c r="I51" s="0" t="n">
        <v>211</v>
      </c>
      <c r="J51" s="0" t="n">
        <v>223.85</v>
      </c>
      <c r="Q51" s="0" t="n">
        <v>15</v>
      </c>
      <c r="R51" s="0" t="s">
        <v>282</v>
      </c>
      <c r="S51" s="0" t="s">
        <v>276</v>
      </c>
      <c r="T51" s="2" t="s">
        <v>28</v>
      </c>
      <c r="U51" s="3" t="s">
        <v>138</v>
      </c>
      <c r="V51" s="3" t="s">
        <v>277</v>
      </c>
      <c r="W51" s="3" t="s">
        <v>278</v>
      </c>
    </row>
    <row r="52" customFormat="false" ht="15" hidden="false" customHeight="false" outlineLevel="0" collapsed="false">
      <c r="A52" s="0" t="s">
        <v>283</v>
      </c>
      <c r="B52" s="0" t="s">
        <v>284</v>
      </c>
      <c r="C52" s="0" t="s">
        <v>285</v>
      </c>
      <c r="D52" s="0" t="n">
        <v>7.5</v>
      </c>
      <c r="E52" s="0" t="n">
        <v>7.33</v>
      </c>
      <c r="F52" s="0" t="n">
        <v>4</v>
      </c>
      <c r="I52" s="0" t="n">
        <v>211</v>
      </c>
      <c r="J52" s="0" t="n">
        <v>223.85</v>
      </c>
      <c r="Q52" s="0" t="n">
        <v>15</v>
      </c>
      <c r="R52" s="0" t="s">
        <v>286</v>
      </c>
      <c r="S52" s="0" t="s">
        <v>276</v>
      </c>
      <c r="T52" s="2" t="s">
        <v>28</v>
      </c>
      <c r="U52" s="3" t="s">
        <v>138</v>
      </c>
      <c r="V52" s="3" t="s">
        <v>277</v>
      </c>
      <c r="W52" s="3" t="s">
        <v>278</v>
      </c>
    </row>
    <row r="53" customFormat="false" ht="15" hidden="false" customHeight="false" outlineLevel="0" collapsed="false">
      <c r="A53" s="0" t="s">
        <v>287</v>
      </c>
      <c r="B53" s="0" t="s">
        <v>288</v>
      </c>
      <c r="C53" s="0" t="s">
        <v>289</v>
      </c>
      <c r="D53" s="0" t="n">
        <v>7.5</v>
      </c>
      <c r="E53" s="0" t="n">
        <v>7.33</v>
      </c>
      <c r="F53" s="0" t="n">
        <v>4</v>
      </c>
      <c r="I53" s="0" t="n">
        <v>211</v>
      </c>
      <c r="J53" s="0" t="n">
        <v>223.85</v>
      </c>
      <c r="Q53" s="0" t="n">
        <v>15</v>
      </c>
      <c r="R53" s="0" t="s">
        <v>290</v>
      </c>
      <c r="S53" s="0" t="s">
        <v>276</v>
      </c>
      <c r="T53" s="2" t="s">
        <v>28</v>
      </c>
      <c r="U53" s="3" t="s">
        <v>138</v>
      </c>
      <c r="V53" s="3" t="s">
        <v>277</v>
      </c>
      <c r="W53" s="3" t="s">
        <v>278</v>
      </c>
    </row>
    <row r="54" customFormat="false" ht="15" hidden="false" customHeight="false" outlineLevel="0" collapsed="false">
      <c r="A54" s="0" t="s">
        <v>291</v>
      </c>
      <c r="B54" s="0" t="s">
        <v>292</v>
      </c>
      <c r="C54" s="0" t="s">
        <v>293</v>
      </c>
      <c r="D54" s="0" t="n">
        <v>7.5</v>
      </c>
      <c r="E54" s="0" t="n">
        <v>7.38</v>
      </c>
      <c r="F54" s="0" t="n">
        <v>4</v>
      </c>
      <c r="I54" s="0" t="n">
        <v>211.5</v>
      </c>
      <c r="J54" s="0" t="n">
        <v>226.56</v>
      </c>
      <c r="Q54" s="0" t="n">
        <v>15</v>
      </c>
      <c r="R54" s="0" t="s">
        <v>294</v>
      </c>
      <c r="S54" s="0" t="s">
        <v>276</v>
      </c>
      <c r="T54" s="2" t="s">
        <v>28</v>
      </c>
      <c r="U54" s="3" t="s">
        <v>138</v>
      </c>
      <c r="V54" s="3" t="s">
        <v>295</v>
      </c>
      <c r="W54" s="3" t="s">
        <v>296</v>
      </c>
    </row>
    <row r="55" customFormat="false" ht="15" hidden="false" customHeight="false" outlineLevel="0" collapsed="false">
      <c r="A55" s="0" t="s">
        <v>297</v>
      </c>
      <c r="B55" s="0" t="s">
        <v>298</v>
      </c>
      <c r="C55" s="0" t="s">
        <v>299</v>
      </c>
      <c r="D55" s="0" t="n">
        <v>7.5</v>
      </c>
      <c r="E55" s="0" t="n">
        <v>7.38</v>
      </c>
      <c r="F55" s="0" t="n">
        <v>4</v>
      </c>
      <c r="I55" s="0" t="n">
        <v>211.5</v>
      </c>
      <c r="J55" s="0" t="n">
        <v>226.56</v>
      </c>
      <c r="Q55" s="0" t="n">
        <v>15</v>
      </c>
      <c r="R55" s="0" t="s">
        <v>300</v>
      </c>
      <c r="S55" s="0" t="s">
        <v>276</v>
      </c>
      <c r="T55" s="2" t="s">
        <v>28</v>
      </c>
      <c r="U55" s="3" t="s">
        <v>138</v>
      </c>
      <c r="V55" s="3" t="s">
        <v>295</v>
      </c>
      <c r="W55" s="3" t="s">
        <v>296</v>
      </c>
    </row>
    <row r="56" customFormat="false" ht="15" hidden="false" customHeight="false" outlineLevel="0" collapsed="false">
      <c r="A56" s="0" t="s">
        <v>301</v>
      </c>
      <c r="B56" s="0" t="s">
        <v>302</v>
      </c>
      <c r="C56" s="0" t="s">
        <v>303</v>
      </c>
      <c r="D56" s="0" t="n">
        <v>3.83</v>
      </c>
      <c r="E56" s="0" t="n">
        <v>7.21</v>
      </c>
      <c r="F56" s="0" t="n">
        <v>2</v>
      </c>
      <c r="G56" s="0" t="n">
        <v>52.38</v>
      </c>
      <c r="J56" s="0" t="n">
        <v>55.26</v>
      </c>
      <c r="Q56" s="0" t="n">
        <v>3.83</v>
      </c>
      <c r="R56" s="0" t="s">
        <v>304</v>
      </c>
      <c r="S56" s="0" t="s">
        <v>305</v>
      </c>
      <c r="T56" s="0" t="s">
        <v>66</v>
      </c>
      <c r="U56" s="0" t="s">
        <v>138</v>
      </c>
      <c r="V56" s="0" t="s">
        <v>306</v>
      </c>
      <c r="W56" s="0" t="s">
        <v>307</v>
      </c>
    </row>
    <row r="57" customFormat="false" ht="15" hidden="false" customHeight="false" outlineLevel="0" collapsed="false">
      <c r="A57" s="0" t="s">
        <v>308</v>
      </c>
      <c r="B57" s="0" t="s">
        <v>309</v>
      </c>
      <c r="C57" s="0" t="s">
        <v>310</v>
      </c>
      <c r="D57" s="0" t="n">
        <v>3.33</v>
      </c>
      <c r="E57" s="0" t="n">
        <v>5.85</v>
      </c>
      <c r="F57" s="0" t="n">
        <v>2</v>
      </c>
      <c r="G57" s="0" t="n">
        <v>43.61</v>
      </c>
      <c r="J57" s="0" t="n">
        <v>39.03</v>
      </c>
      <c r="Q57" s="0" t="n">
        <v>3.33</v>
      </c>
      <c r="R57" s="0" t="s">
        <v>311</v>
      </c>
      <c r="S57" s="0" t="s">
        <v>312</v>
      </c>
      <c r="T57" s="0" t="s">
        <v>66</v>
      </c>
      <c r="U57" s="0" t="s">
        <v>138</v>
      </c>
      <c r="V57" s="0" t="s">
        <v>306</v>
      </c>
      <c r="W57" s="0" t="s">
        <v>313</v>
      </c>
    </row>
    <row r="58" customFormat="false" ht="15" hidden="false" customHeight="false" outlineLevel="0" collapsed="false">
      <c r="A58" s="0" t="s">
        <v>314</v>
      </c>
      <c r="B58" s="0" t="s">
        <v>315</v>
      </c>
      <c r="C58" s="0" t="s">
        <v>316</v>
      </c>
      <c r="D58" s="0" t="n">
        <v>3.33</v>
      </c>
      <c r="E58" s="0" t="n">
        <v>5.63</v>
      </c>
      <c r="F58" s="0" t="n">
        <v>2</v>
      </c>
      <c r="G58" s="0" t="n">
        <v>42.47</v>
      </c>
      <c r="J58" s="0" t="n">
        <v>37.51</v>
      </c>
      <c r="Q58" s="0" t="n">
        <v>3.33</v>
      </c>
      <c r="R58" s="0" t="s">
        <v>317</v>
      </c>
      <c r="S58" s="0" t="s">
        <v>318</v>
      </c>
      <c r="T58" s="0" t="s">
        <v>66</v>
      </c>
      <c r="U58" s="0" t="s">
        <v>138</v>
      </c>
      <c r="V58" s="0" t="s">
        <v>306</v>
      </c>
      <c r="W58" s="0" t="s">
        <v>319</v>
      </c>
    </row>
    <row r="59" customFormat="false" ht="15" hidden="false" customHeight="false" outlineLevel="0" collapsed="false">
      <c r="A59" s="0" t="s">
        <v>320</v>
      </c>
      <c r="B59" s="0" t="s">
        <v>321</v>
      </c>
      <c r="C59" s="0" t="s">
        <v>322</v>
      </c>
      <c r="D59" s="0" t="n">
        <v>3.33</v>
      </c>
      <c r="E59" s="0" t="n">
        <v>5.54</v>
      </c>
      <c r="F59" s="0" t="n">
        <v>2</v>
      </c>
      <c r="G59" s="0" t="n">
        <v>42.03</v>
      </c>
      <c r="J59" s="0" t="n">
        <v>36.93</v>
      </c>
      <c r="Q59" s="0" t="n">
        <v>3.33</v>
      </c>
      <c r="R59" s="0" t="s">
        <v>323</v>
      </c>
      <c r="S59" s="0" t="s">
        <v>324</v>
      </c>
      <c r="T59" s="0" t="s">
        <v>66</v>
      </c>
      <c r="U59" s="0" t="s">
        <v>138</v>
      </c>
      <c r="V59" s="0" t="s">
        <v>306</v>
      </c>
      <c r="W59" s="0" t="s">
        <v>325</v>
      </c>
    </row>
    <row r="60" customFormat="false" ht="15" hidden="false" customHeight="false" outlineLevel="0" collapsed="false">
      <c r="A60" s="0" t="s">
        <v>326</v>
      </c>
      <c r="B60" s="0" t="s">
        <v>327</v>
      </c>
      <c r="C60" s="0" t="s">
        <v>328</v>
      </c>
      <c r="D60" s="0" t="n">
        <v>3.33</v>
      </c>
      <c r="E60" s="0" t="n">
        <v>5.42</v>
      </c>
      <c r="F60" s="0" t="n">
        <v>2</v>
      </c>
      <c r="G60" s="0" t="n">
        <v>41.41</v>
      </c>
      <c r="J60" s="0" t="n">
        <v>36.1</v>
      </c>
      <c r="Q60" s="0" t="n">
        <v>3.33</v>
      </c>
      <c r="R60" s="0" t="s">
        <v>329</v>
      </c>
      <c r="S60" s="0" t="s">
        <v>330</v>
      </c>
      <c r="T60" s="0" t="s">
        <v>66</v>
      </c>
      <c r="U60" s="0" t="s">
        <v>138</v>
      </c>
      <c r="V60" s="0" t="s">
        <v>306</v>
      </c>
      <c r="W60" s="0" t="s">
        <v>331</v>
      </c>
    </row>
    <row r="61" customFormat="false" ht="15" hidden="false" customHeight="false" outlineLevel="0" collapsed="false">
      <c r="A61" s="0" t="s">
        <v>332</v>
      </c>
      <c r="B61" s="0" t="s">
        <v>333</v>
      </c>
      <c r="C61" s="0" t="s">
        <v>334</v>
      </c>
      <c r="D61" s="0" t="n">
        <v>17.02</v>
      </c>
      <c r="E61" s="0" t="n">
        <v>19.667</v>
      </c>
      <c r="F61" s="0" t="n">
        <v>2</v>
      </c>
      <c r="G61" s="0" t="n">
        <v>344</v>
      </c>
      <c r="J61" s="0" t="n">
        <v>165.1</v>
      </c>
      <c r="P61" s="0" t="n">
        <v>21.5</v>
      </c>
      <c r="Q61" s="0" t="n">
        <v>34</v>
      </c>
      <c r="R61" s="0" t="s">
        <v>335</v>
      </c>
      <c r="S61" s="0" t="s">
        <v>336</v>
      </c>
      <c r="T61" s="0" t="s">
        <v>66</v>
      </c>
      <c r="U61" s="0" t="s">
        <v>337</v>
      </c>
      <c r="V61" s="0" t="s">
        <v>338</v>
      </c>
      <c r="W61" s="0" t="s">
        <v>339</v>
      </c>
    </row>
    <row r="62" customFormat="false" ht="15" hidden="false" customHeight="false" outlineLevel="0" collapsed="false">
      <c r="A62" s="0" t="s">
        <v>340</v>
      </c>
      <c r="B62" s="0" t="s">
        <v>333</v>
      </c>
      <c r="C62" s="0" t="s">
        <v>341</v>
      </c>
      <c r="D62" s="0" t="n">
        <v>26.25</v>
      </c>
      <c r="E62" s="0" t="n">
        <v>17.417</v>
      </c>
      <c r="F62" s="0" t="n">
        <v>2</v>
      </c>
      <c r="G62" s="0" t="n">
        <v>256.2</v>
      </c>
      <c r="J62" s="0" t="n">
        <v>202.1</v>
      </c>
      <c r="P62" s="0" t="n">
        <v>26.2</v>
      </c>
      <c r="Q62" s="0" t="n">
        <v>52.4</v>
      </c>
      <c r="R62" s="0" t="s">
        <v>342</v>
      </c>
      <c r="S62" s="0" t="s">
        <v>343</v>
      </c>
      <c r="T62" s="0" t="s">
        <v>66</v>
      </c>
      <c r="U62" s="0" t="s">
        <v>337</v>
      </c>
      <c r="V62" s="0" t="s">
        <v>338</v>
      </c>
      <c r="W62" s="0" t="s">
        <v>344</v>
      </c>
    </row>
    <row r="63" customFormat="false" ht="15" hidden="false" customHeight="false" outlineLevel="0" collapsed="false">
      <c r="A63" s="0" t="s">
        <v>345</v>
      </c>
      <c r="B63" s="0" t="s">
        <v>333</v>
      </c>
      <c r="C63" s="0" t="s">
        <v>346</v>
      </c>
      <c r="D63" s="0" t="n">
        <v>12.93</v>
      </c>
      <c r="E63" s="0" t="n">
        <v>17.417</v>
      </c>
      <c r="F63" s="0" t="n">
        <v>2</v>
      </c>
      <c r="G63" s="0" t="n">
        <v>247.9</v>
      </c>
      <c r="J63" s="0" t="n">
        <v>181</v>
      </c>
      <c r="P63" s="0" t="n">
        <v>25.8</v>
      </c>
      <c r="Q63" s="0" t="n">
        <v>25.8</v>
      </c>
      <c r="R63" s="0" t="s">
        <v>347</v>
      </c>
      <c r="S63" s="0" t="s">
        <v>348</v>
      </c>
      <c r="T63" s="0" t="s">
        <v>66</v>
      </c>
      <c r="U63" s="0" t="s">
        <v>337</v>
      </c>
      <c r="V63" s="0" t="s">
        <v>338</v>
      </c>
      <c r="W63" s="0" t="s">
        <v>349</v>
      </c>
    </row>
    <row r="64" customFormat="false" ht="15" hidden="false" customHeight="false" outlineLevel="0" collapsed="false">
      <c r="A64" s="0" t="s">
        <v>350</v>
      </c>
      <c r="B64" s="0" t="s">
        <v>333</v>
      </c>
      <c r="C64" s="0" t="s">
        <v>351</v>
      </c>
      <c r="D64" s="0" t="n">
        <v>50.69</v>
      </c>
      <c r="E64" s="0" t="n">
        <v>17.417</v>
      </c>
      <c r="F64" s="0" t="n">
        <v>2</v>
      </c>
      <c r="G64" s="0" t="n">
        <v>993.4</v>
      </c>
      <c r="J64" s="0" t="n">
        <v>752.1</v>
      </c>
      <c r="P64" s="0" t="n">
        <v>101.4</v>
      </c>
      <c r="Q64" s="0" t="n">
        <v>101.4</v>
      </c>
      <c r="R64" s="0" t="s">
        <v>352</v>
      </c>
      <c r="S64" s="0" t="s">
        <v>353</v>
      </c>
      <c r="T64" s="0" t="s">
        <v>66</v>
      </c>
      <c r="U64" s="0" t="s">
        <v>337</v>
      </c>
      <c r="V64" s="0" t="s">
        <v>338</v>
      </c>
      <c r="W64" s="0" t="s">
        <v>354</v>
      </c>
    </row>
    <row r="65" customFormat="false" ht="15" hidden="false" customHeight="false" outlineLevel="0" collapsed="false">
      <c r="A65" s="0" t="s">
        <v>355</v>
      </c>
      <c r="B65" s="0" t="s">
        <v>333</v>
      </c>
      <c r="C65" s="0" t="s">
        <v>356</v>
      </c>
      <c r="D65" s="0" t="n">
        <v>25.25</v>
      </c>
      <c r="E65" s="0" t="n">
        <v>17.417</v>
      </c>
      <c r="F65" s="0" t="n">
        <v>2</v>
      </c>
      <c r="G65" s="0" t="n">
        <v>422.4</v>
      </c>
      <c r="J65" s="0" t="n">
        <v>324.4</v>
      </c>
      <c r="P65" s="0" t="n">
        <v>50.4</v>
      </c>
      <c r="Q65" s="0" t="n">
        <v>50.4</v>
      </c>
      <c r="R65" s="0" t="s">
        <v>357</v>
      </c>
      <c r="S65" s="0" t="s">
        <v>358</v>
      </c>
      <c r="T65" s="0" t="s">
        <v>66</v>
      </c>
      <c r="U65" s="0" t="s">
        <v>337</v>
      </c>
      <c r="V65" s="0" t="s">
        <v>338</v>
      </c>
      <c r="W65" s="0" t="s">
        <v>359</v>
      </c>
    </row>
    <row r="66" customFormat="false" ht="15" hidden="false" customHeight="false" outlineLevel="0" collapsed="false">
      <c r="A66" s="0" t="s">
        <v>360</v>
      </c>
      <c r="B66" s="0" t="s">
        <v>333</v>
      </c>
      <c r="C66" s="0" t="s">
        <v>361</v>
      </c>
      <c r="D66" s="0" t="n">
        <v>52.33</v>
      </c>
      <c r="E66" s="0" t="n">
        <v>17.417</v>
      </c>
      <c r="F66" s="0" t="n">
        <v>2</v>
      </c>
      <c r="G66" s="0" t="n">
        <v>986.8</v>
      </c>
      <c r="J66" s="0" t="n">
        <v>621</v>
      </c>
      <c r="P66" s="0" t="n">
        <v>101.3</v>
      </c>
      <c r="Q66" s="0" t="n">
        <v>104.6</v>
      </c>
      <c r="R66" s="0" t="s">
        <v>362</v>
      </c>
      <c r="S66" s="0" t="s">
        <v>363</v>
      </c>
      <c r="T66" s="0" t="s">
        <v>66</v>
      </c>
      <c r="U66" s="0" t="s">
        <v>337</v>
      </c>
      <c r="V66" s="0" t="s">
        <v>338</v>
      </c>
      <c r="W66" s="0" t="s">
        <v>364</v>
      </c>
    </row>
    <row r="67" customFormat="false" ht="15" hidden="false" customHeight="false" outlineLevel="0" collapsed="false">
      <c r="A67" s="0" t="s">
        <v>365</v>
      </c>
      <c r="B67" s="0" t="s">
        <v>333</v>
      </c>
      <c r="C67" s="0" t="s">
        <v>366</v>
      </c>
      <c r="D67" s="0" t="n">
        <v>25.25</v>
      </c>
      <c r="E67" s="0" t="n">
        <v>17.417</v>
      </c>
      <c r="F67" s="0" t="n">
        <v>2</v>
      </c>
      <c r="G67" s="0" t="n">
        <v>448.5</v>
      </c>
      <c r="J67" s="0" t="n">
        <v>324.4</v>
      </c>
      <c r="P67" s="0" t="n">
        <v>50.4</v>
      </c>
      <c r="Q67" s="0" t="n">
        <v>50.4</v>
      </c>
      <c r="R67" s="0" t="s">
        <v>367</v>
      </c>
      <c r="S67" s="0" t="s">
        <v>368</v>
      </c>
      <c r="T67" s="0" t="s">
        <v>66</v>
      </c>
      <c r="U67" s="0" t="s">
        <v>337</v>
      </c>
      <c r="V67" s="0" t="s">
        <v>338</v>
      </c>
      <c r="W67" s="0" t="s">
        <v>369</v>
      </c>
    </row>
    <row r="68" customFormat="false" ht="15" hidden="false" customHeight="false" outlineLevel="0" collapsed="false">
      <c r="A68" s="0" t="s">
        <v>370</v>
      </c>
      <c r="B68" s="0" t="s">
        <v>333</v>
      </c>
      <c r="C68" s="0" t="s">
        <v>371</v>
      </c>
      <c r="D68" s="0" t="n">
        <v>22.68</v>
      </c>
      <c r="E68" s="0" t="n">
        <v>17.417</v>
      </c>
      <c r="F68" s="0" t="n">
        <v>2</v>
      </c>
      <c r="G68" s="0" t="n">
        <v>514.7</v>
      </c>
      <c r="J68" s="0" t="n">
        <v>327.7</v>
      </c>
      <c r="P68" s="0" t="n">
        <v>45.4</v>
      </c>
      <c r="Q68" s="0" t="n">
        <v>45.4</v>
      </c>
      <c r="R68" s="0" t="s">
        <v>372</v>
      </c>
      <c r="S68" s="0" t="s">
        <v>373</v>
      </c>
      <c r="T68" s="0" t="s">
        <v>66</v>
      </c>
      <c r="U68" s="0" t="s">
        <v>337</v>
      </c>
      <c r="V68" s="0" t="s">
        <v>338</v>
      </c>
      <c r="W68" s="0" t="s">
        <v>374</v>
      </c>
    </row>
    <row r="69" customFormat="false" ht="15" hidden="false" customHeight="false" outlineLevel="0" collapsed="false">
      <c r="A69" s="0" t="s">
        <v>375</v>
      </c>
      <c r="B69" s="0" t="s">
        <v>333</v>
      </c>
      <c r="C69" s="0" t="s">
        <v>376</v>
      </c>
      <c r="D69" s="0" t="n">
        <v>3.88</v>
      </c>
      <c r="E69" s="0" t="n">
        <v>19.667</v>
      </c>
      <c r="F69" s="0" t="n">
        <v>2</v>
      </c>
      <c r="G69" s="0" t="n">
        <v>129.1</v>
      </c>
      <c r="J69" s="0" t="n">
        <v>60.1</v>
      </c>
      <c r="P69" s="0" t="n">
        <v>7.8</v>
      </c>
      <c r="Q69" s="0" t="n">
        <v>7.8</v>
      </c>
      <c r="R69" s="0" t="s">
        <v>377</v>
      </c>
      <c r="S69" s="0" t="s">
        <v>378</v>
      </c>
      <c r="T69" s="0" t="s">
        <v>66</v>
      </c>
      <c r="U69" s="0" t="s">
        <v>337</v>
      </c>
      <c r="V69" s="0" t="s">
        <v>338</v>
      </c>
      <c r="W69" s="0" t="s">
        <v>379</v>
      </c>
    </row>
    <row r="70" customFormat="false" ht="15" hidden="false" customHeight="false" outlineLevel="0" collapsed="false">
      <c r="A70" s="0" t="s">
        <v>380</v>
      </c>
      <c r="B70" s="0" t="s">
        <v>333</v>
      </c>
      <c r="C70" s="0" t="s">
        <v>381</v>
      </c>
      <c r="D70" s="0" t="n">
        <v>28.01</v>
      </c>
      <c r="E70" s="0" t="n">
        <v>19.667</v>
      </c>
      <c r="F70" s="0" t="n">
        <v>2</v>
      </c>
      <c r="G70" s="0" t="n">
        <v>612.2</v>
      </c>
      <c r="J70" s="0" t="n">
        <v>376.9</v>
      </c>
      <c r="P70" s="0" t="n">
        <v>49.5</v>
      </c>
      <c r="Q70" s="0" t="n">
        <v>56</v>
      </c>
      <c r="R70" s="0" t="s">
        <v>382</v>
      </c>
      <c r="S70" s="0" t="s">
        <v>383</v>
      </c>
      <c r="T70" s="0" t="s">
        <v>66</v>
      </c>
      <c r="U70" s="0" t="s">
        <v>337</v>
      </c>
      <c r="V70" s="0" t="s">
        <v>338</v>
      </c>
      <c r="W70" s="0" t="s">
        <v>384</v>
      </c>
    </row>
    <row r="71" customFormat="false" ht="15" hidden="false" customHeight="false" outlineLevel="0" collapsed="false">
      <c r="A71" s="0" t="s">
        <v>385</v>
      </c>
      <c r="B71" s="0" t="s">
        <v>386</v>
      </c>
      <c r="C71" s="0" t="s">
        <v>387</v>
      </c>
      <c r="D71" s="0" t="n">
        <v>78.16</v>
      </c>
      <c r="E71" s="0" t="n">
        <v>1.865</v>
      </c>
      <c r="F71" s="0" t="n">
        <v>1</v>
      </c>
      <c r="H71" s="0" t="n">
        <v>357.1</v>
      </c>
      <c r="R71" s="0" t="s">
        <v>388</v>
      </c>
      <c r="S71" s="0" t="s">
        <v>389</v>
      </c>
      <c r="T71" s="0" t="s">
        <v>66</v>
      </c>
      <c r="U71" s="0" t="s">
        <v>337</v>
      </c>
      <c r="V71" s="0" t="s">
        <v>390</v>
      </c>
      <c r="W71" s="0" t="s">
        <v>391</v>
      </c>
    </row>
    <row r="72" customFormat="false" ht="15" hidden="false" customHeight="false" outlineLevel="0" collapsed="false">
      <c r="A72" s="0" t="s">
        <v>392</v>
      </c>
      <c r="B72" s="0" t="s">
        <v>386</v>
      </c>
      <c r="C72" s="0" t="s">
        <v>393</v>
      </c>
      <c r="D72" s="0" t="n">
        <v>78.02</v>
      </c>
      <c r="E72" s="0" t="n">
        <v>1.865</v>
      </c>
      <c r="F72" s="0" t="n">
        <v>1</v>
      </c>
      <c r="H72" s="0" t="n">
        <v>828.5</v>
      </c>
      <c r="R72" s="0" t="s">
        <v>394</v>
      </c>
      <c r="S72" s="0" t="s">
        <v>389</v>
      </c>
      <c r="T72" s="0" t="s">
        <v>66</v>
      </c>
      <c r="U72" s="0" t="s">
        <v>337</v>
      </c>
      <c r="V72" s="0" t="s">
        <v>390</v>
      </c>
      <c r="W72" s="0" t="s">
        <v>395</v>
      </c>
    </row>
    <row r="73" customFormat="false" ht="15" hidden="false" customHeight="false" outlineLevel="0" collapsed="false">
      <c r="A73" s="0" t="s">
        <v>396</v>
      </c>
      <c r="B73" s="0" t="s">
        <v>386</v>
      </c>
      <c r="C73" s="0" t="s">
        <v>397</v>
      </c>
      <c r="D73" s="0" t="n">
        <v>55.57</v>
      </c>
      <c r="E73" s="0" t="n">
        <v>1.865</v>
      </c>
      <c r="F73" s="0" t="n">
        <v>1</v>
      </c>
      <c r="H73" s="0" t="n">
        <v>166.2</v>
      </c>
      <c r="R73" s="0" t="s">
        <v>398</v>
      </c>
      <c r="S73" s="0" t="s">
        <v>389</v>
      </c>
      <c r="T73" s="0" t="s">
        <v>66</v>
      </c>
      <c r="U73" s="0" t="s">
        <v>337</v>
      </c>
      <c r="V73" s="0" t="s">
        <v>390</v>
      </c>
      <c r="W73" s="0" t="s">
        <v>399</v>
      </c>
    </row>
    <row r="74" customFormat="false" ht="15" hidden="false" customHeight="false" outlineLevel="0" collapsed="false">
      <c r="A74" s="0" t="s">
        <v>400</v>
      </c>
      <c r="B74" s="0" t="s">
        <v>386</v>
      </c>
      <c r="C74" s="0" t="s">
        <v>401</v>
      </c>
      <c r="D74" s="0" t="n">
        <v>29.01</v>
      </c>
      <c r="E74" s="0" t="n">
        <v>1.865</v>
      </c>
      <c r="F74" s="0" t="n">
        <v>1</v>
      </c>
      <c r="H74" s="0" t="n">
        <v>81.8</v>
      </c>
      <c r="R74" s="0" t="s">
        <v>402</v>
      </c>
      <c r="S74" s="0" t="s">
        <v>389</v>
      </c>
      <c r="T74" s="0" t="s">
        <v>66</v>
      </c>
      <c r="U74" s="0" t="s">
        <v>337</v>
      </c>
      <c r="V74" s="0" t="s">
        <v>390</v>
      </c>
      <c r="W74" s="0" t="s">
        <v>403</v>
      </c>
    </row>
    <row r="75" customFormat="false" ht="15" hidden="false" customHeight="false" outlineLevel="0" collapsed="false">
      <c r="A75" s="0" t="s">
        <v>404</v>
      </c>
      <c r="B75" s="0" t="s">
        <v>405</v>
      </c>
      <c r="C75" s="0" t="s">
        <v>406</v>
      </c>
      <c r="D75" s="0" t="n">
        <v>22.67</v>
      </c>
      <c r="E75" s="0" t="n">
        <v>10.604</v>
      </c>
      <c r="F75" s="0" t="n">
        <v>1</v>
      </c>
      <c r="H75" s="0" t="n">
        <v>339.3</v>
      </c>
      <c r="R75" s="0" t="s">
        <v>407</v>
      </c>
      <c r="S75" s="0" t="s">
        <v>408</v>
      </c>
      <c r="T75" s="0" t="s">
        <v>66</v>
      </c>
      <c r="U75" s="0" t="s">
        <v>337</v>
      </c>
      <c r="V75" s="0" t="s">
        <v>409</v>
      </c>
      <c r="W75" s="0" t="s">
        <v>410</v>
      </c>
    </row>
    <row r="76" customFormat="false" ht="15" hidden="false" customHeight="false" outlineLevel="0" collapsed="false">
      <c r="A76" s="0" t="s">
        <v>411</v>
      </c>
      <c r="B76" s="0" t="s">
        <v>412</v>
      </c>
      <c r="C76" s="0" t="s">
        <v>413</v>
      </c>
      <c r="D76" s="0" t="n">
        <v>6.79</v>
      </c>
      <c r="E76" s="0" t="n">
        <v>15.375</v>
      </c>
      <c r="F76" s="0" t="n">
        <v>1</v>
      </c>
      <c r="H76" s="0" t="n">
        <v>184.5</v>
      </c>
      <c r="J76" s="0" t="n">
        <v>90.6</v>
      </c>
      <c r="R76" s="0" t="s">
        <v>414</v>
      </c>
      <c r="S76" s="0" t="s">
        <v>415</v>
      </c>
      <c r="T76" s="0" t="s">
        <v>66</v>
      </c>
      <c r="U76" s="0" t="s">
        <v>337</v>
      </c>
      <c r="V76" s="0" t="s">
        <v>416</v>
      </c>
      <c r="W76" s="0" t="s">
        <v>417</v>
      </c>
    </row>
    <row r="77" customFormat="false" ht="15" hidden="false" customHeight="false" outlineLevel="0" collapsed="false">
      <c r="A77" s="0" t="s">
        <v>418</v>
      </c>
      <c r="B77" s="0" t="s">
        <v>419</v>
      </c>
      <c r="C77" s="0" t="s">
        <v>420</v>
      </c>
      <c r="E77" s="0" t="n">
        <v>10</v>
      </c>
      <c r="F77" s="0" t="n">
        <v>1</v>
      </c>
      <c r="J77" s="0" t="n">
        <v>121.97</v>
      </c>
      <c r="R77" s="0" t="s">
        <v>421</v>
      </c>
      <c r="S77" s="0" t="s">
        <v>422</v>
      </c>
      <c r="T77" s="0" t="s">
        <v>66</v>
      </c>
      <c r="U77" s="0" t="s">
        <v>423</v>
      </c>
      <c r="V77" s="0" t="s">
        <v>424</v>
      </c>
      <c r="W77" s="0" t="s">
        <v>425</v>
      </c>
    </row>
    <row r="78" customFormat="false" ht="15" hidden="false" customHeight="false" outlineLevel="0" collapsed="false">
      <c r="A78" s="0" t="s">
        <v>426</v>
      </c>
      <c r="B78" s="0" t="s">
        <v>419</v>
      </c>
      <c r="C78" s="0" t="s">
        <v>427</v>
      </c>
      <c r="E78" s="0" t="n">
        <v>10</v>
      </c>
      <c r="F78" s="0" t="n">
        <v>1</v>
      </c>
      <c r="J78" s="0" t="n">
        <v>150.75</v>
      </c>
      <c r="R78" s="0" t="s">
        <v>421</v>
      </c>
      <c r="S78" s="0" t="s">
        <v>428</v>
      </c>
      <c r="T78" s="0" t="s">
        <v>66</v>
      </c>
      <c r="U78" s="0" t="s">
        <v>423</v>
      </c>
      <c r="V78" s="0" t="s">
        <v>424</v>
      </c>
      <c r="W78" s="0" t="s">
        <v>425</v>
      </c>
    </row>
    <row r="79" customFormat="false" ht="15" hidden="false" customHeight="false" outlineLevel="0" collapsed="false">
      <c r="A79" s="0" t="s">
        <v>429</v>
      </c>
      <c r="B79" s="0" t="s">
        <v>430</v>
      </c>
      <c r="C79" s="0" t="s">
        <v>431</v>
      </c>
      <c r="E79" s="0" t="n">
        <v>11</v>
      </c>
      <c r="F79" s="0" t="n">
        <v>1</v>
      </c>
      <c r="H79" s="0" t="n">
        <v>114.48</v>
      </c>
      <c r="J79" s="0" t="n">
        <v>587.83</v>
      </c>
      <c r="R79" s="0" t="s">
        <v>421</v>
      </c>
      <c r="S79" s="0" t="s">
        <v>432</v>
      </c>
      <c r="T79" s="0" t="s">
        <v>66</v>
      </c>
      <c r="U79" s="0" t="s">
        <v>423</v>
      </c>
      <c r="V79" s="0" t="s">
        <v>424</v>
      </c>
      <c r="W79" s="0" t="s">
        <v>425</v>
      </c>
    </row>
    <row r="80" customFormat="false" ht="15" hidden="false" customHeight="false" outlineLevel="0" collapsed="false">
      <c r="A80" s="0" t="s">
        <v>433</v>
      </c>
      <c r="B80" s="0" t="s">
        <v>434</v>
      </c>
      <c r="C80" s="0" t="s">
        <v>435</v>
      </c>
      <c r="E80" s="0" t="n">
        <v>8.5</v>
      </c>
      <c r="F80" s="0" t="n">
        <v>1</v>
      </c>
      <c r="J80" s="0" t="n">
        <v>75.6</v>
      </c>
      <c r="R80" s="0" t="s">
        <v>421</v>
      </c>
      <c r="S80" s="0" t="s">
        <v>436</v>
      </c>
      <c r="T80" s="0" t="s">
        <v>66</v>
      </c>
      <c r="U80" s="0" t="s">
        <v>423</v>
      </c>
      <c r="V80" s="0" t="s">
        <v>424</v>
      </c>
      <c r="W80" s="0" t="s">
        <v>425</v>
      </c>
    </row>
    <row r="81" customFormat="false" ht="15" hidden="false" customHeight="false" outlineLevel="0" collapsed="false">
      <c r="A81" s="0" t="s">
        <v>437</v>
      </c>
      <c r="B81" s="0" t="s">
        <v>434</v>
      </c>
      <c r="C81" s="0" t="s">
        <v>438</v>
      </c>
      <c r="E81" s="0" t="n">
        <v>8.5</v>
      </c>
      <c r="F81" s="0" t="n">
        <v>1</v>
      </c>
      <c r="J81" s="0" t="n">
        <v>75.57</v>
      </c>
      <c r="R81" s="0" t="s">
        <v>421</v>
      </c>
      <c r="S81" s="0" t="s">
        <v>439</v>
      </c>
      <c r="T81" s="0" t="s">
        <v>66</v>
      </c>
      <c r="U81" s="0" t="s">
        <v>423</v>
      </c>
      <c r="V81" s="0" t="s">
        <v>424</v>
      </c>
      <c r="W81" s="0" t="s">
        <v>425</v>
      </c>
    </row>
    <row r="82" customFormat="false" ht="15" hidden="false" customHeight="false" outlineLevel="0" collapsed="false">
      <c r="A82" s="0" t="s">
        <v>440</v>
      </c>
      <c r="B82" s="0" t="s">
        <v>441</v>
      </c>
      <c r="C82" s="0" t="s">
        <v>442</v>
      </c>
      <c r="D82" s="0" t="n">
        <v>12.02</v>
      </c>
      <c r="E82" s="0" t="n">
        <v>8</v>
      </c>
      <c r="F82" s="0" t="n">
        <v>1</v>
      </c>
      <c r="H82" s="0" t="n">
        <v>150.77</v>
      </c>
      <c r="J82" s="0" t="n">
        <v>77.13</v>
      </c>
      <c r="R82" s="0" t="s">
        <v>443</v>
      </c>
      <c r="S82" s="0" t="s">
        <v>444</v>
      </c>
      <c r="T82" s="2" t="s">
        <v>445</v>
      </c>
      <c r="U82" s="3" t="s">
        <v>423</v>
      </c>
      <c r="V82" s="3" t="s">
        <v>446</v>
      </c>
      <c r="W82" s="3" t="s">
        <v>447</v>
      </c>
    </row>
    <row r="83" customFormat="false" ht="15" hidden="false" customHeight="false" outlineLevel="0" collapsed="false">
      <c r="A83" s="0" t="s">
        <v>448</v>
      </c>
      <c r="B83" s="0" t="s">
        <v>449</v>
      </c>
      <c r="C83" s="0" t="s">
        <v>450</v>
      </c>
      <c r="R83" s="0" t="s">
        <v>451</v>
      </c>
      <c r="S83" s="0" t="s">
        <v>452</v>
      </c>
      <c r="T83" s="0" t="s">
        <v>66</v>
      </c>
      <c r="U83" s="0" t="s">
        <v>453</v>
      </c>
      <c r="V83" s="0" t="s">
        <v>454</v>
      </c>
      <c r="W83" s="0" t="s">
        <v>455</v>
      </c>
    </row>
    <row r="84" customFormat="false" ht="15" hidden="false" customHeight="false" outlineLevel="0" collapsed="false">
      <c r="A84" s="0" t="s">
        <v>456</v>
      </c>
      <c r="B84" s="0" t="s">
        <v>449</v>
      </c>
      <c r="C84" s="0" t="s">
        <v>457</v>
      </c>
      <c r="R84" s="0" t="s">
        <v>458</v>
      </c>
      <c r="S84" s="0" t="s">
        <v>452</v>
      </c>
      <c r="T84" s="0" t="s">
        <v>66</v>
      </c>
      <c r="U84" s="0" t="s">
        <v>453</v>
      </c>
      <c r="V84" s="0" t="s">
        <v>454</v>
      </c>
      <c r="W84" s="0" t="s">
        <v>455</v>
      </c>
    </row>
    <row r="85" customFormat="false" ht="15" hidden="false" customHeight="false" outlineLevel="0" collapsed="false">
      <c r="A85" s="0" t="s">
        <v>459</v>
      </c>
      <c r="B85" s="0" t="s">
        <v>449</v>
      </c>
      <c r="C85" s="0" t="s">
        <v>460</v>
      </c>
      <c r="R85" s="0" t="s">
        <v>461</v>
      </c>
      <c r="S85" s="0" t="s">
        <v>452</v>
      </c>
      <c r="T85" s="0" t="s">
        <v>66</v>
      </c>
      <c r="U85" s="0" t="s">
        <v>453</v>
      </c>
      <c r="V85" s="0" t="s">
        <v>454</v>
      </c>
      <c r="W85" s="0" t="s">
        <v>455</v>
      </c>
    </row>
    <row r="86" customFormat="false" ht="15" hidden="false" customHeight="false" outlineLevel="0" collapsed="false">
      <c r="A86" s="0" t="s">
        <v>462</v>
      </c>
      <c r="B86" s="0" t="s">
        <v>449</v>
      </c>
      <c r="C86" s="0" t="s">
        <v>463</v>
      </c>
      <c r="R86" s="0" t="s">
        <v>464</v>
      </c>
      <c r="S86" s="0" t="s">
        <v>452</v>
      </c>
      <c r="T86" s="0" t="s">
        <v>66</v>
      </c>
      <c r="U86" s="0" t="s">
        <v>453</v>
      </c>
      <c r="V86" s="0" t="s">
        <v>454</v>
      </c>
      <c r="W86" s="0" t="s">
        <v>455</v>
      </c>
    </row>
    <row r="87" customFormat="false" ht="15" hidden="false" customHeight="false" outlineLevel="0" collapsed="false">
      <c r="A87" s="0" t="s">
        <v>465</v>
      </c>
      <c r="B87" s="0" t="s">
        <v>449</v>
      </c>
      <c r="C87" s="0" t="s">
        <v>466</v>
      </c>
      <c r="R87" s="0" t="s">
        <v>467</v>
      </c>
      <c r="S87" s="0" t="s">
        <v>452</v>
      </c>
      <c r="T87" s="0" t="s">
        <v>66</v>
      </c>
      <c r="U87" s="0" t="s">
        <v>453</v>
      </c>
      <c r="V87" s="0" t="s">
        <v>454</v>
      </c>
      <c r="W87" s="0" t="s">
        <v>455</v>
      </c>
    </row>
    <row r="88" customFormat="false" ht="15" hidden="false" customHeight="false" outlineLevel="0" collapsed="false">
      <c r="A88" s="0" t="s">
        <v>468</v>
      </c>
      <c r="B88" s="0" t="s">
        <v>449</v>
      </c>
      <c r="C88" s="0" t="s">
        <v>469</v>
      </c>
      <c r="R88" s="0" t="s">
        <v>470</v>
      </c>
      <c r="S88" s="0" t="s">
        <v>452</v>
      </c>
      <c r="T88" s="0" t="s">
        <v>66</v>
      </c>
      <c r="U88" s="0" t="s">
        <v>453</v>
      </c>
      <c r="V88" s="0" t="s">
        <v>454</v>
      </c>
      <c r="W88" s="0" t="s">
        <v>455</v>
      </c>
    </row>
    <row r="89" customFormat="false" ht="15" hidden="false" customHeight="false" outlineLevel="0" collapsed="false">
      <c r="A89" s="0" t="s">
        <v>471</v>
      </c>
      <c r="B89" s="0" t="s">
        <v>449</v>
      </c>
      <c r="C89" s="0" t="s">
        <v>472</v>
      </c>
      <c r="R89" s="0" t="s">
        <v>473</v>
      </c>
      <c r="S89" s="0" t="s">
        <v>452</v>
      </c>
      <c r="T89" s="0" t="s">
        <v>66</v>
      </c>
      <c r="U89" s="0" t="s">
        <v>453</v>
      </c>
      <c r="V89" s="0" t="s">
        <v>454</v>
      </c>
      <c r="W89" s="0" t="s">
        <v>455</v>
      </c>
    </row>
    <row r="90" customFormat="false" ht="15" hidden="false" customHeight="false" outlineLevel="0" collapsed="false">
      <c r="A90" s="0" t="s">
        <v>474</v>
      </c>
      <c r="B90" s="0" t="s">
        <v>449</v>
      </c>
      <c r="C90" s="0" t="s">
        <v>475</v>
      </c>
      <c r="R90" s="0" t="s">
        <v>476</v>
      </c>
      <c r="S90" s="0" t="s">
        <v>452</v>
      </c>
      <c r="T90" s="0" t="s">
        <v>66</v>
      </c>
      <c r="U90" s="0" t="s">
        <v>453</v>
      </c>
      <c r="V90" s="0" t="s">
        <v>454</v>
      </c>
      <c r="W90" s="0" t="s">
        <v>455</v>
      </c>
    </row>
    <row r="91" customFormat="false" ht="15" hidden="false" customHeight="false" outlineLevel="0" collapsed="false">
      <c r="A91" s="0" t="s">
        <v>477</v>
      </c>
      <c r="B91" s="0" t="s">
        <v>449</v>
      </c>
      <c r="C91" s="0" t="s">
        <v>478</v>
      </c>
      <c r="R91" s="0" t="s">
        <v>479</v>
      </c>
      <c r="S91" s="0" t="s">
        <v>452</v>
      </c>
      <c r="T91" s="0" t="s">
        <v>66</v>
      </c>
      <c r="U91" s="0" t="s">
        <v>453</v>
      </c>
      <c r="V91" s="0" t="s">
        <v>454</v>
      </c>
      <c r="W91" s="0" t="s">
        <v>455</v>
      </c>
    </row>
    <row r="92" customFormat="false" ht="15" hidden="false" customHeight="false" outlineLevel="0" collapsed="false">
      <c r="A92" s="0" t="s">
        <v>480</v>
      </c>
      <c r="B92" s="0" t="s">
        <v>481</v>
      </c>
      <c r="C92" s="0" t="s">
        <v>482</v>
      </c>
      <c r="R92" s="0" t="s">
        <v>482</v>
      </c>
      <c r="S92" s="0" t="s">
        <v>483</v>
      </c>
      <c r="T92" s="0" t="s">
        <v>66</v>
      </c>
      <c r="U92" s="0" t="s">
        <v>453</v>
      </c>
      <c r="V92" s="0" t="s">
        <v>454</v>
      </c>
      <c r="W92" s="0" t="s">
        <v>484</v>
      </c>
    </row>
    <row r="93" customFormat="false" ht="15" hidden="false" customHeight="false" outlineLevel="0" collapsed="false">
      <c r="A93" s="0" t="s">
        <v>485</v>
      </c>
      <c r="B93" s="0" t="s">
        <v>486</v>
      </c>
      <c r="C93" s="0" t="s">
        <v>487</v>
      </c>
      <c r="R93" s="0" t="s">
        <v>487</v>
      </c>
      <c r="S93" s="0" t="s">
        <v>488</v>
      </c>
      <c r="T93" s="0" t="s">
        <v>66</v>
      </c>
      <c r="U93" s="0" t="s">
        <v>453</v>
      </c>
      <c r="V93" s="0" t="s">
        <v>454</v>
      </c>
      <c r="W93" s="0" t="s">
        <v>484</v>
      </c>
    </row>
    <row r="94" customFormat="false" ht="15" hidden="false" customHeight="false" outlineLevel="0" collapsed="false">
      <c r="A94" s="0" t="s">
        <v>489</v>
      </c>
      <c r="B94" s="0" t="s">
        <v>490</v>
      </c>
      <c r="C94" s="0" t="s">
        <v>491</v>
      </c>
      <c r="R94" s="0" t="s">
        <v>491</v>
      </c>
      <c r="S94" s="0" t="s">
        <v>492</v>
      </c>
      <c r="T94" s="0" t="s">
        <v>66</v>
      </c>
      <c r="U94" s="0" t="s">
        <v>453</v>
      </c>
      <c r="V94" s="0" t="s">
        <v>454</v>
      </c>
      <c r="W94" s="0" t="s">
        <v>484</v>
      </c>
    </row>
    <row r="95" customFormat="false" ht="15" hidden="false" customHeight="false" outlineLevel="0" collapsed="false">
      <c r="A95" s="0" t="s">
        <v>493</v>
      </c>
      <c r="B95" s="0" t="s">
        <v>494</v>
      </c>
      <c r="C95" s="0" t="s">
        <v>495</v>
      </c>
      <c r="R95" s="0" t="s">
        <v>495</v>
      </c>
      <c r="S95" s="0" t="s">
        <v>496</v>
      </c>
      <c r="T95" s="0" t="s">
        <v>66</v>
      </c>
      <c r="U95" s="0" t="s">
        <v>453</v>
      </c>
      <c r="V95" s="0" t="s">
        <v>454</v>
      </c>
      <c r="W95" s="0" t="s">
        <v>484</v>
      </c>
    </row>
    <row r="96" customFormat="false" ht="15" hidden="false" customHeight="false" outlineLevel="0" collapsed="false">
      <c r="A96" s="0" t="s">
        <v>497</v>
      </c>
      <c r="B96" s="0" t="s">
        <v>498</v>
      </c>
      <c r="C96" s="0" t="s">
        <v>499</v>
      </c>
      <c r="R96" s="0" t="s">
        <v>499</v>
      </c>
      <c r="S96" s="0" t="s">
        <v>500</v>
      </c>
      <c r="T96" s="0" t="s">
        <v>66</v>
      </c>
      <c r="U96" s="0" t="s">
        <v>453</v>
      </c>
      <c r="V96" s="0" t="s">
        <v>454</v>
      </c>
      <c r="W96" s="0" t="s">
        <v>484</v>
      </c>
    </row>
    <row r="97" customFormat="false" ht="15" hidden="false" customHeight="false" outlineLevel="0" collapsed="false">
      <c r="A97" s="0" t="s">
        <v>501</v>
      </c>
      <c r="B97" s="0" t="s">
        <v>502</v>
      </c>
      <c r="C97" s="0" t="s">
        <v>503</v>
      </c>
      <c r="R97" s="0" t="s">
        <v>503</v>
      </c>
      <c r="S97" s="0" t="s">
        <v>504</v>
      </c>
      <c r="T97" s="0" t="s">
        <v>66</v>
      </c>
      <c r="U97" s="0" t="s">
        <v>453</v>
      </c>
      <c r="V97" s="0" t="s">
        <v>454</v>
      </c>
      <c r="W97" s="0" t="s">
        <v>484</v>
      </c>
    </row>
    <row r="98" customFormat="false" ht="15" hidden="false" customHeight="false" outlineLevel="0" collapsed="false">
      <c r="A98" s="0" t="s">
        <v>505</v>
      </c>
      <c r="B98" s="0" t="s">
        <v>506</v>
      </c>
      <c r="C98" s="0" t="s">
        <v>507</v>
      </c>
      <c r="R98" s="0" t="s">
        <v>507</v>
      </c>
      <c r="S98" s="0" t="s">
        <v>508</v>
      </c>
      <c r="T98" s="0" t="s">
        <v>66</v>
      </c>
      <c r="U98" s="0" t="s">
        <v>453</v>
      </c>
      <c r="V98" s="0" t="s">
        <v>454</v>
      </c>
      <c r="W98" s="0" t="s">
        <v>484</v>
      </c>
    </row>
    <row r="99" customFormat="false" ht="15" hidden="false" customHeight="false" outlineLevel="0" collapsed="false">
      <c r="A99" s="0" t="s">
        <v>509</v>
      </c>
      <c r="B99" s="0" t="s">
        <v>510</v>
      </c>
      <c r="C99" s="0" t="s">
        <v>511</v>
      </c>
      <c r="R99" s="0" t="s">
        <v>511</v>
      </c>
      <c r="S99" s="0" t="s">
        <v>512</v>
      </c>
      <c r="T99" s="0" t="s">
        <v>66</v>
      </c>
      <c r="U99" s="0" t="s">
        <v>453</v>
      </c>
      <c r="V99" s="0" t="s">
        <v>454</v>
      </c>
      <c r="W99" s="0" t="s">
        <v>484</v>
      </c>
    </row>
    <row r="100" customFormat="false" ht="15" hidden="false" customHeight="false" outlineLevel="0" collapsed="false">
      <c r="A100" s="0" t="s">
        <v>513</v>
      </c>
      <c r="B100" s="0" t="s">
        <v>514</v>
      </c>
      <c r="C100" s="0" t="s">
        <v>515</v>
      </c>
      <c r="R100" s="0" t="s">
        <v>515</v>
      </c>
      <c r="S100" s="0" t="s">
        <v>516</v>
      </c>
      <c r="T100" s="0" t="s">
        <v>66</v>
      </c>
      <c r="U100" s="0" t="s">
        <v>453</v>
      </c>
      <c r="V100" s="0" t="s">
        <v>454</v>
      </c>
      <c r="W100" s="0" t="s">
        <v>484</v>
      </c>
    </row>
    <row r="101" customFormat="false" ht="15" hidden="false" customHeight="false" outlineLevel="0" collapsed="false">
      <c r="A101" s="0" t="s">
        <v>517</v>
      </c>
      <c r="B101" s="0" t="s">
        <v>518</v>
      </c>
      <c r="C101" s="0" t="s">
        <v>519</v>
      </c>
      <c r="R101" s="0" t="s">
        <v>519</v>
      </c>
      <c r="S101" s="0" t="s">
        <v>520</v>
      </c>
      <c r="T101" s="0" t="s">
        <v>66</v>
      </c>
      <c r="U101" s="0" t="s">
        <v>453</v>
      </c>
      <c r="V101" s="0" t="s">
        <v>454</v>
      </c>
      <c r="W101" s="0" t="s">
        <v>484</v>
      </c>
    </row>
    <row r="102" customFormat="false" ht="15" hidden="false" customHeight="false" outlineLevel="0" collapsed="false">
      <c r="A102" s="0" t="s">
        <v>521</v>
      </c>
      <c r="B102" s="0" t="s">
        <v>522</v>
      </c>
      <c r="C102" s="0" t="s">
        <v>523</v>
      </c>
      <c r="R102" s="0" t="s">
        <v>523</v>
      </c>
      <c r="S102" s="0" t="s">
        <v>524</v>
      </c>
      <c r="T102" s="0" t="s">
        <v>66</v>
      </c>
      <c r="U102" s="0" t="s">
        <v>453</v>
      </c>
      <c r="V102" s="0" t="s">
        <v>454</v>
      </c>
      <c r="W102" s="0" t="s">
        <v>484</v>
      </c>
    </row>
    <row r="103" customFormat="false" ht="15" hidden="false" customHeight="false" outlineLevel="0" collapsed="false">
      <c r="A103" s="0" t="s">
        <v>525</v>
      </c>
      <c r="B103" s="0" t="s">
        <v>526</v>
      </c>
      <c r="C103" s="0" t="s">
        <v>527</v>
      </c>
      <c r="R103" s="0" t="s">
        <v>528</v>
      </c>
      <c r="S103" s="0" t="s">
        <v>529</v>
      </c>
      <c r="T103" s="0" t="s">
        <v>66</v>
      </c>
      <c r="U103" s="0" t="s">
        <v>453</v>
      </c>
      <c r="V103" s="0" t="s">
        <v>530</v>
      </c>
      <c r="W103" s="0" t="s">
        <v>531</v>
      </c>
    </row>
    <row r="104" customFormat="false" ht="15" hidden="false" customHeight="false" outlineLevel="0" collapsed="false">
      <c r="A104" s="0" t="s">
        <v>532</v>
      </c>
      <c r="B104" s="0" t="s">
        <v>533</v>
      </c>
      <c r="C104" s="0" t="s">
        <v>534</v>
      </c>
      <c r="R104" s="0" t="s">
        <v>535</v>
      </c>
      <c r="S104" s="0" t="s">
        <v>529</v>
      </c>
      <c r="T104" s="0" t="s">
        <v>66</v>
      </c>
      <c r="U104" s="0" t="s">
        <v>453</v>
      </c>
      <c r="V104" s="0" t="s">
        <v>530</v>
      </c>
      <c r="W104" s="0" t="s">
        <v>531</v>
      </c>
    </row>
    <row r="105" customFormat="false" ht="15" hidden="false" customHeight="false" outlineLevel="0" collapsed="false">
      <c r="A105" s="0" t="s">
        <v>536</v>
      </c>
      <c r="B105" s="0" t="s">
        <v>537</v>
      </c>
      <c r="C105" s="0" t="s">
        <v>538</v>
      </c>
      <c r="R105" s="0" t="s">
        <v>539</v>
      </c>
      <c r="S105" s="0" t="s">
        <v>529</v>
      </c>
      <c r="T105" s="0" t="s">
        <v>66</v>
      </c>
      <c r="U105" s="0" t="s">
        <v>453</v>
      </c>
      <c r="V105" s="0" t="s">
        <v>530</v>
      </c>
      <c r="W105" s="0" t="s">
        <v>531</v>
      </c>
    </row>
    <row r="106" customFormat="false" ht="15" hidden="false" customHeight="false" outlineLevel="0" collapsed="false">
      <c r="A106" s="0" t="s">
        <v>540</v>
      </c>
      <c r="B106" s="0" t="s">
        <v>541</v>
      </c>
      <c r="C106" s="0" t="s">
        <v>542</v>
      </c>
      <c r="R106" s="0" t="s">
        <v>543</v>
      </c>
      <c r="S106" s="0" t="s">
        <v>529</v>
      </c>
      <c r="T106" s="0" t="s">
        <v>66</v>
      </c>
      <c r="U106" s="0" t="s">
        <v>453</v>
      </c>
      <c r="V106" s="0" t="s">
        <v>530</v>
      </c>
      <c r="W106" s="0" t="s">
        <v>531</v>
      </c>
    </row>
    <row r="107" customFormat="false" ht="15" hidden="false" customHeight="false" outlineLevel="0" collapsed="false">
      <c r="A107" s="0" t="s">
        <v>544</v>
      </c>
      <c r="B107" s="0" t="s">
        <v>545</v>
      </c>
      <c r="C107" s="0" t="s">
        <v>546</v>
      </c>
      <c r="R107" s="0" t="s">
        <v>547</v>
      </c>
      <c r="S107" s="0" t="s">
        <v>529</v>
      </c>
      <c r="T107" s="0" t="s">
        <v>66</v>
      </c>
      <c r="U107" s="0" t="s">
        <v>453</v>
      </c>
      <c r="V107" s="0" t="s">
        <v>530</v>
      </c>
      <c r="W107" s="0" t="s">
        <v>531</v>
      </c>
    </row>
    <row r="108" customFormat="false" ht="15" hidden="false" customHeight="false" outlineLevel="0" collapsed="false">
      <c r="A108" s="0" t="s">
        <v>548</v>
      </c>
      <c r="B108" s="0" t="s">
        <v>549</v>
      </c>
      <c r="C108" s="0" t="s">
        <v>538</v>
      </c>
      <c r="R108" s="0" t="s">
        <v>539</v>
      </c>
      <c r="S108" s="0" t="s">
        <v>529</v>
      </c>
      <c r="T108" s="0" t="s">
        <v>66</v>
      </c>
      <c r="U108" s="0" t="s">
        <v>453</v>
      </c>
      <c r="V108" s="0" t="s">
        <v>530</v>
      </c>
      <c r="W108" s="0" t="s">
        <v>531</v>
      </c>
    </row>
    <row r="109" customFormat="false" ht="15" hidden="false" customHeight="false" outlineLevel="0" collapsed="false">
      <c r="A109" s="0" t="s">
        <v>550</v>
      </c>
      <c r="B109" s="0" t="s">
        <v>551</v>
      </c>
      <c r="C109" s="0" t="s">
        <v>552</v>
      </c>
      <c r="R109" s="0" t="s">
        <v>553</v>
      </c>
      <c r="S109" s="0" t="s">
        <v>529</v>
      </c>
      <c r="T109" s="0" t="s">
        <v>66</v>
      </c>
      <c r="U109" s="0" t="s">
        <v>453</v>
      </c>
      <c r="V109" s="0" t="s">
        <v>530</v>
      </c>
      <c r="W109" s="0" t="s">
        <v>531</v>
      </c>
    </row>
    <row r="110" customFormat="false" ht="15" hidden="false" customHeight="false" outlineLevel="0" collapsed="false">
      <c r="A110" s="0" t="s">
        <v>554</v>
      </c>
      <c r="B110" s="0" t="s">
        <v>555</v>
      </c>
      <c r="C110" s="0" t="s">
        <v>538</v>
      </c>
      <c r="R110" s="0" t="s">
        <v>539</v>
      </c>
      <c r="S110" s="0" t="s">
        <v>529</v>
      </c>
      <c r="T110" s="0" t="s">
        <v>66</v>
      </c>
      <c r="U110" s="0" t="s">
        <v>453</v>
      </c>
      <c r="V110" s="0" t="s">
        <v>530</v>
      </c>
      <c r="W110" s="0" t="s">
        <v>531</v>
      </c>
    </row>
    <row r="111" customFormat="false" ht="15" hidden="false" customHeight="false" outlineLevel="0" collapsed="false">
      <c r="A111" s="0" t="s">
        <v>556</v>
      </c>
      <c r="B111" s="0" t="s">
        <v>557</v>
      </c>
      <c r="C111" s="0" t="s">
        <v>558</v>
      </c>
      <c r="R111" s="0" t="s">
        <v>559</v>
      </c>
      <c r="S111" s="0" t="s">
        <v>529</v>
      </c>
      <c r="T111" s="0" t="s">
        <v>66</v>
      </c>
      <c r="U111" s="0" t="s">
        <v>453</v>
      </c>
      <c r="V111" s="0" t="s">
        <v>530</v>
      </c>
      <c r="W111" s="0" t="s">
        <v>531</v>
      </c>
    </row>
    <row r="112" customFormat="false" ht="15" hidden="false" customHeight="false" outlineLevel="0" collapsed="false">
      <c r="A112" s="0" t="s">
        <v>560</v>
      </c>
      <c r="B112" s="0" t="s">
        <v>561</v>
      </c>
      <c r="C112" s="0" t="s">
        <v>562</v>
      </c>
      <c r="R112" s="0" t="s">
        <v>559</v>
      </c>
      <c r="S112" s="0" t="s">
        <v>563</v>
      </c>
      <c r="T112" s="0" t="s">
        <v>66</v>
      </c>
      <c r="U112" s="0" t="s">
        <v>453</v>
      </c>
      <c r="V112" s="0" t="s">
        <v>564</v>
      </c>
      <c r="W112" s="0" t="s">
        <v>565</v>
      </c>
    </row>
    <row r="113" customFormat="false" ht="15" hidden="false" customHeight="false" outlineLevel="0" collapsed="false">
      <c r="A113" s="0" t="s">
        <v>566</v>
      </c>
      <c r="B113" s="0" t="s">
        <v>567</v>
      </c>
      <c r="C113" s="0" t="s">
        <v>568</v>
      </c>
      <c r="R113" s="0" t="s">
        <v>569</v>
      </c>
      <c r="S113" s="0" t="s">
        <v>563</v>
      </c>
      <c r="T113" s="0" t="s">
        <v>66</v>
      </c>
      <c r="U113" s="0" t="s">
        <v>453</v>
      </c>
      <c r="V113" s="0" t="s">
        <v>564</v>
      </c>
      <c r="W113" s="0" t="s">
        <v>565</v>
      </c>
    </row>
    <row r="114" customFormat="false" ht="15" hidden="false" customHeight="false" outlineLevel="0" collapsed="false">
      <c r="A114" s="0" t="s">
        <v>570</v>
      </c>
      <c r="B114" s="0" t="s">
        <v>526</v>
      </c>
      <c r="C114" s="0" t="s">
        <v>571</v>
      </c>
      <c r="R114" s="0" t="s">
        <v>528</v>
      </c>
      <c r="S114" s="0" t="s">
        <v>529</v>
      </c>
      <c r="T114" s="0" t="s">
        <v>66</v>
      </c>
      <c r="U114" s="0" t="s">
        <v>453</v>
      </c>
      <c r="V114" s="0" t="s">
        <v>530</v>
      </c>
      <c r="W114" s="0" t="s">
        <v>531</v>
      </c>
    </row>
    <row r="115" customFormat="false" ht="15" hidden="false" customHeight="false" outlineLevel="0" collapsed="false">
      <c r="A115" s="0" t="s">
        <v>572</v>
      </c>
      <c r="B115" s="0" t="s">
        <v>533</v>
      </c>
      <c r="C115" s="0" t="s">
        <v>573</v>
      </c>
      <c r="R115" s="0" t="s">
        <v>574</v>
      </c>
      <c r="S115" s="0" t="s">
        <v>529</v>
      </c>
      <c r="T115" s="0" t="s">
        <v>66</v>
      </c>
      <c r="U115" s="0" t="s">
        <v>453</v>
      </c>
      <c r="V115" s="0" t="s">
        <v>530</v>
      </c>
      <c r="W115" s="0" t="s">
        <v>531</v>
      </c>
    </row>
    <row r="116" customFormat="false" ht="15" hidden="false" customHeight="false" outlineLevel="0" collapsed="false">
      <c r="A116" s="0" t="s">
        <v>575</v>
      </c>
      <c r="B116" s="0" t="s">
        <v>537</v>
      </c>
      <c r="C116" s="0" t="s">
        <v>576</v>
      </c>
      <c r="R116" s="0" t="s">
        <v>539</v>
      </c>
      <c r="S116" s="0" t="s">
        <v>529</v>
      </c>
      <c r="T116" s="0" t="s">
        <v>66</v>
      </c>
      <c r="U116" s="0" t="s">
        <v>453</v>
      </c>
      <c r="V116" s="0" t="s">
        <v>530</v>
      </c>
      <c r="W116" s="0" t="s">
        <v>531</v>
      </c>
    </row>
    <row r="117" customFormat="false" ht="15" hidden="false" customHeight="false" outlineLevel="0" collapsed="false">
      <c r="A117" s="0" t="s">
        <v>577</v>
      </c>
      <c r="B117" s="0" t="s">
        <v>541</v>
      </c>
      <c r="C117" s="0" t="s">
        <v>578</v>
      </c>
      <c r="R117" s="0" t="s">
        <v>579</v>
      </c>
      <c r="S117" s="0" t="s">
        <v>529</v>
      </c>
      <c r="T117" s="0" t="s">
        <v>66</v>
      </c>
      <c r="U117" s="0" t="s">
        <v>453</v>
      </c>
      <c r="V117" s="0" t="s">
        <v>530</v>
      </c>
      <c r="W117" s="0" t="s">
        <v>531</v>
      </c>
    </row>
    <row r="118" customFormat="false" ht="15" hidden="false" customHeight="false" outlineLevel="0" collapsed="false">
      <c r="A118" s="0" t="s">
        <v>580</v>
      </c>
      <c r="B118" s="0" t="s">
        <v>545</v>
      </c>
      <c r="C118" s="0" t="s">
        <v>581</v>
      </c>
      <c r="R118" s="0" t="s">
        <v>547</v>
      </c>
      <c r="S118" s="0" t="s">
        <v>529</v>
      </c>
      <c r="T118" s="0" t="s">
        <v>66</v>
      </c>
      <c r="U118" s="0" t="s">
        <v>453</v>
      </c>
      <c r="V118" s="0" t="s">
        <v>530</v>
      </c>
      <c r="W118" s="0" t="s">
        <v>531</v>
      </c>
    </row>
    <row r="119" customFormat="false" ht="15" hidden="false" customHeight="false" outlineLevel="0" collapsed="false">
      <c r="A119" s="0" t="s">
        <v>582</v>
      </c>
      <c r="B119" s="0" t="s">
        <v>549</v>
      </c>
      <c r="C119" s="0" t="s">
        <v>576</v>
      </c>
      <c r="R119" s="0" t="s">
        <v>539</v>
      </c>
      <c r="S119" s="0" t="s">
        <v>529</v>
      </c>
      <c r="T119" s="0" t="s">
        <v>66</v>
      </c>
      <c r="U119" s="0" t="s">
        <v>453</v>
      </c>
      <c r="V119" s="0" t="s">
        <v>530</v>
      </c>
      <c r="W119" s="0" t="s">
        <v>531</v>
      </c>
    </row>
    <row r="120" customFormat="false" ht="15" hidden="false" customHeight="false" outlineLevel="0" collapsed="false">
      <c r="A120" s="0" t="s">
        <v>583</v>
      </c>
      <c r="B120" s="0" t="s">
        <v>551</v>
      </c>
      <c r="C120" s="0" t="s">
        <v>584</v>
      </c>
      <c r="R120" s="0" t="s">
        <v>585</v>
      </c>
      <c r="S120" s="0" t="s">
        <v>529</v>
      </c>
      <c r="T120" s="0" t="s">
        <v>66</v>
      </c>
      <c r="U120" s="0" t="s">
        <v>453</v>
      </c>
      <c r="V120" s="0" t="s">
        <v>530</v>
      </c>
      <c r="W120" s="0" t="s">
        <v>531</v>
      </c>
    </row>
    <row r="121" customFormat="false" ht="15" hidden="false" customHeight="false" outlineLevel="0" collapsed="false">
      <c r="A121" s="0" t="s">
        <v>586</v>
      </c>
      <c r="B121" s="0" t="s">
        <v>587</v>
      </c>
      <c r="C121" s="0" t="s">
        <v>576</v>
      </c>
      <c r="R121" s="0" t="s">
        <v>539</v>
      </c>
      <c r="S121" s="0" t="s">
        <v>529</v>
      </c>
      <c r="T121" s="0" t="s">
        <v>66</v>
      </c>
      <c r="U121" s="0" t="s">
        <v>453</v>
      </c>
      <c r="V121" s="0" t="s">
        <v>530</v>
      </c>
      <c r="W121" s="0" t="s">
        <v>531</v>
      </c>
    </row>
    <row r="122" customFormat="false" ht="15" hidden="false" customHeight="false" outlineLevel="0" collapsed="false">
      <c r="A122" s="0" t="s">
        <v>588</v>
      </c>
      <c r="B122" s="0" t="s">
        <v>555</v>
      </c>
      <c r="C122" s="0" t="s">
        <v>576</v>
      </c>
      <c r="R122" s="0" t="s">
        <v>539</v>
      </c>
      <c r="S122" s="0" t="s">
        <v>529</v>
      </c>
      <c r="T122" s="0" t="s">
        <v>66</v>
      </c>
      <c r="U122" s="0" t="s">
        <v>453</v>
      </c>
      <c r="V122" s="0" t="s">
        <v>530</v>
      </c>
      <c r="W122" s="0" t="s">
        <v>531</v>
      </c>
    </row>
    <row r="123" customFormat="false" ht="15" hidden="false" customHeight="false" outlineLevel="0" collapsed="false">
      <c r="A123" s="0" t="s">
        <v>589</v>
      </c>
      <c r="B123" s="0" t="s">
        <v>557</v>
      </c>
      <c r="C123" s="0" t="s">
        <v>590</v>
      </c>
      <c r="R123" s="0" t="s">
        <v>591</v>
      </c>
      <c r="S123" s="0" t="s">
        <v>529</v>
      </c>
      <c r="T123" s="0" t="s">
        <v>66</v>
      </c>
      <c r="U123" s="0" t="s">
        <v>453</v>
      </c>
      <c r="V123" s="0" t="s">
        <v>530</v>
      </c>
      <c r="W123" s="0" t="s">
        <v>531</v>
      </c>
    </row>
    <row r="124" customFormat="false" ht="15" hidden="false" customHeight="false" outlineLevel="0" collapsed="false">
      <c r="A124" s="0" t="s">
        <v>592</v>
      </c>
      <c r="B124" s="0" t="s">
        <v>561</v>
      </c>
      <c r="C124" s="0" t="s">
        <v>593</v>
      </c>
      <c r="R124" s="0" t="s">
        <v>591</v>
      </c>
      <c r="S124" s="0" t="s">
        <v>563</v>
      </c>
      <c r="T124" s="0" t="s">
        <v>66</v>
      </c>
      <c r="U124" s="0" t="s">
        <v>453</v>
      </c>
      <c r="V124" s="0" t="s">
        <v>564</v>
      </c>
      <c r="W124" s="0" t="s">
        <v>565</v>
      </c>
    </row>
    <row r="125" customFormat="false" ht="15" hidden="false" customHeight="false" outlineLevel="0" collapsed="false">
      <c r="A125" s="0" t="s">
        <v>594</v>
      </c>
      <c r="B125" s="0" t="s">
        <v>567</v>
      </c>
      <c r="C125" s="0" t="s">
        <v>595</v>
      </c>
      <c r="R125" s="0" t="s">
        <v>569</v>
      </c>
      <c r="S125" s="0" t="s">
        <v>563</v>
      </c>
      <c r="T125" s="0" t="s">
        <v>66</v>
      </c>
      <c r="U125" s="0" t="s">
        <v>453</v>
      </c>
      <c r="V125" s="0" t="s">
        <v>564</v>
      </c>
      <c r="W125" s="0" t="s">
        <v>565</v>
      </c>
    </row>
    <row r="126" customFormat="false" ht="15" hidden="false" customHeight="false" outlineLevel="0" collapsed="false">
      <c r="A126" s="0" t="s">
        <v>596</v>
      </c>
      <c r="B126" s="0" t="s">
        <v>597</v>
      </c>
      <c r="C126" s="0" t="s">
        <v>598</v>
      </c>
      <c r="S126" s="0" t="s">
        <v>599</v>
      </c>
      <c r="U126" s="0" t="s">
        <v>453</v>
      </c>
      <c r="V126" s="0" t="s">
        <v>454</v>
      </c>
      <c r="W126" s="0" t="s">
        <v>600</v>
      </c>
    </row>
    <row r="127" customFormat="false" ht="15" hidden="false" customHeight="false" outlineLevel="0" collapsed="false">
      <c r="A127" s="0" t="s">
        <v>601</v>
      </c>
      <c r="B127" s="0" t="s">
        <v>602</v>
      </c>
      <c r="C127" s="0" t="s">
        <v>598</v>
      </c>
      <c r="S127" s="0" t="s">
        <v>599</v>
      </c>
      <c r="U127" s="0" t="s">
        <v>453</v>
      </c>
      <c r="V127" s="0" t="s">
        <v>454</v>
      </c>
      <c r="W127" s="0" t="s">
        <v>603</v>
      </c>
    </row>
    <row r="128" customFormat="false" ht="15" hidden="false" customHeight="false" outlineLevel="0" collapsed="false">
      <c r="A128" s="0" t="s">
        <v>604</v>
      </c>
      <c r="B128" s="0" t="s">
        <v>605</v>
      </c>
      <c r="C128" s="0" t="s">
        <v>606</v>
      </c>
      <c r="R128" s="0" t="s">
        <v>607</v>
      </c>
      <c r="S128" s="0" t="s">
        <v>608</v>
      </c>
      <c r="T128" s="0" t="s">
        <v>66</v>
      </c>
      <c r="U128" s="0" t="s">
        <v>453</v>
      </c>
      <c r="V128" s="0" t="s">
        <v>609</v>
      </c>
    </row>
    <row r="129" customFormat="false" ht="15" hidden="false" customHeight="false" outlineLevel="0" collapsed="false">
      <c r="A129" s="0" t="s">
        <v>610</v>
      </c>
      <c r="B129" s="0" t="s">
        <v>605</v>
      </c>
      <c r="C129" s="0" t="s">
        <v>611</v>
      </c>
      <c r="R129" s="0" t="s">
        <v>612</v>
      </c>
      <c r="S129" s="0" t="s">
        <v>608</v>
      </c>
      <c r="T129" s="0" t="s">
        <v>66</v>
      </c>
      <c r="U129" s="0" t="s">
        <v>453</v>
      </c>
      <c r="V129" s="0" t="s">
        <v>609</v>
      </c>
    </row>
    <row r="130" customFormat="false" ht="15" hidden="false" customHeight="false" outlineLevel="0" collapsed="false">
      <c r="A130" s="0" t="s">
        <v>613</v>
      </c>
      <c r="B130" s="0" t="s">
        <v>614</v>
      </c>
      <c r="C130" s="0" t="s">
        <v>615</v>
      </c>
      <c r="S130" s="0" t="s">
        <v>616</v>
      </c>
      <c r="T130" s="0" t="s">
        <v>66</v>
      </c>
      <c r="U130" s="0" t="s">
        <v>453</v>
      </c>
      <c r="V130" s="0" t="s">
        <v>454</v>
      </c>
    </row>
    <row r="131" customFormat="false" ht="15" hidden="false" customHeight="false" outlineLevel="0" collapsed="false">
      <c r="A131" s="0" t="s">
        <v>617</v>
      </c>
      <c r="B131" s="0" t="s">
        <v>618</v>
      </c>
      <c r="C131" s="0" t="s">
        <v>619</v>
      </c>
      <c r="R131" s="0" t="s">
        <v>619</v>
      </c>
      <c r="S131" s="0" t="s">
        <v>620</v>
      </c>
      <c r="T131" s="0" t="s">
        <v>66</v>
      </c>
      <c r="U131" s="0" t="s">
        <v>453</v>
      </c>
      <c r="V131" s="0" t="s">
        <v>454</v>
      </c>
    </row>
    <row r="132" customFormat="false" ht="15" hidden="false" customHeight="false" outlineLevel="0" collapsed="false">
      <c r="A132" s="0" t="s">
        <v>621</v>
      </c>
      <c r="B132" s="0" t="s">
        <v>622</v>
      </c>
      <c r="C132" s="0" t="s">
        <v>623</v>
      </c>
      <c r="R132" s="0" t="s">
        <v>623</v>
      </c>
      <c r="S132" s="0" t="s">
        <v>620</v>
      </c>
      <c r="T132" s="0" t="s">
        <v>66</v>
      </c>
      <c r="U132" s="0" t="s">
        <v>453</v>
      </c>
      <c r="V132" s="0" t="s">
        <v>454</v>
      </c>
    </row>
    <row r="133" customFormat="false" ht="15" hidden="false" customHeight="false" outlineLevel="0" collapsed="false">
      <c r="A133" s="0" t="s">
        <v>624</v>
      </c>
      <c r="B133" s="0" t="s">
        <v>625</v>
      </c>
      <c r="C133" s="0" t="s">
        <v>626</v>
      </c>
      <c r="R133" s="0" t="s">
        <v>626</v>
      </c>
      <c r="S133" s="0" t="s">
        <v>620</v>
      </c>
      <c r="T133" s="0" t="s">
        <v>66</v>
      </c>
      <c r="U133" s="0" t="s">
        <v>453</v>
      </c>
      <c r="V133" s="0" t="s">
        <v>454</v>
      </c>
    </row>
    <row r="134" customFormat="false" ht="15" hidden="false" customHeight="false" outlineLevel="0" collapsed="false">
      <c r="A134" s="0" t="s">
        <v>627</v>
      </c>
      <c r="B134" s="0" t="s">
        <v>628</v>
      </c>
      <c r="C134" s="0" t="s">
        <v>629</v>
      </c>
      <c r="R134" s="0" t="s">
        <v>629</v>
      </c>
      <c r="S134" s="0" t="s">
        <v>620</v>
      </c>
      <c r="T134" s="0" t="s">
        <v>66</v>
      </c>
      <c r="U134" s="0" t="s">
        <v>453</v>
      </c>
      <c r="V134" s="0" t="s">
        <v>454</v>
      </c>
    </row>
    <row r="135" customFormat="false" ht="15" hidden="false" customHeight="false" outlineLevel="0" collapsed="false">
      <c r="A135" s="0" t="s">
        <v>630</v>
      </c>
      <c r="B135" s="0" t="s">
        <v>631</v>
      </c>
      <c r="C135" s="0" t="s">
        <v>632</v>
      </c>
      <c r="R135" s="0" t="s">
        <v>632</v>
      </c>
      <c r="S135" s="0" t="s">
        <v>620</v>
      </c>
      <c r="T135" s="0" t="s">
        <v>66</v>
      </c>
      <c r="U135" s="0" t="s">
        <v>453</v>
      </c>
      <c r="V135" s="0" t="s">
        <v>454</v>
      </c>
    </row>
    <row r="136" customFormat="false" ht="15" hidden="false" customHeight="false" outlineLevel="0" collapsed="false">
      <c r="A136" s="0" t="s">
        <v>633</v>
      </c>
      <c r="B136" s="0" t="s">
        <v>634</v>
      </c>
      <c r="C136" s="0" t="s">
        <v>635</v>
      </c>
      <c r="R136" s="0" t="s">
        <v>635</v>
      </c>
      <c r="S136" s="0" t="s">
        <v>620</v>
      </c>
      <c r="T136" s="0" t="s">
        <v>66</v>
      </c>
      <c r="U136" s="0" t="s">
        <v>453</v>
      </c>
      <c r="V136" s="0" t="s">
        <v>454</v>
      </c>
    </row>
    <row r="137" customFormat="false" ht="15" hidden="false" customHeight="false" outlineLevel="0" collapsed="false">
      <c r="A137" s="0" t="s">
        <v>636</v>
      </c>
      <c r="B137" s="0" t="s">
        <v>637</v>
      </c>
      <c r="C137" s="0" t="s">
        <v>638</v>
      </c>
      <c r="R137" s="0" t="s">
        <v>638</v>
      </c>
      <c r="S137" s="0" t="s">
        <v>620</v>
      </c>
      <c r="T137" s="0" t="s">
        <v>66</v>
      </c>
      <c r="U137" s="0" t="s">
        <v>453</v>
      </c>
      <c r="V137" s="0" t="s">
        <v>454</v>
      </c>
    </row>
    <row r="138" customFormat="false" ht="15" hidden="false" customHeight="false" outlineLevel="0" collapsed="false">
      <c r="A138" s="0" t="s">
        <v>639</v>
      </c>
      <c r="B138" s="0" t="s">
        <v>640</v>
      </c>
      <c r="C138" s="0" t="s">
        <v>638</v>
      </c>
      <c r="R138" s="0" t="s">
        <v>638</v>
      </c>
      <c r="S138" s="0" t="s">
        <v>620</v>
      </c>
      <c r="T138" s="0" t="s">
        <v>66</v>
      </c>
      <c r="U138" s="0" t="s">
        <v>453</v>
      </c>
      <c r="V138" s="0" t="s">
        <v>454</v>
      </c>
    </row>
    <row r="139" customFormat="false" ht="15" hidden="false" customHeight="false" outlineLevel="0" collapsed="false">
      <c r="A139" s="0" t="s">
        <v>641</v>
      </c>
      <c r="B139" s="0" t="s">
        <v>642</v>
      </c>
      <c r="C139" s="0" t="s">
        <v>643</v>
      </c>
      <c r="R139" s="0" t="s">
        <v>643</v>
      </c>
      <c r="S139" s="0" t="s">
        <v>620</v>
      </c>
      <c r="T139" s="0" t="s">
        <v>66</v>
      </c>
      <c r="U139" s="0" t="s">
        <v>453</v>
      </c>
      <c r="V139" s="0" t="s">
        <v>454</v>
      </c>
    </row>
    <row r="140" customFormat="false" ht="15" hidden="false" customHeight="false" outlineLevel="0" collapsed="false">
      <c r="A140" s="0" t="s">
        <v>644</v>
      </c>
      <c r="B140" s="0" t="s">
        <v>642</v>
      </c>
      <c r="C140" s="0" t="s">
        <v>645</v>
      </c>
      <c r="R140" s="0" t="s">
        <v>645</v>
      </c>
      <c r="S140" s="0" t="s">
        <v>620</v>
      </c>
      <c r="T140" s="0" t="s">
        <v>66</v>
      </c>
      <c r="U140" s="0" t="s">
        <v>453</v>
      </c>
      <c r="V140" s="0" t="s">
        <v>454</v>
      </c>
    </row>
    <row r="141" customFormat="false" ht="15" hidden="false" customHeight="false" outlineLevel="0" collapsed="false">
      <c r="A141" s="0" t="s">
        <v>646</v>
      </c>
      <c r="B141" s="0" t="s">
        <v>642</v>
      </c>
      <c r="C141" s="0" t="s">
        <v>647</v>
      </c>
      <c r="R141" s="0" t="s">
        <v>647</v>
      </c>
      <c r="S141" s="0" t="s">
        <v>620</v>
      </c>
      <c r="T141" s="0" t="s">
        <v>66</v>
      </c>
      <c r="U141" s="0" t="s">
        <v>453</v>
      </c>
      <c r="V141" s="0" t="s">
        <v>454</v>
      </c>
    </row>
    <row r="142" customFormat="false" ht="15" hidden="false" customHeight="false" outlineLevel="0" collapsed="false">
      <c r="A142" s="0" t="s">
        <v>648</v>
      </c>
      <c r="B142" s="0" t="s">
        <v>649</v>
      </c>
      <c r="C142" s="0" t="s">
        <v>650</v>
      </c>
      <c r="R142" s="0" t="s">
        <v>650</v>
      </c>
      <c r="S142" s="0" t="s">
        <v>620</v>
      </c>
      <c r="T142" s="0" t="s">
        <v>66</v>
      </c>
      <c r="U142" s="0" t="s">
        <v>453</v>
      </c>
      <c r="V142" s="0" t="s">
        <v>454</v>
      </c>
    </row>
    <row r="143" customFormat="false" ht="15" hidden="false" customHeight="false" outlineLevel="0" collapsed="false">
      <c r="A143" s="0" t="s">
        <v>651</v>
      </c>
      <c r="B143" s="0" t="s">
        <v>649</v>
      </c>
      <c r="C143" s="0" t="s">
        <v>652</v>
      </c>
      <c r="R143" s="0" t="s">
        <v>652</v>
      </c>
      <c r="S143" s="0" t="s">
        <v>620</v>
      </c>
      <c r="T143" s="0" t="s">
        <v>66</v>
      </c>
      <c r="U143" s="0" t="s">
        <v>453</v>
      </c>
      <c r="V143" s="0" t="s">
        <v>454</v>
      </c>
    </row>
    <row r="144" customFormat="false" ht="15" hidden="false" customHeight="false" outlineLevel="0" collapsed="false">
      <c r="A144" s="0" t="s">
        <v>653</v>
      </c>
      <c r="B144" s="0" t="s">
        <v>654</v>
      </c>
      <c r="C144" s="0" t="s">
        <v>655</v>
      </c>
      <c r="R144" s="0" t="s">
        <v>655</v>
      </c>
      <c r="S144" s="0" t="s">
        <v>620</v>
      </c>
      <c r="T144" s="0" t="s">
        <v>66</v>
      </c>
      <c r="U144" s="0" t="s">
        <v>453</v>
      </c>
      <c r="V144" s="0" t="s">
        <v>454</v>
      </c>
    </row>
    <row r="145" customFormat="false" ht="15" hidden="false" customHeight="false" outlineLevel="0" collapsed="false">
      <c r="A145" s="0" t="s">
        <v>656</v>
      </c>
      <c r="B145" s="0" t="s">
        <v>657</v>
      </c>
      <c r="C145" s="0" t="s">
        <v>650</v>
      </c>
      <c r="R145" s="0" t="s">
        <v>650</v>
      </c>
      <c r="S145" s="0" t="s">
        <v>620</v>
      </c>
      <c r="T145" s="0" t="s">
        <v>66</v>
      </c>
      <c r="U145" s="0" t="s">
        <v>453</v>
      </c>
      <c r="V145" s="0" t="s">
        <v>454</v>
      </c>
    </row>
    <row r="146" customFormat="false" ht="15" hidden="false" customHeight="false" outlineLevel="0" collapsed="false">
      <c r="A146" s="0" t="s">
        <v>658</v>
      </c>
      <c r="B146" s="0" t="s">
        <v>659</v>
      </c>
      <c r="C146" s="0" t="s">
        <v>660</v>
      </c>
      <c r="R146" s="0" t="s">
        <v>660</v>
      </c>
      <c r="S146" s="0" t="s">
        <v>620</v>
      </c>
      <c r="T146" s="0" t="s">
        <v>66</v>
      </c>
      <c r="U146" s="0" t="s">
        <v>453</v>
      </c>
      <c r="V146" s="0" t="s">
        <v>454</v>
      </c>
    </row>
    <row r="147" customFormat="false" ht="15" hidden="false" customHeight="false" outlineLevel="0" collapsed="false">
      <c r="A147" s="0" t="s">
        <v>661</v>
      </c>
      <c r="B147" s="0" t="s">
        <v>662</v>
      </c>
      <c r="C147" s="0" t="s">
        <v>663</v>
      </c>
      <c r="R147" s="0" t="s">
        <v>663</v>
      </c>
      <c r="S147" s="0" t="s">
        <v>620</v>
      </c>
      <c r="T147" s="0" t="s">
        <v>66</v>
      </c>
      <c r="U147" s="0" t="s">
        <v>453</v>
      </c>
      <c r="V147" s="0" t="s">
        <v>454</v>
      </c>
    </row>
    <row r="148" customFormat="false" ht="15" hidden="false" customHeight="false" outlineLevel="0" collapsed="false">
      <c r="A148" s="0" t="s">
        <v>664</v>
      </c>
      <c r="B148" s="0" t="s">
        <v>665</v>
      </c>
      <c r="C148" s="0" t="s">
        <v>666</v>
      </c>
      <c r="R148" s="0" t="s">
        <v>667</v>
      </c>
      <c r="S148" s="0" t="s">
        <v>668</v>
      </c>
      <c r="T148" s="0" t="s">
        <v>66</v>
      </c>
      <c r="U148" s="0" t="s">
        <v>453</v>
      </c>
      <c r="V148" s="0" t="s">
        <v>454</v>
      </c>
    </row>
    <row r="149" customFormat="false" ht="15" hidden="false" customHeight="false" outlineLevel="0" collapsed="false">
      <c r="A149" s="0" t="s">
        <v>669</v>
      </c>
      <c r="B149" s="0" t="s">
        <v>670</v>
      </c>
      <c r="C149" s="0" t="s">
        <v>671</v>
      </c>
      <c r="R149" s="0" t="s">
        <v>672</v>
      </c>
      <c r="S149" s="0" t="s">
        <v>673</v>
      </c>
      <c r="T149" s="0" t="s">
        <v>66</v>
      </c>
      <c r="U149" s="0" t="s">
        <v>453</v>
      </c>
      <c r="V149" s="0" t="s">
        <v>674</v>
      </c>
      <c r="W149" s="0" t="s">
        <v>675</v>
      </c>
    </row>
    <row r="150" customFormat="false" ht="15" hidden="false" customHeight="false" outlineLevel="0" collapsed="false">
      <c r="A150" s="0" t="s">
        <v>676</v>
      </c>
      <c r="B150" s="0" t="s">
        <v>677</v>
      </c>
      <c r="C150" s="0" t="s">
        <v>678</v>
      </c>
      <c r="R150" s="0" t="s">
        <v>679</v>
      </c>
      <c r="S150" s="0" t="s">
        <v>680</v>
      </c>
      <c r="T150" s="0" t="s">
        <v>66</v>
      </c>
      <c r="U150" s="0" t="s">
        <v>453</v>
      </c>
      <c r="V150" s="0" t="s">
        <v>674</v>
      </c>
    </row>
    <row r="151" customFormat="false" ht="15" hidden="false" customHeight="false" outlineLevel="0" collapsed="false">
      <c r="A151" s="0" t="s">
        <v>681</v>
      </c>
      <c r="B151" s="0" t="s">
        <v>682</v>
      </c>
      <c r="C151" s="0" t="s">
        <v>683</v>
      </c>
      <c r="S151" s="0" t="s">
        <v>684</v>
      </c>
      <c r="T151" s="0" t="s">
        <v>66</v>
      </c>
      <c r="U151" s="0" t="s">
        <v>453</v>
      </c>
      <c r="V151" s="0" t="s">
        <v>454</v>
      </c>
      <c r="W151" s="0" t="s">
        <v>685</v>
      </c>
    </row>
    <row r="152" customFormat="false" ht="15" hidden="false" customHeight="false" outlineLevel="0" collapsed="false">
      <c r="A152" s="0" t="s">
        <v>686</v>
      </c>
      <c r="B152" s="0" t="s">
        <v>687</v>
      </c>
      <c r="C152" s="0" t="s">
        <v>688</v>
      </c>
      <c r="S152" s="0" t="s">
        <v>689</v>
      </c>
      <c r="T152" s="2" t="s">
        <v>690</v>
      </c>
      <c r="U152" s="3" t="s">
        <v>453</v>
      </c>
      <c r="V152" s="3" t="s">
        <v>454</v>
      </c>
    </row>
    <row r="153" customFormat="false" ht="15" hidden="false" customHeight="false" outlineLevel="0" collapsed="false">
      <c r="A153" s="0" t="s">
        <v>691</v>
      </c>
      <c r="B153" s="0" t="s">
        <v>692</v>
      </c>
      <c r="C153" s="0" t="s">
        <v>693</v>
      </c>
      <c r="S153" s="0" t="s">
        <v>694</v>
      </c>
      <c r="T153" s="2" t="s">
        <v>690</v>
      </c>
      <c r="U153" s="3" t="s">
        <v>453</v>
      </c>
      <c r="V153" s="3" t="s">
        <v>609</v>
      </c>
    </row>
    <row r="154" customFormat="false" ht="15" hidden="false" customHeight="false" outlineLevel="0" collapsed="false">
      <c r="A154" s="0" t="s">
        <v>695</v>
      </c>
      <c r="B154" s="0" t="s">
        <v>696</v>
      </c>
      <c r="C154" s="0" t="s">
        <v>697</v>
      </c>
      <c r="S154" s="0" t="s">
        <v>694</v>
      </c>
      <c r="T154" s="2" t="s">
        <v>690</v>
      </c>
      <c r="U154" s="3" t="s">
        <v>453</v>
      </c>
      <c r="V154" s="3" t="s">
        <v>609</v>
      </c>
    </row>
    <row r="155" customFormat="false" ht="15" hidden="false" customHeight="false" outlineLevel="0" collapsed="false">
      <c r="A155" s="0" t="s">
        <v>698</v>
      </c>
      <c r="B155" s="0" t="s">
        <v>699</v>
      </c>
      <c r="C155" s="0" t="s">
        <v>700</v>
      </c>
      <c r="S155" s="0" t="s">
        <v>701</v>
      </c>
      <c r="U155" s="0" t="s">
        <v>453</v>
      </c>
      <c r="V155" s="0" t="s">
        <v>454</v>
      </c>
      <c r="W155" s="0" t="s">
        <v>702</v>
      </c>
    </row>
    <row r="156" customFormat="false" ht="15" hidden="false" customHeight="false" outlineLevel="0" collapsed="false">
      <c r="A156" s="0" t="s">
        <v>703</v>
      </c>
      <c r="B156" s="0" t="s">
        <v>704</v>
      </c>
      <c r="C156" s="0" t="s">
        <v>700</v>
      </c>
      <c r="S156" s="0" t="s">
        <v>701</v>
      </c>
      <c r="U156" s="0" t="s">
        <v>453</v>
      </c>
      <c r="V156" s="0" t="s">
        <v>454</v>
      </c>
      <c r="W156" s="0" t="s">
        <v>705</v>
      </c>
    </row>
    <row r="157" customFormat="false" ht="15" hidden="false" customHeight="false" outlineLevel="0" collapsed="false">
      <c r="A157" s="0" t="s">
        <v>706</v>
      </c>
      <c r="B157" s="0" t="s">
        <v>707</v>
      </c>
      <c r="C157" s="0" t="s">
        <v>700</v>
      </c>
      <c r="S157" s="0" t="s">
        <v>701</v>
      </c>
      <c r="U157" s="0" t="s">
        <v>453</v>
      </c>
      <c r="V157" s="0" t="s">
        <v>454</v>
      </c>
      <c r="W157" s="0" t="s">
        <v>708</v>
      </c>
    </row>
    <row r="158" customFormat="false" ht="15" hidden="false" customHeight="false" outlineLevel="0" collapsed="false">
      <c r="A158" s="0" t="s">
        <v>709</v>
      </c>
      <c r="B158" s="0" t="s">
        <v>710</v>
      </c>
      <c r="C158" s="0" t="s">
        <v>700</v>
      </c>
      <c r="S158" s="0" t="s">
        <v>701</v>
      </c>
      <c r="U158" s="0" t="s">
        <v>453</v>
      </c>
      <c r="V158" s="0" t="s">
        <v>454</v>
      </c>
      <c r="W158" s="0" t="s">
        <v>711</v>
      </c>
    </row>
    <row r="159" customFormat="false" ht="15" hidden="false" customHeight="false" outlineLevel="0" collapsed="false">
      <c r="A159" s="0" t="s">
        <v>712</v>
      </c>
      <c r="B159" s="0" t="s">
        <v>713</v>
      </c>
      <c r="C159" s="0" t="s">
        <v>700</v>
      </c>
      <c r="S159" s="0" t="s">
        <v>701</v>
      </c>
      <c r="U159" s="0" t="s">
        <v>453</v>
      </c>
      <c r="V159" s="0" t="s">
        <v>454</v>
      </c>
      <c r="W159" s="0" t="s">
        <v>714</v>
      </c>
    </row>
    <row r="160" customFormat="false" ht="15" hidden="false" customHeight="false" outlineLevel="0" collapsed="false">
      <c r="A160" s="0" t="s">
        <v>715</v>
      </c>
      <c r="B160" s="0" t="s">
        <v>716</v>
      </c>
      <c r="C160" s="0" t="s">
        <v>700</v>
      </c>
      <c r="S160" s="0" t="s">
        <v>701</v>
      </c>
      <c r="U160" s="0" t="s">
        <v>453</v>
      </c>
      <c r="V160" s="0" t="s">
        <v>454</v>
      </c>
      <c r="W160" s="0" t="s">
        <v>717</v>
      </c>
    </row>
    <row r="161" customFormat="false" ht="15" hidden="false" customHeight="false" outlineLevel="0" collapsed="false">
      <c r="A161" s="0" t="s">
        <v>718</v>
      </c>
      <c r="B161" s="0" t="s">
        <v>719</v>
      </c>
      <c r="C161" s="0" t="s">
        <v>700</v>
      </c>
      <c r="S161" s="0" t="s">
        <v>701</v>
      </c>
      <c r="U161" s="0" t="s">
        <v>453</v>
      </c>
      <c r="V161" s="0" t="s">
        <v>454</v>
      </c>
      <c r="W161" s="0" t="s">
        <v>720</v>
      </c>
    </row>
    <row r="162" customFormat="false" ht="15" hidden="false" customHeight="false" outlineLevel="0" collapsed="false">
      <c r="A162" s="0" t="s">
        <v>721</v>
      </c>
      <c r="B162" s="0" t="s">
        <v>722</v>
      </c>
      <c r="C162" s="0" t="s">
        <v>700</v>
      </c>
      <c r="S162" s="0" t="s">
        <v>701</v>
      </c>
      <c r="U162" s="0" t="s">
        <v>453</v>
      </c>
      <c r="V162" s="0" t="s">
        <v>454</v>
      </c>
      <c r="W162" s="0" t="s">
        <v>723</v>
      </c>
    </row>
    <row r="163" customFormat="false" ht="15" hidden="false" customHeight="false" outlineLevel="0" collapsed="false">
      <c r="A163" s="0" t="s">
        <v>724</v>
      </c>
      <c r="B163" s="0" t="s">
        <v>725</v>
      </c>
      <c r="C163" s="0" t="s">
        <v>700</v>
      </c>
      <c r="S163" s="0" t="s">
        <v>701</v>
      </c>
      <c r="U163" s="0" t="s">
        <v>453</v>
      </c>
      <c r="V163" s="0" t="s">
        <v>454</v>
      </c>
      <c r="W163" s="0" t="s">
        <v>726</v>
      </c>
    </row>
    <row r="164" customFormat="false" ht="15" hidden="false" customHeight="false" outlineLevel="0" collapsed="false">
      <c r="A164" s="0" t="s">
        <v>727</v>
      </c>
      <c r="B164" s="0" t="s">
        <v>728</v>
      </c>
      <c r="C164" s="0" t="s">
        <v>700</v>
      </c>
      <c r="S164" s="0" t="s">
        <v>701</v>
      </c>
      <c r="U164" s="0" t="s">
        <v>453</v>
      </c>
      <c r="V164" s="0" t="s">
        <v>454</v>
      </c>
      <c r="W164" s="0" t="s">
        <v>729</v>
      </c>
    </row>
    <row r="165" customFormat="false" ht="15" hidden="false" customHeight="false" outlineLevel="0" collapsed="false">
      <c r="A165" s="0" t="s">
        <v>730</v>
      </c>
      <c r="B165" s="0" t="s">
        <v>731</v>
      </c>
      <c r="C165" s="0" t="s">
        <v>700</v>
      </c>
      <c r="S165" s="0" t="s">
        <v>701</v>
      </c>
      <c r="U165" s="0" t="s">
        <v>453</v>
      </c>
      <c r="V165" s="0" t="s">
        <v>454</v>
      </c>
      <c r="W165" s="0" t="s">
        <v>732</v>
      </c>
    </row>
    <row r="166" customFormat="false" ht="15" hidden="false" customHeight="false" outlineLevel="0" collapsed="false">
      <c r="A166" s="0" t="s">
        <v>733</v>
      </c>
      <c r="B166" s="0" t="s">
        <v>734</v>
      </c>
      <c r="C166" s="0" t="s">
        <v>700</v>
      </c>
      <c r="S166" s="0" t="s">
        <v>701</v>
      </c>
      <c r="U166" s="0" t="s">
        <v>453</v>
      </c>
      <c r="V166" s="0" t="s">
        <v>454</v>
      </c>
      <c r="W166" s="0" t="s">
        <v>735</v>
      </c>
    </row>
    <row r="167" customFormat="false" ht="15" hidden="false" customHeight="false" outlineLevel="0" collapsed="false">
      <c r="A167" s="0" t="s">
        <v>736</v>
      </c>
      <c r="B167" s="0" t="s">
        <v>737</v>
      </c>
      <c r="C167" s="0" t="s">
        <v>700</v>
      </c>
      <c r="S167" s="0" t="s">
        <v>701</v>
      </c>
      <c r="U167" s="0" t="s">
        <v>453</v>
      </c>
      <c r="V167" s="0" t="s">
        <v>454</v>
      </c>
      <c r="W167" s="0" t="s">
        <v>738</v>
      </c>
    </row>
    <row r="168" customFormat="false" ht="15" hidden="false" customHeight="false" outlineLevel="0" collapsed="false">
      <c r="A168" s="0" t="s">
        <v>739</v>
      </c>
      <c r="B168" s="0" t="s">
        <v>740</v>
      </c>
      <c r="C168" s="0" t="s">
        <v>700</v>
      </c>
      <c r="S168" s="0" t="s">
        <v>701</v>
      </c>
      <c r="U168" s="0" t="s">
        <v>453</v>
      </c>
      <c r="V168" s="0" t="s">
        <v>454</v>
      </c>
      <c r="W168" s="0" t="s">
        <v>741</v>
      </c>
    </row>
    <row r="169" customFormat="false" ht="15" hidden="false" customHeight="false" outlineLevel="0" collapsed="false">
      <c r="A169" s="0" t="s">
        <v>742</v>
      </c>
      <c r="B169" s="0" t="s">
        <v>743</v>
      </c>
      <c r="C169" s="0" t="s">
        <v>700</v>
      </c>
      <c r="S169" s="0" t="s">
        <v>701</v>
      </c>
      <c r="U169" s="0" t="s">
        <v>453</v>
      </c>
      <c r="V169" s="0" t="s">
        <v>454</v>
      </c>
      <c r="W169" s="0" t="s">
        <v>744</v>
      </c>
    </row>
    <row r="170" customFormat="false" ht="15" hidden="false" customHeight="false" outlineLevel="0" collapsed="false">
      <c r="A170" s="0" t="s">
        <v>745</v>
      </c>
      <c r="B170" s="0" t="s">
        <v>746</v>
      </c>
      <c r="C170" s="0" t="s">
        <v>747</v>
      </c>
      <c r="K170" s="0" t="n">
        <v>147.32</v>
      </c>
      <c r="R170" s="0" t="s">
        <v>748</v>
      </c>
      <c r="S170" s="0" t="s">
        <v>749</v>
      </c>
      <c r="T170" s="0" t="s">
        <v>66</v>
      </c>
      <c r="U170" s="0" t="s">
        <v>453</v>
      </c>
      <c r="V170" s="0" t="s">
        <v>750</v>
      </c>
      <c r="W170" s="0" t="s">
        <v>751</v>
      </c>
    </row>
    <row r="171" customFormat="false" ht="15" hidden="false" customHeight="false" outlineLevel="0" collapsed="false">
      <c r="A171" s="0" t="s">
        <v>752</v>
      </c>
      <c r="B171" s="0" t="s">
        <v>753</v>
      </c>
      <c r="C171" s="0" t="s">
        <v>754</v>
      </c>
      <c r="R171" s="0" t="s">
        <v>755</v>
      </c>
      <c r="S171" s="0" t="s">
        <v>756</v>
      </c>
      <c r="T171" s="0" t="s">
        <v>66</v>
      </c>
      <c r="U171" s="0" t="s">
        <v>453</v>
      </c>
      <c r="V171" s="0" t="s">
        <v>757</v>
      </c>
      <c r="W171" s="0" t="s">
        <v>758</v>
      </c>
    </row>
    <row r="172" customFormat="false" ht="15" hidden="false" customHeight="false" outlineLevel="0" collapsed="false">
      <c r="A172" s="0" t="s">
        <v>759</v>
      </c>
      <c r="B172" s="0" t="s">
        <v>760</v>
      </c>
      <c r="C172" s="0" t="s">
        <v>747</v>
      </c>
      <c r="M172" s="0" t="n">
        <v>15.16</v>
      </c>
      <c r="R172" s="0" t="s">
        <v>761</v>
      </c>
      <c r="S172" s="0" t="s">
        <v>762</v>
      </c>
      <c r="T172" s="0" t="s">
        <v>66</v>
      </c>
      <c r="U172" s="0" t="s">
        <v>453</v>
      </c>
      <c r="V172" s="0" t="s">
        <v>750</v>
      </c>
      <c r="W172" s="0" t="s">
        <v>763</v>
      </c>
    </row>
    <row r="173" customFormat="false" ht="15" hidden="false" customHeight="false" outlineLevel="0" collapsed="false">
      <c r="A173" s="0" t="s">
        <v>764</v>
      </c>
      <c r="B173" s="0" t="s">
        <v>746</v>
      </c>
      <c r="C173" s="0" t="s">
        <v>765</v>
      </c>
      <c r="K173" s="0" t="n">
        <v>162.17</v>
      </c>
      <c r="R173" s="0" t="s">
        <v>766</v>
      </c>
      <c r="S173" s="0" t="s">
        <v>749</v>
      </c>
      <c r="T173" s="0" t="s">
        <v>66</v>
      </c>
      <c r="U173" s="0" t="s">
        <v>453</v>
      </c>
      <c r="V173" s="0" t="s">
        <v>750</v>
      </c>
      <c r="W173" s="0" t="s">
        <v>751</v>
      </c>
    </row>
    <row r="174" customFormat="false" ht="15" hidden="false" customHeight="false" outlineLevel="0" collapsed="false">
      <c r="A174" s="0" t="s">
        <v>767</v>
      </c>
      <c r="B174" s="0" t="s">
        <v>753</v>
      </c>
      <c r="C174" s="0" t="s">
        <v>768</v>
      </c>
      <c r="R174" s="0" t="s">
        <v>755</v>
      </c>
      <c r="S174" s="0" t="s">
        <v>756</v>
      </c>
      <c r="T174" s="0" t="s">
        <v>66</v>
      </c>
      <c r="U174" s="0" t="s">
        <v>453</v>
      </c>
      <c r="V174" s="0" t="s">
        <v>757</v>
      </c>
      <c r="W174" s="0" t="s">
        <v>758</v>
      </c>
    </row>
    <row r="175" customFormat="false" ht="15" hidden="false" customHeight="false" outlineLevel="0" collapsed="false">
      <c r="A175" s="0" t="s">
        <v>769</v>
      </c>
      <c r="B175" s="0" t="s">
        <v>760</v>
      </c>
      <c r="C175" s="0" t="s">
        <v>765</v>
      </c>
      <c r="M175" s="0" t="n">
        <v>16.65</v>
      </c>
      <c r="R175" s="0" t="s">
        <v>761</v>
      </c>
      <c r="S175" s="0" t="s">
        <v>762</v>
      </c>
      <c r="T175" s="0" t="s">
        <v>66</v>
      </c>
      <c r="U175" s="0" t="s">
        <v>453</v>
      </c>
      <c r="V175" s="0" t="s">
        <v>750</v>
      </c>
      <c r="W175" s="0" t="s">
        <v>763</v>
      </c>
    </row>
    <row r="176" customFormat="false" ht="15" hidden="false" customHeight="false" outlineLevel="0" collapsed="false">
      <c r="A176" s="0" t="s">
        <v>770</v>
      </c>
      <c r="B176" s="0" t="s">
        <v>771</v>
      </c>
      <c r="C176" s="0" t="s">
        <v>772</v>
      </c>
      <c r="K176" s="0" t="n">
        <v>16</v>
      </c>
      <c r="R176" s="0" t="s">
        <v>773</v>
      </c>
      <c r="S176" s="0" t="s">
        <v>774</v>
      </c>
      <c r="T176" s="0" t="s">
        <v>66</v>
      </c>
      <c r="U176" s="0" t="s">
        <v>453</v>
      </c>
      <c r="V176" s="0" t="s">
        <v>750</v>
      </c>
      <c r="W176" s="0" t="s">
        <v>775</v>
      </c>
    </row>
    <row r="177" customFormat="false" ht="15" hidden="false" customHeight="false" outlineLevel="0" collapsed="false">
      <c r="A177" s="0" t="s">
        <v>776</v>
      </c>
      <c r="B177" s="0" t="s">
        <v>777</v>
      </c>
      <c r="C177" s="0" t="s">
        <v>778</v>
      </c>
      <c r="S177" s="0" t="s">
        <v>779</v>
      </c>
      <c r="U177" s="0" t="s">
        <v>453</v>
      </c>
      <c r="V177" s="0" t="s">
        <v>780</v>
      </c>
      <c r="W177" s="0" t="s">
        <v>781</v>
      </c>
    </row>
    <row r="178" customFormat="false" ht="15" hidden="false" customHeight="false" outlineLevel="0" collapsed="false">
      <c r="A178" s="0" t="s">
        <v>782</v>
      </c>
      <c r="B178" s="0" t="s">
        <v>783</v>
      </c>
      <c r="C178" s="0" t="s">
        <v>784</v>
      </c>
      <c r="R178" s="0" t="s">
        <v>785</v>
      </c>
      <c r="S178" s="0" t="s">
        <v>786</v>
      </c>
      <c r="T178" s="0" t="s">
        <v>66</v>
      </c>
      <c r="U178" s="0" t="s">
        <v>453</v>
      </c>
      <c r="V178" s="0" t="s">
        <v>787</v>
      </c>
      <c r="W178" s="0" t="s">
        <v>788</v>
      </c>
    </row>
    <row r="179" customFormat="false" ht="15" hidden="false" customHeight="false" outlineLevel="0" collapsed="false">
      <c r="A179" s="0" t="s">
        <v>789</v>
      </c>
      <c r="B179" s="0" t="s">
        <v>790</v>
      </c>
      <c r="C179" s="0" t="s">
        <v>791</v>
      </c>
      <c r="R179" s="0" t="s">
        <v>792</v>
      </c>
      <c r="S179" s="0" t="s">
        <v>786</v>
      </c>
      <c r="T179" s="0" t="s">
        <v>66</v>
      </c>
      <c r="U179" s="0" t="s">
        <v>453</v>
      </c>
      <c r="V179" s="0" t="s">
        <v>787</v>
      </c>
      <c r="W179" s="0" t="s">
        <v>788</v>
      </c>
    </row>
    <row r="180" customFormat="false" ht="15" hidden="false" customHeight="false" outlineLevel="0" collapsed="false">
      <c r="A180" s="0" t="s">
        <v>793</v>
      </c>
      <c r="B180" s="0" t="s">
        <v>794</v>
      </c>
      <c r="C180" s="0" t="s">
        <v>795</v>
      </c>
      <c r="R180" s="0" t="s">
        <v>796</v>
      </c>
      <c r="S180" s="0" t="s">
        <v>786</v>
      </c>
      <c r="T180" s="0" t="s">
        <v>66</v>
      </c>
      <c r="U180" s="0" t="s">
        <v>453</v>
      </c>
      <c r="V180" s="0" t="s">
        <v>787</v>
      </c>
      <c r="W180" s="0" t="s">
        <v>788</v>
      </c>
    </row>
    <row r="181" customFormat="false" ht="15" hidden="false" customHeight="false" outlineLevel="0" collapsed="false">
      <c r="A181" s="0" t="s">
        <v>797</v>
      </c>
      <c r="B181" s="0" t="s">
        <v>794</v>
      </c>
      <c r="C181" s="0" t="s">
        <v>798</v>
      </c>
      <c r="R181" s="0" t="s">
        <v>799</v>
      </c>
      <c r="S181" s="0" t="s">
        <v>786</v>
      </c>
      <c r="T181" s="0" t="s">
        <v>66</v>
      </c>
      <c r="U181" s="0" t="s">
        <v>453</v>
      </c>
      <c r="V181" s="0" t="s">
        <v>787</v>
      </c>
      <c r="W181" s="0" t="s">
        <v>788</v>
      </c>
    </row>
    <row r="182" customFormat="false" ht="15" hidden="false" customHeight="false" outlineLevel="0" collapsed="false">
      <c r="A182" s="0" t="s">
        <v>800</v>
      </c>
      <c r="B182" s="0" t="s">
        <v>801</v>
      </c>
      <c r="C182" s="0" t="s">
        <v>802</v>
      </c>
      <c r="R182" s="0" t="s">
        <v>803</v>
      </c>
      <c r="S182" s="0" t="s">
        <v>786</v>
      </c>
      <c r="T182" s="0" t="s">
        <v>66</v>
      </c>
      <c r="U182" s="0" t="s">
        <v>453</v>
      </c>
      <c r="V182" s="0" t="s">
        <v>787</v>
      </c>
      <c r="W182" s="0" t="s">
        <v>788</v>
      </c>
    </row>
    <row r="183" customFormat="false" ht="15" hidden="false" customHeight="false" outlineLevel="0" collapsed="false">
      <c r="A183" s="0" t="s">
        <v>804</v>
      </c>
      <c r="B183" s="0" t="s">
        <v>805</v>
      </c>
      <c r="C183" s="0" t="s">
        <v>806</v>
      </c>
      <c r="R183" s="0" t="s">
        <v>807</v>
      </c>
      <c r="S183" s="0" t="s">
        <v>786</v>
      </c>
      <c r="T183" s="0" t="s">
        <v>66</v>
      </c>
      <c r="U183" s="0" t="s">
        <v>453</v>
      </c>
      <c r="V183" s="0" t="s">
        <v>787</v>
      </c>
      <c r="W183" s="0" t="s">
        <v>788</v>
      </c>
    </row>
    <row r="184" customFormat="false" ht="15" hidden="false" customHeight="false" outlineLevel="0" collapsed="false">
      <c r="A184" s="0" t="s">
        <v>808</v>
      </c>
      <c r="B184" s="0" t="s">
        <v>809</v>
      </c>
      <c r="C184" s="0" t="s">
        <v>810</v>
      </c>
      <c r="R184" s="0" t="s">
        <v>811</v>
      </c>
      <c r="S184" s="0" t="s">
        <v>786</v>
      </c>
      <c r="T184" s="0" t="s">
        <v>66</v>
      </c>
      <c r="U184" s="0" t="s">
        <v>453</v>
      </c>
      <c r="V184" s="0" t="s">
        <v>787</v>
      </c>
      <c r="W184" s="0" t="s">
        <v>788</v>
      </c>
    </row>
    <row r="185" customFormat="false" ht="15" hidden="false" customHeight="false" outlineLevel="0" collapsed="false">
      <c r="A185" s="0" t="s">
        <v>812</v>
      </c>
      <c r="B185" s="0" t="s">
        <v>809</v>
      </c>
      <c r="C185" s="0" t="s">
        <v>813</v>
      </c>
      <c r="R185" s="0" t="s">
        <v>814</v>
      </c>
      <c r="S185" s="0" t="s">
        <v>786</v>
      </c>
      <c r="T185" s="0" t="s">
        <v>66</v>
      </c>
      <c r="U185" s="0" t="s">
        <v>453</v>
      </c>
      <c r="V185" s="0" t="s">
        <v>787</v>
      </c>
      <c r="W185" s="0" t="s">
        <v>788</v>
      </c>
    </row>
    <row r="186" customFormat="false" ht="15" hidden="false" customHeight="false" outlineLevel="0" collapsed="false">
      <c r="A186" s="0" t="s">
        <v>815</v>
      </c>
      <c r="B186" s="0" t="s">
        <v>816</v>
      </c>
      <c r="C186" s="0" t="s">
        <v>817</v>
      </c>
      <c r="R186" s="0" t="s">
        <v>818</v>
      </c>
      <c r="S186" s="0" t="s">
        <v>786</v>
      </c>
      <c r="T186" s="0" t="s">
        <v>66</v>
      </c>
      <c r="U186" s="0" t="s">
        <v>453</v>
      </c>
      <c r="V186" s="0" t="s">
        <v>787</v>
      </c>
      <c r="W186" s="0" t="s">
        <v>788</v>
      </c>
    </row>
    <row r="187" customFormat="false" ht="15" hidden="false" customHeight="false" outlineLevel="0" collapsed="false">
      <c r="A187" s="0" t="s">
        <v>819</v>
      </c>
      <c r="B187" s="0" t="s">
        <v>794</v>
      </c>
      <c r="C187" s="0" t="s">
        <v>820</v>
      </c>
      <c r="R187" s="0" t="s">
        <v>821</v>
      </c>
      <c r="S187" s="0" t="s">
        <v>786</v>
      </c>
      <c r="T187" s="0" t="s">
        <v>66</v>
      </c>
      <c r="U187" s="0" t="s">
        <v>453</v>
      </c>
      <c r="V187" s="0" t="s">
        <v>787</v>
      </c>
      <c r="W187" s="0" t="s">
        <v>788</v>
      </c>
    </row>
    <row r="188" customFormat="false" ht="15" hidden="false" customHeight="false" outlineLevel="0" collapsed="false">
      <c r="A188" s="0" t="s">
        <v>822</v>
      </c>
      <c r="B188" s="0" t="s">
        <v>823</v>
      </c>
      <c r="C188" s="0" t="s">
        <v>824</v>
      </c>
      <c r="R188" s="0" t="s">
        <v>825</v>
      </c>
      <c r="S188" s="0" t="s">
        <v>786</v>
      </c>
      <c r="T188" s="0" t="s">
        <v>66</v>
      </c>
      <c r="U188" s="0" t="s">
        <v>453</v>
      </c>
      <c r="V188" s="0" t="s">
        <v>787</v>
      </c>
      <c r="W188" s="0" t="s">
        <v>788</v>
      </c>
    </row>
    <row r="189" customFormat="false" ht="15" hidden="false" customHeight="false" outlineLevel="0" collapsed="false">
      <c r="A189" s="0" t="s">
        <v>826</v>
      </c>
      <c r="B189" s="0" t="s">
        <v>827</v>
      </c>
      <c r="C189" s="0" t="s">
        <v>828</v>
      </c>
      <c r="R189" s="0" t="s">
        <v>829</v>
      </c>
      <c r="S189" s="0" t="s">
        <v>786</v>
      </c>
      <c r="T189" s="0" t="s">
        <v>66</v>
      </c>
      <c r="U189" s="0" t="s">
        <v>453</v>
      </c>
      <c r="V189" s="0" t="s">
        <v>787</v>
      </c>
      <c r="W189" s="0" t="s">
        <v>788</v>
      </c>
    </row>
    <row r="190" customFormat="false" ht="15" hidden="false" customHeight="false" outlineLevel="0" collapsed="false">
      <c r="A190" s="0" t="s">
        <v>830</v>
      </c>
      <c r="B190" s="0" t="s">
        <v>831</v>
      </c>
      <c r="C190" s="0" t="s">
        <v>832</v>
      </c>
      <c r="R190" s="0" t="s">
        <v>833</v>
      </c>
      <c r="S190" s="0" t="s">
        <v>786</v>
      </c>
      <c r="T190" s="0" t="s">
        <v>66</v>
      </c>
      <c r="U190" s="0" t="s">
        <v>453</v>
      </c>
      <c r="V190" s="0" t="s">
        <v>787</v>
      </c>
      <c r="W190" s="0" t="s">
        <v>788</v>
      </c>
    </row>
    <row r="191" customFormat="false" ht="15" hidden="false" customHeight="false" outlineLevel="0" collapsed="false">
      <c r="A191" s="0" t="s">
        <v>834</v>
      </c>
      <c r="B191" s="0" t="s">
        <v>790</v>
      </c>
      <c r="C191" s="0" t="s">
        <v>835</v>
      </c>
      <c r="R191" s="0" t="s">
        <v>836</v>
      </c>
      <c r="S191" s="0" t="s">
        <v>786</v>
      </c>
      <c r="T191" s="0" t="s">
        <v>66</v>
      </c>
      <c r="U191" s="0" t="s">
        <v>453</v>
      </c>
      <c r="V191" s="0" t="s">
        <v>787</v>
      </c>
      <c r="W191" s="0" t="s">
        <v>788</v>
      </c>
    </row>
    <row r="192" customFormat="false" ht="15" hidden="false" customHeight="false" outlineLevel="0" collapsed="false">
      <c r="A192" s="0" t="s">
        <v>837</v>
      </c>
      <c r="B192" s="0" t="s">
        <v>790</v>
      </c>
      <c r="C192" s="0" t="s">
        <v>838</v>
      </c>
      <c r="R192" s="0" t="s">
        <v>839</v>
      </c>
      <c r="S192" s="0" t="s">
        <v>786</v>
      </c>
      <c r="T192" s="0" t="s">
        <v>66</v>
      </c>
      <c r="U192" s="0" t="s">
        <v>453</v>
      </c>
      <c r="V192" s="0" t="s">
        <v>787</v>
      </c>
      <c r="W192" s="0" t="s">
        <v>788</v>
      </c>
    </row>
    <row r="193" customFormat="false" ht="15" hidden="false" customHeight="false" outlineLevel="0" collapsed="false">
      <c r="A193" s="0" t="s">
        <v>840</v>
      </c>
      <c r="B193" s="0" t="s">
        <v>831</v>
      </c>
      <c r="C193" s="0" t="s">
        <v>841</v>
      </c>
      <c r="R193" s="0" t="s">
        <v>842</v>
      </c>
      <c r="S193" s="0" t="s">
        <v>786</v>
      </c>
      <c r="T193" s="0" t="s">
        <v>66</v>
      </c>
      <c r="U193" s="0" t="s">
        <v>453</v>
      </c>
      <c r="V193" s="0" t="s">
        <v>787</v>
      </c>
      <c r="W193" s="0" t="s">
        <v>788</v>
      </c>
    </row>
    <row r="194" customFormat="false" ht="15" hidden="false" customHeight="false" outlineLevel="0" collapsed="false">
      <c r="A194" s="0" t="s">
        <v>843</v>
      </c>
      <c r="B194" s="0" t="s">
        <v>794</v>
      </c>
      <c r="C194" s="0" t="s">
        <v>844</v>
      </c>
      <c r="R194" s="0" t="s">
        <v>845</v>
      </c>
      <c r="S194" s="0" t="s">
        <v>786</v>
      </c>
      <c r="T194" s="0" t="s">
        <v>66</v>
      </c>
      <c r="U194" s="0" t="s">
        <v>453</v>
      </c>
      <c r="V194" s="0" t="s">
        <v>787</v>
      </c>
      <c r="W194" s="0" t="s">
        <v>788</v>
      </c>
    </row>
    <row r="195" customFormat="false" ht="15" hidden="false" customHeight="false" outlineLevel="0" collapsed="false">
      <c r="A195" s="0" t="s">
        <v>846</v>
      </c>
      <c r="B195" s="0" t="s">
        <v>831</v>
      </c>
      <c r="C195" s="0" t="s">
        <v>847</v>
      </c>
      <c r="R195" s="0" t="s">
        <v>848</v>
      </c>
      <c r="S195" s="0" t="s">
        <v>786</v>
      </c>
      <c r="T195" s="0" t="s">
        <v>66</v>
      </c>
      <c r="U195" s="0" t="s">
        <v>453</v>
      </c>
      <c r="V195" s="0" t="s">
        <v>787</v>
      </c>
      <c r="W195" s="0" t="s">
        <v>788</v>
      </c>
    </row>
    <row r="196" customFormat="false" ht="15" hidden="false" customHeight="false" outlineLevel="0" collapsed="false">
      <c r="A196" s="0" t="s">
        <v>849</v>
      </c>
      <c r="B196" s="0" t="s">
        <v>850</v>
      </c>
      <c r="C196" s="0" t="s">
        <v>851</v>
      </c>
      <c r="R196" s="0" t="s">
        <v>852</v>
      </c>
      <c r="S196" s="0" t="s">
        <v>786</v>
      </c>
      <c r="T196" s="0" t="s">
        <v>66</v>
      </c>
      <c r="U196" s="0" t="s">
        <v>453</v>
      </c>
      <c r="V196" s="0" t="s">
        <v>787</v>
      </c>
      <c r="W196" s="0" t="s">
        <v>788</v>
      </c>
    </row>
    <row r="197" customFormat="false" ht="15" hidden="false" customHeight="false" outlineLevel="0" collapsed="false">
      <c r="A197" s="0" t="s">
        <v>853</v>
      </c>
      <c r="B197" s="0" t="s">
        <v>831</v>
      </c>
      <c r="C197" s="0" t="s">
        <v>854</v>
      </c>
      <c r="R197" s="0" t="s">
        <v>855</v>
      </c>
      <c r="S197" s="0" t="s">
        <v>786</v>
      </c>
      <c r="T197" s="0" t="s">
        <v>66</v>
      </c>
      <c r="U197" s="0" t="s">
        <v>453</v>
      </c>
      <c r="V197" s="0" t="s">
        <v>787</v>
      </c>
      <c r="W197" s="0" t="s">
        <v>788</v>
      </c>
    </row>
    <row r="198" customFormat="false" ht="15" hidden="false" customHeight="false" outlineLevel="0" collapsed="false">
      <c r="A198" s="0" t="s">
        <v>856</v>
      </c>
      <c r="B198" s="0" t="s">
        <v>857</v>
      </c>
      <c r="C198" s="0" t="s">
        <v>858</v>
      </c>
      <c r="R198" s="0" t="s">
        <v>859</v>
      </c>
      <c r="S198" s="0" t="s">
        <v>786</v>
      </c>
      <c r="T198" s="0" t="s">
        <v>66</v>
      </c>
      <c r="U198" s="0" t="s">
        <v>453</v>
      </c>
      <c r="V198" s="0" t="s">
        <v>787</v>
      </c>
      <c r="W198" s="0" t="s">
        <v>788</v>
      </c>
    </row>
    <row r="199" customFormat="false" ht="15" hidden="false" customHeight="false" outlineLevel="0" collapsed="false">
      <c r="A199" s="0" t="s">
        <v>860</v>
      </c>
      <c r="B199" s="0" t="s">
        <v>861</v>
      </c>
      <c r="C199" s="0" t="s">
        <v>862</v>
      </c>
      <c r="R199" s="0" t="s">
        <v>863</v>
      </c>
      <c r="S199" s="0" t="s">
        <v>864</v>
      </c>
      <c r="T199" s="0" t="s">
        <v>66</v>
      </c>
      <c r="U199" s="0" t="s">
        <v>453</v>
      </c>
      <c r="V199" s="0" t="s">
        <v>865</v>
      </c>
      <c r="W199" s="0" t="s">
        <v>866</v>
      </c>
    </row>
    <row r="200" customFormat="false" ht="15" hidden="false" customHeight="false" outlineLevel="0" collapsed="false">
      <c r="A200" s="0" t="s">
        <v>867</v>
      </c>
      <c r="B200" s="0" t="s">
        <v>861</v>
      </c>
      <c r="C200" s="0" t="s">
        <v>868</v>
      </c>
      <c r="R200" s="0" t="s">
        <v>869</v>
      </c>
      <c r="S200" s="0" t="s">
        <v>864</v>
      </c>
      <c r="T200" s="0" t="s">
        <v>66</v>
      </c>
      <c r="U200" s="0" t="s">
        <v>453</v>
      </c>
      <c r="V200" s="0" t="s">
        <v>865</v>
      </c>
      <c r="W200" s="0" t="s">
        <v>866</v>
      </c>
    </row>
    <row r="201" customFormat="false" ht="15" hidden="false" customHeight="false" outlineLevel="0" collapsed="false">
      <c r="A201" s="0" t="s">
        <v>870</v>
      </c>
      <c r="B201" s="0" t="s">
        <v>871</v>
      </c>
      <c r="C201" s="0" t="s">
        <v>872</v>
      </c>
      <c r="R201" s="0" t="s">
        <v>873</v>
      </c>
      <c r="S201" s="0" t="s">
        <v>864</v>
      </c>
      <c r="T201" s="0" t="s">
        <v>66</v>
      </c>
      <c r="U201" s="0" t="s">
        <v>453</v>
      </c>
      <c r="V201" s="0" t="s">
        <v>865</v>
      </c>
      <c r="W201" s="0" t="s">
        <v>866</v>
      </c>
    </row>
    <row r="202" customFormat="false" ht="15" hidden="false" customHeight="false" outlineLevel="0" collapsed="false">
      <c r="A202" s="0" t="s">
        <v>874</v>
      </c>
      <c r="B202" s="0" t="s">
        <v>875</v>
      </c>
      <c r="C202" s="0" t="s">
        <v>876</v>
      </c>
      <c r="R202" s="0" t="s">
        <v>877</v>
      </c>
      <c r="S202" s="0" t="s">
        <v>864</v>
      </c>
      <c r="T202" s="0" t="s">
        <v>66</v>
      </c>
      <c r="U202" s="0" t="s">
        <v>453</v>
      </c>
      <c r="V202" s="0" t="s">
        <v>865</v>
      </c>
      <c r="W202" s="0" t="s">
        <v>866</v>
      </c>
    </row>
    <row r="203" customFormat="false" ht="15" hidden="false" customHeight="false" outlineLevel="0" collapsed="false">
      <c r="A203" s="0" t="s">
        <v>878</v>
      </c>
      <c r="B203" s="0" t="s">
        <v>879</v>
      </c>
      <c r="C203" s="0" t="s">
        <v>880</v>
      </c>
      <c r="R203" s="0" t="s">
        <v>881</v>
      </c>
      <c r="S203" s="0" t="s">
        <v>882</v>
      </c>
      <c r="T203" s="0" t="s">
        <v>66</v>
      </c>
      <c r="U203" s="0" t="s">
        <v>453</v>
      </c>
      <c r="V203" s="0" t="s">
        <v>787</v>
      </c>
      <c r="W203" s="0" t="s">
        <v>883</v>
      </c>
    </row>
    <row r="204" customFormat="false" ht="15" hidden="false" customHeight="false" outlineLevel="0" collapsed="false">
      <c r="A204" s="0" t="s">
        <v>884</v>
      </c>
      <c r="B204" s="0" t="s">
        <v>885</v>
      </c>
      <c r="C204" s="0" t="s">
        <v>886</v>
      </c>
      <c r="R204" s="0" t="s">
        <v>881</v>
      </c>
      <c r="S204" s="0" t="s">
        <v>887</v>
      </c>
      <c r="T204" s="0" t="s">
        <v>66</v>
      </c>
      <c r="U204" s="0" t="s">
        <v>453</v>
      </c>
      <c r="V204" s="0" t="s">
        <v>787</v>
      </c>
      <c r="W204" s="0" t="s">
        <v>888</v>
      </c>
    </row>
    <row r="205" customFormat="false" ht="15" hidden="false" customHeight="false" outlineLevel="0" collapsed="false">
      <c r="A205" s="0" t="s">
        <v>889</v>
      </c>
      <c r="B205" s="0" t="s">
        <v>890</v>
      </c>
      <c r="C205" s="0" t="s">
        <v>891</v>
      </c>
      <c r="R205" s="0" t="s">
        <v>881</v>
      </c>
      <c r="S205" s="0" t="s">
        <v>892</v>
      </c>
      <c r="T205" s="0" t="s">
        <v>893</v>
      </c>
      <c r="U205" s="0" t="s">
        <v>453</v>
      </c>
      <c r="V205" s="0" t="s">
        <v>787</v>
      </c>
      <c r="W205" s="0" t="s">
        <v>894</v>
      </c>
    </row>
    <row r="206" customFormat="false" ht="15" hidden="false" customHeight="false" outlineLevel="0" collapsed="false">
      <c r="A206" s="0" t="s">
        <v>895</v>
      </c>
      <c r="B206" s="0" t="s">
        <v>896</v>
      </c>
      <c r="C206" s="0" t="s">
        <v>897</v>
      </c>
      <c r="S206" s="0" t="s">
        <v>898</v>
      </c>
      <c r="U206" s="0" t="s">
        <v>453</v>
      </c>
      <c r="V206" s="0" t="s">
        <v>899</v>
      </c>
      <c r="W206" s="0" t="s">
        <v>900</v>
      </c>
    </row>
    <row r="207" customFormat="false" ht="15" hidden="false" customHeight="false" outlineLevel="0" collapsed="false">
      <c r="A207" s="0" t="s">
        <v>901</v>
      </c>
      <c r="B207" s="0" t="s">
        <v>902</v>
      </c>
      <c r="C207" s="0" t="s">
        <v>903</v>
      </c>
      <c r="R207" s="0" t="s">
        <v>904</v>
      </c>
      <c r="S207" s="0" t="s">
        <v>905</v>
      </c>
      <c r="T207" s="2" t="s">
        <v>28</v>
      </c>
      <c r="U207" s="3" t="s">
        <v>906</v>
      </c>
      <c r="V207" s="3" t="s">
        <v>787</v>
      </c>
      <c r="W207" s="3" t="s">
        <v>907</v>
      </c>
    </row>
    <row r="208" customFormat="false" ht="15" hidden="false" customHeight="false" outlineLevel="0" collapsed="false">
      <c r="A208" s="0" t="s">
        <v>908</v>
      </c>
      <c r="B208" s="0" t="s">
        <v>909</v>
      </c>
      <c r="C208" s="0" t="s">
        <v>910</v>
      </c>
      <c r="R208" s="0" t="s">
        <v>911</v>
      </c>
      <c r="S208" s="0" t="s">
        <v>912</v>
      </c>
      <c r="T208" s="2" t="s">
        <v>28</v>
      </c>
      <c r="U208" s="3" t="s">
        <v>913</v>
      </c>
      <c r="V208" s="3" t="s">
        <v>914</v>
      </c>
      <c r="W208" s="3" t="s">
        <v>915</v>
      </c>
    </row>
    <row r="209" customFormat="false" ht="15" hidden="false" customHeight="false" outlineLevel="0" collapsed="false">
      <c r="B209" s="4" t="s">
        <v>916</v>
      </c>
      <c r="D209" s="4" t="n">
        <f aca="false">SUM(D2:D208)</f>
        <v>980.73</v>
      </c>
      <c r="G209" s="4" t="n">
        <f aca="false">SUM(G2:G208)</f>
        <v>6215.1</v>
      </c>
      <c r="H209" s="4" t="n">
        <f aca="false">SUM(H2:H208)</f>
        <v>5191.37</v>
      </c>
      <c r="I209" s="4" t="n">
        <f aca="false">SUM(I2:I208)</f>
        <v>4403.5</v>
      </c>
      <c r="J209" s="4" t="n">
        <f aca="false">SUM(J2:J208)</f>
        <v>17344.32</v>
      </c>
      <c r="K209" s="4" t="n">
        <f aca="false">SUM(K2:K208)</f>
        <v>325.49</v>
      </c>
      <c r="L209" s="4" t="n">
        <f aca="false">SUM(L2:L208)</f>
        <v>0</v>
      </c>
      <c r="M209" s="4" t="n">
        <f aca="false">SUM(M2:M208)</f>
        <v>31.81</v>
      </c>
      <c r="N209" s="4" t="n">
        <f aca="false">SUM(N2:N208)</f>
        <v>0</v>
      </c>
      <c r="P209" s="4" t="n">
        <f aca="false">SUM(P2:P208)</f>
        <v>921.33</v>
      </c>
      <c r="Q209" s="4" t="n">
        <f aca="false">SUM(Q2:Q208)</f>
        <v>1103.13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1" t="s">
        <v>917</v>
      </c>
      <c r="B1" s="1" t="s">
        <v>918</v>
      </c>
    </row>
    <row r="2" customFormat="false" ht="15" hidden="false" customHeight="false" outlineLevel="0" collapsed="false">
      <c r="A2" s="0" t="s">
        <v>919</v>
      </c>
      <c r="B2" s="0" t="n">
        <v>0.15</v>
      </c>
    </row>
    <row r="3" customFormat="false" ht="15" hidden="false" customHeight="false" outlineLevel="0" collapsed="false">
      <c r="A3" s="0" t="s">
        <v>920</v>
      </c>
      <c r="B3" s="0" t="n">
        <v>0.06</v>
      </c>
    </row>
    <row r="4" customFormat="false" ht="15" hidden="false" customHeight="false" outlineLevel="0" collapsed="false">
      <c r="A4" s="0" t="s">
        <v>921</v>
      </c>
      <c r="B4" s="0" t="n">
        <v>20</v>
      </c>
    </row>
    <row r="5" customFormat="false" ht="15" hidden="false" customHeight="false" outlineLevel="0" collapsed="false">
      <c r="A5" s="0" t="s">
        <v>922</v>
      </c>
      <c r="B5" s="0" t="n">
        <v>10</v>
      </c>
    </row>
    <row r="6" customFormat="false" ht="15" hidden="false" customHeight="false" outlineLevel="0" collapsed="false">
      <c r="A6" s="0" t="s">
        <v>923</v>
      </c>
      <c r="B6" s="0" t="n">
        <v>16</v>
      </c>
    </row>
    <row r="7" customFormat="false" ht="15" hidden="false" customHeight="false" outlineLevel="0" collapsed="false">
      <c r="A7" s="0" t="s">
        <v>924</v>
      </c>
      <c r="B7" s="0" t="n">
        <v>12</v>
      </c>
    </row>
    <row r="8" customFormat="false" ht="15" hidden="false" customHeight="false" outlineLevel="0" collapsed="false">
      <c r="A8" s="0" t="s">
        <v>925</v>
      </c>
      <c r="B8" s="0" t="n">
        <v>10</v>
      </c>
    </row>
    <row r="9" customFormat="false" ht="15" hidden="false" customHeight="false" outlineLevel="0" collapsed="false">
      <c r="A9" s="0" t="s">
        <v>926</v>
      </c>
      <c r="B9" s="0" t="n">
        <v>4</v>
      </c>
    </row>
    <row r="10" customFormat="false" ht="15" hidden="false" customHeight="false" outlineLevel="0" collapsed="false">
      <c r="A10" s="0" t="s">
        <v>927</v>
      </c>
      <c r="B10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60"/>
    <col collapsed="false" customWidth="true" hidden="false" outlineLevel="0" max="9" min="9" style="0" width="7"/>
  </cols>
  <sheetData>
    <row r="1" customFormat="false" ht="28.35" hidden="false" customHeight="false" outlineLevel="0" collapsed="false">
      <c r="A1" s="1" t="s">
        <v>0</v>
      </c>
      <c r="B1" s="1" t="s">
        <v>928</v>
      </c>
      <c r="C1" s="1" t="s">
        <v>929</v>
      </c>
      <c r="D1" s="1" t="s">
        <v>930</v>
      </c>
      <c r="E1" s="1" t="s">
        <v>19</v>
      </c>
      <c r="F1" s="1" t="s">
        <v>931</v>
      </c>
      <c r="G1" s="1" t="s">
        <v>932</v>
      </c>
      <c r="H1" s="1" t="s">
        <v>18</v>
      </c>
      <c r="I1" s="1" t="s">
        <v>20</v>
      </c>
    </row>
    <row r="2" customFormat="false" ht="15" hidden="false" customHeight="false" outlineLevel="0" collapsed="false">
      <c r="A2" s="0" t="s">
        <v>23</v>
      </c>
      <c r="B2" s="0" t="s">
        <v>933</v>
      </c>
      <c r="C2" s="0" t="s">
        <v>934</v>
      </c>
      <c r="D2" s="2" t="s">
        <v>935</v>
      </c>
      <c r="E2" s="3" t="s">
        <v>690</v>
      </c>
      <c r="F2" s="3" t="s">
        <v>936</v>
      </c>
      <c r="G2" s="3" t="s">
        <v>937</v>
      </c>
      <c r="H2" s="3" t="s">
        <v>27</v>
      </c>
      <c r="I2" s="3" t="s">
        <v>29</v>
      </c>
    </row>
    <row r="3" customFormat="false" ht="15" hidden="false" customHeight="false" outlineLevel="0" collapsed="false">
      <c r="A3" s="0" t="s">
        <v>23</v>
      </c>
      <c r="B3" s="0" t="s">
        <v>938</v>
      </c>
      <c r="C3" s="0" t="s">
        <v>934</v>
      </c>
      <c r="D3" s="0" t="n">
        <v>16.42</v>
      </c>
      <c r="E3" s="0" t="s">
        <v>66</v>
      </c>
      <c r="F3" s="0" t="s">
        <v>939</v>
      </c>
      <c r="G3" s="0" t="s">
        <v>940</v>
      </c>
      <c r="H3" s="0" t="s">
        <v>27</v>
      </c>
      <c r="I3" s="0" t="s">
        <v>29</v>
      </c>
    </row>
    <row r="4" customFormat="false" ht="15" hidden="false" customHeight="false" outlineLevel="0" collapsed="false">
      <c r="A4" s="0" t="s">
        <v>23</v>
      </c>
      <c r="B4" s="0" t="s">
        <v>941</v>
      </c>
      <c r="C4" s="0" t="s">
        <v>934</v>
      </c>
      <c r="D4" s="0" t="n">
        <v>16.42</v>
      </c>
      <c r="E4" s="0" t="s">
        <v>66</v>
      </c>
      <c r="F4" s="0" t="s">
        <v>942</v>
      </c>
      <c r="G4" s="0" t="s">
        <v>943</v>
      </c>
      <c r="H4" s="0" t="s">
        <v>27</v>
      </c>
      <c r="I4" s="0" t="s">
        <v>29</v>
      </c>
    </row>
    <row r="5" customFormat="false" ht="15" hidden="false" customHeight="false" outlineLevel="0" collapsed="false">
      <c r="A5" s="0" t="s">
        <v>23</v>
      </c>
      <c r="B5" s="0" t="s">
        <v>944</v>
      </c>
      <c r="C5" s="0" t="s">
        <v>934</v>
      </c>
      <c r="D5" s="0" t="n">
        <v>49.26</v>
      </c>
      <c r="E5" s="0" t="s">
        <v>66</v>
      </c>
      <c r="F5" s="0" t="s">
        <v>945</v>
      </c>
      <c r="G5" s="0" t="s">
        <v>946</v>
      </c>
      <c r="H5" s="0" t="s">
        <v>27</v>
      </c>
      <c r="I5" s="0" t="s">
        <v>29</v>
      </c>
    </row>
    <row r="6" customFormat="false" ht="15" hidden="false" customHeight="false" outlineLevel="0" collapsed="false">
      <c r="A6" s="0" t="s">
        <v>23</v>
      </c>
      <c r="B6" s="0" t="s">
        <v>947</v>
      </c>
      <c r="C6" s="0" t="s">
        <v>948</v>
      </c>
      <c r="D6" s="2" t="s">
        <v>935</v>
      </c>
      <c r="E6" s="3" t="s">
        <v>690</v>
      </c>
      <c r="F6" s="3" t="s">
        <v>949</v>
      </c>
      <c r="G6" s="3" t="s">
        <v>950</v>
      </c>
      <c r="H6" s="3" t="s">
        <v>27</v>
      </c>
      <c r="I6" s="3" t="s">
        <v>29</v>
      </c>
    </row>
    <row r="7" customFormat="false" ht="15" hidden="false" customHeight="false" outlineLevel="0" collapsed="false">
      <c r="A7" s="0" t="s">
        <v>23</v>
      </c>
      <c r="B7" s="0" t="s">
        <v>951</v>
      </c>
      <c r="C7" s="0" t="s">
        <v>948</v>
      </c>
      <c r="D7" s="0" t="n">
        <v>188.83</v>
      </c>
      <c r="E7" s="0" t="s">
        <v>66</v>
      </c>
      <c r="F7" s="0" t="s">
        <v>949</v>
      </c>
      <c r="G7" s="0" t="s">
        <v>952</v>
      </c>
      <c r="H7" s="0" t="s">
        <v>27</v>
      </c>
      <c r="I7" s="0" t="s">
        <v>29</v>
      </c>
    </row>
    <row r="8" customFormat="false" ht="15" hidden="false" customHeight="false" outlineLevel="0" collapsed="false">
      <c r="A8" s="0" t="s">
        <v>23</v>
      </c>
      <c r="B8" s="0" t="s">
        <v>953</v>
      </c>
      <c r="C8" s="0" t="s">
        <v>948</v>
      </c>
      <c r="D8" s="0" t="n">
        <v>199.01</v>
      </c>
      <c r="E8" s="0" t="s">
        <v>66</v>
      </c>
      <c r="F8" s="0" t="s">
        <v>954</v>
      </c>
      <c r="G8" s="0" t="s">
        <v>955</v>
      </c>
      <c r="H8" s="0" t="s">
        <v>27</v>
      </c>
      <c r="I8" s="0" t="s">
        <v>29</v>
      </c>
    </row>
    <row r="9" customFormat="false" ht="15" hidden="false" customHeight="false" outlineLevel="0" collapsed="false">
      <c r="A9" s="0" t="s">
        <v>23</v>
      </c>
      <c r="B9" s="0" t="s">
        <v>956</v>
      </c>
      <c r="C9" s="0" t="s">
        <v>934</v>
      </c>
      <c r="D9" s="0" t="n">
        <v>32.84</v>
      </c>
      <c r="E9" s="0" t="s">
        <v>66</v>
      </c>
      <c r="F9" s="0" t="s">
        <v>957</v>
      </c>
      <c r="G9" s="0" t="s">
        <v>958</v>
      </c>
      <c r="H9" s="0" t="s">
        <v>27</v>
      </c>
      <c r="I9" s="0" t="s">
        <v>29</v>
      </c>
    </row>
    <row r="10" customFormat="false" ht="15" hidden="false" customHeight="false" outlineLevel="0" collapsed="false">
      <c r="A10" s="0" t="s">
        <v>32</v>
      </c>
      <c r="B10" s="0" t="s">
        <v>933</v>
      </c>
      <c r="C10" s="0" t="s">
        <v>934</v>
      </c>
      <c r="D10" s="2" t="s">
        <v>935</v>
      </c>
      <c r="E10" s="3" t="s">
        <v>690</v>
      </c>
      <c r="F10" s="3" t="s">
        <v>936</v>
      </c>
      <c r="G10" s="3" t="s">
        <v>959</v>
      </c>
      <c r="H10" s="3" t="s">
        <v>27</v>
      </c>
      <c r="I10" s="3" t="s">
        <v>29</v>
      </c>
    </row>
    <row r="11" customFormat="false" ht="15" hidden="false" customHeight="false" outlineLevel="0" collapsed="false">
      <c r="A11" s="0" t="s">
        <v>32</v>
      </c>
      <c r="B11" s="0" t="s">
        <v>938</v>
      </c>
      <c r="C11" s="0" t="s">
        <v>934</v>
      </c>
      <c r="D11" s="0" t="n">
        <v>3.53</v>
      </c>
      <c r="E11" s="0" t="s">
        <v>66</v>
      </c>
      <c r="F11" s="0" t="s">
        <v>939</v>
      </c>
      <c r="G11" s="0" t="s">
        <v>960</v>
      </c>
      <c r="H11" s="0" t="s">
        <v>27</v>
      </c>
      <c r="I11" s="0" t="s">
        <v>29</v>
      </c>
    </row>
    <row r="12" customFormat="false" ht="15" hidden="false" customHeight="false" outlineLevel="0" collapsed="false">
      <c r="A12" s="0" t="s">
        <v>32</v>
      </c>
      <c r="B12" s="0" t="s">
        <v>941</v>
      </c>
      <c r="C12" s="0" t="s">
        <v>934</v>
      </c>
      <c r="D12" s="0" t="n">
        <v>3.53</v>
      </c>
      <c r="E12" s="0" t="s">
        <v>66</v>
      </c>
      <c r="F12" s="0" t="s">
        <v>942</v>
      </c>
      <c r="G12" s="0" t="s">
        <v>961</v>
      </c>
      <c r="H12" s="0" t="s">
        <v>27</v>
      </c>
      <c r="I12" s="0" t="s">
        <v>29</v>
      </c>
    </row>
    <row r="13" customFormat="false" ht="15" hidden="false" customHeight="false" outlineLevel="0" collapsed="false">
      <c r="A13" s="0" t="s">
        <v>32</v>
      </c>
      <c r="B13" s="0" t="s">
        <v>944</v>
      </c>
      <c r="C13" s="0" t="s">
        <v>934</v>
      </c>
      <c r="D13" s="0" t="n">
        <v>10.6</v>
      </c>
      <c r="E13" s="0" t="s">
        <v>66</v>
      </c>
      <c r="F13" s="0" t="s">
        <v>945</v>
      </c>
      <c r="G13" s="0" t="s">
        <v>962</v>
      </c>
      <c r="H13" s="0" t="s">
        <v>27</v>
      </c>
      <c r="I13" s="0" t="s">
        <v>29</v>
      </c>
    </row>
    <row r="14" customFormat="false" ht="15" hidden="false" customHeight="false" outlineLevel="0" collapsed="false">
      <c r="A14" s="0" t="s">
        <v>32</v>
      </c>
      <c r="B14" s="0" t="s">
        <v>963</v>
      </c>
      <c r="C14" s="0" t="s">
        <v>948</v>
      </c>
      <c r="D14" s="2" t="s">
        <v>935</v>
      </c>
      <c r="E14" s="3" t="s">
        <v>690</v>
      </c>
      <c r="F14" s="3" t="s">
        <v>949</v>
      </c>
      <c r="G14" s="3" t="s">
        <v>964</v>
      </c>
      <c r="H14" s="3" t="s">
        <v>27</v>
      </c>
      <c r="I14" s="3" t="s">
        <v>29</v>
      </c>
    </row>
    <row r="15" customFormat="false" ht="15" hidden="false" customHeight="false" outlineLevel="0" collapsed="false">
      <c r="A15" s="0" t="s">
        <v>32</v>
      </c>
      <c r="B15" s="0" t="s">
        <v>965</v>
      </c>
      <c r="C15" s="0" t="s">
        <v>948</v>
      </c>
      <c r="D15" s="0" t="n">
        <v>31.8</v>
      </c>
      <c r="E15" s="0" t="s">
        <v>66</v>
      </c>
      <c r="F15" s="0" t="s">
        <v>949</v>
      </c>
      <c r="G15" s="0" t="s">
        <v>966</v>
      </c>
      <c r="H15" s="0" t="s">
        <v>27</v>
      </c>
      <c r="I15" s="0" t="s">
        <v>29</v>
      </c>
    </row>
    <row r="16" customFormat="false" ht="15" hidden="false" customHeight="false" outlineLevel="0" collapsed="false">
      <c r="A16" s="0" t="s">
        <v>32</v>
      </c>
      <c r="B16" s="0" t="s">
        <v>953</v>
      </c>
      <c r="C16" s="0" t="s">
        <v>948</v>
      </c>
      <c r="D16" s="0" t="n">
        <v>54.33</v>
      </c>
      <c r="E16" s="0" t="s">
        <v>66</v>
      </c>
      <c r="F16" s="0" t="s">
        <v>954</v>
      </c>
      <c r="G16" s="0" t="s">
        <v>955</v>
      </c>
      <c r="H16" s="0" t="s">
        <v>27</v>
      </c>
      <c r="I16" s="0" t="s">
        <v>29</v>
      </c>
    </row>
    <row r="17" customFormat="false" ht="15" hidden="false" customHeight="false" outlineLevel="0" collapsed="false">
      <c r="A17" s="0" t="s">
        <v>32</v>
      </c>
      <c r="B17" s="0" t="s">
        <v>956</v>
      </c>
      <c r="C17" s="0" t="s">
        <v>934</v>
      </c>
      <c r="D17" s="0" t="n">
        <v>7.07</v>
      </c>
      <c r="E17" s="0" t="s">
        <v>66</v>
      </c>
      <c r="F17" s="0" t="s">
        <v>957</v>
      </c>
      <c r="G17" s="0" t="s">
        <v>967</v>
      </c>
      <c r="H17" s="0" t="s">
        <v>27</v>
      </c>
      <c r="I17" s="0" t="s">
        <v>29</v>
      </c>
    </row>
    <row r="18" customFormat="false" ht="15" hidden="false" customHeight="false" outlineLevel="0" collapsed="false">
      <c r="A18" s="0" t="s">
        <v>37</v>
      </c>
      <c r="B18" s="0" t="s">
        <v>933</v>
      </c>
      <c r="C18" s="0" t="s">
        <v>934</v>
      </c>
      <c r="D18" s="2" t="s">
        <v>935</v>
      </c>
      <c r="E18" s="3" t="s">
        <v>690</v>
      </c>
      <c r="F18" s="3" t="s">
        <v>936</v>
      </c>
      <c r="G18" s="3" t="s">
        <v>968</v>
      </c>
      <c r="H18" s="3" t="s">
        <v>27</v>
      </c>
      <c r="I18" s="3" t="s">
        <v>29</v>
      </c>
    </row>
    <row r="19" customFormat="false" ht="15" hidden="false" customHeight="false" outlineLevel="0" collapsed="false">
      <c r="A19" s="0" t="s">
        <v>37</v>
      </c>
      <c r="B19" s="0" t="s">
        <v>938</v>
      </c>
      <c r="C19" s="0" t="s">
        <v>934</v>
      </c>
      <c r="D19" s="0" t="n">
        <v>2.63</v>
      </c>
      <c r="E19" s="0" t="s">
        <v>66</v>
      </c>
      <c r="F19" s="0" t="s">
        <v>939</v>
      </c>
      <c r="G19" s="0" t="s">
        <v>969</v>
      </c>
      <c r="H19" s="0" t="s">
        <v>27</v>
      </c>
      <c r="I19" s="0" t="s">
        <v>29</v>
      </c>
    </row>
    <row r="20" customFormat="false" ht="15" hidden="false" customHeight="false" outlineLevel="0" collapsed="false">
      <c r="A20" s="0" t="s">
        <v>37</v>
      </c>
      <c r="B20" s="0" t="s">
        <v>941</v>
      </c>
      <c r="C20" s="0" t="s">
        <v>934</v>
      </c>
      <c r="D20" s="0" t="n">
        <v>2.63</v>
      </c>
      <c r="E20" s="0" t="s">
        <v>66</v>
      </c>
      <c r="F20" s="0" t="s">
        <v>942</v>
      </c>
      <c r="G20" s="0" t="s">
        <v>970</v>
      </c>
      <c r="H20" s="0" t="s">
        <v>27</v>
      </c>
      <c r="I20" s="0" t="s">
        <v>29</v>
      </c>
    </row>
    <row r="21" customFormat="false" ht="15" hidden="false" customHeight="false" outlineLevel="0" collapsed="false">
      <c r="A21" s="0" t="s">
        <v>37</v>
      </c>
      <c r="B21" s="0" t="s">
        <v>944</v>
      </c>
      <c r="C21" s="0" t="s">
        <v>934</v>
      </c>
      <c r="D21" s="0" t="n">
        <v>7.88</v>
      </c>
      <c r="E21" s="0" t="s">
        <v>66</v>
      </c>
      <c r="F21" s="0" t="s">
        <v>945</v>
      </c>
      <c r="G21" s="0" t="s">
        <v>971</v>
      </c>
      <c r="H21" s="0" t="s">
        <v>27</v>
      </c>
      <c r="I21" s="0" t="s">
        <v>29</v>
      </c>
    </row>
    <row r="22" customFormat="false" ht="15" hidden="false" customHeight="false" outlineLevel="0" collapsed="false">
      <c r="A22" s="0" t="s">
        <v>37</v>
      </c>
      <c r="B22" s="0" t="s">
        <v>951</v>
      </c>
      <c r="C22" s="0" t="s">
        <v>948</v>
      </c>
      <c r="D22" s="2" t="s">
        <v>935</v>
      </c>
      <c r="E22" s="3" t="s">
        <v>690</v>
      </c>
      <c r="F22" s="3" t="s">
        <v>949</v>
      </c>
      <c r="G22" s="3" t="s">
        <v>972</v>
      </c>
      <c r="H22" s="3" t="s">
        <v>27</v>
      </c>
      <c r="I22" s="3" t="s">
        <v>29</v>
      </c>
    </row>
    <row r="23" customFormat="false" ht="15" hidden="false" customHeight="false" outlineLevel="0" collapsed="false">
      <c r="A23" s="0" t="s">
        <v>37</v>
      </c>
      <c r="B23" s="0" t="s">
        <v>947</v>
      </c>
      <c r="C23" s="0" t="s">
        <v>948</v>
      </c>
      <c r="D23" s="0" t="n">
        <v>23.64</v>
      </c>
      <c r="E23" s="0" t="s">
        <v>66</v>
      </c>
      <c r="F23" s="0" t="s">
        <v>949</v>
      </c>
      <c r="G23" s="0" t="s">
        <v>973</v>
      </c>
      <c r="H23" s="0" t="s">
        <v>27</v>
      </c>
      <c r="I23" s="0" t="s">
        <v>29</v>
      </c>
    </row>
    <row r="24" customFormat="false" ht="15" hidden="false" customHeight="false" outlineLevel="0" collapsed="false">
      <c r="A24" s="0" t="s">
        <v>37</v>
      </c>
      <c r="B24" s="0" t="s">
        <v>953</v>
      </c>
      <c r="C24" s="0" t="s">
        <v>948</v>
      </c>
      <c r="D24" s="0" t="n">
        <v>40.39</v>
      </c>
      <c r="E24" s="0" t="s">
        <v>66</v>
      </c>
      <c r="F24" s="0" t="s">
        <v>954</v>
      </c>
      <c r="G24" s="0" t="s">
        <v>955</v>
      </c>
      <c r="H24" s="0" t="s">
        <v>27</v>
      </c>
      <c r="I24" s="0" t="s">
        <v>29</v>
      </c>
    </row>
    <row r="25" customFormat="false" ht="15" hidden="false" customHeight="false" outlineLevel="0" collapsed="false">
      <c r="A25" s="0" t="s">
        <v>37</v>
      </c>
      <c r="B25" s="0" t="s">
        <v>956</v>
      </c>
      <c r="C25" s="0" t="s">
        <v>934</v>
      </c>
      <c r="D25" s="0" t="n">
        <v>5.25</v>
      </c>
      <c r="E25" s="0" t="s">
        <v>66</v>
      </c>
      <c r="F25" s="0" t="s">
        <v>957</v>
      </c>
      <c r="G25" s="0" t="s">
        <v>974</v>
      </c>
      <c r="H25" s="0" t="s">
        <v>27</v>
      </c>
      <c r="I25" s="0" t="s">
        <v>29</v>
      </c>
    </row>
    <row r="26" customFormat="false" ht="15" hidden="false" customHeight="false" outlineLevel="0" collapsed="false">
      <c r="A26" s="0" t="s">
        <v>42</v>
      </c>
      <c r="B26" s="0" t="s">
        <v>975</v>
      </c>
      <c r="C26" s="0" t="s">
        <v>934</v>
      </c>
      <c r="D26" s="2" t="s">
        <v>935</v>
      </c>
      <c r="E26" s="3" t="s">
        <v>690</v>
      </c>
      <c r="F26" s="3" t="s">
        <v>976</v>
      </c>
      <c r="G26" s="3" t="s">
        <v>977</v>
      </c>
      <c r="H26" s="3" t="s">
        <v>46</v>
      </c>
      <c r="I26" s="3" t="s">
        <v>29</v>
      </c>
    </row>
    <row r="27" customFormat="false" ht="15" hidden="false" customHeight="false" outlineLevel="0" collapsed="false">
      <c r="A27" s="0" t="s">
        <v>42</v>
      </c>
      <c r="B27" s="0" t="s">
        <v>978</v>
      </c>
      <c r="C27" s="0" t="s">
        <v>934</v>
      </c>
      <c r="D27" s="0" t="n">
        <v>12.17</v>
      </c>
      <c r="E27" s="0" t="s">
        <v>66</v>
      </c>
      <c r="F27" s="0" t="s">
        <v>979</v>
      </c>
      <c r="G27" s="0" t="s">
        <v>980</v>
      </c>
      <c r="H27" s="0" t="s">
        <v>46</v>
      </c>
      <c r="I27" s="0" t="s">
        <v>29</v>
      </c>
    </row>
    <row r="28" customFormat="false" ht="15" hidden="false" customHeight="false" outlineLevel="0" collapsed="false">
      <c r="A28" s="0" t="s">
        <v>42</v>
      </c>
      <c r="B28" s="0" t="s">
        <v>981</v>
      </c>
      <c r="C28" s="0" t="s">
        <v>934</v>
      </c>
      <c r="D28" s="0" t="n">
        <v>15.3</v>
      </c>
      <c r="E28" s="0" t="s">
        <v>66</v>
      </c>
      <c r="F28" s="0" t="s">
        <v>942</v>
      </c>
      <c r="G28" s="0" t="s">
        <v>982</v>
      </c>
      <c r="H28" s="0" t="s">
        <v>46</v>
      </c>
      <c r="I28" s="0" t="s">
        <v>29</v>
      </c>
    </row>
    <row r="29" customFormat="false" ht="15" hidden="false" customHeight="false" outlineLevel="0" collapsed="false">
      <c r="A29" s="0" t="s">
        <v>42</v>
      </c>
      <c r="B29" s="0" t="s">
        <v>983</v>
      </c>
      <c r="C29" s="0" t="s">
        <v>934</v>
      </c>
      <c r="D29" s="0" t="n">
        <v>3.63</v>
      </c>
      <c r="E29" s="0" t="s">
        <v>66</v>
      </c>
      <c r="F29" s="0" t="s">
        <v>984</v>
      </c>
      <c r="G29" s="0" t="s">
        <v>985</v>
      </c>
      <c r="H29" s="0" t="s">
        <v>46</v>
      </c>
      <c r="I29" s="0" t="s">
        <v>29</v>
      </c>
    </row>
    <row r="30" customFormat="false" ht="15" hidden="false" customHeight="false" outlineLevel="0" collapsed="false">
      <c r="A30" s="0" t="s">
        <v>42</v>
      </c>
      <c r="B30" s="0" t="s">
        <v>944</v>
      </c>
      <c r="C30" s="0" t="s">
        <v>934</v>
      </c>
      <c r="D30" s="0" t="n">
        <v>42.77</v>
      </c>
      <c r="E30" s="0" t="s">
        <v>66</v>
      </c>
      <c r="F30" s="0" t="s">
        <v>945</v>
      </c>
      <c r="G30" s="0" t="s">
        <v>986</v>
      </c>
      <c r="H30" s="0" t="s">
        <v>46</v>
      </c>
      <c r="I30" s="0" t="s">
        <v>29</v>
      </c>
    </row>
    <row r="31" customFormat="false" ht="15" hidden="false" customHeight="false" outlineLevel="0" collapsed="false">
      <c r="A31" s="0" t="s">
        <v>42</v>
      </c>
      <c r="B31" s="0" t="s">
        <v>965</v>
      </c>
      <c r="C31" s="0" t="s">
        <v>948</v>
      </c>
      <c r="D31" s="0" t="n">
        <v>115.29</v>
      </c>
      <c r="E31" s="0" t="s">
        <v>66</v>
      </c>
      <c r="F31" s="0" t="s">
        <v>987</v>
      </c>
      <c r="G31" s="0" t="s">
        <v>988</v>
      </c>
      <c r="H31" s="0" t="s">
        <v>46</v>
      </c>
      <c r="I31" s="0" t="s">
        <v>29</v>
      </c>
    </row>
    <row r="32" customFormat="false" ht="15" hidden="false" customHeight="false" outlineLevel="0" collapsed="false">
      <c r="A32" s="0" t="s">
        <v>42</v>
      </c>
      <c r="B32" s="0" t="s">
        <v>963</v>
      </c>
      <c r="C32" s="0" t="s">
        <v>948</v>
      </c>
      <c r="D32" s="0" t="n">
        <v>115.29</v>
      </c>
      <c r="E32" s="0" t="s">
        <v>66</v>
      </c>
      <c r="F32" s="0" t="s">
        <v>987</v>
      </c>
      <c r="G32" s="0" t="s">
        <v>989</v>
      </c>
      <c r="H32" s="0" t="s">
        <v>46</v>
      </c>
      <c r="I32" s="0" t="s">
        <v>29</v>
      </c>
    </row>
    <row r="33" customFormat="false" ht="15" hidden="false" customHeight="false" outlineLevel="0" collapsed="false">
      <c r="A33" s="0" t="s">
        <v>42</v>
      </c>
      <c r="B33" s="0" t="s">
        <v>990</v>
      </c>
      <c r="C33" s="0" t="s">
        <v>948</v>
      </c>
      <c r="D33" s="0" t="n">
        <v>115.29</v>
      </c>
      <c r="E33" s="0" t="s">
        <v>66</v>
      </c>
      <c r="F33" s="0" t="s">
        <v>991</v>
      </c>
      <c r="G33" s="0" t="s">
        <v>955</v>
      </c>
      <c r="H33" s="0" t="s">
        <v>46</v>
      </c>
      <c r="I33" s="0" t="s">
        <v>29</v>
      </c>
    </row>
    <row r="34" customFormat="false" ht="15" hidden="false" customHeight="false" outlineLevel="0" collapsed="false">
      <c r="A34" s="0" t="s">
        <v>42</v>
      </c>
      <c r="B34" s="0" t="s">
        <v>956</v>
      </c>
      <c r="C34" s="0" t="s">
        <v>934</v>
      </c>
      <c r="D34" s="0" t="n">
        <v>24.35</v>
      </c>
      <c r="E34" s="0" t="s">
        <v>66</v>
      </c>
      <c r="F34" s="0" t="s">
        <v>957</v>
      </c>
      <c r="G34" s="0" t="s">
        <v>992</v>
      </c>
      <c r="H34" s="0" t="s">
        <v>46</v>
      </c>
      <c r="I34" s="0" t="s">
        <v>29</v>
      </c>
    </row>
    <row r="35" customFormat="false" ht="15" hidden="false" customHeight="false" outlineLevel="0" collapsed="false">
      <c r="A35" s="0" t="s">
        <v>49</v>
      </c>
      <c r="B35" s="0" t="s">
        <v>975</v>
      </c>
      <c r="C35" s="0" t="s">
        <v>934</v>
      </c>
      <c r="D35" s="2" t="s">
        <v>935</v>
      </c>
      <c r="E35" s="3" t="s">
        <v>690</v>
      </c>
      <c r="F35" s="3" t="s">
        <v>976</v>
      </c>
      <c r="G35" s="3" t="s">
        <v>993</v>
      </c>
      <c r="H35" s="3" t="s">
        <v>46</v>
      </c>
      <c r="I35" s="3" t="s">
        <v>29</v>
      </c>
    </row>
    <row r="36" customFormat="false" ht="15" hidden="false" customHeight="false" outlineLevel="0" collapsed="false">
      <c r="A36" s="0" t="s">
        <v>49</v>
      </c>
      <c r="B36" s="0" t="s">
        <v>978</v>
      </c>
      <c r="C36" s="0" t="s">
        <v>934</v>
      </c>
      <c r="D36" s="0" t="n">
        <v>19.81</v>
      </c>
      <c r="E36" s="0" t="s">
        <v>66</v>
      </c>
      <c r="F36" s="0" t="s">
        <v>979</v>
      </c>
      <c r="G36" s="0" t="s">
        <v>994</v>
      </c>
      <c r="H36" s="0" t="s">
        <v>46</v>
      </c>
      <c r="I36" s="0" t="s">
        <v>29</v>
      </c>
    </row>
    <row r="37" customFormat="false" ht="15" hidden="false" customHeight="false" outlineLevel="0" collapsed="false">
      <c r="A37" s="0" t="s">
        <v>49</v>
      </c>
      <c r="B37" s="0" t="s">
        <v>981</v>
      </c>
      <c r="C37" s="0" t="s">
        <v>934</v>
      </c>
      <c r="D37" s="0" t="n">
        <v>19.81</v>
      </c>
      <c r="E37" s="0" t="s">
        <v>66</v>
      </c>
      <c r="F37" s="0" t="s">
        <v>942</v>
      </c>
      <c r="G37" s="0" t="s">
        <v>995</v>
      </c>
      <c r="H37" s="0" t="s">
        <v>46</v>
      </c>
      <c r="I37" s="0" t="s">
        <v>29</v>
      </c>
    </row>
    <row r="38" customFormat="false" ht="15" hidden="false" customHeight="false" outlineLevel="0" collapsed="false">
      <c r="A38" s="0" t="s">
        <v>49</v>
      </c>
      <c r="B38" s="0" t="s">
        <v>944</v>
      </c>
      <c r="C38" s="0" t="s">
        <v>934</v>
      </c>
      <c r="D38" s="0" t="n">
        <v>59.44</v>
      </c>
      <c r="E38" s="0" t="s">
        <v>66</v>
      </c>
      <c r="F38" s="0" t="s">
        <v>945</v>
      </c>
      <c r="G38" s="0" t="s">
        <v>996</v>
      </c>
      <c r="H38" s="0" t="s">
        <v>46</v>
      </c>
      <c r="I38" s="0" t="s">
        <v>29</v>
      </c>
    </row>
    <row r="39" customFormat="false" ht="15" hidden="false" customHeight="false" outlineLevel="0" collapsed="false">
      <c r="A39" s="0" t="s">
        <v>49</v>
      </c>
      <c r="B39" s="0" t="s">
        <v>963</v>
      </c>
      <c r="C39" s="0" t="s">
        <v>948</v>
      </c>
      <c r="D39" s="0" t="n">
        <v>178.32</v>
      </c>
      <c r="E39" s="0" t="s">
        <v>66</v>
      </c>
      <c r="F39" s="0" t="s">
        <v>987</v>
      </c>
      <c r="G39" s="0" t="s">
        <v>997</v>
      </c>
      <c r="H39" s="0" t="s">
        <v>46</v>
      </c>
      <c r="I39" s="0" t="s">
        <v>29</v>
      </c>
    </row>
    <row r="40" customFormat="false" ht="15" hidden="false" customHeight="false" outlineLevel="0" collapsed="false">
      <c r="A40" s="0" t="s">
        <v>49</v>
      </c>
      <c r="B40" s="0" t="s">
        <v>965</v>
      </c>
      <c r="C40" s="0" t="s">
        <v>948</v>
      </c>
      <c r="D40" s="0" t="n">
        <v>184.06</v>
      </c>
      <c r="E40" s="0" t="s">
        <v>66</v>
      </c>
      <c r="F40" s="0" t="s">
        <v>987</v>
      </c>
      <c r="G40" s="0" t="s">
        <v>998</v>
      </c>
      <c r="H40" s="0" t="s">
        <v>46</v>
      </c>
      <c r="I40" s="0" t="s">
        <v>29</v>
      </c>
    </row>
    <row r="41" customFormat="false" ht="15" hidden="false" customHeight="false" outlineLevel="0" collapsed="false">
      <c r="A41" s="0" t="s">
        <v>49</v>
      </c>
      <c r="B41" s="0" t="s">
        <v>990</v>
      </c>
      <c r="C41" s="0" t="s">
        <v>948</v>
      </c>
      <c r="D41" s="0" t="n">
        <v>184.06</v>
      </c>
      <c r="E41" s="0" t="s">
        <v>66</v>
      </c>
      <c r="F41" s="0" t="s">
        <v>991</v>
      </c>
      <c r="G41" s="0" t="s">
        <v>955</v>
      </c>
      <c r="H41" s="0" t="s">
        <v>46</v>
      </c>
      <c r="I41" s="0" t="s">
        <v>29</v>
      </c>
    </row>
    <row r="42" customFormat="false" ht="15" hidden="false" customHeight="false" outlineLevel="0" collapsed="false">
      <c r="A42" s="0" t="s">
        <v>49</v>
      </c>
      <c r="B42" s="0" t="s">
        <v>956</v>
      </c>
      <c r="C42" s="0" t="s">
        <v>934</v>
      </c>
      <c r="D42" s="0" t="n">
        <v>39.63</v>
      </c>
      <c r="E42" s="0" t="s">
        <v>66</v>
      </c>
      <c r="F42" s="0" t="s">
        <v>957</v>
      </c>
      <c r="G42" s="0" t="s">
        <v>999</v>
      </c>
      <c r="H42" s="0" t="s">
        <v>46</v>
      </c>
      <c r="I42" s="0" t="s">
        <v>29</v>
      </c>
    </row>
    <row r="43" customFormat="false" ht="15" hidden="false" customHeight="false" outlineLevel="0" collapsed="false">
      <c r="A43" s="0" t="s">
        <v>54</v>
      </c>
      <c r="B43" s="0" t="s">
        <v>933</v>
      </c>
      <c r="C43" s="0" t="s">
        <v>934</v>
      </c>
      <c r="D43" s="2" t="s">
        <v>935</v>
      </c>
      <c r="E43" s="3" t="s">
        <v>690</v>
      </c>
      <c r="F43" s="3" t="s">
        <v>936</v>
      </c>
      <c r="G43" s="3" t="s">
        <v>1000</v>
      </c>
      <c r="H43" s="3" t="s">
        <v>27</v>
      </c>
      <c r="I43" s="3" t="s">
        <v>29</v>
      </c>
    </row>
    <row r="44" customFormat="false" ht="15" hidden="false" customHeight="false" outlineLevel="0" collapsed="false">
      <c r="A44" s="0" t="s">
        <v>54</v>
      </c>
      <c r="B44" s="0" t="s">
        <v>938</v>
      </c>
      <c r="C44" s="0" t="s">
        <v>934</v>
      </c>
      <c r="D44" s="0" t="n">
        <v>1.47</v>
      </c>
      <c r="E44" s="0" t="s">
        <v>66</v>
      </c>
      <c r="F44" s="0" t="s">
        <v>939</v>
      </c>
      <c r="G44" s="0" t="s">
        <v>1001</v>
      </c>
      <c r="H44" s="0" t="s">
        <v>27</v>
      </c>
      <c r="I44" s="0" t="s">
        <v>29</v>
      </c>
    </row>
    <row r="45" customFormat="false" ht="15" hidden="false" customHeight="false" outlineLevel="0" collapsed="false">
      <c r="A45" s="0" t="s">
        <v>54</v>
      </c>
      <c r="B45" s="0" t="s">
        <v>941</v>
      </c>
      <c r="C45" s="0" t="s">
        <v>934</v>
      </c>
      <c r="D45" s="0" t="n">
        <v>4.81</v>
      </c>
      <c r="E45" s="0" t="s">
        <v>66</v>
      </c>
      <c r="F45" s="0" t="s">
        <v>942</v>
      </c>
      <c r="G45" s="0" t="s">
        <v>1002</v>
      </c>
      <c r="H45" s="0" t="s">
        <v>27</v>
      </c>
      <c r="I45" s="0" t="s">
        <v>29</v>
      </c>
    </row>
    <row r="46" customFormat="false" ht="15" hidden="false" customHeight="false" outlineLevel="0" collapsed="false">
      <c r="A46" s="0" t="s">
        <v>54</v>
      </c>
      <c r="B46" s="0" t="s">
        <v>1003</v>
      </c>
      <c r="C46" s="0" t="s">
        <v>934</v>
      </c>
      <c r="D46" s="0" t="n">
        <v>3.83</v>
      </c>
      <c r="E46" s="0" t="s">
        <v>66</v>
      </c>
      <c r="F46" s="0" t="s">
        <v>984</v>
      </c>
      <c r="G46" s="0" t="s">
        <v>1004</v>
      </c>
      <c r="H46" s="0" t="s">
        <v>27</v>
      </c>
      <c r="I46" s="0" t="s">
        <v>29</v>
      </c>
    </row>
    <row r="47" customFormat="false" ht="15" hidden="false" customHeight="false" outlineLevel="0" collapsed="false">
      <c r="A47" s="0" t="s">
        <v>54</v>
      </c>
      <c r="B47" s="0" t="s">
        <v>944</v>
      </c>
      <c r="C47" s="0" t="s">
        <v>934</v>
      </c>
      <c r="D47" s="0" t="n">
        <v>7.75</v>
      </c>
      <c r="E47" s="0" t="s">
        <v>66</v>
      </c>
      <c r="F47" s="0" t="s">
        <v>945</v>
      </c>
      <c r="G47" s="0" t="s">
        <v>1005</v>
      </c>
      <c r="H47" s="0" t="s">
        <v>27</v>
      </c>
      <c r="I47" s="0" t="s">
        <v>29</v>
      </c>
    </row>
    <row r="48" customFormat="false" ht="15" hidden="false" customHeight="false" outlineLevel="0" collapsed="false">
      <c r="A48" s="0" t="s">
        <v>54</v>
      </c>
      <c r="B48" s="0" t="s">
        <v>947</v>
      </c>
      <c r="C48" s="0" t="s">
        <v>948</v>
      </c>
      <c r="D48" s="0" t="n">
        <v>16.04</v>
      </c>
      <c r="E48" s="0" t="s">
        <v>66</v>
      </c>
      <c r="F48" s="0" t="s">
        <v>949</v>
      </c>
      <c r="G48" s="0" t="s">
        <v>1006</v>
      </c>
      <c r="H48" s="0" t="s">
        <v>27</v>
      </c>
      <c r="I48" s="0" t="s">
        <v>29</v>
      </c>
    </row>
    <row r="49" customFormat="false" ht="15" hidden="false" customHeight="false" outlineLevel="0" collapsed="false">
      <c r="A49" s="0" t="s">
        <v>54</v>
      </c>
      <c r="B49" s="0" t="s">
        <v>951</v>
      </c>
      <c r="C49" s="0" t="s">
        <v>948</v>
      </c>
      <c r="D49" s="0" t="n">
        <v>16.04</v>
      </c>
      <c r="E49" s="0" t="s">
        <v>66</v>
      </c>
      <c r="F49" s="0" t="s">
        <v>949</v>
      </c>
      <c r="G49" s="0" t="s">
        <v>1007</v>
      </c>
      <c r="H49" s="0" t="s">
        <v>27</v>
      </c>
      <c r="I49" s="0" t="s">
        <v>29</v>
      </c>
    </row>
    <row r="50" customFormat="false" ht="15" hidden="false" customHeight="false" outlineLevel="0" collapsed="false">
      <c r="A50" s="0" t="s">
        <v>54</v>
      </c>
      <c r="B50" s="0" t="s">
        <v>953</v>
      </c>
      <c r="C50" s="0" t="s">
        <v>948</v>
      </c>
      <c r="D50" s="0" t="n">
        <v>16.04</v>
      </c>
      <c r="E50" s="0" t="s">
        <v>66</v>
      </c>
      <c r="F50" s="0" t="s">
        <v>954</v>
      </c>
      <c r="G50" s="0" t="s">
        <v>955</v>
      </c>
      <c r="H50" s="0" t="s">
        <v>27</v>
      </c>
      <c r="I50" s="0" t="s">
        <v>29</v>
      </c>
    </row>
    <row r="51" customFormat="false" ht="15" hidden="false" customHeight="false" outlineLevel="0" collapsed="false">
      <c r="A51" s="0" t="s">
        <v>54</v>
      </c>
      <c r="B51" s="0" t="s">
        <v>956</v>
      </c>
      <c r="C51" s="0" t="s">
        <v>934</v>
      </c>
      <c r="D51" s="0" t="n">
        <v>2.95</v>
      </c>
      <c r="E51" s="0" t="s">
        <v>66</v>
      </c>
      <c r="F51" s="0" t="s">
        <v>957</v>
      </c>
      <c r="G51" s="0" t="s">
        <v>1008</v>
      </c>
      <c r="H51" s="0" t="s">
        <v>27</v>
      </c>
      <c r="I51" s="0" t="s">
        <v>29</v>
      </c>
    </row>
    <row r="52" customFormat="false" ht="15" hidden="false" customHeight="false" outlineLevel="0" collapsed="false">
      <c r="A52" s="0" t="s">
        <v>59</v>
      </c>
      <c r="B52" s="0" t="s">
        <v>933</v>
      </c>
      <c r="C52" s="0" t="s">
        <v>934</v>
      </c>
      <c r="D52" s="2" t="s">
        <v>935</v>
      </c>
      <c r="E52" s="3" t="s">
        <v>690</v>
      </c>
      <c r="F52" s="3" t="s">
        <v>936</v>
      </c>
      <c r="G52" s="3" t="s">
        <v>1009</v>
      </c>
      <c r="H52" s="3" t="s">
        <v>27</v>
      </c>
      <c r="I52" s="3" t="s">
        <v>29</v>
      </c>
    </row>
    <row r="53" customFormat="false" ht="15" hidden="false" customHeight="false" outlineLevel="0" collapsed="false">
      <c r="A53" s="0" t="s">
        <v>59</v>
      </c>
      <c r="B53" s="0" t="s">
        <v>938</v>
      </c>
      <c r="C53" s="0" t="s">
        <v>934</v>
      </c>
      <c r="D53" s="0" t="n">
        <v>0.78</v>
      </c>
      <c r="E53" s="0" t="s">
        <v>66</v>
      </c>
      <c r="F53" s="0" t="s">
        <v>939</v>
      </c>
      <c r="G53" s="0" t="s">
        <v>1010</v>
      </c>
      <c r="H53" s="0" t="s">
        <v>27</v>
      </c>
      <c r="I53" s="0" t="s">
        <v>29</v>
      </c>
    </row>
    <row r="54" customFormat="false" ht="15" hidden="false" customHeight="false" outlineLevel="0" collapsed="false">
      <c r="A54" s="0" t="s">
        <v>59</v>
      </c>
      <c r="B54" s="0" t="s">
        <v>941</v>
      </c>
      <c r="C54" s="0" t="s">
        <v>934</v>
      </c>
      <c r="D54" s="0" t="n">
        <v>0.78</v>
      </c>
      <c r="E54" s="0" t="s">
        <v>66</v>
      </c>
      <c r="F54" s="0" t="s">
        <v>942</v>
      </c>
      <c r="G54" s="0" t="s">
        <v>1011</v>
      </c>
      <c r="H54" s="0" t="s">
        <v>27</v>
      </c>
      <c r="I54" s="0" t="s">
        <v>29</v>
      </c>
    </row>
    <row r="55" customFormat="false" ht="15" hidden="false" customHeight="false" outlineLevel="0" collapsed="false">
      <c r="A55" s="0" t="s">
        <v>59</v>
      </c>
      <c r="B55" s="0" t="s">
        <v>944</v>
      </c>
      <c r="C55" s="0" t="s">
        <v>934</v>
      </c>
      <c r="D55" s="0" t="n">
        <v>2.34</v>
      </c>
      <c r="E55" s="0" t="s">
        <v>66</v>
      </c>
      <c r="F55" s="0" t="s">
        <v>945</v>
      </c>
      <c r="G55" s="0" t="s">
        <v>1012</v>
      </c>
      <c r="H55" s="0" t="s">
        <v>27</v>
      </c>
      <c r="I55" s="0" t="s">
        <v>29</v>
      </c>
    </row>
    <row r="56" customFormat="false" ht="15" hidden="false" customHeight="false" outlineLevel="0" collapsed="false">
      <c r="A56" s="0" t="s">
        <v>59</v>
      </c>
      <c r="B56" s="0" t="s">
        <v>947</v>
      </c>
      <c r="C56" s="0" t="s">
        <v>948</v>
      </c>
      <c r="D56" s="0" t="n">
        <v>7.02</v>
      </c>
      <c r="E56" s="0" t="s">
        <v>66</v>
      </c>
      <c r="F56" s="0" t="s">
        <v>949</v>
      </c>
      <c r="G56" s="0" t="s">
        <v>1013</v>
      </c>
      <c r="H56" s="0" t="s">
        <v>27</v>
      </c>
      <c r="I56" s="0" t="s">
        <v>29</v>
      </c>
    </row>
    <row r="57" customFormat="false" ht="15" hidden="false" customHeight="false" outlineLevel="0" collapsed="false">
      <c r="A57" s="0" t="s">
        <v>59</v>
      </c>
      <c r="B57" s="0" t="s">
        <v>951</v>
      </c>
      <c r="C57" s="0" t="s">
        <v>948</v>
      </c>
      <c r="D57" s="0" t="n">
        <v>7.02</v>
      </c>
      <c r="E57" s="0" t="s">
        <v>66</v>
      </c>
      <c r="F57" s="0" t="s">
        <v>949</v>
      </c>
      <c r="G57" s="0" t="s">
        <v>1014</v>
      </c>
      <c r="H57" s="0" t="s">
        <v>27</v>
      </c>
      <c r="I57" s="0" t="s">
        <v>29</v>
      </c>
    </row>
    <row r="58" customFormat="false" ht="15" hidden="false" customHeight="false" outlineLevel="0" collapsed="false">
      <c r="A58" s="0" t="s">
        <v>59</v>
      </c>
      <c r="B58" s="0" t="s">
        <v>953</v>
      </c>
      <c r="C58" s="0" t="s">
        <v>948</v>
      </c>
      <c r="D58" s="0" t="n">
        <v>7.02</v>
      </c>
      <c r="E58" s="0" t="s">
        <v>66</v>
      </c>
      <c r="F58" s="0" t="s">
        <v>954</v>
      </c>
      <c r="G58" s="0" t="s">
        <v>955</v>
      </c>
      <c r="H58" s="0" t="s">
        <v>27</v>
      </c>
      <c r="I58" s="0" t="s">
        <v>29</v>
      </c>
    </row>
    <row r="59" customFormat="false" ht="15" hidden="false" customHeight="false" outlineLevel="0" collapsed="false">
      <c r="A59" s="0" t="s">
        <v>59</v>
      </c>
      <c r="B59" s="0" t="s">
        <v>956</v>
      </c>
      <c r="C59" s="0" t="s">
        <v>934</v>
      </c>
      <c r="D59" s="0" t="n">
        <v>1.56</v>
      </c>
      <c r="E59" s="0" t="s">
        <v>66</v>
      </c>
      <c r="F59" s="0" t="s">
        <v>957</v>
      </c>
      <c r="G59" s="0" t="s">
        <v>1015</v>
      </c>
      <c r="H59" s="0" t="s">
        <v>27</v>
      </c>
      <c r="I59" s="0" t="s">
        <v>29</v>
      </c>
    </row>
    <row r="60" customFormat="false" ht="15" hidden="false" customHeight="false" outlineLevel="0" collapsed="false">
      <c r="A60" s="0" t="s">
        <v>63</v>
      </c>
      <c r="B60" s="0" t="s">
        <v>933</v>
      </c>
      <c r="C60" s="0" t="s">
        <v>934</v>
      </c>
      <c r="D60" s="0" t="n">
        <v>194.5</v>
      </c>
      <c r="E60" s="0" t="s">
        <v>66</v>
      </c>
      <c r="F60" s="0" t="s">
        <v>936</v>
      </c>
      <c r="G60" s="0" t="s">
        <v>1016</v>
      </c>
      <c r="H60" s="0" t="s">
        <v>27</v>
      </c>
      <c r="I60" s="0" t="s">
        <v>29</v>
      </c>
    </row>
    <row r="61" customFormat="false" ht="15" hidden="false" customHeight="false" outlineLevel="0" collapsed="false">
      <c r="A61" s="0" t="s">
        <v>63</v>
      </c>
      <c r="B61" s="0" t="s">
        <v>938</v>
      </c>
      <c r="C61" s="0" t="s">
        <v>934</v>
      </c>
      <c r="D61" s="0" t="n">
        <v>15.83</v>
      </c>
      <c r="E61" s="0" t="s">
        <v>66</v>
      </c>
      <c r="F61" s="0" t="s">
        <v>939</v>
      </c>
      <c r="G61" s="0" t="s">
        <v>1017</v>
      </c>
      <c r="H61" s="0" t="s">
        <v>27</v>
      </c>
      <c r="I61" s="0" t="s">
        <v>29</v>
      </c>
    </row>
    <row r="62" customFormat="false" ht="15" hidden="false" customHeight="false" outlineLevel="0" collapsed="false">
      <c r="A62" s="0" t="s">
        <v>63</v>
      </c>
      <c r="B62" s="0" t="s">
        <v>941</v>
      </c>
      <c r="C62" s="0" t="s">
        <v>934</v>
      </c>
      <c r="D62" s="0" t="n">
        <v>15.83</v>
      </c>
      <c r="E62" s="0" t="s">
        <v>66</v>
      </c>
      <c r="F62" s="0" t="s">
        <v>942</v>
      </c>
      <c r="G62" s="0" t="s">
        <v>1018</v>
      </c>
      <c r="H62" s="0" t="s">
        <v>27</v>
      </c>
      <c r="I62" s="0" t="s">
        <v>29</v>
      </c>
    </row>
    <row r="63" customFormat="false" ht="15" hidden="false" customHeight="false" outlineLevel="0" collapsed="false">
      <c r="A63" s="0" t="s">
        <v>63</v>
      </c>
      <c r="B63" s="0" t="s">
        <v>944</v>
      </c>
      <c r="C63" s="0" t="s">
        <v>934</v>
      </c>
      <c r="D63" s="0" t="n">
        <v>47.5</v>
      </c>
      <c r="E63" s="0" t="s">
        <v>66</v>
      </c>
      <c r="F63" s="0" t="s">
        <v>945</v>
      </c>
      <c r="G63" s="0" t="s">
        <v>1019</v>
      </c>
      <c r="H63" s="0" t="s">
        <v>27</v>
      </c>
      <c r="I63" s="0" t="s">
        <v>29</v>
      </c>
    </row>
    <row r="64" customFormat="false" ht="15" hidden="false" customHeight="false" outlineLevel="0" collapsed="false">
      <c r="A64" s="0" t="s">
        <v>63</v>
      </c>
      <c r="B64" s="0" t="s">
        <v>951</v>
      </c>
      <c r="C64" s="0" t="s">
        <v>948</v>
      </c>
      <c r="D64" s="0" t="n">
        <v>142.5</v>
      </c>
      <c r="E64" s="0" t="s">
        <v>66</v>
      </c>
      <c r="F64" s="0" t="s">
        <v>949</v>
      </c>
      <c r="G64" s="0" t="s">
        <v>1020</v>
      </c>
      <c r="H64" s="0" t="s">
        <v>27</v>
      </c>
      <c r="I64" s="0" t="s">
        <v>29</v>
      </c>
    </row>
    <row r="65" customFormat="false" ht="15" hidden="false" customHeight="false" outlineLevel="0" collapsed="false">
      <c r="A65" s="0" t="s">
        <v>63</v>
      </c>
      <c r="B65" s="0" t="s">
        <v>947</v>
      </c>
      <c r="C65" s="0" t="s">
        <v>948</v>
      </c>
      <c r="D65" s="0" t="n">
        <v>142.5</v>
      </c>
      <c r="E65" s="0" t="s">
        <v>66</v>
      </c>
      <c r="F65" s="0" t="s">
        <v>949</v>
      </c>
      <c r="G65" s="0" t="s">
        <v>1021</v>
      </c>
      <c r="H65" s="0" t="s">
        <v>27</v>
      </c>
      <c r="I65" s="0" t="s">
        <v>29</v>
      </c>
    </row>
    <row r="66" customFormat="false" ht="15" hidden="false" customHeight="false" outlineLevel="0" collapsed="false">
      <c r="A66" s="0" t="s">
        <v>63</v>
      </c>
      <c r="B66" s="0" t="s">
        <v>953</v>
      </c>
      <c r="C66" s="0" t="s">
        <v>948</v>
      </c>
      <c r="D66" s="0" t="n">
        <v>142.5</v>
      </c>
      <c r="E66" s="0" t="s">
        <v>66</v>
      </c>
      <c r="F66" s="0" t="s">
        <v>954</v>
      </c>
      <c r="G66" s="0" t="s">
        <v>955</v>
      </c>
      <c r="H66" s="0" t="s">
        <v>27</v>
      </c>
      <c r="I66" s="0" t="s">
        <v>29</v>
      </c>
    </row>
    <row r="67" customFormat="false" ht="15" hidden="false" customHeight="false" outlineLevel="0" collapsed="false">
      <c r="A67" s="0" t="s">
        <v>63</v>
      </c>
      <c r="B67" s="0" t="s">
        <v>956</v>
      </c>
      <c r="C67" s="0" t="s">
        <v>934</v>
      </c>
      <c r="D67" s="0" t="n">
        <v>31.67</v>
      </c>
      <c r="E67" s="0" t="s">
        <v>66</v>
      </c>
      <c r="F67" s="0" t="s">
        <v>957</v>
      </c>
      <c r="G67" s="0" t="s">
        <v>1022</v>
      </c>
      <c r="H67" s="0" t="s">
        <v>27</v>
      </c>
      <c r="I67" s="0" t="s">
        <v>29</v>
      </c>
    </row>
    <row r="68" customFormat="false" ht="15" hidden="false" customHeight="false" outlineLevel="0" collapsed="false">
      <c r="A68" s="0" t="s">
        <v>69</v>
      </c>
      <c r="B68" s="0" t="s">
        <v>933</v>
      </c>
      <c r="C68" s="0" t="s">
        <v>934</v>
      </c>
      <c r="D68" s="0" t="n">
        <v>87.1</v>
      </c>
      <c r="E68" s="0" t="s">
        <v>66</v>
      </c>
      <c r="F68" s="0" t="s">
        <v>936</v>
      </c>
      <c r="G68" s="0" t="s">
        <v>1023</v>
      </c>
      <c r="H68" s="0" t="s">
        <v>27</v>
      </c>
      <c r="I68" s="0" t="s">
        <v>29</v>
      </c>
    </row>
    <row r="69" customFormat="false" ht="15" hidden="false" customHeight="false" outlineLevel="0" collapsed="false">
      <c r="A69" s="0" t="s">
        <v>69</v>
      </c>
      <c r="B69" s="0" t="s">
        <v>938</v>
      </c>
      <c r="C69" s="0" t="s">
        <v>934</v>
      </c>
      <c r="D69" s="0" t="n">
        <v>3.44</v>
      </c>
      <c r="E69" s="0" t="s">
        <v>66</v>
      </c>
      <c r="F69" s="0" t="s">
        <v>939</v>
      </c>
      <c r="G69" s="0" t="s">
        <v>1024</v>
      </c>
      <c r="H69" s="0" t="s">
        <v>27</v>
      </c>
      <c r="I69" s="0" t="s">
        <v>29</v>
      </c>
    </row>
    <row r="70" customFormat="false" ht="15" hidden="false" customHeight="false" outlineLevel="0" collapsed="false">
      <c r="A70" s="0" t="s">
        <v>69</v>
      </c>
      <c r="B70" s="0" t="s">
        <v>941</v>
      </c>
      <c r="C70" s="0" t="s">
        <v>934</v>
      </c>
      <c r="D70" s="0" t="n">
        <v>6.77</v>
      </c>
      <c r="E70" s="0" t="s">
        <v>66</v>
      </c>
      <c r="F70" s="0" t="s">
        <v>942</v>
      </c>
      <c r="G70" s="0" t="s">
        <v>1025</v>
      </c>
      <c r="H70" s="0" t="s">
        <v>27</v>
      </c>
      <c r="I70" s="0" t="s">
        <v>29</v>
      </c>
    </row>
    <row r="71" customFormat="false" ht="15" hidden="false" customHeight="false" outlineLevel="0" collapsed="false">
      <c r="A71" s="0" t="s">
        <v>69</v>
      </c>
      <c r="B71" s="0" t="s">
        <v>1026</v>
      </c>
      <c r="C71" s="0" t="s">
        <v>934</v>
      </c>
      <c r="D71" s="0" t="n">
        <v>3.83</v>
      </c>
      <c r="E71" s="0" t="s">
        <v>66</v>
      </c>
      <c r="F71" s="0" t="s">
        <v>984</v>
      </c>
      <c r="G71" s="0" t="s">
        <v>1004</v>
      </c>
      <c r="H71" s="0" t="s">
        <v>27</v>
      </c>
      <c r="I71" s="0" t="s">
        <v>29</v>
      </c>
    </row>
    <row r="72" customFormat="false" ht="15" hidden="false" customHeight="false" outlineLevel="0" collapsed="false">
      <c r="A72" s="0" t="s">
        <v>69</v>
      </c>
      <c r="B72" s="0" t="s">
        <v>944</v>
      </c>
      <c r="C72" s="0" t="s">
        <v>934</v>
      </c>
      <c r="D72" s="0" t="n">
        <v>13.65</v>
      </c>
      <c r="E72" s="0" t="s">
        <v>66</v>
      </c>
      <c r="F72" s="0" t="s">
        <v>945</v>
      </c>
      <c r="G72" s="0" t="s">
        <v>1027</v>
      </c>
      <c r="H72" s="0" t="s">
        <v>27</v>
      </c>
      <c r="I72" s="0" t="s">
        <v>29</v>
      </c>
    </row>
    <row r="73" customFormat="false" ht="15" hidden="false" customHeight="false" outlineLevel="0" collapsed="false">
      <c r="A73" s="0" t="s">
        <v>69</v>
      </c>
      <c r="B73" s="0" t="s">
        <v>1028</v>
      </c>
      <c r="C73" s="0" t="s">
        <v>948</v>
      </c>
      <c r="D73" s="0" t="n">
        <v>33.74</v>
      </c>
      <c r="E73" s="0" t="s">
        <v>66</v>
      </c>
      <c r="F73" s="0" t="s">
        <v>949</v>
      </c>
      <c r="G73" s="0" t="s">
        <v>1029</v>
      </c>
      <c r="H73" s="0" t="s">
        <v>27</v>
      </c>
      <c r="I73" s="0" t="s">
        <v>29</v>
      </c>
    </row>
    <row r="74" customFormat="false" ht="15" hidden="false" customHeight="false" outlineLevel="0" collapsed="false">
      <c r="A74" s="0" t="s">
        <v>69</v>
      </c>
      <c r="B74" s="0" t="s">
        <v>1030</v>
      </c>
      <c r="C74" s="0" t="s">
        <v>948</v>
      </c>
      <c r="D74" s="0" t="n">
        <v>37.12</v>
      </c>
      <c r="E74" s="0" t="s">
        <v>66</v>
      </c>
      <c r="F74" s="0" t="s">
        <v>949</v>
      </c>
      <c r="G74" s="0" t="s">
        <v>1031</v>
      </c>
      <c r="H74" s="0" t="s">
        <v>27</v>
      </c>
      <c r="I74" s="0" t="s">
        <v>29</v>
      </c>
    </row>
    <row r="75" customFormat="false" ht="15" hidden="false" customHeight="false" outlineLevel="0" collapsed="false">
      <c r="A75" s="0" t="s">
        <v>69</v>
      </c>
      <c r="B75" s="0" t="s">
        <v>953</v>
      </c>
      <c r="C75" s="0" t="s">
        <v>948</v>
      </c>
      <c r="D75" s="0" t="n">
        <v>37.12</v>
      </c>
      <c r="E75" s="0" t="s">
        <v>66</v>
      </c>
      <c r="F75" s="0" t="s">
        <v>954</v>
      </c>
      <c r="G75" s="0" t="s">
        <v>955</v>
      </c>
      <c r="H75" s="0" t="s">
        <v>27</v>
      </c>
      <c r="I75" s="0" t="s">
        <v>29</v>
      </c>
    </row>
    <row r="76" customFormat="false" ht="15" hidden="false" customHeight="false" outlineLevel="0" collapsed="false">
      <c r="A76" s="0" t="s">
        <v>69</v>
      </c>
      <c r="B76" s="0" t="s">
        <v>956</v>
      </c>
      <c r="C76" s="0" t="s">
        <v>934</v>
      </c>
      <c r="D76" s="0" t="n">
        <v>6.88</v>
      </c>
      <c r="E76" s="0" t="s">
        <v>66</v>
      </c>
      <c r="F76" s="0" t="s">
        <v>957</v>
      </c>
      <c r="G76" s="0" t="s">
        <v>1032</v>
      </c>
      <c r="H76" s="0" t="s">
        <v>27</v>
      </c>
      <c r="I76" s="0" t="s">
        <v>29</v>
      </c>
    </row>
    <row r="77" customFormat="false" ht="15" hidden="false" customHeight="false" outlineLevel="0" collapsed="false">
      <c r="A77" s="0" t="s">
        <v>74</v>
      </c>
      <c r="B77" s="0" t="s">
        <v>933</v>
      </c>
      <c r="C77" s="0" t="s">
        <v>934</v>
      </c>
      <c r="D77" s="0" t="n">
        <v>279.79</v>
      </c>
      <c r="E77" s="0" t="s">
        <v>66</v>
      </c>
      <c r="F77" s="0" t="s">
        <v>936</v>
      </c>
      <c r="G77" s="0" t="s">
        <v>1033</v>
      </c>
      <c r="H77" s="0" t="s">
        <v>27</v>
      </c>
      <c r="I77" s="0" t="s">
        <v>29</v>
      </c>
    </row>
    <row r="78" customFormat="false" ht="15" hidden="false" customHeight="false" outlineLevel="0" collapsed="false">
      <c r="A78" s="0" t="s">
        <v>74</v>
      </c>
      <c r="B78" s="0" t="s">
        <v>938</v>
      </c>
      <c r="C78" s="0" t="s">
        <v>934</v>
      </c>
      <c r="D78" s="0" t="n">
        <v>17.06</v>
      </c>
      <c r="E78" s="0" t="s">
        <v>66</v>
      </c>
      <c r="F78" s="0" t="s">
        <v>939</v>
      </c>
      <c r="G78" s="0" t="s">
        <v>1034</v>
      </c>
      <c r="H78" s="0" t="s">
        <v>27</v>
      </c>
      <c r="I78" s="0" t="s">
        <v>29</v>
      </c>
    </row>
    <row r="79" customFormat="false" ht="15" hidden="false" customHeight="false" outlineLevel="0" collapsed="false">
      <c r="A79" s="0" t="s">
        <v>74</v>
      </c>
      <c r="B79" s="0" t="s">
        <v>941</v>
      </c>
      <c r="C79" s="0" t="s">
        <v>934</v>
      </c>
      <c r="D79" s="0" t="n">
        <v>20.08</v>
      </c>
      <c r="E79" s="0" t="s">
        <v>66</v>
      </c>
      <c r="F79" s="0" t="s">
        <v>942</v>
      </c>
      <c r="G79" s="0" t="s">
        <v>1035</v>
      </c>
      <c r="H79" s="0" t="s">
        <v>27</v>
      </c>
      <c r="I79" s="0" t="s">
        <v>29</v>
      </c>
    </row>
    <row r="80" customFormat="false" ht="15" hidden="false" customHeight="false" outlineLevel="0" collapsed="false">
      <c r="A80" s="0" t="s">
        <v>74</v>
      </c>
      <c r="B80" s="0" t="s">
        <v>1036</v>
      </c>
      <c r="C80" s="0" t="s">
        <v>934</v>
      </c>
      <c r="D80" s="0" t="n">
        <v>3.52</v>
      </c>
      <c r="E80" s="0" t="s">
        <v>66</v>
      </c>
      <c r="F80" s="0" t="s">
        <v>984</v>
      </c>
      <c r="G80" s="0" t="s">
        <v>1037</v>
      </c>
      <c r="H80" s="0" t="s">
        <v>27</v>
      </c>
      <c r="I80" s="0" t="s">
        <v>29</v>
      </c>
    </row>
    <row r="81" customFormat="false" ht="15" hidden="false" customHeight="false" outlineLevel="0" collapsed="false">
      <c r="A81" s="0" t="s">
        <v>74</v>
      </c>
      <c r="B81" s="0" t="s">
        <v>944</v>
      </c>
      <c r="C81" s="0" t="s">
        <v>934</v>
      </c>
      <c r="D81" s="0" t="n">
        <v>57.22</v>
      </c>
      <c r="E81" s="0" t="s">
        <v>66</v>
      </c>
      <c r="F81" s="0" t="s">
        <v>945</v>
      </c>
      <c r="G81" s="0" t="s">
        <v>1038</v>
      </c>
      <c r="H81" s="0" t="s">
        <v>27</v>
      </c>
      <c r="I81" s="0" t="s">
        <v>29</v>
      </c>
    </row>
    <row r="82" customFormat="false" ht="15" hidden="false" customHeight="false" outlineLevel="0" collapsed="false">
      <c r="A82" s="0" t="s">
        <v>74</v>
      </c>
      <c r="B82" s="0" t="s">
        <v>963</v>
      </c>
      <c r="C82" s="0" t="s">
        <v>948</v>
      </c>
      <c r="D82" s="0" t="n">
        <v>159.08</v>
      </c>
      <c r="E82" s="0" t="s">
        <v>66</v>
      </c>
      <c r="F82" s="0" t="s">
        <v>949</v>
      </c>
      <c r="G82" s="0" t="s">
        <v>1039</v>
      </c>
      <c r="H82" s="0" t="s">
        <v>27</v>
      </c>
      <c r="I82" s="0" t="s">
        <v>29</v>
      </c>
    </row>
    <row r="83" customFormat="false" ht="15" hidden="false" customHeight="false" outlineLevel="0" collapsed="false">
      <c r="A83" s="0" t="s">
        <v>74</v>
      </c>
      <c r="B83" s="0" t="s">
        <v>965</v>
      </c>
      <c r="C83" s="0" t="s">
        <v>948</v>
      </c>
      <c r="D83" s="0" t="n">
        <v>211.21</v>
      </c>
      <c r="E83" s="0" t="s">
        <v>66</v>
      </c>
      <c r="F83" s="0" t="s">
        <v>949</v>
      </c>
      <c r="G83" s="0" t="s">
        <v>1040</v>
      </c>
      <c r="H83" s="0" t="s">
        <v>27</v>
      </c>
      <c r="I83" s="0" t="s">
        <v>29</v>
      </c>
    </row>
    <row r="84" customFormat="false" ht="15" hidden="false" customHeight="false" outlineLevel="0" collapsed="false">
      <c r="A84" s="0" t="s">
        <v>74</v>
      </c>
      <c r="B84" s="0" t="s">
        <v>953</v>
      </c>
      <c r="C84" s="0" t="s">
        <v>948</v>
      </c>
      <c r="D84" s="0" t="n">
        <v>211.21</v>
      </c>
      <c r="E84" s="0" t="s">
        <v>66</v>
      </c>
      <c r="F84" s="0" t="s">
        <v>954</v>
      </c>
      <c r="G84" s="0" t="s">
        <v>955</v>
      </c>
      <c r="H84" s="0" t="s">
        <v>27</v>
      </c>
      <c r="I84" s="0" t="s">
        <v>29</v>
      </c>
    </row>
    <row r="85" customFormat="false" ht="15" hidden="false" customHeight="false" outlineLevel="0" collapsed="false">
      <c r="A85" s="0" t="s">
        <v>74</v>
      </c>
      <c r="B85" s="0" t="s">
        <v>956</v>
      </c>
      <c r="C85" s="0" t="s">
        <v>934</v>
      </c>
      <c r="D85" s="0" t="n">
        <v>34.12</v>
      </c>
      <c r="E85" s="0" t="s">
        <v>66</v>
      </c>
      <c r="F85" s="0" t="s">
        <v>957</v>
      </c>
      <c r="G85" s="0" t="s">
        <v>1041</v>
      </c>
      <c r="H85" s="0" t="s">
        <v>27</v>
      </c>
      <c r="I85" s="0" t="s">
        <v>29</v>
      </c>
    </row>
    <row r="86" customFormat="false" ht="15" hidden="false" customHeight="false" outlineLevel="0" collapsed="false">
      <c r="A86" s="0" t="s">
        <v>79</v>
      </c>
      <c r="B86" s="0" t="s">
        <v>933</v>
      </c>
      <c r="C86" s="0" t="s">
        <v>934</v>
      </c>
      <c r="D86" s="0" t="n">
        <v>102.17</v>
      </c>
      <c r="E86" s="0" t="s">
        <v>66</v>
      </c>
      <c r="F86" s="0" t="s">
        <v>936</v>
      </c>
      <c r="G86" s="0" t="s">
        <v>1042</v>
      </c>
      <c r="H86" s="0" t="s">
        <v>27</v>
      </c>
      <c r="I86" s="0" t="s">
        <v>29</v>
      </c>
    </row>
    <row r="87" customFormat="false" ht="15" hidden="false" customHeight="false" outlineLevel="0" collapsed="false">
      <c r="A87" s="0" t="s">
        <v>79</v>
      </c>
      <c r="B87" s="0" t="s">
        <v>938</v>
      </c>
      <c r="C87" s="0" t="s">
        <v>934</v>
      </c>
      <c r="D87" s="0" t="n">
        <v>8.17</v>
      </c>
      <c r="E87" s="0" t="s">
        <v>66</v>
      </c>
      <c r="F87" s="0" t="s">
        <v>939</v>
      </c>
      <c r="G87" s="0" t="s">
        <v>1043</v>
      </c>
      <c r="H87" s="0" t="s">
        <v>27</v>
      </c>
      <c r="I87" s="0" t="s">
        <v>29</v>
      </c>
    </row>
    <row r="88" customFormat="false" ht="15" hidden="false" customHeight="false" outlineLevel="0" collapsed="false">
      <c r="A88" s="0" t="s">
        <v>79</v>
      </c>
      <c r="B88" s="0" t="s">
        <v>941</v>
      </c>
      <c r="C88" s="0" t="s">
        <v>934</v>
      </c>
      <c r="D88" s="0" t="n">
        <v>8.17</v>
      </c>
      <c r="E88" s="0" t="s">
        <v>66</v>
      </c>
      <c r="F88" s="0" t="s">
        <v>942</v>
      </c>
      <c r="G88" s="0" t="s">
        <v>1044</v>
      </c>
      <c r="H88" s="0" t="s">
        <v>27</v>
      </c>
      <c r="I88" s="0" t="s">
        <v>29</v>
      </c>
    </row>
    <row r="89" customFormat="false" ht="15" hidden="false" customHeight="false" outlineLevel="0" collapsed="false">
      <c r="A89" s="0" t="s">
        <v>79</v>
      </c>
      <c r="B89" s="0" t="s">
        <v>944</v>
      </c>
      <c r="C89" s="0" t="s">
        <v>934</v>
      </c>
      <c r="D89" s="0" t="n">
        <v>24.5</v>
      </c>
      <c r="E89" s="0" t="s">
        <v>66</v>
      </c>
      <c r="F89" s="0" t="s">
        <v>945</v>
      </c>
      <c r="G89" s="0" t="s">
        <v>1045</v>
      </c>
      <c r="H89" s="0" t="s">
        <v>27</v>
      </c>
      <c r="I89" s="0" t="s">
        <v>29</v>
      </c>
    </row>
    <row r="90" customFormat="false" ht="15" hidden="false" customHeight="false" outlineLevel="0" collapsed="false">
      <c r="A90" s="0" t="s">
        <v>79</v>
      </c>
      <c r="B90" s="0" t="s">
        <v>951</v>
      </c>
      <c r="C90" s="0" t="s">
        <v>948</v>
      </c>
      <c r="D90" s="0" t="n">
        <v>77.58</v>
      </c>
      <c r="E90" s="0" t="s">
        <v>66</v>
      </c>
      <c r="F90" s="0" t="s">
        <v>949</v>
      </c>
      <c r="G90" s="0" t="s">
        <v>1046</v>
      </c>
      <c r="H90" s="0" t="s">
        <v>27</v>
      </c>
      <c r="I90" s="0" t="s">
        <v>29</v>
      </c>
    </row>
    <row r="91" customFormat="false" ht="15" hidden="false" customHeight="false" outlineLevel="0" collapsed="false">
      <c r="A91" s="0" t="s">
        <v>79</v>
      </c>
      <c r="B91" s="0" t="s">
        <v>947</v>
      </c>
      <c r="C91" s="0" t="s">
        <v>948</v>
      </c>
      <c r="D91" s="0" t="n">
        <v>73.5</v>
      </c>
      <c r="E91" s="0" t="s">
        <v>66</v>
      </c>
      <c r="F91" s="0" t="s">
        <v>949</v>
      </c>
      <c r="G91" s="0" t="s">
        <v>1047</v>
      </c>
      <c r="H91" s="0" t="s">
        <v>27</v>
      </c>
      <c r="I91" s="0" t="s">
        <v>29</v>
      </c>
    </row>
    <row r="92" customFormat="false" ht="15" hidden="false" customHeight="false" outlineLevel="0" collapsed="false">
      <c r="A92" s="0" t="s">
        <v>79</v>
      </c>
      <c r="B92" s="0" t="s">
        <v>953</v>
      </c>
      <c r="C92" s="0" t="s">
        <v>948</v>
      </c>
      <c r="D92" s="0" t="n">
        <v>77.58</v>
      </c>
      <c r="E92" s="0" t="s">
        <v>66</v>
      </c>
      <c r="F92" s="0" t="s">
        <v>954</v>
      </c>
      <c r="G92" s="0" t="s">
        <v>955</v>
      </c>
      <c r="H92" s="0" t="s">
        <v>27</v>
      </c>
      <c r="I92" s="0" t="s">
        <v>29</v>
      </c>
    </row>
    <row r="93" customFormat="false" ht="15" hidden="false" customHeight="false" outlineLevel="0" collapsed="false">
      <c r="A93" s="0" t="s">
        <v>79</v>
      </c>
      <c r="B93" s="0" t="s">
        <v>956</v>
      </c>
      <c r="C93" s="0" t="s">
        <v>934</v>
      </c>
      <c r="D93" s="0" t="n">
        <v>16.33</v>
      </c>
      <c r="E93" s="0" t="s">
        <v>66</v>
      </c>
      <c r="F93" s="0" t="s">
        <v>957</v>
      </c>
      <c r="G93" s="0" t="s">
        <v>1048</v>
      </c>
      <c r="H93" s="0" t="s">
        <v>27</v>
      </c>
      <c r="I93" s="0" t="s">
        <v>29</v>
      </c>
    </row>
    <row r="94" customFormat="false" ht="15" hidden="false" customHeight="false" outlineLevel="0" collapsed="false">
      <c r="A94" s="0" t="s">
        <v>79</v>
      </c>
      <c r="B94" s="0" t="s">
        <v>1049</v>
      </c>
      <c r="C94" s="0" t="s">
        <v>934</v>
      </c>
      <c r="D94" s="0" t="n">
        <v>18.5</v>
      </c>
      <c r="E94" s="0" t="s">
        <v>66</v>
      </c>
      <c r="F94" s="0" t="s">
        <v>1050</v>
      </c>
      <c r="G94" s="0" t="s">
        <v>1051</v>
      </c>
      <c r="H94" s="0" t="s">
        <v>27</v>
      </c>
      <c r="I94" s="0" t="s">
        <v>29</v>
      </c>
    </row>
    <row r="95" customFormat="false" ht="15" hidden="false" customHeight="false" outlineLevel="0" collapsed="false">
      <c r="A95" s="0" t="s">
        <v>84</v>
      </c>
      <c r="B95" s="0" t="s">
        <v>975</v>
      </c>
      <c r="C95" s="0" t="s">
        <v>934</v>
      </c>
      <c r="D95" s="0" t="n">
        <v>88.47</v>
      </c>
      <c r="E95" s="0" t="s">
        <v>66</v>
      </c>
      <c r="F95" s="0" t="s">
        <v>976</v>
      </c>
      <c r="G95" s="0" t="s">
        <v>1052</v>
      </c>
      <c r="H95" s="0" t="s">
        <v>46</v>
      </c>
      <c r="I95" s="0" t="s">
        <v>29</v>
      </c>
    </row>
    <row r="96" customFormat="false" ht="15" hidden="false" customHeight="false" outlineLevel="0" collapsed="false">
      <c r="A96" s="0" t="s">
        <v>84</v>
      </c>
      <c r="B96" s="0" t="s">
        <v>978</v>
      </c>
      <c r="C96" s="0" t="s">
        <v>934</v>
      </c>
      <c r="D96" s="0" t="n">
        <v>3.31</v>
      </c>
      <c r="E96" s="0" t="s">
        <v>66</v>
      </c>
      <c r="F96" s="0" t="s">
        <v>979</v>
      </c>
      <c r="G96" s="0" t="s">
        <v>1053</v>
      </c>
      <c r="H96" s="0" t="s">
        <v>46</v>
      </c>
      <c r="I96" s="0" t="s">
        <v>29</v>
      </c>
    </row>
    <row r="97" customFormat="false" ht="15" hidden="false" customHeight="false" outlineLevel="0" collapsed="false">
      <c r="A97" s="0" t="s">
        <v>84</v>
      </c>
      <c r="B97" s="0" t="s">
        <v>981</v>
      </c>
      <c r="C97" s="0" t="s">
        <v>934</v>
      </c>
      <c r="D97" s="0" t="n">
        <v>6.64</v>
      </c>
      <c r="E97" s="0" t="s">
        <v>66</v>
      </c>
      <c r="F97" s="0" t="s">
        <v>942</v>
      </c>
      <c r="G97" s="0" t="s">
        <v>1054</v>
      </c>
      <c r="H97" s="0" t="s">
        <v>46</v>
      </c>
      <c r="I97" s="0" t="s">
        <v>29</v>
      </c>
    </row>
    <row r="98" customFormat="false" ht="15" hidden="false" customHeight="false" outlineLevel="0" collapsed="false">
      <c r="A98" s="0" t="s">
        <v>84</v>
      </c>
      <c r="B98" s="0" t="s">
        <v>1055</v>
      </c>
      <c r="C98" s="0" t="s">
        <v>934</v>
      </c>
      <c r="D98" s="0" t="n">
        <v>3.83</v>
      </c>
      <c r="E98" s="0" t="s">
        <v>66</v>
      </c>
      <c r="F98" s="0" t="s">
        <v>984</v>
      </c>
      <c r="G98" s="0" t="s">
        <v>1004</v>
      </c>
      <c r="H98" s="0" t="s">
        <v>46</v>
      </c>
      <c r="I98" s="0" t="s">
        <v>29</v>
      </c>
    </row>
    <row r="99" customFormat="false" ht="15" hidden="false" customHeight="false" outlineLevel="0" collapsed="false">
      <c r="A99" s="0" t="s">
        <v>84</v>
      </c>
      <c r="B99" s="0" t="s">
        <v>944</v>
      </c>
      <c r="C99" s="0" t="s">
        <v>934</v>
      </c>
      <c r="D99" s="0" t="n">
        <v>16.59</v>
      </c>
      <c r="E99" s="0" t="s">
        <v>66</v>
      </c>
      <c r="F99" s="0" t="s">
        <v>945</v>
      </c>
      <c r="G99" s="0" t="s">
        <v>1056</v>
      </c>
      <c r="H99" s="0" t="s">
        <v>46</v>
      </c>
      <c r="I99" s="0" t="s">
        <v>29</v>
      </c>
    </row>
    <row r="100" customFormat="false" ht="15" hidden="false" customHeight="false" outlineLevel="0" collapsed="false">
      <c r="A100" s="0" t="s">
        <v>84</v>
      </c>
      <c r="B100" s="0" t="s">
        <v>963</v>
      </c>
      <c r="C100" s="0" t="s">
        <v>948</v>
      </c>
      <c r="D100" s="0" t="n">
        <v>35.87</v>
      </c>
      <c r="E100" s="0" t="s">
        <v>66</v>
      </c>
      <c r="F100" s="0" t="s">
        <v>987</v>
      </c>
      <c r="G100" s="0" t="s">
        <v>1057</v>
      </c>
      <c r="H100" s="0" t="s">
        <v>46</v>
      </c>
      <c r="I100" s="0" t="s">
        <v>29</v>
      </c>
    </row>
    <row r="101" customFormat="false" ht="15" hidden="false" customHeight="false" outlineLevel="0" collapsed="false">
      <c r="A101" s="0" t="s">
        <v>84</v>
      </c>
      <c r="B101" s="0" t="s">
        <v>965</v>
      </c>
      <c r="C101" s="0" t="s">
        <v>948</v>
      </c>
      <c r="D101" s="0" t="n">
        <v>39.19</v>
      </c>
      <c r="E101" s="0" t="s">
        <v>66</v>
      </c>
      <c r="F101" s="0" t="s">
        <v>987</v>
      </c>
      <c r="G101" s="0" t="s">
        <v>1058</v>
      </c>
      <c r="H101" s="0" t="s">
        <v>46</v>
      </c>
      <c r="I101" s="0" t="s">
        <v>29</v>
      </c>
    </row>
    <row r="102" customFormat="false" ht="15" hidden="false" customHeight="false" outlineLevel="0" collapsed="false">
      <c r="A102" s="0" t="s">
        <v>84</v>
      </c>
      <c r="B102" s="0" t="s">
        <v>990</v>
      </c>
      <c r="C102" s="0" t="s">
        <v>948</v>
      </c>
      <c r="D102" s="0" t="n">
        <v>39.19</v>
      </c>
      <c r="E102" s="0" t="s">
        <v>66</v>
      </c>
      <c r="F102" s="0" t="s">
        <v>991</v>
      </c>
      <c r="G102" s="0" t="s">
        <v>955</v>
      </c>
      <c r="H102" s="0" t="s">
        <v>46</v>
      </c>
      <c r="I102" s="0" t="s">
        <v>29</v>
      </c>
    </row>
    <row r="103" customFormat="false" ht="15" hidden="false" customHeight="false" outlineLevel="0" collapsed="false">
      <c r="A103" s="0" t="s">
        <v>84</v>
      </c>
      <c r="B103" s="0" t="s">
        <v>956</v>
      </c>
      <c r="C103" s="0" t="s">
        <v>934</v>
      </c>
      <c r="D103" s="0" t="n">
        <v>6.61</v>
      </c>
      <c r="E103" s="0" t="s">
        <v>66</v>
      </c>
      <c r="F103" s="0" t="s">
        <v>957</v>
      </c>
      <c r="G103" s="0" t="s">
        <v>1059</v>
      </c>
      <c r="H103" s="0" t="s">
        <v>46</v>
      </c>
      <c r="I103" s="0" t="s">
        <v>29</v>
      </c>
    </row>
    <row r="104" customFormat="false" ht="15" hidden="false" customHeight="false" outlineLevel="0" collapsed="false">
      <c r="A104" s="0" t="s">
        <v>89</v>
      </c>
      <c r="B104" s="0" t="s">
        <v>1060</v>
      </c>
      <c r="C104" s="0" t="s">
        <v>934</v>
      </c>
      <c r="D104" s="2" t="s">
        <v>935</v>
      </c>
      <c r="E104" s="3" t="s">
        <v>690</v>
      </c>
      <c r="F104" s="3" t="s">
        <v>1061</v>
      </c>
      <c r="G104" s="3" t="s">
        <v>1062</v>
      </c>
      <c r="H104" s="3" t="s">
        <v>93</v>
      </c>
      <c r="I104" s="3" t="s">
        <v>29</v>
      </c>
    </row>
    <row r="105" customFormat="false" ht="15" hidden="false" customHeight="false" outlineLevel="0" collapsed="false">
      <c r="A105" s="0" t="s">
        <v>89</v>
      </c>
      <c r="B105" s="0" t="s">
        <v>1063</v>
      </c>
      <c r="C105" s="0" t="s">
        <v>934</v>
      </c>
      <c r="D105" s="0" t="n">
        <v>3.41</v>
      </c>
      <c r="E105" s="0" t="s">
        <v>66</v>
      </c>
      <c r="F105" s="0" t="s">
        <v>1064</v>
      </c>
      <c r="G105" s="0" t="s">
        <v>1065</v>
      </c>
      <c r="H105" s="0" t="s">
        <v>93</v>
      </c>
      <c r="I105" s="0" t="s">
        <v>29</v>
      </c>
    </row>
    <row r="106" customFormat="false" ht="15" hidden="false" customHeight="false" outlineLevel="0" collapsed="false">
      <c r="A106" s="0" t="s">
        <v>89</v>
      </c>
      <c r="B106" s="0" t="s">
        <v>1066</v>
      </c>
      <c r="C106" s="0" t="s">
        <v>934</v>
      </c>
      <c r="D106" s="0" t="n">
        <v>3.41</v>
      </c>
      <c r="E106" s="0" t="s">
        <v>66</v>
      </c>
      <c r="F106" s="0" t="s">
        <v>1067</v>
      </c>
      <c r="G106" s="0" t="s">
        <v>1068</v>
      </c>
      <c r="H106" s="0" t="s">
        <v>93</v>
      </c>
      <c r="I106" s="0" t="s">
        <v>29</v>
      </c>
    </row>
    <row r="107" customFormat="false" ht="15" hidden="false" customHeight="false" outlineLevel="0" collapsed="false">
      <c r="A107" s="0" t="s">
        <v>89</v>
      </c>
      <c r="B107" s="0" t="s">
        <v>944</v>
      </c>
      <c r="C107" s="0" t="s">
        <v>934</v>
      </c>
      <c r="D107" s="0" t="n">
        <v>10.24</v>
      </c>
      <c r="E107" s="0" t="s">
        <v>66</v>
      </c>
      <c r="F107" s="0" t="s">
        <v>945</v>
      </c>
      <c r="G107" s="0" t="s">
        <v>1069</v>
      </c>
      <c r="H107" s="0" t="s">
        <v>93</v>
      </c>
      <c r="I107" s="0" t="s">
        <v>29</v>
      </c>
    </row>
    <row r="108" customFormat="false" ht="15" hidden="false" customHeight="false" outlineLevel="0" collapsed="false">
      <c r="A108" s="0" t="s">
        <v>89</v>
      </c>
      <c r="B108" s="0" t="s">
        <v>1070</v>
      </c>
      <c r="C108" s="0" t="s">
        <v>948</v>
      </c>
      <c r="D108" s="2" t="s">
        <v>935</v>
      </c>
      <c r="E108" s="3" t="s">
        <v>690</v>
      </c>
      <c r="F108" s="3" t="s">
        <v>1071</v>
      </c>
      <c r="G108" s="3" t="s">
        <v>1072</v>
      </c>
      <c r="H108" s="3" t="s">
        <v>93</v>
      </c>
      <c r="I108" s="3" t="s">
        <v>29</v>
      </c>
    </row>
    <row r="109" customFormat="false" ht="15" hidden="false" customHeight="false" outlineLevel="0" collapsed="false">
      <c r="A109" s="0" t="s">
        <v>89</v>
      </c>
      <c r="B109" s="0" t="s">
        <v>1073</v>
      </c>
      <c r="C109" s="0" t="s">
        <v>948</v>
      </c>
      <c r="D109" s="2" t="s">
        <v>935</v>
      </c>
      <c r="E109" s="3" t="s">
        <v>690</v>
      </c>
      <c r="F109" s="3" t="s">
        <v>1074</v>
      </c>
      <c r="G109" s="3" t="s">
        <v>1072</v>
      </c>
      <c r="H109" s="3" t="s">
        <v>93</v>
      </c>
      <c r="I109" s="3" t="s">
        <v>29</v>
      </c>
    </row>
    <row r="110" customFormat="false" ht="15" hidden="false" customHeight="false" outlineLevel="0" collapsed="false">
      <c r="A110" s="0" t="s">
        <v>89</v>
      </c>
      <c r="B110" s="0" t="s">
        <v>1075</v>
      </c>
      <c r="C110" s="0" t="s">
        <v>948</v>
      </c>
      <c r="D110" s="0" t="n">
        <v>27.31</v>
      </c>
      <c r="E110" s="0" t="s">
        <v>66</v>
      </c>
      <c r="F110" s="0" t="s">
        <v>1076</v>
      </c>
      <c r="G110" s="0" t="s">
        <v>1077</v>
      </c>
      <c r="H110" s="0" t="s">
        <v>93</v>
      </c>
      <c r="I110" s="0" t="s">
        <v>29</v>
      </c>
    </row>
    <row r="111" customFormat="false" ht="15" hidden="false" customHeight="false" outlineLevel="0" collapsed="false">
      <c r="A111" s="0" t="s">
        <v>89</v>
      </c>
      <c r="B111" s="0" t="s">
        <v>1078</v>
      </c>
      <c r="C111" s="0" t="s">
        <v>948</v>
      </c>
      <c r="D111" s="2" t="s">
        <v>935</v>
      </c>
      <c r="E111" s="3" t="s">
        <v>690</v>
      </c>
      <c r="F111" s="3" t="s">
        <v>1079</v>
      </c>
      <c r="G111" s="3" t="s">
        <v>1080</v>
      </c>
      <c r="H111" s="3" t="s">
        <v>93</v>
      </c>
      <c r="I111" s="3" t="s">
        <v>29</v>
      </c>
    </row>
    <row r="112" customFormat="false" ht="15" hidden="false" customHeight="false" outlineLevel="0" collapsed="false">
      <c r="A112" s="0" t="s">
        <v>89</v>
      </c>
      <c r="B112" s="0" t="s">
        <v>953</v>
      </c>
      <c r="C112" s="0" t="s">
        <v>948</v>
      </c>
      <c r="D112" s="0" t="n">
        <v>52.48</v>
      </c>
      <c r="E112" s="0" t="s">
        <v>66</v>
      </c>
      <c r="F112" s="0" t="s">
        <v>1081</v>
      </c>
      <c r="G112" s="0" t="s">
        <v>955</v>
      </c>
      <c r="H112" s="0" t="s">
        <v>93</v>
      </c>
      <c r="I112" s="0" t="s">
        <v>29</v>
      </c>
    </row>
    <row r="113" customFormat="false" ht="15" hidden="false" customHeight="false" outlineLevel="0" collapsed="false">
      <c r="A113" s="0" t="s">
        <v>89</v>
      </c>
      <c r="B113" s="0" t="s">
        <v>956</v>
      </c>
      <c r="C113" s="0" t="s">
        <v>934</v>
      </c>
      <c r="D113" s="0" t="n">
        <v>13.65</v>
      </c>
      <c r="E113" s="0" t="s">
        <v>66</v>
      </c>
      <c r="F113" s="0" t="s">
        <v>1082</v>
      </c>
      <c r="G113" s="0" t="s">
        <v>1083</v>
      </c>
      <c r="H113" s="0" t="s">
        <v>93</v>
      </c>
      <c r="I113" s="0" t="s">
        <v>29</v>
      </c>
    </row>
    <row r="114" customFormat="false" ht="15" hidden="false" customHeight="false" outlineLevel="0" collapsed="false">
      <c r="A114" s="0" t="s">
        <v>89</v>
      </c>
      <c r="B114" s="0" t="s">
        <v>1084</v>
      </c>
      <c r="C114" s="0" t="s">
        <v>934</v>
      </c>
      <c r="D114" s="2" t="s">
        <v>935</v>
      </c>
      <c r="E114" s="3" t="s">
        <v>690</v>
      </c>
      <c r="F114" s="3" t="s">
        <v>1085</v>
      </c>
      <c r="G114" s="3" t="s">
        <v>1086</v>
      </c>
      <c r="H114" s="3" t="s">
        <v>93</v>
      </c>
      <c r="I114" s="3" t="s">
        <v>29</v>
      </c>
    </row>
    <row r="115" customFormat="false" ht="15" hidden="false" customHeight="false" outlineLevel="0" collapsed="false">
      <c r="A115" s="0" t="s">
        <v>96</v>
      </c>
      <c r="B115" s="0" t="s">
        <v>1060</v>
      </c>
      <c r="C115" s="0" t="s">
        <v>934</v>
      </c>
      <c r="D115" s="0" t="n">
        <v>64.65</v>
      </c>
      <c r="E115" s="0" t="s">
        <v>66</v>
      </c>
      <c r="F115" s="0" t="s">
        <v>1061</v>
      </c>
      <c r="G115" s="0" t="s">
        <v>1087</v>
      </c>
      <c r="H115" s="0" t="s">
        <v>93</v>
      </c>
      <c r="I115" s="0" t="s">
        <v>29</v>
      </c>
    </row>
    <row r="116" customFormat="false" ht="15" hidden="false" customHeight="false" outlineLevel="0" collapsed="false">
      <c r="A116" s="0" t="s">
        <v>96</v>
      </c>
      <c r="B116" s="0" t="s">
        <v>1063</v>
      </c>
      <c r="C116" s="0" t="s">
        <v>934</v>
      </c>
      <c r="D116" s="0" t="n">
        <v>5.65</v>
      </c>
      <c r="E116" s="0" t="s">
        <v>66</v>
      </c>
      <c r="F116" s="0" t="s">
        <v>1064</v>
      </c>
      <c r="G116" s="0" t="s">
        <v>1088</v>
      </c>
      <c r="H116" s="0" t="s">
        <v>93</v>
      </c>
      <c r="I116" s="0" t="s">
        <v>29</v>
      </c>
    </row>
    <row r="117" customFormat="false" ht="15" hidden="false" customHeight="false" outlineLevel="0" collapsed="false">
      <c r="A117" s="0" t="s">
        <v>96</v>
      </c>
      <c r="B117" s="0" t="s">
        <v>1066</v>
      </c>
      <c r="C117" s="0" t="s">
        <v>934</v>
      </c>
      <c r="D117" s="0" t="n">
        <v>5.65</v>
      </c>
      <c r="E117" s="0" t="s">
        <v>66</v>
      </c>
      <c r="F117" s="0" t="s">
        <v>1067</v>
      </c>
      <c r="G117" s="0" t="s">
        <v>1089</v>
      </c>
      <c r="H117" s="0" t="s">
        <v>93</v>
      </c>
      <c r="I117" s="0" t="s">
        <v>29</v>
      </c>
    </row>
    <row r="118" customFormat="false" ht="15" hidden="false" customHeight="false" outlineLevel="0" collapsed="false">
      <c r="A118" s="0" t="s">
        <v>96</v>
      </c>
      <c r="B118" s="0" t="s">
        <v>944</v>
      </c>
      <c r="C118" s="0" t="s">
        <v>934</v>
      </c>
      <c r="D118" s="0" t="n">
        <v>16.96</v>
      </c>
      <c r="E118" s="0" t="s">
        <v>66</v>
      </c>
      <c r="F118" s="0" t="s">
        <v>945</v>
      </c>
      <c r="G118" s="0" t="s">
        <v>1090</v>
      </c>
      <c r="H118" s="0" t="s">
        <v>93</v>
      </c>
      <c r="I118" s="0" t="s">
        <v>29</v>
      </c>
    </row>
    <row r="119" customFormat="false" ht="15" hidden="false" customHeight="false" outlineLevel="0" collapsed="false">
      <c r="A119" s="0" t="s">
        <v>96</v>
      </c>
      <c r="B119" s="0" t="s">
        <v>1070</v>
      </c>
      <c r="C119" s="0" t="s">
        <v>948</v>
      </c>
      <c r="D119" s="0" t="n">
        <v>73.1</v>
      </c>
      <c r="E119" s="0" t="s">
        <v>66</v>
      </c>
      <c r="F119" s="0" t="s">
        <v>1071</v>
      </c>
      <c r="G119" s="0" t="s">
        <v>1072</v>
      </c>
      <c r="H119" s="0" t="s">
        <v>93</v>
      </c>
      <c r="I119" s="0" t="s">
        <v>29</v>
      </c>
    </row>
    <row r="120" customFormat="false" ht="15" hidden="false" customHeight="false" outlineLevel="0" collapsed="false">
      <c r="A120" s="0" t="s">
        <v>96</v>
      </c>
      <c r="B120" s="0" t="s">
        <v>1073</v>
      </c>
      <c r="C120" s="0" t="s">
        <v>948</v>
      </c>
      <c r="D120" s="0" t="n">
        <v>73.1</v>
      </c>
      <c r="E120" s="0" t="s">
        <v>66</v>
      </c>
      <c r="F120" s="0" t="s">
        <v>1074</v>
      </c>
      <c r="G120" s="0" t="s">
        <v>1072</v>
      </c>
      <c r="H120" s="0" t="s">
        <v>93</v>
      </c>
      <c r="I120" s="0" t="s">
        <v>29</v>
      </c>
    </row>
    <row r="121" customFormat="false" ht="15" hidden="false" customHeight="false" outlineLevel="0" collapsed="false">
      <c r="A121" s="0" t="s">
        <v>96</v>
      </c>
      <c r="B121" s="0" t="s">
        <v>1075</v>
      </c>
      <c r="C121" s="0" t="s">
        <v>948</v>
      </c>
      <c r="D121" s="0" t="n">
        <v>45.23</v>
      </c>
      <c r="E121" s="0" t="s">
        <v>66</v>
      </c>
      <c r="F121" s="0" t="s">
        <v>1076</v>
      </c>
      <c r="G121" s="0" t="s">
        <v>1091</v>
      </c>
      <c r="H121" s="0" t="s">
        <v>93</v>
      </c>
      <c r="I121" s="0" t="s">
        <v>29</v>
      </c>
    </row>
    <row r="122" customFormat="false" ht="15" hidden="false" customHeight="false" outlineLevel="0" collapsed="false">
      <c r="A122" s="0" t="s">
        <v>96</v>
      </c>
      <c r="B122" s="0" t="s">
        <v>1078</v>
      </c>
      <c r="C122" s="0" t="s">
        <v>948</v>
      </c>
      <c r="D122" s="0" t="n">
        <v>27.87</v>
      </c>
      <c r="E122" s="0" t="s">
        <v>66</v>
      </c>
      <c r="F122" s="0" t="s">
        <v>1079</v>
      </c>
      <c r="G122" s="0" t="s">
        <v>1080</v>
      </c>
      <c r="H122" s="0" t="s">
        <v>93</v>
      </c>
      <c r="I122" s="0" t="s">
        <v>29</v>
      </c>
    </row>
    <row r="123" customFormat="false" ht="15" hidden="false" customHeight="false" outlineLevel="0" collapsed="false">
      <c r="A123" s="0" t="s">
        <v>96</v>
      </c>
      <c r="B123" s="0" t="s">
        <v>953</v>
      </c>
      <c r="C123" s="0" t="s">
        <v>948</v>
      </c>
      <c r="D123" s="0" t="n">
        <v>73.1</v>
      </c>
      <c r="E123" s="0" t="s">
        <v>66</v>
      </c>
      <c r="F123" s="0" t="s">
        <v>1081</v>
      </c>
      <c r="G123" s="0" t="s">
        <v>955</v>
      </c>
      <c r="H123" s="0" t="s">
        <v>93</v>
      </c>
      <c r="I123" s="0" t="s">
        <v>29</v>
      </c>
    </row>
    <row r="124" customFormat="false" ht="15" hidden="false" customHeight="false" outlineLevel="0" collapsed="false">
      <c r="A124" s="0" t="s">
        <v>96</v>
      </c>
      <c r="B124" s="0" t="s">
        <v>956</v>
      </c>
      <c r="C124" s="0" t="s">
        <v>934</v>
      </c>
      <c r="D124" s="0" t="n">
        <v>22.61</v>
      </c>
      <c r="E124" s="0" t="s">
        <v>66</v>
      </c>
      <c r="F124" s="0" t="s">
        <v>1082</v>
      </c>
      <c r="G124" s="0" t="s">
        <v>1092</v>
      </c>
      <c r="H124" s="0" t="s">
        <v>93</v>
      </c>
      <c r="I124" s="0" t="s">
        <v>29</v>
      </c>
    </row>
    <row r="125" customFormat="false" ht="15" hidden="false" customHeight="false" outlineLevel="0" collapsed="false">
      <c r="A125" s="0" t="s">
        <v>96</v>
      </c>
      <c r="B125" s="0" t="s">
        <v>1084</v>
      </c>
      <c r="C125" s="0" t="s">
        <v>934</v>
      </c>
      <c r="D125" s="2" t="s">
        <v>935</v>
      </c>
      <c r="E125" s="3" t="s">
        <v>690</v>
      </c>
      <c r="F125" s="3" t="s">
        <v>1085</v>
      </c>
      <c r="G125" s="3" t="s">
        <v>1093</v>
      </c>
      <c r="H125" s="3" t="s">
        <v>93</v>
      </c>
      <c r="I125" s="3" t="s">
        <v>29</v>
      </c>
    </row>
    <row r="126" customFormat="false" ht="15" hidden="false" customHeight="false" outlineLevel="0" collapsed="false">
      <c r="A126" s="0" t="s">
        <v>101</v>
      </c>
      <c r="B126" s="0" t="s">
        <v>933</v>
      </c>
      <c r="C126" s="0" t="s">
        <v>934</v>
      </c>
      <c r="D126" s="0" t="n">
        <v>115.44</v>
      </c>
      <c r="E126" s="0" t="s">
        <v>66</v>
      </c>
      <c r="F126" s="0" t="s">
        <v>1094</v>
      </c>
      <c r="G126" s="0" t="s">
        <v>1095</v>
      </c>
      <c r="H126" s="0" t="s">
        <v>105</v>
      </c>
      <c r="I126" s="0" t="s">
        <v>29</v>
      </c>
    </row>
    <row r="127" customFormat="false" ht="15" hidden="false" customHeight="false" outlineLevel="0" collapsed="false">
      <c r="A127" s="0" t="s">
        <v>101</v>
      </c>
      <c r="B127" s="0" t="s">
        <v>938</v>
      </c>
      <c r="C127" s="0" t="s">
        <v>934</v>
      </c>
      <c r="D127" s="0" t="n">
        <v>9.99</v>
      </c>
      <c r="E127" s="0" t="s">
        <v>66</v>
      </c>
      <c r="F127" s="0" t="s">
        <v>1096</v>
      </c>
      <c r="G127" s="0" t="s">
        <v>1097</v>
      </c>
      <c r="H127" s="0" t="s">
        <v>105</v>
      </c>
      <c r="I127" s="0" t="s">
        <v>29</v>
      </c>
    </row>
    <row r="128" customFormat="false" ht="15" hidden="false" customHeight="false" outlineLevel="0" collapsed="false">
      <c r="A128" s="0" t="s">
        <v>101</v>
      </c>
      <c r="B128" s="0" t="s">
        <v>941</v>
      </c>
      <c r="C128" s="0" t="s">
        <v>934</v>
      </c>
      <c r="D128" s="0" t="n">
        <v>9.99</v>
      </c>
      <c r="E128" s="0" t="s">
        <v>66</v>
      </c>
      <c r="F128" s="0" t="s">
        <v>1098</v>
      </c>
      <c r="G128" s="0" t="s">
        <v>1099</v>
      </c>
      <c r="H128" s="0" t="s">
        <v>105</v>
      </c>
      <c r="I128" s="0" t="s">
        <v>29</v>
      </c>
    </row>
    <row r="129" customFormat="false" ht="15" hidden="false" customHeight="false" outlineLevel="0" collapsed="false">
      <c r="A129" s="0" t="s">
        <v>101</v>
      </c>
      <c r="B129" s="0" t="s">
        <v>944</v>
      </c>
      <c r="C129" s="0" t="s">
        <v>934</v>
      </c>
      <c r="D129" s="0" t="n">
        <v>29.96</v>
      </c>
      <c r="E129" s="0" t="s">
        <v>66</v>
      </c>
      <c r="F129" s="0" t="s">
        <v>945</v>
      </c>
      <c r="G129" s="0" t="s">
        <v>1100</v>
      </c>
      <c r="H129" s="0" t="s">
        <v>105</v>
      </c>
      <c r="I129" s="0" t="s">
        <v>29</v>
      </c>
    </row>
    <row r="130" customFormat="false" ht="15" hidden="false" customHeight="false" outlineLevel="0" collapsed="false">
      <c r="A130" s="0" t="s">
        <v>101</v>
      </c>
      <c r="B130" s="0" t="s">
        <v>947</v>
      </c>
      <c r="C130" s="0" t="s">
        <v>948</v>
      </c>
      <c r="D130" s="0" t="n">
        <v>128.1</v>
      </c>
      <c r="E130" s="0" t="s">
        <v>66</v>
      </c>
      <c r="F130" s="0" t="s">
        <v>1101</v>
      </c>
      <c r="G130" s="0" t="s">
        <v>1102</v>
      </c>
      <c r="H130" s="0" t="s">
        <v>105</v>
      </c>
      <c r="I130" s="0" t="s">
        <v>29</v>
      </c>
    </row>
    <row r="131" customFormat="false" ht="15" hidden="false" customHeight="false" outlineLevel="0" collapsed="false">
      <c r="A131" s="0" t="s">
        <v>101</v>
      </c>
      <c r="B131" s="0" t="s">
        <v>951</v>
      </c>
      <c r="C131" s="0" t="s">
        <v>948</v>
      </c>
      <c r="D131" s="0" t="n">
        <v>128.1</v>
      </c>
      <c r="E131" s="0" t="s">
        <v>66</v>
      </c>
      <c r="F131" s="0" t="s">
        <v>1101</v>
      </c>
      <c r="G131" s="0" t="s">
        <v>1103</v>
      </c>
      <c r="H131" s="0" t="s">
        <v>105</v>
      </c>
      <c r="I131" s="0" t="s">
        <v>29</v>
      </c>
    </row>
    <row r="132" customFormat="false" ht="15" hidden="false" customHeight="false" outlineLevel="0" collapsed="false">
      <c r="A132" s="0" t="s">
        <v>101</v>
      </c>
      <c r="B132" s="0" t="s">
        <v>953</v>
      </c>
      <c r="C132" s="0" t="s">
        <v>948</v>
      </c>
      <c r="D132" s="0" t="n">
        <v>128.1</v>
      </c>
      <c r="E132" s="0" t="s">
        <v>66</v>
      </c>
      <c r="F132" s="0" t="s">
        <v>1104</v>
      </c>
      <c r="G132" s="0" t="s">
        <v>955</v>
      </c>
      <c r="H132" s="0" t="s">
        <v>105</v>
      </c>
      <c r="I132" s="0" t="s">
        <v>29</v>
      </c>
    </row>
    <row r="133" customFormat="false" ht="15" hidden="false" customHeight="false" outlineLevel="0" collapsed="false">
      <c r="A133" s="0" t="s">
        <v>101</v>
      </c>
      <c r="B133" s="0" t="s">
        <v>956</v>
      </c>
      <c r="C133" s="0" t="s">
        <v>934</v>
      </c>
      <c r="D133" s="0" t="n">
        <v>39.95</v>
      </c>
      <c r="E133" s="0" t="s">
        <v>66</v>
      </c>
      <c r="F133" s="0" t="s">
        <v>1105</v>
      </c>
      <c r="G133" s="0" t="s">
        <v>1106</v>
      </c>
      <c r="H133" s="0" t="s">
        <v>105</v>
      </c>
      <c r="I133" s="0" t="s">
        <v>29</v>
      </c>
    </row>
    <row r="134" customFormat="false" ht="15" hidden="false" customHeight="false" outlineLevel="0" collapsed="false">
      <c r="A134" s="0" t="s">
        <v>108</v>
      </c>
      <c r="B134" s="0" t="s">
        <v>933</v>
      </c>
      <c r="C134" s="0" t="s">
        <v>934</v>
      </c>
      <c r="D134" s="0" t="n">
        <v>101.59</v>
      </c>
      <c r="E134" s="0" t="s">
        <v>66</v>
      </c>
      <c r="F134" s="0" t="s">
        <v>1094</v>
      </c>
      <c r="G134" s="0" t="s">
        <v>1107</v>
      </c>
      <c r="H134" s="0" t="s">
        <v>105</v>
      </c>
      <c r="I134" s="0" t="s">
        <v>29</v>
      </c>
    </row>
    <row r="135" customFormat="false" ht="15" hidden="false" customHeight="false" outlineLevel="0" collapsed="false">
      <c r="A135" s="0" t="s">
        <v>108</v>
      </c>
      <c r="B135" s="0" t="s">
        <v>938</v>
      </c>
      <c r="C135" s="0" t="s">
        <v>934</v>
      </c>
      <c r="D135" s="0" t="n">
        <v>9.58</v>
      </c>
      <c r="E135" s="0" t="s">
        <v>66</v>
      </c>
      <c r="F135" s="0" t="s">
        <v>1096</v>
      </c>
      <c r="G135" s="0" t="s">
        <v>1108</v>
      </c>
      <c r="H135" s="0" t="s">
        <v>105</v>
      </c>
      <c r="I135" s="0" t="s">
        <v>29</v>
      </c>
    </row>
    <row r="136" customFormat="false" ht="15" hidden="false" customHeight="false" outlineLevel="0" collapsed="false">
      <c r="A136" s="0" t="s">
        <v>108</v>
      </c>
      <c r="B136" s="0" t="s">
        <v>941</v>
      </c>
      <c r="C136" s="0" t="s">
        <v>934</v>
      </c>
      <c r="D136" s="0" t="n">
        <v>9.58</v>
      </c>
      <c r="E136" s="0" t="s">
        <v>66</v>
      </c>
      <c r="F136" s="0" t="s">
        <v>1098</v>
      </c>
      <c r="G136" s="0" t="s">
        <v>1109</v>
      </c>
      <c r="H136" s="0" t="s">
        <v>105</v>
      </c>
      <c r="I136" s="0" t="s">
        <v>29</v>
      </c>
    </row>
    <row r="137" customFormat="false" ht="15" hidden="false" customHeight="false" outlineLevel="0" collapsed="false">
      <c r="A137" s="0" t="s">
        <v>108</v>
      </c>
      <c r="B137" s="0" t="s">
        <v>944</v>
      </c>
      <c r="C137" s="0" t="s">
        <v>934</v>
      </c>
      <c r="D137" s="0" t="n">
        <v>28.74</v>
      </c>
      <c r="E137" s="0" t="s">
        <v>66</v>
      </c>
      <c r="F137" s="0" t="s">
        <v>945</v>
      </c>
      <c r="G137" s="0" t="s">
        <v>1110</v>
      </c>
      <c r="H137" s="0" t="s">
        <v>105</v>
      </c>
      <c r="I137" s="0" t="s">
        <v>29</v>
      </c>
    </row>
    <row r="138" customFormat="false" ht="15" hidden="false" customHeight="false" outlineLevel="0" collapsed="false">
      <c r="A138" s="0" t="s">
        <v>108</v>
      </c>
      <c r="B138" s="0" t="s">
        <v>951</v>
      </c>
      <c r="C138" s="0" t="s">
        <v>948</v>
      </c>
      <c r="D138" s="0" t="n">
        <v>121.65</v>
      </c>
      <c r="E138" s="0" t="s">
        <v>66</v>
      </c>
      <c r="F138" s="0" t="s">
        <v>1101</v>
      </c>
      <c r="G138" s="0" t="s">
        <v>1111</v>
      </c>
      <c r="H138" s="0" t="s">
        <v>105</v>
      </c>
      <c r="I138" s="0" t="s">
        <v>29</v>
      </c>
    </row>
    <row r="139" customFormat="false" ht="15" hidden="false" customHeight="false" outlineLevel="0" collapsed="false">
      <c r="A139" s="0" t="s">
        <v>108</v>
      </c>
      <c r="B139" s="0" t="s">
        <v>947</v>
      </c>
      <c r="C139" s="0" t="s">
        <v>948</v>
      </c>
      <c r="D139" s="0" t="n">
        <v>121.65</v>
      </c>
      <c r="E139" s="0" t="s">
        <v>66</v>
      </c>
      <c r="F139" s="0" t="s">
        <v>1101</v>
      </c>
      <c r="G139" s="0" t="s">
        <v>1112</v>
      </c>
      <c r="H139" s="0" t="s">
        <v>105</v>
      </c>
      <c r="I139" s="0" t="s">
        <v>29</v>
      </c>
    </row>
    <row r="140" customFormat="false" ht="15" hidden="false" customHeight="false" outlineLevel="0" collapsed="false">
      <c r="A140" s="0" t="s">
        <v>108</v>
      </c>
      <c r="B140" s="0" t="s">
        <v>953</v>
      </c>
      <c r="C140" s="0" t="s">
        <v>948</v>
      </c>
      <c r="D140" s="0" t="n">
        <v>121.65</v>
      </c>
      <c r="E140" s="0" t="s">
        <v>66</v>
      </c>
      <c r="F140" s="0" t="s">
        <v>1104</v>
      </c>
      <c r="G140" s="0" t="s">
        <v>955</v>
      </c>
      <c r="H140" s="0" t="s">
        <v>105</v>
      </c>
      <c r="I140" s="0" t="s">
        <v>29</v>
      </c>
    </row>
    <row r="141" customFormat="false" ht="15" hidden="false" customHeight="false" outlineLevel="0" collapsed="false">
      <c r="A141" s="0" t="s">
        <v>108</v>
      </c>
      <c r="B141" s="0" t="s">
        <v>956</v>
      </c>
      <c r="C141" s="0" t="s">
        <v>934</v>
      </c>
      <c r="D141" s="0" t="n">
        <v>38.32</v>
      </c>
      <c r="E141" s="0" t="s">
        <v>66</v>
      </c>
      <c r="F141" s="0" t="s">
        <v>1105</v>
      </c>
      <c r="G141" s="0" t="s">
        <v>1113</v>
      </c>
      <c r="H141" s="0" t="s">
        <v>105</v>
      </c>
      <c r="I141" s="0" t="s">
        <v>29</v>
      </c>
    </row>
    <row r="142" customFormat="false" ht="15" hidden="false" customHeight="false" outlineLevel="0" collapsed="false">
      <c r="A142" s="0" t="s">
        <v>113</v>
      </c>
      <c r="B142" s="0" t="s">
        <v>933</v>
      </c>
      <c r="C142" s="0" t="s">
        <v>934</v>
      </c>
      <c r="D142" s="0" t="n">
        <v>174.48</v>
      </c>
      <c r="E142" s="0" t="s">
        <v>66</v>
      </c>
      <c r="F142" s="0" t="s">
        <v>1094</v>
      </c>
      <c r="G142" s="0" t="s">
        <v>1114</v>
      </c>
      <c r="H142" s="0" t="s">
        <v>105</v>
      </c>
      <c r="I142" s="0" t="s">
        <v>29</v>
      </c>
    </row>
    <row r="143" customFormat="false" ht="15" hidden="false" customHeight="false" outlineLevel="0" collapsed="false">
      <c r="A143" s="0" t="s">
        <v>113</v>
      </c>
      <c r="B143" s="0" t="s">
        <v>938</v>
      </c>
      <c r="C143" s="0" t="s">
        <v>934</v>
      </c>
      <c r="D143" s="0" t="n">
        <v>7.07</v>
      </c>
      <c r="E143" s="0" t="s">
        <v>66</v>
      </c>
      <c r="F143" s="0" t="s">
        <v>1096</v>
      </c>
      <c r="G143" s="0" t="s">
        <v>1115</v>
      </c>
      <c r="H143" s="0" t="s">
        <v>105</v>
      </c>
      <c r="I143" s="0" t="s">
        <v>29</v>
      </c>
    </row>
    <row r="144" customFormat="false" ht="15" hidden="false" customHeight="false" outlineLevel="0" collapsed="false">
      <c r="A144" s="0" t="s">
        <v>113</v>
      </c>
      <c r="B144" s="0" t="s">
        <v>941</v>
      </c>
      <c r="C144" s="0" t="s">
        <v>934</v>
      </c>
      <c r="D144" s="0" t="n">
        <v>13.74</v>
      </c>
      <c r="E144" s="0" t="s">
        <v>66</v>
      </c>
      <c r="F144" s="0" t="s">
        <v>1098</v>
      </c>
      <c r="G144" s="0" t="s">
        <v>1116</v>
      </c>
      <c r="H144" s="0" t="s">
        <v>105</v>
      </c>
      <c r="I144" s="0" t="s">
        <v>29</v>
      </c>
    </row>
    <row r="145" customFormat="false" ht="15" hidden="false" customHeight="false" outlineLevel="0" collapsed="false">
      <c r="A145" s="0" t="s">
        <v>113</v>
      </c>
      <c r="B145" s="0" t="s">
        <v>1117</v>
      </c>
      <c r="C145" s="0" t="s">
        <v>934</v>
      </c>
      <c r="D145" s="0" t="n">
        <v>3.83</v>
      </c>
      <c r="E145" s="0" t="s">
        <v>66</v>
      </c>
      <c r="F145" s="0" t="s">
        <v>984</v>
      </c>
      <c r="G145" s="0" t="s">
        <v>1004</v>
      </c>
      <c r="H145" s="0" t="s">
        <v>105</v>
      </c>
      <c r="I145" s="0" t="s">
        <v>29</v>
      </c>
    </row>
    <row r="146" customFormat="false" ht="15" hidden="false" customHeight="false" outlineLevel="0" collapsed="false">
      <c r="A146" s="0" t="s">
        <v>113</v>
      </c>
      <c r="B146" s="0" t="s">
        <v>1118</v>
      </c>
      <c r="C146" s="0" t="s">
        <v>934</v>
      </c>
      <c r="D146" s="0" t="n">
        <v>3.83</v>
      </c>
      <c r="E146" s="0" t="s">
        <v>66</v>
      </c>
      <c r="F146" s="0" t="s">
        <v>984</v>
      </c>
      <c r="G146" s="0" t="s">
        <v>1004</v>
      </c>
      <c r="H146" s="0" t="s">
        <v>105</v>
      </c>
      <c r="I146" s="0" t="s">
        <v>29</v>
      </c>
    </row>
    <row r="147" customFormat="false" ht="15" hidden="false" customHeight="false" outlineLevel="0" collapsed="false">
      <c r="A147" s="0" t="s">
        <v>113</v>
      </c>
      <c r="B147" s="0" t="s">
        <v>944</v>
      </c>
      <c r="C147" s="0" t="s">
        <v>934</v>
      </c>
      <c r="D147" s="0" t="n">
        <v>34.55</v>
      </c>
      <c r="E147" s="0" t="s">
        <v>66</v>
      </c>
      <c r="F147" s="0" t="s">
        <v>945</v>
      </c>
      <c r="G147" s="0" t="s">
        <v>1119</v>
      </c>
      <c r="H147" s="0" t="s">
        <v>105</v>
      </c>
      <c r="I147" s="0" t="s">
        <v>29</v>
      </c>
    </row>
    <row r="148" customFormat="false" ht="15" hidden="false" customHeight="false" outlineLevel="0" collapsed="false">
      <c r="A148" s="0" t="s">
        <v>113</v>
      </c>
      <c r="B148" s="0" t="s">
        <v>963</v>
      </c>
      <c r="C148" s="0" t="s">
        <v>948</v>
      </c>
      <c r="D148" s="0" t="n">
        <v>126.46</v>
      </c>
      <c r="E148" s="0" t="s">
        <v>66</v>
      </c>
      <c r="F148" s="0" t="s">
        <v>1101</v>
      </c>
      <c r="G148" s="0" t="s">
        <v>1120</v>
      </c>
      <c r="H148" s="0" t="s">
        <v>105</v>
      </c>
      <c r="I148" s="0" t="s">
        <v>29</v>
      </c>
    </row>
    <row r="149" customFormat="false" ht="15" hidden="false" customHeight="false" outlineLevel="0" collapsed="false">
      <c r="A149" s="0" t="s">
        <v>113</v>
      </c>
      <c r="B149" s="0" t="s">
        <v>965</v>
      </c>
      <c r="C149" s="0" t="s">
        <v>948</v>
      </c>
      <c r="D149" s="0" t="n">
        <v>126.46</v>
      </c>
      <c r="E149" s="0" t="s">
        <v>66</v>
      </c>
      <c r="F149" s="0" t="s">
        <v>1101</v>
      </c>
      <c r="G149" s="0" t="s">
        <v>1121</v>
      </c>
      <c r="H149" s="0" t="s">
        <v>105</v>
      </c>
      <c r="I149" s="0" t="s">
        <v>29</v>
      </c>
    </row>
    <row r="150" customFormat="false" ht="15" hidden="false" customHeight="false" outlineLevel="0" collapsed="false">
      <c r="A150" s="0" t="s">
        <v>113</v>
      </c>
      <c r="B150" s="0" t="s">
        <v>953</v>
      </c>
      <c r="C150" s="0" t="s">
        <v>948</v>
      </c>
      <c r="D150" s="0" t="n">
        <v>126.46</v>
      </c>
      <c r="E150" s="0" t="s">
        <v>66</v>
      </c>
      <c r="F150" s="0" t="s">
        <v>1104</v>
      </c>
      <c r="G150" s="0" t="s">
        <v>955</v>
      </c>
      <c r="H150" s="0" t="s">
        <v>105</v>
      </c>
      <c r="I150" s="0" t="s">
        <v>29</v>
      </c>
    </row>
    <row r="151" customFormat="false" ht="15" hidden="false" customHeight="false" outlineLevel="0" collapsed="false">
      <c r="A151" s="0" t="s">
        <v>113</v>
      </c>
      <c r="B151" s="0" t="s">
        <v>956</v>
      </c>
      <c r="C151" s="0" t="s">
        <v>934</v>
      </c>
      <c r="D151" s="0" t="n">
        <v>41.63</v>
      </c>
      <c r="E151" s="0" t="s">
        <v>66</v>
      </c>
      <c r="F151" s="0" t="s">
        <v>1105</v>
      </c>
      <c r="G151" s="0" t="s">
        <v>1122</v>
      </c>
      <c r="H151" s="0" t="s">
        <v>105</v>
      </c>
      <c r="I151" s="0" t="s">
        <v>29</v>
      </c>
    </row>
    <row r="152" customFormat="false" ht="15" hidden="false" customHeight="false" outlineLevel="0" collapsed="false">
      <c r="A152" s="0" t="s">
        <v>118</v>
      </c>
      <c r="B152" s="0" t="s">
        <v>933</v>
      </c>
      <c r="C152" s="0" t="s">
        <v>934</v>
      </c>
      <c r="D152" s="0" t="n">
        <v>151.38</v>
      </c>
      <c r="E152" s="0" t="s">
        <v>66</v>
      </c>
      <c r="F152" s="0" t="s">
        <v>1094</v>
      </c>
      <c r="G152" s="0" t="s">
        <v>1123</v>
      </c>
      <c r="H152" s="0" t="s">
        <v>105</v>
      </c>
      <c r="I152" s="0" t="s">
        <v>29</v>
      </c>
    </row>
    <row r="153" customFormat="false" ht="15" hidden="false" customHeight="false" outlineLevel="0" collapsed="false">
      <c r="A153" s="0" t="s">
        <v>118</v>
      </c>
      <c r="B153" s="0" t="s">
        <v>938</v>
      </c>
      <c r="C153" s="0" t="s">
        <v>934</v>
      </c>
      <c r="D153" s="0" t="n">
        <v>8.4</v>
      </c>
      <c r="E153" s="0" t="s">
        <v>66</v>
      </c>
      <c r="F153" s="0" t="s">
        <v>1096</v>
      </c>
      <c r="G153" s="0" t="s">
        <v>1124</v>
      </c>
      <c r="H153" s="0" t="s">
        <v>105</v>
      </c>
      <c r="I153" s="0" t="s">
        <v>29</v>
      </c>
    </row>
    <row r="154" customFormat="false" ht="15" hidden="false" customHeight="false" outlineLevel="0" collapsed="false">
      <c r="A154" s="0" t="s">
        <v>118</v>
      </c>
      <c r="B154" s="0" t="s">
        <v>941</v>
      </c>
      <c r="C154" s="0" t="s">
        <v>934</v>
      </c>
      <c r="D154" s="0" t="n">
        <v>11.73</v>
      </c>
      <c r="E154" s="0" t="s">
        <v>66</v>
      </c>
      <c r="F154" s="0" t="s">
        <v>1098</v>
      </c>
      <c r="G154" s="0" t="s">
        <v>1125</v>
      </c>
      <c r="H154" s="0" t="s">
        <v>105</v>
      </c>
      <c r="I154" s="0" t="s">
        <v>29</v>
      </c>
    </row>
    <row r="155" customFormat="false" ht="15" hidden="false" customHeight="false" outlineLevel="0" collapsed="false">
      <c r="A155" s="0" t="s">
        <v>118</v>
      </c>
      <c r="B155" s="0" t="s">
        <v>1126</v>
      </c>
      <c r="C155" s="0" t="s">
        <v>934</v>
      </c>
      <c r="D155" s="0" t="n">
        <v>3.83</v>
      </c>
      <c r="E155" s="0" t="s">
        <v>66</v>
      </c>
      <c r="F155" s="0" t="s">
        <v>984</v>
      </c>
      <c r="G155" s="0" t="s">
        <v>1004</v>
      </c>
      <c r="H155" s="0" t="s">
        <v>105</v>
      </c>
      <c r="I155" s="0" t="s">
        <v>29</v>
      </c>
    </row>
    <row r="156" customFormat="false" ht="15" hidden="false" customHeight="false" outlineLevel="0" collapsed="false">
      <c r="A156" s="0" t="s">
        <v>118</v>
      </c>
      <c r="B156" s="0" t="s">
        <v>944</v>
      </c>
      <c r="C156" s="0" t="s">
        <v>934</v>
      </c>
      <c r="D156" s="0" t="n">
        <v>31.87</v>
      </c>
      <c r="E156" s="0" t="s">
        <v>66</v>
      </c>
      <c r="F156" s="0" t="s">
        <v>945</v>
      </c>
      <c r="G156" s="0" t="s">
        <v>1127</v>
      </c>
      <c r="H156" s="0" t="s">
        <v>105</v>
      </c>
      <c r="I156" s="0" t="s">
        <v>29</v>
      </c>
    </row>
    <row r="157" customFormat="false" ht="15" hidden="false" customHeight="false" outlineLevel="0" collapsed="false">
      <c r="A157" s="0" t="s">
        <v>118</v>
      </c>
      <c r="B157" s="0" t="s">
        <v>947</v>
      </c>
      <c r="C157" s="0" t="s">
        <v>948</v>
      </c>
      <c r="D157" s="0" t="n">
        <v>125.68</v>
      </c>
      <c r="E157" s="0" t="s">
        <v>66</v>
      </c>
      <c r="F157" s="0" t="s">
        <v>1101</v>
      </c>
      <c r="G157" s="0" t="s">
        <v>1128</v>
      </c>
      <c r="H157" s="0" t="s">
        <v>105</v>
      </c>
      <c r="I157" s="0" t="s">
        <v>29</v>
      </c>
    </row>
    <row r="158" customFormat="false" ht="15" hidden="false" customHeight="false" outlineLevel="0" collapsed="false">
      <c r="A158" s="0" t="s">
        <v>118</v>
      </c>
      <c r="B158" s="0" t="s">
        <v>951</v>
      </c>
      <c r="C158" s="0" t="s">
        <v>948</v>
      </c>
      <c r="D158" s="0" t="n">
        <v>125.68</v>
      </c>
      <c r="E158" s="0" t="s">
        <v>66</v>
      </c>
      <c r="F158" s="0" t="s">
        <v>1101</v>
      </c>
      <c r="G158" s="0" t="s">
        <v>1129</v>
      </c>
      <c r="H158" s="0" t="s">
        <v>105</v>
      </c>
      <c r="I158" s="0" t="s">
        <v>29</v>
      </c>
    </row>
    <row r="159" customFormat="false" ht="15" hidden="false" customHeight="false" outlineLevel="0" collapsed="false">
      <c r="A159" s="0" t="s">
        <v>118</v>
      </c>
      <c r="B159" s="0" t="s">
        <v>953</v>
      </c>
      <c r="C159" s="0" t="s">
        <v>948</v>
      </c>
      <c r="D159" s="0" t="n">
        <v>125.68</v>
      </c>
      <c r="E159" s="0" t="s">
        <v>66</v>
      </c>
      <c r="F159" s="0" t="s">
        <v>1104</v>
      </c>
      <c r="G159" s="0" t="s">
        <v>955</v>
      </c>
      <c r="H159" s="0" t="s">
        <v>105</v>
      </c>
      <c r="I159" s="0" t="s">
        <v>29</v>
      </c>
    </row>
    <row r="160" customFormat="false" ht="15" hidden="false" customHeight="false" outlineLevel="0" collapsed="false">
      <c r="A160" s="0" t="s">
        <v>118</v>
      </c>
      <c r="B160" s="0" t="s">
        <v>956</v>
      </c>
      <c r="C160" s="0" t="s">
        <v>934</v>
      </c>
      <c r="D160" s="0" t="n">
        <v>40.27</v>
      </c>
      <c r="E160" s="0" t="s">
        <v>66</v>
      </c>
      <c r="F160" s="0" t="s">
        <v>1105</v>
      </c>
      <c r="G160" s="0" t="s">
        <v>1130</v>
      </c>
      <c r="H160" s="0" t="s">
        <v>105</v>
      </c>
      <c r="I160" s="0" t="s">
        <v>29</v>
      </c>
    </row>
    <row r="161" customFormat="false" ht="15" hidden="false" customHeight="false" outlineLevel="0" collapsed="false">
      <c r="A161" s="0" t="s">
        <v>123</v>
      </c>
      <c r="B161" s="0" t="s">
        <v>933</v>
      </c>
      <c r="C161" s="0" t="s">
        <v>934</v>
      </c>
      <c r="D161" s="0" t="n">
        <v>38.12</v>
      </c>
      <c r="E161" s="0" t="s">
        <v>66</v>
      </c>
      <c r="F161" s="0" t="s">
        <v>1094</v>
      </c>
      <c r="G161" s="0" t="s">
        <v>1131</v>
      </c>
      <c r="H161" s="0" t="s">
        <v>105</v>
      </c>
      <c r="I161" s="0" t="s">
        <v>29</v>
      </c>
    </row>
    <row r="162" customFormat="false" ht="15" hidden="false" customHeight="false" outlineLevel="0" collapsed="false">
      <c r="A162" s="0" t="s">
        <v>123</v>
      </c>
      <c r="B162" s="0" t="s">
        <v>938</v>
      </c>
      <c r="C162" s="0" t="s">
        <v>934</v>
      </c>
      <c r="D162" s="0" t="n">
        <v>3.5</v>
      </c>
      <c r="E162" s="0" t="s">
        <v>66</v>
      </c>
      <c r="F162" s="0" t="s">
        <v>1096</v>
      </c>
      <c r="G162" s="0" t="s">
        <v>1132</v>
      </c>
      <c r="H162" s="0" t="s">
        <v>105</v>
      </c>
      <c r="I162" s="0" t="s">
        <v>29</v>
      </c>
    </row>
    <row r="163" customFormat="false" ht="15" hidden="false" customHeight="false" outlineLevel="0" collapsed="false">
      <c r="A163" s="0" t="s">
        <v>123</v>
      </c>
      <c r="B163" s="0" t="s">
        <v>941</v>
      </c>
      <c r="C163" s="0" t="s">
        <v>934</v>
      </c>
      <c r="D163" s="0" t="n">
        <v>3.5</v>
      </c>
      <c r="E163" s="0" t="s">
        <v>66</v>
      </c>
      <c r="F163" s="0" t="s">
        <v>1098</v>
      </c>
      <c r="G163" s="0" t="s">
        <v>1133</v>
      </c>
      <c r="H163" s="0" t="s">
        <v>105</v>
      </c>
      <c r="I163" s="0" t="s">
        <v>29</v>
      </c>
    </row>
    <row r="164" customFormat="false" ht="15" hidden="false" customHeight="false" outlineLevel="0" collapsed="false">
      <c r="A164" s="0" t="s">
        <v>123</v>
      </c>
      <c r="B164" s="0" t="s">
        <v>944</v>
      </c>
      <c r="C164" s="0" t="s">
        <v>934</v>
      </c>
      <c r="D164" s="0" t="n">
        <v>10.5</v>
      </c>
      <c r="E164" s="0" t="s">
        <v>66</v>
      </c>
      <c r="F164" s="0" t="s">
        <v>945</v>
      </c>
      <c r="G164" s="0" t="s">
        <v>1134</v>
      </c>
      <c r="H164" s="0" t="s">
        <v>105</v>
      </c>
      <c r="I164" s="0" t="s">
        <v>29</v>
      </c>
    </row>
    <row r="165" customFormat="false" ht="15" hidden="false" customHeight="false" outlineLevel="0" collapsed="false">
      <c r="A165" s="0" t="s">
        <v>123</v>
      </c>
      <c r="B165" s="0" t="s">
        <v>963</v>
      </c>
      <c r="C165" s="0" t="s">
        <v>948</v>
      </c>
      <c r="D165" s="0" t="n">
        <v>44.48</v>
      </c>
      <c r="E165" s="0" t="s">
        <v>66</v>
      </c>
      <c r="F165" s="0" t="s">
        <v>1101</v>
      </c>
      <c r="G165" s="0" t="s">
        <v>1135</v>
      </c>
      <c r="H165" s="0" t="s">
        <v>105</v>
      </c>
      <c r="I165" s="0" t="s">
        <v>29</v>
      </c>
    </row>
    <row r="166" customFormat="false" ht="15" hidden="false" customHeight="false" outlineLevel="0" collapsed="false">
      <c r="A166" s="0" t="s">
        <v>123</v>
      </c>
      <c r="B166" s="0" t="s">
        <v>965</v>
      </c>
      <c r="C166" s="0" t="s">
        <v>948</v>
      </c>
      <c r="D166" s="0" t="n">
        <v>44.48</v>
      </c>
      <c r="E166" s="0" t="s">
        <v>66</v>
      </c>
      <c r="F166" s="0" t="s">
        <v>1101</v>
      </c>
      <c r="G166" s="0" t="s">
        <v>1136</v>
      </c>
      <c r="H166" s="0" t="s">
        <v>105</v>
      </c>
      <c r="I166" s="0" t="s">
        <v>29</v>
      </c>
    </row>
    <row r="167" customFormat="false" ht="15" hidden="false" customHeight="false" outlineLevel="0" collapsed="false">
      <c r="A167" s="0" t="s">
        <v>123</v>
      </c>
      <c r="B167" s="0" t="s">
        <v>953</v>
      </c>
      <c r="C167" s="0" t="s">
        <v>948</v>
      </c>
      <c r="D167" s="0" t="n">
        <v>44.48</v>
      </c>
      <c r="E167" s="0" t="s">
        <v>66</v>
      </c>
      <c r="F167" s="0" t="s">
        <v>1104</v>
      </c>
      <c r="G167" s="0" t="s">
        <v>955</v>
      </c>
      <c r="H167" s="0" t="s">
        <v>105</v>
      </c>
      <c r="I167" s="0" t="s">
        <v>29</v>
      </c>
    </row>
    <row r="168" customFormat="false" ht="15" hidden="false" customHeight="false" outlineLevel="0" collapsed="false">
      <c r="A168" s="0" t="s">
        <v>123</v>
      </c>
      <c r="B168" s="0" t="s">
        <v>956</v>
      </c>
      <c r="C168" s="0" t="s">
        <v>934</v>
      </c>
      <c r="D168" s="0" t="n">
        <v>14</v>
      </c>
      <c r="E168" s="0" t="s">
        <v>66</v>
      </c>
      <c r="F168" s="0" t="s">
        <v>1105</v>
      </c>
      <c r="G168" s="0" t="s">
        <v>1137</v>
      </c>
      <c r="H168" s="0" t="s">
        <v>105</v>
      </c>
      <c r="I168" s="0" t="s">
        <v>29</v>
      </c>
    </row>
    <row r="169" customFormat="false" ht="15" hidden="false" customHeight="false" outlineLevel="0" collapsed="false">
      <c r="A169" s="0" t="s">
        <v>128</v>
      </c>
      <c r="B169" s="0" t="s">
        <v>933</v>
      </c>
      <c r="C169" s="0" t="s">
        <v>934</v>
      </c>
      <c r="D169" s="0" t="n">
        <v>139.33</v>
      </c>
      <c r="E169" s="0" t="s">
        <v>66</v>
      </c>
      <c r="F169" s="0" t="s">
        <v>1094</v>
      </c>
      <c r="G169" s="0" t="s">
        <v>1138</v>
      </c>
      <c r="H169" s="0" t="s">
        <v>105</v>
      </c>
      <c r="I169" s="0" t="s">
        <v>29</v>
      </c>
    </row>
    <row r="170" customFormat="false" ht="15" hidden="false" customHeight="false" outlineLevel="0" collapsed="false">
      <c r="A170" s="0" t="s">
        <v>128</v>
      </c>
      <c r="B170" s="0" t="s">
        <v>938</v>
      </c>
      <c r="C170" s="0" t="s">
        <v>934</v>
      </c>
      <c r="D170" s="0" t="n">
        <v>11.73</v>
      </c>
      <c r="E170" s="0" t="s">
        <v>66</v>
      </c>
      <c r="F170" s="0" t="s">
        <v>1096</v>
      </c>
      <c r="G170" s="0" t="s">
        <v>1139</v>
      </c>
      <c r="H170" s="0" t="s">
        <v>105</v>
      </c>
      <c r="I170" s="0" t="s">
        <v>29</v>
      </c>
    </row>
    <row r="171" customFormat="false" ht="15" hidden="false" customHeight="false" outlineLevel="0" collapsed="false">
      <c r="A171" s="0" t="s">
        <v>128</v>
      </c>
      <c r="B171" s="0" t="s">
        <v>941</v>
      </c>
      <c r="C171" s="0" t="s">
        <v>934</v>
      </c>
      <c r="D171" s="0" t="n">
        <v>11.73</v>
      </c>
      <c r="E171" s="0" t="s">
        <v>66</v>
      </c>
      <c r="F171" s="0" t="s">
        <v>1098</v>
      </c>
      <c r="G171" s="0" t="s">
        <v>1140</v>
      </c>
      <c r="H171" s="0" t="s">
        <v>105</v>
      </c>
      <c r="I171" s="0" t="s">
        <v>29</v>
      </c>
    </row>
    <row r="172" customFormat="false" ht="15" hidden="false" customHeight="false" outlineLevel="0" collapsed="false">
      <c r="A172" s="0" t="s">
        <v>128</v>
      </c>
      <c r="B172" s="0" t="s">
        <v>944</v>
      </c>
      <c r="C172" s="0" t="s">
        <v>934</v>
      </c>
      <c r="D172" s="0" t="n">
        <v>35.2</v>
      </c>
      <c r="E172" s="0" t="s">
        <v>66</v>
      </c>
      <c r="F172" s="0" t="s">
        <v>945</v>
      </c>
      <c r="G172" s="0" t="s">
        <v>1141</v>
      </c>
      <c r="H172" s="0" t="s">
        <v>105</v>
      </c>
      <c r="I172" s="0" t="s">
        <v>29</v>
      </c>
    </row>
    <row r="173" customFormat="false" ht="15" hidden="false" customHeight="false" outlineLevel="0" collapsed="false">
      <c r="A173" s="0" t="s">
        <v>128</v>
      </c>
      <c r="B173" s="0" t="s">
        <v>951</v>
      </c>
      <c r="C173" s="0" t="s">
        <v>948</v>
      </c>
      <c r="D173" s="0" t="n">
        <v>148.62</v>
      </c>
      <c r="E173" s="0" t="s">
        <v>66</v>
      </c>
      <c r="F173" s="0" t="s">
        <v>1101</v>
      </c>
      <c r="G173" s="0" t="s">
        <v>1142</v>
      </c>
      <c r="H173" s="0" t="s">
        <v>105</v>
      </c>
      <c r="I173" s="0" t="s">
        <v>29</v>
      </c>
    </row>
    <row r="174" customFormat="false" ht="15" hidden="false" customHeight="false" outlineLevel="0" collapsed="false">
      <c r="A174" s="0" t="s">
        <v>128</v>
      </c>
      <c r="B174" s="0" t="s">
        <v>947</v>
      </c>
      <c r="C174" s="0" t="s">
        <v>948</v>
      </c>
      <c r="D174" s="0" t="n">
        <v>148.62</v>
      </c>
      <c r="E174" s="0" t="s">
        <v>66</v>
      </c>
      <c r="F174" s="0" t="s">
        <v>1101</v>
      </c>
      <c r="G174" s="0" t="s">
        <v>1143</v>
      </c>
      <c r="H174" s="0" t="s">
        <v>105</v>
      </c>
      <c r="I174" s="0" t="s">
        <v>29</v>
      </c>
    </row>
    <row r="175" customFormat="false" ht="15" hidden="false" customHeight="false" outlineLevel="0" collapsed="false">
      <c r="A175" s="0" t="s">
        <v>128</v>
      </c>
      <c r="B175" s="0" t="s">
        <v>953</v>
      </c>
      <c r="C175" s="0" t="s">
        <v>948</v>
      </c>
      <c r="D175" s="0" t="n">
        <v>148.62</v>
      </c>
      <c r="E175" s="0" t="s">
        <v>66</v>
      </c>
      <c r="F175" s="0" t="s">
        <v>1104</v>
      </c>
      <c r="G175" s="0" t="s">
        <v>955</v>
      </c>
      <c r="H175" s="0" t="s">
        <v>105</v>
      </c>
      <c r="I175" s="0" t="s">
        <v>29</v>
      </c>
    </row>
    <row r="176" customFormat="false" ht="15" hidden="false" customHeight="false" outlineLevel="0" collapsed="false">
      <c r="A176" s="0" t="s">
        <v>128</v>
      </c>
      <c r="B176" s="0" t="s">
        <v>956</v>
      </c>
      <c r="C176" s="0" t="s">
        <v>934</v>
      </c>
      <c r="D176" s="0" t="n">
        <v>46.93</v>
      </c>
      <c r="E176" s="0" t="s">
        <v>66</v>
      </c>
      <c r="F176" s="0" t="s">
        <v>1105</v>
      </c>
      <c r="G176" s="0" t="s">
        <v>1144</v>
      </c>
      <c r="H176" s="0" t="s">
        <v>105</v>
      </c>
      <c r="I176" s="0" t="s">
        <v>29</v>
      </c>
    </row>
    <row r="177" customFormat="false" ht="15" hidden="false" customHeight="false" outlineLevel="0" collapsed="false">
      <c r="A177" s="0" t="s">
        <v>133</v>
      </c>
      <c r="B177" s="0" t="s">
        <v>1145</v>
      </c>
      <c r="C177" s="0" t="s">
        <v>934</v>
      </c>
      <c r="D177" s="0" t="n">
        <v>46.13</v>
      </c>
      <c r="E177" s="0" t="s">
        <v>66</v>
      </c>
      <c r="F177" s="0" t="s">
        <v>1146</v>
      </c>
      <c r="G177" s="0" t="s">
        <v>1147</v>
      </c>
      <c r="H177" s="0" t="s">
        <v>137</v>
      </c>
      <c r="I177" s="0" t="s">
        <v>138</v>
      </c>
    </row>
    <row r="178" customFormat="false" ht="15" hidden="false" customHeight="false" outlineLevel="0" collapsed="false">
      <c r="A178" s="0" t="s">
        <v>133</v>
      </c>
      <c r="B178" s="0" t="s">
        <v>978</v>
      </c>
      <c r="C178" s="0" t="s">
        <v>934</v>
      </c>
      <c r="D178" s="0" t="n">
        <v>1.65</v>
      </c>
      <c r="E178" s="0" t="s">
        <v>66</v>
      </c>
      <c r="F178" s="0" t="s">
        <v>1148</v>
      </c>
      <c r="G178" s="0" t="s">
        <v>1149</v>
      </c>
      <c r="H178" s="0" t="s">
        <v>137</v>
      </c>
      <c r="I178" s="0" t="s">
        <v>138</v>
      </c>
    </row>
    <row r="179" customFormat="false" ht="15" hidden="false" customHeight="false" outlineLevel="0" collapsed="false">
      <c r="A179" s="0" t="s">
        <v>133</v>
      </c>
      <c r="B179" s="0" t="s">
        <v>1150</v>
      </c>
      <c r="C179" s="0" t="s">
        <v>934</v>
      </c>
      <c r="D179" s="0" t="n">
        <v>1.65</v>
      </c>
      <c r="E179" s="0" t="s">
        <v>66</v>
      </c>
      <c r="F179" s="0" t="s">
        <v>1148</v>
      </c>
      <c r="G179" s="0" t="s">
        <v>1149</v>
      </c>
      <c r="H179" s="0" t="s">
        <v>137</v>
      </c>
      <c r="I179" s="0" t="s">
        <v>138</v>
      </c>
    </row>
    <row r="180" customFormat="false" ht="15" hidden="false" customHeight="false" outlineLevel="0" collapsed="false">
      <c r="A180" s="0" t="s">
        <v>133</v>
      </c>
      <c r="B180" s="0" t="s">
        <v>1151</v>
      </c>
      <c r="C180" s="0" t="s">
        <v>948</v>
      </c>
      <c r="D180" s="0" t="n">
        <v>25.42</v>
      </c>
      <c r="E180" s="0" t="s">
        <v>66</v>
      </c>
      <c r="F180" s="0" t="s">
        <v>1152</v>
      </c>
      <c r="G180" s="0" t="s">
        <v>1153</v>
      </c>
      <c r="H180" s="0" t="s">
        <v>137</v>
      </c>
      <c r="I180" s="0" t="s">
        <v>138</v>
      </c>
    </row>
    <row r="181" customFormat="false" ht="15" hidden="false" customHeight="false" outlineLevel="0" collapsed="false">
      <c r="A181" s="0" t="s">
        <v>133</v>
      </c>
      <c r="B181" s="0" t="s">
        <v>1151</v>
      </c>
      <c r="C181" s="0" t="s">
        <v>948</v>
      </c>
      <c r="D181" s="0" t="n">
        <v>25.42</v>
      </c>
      <c r="E181" s="0" t="s">
        <v>66</v>
      </c>
      <c r="F181" s="0" t="s">
        <v>1152</v>
      </c>
      <c r="G181" s="0" t="s">
        <v>1154</v>
      </c>
      <c r="H181" s="0" t="s">
        <v>137</v>
      </c>
      <c r="I181" s="0" t="s">
        <v>138</v>
      </c>
    </row>
    <row r="182" customFormat="false" ht="15" hidden="false" customHeight="false" outlineLevel="0" collapsed="false">
      <c r="A182" s="0" t="s">
        <v>133</v>
      </c>
      <c r="B182" s="0" t="s">
        <v>1155</v>
      </c>
      <c r="C182" s="0" t="s">
        <v>948</v>
      </c>
      <c r="D182" s="0" t="n">
        <v>25.42</v>
      </c>
      <c r="E182" s="0" t="s">
        <v>66</v>
      </c>
      <c r="F182" s="0" t="s">
        <v>1156</v>
      </c>
      <c r="G182" s="0" t="s">
        <v>1157</v>
      </c>
      <c r="H182" s="0" t="s">
        <v>137</v>
      </c>
      <c r="I182" s="0" t="s">
        <v>138</v>
      </c>
    </row>
    <row r="183" customFormat="false" ht="15" hidden="false" customHeight="false" outlineLevel="0" collapsed="false">
      <c r="A183" s="0" t="s">
        <v>133</v>
      </c>
      <c r="B183" s="0" t="s">
        <v>1158</v>
      </c>
      <c r="C183" s="0" t="s">
        <v>934</v>
      </c>
      <c r="D183" s="0" t="n">
        <v>6.61</v>
      </c>
      <c r="E183" s="0" t="s">
        <v>66</v>
      </c>
      <c r="F183" s="0" t="s">
        <v>1159</v>
      </c>
      <c r="G183" s="0" t="s">
        <v>1160</v>
      </c>
      <c r="H183" s="0" t="s">
        <v>137</v>
      </c>
      <c r="I183" s="0" t="s">
        <v>138</v>
      </c>
    </row>
    <row r="184" customFormat="false" ht="15" hidden="false" customHeight="false" outlineLevel="0" collapsed="false">
      <c r="A184" s="0" t="s">
        <v>133</v>
      </c>
      <c r="B184" s="0" t="s">
        <v>1161</v>
      </c>
      <c r="C184" s="0" t="s">
        <v>934</v>
      </c>
      <c r="D184" s="0" t="n">
        <v>4.96</v>
      </c>
      <c r="E184" s="0" t="s">
        <v>66</v>
      </c>
      <c r="F184" s="0" t="s">
        <v>1162</v>
      </c>
      <c r="G184" s="0" t="s">
        <v>1163</v>
      </c>
      <c r="H184" s="0" t="s">
        <v>137</v>
      </c>
      <c r="I184" s="0" t="s">
        <v>138</v>
      </c>
    </row>
    <row r="185" customFormat="false" ht="15" hidden="false" customHeight="false" outlineLevel="0" collapsed="false">
      <c r="A185" s="0" t="s">
        <v>141</v>
      </c>
      <c r="B185" s="0" t="s">
        <v>1145</v>
      </c>
      <c r="C185" s="0" t="s">
        <v>934</v>
      </c>
      <c r="D185" s="0" t="n">
        <v>39.15</v>
      </c>
      <c r="E185" s="0" t="s">
        <v>66</v>
      </c>
      <c r="F185" s="0" t="s">
        <v>1146</v>
      </c>
      <c r="G185" s="0" t="s">
        <v>1164</v>
      </c>
      <c r="H185" s="0" t="s">
        <v>137</v>
      </c>
      <c r="I185" s="0" t="s">
        <v>138</v>
      </c>
    </row>
    <row r="186" customFormat="false" ht="15" hidden="false" customHeight="false" outlineLevel="0" collapsed="false">
      <c r="A186" s="0" t="s">
        <v>141</v>
      </c>
      <c r="B186" s="0" t="s">
        <v>978</v>
      </c>
      <c r="C186" s="0" t="s">
        <v>934</v>
      </c>
      <c r="D186" s="0" t="n">
        <v>1.82</v>
      </c>
      <c r="E186" s="0" t="s">
        <v>66</v>
      </c>
      <c r="F186" s="0" t="s">
        <v>1148</v>
      </c>
      <c r="G186" s="0" t="s">
        <v>1165</v>
      </c>
      <c r="H186" s="0" t="s">
        <v>137</v>
      </c>
      <c r="I186" s="0" t="s">
        <v>138</v>
      </c>
    </row>
    <row r="187" customFormat="false" ht="15" hidden="false" customHeight="false" outlineLevel="0" collapsed="false">
      <c r="A187" s="0" t="s">
        <v>141</v>
      </c>
      <c r="B187" s="0" t="s">
        <v>1150</v>
      </c>
      <c r="C187" s="0" t="s">
        <v>934</v>
      </c>
      <c r="D187" s="0" t="n">
        <v>1.82</v>
      </c>
      <c r="E187" s="0" t="s">
        <v>66</v>
      </c>
      <c r="F187" s="0" t="s">
        <v>1148</v>
      </c>
      <c r="G187" s="0" t="s">
        <v>1165</v>
      </c>
      <c r="H187" s="0" t="s">
        <v>137</v>
      </c>
      <c r="I187" s="0" t="s">
        <v>138</v>
      </c>
    </row>
    <row r="188" customFormat="false" ht="15" hidden="false" customHeight="false" outlineLevel="0" collapsed="false">
      <c r="A188" s="0" t="s">
        <v>141</v>
      </c>
      <c r="B188" s="0" t="s">
        <v>1151</v>
      </c>
      <c r="C188" s="0" t="s">
        <v>948</v>
      </c>
      <c r="D188" s="0" t="n">
        <v>23.6</v>
      </c>
      <c r="E188" s="0" t="s">
        <v>66</v>
      </c>
      <c r="F188" s="0" t="s">
        <v>1152</v>
      </c>
      <c r="G188" s="0" t="s">
        <v>1166</v>
      </c>
      <c r="H188" s="0" t="s">
        <v>137</v>
      </c>
      <c r="I188" s="0" t="s">
        <v>138</v>
      </c>
    </row>
    <row r="189" customFormat="false" ht="15" hidden="false" customHeight="false" outlineLevel="0" collapsed="false">
      <c r="A189" s="0" t="s">
        <v>141</v>
      </c>
      <c r="B189" s="0" t="s">
        <v>1151</v>
      </c>
      <c r="C189" s="0" t="s">
        <v>948</v>
      </c>
      <c r="D189" s="0" t="n">
        <v>23.6</v>
      </c>
      <c r="E189" s="0" t="s">
        <v>66</v>
      </c>
      <c r="F189" s="0" t="s">
        <v>1152</v>
      </c>
      <c r="G189" s="0" t="s">
        <v>1167</v>
      </c>
      <c r="H189" s="0" t="s">
        <v>137</v>
      </c>
      <c r="I189" s="0" t="s">
        <v>138</v>
      </c>
    </row>
    <row r="190" customFormat="false" ht="15" hidden="false" customHeight="false" outlineLevel="0" collapsed="false">
      <c r="A190" s="0" t="s">
        <v>141</v>
      </c>
      <c r="B190" s="0" t="s">
        <v>1155</v>
      </c>
      <c r="C190" s="0" t="s">
        <v>948</v>
      </c>
      <c r="D190" s="0" t="n">
        <v>23.6</v>
      </c>
      <c r="E190" s="0" t="s">
        <v>66</v>
      </c>
      <c r="F190" s="0" t="s">
        <v>1156</v>
      </c>
      <c r="G190" s="0" t="s">
        <v>1168</v>
      </c>
      <c r="H190" s="0" t="s">
        <v>137</v>
      </c>
      <c r="I190" s="0" t="s">
        <v>138</v>
      </c>
    </row>
    <row r="191" customFormat="false" ht="15" hidden="false" customHeight="false" outlineLevel="0" collapsed="false">
      <c r="A191" s="0" t="s">
        <v>141</v>
      </c>
      <c r="B191" s="0" t="s">
        <v>1158</v>
      </c>
      <c r="C191" s="0" t="s">
        <v>934</v>
      </c>
      <c r="D191" s="0" t="n">
        <v>7.28</v>
      </c>
      <c r="E191" s="0" t="s">
        <v>66</v>
      </c>
      <c r="F191" s="0" t="s">
        <v>1159</v>
      </c>
      <c r="G191" s="0" t="s">
        <v>1169</v>
      </c>
      <c r="H191" s="0" t="s">
        <v>137</v>
      </c>
      <c r="I191" s="0" t="s">
        <v>138</v>
      </c>
    </row>
    <row r="192" customFormat="false" ht="15" hidden="false" customHeight="false" outlineLevel="0" collapsed="false">
      <c r="A192" s="0" t="s">
        <v>141</v>
      </c>
      <c r="B192" s="0" t="s">
        <v>1161</v>
      </c>
      <c r="C192" s="0" t="s">
        <v>934</v>
      </c>
      <c r="D192" s="0" t="n">
        <v>5.46</v>
      </c>
      <c r="E192" s="0" t="s">
        <v>66</v>
      </c>
      <c r="F192" s="0" t="s">
        <v>1162</v>
      </c>
      <c r="G192" s="0" t="s">
        <v>1170</v>
      </c>
      <c r="H192" s="0" t="s">
        <v>137</v>
      </c>
      <c r="I192" s="0" t="s">
        <v>138</v>
      </c>
    </row>
    <row r="193" customFormat="false" ht="15" hidden="false" customHeight="false" outlineLevel="0" collapsed="false">
      <c r="A193" s="0" t="s">
        <v>146</v>
      </c>
      <c r="B193" s="0" t="s">
        <v>1145</v>
      </c>
      <c r="C193" s="0" t="s">
        <v>934</v>
      </c>
      <c r="D193" s="0" t="n">
        <v>39.15</v>
      </c>
      <c r="E193" s="0" t="s">
        <v>66</v>
      </c>
      <c r="F193" s="0" t="s">
        <v>1146</v>
      </c>
      <c r="G193" s="0" t="s">
        <v>1171</v>
      </c>
      <c r="H193" s="0" t="s">
        <v>137</v>
      </c>
      <c r="I193" s="0" t="s">
        <v>138</v>
      </c>
    </row>
    <row r="194" customFormat="false" ht="15" hidden="false" customHeight="false" outlineLevel="0" collapsed="false">
      <c r="A194" s="0" t="s">
        <v>146</v>
      </c>
      <c r="B194" s="0" t="s">
        <v>978</v>
      </c>
      <c r="C194" s="0" t="s">
        <v>934</v>
      </c>
      <c r="D194" s="0" t="n">
        <v>1.8</v>
      </c>
      <c r="E194" s="0" t="s">
        <v>66</v>
      </c>
      <c r="F194" s="0" t="s">
        <v>1148</v>
      </c>
      <c r="G194" s="0" t="s">
        <v>1172</v>
      </c>
      <c r="H194" s="0" t="s">
        <v>137</v>
      </c>
      <c r="I194" s="0" t="s">
        <v>138</v>
      </c>
    </row>
    <row r="195" customFormat="false" ht="15" hidden="false" customHeight="false" outlineLevel="0" collapsed="false">
      <c r="A195" s="0" t="s">
        <v>146</v>
      </c>
      <c r="B195" s="0" t="s">
        <v>1150</v>
      </c>
      <c r="C195" s="0" t="s">
        <v>934</v>
      </c>
      <c r="D195" s="0" t="n">
        <v>1.8</v>
      </c>
      <c r="E195" s="0" t="s">
        <v>66</v>
      </c>
      <c r="F195" s="0" t="s">
        <v>1148</v>
      </c>
      <c r="G195" s="0" t="s">
        <v>1172</v>
      </c>
      <c r="H195" s="0" t="s">
        <v>137</v>
      </c>
      <c r="I195" s="0" t="s">
        <v>138</v>
      </c>
    </row>
    <row r="196" customFormat="false" ht="15" hidden="false" customHeight="false" outlineLevel="0" collapsed="false">
      <c r="A196" s="0" t="s">
        <v>146</v>
      </c>
      <c r="B196" s="0" t="s">
        <v>1151</v>
      </c>
      <c r="C196" s="0" t="s">
        <v>948</v>
      </c>
      <c r="D196" s="0" t="n">
        <v>23.12</v>
      </c>
      <c r="E196" s="0" t="s">
        <v>66</v>
      </c>
      <c r="F196" s="0" t="s">
        <v>1152</v>
      </c>
      <c r="G196" s="0" t="s">
        <v>1173</v>
      </c>
      <c r="H196" s="0" t="s">
        <v>137</v>
      </c>
      <c r="I196" s="0" t="s">
        <v>138</v>
      </c>
    </row>
    <row r="197" customFormat="false" ht="15" hidden="false" customHeight="false" outlineLevel="0" collapsed="false">
      <c r="A197" s="0" t="s">
        <v>146</v>
      </c>
      <c r="B197" s="0" t="s">
        <v>1151</v>
      </c>
      <c r="C197" s="0" t="s">
        <v>948</v>
      </c>
      <c r="D197" s="0" t="n">
        <v>23.12</v>
      </c>
      <c r="E197" s="0" t="s">
        <v>66</v>
      </c>
      <c r="F197" s="0" t="s">
        <v>1152</v>
      </c>
      <c r="G197" s="0" t="s">
        <v>1174</v>
      </c>
      <c r="H197" s="0" t="s">
        <v>137</v>
      </c>
      <c r="I197" s="0" t="s">
        <v>138</v>
      </c>
    </row>
    <row r="198" customFormat="false" ht="15" hidden="false" customHeight="false" outlineLevel="0" collapsed="false">
      <c r="A198" s="0" t="s">
        <v>146</v>
      </c>
      <c r="B198" s="0" t="s">
        <v>1155</v>
      </c>
      <c r="C198" s="0" t="s">
        <v>948</v>
      </c>
      <c r="D198" s="0" t="n">
        <v>23.12</v>
      </c>
      <c r="E198" s="0" t="s">
        <v>66</v>
      </c>
      <c r="F198" s="0" t="s">
        <v>1156</v>
      </c>
      <c r="G198" s="0" t="s">
        <v>1175</v>
      </c>
      <c r="H198" s="0" t="s">
        <v>137</v>
      </c>
      <c r="I198" s="0" t="s">
        <v>138</v>
      </c>
    </row>
    <row r="199" customFormat="false" ht="15" hidden="false" customHeight="false" outlineLevel="0" collapsed="false">
      <c r="A199" s="0" t="s">
        <v>146</v>
      </c>
      <c r="B199" s="0" t="s">
        <v>1158</v>
      </c>
      <c r="C199" s="0" t="s">
        <v>934</v>
      </c>
      <c r="D199" s="0" t="n">
        <v>7.2</v>
      </c>
      <c r="E199" s="0" t="s">
        <v>66</v>
      </c>
      <c r="F199" s="0" t="s">
        <v>1159</v>
      </c>
      <c r="G199" s="0" t="s">
        <v>1176</v>
      </c>
      <c r="H199" s="0" t="s">
        <v>137</v>
      </c>
      <c r="I199" s="0" t="s">
        <v>138</v>
      </c>
    </row>
    <row r="200" customFormat="false" ht="15" hidden="false" customHeight="false" outlineLevel="0" collapsed="false">
      <c r="A200" s="0" t="s">
        <v>146</v>
      </c>
      <c r="B200" s="0" t="s">
        <v>1161</v>
      </c>
      <c r="C200" s="0" t="s">
        <v>934</v>
      </c>
      <c r="D200" s="0" t="n">
        <v>5.4</v>
      </c>
      <c r="E200" s="0" t="s">
        <v>66</v>
      </c>
      <c r="F200" s="0" t="s">
        <v>1162</v>
      </c>
      <c r="G200" s="0" t="s">
        <v>1177</v>
      </c>
      <c r="H200" s="0" t="s">
        <v>137</v>
      </c>
      <c r="I200" s="0" t="s">
        <v>138</v>
      </c>
    </row>
    <row r="201" customFormat="false" ht="15" hidden="false" customHeight="false" outlineLevel="0" collapsed="false">
      <c r="A201" s="0" t="s">
        <v>151</v>
      </c>
      <c r="B201" s="0" t="s">
        <v>1145</v>
      </c>
      <c r="C201" s="0" t="s">
        <v>934</v>
      </c>
      <c r="D201" s="0" t="n">
        <v>26.1</v>
      </c>
      <c r="E201" s="0" t="s">
        <v>66</v>
      </c>
      <c r="F201" s="0" t="s">
        <v>1146</v>
      </c>
      <c r="G201" s="0" t="s">
        <v>1178</v>
      </c>
      <c r="H201" s="0" t="s">
        <v>137</v>
      </c>
      <c r="I201" s="0" t="s">
        <v>138</v>
      </c>
    </row>
    <row r="202" customFormat="false" ht="15" hidden="false" customHeight="false" outlineLevel="0" collapsed="false">
      <c r="A202" s="0" t="s">
        <v>151</v>
      </c>
      <c r="B202" s="0" t="s">
        <v>978</v>
      </c>
      <c r="C202" s="0" t="s">
        <v>934</v>
      </c>
      <c r="D202" s="0" t="n">
        <v>0.88</v>
      </c>
      <c r="E202" s="0" t="s">
        <v>66</v>
      </c>
      <c r="F202" s="0" t="s">
        <v>1148</v>
      </c>
      <c r="G202" s="0" t="s">
        <v>1179</v>
      </c>
      <c r="H202" s="0" t="s">
        <v>137</v>
      </c>
      <c r="I202" s="0" t="s">
        <v>138</v>
      </c>
    </row>
    <row r="203" customFormat="false" ht="15" hidden="false" customHeight="false" outlineLevel="0" collapsed="false">
      <c r="A203" s="0" t="s">
        <v>151</v>
      </c>
      <c r="B203" s="0" t="s">
        <v>1150</v>
      </c>
      <c r="C203" s="0" t="s">
        <v>934</v>
      </c>
      <c r="D203" s="0" t="n">
        <v>0.88</v>
      </c>
      <c r="E203" s="0" t="s">
        <v>66</v>
      </c>
      <c r="F203" s="0" t="s">
        <v>1148</v>
      </c>
      <c r="G203" s="0" t="s">
        <v>1179</v>
      </c>
      <c r="H203" s="0" t="s">
        <v>137</v>
      </c>
      <c r="I203" s="0" t="s">
        <v>138</v>
      </c>
    </row>
    <row r="204" customFormat="false" ht="15" hidden="false" customHeight="false" outlineLevel="0" collapsed="false">
      <c r="A204" s="0" t="s">
        <v>151</v>
      </c>
      <c r="B204" s="0" t="s">
        <v>1151</v>
      </c>
      <c r="C204" s="0" t="s">
        <v>948</v>
      </c>
      <c r="D204" s="0" t="n">
        <v>11.22</v>
      </c>
      <c r="E204" s="0" t="s">
        <v>66</v>
      </c>
      <c r="F204" s="0" t="s">
        <v>1152</v>
      </c>
      <c r="G204" s="0" t="s">
        <v>1180</v>
      </c>
      <c r="H204" s="0" t="s">
        <v>137</v>
      </c>
      <c r="I204" s="0" t="s">
        <v>138</v>
      </c>
    </row>
    <row r="205" customFormat="false" ht="15" hidden="false" customHeight="false" outlineLevel="0" collapsed="false">
      <c r="A205" s="0" t="s">
        <v>151</v>
      </c>
      <c r="B205" s="0" t="s">
        <v>1151</v>
      </c>
      <c r="C205" s="0" t="s">
        <v>948</v>
      </c>
      <c r="D205" s="0" t="n">
        <v>11.22</v>
      </c>
      <c r="E205" s="0" t="s">
        <v>66</v>
      </c>
      <c r="F205" s="0" t="s">
        <v>1152</v>
      </c>
      <c r="G205" s="0" t="s">
        <v>1181</v>
      </c>
      <c r="H205" s="0" t="s">
        <v>137</v>
      </c>
      <c r="I205" s="0" t="s">
        <v>138</v>
      </c>
    </row>
    <row r="206" customFormat="false" ht="15" hidden="false" customHeight="false" outlineLevel="0" collapsed="false">
      <c r="A206" s="0" t="s">
        <v>151</v>
      </c>
      <c r="B206" s="0" t="s">
        <v>1155</v>
      </c>
      <c r="C206" s="0" t="s">
        <v>948</v>
      </c>
      <c r="D206" s="0" t="n">
        <v>11.22</v>
      </c>
      <c r="E206" s="0" t="s">
        <v>66</v>
      </c>
      <c r="F206" s="0" t="s">
        <v>1156</v>
      </c>
      <c r="G206" s="0" t="s">
        <v>1182</v>
      </c>
      <c r="H206" s="0" t="s">
        <v>137</v>
      </c>
      <c r="I206" s="0" t="s">
        <v>138</v>
      </c>
    </row>
    <row r="207" customFormat="false" ht="15" hidden="false" customHeight="false" outlineLevel="0" collapsed="false">
      <c r="A207" s="0" t="s">
        <v>151</v>
      </c>
      <c r="B207" s="0" t="s">
        <v>1158</v>
      </c>
      <c r="C207" s="0" t="s">
        <v>934</v>
      </c>
      <c r="D207" s="0" t="n">
        <v>3.52</v>
      </c>
      <c r="E207" s="0" t="s">
        <v>66</v>
      </c>
      <c r="F207" s="0" t="s">
        <v>1159</v>
      </c>
      <c r="G207" s="0" t="s">
        <v>1183</v>
      </c>
      <c r="H207" s="0" t="s">
        <v>137</v>
      </c>
      <c r="I207" s="0" t="s">
        <v>138</v>
      </c>
    </row>
    <row r="208" customFormat="false" ht="15" hidden="false" customHeight="false" outlineLevel="0" collapsed="false">
      <c r="A208" s="0" t="s">
        <v>151</v>
      </c>
      <c r="B208" s="0" t="s">
        <v>1161</v>
      </c>
      <c r="C208" s="0" t="s">
        <v>934</v>
      </c>
      <c r="D208" s="0" t="n">
        <v>2.64</v>
      </c>
      <c r="E208" s="0" t="s">
        <v>66</v>
      </c>
      <c r="F208" s="0" t="s">
        <v>1162</v>
      </c>
      <c r="G208" s="0" t="s">
        <v>1184</v>
      </c>
      <c r="H208" s="0" t="s">
        <v>137</v>
      </c>
      <c r="I208" s="0" t="s">
        <v>138</v>
      </c>
    </row>
    <row r="209" customFormat="false" ht="15" hidden="false" customHeight="false" outlineLevel="0" collapsed="false">
      <c r="A209" s="0" t="s">
        <v>155</v>
      </c>
      <c r="B209" s="0" t="s">
        <v>1145</v>
      </c>
      <c r="C209" s="0" t="s">
        <v>934</v>
      </c>
      <c r="D209" s="0" t="n">
        <v>52.23</v>
      </c>
      <c r="E209" s="0" t="s">
        <v>66</v>
      </c>
      <c r="F209" s="0" t="s">
        <v>1146</v>
      </c>
      <c r="G209" s="0" t="s">
        <v>1185</v>
      </c>
      <c r="H209" s="0" t="s">
        <v>137</v>
      </c>
      <c r="I209" s="0" t="s">
        <v>138</v>
      </c>
    </row>
    <row r="210" customFormat="false" ht="15" hidden="false" customHeight="false" outlineLevel="0" collapsed="false">
      <c r="A210" s="0" t="s">
        <v>155</v>
      </c>
      <c r="B210" s="0" t="s">
        <v>978</v>
      </c>
      <c r="C210" s="0" t="s">
        <v>934</v>
      </c>
      <c r="D210" s="0" t="n">
        <v>2.69</v>
      </c>
      <c r="E210" s="0" t="s">
        <v>66</v>
      </c>
      <c r="F210" s="0" t="s">
        <v>1148</v>
      </c>
      <c r="G210" s="0" t="s">
        <v>1186</v>
      </c>
      <c r="H210" s="0" t="s">
        <v>137</v>
      </c>
      <c r="I210" s="0" t="s">
        <v>138</v>
      </c>
    </row>
    <row r="211" customFormat="false" ht="15" hidden="false" customHeight="false" outlineLevel="0" collapsed="false">
      <c r="A211" s="0" t="s">
        <v>155</v>
      </c>
      <c r="B211" s="0" t="s">
        <v>1150</v>
      </c>
      <c r="C211" s="0" t="s">
        <v>934</v>
      </c>
      <c r="D211" s="0" t="n">
        <v>2.69</v>
      </c>
      <c r="E211" s="0" t="s">
        <v>66</v>
      </c>
      <c r="F211" s="0" t="s">
        <v>1148</v>
      </c>
      <c r="G211" s="0" t="s">
        <v>1186</v>
      </c>
      <c r="H211" s="0" t="s">
        <v>137</v>
      </c>
      <c r="I211" s="0" t="s">
        <v>138</v>
      </c>
    </row>
    <row r="212" customFormat="false" ht="15" hidden="false" customHeight="false" outlineLevel="0" collapsed="false">
      <c r="A212" s="0" t="s">
        <v>155</v>
      </c>
      <c r="B212" s="0" t="s">
        <v>1151</v>
      </c>
      <c r="C212" s="0" t="s">
        <v>948</v>
      </c>
      <c r="D212" s="0" t="n">
        <v>34.06</v>
      </c>
      <c r="E212" s="0" t="s">
        <v>66</v>
      </c>
      <c r="F212" s="0" t="s">
        <v>1152</v>
      </c>
      <c r="G212" s="0" t="s">
        <v>1187</v>
      </c>
      <c r="H212" s="0" t="s">
        <v>137</v>
      </c>
      <c r="I212" s="0" t="s">
        <v>138</v>
      </c>
    </row>
    <row r="213" customFormat="false" ht="15" hidden="false" customHeight="false" outlineLevel="0" collapsed="false">
      <c r="A213" s="0" t="s">
        <v>155</v>
      </c>
      <c r="B213" s="0" t="s">
        <v>1151</v>
      </c>
      <c r="C213" s="0" t="s">
        <v>948</v>
      </c>
      <c r="D213" s="0" t="n">
        <v>34.06</v>
      </c>
      <c r="E213" s="0" t="s">
        <v>66</v>
      </c>
      <c r="F213" s="0" t="s">
        <v>1152</v>
      </c>
      <c r="G213" s="0" t="s">
        <v>1188</v>
      </c>
      <c r="H213" s="0" t="s">
        <v>137</v>
      </c>
      <c r="I213" s="0" t="s">
        <v>138</v>
      </c>
    </row>
    <row r="214" customFormat="false" ht="15" hidden="false" customHeight="false" outlineLevel="0" collapsed="false">
      <c r="A214" s="0" t="s">
        <v>155</v>
      </c>
      <c r="B214" s="0" t="s">
        <v>1155</v>
      </c>
      <c r="C214" s="0" t="s">
        <v>948</v>
      </c>
      <c r="D214" s="0" t="n">
        <v>34.06</v>
      </c>
      <c r="E214" s="0" t="s">
        <v>66</v>
      </c>
      <c r="F214" s="0" t="s">
        <v>1156</v>
      </c>
      <c r="G214" s="0" t="s">
        <v>1189</v>
      </c>
      <c r="H214" s="0" t="s">
        <v>137</v>
      </c>
      <c r="I214" s="0" t="s">
        <v>138</v>
      </c>
    </row>
    <row r="215" customFormat="false" ht="15" hidden="false" customHeight="false" outlineLevel="0" collapsed="false">
      <c r="A215" s="0" t="s">
        <v>155</v>
      </c>
      <c r="B215" s="0" t="s">
        <v>1158</v>
      </c>
      <c r="C215" s="0" t="s">
        <v>934</v>
      </c>
      <c r="D215" s="0" t="n">
        <v>10.77</v>
      </c>
      <c r="E215" s="0" t="s">
        <v>66</v>
      </c>
      <c r="F215" s="0" t="s">
        <v>1159</v>
      </c>
      <c r="G215" s="0" t="s">
        <v>1190</v>
      </c>
      <c r="H215" s="0" t="s">
        <v>137</v>
      </c>
      <c r="I215" s="0" t="s">
        <v>138</v>
      </c>
    </row>
    <row r="216" customFormat="false" ht="15" hidden="false" customHeight="false" outlineLevel="0" collapsed="false">
      <c r="A216" s="0" t="s">
        <v>155</v>
      </c>
      <c r="B216" s="0" t="s">
        <v>1161</v>
      </c>
      <c r="C216" s="0" t="s">
        <v>934</v>
      </c>
      <c r="D216" s="0" t="n">
        <v>8.08</v>
      </c>
      <c r="E216" s="0" t="s">
        <v>66</v>
      </c>
      <c r="F216" s="0" t="s">
        <v>1162</v>
      </c>
      <c r="G216" s="0" t="s">
        <v>1191</v>
      </c>
      <c r="H216" s="0" t="s">
        <v>137</v>
      </c>
      <c r="I216" s="0" t="s">
        <v>138</v>
      </c>
    </row>
    <row r="217" customFormat="false" ht="15" hidden="false" customHeight="false" outlineLevel="0" collapsed="false">
      <c r="A217" s="0" t="s">
        <v>160</v>
      </c>
      <c r="B217" s="0" t="s">
        <v>1145</v>
      </c>
      <c r="C217" s="0" t="s">
        <v>934</v>
      </c>
      <c r="D217" s="0" t="n">
        <v>26.11</v>
      </c>
      <c r="E217" s="0" t="s">
        <v>66</v>
      </c>
      <c r="F217" s="0" t="s">
        <v>1146</v>
      </c>
      <c r="G217" s="0" t="s">
        <v>1192</v>
      </c>
      <c r="H217" s="0" t="s">
        <v>137</v>
      </c>
      <c r="I217" s="0" t="s">
        <v>138</v>
      </c>
    </row>
    <row r="218" customFormat="false" ht="15" hidden="false" customHeight="false" outlineLevel="0" collapsed="false">
      <c r="A218" s="0" t="s">
        <v>160</v>
      </c>
      <c r="B218" s="0" t="s">
        <v>978</v>
      </c>
      <c r="C218" s="0" t="s">
        <v>934</v>
      </c>
      <c r="D218" s="0" t="n">
        <v>0.41</v>
      </c>
      <c r="E218" s="0" t="s">
        <v>66</v>
      </c>
      <c r="F218" s="0" t="s">
        <v>1148</v>
      </c>
      <c r="G218" s="0" t="s">
        <v>1193</v>
      </c>
      <c r="H218" s="0" t="s">
        <v>137</v>
      </c>
      <c r="I218" s="0" t="s">
        <v>138</v>
      </c>
    </row>
    <row r="219" customFormat="false" ht="15" hidden="false" customHeight="false" outlineLevel="0" collapsed="false">
      <c r="A219" s="0" t="s">
        <v>160</v>
      </c>
      <c r="B219" s="0" t="s">
        <v>1150</v>
      </c>
      <c r="C219" s="0" t="s">
        <v>934</v>
      </c>
      <c r="D219" s="0" t="n">
        <v>0.41</v>
      </c>
      <c r="E219" s="0" t="s">
        <v>66</v>
      </c>
      <c r="F219" s="0" t="s">
        <v>1148</v>
      </c>
      <c r="G219" s="0" t="s">
        <v>1193</v>
      </c>
      <c r="H219" s="0" t="s">
        <v>137</v>
      </c>
      <c r="I219" s="0" t="s">
        <v>138</v>
      </c>
    </row>
    <row r="220" customFormat="false" ht="15" hidden="false" customHeight="false" outlineLevel="0" collapsed="false">
      <c r="A220" s="0" t="s">
        <v>160</v>
      </c>
      <c r="B220" s="0" t="s">
        <v>1151</v>
      </c>
      <c r="C220" s="0" t="s">
        <v>948</v>
      </c>
      <c r="D220" s="0" t="n">
        <v>5.18</v>
      </c>
      <c r="E220" s="0" t="s">
        <v>66</v>
      </c>
      <c r="F220" s="0" t="s">
        <v>1152</v>
      </c>
      <c r="G220" s="0" t="s">
        <v>1194</v>
      </c>
      <c r="H220" s="0" t="s">
        <v>137</v>
      </c>
      <c r="I220" s="0" t="s">
        <v>138</v>
      </c>
    </row>
    <row r="221" customFormat="false" ht="15" hidden="false" customHeight="false" outlineLevel="0" collapsed="false">
      <c r="A221" s="0" t="s">
        <v>160</v>
      </c>
      <c r="B221" s="0" t="s">
        <v>1151</v>
      </c>
      <c r="C221" s="0" t="s">
        <v>948</v>
      </c>
      <c r="D221" s="0" t="n">
        <v>5.18</v>
      </c>
      <c r="E221" s="0" t="s">
        <v>66</v>
      </c>
      <c r="F221" s="0" t="s">
        <v>1152</v>
      </c>
      <c r="G221" s="0" t="s">
        <v>1195</v>
      </c>
      <c r="H221" s="0" t="s">
        <v>137</v>
      </c>
      <c r="I221" s="0" t="s">
        <v>138</v>
      </c>
    </row>
    <row r="222" customFormat="false" ht="15" hidden="false" customHeight="false" outlineLevel="0" collapsed="false">
      <c r="A222" s="0" t="s">
        <v>160</v>
      </c>
      <c r="B222" s="0" t="s">
        <v>1155</v>
      </c>
      <c r="C222" s="0" t="s">
        <v>948</v>
      </c>
      <c r="D222" s="0" t="n">
        <v>5.18</v>
      </c>
      <c r="E222" s="0" t="s">
        <v>66</v>
      </c>
      <c r="F222" s="0" t="s">
        <v>1156</v>
      </c>
      <c r="G222" s="0" t="s">
        <v>1196</v>
      </c>
      <c r="H222" s="0" t="s">
        <v>137</v>
      </c>
      <c r="I222" s="0" t="s">
        <v>138</v>
      </c>
    </row>
    <row r="223" customFormat="false" ht="15" hidden="false" customHeight="false" outlineLevel="0" collapsed="false">
      <c r="A223" s="0" t="s">
        <v>160</v>
      </c>
      <c r="B223" s="0" t="s">
        <v>1158</v>
      </c>
      <c r="C223" s="0" t="s">
        <v>934</v>
      </c>
      <c r="D223" s="0" t="n">
        <v>1.65</v>
      </c>
      <c r="E223" s="0" t="s">
        <v>66</v>
      </c>
      <c r="F223" s="0" t="s">
        <v>1159</v>
      </c>
      <c r="G223" s="0" t="s">
        <v>1197</v>
      </c>
      <c r="H223" s="0" t="s">
        <v>137</v>
      </c>
      <c r="I223" s="0" t="s">
        <v>138</v>
      </c>
    </row>
    <row r="224" customFormat="false" ht="15" hidden="false" customHeight="false" outlineLevel="0" collapsed="false">
      <c r="A224" s="0" t="s">
        <v>160</v>
      </c>
      <c r="B224" s="0" t="s">
        <v>1161</v>
      </c>
      <c r="C224" s="0" t="s">
        <v>934</v>
      </c>
      <c r="D224" s="0" t="n">
        <v>1.24</v>
      </c>
      <c r="E224" s="0" t="s">
        <v>66</v>
      </c>
      <c r="F224" s="0" t="s">
        <v>1162</v>
      </c>
      <c r="G224" s="0" t="s">
        <v>1198</v>
      </c>
      <c r="H224" s="0" t="s">
        <v>137</v>
      </c>
      <c r="I224" s="0" t="s">
        <v>138</v>
      </c>
    </row>
    <row r="225" customFormat="false" ht="15" hidden="false" customHeight="false" outlineLevel="0" collapsed="false">
      <c r="A225" s="0" t="s">
        <v>164</v>
      </c>
      <c r="B225" s="0" t="s">
        <v>1145</v>
      </c>
      <c r="C225" s="0" t="s">
        <v>934</v>
      </c>
      <c r="D225" s="0" t="n">
        <v>156.64</v>
      </c>
      <c r="E225" s="0" t="s">
        <v>66</v>
      </c>
      <c r="F225" s="0" t="s">
        <v>1146</v>
      </c>
      <c r="G225" s="0" t="s">
        <v>1199</v>
      </c>
      <c r="H225" s="0" t="s">
        <v>137</v>
      </c>
      <c r="I225" s="0" t="s">
        <v>138</v>
      </c>
    </row>
    <row r="226" customFormat="false" ht="15" hidden="false" customHeight="false" outlineLevel="0" collapsed="false">
      <c r="A226" s="0" t="s">
        <v>164</v>
      </c>
      <c r="B226" s="0" t="s">
        <v>978</v>
      </c>
      <c r="C226" s="0" t="s">
        <v>934</v>
      </c>
      <c r="D226" s="0" t="n">
        <v>11.74</v>
      </c>
      <c r="E226" s="0" t="s">
        <v>66</v>
      </c>
      <c r="F226" s="0" t="s">
        <v>1148</v>
      </c>
      <c r="G226" s="0" t="s">
        <v>1200</v>
      </c>
      <c r="H226" s="0" t="s">
        <v>137</v>
      </c>
      <c r="I226" s="0" t="s">
        <v>138</v>
      </c>
    </row>
    <row r="227" customFormat="false" ht="15" hidden="false" customHeight="false" outlineLevel="0" collapsed="false">
      <c r="A227" s="0" t="s">
        <v>164</v>
      </c>
      <c r="B227" s="0" t="s">
        <v>1150</v>
      </c>
      <c r="C227" s="0" t="s">
        <v>934</v>
      </c>
      <c r="D227" s="0" t="n">
        <v>11.74</v>
      </c>
      <c r="E227" s="0" t="s">
        <v>66</v>
      </c>
      <c r="F227" s="0" t="s">
        <v>1148</v>
      </c>
      <c r="G227" s="0" t="s">
        <v>1200</v>
      </c>
      <c r="H227" s="0" t="s">
        <v>137</v>
      </c>
      <c r="I227" s="0" t="s">
        <v>138</v>
      </c>
    </row>
    <row r="228" customFormat="false" ht="15" hidden="false" customHeight="false" outlineLevel="0" collapsed="false">
      <c r="A228" s="0" t="s">
        <v>164</v>
      </c>
      <c r="B228" s="0" t="s">
        <v>1151</v>
      </c>
      <c r="C228" s="0" t="s">
        <v>948</v>
      </c>
      <c r="D228" s="0" t="n">
        <v>148.63</v>
      </c>
      <c r="E228" s="0" t="s">
        <v>66</v>
      </c>
      <c r="F228" s="0" t="s">
        <v>1152</v>
      </c>
      <c r="G228" s="0" t="s">
        <v>1201</v>
      </c>
      <c r="H228" s="0" t="s">
        <v>137</v>
      </c>
      <c r="I228" s="0" t="s">
        <v>138</v>
      </c>
    </row>
    <row r="229" customFormat="false" ht="15" hidden="false" customHeight="false" outlineLevel="0" collapsed="false">
      <c r="A229" s="0" t="s">
        <v>164</v>
      </c>
      <c r="B229" s="0" t="s">
        <v>1151</v>
      </c>
      <c r="C229" s="0" t="s">
        <v>948</v>
      </c>
      <c r="D229" s="0" t="n">
        <v>148.63</v>
      </c>
      <c r="E229" s="0" t="s">
        <v>66</v>
      </c>
      <c r="F229" s="0" t="s">
        <v>1152</v>
      </c>
      <c r="G229" s="0" t="s">
        <v>1202</v>
      </c>
      <c r="H229" s="0" t="s">
        <v>137</v>
      </c>
      <c r="I229" s="0" t="s">
        <v>138</v>
      </c>
    </row>
    <row r="230" customFormat="false" ht="15" hidden="false" customHeight="false" outlineLevel="0" collapsed="false">
      <c r="A230" s="0" t="s">
        <v>164</v>
      </c>
      <c r="B230" s="0" t="s">
        <v>1155</v>
      </c>
      <c r="C230" s="0" t="s">
        <v>948</v>
      </c>
      <c r="D230" s="0" t="n">
        <v>148.63</v>
      </c>
      <c r="E230" s="0" t="s">
        <v>66</v>
      </c>
      <c r="F230" s="0" t="s">
        <v>1156</v>
      </c>
      <c r="G230" s="0" t="s">
        <v>1203</v>
      </c>
      <c r="H230" s="0" t="s">
        <v>137</v>
      </c>
      <c r="I230" s="0" t="s">
        <v>138</v>
      </c>
    </row>
    <row r="231" customFormat="false" ht="15" hidden="false" customHeight="false" outlineLevel="0" collapsed="false">
      <c r="A231" s="0" t="s">
        <v>164</v>
      </c>
      <c r="B231" s="0" t="s">
        <v>1158</v>
      </c>
      <c r="C231" s="0" t="s">
        <v>934</v>
      </c>
      <c r="D231" s="0" t="n">
        <v>46.96</v>
      </c>
      <c r="E231" s="0" t="s">
        <v>66</v>
      </c>
      <c r="F231" s="0" t="s">
        <v>1159</v>
      </c>
      <c r="G231" s="0" t="s">
        <v>1204</v>
      </c>
      <c r="H231" s="0" t="s">
        <v>137</v>
      </c>
      <c r="I231" s="0" t="s">
        <v>138</v>
      </c>
    </row>
    <row r="232" customFormat="false" ht="15" hidden="false" customHeight="false" outlineLevel="0" collapsed="false">
      <c r="A232" s="0" t="s">
        <v>164</v>
      </c>
      <c r="B232" s="0" t="s">
        <v>1161</v>
      </c>
      <c r="C232" s="0" t="s">
        <v>934</v>
      </c>
      <c r="D232" s="0" t="n">
        <v>35.22</v>
      </c>
      <c r="E232" s="0" t="s">
        <v>66</v>
      </c>
      <c r="F232" s="0" t="s">
        <v>1162</v>
      </c>
      <c r="G232" s="0" t="s">
        <v>1205</v>
      </c>
      <c r="H232" s="0" t="s">
        <v>137</v>
      </c>
      <c r="I232" s="0" t="s">
        <v>138</v>
      </c>
    </row>
    <row r="233" customFormat="false" ht="15" hidden="false" customHeight="false" outlineLevel="0" collapsed="false">
      <c r="A233" s="0" t="s">
        <v>169</v>
      </c>
      <c r="B233" s="0" t="s">
        <v>1206</v>
      </c>
      <c r="C233" s="0" t="s">
        <v>934</v>
      </c>
      <c r="D233" s="0" t="n">
        <v>30.75</v>
      </c>
      <c r="E233" s="0" t="s">
        <v>66</v>
      </c>
      <c r="F233" s="0" t="s">
        <v>1207</v>
      </c>
      <c r="G233" s="0" t="s">
        <v>1208</v>
      </c>
      <c r="H233" s="0" t="s">
        <v>173</v>
      </c>
      <c r="I233" s="0" t="s">
        <v>138</v>
      </c>
    </row>
    <row r="234" customFormat="false" ht="15" hidden="false" customHeight="false" outlineLevel="0" collapsed="false">
      <c r="A234" s="0" t="s">
        <v>169</v>
      </c>
      <c r="B234" s="0" t="s">
        <v>1209</v>
      </c>
      <c r="C234" s="0" t="s">
        <v>934</v>
      </c>
      <c r="D234" s="0" t="n">
        <v>1.77</v>
      </c>
      <c r="E234" s="0" t="s">
        <v>66</v>
      </c>
      <c r="F234" s="0" t="s">
        <v>1210</v>
      </c>
      <c r="G234" s="0" t="s">
        <v>1211</v>
      </c>
      <c r="H234" s="0" t="s">
        <v>173</v>
      </c>
      <c r="I234" s="0" t="s">
        <v>138</v>
      </c>
    </row>
    <row r="235" customFormat="false" ht="15" hidden="false" customHeight="false" outlineLevel="0" collapsed="false">
      <c r="A235" s="0" t="s">
        <v>169</v>
      </c>
      <c r="B235" s="0" t="s">
        <v>1212</v>
      </c>
      <c r="C235" s="0" t="s">
        <v>934</v>
      </c>
      <c r="D235" s="0" t="n">
        <v>1.77</v>
      </c>
      <c r="E235" s="0" t="s">
        <v>66</v>
      </c>
      <c r="F235" s="0" t="s">
        <v>1210</v>
      </c>
      <c r="G235" s="0" t="s">
        <v>1211</v>
      </c>
      <c r="H235" s="0" t="s">
        <v>173</v>
      </c>
      <c r="I235" s="0" t="s">
        <v>138</v>
      </c>
    </row>
    <row r="236" customFormat="false" ht="15" hidden="false" customHeight="false" outlineLevel="0" collapsed="false">
      <c r="A236" s="0" t="s">
        <v>169</v>
      </c>
      <c r="B236" s="0" t="s">
        <v>1213</v>
      </c>
      <c r="C236" s="0" t="s">
        <v>948</v>
      </c>
      <c r="D236" s="0" t="n">
        <v>27.27</v>
      </c>
      <c r="E236" s="0" t="s">
        <v>66</v>
      </c>
      <c r="F236" s="0" t="s">
        <v>1214</v>
      </c>
      <c r="G236" s="0" t="s">
        <v>1215</v>
      </c>
      <c r="H236" s="0" t="s">
        <v>173</v>
      </c>
      <c r="I236" s="0" t="s">
        <v>138</v>
      </c>
    </row>
    <row r="237" customFormat="false" ht="15" hidden="false" customHeight="false" outlineLevel="0" collapsed="false">
      <c r="A237" s="0" t="s">
        <v>169</v>
      </c>
      <c r="B237" s="0" t="s">
        <v>1075</v>
      </c>
      <c r="C237" s="0" t="s">
        <v>948</v>
      </c>
      <c r="D237" s="0" t="n">
        <v>14.19</v>
      </c>
      <c r="E237" s="0" t="s">
        <v>66</v>
      </c>
      <c r="F237" s="0" t="s">
        <v>1216</v>
      </c>
      <c r="G237" s="0" t="s">
        <v>1217</v>
      </c>
      <c r="H237" s="0" t="s">
        <v>173</v>
      </c>
      <c r="I237" s="0" t="s">
        <v>138</v>
      </c>
    </row>
    <row r="238" customFormat="false" ht="15" hidden="false" customHeight="false" outlineLevel="0" collapsed="false">
      <c r="A238" s="0" t="s">
        <v>169</v>
      </c>
      <c r="B238" s="0" t="s">
        <v>1218</v>
      </c>
      <c r="C238" s="0" t="s">
        <v>948</v>
      </c>
      <c r="D238" s="0" t="n">
        <v>13.08</v>
      </c>
      <c r="E238" s="0" t="s">
        <v>66</v>
      </c>
      <c r="F238" s="0" t="s">
        <v>1219</v>
      </c>
      <c r="G238" s="0" t="s">
        <v>1220</v>
      </c>
      <c r="H238" s="0" t="s">
        <v>173</v>
      </c>
      <c r="I238" s="0" t="s">
        <v>138</v>
      </c>
    </row>
    <row r="239" customFormat="false" ht="15" hidden="false" customHeight="false" outlineLevel="0" collapsed="false">
      <c r="A239" s="0" t="s">
        <v>169</v>
      </c>
      <c r="B239" s="0" t="s">
        <v>1221</v>
      </c>
      <c r="C239" s="0" t="s">
        <v>948</v>
      </c>
      <c r="D239" s="0" t="n">
        <v>27.27</v>
      </c>
      <c r="E239" s="0" t="s">
        <v>66</v>
      </c>
      <c r="F239" s="0" t="s">
        <v>1222</v>
      </c>
      <c r="G239" s="0" t="s">
        <v>1215</v>
      </c>
      <c r="H239" s="0" t="s">
        <v>173</v>
      </c>
      <c r="I239" s="0" t="s">
        <v>138</v>
      </c>
    </row>
    <row r="240" customFormat="false" ht="15" hidden="false" customHeight="false" outlineLevel="0" collapsed="false">
      <c r="A240" s="0" t="s">
        <v>169</v>
      </c>
      <c r="B240" s="0" t="s">
        <v>1223</v>
      </c>
      <c r="C240" s="0" t="s">
        <v>948</v>
      </c>
      <c r="D240" s="0" t="n">
        <v>9.84</v>
      </c>
      <c r="E240" s="0" t="s">
        <v>66</v>
      </c>
      <c r="F240" s="0" t="s">
        <v>1224</v>
      </c>
      <c r="G240" s="0" t="s">
        <v>1225</v>
      </c>
      <c r="H240" s="0" t="s">
        <v>173</v>
      </c>
      <c r="I240" s="0" t="s">
        <v>138</v>
      </c>
    </row>
    <row r="241" customFormat="false" ht="15" hidden="false" customHeight="false" outlineLevel="0" collapsed="false">
      <c r="A241" s="0" t="s">
        <v>169</v>
      </c>
      <c r="B241" s="0" t="s">
        <v>1226</v>
      </c>
      <c r="C241" s="0" t="s">
        <v>948</v>
      </c>
      <c r="D241" s="0" t="n">
        <v>27.27</v>
      </c>
      <c r="E241" s="0" t="s">
        <v>66</v>
      </c>
      <c r="F241" s="0" t="s">
        <v>1227</v>
      </c>
      <c r="G241" s="0" t="s">
        <v>1228</v>
      </c>
      <c r="H241" s="0" t="s">
        <v>173</v>
      </c>
      <c r="I241" s="0" t="s">
        <v>138</v>
      </c>
    </row>
    <row r="242" customFormat="false" ht="15" hidden="false" customHeight="false" outlineLevel="0" collapsed="false">
      <c r="A242" s="0" t="s">
        <v>169</v>
      </c>
      <c r="B242" s="0" t="s">
        <v>1158</v>
      </c>
      <c r="C242" s="0" t="s">
        <v>934</v>
      </c>
      <c r="D242" s="0" t="n">
        <v>7.09</v>
      </c>
      <c r="E242" s="0" t="s">
        <v>66</v>
      </c>
      <c r="F242" s="0" t="s">
        <v>1229</v>
      </c>
      <c r="G242" s="0" t="s">
        <v>1230</v>
      </c>
      <c r="H242" s="0" t="s">
        <v>173</v>
      </c>
      <c r="I242" s="0" t="s">
        <v>138</v>
      </c>
    </row>
    <row r="243" customFormat="false" ht="15" hidden="false" customHeight="false" outlineLevel="0" collapsed="false">
      <c r="A243" s="0" t="s">
        <v>169</v>
      </c>
      <c r="B243" s="0" t="s">
        <v>1161</v>
      </c>
      <c r="C243" s="0" t="s">
        <v>934</v>
      </c>
      <c r="D243" s="0" t="n">
        <v>5.32</v>
      </c>
      <c r="E243" s="0" t="s">
        <v>66</v>
      </c>
      <c r="F243" s="0" t="s">
        <v>1162</v>
      </c>
      <c r="G243" s="0" t="s">
        <v>1231</v>
      </c>
      <c r="H243" s="0" t="s">
        <v>173</v>
      </c>
      <c r="I243" s="0" t="s">
        <v>138</v>
      </c>
    </row>
    <row r="244" customFormat="false" ht="15" hidden="false" customHeight="false" outlineLevel="0" collapsed="false">
      <c r="A244" s="0" t="s">
        <v>169</v>
      </c>
      <c r="B244" s="0" t="s">
        <v>1232</v>
      </c>
      <c r="C244" s="0" t="s">
        <v>934</v>
      </c>
      <c r="D244" s="0" t="n">
        <v>34.3</v>
      </c>
      <c r="E244" s="0" t="s">
        <v>66</v>
      </c>
      <c r="F244" s="0" t="s">
        <v>1233</v>
      </c>
      <c r="G244" s="0" t="s">
        <v>1234</v>
      </c>
      <c r="H244" s="0" t="s">
        <v>173</v>
      </c>
      <c r="I244" s="0" t="s">
        <v>138</v>
      </c>
    </row>
    <row r="245" customFormat="false" ht="15" hidden="false" customHeight="false" outlineLevel="0" collapsed="false">
      <c r="A245" s="0" t="s">
        <v>176</v>
      </c>
      <c r="B245" s="0" t="s">
        <v>1235</v>
      </c>
      <c r="C245" s="0" t="s">
        <v>934</v>
      </c>
      <c r="D245" s="0" t="n">
        <v>184.5</v>
      </c>
      <c r="E245" s="0" t="s">
        <v>66</v>
      </c>
      <c r="F245" s="0" t="s">
        <v>1236</v>
      </c>
      <c r="G245" s="0" t="s">
        <v>1237</v>
      </c>
      <c r="H245" s="0" t="s">
        <v>180</v>
      </c>
      <c r="I245" s="0" t="s">
        <v>138</v>
      </c>
    </row>
    <row r="246" customFormat="false" ht="15" hidden="false" customHeight="false" outlineLevel="0" collapsed="false">
      <c r="A246" s="0" t="s">
        <v>176</v>
      </c>
      <c r="B246" s="0" t="s">
        <v>1238</v>
      </c>
      <c r="C246" s="0" t="s">
        <v>934</v>
      </c>
      <c r="D246" s="0" t="n">
        <v>6.93</v>
      </c>
      <c r="E246" s="0" t="s">
        <v>66</v>
      </c>
      <c r="F246" s="0" t="s">
        <v>1239</v>
      </c>
      <c r="G246" s="0" t="s">
        <v>1240</v>
      </c>
      <c r="H246" s="0" t="s">
        <v>180</v>
      </c>
      <c r="I246" s="0" t="s">
        <v>138</v>
      </c>
    </row>
    <row r="247" customFormat="false" ht="15" hidden="false" customHeight="false" outlineLevel="0" collapsed="false">
      <c r="A247" s="0" t="s">
        <v>176</v>
      </c>
      <c r="B247" s="0" t="s">
        <v>1241</v>
      </c>
      <c r="C247" s="0" t="s">
        <v>934</v>
      </c>
      <c r="D247" s="0" t="n">
        <v>6.93</v>
      </c>
      <c r="E247" s="0" t="s">
        <v>66</v>
      </c>
      <c r="F247" s="0" t="s">
        <v>1239</v>
      </c>
      <c r="G247" s="0" t="s">
        <v>1240</v>
      </c>
      <c r="H247" s="0" t="s">
        <v>180</v>
      </c>
      <c r="I247" s="0" t="s">
        <v>138</v>
      </c>
    </row>
    <row r="248" customFormat="false" ht="15" hidden="false" customHeight="false" outlineLevel="0" collapsed="false">
      <c r="A248" s="0" t="s">
        <v>176</v>
      </c>
      <c r="B248" s="0" t="s">
        <v>1242</v>
      </c>
      <c r="C248" s="0" t="s">
        <v>948</v>
      </c>
      <c r="D248" s="0" t="n">
        <v>106.6</v>
      </c>
      <c r="E248" s="0" t="s">
        <v>66</v>
      </c>
      <c r="F248" s="0" t="s">
        <v>1243</v>
      </c>
      <c r="G248" s="0" t="s">
        <v>1244</v>
      </c>
      <c r="H248" s="0" t="s">
        <v>180</v>
      </c>
      <c r="I248" s="0" t="s">
        <v>138</v>
      </c>
    </row>
    <row r="249" customFormat="false" ht="15" hidden="false" customHeight="false" outlineLevel="0" collapsed="false">
      <c r="A249" s="0" t="s">
        <v>176</v>
      </c>
      <c r="B249" s="0" t="s">
        <v>1242</v>
      </c>
      <c r="C249" s="0" t="s">
        <v>948</v>
      </c>
      <c r="D249" s="0" t="n">
        <v>106.6</v>
      </c>
      <c r="E249" s="0" t="s">
        <v>66</v>
      </c>
      <c r="F249" s="0" t="s">
        <v>1245</v>
      </c>
      <c r="G249" s="0" t="s">
        <v>1246</v>
      </c>
      <c r="H249" s="0" t="s">
        <v>180</v>
      </c>
      <c r="I249" s="0" t="s">
        <v>138</v>
      </c>
    </row>
    <row r="250" customFormat="false" ht="15" hidden="false" customHeight="false" outlineLevel="0" collapsed="false">
      <c r="A250" s="0" t="s">
        <v>176</v>
      </c>
      <c r="B250" s="0" t="s">
        <v>1247</v>
      </c>
      <c r="C250" s="0" t="s">
        <v>948</v>
      </c>
      <c r="D250" s="0" t="n">
        <v>53.3</v>
      </c>
      <c r="E250" s="0" t="s">
        <v>66</v>
      </c>
      <c r="F250" s="0" t="s">
        <v>1248</v>
      </c>
      <c r="G250" s="0" t="s">
        <v>1249</v>
      </c>
      <c r="H250" s="0" t="s">
        <v>180</v>
      </c>
      <c r="I250" s="0" t="s">
        <v>138</v>
      </c>
    </row>
    <row r="251" customFormat="false" ht="15" hidden="false" customHeight="false" outlineLevel="0" collapsed="false">
      <c r="A251" s="0" t="s">
        <v>176</v>
      </c>
      <c r="B251" s="0" t="s">
        <v>1158</v>
      </c>
      <c r="C251" s="0" t="s">
        <v>934</v>
      </c>
      <c r="D251" s="0" t="n">
        <v>13.87</v>
      </c>
      <c r="E251" s="0" t="s">
        <v>66</v>
      </c>
      <c r="F251" s="0" t="s">
        <v>1250</v>
      </c>
      <c r="G251" s="0" t="s">
        <v>1251</v>
      </c>
      <c r="H251" s="0" t="s">
        <v>180</v>
      </c>
      <c r="I251" s="0" t="s">
        <v>138</v>
      </c>
    </row>
    <row r="252" customFormat="false" ht="15" hidden="false" customHeight="false" outlineLevel="0" collapsed="false">
      <c r="A252" s="0" t="s">
        <v>176</v>
      </c>
      <c r="B252" s="0" t="s">
        <v>1161</v>
      </c>
      <c r="C252" s="0" t="s">
        <v>934</v>
      </c>
      <c r="D252" s="0" t="n">
        <v>20.8</v>
      </c>
      <c r="E252" s="0" t="s">
        <v>66</v>
      </c>
      <c r="F252" s="0" t="s">
        <v>1162</v>
      </c>
      <c r="G252" s="0" t="s">
        <v>1252</v>
      </c>
      <c r="H252" s="0" t="s">
        <v>180</v>
      </c>
      <c r="I252" s="0" t="s">
        <v>138</v>
      </c>
    </row>
    <row r="253" customFormat="false" ht="15" hidden="false" customHeight="false" outlineLevel="0" collapsed="false">
      <c r="A253" s="0" t="s">
        <v>176</v>
      </c>
      <c r="B253" s="0" t="s">
        <v>1253</v>
      </c>
      <c r="C253" s="0" t="s">
        <v>1254</v>
      </c>
      <c r="D253" s="2" t="s">
        <v>935</v>
      </c>
      <c r="E253" s="3" t="s">
        <v>690</v>
      </c>
      <c r="F253" s="3" t="s">
        <v>1255</v>
      </c>
      <c r="G253" s="3" t="s">
        <v>1256</v>
      </c>
      <c r="H253" s="3" t="s">
        <v>180</v>
      </c>
      <c r="I253" s="3" t="s">
        <v>138</v>
      </c>
    </row>
    <row r="254" customFormat="false" ht="15" hidden="false" customHeight="false" outlineLevel="0" collapsed="false">
      <c r="A254" s="0" t="s">
        <v>183</v>
      </c>
      <c r="B254" s="0" t="s">
        <v>1235</v>
      </c>
      <c r="C254" s="0" t="s">
        <v>934</v>
      </c>
      <c r="D254" s="0" t="n">
        <v>92.25</v>
      </c>
      <c r="E254" s="0" t="s">
        <v>66</v>
      </c>
      <c r="F254" s="0" t="s">
        <v>1236</v>
      </c>
      <c r="G254" s="0" t="s">
        <v>1257</v>
      </c>
      <c r="H254" s="0" t="s">
        <v>180</v>
      </c>
      <c r="I254" s="0" t="s">
        <v>138</v>
      </c>
    </row>
    <row r="255" customFormat="false" ht="15" hidden="false" customHeight="false" outlineLevel="0" collapsed="false">
      <c r="A255" s="0" t="s">
        <v>183</v>
      </c>
      <c r="B255" s="0" t="s">
        <v>1238</v>
      </c>
      <c r="C255" s="0" t="s">
        <v>934</v>
      </c>
      <c r="D255" s="0" t="n">
        <v>4.84</v>
      </c>
      <c r="E255" s="0" t="s">
        <v>66</v>
      </c>
      <c r="F255" s="0" t="s">
        <v>1239</v>
      </c>
      <c r="G255" s="0" t="s">
        <v>1258</v>
      </c>
      <c r="H255" s="0" t="s">
        <v>180</v>
      </c>
      <c r="I255" s="0" t="s">
        <v>138</v>
      </c>
    </row>
    <row r="256" customFormat="false" ht="15" hidden="false" customHeight="false" outlineLevel="0" collapsed="false">
      <c r="A256" s="0" t="s">
        <v>183</v>
      </c>
      <c r="B256" s="0" t="s">
        <v>1241</v>
      </c>
      <c r="C256" s="0" t="s">
        <v>934</v>
      </c>
      <c r="D256" s="0" t="n">
        <v>4.84</v>
      </c>
      <c r="E256" s="0" t="s">
        <v>66</v>
      </c>
      <c r="F256" s="0" t="s">
        <v>1239</v>
      </c>
      <c r="G256" s="0" t="s">
        <v>1258</v>
      </c>
      <c r="H256" s="0" t="s">
        <v>180</v>
      </c>
      <c r="I256" s="0" t="s">
        <v>138</v>
      </c>
    </row>
    <row r="257" customFormat="false" ht="15" hidden="false" customHeight="false" outlineLevel="0" collapsed="false">
      <c r="A257" s="0" t="s">
        <v>183</v>
      </c>
      <c r="B257" s="0" t="s">
        <v>1242</v>
      </c>
      <c r="C257" s="0" t="s">
        <v>948</v>
      </c>
      <c r="D257" s="0" t="n">
        <v>74.42</v>
      </c>
      <c r="E257" s="0" t="s">
        <v>66</v>
      </c>
      <c r="F257" s="0" t="s">
        <v>1243</v>
      </c>
      <c r="G257" s="0" t="s">
        <v>1259</v>
      </c>
      <c r="H257" s="0" t="s">
        <v>180</v>
      </c>
      <c r="I257" s="0" t="s">
        <v>138</v>
      </c>
    </row>
    <row r="258" customFormat="false" ht="15" hidden="false" customHeight="false" outlineLevel="0" collapsed="false">
      <c r="A258" s="0" t="s">
        <v>183</v>
      </c>
      <c r="B258" s="0" t="s">
        <v>1242</v>
      </c>
      <c r="C258" s="0" t="s">
        <v>948</v>
      </c>
      <c r="D258" s="0" t="n">
        <v>74.42</v>
      </c>
      <c r="E258" s="0" t="s">
        <v>66</v>
      </c>
      <c r="F258" s="0" t="s">
        <v>1245</v>
      </c>
      <c r="G258" s="0" t="s">
        <v>1260</v>
      </c>
      <c r="H258" s="0" t="s">
        <v>180</v>
      </c>
      <c r="I258" s="0" t="s">
        <v>138</v>
      </c>
    </row>
    <row r="259" customFormat="false" ht="15" hidden="false" customHeight="false" outlineLevel="0" collapsed="false">
      <c r="A259" s="0" t="s">
        <v>183</v>
      </c>
      <c r="B259" s="0" t="s">
        <v>1247</v>
      </c>
      <c r="C259" s="0" t="s">
        <v>948</v>
      </c>
      <c r="D259" s="0" t="n">
        <v>37.21</v>
      </c>
      <c r="E259" s="0" t="s">
        <v>66</v>
      </c>
      <c r="F259" s="0" t="s">
        <v>1248</v>
      </c>
      <c r="G259" s="0" t="s">
        <v>1261</v>
      </c>
      <c r="H259" s="0" t="s">
        <v>180</v>
      </c>
      <c r="I259" s="0" t="s">
        <v>138</v>
      </c>
    </row>
    <row r="260" customFormat="false" ht="15" hidden="false" customHeight="false" outlineLevel="0" collapsed="false">
      <c r="A260" s="0" t="s">
        <v>183</v>
      </c>
      <c r="B260" s="0" t="s">
        <v>1158</v>
      </c>
      <c r="C260" s="0" t="s">
        <v>934</v>
      </c>
      <c r="D260" s="0" t="n">
        <v>9.68</v>
      </c>
      <c r="E260" s="0" t="s">
        <v>66</v>
      </c>
      <c r="F260" s="0" t="s">
        <v>1250</v>
      </c>
      <c r="G260" s="0" t="s">
        <v>1262</v>
      </c>
      <c r="H260" s="0" t="s">
        <v>180</v>
      </c>
      <c r="I260" s="0" t="s">
        <v>138</v>
      </c>
    </row>
    <row r="261" customFormat="false" ht="15" hidden="false" customHeight="false" outlineLevel="0" collapsed="false">
      <c r="A261" s="0" t="s">
        <v>183</v>
      </c>
      <c r="B261" s="0" t="s">
        <v>1161</v>
      </c>
      <c r="C261" s="0" t="s">
        <v>934</v>
      </c>
      <c r="D261" s="0" t="n">
        <v>14.52</v>
      </c>
      <c r="E261" s="0" t="s">
        <v>66</v>
      </c>
      <c r="F261" s="0" t="s">
        <v>1162</v>
      </c>
      <c r="G261" s="0" t="s">
        <v>1263</v>
      </c>
      <c r="H261" s="0" t="s">
        <v>180</v>
      </c>
      <c r="I261" s="0" t="s">
        <v>138</v>
      </c>
    </row>
    <row r="262" customFormat="false" ht="15" hidden="false" customHeight="false" outlineLevel="0" collapsed="false">
      <c r="A262" s="0" t="s">
        <v>183</v>
      </c>
      <c r="B262" s="0" t="s">
        <v>1253</v>
      </c>
      <c r="C262" s="0" t="s">
        <v>1254</v>
      </c>
      <c r="D262" s="2" t="s">
        <v>935</v>
      </c>
      <c r="E262" s="3" t="s">
        <v>690</v>
      </c>
      <c r="F262" s="3" t="s">
        <v>1255</v>
      </c>
      <c r="G262" s="3" t="s">
        <v>1256</v>
      </c>
      <c r="H262" s="3" t="s">
        <v>180</v>
      </c>
      <c r="I262" s="3" t="s">
        <v>138</v>
      </c>
    </row>
    <row r="263" customFormat="false" ht="15" hidden="false" customHeight="false" outlineLevel="0" collapsed="false">
      <c r="A263" s="0" t="s">
        <v>186</v>
      </c>
      <c r="B263" s="0" t="s">
        <v>1235</v>
      </c>
      <c r="C263" s="0" t="s">
        <v>934</v>
      </c>
      <c r="D263" s="0" t="n">
        <v>184.5</v>
      </c>
      <c r="E263" s="0" t="s">
        <v>66</v>
      </c>
      <c r="F263" s="0" t="s">
        <v>1236</v>
      </c>
      <c r="G263" s="0" t="s">
        <v>1264</v>
      </c>
      <c r="H263" s="0" t="s">
        <v>180</v>
      </c>
      <c r="I263" s="0" t="s">
        <v>138</v>
      </c>
    </row>
    <row r="264" customFormat="false" ht="15" hidden="false" customHeight="false" outlineLevel="0" collapsed="false">
      <c r="A264" s="0" t="s">
        <v>186</v>
      </c>
      <c r="B264" s="0" t="s">
        <v>1238</v>
      </c>
      <c r="C264" s="0" t="s">
        <v>934</v>
      </c>
      <c r="D264" s="0" t="n">
        <v>6.51</v>
      </c>
      <c r="E264" s="0" t="s">
        <v>66</v>
      </c>
      <c r="F264" s="0" t="s">
        <v>1239</v>
      </c>
      <c r="G264" s="0" t="s">
        <v>1265</v>
      </c>
      <c r="H264" s="0" t="s">
        <v>180</v>
      </c>
      <c r="I264" s="0" t="s">
        <v>138</v>
      </c>
    </row>
    <row r="265" customFormat="false" ht="15" hidden="false" customHeight="false" outlineLevel="0" collapsed="false">
      <c r="A265" s="0" t="s">
        <v>186</v>
      </c>
      <c r="B265" s="0" t="s">
        <v>1241</v>
      </c>
      <c r="C265" s="0" t="s">
        <v>934</v>
      </c>
      <c r="D265" s="0" t="n">
        <v>6.51</v>
      </c>
      <c r="E265" s="0" t="s">
        <v>66</v>
      </c>
      <c r="F265" s="0" t="s">
        <v>1239</v>
      </c>
      <c r="G265" s="0" t="s">
        <v>1265</v>
      </c>
      <c r="H265" s="0" t="s">
        <v>180</v>
      </c>
      <c r="I265" s="0" t="s">
        <v>138</v>
      </c>
    </row>
    <row r="266" customFormat="false" ht="15" hidden="false" customHeight="false" outlineLevel="0" collapsed="false">
      <c r="A266" s="0" t="s">
        <v>186</v>
      </c>
      <c r="B266" s="0" t="s">
        <v>1242</v>
      </c>
      <c r="C266" s="0" t="s">
        <v>948</v>
      </c>
      <c r="D266" s="0" t="n">
        <v>100.04</v>
      </c>
      <c r="E266" s="0" t="s">
        <v>66</v>
      </c>
      <c r="F266" s="0" t="s">
        <v>1243</v>
      </c>
      <c r="G266" s="0" t="s">
        <v>1266</v>
      </c>
      <c r="H266" s="0" t="s">
        <v>180</v>
      </c>
      <c r="I266" s="0" t="s">
        <v>138</v>
      </c>
    </row>
    <row r="267" customFormat="false" ht="15" hidden="false" customHeight="false" outlineLevel="0" collapsed="false">
      <c r="A267" s="0" t="s">
        <v>186</v>
      </c>
      <c r="B267" s="0" t="s">
        <v>1242</v>
      </c>
      <c r="C267" s="0" t="s">
        <v>948</v>
      </c>
      <c r="D267" s="0" t="n">
        <v>100.04</v>
      </c>
      <c r="E267" s="0" t="s">
        <v>66</v>
      </c>
      <c r="F267" s="0" t="s">
        <v>1245</v>
      </c>
      <c r="G267" s="0" t="s">
        <v>1267</v>
      </c>
      <c r="H267" s="0" t="s">
        <v>180</v>
      </c>
      <c r="I267" s="0" t="s">
        <v>138</v>
      </c>
    </row>
    <row r="268" customFormat="false" ht="15" hidden="false" customHeight="false" outlineLevel="0" collapsed="false">
      <c r="A268" s="0" t="s">
        <v>186</v>
      </c>
      <c r="B268" s="0" t="s">
        <v>1247</v>
      </c>
      <c r="C268" s="0" t="s">
        <v>948</v>
      </c>
      <c r="D268" s="0" t="n">
        <v>50.02</v>
      </c>
      <c r="E268" s="0" t="s">
        <v>66</v>
      </c>
      <c r="F268" s="0" t="s">
        <v>1248</v>
      </c>
      <c r="G268" s="0" t="s">
        <v>1268</v>
      </c>
      <c r="H268" s="0" t="s">
        <v>180</v>
      </c>
      <c r="I268" s="0" t="s">
        <v>138</v>
      </c>
    </row>
    <row r="269" customFormat="false" ht="15" hidden="false" customHeight="false" outlineLevel="0" collapsed="false">
      <c r="A269" s="0" t="s">
        <v>186</v>
      </c>
      <c r="B269" s="0" t="s">
        <v>1158</v>
      </c>
      <c r="C269" s="0" t="s">
        <v>934</v>
      </c>
      <c r="D269" s="0" t="n">
        <v>13.01</v>
      </c>
      <c r="E269" s="0" t="s">
        <v>66</v>
      </c>
      <c r="F269" s="0" t="s">
        <v>1250</v>
      </c>
      <c r="G269" s="0" t="s">
        <v>1269</v>
      </c>
      <c r="H269" s="0" t="s">
        <v>180</v>
      </c>
      <c r="I269" s="0" t="s">
        <v>138</v>
      </c>
    </row>
    <row r="270" customFormat="false" ht="15" hidden="false" customHeight="false" outlineLevel="0" collapsed="false">
      <c r="A270" s="0" t="s">
        <v>186</v>
      </c>
      <c r="B270" s="0" t="s">
        <v>1161</v>
      </c>
      <c r="C270" s="0" t="s">
        <v>934</v>
      </c>
      <c r="D270" s="0" t="n">
        <v>19.52</v>
      </c>
      <c r="E270" s="0" t="s">
        <v>66</v>
      </c>
      <c r="F270" s="0" t="s">
        <v>1162</v>
      </c>
      <c r="G270" s="0" t="s">
        <v>1270</v>
      </c>
      <c r="H270" s="0" t="s">
        <v>180</v>
      </c>
      <c r="I270" s="0" t="s">
        <v>138</v>
      </c>
    </row>
    <row r="271" customFormat="false" ht="15" hidden="false" customHeight="false" outlineLevel="0" collapsed="false">
      <c r="A271" s="0" t="s">
        <v>186</v>
      </c>
      <c r="B271" s="0" t="s">
        <v>1253</v>
      </c>
      <c r="C271" s="0" t="s">
        <v>1254</v>
      </c>
      <c r="D271" s="2" t="s">
        <v>935</v>
      </c>
      <c r="E271" s="3" t="s">
        <v>690</v>
      </c>
      <c r="F271" s="3" t="s">
        <v>1255</v>
      </c>
      <c r="G271" s="3" t="s">
        <v>1256</v>
      </c>
      <c r="H271" s="3" t="s">
        <v>180</v>
      </c>
      <c r="I271" s="3" t="s">
        <v>138</v>
      </c>
    </row>
    <row r="272" customFormat="false" ht="15" hidden="false" customHeight="false" outlineLevel="0" collapsed="false">
      <c r="A272" s="0" t="s">
        <v>190</v>
      </c>
      <c r="B272" s="0" t="s">
        <v>1235</v>
      </c>
      <c r="C272" s="0" t="s">
        <v>934</v>
      </c>
      <c r="D272" s="0" t="n">
        <v>184.5</v>
      </c>
      <c r="E272" s="0" t="s">
        <v>66</v>
      </c>
      <c r="F272" s="0" t="s">
        <v>1236</v>
      </c>
      <c r="G272" s="0" t="s">
        <v>1264</v>
      </c>
      <c r="H272" s="0" t="s">
        <v>180</v>
      </c>
      <c r="I272" s="0" t="s">
        <v>138</v>
      </c>
    </row>
    <row r="273" customFormat="false" ht="15" hidden="false" customHeight="false" outlineLevel="0" collapsed="false">
      <c r="A273" s="0" t="s">
        <v>190</v>
      </c>
      <c r="B273" s="0" t="s">
        <v>1238</v>
      </c>
      <c r="C273" s="0" t="s">
        <v>934</v>
      </c>
      <c r="D273" s="0" t="n">
        <v>6.51</v>
      </c>
      <c r="E273" s="0" t="s">
        <v>66</v>
      </c>
      <c r="F273" s="0" t="s">
        <v>1239</v>
      </c>
      <c r="G273" s="0" t="s">
        <v>1271</v>
      </c>
      <c r="H273" s="0" t="s">
        <v>180</v>
      </c>
      <c r="I273" s="0" t="s">
        <v>138</v>
      </c>
    </row>
    <row r="274" customFormat="false" ht="15" hidden="false" customHeight="false" outlineLevel="0" collapsed="false">
      <c r="A274" s="0" t="s">
        <v>190</v>
      </c>
      <c r="B274" s="0" t="s">
        <v>1241</v>
      </c>
      <c r="C274" s="0" t="s">
        <v>934</v>
      </c>
      <c r="D274" s="0" t="n">
        <v>6.51</v>
      </c>
      <c r="E274" s="0" t="s">
        <v>66</v>
      </c>
      <c r="F274" s="0" t="s">
        <v>1239</v>
      </c>
      <c r="G274" s="0" t="s">
        <v>1271</v>
      </c>
      <c r="H274" s="0" t="s">
        <v>180</v>
      </c>
      <c r="I274" s="0" t="s">
        <v>138</v>
      </c>
    </row>
    <row r="275" customFormat="false" ht="15" hidden="false" customHeight="false" outlineLevel="0" collapsed="false">
      <c r="A275" s="0" t="s">
        <v>190</v>
      </c>
      <c r="B275" s="0" t="s">
        <v>1242</v>
      </c>
      <c r="C275" s="0" t="s">
        <v>948</v>
      </c>
      <c r="D275" s="0" t="n">
        <v>100.04</v>
      </c>
      <c r="E275" s="0" t="s">
        <v>66</v>
      </c>
      <c r="F275" s="0" t="s">
        <v>1243</v>
      </c>
      <c r="G275" s="0" t="s">
        <v>1266</v>
      </c>
      <c r="H275" s="0" t="s">
        <v>180</v>
      </c>
      <c r="I275" s="0" t="s">
        <v>138</v>
      </c>
    </row>
    <row r="276" customFormat="false" ht="15" hidden="false" customHeight="false" outlineLevel="0" collapsed="false">
      <c r="A276" s="0" t="s">
        <v>190</v>
      </c>
      <c r="B276" s="0" t="s">
        <v>1242</v>
      </c>
      <c r="C276" s="0" t="s">
        <v>948</v>
      </c>
      <c r="D276" s="0" t="n">
        <v>100.04</v>
      </c>
      <c r="E276" s="0" t="s">
        <v>66</v>
      </c>
      <c r="F276" s="0" t="s">
        <v>1245</v>
      </c>
      <c r="G276" s="0" t="s">
        <v>1272</v>
      </c>
      <c r="H276" s="0" t="s">
        <v>180</v>
      </c>
      <c r="I276" s="0" t="s">
        <v>138</v>
      </c>
    </row>
    <row r="277" customFormat="false" ht="15" hidden="false" customHeight="false" outlineLevel="0" collapsed="false">
      <c r="A277" s="0" t="s">
        <v>190</v>
      </c>
      <c r="B277" s="0" t="s">
        <v>1247</v>
      </c>
      <c r="C277" s="0" t="s">
        <v>948</v>
      </c>
      <c r="D277" s="0" t="n">
        <v>50.02</v>
      </c>
      <c r="E277" s="0" t="s">
        <v>66</v>
      </c>
      <c r="F277" s="0" t="s">
        <v>1248</v>
      </c>
      <c r="G277" s="0" t="s">
        <v>1268</v>
      </c>
      <c r="H277" s="0" t="s">
        <v>180</v>
      </c>
      <c r="I277" s="0" t="s">
        <v>138</v>
      </c>
    </row>
    <row r="278" customFormat="false" ht="15" hidden="false" customHeight="false" outlineLevel="0" collapsed="false">
      <c r="A278" s="0" t="s">
        <v>190</v>
      </c>
      <c r="B278" s="0" t="s">
        <v>1158</v>
      </c>
      <c r="C278" s="0" t="s">
        <v>934</v>
      </c>
      <c r="D278" s="0" t="n">
        <v>13.01</v>
      </c>
      <c r="E278" s="0" t="s">
        <v>66</v>
      </c>
      <c r="F278" s="0" t="s">
        <v>1250</v>
      </c>
      <c r="G278" s="0" t="s">
        <v>1269</v>
      </c>
      <c r="H278" s="0" t="s">
        <v>180</v>
      </c>
      <c r="I278" s="0" t="s">
        <v>138</v>
      </c>
    </row>
    <row r="279" customFormat="false" ht="15" hidden="false" customHeight="false" outlineLevel="0" collapsed="false">
      <c r="A279" s="0" t="s">
        <v>190</v>
      </c>
      <c r="B279" s="0" t="s">
        <v>1161</v>
      </c>
      <c r="C279" s="0" t="s">
        <v>934</v>
      </c>
      <c r="D279" s="0" t="n">
        <v>19.52</v>
      </c>
      <c r="E279" s="0" t="s">
        <v>66</v>
      </c>
      <c r="F279" s="0" t="s">
        <v>1162</v>
      </c>
      <c r="G279" s="0" t="s">
        <v>1270</v>
      </c>
      <c r="H279" s="0" t="s">
        <v>180</v>
      </c>
      <c r="I279" s="0" t="s">
        <v>138</v>
      </c>
    </row>
    <row r="280" customFormat="false" ht="15" hidden="false" customHeight="false" outlineLevel="0" collapsed="false">
      <c r="A280" s="0" t="s">
        <v>190</v>
      </c>
      <c r="B280" s="0" t="s">
        <v>1253</v>
      </c>
      <c r="C280" s="0" t="s">
        <v>1254</v>
      </c>
      <c r="D280" s="2" t="s">
        <v>935</v>
      </c>
      <c r="E280" s="3" t="s">
        <v>690</v>
      </c>
      <c r="F280" s="3" t="s">
        <v>1255</v>
      </c>
      <c r="G280" s="3" t="s">
        <v>1256</v>
      </c>
      <c r="H280" s="3" t="s">
        <v>180</v>
      </c>
      <c r="I280" s="3" t="s">
        <v>138</v>
      </c>
    </row>
    <row r="281" customFormat="false" ht="15" hidden="false" customHeight="false" outlineLevel="0" collapsed="false">
      <c r="A281" s="0" t="s">
        <v>194</v>
      </c>
      <c r="B281" s="0" t="s">
        <v>1235</v>
      </c>
      <c r="C281" s="0" t="s">
        <v>934</v>
      </c>
      <c r="D281" s="0" t="n">
        <v>307.5</v>
      </c>
      <c r="E281" s="0" t="s">
        <v>66</v>
      </c>
      <c r="F281" s="0" t="s">
        <v>1236</v>
      </c>
      <c r="G281" s="0" t="s">
        <v>1273</v>
      </c>
      <c r="H281" s="0" t="s">
        <v>180</v>
      </c>
      <c r="I281" s="0" t="s">
        <v>138</v>
      </c>
    </row>
    <row r="282" customFormat="false" ht="15" hidden="false" customHeight="false" outlineLevel="0" collapsed="false">
      <c r="A282" s="0" t="s">
        <v>194</v>
      </c>
      <c r="B282" s="0" t="s">
        <v>1238</v>
      </c>
      <c r="C282" s="0" t="s">
        <v>934</v>
      </c>
      <c r="D282" s="0" t="n">
        <v>21.67</v>
      </c>
      <c r="E282" s="0" t="s">
        <v>66</v>
      </c>
      <c r="F282" s="0" t="s">
        <v>1239</v>
      </c>
      <c r="G282" s="0" t="s">
        <v>1274</v>
      </c>
      <c r="H282" s="0" t="s">
        <v>180</v>
      </c>
      <c r="I282" s="0" t="s">
        <v>138</v>
      </c>
    </row>
    <row r="283" customFormat="false" ht="15" hidden="false" customHeight="false" outlineLevel="0" collapsed="false">
      <c r="A283" s="0" t="s">
        <v>194</v>
      </c>
      <c r="B283" s="0" t="s">
        <v>1241</v>
      </c>
      <c r="C283" s="0" t="s">
        <v>934</v>
      </c>
      <c r="D283" s="0" t="n">
        <v>21.67</v>
      </c>
      <c r="E283" s="0" t="s">
        <v>66</v>
      </c>
      <c r="F283" s="0" t="s">
        <v>1239</v>
      </c>
      <c r="G283" s="0" t="s">
        <v>1274</v>
      </c>
      <c r="H283" s="0" t="s">
        <v>180</v>
      </c>
      <c r="I283" s="0" t="s">
        <v>138</v>
      </c>
    </row>
    <row r="284" customFormat="false" ht="15" hidden="false" customHeight="false" outlineLevel="0" collapsed="false">
      <c r="A284" s="0" t="s">
        <v>194</v>
      </c>
      <c r="B284" s="0" t="s">
        <v>1242</v>
      </c>
      <c r="C284" s="0" t="s">
        <v>948</v>
      </c>
      <c r="D284" s="0" t="n">
        <v>333.13</v>
      </c>
      <c r="E284" s="0" t="s">
        <v>66</v>
      </c>
      <c r="F284" s="0" t="s">
        <v>1243</v>
      </c>
      <c r="G284" s="0" t="s">
        <v>1275</v>
      </c>
      <c r="H284" s="0" t="s">
        <v>180</v>
      </c>
      <c r="I284" s="0" t="s">
        <v>138</v>
      </c>
    </row>
    <row r="285" customFormat="false" ht="15" hidden="false" customHeight="false" outlineLevel="0" collapsed="false">
      <c r="A285" s="0" t="s">
        <v>194</v>
      </c>
      <c r="B285" s="0" t="s">
        <v>1242</v>
      </c>
      <c r="C285" s="0" t="s">
        <v>948</v>
      </c>
      <c r="D285" s="0" t="n">
        <v>333.13</v>
      </c>
      <c r="E285" s="0" t="s">
        <v>66</v>
      </c>
      <c r="F285" s="0" t="s">
        <v>1245</v>
      </c>
      <c r="G285" s="0" t="s">
        <v>1276</v>
      </c>
      <c r="H285" s="0" t="s">
        <v>180</v>
      </c>
      <c r="I285" s="0" t="s">
        <v>138</v>
      </c>
    </row>
    <row r="286" customFormat="false" ht="15" hidden="false" customHeight="false" outlineLevel="0" collapsed="false">
      <c r="A286" s="0" t="s">
        <v>194</v>
      </c>
      <c r="B286" s="0" t="s">
        <v>1247</v>
      </c>
      <c r="C286" s="0" t="s">
        <v>948</v>
      </c>
      <c r="D286" s="0" t="n">
        <v>166.56</v>
      </c>
      <c r="E286" s="0" t="s">
        <v>66</v>
      </c>
      <c r="F286" s="0" t="s">
        <v>1248</v>
      </c>
      <c r="G286" s="0" t="s">
        <v>1277</v>
      </c>
      <c r="H286" s="0" t="s">
        <v>180</v>
      </c>
      <c r="I286" s="0" t="s">
        <v>138</v>
      </c>
    </row>
    <row r="287" customFormat="false" ht="15" hidden="false" customHeight="false" outlineLevel="0" collapsed="false">
      <c r="A287" s="0" t="s">
        <v>194</v>
      </c>
      <c r="B287" s="0" t="s">
        <v>1158</v>
      </c>
      <c r="C287" s="0" t="s">
        <v>934</v>
      </c>
      <c r="D287" s="0" t="n">
        <v>43.33</v>
      </c>
      <c r="E287" s="0" t="s">
        <v>66</v>
      </c>
      <c r="F287" s="0" t="s">
        <v>1250</v>
      </c>
      <c r="G287" s="0" t="s">
        <v>1278</v>
      </c>
      <c r="H287" s="0" t="s">
        <v>180</v>
      </c>
      <c r="I287" s="0" t="s">
        <v>138</v>
      </c>
    </row>
    <row r="288" customFormat="false" ht="15" hidden="false" customHeight="false" outlineLevel="0" collapsed="false">
      <c r="A288" s="0" t="s">
        <v>194</v>
      </c>
      <c r="B288" s="0" t="s">
        <v>1161</v>
      </c>
      <c r="C288" s="0" t="s">
        <v>934</v>
      </c>
      <c r="D288" s="0" t="n">
        <v>65</v>
      </c>
      <c r="E288" s="0" t="s">
        <v>66</v>
      </c>
      <c r="F288" s="0" t="s">
        <v>1162</v>
      </c>
      <c r="G288" s="0" t="s">
        <v>1279</v>
      </c>
      <c r="H288" s="0" t="s">
        <v>180</v>
      </c>
      <c r="I288" s="0" t="s">
        <v>138</v>
      </c>
    </row>
    <row r="289" customFormat="false" ht="15" hidden="false" customHeight="false" outlineLevel="0" collapsed="false">
      <c r="A289" s="0" t="s">
        <v>194</v>
      </c>
      <c r="B289" s="0" t="s">
        <v>1253</v>
      </c>
      <c r="C289" s="0" t="s">
        <v>1254</v>
      </c>
      <c r="D289" s="2" t="s">
        <v>935</v>
      </c>
      <c r="E289" s="3" t="s">
        <v>690</v>
      </c>
      <c r="F289" s="3" t="s">
        <v>1255</v>
      </c>
      <c r="G289" s="3" t="s">
        <v>1256</v>
      </c>
      <c r="H289" s="3" t="s">
        <v>180</v>
      </c>
      <c r="I289" s="3" t="s">
        <v>138</v>
      </c>
    </row>
    <row r="290" customFormat="false" ht="15" hidden="false" customHeight="false" outlineLevel="0" collapsed="false">
      <c r="A290" s="0" t="s">
        <v>198</v>
      </c>
      <c r="B290" s="0" t="s">
        <v>1235</v>
      </c>
      <c r="C290" s="0" t="s">
        <v>934</v>
      </c>
      <c r="D290" s="0" t="n">
        <v>307.5</v>
      </c>
      <c r="E290" s="0" t="s">
        <v>66</v>
      </c>
      <c r="F290" s="0" t="s">
        <v>1236</v>
      </c>
      <c r="G290" s="0" t="s">
        <v>1273</v>
      </c>
      <c r="H290" s="0" t="s">
        <v>180</v>
      </c>
      <c r="I290" s="0" t="s">
        <v>138</v>
      </c>
    </row>
    <row r="291" customFormat="false" ht="15" hidden="false" customHeight="false" outlineLevel="0" collapsed="false">
      <c r="A291" s="0" t="s">
        <v>198</v>
      </c>
      <c r="B291" s="0" t="s">
        <v>1238</v>
      </c>
      <c r="C291" s="0" t="s">
        <v>934</v>
      </c>
      <c r="D291" s="0" t="n">
        <v>21.67</v>
      </c>
      <c r="E291" s="0" t="s">
        <v>66</v>
      </c>
      <c r="F291" s="0" t="s">
        <v>1239</v>
      </c>
      <c r="G291" s="0" t="s">
        <v>1280</v>
      </c>
      <c r="H291" s="0" t="s">
        <v>180</v>
      </c>
      <c r="I291" s="0" t="s">
        <v>138</v>
      </c>
    </row>
    <row r="292" customFormat="false" ht="15" hidden="false" customHeight="false" outlineLevel="0" collapsed="false">
      <c r="A292" s="0" t="s">
        <v>198</v>
      </c>
      <c r="B292" s="0" t="s">
        <v>1241</v>
      </c>
      <c r="C292" s="0" t="s">
        <v>934</v>
      </c>
      <c r="D292" s="0" t="n">
        <v>21.67</v>
      </c>
      <c r="E292" s="0" t="s">
        <v>66</v>
      </c>
      <c r="F292" s="0" t="s">
        <v>1239</v>
      </c>
      <c r="G292" s="0" t="s">
        <v>1280</v>
      </c>
      <c r="H292" s="0" t="s">
        <v>180</v>
      </c>
      <c r="I292" s="0" t="s">
        <v>138</v>
      </c>
    </row>
    <row r="293" customFormat="false" ht="15" hidden="false" customHeight="false" outlineLevel="0" collapsed="false">
      <c r="A293" s="0" t="s">
        <v>198</v>
      </c>
      <c r="B293" s="0" t="s">
        <v>1242</v>
      </c>
      <c r="C293" s="0" t="s">
        <v>948</v>
      </c>
      <c r="D293" s="0" t="n">
        <v>333.13</v>
      </c>
      <c r="E293" s="0" t="s">
        <v>66</v>
      </c>
      <c r="F293" s="0" t="s">
        <v>1243</v>
      </c>
      <c r="G293" s="0" t="s">
        <v>1281</v>
      </c>
      <c r="H293" s="0" t="s">
        <v>180</v>
      </c>
      <c r="I293" s="0" t="s">
        <v>138</v>
      </c>
    </row>
    <row r="294" customFormat="false" ht="15" hidden="false" customHeight="false" outlineLevel="0" collapsed="false">
      <c r="A294" s="0" t="s">
        <v>198</v>
      </c>
      <c r="B294" s="0" t="s">
        <v>1242</v>
      </c>
      <c r="C294" s="0" t="s">
        <v>948</v>
      </c>
      <c r="D294" s="0" t="n">
        <v>333.13</v>
      </c>
      <c r="E294" s="0" t="s">
        <v>66</v>
      </c>
      <c r="F294" s="0" t="s">
        <v>1245</v>
      </c>
      <c r="G294" s="0" t="s">
        <v>1282</v>
      </c>
      <c r="H294" s="0" t="s">
        <v>180</v>
      </c>
      <c r="I294" s="0" t="s">
        <v>138</v>
      </c>
    </row>
    <row r="295" customFormat="false" ht="15" hidden="false" customHeight="false" outlineLevel="0" collapsed="false">
      <c r="A295" s="0" t="s">
        <v>198</v>
      </c>
      <c r="B295" s="0" t="s">
        <v>1247</v>
      </c>
      <c r="C295" s="0" t="s">
        <v>948</v>
      </c>
      <c r="D295" s="0" t="n">
        <v>166.56</v>
      </c>
      <c r="E295" s="0" t="s">
        <v>66</v>
      </c>
      <c r="F295" s="0" t="s">
        <v>1248</v>
      </c>
      <c r="G295" s="0" t="s">
        <v>1277</v>
      </c>
      <c r="H295" s="0" t="s">
        <v>180</v>
      </c>
      <c r="I295" s="0" t="s">
        <v>138</v>
      </c>
    </row>
    <row r="296" customFormat="false" ht="15" hidden="false" customHeight="false" outlineLevel="0" collapsed="false">
      <c r="A296" s="0" t="s">
        <v>198</v>
      </c>
      <c r="B296" s="0" t="s">
        <v>1158</v>
      </c>
      <c r="C296" s="0" t="s">
        <v>934</v>
      </c>
      <c r="D296" s="0" t="n">
        <v>43.33</v>
      </c>
      <c r="E296" s="0" t="s">
        <v>66</v>
      </c>
      <c r="F296" s="0" t="s">
        <v>1250</v>
      </c>
      <c r="G296" s="0" t="s">
        <v>1278</v>
      </c>
      <c r="H296" s="0" t="s">
        <v>180</v>
      </c>
      <c r="I296" s="0" t="s">
        <v>138</v>
      </c>
    </row>
    <row r="297" customFormat="false" ht="15" hidden="false" customHeight="false" outlineLevel="0" collapsed="false">
      <c r="A297" s="0" t="s">
        <v>198</v>
      </c>
      <c r="B297" s="0" t="s">
        <v>1161</v>
      </c>
      <c r="C297" s="0" t="s">
        <v>934</v>
      </c>
      <c r="D297" s="0" t="n">
        <v>65</v>
      </c>
      <c r="E297" s="0" t="s">
        <v>66</v>
      </c>
      <c r="F297" s="0" t="s">
        <v>1162</v>
      </c>
      <c r="G297" s="0" t="s">
        <v>1279</v>
      </c>
      <c r="H297" s="0" t="s">
        <v>180</v>
      </c>
      <c r="I297" s="0" t="s">
        <v>138</v>
      </c>
    </row>
    <row r="298" customFormat="false" ht="15" hidden="false" customHeight="false" outlineLevel="0" collapsed="false">
      <c r="A298" s="0" t="s">
        <v>198</v>
      </c>
      <c r="B298" s="0" t="s">
        <v>1253</v>
      </c>
      <c r="C298" s="0" t="s">
        <v>1254</v>
      </c>
      <c r="D298" s="2" t="s">
        <v>935</v>
      </c>
      <c r="E298" s="3" t="s">
        <v>690</v>
      </c>
      <c r="F298" s="3" t="s">
        <v>1255</v>
      </c>
      <c r="G298" s="3" t="s">
        <v>1256</v>
      </c>
      <c r="H298" s="3" t="s">
        <v>180</v>
      </c>
      <c r="I298" s="3" t="s">
        <v>138</v>
      </c>
    </row>
    <row r="299" customFormat="false" ht="15" hidden="false" customHeight="false" outlineLevel="0" collapsed="false">
      <c r="A299" s="0" t="s">
        <v>202</v>
      </c>
      <c r="B299" s="0" t="s">
        <v>1235</v>
      </c>
      <c r="C299" s="0" t="s">
        <v>934</v>
      </c>
      <c r="D299" s="0" t="n">
        <v>276.75</v>
      </c>
      <c r="E299" s="0" t="s">
        <v>66</v>
      </c>
      <c r="F299" s="0" t="s">
        <v>1236</v>
      </c>
      <c r="G299" s="0" t="s">
        <v>1283</v>
      </c>
      <c r="H299" s="0" t="s">
        <v>180</v>
      </c>
      <c r="I299" s="0" t="s">
        <v>138</v>
      </c>
    </row>
    <row r="300" customFormat="false" ht="15" hidden="false" customHeight="false" outlineLevel="0" collapsed="false">
      <c r="A300" s="0" t="s">
        <v>202</v>
      </c>
      <c r="B300" s="0" t="s">
        <v>1238</v>
      </c>
      <c r="C300" s="0" t="s">
        <v>934</v>
      </c>
      <c r="D300" s="0" t="n">
        <v>20.15</v>
      </c>
      <c r="E300" s="0" t="s">
        <v>66</v>
      </c>
      <c r="F300" s="0" t="s">
        <v>1239</v>
      </c>
      <c r="G300" s="0" t="s">
        <v>1284</v>
      </c>
      <c r="H300" s="0" t="s">
        <v>180</v>
      </c>
      <c r="I300" s="0" t="s">
        <v>138</v>
      </c>
    </row>
    <row r="301" customFormat="false" ht="15" hidden="false" customHeight="false" outlineLevel="0" collapsed="false">
      <c r="A301" s="0" t="s">
        <v>202</v>
      </c>
      <c r="B301" s="0" t="s">
        <v>1241</v>
      </c>
      <c r="C301" s="0" t="s">
        <v>934</v>
      </c>
      <c r="D301" s="0" t="n">
        <v>20.15</v>
      </c>
      <c r="E301" s="0" t="s">
        <v>66</v>
      </c>
      <c r="F301" s="0" t="s">
        <v>1239</v>
      </c>
      <c r="G301" s="0" t="s">
        <v>1284</v>
      </c>
      <c r="H301" s="0" t="s">
        <v>180</v>
      </c>
      <c r="I301" s="0" t="s">
        <v>138</v>
      </c>
    </row>
    <row r="302" customFormat="false" ht="15" hidden="false" customHeight="false" outlineLevel="0" collapsed="false">
      <c r="A302" s="0" t="s">
        <v>202</v>
      </c>
      <c r="B302" s="0" t="s">
        <v>1242</v>
      </c>
      <c r="C302" s="0" t="s">
        <v>948</v>
      </c>
      <c r="D302" s="0" t="n">
        <v>309.76</v>
      </c>
      <c r="E302" s="0" t="s">
        <v>66</v>
      </c>
      <c r="F302" s="0" t="s">
        <v>1243</v>
      </c>
      <c r="G302" s="0" t="s">
        <v>1285</v>
      </c>
      <c r="H302" s="0" t="s">
        <v>180</v>
      </c>
      <c r="I302" s="0" t="s">
        <v>138</v>
      </c>
    </row>
    <row r="303" customFormat="false" ht="15" hidden="false" customHeight="false" outlineLevel="0" collapsed="false">
      <c r="A303" s="0" t="s">
        <v>202</v>
      </c>
      <c r="B303" s="0" t="s">
        <v>1242</v>
      </c>
      <c r="C303" s="0" t="s">
        <v>948</v>
      </c>
      <c r="D303" s="0" t="n">
        <v>309.76</v>
      </c>
      <c r="E303" s="0" t="s">
        <v>66</v>
      </c>
      <c r="F303" s="0" t="s">
        <v>1245</v>
      </c>
      <c r="G303" s="0" t="s">
        <v>1286</v>
      </c>
      <c r="H303" s="0" t="s">
        <v>180</v>
      </c>
      <c r="I303" s="0" t="s">
        <v>138</v>
      </c>
    </row>
    <row r="304" customFormat="false" ht="15" hidden="false" customHeight="false" outlineLevel="0" collapsed="false">
      <c r="A304" s="0" t="s">
        <v>202</v>
      </c>
      <c r="B304" s="0" t="s">
        <v>1247</v>
      </c>
      <c r="C304" s="0" t="s">
        <v>948</v>
      </c>
      <c r="D304" s="0" t="n">
        <v>154.88</v>
      </c>
      <c r="E304" s="0" t="s">
        <v>66</v>
      </c>
      <c r="F304" s="0" t="s">
        <v>1248</v>
      </c>
      <c r="G304" s="0" t="s">
        <v>1287</v>
      </c>
      <c r="H304" s="0" t="s">
        <v>180</v>
      </c>
      <c r="I304" s="0" t="s">
        <v>138</v>
      </c>
    </row>
    <row r="305" customFormat="false" ht="15" hidden="false" customHeight="false" outlineLevel="0" collapsed="false">
      <c r="A305" s="0" t="s">
        <v>202</v>
      </c>
      <c r="B305" s="0" t="s">
        <v>1158</v>
      </c>
      <c r="C305" s="0" t="s">
        <v>934</v>
      </c>
      <c r="D305" s="0" t="n">
        <v>40.29</v>
      </c>
      <c r="E305" s="0" t="s">
        <v>66</v>
      </c>
      <c r="F305" s="0" t="s">
        <v>1250</v>
      </c>
      <c r="G305" s="0" t="s">
        <v>1288</v>
      </c>
      <c r="H305" s="0" t="s">
        <v>180</v>
      </c>
      <c r="I305" s="0" t="s">
        <v>138</v>
      </c>
    </row>
    <row r="306" customFormat="false" ht="15" hidden="false" customHeight="false" outlineLevel="0" collapsed="false">
      <c r="A306" s="0" t="s">
        <v>202</v>
      </c>
      <c r="B306" s="0" t="s">
        <v>1161</v>
      </c>
      <c r="C306" s="0" t="s">
        <v>934</v>
      </c>
      <c r="D306" s="0" t="n">
        <v>60.44</v>
      </c>
      <c r="E306" s="0" t="s">
        <v>66</v>
      </c>
      <c r="F306" s="0" t="s">
        <v>1162</v>
      </c>
      <c r="G306" s="0" t="s">
        <v>1289</v>
      </c>
      <c r="H306" s="0" t="s">
        <v>180</v>
      </c>
      <c r="I306" s="0" t="s">
        <v>138</v>
      </c>
    </row>
    <row r="307" customFormat="false" ht="15" hidden="false" customHeight="false" outlineLevel="0" collapsed="false">
      <c r="A307" s="0" t="s">
        <v>202</v>
      </c>
      <c r="B307" s="0" t="s">
        <v>1253</v>
      </c>
      <c r="C307" s="0" t="s">
        <v>1254</v>
      </c>
      <c r="D307" s="2" t="s">
        <v>935</v>
      </c>
      <c r="E307" s="3" t="s">
        <v>690</v>
      </c>
      <c r="F307" s="3" t="s">
        <v>1255</v>
      </c>
      <c r="G307" s="3" t="s">
        <v>1256</v>
      </c>
      <c r="H307" s="3" t="s">
        <v>180</v>
      </c>
      <c r="I307" s="3" t="s">
        <v>138</v>
      </c>
    </row>
    <row r="308" customFormat="false" ht="15" hidden="false" customHeight="false" outlineLevel="0" collapsed="false">
      <c r="A308" s="0" t="s">
        <v>207</v>
      </c>
      <c r="B308" s="0" t="s">
        <v>1235</v>
      </c>
      <c r="C308" s="0" t="s">
        <v>934</v>
      </c>
      <c r="D308" s="0" t="n">
        <v>369</v>
      </c>
      <c r="E308" s="0" t="s">
        <v>66</v>
      </c>
      <c r="F308" s="0" t="s">
        <v>1236</v>
      </c>
      <c r="G308" s="0" t="s">
        <v>1290</v>
      </c>
      <c r="H308" s="0" t="s">
        <v>180</v>
      </c>
      <c r="I308" s="0" t="s">
        <v>138</v>
      </c>
    </row>
    <row r="309" customFormat="false" ht="15" hidden="false" customHeight="false" outlineLevel="0" collapsed="false">
      <c r="A309" s="0" t="s">
        <v>207</v>
      </c>
      <c r="B309" s="0" t="s">
        <v>1238</v>
      </c>
      <c r="C309" s="0" t="s">
        <v>934</v>
      </c>
      <c r="D309" s="0" t="n">
        <v>24.67</v>
      </c>
      <c r="E309" s="0" t="s">
        <v>66</v>
      </c>
      <c r="F309" s="0" t="s">
        <v>1239</v>
      </c>
      <c r="G309" s="0" t="s">
        <v>1291</v>
      </c>
      <c r="H309" s="0" t="s">
        <v>180</v>
      </c>
      <c r="I309" s="0" t="s">
        <v>138</v>
      </c>
    </row>
    <row r="310" customFormat="false" ht="15" hidden="false" customHeight="false" outlineLevel="0" collapsed="false">
      <c r="A310" s="0" t="s">
        <v>207</v>
      </c>
      <c r="B310" s="0" t="s">
        <v>1241</v>
      </c>
      <c r="C310" s="0" t="s">
        <v>934</v>
      </c>
      <c r="D310" s="0" t="n">
        <v>24.67</v>
      </c>
      <c r="E310" s="0" t="s">
        <v>66</v>
      </c>
      <c r="F310" s="0" t="s">
        <v>1239</v>
      </c>
      <c r="G310" s="0" t="s">
        <v>1291</v>
      </c>
      <c r="H310" s="0" t="s">
        <v>180</v>
      </c>
      <c r="I310" s="0" t="s">
        <v>138</v>
      </c>
    </row>
    <row r="311" customFormat="false" ht="15" hidden="false" customHeight="false" outlineLevel="0" collapsed="false">
      <c r="A311" s="0" t="s">
        <v>207</v>
      </c>
      <c r="B311" s="0" t="s">
        <v>1242</v>
      </c>
      <c r="C311" s="0" t="s">
        <v>948</v>
      </c>
      <c r="D311" s="0" t="n">
        <v>379.25</v>
      </c>
      <c r="E311" s="0" t="s">
        <v>66</v>
      </c>
      <c r="F311" s="0" t="s">
        <v>1243</v>
      </c>
      <c r="G311" s="0" t="s">
        <v>1292</v>
      </c>
      <c r="H311" s="0" t="s">
        <v>180</v>
      </c>
      <c r="I311" s="0" t="s">
        <v>138</v>
      </c>
    </row>
    <row r="312" customFormat="false" ht="15" hidden="false" customHeight="false" outlineLevel="0" collapsed="false">
      <c r="A312" s="0" t="s">
        <v>207</v>
      </c>
      <c r="B312" s="0" t="s">
        <v>1242</v>
      </c>
      <c r="C312" s="0" t="s">
        <v>948</v>
      </c>
      <c r="D312" s="0" t="n">
        <v>379.25</v>
      </c>
      <c r="E312" s="0" t="s">
        <v>66</v>
      </c>
      <c r="F312" s="0" t="s">
        <v>1245</v>
      </c>
      <c r="G312" s="0" t="s">
        <v>1293</v>
      </c>
      <c r="H312" s="0" t="s">
        <v>180</v>
      </c>
      <c r="I312" s="0" t="s">
        <v>138</v>
      </c>
    </row>
    <row r="313" customFormat="false" ht="15" hidden="false" customHeight="false" outlineLevel="0" collapsed="false">
      <c r="A313" s="0" t="s">
        <v>207</v>
      </c>
      <c r="B313" s="0" t="s">
        <v>1247</v>
      </c>
      <c r="C313" s="0" t="s">
        <v>948</v>
      </c>
      <c r="D313" s="0" t="n">
        <v>189.63</v>
      </c>
      <c r="E313" s="0" t="s">
        <v>66</v>
      </c>
      <c r="F313" s="0" t="s">
        <v>1248</v>
      </c>
      <c r="G313" s="0" t="s">
        <v>1294</v>
      </c>
      <c r="H313" s="0" t="s">
        <v>180</v>
      </c>
      <c r="I313" s="0" t="s">
        <v>138</v>
      </c>
    </row>
    <row r="314" customFormat="false" ht="15" hidden="false" customHeight="false" outlineLevel="0" collapsed="false">
      <c r="A314" s="0" t="s">
        <v>207</v>
      </c>
      <c r="B314" s="0" t="s">
        <v>1158</v>
      </c>
      <c r="C314" s="0" t="s">
        <v>934</v>
      </c>
      <c r="D314" s="0" t="n">
        <v>49.33</v>
      </c>
      <c r="E314" s="0" t="s">
        <v>66</v>
      </c>
      <c r="F314" s="0" t="s">
        <v>1250</v>
      </c>
      <c r="G314" s="0" t="s">
        <v>1295</v>
      </c>
      <c r="H314" s="0" t="s">
        <v>180</v>
      </c>
      <c r="I314" s="0" t="s">
        <v>138</v>
      </c>
    </row>
    <row r="315" customFormat="false" ht="15" hidden="false" customHeight="false" outlineLevel="0" collapsed="false">
      <c r="A315" s="0" t="s">
        <v>207</v>
      </c>
      <c r="B315" s="0" t="s">
        <v>1161</v>
      </c>
      <c r="C315" s="0" t="s">
        <v>934</v>
      </c>
      <c r="D315" s="0" t="n">
        <v>74</v>
      </c>
      <c r="E315" s="0" t="s">
        <v>66</v>
      </c>
      <c r="F315" s="0" t="s">
        <v>1162</v>
      </c>
      <c r="G315" s="0" t="s">
        <v>1296</v>
      </c>
      <c r="H315" s="0" t="s">
        <v>180</v>
      </c>
      <c r="I315" s="0" t="s">
        <v>138</v>
      </c>
    </row>
    <row r="316" customFormat="false" ht="15" hidden="false" customHeight="false" outlineLevel="0" collapsed="false">
      <c r="A316" s="0" t="s">
        <v>207</v>
      </c>
      <c r="B316" s="0" t="s">
        <v>1253</v>
      </c>
      <c r="C316" s="0" t="s">
        <v>1254</v>
      </c>
      <c r="D316" s="2" t="s">
        <v>935</v>
      </c>
      <c r="E316" s="3" t="s">
        <v>690</v>
      </c>
      <c r="F316" s="3" t="s">
        <v>1255</v>
      </c>
      <c r="G316" s="3" t="s">
        <v>1256</v>
      </c>
      <c r="H316" s="3" t="s">
        <v>180</v>
      </c>
      <c r="I316" s="3" t="s">
        <v>138</v>
      </c>
    </row>
    <row r="317" customFormat="false" ht="15" hidden="false" customHeight="false" outlineLevel="0" collapsed="false">
      <c r="A317" s="0" t="s">
        <v>211</v>
      </c>
      <c r="B317" s="0" t="s">
        <v>1235</v>
      </c>
      <c r="C317" s="0" t="s">
        <v>934</v>
      </c>
      <c r="D317" s="0" t="n">
        <v>307.5</v>
      </c>
      <c r="E317" s="0" t="s">
        <v>66</v>
      </c>
      <c r="F317" s="0" t="s">
        <v>1236</v>
      </c>
      <c r="G317" s="0" t="s">
        <v>1297</v>
      </c>
      <c r="H317" s="0" t="s">
        <v>180</v>
      </c>
      <c r="I317" s="0" t="s">
        <v>138</v>
      </c>
    </row>
    <row r="318" customFormat="false" ht="15" hidden="false" customHeight="false" outlineLevel="0" collapsed="false">
      <c r="A318" s="0" t="s">
        <v>211</v>
      </c>
      <c r="B318" s="0" t="s">
        <v>1238</v>
      </c>
      <c r="C318" s="0" t="s">
        <v>934</v>
      </c>
      <c r="D318" s="0" t="n">
        <v>23.25</v>
      </c>
      <c r="E318" s="0" t="s">
        <v>66</v>
      </c>
      <c r="F318" s="0" t="s">
        <v>1239</v>
      </c>
      <c r="G318" s="0" t="s">
        <v>1298</v>
      </c>
      <c r="H318" s="0" t="s">
        <v>180</v>
      </c>
      <c r="I318" s="0" t="s">
        <v>138</v>
      </c>
    </row>
    <row r="319" customFormat="false" ht="15" hidden="false" customHeight="false" outlineLevel="0" collapsed="false">
      <c r="A319" s="0" t="s">
        <v>211</v>
      </c>
      <c r="B319" s="0" t="s">
        <v>1241</v>
      </c>
      <c r="C319" s="0" t="s">
        <v>934</v>
      </c>
      <c r="D319" s="0" t="n">
        <v>23.25</v>
      </c>
      <c r="E319" s="0" t="s">
        <v>66</v>
      </c>
      <c r="F319" s="0" t="s">
        <v>1239</v>
      </c>
      <c r="G319" s="0" t="s">
        <v>1298</v>
      </c>
      <c r="H319" s="0" t="s">
        <v>180</v>
      </c>
      <c r="I319" s="0" t="s">
        <v>138</v>
      </c>
    </row>
    <row r="320" customFormat="false" ht="15" hidden="false" customHeight="false" outlineLevel="0" collapsed="false">
      <c r="A320" s="0" t="s">
        <v>211</v>
      </c>
      <c r="B320" s="0" t="s">
        <v>1242</v>
      </c>
      <c r="C320" s="0" t="s">
        <v>948</v>
      </c>
      <c r="D320" s="0" t="n">
        <v>357.52</v>
      </c>
      <c r="E320" s="0" t="s">
        <v>66</v>
      </c>
      <c r="F320" s="0" t="s">
        <v>1243</v>
      </c>
      <c r="G320" s="0" t="s">
        <v>1299</v>
      </c>
      <c r="H320" s="0" t="s">
        <v>180</v>
      </c>
      <c r="I320" s="0" t="s">
        <v>138</v>
      </c>
    </row>
    <row r="321" customFormat="false" ht="15" hidden="false" customHeight="false" outlineLevel="0" collapsed="false">
      <c r="A321" s="0" t="s">
        <v>211</v>
      </c>
      <c r="B321" s="0" t="s">
        <v>1242</v>
      </c>
      <c r="C321" s="0" t="s">
        <v>948</v>
      </c>
      <c r="D321" s="0" t="n">
        <v>357.52</v>
      </c>
      <c r="E321" s="0" t="s">
        <v>66</v>
      </c>
      <c r="F321" s="0" t="s">
        <v>1245</v>
      </c>
      <c r="G321" s="0" t="s">
        <v>1300</v>
      </c>
      <c r="H321" s="0" t="s">
        <v>180</v>
      </c>
      <c r="I321" s="0" t="s">
        <v>138</v>
      </c>
    </row>
    <row r="322" customFormat="false" ht="15" hidden="false" customHeight="false" outlineLevel="0" collapsed="false">
      <c r="A322" s="0" t="s">
        <v>211</v>
      </c>
      <c r="B322" s="0" t="s">
        <v>1247</v>
      </c>
      <c r="C322" s="0" t="s">
        <v>948</v>
      </c>
      <c r="D322" s="0" t="n">
        <v>178.76</v>
      </c>
      <c r="E322" s="0" t="s">
        <v>66</v>
      </c>
      <c r="F322" s="0" t="s">
        <v>1248</v>
      </c>
      <c r="G322" s="0" t="s">
        <v>1301</v>
      </c>
      <c r="H322" s="0" t="s">
        <v>180</v>
      </c>
      <c r="I322" s="0" t="s">
        <v>138</v>
      </c>
    </row>
    <row r="323" customFormat="false" ht="15" hidden="false" customHeight="false" outlineLevel="0" collapsed="false">
      <c r="A323" s="0" t="s">
        <v>211</v>
      </c>
      <c r="B323" s="0" t="s">
        <v>1158</v>
      </c>
      <c r="C323" s="0" t="s">
        <v>934</v>
      </c>
      <c r="D323" s="0" t="n">
        <v>46.51</v>
      </c>
      <c r="E323" s="0" t="s">
        <v>66</v>
      </c>
      <c r="F323" s="0" t="s">
        <v>1250</v>
      </c>
      <c r="G323" s="0" t="s">
        <v>1302</v>
      </c>
      <c r="H323" s="0" t="s">
        <v>180</v>
      </c>
      <c r="I323" s="0" t="s">
        <v>138</v>
      </c>
    </row>
    <row r="324" customFormat="false" ht="15" hidden="false" customHeight="false" outlineLevel="0" collapsed="false">
      <c r="A324" s="0" t="s">
        <v>211</v>
      </c>
      <c r="B324" s="0" t="s">
        <v>1161</v>
      </c>
      <c r="C324" s="0" t="s">
        <v>934</v>
      </c>
      <c r="D324" s="0" t="n">
        <v>69.76</v>
      </c>
      <c r="E324" s="0" t="s">
        <v>66</v>
      </c>
      <c r="F324" s="0" t="s">
        <v>1162</v>
      </c>
      <c r="G324" s="0" t="s">
        <v>1303</v>
      </c>
      <c r="H324" s="0" t="s">
        <v>180</v>
      </c>
      <c r="I324" s="0" t="s">
        <v>138</v>
      </c>
    </row>
    <row r="325" customFormat="false" ht="15" hidden="false" customHeight="false" outlineLevel="0" collapsed="false">
      <c r="A325" s="0" t="s">
        <v>211</v>
      </c>
      <c r="B325" s="0" t="s">
        <v>1253</v>
      </c>
      <c r="C325" s="0" t="s">
        <v>1254</v>
      </c>
      <c r="D325" s="2" t="s">
        <v>935</v>
      </c>
      <c r="E325" s="3" t="s">
        <v>690</v>
      </c>
      <c r="F325" s="3" t="s">
        <v>1255</v>
      </c>
      <c r="G325" s="3" t="s">
        <v>1256</v>
      </c>
      <c r="H325" s="3" t="s">
        <v>180</v>
      </c>
      <c r="I325" s="3" t="s">
        <v>138</v>
      </c>
    </row>
    <row r="326" customFormat="false" ht="15" hidden="false" customHeight="false" outlineLevel="0" collapsed="false">
      <c r="A326" s="0" t="s">
        <v>215</v>
      </c>
      <c r="B326" s="0" t="s">
        <v>1235</v>
      </c>
      <c r="C326" s="0" t="s">
        <v>934</v>
      </c>
      <c r="D326" s="0" t="n">
        <v>307.5</v>
      </c>
      <c r="E326" s="0" t="s">
        <v>66</v>
      </c>
      <c r="F326" s="0" t="s">
        <v>1236</v>
      </c>
      <c r="G326" s="0" t="s">
        <v>1297</v>
      </c>
      <c r="H326" s="0" t="s">
        <v>180</v>
      </c>
      <c r="I326" s="0" t="s">
        <v>138</v>
      </c>
    </row>
    <row r="327" customFormat="false" ht="15" hidden="false" customHeight="false" outlineLevel="0" collapsed="false">
      <c r="A327" s="0" t="s">
        <v>215</v>
      </c>
      <c r="B327" s="0" t="s">
        <v>1238</v>
      </c>
      <c r="C327" s="0" t="s">
        <v>934</v>
      </c>
      <c r="D327" s="0" t="n">
        <v>23.25</v>
      </c>
      <c r="E327" s="0" t="s">
        <v>66</v>
      </c>
      <c r="F327" s="0" t="s">
        <v>1239</v>
      </c>
      <c r="G327" s="0" t="s">
        <v>1304</v>
      </c>
      <c r="H327" s="0" t="s">
        <v>180</v>
      </c>
      <c r="I327" s="0" t="s">
        <v>138</v>
      </c>
    </row>
    <row r="328" customFormat="false" ht="15" hidden="false" customHeight="false" outlineLevel="0" collapsed="false">
      <c r="A328" s="0" t="s">
        <v>215</v>
      </c>
      <c r="B328" s="0" t="s">
        <v>1241</v>
      </c>
      <c r="C328" s="0" t="s">
        <v>934</v>
      </c>
      <c r="D328" s="0" t="n">
        <v>23.25</v>
      </c>
      <c r="E328" s="0" t="s">
        <v>66</v>
      </c>
      <c r="F328" s="0" t="s">
        <v>1239</v>
      </c>
      <c r="G328" s="0" t="s">
        <v>1304</v>
      </c>
      <c r="H328" s="0" t="s">
        <v>180</v>
      </c>
      <c r="I328" s="0" t="s">
        <v>138</v>
      </c>
    </row>
    <row r="329" customFormat="false" ht="15" hidden="false" customHeight="false" outlineLevel="0" collapsed="false">
      <c r="A329" s="0" t="s">
        <v>215</v>
      </c>
      <c r="B329" s="0" t="s">
        <v>1242</v>
      </c>
      <c r="C329" s="0" t="s">
        <v>948</v>
      </c>
      <c r="D329" s="0" t="n">
        <v>357.52</v>
      </c>
      <c r="E329" s="0" t="s">
        <v>66</v>
      </c>
      <c r="F329" s="0" t="s">
        <v>1243</v>
      </c>
      <c r="G329" s="0" t="s">
        <v>1305</v>
      </c>
      <c r="H329" s="0" t="s">
        <v>180</v>
      </c>
      <c r="I329" s="0" t="s">
        <v>138</v>
      </c>
    </row>
    <row r="330" customFormat="false" ht="15" hidden="false" customHeight="false" outlineLevel="0" collapsed="false">
      <c r="A330" s="0" t="s">
        <v>215</v>
      </c>
      <c r="B330" s="0" t="s">
        <v>1242</v>
      </c>
      <c r="C330" s="0" t="s">
        <v>948</v>
      </c>
      <c r="D330" s="0" t="n">
        <v>357.52</v>
      </c>
      <c r="E330" s="0" t="s">
        <v>66</v>
      </c>
      <c r="F330" s="0" t="s">
        <v>1245</v>
      </c>
      <c r="G330" s="0" t="s">
        <v>1306</v>
      </c>
      <c r="H330" s="0" t="s">
        <v>180</v>
      </c>
      <c r="I330" s="0" t="s">
        <v>138</v>
      </c>
    </row>
    <row r="331" customFormat="false" ht="15" hidden="false" customHeight="false" outlineLevel="0" collapsed="false">
      <c r="A331" s="0" t="s">
        <v>215</v>
      </c>
      <c r="B331" s="0" t="s">
        <v>1247</v>
      </c>
      <c r="C331" s="0" t="s">
        <v>948</v>
      </c>
      <c r="D331" s="0" t="n">
        <v>178.76</v>
      </c>
      <c r="E331" s="0" t="s">
        <v>66</v>
      </c>
      <c r="F331" s="0" t="s">
        <v>1248</v>
      </c>
      <c r="G331" s="0" t="s">
        <v>1301</v>
      </c>
      <c r="H331" s="0" t="s">
        <v>180</v>
      </c>
      <c r="I331" s="0" t="s">
        <v>138</v>
      </c>
    </row>
    <row r="332" customFormat="false" ht="15" hidden="false" customHeight="false" outlineLevel="0" collapsed="false">
      <c r="A332" s="0" t="s">
        <v>215</v>
      </c>
      <c r="B332" s="0" t="s">
        <v>1158</v>
      </c>
      <c r="C332" s="0" t="s">
        <v>934</v>
      </c>
      <c r="D332" s="0" t="n">
        <v>46.51</v>
      </c>
      <c r="E332" s="0" t="s">
        <v>66</v>
      </c>
      <c r="F332" s="0" t="s">
        <v>1250</v>
      </c>
      <c r="G332" s="0" t="s">
        <v>1302</v>
      </c>
      <c r="H332" s="0" t="s">
        <v>180</v>
      </c>
      <c r="I332" s="0" t="s">
        <v>138</v>
      </c>
    </row>
    <row r="333" customFormat="false" ht="15" hidden="false" customHeight="false" outlineLevel="0" collapsed="false">
      <c r="A333" s="0" t="s">
        <v>215</v>
      </c>
      <c r="B333" s="0" t="s">
        <v>1161</v>
      </c>
      <c r="C333" s="0" t="s">
        <v>934</v>
      </c>
      <c r="D333" s="0" t="n">
        <v>69.76</v>
      </c>
      <c r="E333" s="0" t="s">
        <v>66</v>
      </c>
      <c r="F333" s="0" t="s">
        <v>1162</v>
      </c>
      <c r="G333" s="0" t="s">
        <v>1303</v>
      </c>
      <c r="H333" s="0" t="s">
        <v>180</v>
      </c>
      <c r="I333" s="0" t="s">
        <v>138</v>
      </c>
    </row>
    <row r="334" customFormat="false" ht="15" hidden="false" customHeight="false" outlineLevel="0" collapsed="false">
      <c r="A334" s="0" t="s">
        <v>215</v>
      </c>
      <c r="B334" s="0" t="s">
        <v>1253</v>
      </c>
      <c r="C334" s="0" t="s">
        <v>1254</v>
      </c>
      <c r="D334" s="2" t="s">
        <v>935</v>
      </c>
      <c r="E334" s="3" t="s">
        <v>690</v>
      </c>
      <c r="F334" s="3" t="s">
        <v>1255</v>
      </c>
      <c r="G334" s="3" t="s">
        <v>1256</v>
      </c>
      <c r="H334" s="3" t="s">
        <v>180</v>
      </c>
      <c r="I334" s="3" t="s">
        <v>138</v>
      </c>
    </row>
    <row r="335" customFormat="false" ht="15" hidden="false" customHeight="false" outlineLevel="0" collapsed="false">
      <c r="A335" s="0" t="s">
        <v>219</v>
      </c>
      <c r="B335" s="0" t="s">
        <v>1235</v>
      </c>
      <c r="C335" s="0" t="s">
        <v>934</v>
      </c>
      <c r="D335" s="0" t="n">
        <v>307.5</v>
      </c>
      <c r="E335" s="0" t="s">
        <v>66</v>
      </c>
      <c r="F335" s="0" t="s">
        <v>1307</v>
      </c>
      <c r="G335" s="0" t="s">
        <v>1273</v>
      </c>
      <c r="H335" s="0" t="s">
        <v>223</v>
      </c>
      <c r="I335" s="0" t="s">
        <v>138</v>
      </c>
    </row>
    <row r="336" customFormat="false" ht="15" hidden="false" customHeight="false" outlineLevel="0" collapsed="false">
      <c r="A336" s="0" t="s">
        <v>219</v>
      </c>
      <c r="B336" s="0" t="s">
        <v>1238</v>
      </c>
      <c r="C336" s="0" t="s">
        <v>934</v>
      </c>
      <c r="D336" s="0" t="n">
        <v>21.67</v>
      </c>
      <c r="E336" s="0" t="s">
        <v>66</v>
      </c>
      <c r="F336" s="0" t="s">
        <v>1308</v>
      </c>
      <c r="G336" s="0" t="s">
        <v>1309</v>
      </c>
      <c r="H336" s="0" t="s">
        <v>223</v>
      </c>
      <c r="I336" s="0" t="s">
        <v>138</v>
      </c>
    </row>
    <row r="337" customFormat="false" ht="15" hidden="false" customHeight="false" outlineLevel="0" collapsed="false">
      <c r="A337" s="0" t="s">
        <v>219</v>
      </c>
      <c r="B337" s="0" t="s">
        <v>1241</v>
      </c>
      <c r="C337" s="0" t="s">
        <v>934</v>
      </c>
      <c r="D337" s="0" t="n">
        <v>21.67</v>
      </c>
      <c r="E337" s="0" t="s">
        <v>66</v>
      </c>
      <c r="F337" s="0" t="s">
        <v>1308</v>
      </c>
      <c r="G337" s="0" t="s">
        <v>1309</v>
      </c>
      <c r="H337" s="0" t="s">
        <v>223</v>
      </c>
      <c r="I337" s="0" t="s">
        <v>138</v>
      </c>
    </row>
    <row r="338" customFormat="false" ht="15" hidden="false" customHeight="false" outlineLevel="0" collapsed="false">
      <c r="A338" s="0" t="s">
        <v>219</v>
      </c>
      <c r="B338" s="0" t="s">
        <v>1242</v>
      </c>
      <c r="C338" s="0" t="s">
        <v>948</v>
      </c>
      <c r="D338" s="0" t="n">
        <v>333.13</v>
      </c>
      <c r="E338" s="0" t="s">
        <v>66</v>
      </c>
      <c r="F338" s="0" t="s">
        <v>1243</v>
      </c>
      <c r="G338" s="0" t="s">
        <v>1310</v>
      </c>
      <c r="H338" s="0" t="s">
        <v>223</v>
      </c>
      <c r="I338" s="0" t="s">
        <v>138</v>
      </c>
    </row>
    <row r="339" customFormat="false" ht="15" hidden="false" customHeight="false" outlineLevel="0" collapsed="false">
      <c r="A339" s="0" t="s">
        <v>219</v>
      </c>
      <c r="B339" s="0" t="s">
        <v>1242</v>
      </c>
      <c r="C339" s="0" t="s">
        <v>948</v>
      </c>
      <c r="D339" s="0" t="n">
        <v>333.13</v>
      </c>
      <c r="E339" s="0" t="s">
        <v>66</v>
      </c>
      <c r="F339" s="0" t="s">
        <v>1245</v>
      </c>
      <c r="G339" s="0" t="s">
        <v>1311</v>
      </c>
      <c r="H339" s="0" t="s">
        <v>223</v>
      </c>
      <c r="I339" s="0" t="s">
        <v>138</v>
      </c>
    </row>
    <row r="340" customFormat="false" ht="15" hidden="false" customHeight="false" outlineLevel="0" collapsed="false">
      <c r="A340" s="0" t="s">
        <v>219</v>
      </c>
      <c r="B340" s="0" t="s">
        <v>1247</v>
      </c>
      <c r="C340" s="0" t="s">
        <v>948</v>
      </c>
      <c r="D340" s="0" t="n">
        <v>166.56</v>
      </c>
      <c r="E340" s="0" t="s">
        <v>66</v>
      </c>
      <c r="F340" s="0" t="s">
        <v>1248</v>
      </c>
      <c r="G340" s="0" t="s">
        <v>1277</v>
      </c>
      <c r="H340" s="0" t="s">
        <v>223</v>
      </c>
      <c r="I340" s="0" t="s">
        <v>138</v>
      </c>
    </row>
    <row r="341" customFormat="false" ht="15" hidden="false" customHeight="false" outlineLevel="0" collapsed="false">
      <c r="A341" s="0" t="s">
        <v>219</v>
      </c>
      <c r="B341" s="0" t="s">
        <v>1158</v>
      </c>
      <c r="C341" s="0" t="s">
        <v>934</v>
      </c>
      <c r="D341" s="0" t="n">
        <v>43.33</v>
      </c>
      <c r="E341" s="0" t="s">
        <v>66</v>
      </c>
      <c r="F341" s="0" t="s">
        <v>1250</v>
      </c>
      <c r="G341" s="0" t="s">
        <v>1278</v>
      </c>
      <c r="H341" s="0" t="s">
        <v>223</v>
      </c>
      <c r="I341" s="0" t="s">
        <v>138</v>
      </c>
    </row>
    <row r="342" customFormat="false" ht="15" hidden="false" customHeight="false" outlineLevel="0" collapsed="false">
      <c r="A342" s="0" t="s">
        <v>219</v>
      </c>
      <c r="B342" s="0" t="s">
        <v>1161</v>
      </c>
      <c r="C342" s="0" t="s">
        <v>934</v>
      </c>
      <c r="D342" s="0" t="n">
        <v>65</v>
      </c>
      <c r="E342" s="0" t="s">
        <v>66</v>
      </c>
      <c r="F342" s="0" t="s">
        <v>1162</v>
      </c>
      <c r="G342" s="0" t="s">
        <v>1279</v>
      </c>
      <c r="H342" s="0" t="s">
        <v>223</v>
      </c>
      <c r="I342" s="0" t="s">
        <v>138</v>
      </c>
    </row>
    <row r="343" customFormat="false" ht="15" hidden="false" customHeight="false" outlineLevel="0" collapsed="false">
      <c r="A343" s="0" t="s">
        <v>219</v>
      </c>
      <c r="B343" s="0" t="s">
        <v>1253</v>
      </c>
      <c r="C343" s="0" t="s">
        <v>1254</v>
      </c>
      <c r="D343" s="2" t="s">
        <v>935</v>
      </c>
      <c r="E343" s="3" t="s">
        <v>690</v>
      </c>
      <c r="F343" s="3" t="s">
        <v>1255</v>
      </c>
      <c r="G343" s="3" t="s">
        <v>1256</v>
      </c>
      <c r="H343" s="3" t="s">
        <v>223</v>
      </c>
      <c r="I343" s="3" t="s">
        <v>138</v>
      </c>
    </row>
    <row r="344" customFormat="false" ht="15" hidden="false" customHeight="false" outlineLevel="0" collapsed="false">
      <c r="A344" s="0" t="s">
        <v>225</v>
      </c>
      <c r="B344" s="0" t="s">
        <v>1235</v>
      </c>
      <c r="C344" s="0" t="s">
        <v>934</v>
      </c>
      <c r="D344" s="0" t="n">
        <v>307.5</v>
      </c>
      <c r="E344" s="0" t="s">
        <v>66</v>
      </c>
      <c r="F344" s="0" t="s">
        <v>1307</v>
      </c>
      <c r="G344" s="0" t="s">
        <v>1312</v>
      </c>
      <c r="H344" s="0" t="s">
        <v>223</v>
      </c>
      <c r="I344" s="0" t="s">
        <v>138</v>
      </c>
    </row>
    <row r="345" customFormat="false" ht="15" hidden="false" customHeight="false" outlineLevel="0" collapsed="false">
      <c r="A345" s="0" t="s">
        <v>225</v>
      </c>
      <c r="B345" s="0" t="s">
        <v>1238</v>
      </c>
      <c r="C345" s="0" t="s">
        <v>934</v>
      </c>
      <c r="D345" s="0" t="n">
        <v>14.8</v>
      </c>
      <c r="E345" s="0" t="s">
        <v>66</v>
      </c>
      <c r="F345" s="0" t="s">
        <v>1308</v>
      </c>
      <c r="G345" s="0" t="s">
        <v>1313</v>
      </c>
      <c r="H345" s="0" t="s">
        <v>223</v>
      </c>
      <c r="I345" s="0" t="s">
        <v>138</v>
      </c>
    </row>
    <row r="346" customFormat="false" ht="15" hidden="false" customHeight="false" outlineLevel="0" collapsed="false">
      <c r="A346" s="0" t="s">
        <v>225</v>
      </c>
      <c r="B346" s="0" t="s">
        <v>1241</v>
      </c>
      <c r="C346" s="0" t="s">
        <v>934</v>
      </c>
      <c r="D346" s="0" t="n">
        <v>14.8</v>
      </c>
      <c r="E346" s="0" t="s">
        <v>66</v>
      </c>
      <c r="F346" s="0" t="s">
        <v>1308</v>
      </c>
      <c r="G346" s="0" t="s">
        <v>1313</v>
      </c>
      <c r="H346" s="0" t="s">
        <v>223</v>
      </c>
      <c r="I346" s="0" t="s">
        <v>138</v>
      </c>
    </row>
    <row r="347" customFormat="false" ht="15" hidden="false" customHeight="false" outlineLevel="0" collapsed="false">
      <c r="A347" s="0" t="s">
        <v>225</v>
      </c>
      <c r="B347" s="0" t="s">
        <v>1242</v>
      </c>
      <c r="C347" s="0" t="s">
        <v>948</v>
      </c>
      <c r="D347" s="0" t="n">
        <v>227.55</v>
      </c>
      <c r="E347" s="0" t="s">
        <v>66</v>
      </c>
      <c r="F347" s="0" t="s">
        <v>1243</v>
      </c>
      <c r="G347" s="0" t="s">
        <v>1314</v>
      </c>
      <c r="H347" s="0" t="s">
        <v>223</v>
      </c>
      <c r="I347" s="0" t="s">
        <v>138</v>
      </c>
    </row>
    <row r="348" customFormat="false" ht="15" hidden="false" customHeight="false" outlineLevel="0" collapsed="false">
      <c r="A348" s="0" t="s">
        <v>225</v>
      </c>
      <c r="B348" s="0" t="s">
        <v>1242</v>
      </c>
      <c r="C348" s="0" t="s">
        <v>948</v>
      </c>
      <c r="D348" s="0" t="n">
        <v>227.55</v>
      </c>
      <c r="E348" s="0" t="s">
        <v>66</v>
      </c>
      <c r="F348" s="0" t="s">
        <v>1245</v>
      </c>
      <c r="G348" s="0" t="s">
        <v>1315</v>
      </c>
      <c r="H348" s="0" t="s">
        <v>223</v>
      </c>
      <c r="I348" s="0" t="s">
        <v>138</v>
      </c>
    </row>
    <row r="349" customFormat="false" ht="15" hidden="false" customHeight="false" outlineLevel="0" collapsed="false">
      <c r="A349" s="0" t="s">
        <v>225</v>
      </c>
      <c r="B349" s="0" t="s">
        <v>1247</v>
      </c>
      <c r="C349" s="0" t="s">
        <v>948</v>
      </c>
      <c r="D349" s="0" t="n">
        <v>113.78</v>
      </c>
      <c r="E349" s="0" t="s">
        <v>66</v>
      </c>
      <c r="F349" s="0" t="s">
        <v>1248</v>
      </c>
      <c r="G349" s="0" t="s">
        <v>1316</v>
      </c>
      <c r="H349" s="0" t="s">
        <v>223</v>
      </c>
      <c r="I349" s="0" t="s">
        <v>138</v>
      </c>
    </row>
    <row r="350" customFormat="false" ht="15" hidden="false" customHeight="false" outlineLevel="0" collapsed="false">
      <c r="A350" s="0" t="s">
        <v>225</v>
      </c>
      <c r="B350" s="0" t="s">
        <v>1158</v>
      </c>
      <c r="C350" s="0" t="s">
        <v>934</v>
      </c>
      <c r="D350" s="0" t="n">
        <v>29.6</v>
      </c>
      <c r="E350" s="0" t="s">
        <v>66</v>
      </c>
      <c r="F350" s="0" t="s">
        <v>1250</v>
      </c>
      <c r="G350" s="0" t="s">
        <v>1317</v>
      </c>
      <c r="H350" s="0" t="s">
        <v>223</v>
      </c>
      <c r="I350" s="0" t="s">
        <v>138</v>
      </c>
    </row>
    <row r="351" customFormat="false" ht="15" hidden="false" customHeight="false" outlineLevel="0" collapsed="false">
      <c r="A351" s="0" t="s">
        <v>225</v>
      </c>
      <c r="B351" s="0" t="s">
        <v>1161</v>
      </c>
      <c r="C351" s="0" t="s">
        <v>934</v>
      </c>
      <c r="D351" s="0" t="n">
        <v>44.4</v>
      </c>
      <c r="E351" s="0" t="s">
        <v>66</v>
      </c>
      <c r="F351" s="0" t="s">
        <v>1162</v>
      </c>
      <c r="G351" s="0" t="s">
        <v>1318</v>
      </c>
      <c r="H351" s="0" t="s">
        <v>223</v>
      </c>
      <c r="I351" s="0" t="s">
        <v>138</v>
      </c>
    </row>
    <row r="352" customFormat="false" ht="15" hidden="false" customHeight="false" outlineLevel="0" collapsed="false">
      <c r="A352" s="0" t="s">
        <v>225</v>
      </c>
      <c r="B352" s="0" t="s">
        <v>1253</v>
      </c>
      <c r="C352" s="0" t="s">
        <v>1254</v>
      </c>
      <c r="D352" s="2" t="s">
        <v>935</v>
      </c>
      <c r="E352" s="3" t="s">
        <v>690</v>
      </c>
      <c r="F352" s="3" t="s">
        <v>1255</v>
      </c>
      <c r="G352" s="3" t="s">
        <v>1256</v>
      </c>
      <c r="H352" s="3" t="s">
        <v>223</v>
      </c>
      <c r="I352" s="3" t="s">
        <v>138</v>
      </c>
    </row>
    <row r="353" customFormat="false" ht="15" hidden="false" customHeight="false" outlineLevel="0" collapsed="false">
      <c r="A353" s="0" t="s">
        <v>229</v>
      </c>
      <c r="B353" s="0" t="s">
        <v>1319</v>
      </c>
      <c r="C353" s="0" t="s">
        <v>934</v>
      </c>
      <c r="D353" s="0" t="n">
        <v>292.13</v>
      </c>
      <c r="E353" s="0" t="s">
        <v>66</v>
      </c>
      <c r="F353" s="0" t="s">
        <v>1320</v>
      </c>
      <c r="G353" s="0" t="s">
        <v>1321</v>
      </c>
      <c r="H353" s="0" t="s">
        <v>233</v>
      </c>
      <c r="I353" s="0" t="s">
        <v>138</v>
      </c>
    </row>
    <row r="354" customFormat="false" ht="15" hidden="false" customHeight="false" outlineLevel="0" collapsed="false">
      <c r="A354" s="0" t="s">
        <v>229</v>
      </c>
      <c r="B354" s="0" t="s">
        <v>938</v>
      </c>
      <c r="C354" s="0" t="s">
        <v>934</v>
      </c>
      <c r="D354" s="0" t="n">
        <v>17.76</v>
      </c>
      <c r="E354" s="0" t="s">
        <v>66</v>
      </c>
      <c r="F354" s="0" t="s">
        <v>1322</v>
      </c>
      <c r="G354" s="0" t="s">
        <v>1323</v>
      </c>
      <c r="H354" s="0" t="s">
        <v>233</v>
      </c>
      <c r="I354" s="0" t="s">
        <v>138</v>
      </c>
    </row>
    <row r="355" customFormat="false" ht="15" hidden="false" customHeight="false" outlineLevel="0" collapsed="false">
      <c r="A355" s="0" t="s">
        <v>229</v>
      </c>
      <c r="B355" s="0" t="s">
        <v>1324</v>
      </c>
      <c r="C355" s="0" t="s">
        <v>934</v>
      </c>
      <c r="D355" s="0" t="n">
        <v>17.76</v>
      </c>
      <c r="E355" s="0" t="s">
        <v>66</v>
      </c>
      <c r="F355" s="0" t="s">
        <v>1322</v>
      </c>
      <c r="G355" s="0" t="s">
        <v>1323</v>
      </c>
      <c r="H355" s="0" t="s">
        <v>233</v>
      </c>
      <c r="I355" s="0" t="s">
        <v>138</v>
      </c>
    </row>
    <row r="356" customFormat="false" ht="15" hidden="false" customHeight="false" outlineLevel="0" collapsed="false">
      <c r="A356" s="0" t="s">
        <v>229</v>
      </c>
      <c r="B356" s="0" t="s">
        <v>1325</v>
      </c>
      <c r="C356" s="0" t="s">
        <v>948</v>
      </c>
      <c r="D356" s="0" t="n">
        <v>262.38</v>
      </c>
      <c r="E356" s="0" t="s">
        <v>66</v>
      </c>
      <c r="F356" s="0" t="s">
        <v>1326</v>
      </c>
      <c r="G356" s="0" t="s">
        <v>1327</v>
      </c>
      <c r="H356" s="0" t="s">
        <v>233</v>
      </c>
      <c r="I356" s="0" t="s">
        <v>138</v>
      </c>
    </row>
    <row r="357" customFormat="false" ht="15" hidden="false" customHeight="false" outlineLevel="0" collapsed="false">
      <c r="A357" s="0" t="s">
        <v>229</v>
      </c>
      <c r="B357" s="0" t="s">
        <v>1328</v>
      </c>
      <c r="C357" s="0" t="s">
        <v>948</v>
      </c>
      <c r="D357" s="0" t="n">
        <v>168.54</v>
      </c>
      <c r="E357" s="0" t="s">
        <v>66</v>
      </c>
      <c r="F357" s="0" t="s">
        <v>1329</v>
      </c>
      <c r="G357" s="0" t="s">
        <v>1330</v>
      </c>
      <c r="H357" s="0" t="s">
        <v>233</v>
      </c>
      <c r="I357" s="0" t="s">
        <v>138</v>
      </c>
    </row>
    <row r="358" customFormat="false" ht="15" hidden="false" customHeight="false" outlineLevel="0" collapsed="false">
      <c r="A358" s="0" t="s">
        <v>229</v>
      </c>
      <c r="B358" s="0" t="s">
        <v>1331</v>
      </c>
      <c r="C358" s="0" t="s">
        <v>948</v>
      </c>
      <c r="D358" s="0" t="n">
        <v>156.56</v>
      </c>
      <c r="E358" s="0" t="s">
        <v>66</v>
      </c>
      <c r="F358" s="0" t="s">
        <v>1332</v>
      </c>
      <c r="G358" s="0" t="s">
        <v>1333</v>
      </c>
      <c r="H358" s="0" t="s">
        <v>233</v>
      </c>
      <c r="I358" s="0" t="s">
        <v>138</v>
      </c>
    </row>
    <row r="359" customFormat="false" ht="15" hidden="false" customHeight="false" outlineLevel="0" collapsed="false">
      <c r="A359" s="0" t="s">
        <v>229</v>
      </c>
      <c r="B359" s="0" t="s">
        <v>1334</v>
      </c>
      <c r="C359" s="0" t="s">
        <v>948</v>
      </c>
      <c r="D359" s="0" t="n">
        <v>267.06</v>
      </c>
      <c r="E359" s="0" t="s">
        <v>66</v>
      </c>
      <c r="F359" s="0" t="s">
        <v>1335</v>
      </c>
      <c r="G359" s="0" t="s">
        <v>1336</v>
      </c>
      <c r="H359" s="0" t="s">
        <v>233</v>
      </c>
      <c r="I359" s="0" t="s">
        <v>138</v>
      </c>
    </row>
    <row r="360" customFormat="false" ht="15" hidden="false" customHeight="false" outlineLevel="0" collapsed="false">
      <c r="A360" s="0" t="s">
        <v>229</v>
      </c>
      <c r="B360" s="0" t="s">
        <v>1161</v>
      </c>
      <c r="C360" s="0" t="s">
        <v>934</v>
      </c>
      <c r="D360" s="0" t="n">
        <v>53.29</v>
      </c>
      <c r="E360" s="0" t="s">
        <v>66</v>
      </c>
      <c r="F360" s="0" t="s">
        <v>1162</v>
      </c>
      <c r="G360" s="0" t="s">
        <v>1337</v>
      </c>
      <c r="H360" s="0" t="s">
        <v>233</v>
      </c>
      <c r="I360" s="0" t="s">
        <v>138</v>
      </c>
    </row>
    <row r="361" customFormat="false" ht="15" hidden="false" customHeight="false" outlineLevel="0" collapsed="false">
      <c r="A361" s="0" t="s">
        <v>236</v>
      </c>
      <c r="B361" s="0" t="s">
        <v>1338</v>
      </c>
      <c r="C361" s="0" t="s">
        <v>934</v>
      </c>
      <c r="D361" s="0" t="n">
        <v>2.25</v>
      </c>
      <c r="E361" s="0" t="s">
        <v>66</v>
      </c>
      <c r="F361" s="0" t="s">
        <v>1339</v>
      </c>
      <c r="G361" s="0" t="s">
        <v>1340</v>
      </c>
      <c r="H361" s="0" t="s">
        <v>240</v>
      </c>
      <c r="I361" s="0" t="s">
        <v>138</v>
      </c>
    </row>
    <row r="362" customFormat="false" ht="15" hidden="false" customHeight="false" outlineLevel="0" collapsed="false">
      <c r="A362" s="0" t="s">
        <v>236</v>
      </c>
      <c r="B362" s="0" t="s">
        <v>1341</v>
      </c>
      <c r="C362" s="0" t="s">
        <v>934</v>
      </c>
      <c r="D362" s="0" t="n">
        <v>2.25</v>
      </c>
      <c r="E362" s="0" t="s">
        <v>66</v>
      </c>
      <c r="F362" s="0" t="s">
        <v>1342</v>
      </c>
      <c r="G362" s="0" t="s">
        <v>1343</v>
      </c>
      <c r="H362" s="0" t="s">
        <v>240</v>
      </c>
      <c r="I362" s="0" t="s">
        <v>138</v>
      </c>
    </row>
    <row r="363" customFormat="false" ht="15" hidden="false" customHeight="false" outlineLevel="0" collapsed="false">
      <c r="A363" s="0" t="s">
        <v>236</v>
      </c>
      <c r="B363" s="0" t="s">
        <v>1319</v>
      </c>
      <c r="C363" s="0" t="s">
        <v>934</v>
      </c>
      <c r="D363" s="0" t="n">
        <v>25.38</v>
      </c>
      <c r="E363" s="0" t="s">
        <v>66</v>
      </c>
      <c r="F363" s="0" t="s">
        <v>1344</v>
      </c>
      <c r="G363" s="0" t="s">
        <v>1345</v>
      </c>
      <c r="H363" s="0" t="s">
        <v>240</v>
      </c>
      <c r="I363" s="0" t="s">
        <v>138</v>
      </c>
    </row>
    <row r="364" customFormat="false" ht="15" hidden="false" customHeight="false" outlineLevel="0" collapsed="false">
      <c r="A364" s="0" t="s">
        <v>236</v>
      </c>
      <c r="B364" s="0" t="s">
        <v>1232</v>
      </c>
      <c r="C364" s="0" t="s">
        <v>934</v>
      </c>
      <c r="D364" s="0" t="n">
        <v>9.88</v>
      </c>
      <c r="E364" s="0" t="s">
        <v>66</v>
      </c>
      <c r="F364" s="0" t="s">
        <v>1346</v>
      </c>
      <c r="G364" s="0" t="s">
        <v>1347</v>
      </c>
      <c r="H364" s="0" t="s">
        <v>240</v>
      </c>
      <c r="I364" s="0" t="s">
        <v>138</v>
      </c>
    </row>
    <row r="365" customFormat="false" ht="15" hidden="false" customHeight="false" outlineLevel="0" collapsed="false">
      <c r="A365" s="0" t="s">
        <v>243</v>
      </c>
      <c r="B365" s="0" t="s">
        <v>1319</v>
      </c>
      <c r="C365" s="0" t="s">
        <v>934</v>
      </c>
      <c r="D365" s="2" t="s">
        <v>935</v>
      </c>
      <c r="E365" s="3" t="s">
        <v>690</v>
      </c>
      <c r="F365" s="3" t="s">
        <v>1348</v>
      </c>
      <c r="G365" s="3" t="s">
        <v>1349</v>
      </c>
      <c r="H365" s="3" t="s">
        <v>247</v>
      </c>
      <c r="I365" s="3" t="s">
        <v>138</v>
      </c>
    </row>
    <row r="366" customFormat="false" ht="15" hidden="false" customHeight="false" outlineLevel="0" collapsed="false">
      <c r="A366" s="0" t="s">
        <v>243</v>
      </c>
      <c r="B366" s="0" t="s">
        <v>938</v>
      </c>
      <c r="C366" s="0" t="s">
        <v>934</v>
      </c>
      <c r="D366" s="0" t="n">
        <v>4</v>
      </c>
      <c r="E366" s="0" t="s">
        <v>66</v>
      </c>
      <c r="F366" s="0" t="s">
        <v>1350</v>
      </c>
      <c r="G366" s="0" t="s">
        <v>1351</v>
      </c>
      <c r="H366" s="0" t="s">
        <v>247</v>
      </c>
      <c r="I366" s="0" t="s">
        <v>138</v>
      </c>
    </row>
    <row r="367" customFormat="false" ht="15" hidden="false" customHeight="false" outlineLevel="0" collapsed="false">
      <c r="A367" s="0" t="s">
        <v>243</v>
      </c>
      <c r="B367" s="0" t="s">
        <v>1352</v>
      </c>
      <c r="C367" s="0" t="s">
        <v>934</v>
      </c>
      <c r="D367" s="0" t="n">
        <v>4</v>
      </c>
      <c r="E367" s="0" t="s">
        <v>66</v>
      </c>
      <c r="F367" s="0" t="s">
        <v>1350</v>
      </c>
      <c r="G367" s="0" t="s">
        <v>1351</v>
      </c>
      <c r="H367" s="0" t="s">
        <v>247</v>
      </c>
      <c r="I367" s="0" t="s">
        <v>138</v>
      </c>
    </row>
    <row r="368" customFormat="false" ht="15" hidden="false" customHeight="false" outlineLevel="0" collapsed="false">
      <c r="A368" s="0" t="s">
        <v>243</v>
      </c>
      <c r="B368" s="0" t="s">
        <v>1353</v>
      </c>
      <c r="C368" s="0" t="s">
        <v>948</v>
      </c>
      <c r="D368" s="2" t="s">
        <v>935</v>
      </c>
      <c r="E368" s="3" t="s">
        <v>690</v>
      </c>
      <c r="F368" s="3" t="s">
        <v>1354</v>
      </c>
      <c r="G368" s="3" t="s">
        <v>1355</v>
      </c>
      <c r="H368" s="3" t="s">
        <v>247</v>
      </c>
      <c r="I368" s="3" t="s">
        <v>138</v>
      </c>
    </row>
    <row r="369" customFormat="false" ht="15" hidden="false" customHeight="false" outlineLevel="0" collapsed="false">
      <c r="A369" s="0" t="s">
        <v>243</v>
      </c>
      <c r="B369" s="0" t="s">
        <v>1049</v>
      </c>
      <c r="C369" s="0" t="s">
        <v>934</v>
      </c>
      <c r="D369" s="2" t="s">
        <v>935</v>
      </c>
      <c r="E369" s="3" t="s">
        <v>690</v>
      </c>
      <c r="F369" s="3" t="s">
        <v>1356</v>
      </c>
      <c r="G369" s="3" t="s">
        <v>1357</v>
      </c>
      <c r="H369" s="3" t="s">
        <v>247</v>
      </c>
      <c r="I369" s="3" t="s">
        <v>138</v>
      </c>
    </row>
    <row r="370" customFormat="false" ht="15" hidden="false" customHeight="false" outlineLevel="0" collapsed="false">
      <c r="A370" s="0" t="s">
        <v>250</v>
      </c>
      <c r="B370" s="0" t="s">
        <v>1319</v>
      </c>
      <c r="C370" s="0" t="s">
        <v>934</v>
      </c>
      <c r="D370" s="2" t="s">
        <v>935</v>
      </c>
      <c r="E370" s="3" t="s">
        <v>690</v>
      </c>
      <c r="F370" s="3" t="s">
        <v>1348</v>
      </c>
      <c r="G370" s="3" t="s">
        <v>1358</v>
      </c>
      <c r="H370" s="3" t="s">
        <v>247</v>
      </c>
      <c r="I370" s="3" t="s">
        <v>138</v>
      </c>
    </row>
    <row r="371" customFormat="false" ht="15" hidden="false" customHeight="false" outlineLevel="0" collapsed="false">
      <c r="A371" s="0" t="s">
        <v>250</v>
      </c>
      <c r="B371" s="0" t="s">
        <v>938</v>
      </c>
      <c r="C371" s="0" t="s">
        <v>934</v>
      </c>
      <c r="D371" s="0" t="n">
        <v>1.71</v>
      </c>
      <c r="E371" s="0" t="s">
        <v>66</v>
      </c>
      <c r="F371" s="0" t="s">
        <v>1350</v>
      </c>
      <c r="G371" s="0" t="s">
        <v>1359</v>
      </c>
      <c r="H371" s="0" t="s">
        <v>247</v>
      </c>
      <c r="I371" s="0" t="s">
        <v>138</v>
      </c>
    </row>
    <row r="372" customFormat="false" ht="15" hidden="false" customHeight="false" outlineLevel="0" collapsed="false">
      <c r="A372" s="0" t="s">
        <v>250</v>
      </c>
      <c r="B372" s="0" t="s">
        <v>1352</v>
      </c>
      <c r="C372" s="0" t="s">
        <v>934</v>
      </c>
      <c r="D372" s="0" t="n">
        <v>1.71</v>
      </c>
      <c r="E372" s="0" t="s">
        <v>66</v>
      </c>
      <c r="F372" s="0" t="s">
        <v>1350</v>
      </c>
      <c r="G372" s="0" t="s">
        <v>1359</v>
      </c>
      <c r="H372" s="0" t="s">
        <v>247</v>
      </c>
      <c r="I372" s="0" t="s">
        <v>138</v>
      </c>
    </row>
    <row r="373" customFormat="false" ht="15" hidden="false" customHeight="false" outlineLevel="0" collapsed="false">
      <c r="A373" s="0" t="s">
        <v>250</v>
      </c>
      <c r="B373" s="0" t="s">
        <v>1353</v>
      </c>
      <c r="C373" s="0" t="s">
        <v>948</v>
      </c>
      <c r="D373" s="2" t="s">
        <v>935</v>
      </c>
      <c r="E373" s="3" t="s">
        <v>690</v>
      </c>
      <c r="F373" s="3" t="s">
        <v>1354</v>
      </c>
      <c r="G373" s="3" t="s">
        <v>1360</v>
      </c>
      <c r="H373" s="3" t="s">
        <v>247</v>
      </c>
      <c r="I373" s="3" t="s">
        <v>138</v>
      </c>
    </row>
    <row r="374" customFormat="false" ht="15" hidden="false" customHeight="false" outlineLevel="0" collapsed="false">
      <c r="A374" s="0" t="s">
        <v>250</v>
      </c>
      <c r="B374" s="0" t="s">
        <v>1049</v>
      </c>
      <c r="C374" s="0" t="s">
        <v>934</v>
      </c>
      <c r="D374" s="2" t="s">
        <v>935</v>
      </c>
      <c r="E374" s="3" t="s">
        <v>690</v>
      </c>
      <c r="F374" s="3" t="s">
        <v>1356</v>
      </c>
      <c r="G374" s="3" t="s">
        <v>1361</v>
      </c>
      <c r="H374" s="3" t="s">
        <v>247</v>
      </c>
      <c r="I374" s="3" t="s">
        <v>138</v>
      </c>
    </row>
    <row r="375" customFormat="false" ht="15" hidden="false" customHeight="false" outlineLevel="0" collapsed="false">
      <c r="A375" s="0" t="s">
        <v>254</v>
      </c>
      <c r="B375" s="0" t="s">
        <v>1319</v>
      </c>
      <c r="C375" s="0" t="s">
        <v>934</v>
      </c>
      <c r="D375" s="2" t="s">
        <v>935</v>
      </c>
      <c r="E375" s="3" t="s">
        <v>690</v>
      </c>
      <c r="F375" s="3" t="s">
        <v>1348</v>
      </c>
      <c r="G375" s="3" t="s">
        <v>1362</v>
      </c>
      <c r="H375" s="3" t="s">
        <v>247</v>
      </c>
      <c r="I375" s="3" t="s">
        <v>138</v>
      </c>
    </row>
    <row r="376" customFormat="false" ht="15" hidden="false" customHeight="false" outlineLevel="0" collapsed="false">
      <c r="A376" s="0" t="s">
        <v>254</v>
      </c>
      <c r="B376" s="0" t="s">
        <v>938</v>
      </c>
      <c r="C376" s="0" t="s">
        <v>934</v>
      </c>
      <c r="D376" s="0" t="n">
        <v>11.33</v>
      </c>
      <c r="E376" s="0" t="s">
        <v>66</v>
      </c>
      <c r="F376" s="0" t="s">
        <v>1350</v>
      </c>
      <c r="G376" s="0" t="s">
        <v>1363</v>
      </c>
      <c r="H376" s="0" t="s">
        <v>247</v>
      </c>
      <c r="I376" s="0" t="s">
        <v>138</v>
      </c>
    </row>
    <row r="377" customFormat="false" ht="15" hidden="false" customHeight="false" outlineLevel="0" collapsed="false">
      <c r="A377" s="0" t="s">
        <v>254</v>
      </c>
      <c r="B377" s="0" t="s">
        <v>1352</v>
      </c>
      <c r="C377" s="0" t="s">
        <v>934</v>
      </c>
      <c r="D377" s="0" t="n">
        <v>11.33</v>
      </c>
      <c r="E377" s="0" t="s">
        <v>66</v>
      </c>
      <c r="F377" s="0" t="s">
        <v>1350</v>
      </c>
      <c r="G377" s="0" t="s">
        <v>1363</v>
      </c>
      <c r="H377" s="0" t="s">
        <v>247</v>
      </c>
      <c r="I377" s="0" t="s">
        <v>138</v>
      </c>
    </row>
    <row r="378" customFormat="false" ht="15" hidden="false" customHeight="false" outlineLevel="0" collapsed="false">
      <c r="A378" s="0" t="s">
        <v>254</v>
      </c>
      <c r="B378" s="0" t="s">
        <v>1353</v>
      </c>
      <c r="C378" s="0" t="s">
        <v>948</v>
      </c>
      <c r="D378" s="2" t="s">
        <v>935</v>
      </c>
      <c r="E378" s="3" t="s">
        <v>690</v>
      </c>
      <c r="F378" s="3" t="s">
        <v>1354</v>
      </c>
      <c r="G378" s="3" t="s">
        <v>1364</v>
      </c>
      <c r="H378" s="3" t="s">
        <v>247</v>
      </c>
      <c r="I378" s="3" t="s">
        <v>138</v>
      </c>
    </row>
    <row r="379" customFormat="false" ht="15" hidden="false" customHeight="false" outlineLevel="0" collapsed="false">
      <c r="A379" s="0" t="s">
        <v>254</v>
      </c>
      <c r="B379" s="0" t="s">
        <v>1049</v>
      </c>
      <c r="C379" s="0" t="s">
        <v>934</v>
      </c>
      <c r="D379" s="2" t="s">
        <v>935</v>
      </c>
      <c r="E379" s="3" t="s">
        <v>690</v>
      </c>
      <c r="F379" s="3" t="s">
        <v>1356</v>
      </c>
      <c r="G379" s="3" t="s">
        <v>1361</v>
      </c>
      <c r="H379" s="3" t="s">
        <v>247</v>
      </c>
      <c r="I379" s="3" t="s">
        <v>138</v>
      </c>
    </row>
    <row r="380" customFormat="false" ht="15" hidden="false" customHeight="false" outlineLevel="0" collapsed="false">
      <c r="A380" s="0" t="s">
        <v>258</v>
      </c>
      <c r="B380" s="0" t="s">
        <v>1319</v>
      </c>
      <c r="C380" s="0" t="s">
        <v>934</v>
      </c>
      <c r="D380" s="0" t="n">
        <v>117.49</v>
      </c>
      <c r="E380" s="0" t="s">
        <v>66</v>
      </c>
      <c r="F380" s="0" t="s">
        <v>1348</v>
      </c>
      <c r="G380" s="0" t="s">
        <v>1365</v>
      </c>
      <c r="H380" s="0" t="s">
        <v>247</v>
      </c>
      <c r="I380" s="0" t="s">
        <v>138</v>
      </c>
    </row>
    <row r="381" customFormat="false" ht="15" hidden="false" customHeight="false" outlineLevel="0" collapsed="false">
      <c r="A381" s="0" t="s">
        <v>258</v>
      </c>
      <c r="B381" s="0" t="s">
        <v>938</v>
      </c>
      <c r="C381" s="0" t="s">
        <v>934</v>
      </c>
      <c r="D381" s="0" t="n">
        <v>10.03</v>
      </c>
      <c r="E381" s="0" t="s">
        <v>66</v>
      </c>
      <c r="F381" s="0" t="s">
        <v>1350</v>
      </c>
      <c r="G381" s="0" t="s">
        <v>1366</v>
      </c>
      <c r="H381" s="0" t="s">
        <v>247</v>
      </c>
      <c r="I381" s="0" t="s">
        <v>138</v>
      </c>
    </row>
    <row r="382" customFormat="false" ht="15" hidden="false" customHeight="false" outlineLevel="0" collapsed="false">
      <c r="A382" s="0" t="s">
        <v>258</v>
      </c>
      <c r="B382" s="0" t="s">
        <v>1352</v>
      </c>
      <c r="C382" s="0" t="s">
        <v>934</v>
      </c>
      <c r="D382" s="0" t="n">
        <v>10.03</v>
      </c>
      <c r="E382" s="0" t="s">
        <v>66</v>
      </c>
      <c r="F382" s="0" t="s">
        <v>1350</v>
      </c>
      <c r="G382" s="0" t="s">
        <v>1366</v>
      </c>
      <c r="H382" s="0" t="s">
        <v>247</v>
      </c>
      <c r="I382" s="0" t="s">
        <v>138</v>
      </c>
    </row>
    <row r="383" customFormat="false" ht="15" hidden="false" customHeight="false" outlineLevel="0" collapsed="false">
      <c r="A383" s="0" t="s">
        <v>258</v>
      </c>
      <c r="B383" s="0" t="s">
        <v>1353</v>
      </c>
      <c r="C383" s="0" t="s">
        <v>948</v>
      </c>
      <c r="D383" s="2" t="s">
        <v>935</v>
      </c>
      <c r="E383" s="3" t="s">
        <v>690</v>
      </c>
      <c r="F383" s="3" t="s">
        <v>1354</v>
      </c>
      <c r="G383" s="3" t="s">
        <v>1367</v>
      </c>
      <c r="H383" s="3" t="s">
        <v>247</v>
      </c>
      <c r="I383" s="3" t="s">
        <v>138</v>
      </c>
    </row>
    <row r="384" customFormat="false" ht="15" hidden="false" customHeight="false" outlineLevel="0" collapsed="false">
      <c r="A384" s="0" t="s">
        <v>263</v>
      </c>
      <c r="B384" s="0" t="s">
        <v>1319</v>
      </c>
      <c r="C384" s="0" t="s">
        <v>934</v>
      </c>
      <c r="D384" s="0" t="n">
        <v>117.49</v>
      </c>
      <c r="E384" s="0" t="s">
        <v>66</v>
      </c>
      <c r="F384" s="0" t="s">
        <v>1348</v>
      </c>
      <c r="G384" s="0" t="s">
        <v>1368</v>
      </c>
      <c r="H384" s="0" t="s">
        <v>247</v>
      </c>
      <c r="I384" s="0" t="s">
        <v>138</v>
      </c>
    </row>
    <row r="385" customFormat="false" ht="15" hidden="false" customHeight="false" outlineLevel="0" collapsed="false">
      <c r="A385" s="0" t="s">
        <v>263</v>
      </c>
      <c r="B385" s="0" t="s">
        <v>938</v>
      </c>
      <c r="C385" s="0" t="s">
        <v>934</v>
      </c>
      <c r="D385" s="0" t="n">
        <v>10.03</v>
      </c>
      <c r="E385" s="0" t="s">
        <v>66</v>
      </c>
      <c r="F385" s="0" t="s">
        <v>1350</v>
      </c>
      <c r="G385" s="0" t="s">
        <v>1366</v>
      </c>
      <c r="H385" s="0" t="s">
        <v>247</v>
      </c>
      <c r="I385" s="0" t="s">
        <v>138</v>
      </c>
    </row>
    <row r="386" customFormat="false" ht="15" hidden="false" customHeight="false" outlineLevel="0" collapsed="false">
      <c r="A386" s="0" t="s">
        <v>263</v>
      </c>
      <c r="B386" s="0" t="s">
        <v>1352</v>
      </c>
      <c r="C386" s="0" t="s">
        <v>934</v>
      </c>
      <c r="D386" s="0" t="n">
        <v>10.03</v>
      </c>
      <c r="E386" s="0" t="s">
        <v>66</v>
      </c>
      <c r="F386" s="0" t="s">
        <v>1350</v>
      </c>
      <c r="G386" s="0" t="s">
        <v>1366</v>
      </c>
      <c r="H386" s="0" t="s">
        <v>247</v>
      </c>
      <c r="I386" s="0" t="s">
        <v>138</v>
      </c>
    </row>
    <row r="387" customFormat="false" ht="15" hidden="false" customHeight="false" outlineLevel="0" collapsed="false">
      <c r="A387" s="0" t="s">
        <v>263</v>
      </c>
      <c r="B387" s="0" t="s">
        <v>1353</v>
      </c>
      <c r="C387" s="0" t="s">
        <v>948</v>
      </c>
      <c r="D387" s="2" t="s">
        <v>935</v>
      </c>
      <c r="E387" s="3" t="s">
        <v>690</v>
      </c>
      <c r="F387" s="3" t="s">
        <v>1354</v>
      </c>
      <c r="G387" s="3" t="s">
        <v>1369</v>
      </c>
      <c r="H387" s="3" t="s">
        <v>247</v>
      </c>
      <c r="I387" s="3" t="s">
        <v>138</v>
      </c>
    </row>
    <row r="388" customFormat="false" ht="15" hidden="false" customHeight="false" outlineLevel="0" collapsed="false">
      <c r="A388" s="0" t="s">
        <v>268</v>
      </c>
      <c r="B388" s="0" t="s">
        <v>1319</v>
      </c>
      <c r="C388" s="0" t="s">
        <v>934</v>
      </c>
      <c r="D388" s="2" t="s">
        <v>935</v>
      </c>
      <c r="E388" s="3" t="s">
        <v>690</v>
      </c>
      <c r="F388" s="3" t="s">
        <v>1348</v>
      </c>
      <c r="G388" s="3" t="s">
        <v>1370</v>
      </c>
      <c r="H388" s="3" t="s">
        <v>247</v>
      </c>
      <c r="I388" s="3" t="s">
        <v>138</v>
      </c>
    </row>
    <row r="389" customFormat="false" ht="15" hidden="false" customHeight="false" outlineLevel="0" collapsed="false">
      <c r="A389" s="0" t="s">
        <v>268</v>
      </c>
      <c r="B389" s="0" t="s">
        <v>938</v>
      </c>
      <c r="C389" s="0" t="s">
        <v>934</v>
      </c>
      <c r="D389" s="0" t="n">
        <v>4.14</v>
      </c>
      <c r="E389" s="0" t="s">
        <v>66</v>
      </c>
      <c r="F389" s="0" t="s">
        <v>1350</v>
      </c>
      <c r="G389" s="0" t="s">
        <v>1371</v>
      </c>
      <c r="H389" s="0" t="s">
        <v>247</v>
      </c>
      <c r="I389" s="0" t="s">
        <v>138</v>
      </c>
    </row>
    <row r="390" customFormat="false" ht="15" hidden="false" customHeight="false" outlineLevel="0" collapsed="false">
      <c r="A390" s="0" t="s">
        <v>268</v>
      </c>
      <c r="B390" s="0" t="s">
        <v>1352</v>
      </c>
      <c r="C390" s="0" t="s">
        <v>934</v>
      </c>
      <c r="D390" s="0" t="n">
        <v>4.14</v>
      </c>
      <c r="E390" s="0" t="s">
        <v>66</v>
      </c>
      <c r="F390" s="0" t="s">
        <v>1350</v>
      </c>
      <c r="G390" s="0" t="s">
        <v>1371</v>
      </c>
      <c r="H390" s="0" t="s">
        <v>247</v>
      </c>
      <c r="I390" s="0" t="s">
        <v>138</v>
      </c>
    </row>
    <row r="391" customFormat="false" ht="15" hidden="false" customHeight="false" outlineLevel="0" collapsed="false">
      <c r="A391" s="0" t="s">
        <v>268</v>
      </c>
      <c r="B391" s="0" t="s">
        <v>1353</v>
      </c>
      <c r="C391" s="0" t="s">
        <v>948</v>
      </c>
      <c r="D391" s="2" t="s">
        <v>935</v>
      </c>
      <c r="E391" s="3" t="s">
        <v>690</v>
      </c>
      <c r="F391" s="3" t="s">
        <v>1354</v>
      </c>
      <c r="G391" s="3" t="s">
        <v>1372</v>
      </c>
      <c r="H391" s="3" t="s">
        <v>247</v>
      </c>
      <c r="I391" s="3" t="s">
        <v>138</v>
      </c>
    </row>
    <row r="392" customFormat="false" ht="15" hidden="false" customHeight="false" outlineLevel="0" collapsed="false">
      <c r="A392" s="0" t="s">
        <v>268</v>
      </c>
      <c r="B392" s="0" t="s">
        <v>1049</v>
      </c>
      <c r="C392" s="0" t="s">
        <v>934</v>
      </c>
      <c r="D392" s="2" t="s">
        <v>935</v>
      </c>
      <c r="E392" s="3" t="s">
        <v>690</v>
      </c>
      <c r="F392" s="3" t="s">
        <v>1356</v>
      </c>
      <c r="G392" s="3" t="s">
        <v>1361</v>
      </c>
      <c r="H392" s="3" t="s">
        <v>247</v>
      </c>
      <c r="I392" s="3" t="s">
        <v>138</v>
      </c>
    </row>
    <row r="393" customFormat="false" ht="15" hidden="false" customHeight="false" outlineLevel="0" collapsed="false">
      <c r="A393" s="0" t="s">
        <v>272</v>
      </c>
      <c r="B393" s="0" t="s">
        <v>1373</v>
      </c>
      <c r="C393" s="0" t="s">
        <v>934</v>
      </c>
      <c r="D393" s="0" t="n">
        <v>7.5</v>
      </c>
      <c r="E393" s="0" t="s">
        <v>66</v>
      </c>
      <c r="F393" s="0" t="s">
        <v>1374</v>
      </c>
      <c r="G393" s="0" t="s">
        <v>1375</v>
      </c>
      <c r="H393" s="0" t="s">
        <v>276</v>
      </c>
      <c r="I393" s="0" t="s">
        <v>138</v>
      </c>
    </row>
    <row r="394" customFormat="false" ht="15" hidden="false" customHeight="false" outlineLevel="0" collapsed="false">
      <c r="A394" s="0" t="s">
        <v>272</v>
      </c>
      <c r="B394" s="0" t="s">
        <v>1235</v>
      </c>
      <c r="C394" s="0" t="s">
        <v>934</v>
      </c>
      <c r="D394" s="0" t="n">
        <v>88</v>
      </c>
      <c r="E394" s="0" t="s">
        <v>66</v>
      </c>
      <c r="F394" s="0" t="s">
        <v>1376</v>
      </c>
      <c r="G394" s="0" t="s">
        <v>1377</v>
      </c>
      <c r="H394" s="0" t="s">
        <v>276</v>
      </c>
      <c r="I394" s="0" t="s">
        <v>138</v>
      </c>
    </row>
    <row r="395" customFormat="false" ht="15" hidden="false" customHeight="false" outlineLevel="0" collapsed="false">
      <c r="A395" s="0" t="s">
        <v>272</v>
      </c>
      <c r="B395" s="0" t="s">
        <v>1235</v>
      </c>
      <c r="C395" s="0" t="s">
        <v>934</v>
      </c>
      <c r="D395" s="0" t="n">
        <v>123</v>
      </c>
      <c r="E395" s="0" t="s">
        <v>66</v>
      </c>
      <c r="F395" s="0" t="s">
        <v>1378</v>
      </c>
      <c r="G395" s="0" t="s">
        <v>1379</v>
      </c>
      <c r="H395" s="0" t="s">
        <v>276</v>
      </c>
      <c r="I395" s="0" t="s">
        <v>138</v>
      </c>
    </row>
    <row r="396" customFormat="false" ht="15" hidden="false" customHeight="false" outlineLevel="0" collapsed="false">
      <c r="A396" s="0" t="s">
        <v>272</v>
      </c>
      <c r="B396" s="0" t="s">
        <v>1241</v>
      </c>
      <c r="C396" s="0" t="s">
        <v>934</v>
      </c>
      <c r="D396" s="0" t="n">
        <v>15</v>
      </c>
      <c r="E396" s="0" t="s">
        <v>66</v>
      </c>
      <c r="F396" s="0" t="s">
        <v>1380</v>
      </c>
      <c r="G396" s="0" t="s">
        <v>1381</v>
      </c>
      <c r="H396" s="0" t="s">
        <v>276</v>
      </c>
      <c r="I396" s="0" t="s">
        <v>138</v>
      </c>
    </row>
    <row r="397" customFormat="false" ht="15" hidden="false" customHeight="false" outlineLevel="0" collapsed="false">
      <c r="A397" s="0" t="s">
        <v>272</v>
      </c>
      <c r="B397" s="0" t="s">
        <v>1242</v>
      </c>
      <c r="C397" s="0" t="s">
        <v>948</v>
      </c>
      <c r="D397" s="0" t="n">
        <v>110</v>
      </c>
      <c r="E397" s="0" t="s">
        <v>66</v>
      </c>
      <c r="F397" s="0" t="s">
        <v>1382</v>
      </c>
      <c r="G397" s="0" t="s">
        <v>1383</v>
      </c>
      <c r="H397" s="0" t="s">
        <v>276</v>
      </c>
      <c r="I397" s="0" t="s">
        <v>138</v>
      </c>
    </row>
    <row r="398" customFormat="false" ht="15" hidden="false" customHeight="false" outlineLevel="0" collapsed="false">
      <c r="A398" s="0" t="s">
        <v>272</v>
      </c>
      <c r="B398" s="0" t="s">
        <v>1242</v>
      </c>
      <c r="C398" s="0" t="s">
        <v>948</v>
      </c>
      <c r="D398" s="0" t="n">
        <v>110</v>
      </c>
      <c r="E398" s="0" t="s">
        <v>66</v>
      </c>
      <c r="F398" s="0" t="s">
        <v>1245</v>
      </c>
      <c r="G398" s="0" t="s">
        <v>1384</v>
      </c>
      <c r="H398" s="0" t="s">
        <v>276</v>
      </c>
      <c r="I398" s="0" t="s">
        <v>138</v>
      </c>
    </row>
    <row r="399" customFormat="false" ht="15" hidden="false" customHeight="false" outlineLevel="0" collapsed="false">
      <c r="A399" s="0" t="s">
        <v>272</v>
      </c>
      <c r="B399" s="0" t="s">
        <v>1385</v>
      </c>
      <c r="C399" s="0" t="s">
        <v>948</v>
      </c>
      <c r="D399" s="0" t="n">
        <v>3.85</v>
      </c>
      <c r="E399" s="0" t="s">
        <v>66</v>
      </c>
      <c r="F399" s="0" t="s">
        <v>1386</v>
      </c>
      <c r="G399" s="0" t="s">
        <v>1387</v>
      </c>
      <c r="H399" s="0" t="s">
        <v>276</v>
      </c>
      <c r="I399" s="0" t="s">
        <v>138</v>
      </c>
    </row>
    <row r="400" customFormat="false" ht="15" hidden="false" customHeight="false" outlineLevel="0" collapsed="false">
      <c r="A400" s="0" t="s">
        <v>272</v>
      </c>
      <c r="B400" s="0" t="s">
        <v>1388</v>
      </c>
      <c r="C400" s="0" t="s">
        <v>934</v>
      </c>
      <c r="D400" s="0" t="n">
        <v>23.58</v>
      </c>
      <c r="E400" s="0" t="s">
        <v>66</v>
      </c>
      <c r="F400" s="0" t="s">
        <v>1389</v>
      </c>
      <c r="G400" s="0" t="s">
        <v>1390</v>
      </c>
      <c r="H400" s="0" t="s">
        <v>276</v>
      </c>
      <c r="I400" s="0" t="s">
        <v>138</v>
      </c>
    </row>
    <row r="401" customFormat="false" ht="15" hidden="false" customHeight="false" outlineLevel="0" collapsed="false">
      <c r="A401" s="0" t="s">
        <v>272</v>
      </c>
      <c r="B401" s="0" t="s">
        <v>1049</v>
      </c>
      <c r="C401" s="0" t="s">
        <v>934</v>
      </c>
      <c r="D401" s="0" t="n">
        <v>47.17</v>
      </c>
      <c r="E401" s="0" t="s">
        <v>66</v>
      </c>
      <c r="F401" s="0" t="s">
        <v>1391</v>
      </c>
      <c r="G401" s="0" t="s">
        <v>1392</v>
      </c>
      <c r="H401" s="0" t="s">
        <v>276</v>
      </c>
      <c r="I401" s="0" t="s">
        <v>138</v>
      </c>
    </row>
    <row r="402" customFormat="false" ht="15" hidden="false" customHeight="false" outlineLevel="0" collapsed="false">
      <c r="A402" s="0" t="s">
        <v>272</v>
      </c>
      <c r="B402" s="0" t="s">
        <v>1393</v>
      </c>
      <c r="C402" s="0" t="s">
        <v>934</v>
      </c>
      <c r="D402" s="0" t="n">
        <v>7.5</v>
      </c>
      <c r="E402" s="0" t="s">
        <v>66</v>
      </c>
      <c r="F402" s="0" t="s">
        <v>1394</v>
      </c>
      <c r="G402" s="0" t="s">
        <v>1395</v>
      </c>
      <c r="H402" s="0" t="s">
        <v>276</v>
      </c>
      <c r="I402" s="0" t="s">
        <v>138</v>
      </c>
    </row>
    <row r="403" customFormat="false" ht="15" hidden="false" customHeight="false" outlineLevel="0" collapsed="false">
      <c r="A403" s="0" t="s">
        <v>272</v>
      </c>
      <c r="B403" s="0" t="s">
        <v>1158</v>
      </c>
      <c r="C403" s="0" t="s">
        <v>934</v>
      </c>
      <c r="D403" s="0" t="n">
        <v>62.17</v>
      </c>
      <c r="E403" s="0" t="s">
        <v>66</v>
      </c>
      <c r="F403" s="0" t="s">
        <v>1396</v>
      </c>
      <c r="G403" s="0" t="s">
        <v>1397</v>
      </c>
      <c r="H403" s="0" t="s">
        <v>276</v>
      </c>
      <c r="I403" s="0" t="s">
        <v>138</v>
      </c>
    </row>
    <row r="404" customFormat="false" ht="15" hidden="false" customHeight="false" outlineLevel="0" collapsed="false">
      <c r="A404" s="0" t="s">
        <v>272</v>
      </c>
      <c r="B404" s="0" t="s">
        <v>1398</v>
      </c>
      <c r="C404" s="0" t="s">
        <v>948</v>
      </c>
      <c r="D404" s="0" t="n">
        <v>55</v>
      </c>
      <c r="E404" s="0" t="s">
        <v>66</v>
      </c>
      <c r="F404" s="0" t="s">
        <v>1399</v>
      </c>
      <c r="G404" s="0" t="s">
        <v>1400</v>
      </c>
      <c r="H404" s="0" t="s">
        <v>276</v>
      </c>
      <c r="I404" s="0" t="s">
        <v>138</v>
      </c>
    </row>
    <row r="405" customFormat="false" ht="15" hidden="false" customHeight="false" outlineLevel="0" collapsed="false">
      <c r="A405" s="0" t="s">
        <v>272</v>
      </c>
      <c r="B405" s="0" t="s">
        <v>1253</v>
      </c>
      <c r="C405" s="0" t="s">
        <v>1254</v>
      </c>
      <c r="D405" s="2" t="s">
        <v>935</v>
      </c>
      <c r="E405" s="3" t="s">
        <v>690</v>
      </c>
      <c r="F405" s="3" t="s">
        <v>1401</v>
      </c>
      <c r="G405" s="3" t="s">
        <v>1402</v>
      </c>
      <c r="H405" s="3" t="s">
        <v>276</v>
      </c>
      <c r="I405" s="3" t="s">
        <v>138</v>
      </c>
    </row>
    <row r="406" customFormat="false" ht="15" hidden="false" customHeight="false" outlineLevel="0" collapsed="false">
      <c r="A406" s="0" t="s">
        <v>279</v>
      </c>
      <c r="B406" s="0" t="s">
        <v>1373</v>
      </c>
      <c r="C406" s="0" t="s">
        <v>934</v>
      </c>
      <c r="D406" s="0" t="n">
        <v>7.5</v>
      </c>
      <c r="E406" s="0" t="s">
        <v>66</v>
      </c>
      <c r="F406" s="0" t="s">
        <v>1374</v>
      </c>
      <c r="G406" s="0" t="s">
        <v>1375</v>
      </c>
      <c r="H406" s="0" t="s">
        <v>276</v>
      </c>
      <c r="I406" s="0" t="s">
        <v>138</v>
      </c>
    </row>
    <row r="407" customFormat="false" ht="15" hidden="false" customHeight="false" outlineLevel="0" collapsed="false">
      <c r="A407" s="0" t="s">
        <v>279</v>
      </c>
      <c r="B407" s="0" t="s">
        <v>1235</v>
      </c>
      <c r="C407" s="0" t="s">
        <v>934</v>
      </c>
      <c r="D407" s="0" t="n">
        <v>88</v>
      </c>
      <c r="E407" s="0" t="s">
        <v>66</v>
      </c>
      <c r="F407" s="0" t="s">
        <v>1376</v>
      </c>
      <c r="G407" s="0" t="s">
        <v>1377</v>
      </c>
      <c r="H407" s="0" t="s">
        <v>276</v>
      </c>
      <c r="I407" s="0" t="s">
        <v>138</v>
      </c>
    </row>
    <row r="408" customFormat="false" ht="15" hidden="false" customHeight="false" outlineLevel="0" collapsed="false">
      <c r="A408" s="0" t="s">
        <v>279</v>
      </c>
      <c r="B408" s="0" t="s">
        <v>1235</v>
      </c>
      <c r="C408" s="0" t="s">
        <v>934</v>
      </c>
      <c r="D408" s="0" t="n">
        <v>123</v>
      </c>
      <c r="E408" s="0" t="s">
        <v>66</v>
      </c>
      <c r="F408" s="0" t="s">
        <v>1378</v>
      </c>
      <c r="G408" s="0" t="s">
        <v>1379</v>
      </c>
      <c r="H408" s="0" t="s">
        <v>276</v>
      </c>
      <c r="I408" s="0" t="s">
        <v>138</v>
      </c>
    </row>
    <row r="409" customFormat="false" ht="15" hidden="false" customHeight="false" outlineLevel="0" collapsed="false">
      <c r="A409" s="0" t="s">
        <v>279</v>
      </c>
      <c r="B409" s="0" t="s">
        <v>1241</v>
      </c>
      <c r="C409" s="0" t="s">
        <v>934</v>
      </c>
      <c r="D409" s="0" t="n">
        <v>15</v>
      </c>
      <c r="E409" s="0" t="s">
        <v>66</v>
      </c>
      <c r="F409" s="0" t="s">
        <v>1380</v>
      </c>
      <c r="G409" s="0" t="s">
        <v>1381</v>
      </c>
      <c r="H409" s="0" t="s">
        <v>276</v>
      </c>
      <c r="I409" s="0" t="s">
        <v>138</v>
      </c>
    </row>
    <row r="410" customFormat="false" ht="15" hidden="false" customHeight="false" outlineLevel="0" collapsed="false">
      <c r="A410" s="0" t="s">
        <v>279</v>
      </c>
      <c r="B410" s="0" t="s">
        <v>1242</v>
      </c>
      <c r="C410" s="0" t="s">
        <v>948</v>
      </c>
      <c r="D410" s="0" t="n">
        <v>110</v>
      </c>
      <c r="E410" s="0" t="s">
        <v>66</v>
      </c>
      <c r="F410" s="0" t="s">
        <v>1382</v>
      </c>
      <c r="G410" s="0" t="s">
        <v>1383</v>
      </c>
      <c r="H410" s="0" t="s">
        <v>276</v>
      </c>
      <c r="I410" s="0" t="s">
        <v>138</v>
      </c>
    </row>
    <row r="411" customFormat="false" ht="15" hidden="false" customHeight="false" outlineLevel="0" collapsed="false">
      <c r="A411" s="0" t="s">
        <v>279</v>
      </c>
      <c r="B411" s="0" t="s">
        <v>1242</v>
      </c>
      <c r="C411" s="0" t="s">
        <v>948</v>
      </c>
      <c r="D411" s="0" t="n">
        <v>110</v>
      </c>
      <c r="E411" s="0" t="s">
        <v>66</v>
      </c>
      <c r="F411" s="0" t="s">
        <v>1245</v>
      </c>
      <c r="G411" s="0" t="s">
        <v>1384</v>
      </c>
      <c r="H411" s="0" t="s">
        <v>276</v>
      </c>
      <c r="I411" s="0" t="s">
        <v>138</v>
      </c>
    </row>
    <row r="412" customFormat="false" ht="15" hidden="false" customHeight="false" outlineLevel="0" collapsed="false">
      <c r="A412" s="0" t="s">
        <v>279</v>
      </c>
      <c r="B412" s="0" t="s">
        <v>1385</v>
      </c>
      <c r="C412" s="0" t="s">
        <v>948</v>
      </c>
      <c r="D412" s="0" t="n">
        <v>3.85</v>
      </c>
      <c r="E412" s="0" t="s">
        <v>66</v>
      </c>
      <c r="F412" s="0" t="s">
        <v>1386</v>
      </c>
      <c r="G412" s="0" t="s">
        <v>1387</v>
      </c>
      <c r="H412" s="0" t="s">
        <v>276</v>
      </c>
      <c r="I412" s="0" t="s">
        <v>138</v>
      </c>
    </row>
    <row r="413" customFormat="false" ht="15" hidden="false" customHeight="false" outlineLevel="0" collapsed="false">
      <c r="A413" s="0" t="s">
        <v>279</v>
      </c>
      <c r="B413" s="0" t="s">
        <v>1388</v>
      </c>
      <c r="C413" s="0" t="s">
        <v>934</v>
      </c>
      <c r="D413" s="0" t="n">
        <v>23.58</v>
      </c>
      <c r="E413" s="0" t="s">
        <v>66</v>
      </c>
      <c r="F413" s="0" t="s">
        <v>1389</v>
      </c>
      <c r="G413" s="0" t="s">
        <v>1390</v>
      </c>
      <c r="H413" s="0" t="s">
        <v>276</v>
      </c>
      <c r="I413" s="0" t="s">
        <v>138</v>
      </c>
    </row>
    <row r="414" customFormat="false" ht="15" hidden="false" customHeight="false" outlineLevel="0" collapsed="false">
      <c r="A414" s="0" t="s">
        <v>279</v>
      </c>
      <c r="B414" s="0" t="s">
        <v>1049</v>
      </c>
      <c r="C414" s="0" t="s">
        <v>934</v>
      </c>
      <c r="D414" s="0" t="n">
        <v>47.17</v>
      </c>
      <c r="E414" s="0" t="s">
        <v>66</v>
      </c>
      <c r="F414" s="0" t="s">
        <v>1391</v>
      </c>
      <c r="G414" s="0" t="s">
        <v>1392</v>
      </c>
      <c r="H414" s="0" t="s">
        <v>276</v>
      </c>
      <c r="I414" s="0" t="s">
        <v>138</v>
      </c>
    </row>
    <row r="415" customFormat="false" ht="15" hidden="false" customHeight="false" outlineLevel="0" collapsed="false">
      <c r="A415" s="0" t="s">
        <v>279</v>
      </c>
      <c r="B415" s="0" t="s">
        <v>1393</v>
      </c>
      <c r="C415" s="0" t="s">
        <v>934</v>
      </c>
      <c r="D415" s="0" t="n">
        <v>7.5</v>
      </c>
      <c r="E415" s="0" t="s">
        <v>66</v>
      </c>
      <c r="F415" s="0" t="s">
        <v>1394</v>
      </c>
      <c r="G415" s="0" t="s">
        <v>1395</v>
      </c>
      <c r="H415" s="0" t="s">
        <v>276</v>
      </c>
      <c r="I415" s="0" t="s">
        <v>138</v>
      </c>
    </row>
    <row r="416" customFormat="false" ht="15" hidden="false" customHeight="false" outlineLevel="0" collapsed="false">
      <c r="A416" s="0" t="s">
        <v>279</v>
      </c>
      <c r="B416" s="0" t="s">
        <v>1158</v>
      </c>
      <c r="C416" s="0" t="s">
        <v>934</v>
      </c>
      <c r="D416" s="0" t="n">
        <v>62.17</v>
      </c>
      <c r="E416" s="0" t="s">
        <v>66</v>
      </c>
      <c r="F416" s="0" t="s">
        <v>1396</v>
      </c>
      <c r="G416" s="0" t="s">
        <v>1397</v>
      </c>
      <c r="H416" s="0" t="s">
        <v>276</v>
      </c>
      <c r="I416" s="0" t="s">
        <v>138</v>
      </c>
    </row>
    <row r="417" customFormat="false" ht="15" hidden="false" customHeight="false" outlineLevel="0" collapsed="false">
      <c r="A417" s="0" t="s">
        <v>279</v>
      </c>
      <c r="B417" s="0" t="s">
        <v>1398</v>
      </c>
      <c r="C417" s="0" t="s">
        <v>948</v>
      </c>
      <c r="D417" s="0" t="n">
        <v>55</v>
      </c>
      <c r="E417" s="0" t="s">
        <v>66</v>
      </c>
      <c r="F417" s="0" t="s">
        <v>1399</v>
      </c>
      <c r="G417" s="0" t="s">
        <v>1400</v>
      </c>
      <c r="H417" s="0" t="s">
        <v>276</v>
      </c>
      <c r="I417" s="0" t="s">
        <v>138</v>
      </c>
    </row>
    <row r="418" customFormat="false" ht="15" hidden="false" customHeight="false" outlineLevel="0" collapsed="false">
      <c r="A418" s="0" t="s">
        <v>279</v>
      </c>
      <c r="B418" s="0" t="s">
        <v>1253</v>
      </c>
      <c r="C418" s="0" t="s">
        <v>1254</v>
      </c>
      <c r="D418" s="2" t="s">
        <v>935</v>
      </c>
      <c r="E418" s="3" t="s">
        <v>690</v>
      </c>
      <c r="F418" s="3" t="s">
        <v>1401</v>
      </c>
      <c r="G418" s="3" t="s">
        <v>1402</v>
      </c>
      <c r="H418" s="3" t="s">
        <v>276</v>
      </c>
      <c r="I418" s="3" t="s">
        <v>138</v>
      </c>
    </row>
    <row r="419" customFormat="false" ht="15" hidden="false" customHeight="false" outlineLevel="0" collapsed="false">
      <c r="A419" s="0" t="s">
        <v>283</v>
      </c>
      <c r="B419" s="0" t="s">
        <v>1373</v>
      </c>
      <c r="C419" s="0" t="s">
        <v>934</v>
      </c>
      <c r="D419" s="0" t="n">
        <v>7.5</v>
      </c>
      <c r="E419" s="0" t="s">
        <v>66</v>
      </c>
      <c r="F419" s="0" t="s">
        <v>1374</v>
      </c>
      <c r="G419" s="0" t="s">
        <v>1375</v>
      </c>
      <c r="H419" s="0" t="s">
        <v>276</v>
      </c>
      <c r="I419" s="0" t="s">
        <v>138</v>
      </c>
    </row>
    <row r="420" customFormat="false" ht="15" hidden="false" customHeight="false" outlineLevel="0" collapsed="false">
      <c r="A420" s="0" t="s">
        <v>283</v>
      </c>
      <c r="B420" s="0" t="s">
        <v>1235</v>
      </c>
      <c r="C420" s="0" t="s">
        <v>934</v>
      </c>
      <c r="D420" s="0" t="n">
        <v>88</v>
      </c>
      <c r="E420" s="0" t="s">
        <v>66</v>
      </c>
      <c r="F420" s="0" t="s">
        <v>1376</v>
      </c>
      <c r="G420" s="0" t="s">
        <v>1377</v>
      </c>
      <c r="H420" s="0" t="s">
        <v>276</v>
      </c>
      <c r="I420" s="0" t="s">
        <v>138</v>
      </c>
    </row>
    <row r="421" customFormat="false" ht="15" hidden="false" customHeight="false" outlineLevel="0" collapsed="false">
      <c r="A421" s="0" t="s">
        <v>283</v>
      </c>
      <c r="B421" s="0" t="s">
        <v>1235</v>
      </c>
      <c r="C421" s="0" t="s">
        <v>934</v>
      </c>
      <c r="D421" s="0" t="n">
        <v>123</v>
      </c>
      <c r="E421" s="0" t="s">
        <v>66</v>
      </c>
      <c r="F421" s="0" t="s">
        <v>1378</v>
      </c>
      <c r="G421" s="0" t="s">
        <v>1379</v>
      </c>
      <c r="H421" s="0" t="s">
        <v>276</v>
      </c>
      <c r="I421" s="0" t="s">
        <v>138</v>
      </c>
    </row>
    <row r="422" customFormat="false" ht="15" hidden="false" customHeight="false" outlineLevel="0" collapsed="false">
      <c r="A422" s="0" t="s">
        <v>283</v>
      </c>
      <c r="B422" s="0" t="s">
        <v>1241</v>
      </c>
      <c r="C422" s="0" t="s">
        <v>934</v>
      </c>
      <c r="D422" s="0" t="n">
        <v>15</v>
      </c>
      <c r="E422" s="0" t="s">
        <v>66</v>
      </c>
      <c r="F422" s="0" t="s">
        <v>1380</v>
      </c>
      <c r="G422" s="0" t="s">
        <v>1381</v>
      </c>
      <c r="H422" s="0" t="s">
        <v>276</v>
      </c>
      <c r="I422" s="0" t="s">
        <v>138</v>
      </c>
    </row>
    <row r="423" customFormat="false" ht="15" hidden="false" customHeight="false" outlineLevel="0" collapsed="false">
      <c r="A423" s="0" t="s">
        <v>283</v>
      </c>
      <c r="B423" s="0" t="s">
        <v>1242</v>
      </c>
      <c r="C423" s="0" t="s">
        <v>948</v>
      </c>
      <c r="D423" s="0" t="n">
        <v>110</v>
      </c>
      <c r="E423" s="0" t="s">
        <v>66</v>
      </c>
      <c r="F423" s="0" t="s">
        <v>1382</v>
      </c>
      <c r="G423" s="0" t="s">
        <v>1383</v>
      </c>
      <c r="H423" s="0" t="s">
        <v>276</v>
      </c>
      <c r="I423" s="0" t="s">
        <v>138</v>
      </c>
    </row>
    <row r="424" customFormat="false" ht="15" hidden="false" customHeight="false" outlineLevel="0" collapsed="false">
      <c r="A424" s="0" t="s">
        <v>283</v>
      </c>
      <c r="B424" s="0" t="s">
        <v>1242</v>
      </c>
      <c r="C424" s="0" t="s">
        <v>948</v>
      </c>
      <c r="D424" s="0" t="n">
        <v>110</v>
      </c>
      <c r="E424" s="0" t="s">
        <v>66</v>
      </c>
      <c r="F424" s="0" t="s">
        <v>1245</v>
      </c>
      <c r="G424" s="0" t="s">
        <v>1384</v>
      </c>
      <c r="H424" s="0" t="s">
        <v>276</v>
      </c>
      <c r="I424" s="0" t="s">
        <v>138</v>
      </c>
    </row>
    <row r="425" customFormat="false" ht="15" hidden="false" customHeight="false" outlineLevel="0" collapsed="false">
      <c r="A425" s="0" t="s">
        <v>283</v>
      </c>
      <c r="B425" s="0" t="s">
        <v>1385</v>
      </c>
      <c r="C425" s="0" t="s">
        <v>948</v>
      </c>
      <c r="D425" s="0" t="n">
        <v>3.85</v>
      </c>
      <c r="E425" s="0" t="s">
        <v>66</v>
      </c>
      <c r="F425" s="0" t="s">
        <v>1386</v>
      </c>
      <c r="G425" s="0" t="s">
        <v>1387</v>
      </c>
      <c r="H425" s="0" t="s">
        <v>276</v>
      </c>
      <c r="I425" s="0" t="s">
        <v>138</v>
      </c>
    </row>
    <row r="426" customFormat="false" ht="15" hidden="false" customHeight="false" outlineLevel="0" collapsed="false">
      <c r="A426" s="0" t="s">
        <v>283</v>
      </c>
      <c r="B426" s="0" t="s">
        <v>1388</v>
      </c>
      <c r="C426" s="0" t="s">
        <v>934</v>
      </c>
      <c r="D426" s="0" t="n">
        <v>23.58</v>
      </c>
      <c r="E426" s="0" t="s">
        <v>66</v>
      </c>
      <c r="F426" s="0" t="s">
        <v>1389</v>
      </c>
      <c r="G426" s="0" t="s">
        <v>1390</v>
      </c>
      <c r="H426" s="0" t="s">
        <v>276</v>
      </c>
      <c r="I426" s="0" t="s">
        <v>138</v>
      </c>
    </row>
    <row r="427" customFormat="false" ht="15" hidden="false" customHeight="false" outlineLevel="0" collapsed="false">
      <c r="A427" s="0" t="s">
        <v>283</v>
      </c>
      <c r="B427" s="0" t="s">
        <v>1049</v>
      </c>
      <c r="C427" s="0" t="s">
        <v>934</v>
      </c>
      <c r="D427" s="0" t="n">
        <v>47.17</v>
      </c>
      <c r="E427" s="0" t="s">
        <v>66</v>
      </c>
      <c r="F427" s="0" t="s">
        <v>1391</v>
      </c>
      <c r="G427" s="0" t="s">
        <v>1392</v>
      </c>
      <c r="H427" s="0" t="s">
        <v>276</v>
      </c>
      <c r="I427" s="0" t="s">
        <v>138</v>
      </c>
    </row>
    <row r="428" customFormat="false" ht="15" hidden="false" customHeight="false" outlineLevel="0" collapsed="false">
      <c r="A428" s="0" t="s">
        <v>283</v>
      </c>
      <c r="B428" s="0" t="s">
        <v>1393</v>
      </c>
      <c r="C428" s="0" t="s">
        <v>934</v>
      </c>
      <c r="D428" s="0" t="n">
        <v>7.5</v>
      </c>
      <c r="E428" s="0" t="s">
        <v>66</v>
      </c>
      <c r="F428" s="0" t="s">
        <v>1394</v>
      </c>
      <c r="G428" s="0" t="s">
        <v>1395</v>
      </c>
      <c r="H428" s="0" t="s">
        <v>276</v>
      </c>
      <c r="I428" s="0" t="s">
        <v>138</v>
      </c>
    </row>
    <row r="429" customFormat="false" ht="15" hidden="false" customHeight="false" outlineLevel="0" collapsed="false">
      <c r="A429" s="0" t="s">
        <v>283</v>
      </c>
      <c r="B429" s="0" t="s">
        <v>1158</v>
      </c>
      <c r="C429" s="0" t="s">
        <v>934</v>
      </c>
      <c r="D429" s="0" t="n">
        <v>62.17</v>
      </c>
      <c r="E429" s="0" t="s">
        <v>66</v>
      </c>
      <c r="F429" s="0" t="s">
        <v>1396</v>
      </c>
      <c r="G429" s="0" t="s">
        <v>1397</v>
      </c>
      <c r="H429" s="0" t="s">
        <v>276</v>
      </c>
      <c r="I429" s="0" t="s">
        <v>138</v>
      </c>
    </row>
    <row r="430" customFormat="false" ht="15" hidden="false" customHeight="false" outlineLevel="0" collapsed="false">
      <c r="A430" s="0" t="s">
        <v>283</v>
      </c>
      <c r="B430" s="0" t="s">
        <v>1398</v>
      </c>
      <c r="C430" s="0" t="s">
        <v>948</v>
      </c>
      <c r="D430" s="0" t="n">
        <v>55</v>
      </c>
      <c r="E430" s="0" t="s">
        <v>66</v>
      </c>
      <c r="F430" s="0" t="s">
        <v>1399</v>
      </c>
      <c r="G430" s="0" t="s">
        <v>1400</v>
      </c>
      <c r="H430" s="0" t="s">
        <v>276</v>
      </c>
      <c r="I430" s="0" t="s">
        <v>138</v>
      </c>
    </row>
    <row r="431" customFormat="false" ht="15" hidden="false" customHeight="false" outlineLevel="0" collapsed="false">
      <c r="A431" s="0" t="s">
        <v>283</v>
      </c>
      <c r="B431" s="0" t="s">
        <v>1253</v>
      </c>
      <c r="C431" s="0" t="s">
        <v>1254</v>
      </c>
      <c r="D431" s="2" t="s">
        <v>935</v>
      </c>
      <c r="E431" s="3" t="s">
        <v>690</v>
      </c>
      <c r="F431" s="3" t="s">
        <v>1401</v>
      </c>
      <c r="G431" s="3" t="s">
        <v>1402</v>
      </c>
      <c r="H431" s="3" t="s">
        <v>276</v>
      </c>
      <c r="I431" s="3" t="s">
        <v>138</v>
      </c>
    </row>
    <row r="432" customFormat="false" ht="15" hidden="false" customHeight="false" outlineLevel="0" collapsed="false">
      <c r="A432" s="0" t="s">
        <v>287</v>
      </c>
      <c r="B432" s="0" t="s">
        <v>1373</v>
      </c>
      <c r="C432" s="0" t="s">
        <v>934</v>
      </c>
      <c r="D432" s="0" t="n">
        <v>7.5</v>
      </c>
      <c r="E432" s="0" t="s">
        <v>66</v>
      </c>
      <c r="F432" s="0" t="s">
        <v>1374</v>
      </c>
      <c r="G432" s="0" t="s">
        <v>1375</v>
      </c>
      <c r="H432" s="0" t="s">
        <v>276</v>
      </c>
      <c r="I432" s="0" t="s">
        <v>138</v>
      </c>
    </row>
    <row r="433" customFormat="false" ht="15" hidden="false" customHeight="false" outlineLevel="0" collapsed="false">
      <c r="A433" s="0" t="s">
        <v>287</v>
      </c>
      <c r="B433" s="0" t="s">
        <v>1235</v>
      </c>
      <c r="C433" s="0" t="s">
        <v>934</v>
      </c>
      <c r="D433" s="0" t="n">
        <v>88</v>
      </c>
      <c r="E433" s="0" t="s">
        <v>66</v>
      </c>
      <c r="F433" s="0" t="s">
        <v>1376</v>
      </c>
      <c r="G433" s="0" t="s">
        <v>1377</v>
      </c>
      <c r="H433" s="0" t="s">
        <v>276</v>
      </c>
      <c r="I433" s="0" t="s">
        <v>138</v>
      </c>
    </row>
    <row r="434" customFormat="false" ht="15" hidden="false" customHeight="false" outlineLevel="0" collapsed="false">
      <c r="A434" s="0" t="s">
        <v>287</v>
      </c>
      <c r="B434" s="0" t="s">
        <v>1235</v>
      </c>
      <c r="C434" s="0" t="s">
        <v>934</v>
      </c>
      <c r="D434" s="0" t="n">
        <v>123</v>
      </c>
      <c r="E434" s="0" t="s">
        <v>66</v>
      </c>
      <c r="F434" s="0" t="s">
        <v>1378</v>
      </c>
      <c r="G434" s="0" t="s">
        <v>1379</v>
      </c>
      <c r="H434" s="0" t="s">
        <v>276</v>
      </c>
      <c r="I434" s="0" t="s">
        <v>138</v>
      </c>
    </row>
    <row r="435" customFormat="false" ht="15" hidden="false" customHeight="false" outlineLevel="0" collapsed="false">
      <c r="A435" s="0" t="s">
        <v>287</v>
      </c>
      <c r="B435" s="0" t="s">
        <v>1241</v>
      </c>
      <c r="C435" s="0" t="s">
        <v>934</v>
      </c>
      <c r="D435" s="0" t="n">
        <v>15</v>
      </c>
      <c r="E435" s="0" t="s">
        <v>66</v>
      </c>
      <c r="F435" s="0" t="s">
        <v>1380</v>
      </c>
      <c r="G435" s="0" t="s">
        <v>1381</v>
      </c>
      <c r="H435" s="0" t="s">
        <v>276</v>
      </c>
      <c r="I435" s="0" t="s">
        <v>138</v>
      </c>
    </row>
    <row r="436" customFormat="false" ht="15" hidden="false" customHeight="false" outlineLevel="0" collapsed="false">
      <c r="A436" s="0" t="s">
        <v>287</v>
      </c>
      <c r="B436" s="0" t="s">
        <v>1242</v>
      </c>
      <c r="C436" s="0" t="s">
        <v>948</v>
      </c>
      <c r="D436" s="0" t="n">
        <v>110</v>
      </c>
      <c r="E436" s="0" t="s">
        <v>66</v>
      </c>
      <c r="F436" s="0" t="s">
        <v>1382</v>
      </c>
      <c r="G436" s="0" t="s">
        <v>1383</v>
      </c>
      <c r="H436" s="0" t="s">
        <v>276</v>
      </c>
      <c r="I436" s="0" t="s">
        <v>138</v>
      </c>
    </row>
    <row r="437" customFormat="false" ht="15" hidden="false" customHeight="false" outlineLevel="0" collapsed="false">
      <c r="A437" s="0" t="s">
        <v>287</v>
      </c>
      <c r="B437" s="0" t="s">
        <v>1242</v>
      </c>
      <c r="C437" s="0" t="s">
        <v>948</v>
      </c>
      <c r="D437" s="0" t="n">
        <v>110</v>
      </c>
      <c r="E437" s="0" t="s">
        <v>66</v>
      </c>
      <c r="F437" s="0" t="s">
        <v>1245</v>
      </c>
      <c r="G437" s="0" t="s">
        <v>1384</v>
      </c>
      <c r="H437" s="0" t="s">
        <v>276</v>
      </c>
      <c r="I437" s="0" t="s">
        <v>138</v>
      </c>
    </row>
    <row r="438" customFormat="false" ht="15" hidden="false" customHeight="false" outlineLevel="0" collapsed="false">
      <c r="A438" s="0" t="s">
        <v>287</v>
      </c>
      <c r="B438" s="0" t="s">
        <v>1385</v>
      </c>
      <c r="C438" s="0" t="s">
        <v>948</v>
      </c>
      <c r="D438" s="0" t="n">
        <v>3.85</v>
      </c>
      <c r="E438" s="0" t="s">
        <v>66</v>
      </c>
      <c r="F438" s="0" t="s">
        <v>1386</v>
      </c>
      <c r="G438" s="0" t="s">
        <v>1387</v>
      </c>
      <c r="H438" s="0" t="s">
        <v>276</v>
      </c>
      <c r="I438" s="0" t="s">
        <v>138</v>
      </c>
    </row>
    <row r="439" customFormat="false" ht="15" hidden="false" customHeight="false" outlineLevel="0" collapsed="false">
      <c r="A439" s="0" t="s">
        <v>287</v>
      </c>
      <c r="B439" s="0" t="s">
        <v>1388</v>
      </c>
      <c r="C439" s="0" t="s">
        <v>934</v>
      </c>
      <c r="D439" s="0" t="n">
        <v>23.58</v>
      </c>
      <c r="E439" s="0" t="s">
        <v>66</v>
      </c>
      <c r="F439" s="0" t="s">
        <v>1389</v>
      </c>
      <c r="G439" s="0" t="s">
        <v>1390</v>
      </c>
      <c r="H439" s="0" t="s">
        <v>276</v>
      </c>
      <c r="I439" s="0" t="s">
        <v>138</v>
      </c>
    </row>
    <row r="440" customFormat="false" ht="15" hidden="false" customHeight="false" outlineLevel="0" collapsed="false">
      <c r="A440" s="0" t="s">
        <v>287</v>
      </c>
      <c r="B440" s="0" t="s">
        <v>1049</v>
      </c>
      <c r="C440" s="0" t="s">
        <v>934</v>
      </c>
      <c r="D440" s="0" t="n">
        <v>47.17</v>
      </c>
      <c r="E440" s="0" t="s">
        <v>66</v>
      </c>
      <c r="F440" s="0" t="s">
        <v>1391</v>
      </c>
      <c r="G440" s="0" t="s">
        <v>1392</v>
      </c>
      <c r="H440" s="0" t="s">
        <v>276</v>
      </c>
      <c r="I440" s="0" t="s">
        <v>138</v>
      </c>
    </row>
    <row r="441" customFormat="false" ht="15" hidden="false" customHeight="false" outlineLevel="0" collapsed="false">
      <c r="A441" s="0" t="s">
        <v>287</v>
      </c>
      <c r="B441" s="0" t="s">
        <v>1393</v>
      </c>
      <c r="C441" s="0" t="s">
        <v>934</v>
      </c>
      <c r="D441" s="0" t="n">
        <v>7.5</v>
      </c>
      <c r="E441" s="0" t="s">
        <v>66</v>
      </c>
      <c r="F441" s="0" t="s">
        <v>1394</v>
      </c>
      <c r="G441" s="0" t="s">
        <v>1395</v>
      </c>
      <c r="H441" s="0" t="s">
        <v>276</v>
      </c>
      <c r="I441" s="0" t="s">
        <v>138</v>
      </c>
    </row>
    <row r="442" customFormat="false" ht="15" hidden="false" customHeight="false" outlineLevel="0" collapsed="false">
      <c r="A442" s="0" t="s">
        <v>287</v>
      </c>
      <c r="B442" s="0" t="s">
        <v>1158</v>
      </c>
      <c r="C442" s="0" t="s">
        <v>934</v>
      </c>
      <c r="D442" s="0" t="n">
        <v>62.17</v>
      </c>
      <c r="E442" s="0" t="s">
        <v>66</v>
      </c>
      <c r="F442" s="0" t="s">
        <v>1396</v>
      </c>
      <c r="G442" s="0" t="s">
        <v>1397</v>
      </c>
      <c r="H442" s="0" t="s">
        <v>276</v>
      </c>
      <c r="I442" s="0" t="s">
        <v>138</v>
      </c>
    </row>
    <row r="443" customFormat="false" ht="15" hidden="false" customHeight="false" outlineLevel="0" collapsed="false">
      <c r="A443" s="0" t="s">
        <v>287</v>
      </c>
      <c r="B443" s="0" t="s">
        <v>1398</v>
      </c>
      <c r="C443" s="0" t="s">
        <v>948</v>
      </c>
      <c r="D443" s="0" t="n">
        <v>55</v>
      </c>
      <c r="E443" s="0" t="s">
        <v>66</v>
      </c>
      <c r="F443" s="0" t="s">
        <v>1399</v>
      </c>
      <c r="G443" s="0" t="s">
        <v>1400</v>
      </c>
      <c r="H443" s="0" t="s">
        <v>276</v>
      </c>
      <c r="I443" s="0" t="s">
        <v>138</v>
      </c>
    </row>
    <row r="444" customFormat="false" ht="15" hidden="false" customHeight="false" outlineLevel="0" collapsed="false">
      <c r="A444" s="0" t="s">
        <v>287</v>
      </c>
      <c r="B444" s="0" t="s">
        <v>1253</v>
      </c>
      <c r="C444" s="0" t="s">
        <v>1254</v>
      </c>
      <c r="D444" s="2" t="s">
        <v>935</v>
      </c>
      <c r="E444" s="3" t="s">
        <v>690</v>
      </c>
      <c r="F444" s="3" t="s">
        <v>1401</v>
      </c>
      <c r="G444" s="3" t="s">
        <v>1402</v>
      </c>
      <c r="H444" s="3" t="s">
        <v>276</v>
      </c>
      <c r="I444" s="3" t="s">
        <v>138</v>
      </c>
    </row>
    <row r="445" customFormat="false" ht="15" hidden="false" customHeight="false" outlineLevel="0" collapsed="false">
      <c r="A445" s="0" t="s">
        <v>291</v>
      </c>
      <c r="B445" s="0" t="s">
        <v>1373</v>
      </c>
      <c r="C445" s="0" t="s">
        <v>934</v>
      </c>
      <c r="D445" s="0" t="n">
        <v>7.5</v>
      </c>
      <c r="E445" s="0" t="s">
        <v>66</v>
      </c>
      <c r="F445" s="0" t="s">
        <v>1374</v>
      </c>
      <c r="G445" s="0" t="s">
        <v>1375</v>
      </c>
      <c r="H445" s="0" t="s">
        <v>276</v>
      </c>
      <c r="I445" s="0" t="s">
        <v>138</v>
      </c>
    </row>
    <row r="446" customFormat="false" ht="15" hidden="false" customHeight="false" outlineLevel="0" collapsed="false">
      <c r="A446" s="0" t="s">
        <v>291</v>
      </c>
      <c r="B446" s="0" t="s">
        <v>1235</v>
      </c>
      <c r="C446" s="0" t="s">
        <v>934</v>
      </c>
      <c r="D446" s="0" t="n">
        <v>88.5</v>
      </c>
      <c r="E446" s="0" t="s">
        <v>66</v>
      </c>
      <c r="F446" s="0" t="s">
        <v>1376</v>
      </c>
      <c r="G446" s="0" t="s">
        <v>1403</v>
      </c>
      <c r="H446" s="0" t="s">
        <v>276</v>
      </c>
      <c r="I446" s="0" t="s">
        <v>138</v>
      </c>
    </row>
    <row r="447" customFormat="false" ht="15" hidden="false" customHeight="false" outlineLevel="0" collapsed="false">
      <c r="A447" s="0" t="s">
        <v>291</v>
      </c>
      <c r="B447" s="0" t="s">
        <v>1235</v>
      </c>
      <c r="C447" s="0" t="s">
        <v>934</v>
      </c>
      <c r="D447" s="0" t="n">
        <v>123</v>
      </c>
      <c r="E447" s="0" t="s">
        <v>66</v>
      </c>
      <c r="F447" s="0" t="s">
        <v>1378</v>
      </c>
      <c r="G447" s="0" t="s">
        <v>1379</v>
      </c>
      <c r="H447" s="0" t="s">
        <v>276</v>
      </c>
      <c r="I447" s="0" t="s">
        <v>138</v>
      </c>
    </row>
    <row r="448" customFormat="false" ht="15" hidden="false" customHeight="false" outlineLevel="0" collapsed="false">
      <c r="A448" s="0" t="s">
        <v>291</v>
      </c>
      <c r="B448" s="0" t="s">
        <v>1241</v>
      </c>
      <c r="C448" s="0" t="s">
        <v>934</v>
      </c>
      <c r="D448" s="0" t="n">
        <v>15</v>
      </c>
      <c r="E448" s="0" t="s">
        <v>66</v>
      </c>
      <c r="F448" s="0" t="s">
        <v>1380</v>
      </c>
      <c r="G448" s="0" t="s">
        <v>1381</v>
      </c>
      <c r="H448" s="0" t="s">
        <v>276</v>
      </c>
      <c r="I448" s="0" t="s">
        <v>138</v>
      </c>
    </row>
    <row r="449" customFormat="false" ht="15" hidden="false" customHeight="false" outlineLevel="0" collapsed="false">
      <c r="A449" s="0" t="s">
        <v>291</v>
      </c>
      <c r="B449" s="0" t="s">
        <v>1242</v>
      </c>
      <c r="C449" s="0" t="s">
        <v>948</v>
      </c>
      <c r="D449" s="0" t="n">
        <v>110.63</v>
      </c>
      <c r="E449" s="0" t="s">
        <v>66</v>
      </c>
      <c r="F449" s="0" t="s">
        <v>1382</v>
      </c>
      <c r="G449" s="0" t="s">
        <v>1404</v>
      </c>
      <c r="H449" s="0" t="s">
        <v>276</v>
      </c>
      <c r="I449" s="0" t="s">
        <v>138</v>
      </c>
    </row>
    <row r="450" customFormat="false" ht="15" hidden="false" customHeight="false" outlineLevel="0" collapsed="false">
      <c r="A450" s="0" t="s">
        <v>291</v>
      </c>
      <c r="B450" s="0" t="s">
        <v>1242</v>
      </c>
      <c r="C450" s="0" t="s">
        <v>948</v>
      </c>
      <c r="D450" s="0" t="n">
        <v>110.63</v>
      </c>
      <c r="E450" s="0" t="s">
        <v>66</v>
      </c>
      <c r="F450" s="0" t="s">
        <v>1245</v>
      </c>
      <c r="G450" s="0" t="s">
        <v>1405</v>
      </c>
      <c r="H450" s="0" t="s">
        <v>276</v>
      </c>
      <c r="I450" s="0" t="s">
        <v>138</v>
      </c>
    </row>
    <row r="451" customFormat="false" ht="15" hidden="false" customHeight="false" outlineLevel="0" collapsed="false">
      <c r="A451" s="0" t="s">
        <v>291</v>
      </c>
      <c r="B451" s="0" t="s">
        <v>1385</v>
      </c>
      <c r="C451" s="0" t="s">
        <v>948</v>
      </c>
      <c r="D451" s="0" t="n">
        <v>5.3</v>
      </c>
      <c r="E451" s="0" t="s">
        <v>66</v>
      </c>
      <c r="F451" s="0" t="s">
        <v>1386</v>
      </c>
      <c r="G451" s="0" t="s">
        <v>1406</v>
      </c>
      <c r="H451" s="0" t="s">
        <v>276</v>
      </c>
      <c r="I451" s="0" t="s">
        <v>138</v>
      </c>
    </row>
    <row r="452" customFormat="false" ht="15" hidden="false" customHeight="false" outlineLevel="0" collapsed="false">
      <c r="A452" s="0" t="s">
        <v>291</v>
      </c>
      <c r="B452" s="0" t="s">
        <v>1388</v>
      </c>
      <c r="C452" s="0" t="s">
        <v>934</v>
      </c>
      <c r="D452" s="0" t="n">
        <v>23.5</v>
      </c>
      <c r="E452" s="0" t="s">
        <v>66</v>
      </c>
      <c r="F452" s="0" t="s">
        <v>1389</v>
      </c>
      <c r="G452" s="0" t="s">
        <v>1407</v>
      </c>
      <c r="H452" s="0" t="s">
        <v>276</v>
      </c>
      <c r="I452" s="0" t="s">
        <v>138</v>
      </c>
    </row>
    <row r="453" customFormat="false" ht="15" hidden="false" customHeight="false" outlineLevel="0" collapsed="false">
      <c r="A453" s="0" t="s">
        <v>291</v>
      </c>
      <c r="B453" s="0" t="s">
        <v>1049</v>
      </c>
      <c r="C453" s="0" t="s">
        <v>934</v>
      </c>
      <c r="D453" s="0" t="n">
        <v>47</v>
      </c>
      <c r="E453" s="0" t="s">
        <v>66</v>
      </c>
      <c r="F453" s="0" t="s">
        <v>1391</v>
      </c>
      <c r="G453" s="0" t="s">
        <v>1408</v>
      </c>
      <c r="H453" s="0" t="s">
        <v>276</v>
      </c>
      <c r="I453" s="0" t="s">
        <v>138</v>
      </c>
    </row>
    <row r="454" customFormat="false" ht="15" hidden="false" customHeight="false" outlineLevel="0" collapsed="false">
      <c r="A454" s="0" t="s">
        <v>291</v>
      </c>
      <c r="B454" s="0" t="s">
        <v>1393</v>
      </c>
      <c r="C454" s="0" t="s">
        <v>934</v>
      </c>
      <c r="D454" s="0" t="n">
        <v>7.5</v>
      </c>
      <c r="E454" s="0" t="s">
        <v>66</v>
      </c>
      <c r="F454" s="0" t="s">
        <v>1394</v>
      </c>
      <c r="G454" s="0" t="s">
        <v>1395</v>
      </c>
      <c r="H454" s="0" t="s">
        <v>276</v>
      </c>
      <c r="I454" s="0" t="s">
        <v>138</v>
      </c>
    </row>
    <row r="455" customFormat="false" ht="15" hidden="false" customHeight="false" outlineLevel="0" collapsed="false">
      <c r="A455" s="0" t="s">
        <v>291</v>
      </c>
      <c r="B455" s="0" t="s">
        <v>1158</v>
      </c>
      <c r="C455" s="0" t="s">
        <v>934</v>
      </c>
      <c r="D455" s="0" t="n">
        <v>62</v>
      </c>
      <c r="E455" s="0" t="s">
        <v>66</v>
      </c>
      <c r="F455" s="0" t="s">
        <v>1396</v>
      </c>
      <c r="G455" s="0" t="s">
        <v>1409</v>
      </c>
      <c r="H455" s="0" t="s">
        <v>276</v>
      </c>
      <c r="I455" s="0" t="s">
        <v>138</v>
      </c>
    </row>
    <row r="456" customFormat="false" ht="15" hidden="false" customHeight="false" outlineLevel="0" collapsed="false">
      <c r="A456" s="0" t="s">
        <v>291</v>
      </c>
      <c r="B456" s="0" t="s">
        <v>1398</v>
      </c>
      <c r="C456" s="0" t="s">
        <v>948</v>
      </c>
      <c r="D456" s="0" t="n">
        <v>55.31</v>
      </c>
      <c r="E456" s="0" t="s">
        <v>66</v>
      </c>
      <c r="F456" s="0" t="s">
        <v>1399</v>
      </c>
      <c r="G456" s="0" t="s">
        <v>1410</v>
      </c>
      <c r="H456" s="0" t="s">
        <v>276</v>
      </c>
      <c r="I456" s="0" t="s">
        <v>138</v>
      </c>
    </row>
    <row r="457" customFormat="false" ht="15" hidden="false" customHeight="false" outlineLevel="0" collapsed="false">
      <c r="A457" s="0" t="s">
        <v>291</v>
      </c>
      <c r="B457" s="0" t="s">
        <v>1253</v>
      </c>
      <c r="C457" s="0" t="s">
        <v>1254</v>
      </c>
      <c r="D457" s="2" t="s">
        <v>935</v>
      </c>
      <c r="E457" s="3" t="s">
        <v>690</v>
      </c>
      <c r="F457" s="3" t="s">
        <v>1401</v>
      </c>
      <c r="G457" s="3" t="s">
        <v>1402</v>
      </c>
      <c r="H457" s="3" t="s">
        <v>276</v>
      </c>
      <c r="I457" s="3" t="s">
        <v>138</v>
      </c>
    </row>
    <row r="458" customFormat="false" ht="15" hidden="false" customHeight="false" outlineLevel="0" collapsed="false">
      <c r="A458" s="0" t="s">
        <v>297</v>
      </c>
      <c r="B458" s="0" t="s">
        <v>1373</v>
      </c>
      <c r="C458" s="0" t="s">
        <v>934</v>
      </c>
      <c r="D458" s="0" t="n">
        <v>7.5</v>
      </c>
      <c r="E458" s="0" t="s">
        <v>66</v>
      </c>
      <c r="F458" s="0" t="s">
        <v>1374</v>
      </c>
      <c r="G458" s="0" t="s">
        <v>1375</v>
      </c>
      <c r="H458" s="0" t="s">
        <v>276</v>
      </c>
      <c r="I458" s="0" t="s">
        <v>138</v>
      </c>
    </row>
    <row r="459" customFormat="false" ht="15" hidden="false" customHeight="false" outlineLevel="0" collapsed="false">
      <c r="A459" s="0" t="s">
        <v>297</v>
      </c>
      <c r="B459" s="0" t="s">
        <v>1235</v>
      </c>
      <c r="C459" s="0" t="s">
        <v>934</v>
      </c>
      <c r="D459" s="0" t="n">
        <v>88.5</v>
      </c>
      <c r="E459" s="0" t="s">
        <v>66</v>
      </c>
      <c r="F459" s="0" t="s">
        <v>1376</v>
      </c>
      <c r="G459" s="0" t="s">
        <v>1403</v>
      </c>
      <c r="H459" s="0" t="s">
        <v>276</v>
      </c>
      <c r="I459" s="0" t="s">
        <v>138</v>
      </c>
    </row>
    <row r="460" customFormat="false" ht="15" hidden="false" customHeight="false" outlineLevel="0" collapsed="false">
      <c r="A460" s="0" t="s">
        <v>297</v>
      </c>
      <c r="B460" s="0" t="s">
        <v>1235</v>
      </c>
      <c r="C460" s="0" t="s">
        <v>934</v>
      </c>
      <c r="D460" s="0" t="n">
        <v>123</v>
      </c>
      <c r="E460" s="0" t="s">
        <v>66</v>
      </c>
      <c r="F460" s="0" t="s">
        <v>1378</v>
      </c>
      <c r="G460" s="0" t="s">
        <v>1379</v>
      </c>
      <c r="H460" s="0" t="s">
        <v>276</v>
      </c>
      <c r="I460" s="0" t="s">
        <v>138</v>
      </c>
    </row>
    <row r="461" customFormat="false" ht="15" hidden="false" customHeight="false" outlineLevel="0" collapsed="false">
      <c r="A461" s="0" t="s">
        <v>297</v>
      </c>
      <c r="B461" s="0" t="s">
        <v>1241</v>
      </c>
      <c r="C461" s="0" t="s">
        <v>934</v>
      </c>
      <c r="D461" s="0" t="n">
        <v>15</v>
      </c>
      <c r="E461" s="0" t="s">
        <v>66</v>
      </c>
      <c r="F461" s="0" t="s">
        <v>1380</v>
      </c>
      <c r="G461" s="0" t="s">
        <v>1381</v>
      </c>
      <c r="H461" s="0" t="s">
        <v>276</v>
      </c>
      <c r="I461" s="0" t="s">
        <v>138</v>
      </c>
    </row>
    <row r="462" customFormat="false" ht="15" hidden="false" customHeight="false" outlineLevel="0" collapsed="false">
      <c r="A462" s="0" t="s">
        <v>297</v>
      </c>
      <c r="B462" s="0" t="s">
        <v>1242</v>
      </c>
      <c r="C462" s="0" t="s">
        <v>948</v>
      </c>
      <c r="D462" s="0" t="n">
        <v>110.63</v>
      </c>
      <c r="E462" s="0" t="s">
        <v>66</v>
      </c>
      <c r="F462" s="0" t="s">
        <v>1382</v>
      </c>
      <c r="G462" s="0" t="s">
        <v>1404</v>
      </c>
      <c r="H462" s="0" t="s">
        <v>276</v>
      </c>
      <c r="I462" s="0" t="s">
        <v>138</v>
      </c>
    </row>
    <row r="463" customFormat="false" ht="15" hidden="false" customHeight="false" outlineLevel="0" collapsed="false">
      <c r="A463" s="0" t="s">
        <v>297</v>
      </c>
      <c r="B463" s="0" t="s">
        <v>1242</v>
      </c>
      <c r="C463" s="0" t="s">
        <v>948</v>
      </c>
      <c r="D463" s="0" t="n">
        <v>110.63</v>
      </c>
      <c r="E463" s="0" t="s">
        <v>66</v>
      </c>
      <c r="F463" s="0" t="s">
        <v>1245</v>
      </c>
      <c r="G463" s="0" t="s">
        <v>1405</v>
      </c>
      <c r="H463" s="0" t="s">
        <v>276</v>
      </c>
      <c r="I463" s="0" t="s">
        <v>138</v>
      </c>
    </row>
    <row r="464" customFormat="false" ht="15" hidden="false" customHeight="false" outlineLevel="0" collapsed="false">
      <c r="A464" s="0" t="s">
        <v>297</v>
      </c>
      <c r="B464" s="0" t="s">
        <v>1385</v>
      </c>
      <c r="C464" s="0" t="s">
        <v>948</v>
      </c>
      <c r="D464" s="0" t="n">
        <v>5.3</v>
      </c>
      <c r="E464" s="0" t="s">
        <v>66</v>
      </c>
      <c r="F464" s="0" t="s">
        <v>1386</v>
      </c>
      <c r="G464" s="0" t="s">
        <v>1406</v>
      </c>
      <c r="H464" s="0" t="s">
        <v>276</v>
      </c>
      <c r="I464" s="0" t="s">
        <v>138</v>
      </c>
    </row>
    <row r="465" customFormat="false" ht="15" hidden="false" customHeight="false" outlineLevel="0" collapsed="false">
      <c r="A465" s="0" t="s">
        <v>297</v>
      </c>
      <c r="B465" s="0" t="s">
        <v>1388</v>
      </c>
      <c r="C465" s="0" t="s">
        <v>934</v>
      </c>
      <c r="D465" s="0" t="n">
        <v>23.5</v>
      </c>
      <c r="E465" s="0" t="s">
        <v>66</v>
      </c>
      <c r="F465" s="0" t="s">
        <v>1389</v>
      </c>
      <c r="G465" s="0" t="s">
        <v>1407</v>
      </c>
      <c r="H465" s="0" t="s">
        <v>276</v>
      </c>
      <c r="I465" s="0" t="s">
        <v>138</v>
      </c>
    </row>
    <row r="466" customFormat="false" ht="15" hidden="false" customHeight="false" outlineLevel="0" collapsed="false">
      <c r="A466" s="0" t="s">
        <v>297</v>
      </c>
      <c r="B466" s="0" t="s">
        <v>1049</v>
      </c>
      <c r="C466" s="0" t="s">
        <v>934</v>
      </c>
      <c r="D466" s="0" t="n">
        <v>47</v>
      </c>
      <c r="E466" s="0" t="s">
        <v>66</v>
      </c>
      <c r="F466" s="0" t="s">
        <v>1391</v>
      </c>
      <c r="G466" s="0" t="s">
        <v>1408</v>
      </c>
      <c r="H466" s="0" t="s">
        <v>276</v>
      </c>
      <c r="I466" s="0" t="s">
        <v>138</v>
      </c>
    </row>
    <row r="467" customFormat="false" ht="15" hidden="false" customHeight="false" outlineLevel="0" collapsed="false">
      <c r="A467" s="0" t="s">
        <v>297</v>
      </c>
      <c r="B467" s="0" t="s">
        <v>1393</v>
      </c>
      <c r="C467" s="0" t="s">
        <v>934</v>
      </c>
      <c r="D467" s="0" t="n">
        <v>7.5</v>
      </c>
      <c r="E467" s="0" t="s">
        <v>66</v>
      </c>
      <c r="F467" s="0" t="s">
        <v>1394</v>
      </c>
      <c r="G467" s="0" t="s">
        <v>1395</v>
      </c>
      <c r="H467" s="0" t="s">
        <v>276</v>
      </c>
      <c r="I467" s="0" t="s">
        <v>138</v>
      </c>
    </row>
    <row r="468" customFormat="false" ht="15" hidden="false" customHeight="false" outlineLevel="0" collapsed="false">
      <c r="A468" s="0" t="s">
        <v>297</v>
      </c>
      <c r="B468" s="0" t="s">
        <v>1158</v>
      </c>
      <c r="C468" s="0" t="s">
        <v>934</v>
      </c>
      <c r="D468" s="0" t="n">
        <v>62</v>
      </c>
      <c r="E468" s="0" t="s">
        <v>66</v>
      </c>
      <c r="F468" s="0" t="s">
        <v>1396</v>
      </c>
      <c r="G468" s="0" t="s">
        <v>1409</v>
      </c>
      <c r="H468" s="0" t="s">
        <v>276</v>
      </c>
      <c r="I468" s="0" t="s">
        <v>138</v>
      </c>
    </row>
    <row r="469" customFormat="false" ht="15" hidden="false" customHeight="false" outlineLevel="0" collapsed="false">
      <c r="A469" s="0" t="s">
        <v>297</v>
      </c>
      <c r="B469" s="0" t="s">
        <v>1398</v>
      </c>
      <c r="C469" s="0" t="s">
        <v>948</v>
      </c>
      <c r="D469" s="0" t="n">
        <v>55.31</v>
      </c>
      <c r="E469" s="0" t="s">
        <v>66</v>
      </c>
      <c r="F469" s="0" t="s">
        <v>1399</v>
      </c>
      <c r="G469" s="0" t="s">
        <v>1410</v>
      </c>
      <c r="H469" s="0" t="s">
        <v>276</v>
      </c>
      <c r="I469" s="0" t="s">
        <v>138</v>
      </c>
    </row>
    <row r="470" customFormat="false" ht="15" hidden="false" customHeight="false" outlineLevel="0" collapsed="false">
      <c r="A470" s="0" t="s">
        <v>297</v>
      </c>
      <c r="B470" s="0" t="s">
        <v>1253</v>
      </c>
      <c r="C470" s="0" t="s">
        <v>1254</v>
      </c>
      <c r="D470" s="2" t="s">
        <v>935</v>
      </c>
      <c r="E470" s="3" t="s">
        <v>690</v>
      </c>
      <c r="F470" s="3" t="s">
        <v>1401</v>
      </c>
      <c r="G470" s="3" t="s">
        <v>1402</v>
      </c>
      <c r="H470" s="3" t="s">
        <v>276</v>
      </c>
      <c r="I470" s="3" t="s">
        <v>138</v>
      </c>
    </row>
    <row r="471" customFormat="false" ht="15" hidden="false" customHeight="false" outlineLevel="0" collapsed="false">
      <c r="A471" s="0" t="s">
        <v>301</v>
      </c>
      <c r="B471" s="0" t="s">
        <v>1411</v>
      </c>
      <c r="C471" s="0" t="s">
        <v>934</v>
      </c>
      <c r="D471" s="0" t="n">
        <v>7.67</v>
      </c>
      <c r="E471" s="0" t="s">
        <v>66</v>
      </c>
      <c r="F471" s="0" t="s">
        <v>1412</v>
      </c>
      <c r="G471" s="0" t="s">
        <v>1413</v>
      </c>
      <c r="H471" s="0" t="s">
        <v>305</v>
      </c>
      <c r="I471" s="0" t="s">
        <v>138</v>
      </c>
    </row>
    <row r="472" customFormat="false" ht="15" hidden="false" customHeight="false" outlineLevel="0" collapsed="false">
      <c r="A472" s="0" t="s">
        <v>301</v>
      </c>
      <c r="B472" s="0" t="s">
        <v>1145</v>
      </c>
      <c r="C472" s="0" t="s">
        <v>934</v>
      </c>
      <c r="D472" s="0" t="n">
        <v>52.38</v>
      </c>
      <c r="E472" s="0" t="s">
        <v>66</v>
      </c>
      <c r="F472" s="0" t="s">
        <v>1414</v>
      </c>
      <c r="G472" s="0" t="s">
        <v>1415</v>
      </c>
      <c r="H472" s="0" t="s">
        <v>305</v>
      </c>
      <c r="I472" s="0" t="s">
        <v>138</v>
      </c>
    </row>
    <row r="473" customFormat="false" ht="15" hidden="false" customHeight="false" outlineLevel="0" collapsed="false">
      <c r="A473" s="0" t="s">
        <v>301</v>
      </c>
      <c r="B473" s="0" t="s">
        <v>1150</v>
      </c>
      <c r="C473" s="0" t="s">
        <v>934</v>
      </c>
      <c r="D473" s="0" t="n">
        <v>3.83</v>
      </c>
      <c r="E473" s="0" t="s">
        <v>66</v>
      </c>
      <c r="F473" s="0" t="s">
        <v>1416</v>
      </c>
      <c r="G473" s="0" t="s">
        <v>1417</v>
      </c>
      <c r="H473" s="0" t="s">
        <v>305</v>
      </c>
      <c r="I473" s="0" t="s">
        <v>138</v>
      </c>
    </row>
    <row r="474" customFormat="false" ht="15" hidden="false" customHeight="false" outlineLevel="0" collapsed="false">
      <c r="A474" s="0" t="s">
        <v>301</v>
      </c>
      <c r="B474" s="0" t="s">
        <v>1151</v>
      </c>
      <c r="C474" s="0" t="s">
        <v>948</v>
      </c>
      <c r="D474" s="0" t="n">
        <v>55.26</v>
      </c>
      <c r="E474" s="0" t="s">
        <v>66</v>
      </c>
      <c r="F474" s="0" t="s">
        <v>1418</v>
      </c>
      <c r="G474" s="0" t="s">
        <v>1419</v>
      </c>
      <c r="H474" s="0" t="s">
        <v>305</v>
      </c>
      <c r="I474" s="0" t="s">
        <v>138</v>
      </c>
    </row>
    <row r="475" customFormat="false" ht="15" hidden="false" customHeight="false" outlineLevel="0" collapsed="false">
      <c r="A475" s="0" t="s">
        <v>301</v>
      </c>
      <c r="B475" s="0" t="s">
        <v>1158</v>
      </c>
      <c r="C475" s="0" t="s">
        <v>934</v>
      </c>
      <c r="D475" s="0" t="n">
        <v>7.67</v>
      </c>
      <c r="E475" s="0" t="s">
        <v>66</v>
      </c>
      <c r="F475" s="0" t="s">
        <v>1420</v>
      </c>
      <c r="G475" s="0" t="s">
        <v>1421</v>
      </c>
      <c r="H475" s="0" t="s">
        <v>305</v>
      </c>
      <c r="I475" s="0" t="s">
        <v>138</v>
      </c>
    </row>
    <row r="476" customFormat="false" ht="15" hidden="false" customHeight="false" outlineLevel="0" collapsed="false">
      <c r="A476" s="0" t="s">
        <v>308</v>
      </c>
      <c r="B476" s="0" t="s">
        <v>1422</v>
      </c>
      <c r="C476" s="0" t="s">
        <v>934</v>
      </c>
      <c r="D476" s="0" t="n">
        <v>3.33</v>
      </c>
      <c r="E476" s="0" t="s">
        <v>66</v>
      </c>
      <c r="F476" s="0" t="s">
        <v>1412</v>
      </c>
      <c r="G476" s="0" t="s">
        <v>1423</v>
      </c>
      <c r="H476" s="0" t="s">
        <v>312</v>
      </c>
      <c r="I476" s="0" t="s">
        <v>138</v>
      </c>
    </row>
    <row r="477" customFormat="false" ht="15" hidden="false" customHeight="false" outlineLevel="0" collapsed="false">
      <c r="A477" s="0" t="s">
        <v>308</v>
      </c>
      <c r="B477" s="0" t="s">
        <v>1145</v>
      </c>
      <c r="C477" s="0" t="s">
        <v>934</v>
      </c>
      <c r="D477" s="0" t="n">
        <v>43.61</v>
      </c>
      <c r="E477" s="0" t="s">
        <v>66</v>
      </c>
      <c r="F477" s="0" t="s">
        <v>1414</v>
      </c>
      <c r="G477" s="0" t="s">
        <v>1424</v>
      </c>
      <c r="H477" s="0" t="s">
        <v>312</v>
      </c>
      <c r="I477" s="0" t="s">
        <v>138</v>
      </c>
    </row>
    <row r="478" customFormat="false" ht="15" hidden="false" customHeight="false" outlineLevel="0" collapsed="false">
      <c r="A478" s="0" t="s">
        <v>308</v>
      </c>
      <c r="B478" s="0" t="s">
        <v>1150</v>
      </c>
      <c r="C478" s="0" t="s">
        <v>934</v>
      </c>
      <c r="D478" s="0" t="n">
        <v>3.33</v>
      </c>
      <c r="E478" s="0" t="s">
        <v>66</v>
      </c>
      <c r="F478" s="0" t="s">
        <v>1416</v>
      </c>
      <c r="G478" s="0" t="s">
        <v>1425</v>
      </c>
      <c r="H478" s="0" t="s">
        <v>312</v>
      </c>
      <c r="I478" s="0" t="s">
        <v>138</v>
      </c>
    </row>
    <row r="479" customFormat="false" ht="15" hidden="false" customHeight="false" outlineLevel="0" collapsed="false">
      <c r="A479" s="0" t="s">
        <v>308</v>
      </c>
      <c r="B479" s="0" t="s">
        <v>1151</v>
      </c>
      <c r="C479" s="0" t="s">
        <v>948</v>
      </c>
      <c r="D479" s="0" t="n">
        <v>39.03</v>
      </c>
      <c r="E479" s="0" t="s">
        <v>66</v>
      </c>
      <c r="F479" s="0" t="s">
        <v>1418</v>
      </c>
      <c r="G479" s="0" t="s">
        <v>1426</v>
      </c>
      <c r="H479" s="0" t="s">
        <v>312</v>
      </c>
      <c r="I479" s="0" t="s">
        <v>138</v>
      </c>
    </row>
    <row r="480" customFormat="false" ht="15" hidden="false" customHeight="false" outlineLevel="0" collapsed="false">
      <c r="A480" s="0" t="s">
        <v>308</v>
      </c>
      <c r="B480" s="0" t="s">
        <v>1158</v>
      </c>
      <c r="C480" s="0" t="s">
        <v>934</v>
      </c>
      <c r="D480" s="0" t="n">
        <v>6.67</v>
      </c>
      <c r="E480" s="0" t="s">
        <v>66</v>
      </c>
      <c r="F480" s="0" t="s">
        <v>1420</v>
      </c>
      <c r="G480" s="0" t="s">
        <v>1427</v>
      </c>
      <c r="H480" s="0" t="s">
        <v>312</v>
      </c>
      <c r="I480" s="0" t="s">
        <v>138</v>
      </c>
    </row>
    <row r="481" customFormat="false" ht="15" hidden="false" customHeight="false" outlineLevel="0" collapsed="false">
      <c r="A481" s="0" t="s">
        <v>314</v>
      </c>
      <c r="B481" s="0" t="s">
        <v>1422</v>
      </c>
      <c r="C481" s="0" t="s">
        <v>934</v>
      </c>
      <c r="D481" s="0" t="n">
        <v>3.33</v>
      </c>
      <c r="E481" s="0" t="s">
        <v>66</v>
      </c>
      <c r="F481" s="0" t="s">
        <v>1412</v>
      </c>
      <c r="G481" s="0" t="s">
        <v>1423</v>
      </c>
      <c r="H481" s="0" t="s">
        <v>318</v>
      </c>
      <c r="I481" s="0" t="s">
        <v>138</v>
      </c>
    </row>
    <row r="482" customFormat="false" ht="15" hidden="false" customHeight="false" outlineLevel="0" collapsed="false">
      <c r="A482" s="0" t="s">
        <v>314</v>
      </c>
      <c r="B482" s="0" t="s">
        <v>1145</v>
      </c>
      <c r="C482" s="0" t="s">
        <v>934</v>
      </c>
      <c r="D482" s="0" t="n">
        <v>42.47</v>
      </c>
      <c r="E482" s="0" t="s">
        <v>66</v>
      </c>
      <c r="F482" s="0" t="s">
        <v>1414</v>
      </c>
      <c r="G482" s="0" t="s">
        <v>1428</v>
      </c>
      <c r="H482" s="0" t="s">
        <v>318</v>
      </c>
      <c r="I482" s="0" t="s">
        <v>138</v>
      </c>
    </row>
    <row r="483" customFormat="false" ht="15" hidden="false" customHeight="false" outlineLevel="0" collapsed="false">
      <c r="A483" s="0" t="s">
        <v>314</v>
      </c>
      <c r="B483" s="0" t="s">
        <v>1150</v>
      </c>
      <c r="C483" s="0" t="s">
        <v>934</v>
      </c>
      <c r="D483" s="0" t="n">
        <v>3.33</v>
      </c>
      <c r="E483" s="0" t="s">
        <v>66</v>
      </c>
      <c r="F483" s="0" t="s">
        <v>1416</v>
      </c>
      <c r="G483" s="0" t="s">
        <v>1425</v>
      </c>
      <c r="H483" s="0" t="s">
        <v>318</v>
      </c>
      <c r="I483" s="0" t="s">
        <v>138</v>
      </c>
    </row>
    <row r="484" customFormat="false" ht="15" hidden="false" customHeight="false" outlineLevel="0" collapsed="false">
      <c r="A484" s="0" t="s">
        <v>314</v>
      </c>
      <c r="B484" s="0" t="s">
        <v>1151</v>
      </c>
      <c r="C484" s="0" t="s">
        <v>948</v>
      </c>
      <c r="D484" s="0" t="n">
        <v>37.51</v>
      </c>
      <c r="E484" s="0" t="s">
        <v>66</v>
      </c>
      <c r="F484" s="0" t="s">
        <v>1418</v>
      </c>
      <c r="G484" s="0" t="s">
        <v>1429</v>
      </c>
      <c r="H484" s="0" t="s">
        <v>318</v>
      </c>
      <c r="I484" s="0" t="s">
        <v>138</v>
      </c>
    </row>
    <row r="485" customFormat="false" ht="15" hidden="false" customHeight="false" outlineLevel="0" collapsed="false">
      <c r="A485" s="0" t="s">
        <v>314</v>
      </c>
      <c r="B485" s="0" t="s">
        <v>1158</v>
      </c>
      <c r="C485" s="0" t="s">
        <v>934</v>
      </c>
      <c r="D485" s="0" t="n">
        <v>6.67</v>
      </c>
      <c r="E485" s="0" t="s">
        <v>66</v>
      </c>
      <c r="F485" s="0" t="s">
        <v>1420</v>
      </c>
      <c r="G485" s="0" t="s">
        <v>1427</v>
      </c>
      <c r="H485" s="0" t="s">
        <v>318</v>
      </c>
      <c r="I485" s="0" t="s">
        <v>138</v>
      </c>
    </row>
    <row r="486" customFormat="false" ht="15" hidden="false" customHeight="false" outlineLevel="0" collapsed="false">
      <c r="A486" s="0" t="s">
        <v>320</v>
      </c>
      <c r="B486" s="0" t="s">
        <v>1422</v>
      </c>
      <c r="C486" s="0" t="s">
        <v>934</v>
      </c>
      <c r="D486" s="0" t="n">
        <v>3.33</v>
      </c>
      <c r="E486" s="0" t="s">
        <v>66</v>
      </c>
      <c r="F486" s="0" t="s">
        <v>1412</v>
      </c>
      <c r="G486" s="0" t="s">
        <v>1423</v>
      </c>
      <c r="H486" s="0" t="s">
        <v>324</v>
      </c>
      <c r="I486" s="0" t="s">
        <v>138</v>
      </c>
    </row>
    <row r="487" customFormat="false" ht="15" hidden="false" customHeight="false" outlineLevel="0" collapsed="false">
      <c r="A487" s="0" t="s">
        <v>320</v>
      </c>
      <c r="B487" s="0" t="s">
        <v>1145</v>
      </c>
      <c r="C487" s="0" t="s">
        <v>934</v>
      </c>
      <c r="D487" s="0" t="n">
        <v>42.03</v>
      </c>
      <c r="E487" s="0" t="s">
        <v>66</v>
      </c>
      <c r="F487" s="0" t="s">
        <v>1414</v>
      </c>
      <c r="G487" s="0" t="s">
        <v>1430</v>
      </c>
      <c r="H487" s="0" t="s">
        <v>324</v>
      </c>
      <c r="I487" s="0" t="s">
        <v>138</v>
      </c>
    </row>
    <row r="488" customFormat="false" ht="15" hidden="false" customHeight="false" outlineLevel="0" collapsed="false">
      <c r="A488" s="0" t="s">
        <v>320</v>
      </c>
      <c r="B488" s="0" t="s">
        <v>1150</v>
      </c>
      <c r="C488" s="0" t="s">
        <v>934</v>
      </c>
      <c r="D488" s="0" t="n">
        <v>3.33</v>
      </c>
      <c r="E488" s="0" t="s">
        <v>66</v>
      </c>
      <c r="F488" s="0" t="s">
        <v>1416</v>
      </c>
      <c r="G488" s="0" t="s">
        <v>1425</v>
      </c>
      <c r="H488" s="0" t="s">
        <v>324</v>
      </c>
      <c r="I488" s="0" t="s">
        <v>138</v>
      </c>
    </row>
    <row r="489" customFormat="false" ht="15" hidden="false" customHeight="false" outlineLevel="0" collapsed="false">
      <c r="A489" s="0" t="s">
        <v>320</v>
      </c>
      <c r="B489" s="0" t="s">
        <v>1151</v>
      </c>
      <c r="C489" s="0" t="s">
        <v>948</v>
      </c>
      <c r="D489" s="0" t="n">
        <v>36.93</v>
      </c>
      <c r="E489" s="0" t="s">
        <v>66</v>
      </c>
      <c r="F489" s="0" t="s">
        <v>1418</v>
      </c>
      <c r="G489" s="0" t="s">
        <v>1431</v>
      </c>
      <c r="H489" s="0" t="s">
        <v>324</v>
      </c>
      <c r="I489" s="0" t="s">
        <v>138</v>
      </c>
    </row>
    <row r="490" customFormat="false" ht="15" hidden="false" customHeight="false" outlineLevel="0" collapsed="false">
      <c r="A490" s="0" t="s">
        <v>320</v>
      </c>
      <c r="B490" s="0" t="s">
        <v>1158</v>
      </c>
      <c r="C490" s="0" t="s">
        <v>934</v>
      </c>
      <c r="D490" s="0" t="n">
        <v>6.67</v>
      </c>
      <c r="E490" s="0" t="s">
        <v>66</v>
      </c>
      <c r="F490" s="0" t="s">
        <v>1420</v>
      </c>
      <c r="G490" s="0" t="s">
        <v>1427</v>
      </c>
      <c r="H490" s="0" t="s">
        <v>324</v>
      </c>
      <c r="I490" s="0" t="s">
        <v>138</v>
      </c>
    </row>
    <row r="491" customFormat="false" ht="15" hidden="false" customHeight="false" outlineLevel="0" collapsed="false">
      <c r="A491" s="0" t="s">
        <v>326</v>
      </c>
      <c r="B491" s="0" t="s">
        <v>1422</v>
      </c>
      <c r="C491" s="0" t="s">
        <v>934</v>
      </c>
      <c r="D491" s="0" t="n">
        <v>3.33</v>
      </c>
      <c r="E491" s="0" t="s">
        <v>66</v>
      </c>
      <c r="F491" s="0" t="s">
        <v>1412</v>
      </c>
      <c r="G491" s="0" t="s">
        <v>1423</v>
      </c>
      <c r="H491" s="0" t="s">
        <v>330</v>
      </c>
      <c r="I491" s="0" t="s">
        <v>138</v>
      </c>
    </row>
    <row r="492" customFormat="false" ht="15" hidden="false" customHeight="false" outlineLevel="0" collapsed="false">
      <c r="A492" s="0" t="s">
        <v>326</v>
      </c>
      <c r="B492" s="0" t="s">
        <v>1145</v>
      </c>
      <c r="C492" s="0" t="s">
        <v>934</v>
      </c>
      <c r="D492" s="0" t="n">
        <v>41.41</v>
      </c>
      <c r="E492" s="0" t="s">
        <v>66</v>
      </c>
      <c r="F492" s="0" t="s">
        <v>1414</v>
      </c>
      <c r="G492" s="0" t="s">
        <v>1432</v>
      </c>
      <c r="H492" s="0" t="s">
        <v>330</v>
      </c>
      <c r="I492" s="0" t="s">
        <v>138</v>
      </c>
    </row>
    <row r="493" customFormat="false" ht="15" hidden="false" customHeight="false" outlineLevel="0" collapsed="false">
      <c r="A493" s="0" t="s">
        <v>326</v>
      </c>
      <c r="B493" s="0" t="s">
        <v>1150</v>
      </c>
      <c r="C493" s="0" t="s">
        <v>934</v>
      </c>
      <c r="D493" s="0" t="n">
        <v>3.33</v>
      </c>
      <c r="E493" s="0" t="s">
        <v>66</v>
      </c>
      <c r="F493" s="0" t="s">
        <v>1416</v>
      </c>
      <c r="G493" s="0" t="s">
        <v>1425</v>
      </c>
      <c r="H493" s="0" t="s">
        <v>330</v>
      </c>
      <c r="I493" s="0" t="s">
        <v>138</v>
      </c>
    </row>
    <row r="494" customFormat="false" ht="15" hidden="false" customHeight="false" outlineLevel="0" collapsed="false">
      <c r="A494" s="0" t="s">
        <v>326</v>
      </c>
      <c r="B494" s="0" t="s">
        <v>1151</v>
      </c>
      <c r="C494" s="0" t="s">
        <v>948</v>
      </c>
      <c r="D494" s="0" t="n">
        <v>36.1</v>
      </c>
      <c r="E494" s="0" t="s">
        <v>66</v>
      </c>
      <c r="F494" s="0" t="s">
        <v>1418</v>
      </c>
      <c r="G494" s="0" t="s">
        <v>1433</v>
      </c>
      <c r="H494" s="0" t="s">
        <v>330</v>
      </c>
      <c r="I494" s="0" t="s">
        <v>138</v>
      </c>
    </row>
    <row r="495" customFormat="false" ht="15" hidden="false" customHeight="false" outlineLevel="0" collapsed="false">
      <c r="A495" s="0" t="s">
        <v>326</v>
      </c>
      <c r="B495" s="0" t="s">
        <v>1158</v>
      </c>
      <c r="C495" s="0" t="s">
        <v>934</v>
      </c>
      <c r="D495" s="0" t="n">
        <v>6.67</v>
      </c>
      <c r="E495" s="0" t="s">
        <v>66</v>
      </c>
      <c r="F495" s="0" t="s">
        <v>1420</v>
      </c>
      <c r="G495" s="0" t="s">
        <v>1427</v>
      </c>
      <c r="H495" s="0" t="s">
        <v>330</v>
      </c>
      <c r="I495" s="0" t="s">
        <v>138</v>
      </c>
    </row>
    <row r="496" customFormat="false" ht="15" hidden="false" customHeight="false" outlineLevel="0" collapsed="false">
      <c r="A496" s="0" t="s">
        <v>332</v>
      </c>
      <c r="B496" s="0" t="s">
        <v>1434</v>
      </c>
      <c r="C496" s="0" t="s">
        <v>934</v>
      </c>
      <c r="D496" s="0" t="n">
        <v>253.9</v>
      </c>
      <c r="E496" s="0" t="s">
        <v>66</v>
      </c>
      <c r="F496" s="0" t="s">
        <v>1435</v>
      </c>
      <c r="G496" s="0" t="s">
        <v>1436</v>
      </c>
      <c r="H496" s="0" t="s">
        <v>336</v>
      </c>
      <c r="I496" s="0" t="s">
        <v>337</v>
      </c>
    </row>
    <row r="497" customFormat="false" ht="15" hidden="false" customHeight="false" outlineLevel="0" collapsed="false">
      <c r="A497" s="0" t="s">
        <v>332</v>
      </c>
      <c r="B497" s="0" t="s">
        <v>1437</v>
      </c>
      <c r="C497" s="0" t="s">
        <v>934</v>
      </c>
      <c r="D497" s="0" t="n">
        <v>90.1</v>
      </c>
      <c r="E497" s="0" t="s">
        <v>66</v>
      </c>
      <c r="F497" s="0" t="s">
        <v>1438</v>
      </c>
      <c r="G497" s="0" t="s">
        <v>1439</v>
      </c>
      <c r="H497" s="0" t="s">
        <v>336</v>
      </c>
      <c r="I497" s="0" t="s">
        <v>337</v>
      </c>
    </row>
    <row r="498" customFormat="false" ht="15" hidden="false" customHeight="false" outlineLevel="0" collapsed="false">
      <c r="A498" s="0" t="s">
        <v>332</v>
      </c>
      <c r="B498" s="0" t="s">
        <v>1440</v>
      </c>
      <c r="C498" s="0" t="s">
        <v>934</v>
      </c>
      <c r="D498" s="0" t="n">
        <v>4.5</v>
      </c>
      <c r="E498" s="0" t="s">
        <v>66</v>
      </c>
      <c r="F498" s="0" t="s">
        <v>1441</v>
      </c>
      <c r="G498" s="0" t="s">
        <v>1442</v>
      </c>
      <c r="H498" s="0" t="s">
        <v>336</v>
      </c>
      <c r="I498" s="0" t="s">
        <v>337</v>
      </c>
    </row>
    <row r="499" customFormat="false" ht="15" hidden="false" customHeight="false" outlineLevel="0" collapsed="false">
      <c r="A499" s="0" t="s">
        <v>332</v>
      </c>
      <c r="B499" s="0" t="s">
        <v>1443</v>
      </c>
      <c r="C499" s="0" t="s">
        <v>934</v>
      </c>
      <c r="D499" s="0" t="n">
        <v>17</v>
      </c>
      <c r="E499" s="0" t="s">
        <v>66</v>
      </c>
      <c r="F499" s="0" t="s">
        <v>1444</v>
      </c>
      <c r="G499" s="0" t="s">
        <v>1445</v>
      </c>
      <c r="H499" s="0" t="s">
        <v>336</v>
      </c>
      <c r="I499" s="0" t="s">
        <v>337</v>
      </c>
    </row>
    <row r="500" customFormat="false" ht="15" hidden="false" customHeight="false" outlineLevel="0" collapsed="false">
      <c r="A500" s="0" t="s">
        <v>332</v>
      </c>
      <c r="B500" s="0" t="s">
        <v>1446</v>
      </c>
      <c r="C500" s="0" t="s">
        <v>934</v>
      </c>
      <c r="D500" s="0" t="n">
        <v>17</v>
      </c>
      <c r="E500" s="0" t="s">
        <v>66</v>
      </c>
      <c r="F500" s="0" t="s">
        <v>1447</v>
      </c>
      <c r="G500" s="0" t="s">
        <v>1448</v>
      </c>
      <c r="H500" s="0" t="s">
        <v>336</v>
      </c>
      <c r="I500" s="0" t="s">
        <v>337</v>
      </c>
    </row>
    <row r="501" customFormat="false" ht="15" hidden="false" customHeight="false" outlineLevel="0" collapsed="false">
      <c r="A501" s="0" t="s">
        <v>332</v>
      </c>
      <c r="B501" s="0" t="s">
        <v>1449</v>
      </c>
      <c r="C501" s="0" t="s">
        <v>934</v>
      </c>
      <c r="D501" s="0" t="n">
        <v>17</v>
      </c>
      <c r="E501" s="0" t="s">
        <v>66</v>
      </c>
      <c r="F501" s="0" t="s">
        <v>1447</v>
      </c>
      <c r="G501" s="0" t="s">
        <v>1450</v>
      </c>
      <c r="H501" s="0" t="s">
        <v>336</v>
      </c>
      <c r="I501" s="0" t="s">
        <v>337</v>
      </c>
    </row>
    <row r="502" customFormat="false" ht="15" hidden="false" customHeight="false" outlineLevel="0" collapsed="false">
      <c r="A502" s="0" t="s">
        <v>332</v>
      </c>
      <c r="B502" s="0" t="s">
        <v>1451</v>
      </c>
      <c r="C502" s="0" t="s">
        <v>934</v>
      </c>
      <c r="D502" s="0" t="n">
        <v>25.1</v>
      </c>
      <c r="E502" s="0" t="s">
        <v>66</v>
      </c>
      <c r="F502" s="0" t="s">
        <v>1452</v>
      </c>
      <c r="G502" s="0" t="s">
        <v>1453</v>
      </c>
      <c r="H502" s="0" t="s">
        <v>336</v>
      </c>
      <c r="I502" s="0" t="s">
        <v>337</v>
      </c>
    </row>
    <row r="503" customFormat="false" ht="15" hidden="false" customHeight="false" outlineLevel="0" collapsed="false">
      <c r="A503" s="0" t="s">
        <v>332</v>
      </c>
      <c r="B503" s="0" t="s">
        <v>1454</v>
      </c>
      <c r="C503" s="0" t="s">
        <v>934</v>
      </c>
      <c r="D503" s="0" t="n">
        <v>43</v>
      </c>
      <c r="E503" s="0" t="s">
        <v>66</v>
      </c>
      <c r="F503" s="0" t="s">
        <v>1455</v>
      </c>
      <c r="G503" s="0" t="s">
        <v>1456</v>
      </c>
      <c r="H503" s="0" t="s">
        <v>336</v>
      </c>
      <c r="I503" s="0" t="s">
        <v>337</v>
      </c>
    </row>
    <row r="504" customFormat="false" ht="15" hidden="false" customHeight="false" outlineLevel="0" collapsed="false">
      <c r="A504" s="0" t="s">
        <v>332</v>
      </c>
      <c r="B504" s="0" t="s">
        <v>1457</v>
      </c>
      <c r="C504" s="0" t="s">
        <v>948</v>
      </c>
      <c r="D504" s="0" t="n">
        <v>192</v>
      </c>
      <c r="E504" s="0" t="s">
        <v>66</v>
      </c>
      <c r="F504" s="0" t="s">
        <v>1458</v>
      </c>
      <c r="G504" s="0" t="s">
        <v>1459</v>
      </c>
      <c r="H504" s="0" t="s">
        <v>336</v>
      </c>
      <c r="I504" s="0" t="s">
        <v>337</v>
      </c>
    </row>
    <row r="505" customFormat="false" ht="15" hidden="false" customHeight="false" outlineLevel="0" collapsed="false">
      <c r="A505" s="0" t="s">
        <v>332</v>
      </c>
      <c r="B505" s="0" t="s">
        <v>1460</v>
      </c>
      <c r="C505" s="0" t="s">
        <v>948</v>
      </c>
      <c r="D505" s="0" t="n">
        <v>35.9</v>
      </c>
      <c r="E505" s="0" t="s">
        <v>66</v>
      </c>
      <c r="F505" s="0" t="s">
        <v>1461</v>
      </c>
      <c r="G505" s="0" t="s">
        <v>1462</v>
      </c>
      <c r="H505" s="0" t="s">
        <v>336</v>
      </c>
      <c r="I505" s="0" t="s">
        <v>337</v>
      </c>
    </row>
    <row r="506" customFormat="false" ht="15" hidden="false" customHeight="false" outlineLevel="0" collapsed="false">
      <c r="A506" s="0" t="s">
        <v>332</v>
      </c>
      <c r="B506" s="0" t="s">
        <v>1463</v>
      </c>
      <c r="C506" s="0" t="s">
        <v>948</v>
      </c>
      <c r="D506" s="0" t="n">
        <v>73</v>
      </c>
      <c r="E506" s="0" t="s">
        <v>66</v>
      </c>
      <c r="F506" s="0" t="s">
        <v>1464</v>
      </c>
      <c r="G506" s="0" t="s">
        <v>1465</v>
      </c>
      <c r="H506" s="0" t="s">
        <v>336</v>
      </c>
      <c r="I506" s="0" t="s">
        <v>337</v>
      </c>
    </row>
    <row r="507" customFormat="false" ht="15" hidden="false" customHeight="false" outlineLevel="0" collapsed="false">
      <c r="A507" s="0" t="s">
        <v>332</v>
      </c>
      <c r="B507" s="0" t="s">
        <v>1466</v>
      </c>
      <c r="C507" s="0" t="s">
        <v>948</v>
      </c>
      <c r="D507" s="0" t="n">
        <v>15.6</v>
      </c>
      <c r="E507" s="0" t="s">
        <v>66</v>
      </c>
      <c r="F507" s="0" t="s">
        <v>1467</v>
      </c>
      <c r="G507" s="0" t="s">
        <v>1468</v>
      </c>
      <c r="H507" s="0" t="s">
        <v>336</v>
      </c>
      <c r="I507" s="0" t="s">
        <v>337</v>
      </c>
    </row>
    <row r="508" customFormat="false" ht="15" hidden="false" customHeight="false" outlineLevel="0" collapsed="false">
      <c r="A508" s="0" t="s">
        <v>332</v>
      </c>
      <c r="B508" s="0" t="s">
        <v>1469</v>
      </c>
      <c r="C508" s="0" t="s">
        <v>948</v>
      </c>
      <c r="D508" s="0" t="n">
        <v>150.3</v>
      </c>
      <c r="E508" s="0" t="s">
        <v>66</v>
      </c>
      <c r="F508" s="0" t="s">
        <v>1470</v>
      </c>
      <c r="G508" s="0" t="s">
        <v>1471</v>
      </c>
      <c r="H508" s="0" t="s">
        <v>336</v>
      </c>
      <c r="I508" s="0" t="s">
        <v>337</v>
      </c>
    </row>
    <row r="509" customFormat="false" ht="15" hidden="false" customHeight="false" outlineLevel="0" collapsed="false">
      <c r="A509" s="0" t="s">
        <v>332</v>
      </c>
      <c r="B509" s="0" t="s">
        <v>1472</v>
      </c>
      <c r="C509" s="0" t="s">
        <v>948</v>
      </c>
      <c r="D509" s="0" t="n">
        <v>14.8</v>
      </c>
      <c r="E509" s="0" t="s">
        <v>66</v>
      </c>
      <c r="F509" s="0" t="s">
        <v>1473</v>
      </c>
      <c r="G509" s="0" t="s">
        <v>1474</v>
      </c>
      <c r="H509" s="0" t="s">
        <v>336</v>
      </c>
      <c r="I509" s="0" t="s">
        <v>337</v>
      </c>
    </row>
    <row r="510" customFormat="false" ht="15" hidden="false" customHeight="false" outlineLevel="0" collapsed="false">
      <c r="A510" s="0" t="s">
        <v>332</v>
      </c>
      <c r="B510" s="0" t="s">
        <v>1232</v>
      </c>
      <c r="C510" s="0" t="s">
        <v>934</v>
      </c>
      <c r="D510" s="0" t="n">
        <v>29.6</v>
      </c>
      <c r="E510" s="0" t="s">
        <v>66</v>
      </c>
      <c r="F510" s="0" t="s">
        <v>1475</v>
      </c>
      <c r="G510" s="0" t="s">
        <v>1476</v>
      </c>
      <c r="H510" s="0" t="s">
        <v>336</v>
      </c>
      <c r="I510" s="0" t="s">
        <v>337</v>
      </c>
    </row>
    <row r="511" customFormat="false" ht="15" hidden="false" customHeight="false" outlineLevel="0" collapsed="false">
      <c r="A511" s="0" t="s">
        <v>332</v>
      </c>
      <c r="B511" s="0" t="s">
        <v>1049</v>
      </c>
      <c r="C511" s="0" t="s">
        <v>934</v>
      </c>
      <c r="D511" s="0" t="n">
        <v>29.6</v>
      </c>
      <c r="E511" s="0" t="s">
        <v>66</v>
      </c>
      <c r="F511" s="0" t="s">
        <v>1477</v>
      </c>
      <c r="G511" s="0" t="e">
        <f aca="false">opening perimeter</f>
        <v>#VALUE!</v>
      </c>
      <c r="H511" s="0" t="s">
        <v>336</v>
      </c>
      <c r="I511" s="0" t="s">
        <v>337</v>
      </c>
    </row>
    <row r="512" customFormat="false" ht="15" hidden="false" customHeight="false" outlineLevel="0" collapsed="false">
      <c r="A512" s="0" t="s">
        <v>332</v>
      </c>
      <c r="B512" s="0" t="s">
        <v>1478</v>
      </c>
      <c r="C512" s="0" t="s">
        <v>948</v>
      </c>
      <c r="D512" s="0" t="n">
        <v>14.8</v>
      </c>
      <c r="E512" s="0" t="s">
        <v>66</v>
      </c>
      <c r="F512" s="0" t="s">
        <v>1479</v>
      </c>
      <c r="G512" s="0" t="s">
        <v>1480</v>
      </c>
      <c r="H512" s="0" t="s">
        <v>336</v>
      </c>
      <c r="I512" s="0" t="s">
        <v>337</v>
      </c>
    </row>
    <row r="513" customFormat="false" ht="15" hidden="false" customHeight="false" outlineLevel="0" collapsed="false">
      <c r="A513" s="0" t="s">
        <v>332</v>
      </c>
      <c r="B513" s="0" t="s">
        <v>1481</v>
      </c>
      <c r="C513" s="0" t="s">
        <v>934</v>
      </c>
      <c r="D513" s="0" t="n">
        <v>4.2</v>
      </c>
      <c r="E513" s="0" t="s">
        <v>66</v>
      </c>
      <c r="F513" s="0" t="s">
        <v>1482</v>
      </c>
      <c r="G513" s="0" t="s">
        <v>1483</v>
      </c>
      <c r="H513" s="0" t="s">
        <v>336</v>
      </c>
      <c r="I513" s="0" t="s">
        <v>337</v>
      </c>
    </row>
    <row r="514" customFormat="false" ht="15" hidden="false" customHeight="false" outlineLevel="0" collapsed="false">
      <c r="A514" s="0" t="s">
        <v>340</v>
      </c>
      <c r="B514" s="0" t="s">
        <v>1434</v>
      </c>
      <c r="C514" s="0" t="s">
        <v>934</v>
      </c>
      <c r="D514" s="0" t="n">
        <v>190.9</v>
      </c>
      <c r="E514" s="0" t="s">
        <v>66</v>
      </c>
      <c r="F514" s="0" t="s">
        <v>1435</v>
      </c>
      <c r="G514" s="0" t="s">
        <v>1484</v>
      </c>
      <c r="H514" s="0" t="s">
        <v>343</v>
      </c>
      <c r="I514" s="0" t="s">
        <v>337</v>
      </c>
    </row>
    <row r="515" customFormat="false" ht="15" hidden="false" customHeight="false" outlineLevel="0" collapsed="false">
      <c r="A515" s="0" t="s">
        <v>340</v>
      </c>
      <c r="B515" s="0" t="s">
        <v>1437</v>
      </c>
      <c r="C515" s="0" t="s">
        <v>934</v>
      </c>
      <c r="D515" s="0" t="n">
        <v>65.3</v>
      </c>
      <c r="E515" s="0" t="s">
        <v>66</v>
      </c>
      <c r="F515" s="0" t="s">
        <v>1438</v>
      </c>
      <c r="G515" s="0" t="s">
        <v>1485</v>
      </c>
      <c r="H515" s="0" t="s">
        <v>343</v>
      </c>
      <c r="I515" s="0" t="s">
        <v>337</v>
      </c>
    </row>
    <row r="516" customFormat="false" ht="15" hidden="false" customHeight="false" outlineLevel="0" collapsed="false">
      <c r="A516" s="0" t="s">
        <v>340</v>
      </c>
      <c r="B516" s="0" t="s">
        <v>1440</v>
      </c>
      <c r="C516" s="0" t="s">
        <v>934</v>
      </c>
      <c r="D516" s="0" t="n">
        <v>0</v>
      </c>
      <c r="E516" s="0" t="s">
        <v>66</v>
      </c>
      <c r="F516" s="0" t="s">
        <v>1441</v>
      </c>
      <c r="G516" s="0" t="s">
        <v>1486</v>
      </c>
      <c r="H516" s="0" t="s">
        <v>343</v>
      </c>
      <c r="I516" s="0" t="s">
        <v>337</v>
      </c>
    </row>
    <row r="517" customFormat="false" ht="15" hidden="false" customHeight="false" outlineLevel="0" collapsed="false">
      <c r="A517" s="0" t="s">
        <v>340</v>
      </c>
      <c r="B517" s="0" t="s">
        <v>1443</v>
      </c>
      <c r="C517" s="0" t="s">
        <v>934</v>
      </c>
      <c r="D517" s="0" t="n">
        <v>26.2</v>
      </c>
      <c r="E517" s="0" t="s">
        <v>66</v>
      </c>
      <c r="F517" s="0" t="s">
        <v>1444</v>
      </c>
      <c r="G517" s="0" t="s">
        <v>1487</v>
      </c>
      <c r="H517" s="0" t="s">
        <v>343</v>
      </c>
      <c r="I517" s="0" t="s">
        <v>337</v>
      </c>
    </row>
    <row r="518" customFormat="false" ht="15" hidden="false" customHeight="false" outlineLevel="0" collapsed="false">
      <c r="A518" s="0" t="s">
        <v>340</v>
      </c>
      <c r="B518" s="0" t="s">
        <v>1446</v>
      </c>
      <c r="C518" s="0" t="s">
        <v>934</v>
      </c>
      <c r="D518" s="0" t="n">
        <v>26.2</v>
      </c>
      <c r="E518" s="0" t="s">
        <v>66</v>
      </c>
      <c r="F518" s="0" t="s">
        <v>1447</v>
      </c>
      <c r="G518" s="0" t="s">
        <v>1488</v>
      </c>
      <c r="H518" s="0" t="s">
        <v>343</v>
      </c>
      <c r="I518" s="0" t="s">
        <v>337</v>
      </c>
    </row>
    <row r="519" customFormat="false" ht="15" hidden="false" customHeight="false" outlineLevel="0" collapsed="false">
      <c r="A519" s="0" t="s">
        <v>340</v>
      </c>
      <c r="B519" s="0" t="s">
        <v>1449</v>
      </c>
      <c r="C519" s="0" t="s">
        <v>934</v>
      </c>
      <c r="D519" s="0" t="n">
        <v>26.2</v>
      </c>
      <c r="E519" s="0" t="s">
        <v>66</v>
      </c>
      <c r="F519" s="0" t="s">
        <v>1447</v>
      </c>
      <c r="G519" s="0" t="s">
        <v>1489</v>
      </c>
      <c r="H519" s="0" t="s">
        <v>343</v>
      </c>
      <c r="I519" s="0" t="s">
        <v>337</v>
      </c>
    </row>
    <row r="520" customFormat="false" ht="15" hidden="false" customHeight="false" outlineLevel="0" collapsed="false">
      <c r="A520" s="0" t="s">
        <v>340</v>
      </c>
      <c r="B520" s="0" t="s">
        <v>1451</v>
      </c>
      <c r="C520" s="0" t="s">
        <v>934</v>
      </c>
      <c r="D520" s="0" t="n">
        <v>52.5</v>
      </c>
      <c r="E520" s="0" t="s">
        <v>66</v>
      </c>
      <c r="F520" s="0" t="s">
        <v>1452</v>
      </c>
      <c r="G520" s="0" t="s">
        <v>1490</v>
      </c>
      <c r="H520" s="0" t="s">
        <v>343</v>
      </c>
      <c r="I520" s="0" t="s">
        <v>337</v>
      </c>
    </row>
    <row r="521" customFormat="false" ht="15" hidden="false" customHeight="false" outlineLevel="0" collapsed="false">
      <c r="A521" s="0" t="s">
        <v>340</v>
      </c>
      <c r="B521" s="0" t="s">
        <v>1454</v>
      </c>
      <c r="C521" s="0" t="s">
        <v>934</v>
      </c>
      <c r="D521" s="0" t="n">
        <v>26.2</v>
      </c>
      <c r="E521" s="0" t="s">
        <v>66</v>
      </c>
      <c r="F521" s="0" t="s">
        <v>1455</v>
      </c>
      <c r="G521" s="0" t="s">
        <v>1491</v>
      </c>
      <c r="H521" s="0" t="s">
        <v>343</v>
      </c>
      <c r="I521" s="0" t="s">
        <v>337</v>
      </c>
    </row>
    <row r="522" customFormat="false" ht="15" hidden="false" customHeight="false" outlineLevel="0" collapsed="false">
      <c r="A522" s="0" t="s">
        <v>340</v>
      </c>
      <c r="B522" s="0" t="s">
        <v>1457</v>
      </c>
      <c r="C522" s="0" t="s">
        <v>948</v>
      </c>
      <c r="D522" s="0" t="n">
        <v>182.1</v>
      </c>
      <c r="E522" s="0" t="s">
        <v>66</v>
      </c>
      <c r="F522" s="0" t="s">
        <v>1458</v>
      </c>
      <c r="G522" s="0" t="s">
        <v>1492</v>
      </c>
      <c r="H522" s="0" t="s">
        <v>343</v>
      </c>
      <c r="I522" s="0" t="s">
        <v>337</v>
      </c>
    </row>
    <row r="523" customFormat="false" ht="15" hidden="false" customHeight="false" outlineLevel="0" collapsed="false">
      <c r="A523" s="0" t="s">
        <v>340</v>
      </c>
      <c r="B523" s="0" t="s">
        <v>1460</v>
      </c>
      <c r="C523" s="0" t="s">
        <v>948</v>
      </c>
      <c r="D523" s="0" t="n">
        <v>52</v>
      </c>
      <c r="E523" s="0" t="s">
        <v>66</v>
      </c>
      <c r="F523" s="0" t="s">
        <v>1461</v>
      </c>
      <c r="G523" s="0" t="s">
        <v>1493</v>
      </c>
      <c r="H523" s="0" t="s">
        <v>343</v>
      </c>
      <c r="I523" s="0" t="s">
        <v>337</v>
      </c>
    </row>
    <row r="524" customFormat="false" ht="15" hidden="false" customHeight="false" outlineLevel="0" collapsed="false">
      <c r="A524" s="0" t="s">
        <v>340</v>
      </c>
      <c r="B524" s="0" t="s">
        <v>1463</v>
      </c>
      <c r="C524" s="0" t="s">
        <v>948</v>
      </c>
      <c r="D524" s="0" t="n">
        <v>53.6</v>
      </c>
      <c r="E524" s="0" t="s">
        <v>66</v>
      </c>
      <c r="F524" s="0" t="s">
        <v>1464</v>
      </c>
      <c r="G524" s="0" t="s">
        <v>1494</v>
      </c>
      <c r="H524" s="0" t="s">
        <v>343</v>
      </c>
      <c r="I524" s="0" t="s">
        <v>337</v>
      </c>
    </row>
    <row r="525" customFormat="false" ht="15" hidden="false" customHeight="false" outlineLevel="0" collapsed="false">
      <c r="A525" s="0" t="s">
        <v>340</v>
      </c>
      <c r="B525" s="0" t="s">
        <v>1466</v>
      </c>
      <c r="C525" s="0" t="s">
        <v>948</v>
      </c>
      <c r="D525" s="0" t="n">
        <v>24.1</v>
      </c>
      <c r="E525" s="0" t="s">
        <v>66</v>
      </c>
      <c r="F525" s="0" t="s">
        <v>1467</v>
      </c>
      <c r="G525" s="0" t="s">
        <v>1495</v>
      </c>
      <c r="H525" s="0" t="s">
        <v>343</v>
      </c>
      <c r="I525" s="0" t="s">
        <v>337</v>
      </c>
    </row>
    <row r="526" customFormat="false" ht="15" hidden="false" customHeight="false" outlineLevel="0" collapsed="false">
      <c r="A526" s="0" t="s">
        <v>340</v>
      </c>
      <c r="B526" s="0" t="s">
        <v>1469</v>
      </c>
      <c r="C526" s="0" t="s">
        <v>948</v>
      </c>
      <c r="D526" s="0" t="n">
        <v>180.5</v>
      </c>
      <c r="E526" s="0" t="s">
        <v>66</v>
      </c>
      <c r="F526" s="0" t="s">
        <v>1470</v>
      </c>
      <c r="G526" s="0" t="s">
        <v>1496</v>
      </c>
      <c r="H526" s="0" t="s">
        <v>343</v>
      </c>
      <c r="I526" s="0" t="s">
        <v>337</v>
      </c>
    </row>
    <row r="527" customFormat="false" ht="15" hidden="false" customHeight="false" outlineLevel="0" collapsed="false">
      <c r="A527" s="0" t="s">
        <v>340</v>
      </c>
      <c r="B527" s="0" t="s">
        <v>1472</v>
      </c>
      <c r="C527" s="0" t="s">
        <v>948</v>
      </c>
      <c r="D527" s="0" t="n">
        <v>21.6</v>
      </c>
      <c r="E527" s="0" t="s">
        <v>66</v>
      </c>
      <c r="F527" s="0" t="s">
        <v>1473</v>
      </c>
      <c r="G527" s="0" t="s">
        <v>1474</v>
      </c>
      <c r="H527" s="0" t="s">
        <v>343</v>
      </c>
      <c r="I527" s="0" t="s">
        <v>337</v>
      </c>
    </row>
    <row r="528" customFormat="false" ht="15" hidden="false" customHeight="false" outlineLevel="0" collapsed="false">
      <c r="A528" s="0" t="s">
        <v>340</v>
      </c>
      <c r="B528" s="0" t="s">
        <v>1232</v>
      </c>
      <c r="C528" s="0" t="s">
        <v>934</v>
      </c>
      <c r="D528" s="0" t="n">
        <v>43.2</v>
      </c>
      <c r="E528" s="0" t="s">
        <v>66</v>
      </c>
      <c r="F528" s="0" t="s">
        <v>1475</v>
      </c>
      <c r="G528" s="0" t="s">
        <v>1476</v>
      </c>
      <c r="H528" s="0" t="s">
        <v>343</v>
      </c>
      <c r="I528" s="0" t="s">
        <v>337</v>
      </c>
    </row>
    <row r="529" customFormat="false" ht="15" hidden="false" customHeight="false" outlineLevel="0" collapsed="false">
      <c r="A529" s="0" t="s">
        <v>340</v>
      </c>
      <c r="B529" s="0" t="s">
        <v>1049</v>
      </c>
      <c r="C529" s="0" t="s">
        <v>934</v>
      </c>
      <c r="D529" s="0" t="n">
        <v>43.2</v>
      </c>
      <c r="E529" s="0" t="s">
        <v>66</v>
      </c>
      <c r="F529" s="0" t="s">
        <v>1477</v>
      </c>
      <c r="G529" s="0" t="e">
        <f aca="false">opening perimeter</f>
        <v>#VALUE!</v>
      </c>
      <c r="H529" s="0" t="s">
        <v>343</v>
      </c>
      <c r="I529" s="0" t="s">
        <v>337</v>
      </c>
    </row>
    <row r="530" customFormat="false" ht="15" hidden="false" customHeight="false" outlineLevel="0" collapsed="false">
      <c r="A530" s="0" t="s">
        <v>340</v>
      </c>
      <c r="B530" s="0" t="s">
        <v>1478</v>
      </c>
      <c r="C530" s="0" t="s">
        <v>948</v>
      </c>
      <c r="D530" s="0" t="n">
        <v>21.6</v>
      </c>
      <c r="E530" s="0" t="s">
        <v>66</v>
      </c>
      <c r="F530" s="0" t="s">
        <v>1479</v>
      </c>
      <c r="G530" s="0" t="s">
        <v>1497</v>
      </c>
      <c r="H530" s="0" t="s">
        <v>343</v>
      </c>
      <c r="I530" s="0" t="s">
        <v>337</v>
      </c>
    </row>
    <row r="531" customFormat="false" ht="15" hidden="false" customHeight="false" outlineLevel="0" collapsed="false">
      <c r="A531" s="0" t="s">
        <v>340</v>
      </c>
      <c r="B531" s="0" t="s">
        <v>1481</v>
      </c>
      <c r="C531" s="0" t="s">
        <v>934</v>
      </c>
      <c r="D531" s="0" t="n">
        <v>0</v>
      </c>
      <c r="E531" s="0" t="s">
        <v>66</v>
      </c>
      <c r="F531" s="0" t="s">
        <v>1482</v>
      </c>
      <c r="G531" s="0" t="s">
        <v>1486</v>
      </c>
      <c r="H531" s="0" t="s">
        <v>343</v>
      </c>
      <c r="I531" s="0" t="s">
        <v>337</v>
      </c>
    </row>
    <row r="532" customFormat="false" ht="15" hidden="false" customHeight="false" outlineLevel="0" collapsed="false">
      <c r="A532" s="0" t="s">
        <v>345</v>
      </c>
      <c r="B532" s="0" t="s">
        <v>1434</v>
      </c>
      <c r="C532" s="0" t="s">
        <v>934</v>
      </c>
      <c r="D532" s="0" t="n">
        <v>215.2</v>
      </c>
      <c r="E532" s="0" t="s">
        <v>66</v>
      </c>
      <c r="F532" s="0" t="s">
        <v>1435</v>
      </c>
      <c r="G532" s="0" t="s">
        <v>1498</v>
      </c>
      <c r="H532" s="0" t="s">
        <v>348</v>
      </c>
      <c r="I532" s="0" t="s">
        <v>337</v>
      </c>
    </row>
    <row r="533" customFormat="false" ht="15" hidden="false" customHeight="false" outlineLevel="0" collapsed="false">
      <c r="A533" s="0" t="s">
        <v>345</v>
      </c>
      <c r="B533" s="0" t="s">
        <v>1437</v>
      </c>
      <c r="C533" s="0" t="s">
        <v>934</v>
      </c>
      <c r="D533" s="0" t="n">
        <v>32.7</v>
      </c>
      <c r="E533" s="0" t="s">
        <v>66</v>
      </c>
      <c r="F533" s="0" t="s">
        <v>1438</v>
      </c>
      <c r="G533" s="0" t="s">
        <v>1499</v>
      </c>
      <c r="H533" s="0" t="s">
        <v>348</v>
      </c>
      <c r="I533" s="0" t="s">
        <v>337</v>
      </c>
    </row>
    <row r="534" customFormat="false" ht="15" hidden="false" customHeight="false" outlineLevel="0" collapsed="false">
      <c r="A534" s="0" t="s">
        <v>345</v>
      </c>
      <c r="B534" s="0" t="s">
        <v>1440</v>
      </c>
      <c r="C534" s="0" t="s">
        <v>934</v>
      </c>
      <c r="D534" s="0" t="n">
        <v>12.9</v>
      </c>
      <c r="E534" s="0" t="s">
        <v>66</v>
      </c>
      <c r="F534" s="0" t="s">
        <v>1441</v>
      </c>
      <c r="G534" s="0" t="s">
        <v>1500</v>
      </c>
      <c r="H534" s="0" t="s">
        <v>348</v>
      </c>
      <c r="I534" s="0" t="s">
        <v>337</v>
      </c>
    </row>
    <row r="535" customFormat="false" ht="15" hidden="false" customHeight="false" outlineLevel="0" collapsed="false">
      <c r="A535" s="0" t="s">
        <v>345</v>
      </c>
      <c r="B535" s="0" t="s">
        <v>1443</v>
      </c>
      <c r="C535" s="0" t="s">
        <v>934</v>
      </c>
      <c r="D535" s="0" t="n">
        <v>12.9</v>
      </c>
      <c r="E535" s="0" t="s">
        <v>66</v>
      </c>
      <c r="F535" s="0" t="s">
        <v>1444</v>
      </c>
      <c r="G535" s="0" t="s">
        <v>1501</v>
      </c>
      <c r="H535" s="0" t="s">
        <v>348</v>
      </c>
      <c r="I535" s="0" t="s">
        <v>337</v>
      </c>
    </row>
    <row r="536" customFormat="false" ht="15" hidden="false" customHeight="false" outlineLevel="0" collapsed="false">
      <c r="A536" s="0" t="s">
        <v>345</v>
      </c>
      <c r="B536" s="0" t="s">
        <v>1446</v>
      </c>
      <c r="C536" s="0" t="s">
        <v>934</v>
      </c>
      <c r="D536" s="0" t="n">
        <v>12.9</v>
      </c>
      <c r="E536" s="0" t="s">
        <v>66</v>
      </c>
      <c r="F536" s="0" t="s">
        <v>1447</v>
      </c>
      <c r="G536" s="0" t="s">
        <v>1502</v>
      </c>
      <c r="H536" s="0" t="s">
        <v>348</v>
      </c>
      <c r="I536" s="0" t="s">
        <v>337</v>
      </c>
    </row>
    <row r="537" customFormat="false" ht="15" hidden="false" customHeight="false" outlineLevel="0" collapsed="false">
      <c r="A537" s="0" t="s">
        <v>345</v>
      </c>
      <c r="B537" s="0" t="s">
        <v>1449</v>
      </c>
      <c r="C537" s="0" t="s">
        <v>934</v>
      </c>
      <c r="D537" s="0" t="n">
        <v>12.9</v>
      </c>
      <c r="E537" s="0" t="s">
        <v>66</v>
      </c>
      <c r="F537" s="0" t="s">
        <v>1447</v>
      </c>
      <c r="G537" s="0" t="s">
        <v>1503</v>
      </c>
      <c r="H537" s="0" t="s">
        <v>348</v>
      </c>
      <c r="I537" s="0" t="s">
        <v>337</v>
      </c>
    </row>
    <row r="538" customFormat="false" ht="15" hidden="false" customHeight="false" outlineLevel="0" collapsed="false">
      <c r="A538" s="0" t="s">
        <v>345</v>
      </c>
      <c r="B538" s="0" t="s">
        <v>1454</v>
      </c>
      <c r="C538" s="0" t="s">
        <v>934</v>
      </c>
      <c r="D538" s="0" t="n">
        <v>38.8</v>
      </c>
      <c r="E538" s="0" t="s">
        <v>66</v>
      </c>
      <c r="F538" s="0" t="s">
        <v>1455</v>
      </c>
      <c r="G538" s="0" t="s">
        <v>1504</v>
      </c>
      <c r="H538" s="0" t="s">
        <v>348</v>
      </c>
      <c r="I538" s="0" t="s">
        <v>337</v>
      </c>
    </row>
    <row r="539" customFormat="false" ht="15" hidden="false" customHeight="false" outlineLevel="0" collapsed="false">
      <c r="A539" s="0" t="s">
        <v>345</v>
      </c>
      <c r="B539" s="0" t="s">
        <v>1457</v>
      </c>
      <c r="C539" s="0" t="s">
        <v>948</v>
      </c>
      <c r="D539" s="0" t="n">
        <v>193.2</v>
      </c>
      <c r="E539" s="0" t="s">
        <v>66</v>
      </c>
      <c r="F539" s="0" t="s">
        <v>1458</v>
      </c>
      <c r="G539" s="0" t="s">
        <v>1505</v>
      </c>
      <c r="H539" s="0" t="s">
        <v>348</v>
      </c>
      <c r="I539" s="0" t="s">
        <v>337</v>
      </c>
    </row>
    <row r="540" customFormat="false" ht="15" hidden="false" customHeight="false" outlineLevel="0" collapsed="false">
      <c r="A540" s="0" t="s">
        <v>345</v>
      </c>
      <c r="B540" s="0" t="s">
        <v>1460</v>
      </c>
      <c r="C540" s="0" t="s">
        <v>948</v>
      </c>
      <c r="D540" s="0" t="n">
        <v>32.1</v>
      </c>
      <c r="E540" s="0" t="s">
        <v>66</v>
      </c>
      <c r="F540" s="0" t="s">
        <v>1461</v>
      </c>
      <c r="G540" s="0" t="s">
        <v>1506</v>
      </c>
      <c r="H540" s="0" t="s">
        <v>348</v>
      </c>
      <c r="I540" s="0" t="s">
        <v>337</v>
      </c>
    </row>
    <row r="541" customFormat="false" ht="15" hidden="false" customHeight="false" outlineLevel="0" collapsed="false">
      <c r="A541" s="0" t="s">
        <v>345</v>
      </c>
      <c r="B541" s="0" t="s">
        <v>1463</v>
      </c>
      <c r="C541" s="0" t="s">
        <v>948</v>
      </c>
      <c r="D541" s="0" t="n">
        <v>26.4</v>
      </c>
      <c r="E541" s="0" t="s">
        <v>66</v>
      </c>
      <c r="F541" s="0" t="s">
        <v>1464</v>
      </c>
      <c r="G541" s="0" t="s">
        <v>1507</v>
      </c>
      <c r="H541" s="0" t="s">
        <v>348</v>
      </c>
      <c r="I541" s="0" t="s">
        <v>337</v>
      </c>
    </row>
    <row r="542" customFormat="false" ht="15" hidden="false" customHeight="false" outlineLevel="0" collapsed="false">
      <c r="A542" s="0" t="s">
        <v>345</v>
      </c>
      <c r="B542" s="0" t="s">
        <v>1466</v>
      </c>
      <c r="C542" s="0" t="s">
        <v>948</v>
      </c>
      <c r="D542" s="0" t="n">
        <v>11.9</v>
      </c>
      <c r="E542" s="0" t="s">
        <v>66</v>
      </c>
      <c r="F542" s="0" t="s">
        <v>1467</v>
      </c>
      <c r="G542" s="0" t="s">
        <v>1508</v>
      </c>
      <c r="H542" s="0" t="s">
        <v>348</v>
      </c>
      <c r="I542" s="0" t="s">
        <v>337</v>
      </c>
    </row>
    <row r="543" customFormat="false" ht="15" hidden="false" customHeight="false" outlineLevel="0" collapsed="false">
      <c r="A543" s="0" t="s">
        <v>345</v>
      </c>
      <c r="B543" s="0" t="s">
        <v>1469</v>
      </c>
      <c r="C543" s="0" t="s">
        <v>948</v>
      </c>
      <c r="D543" s="0" t="n">
        <v>181</v>
      </c>
      <c r="E543" s="0" t="s">
        <v>66</v>
      </c>
      <c r="F543" s="0" t="s">
        <v>1470</v>
      </c>
      <c r="G543" s="0" t="s">
        <v>1509</v>
      </c>
      <c r="H543" s="0" t="s">
        <v>348</v>
      </c>
      <c r="I543" s="0" t="s">
        <v>337</v>
      </c>
    </row>
    <row r="544" customFormat="false" ht="15" hidden="false" customHeight="false" outlineLevel="0" collapsed="false">
      <c r="A544" s="0" t="s">
        <v>345</v>
      </c>
      <c r="B544" s="0" t="s">
        <v>1481</v>
      </c>
      <c r="C544" s="0" t="s">
        <v>934</v>
      </c>
      <c r="D544" s="0" t="n">
        <v>11.8</v>
      </c>
      <c r="E544" s="0" t="s">
        <v>66</v>
      </c>
      <c r="F544" s="0" t="s">
        <v>1482</v>
      </c>
      <c r="G544" s="0" t="s">
        <v>1510</v>
      </c>
      <c r="H544" s="0" t="s">
        <v>348</v>
      </c>
      <c r="I544" s="0" t="s">
        <v>337</v>
      </c>
    </row>
    <row r="545" customFormat="false" ht="15" hidden="false" customHeight="false" outlineLevel="0" collapsed="false">
      <c r="A545" s="0" t="s">
        <v>350</v>
      </c>
      <c r="B545" s="0" t="s">
        <v>1434</v>
      </c>
      <c r="C545" s="0" t="s">
        <v>934</v>
      </c>
      <c r="D545" s="0" t="n">
        <v>868.9</v>
      </c>
      <c r="E545" s="0" t="s">
        <v>66</v>
      </c>
      <c r="F545" s="0" t="s">
        <v>1435</v>
      </c>
      <c r="G545" s="0" t="s">
        <v>1511</v>
      </c>
      <c r="H545" s="0" t="s">
        <v>353</v>
      </c>
      <c r="I545" s="0" t="s">
        <v>337</v>
      </c>
    </row>
    <row r="546" customFormat="false" ht="15" hidden="false" customHeight="false" outlineLevel="0" collapsed="false">
      <c r="A546" s="0" t="s">
        <v>350</v>
      </c>
      <c r="B546" s="0" t="s">
        <v>1437</v>
      </c>
      <c r="C546" s="0" t="s">
        <v>934</v>
      </c>
      <c r="D546" s="0" t="n">
        <v>124.5</v>
      </c>
      <c r="E546" s="0" t="s">
        <v>66</v>
      </c>
      <c r="F546" s="0" t="s">
        <v>1438</v>
      </c>
      <c r="G546" s="0" t="s">
        <v>1512</v>
      </c>
      <c r="H546" s="0" t="s">
        <v>353</v>
      </c>
      <c r="I546" s="0" t="s">
        <v>337</v>
      </c>
    </row>
    <row r="547" customFormat="false" ht="15" hidden="false" customHeight="false" outlineLevel="0" collapsed="false">
      <c r="A547" s="0" t="s">
        <v>350</v>
      </c>
      <c r="B547" s="0" t="s">
        <v>1440</v>
      </c>
      <c r="C547" s="0" t="s">
        <v>934</v>
      </c>
      <c r="D547" s="0" t="n">
        <v>50.7</v>
      </c>
      <c r="E547" s="0" t="s">
        <v>66</v>
      </c>
      <c r="F547" s="0" t="s">
        <v>1441</v>
      </c>
      <c r="G547" s="0" t="s">
        <v>1513</v>
      </c>
      <c r="H547" s="0" t="s">
        <v>353</v>
      </c>
      <c r="I547" s="0" t="s">
        <v>337</v>
      </c>
    </row>
    <row r="548" customFormat="false" ht="15" hidden="false" customHeight="false" outlineLevel="0" collapsed="false">
      <c r="A548" s="0" t="s">
        <v>350</v>
      </c>
      <c r="B548" s="0" t="s">
        <v>1443</v>
      </c>
      <c r="C548" s="0" t="s">
        <v>934</v>
      </c>
      <c r="D548" s="0" t="n">
        <v>50.7</v>
      </c>
      <c r="E548" s="0" t="s">
        <v>66</v>
      </c>
      <c r="F548" s="0" t="s">
        <v>1444</v>
      </c>
      <c r="G548" s="0" t="s">
        <v>1514</v>
      </c>
      <c r="H548" s="0" t="s">
        <v>353</v>
      </c>
      <c r="I548" s="0" t="s">
        <v>337</v>
      </c>
    </row>
    <row r="549" customFormat="false" ht="15" hidden="false" customHeight="false" outlineLevel="0" collapsed="false">
      <c r="A549" s="0" t="s">
        <v>350</v>
      </c>
      <c r="B549" s="0" t="s">
        <v>1446</v>
      </c>
      <c r="C549" s="0" t="s">
        <v>934</v>
      </c>
      <c r="D549" s="0" t="n">
        <v>50.7</v>
      </c>
      <c r="E549" s="0" t="s">
        <v>66</v>
      </c>
      <c r="F549" s="0" t="s">
        <v>1447</v>
      </c>
      <c r="G549" s="0" t="s">
        <v>1515</v>
      </c>
      <c r="H549" s="0" t="s">
        <v>353</v>
      </c>
      <c r="I549" s="0" t="s">
        <v>337</v>
      </c>
    </row>
    <row r="550" customFormat="false" ht="15" hidden="false" customHeight="false" outlineLevel="0" collapsed="false">
      <c r="A550" s="0" t="s">
        <v>350</v>
      </c>
      <c r="B550" s="0" t="s">
        <v>1449</v>
      </c>
      <c r="C550" s="0" t="s">
        <v>934</v>
      </c>
      <c r="D550" s="0" t="n">
        <v>50.7</v>
      </c>
      <c r="E550" s="0" t="s">
        <v>66</v>
      </c>
      <c r="F550" s="0" t="s">
        <v>1447</v>
      </c>
      <c r="G550" s="0" t="s">
        <v>1516</v>
      </c>
      <c r="H550" s="0" t="s">
        <v>353</v>
      </c>
      <c r="I550" s="0" t="s">
        <v>337</v>
      </c>
    </row>
    <row r="551" customFormat="false" ht="15" hidden="false" customHeight="false" outlineLevel="0" collapsed="false">
      <c r="A551" s="0" t="s">
        <v>350</v>
      </c>
      <c r="B551" s="0" t="s">
        <v>1451</v>
      </c>
      <c r="C551" s="0" t="s">
        <v>934</v>
      </c>
      <c r="D551" s="0" t="n">
        <v>96</v>
      </c>
      <c r="E551" s="0" t="s">
        <v>66</v>
      </c>
      <c r="F551" s="0" t="s">
        <v>1452</v>
      </c>
      <c r="G551" s="0" t="s">
        <v>1517</v>
      </c>
      <c r="H551" s="0" t="s">
        <v>353</v>
      </c>
      <c r="I551" s="0" t="s">
        <v>337</v>
      </c>
    </row>
    <row r="552" customFormat="false" ht="15" hidden="false" customHeight="false" outlineLevel="0" collapsed="false">
      <c r="A552" s="0" t="s">
        <v>350</v>
      </c>
      <c r="B552" s="0" t="s">
        <v>1518</v>
      </c>
      <c r="C552" s="0" t="s">
        <v>934</v>
      </c>
      <c r="D552" s="0" t="n">
        <v>34</v>
      </c>
      <c r="E552" s="0" t="s">
        <v>66</v>
      </c>
      <c r="F552" s="0" t="s">
        <v>1519</v>
      </c>
      <c r="G552" s="0" t="s">
        <v>1520</v>
      </c>
      <c r="H552" s="0" t="s">
        <v>353</v>
      </c>
      <c r="I552" s="0" t="s">
        <v>337</v>
      </c>
    </row>
    <row r="553" customFormat="false" ht="15" hidden="false" customHeight="false" outlineLevel="0" collapsed="false">
      <c r="A553" s="0" t="s">
        <v>350</v>
      </c>
      <c r="B553" s="0" t="s">
        <v>1454</v>
      </c>
      <c r="C553" s="0" t="s">
        <v>934</v>
      </c>
      <c r="D553" s="0" t="n">
        <v>120.1</v>
      </c>
      <c r="E553" s="0" t="s">
        <v>66</v>
      </c>
      <c r="F553" s="0" t="s">
        <v>1455</v>
      </c>
      <c r="G553" s="0" t="s">
        <v>1521</v>
      </c>
      <c r="H553" s="0" t="s">
        <v>353</v>
      </c>
      <c r="I553" s="0" t="s">
        <v>337</v>
      </c>
    </row>
    <row r="554" customFormat="false" ht="15" hidden="false" customHeight="false" outlineLevel="0" collapsed="false">
      <c r="A554" s="0" t="s">
        <v>350</v>
      </c>
      <c r="B554" s="0" t="s">
        <v>1457</v>
      </c>
      <c r="C554" s="0" t="s">
        <v>948</v>
      </c>
      <c r="D554" s="0" t="n">
        <v>699.7</v>
      </c>
      <c r="E554" s="0" t="s">
        <v>66</v>
      </c>
      <c r="F554" s="0" t="s">
        <v>1458</v>
      </c>
      <c r="G554" s="0" t="s">
        <v>1522</v>
      </c>
      <c r="H554" s="0" t="s">
        <v>353</v>
      </c>
      <c r="I554" s="0" t="s">
        <v>337</v>
      </c>
    </row>
    <row r="555" customFormat="false" ht="15" hidden="false" customHeight="false" outlineLevel="0" collapsed="false">
      <c r="A555" s="0" t="s">
        <v>350</v>
      </c>
      <c r="B555" s="0" t="s">
        <v>1460</v>
      </c>
      <c r="C555" s="0" t="s">
        <v>948</v>
      </c>
      <c r="D555" s="0" t="n">
        <v>119.1</v>
      </c>
      <c r="E555" s="0" t="s">
        <v>66</v>
      </c>
      <c r="F555" s="0" t="s">
        <v>1461</v>
      </c>
      <c r="G555" s="0" t="s">
        <v>1523</v>
      </c>
      <c r="H555" s="0" t="s">
        <v>353</v>
      </c>
      <c r="I555" s="0" t="s">
        <v>337</v>
      </c>
    </row>
    <row r="556" customFormat="false" ht="15" hidden="false" customHeight="false" outlineLevel="0" collapsed="false">
      <c r="A556" s="0" t="s">
        <v>350</v>
      </c>
      <c r="B556" s="0" t="s">
        <v>1463</v>
      </c>
      <c r="C556" s="0" t="s">
        <v>948</v>
      </c>
      <c r="D556" s="0" t="n">
        <v>103.5</v>
      </c>
      <c r="E556" s="0" t="s">
        <v>66</v>
      </c>
      <c r="F556" s="0" t="s">
        <v>1464</v>
      </c>
      <c r="G556" s="0" t="s">
        <v>1524</v>
      </c>
      <c r="H556" s="0" t="s">
        <v>353</v>
      </c>
      <c r="I556" s="0" t="s">
        <v>337</v>
      </c>
    </row>
    <row r="557" customFormat="false" ht="15" hidden="false" customHeight="false" outlineLevel="0" collapsed="false">
      <c r="A557" s="0" t="s">
        <v>350</v>
      </c>
      <c r="B557" s="0" t="s">
        <v>1466</v>
      </c>
      <c r="C557" s="0" t="s">
        <v>948</v>
      </c>
      <c r="D557" s="0" t="n">
        <v>46.5</v>
      </c>
      <c r="E557" s="0" t="s">
        <v>66</v>
      </c>
      <c r="F557" s="0" t="s">
        <v>1467</v>
      </c>
      <c r="G557" s="0" t="s">
        <v>1525</v>
      </c>
      <c r="H557" s="0" t="s">
        <v>353</v>
      </c>
      <c r="I557" s="0" t="s">
        <v>337</v>
      </c>
    </row>
    <row r="558" customFormat="false" ht="15" hidden="false" customHeight="false" outlineLevel="0" collapsed="false">
      <c r="A558" s="0" t="s">
        <v>350</v>
      </c>
      <c r="B558" s="0" t="s">
        <v>1469</v>
      </c>
      <c r="C558" s="0" t="s">
        <v>948</v>
      </c>
      <c r="D558" s="0" t="n">
        <v>712.1</v>
      </c>
      <c r="E558" s="0" t="s">
        <v>66</v>
      </c>
      <c r="F558" s="0" t="s">
        <v>1470</v>
      </c>
      <c r="G558" s="0" t="s">
        <v>1526</v>
      </c>
      <c r="H558" s="0" t="s">
        <v>353</v>
      </c>
      <c r="I558" s="0" t="s">
        <v>337</v>
      </c>
    </row>
    <row r="559" customFormat="false" ht="15" hidden="false" customHeight="false" outlineLevel="0" collapsed="false">
      <c r="A559" s="0" t="s">
        <v>350</v>
      </c>
      <c r="B559" s="0" t="s">
        <v>1472</v>
      </c>
      <c r="C559" s="0" t="s">
        <v>948</v>
      </c>
      <c r="D559" s="0" t="n">
        <v>40</v>
      </c>
      <c r="E559" s="0" t="s">
        <v>66</v>
      </c>
      <c r="F559" s="0" t="s">
        <v>1473</v>
      </c>
      <c r="G559" s="0" t="s">
        <v>1474</v>
      </c>
      <c r="H559" s="0" t="s">
        <v>353</v>
      </c>
      <c r="I559" s="0" t="s">
        <v>337</v>
      </c>
    </row>
    <row r="560" customFormat="false" ht="15" hidden="false" customHeight="false" outlineLevel="0" collapsed="false">
      <c r="A560" s="0" t="s">
        <v>350</v>
      </c>
      <c r="B560" s="0" t="s">
        <v>1232</v>
      </c>
      <c r="C560" s="0" t="s">
        <v>934</v>
      </c>
      <c r="D560" s="0" t="n">
        <v>80</v>
      </c>
      <c r="E560" s="0" t="s">
        <v>66</v>
      </c>
      <c r="F560" s="0" t="s">
        <v>1475</v>
      </c>
      <c r="G560" s="0" t="s">
        <v>1476</v>
      </c>
      <c r="H560" s="0" t="s">
        <v>353</v>
      </c>
      <c r="I560" s="0" t="s">
        <v>337</v>
      </c>
    </row>
    <row r="561" customFormat="false" ht="15" hidden="false" customHeight="false" outlineLevel="0" collapsed="false">
      <c r="A561" s="0" t="s">
        <v>350</v>
      </c>
      <c r="B561" s="0" t="s">
        <v>1049</v>
      </c>
      <c r="C561" s="0" t="s">
        <v>934</v>
      </c>
      <c r="D561" s="0" t="n">
        <v>80</v>
      </c>
      <c r="E561" s="0" t="s">
        <v>66</v>
      </c>
      <c r="F561" s="0" t="s">
        <v>1477</v>
      </c>
      <c r="G561" s="0" t="e">
        <f aca="false">opening perimeter</f>
        <v>#VALUE!</v>
      </c>
      <c r="H561" s="0" t="s">
        <v>353</v>
      </c>
      <c r="I561" s="0" t="s">
        <v>337</v>
      </c>
    </row>
    <row r="562" customFormat="false" ht="15" hidden="false" customHeight="false" outlineLevel="0" collapsed="false">
      <c r="A562" s="0" t="s">
        <v>350</v>
      </c>
      <c r="B562" s="0" t="s">
        <v>1478</v>
      </c>
      <c r="C562" s="0" t="s">
        <v>948</v>
      </c>
      <c r="D562" s="0" t="n">
        <v>40</v>
      </c>
      <c r="E562" s="0" t="s">
        <v>66</v>
      </c>
      <c r="F562" s="0" t="s">
        <v>1479</v>
      </c>
      <c r="G562" s="0" t="s">
        <v>1527</v>
      </c>
      <c r="H562" s="0" t="s">
        <v>353</v>
      </c>
      <c r="I562" s="0" t="s">
        <v>337</v>
      </c>
    </row>
    <row r="563" customFormat="false" ht="15" hidden="false" customHeight="false" outlineLevel="0" collapsed="false">
      <c r="A563" s="0" t="s">
        <v>350</v>
      </c>
      <c r="B563" s="0" t="s">
        <v>1481</v>
      </c>
      <c r="C563" s="0" t="s">
        <v>934</v>
      </c>
      <c r="D563" s="0" t="n">
        <v>50.5</v>
      </c>
      <c r="E563" s="0" t="s">
        <v>66</v>
      </c>
      <c r="F563" s="0" t="s">
        <v>1482</v>
      </c>
      <c r="G563" s="0" t="s">
        <v>1528</v>
      </c>
      <c r="H563" s="0" t="s">
        <v>353</v>
      </c>
      <c r="I563" s="0" t="s">
        <v>337</v>
      </c>
    </row>
    <row r="564" customFormat="false" ht="15" hidden="false" customHeight="false" outlineLevel="0" collapsed="false">
      <c r="A564" s="0" t="s">
        <v>355</v>
      </c>
      <c r="B564" s="0" t="s">
        <v>1434</v>
      </c>
      <c r="C564" s="0" t="s">
        <v>934</v>
      </c>
      <c r="D564" s="0" t="n">
        <v>287.1</v>
      </c>
      <c r="E564" s="0" t="s">
        <v>66</v>
      </c>
      <c r="F564" s="0" t="s">
        <v>1435</v>
      </c>
      <c r="G564" s="0" t="s">
        <v>1529</v>
      </c>
      <c r="H564" s="0" t="s">
        <v>358</v>
      </c>
      <c r="I564" s="0" t="s">
        <v>337</v>
      </c>
    </row>
    <row r="565" customFormat="false" ht="15" hidden="false" customHeight="false" outlineLevel="0" collapsed="false">
      <c r="A565" s="0" t="s">
        <v>355</v>
      </c>
      <c r="B565" s="0" t="s">
        <v>1437</v>
      </c>
      <c r="C565" s="0" t="s">
        <v>934</v>
      </c>
      <c r="D565" s="0" t="n">
        <v>135.3</v>
      </c>
      <c r="E565" s="0" t="s">
        <v>66</v>
      </c>
      <c r="F565" s="0" t="s">
        <v>1438</v>
      </c>
      <c r="G565" s="0" t="s">
        <v>1530</v>
      </c>
      <c r="H565" s="0" t="s">
        <v>358</v>
      </c>
      <c r="I565" s="0" t="s">
        <v>337</v>
      </c>
    </row>
    <row r="566" customFormat="false" ht="15" hidden="false" customHeight="false" outlineLevel="0" collapsed="false">
      <c r="A566" s="0" t="s">
        <v>355</v>
      </c>
      <c r="B566" s="0" t="s">
        <v>1440</v>
      </c>
      <c r="C566" s="0" t="s">
        <v>934</v>
      </c>
      <c r="D566" s="0" t="n">
        <v>25.2</v>
      </c>
      <c r="E566" s="0" t="s">
        <v>66</v>
      </c>
      <c r="F566" s="0" t="s">
        <v>1441</v>
      </c>
      <c r="G566" s="0" t="s">
        <v>1531</v>
      </c>
      <c r="H566" s="0" t="s">
        <v>358</v>
      </c>
      <c r="I566" s="0" t="s">
        <v>337</v>
      </c>
    </row>
    <row r="567" customFormat="false" ht="15" hidden="false" customHeight="false" outlineLevel="0" collapsed="false">
      <c r="A567" s="0" t="s">
        <v>355</v>
      </c>
      <c r="B567" s="0" t="s">
        <v>1443</v>
      </c>
      <c r="C567" s="0" t="s">
        <v>934</v>
      </c>
      <c r="D567" s="0" t="n">
        <v>25.2</v>
      </c>
      <c r="E567" s="0" t="s">
        <v>66</v>
      </c>
      <c r="F567" s="0" t="s">
        <v>1444</v>
      </c>
      <c r="G567" s="0" t="s">
        <v>1532</v>
      </c>
      <c r="H567" s="0" t="s">
        <v>358</v>
      </c>
      <c r="I567" s="0" t="s">
        <v>337</v>
      </c>
    </row>
    <row r="568" customFormat="false" ht="15" hidden="false" customHeight="false" outlineLevel="0" collapsed="false">
      <c r="A568" s="0" t="s">
        <v>355</v>
      </c>
      <c r="B568" s="0" t="s">
        <v>1446</v>
      </c>
      <c r="C568" s="0" t="s">
        <v>934</v>
      </c>
      <c r="D568" s="0" t="n">
        <v>25.2</v>
      </c>
      <c r="E568" s="0" t="s">
        <v>66</v>
      </c>
      <c r="F568" s="0" t="s">
        <v>1447</v>
      </c>
      <c r="G568" s="0" t="s">
        <v>1533</v>
      </c>
      <c r="H568" s="0" t="s">
        <v>358</v>
      </c>
      <c r="I568" s="0" t="s">
        <v>337</v>
      </c>
    </row>
    <row r="569" customFormat="false" ht="15" hidden="false" customHeight="false" outlineLevel="0" collapsed="false">
      <c r="A569" s="0" t="s">
        <v>355</v>
      </c>
      <c r="B569" s="0" t="s">
        <v>1449</v>
      </c>
      <c r="C569" s="0" t="s">
        <v>934</v>
      </c>
      <c r="D569" s="0" t="n">
        <v>25.2</v>
      </c>
      <c r="E569" s="0" t="s">
        <v>66</v>
      </c>
      <c r="F569" s="0" t="s">
        <v>1447</v>
      </c>
      <c r="G569" s="0" t="s">
        <v>1534</v>
      </c>
      <c r="H569" s="0" t="s">
        <v>358</v>
      </c>
      <c r="I569" s="0" t="s">
        <v>337</v>
      </c>
    </row>
    <row r="570" customFormat="false" ht="15" hidden="false" customHeight="false" outlineLevel="0" collapsed="false">
      <c r="A570" s="0" t="s">
        <v>355</v>
      </c>
      <c r="B570" s="0" t="s">
        <v>1454</v>
      </c>
      <c r="C570" s="0" t="s">
        <v>934</v>
      </c>
      <c r="D570" s="0" t="n">
        <v>101</v>
      </c>
      <c r="E570" s="0" t="s">
        <v>66</v>
      </c>
      <c r="F570" s="0" t="s">
        <v>1455</v>
      </c>
      <c r="G570" s="0" t="s">
        <v>1535</v>
      </c>
      <c r="H570" s="0" t="s">
        <v>358</v>
      </c>
      <c r="I570" s="0" t="s">
        <v>337</v>
      </c>
    </row>
    <row r="571" customFormat="false" ht="15" hidden="false" customHeight="false" outlineLevel="0" collapsed="false">
      <c r="A571" s="0" t="s">
        <v>355</v>
      </c>
      <c r="B571" s="0" t="s">
        <v>1457</v>
      </c>
      <c r="C571" s="0" t="s">
        <v>948</v>
      </c>
      <c r="D571" s="0" t="n">
        <v>427.1</v>
      </c>
      <c r="E571" s="0" t="s">
        <v>66</v>
      </c>
      <c r="F571" s="0" t="s">
        <v>1458</v>
      </c>
      <c r="G571" s="0" t="s">
        <v>1536</v>
      </c>
      <c r="H571" s="0" t="s">
        <v>358</v>
      </c>
      <c r="I571" s="0" t="s">
        <v>337</v>
      </c>
    </row>
    <row r="572" customFormat="false" ht="15" hidden="false" customHeight="false" outlineLevel="0" collapsed="false">
      <c r="A572" s="0" t="s">
        <v>355</v>
      </c>
      <c r="B572" s="0" t="s">
        <v>1460</v>
      </c>
      <c r="C572" s="0" t="s">
        <v>948</v>
      </c>
      <c r="D572" s="0" t="n">
        <v>12.6</v>
      </c>
      <c r="E572" s="0" t="s">
        <v>66</v>
      </c>
      <c r="F572" s="0" t="s">
        <v>1461</v>
      </c>
      <c r="G572" s="0" t="s">
        <v>1537</v>
      </c>
      <c r="H572" s="0" t="s">
        <v>358</v>
      </c>
      <c r="I572" s="0" t="s">
        <v>337</v>
      </c>
    </row>
    <row r="573" customFormat="false" ht="15" hidden="false" customHeight="false" outlineLevel="0" collapsed="false">
      <c r="A573" s="0" t="s">
        <v>355</v>
      </c>
      <c r="B573" s="0" t="s">
        <v>1463</v>
      </c>
      <c r="C573" s="0" t="s">
        <v>948</v>
      </c>
      <c r="D573" s="0" t="n">
        <v>110.2</v>
      </c>
      <c r="E573" s="0" t="s">
        <v>66</v>
      </c>
      <c r="F573" s="0" t="s">
        <v>1464</v>
      </c>
      <c r="G573" s="0" t="s">
        <v>1538</v>
      </c>
      <c r="H573" s="0" t="s">
        <v>358</v>
      </c>
      <c r="I573" s="0" t="s">
        <v>337</v>
      </c>
    </row>
    <row r="574" customFormat="false" ht="15" hidden="false" customHeight="false" outlineLevel="0" collapsed="false">
      <c r="A574" s="0" t="s">
        <v>355</v>
      </c>
      <c r="B574" s="0" t="s">
        <v>1466</v>
      </c>
      <c r="C574" s="0" t="s">
        <v>948</v>
      </c>
      <c r="D574" s="0" t="n">
        <v>23.1</v>
      </c>
      <c r="E574" s="0" t="s">
        <v>66</v>
      </c>
      <c r="F574" s="0" t="s">
        <v>1467</v>
      </c>
      <c r="G574" s="0" t="s">
        <v>1539</v>
      </c>
      <c r="H574" s="0" t="s">
        <v>358</v>
      </c>
      <c r="I574" s="0" t="s">
        <v>337</v>
      </c>
    </row>
    <row r="575" customFormat="false" ht="15" hidden="false" customHeight="false" outlineLevel="0" collapsed="false">
      <c r="A575" s="0" t="s">
        <v>355</v>
      </c>
      <c r="B575" s="0" t="s">
        <v>1469</v>
      </c>
      <c r="C575" s="0" t="s">
        <v>948</v>
      </c>
      <c r="D575" s="0" t="n">
        <v>324.4</v>
      </c>
      <c r="E575" s="0" t="s">
        <v>66</v>
      </c>
      <c r="F575" s="0" t="s">
        <v>1470</v>
      </c>
      <c r="G575" s="0" t="s">
        <v>1540</v>
      </c>
      <c r="H575" s="0" t="s">
        <v>358</v>
      </c>
      <c r="I575" s="0" t="s">
        <v>337</v>
      </c>
    </row>
    <row r="576" customFormat="false" ht="15" hidden="false" customHeight="false" outlineLevel="0" collapsed="false">
      <c r="A576" s="0" t="s">
        <v>355</v>
      </c>
      <c r="B576" s="0" t="s">
        <v>1481</v>
      </c>
      <c r="C576" s="0" t="s">
        <v>934</v>
      </c>
      <c r="D576" s="0" t="n">
        <v>24.9</v>
      </c>
      <c r="E576" s="0" t="s">
        <v>66</v>
      </c>
      <c r="F576" s="0" t="s">
        <v>1482</v>
      </c>
      <c r="G576" s="0" t="s">
        <v>1541</v>
      </c>
      <c r="H576" s="0" t="s">
        <v>358</v>
      </c>
      <c r="I576" s="0" t="s">
        <v>337</v>
      </c>
    </row>
    <row r="577" customFormat="false" ht="15" hidden="false" customHeight="false" outlineLevel="0" collapsed="false">
      <c r="A577" s="0" t="s">
        <v>360</v>
      </c>
      <c r="B577" s="0" t="s">
        <v>1434</v>
      </c>
      <c r="C577" s="0" t="s">
        <v>934</v>
      </c>
      <c r="D577" s="0" t="n">
        <v>683.9</v>
      </c>
      <c r="E577" s="0" t="s">
        <v>66</v>
      </c>
      <c r="F577" s="0" t="s">
        <v>1435</v>
      </c>
      <c r="G577" s="0" t="s">
        <v>1542</v>
      </c>
      <c r="H577" s="0" t="s">
        <v>363</v>
      </c>
      <c r="I577" s="0" t="s">
        <v>337</v>
      </c>
    </row>
    <row r="578" customFormat="false" ht="15" hidden="false" customHeight="false" outlineLevel="0" collapsed="false">
      <c r="A578" s="0" t="s">
        <v>360</v>
      </c>
      <c r="B578" s="0" t="s">
        <v>1437</v>
      </c>
      <c r="C578" s="0" t="s">
        <v>934</v>
      </c>
      <c r="D578" s="0" t="n">
        <v>302.9</v>
      </c>
      <c r="E578" s="0" t="s">
        <v>66</v>
      </c>
      <c r="F578" s="0" t="s">
        <v>1438</v>
      </c>
      <c r="G578" s="0" t="s">
        <v>1543</v>
      </c>
      <c r="H578" s="0" t="s">
        <v>363</v>
      </c>
      <c r="I578" s="0" t="s">
        <v>337</v>
      </c>
    </row>
    <row r="579" customFormat="false" ht="15" hidden="false" customHeight="false" outlineLevel="0" collapsed="false">
      <c r="A579" s="0" t="s">
        <v>360</v>
      </c>
      <c r="B579" s="0" t="s">
        <v>1440</v>
      </c>
      <c r="C579" s="0" t="s">
        <v>934</v>
      </c>
      <c r="D579" s="0" t="n">
        <v>49</v>
      </c>
      <c r="E579" s="0" t="s">
        <v>66</v>
      </c>
      <c r="F579" s="0" t="s">
        <v>1441</v>
      </c>
      <c r="G579" s="0" t="s">
        <v>1544</v>
      </c>
      <c r="H579" s="0" t="s">
        <v>363</v>
      </c>
      <c r="I579" s="0" t="s">
        <v>337</v>
      </c>
    </row>
    <row r="580" customFormat="false" ht="15" hidden="false" customHeight="false" outlineLevel="0" collapsed="false">
      <c r="A580" s="0" t="s">
        <v>360</v>
      </c>
      <c r="B580" s="0" t="s">
        <v>1443</v>
      </c>
      <c r="C580" s="0" t="s">
        <v>934</v>
      </c>
      <c r="D580" s="0" t="n">
        <v>52.3</v>
      </c>
      <c r="E580" s="0" t="s">
        <v>66</v>
      </c>
      <c r="F580" s="0" t="s">
        <v>1444</v>
      </c>
      <c r="G580" s="0" t="s">
        <v>1545</v>
      </c>
      <c r="H580" s="0" t="s">
        <v>363</v>
      </c>
      <c r="I580" s="0" t="s">
        <v>337</v>
      </c>
    </row>
    <row r="581" customFormat="false" ht="15" hidden="false" customHeight="false" outlineLevel="0" collapsed="false">
      <c r="A581" s="0" t="s">
        <v>360</v>
      </c>
      <c r="B581" s="0" t="s">
        <v>1446</v>
      </c>
      <c r="C581" s="0" t="s">
        <v>934</v>
      </c>
      <c r="D581" s="0" t="n">
        <v>52.3</v>
      </c>
      <c r="E581" s="0" t="s">
        <v>66</v>
      </c>
      <c r="F581" s="0" t="s">
        <v>1447</v>
      </c>
      <c r="G581" s="0" t="s">
        <v>1546</v>
      </c>
      <c r="H581" s="0" t="s">
        <v>363</v>
      </c>
      <c r="I581" s="0" t="s">
        <v>337</v>
      </c>
    </row>
    <row r="582" customFormat="false" ht="15" hidden="false" customHeight="false" outlineLevel="0" collapsed="false">
      <c r="A582" s="0" t="s">
        <v>360</v>
      </c>
      <c r="B582" s="0" t="s">
        <v>1449</v>
      </c>
      <c r="C582" s="0" t="s">
        <v>934</v>
      </c>
      <c r="D582" s="0" t="n">
        <v>52.3</v>
      </c>
      <c r="E582" s="0" t="s">
        <v>66</v>
      </c>
      <c r="F582" s="0" t="s">
        <v>1447</v>
      </c>
      <c r="G582" s="0" t="s">
        <v>1547</v>
      </c>
      <c r="H582" s="0" t="s">
        <v>363</v>
      </c>
      <c r="I582" s="0" t="s">
        <v>337</v>
      </c>
    </row>
    <row r="583" customFormat="false" ht="15" hidden="false" customHeight="false" outlineLevel="0" collapsed="false">
      <c r="A583" s="0" t="s">
        <v>360</v>
      </c>
      <c r="B583" s="0" t="s">
        <v>1451</v>
      </c>
      <c r="C583" s="0" t="s">
        <v>934</v>
      </c>
      <c r="D583" s="0" t="n">
        <v>3.3</v>
      </c>
      <c r="E583" s="0" t="s">
        <v>66</v>
      </c>
      <c r="F583" s="0" t="s">
        <v>1452</v>
      </c>
      <c r="G583" s="0" t="s">
        <v>1548</v>
      </c>
      <c r="H583" s="0" t="s">
        <v>363</v>
      </c>
      <c r="I583" s="0" t="s">
        <v>337</v>
      </c>
    </row>
    <row r="584" customFormat="false" ht="15" hidden="false" customHeight="false" outlineLevel="0" collapsed="false">
      <c r="A584" s="0" t="s">
        <v>360</v>
      </c>
      <c r="B584" s="0" t="s">
        <v>1518</v>
      </c>
      <c r="C584" s="0" t="s">
        <v>934</v>
      </c>
      <c r="D584" s="0" t="n">
        <v>3.8</v>
      </c>
      <c r="E584" s="0" t="s">
        <v>66</v>
      </c>
      <c r="F584" s="0" t="s">
        <v>1519</v>
      </c>
      <c r="G584" s="0" t="s">
        <v>1520</v>
      </c>
      <c r="H584" s="0" t="s">
        <v>363</v>
      </c>
      <c r="I584" s="0" t="s">
        <v>337</v>
      </c>
    </row>
    <row r="585" customFormat="false" ht="15" hidden="false" customHeight="false" outlineLevel="0" collapsed="false">
      <c r="A585" s="0" t="s">
        <v>360</v>
      </c>
      <c r="B585" s="0" t="s">
        <v>1454</v>
      </c>
      <c r="C585" s="0" t="s">
        <v>934</v>
      </c>
      <c r="D585" s="0" t="n">
        <v>202.7</v>
      </c>
      <c r="E585" s="0" t="s">
        <v>66</v>
      </c>
      <c r="F585" s="0" t="s">
        <v>1455</v>
      </c>
      <c r="G585" s="0" t="s">
        <v>1549</v>
      </c>
      <c r="H585" s="0" t="s">
        <v>363</v>
      </c>
      <c r="I585" s="0" t="s">
        <v>337</v>
      </c>
    </row>
    <row r="586" customFormat="false" ht="15" hidden="false" customHeight="false" outlineLevel="0" collapsed="false">
      <c r="A586" s="0" t="s">
        <v>360</v>
      </c>
      <c r="B586" s="0" t="s">
        <v>1457</v>
      </c>
      <c r="C586" s="0" t="s">
        <v>948</v>
      </c>
      <c r="D586" s="0" t="n">
        <v>814.2</v>
      </c>
      <c r="E586" s="0" t="s">
        <v>66</v>
      </c>
      <c r="F586" s="0" t="s">
        <v>1458</v>
      </c>
      <c r="G586" s="0" t="s">
        <v>1550</v>
      </c>
      <c r="H586" s="0" t="s">
        <v>363</v>
      </c>
      <c r="I586" s="0" t="s">
        <v>337</v>
      </c>
    </row>
    <row r="587" customFormat="false" ht="15" hidden="false" customHeight="false" outlineLevel="0" collapsed="false">
      <c r="A587" s="0" t="s">
        <v>360</v>
      </c>
      <c r="B587" s="0" t="s">
        <v>1460</v>
      </c>
      <c r="C587" s="0" t="s">
        <v>948</v>
      </c>
      <c r="D587" s="0" t="n">
        <v>70</v>
      </c>
      <c r="E587" s="0" t="s">
        <v>66</v>
      </c>
      <c r="F587" s="0" t="s">
        <v>1461</v>
      </c>
      <c r="G587" s="0" t="s">
        <v>1551</v>
      </c>
      <c r="H587" s="0" t="s">
        <v>363</v>
      </c>
      <c r="I587" s="0" t="s">
        <v>337</v>
      </c>
    </row>
    <row r="588" customFormat="false" ht="15" hidden="false" customHeight="false" outlineLevel="0" collapsed="false">
      <c r="A588" s="0" t="s">
        <v>360</v>
      </c>
      <c r="B588" s="0" t="s">
        <v>1463</v>
      </c>
      <c r="C588" s="0" t="s">
        <v>948</v>
      </c>
      <c r="D588" s="0" t="n">
        <v>255.7</v>
      </c>
      <c r="E588" s="0" t="s">
        <v>66</v>
      </c>
      <c r="F588" s="0" t="s">
        <v>1464</v>
      </c>
      <c r="G588" s="0" t="s">
        <v>1552</v>
      </c>
      <c r="H588" s="0" t="s">
        <v>363</v>
      </c>
      <c r="I588" s="0" t="s">
        <v>337</v>
      </c>
    </row>
    <row r="589" customFormat="false" ht="15" hidden="false" customHeight="false" outlineLevel="0" collapsed="false">
      <c r="A589" s="0" t="s">
        <v>360</v>
      </c>
      <c r="B589" s="0" t="s">
        <v>1466</v>
      </c>
      <c r="C589" s="0" t="s">
        <v>948</v>
      </c>
      <c r="D589" s="0" t="n">
        <v>48</v>
      </c>
      <c r="E589" s="0" t="s">
        <v>66</v>
      </c>
      <c r="F589" s="0" t="s">
        <v>1467</v>
      </c>
      <c r="G589" s="0" t="s">
        <v>1553</v>
      </c>
      <c r="H589" s="0" t="s">
        <v>363</v>
      </c>
      <c r="I589" s="0" t="s">
        <v>337</v>
      </c>
    </row>
    <row r="590" customFormat="false" ht="15" hidden="false" customHeight="false" outlineLevel="0" collapsed="false">
      <c r="A590" s="0" t="s">
        <v>360</v>
      </c>
      <c r="B590" s="0" t="s">
        <v>1469</v>
      </c>
      <c r="C590" s="0" t="s">
        <v>948</v>
      </c>
      <c r="D590" s="0" t="n">
        <v>621</v>
      </c>
      <c r="E590" s="0" t="s">
        <v>66</v>
      </c>
      <c r="F590" s="0" t="s">
        <v>1470</v>
      </c>
      <c r="G590" s="0" t="s">
        <v>1554</v>
      </c>
      <c r="H590" s="0" t="s">
        <v>363</v>
      </c>
      <c r="I590" s="0" t="s">
        <v>337</v>
      </c>
    </row>
    <row r="591" customFormat="false" ht="15" hidden="false" customHeight="false" outlineLevel="0" collapsed="false">
      <c r="A591" s="0" t="s">
        <v>360</v>
      </c>
      <c r="B591" s="0" t="s">
        <v>1478</v>
      </c>
      <c r="C591" s="0" t="s">
        <v>948</v>
      </c>
      <c r="D591" s="0" t="n">
        <v>9.8</v>
      </c>
      <c r="E591" s="0" t="s">
        <v>66</v>
      </c>
      <c r="F591" s="0" t="s">
        <v>1479</v>
      </c>
      <c r="G591" s="0" t="s">
        <v>1555</v>
      </c>
      <c r="H591" s="0" t="s">
        <v>363</v>
      </c>
      <c r="I591" s="0" t="s">
        <v>337</v>
      </c>
    </row>
    <row r="592" customFormat="false" ht="15" hidden="false" customHeight="false" outlineLevel="0" collapsed="false">
      <c r="A592" s="0" t="s">
        <v>360</v>
      </c>
      <c r="B592" s="0" t="s">
        <v>1481</v>
      </c>
      <c r="C592" s="0" t="s">
        <v>934</v>
      </c>
      <c r="D592" s="0" t="n">
        <v>48.4</v>
      </c>
      <c r="E592" s="0" t="s">
        <v>66</v>
      </c>
      <c r="F592" s="0" t="s">
        <v>1482</v>
      </c>
      <c r="G592" s="0" t="s">
        <v>1556</v>
      </c>
      <c r="H592" s="0" t="s">
        <v>363</v>
      </c>
      <c r="I592" s="0" t="s">
        <v>337</v>
      </c>
    </row>
    <row r="593" customFormat="false" ht="15" hidden="false" customHeight="false" outlineLevel="0" collapsed="false">
      <c r="A593" s="0" t="s">
        <v>365</v>
      </c>
      <c r="B593" s="0" t="s">
        <v>1434</v>
      </c>
      <c r="C593" s="0" t="s">
        <v>934</v>
      </c>
      <c r="D593" s="0" t="n">
        <v>313.2</v>
      </c>
      <c r="E593" s="0" t="s">
        <v>66</v>
      </c>
      <c r="F593" s="0" t="s">
        <v>1435</v>
      </c>
      <c r="G593" s="0" t="s">
        <v>1557</v>
      </c>
      <c r="H593" s="0" t="s">
        <v>368</v>
      </c>
      <c r="I593" s="0" t="s">
        <v>337</v>
      </c>
    </row>
    <row r="594" customFormat="false" ht="15" hidden="false" customHeight="false" outlineLevel="0" collapsed="false">
      <c r="A594" s="0" t="s">
        <v>365</v>
      </c>
      <c r="B594" s="0" t="s">
        <v>1437</v>
      </c>
      <c r="C594" s="0" t="s">
        <v>934</v>
      </c>
      <c r="D594" s="0" t="n">
        <v>135.3</v>
      </c>
      <c r="E594" s="0" t="s">
        <v>66</v>
      </c>
      <c r="F594" s="0" t="s">
        <v>1438</v>
      </c>
      <c r="G594" s="0" t="s">
        <v>1530</v>
      </c>
      <c r="H594" s="0" t="s">
        <v>368</v>
      </c>
      <c r="I594" s="0" t="s">
        <v>337</v>
      </c>
    </row>
    <row r="595" customFormat="false" ht="15" hidden="false" customHeight="false" outlineLevel="0" collapsed="false">
      <c r="A595" s="0" t="s">
        <v>365</v>
      </c>
      <c r="B595" s="0" t="s">
        <v>1440</v>
      </c>
      <c r="C595" s="0" t="s">
        <v>934</v>
      </c>
      <c r="D595" s="0" t="n">
        <v>25.2</v>
      </c>
      <c r="E595" s="0" t="s">
        <v>66</v>
      </c>
      <c r="F595" s="0" t="s">
        <v>1441</v>
      </c>
      <c r="G595" s="0" t="s">
        <v>1531</v>
      </c>
      <c r="H595" s="0" t="s">
        <v>368</v>
      </c>
      <c r="I595" s="0" t="s">
        <v>337</v>
      </c>
    </row>
    <row r="596" customFormat="false" ht="15" hidden="false" customHeight="false" outlineLevel="0" collapsed="false">
      <c r="A596" s="0" t="s">
        <v>365</v>
      </c>
      <c r="B596" s="0" t="s">
        <v>1443</v>
      </c>
      <c r="C596" s="0" t="s">
        <v>934</v>
      </c>
      <c r="D596" s="0" t="n">
        <v>25.2</v>
      </c>
      <c r="E596" s="0" t="s">
        <v>66</v>
      </c>
      <c r="F596" s="0" t="s">
        <v>1444</v>
      </c>
      <c r="G596" s="0" t="s">
        <v>1532</v>
      </c>
      <c r="H596" s="0" t="s">
        <v>368</v>
      </c>
      <c r="I596" s="0" t="s">
        <v>337</v>
      </c>
    </row>
    <row r="597" customFormat="false" ht="15" hidden="false" customHeight="false" outlineLevel="0" collapsed="false">
      <c r="A597" s="0" t="s">
        <v>365</v>
      </c>
      <c r="B597" s="0" t="s">
        <v>1446</v>
      </c>
      <c r="C597" s="0" t="s">
        <v>934</v>
      </c>
      <c r="D597" s="0" t="n">
        <v>25.2</v>
      </c>
      <c r="E597" s="0" t="s">
        <v>66</v>
      </c>
      <c r="F597" s="0" t="s">
        <v>1447</v>
      </c>
      <c r="G597" s="0" t="s">
        <v>1533</v>
      </c>
      <c r="H597" s="0" t="s">
        <v>368</v>
      </c>
      <c r="I597" s="0" t="s">
        <v>337</v>
      </c>
    </row>
    <row r="598" customFormat="false" ht="15" hidden="false" customHeight="false" outlineLevel="0" collapsed="false">
      <c r="A598" s="0" t="s">
        <v>365</v>
      </c>
      <c r="B598" s="0" t="s">
        <v>1449</v>
      </c>
      <c r="C598" s="0" t="s">
        <v>934</v>
      </c>
      <c r="D598" s="0" t="n">
        <v>25.2</v>
      </c>
      <c r="E598" s="0" t="s">
        <v>66</v>
      </c>
      <c r="F598" s="0" t="s">
        <v>1447</v>
      </c>
      <c r="G598" s="0" t="s">
        <v>1534</v>
      </c>
      <c r="H598" s="0" t="s">
        <v>368</v>
      </c>
      <c r="I598" s="0" t="s">
        <v>337</v>
      </c>
    </row>
    <row r="599" customFormat="false" ht="15" hidden="false" customHeight="false" outlineLevel="0" collapsed="false">
      <c r="A599" s="0" t="s">
        <v>365</v>
      </c>
      <c r="B599" s="0" t="s">
        <v>1454</v>
      </c>
      <c r="C599" s="0" t="s">
        <v>934</v>
      </c>
      <c r="D599" s="0" t="n">
        <v>101</v>
      </c>
      <c r="E599" s="0" t="s">
        <v>66</v>
      </c>
      <c r="F599" s="0" t="s">
        <v>1455</v>
      </c>
      <c r="G599" s="0" t="s">
        <v>1535</v>
      </c>
      <c r="H599" s="0" t="s">
        <v>368</v>
      </c>
      <c r="I599" s="0" t="s">
        <v>337</v>
      </c>
    </row>
    <row r="600" customFormat="false" ht="15" hidden="false" customHeight="false" outlineLevel="0" collapsed="false">
      <c r="A600" s="0" t="s">
        <v>365</v>
      </c>
      <c r="B600" s="0" t="s">
        <v>1457</v>
      </c>
      <c r="C600" s="0" t="s">
        <v>948</v>
      </c>
      <c r="D600" s="0" t="n">
        <v>427.1</v>
      </c>
      <c r="E600" s="0" t="s">
        <v>66</v>
      </c>
      <c r="F600" s="0" t="s">
        <v>1458</v>
      </c>
      <c r="G600" s="0" t="s">
        <v>1536</v>
      </c>
      <c r="H600" s="0" t="s">
        <v>368</v>
      </c>
      <c r="I600" s="0" t="s">
        <v>337</v>
      </c>
    </row>
    <row r="601" customFormat="false" ht="15" hidden="false" customHeight="false" outlineLevel="0" collapsed="false">
      <c r="A601" s="0" t="s">
        <v>365</v>
      </c>
      <c r="B601" s="0" t="s">
        <v>1460</v>
      </c>
      <c r="C601" s="0" t="s">
        <v>948</v>
      </c>
      <c r="D601" s="0" t="n">
        <v>12.6</v>
      </c>
      <c r="E601" s="0" t="s">
        <v>66</v>
      </c>
      <c r="F601" s="0" t="s">
        <v>1461</v>
      </c>
      <c r="G601" s="0" t="s">
        <v>1537</v>
      </c>
      <c r="H601" s="0" t="s">
        <v>368</v>
      </c>
      <c r="I601" s="0" t="s">
        <v>337</v>
      </c>
    </row>
    <row r="602" customFormat="false" ht="15" hidden="false" customHeight="false" outlineLevel="0" collapsed="false">
      <c r="A602" s="0" t="s">
        <v>365</v>
      </c>
      <c r="B602" s="0" t="s">
        <v>1463</v>
      </c>
      <c r="C602" s="0" t="s">
        <v>948</v>
      </c>
      <c r="D602" s="0" t="n">
        <v>110.2</v>
      </c>
      <c r="E602" s="0" t="s">
        <v>66</v>
      </c>
      <c r="F602" s="0" t="s">
        <v>1464</v>
      </c>
      <c r="G602" s="0" t="s">
        <v>1538</v>
      </c>
      <c r="H602" s="0" t="s">
        <v>368</v>
      </c>
      <c r="I602" s="0" t="s">
        <v>337</v>
      </c>
    </row>
    <row r="603" customFormat="false" ht="15" hidden="false" customHeight="false" outlineLevel="0" collapsed="false">
      <c r="A603" s="0" t="s">
        <v>365</v>
      </c>
      <c r="B603" s="0" t="s">
        <v>1466</v>
      </c>
      <c r="C603" s="0" t="s">
        <v>948</v>
      </c>
      <c r="D603" s="0" t="n">
        <v>23.1</v>
      </c>
      <c r="E603" s="0" t="s">
        <v>66</v>
      </c>
      <c r="F603" s="0" t="s">
        <v>1467</v>
      </c>
      <c r="G603" s="0" t="s">
        <v>1539</v>
      </c>
      <c r="H603" s="0" t="s">
        <v>368</v>
      </c>
      <c r="I603" s="0" t="s">
        <v>337</v>
      </c>
    </row>
    <row r="604" customFormat="false" ht="15" hidden="false" customHeight="false" outlineLevel="0" collapsed="false">
      <c r="A604" s="0" t="s">
        <v>365</v>
      </c>
      <c r="B604" s="0" t="s">
        <v>1469</v>
      </c>
      <c r="C604" s="0" t="s">
        <v>948</v>
      </c>
      <c r="D604" s="0" t="n">
        <v>324.4</v>
      </c>
      <c r="E604" s="0" t="s">
        <v>66</v>
      </c>
      <c r="F604" s="0" t="s">
        <v>1470</v>
      </c>
      <c r="G604" s="0" t="s">
        <v>1540</v>
      </c>
      <c r="H604" s="0" t="s">
        <v>368</v>
      </c>
      <c r="I604" s="0" t="s">
        <v>337</v>
      </c>
    </row>
    <row r="605" customFormat="false" ht="15" hidden="false" customHeight="false" outlineLevel="0" collapsed="false">
      <c r="A605" s="0" t="s">
        <v>365</v>
      </c>
      <c r="B605" s="0" t="s">
        <v>1481</v>
      </c>
      <c r="C605" s="0" t="s">
        <v>934</v>
      </c>
      <c r="D605" s="0" t="n">
        <v>24.9</v>
      </c>
      <c r="E605" s="0" t="s">
        <v>66</v>
      </c>
      <c r="F605" s="0" t="s">
        <v>1482</v>
      </c>
      <c r="G605" s="0" t="s">
        <v>1541</v>
      </c>
      <c r="H605" s="0" t="s">
        <v>368</v>
      </c>
      <c r="I605" s="0" t="s">
        <v>337</v>
      </c>
    </row>
    <row r="606" customFormat="false" ht="15" hidden="false" customHeight="false" outlineLevel="0" collapsed="false">
      <c r="A606" s="0" t="s">
        <v>370</v>
      </c>
      <c r="B606" s="0" t="s">
        <v>1434</v>
      </c>
      <c r="C606" s="0" t="s">
        <v>934</v>
      </c>
      <c r="D606" s="0" t="n">
        <v>457.5</v>
      </c>
      <c r="E606" s="0" t="s">
        <v>66</v>
      </c>
      <c r="F606" s="0" t="s">
        <v>1435</v>
      </c>
      <c r="G606" s="0" t="s">
        <v>1558</v>
      </c>
      <c r="H606" s="0" t="s">
        <v>373</v>
      </c>
      <c r="I606" s="0" t="s">
        <v>337</v>
      </c>
    </row>
    <row r="607" customFormat="false" ht="15" hidden="false" customHeight="false" outlineLevel="0" collapsed="false">
      <c r="A607" s="0" t="s">
        <v>370</v>
      </c>
      <c r="B607" s="0" t="s">
        <v>1437</v>
      </c>
      <c r="C607" s="0" t="s">
        <v>934</v>
      </c>
      <c r="D607" s="0" t="n">
        <v>57.2</v>
      </c>
      <c r="E607" s="0" t="s">
        <v>66</v>
      </c>
      <c r="F607" s="0" t="s">
        <v>1438</v>
      </c>
      <c r="G607" s="0" t="s">
        <v>1559</v>
      </c>
      <c r="H607" s="0" t="s">
        <v>373</v>
      </c>
      <c r="I607" s="0" t="s">
        <v>337</v>
      </c>
    </row>
    <row r="608" customFormat="false" ht="15" hidden="false" customHeight="false" outlineLevel="0" collapsed="false">
      <c r="A608" s="0" t="s">
        <v>370</v>
      </c>
      <c r="B608" s="0" t="s">
        <v>1440</v>
      </c>
      <c r="C608" s="0" t="s">
        <v>934</v>
      </c>
      <c r="D608" s="0" t="n">
        <v>22.7</v>
      </c>
      <c r="E608" s="0" t="s">
        <v>66</v>
      </c>
      <c r="F608" s="0" t="s">
        <v>1441</v>
      </c>
      <c r="G608" s="0" t="s">
        <v>1560</v>
      </c>
      <c r="H608" s="0" t="s">
        <v>373</v>
      </c>
      <c r="I608" s="0" t="s">
        <v>337</v>
      </c>
    </row>
    <row r="609" customFormat="false" ht="15" hidden="false" customHeight="false" outlineLevel="0" collapsed="false">
      <c r="A609" s="0" t="s">
        <v>370</v>
      </c>
      <c r="B609" s="0" t="s">
        <v>1443</v>
      </c>
      <c r="C609" s="0" t="s">
        <v>934</v>
      </c>
      <c r="D609" s="0" t="n">
        <v>22.7</v>
      </c>
      <c r="E609" s="0" t="s">
        <v>66</v>
      </c>
      <c r="F609" s="0" t="s">
        <v>1444</v>
      </c>
      <c r="G609" s="0" t="s">
        <v>1561</v>
      </c>
      <c r="H609" s="0" t="s">
        <v>373</v>
      </c>
      <c r="I609" s="0" t="s">
        <v>337</v>
      </c>
    </row>
    <row r="610" customFormat="false" ht="15" hidden="false" customHeight="false" outlineLevel="0" collapsed="false">
      <c r="A610" s="0" t="s">
        <v>370</v>
      </c>
      <c r="B610" s="0" t="s">
        <v>1446</v>
      </c>
      <c r="C610" s="0" t="s">
        <v>934</v>
      </c>
      <c r="D610" s="0" t="n">
        <v>22.7</v>
      </c>
      <c r="E610" s="0" t="s">
        <v>66</v>
      </c>
      <c r="F610" s="0" t="s">
        <v>1447</v>
      </c>
      <c r="G610" s="0" t="s">
        <v>1562</v>
      </c>
      <c r="H610" s="0" t="s">
        <v>373</v>
      </c>
      <c r="I610" s="0" t="s">
        <v>337</v>
      </c>
    </row>
    <row r="611" customFormat="false" ht="15" hidden="false" customHeight="false" outlineLevel="0" collapsed="false">
      <c r="A611" s="0" t="s">
        <v>370</v>
      </c>
      <c r="B611" s="0" t="s">
        <v>1449</v>
      </c>
      <c r="C611" s="0" t="s">
        <v>934</v>
      </c>
      <c r="D611" s="0" t="n">
        <v>22.7</v>
      </c>
      <c r="E611" s="0" t="s">
        <v>66</v>
      </c>
      <c r="F611" s="0" t="s">
        <v>1447</v>
      </c>
      <c r="G611" s="0" t="s">
        <v>1563</v>
      </c>
      <c r="H611" s="0" t="s">
        <v>373</v>
      </c>
      <c r="I611" s="0" t="s">
        <v>337</v>
      </c>
    </row>
    <row r="612" customFormat="false" ht="15" hidden="false" customHeight="false" outlineLevel="0" collapsed="false">
      <c r="A612" s="0" t="s">
        <v>370</v>
      </c>
      <c r="B612" s="0" t="s">
        <v>1451</v>
      </c>
      <c r="C612" s="0" t="s">
        <v>934</v>
      </c>
      <c r="D612" s="0" t="n">
        <v>48</v>
      </c>
      <c r="E612" s="0" t="s">
        <v>66</v>
      </c>
      <c r="F612" s="0" t="s">
        <v>1452</v>
      </c>
      <c r="G612" s="0" t="s">
        <v>1564</v>
      </c>
      <c r="H612" s="0" t="s">
        <v>373</v>
      </c>
      <c r="I612" s="0" t="s">
        <v>337</v>
      </c>
    </row>
    <row r="613" customFormat="false" ht="15" hidden="false" customHeight="false" outlineLevel="0" collapsed="false">
      <c r="A613" s="0" t="s">
        <v>370</v>
      </c>
      <c r="B613" s="0" t="s">
        <v>1518</v>
      </c>
      <c r="C613" s="0" t="s">
        <v>934</v>
      </c>
      <c r="D613" s="0" t="n">
        <v>17</v>
      </c>
      <c r="E613" s="0" t="s">
        <v>66</v>
      </c>
      <c r="F613" s="0" t="s">
        <v>1519</v>
      </c>
      <c r="G613" s="0" t="s">
        <v>1520</v>
      </c>
      <c r="H613" s="0" t="s">
        <v>373</v>
      </c>
      <c r="I613" s="0" t="s">
        <v>337</v>
      </c>
    </row>
    <row r="614" customFormat="false" ht="15" hidden="false" customHeight="false" outlineLevel="0" collapsed="false">
      <c r="A614" s="0" t="s">
        <v>370</v>
      </c>
      <c r="B614" s="0" t="s">
        <v>1454</v>
      </c>
      <c r="C614" s="0" t="s">
        <v>934</v>
      </c>
      <c r="D614" s="0" t="n">
        <v>52</v>
      </c>
      <c r="E614" s="0" t="s">
        <v>66</v>
      </c>
      <c r="F614" s="0" t="s">
        <v>1455</v>
      </c>
      <c r="G614" s="0" t="s">
        <v>1565</v>
      </c>
      <c r="H614" s="0" t="s">
        <v>373</v>
      </c>
      <c r="I614" s="0" t="s">
        <v>337</v>
      </c>
    </row>
    <row r="615" customFormat="false" ht="15" hidden="false" customHeight="false" outlineLevel="0" collapsed="false">
      <c r="A615" s="0" t="s">
        <v>370</v>
      </c>
      <c r="B615" s="0" t="s">
        <v>1457</v>
      </c>
      <c r="C615" s="0" t="s">
        <v>948</v>
      </c>
      <c r="D615" s="0" t="n">
        <v>306.7</v>
      </c>
      <c r="E615" s="0" t="s">
        <v>66</v>
      </c>
      <c r="F615" s="0" t="s">
        <v>1458</v>
      </c>
      <c r="G615" s="0" t="s">
        <v>1566</v>
      </c>
      <c r="H615" s="0" t="s">
        <v>373</v>
      </c>
      <c r="I615" s="0" t="s">
        <v>337</v>
      </c>
    </row>
    <row r="616" customFormat="false" ht="15" hidden="false" customHeight="false" outlineLevel="0" collapsed="false">
      <c r="A616" s="0" t="s">
        <v>370</v>
      </c>
      <c r="B616" s="0" t="s">
        <v>1460</v>
      </c>
      <c r="C616" s="0" t="s">
        <v>948</v>
      </c>
      <c r="D616" s="0" t="n">
        <v>56.2</v>
      </c>
      <c r="E616" s="0" t="s">
        <v>66</v>
      </c>
      <c r="F616" s="0" t="s">
        <v>1461</v>
      </c>
      <c r="G616" s="0" t="s">
        <v>1567</v>
      </c>
      <c r="H616" s="0" t="s">
        <v>373</v>
      </c>
      <c r="I616" s="0" t="s">
        <v>337</v>
      </c>
    </row>
    <row r="617" customFormat="false" ht="15" hidden="false" customHeight="false" outlineLevel="0" collapsed="false">
      <c r="A617" s="0" t="s">
        <v>370</v>
      </c>
      <c r="B617" s="0" t="s">
        <v>1463</v>
      </c>
      <c r="C617" s="0" t="s">
        <v>948</v>
      </c>
      <c r="D617" s="0" t="n">
        <v>46.3</v>
      </c>
      <c r="E617" s="0" t="s">
        <v>66</v>
      </c>
      <c r="F617" s="0" t="s">
        <v>1464</v>
      </c>
      <c r="G617" s="0" t="s">
        <v>1568</v>
      </c>
      <c r="H617" s="0" t="s">
        <v>373</v>
      </c>
      <c r="I617" s="0" t="s">
        <v>337</v>
      </c>
    </row>
    <row r="618" customFormat="false" ht="15" hidden="false" customHeight="false" outlineLevel="0" collapsed="false">
      <c r="A618" s="0" t="s">
        <v>370</v>
      </c>
      <c r="B618" s="0" t="s">
        <v>1466</v>
      </c>
      <c r="C618" s="0" t="s">
        <v>948</v>
      </c>
      <c r="D618" s="0" t="n">
        <v>20.8</v>
      </c>
      <c r="E618" s="0" t="s">
        <v>66</v>
      </c>
      <c r="F618" s="0" t="s">
        <v>1467</v>
      </c>
      <c r="G618" s="0" t="s">
        <v>1569</v>
      </c>
      <c r="H618" s="0" t="s">
        <v>373</v>
      </c>
      <c r="I618" s="0" t="s">
        <v>337</v>
      </c>
    </row>
    <row r="619" customFormat="false" ht="15" hidden="false" customHeight="false" outlineLevel="0" collapsed="false">
      <c r="A619" s="0" t="s">
        <v>370</v>
      </c>
      <c r="B619" s="0" t="s">
        <v>1469</v>
      </c>
      <c r="C619" s="0" t="s">
        <v>948</v>
      </c>
      <c r="D619" s="0" t="n">
        <v>307.7</v>
      </c>
      <c r="E619" s="0" t="s">
        <v>66</v>
      </c>
      <c r="F619" s="0" t="s">
        <v>1470</v>
      </c>
      <c r="G619" s="0" t="s">
        <v>1570</v>
      </c>
      <c r="H619" s="0" t="s">
        <v>373</v>
      </c>
      <c r="I619" s="0" t="s">
        <v>337</v>
      </c>
    </row>
    <row r="620" customFormat="false" ht="15" hidden="false" customHeight="false" outlineLevel="0" collapsed="false">
      <c r="A620" s="0" t="s">
        <v>370</v>
      </c>
      <c r="B620" s="0" t="s">
        <v>1472</v>
      </c>
      <c r="C620" s="0" t="s">
        <v>948</v>
      </c>
      <c r="D620" s="0" t="n">
        <v>20</v>
      </c>
      <c r="E620" s="0" t="s">
        <v>66</v>
      </c>
      <c r="F620" s="0" t="s">
        <v>1473</v>
      </c>
      <c r="G620" s="0" t="s">
        <v>1474</v>
      </c>
      <c r="H620" s="0" t="s">
        <v>373</v>
      </c>
      <c r="I620" s="0" t="s">
        <v>337</v>
      </c>
    </row>
    <row r="621" customFormat="false" ht="15" hidden="false" customHeight="false" outlineLevel="0" collapsed="false">
      <c r="A621" s="0" t="s">
        <v>370</v>
      </c>
      <c r="B621" s="0" t="s">
        <v>1232</v>
      </c>
      <c r="C621" s="0" t="s">
        <v>934</v>
      </c>
      <c r="D621" s="0" t="n">
        <v>40</v>
      </c>
      <c r="E621" s="0" t="s">
        <v>66</v>
      </c>
      <c r="F621" s="0" t="s">
        <v>1475</v>
      </c>
      <c r="G621" s="0" t="s">
        <v>1476</v>
      </c>
      <c r="H621" s="0" t="s">
        <v>373</v>
      </c>
      <c r="I621" s="0" t="s">
        <v>337</v>
      </c>
    </row>
    <row r="622" customFormat="false" ht="15" hidden="false" customHeight="false" outlineLevel="0" collapsed="false">
      <c r="A622" s="0" t="s">
        <v>370</v>
      </c>
      <c r="B622" s="0" t="s">
        <v>1049</v>
      </c>
      <c r="C622" s="0" t="s">
        <v>934</v>
      </c>
      <c r="D622" s="0" t="n">
        <v>40</v>
      </c>
      <c r="E622" s="0" t="s">
        <v>66</v>
      </c>
      <c r="F622" s="0" t="s">
        <v>1477</v>
      </c>
      <c r="G622" s="0" t="e">
        <f aca="false">opening perimeter</f>
        <v>#VALUE!</v>
      </c>
      <c r="H622" s="0" t="s">
        <v>373</v>
      </c>
      <c r="I622" s="0" t="s">
        <v>337</v>
      </c>
    </row>
    <row r="623" customFormat="false" ht="15" hidden="false" customHeight="false" outlineLevel="0" collapsed="false">
      <c r="A623" s="0" t="s">
        <v>370</v>
      </c>
      <c r="B623" s="0" t="s">
        <v>1478</v>
      </c>
      <c r="C623" s="0" t="s">
        <v>948</v>
      </c>
      <c r="D623" s="0" t="n">
        <v>20</v>
      </c>
      <c r="E623" s="0" t="s">
        <v>66</v>
      </c>
      <c r="F623" s="0" t="s">
        <v>1479</v>
      </c>
      <c r="G623" s="0" t="s">
        <v>1571</v>
      </c>
      <c r="H623" s="0" t="s">
        <v>373</v>
      </c>
      <c r="I623" s="0" t="s">
        <v>337</v>
      </c>
    </row>
    <row r="624" customFormat="false" ht="15" hidden="false" customHeight="false" outlineLevel="0" collapsed="false">
      <c r="A624" s="0" t="s">
        <v>370</v>
      </c>
      <c r="B624" s="0" t="s">
        <v>1481</v>
      </c>
      <c r="C624" s="0" t="s">
        <v>934</v>
      </c>
      <c r="D624" s="0" t="n">
        <v>22.1</v>
      </c>
      <c r="E624" s="0" t="s">
        <v>66</v>
      </c>
      <c r="F624" s="0" t="s">
        <v>1482</v>
      </c>
      <c r="G624" s="0" t="s">
        <v>1572</v>
      </c>
      <c r="H624" s="0" t="s">
        <v>373</v>
      </c>
      <c r="I624" s="0" t="s">
        <v>337</v>
      </c>
    </row>
    <row r="625" customFormat="false" ht="15" hidden="false" customHeight="false" outlineLevel="0" collapsed="false">
      <c r="A625" s="0" t="s">
        <v>375</v>
      </c>
      <c r="B625" s="0" t="s">
        <v>1434</v>
      </c>
      <c r="C625" s="0" t="s">
        <v>934</v>
      </c>
      <c r="D625" s="0" t="n">
        <v>107.6</v>
      </c>
      <c r="E625" s="0" t="s">
        <v>66</v>
      </c>
      <c r="F625" s="0" t="s">
        <v>1435</v>
      </c>
      <c r="G625" s="0" t="s">
        <v>1573</v>
      </c>
      <c r="H625" s="0" t="s">
        <v>378</v>
      </c>
      <c r="I625" s="0" t="s">
        <v>337</v>
      </c>
    </row>
    <row r="626" customFormat="false" ht="15" hidden="false" customHeight="false" outlineLevel="0" collapsed="false">
      <c r="A626" s="0" t="s">
        <v>375</v>
      </c>
      <c r="B626" s="0" t="s">
        <v>1437</v>
      </c>
      <c r="C626" s="0" t="s">
        <v>934</v>
      </c>
      <c r="D626" s="0" t="n">
        <v>21.5</v>
      </c>
      <c r="E626" s="0" t="s">
        <v>66</v>
      </c>
      <c r="F626" s="0" t="s">
        <v>1438</v>
      </c>
      <c r="G626" s="0" t="s">
        <v>1574</v>
      </c>
      <c r="H626" s="0" t="s">
        <v>378</v>
      </c>
      <c r="I626" s="0" t="s">
        <v>337</v>
      </c>
    </row>
    <row r="627" customFormat="false" ht="15" hidden="false" customHeight="false" outlineLevel="0" collapsed="false">
      <c r="A627" s="0" t="s">
        <v>375</v>
      </c>
      <c r="B627" s="0" t="s">
        <v>1440</v>
      </c>
      <c r="C627" s="0" t="s">
        <v>934</v>
      </c>
      <c r="D627" s="0" t="n">
        <v>3.9</v>
      </c>
      <c r="E627" s="0" t="s">
        <v>66</v>
      </c>
      <c r="F627" s="0" t="s">
        <v>1441</v>
      </c>
      <c r="G627" s="0" t="s">
        <v>1575</v>
      </c>
      <c r="H627" s="0" t="s">
        <v>378</v>
      </c>
      <c r="I627" s="0" t="s">
        <v>337</v>
      </c>
    </row>
    <row r="628" customFormat="false" ht="15" hidden="false" customHeight="false" outlineLevel="0" collapsed="false">
      <c r="A628" s="0" t="s">
        <v>375</v>
      </c>
      <c r="B628" s="0" t="s">
        <v>1443</v>
      </c>
      <c r="C628" s="0" t="s">
        <v>934</v>
      </c>
      <c r="D628" s="0" t="n">
        <v>3.9</v>
      </c>
      <c r="E628" s="0" t="s">
        <v>66</v>
      </c>
      <c r="F628" s="0" t="s">
        <v>1444</v>
      </c>
      <c r="G628" s="0" t="s">
        <v>1576</v>
      </c>
      <c r="H628" s="0" t="s">
        <v>378</v>
      </c>
      <c r="I628" s="0" t="s">
        <v>337</v>
      </c>
    </row>
    <row r="629" customFormat="false" ht="15" hidden="false" customHeight="false" outlineLevel="0" collapsed="false">
      <c r="A629" s="0" t="s">
        <v>375</v>
      </c>
      <c r="B629" s="0" t="s">
        <v>1446</v>
      </c>
      <c r="C629" s="0" t="s">
        <v>934</v>
      </c>
      <c r="D629" s="0" t="n">
        <v>3.9</v>
      </c>
      <c r="E629" s="0" t="s">
        <v>66</v>
      </c>
      <c r="F629" s="0" t="s">
        <v>1447</v>
      </c>
      <c r="G629" s="0" t="s">
        <v>1577</v>
      </c>
      <c r="H629" s="0" t="s">
        <v>378</v>
      </c>
      <c r="I629" s="0" t="s">
        <v>337</v>
      </c>
    </row>
    <row r="630" customFormat="false" ht="15" hidden="false" customHeight="false" outlineLevel="0" collapsed="false">
      <c r="A630" s="0" t="s">
        <v>375</v>
      </c>
      <c r="B630" s="0" t="s">
        <v>1449</v>
      </c>
      <c r="C630" s="0" t="s">
        <v>934</v>
      </c>
      <c r="D630" s="0" t="n">
        <v>3.9</v>
      </c>
      <c r="E630" s="0" t="s">
        <v>66</v>
      </c>
      <c r="F630" s="0" t="s">
        <v>1447</v>
      </c>
      <c r="G630" s="0" t="s">
        <v>1578</v>
      </c>
      <c r="H630" s="0" t="s">
        <v>378</v>
      </c>
      <c r="I630" s="0" t="s">
        <v>337</v>
      </c>
    </row>
    <row r="631" customFormat="false" ht="15" hidden="false" customHeight="false" outlineLevel="0" collapsed="false">
      <c r="A631" s="0" t="s">
        <v>375</v>
      </c>
      <c r="B631" s="0" t="s">
        <v>1454</v>
      </c>
      <c r="C631" s="0" t="s">
        <v>934</v>
      </c>
      <c r="D631" s="0" t="n">
        <v>15.5</v>
      </c>
      <c r="E631" s="0" t="s">
        <v>66</v>
      </c>
      <c r="F631" s="0" t="s">
        <v>1455</v>
      </c>
      <c r="G631" s="0" t="s">
        <v>1579</v>
      </c>
      <c r="H631" s="0" t="s">
        <v>378</v>
      </c>
      <c r="I631" s="0" t="s">
        <v>337</v>
      </c>
    </row>
    <row r="632" customFormat="false" ht="15" hidden="false" customHeight="false" outlineLevel="0" collapsed="false">
      <c r="A632" s="0" t="s">
        <v>375</v>
      </c>
      <c r="B632" s="0" t="s">
        <v>1457</v>
      </c>
      <c r="C632" s="0" t="s">
        <v>948</v>
      </c>
      <c r="D632" s="0" t="n">
        <v>66.6</v>
      </c>
      <c r="E632" s="0" t="s">
        <v>66</v>
      </c>
      <c r="F632" s="0" t="s">
        <v>1458</v>
      </c>
      <c r="G632" s="0" t="s">
        <v>1580</v>
      </c>
      <c r="H632" s="0" t="s">
        <v>378</v>
      </c>
      <c r="I632" s="0" t="s">
        <v>337</v>
      </c>
    </row>
    <row r="633" customFormat="false" ht="15" hidden="false" customHeight="false" outlineLevel="0" collapsed="false">
      <c r="A633" s="0" t="s">
        <v>375</v>
      </c>
      <c r="B633" s="0" t="s">
        <v>1460</v>
      </c>
      <c r="C633" s="0" t="s">
        <v>948</v>
      </c>
      <c r="D633" s="0" t="n">
        <v>9.6</v>
      </c>
      <c r="E633" s="0" t="s">
        <v>66</v>
      </c>
      <c r="F633" s="0" t="s">
        <v>1461</v>
      </c>
      <c r="G633" s="0" t="s">
        <v>1581</v>
      </c>
      <c r="H633" s="0" t="s">
        <v>378</v>
      </c>
      <c r="I633" s="0" t="s">
        <v>337</v>
      </c>
    </row>
    <row r="634" customFormat="false" ht="15" hidden="false" customHeight="false" outlineLevel="0" collapsed="false">
      <c r="A634" s="0" t="s">
        <v>375</v>
      </c>
      <c r="B634" s="0" t="s">
        <v>1463</v>
      </c>
      <c r="C634" s="0" t="s">
        <v>948</v>
      </c>
      <c r="D634" s="0" t="n">
        <v>16.6</v>
      </c>
      <c r="E634" s="0" t="s">
        <v>66</v>
      </c>
      <c r="F634" s="0" t="s">
        <v>1464</v>
      </c>
      <c r="G634" s="0" t="s">
        <v>1582</v>
      </c>
      <c r="H634" s="0" t="s">
        <v>378</v>
      </c>
      <c r="I634" s="0" t="s">
        <v>337</v>
      </c>
    </row>
    <row r="635" customFormat="false" ht="15" hidden="false" customHeight="false" outlineLevel="0" collapsed="false">
      <c r="A635" s="0" t="s">
        <v>375</v>
      </c>
      <c r="B635" s="0" t="s">
        <v>1466</v>
      </c>
      <c r="C635" s="0" t="s">
        <v>948</v>
      </c>
      <c r="D635" s="0" t="n">
        <v>3.6</v>
      </c>
      <c r="E635" s="0" t="s">
        <v>66</v>
      </c>
      <c r="F635" s="0" t="s">
        <v>1467</v>
      </c>
      <c r="G635" s="0" t="s">
        <v>1583</v>
      </c>
      <c r="H635" s="0" t="s">
        <v>378</v>
      </c>
      <c r="I635" s="0" t="s">
        <v>337</v>
      </c>
    </row>
    <row r="636" customFormat="false" ht="15" hidden="false" customHeight="false" outlineLevel="0" collapsed="false">
      <c r="A636" s="0" t="s">
        <v>375</v>
      </c>
      <c r="B636" s="0" t="s">
        <v>1469</v>
      </c>
      <c r="C636" s="0" t="s">
        <v>948</v>
      </c>
      <c r="D636" s="0" t="n">
        <v>60.1</v>
      </c>
      <c r="E636" s="0" t="s">
        <v>66</v>
      </c>
      <c r="F636" s="0" t="s">
        <v>1470</v>
      </c>
      <c r="G636" s="0" t="s">
        <v>1584</v>
      </c>
      <c r="H636" s="0" t="s">
        <v>378</v>
      </c>
      <c r="I636" s="0" t="s">
        <v>337</v>
      </c>
    </row>
    <row r="637" customFormat="false" ht="15" hidden="false" customHeight="false" outlineLevel="0" collapsed="false">
      <c r="A637" s="0" t="s">
        <v>375</v>
      </c>
      <c r="B637" s="0" t="s">
        <v>1481</v>
      </c>
      <c r="C637" s="0" t="s">
        <v>934</v>
      </c>
      <c r="D637" s="0" t="n">
        <v>3.9</v>
      </c>
      <c r="E637" s="0" t="s">
        <v>66</v>
      </c>
      <c r="F637" s="0" t="s">
        <v>1482</v>
      </c>
      <c r="G637" s="0" t="s">
        <v>1585</v>
      </c>
      <c r="H637" s="0" t="s">
        <v>378</v>
      </c>
      <c r="I637" s="0" t="s">
        <v>337</v>
      </c>
    </row>
    <row r="638" customFormat="false" ht="15" hidden="false" customHeight="false" outlineLevel="0" collapsed="false">
      <c r="A638" s="0" t="s">
        <v>380</v>
      </c>
      <c r="B638" s="0" t="s">
        <v>1434</v>
      </c>
      <c r="C638" s="0" t="s">
        <v>934</v>
      </c>
      <c r="D638" s="0" t="n">
        <v>466.3</v>
      </c>
      <c r="E638" s="0" t="s">
        <v>66</v>
      </c>
      <c r="F638" s="0" t="s">
        <v>1435</v>
      </c>
      <c r="G638" s="0" t="s">
        <v>1586</v>
      </c>
      <c r="H638" s="0" t="s">
        <v>383</v>
      </c>
      <c r="I638" s="0" t="s">
        <v>337</v>
      </c>
    </row>
    <row r="639" customFormat="false" ht="15" hidden="false" customHeight="false" outlineLevel="0" collapsed="false">
      <c r="A639" s="0" t="s">
        <v>380</v>
      </c>
      <c r="B639" s="0" t="s">
        <v>1437</v>
      </c>
      <c r="C639" s="0" t="s">
        <v>934</v>
      </c>
      <c r="D639" s="0" t="n">
        <v>145.9</v>
      </c>
      <c r="E639" s="0" t="s">
        <v>66</v>
      </c>
      <c r="F639" s="0" t="s">
        <v>1438</v>
      </c>
      <c r="G639" s="0" t="s">
        <v>1587</v>
      </c>
      <c r="H639" s="0" t="s">
        <v>383</v>
      </c>
      <c r="I639" s="0" t="s">
        <v>337</v>
      </c>
    </row>
    <row r="640" customFormat="false" ht="15" hidden="false" customHeight="false" outlineLevel="0" collapsed="false">
      <c r="A640" s="0" t="s">
        <v>380</v>
      </c>
      <c r="B640" s="0" t="s">
        <v>1440</v>
      </c>
      <c r="C640" s="0" t="s">
        <v>934</v>
      </c>
      <c r="D640" s="0" t="n">
        <v>21.5</v>
      </c>
      <c r="E640" s="0" t="s">
        <v>66</v>
      </c>
      <c r="F640" s="0" t="s">
        <v>1441</v>
      </c>
      <c r="G640" s="0" t="s">
        <v>1588</v>
      </c>
      <c r="H640" s="0" t="s">
        <v>383</v>
      </c>
      <c r="I640" s="0" t="s">
        <v>337</v>
      </c>
    </row>
    <row r="641" customFormat="false" ht="15" hidden="false" customHeight="false" outlineLevel="0" collapsed="false">
      <c r="A641" s="0" t="s">
        <v>380</v>
      </c>
      <c r="B641" s="0" t="s">
        <v>1443</v>
      </c>
      <c r="C641" s="0" t="s">
        <v>934</v>
      </c>
      <c r="D641" s="0" t="n">
        <v>28</v>
      </c>
      <c r="E641" s="0" t="s">
        <v>66</v>
      </c>
      <c r="F641" s="0" t="s">
        <v>1444</v>
      </c>
      <c r="G641" s="0" t="s">
        <v>1589</v>
      </c>
      <c r="H641" s="0" t="s">
        <v>383</v>
      </c>
      <c r="I641" s="0" t="s">
        <v>337</v>
      </c>
    </row>
    <row r="642" customFormat="false" ht="15" hidden="false" customHeight="false" outlineLevel="0" collapsed="false">
      <c r="A642" s="0" t="s">
        <v>380</v>
      </c>
      <c r="B642" s="0" t="s">
        <v>1446</v>
      </c>
      <c r="C642" s="0" t="s">
        <v>934</v>
      </c>
      <c r="D642" s="0" t="n">
        <v>28</v>
      </c>
      <c r="E642" s="0" t="s">
        <v>66</v>
      </c>
      <c r="F642" s="0" t="s">
        <v>1447</v>
      </c>
      <c r="G642" s="0" t="s">
        <v>1590</v>
      </c>
      <c r="H642" s="0" t="s">
        <v>383</v>
      </c>
      <c r="I642" s="0" t="s">
        <v>337</v>
      </c>
    </row>
    <row r="643" customFormat="false" ht="15" hidden="false" customHeight="false" outlineLevel="0" collapsed="false">
      <c r="A643" s="0" t="s">
        <v>380</v>
      </c>
      <c r="B643" s="0" t="s">
        <v>1449</v>
      </c>
      <c r="C643" s="0" t="s">
        <v>934</v>
      </c>
      <c r="D643" s="0" t="n">
        <v>28</v>
      </c>
      <c r="E643" s="0" t="s">
        <v>66</v>
      </c>
      <c r="F643" s="0" t="s">
        <v>1447</v>
      </c>
      <c r="G643" s="0" t="s">
        <v>1591</v>
      </c>
      <c r="H643" s="0" t="s">
        <v>383</v>
      </c>
      <c r="I643" s="0" t="s">
        <v>337</v>
      </c>
    </row>
    <row r="644" customFormat="false" ht="15" hidden="false" customHeight="false" outlineLevel="0" collapsed="false">
      <c r="A644" s="0" t="s">
        <v>380</v>
      </c>
      <c r="B644" s="0" t="s">
        <v>1451</v>
      </c>
      <c r="C644" s="0" t="s">
        <v>934</v>
      </c>
      <c r="D644" s="0" t="n">
        <v>18.2</v>
      </c>
      <c r="E644" s="0" t="s">
        <v>66</v>
      </c>
      <c r="F644" s="0" t="s">
        <v>1452</v>
      </c>
      <c r="G644" s="0" t="s">
        <v>1592</v>
      </c>
      <c r="H644" s="0" t="s">
        <v>383</v>
      </c>
      <c r="I644" s="0" t="s">
        <v>337</v>
      </c>
    </row>
    <row r="645" customFormat="false" ht="15" hidden="false" customHeight="false" outlineLevel="0" collapsed="false">
      <c r="A645" s="0" t="s">
        <v>380</v>
      </c>
      <c r="B645" s="0" t="s">
        <v>1518</v>
      </c>
      <c r="C645" s="0" t="s">
        <v>934</v>
      </c>
      <c r="D645" s="0" t="n">
        <v>3.1</v>
      </c>
      <c r="E645" s="0" t="s">
        <v>66</v>
      </c>
      <c r="F645" s="0" t="s">
        <v>1519</v>
      </c>
      <c r="G645" s="0" t="s">
        <v>1520</v>
      </c>
      <c r="H645" s="0" t="s">
        <v>383</v>
      </c>
      <c r="I645" s="0" t="s">
        <v>337</v>
      </c>
    </row>
    <row r="646" customFormat="false" ht="15" hidden="false" customHeight="false" outlineLevel="0" collapsed="false">
      <c r="A646" s="0" t="s">
        <v>380</v>
      </c>
      <c r="B646" s="0" t="s">
        <v>1454</v>
      </c>
      <c r="C646" s="0" t="s">
        <v>934</v>
      </c>
      <c r="D646" s="0" t="n">
        <v>99</v>
      </c>
      <c r="E646" s="0" t="s">
        <v>66</v>
      </c>
      <c r="F646" s="0" t="s">
        <v>1455</v>
      </c>
      <c r="G646" s="0" t="s">
        <v>1593</v>
      </c>
      <c r="H646" s="0" t="s">
        <v>383</v>
      </c>
      <c r="I646" s="0" t="s">
        <v>337</v>
      </c>
    </row>
    <row r="647" customFormat="false" ht="15" hidden="false" customHeight="false" outlineLevel="0" collapsed="false">
      <c r="A647" s="0" t="s">
        <v>380</v>
      </c>
      <c r="B647" s="0" t="s">
        <v>1457</v>
      </c>
      <c r="C647" s="0" t="s">
        <v>948</v>
      </c>
      <c r="D647" s="0" t="n">
        <v>422.4</v>
      </c>
      <c r="E647" s="0" t="s">
        <v>66</v>
      </c>
      <c r="F647" s="0" t="s">
        <v>1458</v>
      </c>
      <c r="G647" s="0" t="s">
        <v>1594</v>
      </c>
      <c r="H647" s="0" t="s">
        <v>383</v>
      </c>
      <c r="I647" s="0" t="s">
        <v>337</v>
      </c>
    </row>
    <row r="648" customFormat="false" ht="15" hidden="false" customHeight="false" outlineLevel="0" collapsed="false">
      <c r="A648" s="0" t="s">
        <v>380</v>
      </c>
      <c r="B648" s="0" t="s">
        <v>1460</v>
      </c>
      <c r="C648" s="0" t="s">
        <v>948</v>
      </c>
      <c r="D648" s="0" t="n">
        <v>66.2</v>
      </c>
      <c r="E648" s="0" t="s">
        <v>66</v>
      </c>
      <c r="F648" s="0" t="s">
        <v>1461</v>
      </c>
      <c r="G648" s="0" t="s">
        <v>1595</v>
      </c>
      <c r="H648" s="0" t="s">
        <v>383</v>
      </c>
      <c r="I648" s="0" t="s">
        <v>337</v>
      </c>
    </row>
    <row r="649" customFormat="false" ht="15" hidden="false" customHeight="false" outlineLevel="0" collapsed="false">
      <c r="A649" s="0" t="s">
        <v>380</v>
      </c>
      <c r="B649" s="0" t="s">
        <v>1463</v>
      </c>
      <c r="C649" s="0" t="s">
        <v>948</v>
      </c>
      <c r="D649" s="0" t="n">
        <v>120.2</v>
      </c>
      <c r="E649" s="0" t="s">
        <v>66</v>
      </c>
      <c r="F649" s="0" t="s">
        <v>1464</v>
      </c>
      <c r="G649" s="0" t="s">
        <v>1596</v>
      </c>
      <c r="H649" s="0" t="s">
        <v>383</v>
      </c>
      <c r="I649" s="0" t="s">
        <v>337</v>
      </c>
    </row>
    <row r="650" customFormat="false" ht="15" hidden="false" customHeight="false" outlineLevel="0" collapsed="false">
      <c r="A650" s="0" t="s">
        <v>380</v>
      </c>
      <c r="B650" s="0" t="s">
        <v>1466</v>
      </c>
      <c r="C650" s="0" t="s">
        <v>948</v>
      </c>
      <c r="D650" s="0" t="n">
        <v>25.7</v>
      </c>
      <c r="E650" s="0" t="s">
        <v>66</v>
      </c>
      <c r="F650" s="0" t="s">
        <v>1467</v>
      </c>
      <c r="G650" s="0" t="s">
        <v>1597</v>
      </c>
      <c r="H650" s="0" t="s">
        <v>383</v>
      </c>
      <c r="I650" s="0" t="s">
        <v>337</v>
      </c>
    </row>
    <row r="651" customFormat="false" ht="15" hidden="false" customHeight="false" outlineLevel="0" collapsed="false">
      <c r="A651" s="0" t="s">
        <v>380</v>
      </c>
      <c r="B651" s="0" t="s">
        <v>1469</v>
      </c>
      <c r="C651" s="0" t="s">
        <v>948</v>
      </c>
      <c r="D651" s="0" t="n">
        <v>359.9</v>
      </c>
      <c r="E651" s="0" t="s">
        <v>66</v>
      </c>
      <c r="F651" s="0" t="s">
        <v>1470</v>
      </c>
      <c r="G651" s="0" t="s">
        <v>1598</v>
      </c>
      <c r="H651" s="0" t="s">
        <v>383</v>
      </c>
      <c r="I651" s="0" t="s">
        <v>337</v>
      </c>
    </row>
    <row r="652" customFormat="false" ht="15" hidden="false" customHeight="false" outlineLevel="0" collapsed="false">
      <c r="A652" s="0" t="s">
        <v>380</v>
      </c>
      <c r="B652" s="0" t="s">
        <v>1472</v>
      </c>
      <c r="C652" s="0" t="s">
        <v>948</v>
      </c>
      <c r="D652" s="0" t="n">
        <v>17</v>
      </c>
      <c r="E652" s="0" t="s">
        <v>66</v>
      </c>
      <c r="F652" s="0" t="s">
        <v>1473</v>
      </c>
      <c r="G652" s="0" t="s">
        <v>1474</v>
      </c>
      <c r="H652" s="0" t="s">
        <v>383</v>
      </c>
      <c r="I652" s="0" t="s">
        <v>337</v>
      </c>
    </row>
    <row r="653" customFormat="false" ht="15" hidden="false" customHeight="false" outlineLevel="0" collapsed="false">
      <c r="A653" s="0" t="s">
        <v>380</v>
      </c>
      <c r="B653" s="0" t="s">
        <v>1232</v>
      </c>
      <c r="C653" s="0" t="s">
        <v>934</v>
      </c>
      <c r="D653" s="0" t="n">
        <v>34.1</v>
      </c>
      <c r="E653" s="0" t="s">
        <v>66</v>
      </c>
      <c r="F653" s="0" t="s">
        <v>1475</v>
      </c>
      <c r="G653" s="0" t="s">
        <v>1476</v>
      </c>
      <c r="H653" s="0" t="s">
        <v>383</v>
      </c>
      <c r="I653" s="0" t="s">
        <v>337</v>
      </c>
    </row>
    <row r="654" customFormat="false" ht="15" hidden="false" customHeight="false" outlineLevel="0" collapsed="false">
      <c r="A654" s="0" t="s">
        <v>380</v>
      </c>
      <c r="B654" s="0" t="s">
        <v>1049</v>
      </c>
      <c r="C654" s="0" t="s">
        <v>934</v>
      </c>
      <c r="D654" s="0" t="n">
        <v>34.1</v>
      </c>
      <c r="E654" s="0" t="s">
        <v>66</v>
      </c>
      <c r="F654" s="0" t="s">
        <v>1477</v>
      </c>
      <c r="G654" s="0" t="e">
        <f aca="false">opening perimeter</f>
        <v>#VALUE!</v>
      </c>
      <c r="H654" s="0" t="s">
        <v>383</v>
      </c>
      <c r="I654" s="0" t="s">
        <v>337</v>
      </c>
    </row>
    <row r="655" customFormat="false" ht="15" hidden="false" customHeight="false" outlineLevel="0" collapsed="false">
      <c r="A655" s="0" t="s">
        <v>380</v>
      </c>
      <c r="B655" s="0" t="s">
        <v>1478</v>
      </c>
      <c r="C655" s="0" t="s">
        <v>948</v>
      </c>
      <c r="D655" s="0" t="n">
        <v>17</v>
      </c>
      <c r="E655" s="0" t="s">
        <v>66</v>
      </c>
      <c r="F655" s="0" t="s">
        <v>1479</v>
      </c>
      <c r="G655" s="0" t="s">
        <v>1599</v>
      </c>
      <c r="H655" s="0" t="s">
        <v>383</v>
      </c>
      <c r="I655" s="0" t="s">
        <v>337</v>
      </c>
    </row>
    <row r="656" customFormat="false" ht="15" hidden="false" customHeight="false" outlineLevel="0" collapsed="false">
      <c r="A656" s="0" t="s">
        <v>380</v>
      </c>
      <c r="B656" s="0" t="s">
        <v>1481</v>
      </c>
      <c r="C656" s="0" t="s">
        <v>934</v>
      </c>
      <c r="D656" s="0" t="n">
        <v>21</v>
      </c>
      <c r="E656" s="0" t="s">
        <v>66</v>
      </c>
      <c r="F656" s="0" t="s">
        <v>1482</v>
      </c>
      <c r="G656" s="0" t="s">
        <v>1600</v>
      </c>
      <c r="H656" s="0" t="s">
        <v>383</v>
      </c>
      <c r="I656" s="0" t="s">
        <v>337</v>
      </c>
    </row>
    <row r="657" customFormat="false" ht="15" hidden="false" customHeight="false" outlineLevel="0" collapsed="false">
      <c r="A657" s="0" t="s">
        <v>385</v>
      </c>
      <c r="B657" s="0" t="s">
        <v>1601</v>
      </c>
      <c r="C657" s="0" t="s">
        <v>934</v>
      </c>
      <c r="D657" s="0" t="n">
        <v>110</v>
      </c>
      <c r="E657" s="0" t="s">
        <v>66</v>
      </c>
      <c r="F657" s="0" t="s">
        <v>1602</v>
      </c>
      <c r="G657" s="0" t="s">
        <v>1603</v>
      </c>
      <c r="H657" s="0" t="s">
        <v>389</v>
      </c>
      <c r="I657" s="0" t="s">
        <v>337</v>
      </c>
    </row>
    <row r="658" customFormat="false" ht="15" hidden="false" customHeight="false" outlineLevel="0" collapsed="false">
      <c r="A658" s="0" t="s">
        <v>385</v>
      </c>
      <c r="B658" s="0" t="s">
        <v>1604</v>
      </c>
      <c r="C658" s="0" t="s">
        <v>934</v>
      </c>
      <c r="D658" s="0" t="n">
        <v>156.3</v>
      </c>
      <c r="E658" s="0" t="s">
        <v>66</v>
      </c>
      <c r="F658" s="0" t="s">
        <v>1605</v>
      </c>
      <c r="G658" s="0" t="s">
        <v>1606</v>
      </c>
      <c r="H658" s="0" t="s">
        <v>389</v>
      </c>
      <c r="I658" s="0" t="s">
        <v>337</v>
      </c>
    </row>
    <row r="659" customFormat="false" ht="15" hidden="false" customHeight="false" outlineLevel="0" collapsed="false">
      <c r="A659" s="0" t="s">
        <v>385</v>
      </c>
      <c r="B659" s="0" t="s">
        <v>1607</v>
      </c>
      <c r="C659" s="0" t="s">
        <v>948</v>
      </c>
      <c r="D659" s="0" t="n">
        <v>193.8</v>
      </c>
      <c r="E659" s="0" t="s">
        <v>66</v>
      </c>
      <c r="F659" s="0" t="s">
        <v>1608</v>
      </c>
      <c r="G659" s="0" t="s">
        <v>1609</v>
      </c>
      <c r="H659" s="0" t="s">
        <v>389</v>
      </c>
      <c r="I659" s="0" t="s">
        <v>337</v>
      </c>
    </row>
    <row r="660" customFormat="false" ht="15" hidden="false" customHeight="false" outlineLevel="0" collapsed="false">
      <c r="A660" s="0" t="s">
        <v>385</v>
      </c>
      <c r="B660" s="0" t="s">
        <v>1610</v>
      </c>
      <c r="C660" s="0" t="s">
        <v>934</v>
      </c>
      <c r="D660" s="0" t="n">
        <v>247.1</v>
      </c>
      <c r="E660" s="0" t="s">
        <v>66</v>
      </c>
      <c r="F660" s="0" t="s">
        <v>1611</v>
      </c>
      <c r="G660" s="0" t="s">
        <v>1612</v>
      </c>
      <c r="H660" s="0" t="s">
        <v>389</v>
      </c>
      <c r="I660" s="0" t="s">
        <v>337</v>
      </c>
    </row>
    <row r="661" customFormat="false" ht="15" hidden="false" customHeight="false" outlineLevel="0" collapsed="false">
      <c r="A661" s="0" t="s">
        <v>385</v>
      </c>
      <c r="B661" s="0" t="s">
        <v>1613</v>
      </c>
      <c r="C661" s="0" t="s">
        <v>948</v>
      </c>
      <c r="D661" s="0" t="n">
        <v>329.5</v>
      </c>
      <c r="E661" s="0" t="s">
        <v>66</v>
      </c>
      <c r="F661" s="0" t="s">
        <v>1614</v>
      </c>
      <c r="G661" s="0" t="s">
        <v>1615</v>
      </c>
      <c r="H661" s="0" t="s">
        <v>389</v>
      </c>
      <c r="I661" s="0" t="s">
        <v>337</v>
      </c>
    </row>
    <row r="662" customFormat="false" ht="15" hidden="false" customHeight="false" outlineLevel="0" collapsed="false">
      <c r="A662" s="0" t="s">
        <v>392</v>
      </c>
      <c r="B662" s="0" t="s">
        <v>1601</v>
      </c>
      <c r="C662" s="0" t="s">
        <v>934</v>
      </c>
      <c r="D662" s="0" t="n">
        <v>110</v>
      </c>
      <c r="E662" s="0" t="s">
        <v>66</v>
      </c>
      <c r="F662" s="0" t="s">
        <v>1602</v>
      </c>
      <c r="G662" s="0" t="s">
        <v>1616</v>
      </c>
      <c r="H662" s="0" t="s">
        <v>389</v>
      </c>
      <c r="I662" s="0" t="s">
        <v>337</v>
      </c>
    </row>
    <row r="663" customFormat="false" ht="15" hidden="false" customHeight="false" outlineLevel="0" collapsed="false">
      <c r="A663" s="0" t="s">
        <v>392</v>
      </c>
      <c r="B663" s="0" t="s">
        <v>1604</v>
      </c>
      <c r="C663" s="0" t="s">
        <v>934</v>
      </c>
      <c r="D663" s="0" t="n">
        <v>156</v>
      </c>
      <c r="E663" s="0" t="s">
        <v>66</v>
      </c>
      <c r="F663" s="0" t="s">
        <v>1605</v>
      </c>
      <c r="G663" s="0" t="s">
        <v>1617</v>
      </c>
      <c r="H663" s="0" t="s">
        <v>389</v>
      </c>
      <c r="I663" s="0" t="s">
        <v>337</v>
      </c>
    </row>
    <row r="664" customFormat="false" ht="15" hidden="false" customHeight="false" outlineLevel="0" collapsed="false">
      <c r="A664" s="0" t="s">
        <v>392</v>
      </c>
      <c r="B664" s="0" t="s">
        <v>1607</v>
      </c>
      <c r="C664" s="0" t="s">
        <v>948</v>
      </c>
      <c r="D664" s="0" t="n">
        <v>193.4</v>
      </c>
      <c r="E664" s="0" t="s">
        <v>66</v>
      </c>
      <c r="F664" s="0" t="s">
        <v>1608</v>
      </c>
      <c r="G664" s="0" t="s">
        <v>1618</v>
      </c>
      <c r="H664" s="0" t="s">
        <v>389</v>
      </c>
      <c r="I664" s="0" t="s">
        <v>337</v>
      </c>
    </row>
    <row r="665" customFormat="false" ht="15" hidden="false" customHeight="false" outlineLevel="0" collapsed="false">
      <c r="A665" s="0" t="s">
        <v>392</v>
      </c>
      <c r="B665" s="0" t="s">
        <v>1610</v>
      </c>
      <c r="C665" s="0" t="s">
        <v>934</v>
      </c>
      <c r="D665" s="0" t="n">
        <v>718.5</v>
      </c>
      <c r="E665" s="0" t="s">
        <v>66</v>
      </c>
      <c r="F665" s="0" t="s">
        <v>1611</v>
      </c>
      <c r="G665" s="0" t="s">
        <v>1619</v>
      </c>
      <c r="H665" s="0" t="s">
        <v>389</v>
      </c>
      <c r="I665" s="0" t="s">
        <v>337</v>
      </c>
    </row>
    <row r="666" customFormat="false" ht="15" hidden="false" customHeight="false" outlineLevel="0" collapsed="false">
      <c r="A666" s="0" t="s">
        <v>392</v>
      </c>
      <c r="B666" s="0" t="s">
        <v>1613</v>
      </c>
      <c r="C666" s="0" t="s">
        <v>948</v>
      </c>
      <c r="D666" s="0" t="n">
        <v>958</v>
      </c>
      <c r="E666" s="0" t="s">
        <v>66</v>
      </c>
      <c r="F666" s="0" t="s">
        <v>1614</v>
      </c>
      <c r="G666" s="0" t="s">
        <v>1620</v>
      </c>
      <c r="H666" s="0" t="s">
        <v>389</v>
      </c>
      <c r="I666" s="0" t="s">
        <v>337</v>
      </c>
    </row>
    <row r="667" customFormat="false" ht="15" hidden="false" customHeight="false" outlineLevel="0" collapsed="false">
      <c r="A667" s="0" t="s">
        <v>396</v>
      </c>
      <c r="B667" s="0" t="s">
        <v>1601</v>
      </c>
      <c r="C667" s="0" t="s">
        <v>934</v>
      </c>
      <c r="D667" s="0" t="n">
        <v>78.3</v>
      </c>
      <c r="E667" s="0" t="s">
        <v>66</v>
      </c>
      <c r="F667" s="0" t="s">
        <v>1602</v>
      </c>
      <c r="G667" s="0" t="s">
        <v>1621</v>
      </c>
      <c r="H667" s="0" t="s">
        <v>389</v>
      </c>
      <c r="I667" s="0" t="s">
        <v>337</v>
      </c>
    </row>
    <row r="668" customFormat="false" ht="15" hidden="false" customHeight="false" outlineLevel="0" collapsed="false">
      <c r="A668" s="0" t="s">
        <v>396</v>
      </c>
      <c r="B668" s="0" t="s">
        <v>1604</v>
      </c>
      <c r="C668" s="0" t="s">
        <v>934</v>
      </c>
      <c r="D668" s="0" t="n">
        <v>111.1</v>
      </c>
      <c r="E668" s="0" t="s">
        <v>66</v>
      </c>
      <c r="F668" s="0" t="s">
        <v>1605</v>
      </c>
      <c r="G668" s="0" t="s">
        <v>1622</v>
      </c>
      <c r="H668" s="0" t="s">
        <v>389</v>
      </c>
      <c r="I668" s="0" t="s">
        <v>337</v>
      </c>
    </row>
    <row r="669" customFormat="false" ht="15" hidden="false" customHeight="false" outlineLevel="0" collapsed="false">
      <c r="A669" s="0" t="s">
        <v>396</v>
      </c>
      <c r="B669" s="0" t="s">
        <v>1607</v>
      </c>
      <c r="C669" s="0" t="s">
        <v>948</v>
      </c>
      <c r="D669" s="0" t="n">
        <v>137.8</v>
      </c>
      <c r="E669" s="0" t="s">
        <v>66</v>
      </c>
      <c r="F669" s="0" t="s">
        <v>1608</v>
      </c>
      <c r="G669" s="0" t="s">
        <v>1623</v>
      </c>
      <c r="H669" s="0" t="s">
        <v>389</v>
      </c>
      <c r="I669" s="0" t="s">
        <v>337</v>
      </c>
    </row>
    <row r="670" customFormat="false" ht="15" hidden="false" customHeight="false" outlineLevel="0" collapsed="false">
      <c r="A670" s="0" t="s">
        <v>396</v>
      </c>
      <c r="B670" s="0" t="s">
        <v>1610</v>
      </c>
      <c r="C670" s="0" t="s">
        <v>934</v>
      </c>
      <c r="D670" s="0" t="n">
        <v>87.9</v>
      </c>
      <c r="E670" s="0" t="s">
        <v>66</v>
      </c>
      <c r="F670" s="0" t="s">
        <v>1611</v>
      </c>
      <c r="G670" s="0" t="s">
        <v>1624</v>
      </c>
      <c r="H670" s="0" t="s">
        <v>389</v>
      </c>
      <c r="I670" s="0" t="s">
        <v>337</v>
      </c>
    </row>
    <row r="671" customFormat="false" ht="15" hidden="false" customHeight="false" outlineLevel="0" collapsed="false">
      <c r="A671" s="0" t="s">
        <v>396</v>
      </c>
      <c r="B671" s="0" t="s">
        <v>1613</v>
      </c>
      <c r="C671" s="0" t="s">
        <v>948</v>
      </c>
      <c r="D671" s="0" t="n">
        <v>117.3</v>
      </c>
      <c r="E671" s="0" t="s">
        <v>66</v>
      </c>
      <c r="F671" s="0" t="s">
        <v>1614</v>
      </c>
      <c r="G671" s="0" t="s">
        <v>1625</v>
      </c>
      <c r="H671" s="0" t="s">
        <v>389</v>
      </c>
      <c r="I671" s="0" t="s">
        <v>337</v>
      </c>
    </row>
    <row r="672" customFormat="false" ht="15" hidden="false" customHeight="false" outlineLevel="0" collapsed="false">
      <c r="A672" s="0" t="s">
        <v>400</v>
      </c>
      <c r="B672" s="0" t="s">
        <v>1601</v>
      </c>
      <c r="C672" s="0" t="s">
        <v>934</v>
      </c>
      <c r="D672" s="0" t="n">
        <v>41</v>
      </c>
      <c r="E672" s="0" t="s">
        <v>66</v>
      </c>
      <c r="F672" s="0" t="s">
        <v>1602</v>
      </c>
      <c r="G672" s="0" t="s">
        <v>1626</v>
      </c>
      <c r="H672" s="0" t="s">
        <v>389</v>
      </c>
      <c r="I672" s="0" t="s">
        <v>337</v>
      </c>
    </row>
    <row r="673" customFormat="false" ht="15" hidden="false" customHeight="false" outlineLevel="0" collapsed="false">
      <c r="A673" s="0" t="s">
        <v>400</v>
      </c>
      <c r="B673" s="0" t="s">
        <v>1604</v>
      </c>
      <c r="C673" s="0" t="s">
        <v>934</v>
      </c>
      <c r="D673" s="0" t="n">
        <v>58</v>
      </c>
      <c r="E673" s="0" t="s">
        <v>66</v>
      </c>
      <c r="F673" s="0" t="s">
        <v>1605</v>
      </c>
      <c r="G673" s="0" t="s">
        <v>1627</v>
      </c>
      <c r="H673" s="0" t="s">
        <v>389</v>
      </c>
      <c r="I673" s="0" t="s">
        <v>337</v>
      </c>
    </row>
    <row r="674" customFormat="false" ht="15" hidden="false" customHeight="false" outlineLevel="0" collapsed="false">
      <c r="A674" s="0" t="s">
        <v>400</v>
      </c>
      <c r="B674" s="0" t="s">
        <v>1607</v>
      </c>
      <c r="C674" s="0" t="s">
        <v>948</v>
      </c>
      <c r="D674" s="0" t="n">
        <v>71.9</v>
      </c>
      <c r="E674" s="0" t="s">
        <v>66</v>
      </c>
      <c r="F674" s="0" t="s">
        <v>1608</v>
      </c>
      <c r="G674" s="0" t="s">
        <v>1628</v>
      </c>
      <c r="H674" s="0" t="s">
        <v>389</v>
      </c>
      <c r="I674" s="0" t="s">
        <v>337</v>
      </c>
    </row>
    <row r="675" customFormat="false" ht="15" hidden="false" customHeight="false" outlineLevel="0" collapsed="false">
      <c r="A675" s="0" t="s">
        <v>400</v>
      </c>
      <c r="B675" s="0" t="s">
        <v>1610</v>
      </c>
      <c r="C675" s="0" t="s">
        <v>934</v>
      </c>
      <c r="D675" s="0" t="n">
        <v>40.8</v>
      </c>
      <c r="E675" s="0" t="s">
        <v>66</v>
      </c>
      <c r="F675" s="0" t="s">
        <v>1611</v>
      </c>
      <c r="G675" s="0" t="s">
        <v>1629</v>
      </c>
      <c r="H675" s="0" t="s">
        <v>389</v>
      </c>
      <c r="I675" s="0" t="s">
        <v>337</v>
      </c>
    </row>
    <row r="676" customFormat="false" ht="15" hidden="false" customHeight="false" outlineLevel="0" collapsed="false">
      <c r="A676" s="0" t="s">
        <v>400</v>
      </c>
      <c r="B676" s="0" t="s">
        <v>1613</v>
      </c>
      <c r="C676" s="0" t="s">
        <v>948</v>
      </c>
      <c r="D676" s="0" t="n">
        <v>54.3</v>
      </c>
      <c r="E676" s="0" t="s">
        <v>66</v>
      </c>
      <c r="F676" s="0" t="s">
        <v>1614</v>
      </c>
      <c r="G676" s="0" t="s">
        <v>1630</v>
      </c>
      <c r="H676" s="0" t="s">
        <v>389</v>
      </c>
      <c r="I676" s="0" t="s">
        <v>337</v>
      </c>
    </row>
    <row r="677" customFormat="false" ht="15" hidden="false" customHeight="false" outlineLevel="0" collapsed="false">
      <c r="A677" s="0" t="s">
        <v>404</v>
      </c>
      <c r="B677" s="0" t="s">
        <v>1631</v>
      </c>
      <c r="C677" s="0" t="s">
        <v>934</v>
      </c>
      <c r="D677" s="0" t="n">
        <v>339.3</v>
      </c>
      <c r="E677" s="0" t="s">
        <v>66</v>
      </c>
      <c r="F677" s="0" t="s">
        <v>1632</v>
      </c>
      <c r="G677" s="0" t="s">
        <v>1633</v>
      </c>
      <c r="H677" s="0" t="s">
        <v>408</v>
      </c>
      <c r="I677" s="0" t="s">
        <v>337</v>
      </c>
    </row>
    <row r="678" customFormat="false" ht="15" hidden="false" customHeight="false" outlineLevel="0" collapsed="false">
      <c r="A678" s="0" t="s">
        <v>404</v>
      </c>
      <c r="B678" s="0" t="s">
        <v>1634</v>
      </c>
      <c r="C678" s="0" t="s">
        <v>934</v>
      </c>
      <c r="D678" s="0" t="n">
        <v>37.3</v>
      </c>
      <c r="E678" s="0" t="s">
        <v>66</v>
      </c>
      <c r="F678" s="0" t="s">
        <v>1635</v>
      </c>
      <c r="G678" s="0" t="s">
        <v>1636</v>
      </c>
      <c r="H678" s="0" t="s">
        <v>408</v>
      </c>
      <c r="I678" s="0" t="s">
        <v>337</v>
      </c>
    </row>
    <row r="679" customFormat="false" ht="15" hidden="false" customHeight="false" outlineLevel="0" collapsed="false">
      <c r="A679" s="0" t="s">
        <v>404</v>
      </c>
      <c r="B679" s="0" t="s">
        <v>1637</v>
      </c>
      <c r="C679" s="0" t="s">
        <v>948</v>
      </c>
      <c r="D679" s="0" t="n">
        <v>240.4</v>
      </c>
      <c r="E679" s="0" t="s">
        <v>66</v>
      </c>
      <c r="F679" s="0" t="s">
        <v>1638</v>
      </c>
      <c r="G679" s="0" t="s">
        <v>1639</v>
      </c>
      <c r="H679" s="0" t="s">
        <v>408</v>
      </c>
      <c r="I679" s="0" t="s">
        <v>337</v>
      </c>
    </row>
    <row r="680" customFormat="false" ht="15" hidden="false" customHeight="false" outlineLevel="0" collapsed="false">
      <c r="A680" s="0" t="s">
        <v>411</v>
      </c>
      <c r="B680" s="0" t="s">
        <v>1640</v>
      </c>
      <c r="C680" s="0" t="s">
        <v>934</v>
      </c>
      <c r="D680" s="0" t="n">
        <v>184.5</v>
      </c>
      <c r="E680" s="0" t="s">
        <v>66</v>
      </c>
      <c r="F680" s="0" t="s">
        <v>1641</v>
      </c>
      <c r="G680" s="0" t="s">
        <v>1642</v>
      </c>
      <c r="H680" s="0" t="s">
        <v>415</v>
      </c>
      <c r="I680" s="0" t="s">
        <v>337</v>
      </c>
    </row>
    <row r="681" customFormat="false" ht="15" hidden="false" customHeight="false" outlineLevel="0" collapsed="false">
      <c r="A681" s="0" t="s">
        <v>411</v>
      </c>
      <c r="B681" s="0" t="s">
        <v>1643</v>
      </c>
      <c r="C681" s="0" t="s">
        <v>948</v>
      </c>
      <c r="D681" s="0" t="n">
        <v>90.6</v>
      </c>
      <c r="E681" s="0" t="s">
        <v>66</v>
      </c>
      <c r="F681" s="0" t="s">
        <v>1644</v>
      </c>
      <c r="G681" s="0" t="s">
        <v>1645</v>
      </c>
      <c r="H681" s="0" t="s">
        <v>415</v>
      </c>
      <c r="I681" s="0" t="s">
        <v>337</v>
      </c>
    </row>
    <row r="682" customFormat="false" ht="15" hidden="false" customHeight="false" outlineLevel="0" collapsed="false">
      <c r="A682" s="0" t="s">
        <v>411</v>
      </c>
      <c r="B682" s="0" t="s">
        <v>1646</v>
      </c>
      <c r="C682" s="0" t="s">
        <v>948</v>
      </c>
      <c r="D682" s="0" t="n">
        <v>34</v>
      </c>
      <c r="E682" s="0" t="s">
        <v>66</v>
      </c>
      <c r="F682" s="0" t="s">
        <v>1647</v>
      </c>
      <c r="G682" s="0" t="s">
        <v>1648</v>
      </c>
      <c r="H682" s="0" t="s">
        <v>415</v>
      </c>
      <c r="I682" s="0" t="s">
        <v>337</v>
      </c>
    </row>
    <row r="683" customFormat="false" ht="15" hidden="false" customHeight="false" outlineLevel="0" collapsed="false">
      <c r="A683" s="0" t="s">
        <v>418</v>
      </c>
      <c r="B683" s="0" t="s">
        <v>1649</v>
      </c>
      <c r="C683" s="0" t="s">
        <v>948</v>
      </c>
      <c r="D683" s="0" t="n">
        <v>121.97</v>
      </c>
      <c r="E683" s="0" t="s">
        <v>66</v>
      </c>
      <c r="F683" s="0" t="s">
        <v>1650</v>
      </c>
      <c r="G683" s="0" t="s">
        <v>1651</v>
      </c>
      <c r="H683" s="0" t="s">
        <v>422</v>
      </c>
      <c r="I683" s="0" t="s">
        <v>423</v>
      </c>
    </row>
    <row r="684" customFormat="false" ht="15" hidden="false" customHeight="false" outlineLevel="0" collapsed="false">
      <c r="A684" s="0" t="s">
        <v>418</v>
      </c>
      <c r="B684" s="0" t="s">
        <v>1652</v>
      </c>
      <c r="C684" s="0" t="s">
        <v>934</v>
      </c>
      <c r="D684" s="0" t="n">
        <v>36.73</v>
      </c>
      <c r="E684" s="0" t="s">
        <v>66</v>
      </c>
      <c r="F684" s="0" t="s">
        <v>1653</v>
      </c>
      <c r="G684" s="0" t="s">
        <v>1654</v>
      </c>
      <c r="H684" s="0" t="s">
        <v>422</v>
      </c>
      <c r="I684" s="0" t="s">
        <v>423</v>
      </c>
    </row>
    <row r="685" customFormat="false" ht="15" hidden="false" customHeight="false" outlineLevel="0" collapsed="false">
      <c r="A685" s="0" t="s">
        <v>418</v>
      </c>
      <c r="B685" s="0" t="s">
        <v>1655</v>
      </c>
      <c r="C685" s="0" t="s">
        <v>934</v>
      </c>
      <c r="D685" s="0" t="n">
        <v>108.57</v>
      </c>
      <c r="E685" s="0" t="s">
        <v>66</v>
      </c>
      <c r="F685" s="0" t="s">
        <v>1653</v>
      </c>
      <c r="G685" s="0" t="s">
        <v>1656</v>
      </c>
      <c r="H685" s="0" t="s">
        <v>422</v>
      </c>
      <c r="I685" s="0" t="s">
        <v>423</v>
      </c>
    </row>
    <row r="686" customFormat="false" ht="15" hidden="false" customHeight="false" outlineLevel="0" collapsed="false">
      <c r="A686" s="0" t="s">
        <v>418</v>
      </c>
      <c r="B686" s="0" t="s">
        <v>1657</v>
      </c>
      <c r="C686" s="0" t="s">
        <v>934</v>
      </c>
      <c r="D686" s="0" t="n">
        <v>80.62</v>
      </c>
      <c r="E686" s="0" t="s">
        <v>66</v>
      </c>
      <c r="F686" s="0" t="s">
        <v>1658</v>
      </c>
      <c r="G686" s="0" t="s">
        <v>1659</v>
      </c>
      <c r="H686" s="0" t="s">
        <v>422</v>
      </c>
      <c r="I686" s="0" t="s">
        <v>423</v>
      </c>
    </row>
    <row r="687" customFormat="false" ht="15" hidden="false" customHeight="false" outlineLevel="0" collapsed="false">
      <c r="A687" s="0" t="s">
        <v>418</v>
      </c>
      <c r="B687" s="0" t="s">
        <v>1660</v>
      </c>
      <c r="C687" s="0" t="s">
        <v>934</v>
      </c>
      <c r="D687" s="0" t="n">
        <v>47.61</v>
      </c>
      <c r="E687" s="0" t="s">
        <v>66</v>
      </c>
      <c r="F687" s="0" t="s">
        <v>1661</v>
      </c>
      <c r="G687" s="0" t="s">
        <v>1662</v>
      </c>
      <c r="H687" s="0" t="s">
        <v>422</v>
      </c>
      <c r="I687" s="0" t="s">
        <v>423</v>
      </c>
    </row>
    <row r="688" customFormat="false" ht="15" hidden="false" customHeight="false" outlineLevel="0" collapsed="false">
      <c r="A688" s="0" t="s">
        <v>426</v>
      </c>
      <c r="B688" s="0" t="s">
        <v>1649</v>
      </c>
      <c r="C688" s="0" t="s">
        <v>948</v>
      </c>
      <c r="D688" s="0" t="n">
        <v>150.75</v>
      </c>
      <c r="E688" s="0" t="s">
        <v>66</v>
      </c>
      <c r="F688" s="0" t="s">
        <v>1650</v>
      </c>
      <c r="G688" s="0" t="s">
        <v>1663</v>
      </c>
      <c r="H688" s="0" t="s">
        <v>428</v>
      </c>
      <c r="I688" s="0" t="s">
        <v>423</v>
      </c>
    </row>
    <row r="689" customFormat="false" ht="15" hidden="false" customHeight="false" outlineLevel="0" collapsed="false">
      <c r="A689" s="0" t="s">
        <v>426</v>
      </c>
      <c r="B689" s="0" t="s">
        <v>1652</v>
      </c>
      <c r="C689" s="0" t="s">
        <v>934</v>
      </c>
      <c r="D689" s="0" t="n">
        <v>47.62</v>
      </c>
      <c r="E689" s="0" t="s">
        <v>66</v>
      </c>
      <c r="F689" s="0" t="s">
        <v>1653</v>
      </c>
      <c r="G689" s="0" t="s">
        <v>1664</v>
      </c>
      <c r="H689" s="0" t="s">
        <v>428</v>
      </c>
      <c r="I689" s="0" t="s">
        <v>423</v>
      </c>
    </row>
    <row r="690" customFormat="false" ht="15" hidden="false" customHeight="false" outlineLevel="0" collapsed="false">
      <c r="A690" s="0" t="s">
        <v>426</v>
      </c>
      <c r="B690" s="0" t="s">
        <v>1655</v>
      </c>
      <c r="C690" s="0" t="s">
        <v>934</v>
      </c>
      <c r="D690" s="0" t="n">
        <v>118.81</v>
      </c>
      <c r="E690" s="0" t="s">
        <v>66</v>
      </c>
      <c r="F690" s="0" t="s">
        <v>1653</v>
      </c>
      <c r="G690" s="0" t="s">
        <v>1665</v>
      </c>
      <c r="H690" s="0" t="s">
        <v>428</v>
      </c>
      <c r="I690" s="0" t="s">
        <v>423</v>
      </c>
    </row>
    <row r="691" customFormat="false" ht="15" hidden="false" customHeight="false" outlineLevel="0" collapsed="false">
      <c r="A691" s="0" t="s">
        <v>426</v>
      </c>
      <c r="B691" s="0" t="s">
        <v>1657</v>
      </c>
      <c r="C691" s="0" t="s">
        <v>934</v>
      </c>
      <c r="D691" s="0" t="n">
        <v>102.12</v>
      </c>
      <c r="E691" s="0" t="s">
        <v>66</v>
      </c>
      <c r="F691" s="0" t="s">
        <v>1658</v>
      </c>
      <c r="G691" s="0" t="s">
        <v>1666</v>
      </c>
      <c r="H691" s="0" t="s">
        <v>428</v>
      </c>
      <c r="I691" s="0" t="s">
        <v>423</v>
      </c>
    </row>
    <row r="692" customFormat="false" ht="15" hidden="false" customHeight="false" outlineLevel="0" collapsed="false">
      <c r="A692" s="0" t="s">
        <v>426</v>
      </c>
      <c r="B692" s="0" t="s">
        <v>1660</v>
      </c>
      <c r="C692" s="0" t="s">
        <v>934</v>
      </c>
      <c r="D692" s="0" t="n">
        <v>52.63</v>
      </c>
      <c r="E692" s="0" t="s">
        <v>66</v>
      </c>
      <c r="F692" s="0" t="s">
        <v>1661</v>
      </c>
      <c r="G692" s="0" t="s">
        <v>1667</v>
      </c>
      <c r="H692" s="0" t="s">
        <v>428</v>
      </c>
      <c r="I692" s="0" t="s">
        <v>423</v>
      </c>
    </row>
    <row r="693" customFormat="false" ht="15" hidden="false" customHeight="false" outlineLevel="0" collapsed="false">
      <c r="A693" s="0" t="s">
        <v>429</v>
      </c>
      <c r="B693" s="0" t="s">
        <v>1649</v>
      </c>
      <c r="C693" s="0" t="s">
        <v>948</v>
      </c>
      <c r="D693" s="0" t="n">
        <v>510.8</v>
      </c>
      <c r="E693" s="0" t="s">
        <v>66</v>
      </c>
      <c r="F693" s="0" t="s">
        <v>1668</v>
      </c>
      <c r="G693" s="0" t="s">
        <v>1669</v>
      </c>
      <c r="H693" s="0" t="s">
        <v>432</v>
      </c>
      <c r="I693" s="0" t="s">
        <v>423</v>
      </c>
    </row>
    <row r="694" customFormat="false" ht="15" hidden="false" customHeight="false" outlineLevel="0" collapsed="false">
      <c r="A694" s="0" t="s">
        <v>429</v>
      </c>
      <c r="B694" s="0" t="s">
        <v>1652</v>
      </c>
      <c r="C694" s="0" t="s">
        <v>934</v>
      </c>
      <c r="D694" s="0" t="n">
        <v>180</v>
      </c>
      <c r="E694" s="0" t="s">
        <v>66</v>
      </c>
      <c r="F694" s="0" t="s">
        <v>1653</v>
      </c>
      <c r="G694" s="0" t="s">
        <v>1670</v>
      </c>
      <c r="H694" s="0" t="s">
        <v>432</v>
      </c>
      <c r="I694" s="0" t="s">
        <v>423</v>
      </c>
    </row>
    <row r="695" customFormat="false" ht="15" hidden="false" customHeight="false" outlineLevel="0" collapsed="false">
      <c r="A695" s="0" t="s">
        <v>429</v>
      </c>
      <c r="B695" s="0" t="s">
        <v>1655</v>
      </c>
      <c r="C695" s="0" t="s">
        <v>934</v>
      </c>
      <c r="D695" s="0" t="n">
        <v>408.64</v>
      </c>
      <c r="E695" s="0" t="s">
        <v>66</v>
      </c>
      <c r="F695" s="0" t="s">
        <v>1653</v>
      </c>
      <c r="G695" s="0" t="s">
        <v>1671</v>
      </c>
      <c r="H695" s="0" t="s">
        <v>432</v>
      </c>
      <c r="I695" s="0" t="s">
        <v>423</v>
      </c>
    </row>
    <row r="696" customFormat="false" ht="15" hidden="false" customHeight="false" outlineLevel="0" collapsed="false">
      <c r="A696" s="0" t="s">
        <v>429</v>
      </c>
      <c r="B696" s="0" t="s">
        <v>1657</v>
      </c>
      <c r="C696" s="0" t="s">
        <v>934</v>
      </c>
      <c r="D696" s="0" t="n">
        <v>131.25</v>
      </c>
      <c r="E696" s="0" t="s">
        <v>66</v>
      </c>
      <c r="F696" s="0" t="s">
        <v>1672</v>
      </c>
      <c r="G696" s="0" t="s">
        <v>1673</v>
      </c>
      <c r="H696" s="0" t="s">
        <v>432</v>
      </c>
      <c r="I696" s="0" t="s">
        <v>423</v>
      </c>
    </row>
    <row r="697" customFormat="false" ht="15" hidden="false" customHeight="false" outlineLevel="0" collapsed="false">
      <c r="A697" s="0" t="s">
        <v>429</v>
      </c>
      <c r="B697" s="0" t="s">
        <v>1674</v>
      </c>
      <c r="C697" s="0" t="s">
        <v>934</v>
      </c>
      <c r="D697" s="0" t="n">
        <v>105</v>
      </c>
      <c r="E697" s="0" t="s">
        <v>66</v>
      </c>
      <c r="F697" s="0" t="s">
        <v>1672</v>
      </c>
      <c r="G697" s="0" t="s">
        <v>1675</v>
      </c>
      <c r="H697" s="0" t="s">
        <v>432</v>
      </c>
      <c r="I697" s="0" t="s">
        <v>423</v>
      </c>
    </row>
    <row r="698" customFormat="false" ht="15" hidden="false" customHeight="false" outlineLevel="0" collapsed="false">
      <c r="A698" s="0" t="s">
        <v>429</v>
      </c>
      <c r="B698" s="0" t="s">
        <v>1660</v>
      </c>
      <c r="C698" s="0" t="s">
        <v>934</v>
      </c>
      <c r="D698" s="0" t="n">
        <v>17.03</v>
      </c>
      <c r="E698" s="0" t="s">
        <v>66</v>
      </c>
      <c r="F698" s="0" t="s">
        <v>1661</v>
      </c>
      <c r="G698" s="0" t="s">
        <v>1676</v>
      </c>
      <c r="H698" s="0" t="s">
        <v>432</v>
      </c>
      <c r="I698" s="0" t="s">
        <v>423</v>
      </c>
    </row>
    <row r="699" customFormat="false" ht="15" hidden="false" customHeight="false" outlineLevel="0" collapsed="false">
      <c r="A699" s="0" t="s">
        <v>429</v>
      </c>
      <c r="B699" s="0" t="s">
        <v>1677</v>
      </c>
      <c r="C699" s="0" t="s">
        <v>948</v>
      </c>
      <c r="D699" s="0" t="n">
        <v>77.03</v>
      </c>
      <c r="E699" s="0" t="s">
        <v>66</v>
      </c>
      <c r="F699" s="0" t="s">
        <v>1678</v>
      </c>
      <c r="G699" s="0" t="s">
        <v>1679</v>
      </c>
      <c r="H699" s="0" t="s">
        <v>432</v>
      </c>
      <c r="I699" s="0" t="s">
        <v>423</v>
      </c>
    </row>
    <row r="700" customFormat="false" ht="15" hidden="false" customHeight="false" outlineLevel="0" collapsed="false">
      <c r="A700" s="0" t="s">
        <v>429</v>
      </c>
      <c r="B700" s="0" t="s">
        <v>1049</v>
      </c>
      <c r="C700" s="0" t="s">
        <v>934</v>
      </c>
      <c r="D700" s="0" t="n">
        <v>77.03</v>
      </c>
      <c r="E700" s="0" t="s">
        <v>66</v>
      </c>
      <c r="F700" s="0" t="s">
        <v>1680</v>
      </c>
      <c r="G700" s="0" t="s">
        <v>1681</v>
      </c>
      <c r="H700" s="0" t="s">
        <v>432</v>
      </c>
      <c r="I700" s="0" t="s">
        <v>423</v>
      </c>
    </row>
    <row r="701" customFormat="false" ht="15" hidden="false" customHeight="false" outlineLevel="0" collapsed="false">
      <c r="A701" s="0" t="s">
        <v>429</v>
      </c>
      <c r="B701" s="0" t="s">
        <v>1682</v>
      </c>
      <c r="C701" s="0" t="s">
        <v>934</v>
      </c>
      <c r="D701" s="0" t="n">
        <v>77.03</v>
      </c>
      <c r="E701" s="0" t="s">
        <v>66</v>
      </c>
      <c r="F701" s="0" t="s">
        <v>1683</v>
      </c>
      <c r="G701" s="0" t="s">
        <v>1684</v>
      </c>
      <c r="H701" s="0" t="s">
        <v>432</v>
      </c>
      <c r="I701" s="0" t="s">
        <v>423</v>
      </c>
    </row>
    <row r="702" customFormat="false" ht="15" hidden="false" customHeight="false" outlineLevel="0" collapsed="false">
      <c r="A702" s="0" t="s">
        <v>429</v>
      </c>
      <c r="B702" s="0" t="s">
        <v>1685</v>
      </c>
      <c r="C702" s="0" t="s">
        <v>934</v>
      </c>
      <c r="D702" s="0" t="n">
        <v>77.03</v>
      </c>
      <c r="E702" s="0" t="s">
        <v>66</v>
      </c>
      <c r="F702" s="0" t="s">
        <v>1686</v>
      </c>
      <c r="G702" s="0" t="s">
        <v>1687</v>
      </c>
      <c r="H702" s="0" t="s">
        <v>432</v>
      </c>
      <c r="I702" s="0" t="s">
        <v>423</v>
      </c>
    </row>
    <row r="703" customFormat="false" ht="15" hidden="false" customHeight="false" outlineLevel="0" collapsed="false">
      <c r="A703" s="0" t="s">
        <v>429</v>
      </c>
      <c r="B703" s="0" t="s">
        <v>1688</v>
      </c>
      <c r="C703" s="0" t="s">
        <v>934</v>
      </c>
      <c r="D703" s="0" t="n">
        <v>114.48</v>
      </c>
      <c r="E703" s="0" t="s">
        <v>66</v>
      </c>
      <c r="F703" s="0" t="s">
        <v>1689</v>
      </c>
      <c r="G703" s="0" t="s">
        <v>1690</v>
      </c>
      <c r="H703" s="0" t="s">
        <v>432</v>
      </c>
      <c r="I703" s="0" t="s">
        <v>423</v>
      </c>
    </row>
    <row r="704" customFormat="false" ht="15" hidden="false" customHeight="false" outlineLevel="0" collapsed="false">
      <c r="A704" s="0" t="s">
        <v>433</v>
      </c>
      <c r="B704" s="0" t="s">
        <v>1649</v>
      </c>
      <c r="C704" s="0" t="s">
        <v>948</v>
      </c>
      <c r="D704" s="0" t="n">
        <v>75.6</v>
      </c>
      <c r="E704" s="0" t="s">
        <v>66</v>
      </c>
      <c r="F704" s="0" t="s">
        <v>1691</v>
      </c>
      <c r="G704" s="0" t="s">
        <v>1692</v>
      </c>
      <c r="H704" s="0" t="s">
        <v>436</v>
      </c>
      <c r="I704" s="0" t="s">
        <v>423</v>
      </c>
    </row>
    <row r="705" customFormat="false" ht="15" hidden="false" customHeight="false" outlineLevel="0" collapsed="false">
      <c r="A705" s="0" t="s">
        <v>433</v>
      </c>
      <c r="B705" s="0" t="s">
        <v>1652</v>
      </c>
      <c r="C705" s="0" t="s">
        <v>934</v>
      </c>
      <c r="D705" s="0" t="n">
        <v>25.12</v>
      </c>
      <c r="E705" s="0" t="s">
        <v>66</v>
      </c>
      <c r="F705" s="0" t="s">
        <v>1653</v>
      </c>
      <c r="G705" s="0" t="s">
        <v>1693</v>
      </c>
      <c r="H705" s="0" t="s">
        <v>436</v>
      </c>
      <c r="I705" s="0" t="s">
        <v>423</v>
      </c>
    </row>
    <row r="706" customFormat="false" ht="15" hidden="false" customHeight="false" outlineLevel="0" collapsed="false">
      <c r="A706" s="0" t="s">
        <v>433</v>
      </c>
      <c r="B706" s="0" t="s">
        <v>1655</v>
      </c>
      <c r="C706" s="0" t="s">
        <v>934</v>
      </c>
      <c r="D706" s="0" t="n">
        <v>67</v>
      </c>
      <c r="E706" s="0" t="s">
        <v>66</v>
      </c>
      <c r="F706" s="0" t="s">
        <v>1653</v>
      </c>
      <c r="G706" s="0" t="s">
        <v>1694</v>
      </c>
      <c r="H706" s="0" t="s">
        <v>436</v>
      </c>
      <c r="I706" s="0" t="s">
        <v>423</v>
      </c>
    </row>
    <row r="707" customFormat="false" ht="15" hidden="false" customHeight="false" outlineLevel="0" collapsed="false">
      <c r="A707" s="0" t="s">
        <v>433</v>
      </c>
      <c r="B707" s="0" t="s">
        <v>1695</v>
      </c>
      <c r="C707" s="0" t="s">
        <v>934</v>
      </c>
      <c r="D707" s="0" t="n">
        <v>53.96</v>
      </c>
      <c r="E707" s="0" t="s">
        <v>66</v>
      </c>
      <c r="F707" s="0" t="s">
        <v>1696</v>
      </c>
      <c r="G707" s="0" t="s">
        <v>1697</v>
      </c>
      <c r="H707" s="0" t="s">
        <v>436</v>
      </c>
      <c r="I707" s="0" t="s">
        <v>423</v>
      </c>
    </row>
    <row r="708" customFormat="false" ht="15" hidden="false" customHeight="false" outlineLevel="0" collapsed="false">
      <c r="A708" s="0" t="s">
        <v>433</v>
      </c>
      <c r="B708" s="0" t="s">
        <v>1660</v>
      </c>
      <c r="C708" s="0" t="s">
        <v>934</v>
      </c>
      <c r="D708" s="0" t="n">
        <v>36.8</v>
      </c>
      <c r="E708" s="0" t="s">
        <v>66</v>
      </c>
      <c r="F708" s="0" t="s">
        <v>1661</v>
      </c>
      <c r="G708" s="0" t="s">
        <v>1698</v>
      </c>
      <c r="H708" s="0" t="s">
        <v>436</v>
      </c>
      <c r="I708" s="0" t="s">
        <v>423</v>
      </c>
    </row>
    <row r="709" customFormat="false" ht="15" hidden="false" customHeight="false" outlineLevel="0" collapsed="false">
      <c r="A709" s="0" t="s">
        <v>433</v>
      </c>
      <c r="B709" s="0" t="s">
        <v>1699</v>
      </c>
      <c r="C709" s="0" t="s">
        <v>948</v>
      </c>
      <c r="D709" s="0" t="n">
        <v>75.6</v>
      </c>
      <c r="E709" s="0" t="s">
        <v>66</v>
      </c>
      <c r="F709" s="0" t="s">
        <v>1700</v>
      </c>
      <c r="G709" s="0" t="e">
        <f aca="false">ceiling area 75.6 sf; thickness pendiente rfi-W4-7</f>
        <v>#VALUE!</v>
      </c>
      <c r="H709" s="0" t="s">
        <v>436</v>
      </c>
      <c r="I709" s="0" t="s">
        <v>423</v>
      </c>
    </row>
    <row r="710" customFormat="false" ht="15" hidden="false" customHeight="false" outlineLevel="0" collapsed="false">
      <c r="A710" s="0" t="s">
        <v>437</v>
      </c>
      <c r="B710" s="0" t="s">
        <v>1649</v>
      </c>
      <c r="C710" s="0" t="s">
        <v>948</v>
      </c>
      <c r="D710" s="0" t="n">
        <v>75.57</v>
      </c>
      <c r="E710" s="0" t="s">
        <v>66</v>
      </c>
      <c r="F710" s="0" t="s">
        <v>1691</v>
      </c>
      <c r="G710" s="0" t="s">
        <v>1701</v>
      </c>
      <c r="H710" s="0" t="s">
        <v>439</v>
      </c>
      <c r="I710" s="0" t="s">
        <v>423</v>
      </c>
    </row>
    <row r="711" customFormat="false" ht="15" hidden="false" customHeight="false" outlineLevel="0" collapsed="false">
      <c r="A711" s="0" t="s">
        <v>437</v>
      </c>
      <c r="B711" s="0" t="s">
        <v>1652</v>
      </c>
      <c r="C711" s="0" t="s">
        <v>934</v>
      </c>
      <c r="D711" s="0" t="n">
        <v>25.11</v>
      </c>
      <c r="E711" s="0" t="s">
        <v>66</v>
      </c>
      <c r="F711" s="0" t="s">
        <v>1653</v>
      </c>
      <c r="G711" s="0" t="s">
        <v>1702</v>
      </c>
      <c r="H711" s="0" t="s">
        <v>439</v>
      </c>
      <c r="I711" s="0" t="s">
        <v>423</v>
      </c>
    </row>
    <row r="712" customFormat="false" ht="15" hidden="false" customHeight="false" outlineLevel="0" collapsed="false">
      <c r="A712" s="0" t="s">
        <v>437</v>
      </c>
      <c r="B712" s="0" t="s">
        <v>1655</v>
      </c>
      <c r="C712" s="0" t="s">
        <v>934</v>
      </c>
      <c r="D712" s="0" t="n">
        <v>67</v>
      </c>
      <c r="E712" s="0" t="s">
        <v>66</v>
      </c>
      <c r="F712" s="0" t="s">
        <v>1653</v>
      </c>
      <c r="G712" s="0" t="s">
        <v>1694</v>
      </c>
      <c r="H712" s="0" t="s">
        <v>439</v>
      </c>
      <c r="I712" s="0" t="s">
        <v>423</v>
      </c>
    </row>
    <row r="713" customFormat="false" ht="15" hidden="false" customHeight="false" outlineLevel="0" collapsed="false">
      <c r="A713" s="0" t="s">
        <v>437</v>
      </c>
      <c r="B713" s="0" t="s">
        <v>1703</v>
      </c>
      <c r="C713" s="0" t="s">
        <v>934</v>
      </c>
      <c r="D713" s="0" t="n">
        <v>51.79</v>
      </c>
      <c r="E713" s="0" t="s">
        <v>66</v>
      </c>
      <c r="F713" s="0" t="s">
        <v>1696</v>
      </c>
      <c r="G713" s="0" t="s">
        <v>1704</v>
      </c>
      <c r="H713" s="0" t="s">
        <v>439</v>
      </c>
      <c r="I713" s="0" t="s">
        <v>423</v>
      </c>
    </row>
    <row r="714" customFormat="false" ht="15" hidden="false" customHeight="false" outlineLevel="0" collapsed="false">
      <c r="A714" s="0" t="s">
        <v>437</v>
      </c>
      <c r="B714" s="0" t="s">
        <v>1660</v>
      </c>
      <c r="C714" s="0" t="s">
        <v>934</v>
      </c>
      <c r="D714" s="0" t="n">
        <v>36.8</v>
      </c>
      <c r="E714" s="0" t="s">
        <v>66</v>
      </c>
      <c r="F714" s="0" t="s">
        <v>1661</v>
      </c>
      <c r="G714" s="0" t="s">
        <v>1698</v>
      </c>
      <c r="H714" s="0" t="s">
        <v>439</v>
      </c>
      <c r="I714" s="0" t="s">
        <v>423</v>
      </c>
    </row>
    <row r="715" customFormat="false" ht="15" hidden="false" customHeight="false" outlineLevel="0" collapsed="false">
      <c r="A715" s="0" t="s">
        <v>437</v>
      </c>
      <c r="B715" s="0" t="s">
        <v>1699</v>
      </c>
      <c r="C715" s="0" t="s">
        <v>948</v>
      </c>
      <c r="D715" s="0" t="n">
        <v>75.57</v>
      </c>
      <c r="E715" s="0" t="s">
        <v>66</v>
      </c>
      <c r="F715" s="0" t="s">
        <v>1700</v>
      </c>
      <c r="G715" s="0" t="e">
        <f aca="false">ceiling area 75.57 sf; thickness pendiente rfi-W4-7</f>
        <v>#VALUE!</v>
      </c>
      <c r="H715" s="0" t="s">
        <v>439</v>
      </c>
      <c r="I715" s="0" t="s">
        <v>423</v>
      </c>
    </row>
    <row r="716" customFormat="false" ht="15" hidden="false" customHeight="false" outlineLevel="0" collapsed="false">
      <c r="A716" s="0" t="s">
        <v>440</v>
      </c>
      <c r="B716" s="0" t="s">
        <v>1705</v>
      </c>
      <c r="C716" s="0" t="s">
        <v>948</v>
      </c>
      <c r="D716" s="0" t="n">
        <v>41.07</v>
      </c>
      <c r="E716" s="0" t="s">
        <v>66</v>
      </c>
      <c r="F716" s="0" t="s">
        <v>1706</v>
      </c>
      <c r="G716" s="0" t="s">
        <v>1707</v>
      </c>
      <c r="H716" s="0" t="s">
        <v>444</v>
      </c>
      <c r="I716" s="0" t="s">
        <v>423</v>
      </c>
    </row>
    <row r="717" customFormat="false" ht="15" hidden="false" customHeight="false" outlineLevel="0" collapsed="false">
      <c r="A717" s="0" t="s">
        <v>440</v>
      </c>
      <c r="B717" s="0" t="s">
        <v>1708</v>
      </c>
      <c r="C717" s="0" t="s">
        <v>948</v>
      </c>
      <c r="D717" s="0" t="n">
        <v>36.06</v>
      </c>
      <c r="E717" s="0" t="s">
        <v>66</v>
      </c>
      <c r="F717" s="0" t="s">
        <v>1709</v>
      </c>
      <c r="G717" s="0" t="s">
        <v>1710</v>
      </c>
      <c r="H717" s="0" t="s">
        <v>444</v>
      </c>
      <c r="I717" s="0" t="s">
        <v>423</v>
      </c>
    </row>
    <row r="718" customFormat="false" ht="15" hidden="false" customHeight="false" outlineLevel="0" collapsed="false">
      <c r="A718" s="0" t="s">
        <v>440</v>
      </c>
      <c r="B718" s="0" t="s">
        <v>1711</v>
      </c>
      <c r="C718" s="0" t="s">
        <v>948</v>
      </c>
      <c r="D718" s="0" t="n">
        <v>0</v>
      </c>
      <c r="E718" s="0" t="s">
        <v>1712</v>
      </c>
      <c r="F718" s="0" t="s">
        <v>1713</v>
      </c>
      <c r="G718" s="0" t="s">
        <v>1714</v>
      </c>
      <c r="H718" s="0" t="s">
        <v>444</v>
      </c>
      <c r="I718" s="0" t="s">
        <v>423</v>
      </c>
    </row>
    <row r="719" customFormat="false" ht="15" hidden="false" customHeight="false" outlineLevel="0" collapsed="false">
      <c r="A719" s="0" t="s">
        <v>440</v>
      </c>
      <c r="B719" s="0" t="s">
        <v>1715</v>
      </c>
      <c r="C719" s="0" t="s">
        <v>934</v>
      </c>
      <c r="D719" s="0" t="n">
        <v>123.69</v>
      </c>
      <c r="E719" s="0" t="s">
        <v>66</v>
      </c>
      <c r="F719" s="0" t="s">
        <v>1716</v>
      </c>
      <c r="G719" s="0" t="s">
        <v>1717</v>
      </c>
      <c r="H719" s="0" t="s">
        <v>444</v>
      </c>
      <c r="I719" s="0" t="s">
        <v>423</v>
      </c>
    </row>
    <row r="720" customFormat="false" ht="15" hidden="false" customHeight="false" outlineLevel="0" collapsed="false">
      <c r="A720" s="0" t="s">
        <v>440</v>
      </c>
      <c r="B720" s="0" t="s">
        <v>1718</v>
      </c>
      <c r="C720" s="0" t="s">
        <v>934</v>
      </c>
      <c r="D720" s="0" t="n">
        <v>27.08</v>
      </c>
      <c r="E720" s="0" t="s">
        <v>66</v>
      </c>
      <c r="F720" s="0" t="s">
        <v>1719</v>
      </c>
      <c r="G720" s="0" t="s">
        <v>1720</v>
      </c>
      <c r="H720" s="0" t="s">
        <v>444</v>
      </c>
      <c r="I720" s="0" t="s">
        <v>423</v>
      </c>
    </row>
    <row r="721" customFormat="false" ht="15" hidden="false" customHeight="false" outlineLevel="0" collapsed="false">
      <c r="A721" s="0" t="s">
        <v>440</v>
      </c>
      <c r="B721" s="0" t="s">
        <v>1721</v>
      </c>
      <c r="C721" s="0" t="s">
        <v>934</v>
      </c>
      <c r="D721" s="0" t="n">
        <v>24.04</v>
      </c>
      <c r="E721" s="0" t="s">
        <v>66</v>
      </c>
      <c r="F721" s="0" t="s">
        <v>1722</v>
      </c>
      <c r="G721" s="0" t="s">
        <v>1723</v>
      </c>
      <c r="H721" s="0" t="s">
        <v>444</v>
      </c>
      <c r="I721" s="0" t="s">
        <v>423</v>
      </c>
    </row>
    <row r="722" customFormat="false" ht="15" hidden="false" customHeight="false" outlineLevel="0" collapsed="false">
      <c r="A722" s="0" t="s">
        <v>440</v>
      </c>
      <c r="B722" s="0" t="s">
        <v>1724</v>
      </c>
      <c r="C722" s="0" t="s">
        <v>934</v>
      </c>
      <c r="D722" s="0" t="n">
        <v>24.04</v>
      </c>
      <c r="E722" s="0" t="s">
        <v>66</v>
      </c>
      <c r="F722" s="0" t="s">
        <v>1725</v>
      </c>
      <c r="G722" s="0" t="s">
        <v>1723</v>
      </c>
      <c r="H722" s="0" t="s">
        <v>444</v>
      </c>
      <c r="I722" s="0" t="s">
        <v>423</v>
      </c>
    </row>
    <row r="723" customFormat="false" ht="15" hidden="false" customHeight="false" outlineLevel="0" collapsed="false">
      <c r="A723" s="0" t="s">
        <v>440</v>
      </c>
      <c r="B723" s="0" t="s">
        <v>1049</v>
      </c>
      <c r="C723" s="0" t="s">
        <v>934</v>
      </c>
      <c r="D723" s="0" t="n">
        <v>24.04</v>
      </c>
      <c r="E723" s="0" t="s">
        <v>66</v>
      </c>
      <c r="F723" s="0" t="s">
        <v>1726</v>
      </c>
      <c r="G723" s="0" t="s">
        <v>1727</v>
      </c>
      <c r="H723" s="0" t="s">
        <v>444</v>
      </c>
      <c r="I723" s="0" t="s">
        <v>423</v>
      </c>
    </row>
    <row r="724" customFormat="false" ht="15" hidden="false" customHeight="false" outlineLevel="0" collapsed="false">
      <c r="A724" s="0" t="s">
        <v>440</v>
      </c>
      <c r="B724" s="0" t="s">
        <v>1728</v>
      </c>
      <c r="C724" s="0" t="s">
        <v>934</v>
      </c>
      <c r="D724" s="0" t="n">
        <v>24.04</v>
      </c>
      <c r="E724" s="0" t="s">
        <v>66</v>
      </c>
      <c r="F724" s="0" t="s">
        <v>1729</v>
      </c>
      <c r="G724" s="0" t="s">
        <v>1730</v>
      </c>
      <c r="H724" s="0" t="s">
        <v>444</v>
      </c>
      <c r="I724" s="0" t="s">
        <v>423</v>
      </c>
    </row>
    <row r="725" customFormat="false" ht="15" hidden="false" customHeight="false" outlineLevel="0" collapsed="false">
      <c r="A725" s="0" t="s">
        <v>440</v>
      </c>
      <c r="B725" s="0" t="s">
        <v>1731</v>
      </c>
      <c r="C725" s="0" t="s">
        <v>1254</v>
      </c>
      <c r="D725" s="2" t="s">
        <v>935</v>
      </c>
      <c r="E725" s="3" t="s">
        <v>690</v>
      </c>
      <c r="F725" s="3" t="s">
        <v>1732</v>
      </c>
      <c r="G725" s="3" t="s">
        <v>1733</v>
      </c>
      <c r="H725" s="3" t="s">
        <v>444</v>
      </c>
      <c r="I725" s="3" t="s">
        <v>423</v>
      </c>
    </row>
    <row r="726" customFormat="false" ht="15" hidden="false" customHeight="false" outlineLevel="0" collapsed="false">
      <c r="A726" s="0" t="s">
        <v>448</v>
      </c>
      <c r="B726" s="0" t="s">
        <v>1734</v>
      </c>
      <c r="C726" s="0" t="s">
        <v>934</v>
      </c>
      <c r="D726" s="0" t="n">
        <v>2</v>
      </c>
      <c r="E726" s="0" t="s">
        <v>66</v>
      </c>
      <c r="F726" s="0" t="s">
        <v>1735</v>
      </c>
      <c r="G726" s="0" t="s">
        <v>1736</v>
      </c>
      <c r="H726" s="0" t="s">
        <v>452</v>
      </c>
      <c r="I726" s="0" t="s">
        <v>453</v>
      </c>
    </row>
    <row r="727" customFormat="false" ht="15" hidden="false" customHeight="false" outlineLevel="0" collapsed="false">
      <c r="A727" s="0" t="s">
        <v>456</v>
      </c>
      <c r="B727" s="0" t="s">
        <v>1734</v>
      </c>
      <c r="C727" s="0" t="s">
        <v>934</v>
      </c>
      <c r="D727" s="0" t="n">
        <v>2</v>
      </c>
      <c r="E727" s="0" t="s">
        <v>66</v>
      </c>
      <c r="F727" s="0" t="s">
        <v>1737</v>
      </c>
      <c r="G727" s="0" t="s">
        <v>1736</v>
      </c>
      <c r="H727" s="0" t="s">
        <v>452</v>
      </c>
      <c r="I727" s="0" t="s">
        <v>453</v>
      </c>
    </row>
    <row r="728" customFormat="false" ht="15" hidden="false" customHeight="false" outlineLevel="0" collapsed="false">
      <c r="A728" s="0" t="s">
        <v>459</v>
      </c>
      <c r="B728" s="0" t="s">
        <v>1734</v>
      </c>
      <c r="C728" s="0" t="s">
        <v>934</v>
      </c>
      <c r="D728" s="0" t="n">
        <v>2</v>
      </c>
      <c r="E728" s="0" t="s">
        <v>66</v>
      </c>
      <c r="F728" s="0" t="s">
        <v>1738</v>
      </c>
      <c r="G728" s="0" t="s">
        <v>1736</v>
      </c>
      <c r="H728" s="0" t="s">
        <v>452</v>
      </c>
      <c r="I728" s="0" t="s">
        <v>453</v>
      </c>
    </row>
    <row r="729" customFormat="false" ht="15" hidden="false" customHeight="false" outlineLevel="0" collapsed="false">
      <c r="A729" s="0" t="s">
        <v>462</v>
      </c>
      <c r="B729" s="0" t="s">
        <v>1734</v>
      </c>
      <c r="C729" s="0" t="s">
        <v>934</v>
      </c>
      <c r="D729" s="0" t="n">
        <v>2</v>
      </c>
      <c r="E729" s="0" t="s">
        <v>66</v>
      </c>
      <c r="F729" s="0" t="s">
        <v>1739</v>
      </c>
      <c r="G729" s="0" t="s">
        <v>1736</v>
      </c>
      <c r="H729" s="0" t="s">
        <v>452</v>
      </c>
      <c r="I729" s="0" t="s">
        <v>453</v>
      </c>
    </row>
    <row r="730" customFormat="false" ht="15" hidden="false" customHeight="false" outlineLevel="0" collapsed="false">
      <c r="A730" s="0" t="s">
        <v>465</v>
      </c>
      <c r="B730" s="0" t="s">
        <v>1734</v>
      </c>
      <c r="C730" s="0" t="s">
        <v>934</v>
      </c>
      <c r="D730" s="0" t="n">
        <v>2</v>
      </c>
      <c r="E730" s="0" t="s">
        <v>66</v>
      </c>
      <c r="F730" s="0" t="s">
        <v>1740</v>
      </c>
      <c r="G730" s="0" t="s">
        <v>1736</v>
      </c>
      <c r="H730" s="0" t="s">
        <v>452</v>
      </c>
      <c r="I730" s="0" t="s">
        <v>453</v>
      </c>
    </row>
    <row r="731" customFormat="false" ht="15" hidden="false" customHeight="false" outlineLevel="0" collapsed="false">
      <c r="A731" s="0" t="s">
        <v>468</v>
      </c>
      <c r="B731" s="0" t="s">
        <v>1734</v>
      </c>
      <c r="C731" s="0" t="s">
        <v>934</v>
      </c>
      <c r="D731" s="0" t="n">
        <v>2</v>
      </c>
      <c r="E731" s="0" t="s">
        <v>66</v>
      </c>
      <c r="F731" s="0" t="s">
        <v>1741</v>
      </c>
      <c r="G731" s="0" t="s">
        <v>1736</v>
      </c>
      <c r="H731" s="0" t="s">
        <v>452</v>
      </c>
      <c r="I731" s="0" t="s">
        <v>453</v>
      </c>
    </row>
    <row r="732" customFormat="false" ht="15" hidden="false" customHeight="false" outlineLevel="0" collapsed="false">
      <c r="A732" s="0" t="s">
        <v>471</v>
      </c>
      <c r="B732" s="0" t="s">
        <v>1734</v>
      </c>
      <c r="C732" s="0" t="s">
        <v>934</v>
      </c>
      <c r="D732" s="0" t="n">
        <v>2</v>
      </c>
      <c r="E732" s="0" t="s">
        <v>66</v>
      </c>
      <c r="F732" s="0" t="s">
        <v>1742</v>
      </c>
      <c r="G732" s="0" t="s">
        <v>1736</v>
      </c>
      <c r="H732" s="0" t="s">
        <v>452</v>
      </c>
      <c r="I732" s="0" t="s">
        <v>453</v>
      </c>
    </row>
    <row r="733" customFormat="false" ht="15" hidden="false" customHeight="false" outlineLevel="0" collapsed="false">
      <c r="A733" s="0" t="s">
        <v>474</v>
      </c>
      <c r="B733" s="0" t="s">
        <v>1734</v>
      </c>
      <c r="C733" s="0" t="s">
        <v>934</v>
      </c>
      <c r="D733" s="0" t="n">
        <v>2</v>
      </c>
      <c r="E733" s="0" t="s">
        <v>66</v>
      </c>
      <c r="F733" s="0" t="s">
        <v>1743</v>
      </c>
      <c r="G733" s="0" t="s">
        <v>1736</v>
      </c>
      <c r="H733" s="0" t="s">
        <v>452</v>
      </c>
      <c r="I733" s="0" t="s">
        <v>453</v>
      </c>
    </row>
    <row r="734" customFormat="false" ht="15" hidden="false" customHeight="false" outlineLevel="0" collapsed="false">
      <c r="A734" s="0" t="s">
        <v>477</v>
      </c>
      <c r="B734" s="0" t="s">
        <v>1734</v>
      </c>
      <c r="C734" s="0" t="s">
        <v>934</v>
      </c>
      <c r="D734" s="0" t="n">
        <v>2</v>
      </c>
      <c r="E734" s="0" t="s">
        <v>66</v>
      </c>
      <c r="F734" s="0" t="s">
        <v>1744</v>
      </c>
      <c r="G734" s="0" t="s">
        <v>1736</v>
      </c>
      <c r="H734" s="0" t="s">
        <v>452</v>
      </c>
      <c r="I734" s="0" t="s">
        <v>453</v>
      </c>
    </row>
    <row r="735" customFormat="false" ht="15" hidden="false" customHeight="false" outlineLevel="0" collapsed="false">
      <c r="A735" s="0" t="s">
        <v>480</v>
      </c>
      <c r="B735" s="0" t="s">
        <v>1734</v>
      </c>
      <c r="C735" s="0" t="s">
        <v>934</v>
      </c>
      <c r="D735" s="0" t="n">
        <v>6.25</v>
      </c>
      <c r="E735" s="0" t="s">
        <v>66</v>
      </c>
      <c r="F735" s="0" t="s">
        <v>1745</v>
      </c>
      <c r="G735" s="0" t="s">
        <v>1746</v>
      </c>
      <c r="H735" s="0" t="s">
        <v>483</v>
      </c>
      <c r="I735" s="0" t="s">
        <v>453</v>
      </c>
    </row>
    <row r="736" customFormat="false" ht="15" hidden="false" customHeight="false" outlineLevel="0" collapsed="false">
      <c r="A736" s="0" t="s">
        <v>485</v>
      </c>
      <c r="B736" s="0" t="s">
        <v>1734</v>
      </c>
      <c r="C736" s="0" t="s">
        <v>934</v>
      </c>
      <c r="D736" s="0" t="n">
        <v>21</v>
      </c>
      <c r="E736" s="0" t="s">
        <v>66</v>
      </c>
      <c r="F736" s="0" t="s">
        <v>1747</v>
      </c>
      <c r="G736" s="0" t="s">
        <v>1748</v>
      </c>
      <c r="H736" s="0" t="s">
        <v>488</v>
      </c>
      <c r="I736" s="0" t="s">
        <v>453</v>
      </c>
    </row>
    <row r="737" customFormat="false" ht="15" hidden="false" customHeight="false" outlineLevel="0" collapsed="false">
      <c r="A737" s="0" t="s">
        <v>489</v>
      </c>
      <c r="B737" s="0" t="s">
        <v>1734</v>
      </c>
      <c r="C737" s="0" t="s">
        <v>934</v>
      </c>
      <c r="D737" s="0" t="n">
        <v>9</v>
      </c>
      <c r="E737" s="0" t="s">
        <v>66</v>
      </c>
      <c r="F737" s="0" t="s">
        <v>1749</v>
      </c>
      <c r="G737" s="0" t="s">
        <v>1750</v>
      </c>
      <c r="H737" s="0" t="s">
        <v>492</v>
      </c>
      <c r="I737" s="0" t="s">
        <v>453</v>
      </c>
    </row>
    <row r="738" customFormat="false" ht="15" hidden="false" customHeight="false" outlineLevel="0" collapsed="false">
      <c r="A738" s="0" t="s">
        <v>493</v>
      </c>
      <c r="B738" s="0" t="s">
        <v>1734</v>
      </c>
      <c r="C738" s="0" t="s">
        <v>934</v>
      </c>
      <c r="D738" s="0" t="n">
        <v>9</v>
      </c>
      <c r="E738" s="0" t="s">
        <v>66</v>
      </c>
      <c r="F738" s="0" t="s">
        <v>1749</v>
      </c>
      <c r="G738" s="0" t="s">
        <v>1751</v>
      </c>
      <c r="H738" s="0" t="s">
        <v>496</v>
      </c>
      <c r="I738" s="0" t="s">
        <v>453</v>
      </c>
    </row>
    <row r="739" customFormat="false" ht="15" hidden="false" customHeight="false" outlineLevel="0" collapsed="false">
      <c r="A739" s="0" t="s">
        <v>497</v>
      </c>
      <c r="B739" s="0" t="s">
        <v>1734</v>
      </c>
      <c r="C739" s="0" t="s">
        <v>934</v>
      </c>
      <c r="D739" s="0" t="n">
        <v>19.875</v>
      </c>
      <c r="E739" s="0" t="s">
        <v>66</v>
      </c>
      <c r="F739" s="0" t="s">
        <v>1752</v>
      </c>
      <c r="G739" s="0" t="s">
        <v>1753</v>
      </c>
      <c r="H739" s="0" t="s">
        <v>500</v>
      </c>
      <c r="I739" s="0" t="s">
        <v>453</v>
      </c>
    </row>
    <row r="740" customFormat="false" ht="15" hidden="false" customHeight="false" outlineLevel="0" collapsed="false">
      <c r="A740" s="0" t="s">
        <v>501</v>
      </c>
      <c r="B740" s="0" t="s">
        <v>1734</v>
      </c>
      <c r="C740" s="0" t="s">
        <v>934</v>
      </c>
      <c r="D740" s="0" t="n">
        <v>7.583</v>
      </c>
      <c r="E740" s="0" t="s">
        <v>66</v>
      </c>
      <c r="F740" s="0" t="s">
        <v>1754</v>
      </c>
      <c r="G740" s="0" t="s">
        <v>1755</v>
      </c>
      <c r="H740" s="0" t="s">
        <v>504</v>
      </c>
      <c r="I740" s="0" t="s">
        <v>453</v>
      </c>
    </row>
    <row r="741" customFormat="false" ht="15" hidden="false" customHeight="false" outlineLevel="0" collapsed="false">
      <c r="A741" s="0" t="s">
        <v>505</v>
      </c>
      <c r="B741" s="0" t="s">
        <v>1734</v>
      </c>
      <c r="C741" s="0" t="s">
        <v>934</v>
      </c>
      <c r="D741" s="0" t="n">
        <v>13.5</v>
      </c>
      <c r="E741" s="0" t="s">
        <v>66</v>
      </c>
      <c r="F741" s="0" t="s">
        <v>1756</v>
      </c>
      <c r="G741" s="0" t="s">
        <v>1757</v>
      </c>
      <c r="H741" s="0" t="s">
        <v>508</v>
      </c>
      <c r="I741" s="0" t="s">
        <v>453</v>
      </c>
    </row>
    <row r="742" customFormat="false" ht="15" hidden="false" customHeight="false" outlineLevel="0" collapsed="false">
      <c r="A742" s="0" t="s">
        <v>509</v>
      </c>
      <c r="B742" s="0" t="s">
        <v>1734</v>
      </c>
      <c r="C742" s="0" t="s">
        <v>934</v>
      </c>
      <c r="D742" s="0" t="n">
        <v>28.731</v>
      </c>
      <c r="E742" s="0" t="s">
        <v>66</v>
      </c>
      <c r="F742" s="0" t="s">
        <v>1758</v>
      </c>
      <c r="G742" s="0" t="s">
        <v>1759</v>
      </c>
      <c r="H742" s="0" t="s">
        <v>512</v>
      </c>
      <c r="I742" s="0" t="s">
        <v>453</v>
      </c>
    </row>
    <row r="743" customFormat="false" ht="15" hidden="false" customHeight="false" outlineLevel="0" collapsed="false">
      <c r="A743" s="0" t="s">
        <v>513</v>
      </c>
      <c r="B743" s="0" t="s">
        <v>1734</v>
      </c>
      <c r="C743" s="0" t="s">
        <v>934</v>
      </c>
      <c r="D743" s="0" t="n">
        <v>23.333</v>
      </c>
      <c r="E743" s="0" t="s">
        <v>66</v>
      </c>
      <c r="F743" s="0" t="s">
        <v>1760</v>
      </c>
      <c r="G743" s="0" t="s">
        <v>1761</v>
      </c>
      <c r="H743" s="0" t="s">
        <v>516</v>
      </c>
      <c r="I743" s="0" t="s">
        <v>453</v>
      </c>
    </row>
    <row r="744" customFormat="false" ht="15" hidden="false" customHeight="false" outlineLevel="0" collapsed="false">
      <c r="A744" s="0" t="s">
        <v>517</v>
      </c>
      <c r="B744" s="0" t="s">
        <v>1734</v>
      </c>
      <c r="C744" s="0" t="s">
        <v>934</v>
      </c>
      <c r="D744" s="0" t="n">
        <v>12.333</v>
      </c>
      <c r="E744" s="0" t="s">
        <v>66</v>
      </c>
      <c r="F744" s="0" t="s">
        <v>1762</v>
      </c>
      <c r="G744" s="0" t="s">
        <v>1763</v>
      </c>
      <c r="H744" s="0" t="s">
        <v>520</v>
      </c>
      <c r="I744" s="0" t="s">
        <v>453</v>
      </c>
    </row>
    <row r="745" customFormat="false" ht="15" hidden="false" customHeight="false" outlineLevel="0" collapsed="false">
      <c r="A745" s="0" t="s">
        <v>521</v>
      </c>
      <c r="B745" s="0" t="s">
        <v>1734</v>
      </c>
      <c r="C745" s="0" t="s">
        <v>934</v>
      </c>
      <c r="D745" s="0" t="n">
        <v>10</v>
      </c>
      <c r="E745" s="0" t="s">
        <v>66</v>
      </c>
      <c r="F745" s="0" t="s">
        <v>1764</v>
      </c>
      <c r="G745" s="0" t="s">
        <v>1765</v>
      </c>
      <c r="H745" s="0" t="s">
        <v>524</v>
      </c>
      <c r="I745" s="0" t="s">
        <v>453</v>
      </c>
    </row>
    <row r="746" customFormat="false" ht="15" hidden="false" customHeight="false" outlineLevel="0" collapsed="false">
      <c r="A746" s="0" t="s">
        <v>525</v>
      </c>
      <c r="B746" s="0" t="s">
        <v>1734</v>
      </c>
      <c r="C746" s="0" t="s">
        <v>934</v>
      </c>
      <c r="D746" s="0" t="n">
        <v>3.5</v>
      </c>
      <c r="E746" s="0" t="s">
        <v>66</v>
      </c>
      <c r="F746" s="0" t="s">
        <v>1766</v>
      </c>
      <c r="G746" s="0" t="s">
        <v>1767</v>
      </c>
      <c r="H746" s="0" t="s">
        <v>529</v>
      </c>
      <c r="I746" s="0" t="s">
        <v>453</v>
      </c>
    </row>
    <row r="747" customFormat="false" ht="15" hidden="false" customHeight="false" outlineLevel="0" collapsed="false">
      <c r="A747" s="0" t="s">
        <v>532</v>
      </c>
      <c r="B747" s="0" t="s">
        <v>1734</v>
      </c>
      <c r="C747" s="0" t="s">
        <v>934</v>
      </c>
      <c r="D747" s="0" t="n">
        <v>3</v>
      </c>
      <c r="E747" s="0" t="s">
        <v>66</v>
      </c>
      <c r="F747" s="0" t="s">
        <v>1768</v>
      </c>
      <c r="G747" s="0" t="s">
        <v>1769</v>
      </c>
      <c r="H747" s="0" t="s">
        <v>529</v>
      </c>
      <c r="I747" s="0" t="s">
        <v>453</v>
      </c>
    </row>
    <row r="748" customFormat="false" ht="15" hidden="false" customHeight="false" outlineLevel="0" collapsed="false">
      <c r="A748" s="0" t="s">
        <v>536</v>
      </c>
      <c r="B748" s="0" t="s">
        <v>1734</v>
      </c>
      <c r="C748" s="0" t="s">
        <v>934</v>
      </c>
      <c r="D748" s="0" t="n">
        <v>2.667</v>
      </c>
      <c r="E748" s="0" t="s">
        <v>66</v>
      </c>
      <c r="F748" s="0" t="s">
        <v>1770</v>
      </c>
      <c r="G748" s="0" t="s">
        <v>1771</v>
      </c>
      <c r="H748" s="0" t="s">
        <v>529</v>
      </c>
      <c r="I748" s="0" t="s">
        <v>453</v>
      </c>
    </row>
    <row r="749" customFormat="false" ht="15" hidden="false" customHeight="false" outlineLevel="0" collapsed="false">
      <c r="A749" s="0" t="s">
        <v>540</v>
      </c>
      <c r="B749" s="0" t="s">
        <v>1734</v>
      </c>
      <c r="C749" s="0" t="s">
        <v>934</v>
      </c>
      <c r="D749" s="0" t="n">
        <v>4</v>
      </c>
      <c r="E749" s="0" t="s">
        <v>66</v>
      </c>
      <c r="F749" s="0" t="s">
        <v>1772</v>
      </c>
      <c r="G749" s="0" t="s">
        <v>1773</v>
      </c>
      <c r="H749" s="0" t="s">
        <v>529</v>
      </c>
      <c r="I749" s="0" t="s">
        <v>453</v>
      </c>
    </row>
    <row r="750" customFormat="false" ht="15" hidden="false" customHeight="false" outlineLevel="0" collapsed="false">
      <c r="A750" s="0" t="s">
        <v>544</v>
      </c>
      <c r="B750" s="0" t="s">
        <v>1734</v>
      </c>
      <c r="C750" s="0" t="s">
        <v>934</v>
      </c>
      <c r="D750" s="0" t="n">
        <v>1.333</v>
      </c>
      <c r="E750" s="0" t="s">
        <v>66</v>
      </c>
      <c r="F750" s="0" t="s">
        <v>1774</v>
      </c>
      <c r="G750" s="0" t="s">
        <v>1775</v>
      </c>
      <c r="H750" s="0" t="s">
        <v>529</v>
      </c>
      <c r="I750" s="0" t="s">
        <v>453</v>
      </c>
    </row>
    <row r="751" customFormat="false" ht="15" hidden="false" customHeight="false" outlineLevel="0" collapsed="false">
      <c r="A751" s="0" t="s">
        <v>548</v>
      </c>
      <c r="B751" s="0" t="s">
        <v>1734</v>
      </c>
      <c r="C751" s="0" t="s">
        <v>934</v>
      </c>
      <c r="D751" s="0" t="n">
        <v>1.333</v>
      </c>
      <c r="E751" s="0" t="s">
        <v>66</v>
      </c>
      <c r="F751" s="0" t="s">
        <v>1776</v>
      </c>
      <c r="G751" s="0" t="s">
        <v>1777</v>
      </c>
      <c r="H751" s="0" t="s">
        <v>529</v>
      </c>
      <c r="I751" s="0" t="s">
        <v>453</v>
      </c>
    </row>
    <row r="752" customFormat="false" ht="15" hidden="false" customHeight="false" outlineLevel="0" collapsed="false">
      <c r="A752" s="0" t="s">
        <v>550</v>
      </c>
      <c r="B752" s="0" t="s">
        <v>1734</v>
      </c>
      <c r="C752" s="0" t="s">
        <v>934</v>
      </c>
      <c r="D752" s="0" t="n">
        <v>5.7</v>
      </c>
      <c r="E752" s="0" t="s">
        <v>66</v>
      </c>
      <c r="F752" s="0" t="s">
        <v>1778</v>
      </c>
      <c r="G752" s="0" t="s">
        <v>1779</v>
      </c>
      <c r="H752" s="0" t="s">
        <v>529</v>
      </c>
      <c r="I752" s="0" t="s">
        <v>453</v>
      </c>
    </row>
    <row r="753" customFormat="false" ht="15" hidden="false" customHeight="false" outlineLevel="0" collapsed="false">
      <c r="A753" s="0" t="s">
        <v>554</v>
      </c>
      <c r="B753" s="0" t="s">
        <v>1734</v>
      </c>
      <c r="C753" s="0" t="s">
        <v>934</v>
      </c>
      <c r="D753" s="0" t="n">
        <v>1.6</v>
      </c>
      <c r="E753" s="0" t="s">
        <v>66</v>
      </c>
      <c r="F753" s="0" t="s">
        <v>1780</v>
      </c>
      <c r="G753" s="0" t="s">
        <v>1781</v>
      </c>
      <c r="H753" s="0" t="s">
        <v>529</v>
      </c>
      <c r="I753" s="0" t="s">
        <v>453</v>
      </c>
    </row>
    <row r="754" customFormat="false" ht="15" hidden="false" customHeight="false" outlineLevel="0" collapsed="false">
      <c r="A754" s="0" t="s">
        <v>556</v>
      </c>
      <c r="B754" s="0" t="s">
        <v>1734</v>
      </c>
      <c r="C754" s="0" t="s">
        <v>934</v>
      </c>
      <c r="D754" s="0" t="n">
        <v>2</v>
      </c>
      <c r="E754" s="0" t="s">
        <v>66</v>
      </c>
      <c r="F754" s="0" t="s">
        <v>1782</v>
      </c>
      <c r="G754" s="0" t="s">
        <v>1783</v>
      </c>
      <c r="H754" s="0" t="s">
        <v>529</v>
      </c>
      <c r="I754" s="0" t="s">
        <v>453</v>
      </c>
    </row>
    <row r="755" customFormat="false" ht="15" hidden="false" customHeight="false" outlineLevel="0" collapsed="false">
      <c r="A755" s="0" t="s">
        <v>560</v>
      </c>
      <c r="B755" s="0" t="s">
        <v>1784</v>
      </c>
      <c r="C755" s="0" t="s">
        <v>934</v>
      </c>
      <c r="D755" s="0" t="n">
        <v>7.26</v>
      </c>
      <c r="E755" s="0" t="s">
        <v>66</v>
      </c>
      <c r="F755" s="0" t="s">
        <v>1785</v>
      </c>
      <c r="G755" s="0" t="s">
        <v>1786</v>
      </c>
      <c r="H755" s="0" t="s">
        <v>563</v>
      </c>
      <c r="I755" s="0" t="s">
        <v>453</v>
      </c>
    </row>
    <row r="756" customFormat="false" ht="15" hidden="false" customHeight="false" outlineLevel="0" collapsed="false">
      <c r="A756" s="0" t="s">
        <v>566</v>
      </c>
      <c r="B756" s="0" t="s">
        <v>1787</v>
      </c>
      <c r="C756" s="0" t="s">
        <v>934</v>
      </c>
      <c r="D756" s="0" t="n">
        <v>7</v>
      </c>
      <c r="E756" s="0" t="s">
        <v>66</v>
      </c>
      <c r="F756" s="0" t="s">
        <v>1788</v>
      </c>
      <c r="G756" s="0" t="s">
        <v>1789</v>
      </c>
      <c r="H756" s="0" t="s">
        <v>563</v>
      </c>
      <c r="I756" s="0" t="s">
        <v>453</v>
      </c>
    </row>
    <row r="757" customFormat="false" ht="15" hidden="false" customHeight="false" outlineLevel="0" collapsed="false">
      <c r="A757" s="0" t="s">
        <v>570</v>
      </c>
      <c r="B757" s="0" t="s">
        <v>1734</v>
      </c>
      <c r="C757" s="0" t="s">
        <v>934</v>
      </c>
      <c r="D757" s="0" t="n">
        <v>3.5</v>
      </c>
      <c r="E757" s="0" t="s">
        <v>66</v>
      </c>
      <c r="F757" s="0" t="s">
        <v>1766</v>
      </c>
      <c r="G757" s="0" t="s">
        <v>1767</v>
      </c>
      <c r="H757" s="0" t="s">
        <v>529</v>
      </c>
      <c r="I757" s="0" t="s">
        <v>453</v>
      </c>
    </row>
    <row r="758" customFormat="false" ht="15" hidden="false" customHeight="false" outlineLevel="0" collapsed="false">
      <c r="A758" s="0" t="s">
        <v>572</v>
      </c>
      <c r="B758" s="0" t="s">
        <v>1734</v>
      </c>
      <c r="C758" s="0" t="s">
        <v>934</v>
      </c>
      <c r="D758" s="0" t="n">
        <v>3</v>
      </c>
      <c r="E758" s="0" t="s">
        <v>66</v>
      </c>
      <c r="F758" s="0" t="s">
        <v>1768</v>
      </c>
      <c r="G758" s="0" t="s">
        <v>1769</v>
      </c>
      <c r="H758" s="0" t="s">
        <v>529</v>
      </c>
      <c r="I758" s="0" t="s">
        <v>453</v>
      </c>
    </row>
    <row r="759" customFormat="false" ht="15" hidden="false" customHeight="false" outlineLevel="0" collapsed="false">
      <c r="A759" s="0" t="s">
        <v>575</v>
      </c>
      <c r="B759" s="0" t="s">
        <v>1734</v>
      </c>
      <c r="C759" s="0" t="s">
        <v>934</v>
      </c>
      <c r="D759" s="0" t="n">
        <v>2.667</v>
      </c>
      <c r="E759" s="0" t="s">
        <v>66</v>
      </c>
      <c r="F759" s="0" t="s">
        <v>1770</v>
      </c>
      <c r="G759" s="0" t="s">
        <v>1771</v>
      </c>
      <c r="H759" s="0" t="s">
        <v>529</v>
      </c>
      <c r="I759" s="0" t="s">
        <v>453</v>
      </c>
    </row>
    <row r="760" customFormat="false" ht="15" hidden="false" customHeight="false" outlineLevel="0" collapsed="false">
      <c r="A760" s="0" t="s">
        <v>577</v>
      </c>
      <c r="B760" s="0" t="s">
        <v>1734</v>
      </c>
      <c r="C760" s="0" t="s">
        <v>934</v>
      </c>
      <c r="D760" s="0" t="n">
        <v>4</v>
      </c>
      <c r="E760" s="0" t="s">
        <v>66</v>
      </c>
      <c r="F760" s="0" t="s">
        <v>1772</v>
      </c>
      <c r="G760" s="0" t="s">
        <v>1773</v>
      </c>
      <c r="H760" s="0" t="s">
        <v>529</v>
      </c>
      <c r="I760" s="0" t="s">
        <v>453</v>
      </c>
    </row>
    <row r="761" customFormat="false" ht="15" hidden="false" customHeight="false" outlineLevel="0" collapsed="false">
      <c r="A761" s="0" t="s">
        <v>580</v>
      </c>
      <c r="B761" s="0" t="s">
        <v>1734</v>
      </c>
      <c r="C761" s="0" t="s">
        <v>934</v>
      </c>
      <c r="D761" s="0" t="n">
        <v>1.333</v>
      </c>
      <c r="E761" s="0" t="s">
        <v>66</v>
      </c>
      <c r="F761" s="0" t="s">
        <v>1774</v>
      </c>
      <c r="G761" s="0" t="s">
        <v>1775</v>
      </c>
      <c r="H761" s="0" t="s">
        <v>529</v>
      </c>
      <c r="I761" s="0" t="s">
        <v>453</v>
      </c>
    </row>
    <row r="762" customFormat="false" ht="15" hidden="false" customHeight="false" outlineLevel="0" collapsed="false">
      <c r="A762" s="0" t="s">
        <v>582</v>
      </c>
      <c r="B762" s="0" t="s">
        <v>1734</v>
      </c>
      <c r="C762" s="0" t="s">
        <v>934</v>
      </c>
      <c r="D762" s="0" t="n">
        <v>1.333</v>
      </c>
      <c r="E762" s="0" t="s">
        <v>66</v>
      </c>
      <c r="F762" s="0" t="s">
        <v>1776</v>
      </c>
      <c r="G762" s="0" t="s">
        <v>1777</v>
      </c>
      <c r="H762" s="0" t="s">
        <v>529</v>
      </c>
      <c r="I762" s="0" t="s">
        <v>453</v>
      </c>
    </row>
    <row r="763" customFormat="false" ht="15" hidden="false" customHeight="false" outlineLevel="0" collapsed="false">
      <c r="A763" s="0" t="s">
        <v>583</v>
      </c>
      <c r="B763" s="0" t="s">
        <v>1734</v>
      </c>
      <c r="C763" s="0" t="s">
        <v>934</v>
      </c>
      <c r="D763" s="0" t="n">
        <v>5.7</v>
      </c>
      <c r="E763" s="0" t="s">
        <v>66</v>
      </c>
      <c r="F763" s="0" t="s">
        <v>1778</v>
      </c>
      <c r="G763" s="0" t="s">
        <v>1779</v>
      </c>
      <c r="H763" s="0" t="s">
        <v>529</v>
      </c>
      <c r="I763" s="0" t="s">
        <v>453</v>
      </c>
    </row>
    <row r="764" customFormat="false" ht="15" hidden="false" customHeight="false" outlineLevel="0" collapsed="false">
      <c r="A764" s="0" t="s">
        <v>586</v>
      </c>
      <c r="B764" s="0" t="s">
        <v>1734</v>
      </c>
      <c r="C764" s="0" t="s">
        <v>934</v>
      </c>
      <c r="D764" s="0" t="n">
        <v>1.333</v>
      </c>
      <c r="E764" s="0" t="s">
        <v>66</v>
      </c>
      <c r="F764" s="0" t="s">
        <v>1790</v>
      </c>
      <c r="G764" s="0" t="s">
        <v>1777</v>
      </c>
      <c r="H764" s="0" t="s">
        <v>529</v>
      </c>
      <c r="I764" s="0" t="s">
        <v>453</v>
      </c>
    </row>
    <row r="765" customFormat="false" ht="15" hidden="false" customHeight="false" outlineLevel="0" collapsed="false">
      <c r="A765" s="0" t="s">
        <v>588</v>
      </c>
      <c r="B765" s="0" t="s">
        <v>1734</v>
      </c>
      <c r="C765" s="0" t="s">
        <v>934</v>
      </c>
      <c r="D765" s="0" t="n">
        <v>1.6</v>
      </c>
      <c r="E765" s="0" t="s">
        <v>66</v>
      </c>
      <c r="F765" s="0" t="s">
        <v>1780</v>
      </c>
      <c r="G765" s="0" t="s">
        <v>1781</v>
      </c>
      <c r="H765" s="0" t="s">
        <v>529</v>
      </c>
      <c r="I765" s="0" t="s">
        <v>453</v>
      </c>
    </row>
    <row r="766" customFormat="false" ht="15" hidden="false" customHeight="false" outlineLevel="0" collapsed="false">
      <c r="A766" s="0" t="s">
        <v>589</v>
      </c>
      <c r="B766" s="0" t="s">
        <v>1734</v>
      </c>
      <c r="C766" s="0" t="s">
        <v>934</v>
      </c>
      <c r="D766" s="0" t="n">
        <v>2</v>
      </c>
      <c r="E766" s="0" t="s">
        <v>66</v>
      </c>
      <c r="F766" s="0" t="s">
        <v>1782</v>
      </c>
      <c r="G766" s="0" t="s">
        <v>1783</v>
      </c>
      <c r="H766" s="0" t="s">
        <v>529</v>
      </c>
      <c r="I766" s="0" t="s">
        <v>453</v>
      </c>
    </row>
    <row r="767" customFormat="false" ht="15" hidden="false" customHeight="false" outlineLevel="0" collapsed="false">
      <c r="A767" s="0" t="s">
        <v>592</v>
      </c>
      <c r="B767" s="0" t="s">
        <v>1784</v>
      </c>
      <c r="C767" s="0" t="s">
        <v>934</v>
      </c>
      <c r="D767" s="0" t="n">
        <v>7.26</v>
      </c>
      <c r="E767" s="0" t="s">
        <v>66</v>
      </c>
      <c r="F767" s="0" t="s">
        <v>1785</v>
      </c>
      <c r="G767" s="0" t="s">
        <v>1786</v>
      </c>
      <c r="H767" s="0" t="s">
        <v>563</v>
      </c>
      <c r="I767" s="0" t="s">
        <v>453</v>
      </c>
    </row>
    <row r="768" customFormat="false" ht="15" hidden="false" customHeight="false" outlineLevel="0" collapsed="false">
      <c r="A768" s="0" t="s">
        <v>594</v>
      </c>
      <c r="B768" s="0" t="s">
        <v>1787</v>
      </c>
      <c r="C768" s="0" t="s">
        <v>934</v>
      </c>
      <c r="D768" s="0" t="n">
        <v>7</v>
      </c>
      <c r="E768" s="0" t="s">
        <v>66</v>
      </c>
      <c r="F768" s="0" t="s">
        <v>1788</v>
      </c>
      <c r="G768" s="0" t="s">
        <v>1789</v>
      </c>
      <c r="H768" s="0" t="s">
        <v>563</v>
      </c>
      <c r="I768" s="0" t="s">
        <v>453</v>
      </c>
    </row>
    <row r="769" customFormat="false" ht="15" hidden="false" customHeight="false" outlineLevel="0" collapsed="false">
      <c r="A769" s="0" t="s">
        <v>604</v>
      </c>
      <c r="B769" s="0" t="s">
        <v>1791</v>
      </c>
      <c r="C769" s="0" t="s">
        <v>934</v>
      </c>
      <c r="D769" s="0" t="n">
        <v>5.44</v>
      </c>
      <c r="E769" s="0" t="s">
        <v>66</v>
      </c>
      <c r="F769" s="0" t="s">
        <v>1792</v>
      </c>
      <c r="G769" s="0" t="s">
        <v>1793</v>
      </c>
      <c r="H769" s="0" t="s">
        <v>608</v>
      </c>
      <c r="I769" s="0" t="s">
        <v>453</v>
      </c>
    </row>
    <row r="770" customFormat="false" ht="15" hidden="false" customHeight="false" outlineLevel="0" collapsed="false">
      <c r="A770" s="0" t="s">
        <v>610</v>
      </c>
      <c r="B770" s="0" t="s">
        <v>1791</v>
      </c>
      <c r="C770" s="0" t="s">
        <v>934</v>
      </c>
      <c r="D770" s="0" t="n">
        <v>5.44</v>
      </c>
      <c r="E770" s="0" t="s">
        <v>66</v>
      </c>
      <c r="F770" s="0" t="s">
        <v>1792</v>
      </c>
      <c r="G770" s="0" t="s">
        <v>1793</v>
      </c>
      <c r="H770" s="0" t="s">
        <v>608</v>
      </c>
      <c r="I770" s="0" t="s">
        <v>453</v>
      </c>
    </row>
    <row r="771" customFormat="false" ht="15" hidden="false" customHeight="false" outlineLevel="0" collapsed="false">
      <c r="A771" s="0" t="s">
        <v>613</v>
      </c>
      <c r="B771" s="0" t="s">
        <v>1734</v>
      </c>
      <c r="C771" s="0" t="s">
        <v>934</v>
      </c>
      <c r="D771" s="0" t="n">
        <v>3.92</v>
      </c>
      <c r="E771" s="0" t="s">
        <v>66</v>
      </c>
      <c r="F771" s="0" t="s">
        <v>1794</v>
      </c>
      <c r="G771" s="0" t="s">
        <v>1795</v>
      </c>
      <c r="H771" s="0" t="s">
        <v>616</v>
      </c>
      <c r="I771" s="0" t="s">
        <v>453</v>
      </c>
    </row>
    <row r="772" customFormat="false" ht="15" hidden="false" customHeight="false" outlineLevel="0" collapsed="false">
      <c r="A772" s="0" t="s">
        <v>617</v>
      </c>
      <c r="B772" s="0" t="s">
        <v>1734</v>
      </c>
      <c r="C772" s="0" t="s">
        <v>934</v>
      </c>
      <c r="D772" s="0" t="n">
        <v>8</v>
      </c>
      <c r="E772" s="0" t="s">
        <v>66</v>
      </c>
      <c r="F772" s="0" t="s">
        <v>1796</v>
      </c>
      <c r="G772" s="0" t="s">
        <v>1797</v>
      </c>
      <c r="H772" s="0" t="s">
        <v>620</v>
      </c>
      <c r="I772" s="0" t="s">
        <v>453</v>
      </c>
    </row>
    <row r="773" customFormat="false" ht="15" hidden="false" customHeight="false" outlineLevel="0" collapsed="false">
      <c r="A773" s="0" t="s">
        <v>621</v>
      </c>
      <c r="B773" s="0" t="s">
        <v>1734</v>
      </c>
      <c r="C773" s="0" t="s">
        <v>934</v>
      </c>
      <c r="D773" s="0" t="n">
        <v>2.667</v>
      </c>
      <c r="E773" s="0" t="s">
        <v>66</v>
      </c>
      <c r="F773" s="0" t="s">
        <v>1796</v>
      </c>
      <c r="G773" s="0" t="s">
        <v>1798</v>
      </c>
      <c r="H773" s="0" t="s">
        <v>620</v>
      </c>
      <c r="I773" s="0" t="s">
        <v>453</v>
      </c>
    </row>
    <row r="774" customFormat="false" ht="15" hidden="false" customHeight="false" outlineLevel="0" collapsed="false">
      <c r="A774" s="0" t="s">
        <v>624</v>
      </c>
      <c r="B774" s="0" t="s">
        <v>1734</v>
      </c>
      <c r="C774" s="0" t="s">
        <v>934</v>
      </c>
      <c r="D774" s="0" t="n">
        <v>2.667</v>
      </c>
      <c r="E774" s="0" t="s">
        <v>66</v>
      </c>
      <c r="F774" s="0" t="s">
        <v>1796</v>
      </c>
      <c r="G774" s="0" t="s">
        <v>1799</v>
      </c>
      <c r="H774" s="0" t="s">
        <v>620</v>
      </c>
      <c r="I774" s="0" t="s">
        <v>453</v>
      </c>
    </row>
    <row r="775" customFormat="false" ht="15" hidden="false" customHeight="false" outlineLevel="0" collapsed="false">
      <c r="A775" s="0" t="s">
        <v>627</v>
      </c>
      <c r="B775" s="0" t="s">
        <v>1734</v>
      </c>
      <c r="C775" s="0" t="s">
        <v>934</v>
      </c>
      <c r="D775" s="0" t="n">
        <v>8</v>
      </c>
      <c r="E775" s="0" t="s">
        <v>66</v>
      </c>
      <c r="F775" s="0" t="s">
        <v>1796</v>
      </c>
      <c r="G775" s="0" t="s">
        <v>1800</v>
      </c>
      <c r="H775" s="0" t="s">
        <v>620</v>
      </c>
      <c r="I775" s="0" t="s">
        <v>453</v>
      </c>
    </row>
    <row r="776" customFormat="false" ht="15" hidden="false" customHeight="false" outlineLevel="0" collapsed="false">
      <c r="A776" s="0" t="s">
        <v>630</v>
      </c>
      <c r="B776" s="0" t="s">
        <v>1734</v>
      </c>
      <c r="C776" s="0" t="s">
        <v>934</v>
      </c>
      <c r="D776" s="0" t="n">
        <v>8</v>
      </c>
      <c r="E776" s="0" t="s">
        <v>66</v>
      </c>
      <c r="F776" s="0" t="s">
        <v>1796</v>
      </c>
      <c r="G776" s="0" t="s">
        <v>1800</v>
      </c>
      <c r="H776" s="0" t="s">
        <v>620</v>
      </c>
      <c r="I776" s="0" t="s">
        <v>453</v>
      </c>
    </row>
    <row r="777" customFormat="false" ht="15" hidden="false" customHeight="false" outlineLevel="0" collapsed="false">
      <c r="A777" s="0" t="s">
        <v>633</v>
      </c>
      <c r="B777" s="0" t="s">
        <v>1734</v>
      </c>
      <c r="C777" s="0" t="s">
        <v>934</v>
      </c>
      <c r="D777" s="0" t="n">
        <v>9.71</v>
      </c>
      <c r="E777" s="0" t="s">
        <v>66</v>
      </c>
      <c r="F777" s="0" t="s">
        <v>1796</v>
      </c>
      <c r="G777" s="0" t="s">
        <v>1801</v>
      </c>
      <c r="H777" s="0" t="s">
        <v>620</v>
      </c>
      <c r="I777" s="0" t="s">
        <v>453</v>
      </c>
    </row>
    <row r="778" customFormat="false" ht="15" hidden="false" customHeight="false" outlineLevel="0" collapsed="false">
      <c r="A778" s="0" t="s">
        <v>636</v>
      </c>
      <c r="B778" s="0" t="s">
        <v>1734</v>
      </c>
      <c r="C778" s="0" t="s">
        <v>934</v>
      </c>
      <c r="D778" s="0" t="n">
        <v>3</v>
      </c>
      <c r="E778" s="0" t="s">
        <v>66</v>
      </c>
      <c r="F778" s="0" t="s">
        <v>1796</v>
      </c>
      <c r="G778" s="0" t="s">
        <v>1802</v>
      </c>
      <c r="H778" s="0" t="s">
        <v>620</v>
      </c>
      <c r="I778" s="0" t="s">
        <v>453</v>
      </c>
    </row>
    <row r="779" customFormat="false" ht="15" hidden="false" customHeight="false" outlineLevel="0" collapsed="false">
      <c r="A779" s="0" t="s">
        <v>639</v>
      </c>
      <c r="B779" s="0" t="s">
        <v>1734</v>
      </c>
      <c r="C779" s="0" t="s">
        <v>934</v>
      </c>
      <c r="D779" s="0" t="n">
        <v>1.333</v>
      </c>
      <c r="E779" s="0" t="s">
        <v>66</v>
      </c>
      <c r="F779" s="0" t="s">
        <v>1796</v>
      </c>
      <c r="G779" s="0" t="s">
        <v>1777</v>
      </c>
      <c r="H779" s="0" t="s">
        <v>620</v>
      </c>
      <c r="I779" s="0" t="s">
        <v>453</v>
      </c>
    </row>
    <row r="780" customFormat="false" ht="15" hidden="false" customHeight="false" outlineLevel="0" collapsed="false">
      <c r="A780" s="0" t="s">
        <v>641</v>
      </c>
      <c r="B780" s="0" t="s">
        <v>1734</v>
      </c>
      <c r="C780" s="0" t="s">
        <v>934</v>
      </c>
      <c r="D780" s="0" t="n">
        <v>1.333</v>
      </c>
      <c r="E780" s="0" t="s">
        <v>66</v>
      </c>
      <c r="F780" s="0" t="s">
        <v>1796</v>
      </c>
      <c r="G780" s="0" t="s">
        <v>1777</v>
      </c>
      <c r="H780" s="0" t="s">
        <v>620</v>
      </c>
      <c r="I780" s="0" t="s">
        <v>453</v>
      </c>
    </row>
    <row r="781" customFormat="false" ht="15" hidden="false" customHeight="false" outlineLevel="0" collapsed="false">
      <c r="A781" s="0" t="s">
        <v>644</v>
      </c>
      <c r="B781" s="0" t="s">
        <v>1734</v>
      </c>
      <c r="C781" s="0" t="s">
        <v>934</v>
      </c>
      <c r="D781" s="0" t="n">
        <v>1.333</v>
      </c>
      <c r="E781" s="0" t="s">
        <v>66</v>
      </c>
      <c r="F781" s="0" t="s">
        <v>1796</v>
      </c>
      <c r="G781" s="0" t="s">
        <v>1777</v>
      </c>
      <c r="H781" s="0" t="s">
        <v>620</v>
      </c>
      <c r="I781" s="0" t="s">
        <v>453</v>
      </c>
    </row>
    <row r="782" customFormat="false" ht="15" hidden="false" customHeight="false" outlineLevel="0" collapsed="false">
      <c r="A782" s="0" t="s">
        <v>646</v>
      </c>
      <c r="B782" s="0" t="s">
        <v>1734</v>
      </c>
      <c r="C782" s="0" t="s">
        <v>934</v>
      </c>
      <c r="D782" s="0" t="n">
        <v>1.333</v>
      </c>
      <c r="E782" s="0" t="s">
        <v>66</v>
      </c>
      <c r="F782" s="0" t="s">
        <v>1796</v>
      </c>
      <c r="G782" s="0" t="s">
        <v>1777</v>
      </c>
      <c r="H782" s="0" t="s">
        <v>620</v>
      </c>
      <c r="I782" s="0" t="s">
        <v>453</v>
      </c>
    </row>
    <row r="783" customFormat="false" ht="15" hidden="false" customHeight="false" outlineLevel="0" collapsed="false">
      <c r="A783" s="0" t="s">
        <v>648</v>
      </c>
      <c r="B783" s="0" t="s">
        <v>1734</v>
      </c>
      <c r="C783" s="0" t="s">
        <v>934</v>
      </c>
      <c r="D783" s="0" t="n">
        <v>1.333</v>
      </c>
      <c r="E783" s="0" t="s">
        <v>66</v>
      </c>
      <c r="F783" s="0" t="s">
        <v>1796</v>
      </c>
      <c r="G783" s="0" t="s">
        <v>1777</v>
      </c>
      <c r="H783" s="0" t="s">
        <v>620</v>
      </c>
      <c r="I783" s="0" t="s">
        <v>453</v>
      </c>
    </row>
    <row r="784" customFormat="false" ht="15" hidden="false" customHeight="false" outlineLevel="0" collapsed="false">
      <c r="A784" s="0" t="s">
        <v>651</v>
      </c>
      <c r="B784" s="0" t="s">
        <v>1734</v>
      </c>
      <c r="C784" s="0" t="s">
        <v>934</v>
      </c>
      <c r="D784" s="0" t="n">
        <v>1.333</v>
      </c>
      <c r="E784" s="0" t="s">
        <v>66</v>
      </c>
      <c r="F784" s="0" t="s">
        <v>1796</v>
      </c>
      <c r="G784" s="0" t="s">
        <v>1777</v>
      </c>
      <c r="H784" s="0" t="s">
        <v>620</v>
      </c>
      <c r="I784" s="0" t="s">
        <v>453</v>
      </c>
    </row>
    <row r="785" customFormat="false" ht="15" hidden="false" customHeight="false" outlineLevel="0" collapsed="false">
      <c r="A785" s="0" t="s">
        <v>653</v>
      </c>
      <c r="B785" s="0" t="s">
        <v>1734</v>
      </c>
      <c r="C785" s="0" t="s">
        <v>934</v>
      </c>
      <c r="D785" s="0" t="n">
        <v>1.333</v>
      </c>
      <c r="E785" s="0" t="s">
        <v>66</v>
      </c>
      <c r="F785" s="0" t="s">
        <v>1796</v>
      </c>
      <c r="G785" s="0" t="s">
        <v>1777</v>
      </c>
      <c r="H785" s="0" t="s">
        <v>620</v>
      </c>
      <c r="I785" s="0" t="s">
        <v>453</v>
      </c>
    </row>
    <row r="786" customFormat="false" ht="15" hidden="false" customHeight="false" outlineLevel="0" collapsed="false">
      <c r="A786" s="0" t="s">
        <v>656</v>
      </c>
      <c r="B786" s="0" t="s">
        <v>1734</v>
      </c>
      <c r="C786" s="0" t="s">
        <v>934</v>
      </c>
      <c r="D786" s="0" t="n">
        <v>2.667</v>
      </c>
      <c r="E786" s="0" t="s">
        <v>66</v>
      </c>
      <c r="F786" s="0" t="s">
        <v>1796</v>
      </c>
      <c r="G786" s="0" t="s">
        <v>1799</v>
      </c>
      <c r="H786" s="0" t="s">
        <v>620</v>
      </c>
      <c r="I786" s="0" t="s">
        <v>453</v>
      </c>
    </row>
    <row r="787" customFormat="false" ht="15" hidden="false" customHeight="false" outlineLevel="0" collapsed="false">
      <c r="A787" s="0" t="s">
        <v>658</v>
      </c>
      <c r="B787" s="0" t="s">
        <v>1734</v>
      </c>
      <c r="C787" s="0" t="s">
        <v>934</v>
      </c>
      <c r="D787" s="0" t="n">
        <v>6</v>
      </c>
      <c r="E787" s="0" t="s">
        <v>66</v>
      </c>
      <c r="F787" s="0" t="s">
        <v>1796</v>
      </c>
      <c r="G787" s="0" t="s">
        <v>1803</v>
      </c>
      <c r="H787" s="0" t="s">
        <v>620</v>
      </c>
      <c r="I787" s="0" t="s">
        <v>453</v>
      </c>
    </row>
    <row r="788" customFormat="false" ht="15" hidden="false" customHeight="false" outlineLevel="0" collapsed="false">
      <c r="A788" s="0" t="s">
        <v>661</v>
      </c>
      <c r="B788" s="0" t="s">
        <v>1734</v>
      </c>
      <c r="C788" s="0" t="s">
        <v>934</v>
      </c>
      <c r="D788" s="0" t="n">
        <v>6</v>
      </c>
      <c r="E788" s="0" t="s">
        <v>66</v>
      </c>
      <c r="F788" s="0" t="s">
        <v>1796</v>
      </c>
      <c r="G788" s="0" t="s">
        <v>1804</v>
      </c>
      <c r="H788" s="0" t="s">
        <v>620</v>
      </c>
      <c r="I788" s="0" t="s">
        <v>453</v>
      </c>
    </row>
    <row r="789" customFormat="false" ht="15" hidden="false" customHeight="false" outlineLevel="0" collapsed="false">
      <c r="A789" s="0" t="s">
        <v>664</v>
      </c>
      <c r="B789" s="0" t="s">
        <v>1325</v>
      </c>
      <c r="C789" s="0" t="s">
        <v>948</v>
      </c>
      <c r="D789" s="0" t="n">
        <v>3.38</v>
      </c>
      <c r="E789" s="0" t="s">
        <v>66</v>
      </c>
      <c r="F789" s="0" t="s">
        <v>1805</v>
      </c>
      <c r="G789" s="0" t="s">
        <v>1806</v>
      </c>
      <c r="H789" s="0" t="s">
        <v>668</v>
      </c>
      <c r="I789" s="0" t="s">
        <v>453</v>
      </c>
    </row>
    <row r="790" customFormat="false" ht="15" hidden="false" customHeight="false" outlineLevel="0" collapsed="false">
      <c r="A790" s="0" t="s">
        <v>669</v>
      </c>
      <c r="B790" s="0" t="s">
        <v>1325</v>
      </c>
      <c r="C790" s="0" t="s">
        <v>948</v>
      </c>
      <c r="D790" s="0" t="n">
        <v>200</v>
      </c>
      <c r="E790" s="0" t="s">
        <v>66</v>
      </c>
      <c r="F790" s="0" t="s">
        <v>1807</v>
      </c>
      <c r="G790" s="0" t="s">
        <v>1808</v>
      </c>
      <c r="H790" s="0" t="s">
        <v>673</v>
      </c>
      <c r="I790" s="0" t="s">
        <v>453</v>
      </c>
    </row>
    <row r="791" customFormat="false" ht="15" hidden="false" customHeight="false" outlineLevel="0" collapsed="false">
      <c r="A791" s="0" t="s">
        <v>676</v>
      </c>
      <c r="B791" s="0" t="s">
        <v>1325</v>
      </c>
      <c r="C791" s="0" t="s">
        <v>948</v>
      </c>
      <c r="D791" s="0" t="n">
        <v>60</v>
      </c>
      <c r="E791" s="0" t="s">
        <v>66</v>
      </c>
      <c r="F791" s="0" t="s">
        <v>1809</v>
      </c>
      <c r="G791" s="0" t="s">
        <v>1810</v>
      </c>
      <c r="H791" s="0" t="s">
        <v>680</v>
      </c>
      <c r="I791" s="0" t="s">
        <v>453</v>
      </c>
    </row>
    <row r="792" customFormat="false" ht="15" hidden="false" customHeight="false" outlineLevel="0" collapsed="false">
      <c r="A792" s="0" t="s">
        <v>681</v>
      </c>
      <c r="B792" s="0" t="s">
        <v>1811</v>
      </c>
      <c r="C792" s="0" t="s">
        <v>948</v>
      </c>
      <c r="D792" s="0" t="n">
        <v>41.1</v>
      </c>
      <c r="E792" s="0" t="s">
        <v>66</v>
      </c>
      <c r="F792" s="0" t="s">
        <v>1812</v>
      </c>
      <c r="G792" s="0" t="s">
        <v>1813</v>
      </c>
      <c r="H792" s="0" t="s">
        <v>684</v>
      </c>
      <c r="I792" s="0" t="s">
        <v>453</v>
      </c>
    </row>
    <row r="793" customFormat="false" ht="15" hidden="false" customHeight="false" outlineLevel="0" collapsed="false">
      <c r="A793" s="0" t="s">
        <v>686</v>
      </c>
      <c r="B793" s="0" t="s">
        <v>1734</v>
      </c>
      <c r="C793" s="0" t="s">
        <v>934</v>
      </c>
      <c r="D793" s="2" t="s">
        <v>935</v>
      </c>
      <c r="E793" s="3" t="s">
        <v>690</v>
      </c>
      <c r="F793" s="3" t="s">
        <v>1814</v>
      </c>
      <c r="G793" s="3" t="s">
        <v>1815</v>
      </c>
      <c r="H793" s="3" t="s">
        <v>689</v>
      </c>
      <c r="I793" s="3" t="s">
        <v>453</v>
      </c>
    </row>
    <row r="794" customFormat="false" ht="15" hidden="false" customHeight="false" outlineLevel="0" collapsed="false">
      <c r="A794" s="0" t="s">
        <v>691</v>
      </c>
      <c r="B794" s="0" t="s">
        <v>1816</v>
      </c>
      <c r="C794" s="0" t="s">
        <v>934</v>
      </c>
      <c r="D794" s="2" t="s">
        <v>935</v>
      </c>
      <c r="E794" s="3" t="s">
        <v>690</v>
      </c>
      <c r="F794" s="3" t="s">
        <v>1817</v>
      </c>
      <c r="G794" s="3" t="s">
        <v>1818</v>
      </c>
      <c r="H794" s="3" t="s">
        <v>694</v>
      </c>
      <c r="I794" s="3" t="s">
        <v>453</v>
      </c>
    </row>
    <row r="795" customFormat="false" ht="15" hidden="false" customHeight="false" outlineLevel="0" collapsed="false">
      <c r="A795" s="0" t="s">
        <v>695</v>
      </c>
      <c r="B795" s="0" t="s">
        <v>1819</v>
      </c>
      <c r="C795" s="0" t="s">
        <v>934</v>
      </c>
      <c r="D795" s="2" t="s">
        <v>935</v>
      </c>
      <c r="E795" s="3" t="s">
        <v>690</v>
      </c>
      <c r="F795" s="3" t="s">
        <v>1817</v>
      </c>
      <c r="G795" s="3" t="s">
        <v>1818</v>
      </c>
      <c r="H795" s="3" t="s">
        <v>694</v>
      </c>
      <c r="I795" s="3" t="s">
        <v>453</v>
      </c>
    </row>
    <row r="796" customFormat="false" ht="15" hidden="false" customHeight="false" outlineLevel="0" collapsed="false">
      <c r="A796" s="0" t="s">
        <v>745</v>
      </c>
      <c r="B796" s="0" t="s">
        <v>1820</v>
      </c>
      <c r="C796" s="0" t="s">
        <v>948</v>
      </c>
      <c r="D796" s="0" t="n">
        <v>147.32</v>
      </c>
      <c r="E796" s="0" t="s">
        <v>66</v>
      </c>
      <c r="F796" s="0" t="s">
        <v>1821</v>
      </c>
      <c r="G796" s="0" t="s">
        <v>1822</v>
      </c>
      <c r="H796" s="0" t="s">
        <v>749</v>
      </c>
      <c r="I796" s="0" t="s">
        <v>453</v>
      </c>
    </row>
    <row r="797" customFormat="false" ht="15" hidden="false" customHeight="false" outlineLevel="0" collapsed="false">
      <c r="A797" s="0" t="s">
        <v>745</v>
      </c>
      <c r="B797" s="0" t="s">
        <v>1823</v>
      </c>
      <c r="C797" s="0" t="s">
        <v>934</v>
      </c>
      <c r="D797" s="0" t="n">
        <v>30.33</v>
      </c>
      <c r="E797" s="0" t="s">
        <v>66</v>
      </c>
      <c r="F797" s="0" t="s">
        <v>1824</v>
      </c>
      <c r="G797" s="0" t="s">
        <v>1825</v>
      </c>
      <c r="H797" s="0" t="s">
        <v>749</v>
      </c>
      <c r="I797" s="0" t="s">
        <v>453</v>
      </c>
    </row>
    <row r="798" customFormat="false" ht="15" hidden="false" customHeight="false" outlineLevel="0" collapsed="false">
      <c r="A798" s="0" t="s">
        <v>752</v>
      </c>
      <c r="B798" s="0" t="s">
        <v>1826</v>
      </c>
      <c r="C798" s="0" t="s">
        <v>948</v>
      </c>
      <c r="D798" s="0" t="n">
        <v>84.4</v>
      </c>
      <c r="E798" s="0" t="s">
        <v>66</v>
      </c>
      <c r="F798" s="0" t="s">
        <v>1827</v>
      </c>
      <c r="G798" s="0" t="s">
        <v>1828</v>
      </c>
      <c r="H798" s="0" t="s">
        <v>756</v>
      </c>
      <c r="I798" s="0" t="s">
        <v>453</v>
      </c>
    </row>
    <row r="799" customFormat="false" ht="15" hidden="false" customHeight="false" outlineLevel="0" collapsed="false">
      <c r="A799" s="0" t="s">
        <v>759</v>
      </c>
      <c r="B799" s="0" t="s">
        <v>1829</v>
      </c>
      <c r="C799" s="0" t="s">
        <v>948</v>
      </c>
      <c r="D799" s="0" t="n">
        <v>15.165</v>
      </c>
      <c r="E799" s="0" t="s">
        <v>66</v>
      </c>
      <c r="F799" s="0" t="s">
        <v>1830</v>
      </c>
      <c r="G799" s="0" t="s">
        <v>1831</v>
      </c>
      <c r="H799" s="0" t="s">
        <v>762</v>
      </c>
      <c r="I799" s="0" t="s">
        <v>453</v>
      </c>
    </row>
    <row r="800" customFormat="false" ht="15" hidden="false" customHeight="false" outlineLevel="0" collapsed="false">
      <c r="A800" s="0" t="s">
        <v>764</v>
      </c>
      <c r="B800" s="0" t="s">
        <v>1820</v>
      </c>
      <c r="C800" s="0" t="s">
        <v>948</v>
      </c>
      <c r="D800" s="0" t="n">
        <v>162.17</v>
      </c>
      <c r="E800" s="0" t="s">
        <v>66</v>
      </c>
      <c r="F800" s="0" t="s">
        <v>1821</v>
      </c>
      <c r="G800" s="0" t="s">
        <v>1832</v>
      </c>
      <c r="H800" s="0" t="s">
        <v>749</v>
      </c>
      <c r="I800" s="0" t="s">
        <v>453</v>
      </c>
    </row>
    <row r="801" customFormat="false" ht="15" hidden="false" customHeight="false" outlineLevel="0" collapsed="false">
      <c r="A801" s="0" t="s">
        <v>764</v>
      </c>
      <c r="B801" s="0" t="s">
        <v>1823</v>
      </c>
      <c r="C801" s="0" t="s">
        <v>934</v>
      </c>
      <c r="D801" s="0" t="n">
        <v>33.3</v>
      </c>
      <c r="E801" s="0" t="s">
        <v>66</v>
      </c>
      <c r="F801" s="0" t="s">
        <v>1824</v>
      </c>
      <c r="G801" s="0" t="s">
        <v>1833</v>
      </c>
      <c r="H801" s="0" t="s">
        <v>749</v>
      </c>
      <c r="I801" s="0" t="s">
        <v>453</v>
      </c>
    </row>
    <row r="802" customFormat="false" ht="15" hidden="false" customHeight="false" outlineLevel="0" collapsed="false">
      <c r="A802" s="0" t="s">
        <v>767</v>
      </c>
      <c r="B802" s="0" t="s">
        <v>1826</v>
      </c>
      <c r="C802" s="0" t="s">
        <v>948</v>
      </c>
      <c r="D802" s="0" t="n">
        <v>84.4</v>
      </c>
      <c r="E802" s="0" t="s">
        <v>66</v>
      </c>
      <c r="F802" s="0" t="s">
        <v>1827</v>
      </c>
      <c r="G802" s="0" t="s">
        <v>1828</v>
      </c>
      <c r="H802" s="0" t="s">
        <v>756</v>
      </c>
      <c r="I802" s="0" t="s">
        <v>453</v>
      </c>
    </row>
    <row r="803" customFormat="false" ht="15" hidden="false" customHeight="false" outlineLevel="0" collapsed="false">
      <c r="A803" s="0" t="s">
        <v>769</v>
      </c>
      <c r="B803" s="0" t="s">
        <v>1829</v>
      </c>
      <c r="C803" s="0" t="s">
        <v>948</v>
      </c>
      <c r="D803" s="0" t="n">
        <v>16.65</v>
      </c>
      <c r="E803" s="0" t="s">
        <v>66</v>
      </c>
      <c r="F803" s="0" t="s">
        <v>1830</v>
      </c>
      <c r="G803" s="0" t="s">
        <v>1834</v>
      </c>
      <c r="H803" s="0" t="s">
        <v>762</v>
      </c>
      <c r="I803" s="0" t="s">
        <v>453</v>
      </c>
    </row>
    <row r="804" customFormat="false" ht="15" hidden="false" customHeight="false" outlineLevel="0" collapsed="false">
      <c r="A804" s="0" t="s">
        <v>770</v>
      </c>
      <c r="B804" s="0" t="s">
        <v>1835</v>
      </c>
      <c r="C804" s="0" t="s">
        <v>948</v>
      </c>
      <c r="D804" s="0" t="n">
        <v>16</v>
      </c>
      <c r="E804" s="0" t="s">
        <v>66</v>
      </c>
      <c r="F804" s="0" t="s">
        <v>1836</v>
      </c>
      <c r="G804" s="0" t="s">
        <v>1837</v>
      </c>
      <c r="H804" s="0" t="s">
        <v>774</v>
      </c>
      <c r="I804" s="0" t="s">
        <v>453</v>
      </c>
    </row>
    <row r="805" customFormat="false" ht="15" hidden="false" customHeight="false" outlineLevel="0" collapsed="false">
      <c r="A805" s="0" t="s">
        <v>782</v>
      </c>
      <c r="B805" s="0" t="s">
        <v>1838</v>
      </c>
      <c r="C805" s="0" t="s">
        <v>934</v>
      </c>
      <c r="D805" s="0" t="n">
        <v>4.333</v>
      </c>
      <c r="E805" s="0" t="s">
        <v>66</v>
      </c>
      <c r="F805" s="0" t="s">
        <v>1839</v>
      </c>
      <c r="G805" s="0" t="s">
        <v>1840</v>
      </c>
      <c r="H805" s="0" t="s">
        <v>786</v>
      </c>
      <c r="I805" s="0" t="s">
        <v>453</v>
      </c>
    </row>
    <row r="806" customFormat="false" ht="15" hidden="false" customHeight="false" outlineLevel="0" collapsed="false">
      <c r="A806" s="0" t="s">
        <v>789</v>
      </c>
      <c r="B806" s="0" t="s">
        <v>1841</v>
      </c>
      <c r="C806" s="0" t="s">
        <v>934</v>
      </c>
      <c r="D806" s="0" t="n">
        <v>3.333</v>
      </c>
      <c r="E806" s="0" t="s">
        <v>66</v>
      </c>
      <c r="F806" s="0" t="s">
        <v>1839</v>
      </c>
      <c r="G806" s="0" t="s">
        <v>1842</v>
      </c>
      <c r="H806" s="0" t="s">
        <v>786</v>
      </c>
      <c r="I806" s="0" t="s">
        <v>453</v>
      </c>
    </row>
    <row r="807" customFormat="false" ht="15" hidden="false" customHeight="false" outlineLevel="0" collapsed="false">
      <c r="A807" s="0" t="s">
        <v>793</v>
      </c>
      <c r="B807" s="0" t="s">
        <v>1843</v>
      </c>
      <c r="C807" s="0" t="s">
        <v>934</v>
      </c>
      <c r="D807" s="0" t="n">
        <v>2.667</v>
      </c>
      <c r="E807" s="0" t="s">
        <v>66</v>
      </c>
      <c r="F807" s="0" t="s">
        <v>1839</v>
      </c>
      <c r="G807" s="0" t="s">
        <v>1844</v>
      </c>
      <c r="H807" s="0" t="s">
        <v>786</v>
      </c>
      <c r="I807" s="0" t="s">
        <v>453</v>
      </c>
    </row>
    <row r="808" customFormat="false" ht="15" hidden="false" customHeight="false" outlineLevel="0" collapsed="false">
      <c r="A808" s="0" t="s">
        <v>797</v>
      </c>
      <c r="B808" s="0" t="s">
        <v>1843</v>
      </c>
      <c r="C808" s="0" t="s">
        <v>934</v>
      </c>
      <c r="D808" s="0" t="n">
        <v>2.667</v>
      </c>
      <c r="E808" s="0" t="s">
        <v>66</v>
      </c>
      <c r="F808" s="0" t="s">
        <v>1839</v>
      </c>
      <c r="G808" s="0" t="s">
        <v>1844</v>
      </c>
      <c r="H808" s="0" t="s">
        <v>786</v>
      </c>
      <c r="I808" s="0" t="s">
        <v>453</v>
      </c>
    </row>
    <row r="809" customFormat="false" ht="15" hidden="false" customHeight="false" outlineLevel="0" collapsed="false">
      <c r="A809" s="0" t="s">
        <v>800</v>
      </c>
      <c r="B809" s="0" t="s">
        <v>1845</v>
      </c>
      <c r="C809" s="0" t="s">
        <v>934</v>
      </c>
      <c r="D809" s="0" t="n">
        <v>4.667</v>
      </c>
      <c r="E809" s="0" t="s">
        <v>66</v>
      </c>
      <c r="F809" s="0" t="s">
        <v>1839</v>
      </c>
      <c r="G809" s="0" t="s">
        <v>1846</v>
      </c>
      <c r="H809" s="0" t="s">
        <v>786</v>
      </c>
      <c r="I809" s="0" t="s">
        <v>453</v>
      </c>
    </row>
    <row r="810" customFormat="false" ht="15" hidden="false" customHeight="false" outlineLevel="0" collapsed="false">
      <c r="A810" s="0" t="s">
        <v>804</v>
      </c>
      <c r="B810" s="0" t="s">
        <v>1847</v>
      </c>
      <c r="C810" s="0" t="s">
        <v>934</v>
      </c>
      <c r="D810" s="0" t="n">
        <v>4.333</v>
      </c>
      <c r="E810" s="0" t="s">
        <v>66</v>
      </c>
      <c r="F810" s="0" t="s">
        <v>1839</v>
      </c>
      <c r="G810" s="0" t="s">
        <v>1848</v>
      </c>
      <c r="H810" s="0" t="s">
        <v>786</v>
      </c>
      <c r="I810" s="0" t="s">
        <v>453</v>
      </c>
    </row>
    <row r="811" customFormat="false" ht="15" hidden="false" customHeight="false" outlineLevel="0" collapsed="false">
      <c r="A811" s="0" t="s">
        <v>808</v>
      </c>
      <c r="B811" s="0" t="s">
        <v>1849</v>
      </c>
      <c r="C811" s="0" t="s">
        <v>934</v>
      </c>
      <c r="D811" s="0" t="n">
        <v>2.667</v>
      </c>
      <c r="E811" s="0" t="s">
        <v>66</v>
      </c>
      <c r="F811" s="0" t="s">
        <v>1839</v>
      </c>
      <c r="G811" s="0" t="s">
        <v>1844</v>
      </c>
      <c r="H811" s="0" t="s">
        <v>786</v>
      </c>
      <c r="I811" s="0" t="s">
        <v>453</v>
      </c>
    </row>
    <row r="812" customFormat="false" ht="15" hidden="false" customHeight="false" outlineLevel="0" collapsed="false">
      <c r="A812" s="0" t="s">
        <v>812</v>
      </c>
      <c r="B812" s="0" t="s">
        <v>1849</v>
      </c>
      <c r="C812" s="0" t="s">
        <v>934</v>
      </c>
      <c r="D812" s="0" t="n">
        <v>2.667</v>
      </c>
      <c r="E812" s="0" t="s">
        <v>66</v>
      </c>
      <c r="F812" s="0" t="s">
        <v>1839</v>
      </c>
      <c r="G812" s="0" t="s">
        <v>1844</v>
      </c>
      <c r="H812" s="0" t="s">
        <v>786</v>
      </c>
      <c r="I812" s="0" t="s">
        <v>453</v>
      </c>
    </row>
    <row r="813" customFormat="false" ht="15" hidden="false" customHeight="false" outlineLevel="0" collapsed="false">
      <c r="A813" s="0" t="s">
        <v>815</v>
      </c>
      <c r="B813" s="0" t="s">
        <v>1850</v>
      </c>
      <c r="C813" s="0" t="s">
        <v>934</v>
      </c>
      <c r="D813" s="0" t="n">
        <v>2.667</v>
      </c>
      <c r="E813" s="0" t="s">
        <v>66</v>
      </c>
      <c r="F813" s="0" t="s">
        <v>1839</v>
      </c>
      <c r="G813" s="0" t="s">
        <v>1844</v>
      </c>
      <c r="H813" s="0" t="s">
        <v>786</v>
      </c>
      <c r="I813" s="0" t="s">
        <v>453</v>
      </c>
    </row>
    <row r="814" customFormat="false" ht="15" hidden="false" customHeight="false" outlineLevel="0" collapsed="false">
      <c r="A814" s="0" t="s">
        <v>819</v>
      </c>
      <c r="B814" s="0" t="s">
        <v>1843</v>
      </c>
      <c r="C814" s="0" t="s">
        <v>934</v>
      </c>
      <c r="D814" s="0" t="n">
        <v>2.667</v>
      </c>
      <c r="E814" s="0" t="s">
        <v>66</v>
      </c>
      <c r="F814" s="0" t="s">
        <v>1839</v>
      </c>
      <c r="G814" s="0" t="s">
        <v>1844</v>
      </c>
      <c r="H814" s="0" t="s">
        <v>786</v>
      </c>
      <c r="I814" s="0" t="s">
        <v>453</v>
      </c>
    </row>
    <row r="815" customFormat="false" ht="15" hidden="false" customHeight="false" outlineLevel="0" collapsed="false">
      <c r="A815" s="0" t="s">
        <v>822</v>
      </c>
      <c r="B815" s="0" t="s">
        <v>1851</v>
      </c>
      <c r="C815" s="0" t="s">
        <v>934</v>
      </c>
      <c r="D815" s="0" t="n">
        <v>2.667</v>
      </c>
      <c r="E815" s="0" t="s">
        <v>66</v>
      </c>
      <c r="F815" s="0" t="s">
        <v>1839</v>
      </c>
      <c r="G815" s="0" t="s">
        <v>1844</v>
      </c>
      <c r="H815" s="0" t="s">
        <v>786</v>
      </c>
      <c r="I815" s="0" t="s">
        <v>453</v>
      </c>
    </row>
    <row r="816" customFormat="false" ht="15" hidden="false" customHeight="false" outlineLevel="0" collapsed="false">
      <c r="A816" s="0" t="s">
        <v>826</v>
      </c>
      <c r="B816" s="0" t="s">
        <v>1852</v>
      </c>
      <c r="C816" s="0" t="s">
        <v>934</v>
      </c>
      <c r="D816" s="0" t="n">
        <v>2.667</v>
      </c>
      <c r="E816" s="0" t="s">
        <v>66</v>
      </c>
      <c r="F816" s="0" t="s">
        <v>1839</v>
      </c>
      <c r="G816" s="0" t="s">
        <v>1844</v>
      </c>
      <c r="H816" s="0" t="s">
        <v>786</v>
      </c>
      <c r="I816" s="0" t="s">
        <v>453</v>
      </c>
    </row>
    <row r="817" customFormat="false" ht="15" hidden="false" customHeight="false" outlineLevel="0" collapsed="false">
      <c r="A817" s="0" t="s">
        <v>830</v>
      </c>
      <c r="B817" s="0" t="s">
        <v>1853</v>
      </c>
      <c r="C817" s="0" t="s">
        <v>934</v>
      </c>
      <c r="D817" s="0" t="n">
        <v>3</v>
      </c>
      <c r="E817" s="0" t="s">
        <v>66</v>
      </c>
      <c r="F817" s="0" t="s">
        <v>1839</v>
      </c>
      <c r="G817" s="0" t="s">
        <v>1854</v>
      </c>
      <c r="H817" s="0" t="s">
        <v>786</v>
      </c>
      <c r="I817" s="0" t="s">
        <v>453</v>
      </c>
    </row>
    <row r="818" customFormat="false" ht="15" hidden="false" customHeight="false" outlineLevel="0" collapsed="false">
      <c r="A818" s="0" t="s">
        <v>834</v>
      </c>
      <c r="B818" s="0" t="s">
        <v>1841</v>
      </c>
      <c r="C818" s="0" t="s">
        <v>934</v>
      </c>
      <c r="D818" s="0" t="n">
        <v>3.333</v>
      </c>
      <c r="E818" s="0" t="s">
        <v>66</v>
      </c>
      <c r="F818" s="0" t="s">
        <v>1839</v>
      </c>
      <c r="G818" s="0" t="s">
        <v>1842</v>
      </c>
      <c r="H818" s="0" t="s">
        <v>786</v>
      </c>
      <c r="I818" s="0" t="s">
        <v>453</v>
      </c>
    </row>
    <row r="819" customFormat="false" ht="15" hidden="false" customHeight="false" outlineLevel="0" collapsed="false">
      <c r="A819" s="0" t="s">
        <v>837</v>
      </c>
      <c r="B819" s="0" t="s">
        <v>1841</v>
      </c>
      <c r="C819" s="0" t="s">
        <v>934</v>
      </c>
      <c r="D819" s="0" t="n">
        <v>3.333</v>
      </c>
      <c r="E819" s="0" t="s">
        <v>66</v>
      </c>
      <c r="F819" s="0" t="s">
        <v>1839</v>
      </c>
      <c r="G819" s="0" t="s">
        <v>1842</v>
      </c>
      <c r="H819" s="0" t="s">
        <v>786</v>
      </c>
      <c r="I819" s="0" t="s">
        <v>453</v>
      </c>
    </row>
    <row r="820" customFormat="false" ht="15" hidden="false" customHeight="false" outlineLevel="0" collapsed="false">
      <c r="A820" s="0" t="s">
        <v>840</v>
      </c>
      <c r="B820" s="0" t="s">
        <v>1853</v>
      </c>
      <c r="C820" s="0" t="s">
        <v>934</v>
      </c>
      <c r="D820" s="0" t="n">
        <v>3</v>
      </c>
      <c r="E820" s="0" t="s">
        <v>66</v>
      </c>
      <c r="F820" s="0" t="s">
        <v>1839</v>
      </c>
      <c r="G820" s="0" t="s">
        <v>1854</v>
      </c>
      <c r="H820" s="0" t="s">
        <v>786</v>
      </c>
      <c r="I820" s="0" t="s">
        <v>453</v>
      </c>
    </row>
    <row r="821" customFormat="false" ht="15" hidden="false" customHeight="false" outlineLevel="0" collapsed="false">
      <c r="A821" s="0" t="s">
        <v>843</v>
      </c>
      <c r="B821" s="0" t="s">
        <v>1843</v>
      </c>
      <c r="C821" s="0" t="s">
        <v>934</v>
      </c>
      <c r="D821" s="0" t="n">
        <v>2.667</v>
      </c>
      <c r="E821" s="0" t="s">
        <v>66</v>
      </c>
      <c r="F821" s="0" t="s">
        <v>1839</v>
      </c>
      <c r="G821" s="0" t="s">
        <v>1844</v>
      </c>
      <c r="H821" s="0" t="s">
        <v>786</v>
      </c>
      <c r="I821" s="0" t="s">
        <v>453</v>
      </c>
    </row>
    <row r="822" customFormat="false" ht="15" hidden="false" customHeight="false" outlineLevel="0" collapsed="false">
      <c r="A822" s="0" t="s">
        <v>846</v>
      </c>
      <c r="B822" s="0" t="s">
        <v>1853</v>
      </c>
      <c r="C822" s="0" t="s">
        <v>934</v>
      </c>
      <c r="D822" s="0" t="n">
        <v>3</v>
      </c>
      <c r="E822" s="0" t="s">
        <v>66</v>
      </c>
      <c r="F822" s="0" t="s">
        <v>1839</v>
      </c>
      <c r="G822" s="0" t="s">
        <v>1854</v>
      </c>
      <c r="H822" s="0" t="s">
        <v>786</v>
      </c>
      <c r="I822" s="0" t="s">
        <v>453</v>
      </c>
    </row>
    <row r="823" customFormat="false" ht="15" hidden="false" customHeight="false" outlineLevel="0" collapsed="false">
      <c r="A823" s="0" t="s">
        <v>849</v>
      </c>
      <c r="B823" s="0" t="s">
        <v>1855</v>
      </c>
      <c r="C823" s="0" t="s">
        <v>934</v>
      </c>
      <c r="D823" s="0" t="n">
        <v>3.667</v>
      </c>
      <c r="E823" s="0" t="s">
        <v>66</v>
      </c>
      <c r="F823" s="0" t="s">
        <v>1839</v>
      </c>
      <c r="G823" s="0" t="s">
        <v>1856</v>
      </c>
      <c r="H823" s="0" t="s">
        <v>786</v>
      </c>
      <c r="I823" s="0" t="s">
        <v>453</v>
      </c>
    </row>
    <row r="824" customFormat="false" ht="15" hidden="false" customHeight="false" outlineLevel="0" collapsed="false">
      <c r="A824" s="0" t="s">
        <v>853</v>
      </c>
      <c r="B824" s="0" t="s">
        <v>1853</v>
      </c>
      <c r="C824" s="0" t="s">
        <v>934</v>
      </c>
      <c r="D824" s="0" t="n">
        <v>3</v>
      </c>
      <c r="E824" s="0" t="s">
        <v>66</v>
      </c>
      <c r="F824" s="0" t="s">
        <v>1839</v>
      </c>
      <c r="G824" s="0" t="s">
        <v>1854</v>
      </c>
      <c r="H824" s="0" t="s">
        <v>786</v>
      </c>
      <c r="I824" s="0" t="s">
        <v>453</v>
      </c>
    </row>
    <row r="825" customFormat="false" ht="15" hidden="false" customHeight="false" outlineLevel="0" collapsed="false">
      <c r="A825" s="0" t="s">
        <v>856</v>
      </c>
      <c r="B825" s="0" t="s">
        <v>1857</v>
      </c>
      <c r="C825" s="0" t="s">
        <v>934</v>
      </c>
      <c r="D825" s="0" t="n">
        <v>2.667</v>
      </c>
      <c r="E825" s="0" t="s">
        <v>66</v>
      </c>
      <c r="F825" s="0" t="s">
        <v>1839</v>
      </c>
      <c r="G825" s="0" t="s">
        <v>1844</v>
      </c>
      <c r="H825" s="0" t="s">
        <v>786</v>
      </c>
      <c r="I825" s="0" t="s">
        <v>453</v>
      </c>
    </row>
    <row r="826" customFormat="false" ht="15" hidden="false" customHeight="false" outlineLevel="0" collapsed="false">
      <c r="A826" s="0" t="s">
        <v>860</v>
      </c>
      <c r="B826" s="0" t="s">
        <v>1858</v>
      </c>
      <c r="C826" s="0" t="s">
        <v>934</v>
      </c>
      <c r="D826" s="0" t="n">
        <v>4.667</v>
      </c>
      <c r="E826" s="0" t="s">
        <v>66</v>
      </c>
      <c r="F826" s="0" t="s">
        <v>1859</v>
      </c>
      <c r="G826" s="0" t="s">
        <v>1860</v>
      </c>
      <c r="H826" s="0" t="s">
        <v>864</v>
      </c>
      <c r="I826" s="0" t="s">
        <v>453</v>
      </c>
    </row>
    <row r="827" customFormat="false" ht="15" hidden="false" customHeight="false" outlineLevel="0" collapsed="false">
      <c r="A827" s="0" t="s">
        <v>867</v>
      </c>
      <c r="B827" s="0" t="s">
        <v>1858</v>
      </c>
      <c r="C827" s="0" t="s">
        <v>934</v>
      </c>
      <c r="D827" s="0" t="n">
        <v>4.667</v>
      </c>
      <c r="E827" s="0" t="s">
        <v>66</v>
      </c>
      <c r="F827" s="0" t="s">
        <v>1859</v>
      </c>
      <c r="G827" s="0" t="s">
        <v>1860</v>
      </c>
      <c r="H827" s="0" t="s">
        <v>864</v>
      </c>
      <c r="I827" s="0" t="s">
        <v>453</v>
      </c>
    </row>
    <row r="828" customFormat="false" ht="15" hidden="false" customHeight="false" outlineLevel="0" collapsed="false">
      <c r="A828" s="0" t="s">
        <v>870</v>
      </c>
      <c r="B828" s="0" t="s">
        <v>1861</v>
      </c>
      <c r="C828" s="0" t="s">
        <v>934</v>
      </c>
      <c r="D828" s="0" t="n">
        <v>3.333</v>
      </c>
      <c r="E828" s="0" t="s">
        <v>66</v>
      </c>
      <c r="F828" s="0" t="s">
        <v>1859</v>
      </c>
      <c r="G828" s="0" t="s">
        <v>1862</v>
      </c>
      <c r="H828" s="0" t="s">
        <v>864</v>
      </c>
      <c r="I828" s="0" t="s">
        <v>453</v>
      </c>
    </row>
    <row r="829" customFormat="false" ht="15" hidden="false" customHeight="false" outlineLevel="0" collapsed="false">
      <c r="A829" s="0" t="s">
        <v>874</v>
      </c>
      <c r="B829" s="0" t="s">
        <v>1863</v>
      </c>
      <c r="C829" s="0" t="s">
        <v>934</v>
      </c>
      <c r="D829" s="0" t="n">
        <v>4</v>
      </c>
      <c r="E829" s="0" t="s">
        <v>66</v>
      </c>
      <c r="F829" s="0" t="s">
        <v>1859</v>
      </c>
      <c r="G829" s="0" t="s">
        <v>1864</v>
      </c>
      <c r="H829" s="0" t="s">
        <v>864</v>
      </c>
      <c r="I829" s="0" t="s">
        <v>453</v>
      </c>
    </row>
    <row r="830" customFormat="false" ht="15" hidden="false" customHeight="false" outlineLevel="0" collapsed="false">
      <c r="A830" s="0" t="s">
        <v>878</v>
      </c>
      <c r="B830" s="0" t="s">
        <v>1865</v>
      </c>
      <c r="C830" s="0" t="s">
        <v>934</v>
      </c>
      <c r="D830" s="0" t="n">
        <v>111.84</v>
      </c>
      <c r="E830" s="0" t="s">
        <v>66</v>
      </c>
      <c r="F830" s="0" t="s">
        <v>1866</v>
      </c>
      <c r="G830" s="0" t="s">
        <v>1867</v>
      </c>
      <c r="H830" s="0" t="s">
        <v>882</v>
      </c>
      <c r="I830" s="0" t="s">
        <v>453</v>
      </c>
    </row>
    <row r="831" customFormat="false" ht="15" hidden="false" customHeight="false" outlineLevel="0" collapsed="false">
      <c r="A831" s="0" t="s">
        <v>884</v>
      </c>
      <c r="B831" s="0" t="s">
        <v>1868</v>
      </c>
      <c r="C831" s="0" t="s">
        <v>934</v>
      </c>
      <c r="D831" s="0" t="n">
        <v>32</v>
      </c>
      <c r="E831" s="0" t="s">
        <v>66</v>
      </c>
      <c r="F831" s="0" t="s">
        <v>1869</v>
      </c>
      <c r="G831" s="0" t="s">
        <v>1870</v>
      </c>
      <c r="H831" s="0" t="s">
        <v>887</v>
      </c>
      <c r="I831" s="0" t="s">
        <v>453</v>
      </c>
    </row>
    <row r="832" customFormat="false" ht="15" hidden="false" customHeight="false" outlineLevel="0" collapsed="false">
      <c r="A832" s="0" t="s">
        <v>889</v>
      </c>
      <c r="B832" s="0" t="s">
        <v>1871</v>
      </c>
      <c r="C832" s="0" t="s">
        <v>1254</v>
      </c>
      <c r="D832" s="0" t="n">
        <v>1</v>
      </c>
      <c r="E832" s="0" t="s">
        <v>1712</v>
      </c>
      <c r="F832" s="0" t="s">
        <v>1872</v>
      </c>
      <c r="G832" s="0" t="s">
        <v>1873</v>
      </c>
      <c r="H832" s="0" t="s">
        <v>892</v>
      </c>
      <c r="I832" s="0" t="s">
        <v>453</v>
      </c>
    </row>
    <row r="833" customFormat="false" ht="15" hidden="false" customHeight="false" outlineLevel="0" collapsed="false">
      <c r="A833" s="0" t="s">
        <v>889</v>
      </c>
      <c r="B833" s="0" t="s">
        <v>1874</v>
      </c>
      <c r="C833" s="0" t="s">
        <v>934</v>
      </c>
      <c r="D833" s="0" t="n">
        <v>8</v>
      </c>
      <c r="E833" s="0" t="s">
        <v>66</v>
      </c>
      <c r="F833" s="0" t="s">
        <v>892</v>
      </c>
      <c r="G833" s="0" t="s">
        <v>1875</v>
      </c>
      <c r="H833" s="0" t="s">
        <v>892</v>
      </c>
      <c r="I833" s="0" t="s">
        <v>453</v>
      </c>
    </row>
    <row r="834" customFormat="false" ht="15" hidden="false" customHeight="false" outlineLevel="0" collapsed="false">
      <c r="A834" s="0" t="s">
        <v>901</v>
      </c>
      <c r="B834" s="0" t="s">
        <v>1876</v>
      </c>
      <c r="C834" s="0" t="s">
        <v>934</v>
      </c>
      <c r="D834" s="0" t="n">
        <v>96</v>
      </c>
      <c r="E834" s="0" t="s">
        <v>66</v>
      </c>
      <c r="F834" s="0" t="s">
        <v>1877</v>
      </c>
      <c r="G834" s="0" t="s">
        <v>1878</v>
      </c>
      <c r="H834" s="0" t="s">
        <v>905</v>
      </c>
      <c r="I834" s="0" t="s">
        <v>906</v>
      </c>
    </row>
    <row r="835" customFormat="false" ht="15" hidden="false" customHeight="false" outlineLevel="0" collapsed="false">
      <c r="A835" s="0" t="s">
        <v>901</v>
      </c>
      <c r="B835" s="0" t="s">
        <v>1879</v>
      </c>
      <c r="C835" s="0" t="s">
        <v>934</v>
      </c>
      <c r="D835" s="2" t="s">
        <v>935</v>
      </c>
      <c r="E835" s="3" t="s">
        <v>690</v>
      </c>
      <c r="F835" s="3" t="s">
        <v>1880</v>
      </c>
      <c r="G835" s="3" t="s">
        <v>1881</v>
      </c>
      <c r="H835" s="3" t="s">
        <v>905</v>
      </c>
      <c r="I835" s="3" t="s">
        <v>906</v>
      </c>
    </row>
    <row r="836" customFormat="false" ht="15" hidden="false" customHeight="false" outlineLevel="0" collapsed="false">
      <c r="A836" s="0" t="s">
        <v>908</v>
      </c>
      <c r="B836" s="0" t="s">
        <v>1882</v>
      </c>
      <c r="C836" s="0" t="s">
        <v>948</v>
      </c>
      <c r="D836" s="0" t="n">
        <v>633</v>
      </c>
      <c r="E836" s="0" t="s">
        <v>66</v>
      </c>
      <c r="F836" s="0" t="s">
        <v>1883</v>
      </c>
      <c r="G836" s="0" t="s">
        <v>1884</v>
      </c>
      <c r="H836" s="0" t="s">
        <v>912</v>
      </c>
      <c r="I836" s="0" t="s">
        <v>913</v>
      </c>
    </row>
    <row r="837" customFormat="false" ht="15" hidden="false" customHeight="false" outlineLevel="0" collapsed="false">
      <c r="A837" s="0" t="s">
        <v>908</v>
      </c>
      <c r="B837" s="0" t="s">
        <v>1885</v>
      </c>
      <c r="C837" s="0" t="s">
        <v>948</v>
      </c>
      <c r="D837" s="2" t="s">
        <v>935</v>
      </c>
      <c r="E837" s="3" t="s">
        <v>690</v>
      </c>
      <c r="F837" s="3" t="s">
        <v>1886</v>
      </c>
      <c r="G837" s="3" t="s">
        <v>1887</v>
      </c>
      <c r="H837" s="3" t="s">
        <v>912</v>
      </c>
      <c r="I837" s="3" t="s">
        <v>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0" min="10" style="0" width="60"/>
  </cols>
  <sheetData>
    <row r="1" customFormat="false" ht="28.35" hidden="false" customHeight="false" outlineLevel="0" collapsed="false">
      <c r="A1" s="1" t="s">
        <v>928</v>
      </c>
      <c r="B1" s="1" t="s">
        <v>929</v>
      </c>
      <c r="C1" s="1" t="s">
        <v>1888</v>
      </c>
      <c r="D1" s="1" t="s">
        <v>1889</v>
      </c>
      <c r="E1" s="1" t="s">
        <v>1890</v>
      </c>
      <c r="F1" s="1" t="s">
        <v>1891</v>
      </c>
      <c r="G1" s="1" t="s">
        <v>1892</v>
      </c>
      <c r="H1" s="1" t="s">
        <v>1893</v>
      </c>
      <c r="I1" s="1" t="s">
        <v>1894</v>
      </c>
      <c r="J1" s="1" t="s">
        <v>1895</v>
      </c>
    </row>
    <row r="2" customFormat="false" ht="15" hidden="false" customHeight="false" outlineLevel="0" collapsed="false">
      <c r="A2" s="0" t="s">
        <v>1235</v>
      </c>
      <c r="B2" s="0" t="s">
        <v>934</v>
      </c>
      <c r="C2" s="0" t="n">
        <f aca="false">SUMIFS(Breakdown!$D$2:$D$837,Breakdown!$B$2:$B$837,A2,Breakdown!$C$2:$C$837,B2)</f>
        <v>4403.5</v>
      </c>
      <c r="D2" s="0" t="s">
        <v>1896</v>
      </c>
      <c r="E2" s="0" t="n">
        <f aca="false">Inputs!$B$2</f>
        <v>0.15</v>
      </c>
      <c r="F2" s="0" t="n">
        <f aca="false">ROUND(C2*E2,2)</f>
        <v>660.53</v>
      </c>
      <c r="G2" s="0" t="n">
        <f aca="false">C2+F2</f>
        <v>5064.03</v>
      </c>
      <c r="H2" s="0" t="n">
        <f aca="false">Inputs!$B$4</f>
        <v>20</v>
      </c>
      <c r="I2" s="0" t="n">
        <f aca="false">ROUNDUP(G2/H2,0)</f>
        <v>254</v>
      </c>
      <c r="J2" s="0" t="s">
        <v>1897</v>
      </c>
    </row>
    <row r="3" customFormat="false" ht="15" hidden="false" customHeight="false" outlineLevel="0" collapsed="false">
      <c r="A3" s="0" t="s">
        <v>1718</v>
      </c>
      <c r="B3" s="0" t="s">
        <v>934</v>
      </c>
      <c r="C3" s="0" t="n">
        <f aca="false">SUMIFS(Breakdown!$D$2:$D$837,Breakdown!$B$2:$B$837,A3,Breakdown!$C$2:$C$837,B3)</f>
        <v>27.08</v>
      </c>
      <c r="D3" s="0" t="s">
        <v>1896</v>
      </c>
      <c r="E3" s="0" t="n">
        <f aca="false">Inputs!$B$2</f>
        <v>0.15</v>
      </c>
      <c r="F3" s="0" t="n">
        <f aca="false">ROUND(C3*E3,2)</f>
        <v>4.06</v>
      </c>
      <c r="G3" s="0" t="n">
        <f aca="false">C3+F3</f>
        <v>31.14</v>
      </c>
      <c r="H3" s="0" t="n">
        <f aca="false">Inputs!$B$4</f>
        <v>20</v>
      </c>
      <c r="I3" s="0" t="n">
        <f aca="false">ROUNDUP(G3/H3,0)</f>
        <v>2</v>
      </c>
      <c r="J3" s="0" t="s">
        <v>440</v>
      </c>
    </row>
    <row r="4" customFormat="false" ht="15" hidden="false" customHeight="false" outlineLevel="0" collapsed="false">
      <c r="A4" s="0" t="s">
        <v>1715</v>
      </c>
      <c r="B4" s="0" t="s">
        <v>934</v>
      </c>
      <c r="C4" s="0" t="n">
        <f aca="false">SUMIFS(Breakdown!$D$2:$D$837,Breakdown!$B$2:$B$837,A4,Breakdown!$C$2:$C$837,B4)</f>
        <v>123.69</v>
      </c>
      <c r="D4" s="0" t="s">
        <v>1896</v>
      </c>
      <c r="E4" s="0" t="n">
        <f aca="false">Inputs!$B$2</f>
        <v>0.15</v>
      </c>
      <c r="F4" s="0" t="n">
        <f aca="false">ROUND(C4*E4,2)</f>
        <v>18.55</v>
      </c>
      <c r="G4" s="0" t="n">
        <f aca="false">C4+F4</f>
        <v>142.24</v>
      </c>
      <c r="H4" s="0" t="n">
        <f aca="false">Inputs!$B$4</f>
        <v>20</v>
      </c>
      <c r="I4" s="0" t="n">
        <f aca="false">ROUNDUP(G4/H4,0)</f>
        <v>8</v>
      </c>
      <c r="J4" s="0" t="s">
        <v>440</v>
      </c>
    </row>
    <row r="5" customFormat="false" ht="15" hidden="false" customHeight="false" outlineLevel="0" collapsed="false">
      <c r="A5" s="0" t="s">
        <v>1319</v>
      </c>
      <c r="B5" s="0" t="s">
        <v>934</v>
      </c>
      <c r="C5" s="0" t="n">
        <f aca="false">SUMIFS(Breakdown!$D$2:$D$837,Breakdown!$B$2:$B$837,A5,Breakdown!$C$2:$C$837,B5)</f>
        <v>552.49</v>
      </c>
      <c r="D5" s="0" t="s">
        <v>1896</v>
      </c>
      <c r="E5" s="0" t="n">
        <f aca="false">Inputs!$B$2</f>
        <v>0.15</v>
      </c>
      <c r="F5" s="0" t="n">
        <f aca="false">ROUND(C5*E5,2)</f>
        <v>82.87</v>
      </c>
      <c r="G5" s="0" t="n">
        <f aca="false">C5+F5</f>
        <v>635.36</v>
      </c>
      <c r="H5" s="0" t="n">
        <f aca="false">Inputs!$B$4</f>
        <v>20</v>
      </c>
      <c r="I5" s="0" t="n">
        <f aca="false">ROUNDUP(G5/H5,0)</f>
        <v>32</v>
      </c>
      <c r="J5" s="0" t="s">
        <v>1898</v>
      </c>
    </row>
    <row r="6" customFormat="false" ht="15" hidden="false" customHeight="false" outlineLevel="0" collapsed="false">
      <c r="A6" s="0" t="s">
        <v>933</v>
      </c>
      <c r="B6" s="0" t="s">
        <v>934</v>
      </c>
      <c r="C6" s="0" t="n">
        <f aca="false">SUMIFS(Breakdown!$D$2:$D$837,Breakdown!$B$2:$B$837,A6,Breakdown!$C$2:$C$837,B6)</f>
        <v>1383.9</v>
      </c>
      <c r="D6" s="0" t="s">
        <v>1896</v>
      </c>
      <c r="E6" s="0" t="n">
        <f aca="false">Inputs!$B$2</f>
        <v>0.15</v>
      </c>
      <c r="F6" s="0" t="n">
        <f aca="false">ROUND(C6*E6,2)</f>
        <v>207.59</v>
      </c>
      <c r="G6" s="0" t="n">
        <f aca="false">C6+F6</f>
        <v>1591.49</v>
      </c>
      <c r="H6" s="0" t="n">
        <f aca="false">Inputs!$B$4</f>
        <v>20</v>
      </c>
      <c r="I6" s="0" t="n">
        <f aca="false">ROUNDUP(G6/H6,0)</f>
        <v>80</v>
      </c>
      <c r="J6" s="0" t="s">
        <v>1899</v>
      </c>
    </row>
    <row r="7" customFormat="false" ht="15" hidden="false" customHeight="false" outlineLevel="0" collapsed="false">
      <c r="A7" s="0" t="s">
        <v>1601</v>
      </c>
      <c r="B7" s="0" t="s">
        <v>934</v>
      </c>
      <c r="C7" s="0" t="n">
        <f aca="false">SUMIFS(Breakdown!$D$2:$D$837,Breakdown!$B$2:$B$837,A7,Breakdown!$C$2:$C$837,B7)</f>
        <v>339.3</v>
      </c>
      <c r="D7" s="0" t="s">
        <v>1896</v>
      </c>
      <c r="E7" s="0" t="n">
        <f aca="false">Inputs!$B$2</f>
        <v>0.15</v>
      </c>
      <c r="F7" s="0" t="n">
        <f aca="false">ROUND(C7*E7,2)</f>
        <v>50.9</v>
      </c>
      <c r="G7" s="0" t="n">
        <f aca="false">C7+F7</f>
        <v>390.2</v>
      </c>
      <c r="H7" s="0" t="n">
        <f aca="false">Inputs!$B$4</f>
        <v>20</v>
      </c>
      <c r="I7" s="0" t="n">
        <f aca="false">ROUNDUP(G7/H7,0)</f>
        <v>20</v>
      </c>
      <c r="J7" s="0" t="s">
        <v>1900</v>
      </c>
    </row>
    <row r="8" customFormat="false" ht="15" hidden="false" customHeight="false" outlineLevel="0" collapsed="false">
      <c r="A8" s="0" t="s">
        <v>1631</v>
      </c>
      <c r="B8" s="0" t="s">
        <v>934</v>
      </c>
      <c r="C8" s="0" t="n">
        <f aca="false">SUMIFS(Breakdown!$D$2:$D$837,Breakdown!$B$2:$B$837,A8,Breakdown!$C$2:$C$837,B8)</f>
        <v>339.3</v>
      </c>
      <c r="D8" s="0" t="s">
        <v>1896</v>
      </c>
      <c r="E8" s="0" t="n">
        <f aca="false">Inputs!$B$2</f>
        <v>0.15</v>
      </c>
      <c r="F8" s="0" t="n">
        <f aca="false">ROUND(C8*E8,2)</f>
        <v>50.9</v>
      </c>
      <c r="G8" s="0" t="n">
        <f aca="false">C8+F8</f>
        <v>390.2</v>
      </c>
      <c r="H8" s="0" t="n">
        <f aca="false">Inputs!$B$4</f>
        <v>20</v>
      </c>
      <c r="I8" s="0" t="n">
        <f aca="false">ROUNDUP(G8/H8,0)</f>
        <v>20</v>
      </c>
      <c r="J8" s="0" t="s">
        <v>404</v>
      </c>
    </row>
    <row r="9" customFormat="false" ht="15" hidden="false" customHeight="false" outlineLevel="0" collapsed="false">
      <c r="A9" s="0" t="s">
        <v>1640</v>
      </c>
      <c r="B9" s="0" t="s">
        <v>934</v>
      </c>
      <c r="C9" s="0" t="n">
        <f aca="false">SUMIFS(Breakdown!$D$2:$D$837,Breakdown!$B$2:$B$837,A9,Breakdown!$C$2:$C$837,B9)</f>
        <v>184.5</v>
      </c>
      <c r="D9" s="0" t="s">
        <v>1896</v>
      </c>
      <c r="E9" s="0" t="n">
        <f aca="false">Inputs!$B$2</f>
        <v>0.15</v>
      </c>
      <c r="F9" s="0" t="n">
        <f aca="false">ROUND(C9*E9,2)</f>
        <v>27.68</v>
      </c>
      <c r="G9" s="0" t="n">
        <f aca="false">C9+F9</f>
        <v>212.18</v>
      </c>
      <c r="H9" s="0" t="n">
        <f aca="false">Inputs!$B$4</f>
        <v>20</v>
      </c>
      <c r="I9" s="0" t="n">
        <f aca="false">ROUNDUP(G9/H9,0)</f>
        <v>11</v>
      </c>
      <c r="J9" s="0" t="s">
        <v>411</v>
      </c>
    </row>
    <row r="10" customFormat="false" ht="15" hidden="false" customHeight="false" outlineLevel="0" collapsed="false">
      <c r="A10" s="0" t="s">
        <v>1610</v>
      </c>
      <c r="B10" s="0" t="s">
        <v>934</v>
      </c>
      <c r="C10" s="0" t="n">
        <f aca="false">SUMIFS(Breakdown!$D$2:$D$837,Breakdown!$B$2:$B$837,A10,Breakdown!$C$2:$C$837,B10)</f>
        <v>1094.3</v>
      </c>
      <c r="D10" s="0" t="s">
        <v>1896</v>
      </c>
      <c r="E10" s="0" t="n">
        <f aca="false">Inputs!$B$2</f>
        <v>0.15</v>
      </c>
      <c r="F10" s="0" t="n">
        <f aca="false">ROUND(C10*E10,2)</f>
        <v>164.15</v>
      </c>
      <c r="G10" s="0" t="n">
        <f aca="false">C10+F10</f>
        <v>1258.45</v>
      </c>
      <c r="H10" s="0" t="n">
        <f aca="false">Inputs!$B$4</f>
        <v>20</v>
      </c>
      <c r="I10" s="0" t="n">
        <f aca="false">ROUNDUP(G10/H10,0)</f>
        <v>63</v>
      </c>
      <c r="J10" s="0" t="s">
        <v>1900</v>
      </c>
    </row>
    <row r="11" customFormat="false" ht="15" hidden="false" customHeight="false" outlineLevel="0" collapsed="false">
      <c r="A11" s="0" t="s">
        <v>1060</v>
      </c>
      <c r="B11" s="0" t="s">
        <v>934</v>
      </c>
      <c r="C11" s="0" t="n">
        <f aca="false">SUMIFS(Breakdown!$D$2:$D$837,Breakdown!$B$2:$B$837,A11,Breakdown!$C$2:$C$837,B11)</f>
        <v>64.65</v>
      </c>
      <c r="D11" s="0" t="s">
        <v>1896</v>
      </c>
      <c r="E11" s="0" t="n">
        <f aca="false">Inputs!$B$2</f>
        <v>0.15</v>
      </c>
      <c r="F11" s="0" t="n">
        <f aca="false">ROUND(C11*E11,2)</f>
        <v>9.7</v>
      </c>
      <c r="G11" s="0" t="n">
        <f aca="false">C11+F11</f>
        <v>74.35</v>
      </c>
      <c r="H11" s="0" t="n">
        <f aca="false">Inputs!$B$4</f>
        <v>20</v>
      </c>
      <c r="I11" s="0" t="n">
        <f aca="false">ROUNDUP(G11/H11,0)</f>
        <v>4</v>
      </c>
      <c r="J11" s="0" t="s">
        <v>96</v>
      </c>
    </row>
    <row r="12" customFormat="false" ht="15" hidden="false" customHeight="false" outlineLevel="0" collapsed="false">
      <c r="A12" s="0" t="s">
        <v>1688</v>
      </c>
      <c r="B12" s="0" t="s">
        <v>934</v>
      </c>
      <c r="C12" s="0" t="n">
        <f aca="false">SUMIFS(Breakdown!$D$2:$D$837,Breakdown!$B$2:$B$837,A12,Breakdown!$C$2:$C$837,B12)</f>
        <v>114.48</v>
      </c>
      <c r="D12" s="0" t="s">
        <v>1896</v>
      </c>
      <c r="E12" s="0" t="n">
        <f aca="false">Inputs!$B$2</f>
        <v>0.15</v>
      </c>
      <c r="F12" s="0" t="n">
        <f aca="false">ROUND(C12*E12,2)</f>
        <v>17.17</v>
      </c>
      <c r="G12" s="0" t="n">
        <f aca="false">C12+F12</f>
        <v>131.65</v>
      </c>
      <c r="H12" s="0" t="n">
        <f aca="false">Inputs!$B$4</f>
        <v>20</v>
      </c>
      <c r="I12" s="0" t="n">
        <f aca="false">ROUNDUP(G12/H12,0)</f>
        <v>7</v>
      </c>
      <c r="J12" s="0" t="s">
        <v>429</v>
      </c>
    </row>
    <row r="13" customFormat="false" ht="15" hidden="false" customHeight="false" outlineLevel="0" collapsed="false">
      <c r="A13" s="0" t="s">
        <v>1206</v>
      </c>
      <c r="B13" s="0" t="s">
        <v>934</v>
      </c>
      <c r="C13" s="0" t="n">
        <f aca="false">SUMIFS(Breakdown!$D$2:$D$837,Breakdown!$B$2:$B$837,A13,Breakdown!$C$2:$C$837,B13)</f>
        <v>30.75</v>
      </c>
      <c r="D13" s="0" t="s">
        <v>1896</v>
      </c>
      <c r="E13" s="0" t="n">
        <f aca="false">Inputs!$B$2</f>
        <v>0.15</v>
      </c>
      <c r="F13" s="0" t="n">
        <f aca="false">ROUND(C13*E13,2)</f>
        <v>4.61</v>
      </c>
      <c r="G13" s="0" t="n">
        <f aca="false">C13+F13</f>
        <v>35.36</v>
      </c>
      <c r="H13" s="0" t="n">
        <f aca="false">Inputs!$B$4</f>
        <v>20</v>
      </c>
      <c r="I13" s="0" t="n">
        <f aca="false">ROUNDUP(G13/H13,0)</f>
        <v>2</v>
      </c>
      <c r="J13" s="0" t="s">
        <v>169</v>
      </c>
    </row>
    <row r="14" customFormat="false" ht="15" hidden="false" customHeight="false" outlineLevel="0" collapsed="false">
      <c r="A14" s="0" t="s">
        <v>1145</v>
      </c>
      <c r="B14" s="0" t="s">
        <v>934</v>
      </c>
      <c r="C14" s="0" t="n">
        <f aca="false">SUMIFS(Breakdown!$D$2:$D$837,Breakdown!$B$2:$B$837,A14,Breakdown!$C$2:$C$837,B14)</f>
        <v>607.41</v>
      </c>
      <c r="D14" s="0" t="s">
        <v>1896</v>
      </c>
      <c r="E14" s="0" t="n">
        <f aca="false">Inputs!$B$2</f>
        <v>0.15</v>
      </c>
      <c r="F14" s="0" t="n">
        <f aca="false">ROUND(C14*E14,2)</f>
        <v>91.11</v>
      </c>
      <c r="G14" s="0" t="n">
        <f aca="false">C14+F14</f>
        <v>698.52</v>
      </c>
      <c r="H14" s="0" t="n">
        <f aca="false">Inputs!$B$4</f>
        <v>20</v>
      </c>
      <c r="I14" s="0" t="n">
        <f aca="false">ROUNDUP(G14/H14,0)</f>
        <v>35</v>
      </c>
      <c r="J14" s="0" t="s">
        <v>1901</v>
      </c>
    </row>
    <row r="15" customFormat="false" ht="15" hidden="false" customHeight="false" outlineLevel="0" collapsed="false">
      <c r="A15" s="0" t="s">
        <v>975</v>
      </c>
      <c r="B15" s="0" t="s">
        <v>934</v>
      </c>
      <c r="C15" s="0" t="n">
        <f aca="false">SUMIFS(Breakdown!$D$2:$D$837,Breakdown!$B$2:$B$837,A15,Breakdown!$C$2:$C$837,B15)</f>
        <v>88.47</v>
      </c>
      <c r="D15" s="0" t="s">
        <v>1896</v>
      </c>
      <c r="E15" s="0" t="n">
        <f aca="false">Inputs!$B$2</f>
        <v>0.15</v>
      </c>
      <c r="F15" s="0" t="n">
        <f aca="false">ROUND(C15*E15,2)</f>
        <v>13.27</v>
      </c>
      <c r="G15" s="0" t="n">
        <f aca="false">C15+F15</f>
        <v>101.74</v>
      </c>
      <c r="H15" s="0" t="n">
        <f aca="false">Inputs!$B$4</f>
        <v>20</v>
      </c>
      <c r="I15" s="0" t="n">
        <f aca="false">ROUNDUP(G15/H15,0)</f>
        <v>6</v>
      </c>
      <c r="J15" s="0" t="s">
        <v>84</v>
      </c>
    </row>
    <row r="16" customFormat="false" ht="15" hidden="false" customHeight="false" outlineLevel="0" collapsed="false">
      <c r="A16" s="0" t="s">
        <v>1434</v>
      </c>
      <c r="B16" s="0" t="s">
        <v>934</v>
      </c>
      <c r="C16" s="0" t="n">
        <f aca="false">SUMIFS(Breakdown!$D$2:$D$837,Breakdown!$B$2:$B$837,A16,Breakdown!$C$2:$C$837,B16)</f>
        <v>3844.5</v>
      </c>
      <c r="D16" s="0" t="s">
        <v>1896</v>
      </c>
      <c r="E16" s="0" t="n">
        <f aca="false">Inputs!$B$2</f>
        <v>0.15</v>
      </c>
      <c r="F16" s="0" t="n">
        <f aca="false">ROUND(C16*E16,2)</f>
        <v>576.68</v>
      </c>
      <c r="G16" s="0" t="n">
        <f aca="false">C16+F16</f>
        <v>4421.18</v>
      </c>
      <c r="H16" s="0" t="n">
        <f aca="false">Inputs!$B$4</f>
        <v>20</v>
      </c>
      <c r="I16" s="0" t="n">
        <f aca="false">ROUNDUP(G16/H16,0)</f>
        <v>222</v>
      </c>
      <c r="J16" s="0" t="s">
        <v>1902</v>
      </c>
    </row>
    <row r="17" customFormat="false" ht="15" hidden="false" customHeight="false" outlineLevel="0" collapsed="false">
      <c r="A17" s="0" t="s">
        <v>1437</v>
      </c>
      <c r="B17" s="0" t="s">
        <v>934</v>
      </c>
      <c r="C17" s="0" t="n">
        <f aca="false">SUMIFS(Breakdown!$D$2:$D$837,Breakdown!$B$2:$B$837,A17,Breakdown!$C$2:$C$837,B17)</f>
        <v>1110.7</v>
      </c>
      <c r="D17" s="0" t="s">
        <v>1896</v>
      </c>
      <c r="E17" s="0" t="n">
        <f aca="false">Inputs!$B$2</f>
        <v>0.15</v>
      </c>
      <c r="F17" s="0" t="n">
        <f aca="false">ROUND(C17*E17,2)</f>
        <v>166.61</v>
      </c>
      <c r="G17" s="0" t="n">
        <f aca="false">C17+F17</f>
        <v>1277.31</v>
      </c>
      <c r="H17" s="0" t="n">
        <f aca="false">Inputs!$B$4</f>
        <v>20</v>
      </c>
      <c r="I17" s="0" t="n">
        <f aca="false">ROUNDUP(G17/H17,0)</f>
        <v>64</v>
      </c>
      <c r="J17" s="0" t="s">
        <v>1902</v>
      </c>
    </row>
    <row r="18" customFormat="false" ht="15" hidden="false" customHeight="false" outlineLevel="0" collapsed="false">
      <c r="A18" s="0" t="s">
        <v>953</v>
      </c>
      <c r="B18" s="0" t="s">
        <v>948</v>
      </c>
      <c r="C18" s="0" t="n">
        <f aca="false">SUMIFS(Breakdown!$D$2:$D$837,Breakdown!$B$2:$B$837,A18,Breakdown!$C$2:$C$837,B18)</f>
        <v>1605.77</v>
      </c>
      <c r="D18" s="0" t="s">
        <v>1896</v>
      </c>
      <c r="E18" s="0" t="n">
        <f aca="false">Inputs!$B$2</f>
        <v>0.15</v>
      </c>
      <c r="F18" s="0" t="n">
        <f aca="false">ROUND(C18*E18,2)</f>
        <v>240.87</v>
      </c>
      <c r="G18" s="0" t="n">
        <f aca="false">C18+F18</f>
        <v>1846.64</v>
      </c>
      <c r="H18" s="0" t="n">
        <f aca="false">Inputs!$B$4</f>
        <v>20</v>
      </c>
      <c r="I18" s="0" t="n">
        <f aca="false">ROUNDUP(G18/H18,0)</f>
        <v>93</v>
      </c>
      <c r="J18" s="0" t="s">
        <v>1903</v>
      </c>
    </row>
    <row r="19" customFormat="false" ht="15" hidden="false" customHeight="false" outlineLevel="0" collapsed="false">
      <c r="A19" s="0" t="s">
        <v>990</v>
      </c>
      <c r="B19" s="0" t="s">
        <v>948</v>
      </c>
      <c r="C19" s="0" t="n">
        <f aca="false">SUMIFS(Breakdown!$D$2:$D$837,Breakdown!$B$2:$B$837,A19,Breakdown!$C$2:$C$837,B19)</f>
        <v>338.54</v>
      </c>
      <c r="D19" s="0" t="s">
        <v>1896</v>
      </c>
      <c r="E19" s="0" t="n">
        <f aca="false">Inputs!$B$2</f>
        <v>0.15</v>
      </c>
      <c r="F19" s="0" t="n">
        <f aca="false">ROUND(C19*E19,2)</f>
        <v>50.78</v>
      </c>
      <c r="G19" s="0" t="n">
        <f aca="false">C19+F19</f>
        <v>389.32</v>
      </c>
      <c r="H19" s="0" t="n">
        <f aca="false">Inputs!$B$4</f>
        <v>20</v>
      </c>
      <c r="I19" s="0" t="n">
        <f aca="false">ROUNDUP(G19/H19,0)</f>
        <v>20</v>
      </c>
      <c r="J19" s="0" t="s">
        <v>1904</v>
      </c>
    </row>
    <row r="20" customFormat="false" ht="15" hidden="false" customHeight="false" outlineLevel="0" collapsed="false">
      <c r="A20" s="0" t="s">
        <v>1238</v>
      </c>
      <c r="B20" s="0" t="s">
        <v>934</v>
      </c>
      <c r="C20" s="0" t="n">
        <f aca="false">SUMIFS(Breakdown!$D$2:$D$837,Breakdown!$B$2:$B$837,A20,Breakdown!$C$2:$C$837,B20)</f>
        <v>195.92</v>
      </c>
      <c r="D20" s="0" t="s">
        <v>1896</v>
      </c>
      <c r="E20" s="0" t="n">
        <f aca="false">Inputs!$B$2</f>
        <v>0.15</v>
      </c>
      <c r="F20" s="0" t="n">
        <f aca="false">ROUND(C20*E20,2)</f>
        <v>29.39</v>
      </c>
      <c r="G20" s="0" t="n">
        <f aca="false">C20+F20</f>
        <v>225.31</v>
      </c>
      <c r="H20" s="0" t="n">
        <f aca="false">Inputs!$B$5</f>
        <v>10</v>
      </c>
      <c r="I20" s="0" t="n">
        <f aca="false">ROUNDUP(G20/H20,0)</f>
        <v>23</v>
      </c>
      <c r="J20" s="0" t="s">
        <v>1905</v>
      </c>
    </row>
    <row r="21" customFormat="false" ht="15" hidden="false" customHeight="false" outlineLevel="0" collapsed="false">
      <c r="A21" s="0" t="s">
        <v>938</v>
      </c>
      <c r="B21" s="0" t="s">
        <v>934</v>
      </c>
      <c r="C21" s="0" t="n">
        <f aca="false">SUMIFS(Breakdown!$D$2:$D$837,Breakdown!$B$2:$B$837,A21,Breakdown!$C$2:$C$837,B21)</f>
        <v>178.6</v>
      </c>
      <c r="D21" s="0" t="s">
        <v>1896</v>
      </c>
      <c r="E21" s="0" t="n">
        <f aca="false">Inputs!$B$2</f>
        <v>0.15</v>
      </c>
      <c r="F21" s="0" t="n">
        <f aca="false">ROUND(C21*E21,2)</f>
        <v>26.79</v>
      </c>
      <c r="G21" s="0" t="n">
        <f aca="false">C21+F21</f>
        <v>205.39</v>
      </c>
      <c r="H21" s="0" t="n">
        <f aca="false">Inputs!$B$5</f>
        <v>10</v>
      </c>
      <c r="I21" s="0" t="n">
        <f aca="false">ROUNDUP(G21/H21,0)</f>
        <v>21</v>
      </c>
      <c r="J21" s="0" t="s">
        <v>1906</v>
      </c>
    </row>
    <row r="22" customFormat="false" ht="15" hidden="false" customHeight="false" outlineLevel="0" collapsed="false">
      <c r="A22" s="0" t="s">
        <v>1063</v>
      </c>
      <c r="B22" s="0" t="s">
        <v>934</v>
      </c>
      <c r="C22" s="0" t="n">
        <f aca="false">SUMIFS(Breakdown!$D$2:$D$837,Breakdown!$B$2:$B$837,A22,Breakdown!$C$2:$C$837,B22)</f>
        <v>9.06</v>
      </c>
      <c r="D22" s="0" t="s">
        <v>1896</v>
      </c>
      <c r="E22" s="0" t="n">
        <f aca="false">Inputs!$B$2</f>
        <v>0.15</v>
      </c>
      <c r="F22" s="0" t="n">
        <f aca="false">ROUND(C22*E22,2)</f>
        <v>1.36</v>
      </c>
      <c r="G22" s="0" t="n">
        <f aca="false">C22+F22</f>
        <v>10.42</v>
      </c>
      <c r="H22" s="0" t="n">
        <f aca="false">Inputs!$B$5</f>
        <v>10</v>
      </c>
      <c r="I22" s="0" t="n">
        <f aca="false">ROUNDUP(G22/H22,0)</f>
        <v>2</v>
      </c>
      <c r="J22" s="0" t="s">
        <v>1907</v>
      </c>
    </row>
    <row r="23" customFormat="false" ht="15" hidden="false" customHeight="false" outlineLevel="0" collapsed="false">
      <c r="A23" s="0" t="s">
        <v>1209</v>
      </c>
      <c r="B23" s="0" t="s">
        <v>934</v>
      </c>
      <c r="C23" s="0" t="n">
        <f aca="false">SUMIFS(Breakdown!$D$2:$D$837,Breakdown!$B$2:$B$837,A23,Breakdown!$C$2:$C$837,B23)</f>
        <v>1.77</v>
      </c>
      <c r="D23" s="0" t="s">
        <v>1896</v>
      </c>
      <c r="E23" s="0" t="n">
        <f aca="false">Inputs!$B$2</f>
        <v>0.15</v>
      </c>
      <c r="F23" s="0" t="n">
        <f aca="false">ROUND(C23*E23,2)</f>
        <v>0.27</v>
      </c>
      <c r="G23" s="0" t="n">
        <f aca="false">C23+F23</f>
        <v>2.04</v>
      </c>
      <c r="H23" s="0" t="n">
        <f aca="false">Inputs!$B$5</f>
        <v>10</v>
      </c>
      <c r="I23" s="0" t="n">
        <f aca="false">ROUNDUP(G23/H23,0)</f>
        <v>1</v>
      </c>
      <c r="J23" s="0" t="s">
        <v>169</v>
      </c>
    </row>
    <row r="24" customFormat="false" ht="15" hidden="false" customHeight="false" outlineLevel="0" collapsed="false">
      <c r="A24" s="0" t="s">
        <v>1440</v>
      </c>
      <c r="B24" s="0" t="s">
        <v>934</v>
      </c>
      <c r="C24" s="0" t="n">
        <f aca="false">SUMIFS(Breakdown!$D$2:$D$837,Breakdown!$B$2:$B$837,A24,Breakdown!$C$2:$C$837,B24)</f>
        <v>215.6</v>
      </c>
      <c r="D24" s="0" t="s">
        <v>1896</v>
      </c>
      <c r="E24" s="0" t="n">
        <f aca="false">Inputs!$B$2</f>
        <v>0.15</v>
      </c>
      <c r="F24" s="0" t="n">
        <f aca="false">ROUND(C24*E24,2)</f>
        <v>32.34</v>
      </c>
      <c r="G24" s="0" t="n">
        <f aca="false">C24+F24</f>
        <v>247.94</v>
      </c>
      <c r="H24" s="0" t="n">
        <f aca="false">Inputs!$B$5</f>
        <v>10</v>
      </c>
      <c r="I24" s="0" t="n">
        <f aca="false">ROUNDUP(G24/H24,0)</f>
        <v>25</v>
      </c>
      <c r="J24" s="0" t="s">
        <v>1902</v>
      </c>
    </row>
    <row r="25" customFormat="false" ht="15" hidden="false" customHeight="false" outlineLevel="0" collapsed="false">
      <c r="A25" s="0" t="s">
        <v>978</v>
      </c>
      <c r="B25" s="0" t="s">
        <v>934</v>
      </c>
      <c r="C25" s="0" t="n">
        <f aca="false">SUMIFS(Breakdown!$D$2:$D$837,Breakdown!$B$2:$B$837,A25,Breakdown!$C$2:$C$837,B25)</f>
        <v>56.28</v>
      </c>
      <c r="D25" s="0" t="s">
        <v>1896</v>
      </c>
      <c r="E25" s="0" t="n">
        <f aca="false">Inputs!$B$2</f>
        <v>0.15</v>
      </c>
      <c r="F25" s="0" t="n">
        <f aca="false">ROUND(C25*E25,2)</f>
        <v>8.44</v>
      </c>
      <c r="G25" s="0" t="n">
        <f aca="false">C25+F25</f>
        <v>64.72</v>
      </c>
      <c r="H25" s="0" t="n">
        <f aca="false">Inputs!$B$5</f>
        <v>10</v>
      </c>
      <c r="I25" s="0" t="n">
        <f aca="false">ROUNDUP(G25/H25,0)</f>
        <v>7</v>
      </c>
      <c r="J25" s="0" t="s">
        <v>1908</v>
      </c>
    </row>
    <row r="26" customFormat="false" ht="15" hidden="false" customHeight="false" outlineLevel="0" collapsed="false">
      <c r="A26" s="0" t="s">
        <v>1446</v>
      </c>
      <c r="B26" s="0" t="s">
        <v>934</v>
      </c>
      <c r="C26" s="0" t="n">
        <f aca="false">SUMIFS(Breakdown!$D$2:$D$837,Breakdown!$B$2:$B$837,A26,Breakdown!$C$2:$C$837,B26)</f>
        <v>264.1</v>
      </c>
      <c r="D26" s="0" t="s">
        <v>1896</v>
      </c>
      <c r="E26" s="0" t="n">
        <f aca="false">Inputs!$B$2</f>
        <v>0.15</v>
      </c>
      <c r="F26" s="0" t="n">
        <f aca="false">ROUND(C26*E26,2)</f>
        <v>39.62</v>
      </c>
      <c r="G26" s="0" t="n">
        <f aca="false">C26+F26</f>
        <v>303.72</v>
      </c>
      <c r="H26" s="0" t="n">
        <f aca="false">Inputs!$B$5</f>
        <v>10</v>
      </c>
      <c r="I26" s="0" t="n">
        <f aca="false">ROUNDUP(G26/H26,0)</f>
        <v>31</v>
      </c>
      <c r="J26" s="0" t="s">
        <v>1902</v>
      </c>
    </row>
    <row r="27" customFormat="false" ht="15" hidden="false" customHeight="false" outlineLevel="0" collapsed="false">
      <c r="A27" s="0" t="s">
        <v>1161</v>
      </c>
      <c r="B27" s="0" t="s">
        <v>934</v>
      </c>
      <c r="C27" s="0" t="n">
        <f aca="false">SUMIFS(Breakdown!$D$2:$D$837,Breakdown!$B$2:$B$837,A27,Breakdown!$C$2:$C$837,B27)</f>
        <v>709.33</v>
      </c>
      <c r="D27" s="0" t="s">
        <v>1896</v>
      </c>
      <c r="E27" s="0" t="n">
        <f aca="false">Inputs!$B$2</f>
        <v>0.15</v>
      </c>
      <c r="F27" s="0" t="n">
        <f aca="false">ROUND(C27*E27,2)</f>
        <v>106.4</v>
      </c>
      <c r="G27" s="0" t="n">
        <f aca="false">C27+F27</f>
        <v>815.73</v>
      </c>
      <c r="H27" s="0" t="n">
        <f aca="false">Inputs!$B$6</f>
        <v>16</v>
      </c>
      <c r="I27" s="0" t="n">
        <f aca="false">ROUNDUP(G27/H27,0)</f>
        <v>51</v>
      </c>
      <c r="J27" s="0" t="s">
        <v>1909</v>
      </c>
    </row>
    <row r="28" customFormat="false" ht="15" hidden="false" customHeight="false" outlineLevel="0" collapsed="false">
      <c r="A28" s="0" t="s">
        <v>1454</v>
      </c>
      <c r="B28" s="0" t="s">
        <v>934</v>
      </c>
      <c r="C28" s="0" t="n">
        <f aca="false">SUMIFS(Breakdown!$D$2:$D$837,Breakdown!$B$2:$B$837,A28,Breakdown!$C$2:$C$837,B28)</f>
        <v>799.3</v>
      </c>
      <c r="D28" s="0" t="s">
        <v>1896</v>
      </c>
      <c r="E28" s="0" t="n">
        <f aca="false">Inputs!$B$2</f>
        <v>0.15</v>
      </c>
      <c r="F28" s="0" t="n">
        <f aca="false">ROUND(C28*E28,2)</f>
        <v>119.9</v>
      </c>
      <c r="G28" s="0" t="n">
        <f aca="false">C28+F28</f>
        <v>919.2</v>
      </c>
      <c r="H28" s="0" t="n">
        <f aca="false">Inputs!$B$6</f>
        <v>16</v>
      </c>
      <c r="I28" s="0" t="n">
        <f aca="false">ROUNDUP(G28/H28,0)</f>
        <v>58</v>
      </c>
      <c r="J28" s="0" t="s">
        <v>1902</v>
      </c>
    </row>
    <row r="29" customFormat="false" ht="15" hidden="false" customHeight="false" outlineLevel="0" collapsed="false">
      <c r="A29" s="0" t="s">
        <v>944</v>
      </c>
      <c r="B29" s="0" t="s">
        <v>934</v>
      </c>
      <c r="C29" s="0" t="n">
        <f aca="false">SUMIFS(Breakdown!$D$2:$D$837,Breakdown!$B$2:$B$837,A29,Breakdown!$C$2:$C$837,B29)</f>
        <v>537.52</v>
      </c>
      <c r="D29" s="0" t="s">
        <v>1896</v>
      </c>
      <c r="E29" s="0" t="n">
        <f aca="false">Inputs!$B$2</f>
        <v>0.15</v>
      </c>
      <c r="F29" s="0" t="n">
        <f aca="false">ROUND(C29*E29,2)</f>
        <v>80.63</v>
      </c>
      <c r="G29" s="0" t="n">
        <f aca="false">C29+F29</f>
        <v>618.15</v>
      </c>
      <c r="H29" s="0" t="n">
        <f aca="false">Inputs!$B$6</f>
        <v>16</v>
      </c>
      <c r="I29" s="0" t="n">
        <f aca="false">ROUNDUP(G29/H29,0)</f>
        <v>39</v>
      </c>
      <c r="J29" s="0" t="s">
        <v>1910</v>
      </c>
    </row>
    <row r="30" customFormat="false" ht="15" hidden="false" customHeight="false" outlineLevel="0" collapsed="false">
      <c r="A30" s="0" t="s">
        <v>1652</v>
      </c>
      <c r="B30" s="0" t="s">
        <v>934</v>
      </c>
      <c r="C30" s="0" t="n">
        <f aca="false">SUMIFS(Breakdown!$D$2:$D$837,Breakdown!$B$2:$B$837,A30,Breakdown!$C$2:$C$837,B30)</f>
        <v>314.58</v>
      </c>
      <c r="D30" s="0" t="s">
        <v>1896</v>
      </c>
      <c r="E30" s="0" t="n">
        <f aca="false">Inputs!$B$2</f>
        <v>0.15</v>
      </c>
      <c r="F30" s="0" t="n">
        <f aca="false">ROUND(C30*E30,2)</f>
        <v>47.19</v>
      </c>
      <c r="G30" s="0" t="n">
        <f aca="false">C30+F30</f>
        <v>361.77</v>
      </c>
      <c r="H30" s="0" t="n">
        <f aca="false">Inputs!$B$6</f>
        <v>16</v>
      </c>
      <c r="I30" s="0" t="n">
        <f aca="false">ROUNDUP(G30/H30,0)</f>
        <v>23</v>
      </c>
      <c r="J30" s="0" t="s">
        <v>1911</v>
      </c>
    </row>
    <row r="31" customFormat="false" ht="15" hidden="false" customHeight="false" outlineLevel="0" collapsed="false">
      <c r="A31" s="0" t="s">
        <v>1232</v>
      </c>
      <c r="B31" s="0" t="s">
        <v>934</v>
      </c>
      <c r="C31" s="0" t="n">
        <f aca="false">SUMIFS(Breakdown!$D$2:$D$837,Breakdown!$B$2:$B$837,A31,Breakdown!$C$2:$C$837,B31)</f>
        <v>271.08</v>
      </c>
      <c r="D31" s="0" t="s">
        <v>1896</v>
      </c>
      <c r="E31" s="0" t="n">
        <f aca="false">Inputs!$B$2</f>
        <v>0.15</v>
      </c>
      <c r="F31" s="0" t="n">
        <f aca="false">ROUND(C31*E31,2)</f>
        <v>40.66</v>
      </c>
      <c r="G31" s="0" t="n">
        <f aca="false">C31+F31</f>
        <v>311.74</v>
      </c>
      <c r="H31" s="0" t="n">
        <f aca="false">Inputs!$B$8</f>
        <v>10</v>
      </c>
      <c r="I31" s="0" t="n">
        <f aca="false">ROUNDUP(G31/H31,0)</f>
        <v>32</v>
      </c>
      <c r="J31" s="0" t="s">
        <v>1912</v>
      </c>
    </row>
    <row r="32" customFormat="false" ht="15" hidden="false" customHeight="false" outlineLevel="0" collapsed="false">
      <c r="A32" s="0" t="s">
        <v>1049</v>
      </c>
      <c r="B32" s="0" t="s">
        <v>934</v>
      </c>
      <c r="C32" s="0" t="n">
        <f aca="false">SUMIFS(Breakdown!$D$2:$D$837,Breakdown!$B$2:$B$837,A32,Breakdown!$C$2:$C$837,B32)</f>
        <v>629.15</v>
      </c>
      <c r="D32" s="0" t="s">
        <v>1896</v>
      </c>
      <c r="E32" s="0" t="n">
        <f aca="false">Inputs!$B$2</f>
        <v>0.15</v>
      </c>
      <c r="F32" s="0" t="n">
        <f aca="false">ROUND(C32*E32,2)</f>
        <v>94.37</v>
      </c>
      <c r="G32" s="0" t="n">
        <f aca="false">C32+F32</f>
        <v>723.52</v>
      </c>
      <c r="H32" s="0" t="n">
        <f aca="false">Inputs!$B$8</f>
        <v>10</v>
      </c>
      <c r="I32" s="0" t="n">
        <f aca="false">ROUNDUP(G32/H32,0)</f>
        <v>73</v>
      </c>
      <c r="J32" s="0" t="s">
        <v>1913</v>
      </c>
    </row>
    <row r="33" customFormat="false" ht="15" hidden="false" customHeight="false" outlineLevel="0" collapsed="false">
      <c r="A33" s="0" t="s">
        <v>1655</v>
      </c>
      <c r="B33" s="0" t="s">
        <v>934</v>
      </c>
      <c r="C33" s="0" t="n">
        <f aca="false">SUMIFS(Breakdown!$D$2:$D$837,Breakdown!$B$2:$B$837,A33,Breakdown!$C$2:$C$837,B33)</f>
        <v>770.02</v>
      </c>
      <c r="D33" s="0" t="s">
        <v>1896</v>
      </c>
      <c r="E33" s="0" t="n">
        <f aca="false">Inputs!$B$2</f>
        <v>0.15</v>
      </c>
      <c r="F33" s="0" t="n">
        <f aca="false">ROUND(C33*E33,2)</f>
        <v>115.5</v>
      </c>
      <c r="G33" s="0" t="n">
        <f aca="false">C33+F33</f>
        <v>885.52</v>
      </c>
      <c r="H33" s="0" t="n">
        <f aca="false">Inputs!$B$7</f>
        <v>12</v>
      </c>
      <c r="I33" s="0" t="n">
        <f aca="false">ROUNDUP(G33/H33,0)</f>
        <v>74</v>
      </c>
      <c r="J33" s="0" t="s">
        <v>1911</v>
      </c>
    </row>
    <row r="34" customFormat="false" ht="15" hidden="false" customHeight="false" outlineLevel="0" collapsed="false">
      <c r="A34" s="0" t="s">
        <v>1703</v>
      </c>
      <c r="B34" s="0" t="s">
        <v>934</v>
      </c>
      <c r="C34" s="0" t="n">
        <f aca="false">SUMIFS(Breakdown!$D$2:$D$837,Breakdown!$B$2:$B$837,A34,Breakdown!$C$2:$C$837,B34)</f>
        <v>51.79</v>
      </c>
      <c r="D34" s="0" t="s">
        <v>1896</v>
      </c>
      <c r="E34" s="0" t="n">
        <f aca="false">Inputs!$B$2</f>
        <v>0.15</v>
      </c>
      <c r="F34" s="0" t="n">
        <f aca="false">ROUND(C34*E34,2)</f>
        <v>7.77</v>
      </c>
      <c r="G34" s="0" t="n">
        <f aca="false">C34+F34</f>
        <v>59.56</v>
      </c>
      <c r="J34" s="0" t="s">
        <v>437</v>
      </c>
    </row>
    <row r="35" customFormat="false" ht="15" hidden="false" customHeight="false" outlineLevel="0" collapsed="false">
      <c r="A35" s="0" t="s">
        <v>1695</v>
      </c>
      <c r="B35" s="0" t="s">
        <v>934</v>
      </c>
      <c r="C35" s="0" t="n">
        <f aca="false">SUMIFS(Breakdown!$D$2:$D$837,Breakdown!$B$2:$B$837,A35,Breakdown!$C$2:$C$837,B35)</f>
        <v>53.96</v>
      </c>
      <c r="D35" s="0" t="s">
        <v>1896</v>
      </c>
      <c r="E35" s="0" t="n">
        <f aca="false">Inputs!$B$2</f>
        <v>0.15</v>
      </c>
      <c r="F35" s="0" t="n">
        <f aca="false">ROUND(C35*E35,2)</f>
        <v>8.09</v>
      </c>
      <c r="G35" s="0" t="n">
        <f aca="false">C35+F35</f>
        <v>62.05</v>
      </c>
      <c r="J35" s="0" t="s">
        <v>433</v>
      </c>
    </row>
    <row r="36" customFormat="false" ht="15" hidden="false" customHeight="false" outlineLevel="0" collapsed="false">
      <c r="A36" s="0" t="s">
        <v>1674</v>
      </c>
      <c r="B36" s="0" t="s">
        <v>934</v>
      </c>
      <c r="C36" s="0" t="n">
        <f aca="false">SUMIFS(Breakdown!$D$2:$D$837,Breakdown!$B$2:$B$837,A36,Breakdown!$C$2:$C$837,B36)</f>
        <v>105</v>
      </c>
      <c r="D36" s="0" t="s">
        <v>1896</v>
      </c>
      <c r="E36" s="0" t="n">
        <f aca="false">Inputs!$B$2</f>
        <v>0.15</v>
      </c>
      <c r="F36" s="0" t="n">
        <f aca="false">ROUND(C36*E36,2)</f>
        <v>15.75</v>
      </c>
      <c r="G36" s="0" t="n">
        <f aca="false">C36+F36</f>
        <v>120.75</v>
      </c>
      <c r="J36" s="0" t="s">
        <v>429</v>
      </c>
    </row>
    <row r="37" customFormat="false" ht="15" hidden="false" customHeight="false" outlineLevel="0" collapsed="false">
      <c r="A37" s="0" t="s">
        <v>1657</v>
      </c>
      <c r="B37" s="0" t="s">
        <v>934</v>
      </c>
      <c r="C37" s="0" t="n">
        <f aca="false">SUMIFS(Breakdown!$D$2:$D$837,Breakdown!$B$2:$B$837,A37,Breakdown!$C$2:$C$837,B37)</f>
        <v>313.99</v>
      </c>
      <c r="D37" s="0" t="s">
        <v>1896</v>
      </c>
      <c r="E37" s="0" t="n">
        <f aca="false">Inputs!$B$2</f>
        <v>0.15</v>
      </c>
      <c r="F37" s="0" t="n">
        <f aca="false">ROUND(C37*E37,2)</f>
        <v>47.1</v>
      </c>
      <c r="G37" s="0" t="n">
        <f aca="false">C37+F37</f>
        <v>361.09</v>
      </c>
      <c r="J37" s="0" t="s">
        <v>1914</v>
      </c>
    </row>
    <row r="38" customFormat="false" ht="15" hidden="false" customHeight="false" outlineLevel="0" collapsed="false">
      <c r="A38" s="0" t="s">
        <v>1373</v>
      </c>
      <c r="B38" s="0" t="s">
        <v>934</v>
      </c>
      <c r="C38" s="0" t="n">
        <f aca="false">SUMIFS(Breakdown!$D$2:$D$837,Breakdown!$B$2:$B$837,A38,Breakdown!$C$2:$C$837,B38)</f>
        <v>45</v>
      </c>
      <c r="D38" s="0" t="s">
        <v>1896</v>
      </c>
      <c r="E38" s="0" t="n">
        <f aca="false">Inputs!$B$2</f>
        <v>0.15</v>
      </c>
      <c r="F38" s="0" t="n">
        <f aca="false">ROUND(C38*E38,2)</f>
        <v>6.75</v>
      </c>
      <c r="G38" s="0" t="n">
        <f aca="false">C38+F38</f>
        <v>51.75</v>
      </c>
      <c r="H38" s="0" t="n">
        <f aca="false">Inputs!$B$5</f>
        <v>10</v>
      </c>
      <c r="I38" s="0" t="n">
        <f aca="false">ROUNDUP(G38/H38,0)</f>
        <v>6</v>
      </c>
      <c r="J38" s="0" t="s">
        <v>1915</v>
      </c>
    </row>
    <row r="39" customFormat="false" ht="15" hidden="false" customHeight="false" outlineLevel="0" collapsed="false">
      <c r="A39" s="0" t="s">
        <v>1518</v>
      </c>
      <c r="B39" s="0" t="s">
        <v>934</v>
      </c>
      <c r="C39" s="0" t="n">
        <f aca="false">SUMIFS(Breakdown!$D$2:$D$837,Breakdown!$B$2:$B$837,A39,Breakdown!$C$2:$C$837,B39)</f>
        <v>57.9</v>
      </c>
      <c r="D39" s="0" t="s">
        <v>1896</v>
      </c>
      <c r="E39" s="0" t="n">
        <f aca="false">Inputs!$B$2</f>
        <v>0.15</v>
      </c>
      <c r="F39" s="0" t="n">
        <f aca="false">ROUND(C39*E39,2)</f>
        <v>8.69</v>
      </c>
      <c r="G39" s="0" t="n">
        <f aca="false">C39+F39</f>
        <v>66.59</v>
      </c>
      <c r="H39" s="0" t="n">
        <f aca="false">Inputs!$B$4</f>
        <v>20</v>
      </c>
      <c r="I39" s="0" t="n">
        <f aca="false">ROUNDUP(G39/H39,0)</f>
        <v>4</v>
      </c>
      <c r="J39" s="0" t="s">
        <v>1916</v>
      </c>
    </row>
    <row r="40" customFormat="false" ht="15" hidden="false" customHeight="false" outlineLevel="0" collapsed="false">
      <c r="A40" s="0" t="s">
        <v>1338</v>
      </c>
      <c r="B40" s="0" t="s">
        <v>934</v>
      </c>
      <c r="C40" s="0" t="n">
        <f aca="false">SUMIFS(Breakdown!$D$2:$D$837,Breakdown!$B$2:$B$837,A40,Breakdown!$C$2:$C$837,B40)</f>
        <v>2.25</v>
      </c>
      <c r="D40" s="0" t="s">
        <v>1896</v>
      </c>
      <c r="E40" s="0" t="n">
        <f aca="false">Inputs!$B$2</f>
        <v>0.15</v>
      </c>
      <c r="F40" s="0" t="n">
        <f aca="false">ROUND(C40*E40,2)</f>
        <v>0.34</v>
      </c>
      <c r="G40" s="0" t="n">
        <f aca="false">C40+F40</f>
        <v>2.59</v>
      </c>
      <c r="H40" s="0" t="n">
        <f aca="false">Inputs!$B$5</f>
        <v>10</v>
      </c>
      <c r="I40" s="0" t="n">
        <f aca="false">ROUNDUP(G40/H40,0)</f>
        <v>1</v>
      </c>
      <c r="J40" s="0" t="s">
        <v>236</v>
      </c>
    </row>
    <row r="41" customFormat="false" ht="15" hidden="false" customHeight="false" outlineLevel="0" collapsed="false">
      <c r="A41" s="0" t="s">
        <v>1411</v>
      </c>
      <c r="B41" s="0" t="s">
        <v>934</v>
      </c>
      <c r="C41" s="0" t="n">
        <f aca="false">SUMIFS(Breakdown!$D$2:$D$837,Breakdown!$B$2:$B$837,A41,Breakdown!$C$2:$C$837,B41)</f>
        <v>7.67</v>
      </c>
      <c r="D41" s="0" t="s">
        <v>1896</v>
      </c>
      <c r="E41" s="0" t="n">
        <f aca="false">Inputs!$B$2</f>
        <v>0.15</v>
      </c>
      <c r="F41" s="0" t="n">
        <f aca="false">ROUND(C41*E41,2)</f>
        <v>1.15</v>
      </c>
      <c r="G41" s="0" t="n">
        <f aca="false">C41+F41</f>
        <v>8.82</v>
      </c>
      <c r="H41" s="0" t="n">
        <f aca="false">Inputs!$B$5</f>
        <v>10</v>
      </c>
      <c r="I41" s="0" t="n">
        <f aca="false">ROUNDUP(G41/H41,0)</f>
        <v>1</v>
      </c>
      <c r="J41" s="0" t="s">
        <v>301</v>
      </c>
    </row>
    <row r="42" customFormat="false" ht="15" hidden="false" customHeight="false" outlineLevel="0" collapsed="false">
      <c r="A42" s="0" t="s">
        <v>1422</v>
      </c>
      <c r="B42" s="0" t="s">
        <v>934</v>
      </c>
      <c r="C42" s="0" t="n">
        <f aca="false">SUMIFS(Breakdown!$D$2:$D$837,Breakdown!$B$2:$B$837,A42,Breakdown!$C$2:$C$837,B42)</f>
        <v>13.32</v>
      </c>
      <c r="D42" s="0" t="s">
        <v>1896</v>
      </c>
      <c r="E42" s="0" t="n">
        <f aca="false">Inputs!$B$2</f>
        <v>0.15</v>
      </c>
      <c r="F42" s="0" t="n">
        <f aca="false">ROUND(C42*E42,2)</f>
        <v>2</v>
      </c>
      <c r="G42" s="0" t="n">
        <f aca="false">C42+F42</f>
        <v>15.32</v>
      </c>
      <c r="H42" s="0" t="n">
        <f aca="false">Inputs!$B$5</f>
        <v>10</v>
      </c>
      <c r="I42" s="0" t="n">
        <f aca="false">ROUNDUP(G42/H42,0)</f>
        <v>2</v>
      </c>
      <c r="J42" s="0" t="s">
        <v>1917</v>
      </c>
    </row>
    <row r="43" customFormat="false" ht="15" hidden="false" customHeight="false" outlineLevel="0" collapsed="false">
      <c r="A43" s="0" t="s">
        <v>1003</v>
      </c>
      <c r="B43" s="0" t="s">
        <v>934</v>
      </c>
      <c r="C43" s="0" t="n">
        <f aca="false">SUMIFS(Breakdown!$D$2:$D$837,Breakdown!$B$2:$B$837,A43,Breakdown!$C$2:$C$837,B43)</f>
        <v>3.83</v>
      </c>
      <c r="D43" s="0" t="s">
        <v>1896</v>
      </c>
      <c r="E43" s="0" t="n">
        <f aca="false">Inputs!$B$2</f>
        <v>0.15</v>
      </c>
      <c r="F43" s="0" t="n">
        <f aca="false">ROUND(C43*E43,2)</f>
        <v>0.57</v>
      </c>
      <c r="G43" s="0" t="n">
        <f aca="false">C43+F43</f>
        <v>4.4</v>
      </c>
      <c r="H43" s="0" t="n">
        <f aca="false">Inputs!$B$5</f>
        <v>10</v>
      </c>
      <c r="I43" s="0" t="n">
        <f aca="false">ROUNDUP(G43/H43,0)</f>
        <v>1</v>
      </c>
      <c r="J43" s="0" t="s">
        <v>54</v>
      </c>
    </row>
    <row r="44" customFormat="false" ht="15" hidden="false" customHeight="false" outlineLevel="0" collapsed="false">
      <c r="A44" s="0" t="s">
        <v>1126</v>
      </c>
      <c r="B44" s="0" t="s">
        <v>934</v>
      </c>
      <c r="C44" s="0" t="n">
        <f aca="false">SUMIFS(Breakdown!$D$2:$D$837,Breakdown!$B$2:$B$837,A44,Breakdown!$C$2:$C$837,B44)</f>
        <v>3.83</v>
      </c>
      <c r="D44" s="0" t="s">
        <v>1896</v>
      </c>
      <c r="E44" s="0" t="n">
        <f aca="false">Inputs!$B$2</f>
        <v>0.15</v>
      </c>
      <c r="F44" s="0" t="n">
        <f aca="false">ROUND(C44*E44,2)</f>
        <v>0.57</v>
      </c>
      <c r="G44" s="0" t="n">
        <f aca="false">C44+F44</f>
        <v>4.4</v>
      </c>
      <c r="H44" s="0" t="n">
        <f aca="false">Inputs!$B$5</f>
        <v>10</v>
      </c>
      <c r="I44" s="0" t="n">
        <f aca="false">ROUNDUP(G44/H44,0)</f>
        <v>1</v>
      </c>
      <c r="J44" s="0" t="s">
        <v>118</v>
      </c>
    </row>
    <row r="45" customFormat="false" ht="15" hidden="false" customHeight="false" outlineLevel="0" collapsed="false">
      <c r="A45" s="0" t="s">
        <v>1026</v>
      </c>
      <c r="B45" s="0" t="s">
        <v>934</v>
      </c>
      <c r="C45" s="0" t="n">
        <f aca="false">SUMIFS(Breakdown!$D$2:$D$837,Breakdown!$B$2:$B$837,A45,Breakdown!$C$2:$C$837,B45)</f>
        <v>3.83</v>
      </c>
      <c r="D45" s="0" t="s">
        <v>1896</v>
      </c>
      <c r="E45" s="0" t="n">
        <f aca="false">Inputs!$B$2</f>
        <v>0.15</v>
      </c>
      <c r="F45" s="0" t="n">
        <f aca="false">ROUND(C45*E45,2)</f>
        <v>0.57</v>
      </c>
      <c r="G45" s="0" t="n">
        <f aca="false">C45+F45</f>
        <v>4.4</v>
      </c>
      <c r="H45" s="0" t="n">
        <f aca="false">Inputs!$B$5</f>
        <v>10</v>
      </c>
      <c r="I45" s="0" t="n">
        <f aca="false">ROUNDUP(G45/H45,0)</f>
        <v>1</v>
      </c>
      <c r="J45" s="0" t="s">
        <v>69</v>
      </c>
    </row>
    <row r="46" customFormat="false" ht="15" hidden="false" customHeight="false" outlineLevel="0" collapsed="false">
      <c r="A46" s="0" t="s">
        <v>1036</v>
      </c>
      <c r="B46" s="0" t="s">
        <v>934</v>
      </c>
      <c r="C46" s="0" t="n">
        <f aca="false">SUMIFS(Breakdown!$D$2:$D$837,Breakdown!$B$2:$B$837,A46,Breakdown!$C$2:$C$837,B46)</f>
        <v>3.52</v>
      </c>
      <c r="D46" s="0" t="s">
        <v>1896</v>
      </c>
      <c r="E46" s="0" t="n">
        <f aca="false">Inputs!$B$2</f>
        <v>0.15</v>
      </c>
      <c r="F46" s="0" t="n">
        <f aca="false">ROUND(C46*E46,2)</f>
        <v>0.53</v>
      </c>
      <c r="G46" s="0" t="n">
        <f aca="false">C46+F46</f>
        <v>4.05</v>
      </c>
      <c r="H46" s="0" t="n">
        <f aca="false">Inputs!$B$5</f>
        <v>10</v>
      </c>
      <c r="I46" s="0" t="n">
        <f aca="false">ROUNDUP(G46/H46,0)</f>
        <v>1</v>
      </c>
      <c r="J46" s="0" t="s">
        <v>74</v>
      </c>
    </row>
    <row r="47" customFormat="false" ht="15" hidden="false" customHeight="false" outlineLevel="0" collapsed="false">
      <c r="A47" s="0" t="s">
        <v>1117</v>
      </c>
      <c r="B47" s="0" t="s">
        <v>934</v>
      </c>
      <c r="C47" s="0" t="n">
        <f aca="false">SUMIFS(Breakdown!$D$2:$D$837,Breakdown!$B$2:$B$837,A47,Breakdown!$C$2:$C$837,B47)</f>
        <v>3.83</v>
      </c>
      <c r="D47" s="0" t="s">
        <v>1896</v>
      </c>
      <c r="E47" s="0" t="n">
        <f aca="false">Inputs!$B$2</f>
        <v>0.15</v>
      </c>
      <c r="F47" s="0" t="n">
        <f aca="false">ROUND(C47*E47,2)</f>
        <v>0.57</v>
      </c>
      <c r="G47" s="0" t="n">
        <f aca="false">C47+F47</f>
        <v>4.4</v>
      </c>
      <c r="H47" s="0" t="n">
        <f aca="false">Inputs!$B$5</f>
        <v>10</v>
      </c>
      <c r="I47" s="0" t="n">
        <f aca="false">ROUNDUP(G47/H47,0)</f>
        <v>1</v>
      </c>
      <c r="J47" s="0" t="s">
        <v>113</v>
      </c>
    </row>
    <row r="48" customFormat="false" ht="15" hidden="false" customHeight="false" outlineLevel="0" collapsed="false">
      <c r="A48" s="0" t="s">
        <v>1118</v>
      </c>
      <c r="B48" s="0" t="s">
        <v>934</v>
      </c>
      <c r="C48" s="0" t="n">
        <f aca="false">SUMIFS(Breakdown!$D$2:$D$837,Breakdown!$B$2:$B$837,A48,Breakdown!$C$2:$C$837,B48)</f>
        <v>3.83</v>
      </c>
      <c r="D48" s="0" t="s">
        <v>1896</v>
      </c>
      <c r="E48" s="0" t="n">
        <f aca="false">Inputs!$B$2</f>
        <v>0.15</v>
      </c>
      <c r="F48" s="0" t="n">
        <f aca="false">ROUND(C48*E48,2)</f>
        <v>0.57</v>
      </c>
      <c r="G48" s="0" t="n">
        <f aca="false">C48+F48</f>
        <v>4.4</v>
      </c>
      <c r="H48" s="0" t="n">
        <f aca="false">Inputs!$B$5</f>
        <v>10</v>
      </c>
      <c r="I48" s="0" t="n">
        <f aca="false">ROUNDUP(G48/H48,0)</f>
        <v>1</v>
      </c>
      <c r="J48" s="0" t="s">
        <v>113</v>
      </c>
    </row>
    <row r="49" customFormat="false" ht="15" hidden="false" customHeight="false" outlineLevel="0" collapsed="false">
      <c r="A49" s="0" t="s">
        <v>1055</v>
      </c>
      <c r="B49" s="0" t="s">
        <v>934</v>
      </c>
      <c r="C49" s="0" t="n">
        <f aca="false">SUMIFS(Breakdown!$D$2:$D$837,Breakdown!$B$2:$B$837,A49,Breakdown!$C$2:$C$837,B49)</f>
        <v>3.83</v>
      </c>
      <c r="D49" s="0" t="s">
        <v>1896</v>
      </c>
      <c r="E49" s="0" t="n">
        <f aca="false">Inputs!$B$2</f>
        <v>0.15</v>
      </c>
      <c r="F49" s="0" t="n">
        <f aca="false">ROUND(C49*E49,2)</f>
        <v>0.57</v>
      </c>
      <c r="G49" s="0" t="n">
        <f aca="false">C49+F49</f>
        <v>4.4</v>
      </c>
      <c r="H49" s="0" t="n">
        <f aca="false">Inputs!$B$5</f>
        <v>10</v>
      </c>
      <c r="I49" s="0" t="n">
        <f aca="false">ROUNDUP(G49/H49,0)</f>
        <v>1</v>
      </c>
      <c r="J49" s="0" t="s">
        <v>84</v>
      </c>
    </row>
    <row r="50" customFormat="false" ht="15" hidden="false" customHeight="false" outlineLevel="0" collapsed="false">
      <c r="A50" s="0" t="s">
        <v>983</v>
      </c>
      <c r="B50" s="0" t="s">
        <v>934</v>
      </c>
      <c r="C50" s="0" t="n">
        <f aca="false">SUMIFS(Breakdown!$D$2:$D$837,Breakdown!$B$2:$B$837,A50,Breakdown!$C$2:$C$837,B50)</f>
        <v>3.63</v>
      </c>
      <c r="D50" s="0" t="s">
        <v>1896</v>
      </c>
      <c r="E50" s="0" t="n">
        <f aca="false">Inputs!$B$2</f>
        <v>0.15</v>
      </c>
      <c r="F50" s="0" t="n">
        <f aca="false">ROUND(C50*E50,2)</f>
        <v>0.54</v>
      </c>
      <c r="G50" s="0" t="n">
        <f aca="false">C50+F50</f>
        <v>4.17</v>
      </c>
      <c r="H50" s="0" t="n">
        <f aca="false">Inputs!$B$5</f>
        <v>10</v>
      </c>
      <c r="I50" s="0" t="n">
        <f aca="false">ROUNDUP(G50/H50,0)</f>
        <v>1</v>
      </c>
      <c r="J50" s="0" t="s">
        <v>42</v>
      </c>
    </row>
    <row r="51" customFormat="false" ht="15" hidden="false" customHeight="false" outlineLevel="0" collapsed="false">
      <c r="A51" s="0" t="s">
        <v>1393</v>
      </c>
      <c r="B51" s="0" t="s">
        <v>934</v>
      </c>
      <c r="C51" s="0" t="n">
        <f aca="false">SUMIFS(Breakdown!$D$2:$D$837,Breakdown!$B$2:$B$837,A51,Breakdown!$C$2:$C$837,B51)</f>
        <v>45</v>
      </c>
      <c r="D51" s="0" t="s">
        <v>1896</v>
      </c>
      <c r="E51" s="0" t="n">
        <f aca="false">Inputs!$B$2</f>
        <v>0.15</v>
      </c>
      <c r="F51" s="0" t="n">
        <f aca="false">ROUND(C51*E51,2)</f>
        <v>6.75</v>
      </c>
      <c r="G51" s="0" t="n">
        <f aca="false">C51+F51</f>
        <v>51.75</v>
      </c>
      <c r="H51" s="0" t="n">
        <f aca="false">Inputs!$B$8</f>
        <v>10</v>
      </c>
      <c r="I51" s="0" t="n">
        <f aca="false">ROUNDUP(G51/H51,0)</f>
        <v>6</v>
      </c>
      <c r="J51" s="0" t="s">
        <v>1915</v>
      </c>
    </row>
    <row r="52" customFormat="false" ht="15" hidden="false" customHeight="false" outlineLevel="0" collapsed="false">
      <c r="A52" s="0" t="s">
        <v>1728</v>
      </c>
      <c r="B52" s="0" t="s">
        <v>934</v>
      </c>
      <c r="C52" s="0" t="n">
        <f aca="false">SUMIFS(Breakdown!$D$2:$D$837,Breakdown!$B$2:$B$837,A52,Breakdown!$C$2:$C$837,B52)</f>
        <v>24.04</v>
      </c>
      <c r="D52" s="0" t="s">
        <v>1896</v>
      </c>
      <c r="E52" s="0" t="n">
        <f aca="false">Inputs!$B$2</f>
        <v>0.15</v>
      </c>
      <c r="F52" s="0" t="n">
        <f aca="false">ROUND(C52*E52,2)</f>
        <v>3.61</v>
      </c>
      <c r="G52" s="0" t="n">
        <f aca="false">C52+F52</f>
        <v>27.65</v>
      </c>
      <c r="H52" s="0" t="n">
        <f aca="false">Inputs!$B$8</f>
        <v>10</v>
      </c>
      <c r="I52" s="0" t="n">
        <f aca="false">ROUNDUP(G52/H52,0)</f>
        <v>3</v>
      </c>
      <c r="J52" s="0" t="s">
        <v>440</v>
      </c>
    </row>
    <row r="53" customFormat="false" ht="15" hidden="false" customHeight="false" outlineLevel="0" collapsed="false">
      <c r="A53" s="0" t="s">
        <v>1682</v>
      </c>
      <c r="B53" s="0" t="s">
        <v>934</v>
      </c>
      <c r="C53" s="0" t="n">
        <f aca="false">SUMIFS(Breakdown!$D$2:$D$837,Breakdown!$B$2:$B$837,A53,Breakdown!$C$2:$C$837,B53)</f>
        <v>77.03</v>
      </c>
      <c r="D53" s="0" t="s">
        <v>1896</v>
      </c>
      <c r="E53" s="0" t="n">
        <f aca="false">Inputs!$B$2</f>
        <v>0.15</v>
      </c>
      <c r="F53" s="0" t="n">
        <f aca="false">ROUND(C53*E53,2)</f>
        <v>11.55</v>
      </c>
      <c r="G53" s="0" t="n">
        <f aca="false">C53+F53</f>
        <v>88.58</v>
      </c>
      <c r="H53" s="0" t="n">
        <f aca="false">Inputs!$B$8</f>
        <v>10</v>
      </c>
      <c r="I53" s="0" t="n">
        <f aca="false">ROUNDUP(G53/H53,0)</f>
        <v>9</v>
      </c>
      <c r="J53" s="0" t="s">
        <v>429</v>
      </c>
    </row>
    <row r="54" customFormat="false" ht="15" hidden="false" customHeight="false" outlineLevel="0" collapsed="false">
      <c r="A54" s="0" t="s">
        <v>1451</v>
      </c>
      <c r="B54" s="0" t="s">
        <v>934</v>
      </c>
      <c r="C54" s="0" t="n">
        <f aca="false">SUMIFS(Breakdown!$D$2:$D$837,Breakdown!$B$2:$B$837,A54,Breakdown!$C$2:$C$837,B54)</f>
        <v>243.1</v>
      </c>
      <c r="D54" s="0" t="s">
        <v>1896</v>
      </c>
      <c r="E54" s="0" t="n">
        <f aca="false">Inputs!$B$2</f>
        <v>0.15</v>
      </c>
      <c r="F54" s="0" t="n">
        <f aca="false">ROUND(C54*E54,2)</f>
        <v>36.47</v>
      </c>
      <c r="G54" s="0" t="n">
        <f aca="false">C54+F54</f>
        <v>279.57</v>
      </c>
      <c r="H54" s="0" t="n">
        <f aca="false">Inputs!$B$5</f>
        <v>10</v>
      </c>
      <c r="I54" s="0" t="n">
        <f aca="false">ROUNDUP(G54/H54,0)</f>
        <v>28</v>
      </c>
      <c r="J54" s="0" t="s">
        <v>1918</v>
      </c>
    </row>
    <row r="55" customFormat="false" ht="15" hidden="false" customHeight="false" outlineLevel="0" collapsed="false">
      <c r="A55" s="0" t="s">
        <v>1341</v>
      </c>
      <c r="B55" s="0" t="s">
        <v>934</v>
      </c>
      <c r="C55" s="0" t="n">
        <f aca="false">SUMIFS(Breakdown!$D$2:$D$837,Breakdown!$B$2:$B$837,A55,Breakdown!$C$2:$C$837,B55)</f>
        <v>2.25</v>
      </c>
      <c r="D55" s="0" t="s">
        <v>1896</v>
      </c>
      <c r="E55" s="0" t="n">
        <f aca="false">Inputs!$B$2</f>
        <v>0.15</v>
      </c>
      <c r="F55" s="0" t="n">
        <f aca="false">ROUND(C55*E55,2)</f>
        <v>0.34</v>
      </c>
      <c r="G55" s="0" t="n">
        <f aca="false">C55+F55</f>
        <v>2.59</v>
      </c>
      <c r="H55" s="0" t="n">
        <f aca="false">Inputs!$B$5</f>
        <v>10</v>
      </c>
      <c r="I55" s="0" t="n">
        <f aca="false">ROUNDUP(G55/H55,0)</f>
        <v>1</v>
      </c>
      <c r="J55" s="0" t="s">
        <v>236</v>
      </c>
    </row>
    <row r="56" customFormat="false" ht="15" hidden="false" customHeight="false" outlineLevel="0" collapsed="false">
      <c r="A56" s="0" t="s">
        <v>1241</v>
      </c>
      <c r="B56" s="0" t="s">
        <v>934</v>
      </c>
      <c r="C56" s="0" t="n">
        <f aca="false">SUMIFS(Breakdown!$D$2:$D$837,Breakdown!$B$2:$B$837,A56,Breakdown!$C$2:$C$837,B56)</f>
        <v>285.92</v>
      </c>
      <c r="D56" s="0" t="s">
        <v>1896</v>
      </c>
      <c r="E56" s="0" t="n">
        <f aca="false">Inputs!$B$2</f>
        <v>0.15</v>
      </c>
      <c r="F56" s="0" t="n">
        <f aca="false">ROUND(C56*E56,2)</f>
        <v>42.89</v>
      </c>
      <c r="G56" s="0" t="n">
        <f aca="false">C56+F56</f>
        <v>328.81</v>
      </c>
      <c r="H56" s="0" t="n">
        <f aca="false">Inputs!$B$5</f>
        <v>10</v>
      </c>
      <c r="I56" s="0" t="n">
        <f aca="false">ROUNDUP(G56/H56,0)</f>
        <v>33</v>
      </c>
      <c r="J56" s="0" t="s">
        <v>1897</v>
      </c>
    </row>
    <row r="57" customFormat="false" ht="15" hidden="false" customHeight="false" outlineLevel="0" collapsed="false">
      <c r="A57" s="0" t="s">
        <v>1324</v>
      </c>
      <c r="B57" s="0" t="s">
        <v>934</v>
      </c>
      <c r="C57" s="0" t="n">
        <f aca="false">SUMIFS(Breakdown!$D$2:$D$837,Breakdown!$B$2:$B$837,A57,Breakdown!$C$2:$C$837,B57)</f>
        <v>17.76</v>
      </c>
      <c r="D57" s="0" t="s">
        <v>1896</v>
      </c>
      <c r="E57" s="0" t="n">
        <f aca="false">Inputs!$B$2</f>
        <v>0.15</v>
      </c>
      <c r="F57" s="0" t="n">
        <f aca="false">ROUND(C57*E57,2)</f>
        <v>2.66</v>
      </c>
      <c r="G57" s="0" t="n">
        <f aca="false">C57+F57</f>
        <v>20.42</v>
      </c>
      <c r="H57" s="0" t="n">
        <f aca="false">Inputs!$B$5</f>
        <v>10</v>
      </c>
      <c r="I57" s="0" t="n">
        <f aca="false">ROUNDUP(G57/H57,0)</f>
        <v>3</v>
      </c>
      <c r="J57" s="0" t="s">
        <v>229</v>
      </c>
    </row>
    <row r="58" customFormat="false" ht="15" hidden="false" customHeight="false" outlineLevel="0" collapsed="false">
      <c r="A58" s="0" t="s">
        <v>941</v>
      </c>
      <c r="B58" s="0" t="s">
        <v>934</v>
      </c>
      <c r="C58" s="0" t="n">
        <f aca="false">SUMIFS(Breakdown!$D$2:$D$837,Breakdown!$B$2:$B$837,A58,Breakdown!$C$2:$C$837,B58)</f>
        <v>139.29</v>
      </c>
      <c r="D58" s="0" t="s">
        <v>1896</v>
      </c>
      <c r="E58" s="0" t="n">
        <f aca="false">Inputs!$B$2</f>
        <v>0.15</v>
      </c>
      <c r="F58" s="0" t="n">
        <f aca="false">ROUND(C58*E58,2)</f>
        <v>20.89</v>
      </c>
      <c r="G58" s="0" t="n">
        <f aca="false">C58+F58</f>
        <v>160.18</v>
      </c>
      <c r="H58" s="0" t="n">
        <f aca="false">Inputs!$B$5</f>
        <v>10</v>
      </c>
      <c r="I58" s="0" t="n">
        <f aca="false">ROUNDUP(G58/H58,0)</f>
        <v>17</v>
      </c>
      <c r="J58" s="0" t="s">
        <v>1919</v>
      </c>
    </row>
    <row r="59" customFormat="false" ht="15" hidden="false" customHeight="false" outlineLevel="0" collapsed="false">
      <c r="A59" s="0" t="s">
        <v>1066</v>
      </c>
      <c r="B59" s="0" t="s">
        <v>934</v>
      </c>
      <c r="C59" s="0" t="n">
        <f aca="false">SUMIFS(Breakdown!$D$2:$D$837,Breakdown!$B$2:$B$837,A59,Breakdown!$C$2:$C$837,B59)</f>
        <v>9.06</v>
      </c>
      <c r="D59" s="0" t="s">
        <v>1896</v>
      </c>
      <c r="E59" s="0" t="n">
        <f aca="false">Inputs!$B$2</f>
        <v>0.15</v>
      </c>
      <c r="F59" s="0" t="n">
        <f aca="false">ROUND(C59*E59,2)</f>
        <v>1.36</v>
      </c>
      <c r="G59" s="0" t="n">
        <f aca="false">C59+F59</f>
        <v>10.42</v>
      </c>
      <c r="H59" s="0" t="n">
        <f aca="false">Inputs!$B$5</f>
        <v>10</v>
      </c>
      <c r="I59" s="0" t="n">
        <f aca="false">ROUNDUP(G59/H59,0)</f>
        <v>2</v>
      </c>
      <c r="J59" s="0" t="s">
        <v>1907</v>
      </c>
    </row>
    <row r="60" customFormat="false" ht="15" hidden="false" customHeight="false" outlineLevel="0" collapsed="false">
      <c r="A60" s="0" t="s">
        <v>1212</v>
      </c>
      <c r="B60" s="0" t="s">
        <v>934</v>
      </c>
      <c r="C60" s="0" t="n">
        <f aca="false">SUMIFS(Breakdown!$D$2:$D$837,Breakdown!$B$2:$B$837,A60,Breakdown!$C$2:$C$837,B60)</f>
        <v>1.77</v>
      </c>
      <c r="D60" s="0" t="s">
        <v>1896</v>
      </c>
      <c r="E60" s="0" t="n">
        <f aca="false">Inputs!$B$2</f>
        <v>0.15</v>
      </c>
      <c r="F60" s="0" t="n">
        <f aca="false">ROUND(C60*E60,2)</f>
        <v>0.27</v>
      </c>
      <c r="G60" s="0" t="n">
        <f aca="false">C60+F60</f>
        <v>2.04</v>
      </c>
      <c r="H60" s="0" t="n">
        <f aca="false">Inputs!$B$5</f>
        <v>10</v>
      </c>
      <c r="I60" s="0" t="n">
        <f aca="false">ROUNDUP(G60/H60,0)</f>
        <v>1</v>
      </c>
      <c r="J60" s="0" t="s">
        <v>169</v>
      </c>
    </row>
    <row r="61" customFormat="false" ht="15" hidden="false" customHeight="false" outlineLevel="0" collapsed="false">
      <c r="A61" s="0" t="s">
        <v>1443</v>
      </c>
      <c r="B61" s="0" t="s">
        <v>934</v>
      </c>
      <c r="C61" s="0" t="n">
        <f aca="false">SUMIFS(Breakdown!$D$2:$D$837,Breakdown!$B$2:$B$837,A61,Breakdown!$C$2:$C$837,B61)</f>
        <v>264.1</v>
      </c>
      <c r="D61" s="0" t="s">
        <v>1896</v>
      </c>
      <c r="E61" s="0" t="n">
        <f aca="false">Inputs!$B$2</f>
        <v>0.15</v>
      </c>
      <c r="F61" s="0" t="n">
        <f aca="false">ROUND(C61*E61,2)</f>
        <v>39.62</v>
      </c>
      <c r="G61" s="0" t="n">
        <f aca="false">C61+F61</f>
        <v>303.72</v>
      </c>
      <c r="H61" s="0" t="n">
        <f aca="false">Inputs!$B$5</f>
        <v>10</v>
      </c>
      <c r="I61" s="0" t="n">
        <f aca="false">ROUNDUP(G61/H61,0)</f>
        <v>31</v>
      </c>
      <c r="J61" s="0" t="s">
        <v>1902</v>
      </c>
    </row>
    <row r="62" customFormat="false" ht="15" hidden="false" customHeight="false" outlineLevel="0" collapsed="false">
      <c r="A62" s="0" t="s">
        <v>981</v>
      </c>
      <c r="B62" s="0" t="s">
        <v>934</v>
      </c>
      <c r="C62" s="0" t="n">
        <f aca="false">SUMIFS(Breakdown!$D$2:$D$837,Breakdown!$B$2:$B$837,A62,Breakdown!$C$2:$C$837,B62)</f>
        <v>41.75</v>
      </c>
      <c r="D62" s="0" t="s">
        <v>1896</v>
      </c>
      <c r="E62" s="0" t="n">
        <f aca="false">Inputs!$B$2</f>
        <v>0.15</v>
      </c>
      <c r="F62" s="0" t="n">
        <f aca="false">ROUND(C62*E62,2)</f>
        <v>6.26</v>
      </c>
      <c r="G62" s="0" t="n">
        <f aca="false">C62+F62</f>
        <v>48.01</v>
      </c>
      <c r="H62" s="0" t="n">
        <f aca="false">Inputs!$B$5</f>
        <v>10</v>
      </c>
      <c r="I62" s="0" t="n">
        <f aca="false">ROUNDUP(G62/H62,0)</f>
        <v>5</v>
      </c>
      <c r="J62" s="0" t="s">
        <v>1904</v>
      </c>
    </row>
    <row r="63" customFormat="false" ht="15" hidden="false" customHeight="false" outlineLevel="0" collapsed="false">
      <c r="A63" s="0" t="s">
        <v>1150</v>
      </c>
      <c r="B63" s="0" t="s">
        <v>934</v>
      </c>
      <c r="C63" s="0" t="n">
        <f aca="false">SUMIFS(Breakdown!$D$2:$D$837,Breakdown!$B$2:$B$837,A63,Breakdown!$C$2:$C$837,B63)</f>
        <v>38.14</v>
      </c>
      <c r="D63" s="0" t="s">
        <v>1896</v>
      </c>
      <c r="E63" s="0" t="n">
        <f aca="false">Inputs!$B$2</f>
        <v>0.15</v>
      </c>
      <c r="F63" s="0" t="n">
        <f aca="false">ROUND(C63*E63,2)</f>
        <v>5.72</v>
      </c>
      <c r="G63" s="0" t="n">
        <f aca="false">C63+F63</f>
        <v>43.86</v>
      </c>
      <c r="H63" s="0" t="n">
        <f aca="false">Inputs!$B$5</f>
        <v>10</v>
      </c>
      <c r="I63" s="0" t="n">
        <f aca="false">ROUNDUP(G63/H63,0)</f>
        <v>5</v>
      </c>
      <c r="J63" s="0" t="s">
        <v>1901</v>
      </c>
    </row>
    <row r="64" customFormat="false" ht="15" hidden="false" customHeight="false" outlineLevel="0" collapsed="false">
      <c r="A64" s="0" t="s">
        <v>1352</v>
      </c>
      <c r="B64" s="0" t="s">
        <v>934</v>
      </c>
      <c r="C64" s="0" t="n">
        <f aca="false">SUMIFS(Breakdown!$D$2:$D$837,Breakdown!$B$2:$B$837,A64,Breakdown!$C$2:$C$837,B64)</f>
        <v>41.24</v>
      </c>
      <c r="D64" s="0" t="s">
        <v>1896</v>
      </c>
      <c r="E64" s="0" t="n">
        <f aca="false">Inputs!$B$2</f>
        <v>0.15</v>
      </c>
      <c r="F64" s="0" t="n">
        <f aca="false">ROUND(C64*E64,2)</f>
        <v>6.19</v>
      </c>
      <c r="G64" s="0" t="n">
        <f aca="false">C64+F64</f>
        <v>47.43</v>
      </c>
      <c r="H64" s="0" t="n">
        <f aca="false">Inputs!$B$5</f>
        <v>10</v>
      </c>
      <c r="I64" s="0" t="n">
        <f aca="false">ROUNDUP(G64/H64,0)</f>
        <v>5</v>
      </c>
      <c r="J64" s="0" t="s">
        <v>1920</v>
      </c>
    </row>
    <row r="65" customFormat="false" ht="15" hidden="false" customHeight="false" outlineLevel="0" collapsed="false">
      <c r="A65" s="0" t="s">
        <v>1449</v>
      </c>
      <c r="B65" s="0" t="s">
        <v>934</v>
      </c>
      <c r="C65" s="0" t="n">
        <f aca="false">SUMIFS(Breakdown!$D$2:$D$837,Breakdown!$B$2:$B$837,A65,Breakdown!$C$2:$C$837,B65)</f>
        <v>264.1</v>
      </c>
      <c r="D65" s="0" t="s">
        <v>1896</v>
      </c>
      <c r="E65" s="0" t="n">
        <f aca="false">Inputs!$B$2</f>
        <v>0.15</v>
      </c>
      <c r="F65" s="0" t="n">
        <f aca="false">ROUND(C65*E65,2)</f>
        <v>39.62</v>
      </c>
      <c r="G65" s="0" t="n">
        <f aca="false">C65+F65</f>
        <v>303.72</v>
      </c>
      <c r="H65" s="0" t="n">
        <f aca="false">Inputs!$B$5</f>
        <v>10</v>
      </c>
      <c r="I65" s="0" t="n">
        <f aca="false">ROUNDUP(G65/H65,0)</f>
        <v>31</v>
      </c>
      <c r="J65" s="0" t="s">
        <v>1902</v>
      </c>
    </row>
    <row r="66" customFormat="false" ht="15" hidden="false" customHeight="false" outlineLevel="0" collapsed="false">
      <c r="A66" s="0" t="s">
        <v>1685</v>
      </c>
      <c r="B66" s="0" t="s">
        <v>934</v>
      </c>
      <c r="C66" s="0" t="n">
        <f aca="false">SUMIFS(Breakdown!$D$2:$D$837,Breakdown!$B$2:$B$837,A66,Breakdown!$C$2:$C$837,B66)</f>
        <v>77.03</v>
      </c>
      <c r="D66" s="0" t="s">
        <v>1896</v>
      </c>
      <c r="E66" s="0" t="n">
        <f aca="false">Inputs!$B$2</f>
        <v>0.15</v>
      </c>
      <c r="F66" s="0" t="n">
        <f aca="false">ROUND(C66*E66,2)</f>
        <v>11.55</v>
      </c>
      <c r="G66" s="0" t="n">
        <f aca="false">C66+F66</f>
        <v>88.58</v>
      </c>
      <c r="H66" s="0" t="n">
        <f aca="false">Inputs!$B$5</f>
        <v>10</v>
      </c>
      <c r="I66" s="0" t="n">
        <f aca="false">ROUNDUP(G66/H66,0)</f>
        <v>9</v>
      </c>
      <c r="J66" s="0" t="s">
        <v>429</v>
      </c>
    </row>
    <row r="67" customFormat="false" ht="15" hidden="false" customHeight="false" outlineLevel="0" collapsed="false">
      <c r="A67" s="0" t="s">
        <v>1660</v>
      </c>
      <c r="B67" s="0" t="s">
        <v>934</v>
      </c>
      <c r="C67" s="0" t="n">
        <f aca="false">SUMIFS(Breakdown!$D$2:$D$837,Breakdown!$B$2:$B$837,A67,Breakdown!$C$2:$C$837,B67)</f>
        <v>190.87</v>
      </c>
      <c r="D67" s="0" t="s">
        <v>1896</v>
      </c>
      <c r="E67" s="0" t="n">
        <f aca="false">Inputs!$B$2</f>
        <v>0.15</v>
      </c>
      <c r="F67" s="0" t="n">
        <f aca="false">ROUND(C67*E67,2)</f>
        <v>28.63</v>
      </c>
      <c r="G67" s="0" t="n">
        <f aca="false">C67+F67</f>
        <v>219.5</v>
      </c>
      <c r="H67" s="0" t="n">
        <f aca="false">Inputs!$B$5</f>
        <v>10</v>
      </c>
      <c r="I67" s="0" t="n">
        <f aca="false">ROUNDUP(G67/H67,0)</f>
        <v>22</v>
      </c>
      <c r="J67" s="0" t="s">
        <v>1911</v>
      </c>
    </row>
    <row r="68" customFormat="false" ht="15" hidden="false" customHeight="false" outlineLevel="0" collapsed="false">
      <c r="A68" s="0" t="s">
        <v>1724</v>
      </c>
      <c r="B68" s="0" t="s">
        <v>934</v>
      </c>
      <c r="C68" s="0" t="n">
        <f aca="false">SUMIFS(Breakdown!$D$2:$D$837,Breakdown!$B$2:$B$837,A68,Breakdown!$C$2:$C$837,B68)</f>
        <v>24.04</v>
      </c>
      <c r="D68" s="0" t="s">
        <v>1896</v>
      </c>
      <c r="E68" s="0" t="n">
        <f aca="false">Inputs!$B$2</f>
        <v>0.15</v>
      </c>
      <c r="F68" s="0" t="n">
        <f aca="false">ROUND(C68*E68,2)</f>
        <v>3.61</v>
      </c>
      <c r="G68" s="0" t="n">
        <f aca="false">C68+F68</f>
        <v>27.65</v>
      </c>
      <c r="H68" s="0" t="n">
        <f aca="false">Inputs!$B$5</f>
        <v>10</v>
      </c>
      <c r="I68" s="0" t="n">
        <f aca="false">ROUNDUP(G68/H68,0)</f>
        <v>3</v>
      </c>
      <c r="J68" s="0" t="s">
        <v>440</v>
      </c>
    </row>
    <row r="69" customFormat="false" ht="15" hidden="false" customHeight="false" outlineLevel="0" collapsed="false">
      <c r="A69" s="0" t="s">
        <v>1721</v>
      </c>
      <c r="B69" s="0" t="s">
        <v>934</v>
      </c>
      <c r="C69" s="0" t="n">
        <f aca="false">SUMIFS(Breakdown!$D$2:$D$837,Breakdown!$B$2:$B$837,A69,Breakdown!$C$2:$C$837,B69)</f>
        <v>24.04</v>
      </c>
      <c r="D69" s="0" t="s">
        <v>1896</v>
      </c>
      <c r="E69" s="0" t="n">
        <f aca="false">Inputs!$B$2</f>
        <v>0.15</v>
      </c>
      <c r="F69" s="0" t="n">
        <f aca="false">ROUND(C69*E69,2)</f>
        <v>3.61</v>
      </c>
      <c r="G69" s="0" t="n">
        <f aca="false">C69+F69</f>
        <v>27.65</v>
      </c>
      <c r="H69" s="0" t="n">
        <f aca="false">Inputs!$B$5</f>
        <v>10</v>
      </c>
      <c r="I69" s="0" t="n">
        <f aca="false">ROUNDUP(G69/H69,0)</f>
        <v>3</v>
      </c>
      <c r="J69" s="0" t="s">
        <v>440</v>
      </c>
    </row>
    <row r="70" customFormat="false" ht="15" hidden="false" customHeight="false" outlineLevel="0" collapsed="false">
      <c r="A70" s="0" t="s">
        <v>1604</v>
      </c>
      <c r="B70" s="0" t="s">
        <v>934</v>
      </c>
      <c r="C70" s="0" t="n">
        <f aca="false">SUMIFS(Breakdown!$D$2:$D$837,Breakdown!$B$2:$B$837,A70,Breakdown!$C$2:$C$837,B70)</f>
        <v>481.4</v>
      </c>
      <c r="D70" s="0" t="s">
        <v>1896</v>
      </c>
      <c r="E70" s="0" t="n">
        <f aca="false">Inputs!$B$2</f>
        <v>0.15</v>
      </c>
      <c r="F70" s="0" t="n">
        <f aca="false">ROUND(C70*E70,2)</f>
        <v>72.21</v>
      </c>
      <c r="G70" s="0" t="n">
        <f aca="false">C70+F70</f>
        <v>553.61</v>
      </c>
      <c r="H70" s="0" t="n">
        <f aca="false">Inputs!$B$5</f>
        <v>10</v>
      </c>
      <c r="I70" s="0" t="n">
        <f aca="false">ROUNDUP(G70/H70,0)</f>
        <v>56</v>
      </c>
      <c r="J70" s="0" t="s">
        <v>1900</v>
      </c>
    </row>
    <row r="71" customFormat="false" ht="15" hidden="false" customHeight="false" outlineLevel="0" collapsed="false">
      <c r="A71" s="0" t="s">
        <v>1634</v>
      </c>
      <c r="B71" s="0" t="s">
        <v>934</v>
      </c>
      <c r="C71" s="0" t="n">
        <f aca="false">SUMIFS(Breakdown!$D$2:$D$837,Breakdown!$B$2:$B$837,A71,Breakdown!$C$2:$C$837,B71)</f>
        <v>37.3</v>
      </c>
      <c r="D71" s="0" t="s">
        <v>1896</v>
      </c>
      <c r="E71" s="0" t="n">
        <f aca="false">Inputs!$B$2</f>
        <v>0.15</v>
      </c>
      <c r="F71" s="0" t="n">
        <f aca="false">ROUND(C71*E71,2)</f>
        <v>5.6</v>
      </c>
      <c r="G71" s="0" t="n">
        <f aca="false">C71+F71</f>
        <v>42.9</v>
      </c>
      <c r="H71" s="0" t="n">
        <f aca="false">Inputs!$B$5</f>
        <v>10</v>
      </c>
      <c r="I71" s="0" t="n">
        <f aca="false">ROUNDUP(G71/H71,0)</f>
        <v>5</v>
      </c>
      <c r="J71" s="0" t="s">
        <v>404</v>
      </c>
    </row>
    <row r="72" customFormat="false" ht="15" hidden="false" customHeight="false" outlineLevel="0" collapsed="false">
      <c r="A72" s="0" t="s">
        <v>1218</v>
      </c>
      <c r="B72" s="0" t="s">
        <v>948</v>
      </c>
      <c r="C72" s="0" t="n">
        <f aca="false">SUMIFS(Breakdown!$D$2:$D$837,Breakdown!$B$2:$B$837,A72,Breakdown!$C$2:$C$837,B72)</f>
        <v>13.08</v>
      </c>
      <c r="D72" s="0" t="s">
        <v>1921</v>
      </c>
      <c r="E72" s="0" t="n">
        <f aca="false">Inputs!$B$3</f>
        <v>0.06</v>
      </c>
      <c r="F72" s="0" t="n">
        <f aca="false">ROUND(C72*E72,2)</f>
        <v>0.78</v>
      </c>
      <c r="G72" s="0" t="n">
        <f aca="false">C72+F72</f>
        <v>13.86</v>
      </c>
      <c r="H72" s="0" t="n">
        <f aca="false">(Inputs!$B$9*Inputs!$B$10)</f>
        <v>48</v>
      </c>
      <c r="I72" s="0" t="n">
        <f aca="false">ROUNDUP(G72/H72,0)</f>
        <v>1</v>
      </c>
      <c r="J72" s="0" t="s">
        <v>169</v>
      </c>
    </row>
    <row r="73" customFormat="false" ht="15" hidden="false" customHeight="false" outlineLevel="0" collapsed="false">
      <c r="A73" s="0" t="s">
        <v>1078</v>
      </c>
      <c r="B73" s="0" t="s">
        <v>948</v>
      </c>
      <c r="C73" s="0" t="n">
        <f aca="false">SUMIFS(Breakdown!$D$2:$D$837,Breakdown!$B$2:$B$837,A73,Breakdown!$C$2:$C$837,B73)</f>
        <v>27.87</v>
      </c>
      <c r="D73" s="0" t="s">
        <v>1921</v>
      </c>
      <c r="E73" s="0" t="n">
        <f aca="false">Inputs!$B$3</f>
        <v>0.06</v>
      </c>
      <c r="F73" s="0" t="n">
        <f aca="false">ROUND(C73*E73,2)</f>
        <v>1.67</v>
      </c>
      <c r="G73" s="0" t="n">
        <f aca="false">C73+F73</f>
        <v>29.54</v>
      </c>
      <c r="H73" s="0" t="n">
        <f aca="false">(Inputs!$B$9*Inputs!$B$10)</f>
        <v>48</v>
      </c>
      <c r="I73" s="0" t="n">
        <f aca="false">ROUNDUP(G73/H73,0)</f>
        <v>1</v>
      </c>
      <c r="J73" s="0" t="s">
        <v>96</v>
      </c>
    </row>
    <row r="74" customFormat="false" ht="15" hidden="false" customHeight="false" outlineLevel="0" collapsed="false">
      <c r="A74" s="0" t="s">
        <v>1463</v>
      </c>
      <c r="B74" s="0" t="s">
        <v>948</v>
      </c>
      <c r="C74" s="0" t="n">
        <f aca="false">SUMIFS(Breakdown!$D$2:$D$837,Breakdown!$B$2:$B$837,A74,Breakdown!$C$2:$C$837,B74)</f>
        <v>915.7</v>
      </c>
      <c r="D74" s="0" t="s">
        <v>1921</v>
      </c>
      <c r="E74" s="0" t="n">
        <f aca="false">Inputs!$B$3</f>
        <v>0.06</v>
      </c>
      <c r="F74" s="0" t="n">
        <f aca="false">ROUND(C74*E74,2)</f>
        <v>54.94</v>
      </c>
      <c r="G74" s="0" t="n">
        <f aca="false">C74+F74</f>
        <v>970.64</v>
      </c>
      <c r="H74" s="0" t="n">
        <f aca="false">(Inputs!$B$9*Inputs!$B$10)</f>
        <v>48</v>
      </c>
      <c r="I74" s="0" t="n">
        <f aca="false">ROUNDUP(G74/H74,0)</f>
        <v>21</v>
      </c>
      <c r="J74" s="0" t="s">
        <v>1902</v>
      </c>
    </row>
    <row r="75" customFormat="false" ht="15" hidden="false" customHeight="false" outlineLevel="0" collapsed="false">
      <c r="A75" s="0" t="s">
        <v>1460</v>
      </c>
      <c r="B75" s="0" t="s">
        <v>948</v>
      </c>
      <c r="C75" s="0" t="n">
        <f aca="false">SUMIFS(Breakdown!$D$2:$D$837,Breakdown!$B$2:$B$837,A75,Breakdown!$C$2:$C$837,B75)</f>
        <v>466.3</v>
      </c>
      <c r="D75" s="0" t="s">
        <v>1921</v>
      </c>
      <c r="E75" s="0" t="n">
        <f aca="false">Inputs!$B$3</f>
        <v>0.06</v>
      </c>
      <c r="F75" s="0" t="n">
        <f aca="false">ROUND(C75*E75,2)</f>
        <v>27.98</v>
      </c>
      <c r="G75" s="0" t="n">
        <f aca="false">C75+F75</f>
        <v>494.28</v>
      </c>
      <c r="H75" s="0" t="n">
        <f aca="false">(Inputs!$B$9*Inputs!$B$10)</f>
        <v>48</v>
      </c>
      <c r="I75" s="0" t="n">
        <f aca="false">ROUNDUP(G75/H75,0)</f>
        <v>11</v>
      </c>
      <c r="J75" s="0" t="s">
        <v>1902</v>
      </c>
    </row>
    <row r="76" customFormat="false" ht="15" hidden="false" customHeight="false" outlineLevel="0" collapsed="false">
      <c r="A76" s="0" t="s">
        <v>1826</v>
      </c>
      <c r="B76" s="0" t="s">
        <v>948</v>
      </c>
      <c r="C76" s="0" t="n">
        <f aca="false">SUMIFS(Breakdown!$D$2:$D$837,Breakdown!$B$2:$B$837,A76,Breakdown!$C$2:$C$837,B76)</f>
        <v>168.8</v>
      </c>
      <c r="D76" s="0" t="s">
        <v>1921</v>
      </c>
      <c r="E76" s="0" t="n">
        <f aca="false">Inputs!$B$3</f>
        <v>0.06</v>
      </c>
      <c r="F76" s="0" t="n">
        <f aca="false">ROUND(C76*E76,2)</f>
        <v>10.13</v>
      </c>
      <c r="G76" s="0" t="n">
        <f aca="false">C76+F76</f>
        <v>178.93</v>
      </c>
      <c r="H76" s="0" t="n">
        <f aca="false">(Inputs!$B$9*Inputs!$B$10)</f>
        <v>48</v>
      </c>
      <c r="I76" s="0" t="n">
        <f aca="false">ROUNDUP(G76/H76,0)</f>
        <v>4</v>
      </c>
      <c r="J76" s="0" t="s">
        <v>1922</v>
      </c>
    </row>
    <row r="77" customFormat="false" ht="15" hidden="false" customHeight="false" outlineLevel="0" collapsed="false">
      <c r="A77" s="0" t="s">
        <v>1469</v>
      </c>
      <c r="B77" s="0" t="s">
        <v>948</v>
      </c>
      <c r="C77" s="0" t="n">
        <f aca="false">SUMIFS(Breakdown!$D$2:$D$837,Breakdown!$B$2:$B$837,A77,Breakdown!$C$2:$C$837,B77)</f>
        <v>3221.4</v>
      </c>
      <c r="D77" s="0" t="s">
        <v>1921</v>
      </c>
      <c r="E77" s="0" t="n">
        <f aca="false">Inputs!$B$3</f>
        <v>0.06</v>
      </c>
      <c r="F77" s="0" t="n">
        <f aca="false">ROUND(C77*E77,2)</f>
        <v>193.28</v>
      </c>
      <c r="G77" s="0" t="n">
        <f aca="false">C77+F77</f>
        <v>3414.68</v>
      </c>
      <c r="H77" s="0" t="n">
        <f aca="false">(Inputs!$B$9*Inputs!$B$10)</f>
        <v>48</v>
      </c>
      <c r="I77" s="0" t="n">
        <f aca="false">ROUNDUP(G77/H77,0)</f>
        <v>72</v>
      </c>
      <c r="J77" s="0" t="s">
        <v>1902</v>
      </c>
    </row>
    <row r="78" customFormat="false" ht="15" hidden="false" customHeight="false" outlineLevel="0" collapsed="false">
      <c r="A78" s="0" t="s">
        <v>1073</v>
      </c>
      <c r="B78" s="0" t="s">
        <v>948</v>
      </c>
      <c r="C78" s="0" t="n">
        <f aca="false">SUMIFS(Breakdown!$D$2:$D$837,Breakdown!$B$2:$B$837,A78,Breakdown!$C$2:$C$837,B78)</f>
        <v>73.1</v>
      </c>
      <c r="D78" s="0" t="s">
        <v>1921</v>
      </c>
      <c r="E78" s="0" t="n">
        <f aca="false">Inputs!$B$3</f>
        <v>0.06</v>
      </c>
      <c r="F78" s="0" t="n">
        <f aca="false">ROUND(C78*E78,2)</f>
        <v>4.39</v>
      </c>
      <c r="G78" s="0" t="n">
        <f aca="false">C78+F78</f>
        <v>77.49</v>
      </c>
      <c r="H78" s="0" t="n">
        <f aca="false">(Inputs!$B$9*Inputs!$B$10)</f>
        <v>48</v>
      </c>
      <c r="I78" s="0" t="n">
        <f aca="false">ROUNDUP(G78/H78,0)</f>
        <v>2</v>
      </c>
      <c r="J78" s="0" t="s">
        <v>96</v>
      </c>
    </row>
    <row r="79" customFormat="false" ht="15" hidden="false" customHeight="false" outlineLevel="0" collapsed="false">
      <c r="A79" s="0" t="s">
        <v>1677</v>
      </c>
      <c r="B79" s="0" t="s">
        <v>948</v>
      </c>
      <c r="C79" s="0" t="n">
        <f aca="false">SUMIFS(Breakdown!$D$2:$D$837,Breakdown!$B$2:$B$837,A79,Breakdown!$C$2:$C$837,B79)</f>
        <v>77.03</v>
      </c>
      <c r="D79" s="0" t="s">
        <v>1921</v>
      </c>
      <c r="E79" s="0" t="n">
        <f aca="false">Inputs!$B$3</f>
        <v>0.06</v>
      </c>
      <c r="F79" s="0" t="n">
        <f aca="false">ROUND(C79*E79,2)</f>
        <v>4.62</v>
      </c>
      <c r="G79" s="0" t="n">
        <f aca="false">C79+F79</f>
        <v>81.65</v>
      </c>
      <c r="H79" s="0" t="n">
        <f aca="false">(Inputs!$B$9*Inputs!$B$10)</f>
        <v>48</v>
      </c>
      <c r="I79" s="0" t="n">
        <f aca="false">ROUNDUP(G79/H79,0)</f>
        <v>2</v>
      </c>
      <c r="J79" s="0" t="s">
        <v>429</v>
      </c>
    </row>
    <row r="80" customFormat="false" ht="15" hidden="false" customHeight="false" outlineLevel="0" collapsed="false">
      <c r="A80" s="0" t="s">
        <v>965</v>
      </c>
      <c r="B80" s="0" t="s">
        <v>948</v>
      </c>
      <c r="C80" s="0" t="n">
        <f aca="false">SUMIFS(Breakdown!$D$2:$D$837,Breakdown!$B$2:$B$837,A80,Breakdown!$C$2:$C$837,B80)</f>
        <v>752.49</v>
      </c>
      <c r="D80" s="0" t="s">
        <v>1921</v>
      </c>
      <c r="E80" s="0" t="n">
        <f aca="false">Inputs!$B$3</f>
        <v>0.06</v>
      </c>
      <c r="F80" s="0" t="n">
        <f aca="false">ROUND(C80*E80,2)</f>
        <v>45.15</v>
      </c>
      <c r="G80" s="0" t="n">
        <f aca="false">C80+F80</f>
        <v>797.64</v>
      </c>
      <c r="H80" s="0" t="n">
        <f aca="false">(Inputs!$B$9*Inputs!$B$10)</f>
        <v>48</v>
      </c>
      <c r="I80" s="0" t="n">
        <f aca="false">ROUNDUP(G80/H80,0)</f>
        <v>17</v>
      </c>
      <c r="J80" s="0" t="s">
        <v>1923</v>
      </c>
    </row>
    <row r="81" customFormat="false" ht="15" hidden="false" customHeight="false" outlineLevel="0" collapsed="false">
      <c r="A81" s="0" t="s">
        <v>951</v>
      </c>
      <c r="B81" s="0" t="s">
        <v>948</v>
      </c>
      <c r="C81" s="0" t="n">
        <f aca="false">SUMIFS(Breakdown!$D$2:$D$837,Breakdown!$B$2:$B$837,A81,Breakdown!$C$2:$C$837,B81)</f>
        <v>956.02</v>
      </c>
      <c r="D81" s="0" t="s">
        <v>1921</v>
      </c>
      <c r="E81" s="0" t="n">
        <f aca="false">Inputs!$B$3</f>
        <v>0.06</v>
      </c>
      <c r="F81" s="0" t="n">
        <f aca="false">ROUND(C81*E81,2)</f>
        <v>57.36</v>
      </c>
      <c r="G81" s="0" t="n">
        <f aca="false">C81+F81</f>
        <v>1013.38</v>
      </c>
      <c r="H81" s="0" t="n">
        <f aca="false">(Inputs!$B$9*Inputs!$B$10)</f>
        <v>48</v>
      </c>
      <c r="I81" s="0" t="n">
        <f aca="false">ROUNDUP(G81/H81,0)</f>
        <v>22</v>
      </c>
      <c r="J81" s="0" t="s">
        <v>1924</v>
      </c>
    </row>
    <row r="82" customFormat="false" ht="15" hidden="false" customHeight="false" outlineLevel="0" collapsed="false">
      <c r="A82" s="0" t="s">
        <v>947</v>
      </c>
      <c r="B82" s="0" t="s">
        <v>948</v>
      </c>
      <c r="C82" s="0" t="n">
        <f aca="false">SUMIFS(Breakdown!$D$2:$D$837,Breakdown!$B$2:$B$837,A82,Breakdown!$C$2:$C$837,B82)</f>
        <v>786.75</v>
      </c>
      <c r="D82" s="0" t="s">
        <v>1921</v>
      </c>
      <c r="E82" s="0" t="n">
        <f aca="false">Inputs!$B$3</f>
        <v>0.06</v>
      </c>
      <c r="F82" s="0" t="n">
        <f aca="false">ROUND(C82*E82,2)</f>
        <v>47.21</v>
      </c>
      <c r="G82" s="0" t="n">
        <f aca="false">C82+F82</f>
        <v>833.96</v>
      </c>
      <c r="H82" s="0" t="n">
        <f aca="false">(Inputs!$B$9*Inputs!$B$10)</f>
        <v>48</v>
      </c>
      <c r="I82" s="0" t="n">
        <f aca="false">ROUNDUP(G82/H82,0)</f>
        <v>18</v>
      </c>
      <c r="J82" s="0" t="s">
        <v>1925</v>
      </c>
    </row>
    <row r="83" customFormat="false" ht="15" hidden="false" customHeight="false" outlineLevel="0" collapsed="false">
      <c r="A83" s="0" t="s">
        <v>1028</v>
      </c>
      <c r="B83" s="0" t="s">
        <v>948</v>
      </c>
      <c r="C83" s="0" t="n">
        <f aca="false">SUMIFS(Breakdown!$D$2:$D$837,Breakdown!$B$2:$B$837,A83,Breakdown!$C$2:$C$837,B83)</f>
        <v>33.74</v>
      </c>
      <c r="D83" s="0" t="s">
        <v>1921</v>
      </c>
      <c r="E83" s="0" t="n">
        <f aca="false">Inputs!$B$3</f>
        <v>0.06</v>
      </c>
      <c r="F83" s="0" t="n">
        <f aca="false">ROUND(C83*E83,2)</f>
        <v>2.02</v>
      </c>
      <c r="G83" s="0" t="n">
        <f aca="false">C83+F83</f>
        <v>35.76</v>
      </c>
      <c r="H83" s="0" t="n">
        <f aca="false">(Inputs!$B$9*Inputs!$B$10)</f>
        <v>48</v>
      </c>
      <c r="I83" s="0" t="n">
        <f aca="false">ROUNDUP(G83/H83,0)</f>
        <v>1</v>
      </c>
      <c r="J83" s="0" t="s">
        <v>69</v>
      </c>
    </row>
    <row r="84" customFormat="false" ht="15" hidden="false" customHeight="false" outlineLevel="0" collapsed="false">
      <c r="A84" s="0" t="s">
        <v>1030</v>
      </c>
      <c r="B84" s="0" t="s">
        <v>948</v>
      </c>
      <c r="C84" s="0" t="n">
        <f aca="false">SUMIFS(Breakdown!$D$2:$D$837,Breakdown!$B$2:$B$837,A84,Breakdown!$C$2:$C$837,B84)</f>
        <v>37.12</v>
      </c>
      <c r="D84" s="0" t="s">
        <v>1921</v>
      </c>
      <c r="E84" s="0" t="n">
        <f aca="false">Inputs!$B$3</f>
        <v>0.06</v>
      </c>
      <c r="F84" s="0" t="n">
        <f aca="false">ROUND(C84*E84,2)</f>
        <v>2.23</v>
      </c>
      <c r="G84" s="0" t="n">
        <f aca="false">C84+F84</f>
        <v>39.35</v>
      </c>
      <c r="H84" s="0" t="n">
        <f aca="false">(Inputs!$B$9*Inputs!$B$10)</f>
        <v>48</v>
      </c>
      <c r="I84" s="0" t="n">
        <f aca="false">ROUNDUP(G84/H84,0)</f>
        <v>1</v>
      </c>
      <c r="J84" s="0" t="s">
        <v>69</v>
      </c>
    </row>
    <row r="85" customFormat="false" ht="15" hidden="false" customHeight="false" outlineLevel="0" collapsed="false">
      <c r="A85" s="0" t="s">
        <v>963</v>
      </c>
      <c r="B85" s="0" t="s">
        <v>948</v>
      </c>
      <c r="C85" s="0" t="n">
        <f aca="false">SUMIFS(Breakdown!$D$2:$D$837,Breakdown!$B$2:$B$837,A85,Breakdown!$C$2:$C$837,B85)</f>
        <v>659.5</v>
      </c>
      <c r="D85" s="0" t="s">
        <v>1921</v>
      </c>
      <c r="E85" s="0" t="n">
        <f aca="false">Inputs!$B$3</f>
        <v>0.06</v>
      </c>
      <c r="F85" s="0" t="n">
        <f aca="false">ROUND(C85*E85,2)</f>
        <v>39.57</v>
      </c>
      <c r="G85" s="0" t="n">
        <f aca="false">C85+F85</f>
        <v>699.07</v>
      </c>
      <c r="H85" s="0" t="n">
        <f aca="false">(Inputs!$B$9*Inputs!$B$10)</f>
        <v>48</v>
      </c>
      <c r="I85" s="0" t="n">
        <f aca="false">ROUNDUP(G85/H85,0)</f>
        <v>15</v>
      </c>
      <c r="J85" s="0" t="s">
        <v>1926</v>
      </c>
    </row>
    <row r="86" customFormat="false" ht="15" hidden="false" customHeight="false" outlineLevel="0" collapsed="false">
      <c r="A86" s="0" t="s">
        <v>1472</v>
      </c>
      <c r="B86" s="0" t="s">
        <v>948</v>
      </c>
      <c r="C86" s="0" t="n">
        <f aca="false">SUMIFS(Breakdown!$D$2:$D$837,Breakdown!$B$2:$B$837,A86,Breakdown!$C$2:$C$837,B86)</f>
        <v>113.4</v>
      </c>
      <c r="D86" s="0" t="s">
        <v>1921</v>
      </c>
      <c r="E86" s="0" t="n">
        <f aca="false">Inputs!$B$3</f>
        <v>0.06</v>
      </c>
      <c r="F86" s="0" t="n">
        <f aca="false">ROUND(C86*E86,2)</f>
        <v>6.8</v>
      </c>
      <c r="G86" s="0" t="n">
        <f aca="false">C86+F86</f>
        <v>120.2</v>
      </c>
      <c r="H86" s="0" t="n">
        <f aca="false">(Inputs!$B$9*Inputs!$B$10)</f>
        <v>48</v>
      </c>
      <c r="I86" s="0" t="n">
        <f aca="false">ROUNDUP(G86/H86,0)</f>
        <v>3</v>
      </c>
      <c r="J86" s="0" t="s">
        <v>1927</v>
      </c>
    </row>
    <row r="87" customFormat="false" ht="15" hidden="false" customHeight="false" outlineLevel="0" collapsed="false">
      <c r="A87" s="0" t="s">
        <v>1705</v>
      </c>
      <c r="B87" s="0" t="s">
        <v>948</v>
      </c>
      <c r="C87" s="0" t="n">
        <f aca="false">SUMIFS(Breakdown!$D$2:$D$837,Breakdown!$B$2:$B$837,A87,Breakdown!$C$2:$C$837,B87)</f>
        <v>41.07</v>
      </c>
      <c r="D87" s="0" t="s">
        <v>1921</v>
      </c>
      <c r="E87" s="0" t="n">
        <f aca="false">Inputs!$B$3</f>
        <v>0.06</v>
      </c>
      <c r="F87" s="0" t="n">
        <f aca="false">ROUND(C87*E87,2)</f>
        <v>2.46</v>
      </c>
      <c r="G87" s="0" t="n">
        <f aca="false">C87+F87</f>
        <v>43.53</v>
      </c>
      <c r="H87" s="0" t="n">
        <f aca="false">(Inputs!$B$9*Inputs!$B$10)</f>
        <v>48</v>
      </c>
      <c r="I87" s="0" t="n">
        <f aca="false">ROUNDUP(G87/H87,0)</f>
        <v>1</v>
      </c>
      <c r="J87" s="0" t="s">
        <v>440</v>
      </c>
    </row>
    <row r="88" customFormat="false" ht="15" hidden="false" customHeight="false" outlineLevel="0" collapsed="false">
      <c r="A88" s="0" t="s">
        <v>1708</v>
      </c>
      <c r="B88" s="0" t="s">
        <v>948</v>
      </c>
      <c r="C88" s="0" t="n">
        <f aca="false">SUMIFS(Breakdown!$D$2:$D$837,Breakdown!$B$2:$B$837,A88,Breakdown!$C$2:$C$837,B88)</f>
        <v>36.06</v>
      </c>
      <c r="D88" s="0" t="s">
        <v>1921</v>
      </c>
      <c r="E88" s="0" t="n">
        <f aca="false">Inputs!$B$3</f>
        <v>0.06</v>
      </c>
      <c r="F88" s="0" t="n">
        <f aca="false">ROUND(C88*E88,2)</f>
        <v>2.16</v>
      </c>
      <c r="G88" s="0" t="n">
        <f aca="false">C88+F88</f>
        <v>38.22</v>
      </c>
      <c r="H88" s="0" t="n">
        <f aca="false">(Inputs!$B$9*Inputs!$B$10)</f>
        <v>48</v>
      </c>
      <c r="I88" s="0" t="n">
        <f aca="false">ROUNDUP(G88/H88,0)</f>
        <v>1</v>
      </c>
      <c r="J88" s="0" t="s">
        <v>440</v>
      </c>
    </row>
    <row r="89" customFormat="false" ht="15" hidden="false" customHeight="false" outlineLevel="0" collapsed="false">
      <c r="A89" s="0" t="s">
        <v>1643</v>
      </c>
      <c r="B89" s="0" t="s">
        <v>948</v>
      </c>
      <c r="C89" s="0" t="n">
        <f aca="false">SUMIFS(Breakdown!$D$2:$D$837,Breakdown!$B$2:$B$837,A89,Breakdown!$C$2:$C$837,B89)</f>
        <v>90.6</v>
      </c>
      <c r="D89" s="0" t="s">
        <v>1921</v>
      </c>
      <c r="E89" s="0" t="n">
        <f aca="false">Inputs!$B$3</f>
        <v>0.06</v>
      </c>
      <c r="F89" s="0" t="n">
        <f aca="false">ROUND(C89*E89,2)</f>
        <v>5.44</v>
      </c>
      <c r="G89" s="0" t="n">
        <f aca="false">C89+F89</f>
        <v>96.04</v>
      </c>
      <c r="H89" s="0" t="n">
        <f aca="false">(Inputs!$B$9*Inputs!$B$10)</f>
        <v>48</v>
      </c>
      <c r="I89" s="0" t="n">
        <f aca="false">ROUNDUP(G89/H89,0)</f>
        <v>3</v>
      </c>
      <c r="J89" s="0" t="s">
        <v>411</v>
      </c>
    </row>
    <row r="90" customFormat="false" ht="15" hidden="false" customHeight="false" outlineLevel="0" collapsed="false">
      <c r="A90" s="0" t="s">
        <v>1649</v>
      </c>
      <c r="B90" s="0" t="s">
        <v>948</v>
      </c>
      <c r="C90" s="0" t="n">
        <f aca="false">SUMIFS(Breakdown!$D$2:$D$837,Breakdown!$B$2:$B$837,A90,Breakdown!$C$2:$C$837,B90)</f>
        <v>934.69</v>
      </c>
      <c r="D90" s="0" t="s">
        <v>1921</v>
      </c>
      <c r="E90" s="0" t="n">
        <f aca="false">Inputs!$B$3</f>
        <v>0.06</v>
      </c>
      <c r="F90" s="0" t="n">
        <f aca="false">ROUND(C90*E90,2)</f>
        <v>56.08</v>
      </c>
      <c r="G90" s="0" t="n">
        <f aca="false">C90+F90</f>
        <v>990.77</v>
      </c>
      <c r="H90" s="0" t="n">
        <f aca="false">(Inputs!$B$9*Inputs!$B$10)</f>
        <v>48</v>
      </c>
      <c r="I90" s="0" t="n">
        <f aca="false">ROUNDUP(G90/H90,0)</f>
        <v>21</v>
      </c>
      <c r="J90" s="0" t="s">
        <v>1911</v>
      </c>
    </row>
    <row r="91" customFormat="false" ht="15" hidden="false" customHeight="false" outlineLevel="0" collapsed="false">
      <c r="A91" s="0" t="s">
        <v>1070</v>
      </c>
      <c r="B91" s="0" t="s">
        <v>948</v>
      </c>
      <c r="C91" s="0" t="n">
        <f aca="false">SUMIFS(Breakdown!$D$2:$D$837,Breakdown!$B$2:$B$837,A91,Breakdown!$C$2:$C$837,B91)</f>
        <v>73.1</v>
      </c>
      <c r="D91" s="0" t="s">
        <v>1921</v>
      </c>
      <c r="E91" s="0" t="n">
        <f aca="false">Inputs!$B$3</f>
        <v>0.06</v>
      </c>
      <c r="F91" s="0" t="n">
        <f aca="false">ROUND(C91*E91,2)</f>
        <v>4.39</v>
      </c>
      <c r="G91" s="0" t="n">
        <f aca="false">C91+F91</f>
        <v>77.49</v>
      </c>
      <c r="H91" s="0" t="n">
        <f aca="false">(Inputs!$B$9*Inputs!$B$10)</f>
        <v>48</v>
      </c>
      <c r="I91" s="0" t="n">
        <f aca="false">ROUNDUP(G91/H91,0)</f>
        <v>2</v>
      </c>
      <c r="J91" s="0" t="s">
        <v>96</v>
      </c>
    </row>
    <row r="92" customFormat="false" ht="15" hidden="false" customHeight="false" outlineLevel="0" collapsed="false">
      <c r="A92" s="0" t="s">
        <v>1151</v>
      </c>
      <c r="B92" s="0" t="s">
        <v>948</v>
      </c>
      <c r="C92" s="0" t="n">
        <f aca="false">SUMIFS(Breakdown!$D$2:$D$837,Breakdown!$B$2:$B$837,A92,Breakdown!$C$2:$C$837,B92)</f>
        <v>747.29</v>
      </c>
      <c r="D92" s="0" t="s">
        <v>1921</v>
      </c>
      <c r="E92" s="0" t="n">
        <f aca="false">Inputs!$B$3</f>
        <v>0.06</v>
      </c>
      <c r="F92" s="0" t="n">
        <f aca="false">ROUND(C92*E92,2)</f>
        <v>44.84</v>
      </c>
      <c r="G92" s="0" t="n">
        <f aca="false">C92+F92</f>
        <v>792.13</v>
      </c>
      <c r="H92" s="0" t="n">
        <f aca="false">(Inputs!$B$9*Inputs!$B$10)</f>
        <v>48</v>
      </c>
      <c r="I92" s="0" t="n">
        <f aca="false">ROUNDUP(G92/H92,0)</f>
        <v>17</v>
      </c>
      <c r="J92" s="0" t="s">
        <v>1901</v>
      </c>
    </row>
    <row r="93" customFormat="false" ht="15" hidden="false" customHeight="false" outlineLevel="0" collapsed="false">
      <c r="A93" s="0" t="s">
        <v>1242</v>
      </c>
      <c r="B93" s="0" t="s">
        <v>948</v>
      </c>
      <c r="C93" s="0" t="n">
        <f aca="false">SUMIFS(Breakdown!$D$2:$D$837,Breakdown!$B$2:$B$837,A93,Breakdown!$C$2:$C$837,B93)</f>
        <v>7346.7</v>
      </c>
      <c r="D93" s="0" t="s">
        <v>1921</v>
      </c>
      <c r="E93" s="0" t="n">
        <f aca="false">Inputs!$B$3</f>
        <v>0.06</v>
      </c>
      <c r="F93" s="0" t="n">
        <f aca="false">ROUND(C93*E93,2)</f>
        <v>440.8</v>
      </c>
      <c r="G93" s="0" t="n">
        <f aca="false">C93+F93</f>
        <v>7787.5</v>
      </c>
      <c r="H93" s="0" t="n">
        <f aca="false">(Inputs!$B$9*Inputs!$B$10)</f>
        <v>48</v>
      </c>
      <c r="I93" s="0" t="n">
        <f aca="false">ROUNDUP(G93/H93,0)</f>
        <v>163</v>
      </c>
      <c r="J93" s="0" t="s">
        <v>1897</v>
      </c>
    </row>
    <row r="94" customFormat="false" ht="15" hidden="false" customHeight="false" outlineLevel="0" collapsed="false">
      <c r="A94" s="0" t="s">
        <v>1331</v>
      </c>
      <c r="B94" s="0" t="s">
        <v>948</v>
      </c>
      <c r="C94" s="0" t="n">
        <f aca="false">SUMIFS(Breakdown!$D$2:$D$837,Breakdown!$B$2:$B$837,A94,Breakdown!$C$2:$C$837,B94)</f>
        <v>156.56</v>
      </c>
      <c r="D94" s="0" t="s">
        <v>1921</v>
      </c>
      <c r="E94" s="0" t="n">
        <f aca="false">Inputs!$B$3</f>
        <v>0.06</v>
      </c>
      <c r="F94" s="0" t="n">
        <f aca="false">ROUND(C94*E94,2)</f>
        <v>9.39</v>
      </c>
      <c r="G94" s="0" t="n">
        <f aca="false">C94+F94</f>
        <v>165.95</v>
      </c>
      <c r="H94" s="0" t="n">
        <f aca="false">(Inputs!$B$9*Inputs!$B$10)</f>
        <v>48</v>
      </c>
      <c r="I94" s="0" t="n">
        <f aca="false">ROUNDUP(G94/H94,0)</f>
        <v>4</v>
      </c>
      <c r="J94" s="0" t="s">
        <v>229</v>
      </c>
    </row>
    <row r="95" customFormat="false" ht="15" hidden="false" customHeight="false" outlineLevel="0" collapsed="false">
      <c r="A95" s="0" t="s">
        <v>1221</v>
      </c>
      <c r="B95" s="0" t="s">
        <v>948</v>
      </c>
      <c r="C95" s="0" t="n">
        <f aca="false">SUMIFS(Breakdown!$D$2:$D$837,Breakdown!$B$2:$B$837,A95,Breakdown!$C$2:$C$837,B95)</f>
        <v>27.27</v>
      </c>
      <c r="D95" s="0" t="s">
        <v>1921</v>
      </c>
      <c r="E95" s="0" t="n">
        <f aca="false">Inputs!$B$3</f>
        <v>0.06</v>
      </c>
      <c r="F95" s="0" t="n">
        <f aca="false">ROUND(C95*E95,2)</f>
        <v>1.64</v>
      </c>
      <c r="G95" s="0" t="n">
        <f aca="false">C95+F95</f>
        <v>28.91</v>
      </c>
      <c r="H95" s="0" t="n">
        <f aca="false">(Inputs!$B$9*Inputs!$B$10)</f>
        <v>48</v>
      </c>
      <c r="I95" s="0" t="n">
        <f aca="false">ROUNDUP(G95/H95,0)</f>
        <v>1</v>
      </c>
      <c r="J95" s="0" t="s">
        <v>169</v>
      </c>
    </row>
    <row r="96" customFormat="false" ht="15" hidden="false" customHeight="false" outlineLevel="0" collapsed="false">
      <c r="A96" s="0" t="s">
        <v>1223</v>
      </c>
      <c r="B96" s="0" t="s">
        <v>948</v>
      </c>
      <c r="C96" s="0" t="n">
        <f aca="false">SUMIFS(Breakdown!$D$2:$D$837,Breakdown!$B$2:$B$837,A96,Breakdown!$C$2:$C$837,B96)</f>
        <v>9.84</v>
      </c>
      <c r="D96" s="0" t="s">
        <v>1921</v>
      </c>
      <c r="E96" s="0" t="n">
        <f aca="false">Inputs!$B$3</f>
        <v>0.06</v>
      </c>
      <c r="F96" s="0" t="n">
        <f aca="false">ROUND(C96*E96,2)</f>
        <v>0.59</v>
      </c>
      <c r="G96" s="0" t="n">
        <f aca="false">C96+F96</f>
        <v>10.43</v>
      </c>
      <c r="H96" s="0" t="n">
        <f aca="false">(Inputs!$B$9*Inputs!$B$10)</f>
        <v>48</v>
      </c>
      <c r="I96" s="0" t="n">
        <f aca="false">ROUNDUP(G96/H96,0)</f>
        <v>1</v>
      </c>
      <c r="J96" s="0" t="s">
        <v>169</v>
      </c>
    </row>
    <row r="97" customFormat="false" ht="15" hidden="false" customHeight="false" outlineLevel="0" collapsed="false">
      <c r="A97" s="0" t="s">
        <v>1328</v>
      </c>
      <c r="B97" s="0" t="s">
        <v>948</v>
      </c>
      <c r="C97" s="0" t="n">
        <f aca="false">SUMIFS(Breakdown!$D$2:$D$837,Breakdown!$B$2:$B$837,A97,Breakdown!$C$2:$C$837,B97)</f>
        <v>168.54</v>
      </c>
      <c r="D97" s="0" t="s">
        <v>1921</v>
      </c>
      <c r="E97" s="0" t="n">
        <f aca="false">Inputs!$B$3</f>
        <v>0.06</v>
      </c>
      <c r="F97" s="0" t="n">
        <f aca="false">ROUND(C97*E97,2)</f>
        <v>10.11</v>
      </c>
      <c r="G97" s="0" t="n">
        <f aca="false">C97+F97</f>
        <v>178.65</v>
      </c>
      <c r="H97" s="0" t="n">
        <f aca="false">(Inputs!$B$9*Inputs!$B$10)</f>
        <v>48</v>
      </c>
      <c r="I97" s="0" t="n">
        <f aca="false">ROUNDUP(G97/H97,0)</f>
        <v>4</v>
      </c>
      <c r="J97" s="0" t="s">
        <v>229</v>
      </c>
    </row>
    <row r="98" customFormat="false" ht="15" hidden="false" customHeight="false" outlineLevel="0" collapsed="false">
      <c r="A98" s="0" t="s">
        <v>1385</v>
      </c>
      <c r="B98" s="0" t="s">
        <v>948</v>
      </c>
      <c r="C98" s="0" t="n">
        <f aca="false">SUMIFS(Breakdown!$D$2:$D$837,Breakdown!$B$2:$B$837,A98,Breakdown!$C$2:$C$837,B98)</f>
        <v>26</v>
      </c>
      <c r="D98" s="0" t="s">
        <v>1921</v>
      </c>
      <c r="E98" s="0" t="n">
        <f aca="false">Inputs!$B$3</f>
        <v>0.06</v>
      </c>
      <c r="F98" s="0" t="n">
        <f aca="false">ROUND(C98*E98,2)</f>
        <v>1.56</v>
      </c>
      <c r="G98" s="0" t="n">
        <f aca="false">C98+F98</f>
        <v>27.56</v>
      </c>
      <c r="H98" s="0" t="n">
        <f aca="false">(Inputs!$B$9*Inputs!$B$10)</f>
        <v>48</v>
      </c>
      <c r="I98" s="0" t="n">
        <f aca="false">ROUNDUP(G98/H98,0)</f>
        <v>1</v>
      </c>
      <c r="J98" s="0" t="s">
        <v>1915</v>
      </c>
    </row>
    <row r="99" customFormat="false" ht="15" hidden="false" customHeight="false" outlineLevel="0" collapsed="false">
      <c r="A99" s="0" t="s">
        <v>1213</v>
      </c>
      <c r="B99" s="0" t="s">
        <v>948</v>
      </c>
      <c r="C99" s="0" t="n">
        <f aca="false">SUMIFS(Breakdown!$D$2:$D$837,Breakdown!$B$2:$B$837,A99,Breakdown!$C$2:$C$837,B99)</f>
        <v>27.27</v>
      </c>
      <c r="D99" s="0" t="s">
        <v>1921</v>
      </c>
      <c r="E99" s="0" t="n">
        <f aca="false">Inputs!$B$3</f>
        <v>0.06</v>
      </c>
      <c r="F99" s="0" t="n">
        <f aca="false">ROUND(C99*E99,2)</f>
        <v>1.64</v>
      </c>
      <c r="G99" s="0" t="n">
        <f aca="false">C99+F99</f>
        <v>28.91</v>
      </c>
      <c r="H99" s="0" t="n">
        <f aca="false">(Inputs!$B$9*Inputs!$B$10)</f>
        <v>48</v>
      </c>
      <c r="I99" s="0" t="n">
        <f aca="false">ROUNDUP(G99/H99,0)</f>
        <v>1</v>
      </c>
      <c r="J99" s="0" t="s">
        <v>169</v>
      </c>
    </row>
    <row r="100" customFormat="false" ht="15" hidden="false" customHeight="false" outlineLevel="0" collapsed="false">
      <c r="A100" s="0" t="s">
        <v>1871</v>
      </c>
      <c r="B100" s="0" t="s">
        <v>1254</v>
      </c>
      <c r="C100" s="0" t="n">
        <f aca="false">SUMIFS(Breakdown!$D$2:$D$837,Breakdown!$B$2:$B$837,A100,Breakdown!$C$2:$C$837,B100)</f>
        <v>1</v>
      </c>
      <c r="D100" s="0" t="s">
        <v>1921</v>
      </c>
      <c r="E100" s="0" t="n">
        <f aca="false">Inputs!$B$3</f>
        <v>0.06</v>
      </c>
      <c r="F100" s="0" t="n">
        <f aca="false">ROUND(C100*E100,2)</f>
        <v>0.06</v>
      </c>
      <c r="G100" s="0" t="n">
        <f aca="false">C100+F100</f>
        <v>1.06</v>
      </c>
      <c r="J100" s="0" t="s">
        <v>889</v>
      </c>
    </row>
    <row r="101" customFormat="false" ht="15" hidden="false" customHeight="false" outlineLevel="0" collapsed="false">
      <c r="A101" s="0" t="s">
        <v>1158</v>
      </c>
      <c r="B101" s="0" t="s">
        <v>934</v>
      </c>
      <c r="C101" s="0" t="n">
        <f aca="false">SUMIFS(Breakdown!$D$2:$D$837,Breakdown!$B$2:$B$837,A101,Breakdown!$C$2:$C$837,B101)</f>
        <v>889.91</v>
      </c>
      <c r="D101" s="0" t="s">
        <v>1921</v>
      </c>
      <c r="E101" s="0" t="n">
        <f aca="false">Inputs!$B$3</f>
        <v>0.06</v>
      </c>
      <c r="F101" s="0" t="n">
        <f aca="false">ROUND(C101*E101,2)</f>
        <v>53.39</v>
      </c>
      <c r="G101" s="0" t="n">
        <f aca="false">C101+F101</f>
        <v>943.3</v>
      </c>
      <c r="J101" s="0" t="s">
        <v>1928</v>
      </c>
    </row>
    <row r="102" customFormat="false" ht="15" hidden="false" customHeight="false" outlineLevel="0" collapsed="false">
      <c r="A102" s="0" t="s">
        <v>1481</v>
      </c>
      <c r="B102" s="0" t="s">
        <v>934</v>
      </c>
      <c r="C102" s="0" t="n">
        <f aca="false">SUMIFS(Breakdown!$D$2:$D$837,Breakdown!$B$2:$B$837,A102,Breakdown!$C$2:$C$837,B102)</f>
        <v>211.7</v>
      </c>
      <c r="D102" s="0" t="s">
        <v>1921</v>
      </c>
      <c r="E102" s="0" t="n">
        <f aca="false">Inputs!$B$3</f>
        <v>0.06</v>
      </c>
      <c r="F102" s="0" t="n">
        <f aca="false">ROUND(C102*E102,2)</f>
        <v>12.7</v>
      </c>
      <c r="G102" s="0" t="n">
        <f aca="false">C102+F102</f>
        <v>224.4</v>
      </c>
      <c r="J102" s="0" t="s">
        <v>1902</v>
      </c>
    </row>
    <row r="103" customFormat="false" ht="15" hidden="false" customHeight="false" outlineLevel="0" collapsed="false">
      <c r="A103" s="0" t="s">
        <v>956</v>
      </c>
      <c r="B103" s="0" t="s">
        <v>934</v>
      </c>
      <c r="C103" s="0" t="n">
        <f aca="false">SUMIFS(Breakdown!$D$2:$D$837,Breakdown!$B$2:$B$837,A103,Breakdown!$C$2:$C$837,B103)</f>
        <v>466.62</v>
      </c>
      <c r="D103" s="0" t="s">
        <v>1921</v>
      </c>
      <c r="E103" s="0" t="n">
        <f aca="false">Inputs!$B$3</f>
        <v>0.06</v>
      </c>
      <c r="F103" s="0" t="n">
        <f aca="false">ROUND(C103*E103,2)</f>
        <v>28</v>
      </c>
      <c r="G103" s="0" t="n">
        <f aca="false">C103+F103</f>
        <v>494.62</v>
      </c>
      <c r="J103" s="0" t="s">
        <v>1910</v>
      </c>
    </row>
    <row r="104" customFormat="false" ht="15" hidden="false" customHeight="false" outlineLevel="0" collapsed="false">
      <c r="A104" s="0" t="s">
        <v>1075</v>
      </c>
      <c r="B104" s="0" t="s">
        <v>948</v>
      </c>
      <c r="C104" s="0" t="n">
        <f aca="false">SUMIFS(Breakdown!$D$2:$D$837,Breakdown!$B$2:$B$837,A104,Breakdown!$C$2:$C$837,B104)</f>
        <v>86.73</v>
      </c>
      <c r="D104" s="0" t="s">
        <v>1921</v>
      </c>
      <c r="E104" s="0" t="n">
        <f aca="false">Inputs!$B$3</f>
        <v>0.06</v>
      </c>
      <c r="F104" s="0" t="n">
        <f aca="false">ROUND(C104*E104,2)</f>
        <v>5.2</v>
      </c>
      <c r="G104" s="0" t="n">
        <f aca="false">C104+F104</f>
        <v>91.93</v>
      </c>
      <c r="H104" s="0" t="n">
        <f aca="false">(Inputs!$B$9*Inputs!$B$10)</f>
        <v>48</v>
      </c>
      <c r="I104" s="0" t="n">
        <f aca="false">ROUNDUP(G104/H104,0)</f>
        <v>2</v>
      </c>
      <c r="J104" s="0" t="s">
        <v>1929</v>
      </c>
    </row>
    <row r="105" customFormat="false" ht="15" hidden="false" customHeight="false" outlineLevel="0" collapsed="false">
      <c r="A105" s="0" t="s">
        <v>1398</v>
      </c>
      <c r="B105" s="0" t="s">
        <v>948</v>
      </c>
      <c r="C105" s="0" t="n">
        <f aca="false">SUMIFS(Breakdown!$D$2:$D$837,Breakdown!$B$2:$B$837,A105,Breakdown!$C$2:$C$837,B105)</f>
        <v>330.62</v>
      </c>
      <c r="D105" s="0" t="s">
        <v>1921</v>
      </c>
      <c r="E105" s="0" t="n">
        <f aca="false">Inputs!$B$3</f>
        <v>0.06</v>
      </c>
      <c r="F105" s="0" t="n">
        <f aca="false">ROUND(C105*E105,2)</f>
        <v>19.84</v>
      </c>
      <c r="G105" s="0" t="n">
        <f aca="false">C105+F105</f>
        <v>350.46</v>
      </c>
      <c r="J105" s="0" t="s">
        <v>1915</v>
      </c>
    </row>
    <row r="106" customFormat="false" ht="15" hidden="false" customHeight="false" outlineLevel="0" collapsed="false">
      <c r="A106" s="0" t="s">
        <v>1247</v>
      </c>
      <c r="B106" s="0" t="s">
        <v>948</v>
      </c>
      <c r="C106" s="0" t="n">
        <f aca="false">SUMIFS(Breakdown!$D$2:$D$837,Breakdown!$B$2:$B$837,A106,Breakdown!$C$2:$C$837,B106)</f>
        <v>1506.04</v>
      </c>
      <c r="D106" s="0" t="s">
        <v>1921</v>
      </c>
      <c r="E106" s="0" t="n">
        <f aca="false">Inputs!$B$3</f>
        <v>0.06</v>
      </c>
      <c r="F106" s="0" t="n">
        <f aca="false">ROUND(C106*E106,2)</f>
        <v>90.36</v>
      </c>
      <c r="G106" s="0" t="n">
        <f aca="false">C106+F106</f>
        <v>1596.4</v>
      </c>
      <c r="J106" s="0" t="s">
        <v>1905</v>
      </c>
    </row>
    <row r="107" customFormat="false" ht="15" hidden="false" customHeight="false" outlineLevel="0" collapsed="false">
      <c r="A107" s="0" t="s">
        <v>1334</v>
      </c>
      <c r="B107" s="0" t="s">
        <v>948</v>
      </c>
      <c r="C107" s="0" t="n">
        <f aca="false">SUMIFS(Breakdown!$D$2:$D$837,Breakdown!$B$2:$B$837,A107,Breakdown!$C$2:$C$837,B107)</f>
        <v>267.06</v>
      </c>
      <c r="D107" s="0" t="s">
        <v>1921</v>
      </c>
      <c r="E107" s="0" t="n">
        <f aca="false">Inputs!$B$3</f>
        <v>0.06</v>
      </c>
      <c r="F107" s="0" t="n">
        <f aca="false">ROUND(C107*E107,2)</f>
        <v>16.02</v>
      </c>
      <c r="G107" s="0" t="n">
        <f aca="false">C107+F107</f>
        <v>283.08</v>
      </c>
      <c r="J107" s="0" t="s">
        <v>229</v>
      </c>
    </row>
    <row r="108" customFormat="false" ht="15" hidden="false" customHeight="false" outlineLevel="0" collapsed="false">
      <c r="A108" s="0" t="s">
        <v>1699</v>
      </c>
      <c r="B108" s="0" t="s">
        <v>948</v>
      </c>
      <c r="C108" s="0" t="n">
        <f aca="false">SUMIFS(Breakdown!$D$2:$D$837,Breakdown!$B$2:$B$837,A108,Breakdown!$C$2:$C$837,B108)</f>
        <v>151.17</v>
      </c>
      <c r="D108" s="0" t="s">
        <v>1921</v>
      </c>
      <c r="E108" s="0" t="n">
        <f aca="false">Inputs!$B$3</f>
        <v>0.06</v>
      </c>
      <c r="F108" s="0" t="n">
        <f aca="false">ROUND(C108*E108,2)</f>
        <v>9.07</v>
      </c>
      <c r="G108" s="0" t="n">
        <f aca="false">C108+F108</f>
        <v>160.24</v>
      </c>
      <c r="J108" s="0" t="s">
        <v>1930</v>
      </c>
    </row>
    <row r="109" customFormat="false" ht="15" hidden="false" customHeight="false" outlineLevel="0" collapsed="false">
      <c r="A109" s="0" t="s">
        <v>1226</v>
      </c>
      <c r="B109" s="0" t="s">
        <v>948</v>
      </c>
      <c r="C109" s="0" t="n">
        <f aca="false">SUMIFS(Breakdown!$D$2:$D$837,Breakdown!$B$2:$B$837,A109,Breakdown!$C$2:$C$837,B109)</f>
        <v>27.27</v>
      </c>
      <c r="D109" s="0" t="s">
        <v>1921</v>
      </c>
      <c r="E109" s="0" t="n">
        <f aca="false">Inputs!$B$3</f>
        <v>0.06</v>
      </c>
      <c r="F109" s="0" t="n">
        <f aca="false">ROUND(C109*E109,2)</f>
        <v>1.64</v>
      </c>
      <c r="G109" s="0" t="n">
        <f aca="false">C109+F109</f>
        <v>28.91</v>
      </c>
      <c r="J109" s="0" t="s">
        <v>169</v>
      </c>
    </row>
    <row r="110" customFormat="false" ht="15" hidden="false" customHeight="false" outlineLevel="0" collapsed="false">
      <c r="A110" s="0" t="s">
        <v>1155</v>
      </c>
      <c r="B110" s="0" t="s">
        <v>948</v>
      </c>
      <c r="C110" s="0" t="n">
        <f aca="false">SUMIFS(Breakdown!$D$2:$D$837,Breakdown!$B$2:$B$837,A110,Breakdown!$C$2:$C$837,B110)</f>
        <v>271.23</v>
      </c>
      <c r="D110" s="0" t="s">
        <v>1921</v>
      </c>
      <c r="E110" s="0" t="n">
        <f aca="false">Inputs!$B$3</f>
        <v>0.06</v>
      </c>
      <c r="F110" s="0" t="n">
        <f aca="false">ROUND(C110*E110,2)</f>
        <v>16.27</v>
      </c>
      <c r="G110" s="0" t="n">
        <f aca="false">C110+F110</f>
        <v>287.5</v>
      </c>
      <c r="J110" s="0" t="s">
        <v>1931</v>
      </c>
    </row>
    <row r="111" customFormat="false" ht="15" hidden="false" customHeight="false" outlineLevel="0" collapsed="false">
      <c r="A111" s="0" t="s">
        <v>1829</v>
      </c>
      <c r="B111" s="0" t="s">
        <v>948</v>
      </c>
      <c r="C111" s="0" t="n">
        <f aca="false">SUMIFS(Breakdown!$D$2:$D$837,Breakdown!$B$2:$B$837,A111,Breakdown!$C$2:$C$837,B111)</f>
        <v>31.815</v>
      </c>
      <c r="D111" s="0" t="s">
        <v>1921</v>
      </c>
      <c r="E111" s="0" t="n">
        <f aca="false">Inputs!$B$3</f>
        <v>0.06</v>
      </c>
      <c r="F111" s="0" t="n">
        <f aca="false">ROUND(C111*E111,2)</f>
        <v>1.91</v>
      </c>
      <c r="G111" s="0" t="n">
        <f aca="false">C111+F111</f>
        <v>33.725</v>
      </c>
      <c r="H111" s="0" t="n">
        <f aca="false">(Inputs!$B$9*Inputs!$B$10)</f>
        <v>48</v>
      </c>
      <c r="I111" s="0" t="n">
        <f aca="false">ROUNDUP(G111/H111,0)</f>
        <v>1</v>
      </c>
      <c r="J111" s="0" t="s">
        <v>1932</v>
      </c>
    </row>
    <row r="112" customFormat="false" ht="15" hidden="false" customHeight="false" outlineLevel="0" collapsed="false">
      <c r="A112" s="0" t="s">
        <v>1882</v>
      </c>
      <c r="B112" s="0" t="s">
        <v>948</v>
      </c>
      <c r="C112" s="0" t="n">
        <f aca="false">SUMIFS(Breakdown!$D$2:$D$837,Breakdown!$B$2:$B$837,A112,Breakdown!$C$2:$C$837,B112)</f>
        <v>633</v>
      </c>
      <c r="D112" s="0" t="s">
        <v>1921</v>
      </c>
      <c r="E112" s="0" t="n">
        <f aca="false">Inputs!$B$3</f>
        <v>0.06</v>
      </c>
      <c r="F112" s="0" t="n">
        <f aca="false">ROUND(C112*E112,2)</f>
        <v>37.98</v>
      </c>
      <c r="G112" s="0" t="n">
        <f aca="false">C112+F112</f>
        <v>670.98</v>
      </c>
      <c r="J112" s="0" t="s">
        <v>908</v>
      </c>
    </row>
    <row r="113" customFormat="false" ht="15" hidden="false" customHeight="false" outlineLevel="0" collapsed="false">
      <c r="A113" s="0" t="s">
        <v>1868</v>
      </c>
      <c r="B113" s="0" t="s">
        <v>934</v>
      </c>
      <c r="C113" s="0" t="n">
        <f aca="false">SUMIFS(Breakdown!$D$2:$D$837,Breakdown!$B$2:$B$837,A113,Breakdown!$C$2:$C$837,B113)</f>
        <v>32</v>
      </c>
      <c r="D113" s="0" t="s">
        <v>1921</v>
      </c>
      <c r="E113" s="0" t="n">
        <f aca="false">Inputs!$B$3</f>
        <v>0.06</v>
      </c>
      <c r="F113" s="0" t="n">
        <f aca="false">ROUND(C113*E113,2)</f>
        <v>1.92</v>
      </c>
      <c r="G113" s="0" t="n">
        <f aca="false">C113+F113</f>
        <v>33.92</v>
      </c>
      <c r="J113" s="0" t="s">
        <v>884</v>
      </c>
    </row>
    <row r="114" customFormat="false" ht="15" hidden="false" customHeight="false" outlineLevel="0" collapsed="false">
      <c r="A114" s="0" t="s">
        <v>1874</v>
      </c>
      <c r="B114" s="0" t="s">
        <v>934</v>
      </c>
      <c r="C114" s="0" t="n">
        <f aca="false">SUMIFS(Breakdown!$D$2:$D$837,Breakdown!$B$2:$B$837,A114,Breakdown!$C$2:$C$837,B114)</f>
        <v>8</v>
      </c>
      <c r="D114" s="0" t="s">
        <v>1921</v>
      </c>
      <c r="E114" s="0" t="n">
        <f aca="false">Inputs!$B$3</f>
        <v>0.06</v>
      </c>
      <c r="F114" s="0" t="n">
        <f aca="false">ROUND(C114*E114,2)</f>
        <v>0.48</v>
      </c>
      <c r="G114" s="0" t="n">
        <f aca="false">C114+F114</f>
        <v>8.48</v>
      </c>
      <c r="J114" s="0" t="s">
        <v>889</v>
      </c>
    </row>
    <row r="115" customFormat="false" ht="15" hidden="false" customHeight="false" outlineLevel="0" collapsed="false">
      <c r="A115" s="0" t="s">
        <v>1841</v>
      </c>
      <c r="B115" s="0" t="s">
        <v>934</v>
      </c>
      <c r="C115" s="0" t="n">
        <f aca="false">SUMIFS(Breakdown!$D$2:$D$837,Breakdown!$B$2:$B$837,A115,Breakdown!$C$2:$C$837,B115)</f>
        <v>9.999</v>
      </c>
      <c r="D115" s="0" t="s">
        <v>1921</v>
      </c>
      <c r="E115" s="0" t="n">
        <f aca="false">Inputs!$B$3</f>
        <v>0.06</v>
      </c>
      <c r="F115" s="0" t="n">
        <f aca="false">ROUND(C115*E115,2)</f>
        <v>0.6</v>
      </c>
      <c r="G115" s="0" t="n">
        <f aca="false">C115+F115</f>
        <v>10.599</v>
      </c>
      <c r="J115" s="0" t="s">
        <v>1933</v>
      </c>
    </row>
    <row r="116" customFormat="false" ht="15" hidden="false" customHeight="false" outlineLevel="0" collapsed="false">
      <c r="A116" s="0" t="s">
        <v>1855</v>
      </c>
      <c r="B116" s="0" t="s">
        <v>934</v>
      </c>
      <c r="C116" s="0" t="n">
        <f aca="false">SUMIFS(Breakdown!$D$2:$D$837,Breakdown!$B$2:$B$837,A116,Breakdown!$C$2:$C$837,B116)</f>
        <v>3.667</v>
      </c>
      <c r="D116" s="0" t="s">
        <v>1921</v>
      </c>
      <c r="E116" s="0" t="n">
        <f aca="false">Inputs!$B$3</f>
        <v>0.06</v>
      </c>
      <c r="F116" s="0" t="n">
        <f aca="false">ROUND(C116*E116,2)</f>
        <v>0.22</v>
      </c>
      <c r="G116" s="0" t="n">
        <f aca="false">C116+F116</f>
        <v>3.887</v>
      </c>
      <c r="J116" s="0" t="s">
        <v>849</v>
      </c>
    </row>
    <row r="117" customFormat="false" ht="15" hidden="false" customHeight="false" outlineLevel="0" collapsed="false">
      <c r="A117" s="0" t="s">
        <v>1847</v>
      </c>
      <c r="B117" s="0" t="s">
        <v>934</v>
      </c>
      <c r="C117" s="0" t="n">
        <f aca="false">SUMIFS(Breakdown!$D$2:$D$837,Breakdown!$B$2:$B$837,A117,Breakdown!$C$2:$C$837,B117)</f>
        <v>4.333</v>
      </c>
      <c r="D117" s="0" t="s">
        <v>1921</v>
      </c>
      <c r="E117" s="0" t="n">
        <f aca="false">Inputs!$B$3</f>
        <v>0.06</v>
      </c>
      <c r="F117" s="0" t="n">
        <f aca="false">ROUND(C117*E117,2)</f>
        <v>0.26</v>
      </c>
      <c r="G117" s="0" t="n">
        <f aca="false">C117+F117</f>
        <v>4.593</v>
      </c>
      <c r="J117" s="0" t="s">
        <v>804</v>
      </c>
    </row>
    <row r="118" customFormat="false" ht="15" hidden="false" customHeight="false" outlineLevel="0" collapsed="false">
      <c r="A118" s="0" t="s">
        <v>1845</v>
      </c>
      <c r="B118" s="0" t="s">
        <v>934</v>
      </c>
      <c r="C118" s="0" t="n">
        <f aca="false">SUMIFS(Breakdown!$D$2:$D$837,Breakdown!$B$2:$B$837,A118,Breakdown!$C$2:$C$837,B118)</f>
        <v>4.667</v>
      </c>
      <c r="D118" s="0" t="s">
        <v>1921</v>
      </c>
      <c r="E118" s="0" t="n">
        <f aca="false">Inputs!$B$3</f>
        <v>0.06</v>
      </c>
      <c r="F118" s="0" t="n">
        <f aca="false">ROUND(C118*E118,2)</f>
        <v>0.28</v>
      </c>
      <c r="G118" s="0" t="n">
        <f aca="false">C118+F118</f>
        <v>4.947</v>
      </c>
      <c r="J118" s="0" t="s">
        <v>800</v>
      </c>
    </row>
    <row r="119" customFormat="false" ht="15" hidden="false" customHeight="false" outlineLevel="0" collapsed="false">
      <c r="A119" s="0" t="s">
        <v>1838</v>
      </c>
      <c r="B119" s="0" t="s">
        <v>934</v>
      </c>
      <c r="C119" s="0" t="n">
        <f aca="false">SUMIFS(Breakdown!$D$2:$D$837,Breakdown!$B$2:$B$837,A119,Breakdown!$C$2:$C$837,B119)</f>
        <v>4.333</v>
      </c>
      <c r="D119" s="0" t="s">
        <v>1921</v>
      </c>
      <c r="E119" s="0" t="n">
        <f aca="false">Inputs!$B$3</f>
        <v>0.06</v>
      </c>
      <c r="F119" s="0" t="n">
        <f aca="false">ROUND(C119*E119,2)</f>
        <v>0.26</v>
      </c>
      <c r="G119" s="0" t="n">
        <f aca="false">C119+F119</f>
        <v>4.593</v>
      </c>
      <c r="J119" s="0" t="s">
        <v>782</v>
      </c>
    </row>
    <row r="120" customFormat="false" ht="15" hidden="false" customHeight="false" outlineLevel="0" collapsed="false">
      <c r="A120" s="0" t="s">
        <v>1843</v>
      </c>
      <c r="B120" s="0" t="s">
        <v>934</v>
      </c>
      <c r="C120" s="0" t="n">
        <f aca="false">SUMIFS(Breakdown!$D$2:$D$837,Breakdown!$B$2:$B$837,A120,Breakdown!$C$2:$C$837,B120)</f>
        <v>10.668</v>
      </c>
      <c r="D120" s="0" t="s">
        <v>1921</v>
      </c>
      <c r="E120" s="0" t="n">
        <f aca="false">Inputs!$B$3</f>
        <v>0.06</v>
      </c>
      <c r="F120" s="0" t="n">
        <f aca="false">ROUND(C120*E120,2)</f>
        <v>0.64</v>
      </c>
      <c r="G120" s="0" t="n">
        <f aca="false">C120+F120</f>
        <v>11.308</v>
      </c>
      <c r="J120" s="0" t="s">
        <v>1934</v>
      </c>
    </row>
    <row r="121" customFormat="false" ht="15" hidden="false" customHeight="false" outlineLevel="0" collapsed="false">
      <c r="A121" s="0" t="s">
        <v>1853</v>
      </c>
      <c r="B121" s="0" t="s">
        <v>934</v>
      </c>
      <c r="C121" s="0" t="n">
        <f aca="false">SUMIFS(Breakdown!$D$2:$D$837,Breakdown!$B$2:$B$837,A121,Breakdown!$C$2:$C$837,B121)</f>
        <v>12</v>
      </c>
      <c r="D121" s="0" t="s">
        <v>1921</v>
      </c>
      <c r="E121" s="0" t="n">
        <f aca="false">Inputs!$B$3</f>
        <v>0.06</v>
      </c>
      <c r="F121" s="0" t="n">
        <f aca="false">ROUND(C121*E121,2)</f>
        <v>0.72</v>
      </c>
      <c r="G121" s="0" t="n">
        <f aca="false">C121+F121</f>
        <v>12.72</v>
      </c>
      <c r="J121" s="0" t="s">
        <v>1935</v>
      </c>
    </row>
    <row r="122" customFormat="false" ht="15" hidden="false" customHeight="false" outlineLevel="0" collapsed="false">
      <c r="A122" s="0" t="s">
        <v>1849</v>
      </c>
      <c r="B122" s="0" t="s">
        <v>934</v>
      </c>
      <c r="C122" s="0" t="n">
        <f aca="false">SUMIFS(Breakdown!$D$2:$D$837,Breakdown!$B$2:$B$837,A122,Breakdown!$C$2:$C$837,B122)</f>
        <v>5.334</v>
      </c>
      <c r="D122" s="0" t="s">
        <v>1921</v>
      </c>
      <c r="E122" s="0" t="n">
        <f aca="false">Inputs!$B$3</f>
        <v>0.06</v>
      </c>
      <c r="F122" s="0" t="n">
        <f aca="false">ROUND(C122*E122,2)</f>
        <v>0.32</v>
      </c>
      <c r="G122" s="0" t="n">
        <f aca="false">C122+F122</f>
        <v>5.654</v>
      </c>
      <c r="J122" s="0" t="s">
        <v>1936</v>
      </c>
    </row>
    <row r="123" customFormat="false" ht="15" hidden="false" customHeight="false" outlineLevel="0" collapsed="false">
      <c r="A123" s="0" t="s">
        <v>1850</v>
      </c>
      <c r="B123" s="0" t="s">
        <v>934</v>
      </c>
      <c r="C123" s="0" t="n">
        <f aca="false">SUMIFS(Breakdown!$D$2:$D$837,Breakdown!$B$2:$B$837,A123,Breakdown!$C$2:$C$837,B123)</f>
        <v>2.667</v>
      </c>
      <c r="D123" s="0" t="s">
        <v>1921</v>
      </c>
      <c r="E123" s="0" t="n">
        <f aca="false">Inputs!$B$3</f>
        <v>0.06</v>
      </c>
      <c r="F123" s="0" t="n">
        <f aca="false">ROUND(C123*E123,2)</f>
        <v>0.16</v>
      </c>
      <c r="G123" s="0" t="n">
        <f aca="false">C123+F123</f>
        <v>2.827</v>
      </c>
      <c r="J123" s="0" t="s">
        <v>815</v>
      </c>
    </row>
    <row r="124" customFormat="false" ht="15" hidden="false" customHeight="false" outlineLevel="0" collapsed="false">
      <c r="A124" s="0" t="s">
        <v>1852</v>
      </c>
      <c r="B124" s="0" t="s">
        <v>934</v>
      </c>
      <c r="C124" s="0" t="n">
        <f aca="false">SUMIFS(Breakdown!$D$2:$D$837,Breakdown!$B$2:$B$837,A124,Breakdown!$C$2:$C$837,B124)</f>
        <v>2.667</v>
      </c>
      <c r="D124" s="0" t="s">
        <v>1921</v>
      </c>
      <c r="E124" s="0" t="n">
        <f aca="false">Inputs!$B$3</f>
        <v>0.06</v>
      </c>
      <c r="F124" s="0" t="n">
        <f aca="false">ROUND(C124*E124,2)</f>
        <v>0.16</v>
      </c>
      <c r="G124" s="0" t="n">
        <f aca="false">C124+F124</f>
        <v>2.827</v>
      </c>
      <c r="J124" s="0" t="s">
        <v>826</v>
      </c>
    </row>
    <row r="125" customFormat="false" ht="15" hidden="false" customHeight="false" outlineLevel="0" collapsed="false">
      <c r="A125" s="0" t="s">
        <v>1857</v>
      </c>
      <c r="B125" s="0" t="s">
        <v>934</v>
      </c>
      <c r="C125" s="0" t="n">
        <f aca="false">SUMIFS(Breakdown!$D$2:$D$837,Breakdown!$B$2:$B$837,A125,Breakdown!$C$2:$C$837,B125)</f>
        <v>2.667</v>
      </c>
      <c r="D125" s="0" t="s">
        <v>1921</v>
      </c>
      <c r="E125" s="0" t="n">
        <f aca="false">Inputs!$B$3</f>
        <v>0.06</v>
      </c>
      <c r="F125" s="0" t="n">
        <f aca="false">ROUND(C125*E125,2)</f>
        <v>0.16</v>
      </c>
      <c r="G125" s="0" t="n">
        <f aca="false">C125+F125</f>
        <v>2.827</v>
      </c>
      <c r="J125" s="0" t="s">
        <v>856</v>
      </c>
    </row>
    <row r="126" customFormat="false" ht="15" hidden="false" customHeight="false" outlineLevel="0" collapsed="false">
      <c r="A126" s="0" t="s">
        <v>1851</v>
      </c>
      <c r="B126" s="0" t="s">
        <v>934</v>
      </c>
      <c r="C126" s="0" t="n">
        <f aca="false">SUMIFS(Breakdown!$D$2:$D$837,Breakdown!$B$2:$B$837,A126,Breakdown!$C$2:$C$837,B126)</f>
        <v>2.667</v>
      </c>
      <c r="D126" s="0" t="s">
        <v>1921</v>
      </c>
      <c r="E126" s="0" t="n">
        <f aca="false">Inputs!$B$3</f>
        <v>0.06</v>
      </c>
      <c r="F126" s="0" t="n">
        <f aca="false">ROUND(C126*E126,2)</f>
        <v>0.16</v>
      </c>
      <c r="G126" s="0" t="n">
        <f aca="false">C126+F126</f>
        <v>2.827</v>
      </c>
      <c r="J126" s="0" t="s">
        <v>822</v>
      </c>
    </row>
    <row r="127" customFormat="false" ht="15" hidden="false" customHeight="false" outlineLevel="0" collapsed="false">
      <c r="A127" s="0" t="s">
        <v>1865</v>
      </c>
      <c r="B127" s="0" t="s">
        <v>934</v>
      </c>
      <c r="C127" s="0" t="n">
        <f aca="false">SUMIFS(Breakdown!$D$2:$D$837,Breakdown!$B$2:$B$837,A127,Breakdown!$C$2:$C$837,B127)</f>
        <v>111.84</v>
      </c>
      <c r="D127" s="0" t="s">
        <v>1921</v>
      </c>
      <c r="E127" s="0" t="n">
        <f aca="false">Inputs!$B$3</f>
        <v>0.06</v>
      </c>
      <c r="F127" s="0" t="n">
        <f aca="false">ROUND(C127*E127,2)</f>
        <v>6.71</v>
      </c>
      <c r="G127" s="0" t="n">
        <f aca="false">C127+F127</f>
        <v>118.55</v>
      </c>
      <c r="J127" s="0" t="s">
        <v>878</v>
      </c>
    </row>
    <row r="128" customFormat="false" ht="15" hidden="false" customHeight="false" outlineLevel="0" collapsed="false">
      <c r="A128" s="0" t="s">
        <v>1876</v>
      </c>
      <c r="B128" s="0" t="s">
        <v>934</v>
      </c>
      <c r="C128" s="0" t="n">
        <f aca="false">SUMIFS(Breakdown!$D$2:$D$837,Breakdown!$B$2:$B$837,A128,Breakdown!$C$2:$C$837,B128)</f>
        <v>96</v>
      </c>
      <c r="D128" s="0" t="s">
        <v>1921</v>
      </c>
      <c r="E128" s="0" t="n">
        <f aca="false">Inputs!$B$3</f>
        <v>0.06</v>
      </c>
      <c r="F128" s="0" t="n">
        <f aca="false">ROUND(C128*E128,2)</f>
        <v>5.76</v>
      </c>
      <c r="G128" s="0" t="n">
        <f aca="false">C128+F128</f>
        <v>101.76</v>
      </c>
      <c r="J128" s="0" t="s">
        <v>901</v>
      </c>
    </row>
    <row r="129" customFormat="false" ht="15" hidden="false" customHeight="false" outlineLevel="0" collapsed="false">
      <c r="A129" s="0" t="s">
        <v>1858</v>
      </c>
      <c r="B129" s="0" t="s">
        <v>934</v>
      </c>
      <c r="C129" s="0" t="n">
        <f aca="false">SUMIFS(Breakdown!$D$2:$D$837,Breakdown!$B$2:$B$837,A129,Breakdown!$C$2:$C$837,B129)</f>
        <v>9.334</v>
      </c>
      <c r="D129" s="0" t="s">
        <v>1921</v>
      </c>
      <c r="E129" s="0" t="n">
        <f aca="false">Inputs!$B$3</f>
        <v>0.06</v>
      </c>
      <c r="F129" s="0" t="n">
        <f aca="false">ROUND(C129*E129,2)</f>
        <v>0.56</v>
      </c>
      <c r="G129" s="0" t="n">
        <f aca="false">C129+F129</f>
        <v>9.894</v>
      </c>
      <c r="J129" s="0" t="s">
        <v>1937</v>
      </c>
    </row>
    <row r="130" customFormat="false" ht="15" hidden="false" customHeight="false" outlineLevel="0" collapsed="false">
      <c r="A130" s="0" t="s">
        <v>1863</v>
      </c>
      <c r="B130" s="0" t="s">
        <v>934</v>
      </c>
      <c r="C130" s="0" t="n">
        <f aca="false">SUMIFS(Breakdown!$D$2:$D$837,Breakdown!$B$2:$B$837,A130,Breakdown!$C$2:$C$837,B130)</f>
        <v>4</v>
      </c>
      <c r="D130" s="0" t="s">
        <v>1921</v>
      </c>
      <c r="E130" s="0" t="n">
        <f aca="false">Inputs!$B$3</f>
        <v>0.06</v>
      </c>
      <c r="F130" s="0" t="n">
        <f aca="false">ROUND(C130*E130,2)</f>
        <v>0.24</v>
      </c>
      <c r="G130" s="0" t="n">
        <f aca="false">C130+F130</f>
        <v>4.24</v>
      </c>
      <c r="J130" s="0" t="s">
        <v>874</v>
      </c>
    </row>
    <row r="131" customFormat="false" ht="15" hidden="false" customHeight="false" outlineLevel="0" collapsed="false">
      <c r="A131" s="0" t="s">
        <v>1861</v>
      </c>
      <c r="B131" s="0" t="s">
        <v>934</v>
      </c>
      <c r="C131" s="0" t="n">
        <f aca="false">SUMIFS(Breakdown!$D$2:$D$837,Breakdown!$B$2:$B$837,A131,Breakdown!$C$2:$C$837,B131)</f>
        <v>3.333</v>
      </c>
      <c r="D131" s="0" t="s">
        <v>1921</v>
      </c>
      <c r="E131" s="0" t="n">
        <f aca="false">Inputs!$B$3</f>
        <v>0.06</v>
      </c>
      <c r="F131" s="0" t="n">
        <f aca="false">ROUND(C131*E131,2)</f>
        <v>0.2</v>
      </c>
      <c r="G131" s="0" t="n">
        <f aca="false">C131+F131</f>
        <v>3.533</v>
      </c>
      <c r="J131" s="0" t="s">
        <v>870</v>
      </c>
    </row>
    <row r="132" customFormat="false" ht="15" hidden="false" customHeight="false" outlineLevel="0" collapsed="false">
      <c r="A132" s="0" t="s">
        <v>1784</v>
      </c>
      <c r="B132" s="0" t="s">
        <v>934</v>
      </c>
      <c r="C132" s="0" t="n">
        <f aca="false">SUMIFS(Breakdown!$D$2:$D$837,Breakdown!$B$2:$B$837,A132,Breakdown!$C$2:$C$837,B132)</f>
        <v>14.52</v>
      </c>
      <c r="D132" s="0" t="s">
        <v>1921</v>
      </c>
      <c r="E132" s="0" t="n">
        <f aca="false">Inputs!$B$3</f>
        <v>0.06</v>
      </c>
      <c r="F132" s="0" t="n">
        <f aca="false">ROUND(C132*E132,2)</f>
        <v>0.87</v>
      </c>
      <c r="G132" s="0" t="n">
        <f aca="false">C132+F132</f>
        <v>15.39</v>
      </c>
      <c r="J132" s="0" t="s">
        <v>1938</v>
      </c>
    </row>
    <row r="133" customFormat="false" ht="15" hidden="false" customHeight="false" outlineLevel="0" collapsed="false">
      <c r="A133" s="0" t="s">
        <v>1787</v>
      </c>
      <c r="B133" s="0" t="s">
        <v>934</v>
      </c>
      <c r="C133" s="0" t="n">
        <f aca="false">SUMIFS(Breakdown!$D$2:$D$837,Breakdown!$B$2:$B$837,A133,Breakdown!$C$2:$C$837,B133)</f>
        <v>14</v>
      </c>
      <c r="D133" s="0" t="s">
        <v>1921</v>
      </c>
      <c r="E133" s="0" t="n">
        <f aca="false">Inputs!$B$3</f>
        <v>0.06</v>
      </c>
      <c r="F133" s="0" t="n">
        <f aca="false">ROUND(C133*E133,2)</f>
        <v>0.84</v>
      </c>
      <c r="G133" s="0" t="n">
        <f aca="false">C133+F133</f>
        <v>14.84</v>
      </c>
      <c r="J133" s="0" t="s">
        <v>1939</v>
      </c>
    </row>
    <row r="134" customFormat="false" ht="15" hidden="false" customHeight="false" outlineLevel="0" collapsed="false">
      <c r="A134" s="0" t="s">
        <v>1791</v>
      </c>
      <c r="B134" s="0" t="s">
        <v>934</v>
      </c>
      <c r="C134" s="0" t="n">
        <f aca="false">SUMIFS(Breakdown!$D$2:$D$837,Breakdown!$B$2:$B$837,A134,Breakdown!$C$2:$C$837,B134)</f>
        <v>10.88</v>
      </c>
      <c r="D134" s="0" t="s">
        <v>1921</v>
      </c>
      <c r="E134" s="0" t="n">
        <f aca="false">Inputs!$B$3</f>
        <v>0.06</v>
      </c>
      <c r="F134" s="0" t="n">
        <f aca="false">ROUND(C134*E134,2)</f>
        <v>0.65</v>
      </c>
      <c r="G134" s="0" t="n">
        <f aca="false">C134+F134</f>
        <v>11.53</v>
      </c>
      <c r="J134" s="0" t="s">
        <v>1940</v>
      </c>
    </row>
    <row r="135" customFormat="false" ht="15" hidden="false" customHeight="false" outlineLevel="0" collapsed="false">
      <c r="A135" s="0" t="s">
        <v>1835</v>
      </c>
      <c r="B135" s="0" t="s">
        <v>948</v>
      </c>
      <c r="C135" s="0" t="n">
        <f aca="false">SUMIFS(Breakdown!$D$2:$D$837,Breakdown!$B$2:$B$837,A135,Breakdown!$C$2:$C$837,B135)</f>
        <v>16</v>
      </c>
      <c r="D135" s="0" t="s">
        <v>1921</v>
      </c>
      <c r="E135" s="0" t="n">
        <f aca="false">Inputs!$B$3</f>
        <v>0.06</v>
      </c>
      <c r="F135" s="0" t="n">
        <f aca="false">ROUND(C135*E135,2)</f>
        <v>0.96</v>
      </c>
      <c r="G135" s="0" t="n">
        <f aca="false">C135+F135</f>
        <v>16.96</v>
      </c>
      <c r="J135" s="0" t="s">
        <v>770</v>
      </c>
    </row>
    <row r="136" customFormat="false" ht="15" hidden="false" customHeight="false" outlineLevel="0" collapsed="false">
      <c r="A136" s="0" t="s">
        <v>1820</v>
      </c>
      <c r="B136" s="0" t="s">
        <v>948</v>
      </c>
      <c r="C136" s="0" t="n">
        <f aca="false">SUMIFS(Breakdown!$D$2:$D$837,Breakdown!$B$2:$B$837,A136,Breakdown!$C$2:$C$837,B136)</f>
        <v>309.49</v>
      </c>
      <c r="D136" s="0" t="s">
        <v>1921</v>
      </c>
      <c r="E136" s="0" t="n">
        <f aca="false">Inputs!$B$3</f>
        <v>0.06</v>
      </c>
      <c r="F136" s="0" t="n">
        <f aca="false">ROUND(C136*E136,2)</f>
        <v>18.57</v>
      </c>
      <c r="G136" s="0" t="n">
        <f aca="false">C136+F136</f>
        <v>328.06</v>
      </c>
      <c r="J136" s="0" t="s">
        <v>1941</v>
      </c>
    </row>
    <row r="137" customFormat="false" ht="15" hidden="false" customHeight="false" outlineLevel="0" collapsed="false">
      <c r="A137" s="0" t="s">
        <v>1734</v>
      </c>
      <c r="B137" s="0" t="s">
        <v>934</v>
      </c>
      <c r="C137" s="0" t="n">
        <f aca="false">SUMIFS(Breakdown!$D$2:$D$837,Breakdown!$B$2:$B$837,A137,Breakdown!$C$2:$C$837,B137)</f>
        <v>300.166</v>
      </c>
      <c r="D137" s="0" t="s">
        <v>1921</v>
      </c>
      <c r="E137" s="0" t="n">
        <f aca="false">Inputs!$B$3</f>
        <v>0.06</v>
      </c>
      <c r="F137" s="0" t="n">
        <f aca="false">ROUND(C137*E137,2)</f>
        <v>18.01</v>
      </c>
      <c r="G137" s="0" t="n">
        <f aca="false">C137+F137</f>
        <v>318.176</v>
      </c>
      <c r="J137" s="0" t="s">
        <v>1942</v>
      </c>
    </row>
    <row r="138" customFormat="false" ht="15" hidden="false" customHeight="false" outlineLevel="0" collapsed="false">
      <c r="A138" s="0" t="s">
        <v>1388</v>
      </c>
      <c r="B138" s="0" t="s">
        <v>934</v>
      </c>
      <c r="C138" s="0" t="n">
        <f aca="false">SUMIFS(Breakdown!$D$2:$D$837,Breakdown!$B$2:$B$837,A138,Breakdown!$C$2:$C$837,B138)</f>
        <v>141.32</v>
      </c>
      <c r="D138" s="0" t="s">
        <v>1921</v>
      </c>
      <c r="E138" s="0" t="n">
        <f aca="false">Inputs!$B$3</f>
        <v>0.06</v>
      </c>
      <c r="F138" s="0" t="n">
        <f aca="false">ROUND(C138*E138,2)</f>
        <v>8.48</v>
      </c>
      <c r="G138" s="0" t="n">
        <f aca="false">C138+F138</f>
        <v>149.8</v>
      </c>
      <c r="J138" s="0" t="s">
        <v>1915</v>
      </c>
    </row>
    <row r="139" customFormat="false" ht="15" hidden="false" customHeight="false" outlineLevel="0" collapsed="false">
      <c r="A139" s="0" t="s">
        <v>1325</v>
      </c>
      <c r="B139" s="0" t="s">
        <v>948</v>
      </c>
      <c r="C139" s="0" t="n">
        <f aca="false">SUMIFS(Breakdown!$D$2:$D$837,Breakdown!$B$2:$B$837,A139,Breakdown!$C$2:$C$837,B139)</f>
        <v>525.76</v>
      </c>
      <c r="D139" s="0" t="s">
        <v>1921</v>
      </c>
      <c r="E139" s="0" t="n">
        <f aca="false">Inputs!$B$3</f>
        <v>0.06</v>
      </c>
      <c r="F139" s="0" t="n">
        <f aca="false">ROUND(C139*E139,2)</f>
        <v>31.55</v>
      </c>
      <c r="G139" s="0" t="n">
        <f aca="false">C139+F139</f>
        <v>557.31</v>
      </c>
      <c r="J139" s="0" t="s">
        <v>1943</v>
      </c>
    </row>
    <row r="140" customFormat="false" ht="15" hidden="false" customHeight="false" outlineLevel="0" collapsed="false">
      <c r="A140" s="0" t="s">
        <v>1478</v>
      </c>
      <c r="B140" s="0" t="s">
        <v>948</v>
      </c>
      <c r="C140" s="0" t="n">
        <f aca="false">SUMIFS(Breakdown!$D$2:$D$837,Breakdown!$B$2:$B$837,A140,Breakdown!$C$2:$C$837,B140)</f>
        <v>123.2</v>
      </c>
      <c r="D140" s="0" t="s">
        <v>1921</v>
      </c>
      <c r="E140" s="0" t="n">
        <f aca="false">Inputs!$B$3</f>
        <v>0.06</v>
      </c>
      <c r="F140" s="0" t="n">
        <f aca="false">ROUND(C140*E140,2)</f>
        <v>7.39</v>
      </c>
      <c r="G140" s="0" t="n">
        <f aca="false">C140+F140</f>
        <v>130.59</v>
      </c>
      <c r="J140" s="0" t="s">
        <v>1918</v>
      </c>
    </row>
    <row r="141" customFormat="false" ht="15" hidden="false" customHeight="false" outlineLevel="0" collapsed="false">
      <c r="A141" s="0" t="s">
        <v>1466</v>
      </c>
      <c r="B141" s="0" t="s">
        <v>948</v>
      </c>
      <c r="C141" s="0" t="n">
        <f aca="false">SUMIFS(Breakdown!$D$2:$D$837,Breakdown!$B$2:$B$837,A141,Breakdown!$C$2:$C$837,B141)</f>
        <v>242.4</v>
      </c>
      <c r="D141" s="0" t="s">
        <v>1921</v>
      </c>
      <c r="E141" s="0" t="n">
        <f aca="false">Inputs!$B$3</f>
        <v>0.06</v>
      </c>
      <c r="F141" s="0" t="n">
        <f aca="false">ROUND(C141*E141,2)</f>
        <v>14.54</v>
      </c>
      <c r="G141" s="0" t="n">
        <f aca="false">C141+F141</f>
        <v>256.94</v>
      </c>
      <c r="J141" s="0" t="s">
        <v>1902</v>
      </c>
    </row>
    <row r="142" customFormat="false" ht="15" hidden="false" customHeight="false" outlineLevel="0" collapsed="false">
      <c r="A142" s="0" t="s">
        <v>1646</v>
      </c>
      <c r="B142" s="0" t="s">
        <v>948</v>
      </c>
      <c r="C142" s="0" t="n">
        <f aca="false">SUMIFS(Breakdown!$D$2:$D$837,Breakdown!$B$2:$B$837,A142,Breakdown!$C$2:$C$837,B142)</f>
        <v>34</v>
      </c>
      <c r="D142" s="0" t="s">
        <v>1921</v>
      </c>
      <c r="E142" s="0" t="n">
        <f aca="false">Inputs!$B$3</f>
        <v>0.06</v>
      </c>
      <c r="F142" s="0" t="n">
        <f aca="false">ROUND(C142*E142,2)</f>
        <v>2.04</v>
      </c>
      <c r="G142" s="0" t="n">
        <f aca="false">C142+F142</f>
        <v>36.04</v>
      </c>
      <c r="J142" s="0" t="s">
        <v>411</v>
      </c>
    </row>
    <row r="143" customFormat="false" ht="15" hidden="false" customHeight="false" outlineLevel="0" collapsed="false">
      <c r="A143" s="0" t="s">
        <v>1811</v>
      </c>
      <c r="B143" s="0" t="s">
        <v>948</v>
      </c>
      <c r="C143" s="0" t="n">
        <f aca="false">SUMIFS(Breakdown!$D$2:$D$837,Breakdown!$B$2:$B$837,A143,Breakdown!$C$2:$C$837,B143)</f>
        <v>41.1</v>
      </c>
      <c r="D143" s="0" t="s">
        <v>1921</v>
      </c>
      <c r="E143" s="0" t="n">
        <f aca="false">Inputs!$B$3</f>
        <v>0.06</v>
      </c>
      <c r="F143" s="0" t="n">
        <f aca="false">ROUND(C143*E143,2)</f>
        <v>2.47</v>
      </c>
      <c r="G143" s="0" t="n">
        <f aca="false">C143+F143</f>
        <v>43.57</v>
      </c>
      <c r="J143" s="0" t="s">
        <v>681</v>
      </c>
    </row>
    <row r="144" customFormat="false" ht="15" hidden="false" customHeight="false" outlineLevel="0" collapsed="false">
      <c r="A144" s="0" t="s">
        <v>1457</v>
      </c>
      <c r="B144" s="0" t="s">
        <v>948</v>
      </c>
      <c r="C144" s="0" t="n">
        <f aca="false">SUMIFS(Breakdown!$D$2:$D$837,Breakdown!$B$2:$B$837,A144,Breakdown!$C$2:$C$837,B144)</f>
        <v>3731.1</v>
      </c>
      <c r="D144" s="0" t="s">
        <v>1921</v>
      </c>
      <c r="E144" s="0" t="n">
        <f aca="false">Inputs!$B$3</f>
        <v>0.06</v>
      </c>
      <c r="F144" s="0" t="n">
        <f aca="false">ROUND(C144*E144,2)</f>
        <v>223.87</v>
      </c>
      <c r="G144" s="0" t="n">
        <f aca="false">C144+F144</f>
        <v>3954.97</v>
      </c>
      <c r="J144" s="0" t="s">
        <v>1902</v>
      </c>
    </row>
    <row r="145" customFormat="false" ht="15" hidden="false" customHeight="false" outlineLevel="0" collapsed="false">
      <c r="A145" s="0" t="s">
        <v>1607</v>
      </c>
      <c r="B145" s="0" t="s">
        <v>948</v>
      </c>
      <c r="C145" s="0" t="n">
        <f aca="false">SUMIFS(Breakdown!$D$2:$D$837,Breakdown!$B$2:$B$837,A145,Breakdown!$C$2:$C$837,B145)</f>
        <v>596.9</v>
      </c>
      <c r="D145" s="0" t="s">
        <v>1921</v>
      </c>
      <c r="E145" s="0" t="n">
        <f aca="false">Inputs!$B$3</f>
        <v>0.06</v>
      </c>
      <c r="F145" s="0" t="n">
        <f aca="false">ROUND(C145*E145,2)</f>
        <v>35.81</v>
      </c>
      <c r="G145" s="0" t="n">
        <f aca="false">C145+F145</f>
        <v>632.71</v>
      </c>
      <c r="J145" s="0" t="s">
        <v>1900</v>
      </c>
    </row>
    <row r="146" customFormat="false" ht="15" hidden="false" customHeight="false" outlineLevel="0" collapsed="false">
      <c r="A146" s="0" t="s">
        <v>1613</v>
      </c>
      <c r="B146" s="0" t="s">
        <v>948</v>
      </c>
      <c r="C146" s="0" t="n">
        <f aca="false">SUMIFS(Breakdown!$D$2:$D$837,Breakdown!$B$2:$B$837,A146,Breakdown!$C$2:$C$837,B146)</f>
        <v>1459.1</v>
      </c>
      <c r="D146" s="0" t="s">
        <v>1921</v>
      </c>
      <c r="E146" s="0" t="n">
        <f aca="false">Inputs!$B$3</f>
        <v>0.06</v>
      </c>
      <c r="F146" s="0" t="n">
        <f aca="false">ROUND(C146*E146,2)</f>
        <v>87.55</v>
      </c>
      <c r="G146" s="0" t="n">
        <f aca="false">C146+F146</f>
        <v>1546.65</v>
      </c>
      <c r="J146" s="0" t="s">
        <v>1900</v>
      </c>
    </row>
    <row r="147" customFormat="false" ht="15" hidden="false" customHeight="false" outlineLevel="0" collapsed="false">
      <c r="A147" s="0" t="s">
        <v>1637</v>
      </c>
      <c r="B147" s="0" t="s">
        <v>948</v>
      </c>
      <c r="C147" s="0" t="n">
        <f aca="false">SUMIFS(Breakdown!$D$2:$D$837,Breakdown!$B$2:$B$837,A147,Breakdown!$C$2:$C$837,B147)</f>
        <v>240.4</v>
      </c>
      <c r="D147" s="0" t="s">
        <v>1921</v>
      </c>
      <c r="E147" s="0" t="n">
        <f aca="false">Inputs!$B$3</f>
        <v>0.06</v>
      </c>
      <c r="F147" s="0" t="n">
        <f aca="false">ROUND(C147*E147,2)</f>
        <v>14.42</v>
      </c>
      <c r="G147" s="0" t="n">
        <f aca="false">C147+F147</f>
        <v>254.82</v>
      </c>
      <c r="J147" s="0" t="s">
        <v>404</v>
      </c>
    </row>
    <row r="148" customFormat="false" ht="15" hidden="false" customHeight="false" outlineLevel="0" collapsed="false">
      <c r="A148" s="0" t="s">
        <v>1823</v>
      </c>
      <c r="B148" s="0" t="s">
        <v>934</v>
      </c>
      <c r="C148" s="0" t="n">
        <f aca="false">SUMIFS(Breakdown!$D$2:$D$837,Breakdown!$B$2:$B$837,A148,Breakdown!$C$2:$C$837,B148)</f>
        <v>63.63</v>
      </c>
      <c r="D148" s="0" t="s">
        <v>1921</v>
      </c>
      <c r="E148" s="0" t="n">
        <f aca="false">Inputs!$B$3</f>
        <v>0.06</v>
      </c>
      <c r="F148" s="0" t="n">
        <f aca="false">ROUND(C148*E148,2)</f>
        <v>3.82</v>
      </c>
      <c r="G148" s="0" t="n">
        <f aca="false">C148+F148</f>
        <v>67.45</v>
      </c>
      <c r="J148" s="0" t="s">
        <v>1941</v>
      </c>
    </row>
    <row r="149" customFormat="false" ht="15" hidden="false" customHeight="false" outlineLevel="0" collapsed="false">
      <c r="A149" s="0" t="s">
        <v>1711</v>
      </c>
      <c r="B149" s="0" t="s">
        <v>948</v>
      </c>
      <c r="C149" s="0" t="n">
        <f aca="false">SUMIFS(Breakdown!$D$2:$D$837,Breakdown!$B$2:$B$837,A149,Breakdown!$C$2:$C$837,B149)</f>
        <v>0</v>
      </c>
      <c r="D149" s="0" t="s">
        <v>1921</v>
      </c>
      <c r="E149" s="0" t="n">
        <f aca="false">Inputs!$B$3</f>
        <v>0.06</v>
      </c>
      <c r="F149" s="0" t="n">
        <f aca="false">ROUND(C149*E149,2)</f>
        <v>0</v>
      </c>
      <c r="G149" s="0" t="n">
        <f aca="false">C149+F149</f>
        <v>0</v>
      </c>
      <c r="J149" s="0" t="s">
        <v>440</v>
      </c>
    </row>
    <row r="150" customFormat="false" ht="15" hidden="false" customHeight="false" outlineLevel="0" collapsed="false">
      <c r="A150" s="0" t="s">
        <v>933</v>
      </c>
      <c r="C150" s="2" t="s">
        <v>935</v>
      </c>
      <c r="J150" s="3" t="s">
        <v>23</v>
      </c>
    </row>
    <row r="151" customFormat="false" ht="15" hidden="false" customHeight="false" outlineLevel="0" collapsed="false">
      <c r="A151" s="0" t="s">
        <v>947</v>
      </c>
      <c r="C151" s="2" t="s">
        <v>935</v>
      </c>
      <c r="J151" s="3" t="s">
        <v>23</v>
      </c>
    </row>
    <row r="152" customFormat="false" ht="15" hidden="false" customHeight="false" outlineLevel="0" collapsed="false">
      <c r="A152" s="0" t="s">
        <v>933</v>
      </c>
      <c r="C152" s="2" t="s">
        <v>935</v>
      </c>
      <c r="J152" s="3" t="s">
        <v>32</v>
      </c>
    </row>
    <row r="153" customFormat="false" ht="15" hidden="false" customHeight="false" outlineLevel="0" collapsed="false">
      <c r="A153" s="0" t="s">
        <v>963</v>
      </c>
      <c r="C153" s="2" t="s">
        <v>935</v>
      </c>
      <c r="J153" s="3" t="s">
        <v>32</v>
      </c>
    </row>
    <row r="154" customFormat="false" ht="15" hidden="false" customHeight="false" outlineLevel="0" collapsed="false">
      <c r="A154" s="0" t="s">
        <v>933</v>
      </c>
      <c r="C154" s="2" t="s">
        <v>935</v>
      </c>
      <c r="J154" s="3" t="s">
        <v>37</v>
      </c>
    </row>
    <row r="155" customFormat="false" ht="15" hidden="false" customHeight="false" outlineLevel="0" collapsed="false">
      <c r="A155" s="0" t="s">
        <v>951</v>
      </c>
      <c r="C155" s="2" t="s">
        <v>935</v>
      </c>
      <c r="J155" s="3" t="s">
        <v>37</v>
      </c>
    </row>
    <row r="156" customFormat="false" ht="15" hidden="false" customHeight="false" outlineLevel="0" collapsed="false">
      <c r="A156" s="0" t="s">
        <v>975</v>
      </c>
      <c r="C156" s="2" t="s">
        <v>935</v>
      </c>
      <c r="J156" s="3" t="s">
        <v>42</v>
      </c>
    </row>
    <row r="157" customFormat="false" ht="15" hidden="false" customHeight="false" outlineLevel="0" collapsed="false">
      <c r="A157" s="0" t="s">
        <v>975</v>
      </c>
      <c r="C157" s="2" t="s">
        <v>935</v>
      </c>
      <c r="J157" s="3" t="s">
        <v>49</v>
      </c>
    </row>
    <row r="158" customFormat="false" ht="15" hidden="false" customHeight="false" outlineLevel="0" collapsed="false">
      <c r="A158" s="0" t="s">
        <v>933</v>
      </c>
      <c r="C158" s="2" t="s">
        <v>935</v>
      </c>
      <c r="J158" s="3" t="s">
        <v>54</v>
      </c>
    </row>
    <row r="159" customFormat="false" ht="15" hidden="false" customHeight="false" outlineLevel="0" collapsed="false">
      <c r="A159" s="0" t="s">
        <v>933</v>
      </c>
      <c r="C159" s="2" t="s">
        <v>935</v>
      </c>
      <c r="J159" s="3" t="s">
        <v>59</v>
      </c>
    </row>
    <row r="160" customFormat="false" ht="15" hidden="false" customHeight="false" outlineLevel="0" collapsed="false">
      <c r="A160" s="0" t="s">
        <v>1060</v>
      </c>
      <c r="C160" s="2" t="s">
        <v>935</v>
      </c>
      <c r="J160" s="3" t="s">
        <v>89</v>
      </c>
    </row>
    <row r="161" customFormat="false" ht="15" hidden="false" customHeight="false" outlineLevel="0" collapsed="false">
      <c r="A161" s="0" t="s">
        <v>1070</v>
      </c>
      <c r="C161" s="2" t="s">
        <v>935</v>
      </c>
      <c r="J161" s="3" t="s">
        <v>89</v>
      </c>
    </row>
    <row r="162" customFormat="false" ht="15" hidden="false" customHeight="false" outlineLevel="0" collapsed="false">
      <c r="A162" s="0" t="s">
        <v>1073</v>
      </c>
      <c r="C162" s="2" t="s">
        <v>935</v>
      </c>
      <c r="J162" s="3" t="s">
        <v>89</v>
      </c>
    </row>
    <row r="163" customFormat="false" ht="15" hidden="false" customHeight="false" outlineLevel="0" collapsed="false">
      <c r="A163" s="0" t="s">
        <v>1078</v>
      </c>
      <c r="C163" s="2" t="s">
        <v>935</v>
      </c>
      <c r="J163" s="3" t="s">
        <v>89</v>
      </c>
    </row>
    <row r="164" customFormat="false" ht="15" hidden="false" customHeight="false" outlineLevel="0" collapsed="false">
      <c r="A164" s="0" t="s">
        <v>1084</v>
      </c>
      <c r="C164" s="2" t="s">
        <v>935</v>
      </c>
      <c r="J164" s="3" t="s">
        <v>89</v>
      </c>
    </row>
    <row r="165" customFormat="false" ht="15" hidden="false" customHeight="false" outlineLevel="0" collapsed="false">
      <c r="A165" s="0" t="s">
        <v>1084</v>
      </c>
      <c r="C165" s="2" t="s">
        <v>935</v>
      </c>
      <c r="J165" s="3" t="s">
        <v>96</v>
      </c>
    </row>
    <row r="166" customFormat="false" ht="15" hidden="false" customHeight="false" outlineLevel="0" collapsed="false">
      <c r="A166" s="0" t="s">
        <v>1253</v>
      </c>
      <c r="C166" s="2" t="s">
        <v>935</v>
      </c>
      <c r="J166" s="3" t="s">
        <v>176</v>
      </c>
    </row>
    <row r="167" customFormat="false" ht="15" hidden="false" customHeight="false" outlineLevel="0" collapsed="false">
      <c r="A167" s="0" t="s">
        <v>1253</v>
      </c>
      <c r="C167" s="2" t="s">
        <v>935</v>
      </c>
      <c r="J167" s="3" t="s">
        <v>183</v>
      </c>
    </row>
    <row r="168" customFormat="false" ht="15" hidden="false" customHeight="false" outlineLevel="0" collapsed="false">
      <c r="A168" s="0" t="s">
        <v>1253</v>
      </c>
      <c r="C168" s="2" t="s">
        <v>935</v>
      </c>
      <c r="J168" s="3" t="s">
        <v>186</v>
      </c>
    </row>
    <row r="169" customFormat="false" ht="15" hidden="false" customHeight="false" outlineLevel="0" collapsed="false">
      <c r="A169" s="0" t="s">
        <v>1253</v>
      </c>
      <c r="C169" s="2" t="s">
        <v>935</v>
      </c>
      <c r="J169" s="3" t="s">
        <v>190</v>
      </c>
    </row>
    <row r="170" customFormat="false" ht="15" hidden="false" customHeight="false" outlineLevel="0" collapsed="false">
      <c r="A170" s="0" t="s">
        <v>1253</v>
      </c>
      <c r="C170" s="2" t="s">
        <v>935</v>
      </c>
      <c r="J170" s="3" t="s">
        <v>194</v>
      </c>
    </row>
    <row r="171" customFormat="false" ht="15" hidden="false" customHeight="false" outlineLevel="0" collapsed="false">
      <c r="A171" s="0" t="s">
        <v>1253</v>
      </c>
      <c r="C171" s="2" t="s">
        <v>935</v>
      </c>
      <c r="J171" s="3" t="s">
        <v>198</v>
      </c>
    </row>
    <row r="172" customFormat="false" ht="15" hidden="false" customHeight="false" outlineLevel="0" collapsed="false">
      <c r="A172" s="0" t="s">
        <v>1253</v>
      </c>
      <c r="C172" s="2" t="s">
        <v>935</v>
      </c>
      <c r="J172" s="3" t="s">
        <v>202</v>
      </c>
    </row>
    <row r="173" customFormat="false" ht="15" hidden="false" customHeight="false" outlineLevel="0" collapsed="false">
      <c r="A173" s="0" t="s">
        <v>1253</v>
      </c>
      <c r="C173" s="2" t="s">
        <v>935</v>
      </c>
      <c r="J173" s="3" t="s">
        <v>207</v>
      </c>
    </row>
    <row r="174" customFormat="false" ht="15" hidden="false" customHeight="false" outlineLevel="0" collapsed="false">
      <c r="A174" s="0" t="s">
        <v>1253</v>
      </c>
      <c r="C174" s="2" t="s">
        <v>935</v>
      </c>
      <c r="J174" s="3" t="s">
        <v>211</v>
      </c>
    </row>
    <row r="175" customFormat="false" ht="15" hidden="false" customHeight="false" outlineLevel="0" collapsed="false">
      <c r="A175" s="0" t="s">
        <v>1253</v>
      </c>
      <c r="C175" s="2" t="s">
        <v>935</v>
      </c>
      <c r="J175" s="3" t="s">
        <v>215</v>
      </c>
    </row>
    <row r="176" customFormat="false" ht="15" hidden="false" customHeight="false" outlineLevel="0" collapsed="false">
      <c r="A176" s="0" t="s">
        <v>1253</v>
      </c>
      <c r="C176" s="2" t="s">
        <v>935</v>
      </c>
      <c r="J176" s="3" t="s">
        <v>219</v>
      </c>
    </row>
    <row r="177" customFormat="false" ht="15" hidden="false" customHeight="false" outlineLevel="0" collapsed="false">
      <c r="A177" s="0" t="s">
        <v>1253</v>
      </c>
      <c r="C177" s="2" t="s">
        <v>935</v>
      </c>
      <c r="J177" s="3" t="s">
        <v>225</v>
      </c>
    </row>
    <row r="178" customFormat="false" ht="15" hidden="false" customHeight="false" outlineLevel="0" collapsed="false">
      <c r="A178" s="0" t="s">
        <v>1319</v>
      </c>
      <c r="C178" s="2" t="s">
        <v>935</v>
      </c>
      <c r="J178" s="3" t="s">
        <v>243</v>
      </c>
    </row>
    <row r="179" customFormat="false" ht="15" hidden="false" customHeight="false" outlineLevel="0" collapsed="false">
      <c r="A179" s="0" t="s">
        <v>1353</v>
      </c>
      <c r="C179" s="2" t="s">
        <v>935</v>
      </c>
      <c r="J179" s="3" t="s">
        <v>243</v>
      </c>
    </row>
    <row r="180" customFormat="false" ht="15" hidden="false" customHeight="false" outlineLevel="0" collapsed="false">
      <c r="A180" s="0" t="s">
        <v>1049</v>
      </c>
      <c r="C180" s="2" t="s">
        <v>935</v>
      </c>
      <c r="J180" s="3" t="s">
        <v>243</v>
      </c>
    </row>
    <row r="181" customFormat="false" ht="15" hidden="false" customHeight="false" outlineLevel="0" collapsed="false">
      <c r="A181" s="0" t="s">
        <v>1319</v>
      </c>
      <c r="C181" s="2" t="s">
        <v>935</v>
      </c>
      <c r="J181" s="3" t="s">
        <v>250</v>
      </c>
    </row>
    <row r="182" customFormat="false" ht="15" hidden="false" customHeight="false" outlineLevel="0" collapsed="false">
      <c r="A182" s="0" t="s">
        <v>1353</v>
      </c>
      <c r="C182" s="2" t="s">
        <v>935</v>
      </c>
      <c r="J182" s="3" t="s">
        <v>250</v>
      </c>
    </row>
    <row r="183" customFormat="false" ht="15" hidden="false" customHeight="false" outlineLevel="0" collapsed="false">
      <c r="A183" s="0" t="s">
        <v>1049</v>
      </c>
      <c r="C183" s="2" t="s">
        <v>935</v>
      </c>
      <c r="J183" s="3" t="s">
        <v>250</v>
      </c>
    </row>
    <row r="184" customFormat="false" ht="15" hidden="false" customHeight="false" outlineLevel="0" collapsed="false">
      <c r="A184" s="0" t="s">
        <v>1319</v>
      </c>
      <c r="C184" s="2" t="s">
        <v>935</v>
      </c>
      <c r="J184" s="3" t="s">
        <v>254</v>
      </c>
    </row>
    <row r="185" customFormat="false" ht="15" hidden="false" customHeight="false" outlineLevel="0" collapsed="false">
      <c r="A185" s="0" t="s">
        <v>1353</v>
      </c>
      <c r="C185" s="2" t="s">
        <v>935</v>
      </c>
      <c r="J185" s="3" t="s">
        <v>254</v>
      </c>
    </row>
    <row r="186" customFormat="false" ht="15" hidden="false" customHeight="false" outlineLevel="0" collapsed="false">
      <c r="A186" s="0" t="s">
        <v>1049</v>
      </c>
      <c r="C186" s="2" t="s">
        <v>935</v>
      </c>
      <c r="J186" s="3" t="s">
        <v>254</v>
      </c>
    </row>
    <row r="187" customFormat="false" ht="15" hidden="false" customHeight="false" outlineLevel="0" collapsed="false">
      <c r="A187" s="0" t="s">
        <v>1353</v>
      </c>
      <c r="C187" s="2" t="s">
        <v>935</v>
      </c>
      <c r="J187" s="3" t="s">
        <v>258</v>
      </c>
    </row>
    <row r="188" customFormat="false" ht="15" hidden="false" customHeight="false" outlineLevel="0" collapsed="false">
      <c r="A188" s="0" t="s">
        <v>1353</v>
      </c>
      <c r="C188" s="2" t="s">
        <v>935</v>
      </c>
      <c r="J188" s="3" t="s">
        <v>263</v>
      </c>
    </row>
    <row r="189" customFormat="false" ht="15" hidden="false" customHeight="false" outlineLevel="0" collapsed="false">
      <c r="A189" s="0" t="s">
        <v>1319</v>
      </c>
      <c r="C189" s="2" t="s">
        <v>935</v>
      </c>
      <c r="J189" s="3" t="s">
        <v>268</v>
      </c>
    </row>
    <row r="190" customFormat="false" ht="15" hidden="false" customHeight="false" outlineLevel="0" collapsed="false">
      <c r="A190" s="0" t="s">
        <v>1353</v>
      </c>
      <c r="C190" s="2" t="s">
        <v>935</v>
      </c>
      <c r="J190" s="3" t="s">
        <v>268</v>
      </c>
    </row>
    <row r="191" customFormat="false" ht="15" hidden="false" customHeight="false" outlineLevel="0" collapsed="false">
      <c r="A191" s="0" t="s">
        <v>1049</v>
      </c>
      <c r="C191" s="2" t="s">
        <v>935</v>
      </c>
      <c r="J191" s="3" t="s">
        <v>268</v>
      </c>
    </row>
    <row r="192" customFormat="false" ht="15" hidden="false" customHeight="false" outlineLevel="0" collapsed="false">
      <c r="A192" s="0" t="s">
        <v>1253</v>
      </c>
      <c r="C192" s="2" t="s">
        <v>935</v>
      </c>
      <c r="J192" s="3" t="s">
        <v>272</v>
      </c>
    </row>
    <row r="193" customFormat="false" ht="15" hidden="false" customHeight="false" outlineLevel="0" collapsed="false">
      <c r="A193" s="0" t="s">
        <v>1253</v>
      </c>
      <c r="C193" s="2" t="s">
        <v>935</v>
      </c>
      <c r="J193" s="3" t="s">
        <v>279</v>
      </c>
    </row>
    <row r="194" customFormat="false" ht="15" hidden="false" customHeight="false" outlineLevel="0" collapsed="false">
      <c r="A194" s="0" t="s">
        <v>1253</v>
      </c>
      <c r="C194" s="2" t="s">
        <v>935</v>
      </c>
      <c r="J194" s="3" t="s">
        <v>283</v>
      </c>
    </row>
    <row r="195" customFormat="false" ht="15" hidden="false" customHeight="false" outlineLevel="0" collapsed="false">
      <c r="A195" s="0" t="s">
        <v>1253</v>
      </c>
      <c r="C195" s="2" t="s">
        <v>935</v>
      </c>
      <c r="J195" s="3" t="s">
        <v>287</v>
      </c>
    </row>
    <row r="196" customFormat="false" ht="15" hidden="false" customHeight="false" outlineLevel="0" collapsed="false">
      <c r="A196" s="0" t="s">
        <v>1253</v>
      </c>
      <c r="C196" s="2" t="s">
        <v>935</v>
      </c>
      <c r="J196" s="3" t="s">
        <v>291</v>
      </c>
    </row>
    <row r="197" customFormat="false" ht="15" hidden="false" customHeight="false" outlineLevel="0" collapsed="false">
      <c r="A197" s="0" t="s">
        <v>1253</v>
      </c>
      <c r="C197" s="2" t="s">
        <v>935</v>
      </c>
      <c r="J197" s="3" t="s">
        <v>297</v>
      </c>
    </row>
    <row r="198" customFormat="false" ht="15" hidden="false" customHeight="false" outlineLevel="0" collapsed="false">
      <c r="A198" s="0" t="s">
        <v>1731</v>
      </c>
      <c r="C198" s="2" t="s">
        <v>935</v>
      </c>
      <c r="J198" s="3" t="s">
        <v>440</v>
      </c>
    </row>
    <row r="199" customFormat="false" ht="15" hidden="false" customHeight="false" outlineLevel="0" collapsed="false">
      <c r="A199" s="0" t="s">
        <v>1734</v>
      </c>
      <c r="C199" s="2" t="s">
        <v>935</v>
      </c>
      <c r="J199" s="3" t="s">
        <v>686</v>
      </c>
    </row>
    <row r="200" customFormat="false" ht="15" hidden="false" customHeight="false" outlineLevel="0" collapsed="false">
      <c r="A200" s="0" t="s">
        <v>1816</v>
      </c>
      <c r="C200" s="2" t="s">
        <v>935</v>
      </c>
      <c r="J200" s="3" t="s">
        <v>691</v>
      </c>
    </row>
    <row r="201" customFormat="false" ht="15" hidden="false" customHeight="false" outlineLevel="0" collapsed="false">
      <c r="A201" s="0" t="s">
        <v>1819</v>
      </c>
      <c r="C201" s="2" t="s">
        <v>935</v>
      </c>
      <c r="J201" s="3" t="s">
        <v>695</v>
      </c>
    </row>
    <row r="202" customFormat="false" ht="15" hidden="false" customHeight="false" outlineLevel="0" collapsed="false">
      <c r="A202" s="0" t="s">
        <v>1879</v>
      </c>
      <c r="C202" s="2" t="s">
        <v>935</v>
      </c>
      <c r="J202" s="3" t="s">
        <v>901</v>
      </c>
    </row>
    <row r="203" customFormat="false" ht="15" hidden="false" customHeight="false" outlineLevel="0" collapsed="false">
      <c r="A203" s="0" t="s">
        <v>1885</v>
      </c>
      <c r="C203" s="2" t="s">
        <v>935</v>
      </c>
      <c r="J203" s="3" t="s">
        <v>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45"/>
  </cols>
  <sheetData>
    <row r="1" customFormat="false" ht="15" hidden="false" customHeight="false" outlineLevel="0" collapsed="false">
      <c r="A1" s="1" t="s">
        <v>1944</v>
      </c>
      <c r="B1" s="1" t="s">
        <v>1945</v>
      </c>
      <c r="C1" s="1" t="s">
        <v>1946</v>
      </c>
      <c r="D1" s="1" t="s">
        <v>1947</v>
      </c>
      <c r="E1" s="1" t="s">
        <v>20</v>
      </c>
    </row>
    <row r="2" customFormat="false" ht="15" hidden="false" customHeight="false" outlineLevel="0" collapsed="false">
      <c r="A2" s="0" t="s">
        <v>1948</v>
      </c>
      <c r="B2" s="0" t="s">
        <v>1949</v>
      </c>
      <c r="C2" s="0" t="s">
        <v>1950</v>
      </c>
      <c r="D2" s="0" t="s">
        <v>1951</v>
      </c>
      <c r="E2" s="0" t="s">
        <v>29</v>
      </c>
    </row>
    <row r="3" customFormat="false" ht="15" hidden="false" customHeight="false" outlineLevel="0" collapsed="false">
      <c r="A3" s="0" t="s">
        <v>1952</v>
      </c>
      <c r="B3" s="0" t="s">
        <v>1953</v>
      </c>
      <c r="C3" s="0" t="s">
        <v>1954</v>
      </c>
      <c r="D3" s="0" t="s">
        <v>1955</v>
      </c>
      <c r="E3" s="0" t="s">
        <v>29</v>
      </c>
    </row>
    <row r="4" customFormat="false" ht="15" hidden="false" customHeight="false" outlineLevel="0" collapsed="false">
      <c r="A4" s="0" t="s">
        <v>1956</v>
      </c>
      <c r="B4" s="0" t="s">
        <v>1957</v>
      </c>
      <c r="C4" s="0" t="s">
        <v>1958</v>
      </c>
      <c r="D4" s="0" t="s">
        <v>1959</v>
      </c>
      <c r="E4" s="0" t="s">
        <v>29</v>
      </c>
    </row>
    <row r="5" customFormat="false" ht="15" hidden="false" customHeight="false" outlineLevel="0" collapsed="false">
      <c r="A5" s="0" t="s">
        <v>1960</v>
      </c>
      <c r="B5" s="0" t="s">
        <v>1961</v>
      </c>
      <c r="C5" s="0" t="s">
        <v>1962</v>
      </c>
      <c r="D5" s="0" t="s">
        <v>1963</v>
      </c>
      <c r="E5" s="0" t="s">
        <v>29</v>
      </c>
    </row>
    <row r="6" customFormat="false" ht="15" hidden="false" customHeight="false" outlineLevel="0" collapsed="false">
      <c r="A6" s="0" t="s">
        <v>1964</v>
      </c>
      <c r="B6" s="0" t="s">
        <v>1965</v>
      </c>
      <c r="C6" s="0" t="s">
        <v>1966</v>
      </c>
      <c r="D6" s="0" t="s">
        <v>1967</v>
      </c>
      <c r="E6" s="0" t="s">
        <v>29</v>
      </c>
    </row>
    <row r="7" customFormat="false" ht="15" hidden="false" customHeight="false" outlineLevel="0" collapsed="false">
      <c r="A7" s="0" t="s">
        <v>1968</v>
      </c>
      <c r="B7" s="0" t="s">
        <v>1969</v>
      </c>
      <c r="C7" s="0" t="s">
        <v>1970</v>
      </c>
      <c r="D7" s="0" t="s">
        <v>1971</v>
      </c>
      <c r="E7" s="0" t="s">
        <v>29</v>
      </c>
    </row>
    <row r="8" customFormat="false" ht="15" hidden="false" customHeight="false" outlineLevel="0" collapsed="false">
      <c r="A8" s="0" t="s">
        <v>1972</v>
      </c>
      <c r="B8" s="0" t="s">
        <v>1973</v>
      </c>
      <c r="C8" s="0" t="s">
        <v>1974</v>
      </c>
      <c r="D8" s="0" t="s">
        <v>1975</v>
      </c>
      <c r="E8" s="0" t="s">
        <v>29</v>
      </c>
    </row>
    <row r="9" customFormat="false" ht="15" hidden="false" customHeight="false" outlineLevel="0" collapsed="false">
      <c r="A9" s="0" t="s">
        <v>1976</v>
      </c>
      <c r="B9" s="0" t="s">
        <v>1977</v>
      </c>
      <c r="C9" s="0" t="s">
        <v>1978</v>
      </c>
      <c r="D9" s="0" t="s">
        <v>1979</v>
      </c>
      <c r="E9" s="0" t="s">
        <v>29</v>
      </c>
    </row>
    <row r="10" customFormat="false" ht="15" hidden="false" customHeight="false" outlineLevel="0" collapsed="false">
      <c r="A10" s="0" t="s">
        <v>1980</v>
      </c>
      <c r="B10" s="0" t="s">
        <v>1981</v>
      </c>
      <c r="C10" s="0" t="s">
        <v>1982</v>
      </c>
      <c r="D10" s="0" t="s">
        <v>1983</v>
      </c>
      <c r="E10" s="0" t="s">
        <v>29</v>
      </c>
    </row>
    <row r="11" customFormat="false" ht="15" hidden="false" customHeight="false" outlineLevel="0" collapsed="false">
      <c r="A11" s="0" t="s">
        <v>1984</v>
      </c>
      <c r="B11" s="0" t="s">
        <v>1985</v>
      </c>
      <c r="C11" s="0" t="s">
        <v>1986</v>
      </c>
      <c r="D11" s="0" t="s">
        <v>1987</v>
      </c>
      <c r="E11" s="0" t="s">
        <v>29</v>
      </c>
    </row>
    <row r="12" customFormat="false" ht="15" hidden="false" customHeight="false" outlineLevel="0" collapsed="false">
      <c r="A12" s="0" t="s">
        <v>1988</v>
      </c>
      <c r="B12" s="0" t="s">
        <v>1989</v>
      </c>
      <c r="C12" s="0" t="s">
        <v>1990</v>
      </c>
      <c r="D12" s="0" t="s">
        <v>1991</v>
      </c>
      <c r="E12" s="0" t="s">
        <v>138</v>
      </c>
    </row>
    <row r="13" customFormat="false" ht="15" hidden="false" customHeight="false" outlineLevel="0" collapsed="false">
      <c r="A13" s="0" t="s">
        <v>1992</v>
      </c>
      <c r="B13" s="0" t="s">
        <v>1993</v>
      </c>
      <c r="C13" s="0" t="s">
        <v>1994</v>
      </c>
      <c r="D13" s="0" t="s">
        <v>1995</v>
      </c>
      <c r="E13" s="0" t="s">
        <v>138</v>
      </c>
    </row>
    <row r="14" customFormat="false" ht="15" hidden="false" customHeight="false" outlineLevel="0" collapsed="false">
      <c r="A14" s="0" t="s">
        <v>1996</v>
      </c>
      <c r="B14" s="0" t="s">
        <v>1997</v>
      </c>
      <c r="C14" s="0" t="s">
        <v>1998</v>
      </c>
      <c r="D14" s="0" t="s">
        <v>1999</v>
      </c>
      <c r="E14" s="0" t="s">
        <v>138</v>
      </c>
    </row>
    <row r="15" customFormat="false" ht="15" hidden="false" customHeight="false" outlineLevel="0" collapsed="false">
      <c r="A15" s="0" t="s">
        <v>2000</v>
      </c>
      <c r="B15" s="0" t="s">
        <v>2001</v>
      </c>
      <c r="C15" s="0" t="s">
        <v>2002</v>
      </c>
      <c r="D15" s="0" t="s">
        <v>2003</v>
      </c>
      <c r="E15" s="0" t="s">
        <v>138</v>
      </c>
    </row>
    <row r="16" customFormat="false" ht="15" hidden="false" customHeight="false" outlineLevel="0" collapsed="false">
      <c r="A16" s="0" t="s">
        <v>2004</v>
      </c>
      <c r="B16" s="0" t="s">
        <v>2005</v>
      </c>
      <c r="C16" s="0" t="s">
        <v>2006</v>
      </c>
      <c r="D16" s="0" t="s">
        <v>2007</v>
      </c>
      <c r="E16" s="0" t="s">
        <v>138</v>
      </c>
    </row>
    <row r="17" customFormat="false" ht="15" hidden="false" customHeight="false" outlineLevel="0" collapsed="false">
      <c r="A17" s="0" t="s">
        <v>2008</v>
      </c>
      <c r="B17" s="0" t="s">
        <v>2009</v>
      </c>
      <c r="C17" s="0" t="s">
        <v>2010</v>
      </c>
      <c r="D17" s="0" t="s">
        <v>2011</v>
      </c>
      <c r="E17" s="0" t="s">
        <v>138</v>
      </c>
    </row>
    <row r="18" customFormat="false" ht="15" hidden="false" customHeight="false" outlineLevel="0" collapsed="false">
      <c r="A18" s="0" t="s">
        <v>2012</v>
      </c>
      <c r="B18" s="0" t="s">
        <v>2013</v>
      </c>
      <c r="C18" s="0" t="s">
        <v>2014</v>
      </c>
      <c r="D18" s="0" t="s">
        <v>2015</v>
      </c>
      <c r="E18" s="0" t="s">
        <v>138</v>
      </c>
    </row>
    <row r="19" customFormat="false" ht="15" hidden="false" customHeight="false" outlineLevel="0" collapsed="false">
      <c r="A19" s="0" t="s">
        <v>2016</v>
      </c>
      <c r="B19" s="0" t="s">
        <v>2017</v>
      </c>
      <c r="C19" s="0" t="s">
        <v>2018</v>
      </c>
      <c r="D19" s="0" t="s">
        <v>2019</v>
      </c>
      <c r="E19" s="0" t="s">
        <v>138</v>
      </c>
    </row>
    <row r="20" customFormat="false" ht="15" hidden="false" customHeight="false" outlineLevel="0" collapsed="false">
      <c r="A20" s="0" t="s">
        <v>2020</v>
      </c>
      <c r="B20" s="0" t="s">
        <v>2021</v>
      </c>
      <c r="C20" s="0" t="s">
        <v>2022</v>
      </c>
      <c r="D20" s="0" t="s">
        <v>2023</v>
      </c>
      <c r="E20" s="0" t="s">
        <v>337</v>
      </c>
    </row>
    <row r="21" customFormat="false" ht="15" hidden="false" customHeight="false" outlineLevel="0" collapsed="false">
      <c r="A21" s="0" t="s">
        <v>2024</v>
      </c>
      <c r="B21" s="0" t="s">
        <v>2025</v>
      </c>
      <c r="C21" s="0" t="s">
        <v>2026</v>
      </c>
      <c r="D21" s="0" t="s">
        <v>2027</v>
      </c>
      <c r="E21" s="0" t="s">
        <v>337</v>
      </c>
    </row>
    <row r="22" customFormat="false" ht="15" hidden="false" customHeight="false" outlineLevel="0" collapsed="false">
      <c r="A22" s="0" t="s">
        <v>2028</v>
      </c>
      <c r="B22" s="0" t="s">
        <v>2029</v>
      </c>
      <c r="C22" s="0" t="s">
        <v>2030</v>
      </c>
      <c r="D22" s="0" t="s">
        <v>2031</v>
      </c>
      <c r="E22" s="0" t="s">
        <v>337</v>
      </c>
    </row>
    <row r="23" customFormat="false" ht="15" hidden="false" customHeight="false" outlineLevel="0" collapsed="false">
      <c r="A23" s="0" t="s">
        <v>2032</v>
      </c>
      <c r="B23" s="0" t="s">
        <v>2033</v>
      </c>
      <c r="C23" s="0" t="s">
        <v>2034</v>
      </c>
      <c r="D23" s="0" t="s">
        <v>2035</v>
      </c>
      <c r="E23" s="0" t="s">
        <v>337</v>
      </c>
    </row>
    <row r="24" customFormat="false" ht="15" hidden="false" customHeight="false" outlineLevel="0" collapsed="false">
      <c r="A24" s="0" t="s">
        <v>2036</v>
      </c>
      <c r="B24" s="0" t="s">
        <v>2037</v>
      </c>
      <c r="C24" s="0" t="s">
        <v>2038</v>
      </c>
      <c r="D24" s="0" t="s">
        <v>2039</v>
      </c>
      <c r="E24" s="0" t="s">
        <v>337</v>
      </c>
    </row>
    <row r="25" customFormat="false" ht="15" hidden="false" customHeight="false" outlineLevel="0" collapsed="false">
      <c r="A25" s="0" t="s">
        <v>2040</v>
      </c>
      <c r="B25" s="0" t="s">
        <v>2041</v>
      </c>
      <c r="C25" s="0" t="s">
        <v>2042</v>
      </c>
      <c r="D25" s="0" t="s">
        <v>2043</v>
      </c>
      <c r="E25" s="0" t="s">
        <v>337</v>
      </c>
    </row>
    <row r="26" customFormat="false" ht="15" hidden="false" customHeight="false" outlineLevel="0" collapsed="false">
      <c r="A26" s="0" t="s">
        <v>2044</v>
      </c>
      <c r="B26" s="0" t="s">
        <v>2045</v>
      </c>
      <c r="C26" s="0" t="s">
        <v>2046</v>
      </c>
      <c r="D26" s="0" t="s">
        <v>2047</v>
      </c>
      <c r="E26" s="0" t="s">
        <v>337</v>
      </c>
    </row>
    <row r="27" customFormat="false" ht="15" hidden="false" customHeight="false" outlineLevel="0" collapsed="false">
      <c r="A27" s="0" t="s">
        <v>2048</v>
      </c>
      <c r="B27" s="0" t="s">
        <v>2049</v>
      </c>
      <c r="C27" s="0" t="s">
        <v>2050</v>
      </c>
      <c r="D27" s="0" t="s">
        <v>2051</v>
      </c>
      <c r="E27" s="0" t="s">
        <v>337</v>
      </c>
    </row>
    <row r="28" customFormat="false" ht="15" hidden="false" customHeight="false" outlineLevel="0" collapsed="false">
      <c r="A28" s="0" t="s">
        <v>2052</v>
      </c>
      <c r="B28" s="0" t="s">
        <v>2053</v>
      </c>
      <c r="C28" s="0" t="s">
        <v>2054</v>
      </c>
      <c r="D28" s="0" t="s">
        <v>2055</v>
      </c>
      <c r="E28" s="0" t="s">
        <v>337</v>
      </c>
    </row>
    <row r="29" customFormat="false" ht="15" hidden="false" customHeight="false" outlineLevel="0" collapsed="false">
      <c r="A29" s="0" t="s">
        <v>2056</v>
      </c>
      <c r="B29" s="0" t="s">
        <v>2057</v>
      </c>
      <c r="C29" s="0" t="s">
        <v>2058</v>
      </c>
      <c r="D29" s="0" t="s">
        <v>2059</v>
      </c>
      <c r="E29" s="0" t="s">
        <v>337</v>
      </c>
    </row>
    <row r="30" customFormat="false" ht="15" hidden="false" customHeight="false" outlineLevel="0" collapsed="false">
      <c r="A30" s="0" t="s">
        <v>2060</v>
      </c>
      <c r="B30" s="0" t="s">
        <v>2061</v>
      </c>
      <c r="C30" s="0" t="s">
        <v>2062</v>
      </c>
      <c r="D30" s="0" t="s">
        <v>2063</v>
      </c>
      <c r="E30" s="0" t="s">
        <v>423</v>
      </c>
    </row>
    <row r="31" customFormat="false" ht="15" hidden="false" customHeight="false" outlineLevel="0" collapsed="false">
      <c r="A31" s="0" t="s">
        <v>2064</v>
      </c>
      <c r="B31" s="0" t="s">
        <v>2065</v>
      </c>
      <c r="C31" s="0" t="s">
        <v>2066</v>
      </c>
      <c r="D31" s="0" t="s">
        <v>2067</v>
      </c>
      <c r="E31" s="0" t="s">
        <v>423</v>
      </c>
    </row>
    <row r="32" customFormat="false" ht="15" hidden="false" customHeight="false" outlineLevel="0" collapsed="false">
      <c r="A32" s="0" t="s">
        <v>2068</v>
      </c>
      <c r="B32" s="0" t="s">
        <v>2069</v>
      </c>
      <c r="C32" s="0" t="s">
        <v>2070</v>
      </c>
      <c r="D32" s="0" t="s">
        <v>2071</v>
      </c>
      <c r="E32" s="0" t="s">
        <v>423</v>
      </c>
    </row>
    <row r="33" customFormat="false" ht="15" hidden="false" customHeight="false" outlineLevel="0" collapsed="false">
      <c r="A33" s="0" t="s">
        <v>2072</v>
      </c>
      <c r="B33" s="0" t="s">
        <v>2073</v>
      </c>
      <c r="C33" s="0" t="s">
        <v>2074</v>
      </c>
      <c r="D33" s="0" t="s">
        <v>2075</v>
      </c>
      <c r="E33" s="0" t="s">
        <v>423</v>
      </c>
    </row>
    <row r="34" customFormat="false" ht="15" hidden="false" customHeight="false" outlineLevel="0" collapsed="false">
      <c r="A34" s="0" t="s">
        <v>1733</v>
      </c>
      <c r="B34" s="0" t="s">
        <v>2076</v>
      </c>
      <c r="C34" s="0" t="s">
        <v>2077</v>
      </c>
      <c r="D34" s="0" t="s">
        <v>2078</v>
      </c>
      <c r="E34" s="0" t="s">
        <v>423</v>
      </c>
    </row>
    <row r="35" customFormat="false" ht="15" hidden="false" customHeight="false" outlineLevel="0" collapsed="false">
      <c r="A35" s="0" t="s">
        <v>2079</v>
      </c>
      <c r="B35" s="0" t="s">
        <v>2080</v>
      </c>
      <c r="C35" s="0" t="s">
        <v>2081</v>
      </c>
      <c r="D35" s="0" t="s">
        <v>2082</v>
      </c>
      <c r="E35" s="0" t="s">
        <v>423</v>
      </c>
    </row>
    <row r="36" customFormat="false" ht="15" hidden="false" customHeight="false" outlineLevel="0" collapsed="false">
      <c r="A36" s="0" t="s">
        <v>2083</v>
      </c>
      <c r="B36" s="0" t="s">
        <v>2084</v>
      </c>
      <c r="C36" s="0" t="s">
        <v>2085</v>
      </c>
      <c r="D36" s="0" t="s">
        <v>2086</v>
      </c>
      <c r="E36" s="0" t="s">
        <v>423</v>
      </c>
    </row>
    <row r="37" customFormat="false" ht="15" hidden="false" customHeight="false" outlineLevel="0" collapsed="false">
      <c r="A37" s="0" t="s">
        <v>2087</v>
      </c>
      <c r="B37" s="0" t="s">
        <v>2088</v>
      </c>
      <c r="C37" s="0" t="s">
        <v>2089</v>
      </c>
      <c r="D37" s="0" t="s">
        <v>2090</v>
      </c>
      <c r="E37" s="0" t="s">
        <v>423</v>
      </c>
    </row>
    <row r="38" customFormat="false" ht="15" hidden="false" customHeight="false" outlineLevel="0" collapsed="false">
      <c r="A38" s="0" t="s">
        <v>2091</v>
      </c>
      <c r="B38" s="0" t="s">
        <v>2092</v>
      </c>
      <c r="C38" s="0" t="s">
        <v>2093</v>
      </c>
      <c r="D38" s="0" t="s">
        <v>2094</v>
      </c>
      <c r="E38" s="0" t="s">
        <v>453</v>
      </c>
    </row>
    <row r="39" customFormat="false" ht="15" hidden="false" customHeight="false" outlineLevel="0" collapsed="false">
      <c r="A39" s="0" t="s">
        <v>2095</v>
      </c>
      <c r="B39" s="0" t="s">
        <v>2096</v>
      </c>
      <c r="C39" s="0" t="s">
        <v>2097</v>
      </c>
      <c r="D39" s="0" t="s">
        <v>2098</v>
      </c>
      <c r="E39" s="0" t="s">
        <v>453</v>
      </c>
    </row>
    <row r="40" customFormat="false" ht="15" hidden="false" customHeight="false" outlineLevel="0" collapsed="false">
      <c r="A40" s="0" t="s">
        <v>2099</v>
      </c>
      <c r="B40" s="0" t="s">
        <v>2100</v>
      </c>
      <c r="C40" s="0" t="s">
        <v>2101</v>
      </c>
      <c r="D40" s="0" t="s">
        <v>2102</v>
      </c>
      <c r="E40" s="0" t="s">
        <v>453</v>
      </c>
    </row>
    <row r="41" customFormat="false" ht="15" hidden="false" customHeight="false" outlineLevel="0" collapsed="false">
      <c r="A41" s="0" t="s">
        <v>2103</v>
      </c>
      <c r="B41" s="0" t="s">
        <v>2104</v>
      </c>
      <c r="C41" s="0" t="s">
        <v>2105</v>
      </c>
      <c r="D41" s="0" t="s">
        <v>2106</v>
      </c>
      <c r="E41" s="0" t="s">
        <v>453</v>
      </c>
    </row>
    <row r="42" customFormat="false" ht="15" hidden="false" customHeight="false" outlineLevel="0" collapsed="false">
      <c r="A42" s="0" t="s">
        <v>2107</v>
      </c>
      <c r="B42" s="0" t="s">
        <v>2108</v>
      </c>
      <c r="C42" s="0" t="s">
        <v>2109</v>
      </c>
      <c r="D42" s="0" t="s">
        <v>2110</v>
      </c>
      <c r="E42" s="0" t="s">
        <v>453</v>
      </c>
    </row>
    <row r="43" customFormat="false" ht="15" hidden="false" customHeight="false" outlineLevel="0" collapsed="false">
      <c r="A43" s="0" t="s">
        <v>2111</v>
      </c>
      <c r="B43" s="0" t="s">
        <v>2112</v>
      </c>
      <c r="C43" s="0" t="s">
        <v>2113</v>
      </c>
      <c r="D43" s="0" t="s">
        <v>2114</v>
      </c>
      <c r="E43" s="0" t="s">
        <v>453</v>
      </c>
    </row>
    <row r="44" customFormat="false" ht="15" hidden="false" customHeight="false" outlineLevel="0" collapsed="false">
      <c r="A44" s="0" t="s">
        <v>2115</v>
      </c>
      <c r="B44" s="0" t="s">
        <v>2116</v>
      </c>
      <c r="C44" s="0" t="s">
        <v>2117</v>
      </c>
      <c r="D44" s="0" t="s">
        <v>2118</v>
      </c>
      <c r="E44" s="0" t="s">
        <v>453</v>
      </c>
    </row>
    <row r="45" customFormat="false" ht="15" hidden="false" customHeight="false" outlineLevel="0" collapsed="false">
      <c r="A45" s="0" t="s">
        <v>2119</v>
      </c>
      <c r="B45" s="0" t="s">
        <v>2120</v>
      </c>
      <c r="C45" s="0" t="s">
        <v>2121</v>
      </c>
      <c r="D45" s="0" t="s">
        <v>2122</v>
      </c>
      <c r="E45" s="0" t="s">
        <v>453</v>
      </c>
    </row>
    <row r="46" customFormat="false" ht="15" hidden="false" customHeight="false" outlineLevel="0" collapsed="false">
      <c r="A46" s="0" t="s">
        <v>2123</v>
      </c>
      <c r="B46" s="0" t="s">
        <v>2124</v>
      </c>
      <c r="C46" s="0" t="s">
        <v>2125</v>
      </c>
      <c r="D46" s="0" t="s">
        <v>2126</v>
      </c>
      <c r="E46" s="0" t="s">
        <v>453</v>
      </c>
    </row>
    <row r="47" customFormat="false" ht="15" hidden="false" customHeight="false" outlineLevel="0" collapsed="false">
      <c r="A47" s="0" t="s">
        <v>2127</v>
      </c>
      <c r="B47" s="0" t="s">
        <v>2128</v>
      </c>
      <c r="C47" s="0" t="s">
        <v>2129</v>
      </c>
      <c r="D47" s="0" t="s">
        <v>2130</v>
      </c>
      <c r="E47" s="0" t="s">
        <v>453</v>
      </c>
    </row>
    <row r="48" customFormat="false" ht="15" hidden="false" customHeight="false" outlineLevel="0" collapsed="false">
      <c r="A48" s="0" t="s">
        <v>2131</v>
      </c>
      <c r="B48" s="0" t="s">
        <v>2132</v>
      </c>
      <c r="C48" s="0" t="s">
        <v>2133</v>
      </c>
      <c r="D48" s="0" t="s">
        <v>2134</v>
      </c>
      <c r="E48" s="0" t="s">
        <v>453</v>
      </c>
    </row>
    <row r="49" customFormat="false" ht="15" hidden="false" customHeight="false" outlineLevel="0" collapsed="false">
      <c r="A49" s="0" t="s">
        <v>2135</v>
      </c>
      <c r="B49" s="0" t="s">
        <v>2136</v>
      </c>
      <c r="C49" s="0" t="s">
        <v>2137</v>
      </c>
      <c r="D49" s="0" t="s">
        <v>2138</v>
      </c>
      <c r="E49" s="0" t="s">
        <v>453</v>
      </c>
    </row>
    <row r="50" customFormat="false" ht="15" hidden="false" customHeight="false" outlineLevel="0" collapsed="false">
      <c r="A50" s="0" t="s">
        <v>2139</v>
      </c>
      <c r="B50" s="0" t="s">
        <v>2140</v>
      </c>
      <c r="C50" s="0" t="s">
        <v>2141</v>
      </c>
      <c r="D50" s="0" t="s">
        <v>2142</v>
      </c>
      <c r="E50" s="0" t="s">
        <v>453</v>
      </c>
    </row>
    <row r="51" customFormat="false" ht="15" hidden="false" customHeight="false" outlineLevel="0" collapsed="false">
      <c r="A51" s="0" t="s">
        <v>2143</v>
      </c>
      <c r="B51" s="0" t="s">
        <v>2144</v>
      </c>
      <c r="C51" s="0" t="s">
        <v>2145</v>
      </c>
      <c r="D51" s="0" t="s">
        <v>2146</v>
      </c>
      <c r="E51" s="0" t="s">
        <v>453</v>
      </c>
    </row>
    <row r="52" customFormat="false" ht="15" hidden="false" customHeight="false" outlineLevel="0" collapsed="false">
      <c r="A52" s="0" t="s">
        <v>2147</v>
      </c>
      <c r="B52" s="0" t="s">
        <v>2148</v>
      </c>
      <c r="C52" s="0" t="s">
        <v>2149</v>
      </c>
      <c r="D52" s="0" t="s">
        <v>2150</v>
      </c>
      <c r="E52" s="0" t="s">
        <v>453</v>
      </c>
    </row>
    <row r="53" customFormat="false" ht="15" hidden="false" customHeight="false" outlineLevel="0" collapsed="false">
      <c r="A53" s="0" t="s">
        <v>2151</v>
      </c>
      <c r="B53" s="0" t="s">
        <v>2152</v>
      </c>
      <c r="C53" s="0" t="s">
        <v>2153</v>
      </c>
      <c r="D53" s="0" t="s">
        <v>2154</v>
      </c>
      <c r="E53" s="0" t="s">
        <v>906</v>
      </c>
    </row>
    <row r="54" customFormat="false" ht="15" hidden="false" customHeight="false" outlineLevel="0" collapsed="false">
      <c r="A54" s="0" t="s">
        <v>2155</v>
      </c>
      <c r="B54" s="0" t="s">
        <v>2156</v>
      </c>
      <c r="C54" s="0" t="s">
        <v>2157</v>
      </c>
      <c r="D54" s="0" t="s">
        <v>2158</v>
      </c>
      <c r="E54" s="0" t="s">
        <v>906</v>
      </c>
    </row>
    <row r="55" customFormat="false" ht="15" hidden="false" customHeight="false" outlineLevel="0" collapsed="false">
      <c r="A55" s="0" t="s">
        <v>2159</v>
      </c>
      <c r="B55" s="0" t="s">
        <v>2160</v>
      </c>
      <c r="C55" s="0" t="s">
        <v>2161</v>
      </c>
      <c r="D55" s="0" t="s">
        <v>2162</v>
      </c>
      <c r="E55" s="0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" t="s">
        <v>2163</v>
      </c>
    </row>
    <row r="2" customFormat="false" ht="15" hidden="false" customHeight="false" outlineLevel="0" collapsed="false">
      <c r="A2" s="0" t="s">
        <v>2164</v>
      </c>
    </row>
    <row r="3" customFormat="false" ht="15" hidden="false" customHeight="false" outlineLevel="0" collapsed="false">
      <c r="A3" s="0" t="s">
        <v>2165</v>
      </c>
    </row>
    <row r="4" customFormat="false" ht="15" hidden="false" customHeight="false" outlineLevel="0" collapsed="false">
      <c r="A4" s="0" t="s">
        <v>2166</v>
      </c>
    </row>
    <row r="5" customFormat="false" ht="15" hidden="false" customHeight="false" outlineLevel="0" collapsed="false">
      <c r="A5" s="0" t="s">
        <v>2167</v>
      </c>
    </row>
    <row r="6" customFormat="false" ht="15" hidden="false" customHeight="false" outlineLevel="0" collapsed="false">
      <c r="A6" s="0" t="s">
        <v>2168</v>
      </c>
    </row>
    <row r="7" customFormat="false" ht="15" hidden="false" customHeight="false" outlineLevel="0" collapsed="false">
      <c r="A7" s="0" t="s">
        <v>2169</v>
      </c>
    </row>
    <row r="8" customFormat="false" ht="15" hidden="false" customHeight="false" outlineLevel="0" collapsed="false">
      <c r="A8" s="0" t="s">
        <v>2170</v>
      </c>
    </row>
    <row r="9" customFormat="false" ht="15" hidden="false" customHeight="false" outlineLevel="0" collapsed="false">
      <c r="A9" s="0" t="s">
        <v>2171</v>
      </c>
    </row>
    <row r="10" customFormat="false" ht="15" hidden="false" customHeight="false" outlineLevel="0" collapsed="false">
      <c r="A10" s="0" t="s">
        <v>2172</v>
      </c>
    </row>
    <row r="11" customFormat="false" ht="15" hidden="false" customHeight="false" outlineLevel="0" collapsed="false">
      <c r="A11" s="0" t="s">
        <v>2173</v>
      </c>
    </row>
    <row r="12" customFormat="false" ht="15" hidden="false" customHeight="false" outlineLevel="0" collapsed="false">
      <c r="A12" s="0" t="s">
        <v>2174</v>
      </c>
    </row>
    <row r="13" customFormat="false" ht="15" hidden="false" customHeight="false" outlineLevel="0" collapsed="false">
      <c r="A13" s="0" t="s">
        <v>2175</v>
      </c>
    </row>
    <row r="14" customFormat="false" ht="15" hidden="false" customHeight="false" outlineLevel="0" collapsed="false">
      <c r="A14" s="0" t="s">
        <v>2176</v>
      </c>
    </row>
    <row r="15" customFormat="false" ht="15" hidden="false" customHeight="false" outlineLevel="0" collapsed="false">
      <c r="A15" s="0" t="s">
        <v>2177</v>
      </c>
    </row>
    <row r="16" customFormat="false" ht="15" hidden="false" customHeight="false" outlineLevel="0" collapsed="false">
      <c r="A16" s="0" t="s">
        <v>2178</v>
      </c>
    </row>
    <row r="17" customFormat="false" ht="15" hidden="false" customHeight="false" outlineLevel="0" collapsed="false">
      <c r="A17" s="0" t="s">
        <v>2179</v>
      </c>
    </row>
    <row r="18" customFormat="false" ht="15" hidden="false" customHeight="false" outlineLevel="0" collapsed="false">
      <c r="A18" s="0" t="s">
        <v>2180</v>
      </c>
    </row>
    <row r="19" customFormat="false" ht="15" hidden="false" customHeight="false" outlineLevel="0" collapsed="false">
      <c r="A19" s="0" t="s">
        <v>2181</v>
      </c>
    </row>
    <row r="20" customFormat="false" ht="15" hidden="false" customHeight="false" outlineLevel="0" collapsed="false">
      <c r="A20" s="0" t="s">
        <v>2182</v>
      </c>
    </row>
    <row r="21" customFormat="false" ht="15" hidden="false" customHeight="false" outlineLevel="0" collapsed="false">
      <c r="A21" s="0" t="s">
        <v>2183</v>
      </c>
    </row>
    <row r="22" customFormat="false" ht="15" hidden="false" customHeight="false" outlineLevel="0" collapsed="false">
      <c r="A22" s="0" t="s">
        <v>2184</v>
      </c>
    </row>
    <row r="23" customFormat="false" ht="15" hidden="false" customHeight="false" outlineLevel="0" collapsed="false">
      <c r="A23" s="0" t="s">
        <v>2185</v>
      </c>
    </row>
    <row r="24" customFormat="false" ht="15" hidden="false" customHeight="false" outlineLevel="0" collapsed="false">
      <c r="A24" s="0" t="s">
        <v>2186</v>
      </c>
    </row>
    <row r="25" customFormat="false" ht="15" hidden="false" customHeight="false" outlineLevel="0" collapsed="false">
      <c r="A25" s="0" t="s">
        <v>2187</v>
      </c>
    </row>
    <row r="26" customFormat="false" ht="15" hidden="false" customHeight="false" outlineLevel="0" collapsed="false">
      <c r="A26" s="0" t="s">
        <v>2188</v>
      </c>
    </row>
    <row r="27" customFormat="false" ht="15" hidden="false" customHeight="false" outlineLevel="0" collapsed="false">
      <c r="A27" s="0" t="s">
        <v>2189</v>
      </c>
    </row>
    <row r="28" customFormat="false" ht="15" hidden="false" customHeight="false" outlineLevel="0" collapsed="false">
      <c r="A28" s="0" t="s">
        <v>2190</v>
      </c>
    </row>
    <row r="29" customFormat="false" ht="15" hidden="false" customHeight="false" outlineLevel="0" collapsed="false">
      <c r="A29" s="0" t="s">
        <v>2191</v>
      </c>
    </row>
    <row r="30" customFormat="false" ht="15" hidden="false" customHeight="false" outlineLevel="0" collapsed="false">
      <c r="A30" s="0" t="s">
        <v>2192</v>
      </c>
    </row>
    <row r="31" customFormat="false" ht="15" hidden="false" customHeight="false" outlineLevel="0" collapsed="false">
      <c r="A31" s="0" t="s">
        <v>2193</v>
      </c>
    </row>
    <row r="32" customFormat="false" ht="15" hidden="false" customHeight="false" outlineLevel="0" collapsed="false">
      <c r="A32" s="0" t="s">
        <v>2194</v>
      </c>
    </row>
    <row r="33" customFormat="false" ht="15" hidden="false" customHeight="false" outlineLevel="0" collapsed="false">
      <c r="A33" s="0" t="s">
        <v>2195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" t="s">
        <v>2196</v>
      </c>
    </row>
    <row r="2" customFormat="false" ht="15" hidden="false" customHeight="false" outlineLevel="0" collapsed="false">
      <c r="A2" s="0" t="s">
        <v>2197</v>
      </c>
    </row>
    <row r="3" customFormat="false" ht="15" hidden="false" customHeight="false" outlineLevel="0" collapsed="false">
      <c r="A3" s="0" t="s">
        <v>2198</v>
      </c>
    </row>
    <row r="4" customFormat="false" ht="15" hidden="false" customHeight="false" outlineLevel="0" collapsed="false">
      <c r="A4" s="0" t="s">
        <v>2199</v>
      </c>
    </row>
    <row r="5" customFormat="false" ht="15" hidden="false" customHeight="false" outlineLevel="0" collapsed="false">
      <c r="A5" s="0" t="s">
        <v>2200</v>
      </c>
    </row>
    <row r="6" customFormat="false" ht="15" hidden="false" customHeight="false" outlineLevel="0" collapsed="false">
      <c r="A6" s="0" t="s">
        <v>2201</v>
      </c>
    </row>
    <row r="7" customFormat="false" ht="15" hidden="false" customHeight="false" outlineLevel="0" collapsed="false">
      <c r="A7" s="0" t="s">
        <v>2202</v>
      </c>
    </row>
    <row r="8" customFormat="false" ht="15" hidden="false" customHeight="false" outlineLevel="0" collapsed="false">
      <c r="A8" s="0" t="s">
        <v>2203</v>
      </c>
    </row>
    <row r="9" customFormat="false" ht="15" hidden="false" customHeight="false" outlineLevel="0" collapsed="false">
      <c r="A9" s="0" t="s">
        <v>2204</v>
      </c>
    </row>
    <row r="10" customFormat="false" ht="15" hidden="false" customHeight="false" outlineLevel="0" collapsed="false">
      <c r="A10" s="0" t="s">
        <v>2205</v>
      </c>
    </row>
    <row r="11" customFormat="false" ht="15" hidden="false" customHeight="false" outlineLevel="0" collapsed="false">
      <c r="A11" s="0" t="s">
        <v>2206</v>
      </c>
    </row>
    <row r="12" customFormat="false" ht="15" hidden="false" customHeight="false" outlineLevel="0" collapsed="false">
      <c r="A12" s="0" t="s">
        <v>2207</v>
      </c>
    </row>
    <row r="13" customFormat="false" ht="15" hidden="false" customHeight="false" outlineLevel="0" collapsed="false">
      <c r="A13" s="0" t="s">
        <v>2208</v>
      </c>
    </row>
    <row r="14" customFormat="false" ht="15" hidden="false" customHeight="false" outlineLevel="0" collapsed="false">
      <c r="A14" s="0" t="s">
        <v>2209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5"/>
  </cols>
  <sheetData>
    <row r="1" customFormat="false" ht="15" hidden="false" customHeight="false" outlineLevel="0" collapsed="false">
      <c r="A1" s="1" t="s">
        <v>1944</v>
      </c>
      <c r="B1" s="1" t="s">
        <v>2210</v>
      </c>
      <c r="C1" s="1" t="s">
        <v>2211</v>
      </c>
      <c r="D1" s="1" t="s">
        <v>2212</v>
      </c>
    </row>
    <row r="2" customFormat="false" ht="15" hidden="false" customHeight="false" outlineLevel="0" collapsed="false">
      <c r="A2" s="0" t="s">
        <v>30</v>
      </c>
      <c r="B2" s="0" t="s">
        <v>2213</v>
      </c>
      <c r="C2" s="0" t="s">
        <v>2214</v>
      </c>
      <c r="D2" s="0" t="s">
        <v>2215</v>
      </c>
    </row>
    <row r="3" customFormat="false" ht="15" hidden="false" customHeight="false" outlineLevel="0" collapsed="false">
      <c r="A3" s="0" t="s">
        <v>35</v>
      </c>
      <c r="B3" s="0" t="s">
        <v>2213</v>
      </c>
      <c r="C3" s="0" t="s">
        <v>2214</v>
      </c>
      <c r="D3" s="0" t="s">
        <v>2216</v>
      </c>
    </row>
    <row r="4" customFormat="false" ht="15" hidden="false" customHeight="false" outlineLevel="0" collapsed="false">
      <c r="A4" s="0" t="s">
        <v>40</v>
      </c>
      <c r="B4" s="0" t="s">
        <v>2213</v>
      </c>
      <c r="C4" s="0" t="s">
        <v>2214</v>
      </c>
      <c r="D4" s="0" t="s">
        <v>2217</v>
      </c>
    </row>
    <row r="5" customFormat="false" ht="15" hidden="false" customHeight="false" outlineLevel="0" collapsed="false">
      <c r="A5" s="0" t="s">
        <v>57</v>
      </c>
      <c r="B5" s="0" t="s">
        <v>2213</v>
      </c>
      <c r="C5" s="0" t="s">
        <v>2214</v>
      </c>
      <c r="D5" s="0" t="s">
        <v>2218</v>
      </c>
    </row>
    <row r="6" customFormat="false" ht="15" hidden="false" customHeight="false" outlineLevel="0" collapsed="false">
      <c r="A6" s="0" t="s">
        <v>67</v>
      </c>
      <c r="B6" s="0" t="s">
        <v>2213</v>
      </c>
      <c r="C6" s="0" t="s">
        <v>2219</v>
      </c>
      <c r="D6" s="0" t="s">
        <v>2220</v>
      </c>
    </row>
    <row r="7" customFormat="false" ht="15" hidden="false" customHeight="false" outlineLevel="0" collapsed="false">
      <c r="A7" s="0" t="s">
        <v>2221</v>
      </c>
      <c r="B7" s="0" t="s">
        <v>2213</v>
      </c>
      <c r="C7" s="0" t="s">
        <v>2219</v>
      </c>
      <c r="D7" s="0" t="s">
        <v>2222</v>
      </c>
    </row>
    <row r="8" customFormat="false" ht="15" hidden="false" customHeight="false" outlineLevel="0" collapsed="false">
      <c r="A8" s="0" t="s">
        <v>2223</v>
      </c>
      <c r="B8" s="0" t="s">
        <v>2213</v>
      </c>
      <c r="C8" s="0" t="s">
        <v>2219</v>
      </c>
      <c r="D8" s="0" t="s">
        <v>2224</v>
      </c>
    </row>
    <row r="9" customFormat="false" ht="15" hidden="false" customHeight="false" outlineLevel="0" collapsed="false">
      <c r="A9" s="0" t="s">
        <v>2225</v>
      </c>
      <c r="B9" s="0" t="s">
        <v>2213</v>
      </c>
      <c r="C9" s="0" t="s">
        <v>2219</v>
      </c>
      <c r="D9" s="0" t="s">
        <v>2226</v>
      </c>
    </row>
    <row r="10" customFormat="false" ht="15" hidden="false" customHeight="false" outlineLevel="0" collapsed="false">
      <c r="A10" s="0" t="s">
        <v>82</v>
      </c>
      <c r="B10" s="0" t="s">
        <v>2213</v>
      </c>
      <c r="C10" s="0" t="s">
        <v>2219</v>
      </c>
      <c r="D10" s="0" t="s">
        <v>2227</v>
      </c>
    </row>
    <row r="11" customFormat="false" ht="15" hidden="false" customHeight="false" outlineLevel="0" collapsed="false">
      <c r="A11" s="0" t="s">
        <v>2228</v>
      </c>
      <c r="B11" s="0" t="s">
        <v>2213</v>
      </c>
      <c r="C11" s="0" t="s">
        <v>2219</v>
      </c>
      <c r="D11" s="0" t="s">
        <v>2229</v>
      </c>
    </row>
    <row r="12" customFormat="false" ht="15" hidden="false" customHeight="false" outlineLevel="0" collapsed="false">
      <c r="A12" s="0" t="s">
        <v>94</v>
      </c>
      <c r="B12" s="0" t="s">
        <v>2213</v>
      </c>
      <c r="C12" s="0" t="s">
        <v>2214</v>
      </c>
      <c r="D12" s="0" t="s">
        <v>2230</v>
      </c>
    </row>
    <row r="13" customFormat="false" ht="15" hidden="false" customHeight="false" outlineLevel="0" collapsed="false">
      <c r="A13" s="0" t="s">
        <v>2231</v>
      </c>
      <c r="B13" s="0" t="s">
        <v>2213</v>
      </c>
      <c r="C13" s="0" t="s">
        <v>2219</v>
      </c>
      <c r="D13" s="0" t="s">
        <v>2232</v>
      </c>
    </row>
    <row r="14" customFormat="false" ht="15" hidden="false" customHeight="false" outlineLevel="0" collapsed="false">
      <c r="A14" s="0" t="s">
        <v>2233</v>
      </c>
      <c r="B14" s="0" t="s">
        <v>2213</v>
      </c>
      <c r="C14" s="0" t="s">
        <v>2219</v>
      </c>
      <c r="D14" s="0" t="s">
        <v>2234</v>
      </c>
    </row>
    <row r="15" customFormat="false" ht="15" hidden="false" customHeight="false" outlineLevel="0" collapsed="false">
      <c r="A15" s="0" t="s">
        <v>52</v>
      </c>
      <c r="B15" s="0" t="s">
        <v>2213</v>
      </c>
      <c r="C15" s="0" t="s">
        <v>2214</v>
      </c>
      <c r="D15" s="0" t="s">
        <v>2235</v>
      </c>
    </row>
    <row r="16" customFormat="false" ht="15" hidden="false" customHeight="false" outlineLevel="0" collapsed="false">
      <c r="A16" s="0" t="s">
        <v>2236</v>
      </c>
      <c r="B16" s="0" t="s">
        <v>2213</v>
      </c>
      <c r="C16" s="0" t="s">
        <v>2214</v>
      </c>
      <c r="D16" s="0" t="s">
        <v>2237</v>
      </c>
    </row>
    <row r="17" customFormat="false" ht="15" hidden="false" customHeight="false" outlineLevel="0" collapsed="false">
      <c r="A17" s="0" t="s">
        <v>2238</v>
      </c>
      <c r="B17" s="0" t="s">
        <v>2213</v>
      </c>
      <c r="C17" s="0" t="s">
        <v>2214</v>
      </c>
      <c r="D17" s="0" t="s">
        <v>2239</v>
      </c>
    </row>
    <row r="18" customFormat="false" ht="15" hidden="false" customHeight="false" outlineLevel="0" collapsed="false">
      <c r="A18" s="0" t="s">
        <v>87</v>
      </c>
      <c r="B18" s="0" t="s">
        <v>2213</v>
      </c>
      <c r="C18" s="0" t="s">
        <v>2219</v>
      </c>
      <c r="D18" s="0" t="s">
        <v>2240</v>
      </c>
    </row>
    <row r="19" customFormat="false" ht="15" hidden="false" customHeight="false" outlineLevel="0" collapsed="false">
      <c r="A19" s="0" t="s">
        <v>2241</v>
      </c>
      <c r="B19" s="0" t="s">
        <v>2213</v>
      </c>
      <c r="C19" s="0" t="s">
        <v>2219</v>
      </c>
      <c r="D19" s="0" t="s">
        <v>2242</v>
      </c>
    </row>
    <row r="20" customFormat="false" ht="15" hidden="false" customHeight="false" outlineLevel="0" collapsed="false">
      <c r="A20" s="0" t="s">
        <v>106</v>
      </c>
      <c r="B20" s="0" t="s">
        <v>2213</v>
      </c>
      <c r="C20" s="0" t="s">
        <v>2219</v>
      </c>
      <c r="D20" s="0" t="s">
        <v>2243</v>
      </c>
    </row>
    <row r="21" customFormat="false" ht="15" hidden="false" customHeight="false" outlineLevel="0" collapsed="false">
      <c r="A21" s="0" t="s">
        <v>121</v>
      </c>
      <c r="B21" s="0" t="s">
        <v>2213</v>
      </c>
      <c r="C21" s="0" t="s">
        <v>2219</v>
      </c>
      <c r="D21" s="0" t="s">
        <v>2244</v>
      </c>
    </row>
    <row r="22" customFormat="false" ht="15" hidden="false" customHeight="false" outlineLevel="0" collapsed="false">
      <c r="A22" s="0" t="s">
        <v>126</v>
      </c>
      <c r="B22" s="0" t="s">
        <v>2213</v>
      </c>
      <c r="C22" s="0" t="s">
        <v>2219</v>
      </c>
      <c r="D22" s="0" t="s">
        <v>2245</v>
      </c>
    </row>
    <row r="23" customFormat="false" ht="15" hidden="false" customHeight="false" outlineLevel="0" collapsed="false">
      <c r="A23" s="0" t="s">
        <v>2246</v>
      </c>
      <c r="B23" s="0" t="s">
        <v>2213</v>
      </c>
      <c r="C23" s="0" t="s">
        <v>2219</v>
      </c>
      <c r="D23" s="0" t="s">
        <v>2247</v>
      </c>
    </row>
    <row r="24" customFormat="false" ht="15" hidden="false" customHeight="false" outlineLevel="0" collapsed="false">
      <c r="A24" s="0" t="s">
        <v>2248</v>
      </c>
      <c r="B24" s="0" t="s">
        <v>2213</v>
      </c>
      <c r="C24" s="0" t="s">
        <v>2219</v>
      </c>
      <c r="D24" s="0" t="s">
        <v>2249</v>
      </c>
    </row>
    <row r="25" customFormat="false" ht="15" hidden="false" customHeight="false" outlineLevel="0" collapsed="false">
      <c r="A25" s="0" t="s">
        <v>111</v>
      </c>
      <c r="B25" s="0" t="s">
        <v>2213</v>
      </c>
      <c r="C25" s="0" t="s">
        <v>2219</v>
      </c>
      <c r="D25" s="0" t="s">
        <v>2250</v>
      </c>
    </row>
    <row r="26" customFormat="false" ht="15" hidden="false" customHeight="false" outlineLevel="0" collapsed="false">
      <c r="A26" s="0" t="s">
        <v>116</v>
      </c>
      <c r="B26" s="0" t="s">
        <v>2213</v>
      </c>
      <c r="C26" s="0" t="s">
        <v>2219</v>
      </c>
      <c r="D26" s="0" t="s">
        <v>2251</v>
      </c>
    </row>
    <row r="27" customFormat="false" ht="15" hidden="false" customHeight="false" outlineLevel="0" collapsed="false">
      <c r="A27" s="0" t="s">
        <v>2252</v>
      </c>
      <c r="B27" s="0" t="s">
        <v>2213</v>
      </c>
      <c r="C27" s="0" t="s">
        <v>2219</v>
      </c>
      <c r="D27" s="0" t="s">
        <v>2253</v>
      </c>
    </row>
    <row r="28" customFormat="false" ht="15" hidden="false" customHeight="false" outlineLevel="0" collapsed="false">
      <c r="A28" s="0" t="s">
        <v>139</v>
      </c>
      <c r="B28" s="0" t="s">
        <v>2213</v>
      </c>
      <c r="C28" s="0" t="s">
        <v>2219</v>
      </c>
      <c r="D28" s="0" t="s">
        <v>2254</v>
      </c>
    </row>
    <row r="29" customFormat="false" ht="15" hidden="false" customHeight="false" outlineLevel="0" collapsed="false">
      <c r="A29" s="0" t="s">
        <v>144</v>
      </c>
      <c r="B29" s="0" t="s">
        <v>2213</v>
      </c>
      <c r="C29" s="0" t="s">
        <v>2219</v>
      </c>
      <c r="D29" s="0" t="s">
        <v>2255</v>
      </c>
    </row>
    <row r="30" customFormat="false" ht="15" hidden="false" customHeight="false" outlineLevel="0" collapsed="false">
      <c r="A30" s="0" t="s">
        <v>149</v>
      </c>
      <c r="B30" s="0" t="s">
        <v>2213</v>
      </c>
      <c r="C30" s="0" t="s">
        <v>2219</v>
      </c>
      <c r="D30" s="0" t="s">
        <v>2256</v>
      </c>
    </row>
    <row r="31" customFormat="false" ht="15" hidden="false" customHeight="false" outlineLevel="0" collapsed="false">
      <c r="A31" s="0" t="s">
        <v>2257</v>
      </c>
      <c r="B31" s="0" t="s">
        <v>2213</v>
      </c>
      <c r="C31" s="0" t="s">
        <v>2219</v>
      </c>
      <c r="D31" s="0" t="s">
        <v>2258</v>
      </c>
    </row>
    <row r="32" customFormat="false" ht="15" hidden="false" customHeight="false" outlineLevel="0" collapsed="false">
      <c r="A32" s="0" t="s">
        <v>158</v>
      </c>
      <c r="B32" s="0" t="s">
        <v>2213</v>
      </c>
      <c r="C32" s="0" t="s">
        <v>2219</v>
      </c>
      <c r="D32" s="0" t="s">
        <v>2259</v>
      </c>
    </row>
    <row r="33" customFormat="false" ht="15" hidden="false" customHeight="false" outlineLevel="0" collapsed="false">
      <c r="A33" s="0" t="s">
        <v>2260</v>
      </c>
      <c r="B33" s="0" t="s">
        <v>2213</v>
      </c>
      <c r="C33" s="0" t="s">
        <v>2219</v>
      </c>
      <c r="D33" s="0" t="s">
        <v>2258</v>
      </c>
    </row>
    <row r="34" customFormat="false" ht="15" hidden="false" customHeight="false" outlineLevel="0" collapsed="false">
      <c r="A34" s="0" t="s">
        <v>174</v>
      </c>
      <c r="B34" s="0" t="s">
        <v>2213</v>
      </c>
      <c r="C34" s="0" t="s">
        <v>2219</v>
      </c>
      <c r="D34" s="0" t="s">
        <v>2261</v>
      </c>
    </row>
    <row r="35" customFormat="false" ht="15" hidden="false" customHeight="false" outlineLevel="0" collapsed="false">
      <c r="A35" s="0" t="s">
        <v>2262</v>
      </c>
      <c r="B35" s="0" t="s">
        <v>2213</v>
      </c>
      <c r="C35" s="0" t="s">
        <v>2214</v>
      </c>
      <c r="D35" s="0" t="s">
        <v>2263</v>
      </c>
    </row>
    <row r="36" customFormat="false" ht="15" hidden="false" customHeight="false" outlineLevel="0" collapsed="false">
      <c r="A36" s="0" t="s">
        <v>2264</v>
      </c>
      <c r="B36" s="0" t="s">
        <v>2213</v>
      </c>
      <c r="C36" s="0" t="s">
        <v>2214</v>
      </c>
      <c r="D36" s="0" t="s">
        <v>2265</v>
      </c>
    </row>
    <row r="37" customFormat="false" ht="15" hidden="false" customHeight="false" outlineLevel="0" collapsed="false">
      <c r="A37" s="0" t="s">
        <v>248</v>
      </c>
      <c r="B37" s="0" t="s">
        <v>2213</v>
      </c>
      <c r="C37" s="0" t="s">
        <v>2214</v>
      </c>
      <c r="D37" s="0" t="s">
        <v>2266</v>
      </c>
    </row>
    <row r="38" customFormat="false" ht="15" hidden="false" customHeight="false" outlineLevel="0" collapsed="false">
      <c r="A38" s="0" t="s">
        <v>253</v>
      </c>
      <c r="B38" s="0" t="s">
        <v>2213</v>
      </c>
      <c r="C38" s="0" t="s">
        <v>2214</v>
      </c>
      <c r="D38" s="0" t="s">
        <v>2267</v>
      </c>
    </row>
    <row r="39" customFormat="false" ht="15" hidden="false" customHeight="false" outlineLevel="0" collapsed="false">
      <c r="A39" s="0" t="s">
        <v>257</v>
      </c>
      <c r="B39" s="0" t="s">
        <v>2213</v>
      </c>
      <c r="C39" s="0" t="s">
        <v>2214</v>
      </c>
      <c r="D39" s="0" t="s">
        <v>2268</v>
      </c>
    </row>
    <row r="40" customFormat="false" ht="15" hidden="false" customHeight="false" outlineLevel="0" collapsed="false">
      <c r="A40" s="0" t="s">
        <v>261</v>
      </c>
      <c r="B40" s="0" t="s">
        <v>2213</v>
      </c>
      <c r="C40" s="0" t="s">
        <v>2214</v>
      </c>
      <c r="D40" s="0" t="s">
        <v>2269</v>
      </c>
    </row>
    <row r="41" customFormat="false" ht="15" hidden="false" customHeight="false" outlineLevel="0" collapsed="false">
      <c r="A41" s="0" t="s">
        <v>271</v>
      </c>
      <c r="B41" s="0" t="s">
        <v>2213</v>
      </c>
      <c r="C41" s="0" t="s">
        <v>2214</v>
      </c>
      <c r="D41" s="0" t="s">
        <v>2270</v>
      </c>
    </row>
    <row r="42" customFormat="false" ht="15" hidden="false" customHeight="false" outlineLevel="0" collapsed="false">
      <c r="A42" s="0" t="s">
        <v>266</v>
      </c>
      <c r="B42" s="0" t="s">
        <v>2213</v>
      </c>
      <c r="C42" s="0" t="s">
        <v>2214</v>
      </c>
      <c r="D42" s="0" t="s">
        <v>2271</v>
      </c>
    </row>
    <row r="43" customFormat="false" ht="15" hidden="false" customHeight="false" outlineLevel="0" collapsed="false">
      <c r="A43" s="0" t="s">
        <v>234</v>
      </c>
      <c r="B43" s="0" t="s">
        <v>2213</v>
      </c>
      <c r="C43" s="0" t="s">
        <v>2219</v>
      </c>
      <c r="D43" s="0" t="s">
        <v>2272</v>
      </c>
    </row>
    <row r="44" customFormat="false" ht="15" hidden="false" customHeight="false" outlineLevel="0" collapsed="false">
      <c r="A44" s="0" t="s">
        <v>2273</v>
      </c>
      <c r="B44" s="0" t="s">
        <v>2213</v>
      </c>
      <c r="C44" s="0" t="s">
        <v>2219</v>
      </c>
      <c r="D44" s="0" t="s">
        <v>2274</v>
      </c>
    </row>
    <row r="45" customFormat="false" ht="15" hidden="false" customHeight="false" outlineLevel="0" collapsed="false">
      <c r="A45" s="0" t="s">
        <v>2275</v>
      </c>
      <c r="B45" s="0" t="s">
        <v>2213</v>
      </c>
      <c r="C45" s="0" t="s">
        <v>2219</v>
      </c>
      <c r="D45" s="0" t="s">
        <v>2276</v>
      </c>
    </row>
    <row r="46" customFormat="false" ht="15" hidden="false" customHeight="false" outlineLevel="0" collapsed="false">
      <c r="A46" s="0" t="s">
        <v>181</v>
      </c>
      <c r="B46" s="0" t="s">
        <v>2213</v>
      </c>
      <c r="C46" s="0" t="s">
        <v>2219</v>
      </c>
      <c r="D46" s="0" t="s">
        <v>2277</v>
      </c>
    </row>
    <row r="47" customFormat="false" ht="15" hidden="false" customHeight="false" outlineLevel="0" collapsed="false">
      <c r="A47" s="0" t="s">
        <v>197</v>
      </c>
      <c r="B47" s="0" t="s">
        <v>2213</v>
      </c>
      <c r="C47" s="0" t="s">
        <v>2219</v>
      </c>
      <c r="D47" s="0" t="s">
        <v>2278</v>
      </c>
    </row>
    <row r="48" customFormat="false" ht="15" hidden="false" customHeight="false" outlineLevel="0" collapsed="false">
      <c r="A48" s="0" t="s">
        <v>189</v>
      </c>
      <c r="B48" s="0" t="s">
        <v>2213</v>
      </c>
      <c r="C48" s="0" t="s">
        <v>2219</v>
      </c>
      <c r="D48" s="0" t="s">
        <v>2279</v>
      </c>
    </row>
    <row r="49" customFormat="false" ht="15" hidden="false" customHeight="false" outlineLevel="0" collapsed="false">
      <c r="A49" s="0" t="s">
        <v>210</v>
      </c>
      <c r="B49" s="0" t="s">
        <v>2213</v>
      </c>
      <c r="C49" s="0" t="s">
        <v>2219</v>
      </c>
      <c r="D49" s="0" t="s">
        <v>2280</v>
      </c>
    </row>
    <row r="50" customFormat="false" ht="15" hidden="false" customHeight="false" outlineLevel="0" collapsed="false">
      <c r="A50" s="0" t="s">
        <v>201</v>
      </c>
      <c r="B50" s="0" t="s">
        <v>2213</v>
      </c>
      <c r="C50" s="0" t="s">
        <v>2219</v>
      </c>
      <c r="D50" s="0" t="s">
        <v>2281</v>
      </c>
    </row>
    <row r="51" customFormat="false" ht="15" hidden="false" customHeight="false" outlineLevel="0" collapsed="false">
      <c r="A51" s="0" t="s">
        <v>193</v>
      </c>
      <c r="B51" s="0" t="s">
        <v>2213</v>
      </c>
      <c r="C51" s="0" t="s">
        <v>2219</v>
      </c>
      <c r="D51" s="0" t="s">
        <v>2282</v>
      </c>
    </row>
    <row r="52" customFormat="false" ht="15" hidden="false" customHeight="false" outlineLevel="0" collapsed="false">
      <c r="A52" s="0" t="s">
        <v>214</v>
      </c>
      <c r="B52" s="0" t="s">
        <v>2213</v>
      </c>
      <c r="C52" s="0" t="s">
        <v>2219</v>
      </c>
      <c r="D52" s="0" t="s">
        <v>2283</v>
      </c>
    </row>
    <row r="53" customFormat="false" ht="15" hidden="false" customHeight="false" outlineLevel="0" collapsed="false">
      <c r="A53" s="0" t="s">
        <v>205</v>
      </c>
      <c r="B53" s="0" t="s">
        <v>2213</v>
      </c>
      <c r="C53" s="0" t="s">
        <v>2219</v>
      </c>
      <c r="D53" s="0" t="s">
        <v>2284</v>
      </c>
    </row>
    <row r="54" customFormat="false" ht="15" hidden="false" customHeight="false" outlineLevel="0" collapsed="false">
      <c r="A54" s="0" t="s">
        <v>218</v>
      </c>
      <c r="B54" s="0" t="s">
        <v>2213</v>
      </c>
      <c r="C54" s="0" t="s">
        <v>2219</v>
      </c>
      <c r="D54" s="0" t="s">
        <v>2285</v>
      </c>
    </row>
    <row r="55" customFormat="false" ht="15" hidden="false" customHeight="false" outlineLevel="0" collapsed="false">
      <c r="A55" s="0" t="s">
        <v>224</v>
      </c>
      <c r="B55" s="0" t="s">
        <v>2213</v>
      </c>
      <c r="C55" s="0" t="s">
        <v>2219</v>
      </c>
      <c r="D55" s="0" t="s">
        <v>2286</v>
      </c>
    </row>
    <row r="56" customFormat="false" ht="15" hidden="false" customHeight="false" outlineLevel="0" collapsed="false">
      <c r="A56" s="0" t="s">
        <v>228</v>
      </c>
      <c r="B56" s="0" t="s">
        <v>2213</v>
      </c>
      <c r="C56" s="0" t="s">
        <v>2219</v>
      </c>
      <c r="D56" s="0" t="s">
        <v>2287</v>
      </c>
    </row>
    <row r="57" customFormat="false" ht="15" hidden="false" customHeight="false" outlineLevel="0" collapsed="false">
      <c r="A57" s="0" t="s">
        <v>2288</v>
      </c>
      <c r="B57" s="0" t="s">
        <v>2213</v>
      </c>
      <c r="C57" s="0" t="s">
        <v>2219</v>
      </c>
      <c r="D57" s="0" t="s">
        <v>2289</v>
      </c>
    </row>
    <row r="58" customFormat="false" ht="15" hidden="false" customHeight="false" outlineLevel="0" collapsed="false">
      <c r="A58" s="0" t="s">
        <v>2290</v>
      </c>
      <c r="B58" s="0" t="s">
        <v>2213</v>
      </c>
      <c r="C58" s="0" t="s">
        <v>2219</v>
      </c>
      <c r="D58" s="0" t="s">
        <v>2291</v>
      </c>
    </row>
    <row r="59" customFormat="false" ht="15" hidden="false" customHeight="false" outlineLevel="0" collapsed="false">
      <c r="A59" s="0" t="s">
        <v>2292</v>
      </c>
      <c r="B59" s="0" t="s">
        <v>2213</v>
      </c>
      <c r="C59" s="0" t="s">
        <v>2219</v>
      </c>
      <c r="D59" s="0" t="s">
        <v>2293</v>
      </c>
    </row>
    <row r="60" customFormat="false" ht="15" hidden="false" customHeight="false" outlineLevel="0" collapsed="false">
      <c r="A60" s="0" t="s">
        <v>2294</v>
      </c>
      <c r="B60" s="0" t="s">
        <v>2213</v>
      </c>
      <c r="C60" s="0" t="s">
        <v>2219</v>
      </c>
      <c r="D60" s="0" t="s">
        <v>2295</v>
      </c>
    </row>
    <row r="61" customFormat="false" ht="15" hidden="false" customHeight="false" outlineLevel="0" collapsed="false">
      <c r="A61" s="0" t="s">
        <v>2296</v>
      </c>
      <c r="B61" s="0" t="s">
        <v>2213</v>
      </c>
      <c r="C61" s="0" t="s">
        <v>2219</v>
      </c>
      <c r="D61" s="0" t="s">
        <v>2297</v>
      </c>
    </row>
    <row r="62" customFormat="false" ht="15" hidden="false" customHeight="false" outlineLevel="0" collapsed="false">
      <c r="A62" s="0" t="s">
        <v>2298</v>
      </c>
      <c r="B62" s="0" t="s">
        <v>2213</v>
      </c>
      <c r="C62" s="0" t="s">
        <v>2219</v>
      </c>
      <c r="D62" s="0" t="s">
        <v>2299</v>
      </c>
    </row>
    <row r="63" customFormat="false" ht="15" hidden="false" customHeight="false" outlineLevel="0" collapsed="false">
      <c r="A63" s="0" t="s">
        <v>2300</v>
      </c>
      <c r="B63" s="0" t="s">
        <v>2213</v>
      </c>
      <c r="C63" s="0" t="s">
        <v>2219</v>
      </c>
      <c r="D63" s="0" t="s">
        <v>2301</v>
      </c>
    </row>
    <row r="64" customFormat="false" ht="15" hidden="false" customHeight="false" outlineLevel="0" collapsed="false">
      <c r="A64" s="0" t="s">
        <v>2302</v>
      </c>
      <c r="B64" s="0" t="s">
        <v>2213</v>
      </c>
      <c r="C64" s="0" t="s">
        <v>2219</v>
      </c>
      <c r="D64" s="0" t="s">
        <v>2303</v>
      </c>
    </row>
    <row r="65" customFormat="false" ht="15" hidden="false" customHeight="false" outlineLevel="0" collapsed="false">
      <c r="A65" s="0" t="s">
        <v>2304</v>
      </c>
      <c r="B65" s="0" t="s">
        <v>2213</v>
      </c>
      <c r="C65" s="0" t="s">
        <v>2219</v>
      </c>
      <c r="D65" s="0" t="s">
        <v>2305</v>
      </c>
    </row>
    <row r="66" customFormat="false" ht="15" hidden="false" customHeight="false" outlineLevel="0" collapsed="false">
      <c r="A66" s="0" t="s">
        <v>2306</v>
      </c>
      <c r="B66" s="0" t="s">
        <v>2213</v>
      </c>
      <c r="C66" s="0" t="s">
        <v>2214</v>
      </c>
      <c r="D66" s="0" t="s">
        <v>2307</v>
      </c>
    </row>
    <row r="67" customFormat="false" ht="15" hidden="false" customHeight="false" outlineLevel="0" collapsed="false">
      <c r="A67" s="0" t="s">
        <v>2308</v>
      </c>
      <c r="B67" s="0" t="s">
        <v>2213</v>
      </c>
      <c r="C67" s="0" t="s">
        <v>2219</v>
      </c>
      <c r="D67" s="0" t="s">
        <v>2309</v>
      </c>
    </row>
    <row r="68" customFormat="false" ht="15" hidden="false" customHeight="false" outlineLevel="0" collapsed="false">
      <c r="A68" s="0" t="s">
        <v>2310</v>
      </c>
      <c r="B68" s="0" t="s">
        <v>2213</v>
      </c>
      <c r="C68" s="0" t="s">
        <v>2219</v>
      </c>
      <c r="D68" s="0" t="s">
        <v>2311</v>
      </c>
    </row>
    <row r="69" customFormat="false" ht="15" hidden="false" customHeight="false" outlineLevel="0" collapsed="false">
      <c r="A69" s="0" t="s">
        <v>2312</v>
      </c>
      <c r="B69" s="0" t="s">
        <v>2213</v>
      </c>
      <c r="C69" s="0" t="s">
        <v>2219</v>
      </c>
      <c r="D69" s="0" t="s">
        <v>2313</v>
      </c>
    </row>
    <row r="70" customFormat="false" ht="15" hidden="false" customHeight="false" outlineLevel="0" collapsed="false">
      <c r="A70" s="0" t="s">
        <v>2314</v>
      </c>
      <c r="B70" s="0" t="s">
        <v>2315</v>
      </c>
      <c r="C70" s="0" t="s">
        <v>2219</v>
      </c>
      <c r="D70" s="0" t="s">
        <v>2316</v>
      </c>
    </row>
    <row r="71" customFormat="false" ht="15" hidden="false" customHeight="false" outlineLevel="0" collapsed="false">
      <c r="A71" s="0" t="s">
        <v>2317</v>
      </c>
      <c r="B71" s="0" t="s">
        <v>2315</v>
      </c>
      <c r="C71" s="0" t="s">
        <v>2219</v>
      </c>
      <c r="D71" s="0" t="s">
        <v>2318</v>
      </c>
    </row>
    <row r="72" customFormat="false" ht="15" hidden="false" customHeight="false" outlineLevel="0" collapsed="false">
      <c r="A72" s="0" t="s">
        <v>2319</v>
      </c>
      <c r="B72" s="0" t="s">
        <v>2315</v>
      </c>
      <c r="C72" s="0" t="s">
        <v>2219</v>
      </c>
      <c r="D72" s="0" t="s">
        <v>2320</v>
      </c>
    </row>
    <row r="73" customFormat="false" ht="15" hidden="false" customHeight="false" outlineLevel="0" collapsed="false">
      <c r="A73" s="0" t="s">
        <v>2321</v>
      </c>
      <c r="B73" s="0" t="s">
        <v>2315</v>
      </c>
      <c r="C73" s="0" t="s">
        <v>2219</v>
      </c>
      <c r="D73" s="0" t="s">
        <v>2322</v>
      </c>
    </row>
    <row r="74" customFormat="false" ht="15" hidden="false" customHeight="false" outlineLevel="0" collapsed="false">
      <c r="A74" s="0" t="s">
        <v>2323</v>
      </c>
      <c r="B74" s="0" t="s">
        <v>2315</v>
      </c>
      <c r="C74" s="0" t="s">
        <v>2219</v>
      </c>
      <c r="D74" s="0" t="s">
        <v>2324</v>
      </c>
    </row>
    <row r="75" customFormat="false" ht="15" hidden="false" customHeight="false" outlineLevel="0" collapsed="false">
      <c r="A75" s="0" t="s">
        <v>2325</v>
      </c>
      <c r="B75" s="0" t="s">
        <v>2315</v>
      </c>
      <c r="C75" s="0" t="s">
        <v>2214</v>
      </c>
      <c r="D75" s="0" t="s">
        <v>2326</v>
      </c>
    </row>
    <row r="76" customFormat="false" ht="15" hidden="false" customHeight="false" outlineLevel="0" collapsed="false">
      <c r="A76" s="0" t="s">
        <v>2327</v>
      </c>
      <c r="B76" s="0" t="s">
        <v>2315</v>
      </c>
      <c r="C76" s="0" t="s">
        <v>2219</v>
      </c>
      <c r="D76" s="0" t="s">
        <v>2328</v>
      </c>
    </row>
    <row r="77" customFormat="false" ht="15" hidden="false" customHeight="false" outlineLevel="0" collapsed="false">
      <c r="A77" s="0" t="s">
        <v>2329</v>
      </c>
      <c r="B77" s="0" t="s">
        <v>2315</v>
      </c>
      <c r="C77" s="0" t="s">
        <v>2219</v>
      </c>
      <c r="D77" s="0" t="s">
        <v>2330</v>
      </c>
    </row>
    <row r="78" customFormat="false" ht="15" hidden="false" customHeight="false" outlineLevel="0" collapsed="false">
      <c r="A78" s="0" t="s">
        <v>2331</v>
      </c>
      <c r="B78" s="0" t="s">
        <v>2315</v>
      </c>
      <c r="C78" s="0" t="s">
        <v>2219</v>
      </c>
      <c r="D78" s="0" t="s">
        <v>2332</v>
      </c>
    </row>
    <row r="79" customFormat="false" ht="15" hidden="false" customHeight="false" outlineLevel="0" collapsed="false">
      <c r="A79" s="0" t="s">
        <v>2333</v>
      </c>
      <c r="B79" s="0" t="s">
        <v>2315</v>
      </c>
      <c r="C79" s="0" t="s">
        <v>2219</v>
      </c>
      <c r="D79" s="0" t="s">
        <v>2334</v>
      </c>
    </row>
    <row r="80" customFormat="false" ht="15" hidden="false" customHeight="false" outlineLevel="0" collapsed="false">
      <c r="A80" s="0" t="s">
        <v>61</v>
      </c>
      <c r="B80" s="0" t="s">
        <v>2335</v>
      </c>
      <c r="C80" s="0" t="s">
        <v>2219</v>
      </c>
      <c r="D80" s="0" t="s">
        <v>2336</v>
      </c>
    </row>
    <row r="81" customFormat="false" ht="15" hidden="false" customHeight="false" outlineLevel="0" collapsed="false">
      <c r="A81" s="0" t="s">
        <v>2337</v>
      </c>
      <c r="B81" s="0" t="s">
        <v>2335</v>
      </c>
      <c r="C81" s="0" t="s">
        <v>2219</v>
      </c>
      <c r="D81" s="0" t="s">
        <v>2338</v>
      </c>
    </row>
    <row r="82" customFormat="false" ht="15" hidden="false" customHeight="false" outlineLevel="0" collapsed="false">
      <c r="A82" s="0" t="s">
        <v>2339</v>
      </c>
      <c r="B82" s="0" t="s">
        <v>2335</v>
      </c>
      <c r="C82" s="0" t="s">
        <v>2219</v>
      </c>
      <c r="D82" s="0" t="s">
        <v>2340</v>
      </c>
    </row>
    <row r="83" customFormat="false" ht="15" hidden="false" customHeight="false" outlineLevel="0" collapsed="false">
      <c r="A83" s="0" t="s">
        <v>2341</v>
      </c>
      <c r="B83" s="0" t="s">
        <v>2342</v>
      </c>
      <c r="C83" s="0" t="s">
        <v>2219</v>
      </c>
      <c r="D83" s="0" t="s">
        <v>2343</v>
      </c>
    </row>
    <row r="84" customFormat="false" ht="15" hidden="false" customHeight="false" outlineLevel="0" collapsed="false">
      <c r="A84" s="0" t="s">
        <v>2344</v>
      </c>
      <c r="B84" s="0" t="s">
        <v>2335</v>
      </c>
      <c r="C84" s="0" t="s">
        <v>2219</v>
      </c>
      <c r="D84" s="0" t="s">
        <v>2345</v>
      </c>
    </row>
    <row r="85" customFormat="false" ht="15" hidden="false" customHeight="false" outlineLevel="0" collapsed="false">
      <c r="A85" s="0" t="s">
        <v>2346</v>
      </c>
      <c r="B85" s="0" t="s">
        <v>2347</v>
      </c>
      <c r="C85" s="0" t="s">
        <v>2219</v>
      </c>
      <c r="D85" s="0" t="s">
        <v>2348</v>
      </c>
    </row>
    <row r="86" customFormat="false" ht="15" hidden="false" customHeight="false" outlineLevel="0" collapsed="false">
      <c r="A86" s="0" t="s">
        <v>2349</v>
      </c>
      <c r="B86" s="0" t="s">
        <v>2347</v>
      </c>
      <c r="C86" s="0" t="s">
        <v>2219</v>
      </c>
      <c r="D86" s="0" t="s">
        <v>2350</v>
      </c>
    </row>
    <row r="87" customFormat="false" ht="15" hidden="false" customHeight="false" outlineLevel="0" collapsed="false">
      <c r="A87" s="0" t="s">
        <v>2351</v>
      </c>
      <c r="B87" s="0" t="s">
        <v>2352</v>
      </c>
      <c r="C87" s="0" t="s">
        <v>2219</v>
      </c>
      <c r="D87" s="0" t="s">
        <v>2353</v>
      </c>
    </row>
    <row r="88" customFormat="false" ht="15" hidden="false" customHeight="false" outlineLevel="0" collapsed="false">
      <c r="A88" s="0" t="s">
        <v>2354</v>
      </c>
      <c r="B88" s="0" t="s">
        <v>2352</v>
      </c>
      <c r="C88" s="0" t="s">
        <v>2214</v>
      </c>
      <c r="D88" s="0" t="s">
        <v>2355</v>
      </c>
    </row>
    <row r="89" customFormat="false" ht="15" hidden="false" customHeight="false" outlineLevel="0" collapsed="false">
      <c r="A89" s="0" t="s">
        <v>2356</v>
      </c>
      <c r="B89" s="0" t="s">
        <v>2342</v>
      </c>
      <c r="C89" s="0" t="s">
        <v>2214</v>
      </c>
      <c r="D89" s="0" t="s">
        <v>2357</v>
      </c>
    </row>
    <row r="90" customFormat="false" ht="15" hidden="false" customHeight="false" outlineLevel="0" collapsed="false">
      <c r="A90" s="0" t="s">
        <v>780</v>
      </c>
      <c r="B90" s="0" t="s">
        <v>2358</v>
      </c>
      <c r="C90" s="0" t="s">
        <v>2219</v>
      </c>
      <c r="D90" s="0" t="s">
        <v>2359</v>
      </c>
    </row>
    <row r="91" customFormat="false" ht="15" hidden="false" customHeight="false" outlineLevel="0" collapsed="false">
      <c r="A91" s="0" t="s">
        <v>2360</v>
      </c>
      <c r="B91" s="0" t="s">
        <v>2361</v>
      </c>
      <c r="C91" s="0" t="s">
        <v>2219</v>
      </c>
      <c r="D91" s="0" t="s">
        <v>2362</v>
      </c>
    </row>
    <row r="92" customFormat="false" ht="15" hidden="false" customHeight="false" outlineLevel="0" collapsed="false">
      <c r="A92" s="0" t="s">
        <v>899</v>
      </c>
      <c r="B92" s="0" t="s">
        <v>2363</v>
      </c>
      <c r="C92" s="0" t="s">
        <v>2219</v>
      </c>
      <c r="D92" s="0" t="s">
        <v>2364</v>
      </c>
    </row>
    <row r="93" customFormat="false" ht="15" hidden="false" customHeight="false" outlineLevel="0" collapsed="false">
      <c r="A93" s="0" t="s">
        <v>2365</v>
      </c>
      <c r="B93" s="0" t="s">
        <v>2361</v>
      </c>
      <c r="C93" s="0" t="s">
        <v>2219</v>
      </c>
      <c r="D93" s="0" t="s">
        <v>2366</v>
      </c>
    </row>
    <row r="94" customFormat="false" ht="15" hidden="false" customHeight="false" outlineLevel="0" collapsed="false">
      <c r="A94" s="0" t="s">
        <v>2367</v>
      </c>
      <c r="B94" s="0" t="s">
        <v>2361</v>
      </c>
      <c r="C94" s="0" t="s">
        <v>2219</v>
      </c>
      <c r="D94" s="0" t="s">
        <v>2368</v>
      </c>
    </row>
    <row r="95" customFormat="false" ht="15" hidden="false" customHeight="false" outlineLevel="0" collapsed="false">
      <c r="A95" s="0" t="s">
        <v>2369</v>
      </c>
      <c r="B95" s="0" t="s">
        <v>2370</v>
      </c>
      <c r="C95" s="0" t="s">
        <v>2219</v>
      </c>
      <c r="D95" s="0" t="s">
        <v>2371</v>
      </c>
    </row>
    <row r="96" customFormat="false" ht="15" hidden="false" customHeight="false" outlineLevel="0" collapsed="false">
      <c r="A96" s="0" t="s">
        <v>2372</v>
      </c>
      <c r="B96" s="0" t="s">
        <v>2370</v>
      </c>
      <c r="C96" s="0" t="s">
        <v>2219</v>
      </c>
      <c r="D96" s="0" t="s">
        <v>2373</v>
      </c>
    </row>
    <row r="97" customFormat="false" ht="15" hidden="false" customHeight="false" outlineLevel="0" collapsed="false">
      <c r="A97" s="0" t="s">
        <v>2374</v>
      </c>
      <c r="B97" s="0" t="s">
        <v>2370</v>
      </c>
      <c r="C97" s="0" t="s">
        <v>2219</v>
      </c>
      <c r="D97" s="0" t="s">
        <v>2375</v>
      </c>
    </row>
    <row r="98" customFormat="false" ht="15" hidden="false" customHeight="false" outlineLevel="0" collapsed="false">
      <c r="A98" s="0" t="s">
        <v>2376</v>
      </c>
      <c r="B98" s="0" t="s">
        <v>2370</v>
      </c>
      <c r="C98" s="0" t="s">
        <v>2219</v>
      </c>
      <c r="D98" s="0" t="s">
        <v>2377</v>
      </c>
    </row>
    <row r="99" customFormat="false" ht="15" hidden="false" customHeight="false" outlineLevel="0" collapsed="false">
      <c r="A99" s="0" t="s">
        <v>2378</v>
      </c>
      <c r="B99" s="0" t="s">
        <v>2370</v>
      </c>
      <c r="C99" s="0" t="s">
        <v>2219</v>
      </c>
      <c r="D99" s="0" t="s">
        <v>2379</v>
      </c>
    </row>
    <row r="100" customFormat="false" ht="15" hidden="false" customHeight="false" outlineLevel="0" collapsed="false">
      <c r="A100" s="0" t="s">
        <v>2380</v>
      </c>
      <c r="B100" s="0" t="s">
        <v>2370</v>
      </c>
      <c r="C100" s="0" t="s">
        <v>2219</v>
      </c>
      <c r="D100" s="0" t="s">
        <v>2381</v>
      </c>
    </row>
    <row r="101" customFormat="false" ht="15" hidden="false" customHeight="false" outlineLevel="0" collapsed="false">
      <c r="A101" s="0" t="s">
        <v>2382</v>
      </c>
      <c r="B101" s="0" t="s">
        <v>2370</v>
      </c>
      <c r="C101" s="0" t="s">
        <v>2219</v>
      </c>
      <c r="D101" s="0" t="s">
        <v>2383</v>
      </c>
    </row>
    <row r="102" customFormat="false" ht="15" hidden="false" customHeight="false" outlineLevel="0" collapsed="false">
      <c r="A102" s="0" t="s">
        <v>2384</v>
      </c>
      <c r="B102" s="0" t="s">
        <v>2370</v>
      </c>
      <c r="C102" s="0" t="s">
        <v>2219</v>
      </c>
      <c r="D102" s="0" t="s">
        <v>2385</v>
      </c>
    </row>
    <row r="103" customFormat="false" ht="15" hidden="false" customHeight="false" outlineLevel="0" collapsed="false">
      <c r="A103" s="0" t="s">
        <v>2386</v>
      </c>
      <c r="B103" s="0" t="s">
        <v>2370</v>
      </c>
      <c r="C103" s="0" t="s">
        <v>2219</v>
      </c>
      <c r="D103" s="0" t="s">
        <v>2387</v>
      </c>
    </row>
    <row r="104" customFormat="false" ht="15" hidden="false" customHeight="false" outlineLevel="0" collapsed="false">
      <c r="A104" s="0" t="s">
        <v>2388</v>
      </c>
      <c r="B104" s="0" t="s">
        <v>2370</v>
      </c>
      <c r="C104" s="0" t="s">
        <v>2219</v>
      </c>
      <c r="D104" s="0" t="s">
        <v>2389</v>
      </c>
    </row>
    <row r="105" customFormat="false" ht="15" hidden="false" customHeight="false" outlineLevel="0" collapsed="false">
      <c r="A105" s="0" t="s">
        <v>2390</v>
      </c>
      <c r="B105" s="0" t="s">
        <v>2370</v>
      </c>
      <c r="C105" s="0" t="s">
        <v>2219</v>
      </c>
      <c r="D105" s="0" t="s">
        <v>2391</v>
      </c>
    </row>
    <row r="106" customFormat="false" ht="15" hidden="false" customHeight="false" outlineLevel="0" collapsed="false">
      <c r="A106" s="0" t="s">
        <v>2392</v>
      </c>
      <c r="B106" s="0" t="s">
        <v>2370</v>
      </c>
      <c r="C106" s="0" t="s">
        <v>2219</v>
      </c>
      <c r="D106" s="0" t="s">
        <v>2393</v>
      </c>
    </row>
    <row r="107" customFormat="false" ht="15" hidden="false" customHeight="false" outlineLevel="0" collapsed="false">
      <c r="A107" s="0" t="s">
        <v>2394</v>
      </c>
      <c r="B107" s="0" t="s">
        <v>2370</v>
      </c>
      <c r="C107" s="0" t="s">
        <v>2219</v>
      </c>
      <c r="D107" s="0" t="s">
        <v>2395</v>
      </c>
    </row>
    <row r="108" customFormat="false" ht="15" hidden="false" customHeight="false" outlineLevel="0" collapsed="false">
      <c r="A108" s="0" t="s">
        <v>2396</v>
      </c>
      <c r="B108" s="0" t="s">
        <v>2370</v>
      </c>
      <c r="C108" s="0" t="s">
        <v>2219</v>
      </c>
      <c r="D108" s="0" t="s">
        <v>2397</v>
      </c>
    </row>
    <row r="109" customFormat="false" ht="15" hidden="false" customHeight="false" outlineLevel="0" collapsed="false">
      <c r="A109" s="0" t="s">
        <v>2398</v>
      </c>
      <c r="B109" s="0" t="s">
        <v>2370</v>
      </c>
      <c r="C109" s="0" t="s">
        <v>2219</v>
      </c>
      <c r="D109" s="0" t="s">
        <v>2399</v>
      </c>
    </row>
    <row r="110" customFormat="false" ht="15" hidden="false" customHeight="false" outlineLevel="0" collapsed="false">
      <c r="A110" s="0" t="s">
        <v>2400</v>
      </c>
      <c r="B110" s="0" t="s">
        <v>2370</v>
      </c>
      <c r="C110" s="0" t="s">
        <v>2219</v>
      </c>
      <c r="D110" s="0" t="s">
        <v>2401</v>
      </c>
    </row>
    <row r="111" customFormat="false" ht="15" hidden="false" customHeight="false" outlineLevel="0" collapsed="false">
      <c r="A111" s="0" t="s">
        <v>2402</v>
      </c>
      <c r="B111" s="0" t="s">
        <v>2370</v>
      </c>
      <c r="C111" s="0" t="s">
        <v>2219</v>
      </c>
      <c r="D111" s="0" t="s">
        <v>2403</v>
      </c>
    </row>
    <row r="112" customFormat="false" ht="15" hidden="false" customHeight="false" outlineLevel="0" collapsed="false">
      <c r="A112" s="0" t="s">
        <v>2404</v>
      </c>
      <c r="B112" s="0" t="s">
        <v>2370</v>
      </c>
      <c r="C112" s="0" t="s">
        <v>2219</v>
      </c>
      <c r="D112" s="0" t="s">
        <v>2405</v>
      </c>
    </row>
    <row r="113" customFormat="false" ht="15" hidden="false" customHeight="false" outlineLevel="0" collapsed="false">
      <c r="A113" s="0" t="s">
        <v>2406</v>
      </c>
      <c r="B113" s="0" t="s">
        <v>2370</v>
      </c>
      <c r="C113" s="0" t="s">
        <v>2219</v>
      </c>
      <c r="D113" s="0" t="s">
        <v>2407</v>
      </c>
    </row>
    <row r="114" customFormat="false" ht="15" hidden="false" customHeight="false" outlineLevel="0" collapsed="false">
      <c r="A114" s="0" t="s">
        <v>2408</v>
      </c>
      <c r="B114" s="0" t="s">
        <v>2370</v>
      </c>
      <c r="C114" s="0" t="s">
        <v>2219</v>
      </c>
      <c r="D114" s="0" t="s">
        <v>2409</v>
      </c>
    </row>
    <row r="115" customFormat="false" ht="15" hidden="false" customHeight="false" outlineLevel="0" collapsed="false">
      <c r="A115" s="0" t="s">
        <v>2410</v>
      </c>
      <c r="B115" s="0" t="s">
        <v>2370</v>
      </c>
      <c r="C115" s="0" t="s">
        <v>2219</v>
      </c>
      <c r="D115" s="0" t="s">
        <v>2411</v>
      </c>
    </row>
    <row r="116" customFormat="false" ht="15" hidden="false" customHeight="false" outlineLevel="0" collapsed="false">
      <c r="A116" s="0" t="s">
        <v>2412</v>
      </c>
      <c r="B116" s="0" t="s">
        <v>2370</v>
      </c>
      <c r="C116" s="0" t="s">
        <v>2214</v>
      </c>
      <c r="D116" s="0" t="s">
        <v>2413</v>
      </c>
    </row>
    <row r="117" customFormat="false" ht="15" hidden="false" customHeight="false" outlineLevel="0" collapsed="false">
      <c r="A117" s="0" t="s">
        <v>2414</v>
      </c>
      <c r="B117" s="0" t="s">
        <v>2370</v>
      </c>
      <c r="C117" s="0" t="s">
        <v>2219</v>
      </c>
      <c r="D117" s="0" t="s">
        <v>2415</v>
      </c>
    </row>
    <row r="118" customFormat="false" ht="15" hidden="false" customHeight="false" outlineLevel="0" collapsed="false">
      <c r="A118" s="0" t="s">
        <v>914</v>
      </c>
      <c r="B118" s="0" t="s">
        <v>2370</v>
      </c>
      <c r="C118" s="0" t="s">
        <v>2219</v>
      </c>
      <c r="D118" s="0" t="s">
        <v>2416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45"/>
  </cols>
  <sheetData>
    <row r="1" customFormat="false" ht="15" hidden="false" customHeight="false" outlineLevel="0" collapsed="false">
      <c r="A1" s="1" t="s">
        <v>1944</v>
      </c>
      <c r="B1" s="1" t="s">
        <v>20</v>
      </c>
      <c r="C1" s="1" t="s">
        <v>2417</v>
      </c>
    </row>
    <row r="2" customFormat="false" ht="15" hidden="false" customHeight="false" outlineLevel="0" collapsed="false">
      <c r="A2" s="0" t="s">
        <v>2418</v>
      </c>
      <c r="B2" s="0" t="s">
        <v>138</v>
      </c>
      <c r="C2" s="0" t="s">
        <v>2419</v>
      </c>
    </row>
    <row r="3" customFormat="false" ht="15" hidden="false" customHeight="false" outlineLevel="0" collapsed="false">
      <c r="A3" s="0" t="s">
        <v>2420</v>
      </c>
      <c r="B3" s="0" t="s">
        <v>138</v>
      </c>
      <c r="C3" s="0" t="s">
        <v>2421</v>
      </c>
    </row>
    <row r="4" customFormat="false" ht="15" hidden="false" customHeight="false" outlineLevel="0" collapsed="false">
      <c r="A4" s="0" t="s">
        <v>2422</v>
      </c>
      <c r="B4" s="0" t="s">
        <v>138</v>
      </c>
      <c r="C4" s="0" t="s">
        <v>2423</v>
      </c>
    </row>
    <row r="5" customFormat="false" ht="15" hidden="false" customHeight="false" outlineLevel="0" collapsed="false">
      <c r="A5" s="0" t="s">
        <v>2424</v>
      </c>
      <c r="B5" s="0" t="s">
        <v>423</v>
      </c>
      <c r="C5" s="0" t="s">
        <v>2425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45"/>
  </cols>
  <sheetData>
    <row r="1" customFormat="false" ht="15" hidden="false" customHeight="false" outlineLevel="0" collapsed="false">
      <c r="A1" s="1" t="s">
        <v>2426</v>
      </c>
      <c r="B1" s="1" t="s">
        <v>20</v>
      </c>
      <c r="C1" s="1" t="s">
        <v>928</v>
      </c>
      <c r="D1" s="1" t="s">
        <v>929</v>
      </c>
      <c r="E1" s="1" t="s">
        <v>930</v>
      </c>
    </row>
    <row r="2" customFormat="false" ht="15" hidden="false" customHeight="false" outlineLevel="0" collapsed="false">
      <c r="A2" s="0" t="s">
        <v>332</v>
      </c>
      <c r="B2" s="0" t="s">
        <v>337</v>
      </c>
      <c r="C2" s="0" t="s">
        <v>2427</v>
      </c>
      <c r="D2" s="0" t="s">
        <v>948</v>
      </c>
      <c r="E2" s="0" t="n">
        <v>234.2</v>
      </c>
    </row>
    <row r="3" customFormat="false" ht="15" hidden="false" customHeight="false" outlineLevel="0" collapsed="false">
      <c r="A3" s="0" t="s">
        <v>340</v>
      </c>
      <c r="B3" s="0" t="s">
        <v>337</v>
      </c>
      <c r="C3" s="0" t="s">
        <v>2427</v>
      </c>
      <c r="D3" s="0" t="s">
        <v>948</v>
      </c>
      <c r="E3" s="0" t="n">
        <v>247.2</v>
      </c>
    </row>
    <row r="4" customFormat="false" ht="15" hidden="false" customHeight="false" outlineLevel="0" collapsed="false">
      <c r="A4" s="0" t="s">
        <v>345</v>
      </c>
      <c r="B4" s="0" t="s">
        <v>337</v>
      </c>
      <c r="C4" s="0" t="s">
        <v>2427</v>
      </c>
      <c r="D4" s="0" t="s">
        <v>948</v>
      </c>
      <c r="E4" s="0" t="n">
        <v>225.2</v>
      </c>
    </row>
    <row r="5" customFormat="false" ht="15" hidden="false" customHeight="false" outlineLevel="0" collapsed="false">
      <c r="A5" s="0" t="s">
        <v>350</v>
      </c>
      <c r="B5" s="0" t="s">
        <v>337</v>
      </c>
      <c r="C5" s="0" t="s">
        <v>2427</v>
      </c>
      <c r="D5" s="0" t="s">
        <v>948</v>
      </c>
      <c r="E5" s="0" t="n">
        <v>818.8</v>
      </c>
    </row>
    <row r="6" customFormat="false" ht="15" hidden="false" customHeight="false" outlineLevel="0" collapsed="false">
      <c r="A6" s="0" t="s">
        <v>355</v>
      </c>
      <c r="B6" s="0" t="s">
        <v>337</v>
      </c>
      <c r="C6" s="0" t="s">
        <v>2427</v>
      </c>
      <c r="D6" s="0" t="s">
        <v>948</v>
      </c>
      <c r="E6" s="0" t="n">
        <v>439.8</v>
      </c>
    </row>
    <row r="7" customFormat="false" ht="15" hidden="false" customHeight="false" outlineLevel="0" collapsed="false">
      <c r="A7" s="0" t="s">
        <v>360</v>
      </c>
      <c r="B7" s="0" t="s">
        <v>337</v>
      </c>
      <c r="C7" s="0" t="s">
        <v>2427</v>
      </c>
      <c r="D7" s="0" t="s">
        <v>948</v>
      </c>
      <c r="E7" s="0" t="n">
        <v>885.9</v>
      </c>
    </row>
    <row r="8" customFormat="false" ht="15" hidden="false" customHeight="false" outlineLevel="0" collapsed="false">
      <c r="A8" s="0" t="s">
        <v>365</v>
      </c>
      <c r="B8" s="0" t="s">
        <v>337</v>
      </c>
      <c r="C8" s="0" t="s">
        <v>2427</v>
      </c>
      <c r="D8" s="0" t="s">
        <v>948</v>
      </c>
      <c r="E8" s="0" t="n">
        <v>439.8</v>
      </c>
    </row>
    <row r="9" customFormat="false" ht="15" hidden="false" customHeight="false" outlineLevel="0" collapsed="false">
      <c r="A9" s="0" t="s">
        <v>370</v>
      </c>
      <c r="B9" s="0" t="s">
        <v>337</v>
      </c>
      <c r="C9" s="0" t="s">
        <v>2427</v>
      </c>
      <c r="D9" s="0" t="s">
        <v>948</v>
      </c>
      <c r="E9" s="0" t="n">
        <v>363</v>
      </c>
    </row>
    <row r="10" customFormat="false" ht="15" hidden="false" customHeight="false" outlineLevel="0" collapsed="false">
      <c r="A10" s="0" t="s">
        <v>375</v>
      </c>
      <c r="B10" s="0" t="s">
        <v>337</v>
      </c>
      <c r="C10" s="0" t="s">
        <v>2427</v>
      </c>
      <c r="D10" s="0" t="s">
        <v>948</v>
      </c>
      <c r="E10" s="0" t="n">
        <v>76.2</v>
      </c>
    </row>
    <row r="11" customFormat="false" ht="15" hidden="false" customHeight="false" outlineLevel="0" collapsed="false">
      <c r="A11" s="0" t="s">
        <v>380</v>
      </c>
      <c r="B11" s="0" t="s">
        <v>337</v>
      </c>
      <c r="C11" s="0" t="s">
        <v>2427</v>
      </c>
      <c r="D11" s="0" t="s">
        <v>948</v>
      </c>
      <c r="E11" s="0" t="n">
        <v>491.9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45"/>
  </cols>
  <sheetData>
    <row r="1" customFormat="false" ht="15" hidden="false" customHeight="false" outlineLevel="0" collapsed="false">
      <c r="A1" s="1" t="s">
        <v>20</v>
      </c>
      <c r="B1" s="1" t="s">
        <v>2428</v>
      </c>
      <c r="C1" s="1" t="s">
        <v>2429</v>
      </c>
      <c r="D1" s="1" t="s">
        <v>2430</v>
      </c>
      <c r="E1" s="1" t="s">
        <v>1895</v>
      </c>
      <c r="F1" s="1" t="s">
        <v>2431</v>
      </c>
    </row>
    <row r="2" customFormat="false" ht="15" hidden="false" customHeight="false" outlineLevel="0" collapsed="false">
      <c r="A2" s="0" t="s">
        <v>29</v>
      </c>
      <c r="B2" s="0" t="s">
        <v>2432</v>
      </c>
      <c r="C2" s="0" t="s">
        <v>2433</v>
      </c>
      <c r="D2" s="0" t="s">
        <v>2434</v>
      </c>
      <c r="E2" s="0" t="s">
        <v>2435</v>
      </c>
      <c r="F2" s="0" t="s">
        <v>2436</v>
      </c>
    </row>
    <row r="3" customFormat="false" ht="15" hidden="false" customHeight="false" outlineLevel="0" collapsed="false">
      <c r="A3" s="0" t="s">
        <v>138</v>
      </c>
      <c r="B3" s="0" t="s">
        <v>2437</v>
      </c>
      <c r="C3" s="0" t="s">
        <v>2438</v>
      </c>
      <c r="D3" s="0" t="s">
        <v>2439</v>
      </c>
      <c r="E3" s="0" t="s">
        <v>2440</v>
      </c>
      <c r="F3" s="0" t="s">
        <v>2441</v>
      </c>
    </row>
    <row r="4" customFormat="false" ht="15" hidden="false" customHeight="false" outlineLevel="0" collapsed="false">
      <c r="A4" s="0" t="s">
        <v>337</v>
      </c>
      <c r="B4" s="0" t="s">
        <v>2442</v>
      </c>
      <c r="C4" s="0" t="s">
        <v>2443</v>
      </c>
      <c r="D4" s="0" t="s">
        <v>2444</v>
      </c>
      <c r="E4" s="0" t="s">
        <v>2445</v>
      </c>
      <c r="F4" s="0" t="s">
        <v>2436</v>
      </c>
    </row>
    <row r="5" customFormat="false" ht="15" hidden="false" customHeight="false" outlineLevel="0" collapsed="false">
      <c r="A5" s="0" t="s">
        <v>423</v>
      </c>
      <c r="B5" s="0" t="s">
        <v>2446</v>
      </c>
      <c r="C5" s="0" t="s">
        <v>2433</v>
      </c>
      <c r="D5" s="0" t="s">
        <v>2447</v>
      </c>
      <c r="E5" s="0" t="s">
        <v>2448</v>
      </c>
      <c r="F5" s="0" t="s">
        <v>2441</v>
      </c>
    </row>
    <row r="6" customFormat="false" ht="15" hidden="false" customHeight="false" outlineLevel="0" collapsed="false">
      <c r="A6" s="0" t="s">
        <v>453</v>
      </c>
      <c r="B6" s="0" t="s">
        <v>2449</v>
      </c>
      <c r="C6" s="0" t="s">
        <v>2433</v>
      </c>
      <c r="D6" s="0" t="s">
        <v>2450</v>
      </c>
      <c r="E6" s="0" t="s">
        <v>2451</v>
      </c>
      <c r="F6" s="0" t="s">
        <v>2452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2026-10-14T02:15:26Z</dcterms:created>
  <dc:creator>openpyxl</dc:creator>
  <dc:description/>
  <dc:language>en-US</dc:language>
  <cp:lastModifiedBy/>
  <dcterms:modified xsi:type="dcterms:W3CDTF">2026-10-14T02:15:26Z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