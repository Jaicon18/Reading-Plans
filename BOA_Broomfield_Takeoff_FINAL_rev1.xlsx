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xmlns:r="http://schemas.openxmlformats.org/officeDocument/2006/relationships" name="Inputs" sheetId="1" state="visible" r:id="rId1"/>
    <sheet xmlns:r="http://schemas.openxmlformats.org/officeDocument/2006/relationships" name="Partition Takeoff" sheetId="2" state="visible" r:id="rId2"/>
    <sheet xmlns:r="http://schemas.openxmlformats.org/officeDocument/2006/relationships" name="Material Summary" sheetId="3" state="visible" r:id="rId3"/>
    <sheet xmlns:r="http://schemas.openxmlformats.org/officeDocument/2006/relationships" name="Pending Items" sheetId="4" state="visible" r:id="rId4"/>
    <sheet xmlns:r="http://schemas.openxmlformats.org/officeDocument/2006/relationships" name="Review Items" sheetId="5" state="visible" r:id="rId5"/>
    <sheet xmlns:r="http://schemas.openxmlformats.org/officeDocument/2006/relationships" name="Scope Checklist" sheetId="6" state="visible" r:id="rId6"/>
    <sheet xmlns:r="http://schemas.openxmlformats.org/officeDocument/2006/relationships" name="_reglas" sheetId="7" state="hidden" r:id="rId7"/>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Cambria"/>
      <charset val="1"/>
      <family val="0"/>
      <b val="1"/>
      <sz val="13"/>
    </font>
    <font>
      <name val="Cambria"/>
      <charset val="1"/>
      <family val="0"/>
      <b val="1"/>
      <color rgb="FFFFFFFF"/>
      <sz val="11"/>
    </font>
    <font>
      <name val="Cambria"/>
      <charset val="1"/>
      <family val="0"/>
      <b val="1"/>
      <sz val="11"/>
    </font>
  </fonts>
  <fills count="5">
    <fill>
      <patternFill/>
    </fill>
    <fill>
      <patternFill patternType="gray125"/>
    </fill>
    <fill>
      <patternFill patternType="solid">
        <fgColor rgb="FF1F4E78"/>
        <bgColor rgb="FF003366"/>
      </patternFill>
    </fill>
    <fill>
      <patternFill patternType="solid">
        <fgColor rgb="FFFFF2CC"/>
        <bgColor rgb="FFFFFFFF"/>
      </patternFill>
    </fill>
    <fill>
      <patternFill patternType="solid">
        <fgColor rgb="FFDDEBF7"/>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3" borderId="0" applyAlignment="1" pivotButton="0" quotePrefix="0" xfId="0">
      <alignment horizontal="general" vertical="bottom"/>
    </xf>
    <xf numFmtId="0" fontId="0" fillId="0" borderId="0" applyAlignment="1" pivotButton="0" quotePrefix="0" xfId="0">
      <alignment horizontal="general" vertical="bottom"/>
    </xf>
    <xf numFmtId="0" fontId="6" fillId="4"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xf>
    <xf numFmtId="0"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Estimator</author>
  </authors>
  <commentList>
    <comment ref="C18" authorId="0" shapeId="0">
      <text>
        <t>Rev 1 (10/23/2026): CSR soffit joists 3-5/8" (48.08 LF) kept per estimator, in addition to vertical studs @ 16" O.C. + 2 tracks.</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C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7" min="1" max="1"/>
    <col width="22" customWidth="1" style="7" min="2" max="2"/>
    <col width="60" customWidth="1" style="7" min="3" max="3"/>
  </cols>
  <sheetData>
    <row r="1" ht="16.15" customHeight="1" s="8">
      <c r="A1" s="9" t="inlineStr">
        <is>
          <t>Bank of America - Broomfield, CO   |   METAL FRAMING &amp; DRYWALL TAKEOFF</t>
        </is>
      </c>
    </row>
    <row r="2" ht="15" customHeight="1" s="8">
      <c r="A2" s="7" t="inlineStr">
        <is>
          <t>Bid set: BOA Broomfield bid set CO1-111 (boa.pdf)   ·   2026-10-23   ·   Edit ONLY the yellow cells.</t>
        </is>
      </c>
    </row>
    <row r="4" ht="15" customHeight="1" s="8">
      <c r="A4" s="10" t="inlineStr">
        <is>
          <t>PARAMETER</t>
        </is>
      </c>
      <c r="B4" s="10" t="inlineStr">
        <is>
          <t>VALUE</t>
        </is>
      </c>
      <c r="C4" s="10" t="inlineStr">
        <is>
          <t>NOTE / SOURCE</t>
        </is>
      </c>
    </row>
    <row r="5" ht="15" customHeight="1" s="8">
      <c r="A5" s="7" t="inlineStr">
        <is>
          <t>Waste - ALL METAL, any type</t>
        </is>
      </c>
      <c r="B5" s="11" t="n">
        <v>0.15</v>
      </c>
      <c r="C5" s="7" t="inlineStr">
        <is>
          <t>Estimator standing rule: 15% on everything that is metal.</t>
        </is>
      </c>
    </row>
    <row r="6" ht="15" customHeight="1" s="8">
      <c r="A6" s="7" t="inlineStr">
        <is>
          <t>Waste - EVERYTHING THAT IS NOT METAL</t>
        </is>
      </c>
      <c r="B6" s="11" t="n">
        <v>0.06</v>
      </c>
      <c r="C6" s="7" t="inlineStr">
        <is>
          <t>Estimator standing rule: same figure as board.</t>
        </is>
      </c>
    </row>
    <row r="7" ht="15" customHeight="1" s="8">
      <c r="A7" s="7" t="inlineStr">
        <is>
          <t>Board sheet width (ft)</t>
        </is>
      </c>
      <c r="B7" s="11" t="n">
        <v>4</v>
      </c>
      <c r="C7" s="7" t="inlineStr">
        <is>
          <t>Sheet size is a parameter; buy the size that wastes least.</t>
        </is>
      </c>
    </row>
    <row r="8" ht="15" customHeight="1" s="8">
      <c r="A8" s="7" t="inlineStr">
        <is>
          <t>Board sheet length (ft)</t>
        </is>
      </c>
      <c r="B8" s="11" t="n">
        <v>12</v>
      </c>
      <c r="C8" s="7" t="inlineStr">
        <is>
          <t>Change it and every sheet count re-rounds.</t>
        </is>
      </c>
    </row>
    <row r="9" ht="15" customHeight="1" s="8">
      <c r="A9" s="7" t="inlineStr">
        <is>
          <t>SF per board sheet</t>
        </is>
      </c>
      <c r="B9" s="7">
        <f>B7*B8</f>
        <v/>
      </c>
      <c r="C9" s="7" t="inlineStr">
        <is>
          <t>Width x length.</t>
        </is>
      </c>
    </row>
    <row r="10" ht="15" customHeight="1" s="8">
      <c r="A10" s="7" t="inlineStr">
        <is>
          <t>Stud stock length (ft)</t>
        </is>
      </c>
      <c r="B10" s="11" t="n">
        <v>20</v>
      </c>
      <c r="C10" s="7" t="inlineStr">
        <is>
          <t>Stud, header, framed opening and stud blocking: sticks.</t>
        </is>
      </c>
    </row>
    <row r="11" ht="15" customHeight="1" s="8">
      <c r="A11" s="7" t="inlineStr">
        <is>
          <t>Track stock length (ft)</t>
        </is>
      </c>
      <c r="B11" s="11" t="n">
        <v>10</v>
      </c>
      <c r="C11" s="7" t="inlineStr">
        <is>
          <t>Track, sill track and purlin: runs.</t>
        </is>
      </c>
    </row>
    <row r="12" ht="15" customHeight="1" s="8">
      <c r="A12" s="7" t="inlineStr">
        <is>
          <t>Floor plan scale (pt/ft)</t>
        </is>
      </c>
      <c r="B12" s="11" t="n">
        <v>18</v>
      </c>
      <c r="C12" s="7" t="inlineStr">
        <is>
          <t>Project value (canon constants).</t>
        </is>
      </c>
    </row>
    <row r="13" ht="15" customHeight="1" s="8">
      <c r="A13" s="7" t="inlineStr">
        <is>
          <t>B.O. Deck (ft)</t>
        </is>
      </c>
      <c r="B13" s="11" t="n">
        <v>15.375</v>
      </c>
      <c r="C13" s="7" t="inlineStr">
        <is>
          <t>Project value (canon constants).</t>
        </is>
      </c>
    </row>
    <row r="14" ht="15" customHeight="1" s="8">
      <c r="A14" s="7" t="inlineStr">
        <is>
          <t>T.O. Parapet (ft)</t>
        </is>
      </c>
      <c r="B14" s="11" t="n">
        <v>20</v>
      </c>
      <c r="C14" s="7" t="inlineStr">
        <is>
          <t>Project value (canon constants).</t>
        </is>
      </c>
    </row>
    <row r="15" ht="15" customHeight="1" s="8">
      <c r="A15" s="7" t="inlineStr">
        <is>
          <t>Sealant coverage (LF per tube)</t>
        </is>
      </c>
      <c r="B15" s="11" t="n">
        <v>25</v>
      </c>
      <c r="C15" s="7" t="inlineStr">
        <is>
          <t>Sealant yield per tube - set your supplier's figure.</t>
        </is>
      </c>
    </row>
    <row r="16" ht="15" customHeight="1" s="8">
      <c r="A16" s="7" t="inlineStr">
        <is>
          <t>C.R. channel stock length (ft)</t>
        </is>
      </c>
      <c r="B16" s="11" t="n">
        <v>16</v>
      </c>
      <c r="C16" s="7" t="inlineStr">
        <is>
          <t>1-1/2" cold-rolled channel (bracing, carrying channel).</t>
        </is>
      </c>
    </row>
    <row r="17" ht="15" customHeight="1" s="8">
      <c r="A17" s="7" t="inlineStr">
        <is>
          <t>Hat / furring channel stock (ft)</t>
        </is>
      </c>
      <c r="B17" s="11" t="n">
        <v>12</v>
      </c>
      <c r="C17" s="7" t="inlineStr">
        <is>
          <t>7/8" hat furring channel.</t>
        </is>
      </c>
    </row>
    <row r="18" ht="15" customHeight="1" s="8">
      <c r="A18" s="7" t="inlineStr">
        <is>
          <t>Trim stick length (ft)</t>
        </is>
      </c>
      <c r="B18" s="11" t="n">
        <v>10</v>
      </c>
      <c r="C18" s="7" t="inlineStr">
        <is>
          <t>Corner bead, casing bead, shadow molding, PVC trim.</t>
        </is>
      </c>
    </row>
    <row r="19" ht="15" customHeight="1" s="8">
      <c r="A19" s="7" t="inlineStr">
        <is>
          <t>Hanger wire purchase</t>
        </is>
      </c>
      <c r="B19" s="11" t="inlineStr">
        <is>
          <t>continuous coil (LF)</t>
        </is>
      </c>
      <c r="C19" s="7" t="inlineStr">
        <is>
          <t>Bought by LF from a continuous coil; the hanger count goes on its own PCS row.</t>
        </is>
      </c>
    </row>
    <row r="20" ht="15" customHeight="1" s="8">
      <c r="A20" s="7" t="inlineStr">
        <is>
          <t>Drywall screws per SF of board</t>
        </is>
      </c>
      <c r="B20" s="11" t="n">
        <v>1.2</v>
      </c>
      <c r="C20" s="7" t="inlineStr">
        <is>
          <t>YIELD (GA-216 field / perimeter spacing).</t>
        </is>
      </c>
    </row>
    <row r="21" ht="15" customHeight="1" s="8">
      <c r="A21" s="7" t="inlineStr">
        <is>
          <t>Framing screws per stud piece</t>
        </is>
      </c>
      <c r="B21" s="11" t="n">
        <v>4</v>
      </c>
      <c r="C21" s="7" t="inlineStr">
        <is>
          <t>YIELD: 2 per stud-to-track connection, each end.</t>
        </is>
      </c>
    </row>
    <row r="22" ht="15" customHeight="1" s="8">
      <c r="A22" s="7" t="inlineStr">
        <is>
          <t>Power-driven pin spacing (ft)</t>
        </is>
      </c>
      <c r="B22" s="11" t="n">
        <v>1</v>
      </c>
      <c r="C22" s="7" t="inlineStr">
        <is>
          <t>YIELD: bottom track on slab, interior walls.</t>
        </is>
      </c>
    </row>
    <row r="23" ht="15" customHeight="1" s="8">
      <c r="A23" s="7" t="inlineStr">
        <is>
          <t>Joint compound (lb per SF)</t>
        </is>
      </c>
      <c r="B23" s="11" t="n">
        <v>0.07199999999999999</v>
      </c>
      <c r="C23" s="7" t="inlineStr">
        <is>
          <t>YIELD: 72 lb per 1,000 SF, level 4 (estimator criterion).</t>
        </is>
      </c>
    </row>
    <row r="24" ht="15" customHeight="1" s="8">
      <c r="A24" s="7" t="inlineStr">
        <is>
          <t>Joint tape (LF per SF)</t>
        </is>
      </c>
      <c r="B24" s="11" t="n">
        <v>0.37</v>
      </c>
      <c r="C24" s="7" t="inlineStr">
        <is>
          <t>YIELD: 370 LF per 1,000 SF.</t>
        </is>
      </c>
    </row>
    <row r="25" ht="15" customHeight="1" s="8">
      <c r="A25" s="7" t="inlineStr">
        <is>
          <t>Expansion anchor spacing (ft)</t>
        </is>
      </c>
      <c r="B25" s="11" t="n">
        <v>0.667</v>
      </c>
      <c r="C25" s="7" t="inlineStr">
        <is>
          <t>YIELD: exterior bottom track on slab.</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7" min="1" max="1"/>
    <col width="33" customWidth="1" style="7" min="2" max="2"/>
    <col width="14" customWidth="1" style="7" min="3" max="3"/>
    <col width="13" customWidth="1" style="7" min="4" max="4"/>
    <col width="10" customWidth="1" style="7" min="5" max="5"/>
    <col width="11" customWidth="1" style="7" min="6" max="6"/>
    <col width="16" customWidth="1" style="7" min="7" max="7"/>
    <col width="14" customWidth="1" style="7" min="8" max="8"/>
    <col width="60" customWidth="1" style="7" min="9" max="9"/>
    <col width="23" customWidth="1" style="7" min="10" max="10"/>
    <col width="13" customWidth="1" style="7" min="11" max="11"/>
  </cols>
  <sheetData>
    <row r="1" ht="16.15" customHeight="1" s="8">
      <c r="A1" s="9" t="inlineStr">
        <is>
          <t>ORGANIZED PARTITION TAKEOFF - Bank of America - Broomfield, CO</t>
        </is>
      </c>
    </row>
    <row r="2" ht="15" customHeight="1" s="8">
      <c r="A2" s="7" t="inlineStr">
        <is>
          <t>Grouped by partition type. Every row cites its DETAIL/SHEET and its status.</t>
        </is>
      </c>
    </row>
    <row r="4" ht="15" customHeight="1" s="8">
      <c r="A4" s="10" t="inlineStr">
        <is>
          <t>Partition / Scope</t>
        </is>
      </c>
      <c r="B4" s="10" t="inlineStr">
        <is>
          <t>Wall #</t>
        </is>
      </c>
      <c r="C4" s="10" t="inlineStr">
        <is>
          <t>Length (LF)</t>
        </is>
      </c>
      <c r="D4" s="10" t="inlineStr">
        <is>
          <t>Height (FT)</t>
        </is>
      </c>
      <c r="E4" s="10" t="inlineStr">
        <is>
          <t>Layers</t>
        </is>
      </c>
      <c r="F4" s="10" t="inlineStr">
        <is>
          <t>Stud Size</t>
        </is>
      </c>
      <c r="G4" s="10" t="inlineStr">
        <is>
          <t>Stud O.C. (in)</t>
        </is>
      </c>
      <c r="H4" s="10" t="inlineStr">
        <is>
          <t>Board (SF)</t>
        </is>
      </c>
      <c r="I4" s="10" t="inlineStr">
        <is>
          <t>Location</t>
        </is>
      </c>
      <c r="J4" s="10" t="inlineStr">
        <is>
          <t>Source (DETAIL/SHEET)</t>
        </is>
      </c>
      <c r="K4" s="10" t="inlineStr">
        <is>
          <t>Status</t>
        </is>
      </c>
    </row>
    <row r="5" ht="15" customHeight="1" s="8">
      <c r="A5" s="12" t="inlineStr">
        <is>
          <t>TYPE EXT-6CFMF</t>
        </is>
      </c>
    </row>
    <row r="6" ht="15" customHeight="1" s="8">
      <c r="A6" s="7" t="inlineStr">
        <is>
          <t>EXT-6CFMF  #A-AE-01  -  CENTRAL ZONE 103 / OFFICE 1 ME 105 / T-junction / no exposed face</t>
        </is>
      </c>
      <c r="B6" s="7" t="inlineStr">
        <is>
          <t>A-AE-01</t>
        </is>
      </c>
      <c r="C6" s="7" t="n">
        <v>12.64</v>
      </c>
      <c r="D6" s="7" t="n">
        <v>14.358</v>
      </c>
      <c r="E6" s="7" t="n">
        <v>0.96</v>
      </c>
      <c r="F6" s="7" t="inlineStr">
        <is>
          <t>6"</t>
        </is>
      </c>
      <c r="G6" s="7" t="n">
        <v>16</v>
      </c>
      <c r="H6" s="7" t="n">
        <v>186.46</v>
      </c>
      <c r="I6" s="7" t="inlineStr">
        <is>
          <t>CENTRAL ZONE 103 / OFFICE 1 ME 105 / T-junction / no exposed face</t>
        </is>
      </c>
      <c r="J6" s="7" t="inlineStr">
        <is>
          <t>C/A09.21</t>
        </is>
      </c>
      <c r="K6" s="7" t="inlineStr">
        <is>
          <t>[DERIVED]</t>
        </is>
      </c>
    </row>
    <row r="7" ht="15" customHeight="1" s="8">
      <c r="A7" s="7" t="inlineStr">
        <is>
          <t>EXT-6CFMF  #A-AE-03a+A-AE-03b+A-AE-03c  -  WELLNESS 115 / CORRIDOR 111 / T-junction / no exposed face + NER 121 / BREAK ROOM 118 / T-junction / no exposed face + BREAK ROOM 118 / WORK ROOM 119 / T-junction / no exposed face</t>
        </is>
      </c>
      <c r="B7" s="7" t="inlineStr">
        <is>
          <t>A-AE-03a+A-AE-03b+A-AE-03c</t>
        </is>
      </c>
      <c r="C7" s="7" t="n">
        <v>51.733</v>
      </c>
      <c r="D7" s="7" t="n">
        <v>11.17</v>
      </c>
      <c r="E7" s="7" t="n">
        <v>0.96</v>
      </c>
      <c r="F7" s="7" t="inlineStr">
        <is>
          <t>6"</t>
        </is>
      </c>
      <c r="G7" s="7" t="n">
        <v>16</v>
      </c>
      <c r="H7" s="7" t="n">
        <v>596.23</v>
      </c>
      <c r="I7" s="7" t="inlineStr">
        <is>
          <t>WELLNESS 115 / CORRIDOR 111 / T-junction / no exposed face + NER 121 / BREAK ROOM 118 / T-junction / no exposed face + BREAK ROOM 118 / WORK ROOM 119 / T-junction / no exposed face</t>
        </is>
      </c>
      <c r="J7" s="7" t="inlineStr">
        <is>
          <t>C/A09.21</t>
        </is>
      </c>
      <c r="K7" s="7" t="inlineStr">
        <is>
          <t>[DERIVED]</t>
        </is>
      </c>
    </row>
    <row r="8" ht="15" customHeight="1" s="8">
      <c r="A8" s="7" t="inlineStr">
        <is>
          <t>EXT-6CFMF  #A-AE-05  -  ATM ROOM 102</t>
        </is>
      </c>
      <c r="B8" s="7" t="inlineStr">
        <is>
          <t>A-AE-05</t>
        </is>
      </c>
      <c r="C8" s="7" t="n">
        <v>3.907</v>
      </c>
      <c r="D8" s="7" t="n">
        <v>14.358</v>
      </c>
      <c r="E8" s="7" t="n">
        <v>1</v>
      </c>
      <c r="F8" s="7" t="inlineStr">
        <is>
          <t>6"</t>
        </is>
      </c>
      <c r="G8" s="7" t="n">
        <v>16</v>
      </c>
      <c r="H8" s="7" t="n">
        <v>60.07</v>
      </c>
      <c r="I8" s="7" t="inlineStr">
        <is>
          <t>ATM ROOM 102</t>
        </is>
      </c>
      <c r="J8" s="7" t="inlineStr">
        <is>
          <t>C/A09.21</t>
        </is>
      </c>
      <c r="K8" s="7" t="inlineStr">
        <is>
          <t>[DERIVED]</t>
        </is>
      </c>
    </row>
    <row r="9" ht="15" customHeight="1" s="8">
      <c r="A9" s="7" t="inlineStr">
        <is>
          <t>EXT-6CFMF  #R-2-1a+R-2-1b  -  VESTIBULE 100 / 24 HR VESTIBULE 101 / ATM ROOM 102 / T-junction / no exposed face + ATM ROOM 102 / T-junction / no exposed face</t>
        </is>
      </c>
      <c r="B9" s="7" t="inlineStr">
        <is>
          <t>R-2-1a+R-2-1b</t>
        </is>
      </c>
      <c r="C9" s="7" t="n">
        <v>21.887</v>
      </c>
      <c r="D9" s="7" t="n">
        <v>14.358</v>
      </c>
      <c r="E9" s="7" t="n">
        <v>0.92</v>
      </c>
      <c r="F9" s="7" t="inlineStr">
        <is>
          <t>6"</t>
        </is>
      </c>
      <c r="G9" s="7" t="n">
        <v>16</v>
      </c>
      <c r="H9" s="7" t="n">
        <v>303.32</v>
      </c>
      <c r="I9" s="7" t="inlineStr">
        <is>
          <t>VESTIBULE 100 / 24 HR VESTIBULE 101 / ATM ROOM 102 / T-junction / no exposed face + ATM ROOM 102 / T-junction / no exposed face</t>
        </is>
      </c>
      <c r="J9" s="7" t="inlineStr">
        <is>
          <t>C/A09.21</t>
        </is>
      </c>
      <c r="K9" s="7" t="inlineStr">
        <is>
          <t>[DERIVED]</t>
        </is>
      </c>
    </row>
    <row r="10" ht="15" customHeight="1" s="8">
      <c r="A10" s="7" t="inlineStr">
        <is>
          <t>EXT-6CFMF  #R-EXT-E-1a+R-EXT-E-1b  -  OFFICE 1 ME 105 / OFFICE 2 CL 106 / OFFICE 3 SB 107 / OFFICE 4 CB 108 / CASH WINDOW 116 / T-junction / no exposed face + CASH WINDOW 116 / WORK ROOM 119 / T-junction / no exposed face</t>
        </is>
      </c>
      <c r="B10" s="7" t="inlineStr">
        <is>
          <t>R-EXT-E-1a+R-EXT-E-1b</t>
        </is>
      </c>
      <c r="C10" s="7" t="n">
        <v>77.187</v>
      </c>
      <c r="D10" s="7" t="n">
        <v>13.539</v>
      </c>
      <c r="E10" s="7" t="n">
        <v>0.9399999999999999</v>
      </c>
      <c r="F10" s="7" t="inlineStr">
        <is>
          <t>6"</t>
        </is>
      </c>
      <c r="G10" s="7" t="n">
        <v>16</v>
      </c>
      <c r="H10" s="7" t="n">
        <v>993.99</v>
      </c>
      <c r="I10" s="7" t="inlineStr">
        <is>
          <t>OFFICE 1 ME 105 / OFFICE 2 CL 106 / OFFICE 3 SB 107 / OFFICE 4 CB 108 / CASH WINDOW 116 / T-junction / no exposed face + CASH WINDOW 116 / WORK ROOM 119 / T-junction / no exposed face</t>
        </is>
      </c>
      <c r="J10" s="7" t="inlineStr">
        <is>
          <t>C/A09.21</t>
        </is>
      </c>
      <c r="K10" s="7" t="inlineStr">
        <is>
          <t>[DERIVED]</t>
        </is>
      </c>
    </row>
    <row r="11" ht="15" customHeight="1" s="8">
      <c r="A11" s="7" t="inlineStr">
        <is>
          <t>EXT-6CFMF  #R-EXT-W3-1a+R-EXT-W3-1b  -  OFFICE 5 CB 109 / OFFICE 6 CB 110 / WOMEN'S RESTROOM 114 / T-junction / no exposed face + WOMEN'S RESTROOM 114 / CAVITY (plumbing chase between C1 R-21-1 and R-21-2) / MEN'S RESTROOM 113 / JANITOR CLOSET 112 / WELLNESS 115 / T-junction / no exposed face</t>
        </is>
      </c>
      <c r="B11" s="7" t="inlineStr">
        <is>
          <t>R-EXT-W3-1a+R-EXT-W3-1b</t>
        </is>
      </c>
      <c r="C11" s="7" t="n">
        <v>47.833</v>
      </c>
      <c r="D11" s="7" t="n">
        <v>13.036</v>
      </c>
      <c r="E11" s="7" t="n">
        <v>0.93</v>
      </c>
      <c r="F11" s="7" t="inlineStr">
        <is>
          <t>6"</t>
        </is>
      </c>
      <c r="G11" s="7" t="n">
        <v>16</v>
      </c>
      <c r="H11" s="7" t="n">
        <v>590.61</v>
      </c>
      <c r="I11" s="7" t="inlineStr">
        <is>
          <t>OFFICE 5 CB 109 / OFFICE 6 CB 110 / WOMEN'S RESTROOM 114 / T-junction / no exposed face + WOMEN'S RESTROOM 114 / CAVITY (plumbing chase between C1 R-21-1 and R-21-2) / MEN'S RESTROOM 113 / JANITOR CLOSET 112 / WELLNESS 115 / T-junction / no exposed face</t>
        </is>
      </c>
      <c r="J11" s="7" t="inlineStr">
        <is>
          <t>C/A09.21</t>
        </is>
      </c>
      <c r="K11" s="7" t="inlineStr">
        <is>
          <t>[DERIVED]</t>
        </is>
      </c>
    </row>
    <row r="12" ht="15" customHeight="1" s="8">
      <c r="A12" s="12" t="inlineStr">
        <is>
          <t>TYPE CANOPY-COL</t>
        </is>
      </c>
    </row>
    <row r="13" ht="15" customHeight="1" s="8">
      <c r="A13" s="7" t="inlineStr">
        <is>
          <t>CANOPY-COL  #A-AE-09  -  A-AE-09</t>
        </is>
      </c>
      <c r="B13" s="7" t="inlineStr">
        <is>
          <t>A-AE-09</t>
        </is>
      </c>
      <c r="C13" s="7" t="n">
        <v>5.667</v>
      </c>
      <c r="D13" s="7" t="n">
        <v>10.604</v>
      </c>
      <c r="E13" s="7" t="n">
        <v>0</v>
      </c>
      <c r="F13" s="7" t="inlineStr">
        <is>
          <t>3-5/8"</t>
        </is>
      </c>
      <c r="G13" s="7" t="n">
        <v>16</v>
      </c>
      <c r="H13" s="7" t="n">
        <v>0</v>
      </c>
      <c r="I13" s="7" t="inlineStr">
        <is>
          <t>A-AE-09</t>
        </is>
      </c>
      <c r="J13" s="7" t="inlineStr">
        <is>
          <t>5/A09.25</t>
        </is>
      </c>
      <c r="K13" s="7" t="inlineStr">
        <is>
          <t>[DERIVED]</t>
        </is>
      </c>
    </row>
    <row r="14" ht="15" customHeight="1" s="8">
      <c r="A14" s="7" t="inlineStr">
        <is>
          <t>CANOPY-COL  #A-AE-10  -  A-AE-10</t>
        </is>
      </c>
      <c r="B14" s="7" t="inlineStr">
        <is>
          <t>A-AE-10</t>
        </is>
      </c>
      <c r="C14" s="7" t="n">
        <v>5.667</v>
      </c>
      <c r="D14" s="7" t="n">
        <v>10.604</v>
      </c>
      <c r="E14" s="7" t="n">
        <v>0</v>
      </c>
      <c r="F14" s="7" t="inlineStr">
        <is>
          <t>3-5/8"</t>
        </is>
      </c>
      <c r="G14" s="7" t="n">
        <v>16</v>
      </c>
      <c r="H14" s="7" t="n">
        <v>0</v>
      </c>
      <c r="I14" s="7" t="inlineStr">
        <is>
          <t>A-AE-10</t>
        </is>
      </c>
      <c r="J14" s="7" t="inlineStr">
        <is>
          <t>5/A09.25</t>
        </is>
      </c>
      <c r="K14" s="7" t="inlineStr">
        <is>
          <t>[DERIVED]</t>
        </is>
      </c>
    </row>
    <row r="15" ht="15" customHeight="1" s="8">
      <c r="A15" s="7" t="inlineStr">
        <is>
          <t>CANOPY-COL  #A-AE-11  -  A-AE-11</t>
        </is>
      </c>
      <c r="B15" s="7" t="inlineStr">
        <is>
          <t>A-AE-11</t>
        </is>
      </c>
      <c r="C15" s="7" t="n">
        <v>5.667</v>
      </c>
      <c r="D15" s="7" t="n">
        <v>10.604</v>
      </c>
      <c r="E15" s="7" t="n">
        <v>0</v>
      </c>
      <c r="F15" s="7" t="inlineStr">
        <is>
          <t>3-5/8"</t>
        </is>
      </c>
      <c r="G15" s="7" t="n">
        <v>16</v>
      </c>
      <c r="H15" s="7" t="n">
        <v>0</v>
      </c>
      <c r="I15" s="7" t="inlineStr">
        <is>
          <t>A-AE-11</t>
        </is>
      </c>
      <c r="J15" s="7" t="inlineStr">
        <is>
          <t>5/A09.25</t>
        </is>
      </c>
      <c r="K15" s="7" t="inlineStr">
        <is>
          <t>[DERIVED]</t>
        </is>
      </c>
    </row>
    <row r="16" ht="15" customHeight="1" s="8">
      <c r="A16" s="7" t="inlineStr">
        <is>
          <t>CANOPY-COL  #A-AE-12  -  A-AE-12</t>
        </is>
      </c>
      <c r="B16" s="7" t="inlineStr">
        <is>
          <t>A-AE-12</t>
        </is>
      </c>
      <c r="C16" s="7" t="n">
        <v>5.667</v>
      </c>
      <c r="D16" s="7" t="n">
        <v>10.604</v>
      </c>
      <c r="E16" s="7" t="n">
        <v>0</v>
      </c>
      <c r="F16" s="7" t="inlineStr">
        <is>
          <t>3-5/8"</t>
        </is>
      </c>
      <c r="G16" s="7" t="n">
        <v>16</v>
      </c>
      <c r="H16" s="7" t="n">
        <v>0</v>
      </c>
      <c r="I16" s="7" t="inlineStr">
        <is>
          <t>A-AE-12</t>
        </is>
      </c>
      <c r="J16" s="7" t="inlineStr">
        <is>
          <t>5/A09.25</t>
        </is>
      </c>
      <c r="K16" s="7" t="inlineStr">
        <is>
          <t>[DERIVED]</t>
        </is>
      </c>
    </row>
    <row r="17" ht="15" customHeight="1" s="8">
      <c r="A17" s="12" t="inlineStr">
        <is>
          <t>TYPE F</t>
        </is>
      </c>
    </row>
    <row r="18" ht="15" customHeight="1" s="8">
      <c r="A18" s="7" t="inlineStr">
        <is>
          <t>F  #A-AN-01  -  Diagonal ATM wall (60 deg from west exterior wall) between 24 HR VESTIBULE 101 and ATM ROOM 102</t>
        </is>
      </c>
      <c r="B18" s="7" t="inlineStr">
        <is>
          <t>A-AN-01</t>
        </is>
      </c>
      <c r="C18" s="7" t="n">
        <v>17.76</v>
      </c>
      <c r="D18" s="7" t="n">
        <v>15.375</v>
      </c>
      <c r="E18" s="7" t="n">
        <v>1.96</v>
      </c>
      <c r="F18" s="7" t="inlineStr">
        <is>
          <t>3-5/8"</t>
        </is>
      </c>
      <c r="G18" s="7" t="n">
        <v>16</v>
      </c>
      <c r="H18" s="7" t="n">
        <v>318.58</v>
      </c>
      <c r="I18" s="7" t="inlineStr">
        <is>
          <t>Diagonal ATM wall (60 deg from west exterior wall) between 24 HR VESTIBULE 101 and ATM ROOM 102</t>
        </is>
      </c>
      <c r="J18" s="7" t="inlineStr">
        <is>
          <t>12/A12.01</t>
        </is>
      </c>
      <c r="K18" s="7" t="inlineStr">
        <is>
          <t>[DERIVED]</t>
        </is>
      </c>
    </row>
    <row r="19" ht="15" customHeight="1" s="8">
      <c r="A19" s="12" t="inlineStr">
        <is>
          <t>TYPE C1</t>
        </is>
      </c>
    </row>
    <row r="20" ht="15" customHeight="1" s="8">
      <c r="A20" s="7" t="inlineStr">
        <is>
          <t>C1  #A-AN-02  -  Column enclosure / wall head at junction of ATM diagonal wall, B2 wall and R.O. 103 (24 HR VESTIBULE 101 / ATM ROOM 102 / CENTRAL ZONE 103)</t>
        </is>
      </c>
      <c r="B20" s="7" t="inlineStr">
        <is>
          <t>A-AN-02</t>
        </is>
      </c>
      <c r="C20" s="7" t="n">
        <v>1.53</v>
      </c>
      <c r="D20" s="7" t="n">
        <v>15.375</v>
      </c>
      <c r="E20" s="7" t="n">
        <v>2.26</v>
      </c>
      <c r="F20" s="7" t="inlineStr">
        <is>
          <t>3-5/8"</t>
        </is>
      </c>
      <c r="G20" s="7" t="n">
        <v>16</v>
      </c>
      <c r="H20" s="7" t="n">
        <v>53.26</v>
      </c>
      <c r="I20" s="7" t="inlineStr">
        <is>
          <t>Column enclosure / wall head at junction of ATM diagonal wall, B2 wall and R.O. 103 (24 HR VESTIBULE 101 / ATM ROOM 102 / CENTRAL ZONE 103)</t>
        </is>
      </c>
      <c r="J20" s="7" t="inlineStr">
        <is>
          <t>6/A12.01</t>
        </is>
      </c>
      <c r="K20" s="7" t="inlineStr">
        <is>
          <t>[DERIVED]</t>
        </is>
      </c>
    </row>
    <row r="21" ht="15" customHeight="1" s="8">
      <c r="A21" s="7" t="inlineStr">
        <is>
          <t>C1  #A-AN-08  -  Column enclosure at junction of storefront VESTIBULE 100 / 24 HR VESTIBULE 101 and R.O. 103</t>
        </is>
      </c>
      <c r="B21" s="7" t="inlineStr">
        <is>
          <t>A-AN-08</t>
        </is>
      </c>
      <c r="C21" s="7" t="n">
        <v>1</v>
      </c>
      <c r="D21" s="7" t="n">
        <v>14.383</v>
      </c>
      <c r="E21" s="7" t="n">
        <v>2</v>
      </c>
      <c r="F21" s="7" t="inlineStr">
        <is>
          <t>3-5/8"</t>
        </is>
      </c>
      <c r="G21" s="7" t="n">
        <v>16</v>
      </c>
      <c r="H21" s="7" t="n">
        <v>28.77</v>
      </c>
      <c r="I21" s="7" t="inlineStr">
        <is>
          <t>Column enclosure at junction of storefront VESTIBULE 100 / 24 HR VESTIBULE 101 and R.O. 103</t>
        </is>
      </c>
      <c r="J21" s="7" t="inlineStr">
        <is>
          <t>6/A12.01</t>
        </is>
      </c>
      <c r="K21" s="7" t="inlineStr">
        <is>
          <t>[DERIVED]</t>
        </is>
      </c>
    </row>
    <row r="22" ht="15" customHeight="1" s="8">
      <c r="A22" s="7" t="inlineStr">
        <is>
          <t>C1  #A-AN-13  -  C1 fur-out on north face of CALLING CUBES 122 wall, WAITING 104 side (keynote 7, display monitor)</t>
        </is>
      </c>
      <c r="B22" s="7" t="inlineStr">
        <is>
          <t>A-AN-13</t>
        </is>
      </c>
      <c r="C22" s="7" t="n">
        <v>10</v>
      </c>
      <c r="D22" s="7" t="n">
        <v>15.375</v>
      </c>
      <c r="E22" s="7" t="n">
        <v>1.13</v>
      </c>
      <c r="F22" s="7" t="inlineStr">
        <is>
          <t>3-5/8"</t>
        </is>
      </c>
      <c r="G22" s="7" t="n">
        <v>16</v>
      </c>
      <c r="H22" s="7" t="n">
        <v>174.27</v>
      </c>
      <c r="I22" s="7" t="inlineStr">
        <is>
          <t>C1 fur-out on north face of CALLING CUBES 122 wall, WAITING 104 side (keynote 7, display monitor)</t>
        </is>
      </c>
      <c r="J22" s="7" t="inlineStr">
        <is>
          <t>6/A12.01</t>
        </is>
      </c>
      <c r="K22" s="7" t="inlineStr">
        <is>
          <t>[CONFIRMED]</t>
        </is>
      </c>
    </row>
    <row r="23" ht="15" customHeight="1" s="8">
      <c r="A23" s="7" t="inlineStr">
        <is>
          <t>C1  #A-AS-16  -  within CASH WINDOW 116</t>
        </is>
      </c>
      <c r="B23" s="7" t="inlineStr">
        <is>
          <t>A-AS-16</t>
        </is>
      </c>
      <c r="C23" s="7" t="n">
        <v>2.98</v>
      </c>
      <c r="D23" s="7" t="n">
        <v>12.928</v>
      </c>
      <c r="E23" s="7" t="n">
        <v>1.19</v>
      </c>
      <c r="F23" s="7" t="inlineStr">
        <is>
          <t>3-5/8"</t>
        </is>
      </c>
      <c r="G23" s="7" t="n">
        <v>16</v>
      </c>
      <c r="H23" s="7" t="n">
        <v>45.97</v>
      </c>
      <c r="I23" s="7" t="inlineStr">
        <is>
          <t>within CASH WINDOW 116</t>
        </is>
      </c>
      <c r="J23" s="7" t="inlineStr">
        <is>
          <t>6/A12.01</t>
        </is>
      </c>
      <c r="K23" s="7" t="inlineStr">
        <is>
          <t>[DERIVED]</t>
        </is>
      </c>
    </row>
    <row r="24" ht="15" customHeight="1" s="8">
      <c r="A24" s="7" t="inlineStr">
        <is>
          <t>C1  #R-16-1  -  storefront pier NW (grid 2, G-F) of VESTIBULE 100 - interior lining (3-5/8" metal stud + 5/8" GWB) on the faces toward VESTIBULE 100</t>
        </is>
      </c>
      <c r="B24" s="7" t="inlineStr">
        <is>
          <t>R-16-1</t>
        </is>
      </c>
      <c r="C24" s="7" t="n">
        <v>4.533</v>
      </c>
      <c r="D24" s="7" t="n">
        <v>14.358</v>
      </c>
      <c r="E24" s="7" t="n">
        <v>1</v>
      </c>
      <c r="F24" s="7" t="inlineStr">
        <is>
          <t>3-5/8"</t>
        </is>
      </c>
      <c r="G24" s="7" t="n">
        <v>16</v>
      </c>
      <c r="H24" s="7" t="n">
        <v>69.69</v>
      </c>
      <c r="I24" s="7" t="inlineStr">
        <is>
          <t>storefront pier NW (grid 2, G-F) of VESTIBULE 100 - interior lining (3-5/8" metal stud + 5/8" GWB) on the faces toward VESTIBULE 100</t>
        </is>
      </c>
      <c r="J24" s="7" t="inlineStr">
        <is>
          <t>6/A12.01</t>
        </is>
      </c>
      <c r="K24" s="7" t="inlineStr">
        <is>
          <t>[DERIVED]</t>
        </is>
      </c>
    </row>
    <row r="25" ht="15" customHeight="1" s="8">
      <c r="A25" s="7" t="inlineStr">
        <is>
          <t>C1  #R-17-1  -  storefront pier NE (grid 4, G-F) of VESTIBULE 100 - interior lining (3-5/8" metal stud + 5/8" GWB) on the faces toward VESTIBULE 100</t>
        </is>
      </c>
      <c r="B25" s="7" t="inlineStr">
        <is>
          <t>R-17-1</t>
        </is>
      </c>
      <c r="C25" s="7" t="n">
        <v>4.54</v>
      </c>
      <c r="D25" s="7" t="n">
        <v>14.358</v>
      </c>
      <c r="E25" s="7" t="n">
        <v>1</v>
      </c>
      <c r="F25" s="7" t="inlineStr">
        <is>
          <t>3-5/8"</t>
        </is>
      </c>
      <c r="G25" s="7" t="n">
        <v>16</v>
      </c>
      <c r="H25" s="7" t="n">
        <v>69.81</v>
      </c>
      <c r="I25" s="7" t="inlineStr">
        <is>
          <t>storefront pier NE (grid 4, G-F) of VESTIBULE 100 - interior lining (3-5/8" metal stud + 5/8" GWB) on the faces toward VESTIBULE 100</t>
        </is>
      </c>
      <c r="J25" s="7" t="inlineStr">
        <is>
          <t>6/A12.01</t>
        </is>
      </c>
      <c r="K25" s="7" t="inlineStr">
        <is>
          <t>[DERIVED]</t>
        </is>
      </c>
    </row>
    <row r="26" ht="15" customHeight="1" s="8">
      <c r="A26" s="7" t="inlineStr">
        <is>
          <t>C1  #R-21-1  -  N face of plumbing chase, WOMEN'S RESTROOM 114 side</t>
        </is>
      </c>
      <c r="B26" s="7" t="inlineStr">
        <is>
          <t>R-21-1</t>
        </is>
      </c>
      <c r="C26" s="7" t="n">
        <v>10.027</v>
      </c>
      <c r="D26" s="7" t="n">
        <v>12.924</v>
      </c>
      <c r="E26" s="7" t="n">
        <v>1</v>
      </c>
      <c r="F26" s="7" t="inlineStr">
        <is>
          <t>3-5/8"</t>
        </is>
      </c>
      <c r="G26" s="7" t="n">
        <v>16</v>
      </c>
      <c r="H26" s="7" t="n">
        <v>129.62</v>
      </c>
      <c r="I26" s="7" t="inlineStr">
        <is>
          <t>N face of plumbing chase, WOMEN'S RESTROOM 114 side</t>
        </is>
      </c>
      <c r="J26" s="7" t="inlineStr">
        <is>
          <t>6/A12.01</t>
        </is>
      </c>
      <c r="K26" s="7" t="inlineStr">
        <is>
          <t>[DERIVED]</t>
        </is>
      </c>
    </row>
    <row r="27" ht="15" customHeight="1" s="8">
      <c r="A27" s="7" t="inlineStr">
        <is>
          <t>C1  #R-21-2  -  S face of plumbing chase, MEN'S RESTROOM 113 side</t>
        </is>
      </c>
      <c r="B27" s="7" t="inlineStr">
        <is>
          <t>R-21-2</t>
        </is>
      </c>
      <c r="C27" s="7" t="n">
        <v>10.027</v>
      </c>
      <c r="D27" s="7" t="n">
        <v>12.894</v>
      </c>
      <c r="E27" s="7" t="n">
        <v>1</v>
      </c>
      <c r="F27" s="7" t="inlineStr">
        <is>
          <t>3-5/8"</t>
        </is>
      </c>
      <c r="G27" s="7" t="n">
        <v>16</v>
      </c>
      <c r="H27" s="7" t="n">
        <v>129.18</v>
      </c>
      <c r="I27" s="7" t="inlineStr">
        <is>
          <t>S face of plumbing chase, MEN'S RESTROOM 113 side</t>
        </is>
      </c>
      <c r="J27" s="7" t="inlineStr">
        <is>
          <t>6/A12.01</t>
        </is>
      </c>
      <c r="K27" s="7" t="inlineStr">
        <is>
          <t>[DERIVED]</t>
        </is>
      </c>
    </row>
    <row r="28" ht="15" customHeight="1" s="8">
      <c r="A28" s="12" t="inlineStr">
        <is>
          <t>TYPE B2</t>
        </is>
      </c>
    </row>
    <row r="29" ht="15" customHeight="1" s="8">
      <c r="A29" s="7" t="inlineStr">
        <is>
          <t>B2  #A-AN-03  -  East wall of ATM ROOM 102 (between ATM ROOM 102 and CENTRAL ZONE 103 / WAITING 104 open area), with door 102</t>
        </is>
      </c>
      <c r="B29" s="7" t="inlineStr">
        <is>
          <t>A-AN-03</t>
        </is>
      </c>
      <c r="C29" s="7" t="n">
        <v>5.67</v>
      </c>
      <c r="D29" s="7" t="n">
        <v>15.375</v>
      </c>
      <c r="E29" s="7" t="n">
        <v>2</v>
      </c>
      <c r="F29" s="7" t="inlineStr">
        <is>
          <t>6"</t>
        </is>
      </c>
      <c r="G29" s="7" t="n">
        <v>16</v>
      </c>
      <c r="H29" s="7" t="n">
        <v>111.8</v>
      </c>
      <c r="I29" s="7" t="inlineStr">
        <is>
          <t>East wall of ATM ROOM 102 (between ATM ROOM 102 and CENTRAL ZONE 103 / WAITING 104 open area), with door 102</t>
        </is>
      </c>
      <c r="J29" s="7" t="inlineStr">
        <is>
          <t>1/A12.01</t>
        </is>
      </c>
      <c r="K29" s="7" t="inlineStr">
        <is>
          <t>[CONFIRMED]</t>
        </is>
      </c>
    </row>
    <row r="30" ht="15" customHeight="1" s="8">
      <c r="A30" s="7" t="inlineStr">
        <is>
          <t>B2  #A-AS-12  -  between BREAK ROOM 118 and WORK ROOM 119</t>
        </is>
      </c>
      <c r="B30" s="7" t="inlineStr">
        <is>
          <t>A-AS-12</t>
        </is>
      </c>
      <c r="C30" s="7" t="n">
        <v>11.407</v>
      </c>
      <c r="D30" s="7" t="n">
        <v>11.63</v>
      </c>
      <c r="E30" s="7" t="n">
        <v>1.96</v>
      </c>
      <c r="F30" s="7" t="inlineStr">
        <is>
          <t>6"</t>
        </is>
      </c>
      <c r="G30" s="7" t="n">
        <v>16</v>
      </c>
      <c r="H30" s="7" t="n">
        <v>260.59</v>
      </c>
      <c r="I30" s="7" t="inlineStr">
        <is>
          <t>between BREAK ROOM 118 and WORK ROOM 119</t>
        </is>
      </c>
      <c r="J30" s="7" t="inlineStr">
        <is>
          <t>1/A12.01</t>
        </is>
      </c>
      <c r="K30" s="7" t="inlineStr">
        <is>
          <t>[DERIVED]</t>
        </is>
      </c>
    </row>
    <row r="31" ht="15" customHeight="1" s="8">
      <c r="A31" s="7" t="inlineStr">
        <is>
          <t>B2  #A-AS-27a+A-AS-27b  -  between WOMEN'S RESTROOM 114 and CORRIDOR 111</t>
        </is>
      </c>
      <c r="B31" s="7" t="inlineStr">
        <is>
          <t>A-AS-27a+A-AS-27b</t>
        </is>
      </c>
      <c r="C31" s="7" t="n">
        <v>5.542</v>
      </c>
      <c r="D31" s="7" t="n">
        <v>13.24</v>
      </c>
      <c r="E31" s="7" t="n">
        <v>1.93</v>
      </c>
      <c r="F31" s="7" t="inlineStr">
        <is>
          <t>6"</t>
        </is>
      </c>
      <c r="G31" s="7" t="n">
        <v>16</v>
      </c>
      <c r="H31" s="7" t="n">
        <v>91.58</v>
      </c>
      <c r="I31" s="7" t="inlineStr">
        <is>
          <t>between WOMEN'S RESTROOM 114 and CORRIDOR 111</t>
        </is>
      </c>
      <c r="J31" s="7" t="inlineStr">
        <is>
          <t>1/A12.01</t>
        </is>
      </c>
      <c r="K31" s="7" t="inlineStr">
        <is>
          <t>[DERIVED]</t>
        </is>
      </c>
    </row>
    <row r="32" ht="15" customHeight="1" s="8">
      <c r="A32" s="7" t="inlineStr">
        <is>
          <t>B2  #A-AS-28+A-AS-29+A-AS-30  -  between MEN'S RESTROOM 113 and CORRIDOR 111 + between STORAGE 117 and CORRIDOR 111 + between WELLNESS 115 and CORRIDOR 111</t>
        </is>
      </c>
      <c r="B32" s="7" t="inlineStr">
        <is>
          <t>A-AS-28+A-AS-29+A-AS-30</t>
        </is>
      </c>
      <c r="C32" s="7" t="n">
        <v>15.787</v>
      </c>
      <c r="D32" s="7" t="n">
        <v>12.756</v>
      </c>
      <c r="E32" s="7" t="n">
        <v>1.97</v>
      </c>
      <c r="F32" s="7" t="inlineStr">
        <is>
          <t>6"</t>
        </is>
      </c>
      <c r="G32" s="7" t="n">
        <v>16</v>
      </c>
      <c r="H32" s="7" t="n">
        <v>254.03</v>
      </c>
      <c r="I32" s="7" t="inlineStr">
        <is>
          <t>between MEN'S RESTROOM 113 and CORRIDOR 111 + between STORAGE 117 and CORRIDOR 111 + between WELLNESS 115 and CORRIDOR 111</t>
        </is>
      </c>
      <c r="J32" s="7" t="inlineStr">
        <is>
          <t>1/A12.01</t>
        </is>
      </c>
      <c r="K32" s="7" t="inlineStr">
        <is>
          <t>[DERIVED]</t>
        </is>
      </c>
    </row>
    <row r="33" ht="15" customHeight="1" s="8">
      <c r="A33" s="12" t="inlineStr">
        <is>
          <t>TYPE G1</t>
        </is>
      </c>
    </row>
    <row r="34" ht="15" customHeight="1" s="8">
      <c r="A34" s="7" t="inlineStr">
        <is>
          <t>G1  #A-AN-07  -  Office-front stub between OFFICE 5 CB 109 and OFFICE 6 CB 110 (east end of demising wall)</t>
        </is>
      </c>
      <c r="B34" s="7" t="inlineStr">
        <is>
          <t>A-AN-07</t>
        </is>
      </c>
      <c r="C34" s="7" t="n">
        <v>3.51</v>
      </c>
      <c r="D34" s="7" t="n">
        <v>15.375</v>
      </c>
      <c r="E34" s="7" t="n">
        <v>3.71</v>
      </c>
      <c r="F34" s="7" t="inlineStr">
        <is>
          <t>1-5/8"</t>
        </is>
      </c>
      <c r="G34" s="7" t="n">
        <v>16</v>
      </c>
      <c r="H34" s="7" t="n">
        <v>200.18</v>
      </c>
      <c r="I34" s="7" t="inlineStr">
        <is>
          <t>Office-front stub between OFFICE 5 CB 109 and OFFICE 6 CB 110 (east end of demising wall)</t>
        </is>
      </c>
      <c r="J34" s="7" t="inlineStr">
        <is>
          <t>5/A12.01</t>
        </is>
      </c>
      <c r="K34" s="7" t="inlineStr">
        <is>
          <t>[DERIVED]</t>
        </is>
      </c>
    </row>
    <row r="35" ht="15" customHeight="1" s="8">
      <c r="A35" s="7" t="inlineStr">
        <is>
          <t>G1  #A-AN-16a+A-AN-16b  -  Between OFFICE 1 ME 105 and OFFICE 2 CL 106</t>
        </is>
      </c>
      <c r="B35" s="7" t="inlineStr">
        <is>
          <t>A-AN-16a+A-AN-16b</t>
        </is>
      </c>
      <c r="C35" s="7" t="n">
        <v>11.77</v>
      </c>
      <c r="D35" s="7" t="n">
        <v>15.163</v>
      </c>
      <c r="E35" s="7" t="n">
        <v>4</v>
      </c>
      <c r="F35" s="7" t="inlineStr">
        <is>
          <t>1-5/8"</t>
        </is>
      </c>
      <c r="G35" s="7" t="n">
        <v>16</v>
      </c>
      <c r="H35" s="7" t="n">
        <v>713.88</v>
      </c>
      <c r="I35" s="7" t="inlineStr">
        <is>
          <t>Between OFFICE 1 ME 105 and OFFICE 2 CL 106</t>
        </is>
      </c>
      <c r="J35" s="7" t="inlineStr">
        <is>
          <t>5/A12.01</t>
        </is>
      </c>
      <c r="K35" s="7" t="inlineStr">
        <is>
          <t>[DERIVED]</t>
        </is>
      </c>
    </row>
    <row r="36" ht="15" customHeight="1" s="8">
      <c r="A36" s="7" t="inlineStr">
        <is>
          <t>G1  #R-6-1  -  jamb stub at S end of OFFICE 6 CB 110 office front DFC-1A, corner with G (110/114), corridor 111 side</t>
        </is>
      </c>
      <c r="B36" s="7" t="inlineStr">
        <is>
          <t>R-6-1</t>
        </is>
      </c>
      <c r="C36" s="7" t="n">
        <v>3.18</v>
      </c>
      <c r="D36" s="7" t="n">
        <v>15.375</v>
      </c>
      <c r="E36" s="7" t="n">
        <v>3.42</v>
      </c>
      <c r="F36" s="7" t="inlineStr">
        <is>
          <t>1-5/8"</t>
        </is>
      </c>
      <c r="G36" s="7" t="n">
        <v>16</v>
      </c>
      <c r="H36" s="7" t="n">
        <v>167.28</v>
      </c>
      <c r="I36" s="7" t="inlineStr">
        <is>
          <t>jamb stub at S end of OFFICE 6 CB 110 office front DFC-1A, corner with G (110/114), corridor 111 side</t>
        </is>
      </c>
      <c r="J36" s="7" t="inlineStr">
        <is>
          <t>5/A12.01</t>
        </is>
      </c>
      <c r="K36" s="7" t="inlineStr">
        <is>
          <t>[DERIVED]</t>
        </is>
      </c>
    </row>
    <row r="37" ht="15" customHeight="1" s="8">
      <c r="A37" s="12" t="inlineStr">
        <is>
          <t>TYPE G</t>
        </is>
      </c>
    </row>
    <row r="38" ht="15" customHeight="1" s="8">
      <c r="A38" s="7" t="inlineStr">
        <is>
          <t>G  #A-AN-06a+A-AN-06b  -  Between OFFICE 5 CB 109 and OFFICE 6 CB 110</t>
        </is>
      </c>
      <c r="B38" s="7" t="inlineStr">
        <is>
          <t>A-AN-06a+A-AN-06b</t>
        </is>
      </c>
      <c r="C38" s="7" t="n">
        <v>11.63</v>
      </c>
      <c r="D38" s="7" t="n">
        <v>15.16</v>
      </c>
      <c r="E38" s="7" t="n">
        <v>4</v>
      </c>
      <c r="F38" s="7" t="inlineStr">
        <is>
          <t>1-5/8"</t>
        </is>
      </c>
      <c r="G38" s="7" t="n">
        <v>16</v>
      </c>
      <c r="H38" s="7" t="n">
        <v>705.24</v>
      </c>
      <c r="I38" s="7" t="inlineStr">
        <is>
          <t>Between OFFICE 5 CB 109 and OFFICE 6 CB 110</t>
        </is>
      </c>
      <c r="J38" s="7" t="inlineStr">
        <is>
          <t>5/A12.01</t>
        </is>
      </c>
      <c r="K38" s="7" t="inlineStr">
        <is>
          <t>[DERIVED]</t>
        </is>
      </c>
    </row>
    <row r="39" ht="15" customHeight="1" s="8">
      <c r="A39" s="7" t="inlineStr">
        <is>
          <t>G  #A-AN-17  -  Between OFFICE 2 CL 106 and OFFICE 3 SB 107</t>
        </is>
      </c>
      <c r="B39" s="7" t="inlineStr">
        <is>
          <t>A-AN-17</t>
        </is>
      </c>
      <c r="C39" s="7" t="n">
        <v>11.77</v>
      </c>
      <c r="D39" s="7" t="n">
        <v>15.375</v>
      </c>
      <c r="E39" s="7" t="n">
        <v>4</v>
      </c>
      <c r="F39" s="7" t="inlineStr">
        <is>
          <t>1-5/8"</t>
        </is>
      </c>
      <c r="G39" s="7" t="n">
        <v>16</v>
      </c>
      <c r="H39" s="7" t="n">
        <v>723.86</v>
      </c>
      <c r="I39" s="7" t="inlineStr">
        <is>
          <t>Between OFFICE 2 CL 106 and OFFICE 3 SB 107</t>
        </is>
      </c>
      <c r="J39" s="7" t="inlineStr">
        <is>
          <t>5/A12.01</t>
        </is>
      </c>
      <c r="K39" s="7" t="inlineStr">
        <is>
          <t>[DERIVED]</t>
        </is>
      </c>
    </row>
    <row r="40" ht="15" customHeight="1" s="8">
      <c r="A40" s="7" t="inlineStr">
        <is>
          <t>G  #A-AN-18  -  Between OFFICE 3 SB 107 and OFFICE 4 CB 108</t>
        </is>
      </c>
      <c r="B40" s="7" t="inlineStr">
        <is>
          <t>A-AN-18</t>
        </is>
      </c>
      <c r="C40" s="7" t="n">
        <v>11.77</v>
      </c>
      <c r="D40" s="7" t="n">
        <v>15.375</v>
      </c>
      <c r="E40" s="7" t="n">
        <v>4</v>
      </c>
      <c r="F40" s="7" t="inlineStr">
        <is>
          <t>1-5/8"</t>
        </is>
      </c>
      <c r="G40" s="7" t="n">
        <v>16</v>
      </c>
      <c r="H40" s="7" t="n">
        <v>723.86</v>
      </c>
      <c r="I40" s="7" t="inlineStr">
        <is>
          <t>Between OFFICE 3 SB 107 and OFFICE 4 CB 108</t>
        </is>
      </c>
      <c r="J40" s="7" t="inlineStr">
        <is>
          <t>5/A12.01</t>
        </is>
      </c>
      <c r="K40" s="7" t="inlineStr">
        <is>
          <t>[CONFIRMED]</t>
        </is>
      </c>
    </row>
    <row r="41" ht="15" customHeight="1" s="8">
      <c r="A41" s="7" t="inlineStr">
        <is>
          <t>G  #A-AN-19  -  Office-front stub at NW corner of OFFICE 1 ME 105 (north end of DFC-1A front)</t>
        </is>
      </c>
      <c r="B41" s="7" t="inlineStr">
        <is>
          <t>A-AN-19</t>
        </is>
      </c>
      <c r="C41" s="7" t="n">
        <v>2.42</v>
      </c>
      <c r="D41" s="7" t="n">
        <v>14.383</v>
      </c>
      <c r="E41" s="7" t="n">
        <v>4</v>
      </c>
      <c r="F41" s="7" t="inlineStr">
        <is>
          <t>1-5/8"</t>
        </is>
      </c>
      <c r="G41" s="7" t="n">
        <v>16</v>
      </c>
      <c r="H41" s="7" t="n">
        <v>139.22</v>
      </c>
      <c r="I41" s="7" t="inlineStr">
        <is>
          <t>Office-front stub at NW corner of OFFICE 1 ME 105 (north end of DFC-1A front)</t>
        </is>
      </c>
      <c r="J41" s="7" t="inlineStr">
        <is>
          <t>5/A12.01</t>
        </is>
      </c>
      <c r="K41" s="7" t="inlineStr">
        <is>
          <t>[DERIVED]</t>
        </is>
      </c>
    </row>
    <row r="42" ht="15" customHeight="1" s="8">
      <c r="A42" s="7" t="inlineStr">
        <is>
          <t>G  #A-AN-20  -  Office-front stub at OFFICE 1 ME 105 / OFFICE 2 CL 106 (west end of demising wall)</t>
        </is>
      </c>
      <c r="B42" s="7" t="inlineStr">
        <is>
          <t>A-AN-20</t>
        </is>
      </c>
      <c r="C42" s="7" t="n">
        <v>3.47</v>
      </c>
      <c r="D42" s="7" t="n">
        <v>14.383</v>
      </c>
      <c r="E42" s="7" t="n">
        <v>3.59</v>
      </c>
      <c r="F42" s="7" t="inlineStr">
        <is>
          <t>1-5/8"</t>
        </is>
      </c>
      <c r="G42" s="7" t="n">
        <v>16</v>
      </c>
      <c r="H42" s="7" t="n">
        <v>179.22</v>
      </c>
      <c r="I42" s="7" t="inlineStr">
        <is>
          <t>Office-front stub at OFFICE 1 ME 105 / OFFICE 2 CL 106 (west end of demising wall)</t>
        </is>
      </c>
      <c r="J42" s="7" t="inlineStr">
        <is>
          <t>5/A12.01</t>
        </is>
      </c>
      <c r="K42" s="7" t="inlineStr">
        <is>
          <t>[DERIVED]</t>
        </is>
      </c>
    </row>
    <row r="43" ht="15" customHeight="1" s="8">
      <c r="A43" s="7" t="inlineStr">
        <is>
          <t>G  #A-AN-21a+A-AN-21b  -  Office-front stub at OFFICE 2 CL 106 / OFFICE 3 SB 107 (west end of demising wall)</t>
        </is>
      </c>
      <c r="B43" s="7" t="inlineStr">
        <is>
          <t>A-AN-21a+A-AN-21b</t>
        </is>
      </c>
      <c r="C43" s="7" t="n">
        <v>3.25</v>
      </c>
      <c r="D43" s="7" t="n">
        <v>14.277</v>
      </c>
      <c r="E43" s="7" t="n">
        <v>3.68</v>
      </c>
      <c r="F43" s="7" t="inlineStr">
        <is>
          <t>1-5/8"</t>
        </is>
      </c>
      <c r="G43" s="7" t="n">
        <v>16</v>
      </c>
      <c r="H43" s="7" t="n">
        <v>170.85</v>
      </c>
      <c r="I43" s="7" t="inlineStr">
        <is>
          <t>Office-front stub at OFFICE 2 CL 106 / OFFICE 3 SB 107 (west end of demising wall)</t>
        </is>
      </c>
      <c r="J43" s="7" t="inlineStr">
        <is>
          <t>5/A12.01</t>
        </is>
      </c>
      <c r="K43" s="7" t="inlineStr">
        <is>
          <t>[DERIVED]</t>
        </is>
      </c>
    </row>
    <row r="44" ht="15" customHeight="1" s="8">
      <c r="A44" s="7" t="inlineStr">
        <is>
          <t>G  #A-AN-22  -  Office-front stub at OFFICE 3 SB 107 / OFFICE 4 CB 108 (west end of demising wall)</t>
        </is>
      </c>
      <c r="B44" s="7" t="inlineStr">
        <is>
          <t>A-AN-22</t>
        </is>
      </c>
      <c r="C44" s="7" t="n">
        <v>3.25</v>
      </c>
      <c r="D44" s="7" t="n">
        <v>14.225</v>
      </c>
      <c r="E44" s="7" t="n">
        <v>3.69</v>
      </c>
      <c r="F44" s="7" t="inlineStr">
        <is>
          <t>1-5/8"</t>
        </is>
      </c>
      <c r="G44" s="7" t="n">
        <v>16</v>
      </c>
      <c r="H44" s="7" t="n">
        <v>170.41</v>
      </c>
      <c r="I44" s="7" t="inlineStr">
        <is>
          <t>Office-front stub at OFFICE 3 SB 107 / OFFICE 4 CB 108 (west end of demising wall)</t>
        </is>
      </c>
      <c r="J44" s="7" t="inlineStr">
        <is>
          <t>5/A12.01</t>
        </is>
      </c>
      <c r="K44" s="7" t="inlineStr">
        <is>
          <t>[DERIVED]</t>
        </is>
      </c>
    </row>
    <row r="45" ht="15" customHeight="1" s="8">
      <c r="A45" s="7" t="inlineStr">
        <is>
          <t>G  #A-AS-01  -  between OFFICE 6 CB 110 and WOMEN'S RESTROOM 114</t>
        </is>
      </c>
      <c r="B45" s="7" t="inlineStr">
        <is>
          <t>A-AS-01</t>
        </is>
      </c>
      <c r="C45" s="7" t="n">
        <v>11.625</v>
      </c>
      <c r="D45" s="7" t="n">
        <v>15.375</v>
      </c>
      <c r="E45" s="7" t="n">
        <v>4</v>
      </c>
      <c r="F45" s="7" t="inlineStr">
        <is>
          <t>1-5/8"</t>
        </is>
      </c>
      <c r="G45" s="7" t="n">
        <v>16</v>
      </c>
      <c r="H45" s="7" t="n">
        <v>714.9400000000001</v>
      </c>
      <c r="I45" s="7" t="inlineStr">
        <is>
          <t>between OFFICE 6 CB 110 and WOMEN'S RESTROOM 114</t>
        </is>
      </c>
      <c r="J45" s="7" t="inlineStr">
        <is>
          <t>5/A12.01</t>
        </is>
      </c>
      <c r="K45" s="7" t="inlineStr">
        <is>
          <t>[CONFIRMED]</t>
        </is>
      </c>
    </row>
    <row r="46" ht="15" customHeight="1" s="8">
      <c r="A46" s="7" t="inlineStr">
        <is>
          <t>G  #A-AS-19  -  between OFFICE 4 CB 108 and CASH WINDOW 116</t>
        </is>
      </c>
      <c r="B46" s="7" t="inlineStr">
        <is>
          <t>A-AS-19</t>
        </is>
      </c>
      <c r="C46" s="7" t="n">
        <v>10.073</v>
      </c>
      <c r="D46" s="7" t="n">
        <v>15.375</v>
      </c>
      <c r="E46" s="7" t="n">
        <v>4</v>
      </c>
      <c r="F46" s="7" t="inlineStr">
        <is>
          <t>1-5/8"</t>
        </is>
      </c>
      <c r="G46" s="7" t="n">
        <v>16</v>
      </c>
      <c r="H46" s="7" t="n">
        <v>619.49</v>
      </c>
      <c r="I46" s="7" t="inlineStr">
        <is>
          <t>between OFFICE 4 CB 108 and CASH WINDOW 116</t>
        </is>
      </c>
      <c r="J46" s="7" t="inlineStr">
        <is>
          <t>5/A12.01</t>
        </is>
      </c>
      <c r="K46" s="7" t="inlineStr">
        <is>
          <t>[DERIVED]</t>
        </is>
      </c>
    </row>
    <row r="47" ht="15" customHeight="1" s="8">
      <c r="A47" s="7" t="inlineStr">
        <is>
          <t>G  #B-BN-07a+B-BN-07b+B-BN-07c  -  between ATM ROOM 102 (N) and OFFICE 5 CB 109 (S)</t>
        </is>
      </c>
      <c r="B47" s="7" t="inlineStr">
        <is>
          <t>B-BN-07a+B-BN-07b+B-BN-07c</t>
        </is>
      </c>
      <c r="C47" s="7" t="n">
        <v>12.333</v>
      </c>
      <c r="D47" s="7" t="n">
        <v>14.806</v>
      </c>
      <c r="E47" s="7" t="n">
        <v>3.79</v>
      </c>
      <c r="F47" s="7" t="inlineStr">
        <is>
          <t>1-5/8"</t>
        </is>
      </c>
      <c r="G47" s="7" t="n">
        <v>16</v>
      </c>
      <c r="H47" s="7" t="n">
        <v>690.25</v>
      </c>
      <c r="I47" s="7" t="inlineStr">
        <is>
          <t>between ATM ROOM 102 (N) and OFFICE 5 CB 109 (S)</t>
        </is>
      </c>
      <c r="J47" s="7" t="inlineStr">
        <is>
          <t>5/A12.01</t>
        </is>
      </c>
      <c r="K47" s="7" t="inlineStr">
        <is>
          <t>[DERIVED]</t>
        </is>
      </c>
    </row>
    <row r="48" ht="15" customHeight="1" s="8">
      <c r="A48" s="12" t="inlineStr">
        <is>
          <t>TYPE A1</t>
        </is>
      </c>
    </row>
    <row r="49" ht="15" customHeight="1" s="8">
      <c r="A49" s="7" t="inlineStr">
        <is>
          <t>A1  #A-AN-12+A-AN-11  -  North wall of MW01 closet, between WAITING 104 and MW01 closet (west of CALLING CUBES 122) + North wall of CALLING CUBES 122, between WAITING 104 and CALLING CUBES 122</t>
        </is>
      </c>
      <c r="B49" s="7" t="inlineStr">
        <is>
          <t>A-AN-12+A-AN-11</t>
        </is>
      </c>
      <c r="C49" s="7" t="n">
        <v>17.02</v>
      </c>
      <c r="D49" s="7" t="n">
        <v>15.375</v>
      </c>
      <c r="E49" s="7" t="n">
        <v>2</v>
      </c>
      <c r="F49" s="7" t="inlineStr">
        <is>
          <t>3-5/8"</t>
        </is>
      </c>
      <c r="G49" s="7" t="n">
        <v>16</v>
      </c>
      <c r="H49" s="7" t="n">
        <v>369.49</v>
      </c>
      <c r="I49" s="7" t="inlineStr">
        <is>
          <t>North wall of MW01 closet, between WAITING 104 and MW01 closet (west of CALLING CUBES 122) + North wall of CALLING CUBES 122, between WAITING 104 and CALLING CUBES 122</t>
        </is>
      </c>
      <c r="J49" s="7" t="inlineStr">
        <is>
          <t>3/A12.01</t>
        </is>
      </c>
      <c r="K49" s="7" t="inlineStr">
        <is>
          <t>[DERIVED]</t>
        </is>
      </c>
    </row>
    <row r="50" ht="15" customHeight="1" s="8">
      <c r="A50" s="7" t="inlineStr">
        <is>
          <t>A1  #A-AN-14  -  Between MW01 closet and CALLING CUBES 122</t>
        </is>
      </c>
      <c r="B50" s="7" t="inlineStr">
        <is>
          <t>A-AN-14</t>
        </is>
      </c>
      <c r="C50" s="7" t="n">
        <v>3.53</v>
      </c>
      <c r="D50" s="7" t="n">
        <v>15.375</v>
      </c>
      <c r="E50" s="7" t="n">
        <v>2</v>
      </c>
      <c r="F50" s="7" t="inlineStr">
        <is>
          <t>3-5/8"</t>
        </is>
      </c>
      <c r="G50" s="7" t="n">
        <v>16</v>
      </c>
      <c r="H50" s="7" t="n">
        <v>83.51000000000001</v>
      </c>
      <c r="I50" s="7" t="inlineStr">
        <is>
          <t>Between MW01 closet and CALLING CUBES 122</t>
        </is>
      </c>
      <c r="J50" s="7" t="inlineStr">
        <is>
          <t>3/A12.01</t>
        </is>
      </c>
      <c r="K50" s="7" t="inlineStr">
        <is>
          <t>[DERIVED]</t>
        </is>
      </c>
    </row>
    <row r="51" ht="15" customHeight="1" s="8">
      <c r="A51" s="7" t="inlineStr">
        <is>
          <t>A1  #A-AS-03  -  within CORRIDOR 111</t>
        </is>
      </c>
      <c r="B51" s="7" t="inlineStr">
        <is>
          <t>A-AS-03</t>
        </is>
      </c>
      <c r="C51" s="7" t="n">
        <v>5.587</v>
      </c>
      <c r="D51" s="7" t="n">
        <v>15.375</v>
      </c>
      <c r="E51" s="7" t="n">
        <v>1.89</v>
      </c>
      <c r="F51" s="7" t="inlineStr">
        <is>
          <t>3-5/8"</t>
        </is>
      </c>
      <c r="G51" s="7" t="n">
        <v>16</v>
      </c>
      <c r="H51" s="7" t="n">
        <v>55.84</v>
      </c>
      <c r="I51" s="7" t="inlineStr">
        <is>
          <t>within CORRIDOR 111</t>
        </is>
      </c>
      <c r="J51" s="7" t="inlineStr">
        <is>
          <t>3/A12.01</t>
        </is>
      </c>
      <c r="K51" s="7" t="inlineStr">
        <is>
          <t>[DERIVED]</t>
        </is>
      </c>
    </row>
    <row r="52" ht="15" customHeight="1" s="8">
      <c r="A52" s="7" t="inlineStr">
        <is>
          <t>A1  #A-AS-06  -  between MW01 millwork alcove (no room name printed) and CALLING CUBES 122</t>
        </is>
      </c>
      <c r="B52" s="7" t="inlineStr">
        <is>
          <t>A-AS-06</t>
        </is>
      </c>
      <c r="C52" s="7" t="n">
        <v>2.02</v>
      </c>
      <c r="D52" s="7" t="n">
        <v>15.375</v>
      </c>
      <c r="E52" s="7" t="n">
        <v>2</v>
      </c>
      <c r="F52" s="7" t="inlineStr">
        <is>
          <t>3-5/8"</t>
        </is>
      </c>
      <c r="G52" s="7" t="n">
        <v>16</v>
      </c>
      <c r="H52" s="7" t="n">
        <v>49.24</v>
      </c>
      <c r="I52" s="7" t="inlineStr">
        <is>
          <t>between MW01 millwork alcove (no room name printed) and CALLING CUBES 122</t>
        </is>
      </c>
      <c r="J52" s="7" t="inlineStr">
        <is>
          <t>3/A12.01</t>
        </is>
      </c>
      <c r="K52" s="7" t="inlineStr">
        <is>
          <t>[DERIVED]</t>
        </is>
      </c>
    </row>
    <row r="53" ht="15" customHeight="1" s="8">
      <c r="A53" s="7" t="inlineStr">
        <is>
          <t>A1  #A-AS-08  -  between CALLING CUBES 122 and BREAK ROOM 118</t>
        </is>
      </c>
      <c r="B53" s="7" t="inlineStr">
        <is>
          <t>A-AS-08</t>
        </is>
      </c>
      <c r="C53" s="7" t="n">
        <v>15.62</v>
      </c>
      <c r="D53" s="7" t="n">
        <v>12.969</v>
      </c>
      <c r="E53" s="7" t="n">
        <v>1.98</v>
      </c>
      <c r="F53" s="7" t="inlineStr">
        <is>
          <t>3-5/8"</t>
        </is>
      </c>
      <c r="G53" s="7" t="n">
        <v>16</v>
      </c>
      <c r="H53" s="7" t="n">
        <v>277.68</v>
      </c>
      <c r="I53" s="7" t="inlineStr">
        <is>
          <t>between CALLING CUBES 122 and BREAK ROOM 118</t>
        </is>
      </c>
      <c r="J53" s="7" t="inlineStr">
        <is>
          <t>3/A12.01</t>
        </is>
      </c>
      <c r="K53" s="7" t="inlineStr">
        <is>
          <t>[DERIVED]</t>
        </is>
      </c>
    </row>
    <row r="54" ht="15" customHeight="1" s="8">
      <c r="A54" s="7" t="inlineStr">
        <is>
          <t>A1  #A-AS-09  -  between BREAK ROOM 118 and unlabeled circulation (public side of teller line)</t>
        </is>
      </c>
      <c r="B54" s="7" t="inlineStr">
        <is>
          <t>A-AS-09</t>
        </is>
      </c>
      <c r="C54" s="7" t="n">
        <v>2.14</v>
      </c>
      <c r="D54" s="7" t="n">
        <v>11.827</v>
      </c>
      <c r="E54" s="7" t="n">
        <v>1.81</v>
      </c>
      <c r="F54" s="7" t="inlineStr">
        <is>
          <t>3-5/8"</t>
        </is>
      </c>
      <c r="G54" s="7" t="n">
        <v>16</v>
      </c>
      <c r="H54" s="7" t="n">
        <v>35.93</v>
      </c>
      <c r="I54" s="7" t="inlineStr">
        <is>
          <t>between BREAK ROOM 118 and unlabeled circulation (public side of teller line)</t>
        </is>
      </c>
      <c r="J54" s="7" t="inlineStr">
        <is>
          <t>3/A12.01</t>
        </is>
      </c>
      <c r="K54" s="7" t="inlineStr">
        <is>
          <t>[DERIVED]</t>
        </is>
      </c>
    </row>
    <row r="55" ht="15" customHeight="1" s="8">
      <c r="A55" s="7" t="inlineStr">
        <is>
          <t>A1  #A-AS-10  -  between unlabeled circulation (public side of teller line) and BREAK ROOM 118</t>
        </is>
      </c>
      <c r="B55" s="7" t="inlineStr">
        <is>
          <t>A-AS-10</t>
        </is>
      </c>
      <c r="C55" s="7" t="n">
        <v>5.5</v>
      </c>
      <c r="D55" s="7" t="n">
        <v>12.925</v>
      </c>
      <c r="E55" s="7" t="n">
        <v>2</v>
      </c>
      <c r="F55" s="7" t="inlineStr">
        <is>
          <t>3-5/8"</t>
        </is>
      </c>
      <c r="G55" s="7" t="n">
        <v>16</v>
      </c>
      <c r="H55" s="7" t="n">
        <v>47.24</v>
      </c>
      <c r="I55" s="7" t="inlineStr">
        <is>
          <t>between unlabeled circulation (public side of teller line) and BREAK ROOM 118</t>
        </is>
      </c>
      <c r="J55" s="7" t="inlineStr">
        <is>
          <t>3/A12.01</t>
        </is>
      </c>
      <c r="K55" s="7" t="inlineStr">
        <is>
          <t>[CONFIRMED]</t>
        </is>
      </c>
    </row>
    <row r="56" ht="15" customHeight="1" s="8">
      <c r="A56" s="7" t="inlineStr">
        <is>
          <t>A1  #A-AS-13  -  between CASH WINDOW 116 and WORK ROOM 119</t>
        </is>
      </c>
      <c r="B56" s="7" t="inlineStr">
        <is>
          <t>A-AS-13</t>
        </is>
      </c>
      <c r="C56" s="7" t="n">
        <v>11.667</v>
      </c>
      <c r="D56" s="7" t="n">
        <v>12.773</v>
      </c>
      <c r="E56" s="7" t="n">
        <v>2</v>
      </c>
      <c r="F56" s="7" t="inlineStr">
        <is>
          <t>3-5/8"</t>
        </is>
      </c>
      <c r="G56" s="7" t="n">
        <v>16</v>
      </c>
      <c r="H56" s="7" t="n">
        <v>168.07</v>
      </c>
      <c r="I56" s="7" t="inlineStr">
        <is>
          <t>between CASH WINDOW 116 and WORK ROOM 119</t>
        </is>
      </c>
      <c r="J56" s="7" t="inlineStr">
        <is>
          <t>3/A12.01</t>
        </is>
      </c>
      <c r="K56" s="7" t="inlineStr">
        <is>
          <t>[CONFIRMED]</t>
        </is>
      </c>
    </row>
    <row r="57" ht="15" customHeight="1" s="8">
      <c r="A57" s="7" t="inlineStr">
        <is>
          <t>A1  #A-AS-24+A-AS-25+A-AS-26  -  between CORRIDOR 111 and BREAK ROOM 118 + between CORRIDOR 111 and ELECTRICAL 120 + between CORRIDOR 111 and NER 121</t>
        </is>
      </c>
      <c r="B57" s="7" t="inlineStr">
        <is>
          <t>A-AS-24+A-AS-25+A-AS-26</t>
        </is>
      </c>
      <c r="C57" s="7" t="n">
        <v>20.926</v>
      </c>
      <c r="D57" s="7" t="n">
        <v>11.684</v>
      </c>
      <c r="E57" s="7" t="n">
        <v>1.95</v>
      </c>
      <c r="F57" s="7" t="inlineStr">
        <is>
          <t>3-5/8"</t>
        </is>
      </c>
      <c r="G57" s="7" t="n">
        <v>16</v>
      </c>
      <c r="H57" s="7" t="n">
        <v>355.07</v>
      </c>
      <c r="I57" s="7" t="inlineStr">
        <is>
          <t>between CORRIDOR 111 and BREAK ROOM 118 + between CORRIDOR 111 and ELECTRICAL 120 + between CORRIDOR 111 and NER 121</t>
        </is>
      </c>
      <c r="J57" s="7" t="inlineStr">
        <is>
          <t>3/A12.01</t>
        </is>
      </c>
      <c r="K57" s="7" t="inlineStr">
        <is>
          <t>[DERIVED]</t>
        </is>
      </c>
    </row>
    <row r="58" ht="15" customHeight="1" s="8">
      <c r="A58" s="12" t="inlineStr">
        <is>
          <t>TYPE A5</t>
        </is>
      </c>
    </row>
    <row r="59" ht="15" customHeight="1" s="8">
      <c r="A59" s="7" t="inlineStr">
        <is>
          <t>A5  #A-AS-04  -  between CORRIDOR 111 and CALLING CUBES 122</t>
        </is>
      </c>
      <c r="B59" s="7" t="inlineStr">
        <is>
          <t>A-AS-04</t>
        </is>
      </c>
      <c r="C59" s="7" t="n">
        <v>11</v>
      </c>
      <c r="D59" s="7" t="n">
        <v>15.375</v>
      </c>
      <c r="E59" s="7" t="n">
        <v>2.02</v>
      </c>
      <c r="F59" s="7" t="inlineStr">
        <is>
          <t>6"</t>
        </is>
      </c>
      <c r="G59" s="7" t="n">
        <v>16</v>
      </c>
      <c r="H59" s="7" t="n">
        <v>236.42</v>
      </c>
      <c r="I59" s="7" t="inlineStr">
        <is>
          <t>between CORRIDOR 111 and CALLING CUBES 122</t>
        </is>
      </c>
      <c r="J59" s="7" t="inlineStr">
        <is>
          <t>3/A12.01</t>
        </is>
      </c>
      <c r="K59" s="7" t="inlineStr">
        <is>
          <t>[DERIVED]</t>
        </is>
      </c>
    </row>
    <row r="60" ht="15" customHeight="1" s="8">
      <c r="A60" s="7" t="inlineStr">
        <is>
          <t>A5  #A-AS-05a+A-AS-05b  -  between CORRIDOR 111 and CALLING CUBES 122</t>
        </is>
      </c>
      <c r="B60" s="7" t="inlineStr">
        <is>
          <t>A-AS-05a+A-AS-05b</t>
        </is>
      </c>
      <c r="C60" s="7" t="n">
        <v>4.873</v>
      </c>
      <c r="D60" s="7" t="n">
        <v>12.315</v>
      </c>
      <c r="E60" s="7" t="n">
        <v>1.92</v>
      </c>
      <c r="F60" s="7" t="inlineStr">
        <is>
          <t>6"</t>
        </is>
      </c>
      <c r="G60" s="7" t="n">
        <v>16</v>
      </c>
      <c r="H60" s="7" t="n">
        <v>36.28</v>
      </c>
      <c r="I60" s="7" t="inlineStr">
        <is>
          <t>between CORRIDOR 111 and CALLING CUBES 122</t>
        </is>
      </c>
      <c r="J60" s="7" t="inlineStr">
        <is>
          <t>3/A12.01</t>
        </is>
      </c>
      <c r="K60" s="7" t="inlineStr">
        <is>
          <t>[DERIVED]</t>
        </is>
      </c>
    </row>
    <row r="61" ht="15" customHeight="1" s="8">
      <c r="A61" s="7" t="inlineStr">
        <is>
          <t>A5  #A-AS-07a+A-AS-07b  -  between CALLING CUBES 122 and unlabeled circulation (public side of teller line)</t>
        </is>
      </c>
      <c r="B61" s="7" t="inlineStr">
        <is>
          <t>A-AS-07a+A-AS-07b</t>
        </is>
      </c>
      <c r="C61" s="7" t="n">
        <v>19</v>
      </c>
      <c r="D61" s="7" t="n">
        <v>13.735</v>
      </c>
      <c r="E61" s="7" t="n">
        <v>2</v>
      </c>
      <c r="F61" s="7" t="inlineStr">
        <is>
          <t>6"</t>
        </is>
      </c>
      <c r="G61" s="7" t="n">
        <v>16</v>
      </c>
      <c r="H61" s="7" t="n">
        <v>370.88</v>
      </c>
      <c r="I61" s="7" t="inlineStr">
        <is>
          <t>between CALLING CUBES 122 and unlabeled circulation (public side of teller line)</t>
        </is>
      </c>
      <c r="J61" s="7" t="inlineStr">
        <is>
          <t>3/A12.01</t>
        </is>
      </c>
      <c r="K61" s="7" t="inlineStr">
        <is>
          <t>[DERIVED]</t>
        </is>
      </c>
    </row>
    <row r="62" ht="15" customHeight="1" s="8">
      <c r="A62" s="7" t="inlineStr">
        <is>
          <t>A5  #A-AS-11  -  between BREAK ROOM 118 and CASH WINDOW 116</t>
        </is>
      </c>
      <c r="B62" s="7" t="inlineStr">
        <is>
          <t>A-AS-11</t>
        </is>
      </c>
      <c r="C62" s="7" t="n">
        <v>6.947</v>
      </c>
      <c r="D62" s="7" t="n">
        <v>11.774</v>
      </c>
      <c r="E62" s="7" t="n">
        <v>2</v>
      </c>
      <c r="F62" s="7" t="inlineStr">
        <is>
          <t>6"</t>
        </is>
      </c>
      <c r="G62" s="7" t="n">
        <v>16</v>
      </c>
      <c r="H62" s="7" t="n">
        <v>80.75</v>
      </c>
      <c r="I62" s="7" t="inlineStr">
        <is>
          <t>between BREAK ROOM 118 and CASH WINDOW 116</t>
        </is>
      </c>
      <c r="J62" s="7" t="inlineStr">
        <is>
          <t>3/A12.01</t>
        </is>
      </c>
      <c r="K62" s="7" t="inlineStr">
        <is>
          <t>[DERIVED]</t>
        </is>
      </c>
    </row>
    <row r="63" ht="15" customHeight="1" s="8">
      <c r="A63" s="12" t="inlineStr">
        <is>
          <t>TYPE A1K</t>
        </is>
      </c>
    </row>
    <row r="64" ht="15" customHeight="1" s="8">
      <c r="A64" s="7" t="inlineStr">
        <is>
          <t>A1K  #A-AS-14  -  between unlabeled circulation (public side of teller line) and CASH WINDOW 116</t>
        </is>
      </c>
      <c r="B64" s="7" t="inlineStr">
        <is>
          <t>A-AS-14</t>
        </is>
      </c>
      <c r="C64" s="7" t="n">
        <v>1.713</v>
      </c>
      <c r="D64" s="7" t="n">
        <v>12.925</v>
      </c>
      <c r="E64" s="7" t="n">
        <v>2</v>
      </c>
      <c r="F64" s="7" t="inlineStr">
        <is>
          <t>3-5/8"</t>
        </is>
      </c>
      <c r="G64" s="7" t="n">
        <v>24</v>
      </c>
      <c r="H64" s="7" t="n">
        <v>44.27</v>
      </c>
      <c r="I64" s="7" t="inlineStr">
        <is>
          <t>between unlabeled circulation (public side of teller line) and CASH WINDOW 116</t>
        </is>
      </c>
      <c r="J64" s="7" t="inlineStr">
        <is>
          <t>4/A12.01</t>
        </is>
      </c>
      <c r="K64" s="7" t="inlineStr">
        <is>
          <t>[DERIVED]</t>
        </is>
      </c>
    </row>
    <row r="65" ht="15" customHeight="1" s="8">
      <c r="A65" s="7" t="inlineStr">
        <is>
          <t>A1K  #A-AS-15  -  within CASH WINDOW 116</t>
        </is>
      </c>
      <c r="B65" s="7" t="inlineStr">
        <is>
          <t>A-AS-15</t>
        </is>
      </c>
      <c r="C65" s="7" t="n">
        <v>3.333</v>
      </c>
      <c r="D65" s="7" t="n">
        <v>12.937</v>
      </c>
      <c r="E65" s="7" t="n">
        <v>3</v>
      </c>
      <c r="F65" s="7" t="inlineStr">
        <is>
          <t>3-5/8"</t>
        </is>
      </c>
      <c r="G65" s="7" t="n">
        <v>24</v>
      </c>
      <c r="H65" s="7" t="n">
        <v>129.32</v>
      </c>
      <c r="I65" s="7" t="inlineStr">
        <is>
          <t>within CASH WINDOW 116</t>
        </is>
      </c>
      <c r="J65" s="7" t="inlineStr">
        <is>
          <t>4/A12.01</t>
        </is>
      </c>
      <c r="K65" s="7" t="inlineStr">
        <is>
          <t>[DERIVED]</t>
        </is>
      </c>
    </row>
    <row r="66" ht="15" customHeight="1" s="8">
      <c r="A66" s="7" t="inlineStr">
        <is>
          <t>A1K  #B-BS-31  -  N closure of the teller stations, CASH WINDOW 116</t>
        </is>
      </c>
      <c r="B66" s="7" t="inlineStr">
        <is>
          <t>B-BS-31</t>
        </is>
      </c>
      <c r="C66" s="7" t="n">
        <v>3.417</v>
      </c>
      <c r="D66" s="7" t="n">
        <v>15.375</v>
      </c>
      <c r="E66" s="7" t="n">
        <v>2.25</v>
      </c>
      <c r="F66" s="7" t="inlineStr">
        <is>
          <t>3-5/8"</t>
        </is>
      </c>
      <c r="G66" s="7" t="n">
        <v>24</v>
      </c>
      <c r="H66" s="7" t="n">
        <v>118.38</v>
      </c>
      <c r="I66" s="7" t="inlineStr">
        <is>
          <t>N closure of the teller stations, CASH WINDOW 116</t>
        </is>
      </c>
      <c r="J66" s="7" t="inlineStr">
        <is>
          <t>4/A12.01</t>
        </is>
      </c>
      <c r="K66" s="7" t="inlineStr">
        <is>
          <t>[CONFIRMED]</t>
        </is>
      </c>
    </row>
    <row r="67" ht="15" customHeight="1" s="8">
      <c r="A67" s="12" t="inlineStr">
        <is>
          <t>TYPE B2K</t>
        </is>
      </c>
    </row>
    <row r="68" ht="15" customHeight="1" s="8">
      <c r="A68" s="7" t="inlineStr">
        <is>
          <t>B2K  #A-AS-18  -  between OFFICE 4 CB 108 and unlabeled circulation (public side of teller line)</t>
        </is>
      </c>
      <c r="B68" s="7" t="inlineStr">
        <is>
          <t>A-AS-18</t>
        </is>
      </c>
      <c r="C68" s="7" t="n">
        <v>1.771</v>
      </c>
      <c r="D68" s="7" t="n">
        <v>15.375</v>
      </c>
      <c r="E68" s="7" t="n">
        <v>2</v>
      </c>
      <c r="F68" s="7" t="inlineStr">
        <is>
          <t>6"</t>
        </is>
      </c>
      <c r="G68" s="7" t="n">
        <v>24</v>
      </c>
      <c r="H68" s="7" t="n">
        <v>54.46</v>
      </c>
      <c r="I68" s="7" t="inlineStr">
        <is>
          <t>between OFFICE 4 CB 108 and unlabeled circulation (public side of teller line)</t>
        </is>
      </c>
      <c r="J68" s="7" t="inlineStr">
        <is>
          <t>4/A12.01</t>
        </is>
      </c>
      <c r="K68" s="7" t="inlineStr">
        <is>
          <t>[DERIVED]</t>
        </is>
      </c>
    </row>
    <row r="69" ht="15" customHeight="1" s="8">
      <c r="A69" s="12" t="inlineStr">
        <is>
          <t>TYPE B</t>
        </is>
      </c>
    </row>
    <row r="70" ht="15" customHeight="1" s="8">
      <c r="A70" s="7" t="inlineStr">
        <is>
          <t>B  #A-AS-20  -  between BREAK ROOM 118 and ELECTRICAL 120</t>
        </is>
      </c>
      <c r="B70" s="7" t="inlineStr">
        <is>
          <t>A-AS-20</t>
        </is>
      </c>
      <c r="C70" s="7" t="n">
        <v>9.583</v>
      </c>
      <c r="D70" s="7" t="n">
        <v>12.829</v>
      </c>
      <c r="E70" s="7" t="n">
        <v>2</v>
      </c>
      <c r="F70" s="7" t="inlineStr">
        <is>
          <t>3-5/8"</t>
        </is>
      </c>
      <c r="G70" s="7" t="n">
        <v>16</v>
      </c>
      <c r="H70" s="7" t="n">
        <v>245.81</v>
      </c>
      <c r="I70" s="7" t="inlineStr">
        <is>
          <t>between BREAK ROOM 118 and ELECTRICAL 120</t>
        </is>
      </c>
      <c r="J70" s="7" t="inlineStr">
        <is>
          <t>1/A12.01</t>
        </is>
      </c>
      <c r="K70" s="7" t="inlineStr">
        <is>
          <t>[CONFIRMED]</t>
        </is>
      </c>
    </row>
    <row r="71" ht="15" customHeight="1" s="8">
      <c r="A71" s="7" t="inlineStr">
        <is>
          <t>B  #A-AS-21  -  between ELECTRICAL 120 and NER 121</t>
        </is>
      </c>
      <c r="B71" s="7" t="inlineStr">
        <is>
          <t>A-AS-21</t>
        </is>
      </c>
      <c r="C71" s="7" t="n">
        <v>9.583</v>
      </c>
      <c r="D71" s="7" t="n">
        <v>12.701</v>
      </c>
      <c r="E71" s="7" t="n">
        <v>2</v>
      </c>
      <c r="F71" s="7" t="inlineStr">
        <is>
          <t>3-5/8"</t>
        </is>
      </c>
      <c r="G71" s="7" t="n">
        <v>16</v>
      </c>
      <c r="H71" s="7" t="n">
        <v>243.34</v>
      </c>
      <c r="I71" s="7" t="inlineStr">
        <is>
          <t>between ELECTRICAL 120 and NER 121</t>
        </is>
      </c>
      <c r="J71" s="7" t="inlineStr">
        <is>
          <t>1/A12.01</t>
        </is>
      </c>
      <c r="K71" s="7" t="inlineStr">
        <is>
          <t>[CONFIRMED]</t>
        </is>
      </c>
    </row>
    <row r="72" ht="15" customHeight="1" s="8">
      <c r="A72" s="7" t="inlineStr">
        <is>
          <t>B  #A-AS-22+A-AS-23  -  between ELECTRICAL 120 and BREAK ROOM 118 + between NER 121 and BREAK ROOM 118</t>
        </is>
      </c>
      <c r="B72" s="7" t="inlineStr">
        <is>
          <t>A-AS-22+A-AS-23</t>
        </is>
      </c>
      <c r="C72" s="7" t="n">
        <v>14.146</v>
      </c>
      <c r="D72" s="7" t="n">
        <v>12.757</v>
      </c>
      <c r="E72" s="7" t="n">
        <v>1.99</v>
      </c>
      <c r="F72" s="7" t="inlineStr">
        <is>
          <t>3-5/8"</t>
        </is>
      </c>
      <c r="G72" s="7" t="n">
        <v>16</v>
      </c>
      <c r="H72" s="7" t="n">
        <v>262.67</v>
      </c>
      <c r="I72" s="7" t="inlineStr">
        <is>
          <t>between ELECTRICAL 120 and BREAK ROOM 118 + between NER 121 and BREAK ROOM 118</t>
        </is>
      </c>
      <c r="J72" s="7" t="inlineStr">
        <is>
          <t>1/A12.01</t>
        </is>
      </c>
      <c r="K72" s="7" t="inlineStr">
        <is>
          <t>[DERIVED]</t>
        </is>
      </c>
    </row>
    <row r="73" ht="15" customHeight="1" s="8">
      <c r="A73" s="7" t="inlineStr">
        <is>
          <t>B  #A-AS-36a+A-AS-36b+A-AS-37  -  between MEN'S RESTROOM 113 and JANITOR CLOSET 112 + between MEN'S RESTROOM 113 and STORAGE 117</t>
        </is>
      </c>
      <c r="B73" s="7" t="inlineStr">
        <is>
          <t>A-AS-36a+A-AS-36b+A-AS-37</t>
        </is>
      </c>
      <c r="C73" s="7" t="n">
        <v>11.733</v>
      </c>
      <c r="D73" s="7" t="n">
        <v>12.425</v>
      </c>
      <c r="E73" s="7" t="n">
        <v>2</v>
      </c>
      <c r="F73" s="7" t="inlineStr">
        <is>
          <t>3-5/8"</t>
        </is>
      </c>
      <c r="G73" s="7" t="n">
        <v>16</v>
      </c>
      <c r="H73" s="7" t="n">
        <v>243.78</v>
      </c>
      <c r="I73" s="7" t="inlineStr">
        <is>
          <t>between MEN'S RESTROOM 113 and JANITOR CLOSET 112 + between MEN'S RESTROOM 113 and STORAGE 117</t>
        </is>
      </c>
      <c r="J73" s="7" t="inlineStr">
        <is>
          <t>1/A12.01</t>
        </is>
      </c>
      <c r="K73" s="7" t="inlineStr">
        <is>
          <t>[DERIVED]</t>
        </is>
      </c>
    </row>
    <row r="74" ht="15" customHeight="1" s="8">
      <c r="A74" s="7" t="inlineStr">
        <is>
          <t>B  #A-AS-38  -  between JANITOR CLOSET 112 and STORAGE 117</t>
        </is>
      </c>
      <c r="B74" s="7" t="inlineStr">
        <is>
          <t>A-AS-38</t>
        </is>
      </c>
      <c r="C74" s="7" t="n">
        <v>3.5</v>
      </c>
      <c r="D74" s="7" t="n">
        <v>12.741</v>
      </c>
      <c r="E74" s="7" t="n">
        <v>2</v>
      </c>
      <c r="F74" s="7" t="inlineStr">
        <is>
          <t>3-5/8"</t>
        </is>
      </c>
      <c r="G74" s="7" t="n">
        <v>16</v>
      </c>
      <c r="H74" s="7" t="n">
        <v>89.18000000000001</v>
      </c>
      <c r="I74" s="7" t="inlineStr">
        <is>
          <t>between JANITOR CLOSET 112 and STORAGE 117</t>
        </is>
      </c>
      <c r="J74" s="7" t="inlineStr">
        <is>
          <t>1/A12.01</t>
        </is>
      </c>
      <c r="K74" s="7" t="inlineStr">
        <is>
          <t>[DERIVED]</t>
        </is>
      </c>
    </row>
    <row r="75" ht="15" customHeight="1" s="8">
      <c r="A75" s="7" t="inlineStr">
        <is>
          <t>B  #A-AS-39a+A-AS-39b+A-AS-40  -  between JANITOR CLOSET 112 and WELLNESS 115 + between STORAGE 117 and WELLNESS 115</t>
        </is>
      </c>
      <c r="B75" s="7" t="inlineStr">
        <is>
          <t>A-AS-39a+A-AS-39b+A-AS-40</t>
        </is>
      </c>
      <c r="C75" s="7" t="n">
        <v>11.733</v>
      </c>
      <c r="D75" s="7" t="n">
        <v>12.108</v>
      </c>
      <c r="E75" s="7" t="n">
        <v>2</v>
      </c>
      <c r="F75" s="7" t="inlineStr">
        <is>
          <t>3-5/8"</t>
        </is>
      </c>
      <c r="G75" s="7" t="n">
        <v>16</v>
      </c>
      <c r="H75" s="7" t="n">
        <v>284.11</v>
      </c>
      <c r="I75" s="7" t="inlineStr">
        <is>
          <t>between JANITOR CLOSET 112 and WELLNESS 115 + between STORAGE 117 and WELLNESS 115</t>
        </is>
      </c>
      <c r="J75" s="7" t="inlineStr">
        <is>
          <t>1/A12.01</t>
        </is>
      </c>
      <c r="K75" s="7" t="inlineStr">
        <is>
          <t>[DERIVED]</t>
        </is>
      </c>
    </row>
    <row r="76" ht="15" customHeight="1" s="8">
      <c r="A76" s="12" t="inlineStr">
        <is>
          <t>TYPE BULKHEAD-G</t>
        </is>
      </c>
    </row>
    <row r="77" ht="15" customHeight="1" s="8">
      <c r="A77" s="7" t="inlineStr">
        <is>
          <t>BULKHEAD-G  #DB-1+DB-2+DB-3+DB-4  -  CENTRAL ZONE 103 / OFFICE 1 ME 105 + CENTRAL ZONE 103 / OFFICE 2 CL 106 + CENTRAL ZONE 103 / OFFICE 3 SB 107 + CENTRAL ZONE 103 / OFFICE 4 CB 108</t>
        </is>
      </c>
      <c r="B77" s="7" t="inlineStr">
        <is>
          <t>DB-1+DB-2+DB-3+DB-4</t>
        </is>
      </c>
      <c r="C77" s="7" t="n">
        <v>30</v>
      </c>
      <c r="D77" s="7" t="n">
        <v>5.723</v>
      </c>
      <c r="E77" s="7" t="n">
        <v>4</v>
      </c>
      <c r="F77" s="7" t="inlineStr">
        <is>
          <t>1-5/8"</t>
        </is>
      </c>
      <c r="G77" s="7" t="n">
        <v>16</v>
      </c>
      <c r="H77" s="7" t="n">
        <v>751.28</v>
      </c>
      <c r="I77" s="7" t="inlineStr">
        <is>
          <t>CENTRAL ZONE 103 / OFFICE 1 ME 105 + CENTRAL ZONE 103 / OFFICE 2 CL 106 + CENTRAL ZONE 103 / OFFICE 3 SB 107 + CENTRAL ZONE 103 / OFFICE 4 CB 108</t>
        </is>
      </c>
      <c r="J77" s="7" t="inlineStr">
        <is>
          <t>8/A12.01</t>
        </is>
      </c>
      <c r="K77" s="7" t="inlineStr">
        <is>
          <t>[DERIVED]</t>
        </is>
      </c>
    </row>
    <row r="78" ht="15" customHeight="1" s="8">
      <c r="A78" s="7" t="inlineStr">
        <is>
          <t>BULKHEAD-G  #DB-5+DB-6  -  CENTRAL ZONE 103 / OFFICE 5 CB 109 + CENTRAL ZONE 103 / OFFICE 6 CB 110</t>
        </is>
      </c>
      <c r="B78" s="7" t="inlineStr">
        <is>
          <t>DB-5+DB-6</t>
        </is>
      </c>
      <c r="C78" s="7" t="n">
        <v>15</v>
      </c>
      <c r="D78" s="7" t="n">
        <v>6.795</v>
      </c>
      <c r="E78" s="7" t="n">
        <v>4</v>
      </c>
      <c r="F78" s="7" t="inlineStr">
        <is>
          <t>1-5/8"</t>
        </is>
      </c>
      <c r="G78" s="7" t="n">
        <v>16</v>
      </c>
      <c r="H78" s="7" t="n">
        <v>442.48</v>
      </c>
      <c r="I78" s="7" t="inlineStr">
        <is>
          <t>CENTRAL ZONE 103 / OFFICE 5 CB 109 + CENTRAL ZONE 103 / OFFICE 6 CB 110</t>
        </is>
      </c>
      <c r="J78" s="7" t="inlineStr">
        <is>
          <t>8/A12.01</t>
        </is>
      </c>
      <c r="K78" s="7" t="inlineStr">
        <is>
          <t>[DERIVED]</t>
        </is>
      </c>
    </row>
    <row r="79" ht="15" customHeight="1" s="8">
      <c r="A79" s="12" t="inlineStr">
        <is>
          <t>TYPE EXT-PARAPET</t>
        </is>
      </c>
    </row>
    <row r="80" ht="15" customHeight="1" s="8">
      <c r="A80" s="7" t="inlineStr">
        <is>
          <t>EXT-PARAPET  #PAR-G  -  PAR-G</t>
        </is>
      </c>
      <c r="B80" s="7" t="inlineStr">
        <is>
          <t>PAR-G</t>
        </is>
      </c>
      <c r="C80" s="7" t="n">
        <v>16.2</v>
      </c>
      <c r="D80" s="7" t="n">
        <v>4.292</v>
      </c>
      <c r="E80" s="7" t="n">
        <v>0</v>
      </c>
      <c r="F80" s="7" t="inlineStr">
        <is>
          <t>6"</t>
        </is>
      </c>
      <c r="G80" s="7" t="n">
        <v>16</v>
      </c>
      <c r="H80" s="7" t="n">
        <v>0</v>
      </c>
      <c r="I80" s="7" t="inlineStr">
        <is>
          <t>PAR-G</t>
        </is>
      </c>
      <c r="J80" s="7" t="inlineStr">
        <is>
          <t>11/S5.10</t>
        </is>
      </c>
      <c r="K80" s="7" t="inlineStr">
        <is>
          <t>[DERIVED]</t>
        </is>
      </c>
    </row>
    <row r="81" ht="15" customHeight="1" s="8">
      <c r="A81" s="7" t="inlineStr">
        <is>
          <t>EXT-PARAPET  #PAR-4  -  PAR-4</t>
        </is>
      </c>
      <c r="B81" s="7" t="inlineStr">
        <is>
          <t>PAR-4</t>
        </is>
      </c>
      <c r="C81" s="7" t="n">
        <v>3.927</v>
      </c>
      <c r="D81" s="7" t="n">
        <v>4.292</v>
      </c>
      <c r="E81" s="7" t="n">
        <v>0</v>
      </c>
      <c r="F81" s="7" t="inlineStr">
        <is>
          <t>6"</t>
        </is>
      </c>
      <c r="G81" s="7" t="n">
        <v>16</v>
      </c>
      <c r="H81" s="7" t="n">
        <v>0</v>
      </c>
      <c r="I81" s="7" t="inlineStr">
        <is>
          <t>PAR-4</t>
        </is>
      </c>
      <c r="J81" s="7" t="inlineStr">
        <is>
          <t>11/S5.10</t>
        </is>
      </c>
      <c r="K81" s="7" t="inlineStr">
        <is>
          <t>[DERIVED]</t>
        </is>
      </c>
    </row>
    <row r="82" ht="15" customHeight="1" s="8">
      <c r="A82" s="7" t="inlineStr">
        <is>
          <t>EXT-PARAPET  #PAR-2  -  PAR-2</t>
        </is>
      </c>
      <c r="B82" s="7" t="inlineStr">
        <is>
          <t>PAR-2</t>
        </is>
      </c>
      <c r="C82" s="7" t="n">
        <v>29</v>
      </c>
      <c r="D82" s="7" t="n">
        <v>4.292</v>
      </c>
      <c r="E82" s="7" t="n">
        <v>0</v>
      </c>
      <c r="F82" s="7" t="inlineStr">
        <is>
          <t>6"</t>
        </is>
      </c>
      <c r="G82" s="7" t="n">
        <v>16</v>
      </c>
      <c r="H82" s="7" t="n">
        <v>0</v>
      </c>
      <c r="I82" s="7" t="inlineStr">
        <is>
          <t>PAR-2</t>
        </is>
      </c>
      <c r="J82" s="7" t="inlineStr">
        <is>
          <t>11/S5.10</t>
        </is>
      </c>
      <c r="K82" s="7" t="inlineStr">
        <is>
          <t>[DERIVED]</t>
        </is>
      </c>
    </row>
    <row r="83" ht="15" customHeight="1" s="8">
      <c r="A83" s="7" t="inlineStr">
        <is>
          <t>EXT-PARAPET  #PAR-D  -  PAR-D</t>
        </is>
      </c>
      <c r="B83" s="7" t="inlineStr">
        <is>
          <t>PAR-D</t>
        </is>
      </c>
      <c r="C83" s="7" t="n">
        <v>3.867</v>
      </c>
      <c r="D83" s="7" t="n">
        <v>4.292</v>
      </c>
      <c r="E83" s="7" t="n">
        <v>0</v>
      </c>
      <c r="F83" s="7" t="inlineStr">
        <is>
          <t>6"</t>
        </is>
      </c>
      <c r="G83" s="7" t="n">
        <v>16</v>
      </c>
      <c r="H83" s="7" t="n">
        <v>0</v>
      </c>
      <c r="I83" s="7" t="inlineStr">
        <is>
          <t>PAR-D</t>
        </is>
      </c>
      <c r="J83" s="7" t="inlineStr">
        <is>
          <t>11/S5.10</t>
        </is>
      </c>
      <c r="K83" s="7" t="inlineStr">
        <is>
          <t>[DERIVED]</t>
        </is>
      </c>
    </row>
    <row r="84" ht="15" customHeight="1" s="8">
      <c r="A84" s="7" t="inlineStr">
        <is>
          <t>EXT-PARAPET  #PAR-F  -  PAR-F</t>
        </is>
      </c>
      <c r="B84" s="7" t="inlineStr">
        <is>
          <t>PAR-F</t>
        </is>
      </c>
      <c r="C84" s="7" t="n">
        <v>39.75</v>
      </c>
      <c r="D84" s="7" t="n">
        <v>2.042</v>
      </c>
      <c r="E84" s="7" t="n">
        <v>0</v>
      </c>
      <c r="F84" s="7" t="inlineStr">
        <is>
          <t>6"</t>
        </is>
      </c>
      <c r="G84" s="7" t="n">
        <v>16</v>
      </c>
      <c r="H84" s="7" t="n">
        <v>0</v>
      </c>
      <c r="I84" s="7" t="inlineStr">
        <is>
          <t>PAR-F</t>
        </is>
      </c>
      <c r="J84" s="7" t="inlineStr">
        <is>
          <t>11/S5.10</t>
        </is>
      </c>
      <c r="K84" s="7" t="inlineStr">
        <is>
          <t>[DERIVED]</t>
        </is>
      </c>
    </row>
    <row r="85" ht="15" customHeight="1" s="8">
      <c r="A85" s="7" t="inlineStr">
        <is>
          <t>EXT-PARAPET  #PAR-8a+PAR-8b  -  PAR-8a + PAR-8b</t>
        </is>
      </c>
      <c r="B85" s="7" t="inlineStr">
        <is>
          <t>PAR-8a+PAR-8b</t>
        </is>
      </c>
      <c r="C85" s="7" t="n">
        <v>75.934</v>
      </c>
      <c r="D85" s="7" t="n">
        <v>2.901</v>
      </c>
      <c r="E85" s="7" t="n">
        <v>0</v>
      </c>
      <c r="F85" s="7" t="inlineStr">
        <is>
          <t>6"</t>
        </is>
      </c>
      <c r="G85" s="7" t="n">
        <v>16</v>
      </c>
      <c r="H85" s="7" t="n">
        <v>0</v>
      </c>
      <c r="I85" s="7" t="inlineStr">
        <is>
          <t>PAR-8a + PAR-8b</t>
        </is>
      </c>
      <c r="J85" s="7" t="inlineStr">
        <is>
          <t>11/S5.10</t>
        </is>
      </c>
      <c r="K85" s="7" t="inlineStr">
        <is>
          <t>[DERIVED]</t>
        </is>
      </c>
    </row>
    <row r="86" ht="15" customHeight="1" s="8">
      <c r="A86" s="7" t="inlineStr">
        <is>
          <t>EXT-PARAPET  #PAR-A  -  PAR-A</t>
        </is>
      </c>
      <c r="B86" s="7" t="inlineStr">
        <is>
          <t>PAR-A</t>
        </is>
      </c>
      <c r="C86" s="7" t="n">
        <v>52.333</v>
      </c>
      <c r="D86" s="7" t="n">
        <v>4.886</v>
      </c>
      <c r="E86" s="7" t="n">
        <v>0</v>
      </c>
      <c r="F86" s="7" t="inlineStr">
        <is>
          <t>6"</t>
        </is>
      </c>
      <c r="G86" s="7" t="n">
        <v>16</v>
      </c>
      <c r="H86" s="7" t="n">
        <v>0</v>
      </c>
      <c r="I86" s="7" t="inlineStr">
        <is>
          <t>PAR-A</t>
        </is>
      </c>
      <c r="J86" s="7" t="inlineStr">
        <is>
          <t>11/S5.10</t>
        </is>
      </c>
      <c r="K86" s="7" t="inlineStr">
        <is>
          <t>[DERIVED]</t>
        </is>
      </c>
    </row>
    <row r="87" ht="15" customHeight="1" s="8">
      <c r="A87" s="7" t="inlineStr">
        <is>
          <t>EXT-PARAPET  #PAR-3a+PAR-3b  -  PAR-3a + PAR-3b</t>
        </is>
      </c>
      <c r="B87" s="7" t="inlineStr">
        <is>
          <t>PAR-3a+PAR-3b</t>
        </is>
      </c>
      <c r="C87" s="7" t="n">
        <v>47.927</v>
      </c>
      <c r="D87" s="7" t="n">
        <v>3.403</v>
      </c>
      <c r="E87" s="7" t="n">
        <v>0</v>
      </c>
      <c r="F87" s="7" t="inlineStr">
        <is>
          <t>6"</t>
        </is>
      </c>
      <c r="G87" s="7" t="n">
        <v>16</v>
      </c>
      <c r="H87" s="7" t="n">
        <v>0</v>
      </c>
      <c r="I87" s="7" t="inlineStr">
        <is>
          <t>PAR-3a + PAR-3b</t>
        </is>
      </c>
      <c r="J87" s="7" t="inlineStr">
        <is>
          <t>11/S5.10</t>
        </is>
      </c>
      <c r="K87" s="7" t="inlineStr">
        <is>
          <t>[DERIVED]</t>
        </is>
      </c>
    </row>
    <row r="88" ht="15" customHeight="1" s="8">
      <c r="B88" s="13" t="inlineStr">
        <is>
          <t>TOTAL - PARTITIONS</t>
        </is>
      </c>
      <c r="C88" s="7">
        <f>SUM(C5:C87)</f>
        <v/>
      </c>
      <c r="H88" s="7">
        <f>SUM(H5:H87)</f>
        <v/>
      </c>
    </row>
    <row r="90" ht="15" customHeight="1" s="8">
      <c r="A90" s="12" t="inlineStr">
        <is>
          <t>TYPE OTHER FRAMING (NOT A PARTITION)</t>
        </is>
      </c>
    </row>
    <row r="91" ht="15" customHeight="1" s="8">
      <c r="A91" s="7" t="inlineStr">
        <is>
          <t>pier_part  #R-16-2  -  storefront pier NW (grid 2, G-F) of VESTIBULE 100 - exterior 6" CFMF L (faces N+W)</t>
        </is>
      </c>
      <c r="B91" s="7" t="inlineStr">
        <is>
          <t>R-16-2</t>
        </is>
      </c>
      <c r="C91" s="7" t="n">
        <v>4.533</v>
      </c>
      <c r="D91" s="7" t="n">
        <v>14.358</v>
      </c>
      <c r="E91" s="7" t="n">
        <v>0</v>
      </c>
      <c r="F91" s="7" t="inlineStr">
        <is>
          <t>6"</t>
        </is>
      </c>
      <c r="G91" s="7" t="n">
        <v>16</v>
      </c>
      <c r="H91" s="7" t="n">
        <v>0</v>
      </c>
      <c r="I91" s="7" t="inlineStr">
        <is>
          <t>storefront pier NW (grid 2, G-F) of VESTIBULE 100 - exterior 6" CFMF L (faces N+W)</t>
        </is>
      </c>
      <c r="J91" s="7" t="inlineStr">
        <is>
          <t>C/A09.21</t>
        </is>
      </c>
      <c r="K91" s="7" t="inlineStr">
        <is>
          <t>[DERIVED]</t>
        </is>
      </c>
    </row>
    <row r="92" ht="15" customHeight="1" s="8">
      <c r="A92" s="7" t="inlineStr">
        <is>
          <t>pier_part  #R-17-2  -  storefront pier NE (grid 4, G-F) of VESTIBULE 100 - exterior 6" CFMF L (faces N+E)</t>
        </is>
      </c>
      <c r="B92" s="7" t="inlineStr">
        <is>
          <t>R-17-2</t>
        </is>
      </c>
      <c r="C92" s="7" t="n">
        <v>4.54</v>
      </c>
      <c r="D92" s="7" t="n">
        <v>14.358</v>
      </c>
      <c r="E92" s="7" t="n">
        <v>0</v>
      </c>
      <c r="F92" s="7" t="inlineStr">
        <is>
          <t>6"</t>
        </is>
      </c>
      <c r="G92" s="7" t="n">
        <v>16</v>
      </c>
      <c r="H92" s="7" t="n">
        <v>0</v>
      </c>
      <c r="I92" s="7" t="inlineStr">
        <is>
          <t>storefront pier NE (grid 4, G-F) of VESTIBULE 100 - exterior 6" CFMF L (faces N+E)</t>
        </is>
      </c>
      <c r="J92" s="7" t="inlineStr">
        <is>
          <t>C/A09.21</t>
        </is>
      </c>
      <c r="K92" s="7" t="inlineStr">
        <is>
          <t>[DERIVED]</t>
        </is>
      </c>
    </row>
    <row r="93" ht="15" customHeight="1" s="8">
      <c r="A93" s="7" t="inlineStr">
        <is>
          <t>storefront_cripples  #SFC-SF-V  -  VESTIBULE 100</t>
        </is>
      </c>
      <c r="B93" s="7" t="inlineStr">
        <is>
          <t>SFC-SF-V</t>
        </is>
      </c>
      <c r="C93" s="7" t="n">
        <v>12.563</v>
      </c>
      <c r="D93" s="7" t="n">
        <v>4.983</v>
      </c>
      <c r="E93" s="7" t="n">
        <v>1</v>
      </c>
      <c r="F93" s="7" t="inlineStr">
        <is>
          <t>6"</t>
        </is>
      </c>
      <c r="G93" s="7" t="n">
        <v>16</v>
      </c>
      <c r="H93" s="7" t="n">
        <v>86.37</v>
      </c>
      <c r="I93" s="7" t="inlineStr">
        <is>
          <t>VESTIBULE 100</t>
        </is>
      </c>
      <c r="J93" s="7" t="inlineStr">
        <is>
          <t>2/A09.26</t>
        </is>
      </c>
      <c r="K93" s="7" t="inlineStr">
        <is>
          <t>[DERIVED]</t>
        </is>
      </c>
    </row>
    <row r="94" ht="15" customHeight="1" s="8">
      <c r="A94" s="7" t="inlineStr">
        <is>
          <t>storefront_cripples  #SFC-SF-S  -  CENTRAL ZONE 103</t>
        </is>
      </c>
      <c r="B94" s="7" t="inlineStr">
        <is>
          <t>SFC-SF-S</t>
        </is>
      </c>
      <c r="C94" s="7" t="n">
        <v>26.25</v>
      </c>
      <c r="D94" s="7" t="n">
        <v>4.525</v>
      </c>
      <c r="E94" s="7" t="n">
        <v>1</v>
      </c>
      <c r="F94" s="7" t="inlineStr">
        <is>
          <t>6"</t>
        </is>
      </c>
      <c r="G94" s="7" t="n">
        <v>16</v>
      </c>
      <c r="H94" s="7" t="n">
        <v>180.47</v>
      </c>
      <c r="I94" s="7" t="inlineStr">
        <is>
          <t>CENTRAL ZONE 103</t>
        </is>
      </c>
      <c r="J94" s="7" t="inlineStr">
        <is>
          <t>2/A09.26</t>
        </is>
      </c>
      <c r="K94" s="7" t="inlineStr">
        <is>
          <t>[DERIVED]</t>
        </is>
      </c>
    </row>
    <row r="95" ht="15" customHeight="1" s="8">
      <c r="A95" s="7" t="inlineStr">
        <is>
          <t>storefront_cripples  #SFC-SF-W  -  VESTIBULE 100</t>
        </is>
      </c>
      <c r="B95" s="7" t="inlineStr">
        <is>
          <t>SFC-SF-W</t>
        </is>
      </c>
      <c r="C95" s="7" t="n">
        <v>6.5</v>
      </c>
      <c r="D95" s="7" t="n">
        <v>4.983</v>
      </c>
      <c r="E95" s="7" t="n">
        <v>1</v>
      </c>
      <c r="F95" s="7" t="inlineStr">
        <is>
          <t>6"</t>
        </is>
      </c>
      <c r="G95" s="7" t="n">
        <v>16</v>
      </c>
      <c r="H95" s="7" t="n">
        <v>44.69</v>
      </c>
      <c r="I95" s="7" t="inlineStr">
        <is>
          <t>VESTIBULE 100</t>
        </is>
      </c>
      <c r="J95" s="7" t="inlineStr">
        <is>
          <t>2/A09.26</t>
        </is>
      </c>
      <c r="K95" s="7" t="inlineStr">
        <is>
          <t>[DERIVED]</t>
        </is>
      </c>
    </row>
    <row r="96" ht="15" customHeight="1" s="8">
      <c r="A96" s="7" t="inlineStr">
        <is>
          <t>vestibule_head  #VH-1  -  VH-1</t>
        </is>
      </c>
      <c r="B96" s="7" t="inlineStr">
        <is>
          <t>VH-1</t>
        </is>
      </c>
      <c r="C96" s="7" t="n">
        <v>15.646</v>
      </c>
      <c r="D96" s="7" t="n">
        <v>5.375</v>
      </c>
      <c r="E96" s="7" t="n">
        <v>0</v>
      </c>
      <c r="F96" s="7" t="inlineStr">
        <is>
          <t>3-5/8"</t>
        </is>
      </c>
      <c r="G96" s="7" t="n">
        <v>16</v>
      </c>
      <c r="H96" s="7" t="n">
        <v>0</v>
      </c>
      <c r="I96" s="7" t="inlineStr">
        <is>
          <t>VH-1</t>
        </is>
      </c>
      <c r="J96" s="7" t="inlineStr">
        <is>
          <t>6/A12.10</t>
        </is>
      </c>
      <c r="K96" s="7" t="inlineStr">
        <is>
          <t>[DERIVED]</t>
        </is>
      </c>
    </row>
    <row r="97" ht="15" customHeight="1" s="8">
      <c r="A97" s="7" t="inlineStr">
        <is>
          <t>vestibule_head  #VH-2  -  CENTRAL ZONE 103</t>
        </is>
      </c>
      <c r="B97" s="7" t="inlineStr">
        <is>
          <t>VH-2</t>
        </is>
      </c>
      <c r="C97" s="7" t="n">
        <v>6.417</v>
      </c>
      <c r="D97" s="7" t="n">
        <v>5.375</v>
      </c>
      <c r="E97" s="7" t="n">
        <v>1</v>
      </c>
      <c r="F97" s="7" t="inlineStr">
        <is>
          <t>3-5/8"</t>
        </is>
      </c>
      <c r="G97" s="7" t="n">
        <v>16</v>
      </c>
      <c r="H97" s="7" t="n">
        <v>12.83</v>
      </c>
      <c r="I97" s="7" t="inlineStr">
        <is>
          <t>CENTRAL ZONE 103</t>
        </is>
      </c>
      <c r="J97" s="7" t="inlineStr">
        <is>
          <t>6/A12.10</t>
        </is>
      </c>
      <c r="K97" s="7" t="inlineStr">
        <is>
          <t>[DERIVED]</t>
        </is>
      </c>
    </row>
    <row r="98" ht="15" customHeight="1" s="8">
      <c r="A98" s="7" t="inlineStr">
        <is>
          <t>grille_head  #GH-1  -  CENTRAL ZONE 103 / 24 HR VESTIBULE 101</t>
        </is>
      </c>
      <c r="B98" s="7" t="inlineStr">
        <is>
          <t>GH-1</t>
        </is>
      </c>
      <c r="C98" s="7" t="n">
        <v>13.333</v>
      </c>
      <c r="D98" s="7" t="n">
        <v>2</v>
      </c>
      <c r="E98" s="7" t="n">
        <v>2</v>
      </c>
      <c r="F98" s="7" t="inlineStr">
        <is>
          <t>2-1/2"</t>
        </is>
      </c>
      <c r="G98" s="7" t="n">
        <v>16</v>
      </c>
      <c r="H98" s="7" t="n">
        <v>46.67</v>
      </c>
      <c r="I98" s="7" t="inlineStr">
        <is>
          <t>CENTRAL ZONE 103 / 24 HR VESTIBULE 101</t>
        </is>
      </c>
      <c r="J98" s="7" t="inlineStr">
        <is>
          <t>4/A08.21</t>
        </is>
      </c>
      <c r="K98" s="7" t="inlineStr">
        <is>
          <t>[DERIVED]</t>
        </is>
      </c>
    </row>
    <row r="99" ht="15" customHeight="1" s="8">
      <c r="A99" s="7" t="inlineStr">
        <is>
          <t>fascia_box  #FB-N  -  FB-N</t>
        </is>
      </c>
      <c r="B99" s="7" t="inlineStr">
        <is>
          <t>FB-N</t>
        </is>
      </c>
      <c r="C99" s="7" t="n">
        <v>78.167</v>
      </c>
      <c r="D99" s="7" t="n">
        <v>1.865</v>
      </c>
      <c r="E99" s="7" t="n">
        <v>0</v>
      </c>
      <c r="F99" s="7" t="inlineStr">
        <is>
          <t>3-5/8"</t>
        </is>
      </c>
      <c r="G99" s="7" t="n">
        <v>16</v>
      </c>
      <c r="H99" s="7" t="n">
        <v>0</v>
      </c>
      <c r="I99" s="7" t="inlineStr">
        <is>
          <t>FB-N</t>
        </is>
      </c>
      <c r="J99" s="7" t="inlineStr">
        <is>
          <t>16/A09.27</t>
        </is>
      </c>
      <c r="K99" s="7" t="inlineStr">
        <is>
          <t>[DERIVED]</t>
        </is>
      </c>
    </row>
    <row r="100" ht="15" customHeight="1" s="8">
      <c r="A100" s="7" t="inlineStr">
        <is>
          <t>fascia_box  #FB-W  -  FB-W</t>
        </is>
      </c>
      <c r="B100" s="7" t="inlineStr">
        <is>
          <t>FB-W</t>
        </is>
      </c>
      <c r="C100" s="7" t="n">
        <v>56.521</v>
      </c>
      <c r="D100" s="7" t="n">
        <v>1.865</v>
      </c>
      <c r="E100" s="7" t="n">
        <v>0</v>
      </c>
      <c r="F100" s="7" t="inlineStr">
        <is>
          <t>3-5/8"</t>
        </is>
      </c>
      <c r="G100" s="7" t="n">
        <v>16</v>
      </c>
      <c r="H100" s="7" t="n">
        <v>0</v>
      </c>
      <c r="I100" s="7" t="inlineStr">
        <is>
          <t>FB-W</t>
        </is>
      </c>
      <c r="J100" s="7" t="inlineStr">
        <is>
          <t>16/A09.27</t>
        </is>
      </c>
      <c r="K100" s="7" t="inlineStr">
        <is>
          <t>[DERIVED]</t>
        </is>
      </c>
    </row>
    <row r="101" ht="15" customHeight="1" s="8">
      <c r="A101" s="7" t="inlineStr">
        <is>
          <t>fascia_box  #FB-WS  -  FB-WS</t>
        </is>
      </c>
      <c r="B101" s="7" t="inlineStr">
        <is>
          <t>FB-WS</t>
        </is>
      </c>
      <c r="C101" s="7" t="n">
        <v>21.5</v>
      </c>
      <c r="D101" s="7" t="n">
        <v>1.865</v>
      </c>
      <c r="E101" s="7" t="n">
        <v>0</v>
      </c>
      <c r="F101" s="7" t="inlineStr">
        <is>
          <t>3-5/8"</t>
        </is>
      </c>
      <c r="G101" s="7" t="n">
        <v>16</v>
      </c>
      <c r="H101" s="7" t="n">
        <v>0</v>
      </c>
      <c r="I101" s="7" t="inlineStr">
        <is>
          <t>FB-WS</t>
        </is>
      </c>
      <c r="J101" s="7" t="inlineStr">
        <is>
          <t>16/A09.27</t>
        </is>
      </c>
      <c r="K101" s="7" t="inlineStr">
        <is>
          <t>[DERIVED]</t>
        </is>
      </c>
    </row>
    <row r="102" ht="15" customHeight="1" s="8">
      <c r="A102" s="7" t="inlineStr">
        <is>
          <t>fascia_box  #FB-E  -  FB-E</t>
        </is>
      </c>
      <c r="B102" s="7" t="inlineStr">
        <is>
          <t>FB-E</t>
        </is>
      </c>
      <c r="C102" s="7" t="n">
        <v>52.583</v>
      </c>
      <c r="D102" s="7" t="n">
        <v>1.865</v>
      </c>
      <c r="E102" s="7" t="n">
        <v>0</v>
      </c>
      <c r="F102" s="7" t="inlineStr">
        <is>
          <t>3-5/8"</t>
        </is>
      </c>
      <c r="G102" s="7" t="n">
        <v>16</v>
      </c>
      <c r="H102" s="7" t="n">
        <v>0</v>
      </c>
      <c r="I102" s="7" t="inlineStr">
        <is>
          <t>FB-E</t>
        </is>
      </c>
      <c r="J102" s="7" t="inlineStr">
        <is>
          <t>16/A09.27</t>
        </is>
      </c>
      <c r="K102" s="7" t="inlineStr">
        <is>
          <t>[DERIVED]</t>
        </is>
      </c>
    </row>
    <row r="103" ht="15" customHeight="1" s="8">
      <c r="A103" s="7" t="inlineStr">
        <is>
          <t>fascia_box  #FB-ES  -  FB-ES</t>
        </is>
      </c>
      <c r="B103" s="7" t="inlineStr">
        <is>
          <t>FB-ES</t>
        </is>
      </c>
      <c r="C103" s="7" t="n">
        <v>3</v>
      </c>
      <c r="D103" s="7" t="n">
        <v>1.865</v>
      </c>
      <c r="E103" s="7" t="n">
        <v>0</v>
      </c>
      <c r="F103" s="7" t="inlineStr">
        <is>
          <t>3-5/8"</t>
        </is>
      </c>
      <c r="G103" s="7" t="n">
        <v>16</v>
      </c>
      <c r="H103" s="7" t="n">
        <v>0</v>
      </c>
      <c r="I103" s="7" t="inlineStr">
        <is>
          <t>FB-ES</t>
        </is>
      </c>
      <c r="J103" s="7" t="inlineStr">
        <is>
          <t>16/A09.27</t>
        </is>
      </c>
      <c r="K103" s="7" t="inlineStr">
        <is>
          <t>[DERIVED]</t>
        </is>
      </c>
    </row>
    <row r="104" ht="15" customHeight="1" s="8">
      <c r="A104" s="7" t="inlineStr">
        <is>
          <t>fascia_box  #FB-S  -  FB-S</t>
        </is>
      </c>
      <c r="B104" s="7" t="inlineStr">
        <is>
          <t>FB-S</t>
        </is>
      </c>
      <c r="C104" s="7" t="n">
        <v>23</v>
      </c>
      <c r="D104" s="7" t="n">
        <v>1.865</v>
      </c>
      <c r="E104" s="7" t="n">
        <v>0</v>
      </c>
      <c r="F104" s="7" t="inlineStr">
        <is>
          <t>3-5/8"</t>
        </is>
      </c>
      <c r="G104" s="7" t="n">
        <v>16</v>
      </c>
      <c r="H104" s="7" t="n">
        <v>0</v>
      </c>
      <c r="I104" s="7" t="inlineStr">
        <is>
          <t>FB-S</t>
        </is>
      </c>
      <c r="J104" s="7" t="inlineStr">
        <is>
          <t>16/A09.27</t>
        </is>
      </c>
      <c r="K104" s="7" t="inlineStr">
        <is>
          <t>[DERIVED]</t>
        </is>
      </c>
    </row>
    <row r="105" ht="15" customHeight="1" s="8">
      <c r="A105" s="7" t="inlineStr">
        <is>
          <t>fascia_box  #FB-SR  -  FB-SR</t>
        </is>
      </c>
      <c r="B105" s="7" t="inlineStr">
        <is>
          <t>FB-SR</t>
        </is>
      </c>
      <c r="C105" s="7" t="n">
        <v>6</v>
      </c>
      <c r="D105" s="7" t="n">
        <v>1.865</v>
      </c>
      <c r="E105" s="7" t="n">
        <v>0</v>
      </c>
      <c r="F105" s="7" t="inlineStr">
        <is>
          <t>3-5/8"</t>
        </is>
      </c>
      <c r="G105" s="7" t="n">
        <v>16</v>
      </c>
      <c r="H105" s="7" t="n">
        <v>0</v>
      </c>
      <c r="I105" s="7" t="inlineStr">
        <is>
          <t>FB-SR</t>
        </is>
      </c>
      <c r="J105" s="7" t="inlineStr">
        <is>
          <t>16/A09.27</t>
        </is>
      </c>
      <c r="K105" s="7" t="inlineStr">
        <is>
          <t>[DERIVED]</t>
        </is>
      </c>
    </row>
    <row r="106" ht="15" customHeight="1" s="8">
      <c r="A106" s="7" t="inlineStr">
        <is>
          <t>roof_step  #RS-1  -  roof step at grid B (above the low roof)</t>
        </is>
      </c>
      <c r="B106" s="7" t="inlineStr">
        <is>
          <t>RS-1</t>
        </is>
      </c>
      <c r="C106" s="7" t="n">
        <v>51.593</v>
      </c>
      <c r="D106" s="7" t="n">
        <v>3.112</v>
      </c>
      <c r="E106" s="7" t="n">
        <v>0</v>
      </c>
      <c r="F106" s="7" t="inlineStr">
        <is>
          <t>3-5/8"</t>
        </is>
      </c>
      <c r="G106" s="7" t="n">
        <v>16</v>
      </c>
      <c r="H106" s="7" t="n">
        <v>0</v>
      </c>
      <c r="I106" s="7" t="inlineStr">
        <is>
          <t>roof step at grid B (above the low roof)</t>
        </is>
      </c>
      <c r="J106" s="7" t="inlineStr">
        <is>
          <t>4/A02.02</t>
        </is>
      </c>
      <c r="K106" s="7" t="inlineStr">
        <is>
          <t>[DERIVED]</t>
        </is>
      </c>
    </row>
    <row r="107" ht="15" customHeight="1" s="8">
      <c r="A107" s="7" t="inlineStr">
        <is>
          <t>roof_step  #RS-2  -  bulkhead under the deck at grid B</t>
        </is>
      </c>
      <c r="B107" s="7" t="inlineStr">
        <is>
          <t>RS-2</t>
        </is>
      </c>
      <c r="C107" s="7" t="n">
        <v>51.593</v>
      </c>
      <c r="D107" s="7" t="n">
        <v>3.46</v>
      </c>
      <c r="E107" s="7" t="n">
        <v>2</v>
      </c>
      <c r="F107" s="7" t="inlineStr">
        <is>
          <t>3-5/8"</t>
        </is>
      </c>
      <c r="G107" s="7" t="n">
        <v>16</v>
      </c>
      <c r="H107" s="7" t="n">
        <v>245.12</v>
      </c>
      <c r="I107" s="7" t="inlineStr">
        <is>
          <t>bulkhead under the deck at grid B</t>
        </is>
      </c>
      <c r="J107" s="7" t="inlineStr">
        <is>
          <t>4/A02.02</t>
        </is>
      </c>
      <c r="K107" s="7" t="inlineStr">
        <is>
          <t>[DERIVED]</t>
        </is>
      </c>
    </row>
    <row r="108" ht="15" customHeight="1" s="8">
      <c r="A108" s="7" t="inlineStr">
        <is>
          <t>roof_step  #RS-3  -  bulkhead under the deck at grid B, S row</t>
        </is>
      </c>
      <c r="B108" s="7" t="inlineStr">
        <is>
          <t>RS-3</t>
        </is>
      </c>
      <c r="C108" s="7" t="n">
        <v>51.593</v>
      </c>
      <c r="D108" s="7" t="n">
        <v>1.131</v>
      </c>
      <c r="E108" s="7" t="n">
        <v>1</v>
      </c>
      <c r="F108" s="7" t="inlineStr">
        <is>
          <t>3-5/8"</t>
        </is>
      </c>
      <c r="G108" s="7" t="n">
        <v>16</v>
      </c>
      <c r="H108" s="7" t="n">
        <v>58.35</v>
      </c>
      <c r="I108" s="7" t="inlineStr">
        <is>
          <t>bulkhead under the deck at grid B, S row</t>
        </is>
      </c>
      <c r="J108" s="7" t="inlineStr">
        <is>
          <t>4/A02.02</t>
        </is>
      </c>
      <c r="K108" s="7" t="inlineStr">
        <is>
          <t>[DERIVED]</t>
        </is>
      </c>
    </row>
    <row r="109" ht="15" customHeight="1" s="8">
      <c r="A109" s="7" t="inlineStr">
        <is>
          <t>ceiling_transition  #TR-104N  -  CENTRAL ZONE 103</t>
        </is>
      </c>
      <c r="B109" s="7" t="inlineStr">
        <is>
          <t>TR-104N</t>
        </is>
      </c>
      <c r="C109" s="7" t="n">
        <v>17.027</v>
      </c>
      <c r="D109" s="7" t="n">
        <v>4.375</v>
      </c>
      <c r="E109" s="7" t="n">
        <v>1</v>
      </c>
      <c r="F109" s="7" t="inlineStr">
        <is>
          <t>3-5/8"</t>
        </is>
      </c>
      <c r="G109" s="7" t="n">
        <v>16</v>
      </c>
      <c r="H109" s="7" t="n">
        <v>17.03</v>
      </c>
      <c r="I109" s="7" t="inlineStr">
        <is>
          <t>CENTRAL ZONE 103</t>
        </is>
      </c>
      <c r="J109" s="7" t="inlineStr">
        <is>
          <t>7/A09.33</t>
        </is>
      </c>
      <c r="K109" s="7" t="inlineStr">
        <is>
          <t>[DERIVED]</t>
        </is>
      </c>
    </row>
    <row r="110" ht="15" customHeight="1" s="8">
      <c r="A110" s="7" t="inlineStr">
        <is>
          <t>ceiling_transition  #TR-104E  -  CENTRAL ZONE 103</t>
        </is>
      </c>
      <c r="B110" s="7" t="inlineStr">
        <is>
          <t>TR-104E</t>
        </is>
      </c>
      <c r="C110" s="7" t="n">
        <v>30</v>
      </c>
      <c r="D110" s="7" t="n">
        <v>4.375</v>
      </c>
      <c r="E110" s="7" t="n">
        <v>1</v>
      </c>
      <c r="F110" s="7" t="inlineStr">
        <is>
          <t>3-5/8"</t>
        </is>
      </c>
      <c r="G110" s="7" t="n">
        <v>16</v>
      </c>
      <c r="H110" s="7" t="n">
        <v>30</v>
      </c>
      <c r="I110" s="7" t="inlineStr">
        <is>
          <t>CENTRAL ZONE 103</t>
        </is>
      </c>
      <c r="J110" s="7" t="inlineStr">
        <is>
          <t>7/A09.33</t>
        </is>
      </c>
      <c r="K110" s="7" t="inlineStr">
        <is>
          <t>[DERIVED]</t>
        </is>
      </c>
    </row>
    <row r="111" ht="15" customHeight="1" s="8">
      <c r="A111" s="7" t="inlineStr">
        <is>
          <t>ceiling_transition  #TR-104W  -  CENTRAL ZONE 103</t>
        </is>
      </c>
      <c r="B111" s="7" t="inlineStr">
        <is>
          <t>TR-104W</t>
        </is>
      </c>
      <c r="C111" s="7" t="n">
        <v>30</v>
      </c>
      <c r="D111" s="7" t="n">
        <v>4.375</v>
      </c>
      <c r="E111" s="7" t="n">
        <v>1</v>
      </c>
      <c r="F111" s="7" t="inlineStr">
        <is>
          <t>3-5/8"</t>
        </is>
      </c>
      <c r="G111" s="7" t="n">
        <v>16</v>
      </c>
      <c r="H111" s="7" t="n">
        <v>30</v>
      </c>
      <c r="I111" s="7" t="inlineStr">
        <is>
          <t>CENTRAL ZONE 103</t>
        </is>
      </c>
      <c r="J111" s="7" t="inlineStr">
        <is>
          <t>7/A09.33</t>
        </is>
      </c>
      <c r="K111" s="7" t="inlineStr">
        <is>
          <t>[DERIVED]</t>
        </is>
      </c>
    </row>
    <row r="112" ht="15" customHeight="1" s="8">
      <c r="A112" s="7" t="inlineStr">
        <is>
          <t>ceiling_bulkhead  #BH-CSR  -  CENTRAL ZONE 103 (ACT 11'-6") / CENTRAL ZONE 103 (ACT 9'-0")</t>
        </is>
      </c>
      <c r="B112" s="7" t="inlineStr">
        <is>
          <t>BH-CSR</t>
        </is>
      </c>
      <c r="C112" s="7" t="n">
        <v>5.093</v>
      </c>
      <c r="D112" s="7" t="n">
        <v>6.375</v>
      </c>
      <c r="E112" s="7" t="n">
        <v>2</v>
      </c>
      <c r="F112" s="7" t="inlineStr">
        <is>
          <t>3-5/8"</t>
        </is>
      </c>
      <c r="G112" s="7" t="n">
        <v>16</v>
      </c>
      <c r="H112" s="7" t="n">
        <v>17.83</v>
      </c>
      <c r="I112" s="7" t="inlineStr">
        <is>
          <t>CENTRAL ZONE 103 (ACT 11'-6") / CENTRAL ZONE 103 (ACT 9'-0")</t>
        </is>
      </c>
      <c r="J112" s="7" t="inlineStr">
        <is>
          <t>8/A09.33</t>
        </is>
      </c>
      <c r="K112" s="7" t="inlineStr">
        <is>
          <t>[DERIVED]</t>
        </is>
      </c>
    </row>
    <row r="113" ht="15" customHeight="1" s="8">
      <c r="A113" s="7" t="inlineStr">
        <is>
          <t>soffit_side  #SS-Wa  -  CENTRAL ZONE 103</t>
        </is>
      </c>
      <c r="B113" s="7" t="inlineStr">
        <is>
          <t>SS-Wa</t>
        </is>
      </c>
      <c r="C113" s="7" t="n">
        <v>6.44</v>
      </c>
      <c r="D113" s="7" t="n">
        <v>7.375</v>
      </c>
      <c r="E113" s="7" t="n">
        <v>1</v>
      </c>
      <c r="F113" s="7" t="inlineStr">
        <is>
          <t>3-5/8"</t>
        </is>
      </c>
      <c r="G113" s="7" t="n">
        <v>16</v>
      </c>
      <c r="H113" s="7" t="n">
        <v>9.66</v>
      </c>
      <c r="I113" s="7" t="inlineStr">
        <is>
          <t>CENTRAL ZONE 103</t>
        </is>
      </c>
      <c r="J113" s="7" t="inlineStr">
        <is>
          <t>10/A09.33</t>
        </is>
      </c>
      <c r="K113" s="7" t="inlineStr">
        <is>
          <t>[DERIVED]</t>
        </is>
      </c>
    </row>
    <row r="114" ht="15" customHeight="1" s="8">
      <c r="A114" s="7" t="inlineStr">
        <is>
          <t>soffit_side  #SS-Wb  -  CENTRAL ZONE 103</t>
        </is>
      </c>
      <c r="B114" s="7" t="inlineStr">
        <is>
          <t>SS-Wb</t>
        </is>
      </c>
      <c r="C114" s="7" t="n">
        <v>5.573</v>
      </c>
      <c r="D114" s="7" t="n">
        <v>5.052</v>
      </c>
      <c r="E114" s="7" t="n">
        <v>1</v>
      </c>
      <c r="F114" s="7" t="inlineStr">
        <is>
          <t>3-5/8"</t>
        </is>
      </c>
      <c r="G114" s="7" t="n">
        <v>16</v>
      </c>
      <c r="H114" s="7" t="n">
        <v>8.359999999999999</v>
      </c>
      <c r="I114" s="7" t="inlineStr">
        <is>
          <t>CENTRAL ZONE 103</t>
        </is>
      </c>
      <c r="J114" s="7" t="inlineStr">
        <is>
          <t>10/A09.33</t>
        </is>
      </c>
      <c r="K114" s="7" t="inlineStr">
        <is>
          <t>[DERIVED]</t>
        </is>
      </c>
    </row>
    <row r="115" ht="15" customHeight="1" s="8">
      <c r="A115" s="7" t="inlineStr">
        <is>
          <t>soffit_side  #SS-Ea  -  CASH WINDOW 116</t>
        </is>
      </c>
      <c r="B115" s="7" t="inlineStr">
        <is>
          <t>SS-Ea</t>
        </is>
      </c>
      <c r="C115" s="7" t="n">
        <v>6.44</v>
      </c>
      <c r="D115" s="7" t="n">
        <v>7.375</v>
      </c>
      <c r="E115" s="7" t="n">
        <v>1</v>
      </c>
      <c r="F115" s="7" t="inlineStr">
        <is>
          <t>3-5/8"</t>
        </is>
      </c>
      <c r="G115" s="7" t="n">
        <v>16</v>
      </c>
      <c r="H115" s="7" t="n">
        <v>9.66</v>
      </c>
      <c r="I115" s="7" t="inlineStr">
        <is>
          <t>CASH WINDOW 116</t>
        </is>
      </c>
      <c r="J115" s="7" t="inlineStr">
        <is>
          <t>10/A09.33</t>
        </is>
      </c>
      <c r="K115" s="7" t="inlineStr">
        <is>
          <t>[DERIVED]</t>
        </is>
      </c>
    </row>
    <row r="116" ht="15" customHeight="1" s="8">
      <c r="A116" s="7" t="inlineStr">
        <is>
          <t>soffit_side  #SS-Eb  -  CASH WINDOW 116</t>
        </is>
      </c>
      <c r="B116" s="7" t="inlineStr">
        <is>
          <t>SS-Eb</t>
        </is>
      </c>
      <c r="C116" s="7" t="n">
        <v>5.573</v>
      </c>
      <c r="D116" s="7" t="n">
        <v>5.052</v>
      </c>
      <c r="E116" s="7" t="n">
        <v>1</v>
      </c>
      <c r="F116" s="7" t="inlineStr">
        <is>
          <t>3-5/8"</t>
        </is>
      </c>
      <c r="G116" s="7" t="n">
        <v>16</v>
      </c>
      <c r="H116" s="7" t="n">
        <v>8.359999999999999</v>
      </c>
      <c r="I116" s="7" t="inlineStr">
        <is>
          <t>CASH WINDOW 116</t>
        </is>
      </c>
      <c r="J116" s="7" t="inlineStr">
        <is>
          <t>10/A09.33</t>
        </is>
      </c>
      <c r="K116" s="7" t="inlineStr">
        <is>
          <t>[DERIVED]</t>
        </is>
      </c>
    </row>
    <row r="117" ht="15" customHeight="1" s="8">
      <c r="A117" s="7" t="inlineStr">
        <is>
          <t>stub  #A-AN-05  -  Office-front end stub below south wall of ATM ROOM 102 (OFFICE 5 CB 109 side)</t>
        </is>
      </c>
      <c r="B117" s="7" t="inlineStr">
        <is>
          <t>A-AN-05</t>
        </is>
      </c>
      <c r="C117" s="7" t="n">
        <v>0.33</v>
      </c>
      <c r="D117" s="7" t="n">
        <v>15.375</v>
      </c>
      <c r="E117" s="7" t="n">
        <v>4</v>
      </c>
      <c r="F117" s="7" t="inlineStr">
        <is>
          <t>1-5/8"</t>
        </is>
      </c>
      <c r="G117" s="7" t="n">
        <v>16</v>
      </c>
      <c r="H117" s="7" t="n">
        <v>20.3</v>
      </c>
      <c r="I117" s="7" t="inlineStr">
        <is>
          <t>Office-front end stub below south wall of ATM ROOM 102 (OFFICE 5 CB 109 side)</t>
        </is>
      </c>
      <c r="J117" s="7" t="inlineStr">
        <is>
          <t>5/A12.01</t>
        </is>
      </c>
      <c r="K117" s="7" t="inlineStr">
        <is>
          <t>[CONFIRMED]</t>
        </is>
      </c>
    </row>
    <row r="118" ht="15" customHeight="1" s="8">
      <c r="A118" s="7" t="inlineStr">
        <is>
          <t>alcove  #A-AS-32+A-AS-33+A-AS-34+A-AS-35  -  between WOMEN'S RESTROOM 114 and LAVATORY ALCOVE (open to CORRIDOR 111) + between MEN'S RESTROOM 113 and LAVATORY ALCOVE (open to CORRIDOR 111) + between LAVATORY ALCOVE (open to CORRIDOR 111) and MEN'S RESTROOM 113</t>
        </is>
      </c>
      <c r="B118" s="7" t="inlineStr">
        <is>
          <t>A-AS-32+A-AS-33+A-AS-34+A-AS-35</t>
        </is>
      </c>
      <c r="C118" s="7" t="n">
        <v>7.486</v>
      </c>
      <c r="D118" s="7" t="n">
        <v>12.177</v>
      </c>
      <c r="E118" s="7" t="n">
        <v>1.91</v>
      </c>
      <c r="F118" s="7" t="inlineStr">
        <is>
          <t>3-5/8"</t>
        </is>
      </c>
      <c r="G118" s="7" t="n">
        <v>16</v>
      </c>
      <c r="H118" s="7" t="n">
        <v>131.41</v>
      </c>
      <c r="I118" s="7" t="inlineStr">
        <is>
          <t>between WOMEN'S RESTROOM 114 and LAVATORY ALCOVE (open to CORRIDOR 111) + between MEN'S RESTROOM 113 and LAVATORY ALCOVE (open to CORRIDOR 111) + between LAVATORY ALCOVE (open to CORRIDOR 111) and MEN'S RESTROOM 113</t>
        </is>
      </c>
      <c r="J118" s="7" t="inlineStr">
        <is>
          <t>3/A12.01</t>
        </is>
      </c>
      <c r="K118" s="7" t="inlineStr">
        <is>
          <t>[DERIVED]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J6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7" min="1" max="1"/>
    <col width="10" customWidth="1" style="7" min="2" max="3"/>
    <col width="14" customWidth="1" style="7" min="4" max="4"/>
    <col width="10" customWidth="1" style="7" min="5" max="6"/>
    <col width="24" customWidth="1" style="7" min="7" max="7"/>
    <col width="30" customWidth="1" style="7" min="8" max="8"/>
    <col width="60" customWidth="1" style="7" min="9" max="9"/>
    <col width="28" customWidth="1" style="7" min="10" max="10"/>
  </cols>
  <sheetData>
    <row r="1" ht="16.15" customHeight="1" s="8">
      <c r="A1" s="9" t="inlineStr">
        <is>
          <t>MATERIAL SUMMARY - NET / WASTE / PURCHASE</t>
        </is>
      </c>
    </row>
    <row r="2" ht="15" customHeight="1" s="8">
      <c r="A2" s="7" t="inlineStr">
        <is>
          <t>Waste lives HERE, in its own column, applied ONCE: Pieces = ROUNDUP(Net x (1 + waste) / stock). Every stock length, coverage and yield is an Inputs cell.</t>
        </is>
      </c>
    </row>
    <row r="3" ht="15" customHeight="1" s="8">
      <c r="A3" s="10" t="inlineStr">
        <is>
          <t>Material</t>
        </is>
      </c>
      <c r="B3" s="10" t="inlineStr">
        <is>
          <t>Unit</t>
        </is>
      </c>
      <c r="C3" s="10" t="inlineStr">
        <is>
          <t>Net</t>
        </is>
      </c>
      <c r="D3" s="10" t="inlineStr">
        <is>
          <t>Waste %</t>
        </is>
      </c>
      <c r="E3" s="10" t="inlineStr">
        <is>
          <t>Waste</t>
        </is>
      </c>
      <c r="F3" s="10" t="inlineStr">
        <is>
          <t>Purchase</t>
        </is>
      </c>
      <c r="G3" s="10" t="inlineStr">
        <is>
          <t>Selling unit</t>
        </is>
      </c>
      <c r="H3" s="10" t="inlineStr">
        <is>
          <t>Pieces to buy</t>
        </is>
      </c>
      <c r="I3" s="10" t="inlineStr">
        <is>
          <t>Where it comes from</t>
        </is>
      </c>
      <c r="J3" s="10" t="inlineStr">
        <is>
          <t>Yield check (live formula)</t>
        </is>
      </c>
    </row>
    <row r="4" ht="15" customHeight="1" s="8">
      <c r="A4" s="7" t="inlineStr">
        <is>
          <t>Framed openings - MEP, light slots and diffusers</t>
        </is>
      </c>
      <c r="B4" s="7" t="inlineStr">
        <is>
          <t>LF</t>
        </is>
      </c>
      <c r="C4" s="7" t="n">
        <v>908.96</v>
      </c>
      <c r="D4" s="7">
        <f>Inputs!$B$5</f>
        <v/>
      </c>
      <c r="E4" s="7">
        <f>C4*D4</f>
        <v/>
      </c>
      <c r="F4" s="7">
        <f>C4+E4</f>
        <v/>
      </c>
      <c r="G4" s="7" t="inlineStr">
        <is>
          <t>stick 20 ft</t>
        </is>
      </c>
      <c r="H4" s="7">
        <f>ROUNDUP(F4/Inputs!$B$10,0)</f>
        <v/>
      </c>
      <c r="I4" s="7" t="inlineStr">
        <is>
          <t>framed_openings_out.json 'framed openings MEP' (framed_openings.py; E02.01, A04.01)</t>
        </is>
      </c>
    </row>
    <row r="5" ht="15" customHeight="1" s="8">
      <c r="A5" s="7" t="inlineStr">
        <is>
          <t>Bottom track 6"</t>
        </is>
      </c>
      <c r="B5" s="7" t="inlineStr">
        <is>
          <t>LF</t>
        </is>
      </c>
      <c r="C5" s="7" t="n">
        <v>297.18</v>
      </c>
      <c r="D5" s="7">
        <f>Inputs!$B$5</f>
        <v/>
      </c>
      <c r="E5" s="7">
        <f>C5*D5</f>
        <v/>
      </c>
      <c r="F5" s="7">
        <f>C5+E5</f>
        <v/>
      </c>
      <c r="G5" s="7" t="inlineStr">
        <is>
          <t>run 10 ft</t>
        </is>
      </c>
      <c r="H5" s="7">
        <f>ROUNDUP(F5/Inputs!$B$11,0)</f>
        <v/>
      </c>
      <c r="I5" s="7" t="inlineStr">
        <is>
          <t>familias_out.json track_by_element 'bottom track (all)' (R73.3)</t>
        </is>
      </c>
    </row>
    <row r="6" ht="15" customHeight="1" s="8">
      <c r="A6" s="7" t="inlineStr">
        <is>
          <t>Bottom track 3-5/8"</t>
        </is>
      </c>
      <c r="B6" s="7" t="inlineStr">
        <is>
          <t>LF</t>
        </is>
      </c>
      <c r="C6" s="7" t="n">
        <v>245.29</v>
      </c>
      <c r="D6" s="7">
        <f>Inputs!$B$5</f>
        <v/>
      </c>
      <c r="E6" s="7">
        <f>C6*D6</f>
        <v/>
      </c>
      <c r="F6" s="7">
        <f>C6+E6</f>
        <v/>
      </c>
      <c r="G6" s="7" t="inlineStr">
        <is>
          <t>run 10 ft</t>
        </is>
      </c>
      <c r="H6" s="7">
        <f>ROUNDUP(F6/Inputs!$B$11,0)</f>
        <v/>
      </c>
      <c r="I6" s="7" t="inlineStr">
        <is>
          <t>familias_out.json track_by_element 'bottom track (all)' (R73.3)</t>
        </is>
      </c>
    </row>
    <row r="7" ht="15" customHeight="1" s="8">
      <c r="A7" s="7" t="inlineStr">
        <is>
          <t>Bottom track 1-5/8"</t>
        </is>
      </c>
      <c r="B7" s="7" t="inlineStr">
        <is>
          <t>LF</t>
        </is>
      </c>
      <c r="C7" s="7" t="n">
        <v>290.77</v>
      </c>
      <c r="D7" s="7">
        <f>Inputs!$B$5</f>
        <v/>
      </c>
      <c r="E7" s="7">
        <f>C7*D7</f>
        <v/>
      </c>
      <c r="F7" s="7">
        <f>C7+E7</f>
        <v/>
      </c>
      <c r="G7" s="7" t="inlineStr">
        <is>
          <t>run 10 ft</t>
        </is>
      </c>
      <c r="H7" s="7">
        <f>ROUNDUP(F7/Inputs!$B$11,0)</f>
        <v/>
      </c>
      <c r="I7" s="7" t="inlineStr">
        <is>
          <t>familias_out.json track_by_element 'bottom track (all)' (R73.3)</t>
        </is>
      </c>
    </row>
    <row r="8" ht="15" customHeight="1" s="8">
      <c r="A8" s="7" t="inlineStr">
        <is>
          <t>Bottom track - other framing (not a partition type, see source)</t>
        </is>
      </c>
      <c r="B8" s="7" t="inlineStr">
        <is>
          <t>LF</t>
        </is>
      </c>
      <c r="C8" s="7" t="n">
        <v>67.70999999999999</v>
      </c>
      <c r="D8" s="7">
        <f>Inputs!$B$5</f>
        <v/>
      </c>
      <c r="E8" s="7">
        <f>C8*D8</f>
        <v/>
      </c>
      <c r="F8" s="7">
        <f>C8+E8</f>
        <v/>
      </c>
      <c r="G8" s="7" t="inlineStr">
        <is>
          <t>run 10 ft</t>
        </is>
      </c>
      <c r="H8" s="7">
        <f>ROUNDUP(F8/Inputs!$B$11,0)</f>
        <v/>
      </c>
      <c r="I8" s="7" t="inlineStr">
        <is>
          <t>familias_out.json track_by_element 'bottom track (all)' (R73.3)</t>
        </is>
      </c>
    </row>
    <row r="9" ht="15" customHeight="1" s="8">
      <c r="A9" s="7" t="inlineStr">
        <is>
          <t>Bottom track - roof step and heads (vestibule / bulkhead)</t>
        </is>
      </c>
      <c r="B9" s="7" t="inlineStr">
        <is>
          <t>LF</t>
        </is>
      </c>
      <c r="C9" s="7" t="n">
        <v>176.84</v>
      </c>
      <c r="D9" s="7">
        <f>Inputs!$B$5</f>
        <v/>
      </c>
      <c r="E9" s="7">
        <f>C9*D9</f>
        <v/>
      </c>
      <c r="F9" s="7">
        <f>C9+E9</f>
        <v/>
      </c>
      <c r="G9" s="7" t="inlineStr">
        <is>
          <t>run 10 ft</t>
        </is>
      </c>
      <c r="H9" s="7">
        <f>ROUNDUP(F9/Inputs!$B$11,0)</f>
        <v/>
      </c>
      <c r="I9" s="7" t="inlineStr">
        <is>
          <t>familias_out.json track_by_element 'bottom track (all)' (R73.3)</t>
        </is>
      </c>
    </row>
    <row r="10" ht="15" customHeight="1" s="8">
      <c r="A10" s="7" t="inlineStr">
        <is>
          <t>Parapet bottom track</t>
        </is>
      </c>
      <c r="B10" s="7" t="inlineStr">
        <is>
          <t>LF</t>
        </is>
      </c>
      <c r="C10" s="7" t="n">
        <v>268.95</v>
      </c>
      <c r="D10" s="7">
        <f>Inputs!$B$5</f>
        <v/>
      </c>
      <c r="E10" s="7">
        <f>C10*D10</f>
        <v/>
      </c>
      <c r="F10" s="7">
        <f>C10+E10</f>
        <v/>
      </c>
      <c r="G10" s="7" t="inlineStr">
        <is>
          <t>run 10 ft</t>
        </is>
      </c>
      <c r="H10" s="7">
        <f>ROUNDUP(F10/Inputs!$B$11,0)</f>
        <v/>
      </c>
      <c r="I10" s="7" t="inlineStr">
        <is>
          <t>familias_out.json track_by_element 'bottom track (all)' (R73.3)</t>
        </is>
      </c>
    </row>
    <row r="11" ht="15" customHeight="1" s="8">
      <c r="A11" s="7" t="inlineStr">
        <is>
          <t>Top / deflection track 6"</t>
        </is>
      </c>
      <c r="B11" s="7" t="inlineStr">
        <is>
          <t>LF</t>
        </is>
      </c>
      <c r="C11" s="7" t="n">
        <v>297.18</v>
      </c>
      <c r="D11" s="7">
        <f>Inputs!$B$5</f>
        <v/>
      </c>
      <c r="E11" s="7">
        <f>C11*D11</f>
        <v/>
      </c>
      <c r="F11" s="7">
        <f>C11+E11</f>
        <v/>
      </c>
      <c r="G11" s="7" t="inlineStr">
        <is>
          <t>run 10 ft</t>
        </is>
      </c>
      <c r="H11" s="7">
        <f>ROUNDUP(F11/Inputs!$B$11,0)</f>
        <v/>
      </c>
      <c r="I11" s="7" t="inlineStr">
        <is>
          <t>familias_out.json track_by_element 'top / deflection track (all)' (R73.3)</t>
        </is>
      </c>
    </row>
    <row r="12" ht="15" customHeight="1" s="8">
      <c r="A12" s="7" t="inlineStr">
        <is>
          <t>Top / deflection track 3-5/8"</t>
        </is>
      </c>
      <c r="B12" s="7" t="inlineStr">
        <is>
          <t>LF</t>
        </is>
      </c>
      <c r="C12" s="7" t="n">
        <v>245.29</v>
      </c>
      <c r="D12" s="7">
        <f>Inputs!$B$5</f>
        <v/>
      </c>
      <c r="E12" s="7">
        <f>C12*D12</f>
        <v/>
      </c>
      <c r="F12" s="7">
        <f>C12+E12</f>
        <v/>
      </c>
      <c r="G12" s="7" t="inlineStr">
        <is>
          <t>run 10 ft</t>
        </is>
      </c>
      <c r="H12" s="7">
        <f>ROUNDUP(F12/Inputs!$B$11,0)</f>
        <v/>
      </c>
      <c r="I12" s="7" t="inlineStr">
        <is>
          <t>familias_out.json track_by_element 'top / deflection track (all)' (R73.3)</t>
        </is>
      </c>
    </row>
    <row r="13" ht="15" customHeight="1" s="8">
      <c r="A13" s="7" t="inlineStr">
        <is>
          <t>Top / deflection track 1-5/8"</t>
        </is>
      </c>
      <c r="B13" s="7" t="inlineStr">
        <is>
          <t>LF</t>
        </is>
      </c>
      <c r="C13" s="7" t="n">
        <v>290.77</v>
      </c>
      <c r="D13" s="7">
        <f>Inputs!$B$5</f>
        <v/>
      </c>
      <c r="E13" s="7">
        <f>C13*D13</f>
        <v/>
      </c>
      <c r="F13" s="7">
        <f>C13+E13</f>
        <v/>
      </c>
      <c r="G13" s="7" t="inlineStr">
        <is>
          <t>run 10 ft</t>
        </is>
      </c>
      <c r="H13" s="7">
        <f>ROUNDUP(F13/Inputs!$B$11,0)</f>
        <v/>
      </c>
      <c r="I13" s="7" t="inlineStr">
        <is>
          <t>familias_out.json track_by_element 'top / deflection track (all)' (R73.3)</t>
        </is>
      </c>
    </row>
    <row r="14" ht="15" customHeight="1" s="8">
      <c r="A14" s="7" t="inlineStr">
        <is>
          <t>Top / deflection track - other framing (not a partition type, see source)</t>
        </is>
      </c>
      <c r="B14" s="7" t="inlineStr">
        <is>
          <t>LF</t>
        </is>
      </c>
      <c r="C14" s="7" t="n">
        <v>67.70999999999999</v>
      </c>
      <c r="D14" s="7">
        <f>Inputs!$B$5</f>
        <v/>
      </c>
      <c r="E14" s="7">
        <f>C14*D14</f>
        <v/>
      </c>
      <c r="F14" s="7">
        <f>C14+E14</f>
        <v/>
      </c>
      <c r="G14" s="7" t="inlineStr">
        <is>
          <t>run 10 ft</t>
        </is>
      </c>
      <c r="H14" s="7">
        <f>ROUNDUP(F14/Inputs!$B$11,0)</f>
        <v/>
      </c>
      <c r="I14" s="7" t="inlineStr">
        <is>
          <t>familias_out.json track_by_element 'top / deflection track (all)' (R73.3)</t>
        </is>
      </c>
    </row>
    <row r="15" ht="15" customHeight="1" s="8">
      <c r="A15" s="7" t="inlineStr">
        <is>
          <t>Top track - roof step and heads (vestibule / bulkhead)</t>
        </is>
      </c>
      <c r="B15" s="7" t="inlineStr">
        <is>
          <t>LF</t>
        </is>
      </c>
      <c r="C15" s="7" t="n">
        <v>176.84</v>
      </c>
      <c r="D15" s="7">
        <f>Inputs!$B$5</f>
        <v/>
      </c>
      <c r="E15" s="7">
        <f>C15*D15</f>
        <v/>
      </c>
      <c r="F15" s="7">
        <f>C15+E15</f>
        <v/>
      </c>
      <c r="G15" s="7" t="inlineStr">
        <is>
          <t>run 10 ft</t>
        </is>
      </c>
      <c r="H15" s="7">
        <f>ROUNDUP(F15/Inputs!$B$11,0)</f>
        <v/>
      </c>
      <c r="I15" s="7" t="inlineStr">
        <is>
          <t>familias_out.json track_by_element 'top / deflection track (all)' (R73.3)</t>
        </is>
      </c>
    </row>
    <row r="16" ht="15" customHeight="1" s="8">
      <c r="A16" s="7" t="inlineStr">
        <is>
          <t>Parapet top track</t>
        </is>
      </c>
      <c r="B16" s="7" t="inlineStr">
        <is>
          <t>LF</t>
        </is>
      </c>
      <c r="C16" s="7" t="n">
        <v>268.95</v>
      </c>
      <c r="D16" s="7">
        <f>Inputs!$B$5</f>
        <v/>
      </c>
      <c r="E16" s="7">
        <f>C16*D16</f>
        <v/>
      </c>
      <c r="F16" s="7">
        <f>C16+E16</f>
        <v/>
      </c>
      <c r="G16" s="7" t="inlineStr">
        <is>
          <t>run 10 ft</t>
        </is>
      </c>
      <c r="H16" s="7">
        <f>ROUNDUP(F16/Inputs!$B$11,0)</f>
        <v/>
      </c>
      <c r="I16" s="7" t="inlineStr">
        <is>
          <t>familias_out.json track_by_element 'top / deflection track (all)' (R73.3)</t>
        </is>
      </c>
    </row>
    <row r="17" ht="15" customHeight="1" s="8">
      <c r="A17" s="7" t="inlineStr">
        <is>
          <t>6" metal stud (LF of material)</t>
        </is>
      </c>
      <c r="B17" s="7" t="inlineStr">
        <is>
          <t>LF</t>
        </is>
      </c>
      <c r="C17" s="7" t="n">
        <v>4713.42</v>
      </c>
      <c r="D17" s="7">
        <f>Inputs!$B$5</f>
        <v/>
      </c>
      <c r="E17" s="7">
        <f>C17*D17</f>
        <v/>
      </c>
      <c r="F17" s="7">
        <f>C17+E17</f>
        <v/>
      </c>
      <c r="G17" s="7" t="inlineStr">
        <is>
          <t>stick 20 ft</t>
        </is>
      </c>
      <c r="H17" s="7">
        <f>ROUNDUP(F17/Inputs!$B$10,0)</f>
        <v/>
      </c>
      <c r="I17" s="7" t="inlineStr">
        <is>
          <t>familias_out.json '6" stud (all gauges)' (R80.4: canon family the run did not write)</t>
        </is>
      </c>
    </row>
    <row r="18" ht="15" customHeight="1" s="8">
      <c r="A18" s="7" t="inlineStr">
        <is>
          <t>3-5/8" metal stud (LF of material)</t>
        </is>
      </c>
      <c r="B18" s="7" t="inlineStr">
        <is>
          <t>LF</t>
        </is>
      </c>
      <c r="C18" s="7" t="n">
        <v>7049.07</v>
      </c>
      <c r="D18" s="7">
        <f>Inputs!$B$5</f>
        <v/>
      </c>
      <c r="E18" s="7">
        <f>C18*D18</f>
        <v/>
      </c>
      <c r="F18" s="7">
        <f>C18+E18</f>
        <v/>
      </c>
      <c r="G18" s="7" t="inlineStr">
        <is>
          <t>stick 20 ft</t>
        </is>
      </c>
      <c r="H18" s="7">
        <f>ROUNDUP(F18/Inputs!$B$10,0)</f>
        <v/>
      </c>
      <c r="I18" s="7" t="inlineStr">
        <is>
          <t>familias_out.json '3-5/8" stud (all gauges)' (R80.4: canon family the run did not write)</t>
        </is>
      </c>
    </row>
    <row r="19" ht="15" customHeight="1" s="8">
      <c r="A19" s="7" t="inlineStr">
        <is>
          <t>1-5/8" metal stud (LF of material)</t>
        </is>
      </c>
      <c r="B19" s="7" t="inlineStr">
        <is>
          <t>LF</t>
        </is>
      </c>
      <c r="C19" s="7" t="n">
        <v>3758.18</v>
      </c>
      <c r="D19" s="7">
        <f>Inputs!$B$5</f>
        <v/>
      </c>
      <c r="E19" s="7">
        <f>C19*D19</f>
        <v/>
      </c>
      <c r="F19" s="7">
        <f>C19+E19</f>
        <v/>
      </c>
      <c r="G19" s="7" t="inlineStr">
        <is>
          <t>stick 20 ft</t>
        </is>
      </c>
      <c r="H19" s="7">
        <f>ROUNDUP(F19/Inputs!$B$10,0)</f>
        <v/>
      </c>
      <c r="I19" s="7" t="inlineStr">
        <is>
          <t>familias_out.json '1-5/8" stud' (R80.4: canon family the run did not write)</t>
        </is>
      </c>
    </row>
    <row r="20" ht="15" customHeight="1" s="8">
      <c r="A20" s="7" t="inlineStr">
        <is>
          <t>6" parapet infill stud (LF of material)</t>
        </is>
      </c>
      <c r="B20" s="7" t="inlineStr">
        <is>
          <t>LF</t>
        </is>
      </c>
      <c r="C20" s="7" t="n">
        <v>1001.54</v>
      </c>
      <c r="D20" s="7">
        <f>Inputs!$B$5</f>
        <v/>
      </c>
      <c r="E20" s="7">
        <f>C20*D20</f>
        <v/>
      </c>
      <c r="F20" s="7">
        <f>C20+E20</f>
        <v/>
      </c>
      <c r="G20" s="7" t="inlineStr">
        <is>
          <t>stick 20 ft</t>
        </is>
      </c>
      <c r="H20" s="7">
        <f>ROUNDUP(F20/Inputs!$B$10,0)</f>
        <v/>
      </c>
      <c r="I20" s="7" t="inlineStr">
        <is>
          <t>familias_out.json '6" parapet stud' (R80.4: canon family the run did not write)</t>
        </is>
      </c>
    </row>
    <row r="21" ht="15" customHeight="1" s="8">
      <c r="A21" s="7" t="inlineStr">
        <is>
          <t>Track, ceilings / soffits / canopy</t>
        </is>
      </c>
      <c r="B21" s="7" t="inlineStr">
        <is>
          <t>LF</t>
        </is>
      </c>
      <c r="C21" s="7" t="n">
        <v>1250.95</v>
      </c>
      <c r="D21" s="7">
        <f>Inputs!$B$5</f>
        <v/>
      </c>
      <c r="E21" s="7">
        <f>C21*D21</f>
        <v/>
      </c>
      <c r="F21" s="7">
        <f>C21+E21</f>
        <v/>
      </c>
      <c r="G21" s="7" t="inlineStr">
        <is>
          <t>run 10 ft</t>
        </is>
      </c>
      <c r="H21" s="7">
        <f>ROUNDUP(F21/Inputs!$B$11,0)</f>
        <v/>
      </c>
      <c r="I21" s="7" t="inlineStr">
        <is>
          <t>familias_out.json 'ceiling / soffit track' (R80.4: canon family the run did not write)</t>
        </is>
      </c>
    </row>
    <row r="22" ht="15" customHeight="1" s="8">
      <c r="A22" s="7" t="inlineStr">
        <is>
          <t>Bracing 1-1/2" C.R. channel @ 48" O.C.</t>
        </is>
      </c>
      <c r="B22" s="7" t="inlineStr">
        <is>
          <t>LF</t>
        </is>
      </c>
      <c r="C22" s="7" t="n">
        <v>2490.16</v>
      </c>
      <c r="D22" s="7">
        <f>Inputs!$B$5</f>
        <v/>
      </c>
      <c r="E22" s="7">
        <f>C22*D22</f>
        <v/>
      </c>
      <c r="F22" s="7">
        <f>C22+E22</f>
        <v/>
      </c>
      <c r="G22" s="7" t="inlineStr">
        <is>
          <t>C.R. channel 16 ft</t>
        </is>
      </c>
      <c r="H22" s="7">
        <f>ROUNDUP(F22/Inputs!$B$16,0)</f>
        <v/>
      </c>
      <c r="I22" s="7" t="inlineStr">
        <is>
          <t>familias_out.json 'bracing C.R. channel' (R80.4: canon family the run did not write)</t>
        </is>
      </c>
    </row>
    <row r="23" ht="15" customHeight="1" s="8">
      <c r="A23" s="7" t="inlineStr">
        <is>
          <t>Purlin, top track to deck</t>
        </is>
      </c>
      <c r="B23" s="7" t="inlineStr">
        <is>
          <t>LF</t>
        </is>
      </c>
      <c r="C23" s="7" t="n">
        <v>256.28</v>
      </c>
      <c r="D23" s="7">
        <f>Inputs!$B$5</f>
        <v/>
      </c>
      <c r="E23" s="7">
        <f>C23*D23</f>
        <v/>
      </c>
      <c r="F23" s="7">
        <f>C23+E23</f>
        <v/>
      </c>
      <c r="G23" s="7" t="inlineStr">
        <is>
          <t>run 10 ft</t>
        </is>
      </c>
      <c r="H23" s="7">
        <f>ROUNDUP(F23/Inputs!$B$11,0)</f>
        <v/>
      </c>
      <c r="I23" s="7" t="inlineStr">
        <is>
          <t>familias_out.json 'purlin (track to deck)' (R80.4: canon family the run did not write)</t>
        </is>
      </c>
    </row>
    <row r="24" ht="15" customHeight="1" s="8">
      <c r="A24" s="7" t="inlineStr">
        <is>
          <t>Header / metal stud box beam</t>
        </is>
      </c>
      <c r="B24" s="7" t="inlineStr">
        <is>
          <t>LF</t>
        </is>
      </c>
      <c r="C24" s="7" t="n">
        <v>792.21</v>
      </c>
      <c r="D24" s="7">
        <f>Inputs!$B$5</f>
        <v/>
      </c>
      <c r="E24" s="7">
        <f>C24*D24</f>
        <v/>
      </c>
      <c r="F24" s="7">
        <f>C24+E24</f>
        <v/>
      </c>
      <c r="G24" s="7" t="inlineStr">
        <is>
          <t>stick 20 ft</t>
        </is>
      </c>
      <c r="H24" s="7">
        <f>ROUNDUP(F24/Inputs!$B$10,0)</f>
        <v/>
      </c>
      <c r="I24" s="7" t="inlineStr">
        <is>
          <t>familias_out.json 'header / box beam' (R80.4: canon family the run did not write)</t>
        </is>
      </c>
    </row>
    <row r="25" ht="15" customHeight="1" s="8">
      <c r="A25" s="7" t="inlineStr">
        <is>
          <t>Sill track</t>
        </is>
      </c>
      <c r="B25" s="7" t="inlineStr">
        <is>
          <t>LF</t>
        </is>
      </c>
      <c r="C25" s="7" t="n">
        <v>119.12</v>
      </c>
      <c r="D25" s="7">
        <f>Inputs!$B$5</f>
        <v/>
      </c>
      <c r="E25" s="7">
        <f>C25*D25</f>
        <v/>
      </c>
      <c r="F25" s="7">
        <f>C25+E25</f>
        <v/>
      </c>
      <c r="G25" s="7" t="inlineStr">
        <is>
          <t>run 10 ft</t>
        </is>
      </c>
      <c r="H25" s="7">
        <f>ROUNDUP(F25/Inputs!$B$11,0)</f>
        <v/>
      </c>
      <c r="I25" s="7" t="inlineStr">
        <is>
          <t>familias_out.json 'sill track' (R80.4: canon family the run did not write)</t>
        </is>
      </c>
    </row>
    <row r="26" ht="15" customHeight="1" s="8">
      <c r="A26" s="7" t="inlineStr">
        <is>
          <t>Furring channel (ceilings)</t>
        </is>
      </c>
      <c r="B26" s="7" t="inlineStr">
        <is>
          <t>LF</t>
        </is>
      </c>
      <c r="C26" s="7" t="n">
        <v>789.46</v>
      </c>
      <c r="D26" s="7">
        <f>Inputs!$B$5</f>
        <v/>
      </c>
      <c r="E26" s="7">
        <f>C26*D26</f>
        <v/>
      </c>
      <c r="F26" s="7">
        <f>C26+E26</f>
        <v/>
      </c>
      <c r="G26" s="7" t="inlineStr">
        <is>
          <t>hat channel 12 ft</t>
        </is>
      </c>
      <c r="H26" s="7">
        <f>ROUNDUP(F26/Inputs!$B$17,0)</f>
        <v/>
      </c>
      <c r="I26" s="7" t="inlineStr">
        <is>
          <t>familias_out.json 'furring channel' (R80.4: canon family the run did not write)</t>
        </is>
      </c>
    </row>
    <row r="27" ht="15" customHeight="1" s="8">
      <c r="A27" s="7" t="inlineStr">
        <is>
          <t>Carrying channel (ceilings)</t>
        </is>
      </c>
      <c r="B27" s="7" t="inlineStr">
        <is>
          <t>LF</t>
        </is>
      </c>
      <c r="C27" s="7" t="n">
        <v>326.88</v>
      </c>
      <c r="D27" s="7">
        <f>Inputs!$B$5</f>
        <v/>
      </c>
      <c r="E27" s="7">
        <f>C27*D27</f>
        <v/>
      </c>
      <c r="F27" s="7">
        <f>C27+E27</f>
        <v/>
      </c>
      <c r="G27" s="7" t="inlineStr">
        <is>
          <t>C.R. channel 16 ft</t>
        </is>
      </c>
      <c r="H27" s="7">
        <f>ROUNDUP(F27/Inputs!$B$16,0)</f>
        <v/>
      </c>
      <c r="I27" s="7" t="inlineStr">
        <is>
          <t>familias_out.json 'carrying channel' (R80.4: canon family the run did not write)</t>
        </is>
      </c>
    </row>
    <row r="28" ht="15" customHeight="1" s="8">
      <c r="A28" s="7" t="inlineStr">
        <is>
          <t>Hanger wire</t>
        </is>
      </c>
      <c r="B28" s="7" t="inlineStr">
        <is>
          <t>LF</t>
        </is>
      </c>
      <c r="C28" s="7" t="n">
        <v>531.67</v>
      </c>
      <c r="D28" s="7">
        <f>Inputs!$B$5</f>
        <v/>
      </c>
      <c r="E28" s="7">
        <f>C28*D28</f>
        <v/>
      </c>
      <c r="F28" s="7">
        <f>C28+E28</f>
        <v/>
      </c>
      <c r="G28" s="7" t="inlineStr">
        <is>
          <t>continuous coil (LF)</t>
        </is>
      </c>
      <c r="H28" s="7">
        <f>ROUNDUP(F28,0)</f>
        <v/>
      </c>
      <c r="I28" s="7" t="inlineStr">
        <is>
          <t>familias_out.json 'hanger wire' (R80.4: canon family the run did not write)</t>
        </is>
      </c>
    </row>
    <row r="29" ht="15" customHeight="1" s="8">
      <c r="A29" s="7" t="inlineStr">
        <is>
          <t>5/8" gypsum board, regular</t>
        </is>
      </c>
      <c r="B29" s="7" t="inlineStr">
        <is>
          <t>SF</t>
        </is>
      </c>
      <c r="C29" s="7" t="n">
        <v>17149.4</v>
      </c>
      <c r="D29" s="7">
        <f>Inputs!$B$5</f>
        <v/>
      </c>
      <c r="E29" s="7">
        <f>C29*D29</f>
        <v/>
      </c>
      <c r="F29" s="7">
        <f>C29+E29</f>
        <v/>
      </c>
      <c r="G29" s="7" t="inlineStr">
        <is>
          <t>piece</t>
        </is>
      </c>
      <c r="H29" s="7">
        <f>ROUNDUP(F29,0)</f>
        <v/>
      </c>
      <c r="I29" s="7" t="inlineStr">
        <is>
          <t>familias_out.json '5/8" gyp board regular (walls + ceilings)' (R80.4: canon family the run did not write)</t>
        </is>
      </c>
    </row>
    <row r="30" ht="15" customHeight="1" s="8">
      <c r="A30" s="7" t="inlineStr">
        <is>
          <t>5/8" gypsum board, MOISTURE RESISTANT</t>
        </is>
      </c>
      <c r="B30" s="7" t="inlineStr">
        <is>
          <t>SF</t>
        </is>
      </c>
      <c r="C30" s="7" t="n">
        <v>258.8</v>
      </c>
      <c r="D30" s="7">
        <f>Inputs!$B$5</f>
        <v/>
      </c>
      <c r="E30" s="7">
        <f>C30*D30</f>
        <v/>
      </c>
      <c r="F30" s="7">
        <f>C30+E30</f>
        <v/>
      </c>
      <c r="G30" s="7" t="inlineStr">
        <is>
          <t>piece</t>
        </is>
      </c>
      <c r="H30" s="7">
        <f>ROUNDUP(F30,0)</f>
        <v/>
      </c>
      <c r="I30" s="7" t="inlineStr">
        <is>
          <t>familias_out.json '5/8" gyp MOISTURE RESISTANT' (R80.4: canon family the run did not write)</t>
        </is>
      </c>
    </row>
    <row r="31" ht="15" customHeight="1" s="8">
      <c r="A31" s="7" t="inlineStr">
        <is>
          <t>Ballistic panel 3/8" UL752</t>
        </is>
      </c>
      <c r="B31" s="7" t="inlineStr">
        <is>
          <t>SF</t>
        </is>
      </c>
      <c r="C31" s="7" t="n">
        <v>83.04000000000001</v>
      </c>
      <c r="D31" s="7">
        <f>Inputs!$B$5</f>
        <v/>
      </c>
      <c r="E31" s="7">
        <f>C31*D31</f>
        <v/>
      </c>
      <c r="F31" s="7">
        <f>C31+E31</f>
        <v/>
      </c>
      <c r="G31" s="7" t="inlineStr">
        <is>
          <t>piece</t>
        </is>
      </c>
      <c r="H31" s="7">
        <f>ROUNDUP(F31,0)</f>
        <v/>
      </c>
      <c r="I31" s="7" t="inlineStr">
        <is>
          <t>familias_out.json 'ballistic panel' (R80.4: canon family the run did not write)</t>
        </is>
      </c>
    </row>
    <row r="32" ht="15" customHeight="1" s="8">
      <c r="A32" s="7" t="inlineStr">
        <is>
          <t>3/8" gypsum board</t>
        </is>
      </c>
      <c r="B32" s="7" t="inlineStr">
        <is>
          <t>SF</t>
        </is>
      </c>
      <c r="C32" s="7" t="n">
        <v>64.2</v>
      </c>
      <c r="D32" s="7">
        <f>Inputs!$B$5</f>
        <v/>
      </c>
      <c r="E32" s="7">
        <f>C32*D32</f>
        <v/>
      </c>
      <c r="F32" s="7">
        <f>C32+E32</f>
        <v/>
      </c>
      <c r="G32" s="7" t="inlineStr">
        <is>
          <t>piece</t>
        </is>
      </c>
      <c r="H32" s="7">
        <f>ROUNDUP(F32,0)</f>
        <v/>
      </c>
      <c r="I32" s="7" t="inlineStr">
        <is>
          <t>familias_out.json '3/8" gyp board' (R80.4: canon family the run did not write)</t>
        </is>
      </c>
    </row>
    <row r="33" ht="15" customHeight="1" s="8">
      <c r="A33" s="7" t="inlineStr">
        <is>
          <t>5/8" glass mat sheathing (exterior face of the stud)</t>
        </is>
      </c>
      <c r="B33" s="7" t="inlineStr">
        <is>
          <t>SF</t>
        </is>
      </c>
      <c r="C33" s="7" t="n">
        <v>346.63</v>
      </c>
      <c r="D33" s="7">
        <f>Inputs!$B$5</f>
        <v/>
      </c>
      <c r="E33" s="7">
        <f>C33*D33</f>
        <v/>
      </c>
      <c r="F33" s="7">
        <f>C33+E33</f>
        <v/>
      </c>
      <c r="G33" s="7" t="inlineStr">
        <is>
          <t>piece</t>
        </is>
      </c>
      <c r="H33" s="7">
        <f>ROUNDUP(F33,0)</f>
        <v/>
      </c>
      <c r="I33" s="7" t="inlineStr">
        <is>
          <t>familias_out.json '5/8" glass mat sheathing' (R80.4: canon family the run did not write)</t>
        </is>
      </c>
    </row>
    <row r="34" ht="15" customHeight="1" s="8">
      <c r="A34" s="7" t="inlineStr">
        <is>
          <t>5/8" EXTERIOR gypsum sheathing</t>
        </is>
      </c>
      <c r="B34" s="7" t="inlineStr">
        <is>
          <t>SF</t>
        </is>
      </c>
      <c r="C34" s="7" t="n">
        <v>947.67</v>
      </c>
      <c r="D34" s="7">
        <f>Inputs!$B$5</f>
        <v/>
      </c>
      <c r="E34" s="7">
        <f>C34*D34</f>
        <v/>
      </c>
      <c r="F34" s="7">
        <f>C34+E34</f>
        <v/>
      </c>
      <c r="G34" s="7" t="inlineStr">
        <is>
          <t>piece</t>
        </is>
      </c>
      <c r="H34" s="7">
        <f>ROUNDUP(F34,0)</f>
        <v/>
      </c>
      <c r="I34" s="7" t="inlineStr">
        <is>
          <t>familias_out.json '5/8" EXTERIOR gyp sheathing' (R80.4: canon family the run did not write)</t>
        </is>
      </c>
    </row>
    <row r="35" ht="15" customHeight="1" s="8">
      <c r="A35" s="7" t="inlineStr">
        <is>
          <t>Blocking FRT / 2X FRT wood</t>
        </is>
      </c>
      <c r="B35" s="7" t="inlineStr">
        <is>
          <t>LF</t>
        </is>
      </c>
      <c r="C35" s="7" t="n">
        <v>855.4</v>
      </c>
      <c r="D35" s="7">
        <f>Inputs!$B$5</f>
        <v/>
      </c>
      <c r="E35" s="7">
        <f>C35*D35</f>
        <v/>
      </c>
      <c r="F35" s="7">
        <f>C35+E35</f>
        <v/>
      </c>
      <c r="G35" s="7" t="inlineStr">
        <is>
          <t>piece</t>
        </is>
      </c>
      <c r="H35" s="7">
        <f>ROUNDUP(F35,0)</f>
        <v/>
      </c>
      <c r="I35" s="7" t="inlineStr">
        <is>
          <t>familias_out.json 'FRT blocking' (R80.4: canon family the run did not write)</t>
        </is>
      </c>
    </row>
    <row r="36" ht="15" customHeight="1" s="8">
      <c r="A36" s="7" t="inlineStr">
        <is>
          <t>Stud blocking at edge of gypboard (structural detail)</t>
        </is>
      </c>
      <c r="B36" s="7" t="inlineStr">
        <is>
          <t>LF</t>
        </is>
      </c>
      <c r="C36" s="7" t="n">
        <v>544.28</v>
      </c>
      <c r="D36" s="7">
        <f>Inputs!$B$5</f>
        <v/>
      </c>
      <c r="E36" s="7">
        <f>C36*D36</f>
        <v/>
      </c>
      <c r="F36" s="7">
        <f>C36+E36</f>
        <v/>
      </c>
      <c r="G36" s="7" t="inlineStr">
        <is>
          <t>stick 20 ft</t>
        </is>
      </c>
      <c r="H36" s="7">
        <f>ROUNDUP(F36/Inputs!$B$10,0)</f>
        <v/>
      </c>
      <c r="I36" s="7" t="inlineStr">
        <is>
          <t>familias_out.json metal_blocking_by_origin 'metal stud blocking (362CR / STUD BLOCKING)' (edge) (R80.4)</t>
        </is>
      </c>
    </row>
    <row r="37" ht="15" customHeight="1" s="8">
      <c r="A37" s="7" t="inlineStr">
        <is>
          <t>Metal stud blocking at wall-mounted items (notes)</t>
        </is>
      </c>
      <c r="B37" s="7" t="inlineStr">
        <is>
          <t>LF</t>
        </is>
      </c>
      <c r="C37" s="7" t="n">
        <v>26.89</v>
      </c>
      <c r="D37" s="7">
        <f>Inputs!$B$5</f>
        <v/>
      </c>
      <c r="E37" s="7">
        <f>C37*D37</f>
        <v/>
      </c>
      <c r="F37" s="7">
        <f>C37+E37</f>
        <v/>
      </c>
      <c r="G37" s="7" t="inlineStr">
        <is>
          <t>stick 20 ft</t>
        </is>
      </c>
      <c r="H37" s="7">
        <f>ROUNDUP(F37/Inputs!$B$10,0)</f>
        <v/>
      </c>
      <c r="I37" s="7" t="inlineStr">
        <is>
          <t>familias_out.json metal_blocking_by_origin 'metal stud blocking (362CR / STUD BLOCKING)' (items) (R80.4)</t>
        </is>
      </c>
    </row>
    <row r="38" ht="15" customHeight="1" s="8">
      <c r="A38" s="7" t="inlineStr">
        <is>
          <t>METAL trim - corner bead, casing bead, shadow molding, gypsum edge trim</t>
        </is>
      </c>
      <c r="B38" s="7" t="inlineStr">
        <is>
          <t>LF</t>
        </is>
      </c>
      <c r="C38" s="7" t="n">
        <v>848.74</v>
      </c>
      <c r="D38" s="7">
        <f>Inputs!$B$5</f>
        <v/>
      </c>
      <c r="E38" s="7">
        <f>C38*D38</f>
        <v/>
      </c>
      <c r="F38" s="7">
        <f>C38+E38</f>
        <v/>
      </c>
      <c r="G38" s="7" t="inlineStr">
        <is>
          <t>trim stick 10 ft</t>
        </is>
      </c>
      <c r="H38" s="7">
        <f>ROUNDUP(F38/Inputs!$B$18,0)</f>
        <v/>
      </c>
      <c r="I38" s="7" t="inlineStr">
        <is>
          <t>familias_out.json 'metal trim (corner bead, casing, shadow molding)' (R80.4: canon family the run did not write)</t>
        </is>
      </c>
    </row>
    <row r="39" ht="15" customHeight="1" s="8">
      <c r="A39" s="7" t="inlineStr">
        <is>
          <t>Cement board (substrate under the FRP cove base band)</t>
        </is>
      </c>
      <c r="B39" s="7" t="inlineStr">
        <is>
          <t>SF</t>
        </is>
      </c>
      <c r="C39" s="7" t="n">
        <v>31.61</v>
      </c>
      <c r="D39" s="7">
        <f>Inputs!$B$5</f>
        <v/>
      </c>
      <c r="E39" s="7">
        <f>C39*D39</f>
        <v/>
      </c>
      <c r="F39" s="7">
        <f>C39+E39</f>
        <v/>
      </c>
      <c r="G39" s="7" t="inlineStr">
        <is>
          <t>piece</t>
        </is>
      </c>
      <c r="H39" s="7">
        <f>ROUNDUP(F39,0)</f>
        <v/>
      </c>
      <c r="I39" s="7" t="inlineStr">
        <is>
          <t>familias_out.json 'cement board' (R80.4: canon family the run did not write)</t>
        </is>
      </c>
    </row>
    <row r="40" ht="15" customHeight="1" s="8">
      <c r="A40" s="7" t="inlineStr">
        <is>
          <t>FRP panels</t>
        </is>
      </c>
      <c r="B40" s="7" t="inlineStr">
        <is>
          <t>SF</t>
        </is>
      </c>
      <c r="C40" s="7" t="n">
        <v>332.1</v>
      </c>
      <c r="D40" s="7">
        <f>Inputs!$B$5</f>
        <v/>
      </c>
      <c r="E40" s="7">
        <f>C40*D40</f>
        <v/>
      </c>
      <c r="F40" s="7">
        <f>C40+E40</f>
        <v/>
      </c>
      <c r="G40" s="7" t="inlineStr">
        <is>
          <t>piece</t>
        </is>
      </c>
      <c r="H40" s="7">
        <f>ROUNDUP(F40,0)</f>
        <v/>
      </c>
      <c r="I40" s="7" t="inlineStr">
        <is>
          <t>familias_out.json 'FRP' (R80.4: canon family the run did not write)</t>
        </is>
      </c>
    </row>
    <row r="41" ht="15" customHeight="1" s="8">
      <c r="A41" s="7" t="inlineStr">
        <is>
          <t>5/8" FRT plywood sheathing (canopy and soffits)</t>
        </is>
      </c>
      <c r="B41" s="7" t="inlineStr">
        <is>
          <t>SF</t>
        </is>
      </c>
      <c r="C41" s="7" t="n">
        <v>2003.23</v>
      </c>
      <c r="D41" s="7">
        <f>Inputs!$B$6</f>
        <v/>
      </c>
      <c r="E41" s="7">
        <f>C41*D41</f>
        <v/>
      </c>
      <c r="F41" s="7">
        <f>C41+E41</f>
        <v/>
      </c>
      <c r="G41" s="7" t="inlineStr">
        <is>
          <t>4x12 ft sheet (Inputs)</t>
        </is>
      </c>
      <c r="H41" s="7">
        <f>ROUNDUP(F41/Inputs!$B$9,0)</f>
        <v/>
      </c>
      <c r="I41" s="7" t="inlineStr">
        <is>
          <t>familias_out.json FRT plywood by material; canon rows</t>
        </is>
      </c>
    </row>
    <row r="42" ht="15" customHeight="1" s="8">
      <c r="A42" s="7" t="inlineStr">
        <is>
          <t>Exterior sheathing 5/8" FRT plywood bonded to 2-1/2" polyiso</t>
        </is>
      </c>
      <c r="B42" s="7" t="inlineStr">
        <is>
          <t>SF</t>
        </is>
      </c>
      <c r="C42" s="7" t="n">
        <v>4127.2</v>
      </c>
      <c r="D42" s="7">
        <f>Inputs!$B$6</f>
        <v/>
      </c>
      <c r="E42" s="7">
        <f>C42*D42</f>
        <v/>
      </c>
      <c r="F42" s="7">
        <f>C42+E42</f>
        <v/>
      </c>
      <c r="G42" s="7" t="inlineStr">
        <is>
          <t>4x12 ft sheet (Inputs)</t>
        </is>
      </c>
      <c r="H42" s="7">
        <f>ROUNDUP(F42/Inputs!$B$9,0)</f>
        <v/>
      </c>
      <c r="I42" s="7" t="inlineStr">
        <is>
          <t>familias_out.json FRT plywood by material; canon rows</t>
        </is>
      </c>
    </row>
    <row r="43" ht="15" customHeight="1" s="8">
      <c r="A43" s="7" t="inlineStr">
        <is>
          <t>FRT plywood substrate (3/4 in.)</t>
        </is>
      </c>
      <c r="B43" s="7" t="inlineStr">
        <is>
          <t>SF</t>
        </is>
      </c>
      <c r="C43" s="7" t="n">
        <v>674.64</v>
      </c>
      <c r="D43" s="7">
        <f>Inputs!$B$6</f>
        <v/>
      </c>
      <c r="E43" s="7">
        <f>C43*D43</f>
        <v/>
      </c>
      <c r="F43" s="7">
        <f>C43+E43</f>
        <v/>
      </c>
      <c r="G43" s="7" t="inlineStr">
        <is>
          <t>4x12 ft sheet (Inputs)</t>
        </is>
      </c>
      <c r="H43" s="7">
        <f>ROUNDUP(F43/Inputs!$B$9,0)</f>
        <v/>
      </c>
      <c r="I43" s="7" t="inlineStr">
        <is>
          <t>familias_out.json FRT plywood by material; canon rows</t>
        </is>
      </c>
    </row>
    <row r="44" ht="15" customHeight="1" s="8">
      <c r="A44" s="7" t="inlineStr">
        <is>
          <t>3/4" FRT plywood at storefront piers</t>
        </is>
      </c>
      <c r="B44" s="7" t="inlineStr">
        <is>
          <t>SF</t>
        </is>
      </c>
      <c r="C44" s="7" t="n">
        <v>23.59</v>
      </c>
      <c r="D44" s="7">
        <f>Inputs!$B$6</f>
        <v/>
      </c>
      <c r="E44" s="7">
        <f>C44*D44</f>
        <v/>
      </c>
      <c r="F44" s="7">
        <f>C44+E44</f>
        <v/>
      </c>
      <c r="G44" s="7" t="inlineStr">
        <is>
          <t>4x12 ft sheet (Inputs)</t>
        </is>
      </c>
      <c r="H44" s="7">
        <f>ROUNDUP(F44/Inputs!$B$9,0)</f>
        <v/>
      </c>
      <c r="I44" s="7" t="inlineStr">
        <is>
          <t>familias_out.json FRT plywood by material; canon rows</t>
        </is>
      </c>
    </row>
    <row r="45" ht="15" customHeight="1" s="8">
      <c r="A45" s="7" t="inlineStr">
        <is>
          <t>5/8" FRT plywood at canopy column wraps</t>
        </is>
      </c>
      <c r="B45" s="7" t="inlineStr">
        <is>
          <t>SF</t>
        </is>
      </c>
      <c r="C45" s="7" t="n">
        <v>240.36</v>
      </c>
      <c r="D45" s="7">
        <f>Inputs!$B$6</f>
        <v/>
      </c>
      <c r="E45" s="7">
        <f>C45*D45</f>
        <v/>
      </c>
      <c r="F45" s="7">
        <f>C45+E45</f>
        <v/>
      </c>
      <c r="G45" s="7" t="inlineStr">
        <is>
          <t>4x12 ft sheet (Inputs)</t>
        </is>
      </c>
      <c r="H45" s="7">
        <f>ROUNDUP(F45/Inputs!$B$9,0)</f>
        <v/>
      </c>
      <c r="I45" s="7" t="inlineStr">
        <is>
          <t>familias_out.json FRT plywood by material; canon rows</t>
        </is>
      </c>
    </row>
    <row r="46" ht="15" customHeight="1" s="8">
      <c r="A46" s="7" t="inlineStr">
        <is>
          <t>FRT plywood substrate (5/8 in.)</t>
        </is>
      </c>
      <c r="B46" s="7" t="inlineStr">
        <is>
          <t>SF</t>
        </is>
      </c>
      <c r="C46" s="7" t="n">
        <v>7.28</v>
      </c>
      <c r="D46" s="7">
        <f>Inputs!$B$6</f>
        <v/>
      </c>
      <c r="E46" s="7">
        <f>C46*D46</f>
        <v/>
      </c>
      <c r="F46" s="7">
        <f>C46+E46</f>
        <v/>
      </c>
      <c r="G46" s="7" t="inlineStr">
        <is>
          <t>4x12 ft sheet (Inputs)</t>
        </is>
      </c>
      <c r="H46" s="7">
        <f>ROUNDUP(F46/Inputs!$B$9,0)</f>
        <v/>
      </c>
      <c r="I46" s="7" t="inlineStr">
        <is>
          <t>familias_out.json FRT plywood by material; canon rows</t>
        </is>
      </c>
    </row>
    <row r="47" ht="15" customHeight="1" s="8">
      <c r="A47" s="7" t="inlineStr">
        <is>
          <t>Sealant at base of gypsum (exterior, not acoustical)</t>
        </is>
      </c>
      <c r="B47" s="7" t="inlineStr">
        <is>
          <t>LF</t>
        </is>
      </c>
      <c r="C47" s="7" t="n">
        <v>211.85</v>
      </c>
      <c r="D47" s="7">
        <f>Inputs!$B$6</f>
        <v/>
      </c>
      <c r="E47" s="7">
        <f>C47*D47</f>
        <v/>
      </c>
      <c r="F47" s="7">
        <f>C47+E47</f>
        <v/>
      </c>
      <c r="G47" s="7" t="inlineStr">
        <is>
          <t>tube (25 LF per tube)</t>
        </is>
      </c>
      <c r="H47" s="7">
        <f>ROUNDUP(F47/Inputs!$B$15,0)</f>
        <v/>
      </c>
      <c r="I47" s="7" t="inlineStr">
        <is>
          <t>familias_out.json sealant_exterior_lf 'base of gypsum (exterior)'</t>
        </is>
      </c>
    </row>
    <row r="48" ht="15" customHeight="1" s="8">
      <c r="A48" s="7" t="inlineStr">
        <is>
          <t>Hanger wire 12 ga - hanger count (one per hanger, height per room)</t>
        </is>
      </c>
      <c r="B48" s="7" t="inlineStr">
        <is>
          <t>PCS</t>
        </is>
      </c>
      <c r="C48" s="7" t="n">
        <v>113</v>
      </c>
      <c r="D48" s="7" t="n">
        <v>0</v>
      </c>
      <c r="E48" s="7">
        <f>C48*D48</f>
        <v/>
      </c>
      <c r="F48" s="7">
        <f>C48+E48</f>
        <v/>
      </c>
      <c r="H48" s="7">
        <f>ROUNDUP(F48,0)</f>
        <v/>
      </c>
      <c r="I48" s="7" t="inlineStr">
        <is>
          <t>familias_out.json hanger_pcs.total_pcs; wire bought on the LF row</t>
        </is>
      </c>
    </row>
    <row r="49" ht="15" customHeight="1" s="8">
      <c r="A49" s="7" t="inlineStr">
        <is>
          <t>Additional head track at openings over 4'-0" wide</t>
        </is>
      </c>
      <c r="B49" s="7" t="inlineStr">
        <is>
          <t>LF</t>
        </is>
      </c>
      <c r="C49" s="7" t="n">
        <v>56</v>
      </c>
      <c r="D49" s="7">
        <f>Inputs!$B$5</f>
        <v/>
      </c>
      <c r="E49" s="7">
        <f>C49*D49</f>
        <v/>
      </c>
      <c r="F49" s="7">
        <f>C49+E49</f>
        <v/>
      </c>
      <c r="G49" s="7" t="inlineStr">
        <is>
          <t>run 10 ft</t>
        </is>
      </c>
      <c r="H49" s="7">
        <f>ROUNDUP(F49/Inputs!$B$11,0)</f>
        <v/>
      </c>
      <c r="I49" s="7" t="inlineStr">
        <is>
          <t>accesorios.py [CRITERION]: HEAD TRACK @ NON LOAD BRG: ADD FULL LENGTH ADDL HEAD TRACK @ OPNG &gt; 4'-0"; Estimator user decision #1: R.O. + 1'-4" (8" bearing each side)</t>
        </is>
      </c>
    </row>
    <row r="50" ht="15" customHeight="1" s="8">
      <c r="A50" s="7" t="inlineStr">
        <is>
          <t>Stud reinforcement at MEP penetrations</t>
        </is>
      </c>
      <c r="B50" s="7" t="inlineStr">
        <is>
          <t>PCS</t>
        </is>
      </c>
      <c r="C50" s="7" t="n">
        <v>0</v>
      </c>
      <c r="D50" s="7" t="n">
        <v>0</v>
      </c>
      <c r="E50" s="7">
        <f>C50*D50</f>
        <v/>
      </c>
      <c r="F50" s="7">
        <f>C50+E50</f>
        <v/>
      </c>
      <c r="G50" s="7" t="inlineStr">
        <is>
          <t>each</t>
        </is>
      </c>
      <c r="H50" s="7">
        <f>ROUNDUP(F50,0)</f>
        <v/>
      </c>
      <c r="I50" s="7" t="inlineStr">
        <is>
          <t xml:space="preserve">accesorios.py [CRITERION]: S5.20; M01.01 R-2 14x14 / FD (registered dx -571.92 dy 21.84); S5.20; M01.01 R-2 14x14, TYP. 2 / FD (registered dx -571.92 dy 21.84); S5.20; M01.01 S-2, 12x8 200 CFM / FD (registered dx -571.92 dy 21.84); S5.20; M01.01 S-2, 12x12 600 CFM / </t>
        </is>
      </c>
    </row>
    <row r="51" ht="15" customHeight="1" s="8">
      <c r="A51" s="7" t="inlineStr">
        <is>
          <t>Extra framing - ATM recess (only what a detail prints at the recess; the wall stays in its type)</t>
        </is>
      </c>
      <c r="B51" s="7" t="inlineStr">
        <is>
          <t>LF</t>
        </is>
      </c>
      <c r="C51" s="7" t="n">
        <v>49.87</v>
      </c>
      <c r="D51" s="7">
        <f>Inputs!$B$5</f>
        <v/>
      </c>
      <c r="E51" s="7">
        <f>C51*D51</f>
        <v/>
      </c>
      <c r="F51" s="7">
        <f>C51+E51</f>
        <v/>
      </c>
      <c r="G51" s="7" t="inlineStr">
        <is>
          <t>stick 20 ft</t>
        </is>
      </c>
      <c r="H51" s="7">
        <f>ROUNDUP(F51/Inputs!$B$10,0)</f>
        <v/>
      </c>
      <c r="I51" s="7" t="inlineStr">
        <is>
          <t>accesorios.py [DERIVED]: 4/A08.11; 12/A12.01; 6/A08.11; C/A09.21; 6/A08.11: "2 1/2" METAL STUD SISTERED TO 6" METAL STUD W/ MINERAL WOOL INSULATION"; 6/A08.11: "FIBER CEMENT PANEL ON FURRING ON 5/8" FRT PLYWOOD"; 6/A08.11: "2 1/2" METAL STUD FRAMING AT ATM-2 RECESS</t>
        </is>
      </c>
    </row>
    <row r="52" ht="15" customHeight="1" s="8">
      <c r="A52" s="7" t="inlineStr">
        <is>
          <t>2-1/2" CFMF @ 16" O.C. at coiling grille head (4/A08.21)</t>
        </is>
      </c>
      <c r="B52" s="7" t="inlineStr">
        <is>
          <t>LF</t>
        </is>
      </c>
      <c r="C52" s="7" t="n">
        <v>10.43</v>
      </c>
      <c r="D52" s="7">
        <f>Inputs!$B$5</f>
        <v/>
      </c>
      <c r="E52" s="7">
        <f>C52*D52</f>
        <v/>
      </c>
      <c r="F52" s="7">
        <f>C52+E52</f>
        <v/>
      </c>
      <c r="G52" s="7" t="inlineStr">
        <is>
          <t>stick 20 ft</t>
        </is>
      </c>
      <c r="H52" s="7">
        <f>ROUNDUP(F52/Inputs!$B$10,0)</f>
        <v/>
      </c>
      <c r="I52" s="7" t="inlineStr">
        <is>
          <t>accesorios.py [DERIVED]: 4/A08.21</t>
        </is>
      </c>
    </row>
    <row r="53" ht="15" customHeight="1" s="8">
      <c r="A53" s="7" t="inlineStr">
        <is>
          <t>Gypsum board jamb return at openings</t>
        </is>
      </c>
      <c r="B53" s="7" t="inlineStr">
        <is>
          <t>SF</t>
        </is>
      </c>
      <c r="C53" s="7" t="n">
        <v>95.94</v>
      </c>
      <c r="D53" s="7">
        <f>Inputs!$B$6</f>
        <v/>
      </c>
      <c r="E53" s="7">
        <f>C53*D53</f>
        <v/>
      </c>
      <c r="F53" s="7">
        <f>C53+E53</f>
        <v/>
      </c>
      <c r="G53" s="7" t="inlineStr">
        <is>
          <t>4x12 ft sheet (Inputs)</t>
        </is>
      </c>
      <c r="H53" s="7">
        <f>ROUNDUP(F53/Inputs!$B$9,0)</f>
        <v/>
      </c>
      <c r="I53" s="7" t="inlineStr">
        <is>
          <t>accesorios.py [CRITERION]: Estimator decision 2026-10-23: gypsum board jamb return total 95.94 SF over the 29A edges 167.65 LF -&gt; width = 95.94 / 167.65 = 0.572277 ft (29A: 0.758 ft over 9.1" FRT plywood, 11/A09.27; 3/A09.25)</t>
        </is>
      </c>
    </row>
    <row r="54" ht="15" customHeight="1" s="8">
      <c r="A54" s="7" t="inlineStr">
        <is>
          <t>PVC trim - edge trim molding and inside corner molding at the FRP</t>
        </is>
      </c>
      <c r="B54" s="7" t="inlineStr">
        <is>
          <t>LF</t>
        </is>
      </c>
      <c r="C54" s="7" t="n">
        <v>222.44</v>
      </c>
      <c r="D54" s="7">
        <f>Inputs!$B$6</f>
        <v/>
      </c>
      <c r="E54" s="7">
        <f>C54*D54</f>
        <v/>
      </c>
      <c r="F54" s="7">
        <f>C54+E54</f>
        <v/>
      </c>
      <c r="G54" s="7" t="inlineStr">
        <is>
          <t>trim stick 10 ft</t>
        </is>
      </c>
      <c r="H54" s="7">
        <f>ROUNDUP(F54/Inputs!$B$18,0)</f>
        <v/>
      </c>
      <c r="I54" s="7" t="inlineStr">
        <is>
          <t>accesorios.py [DERIVED]: A,B,C,D/A08.01 5'-0" TO TOP OF FRP; 1/A08.01; KN6/A05.01; 6/A12.04</t>
        </is>
      </c>
    </row>
    <row r="55" ht="15" customHeight="1" s="8">
      <c r="A55" s="7" t="inlineStr">
        <is>
          <t>Power-driven fasteners and duct sleeves</t>
        </is>
      </c>
      <c r="B55" s="7" t="inlineStr">
        <is>
          <t>PCS</t>
        </is>
      </c>
      <c r="C55" s="7" t="n">
        <v>275</v>
      </c>
      <c r="D55" s="7" t="n">
        <v>0</v>
      </c>
      <c r="E55" s="7">
        <f>C55*D55</f>
        <v/>
      </c>
      <c r="F55" s="7">
        <f>C55+E55</f>
        <v/>
      </c>
      <c r="G55" s="7" t="inlineStr">
        <is>
          <t>each</t>
        </is>
      </c>
      <c r="H55" s="7">
        <f>ROUNDUP(F55,0)</f>
        <v/>
      </c>
      <c r="I55" s="7" t="inlineStr">
        <is>
          <t>accesorios.py [DERIVED]: 11/S5.10 PAFs SPACED AT 12" O.C. MAX.; M01.01 R-2 14x14 / FD (registered dx -571.92 dy 21.84); M01.01 R-2 14x14, TYP. 2 / FD (registered dx -571.92 dy 21.84); M01.01 S-2, 12x12 600 CFM / FD (registered dx -571.92 dy 21.84); M01.01 S-2, 12x8</t>
        </is>
      </c>
    </row>
    <row r="56" ht="15" customHeight="1" s="8">
      <c r="A56" s="7" t="inlineStr">
        <is>
          <t>Access panel 2' x 2'</t>
        </is>
      </c>
      <c r="B56" s="7" t="inlineStr">
        <is>
          <t>PCS</t>
        </is>
      </c>
      <c r="C56" s="7" t="n">
        <v>1</v>
      </c>
      <c r="D56" s="7" t="n">
        <v>0</v>
      </c>
      <c r="E56" s="7">
        <f>C56*D56</f>
        <v/>
      </c>
      <c r="F56" s="7">
        <f>C56+E56</f>
        <v/>
      </c>
      <c r="G56" s="7" t="inlineStr">
        <is>
          <t>each</t>
        </is>
      </c>
      <c r="H56" s="7">
        <f>ROUNDUP(F56,0)</f>
        <v/>
      </c>
      <c r="I56" s="7" t="inlineStr">
        <is>
          <t>accesorios.py [CONFIRMED]: KN4/A04.01</t>
        </is>
      </c>
    </row>
    <row r="57" ht="15" customHeight="1" s="8">
      <c r="A57" s="7" t="inlineStr">
        <is>
          <t>Drywall screws 1-1/4" bugle head</t>
        </is>
      </c>
      <c r="B57" s="7" t="inlineStr">
        <is>
          <t>PCS</t>
        </is>
      </c>
      <c r="C57" s="7" t="n">
        <v>20966.88</v>
      </c>
      <c r="D57" s="7" t="n">
        <v>0</v>
      </c>
      <c r="E57" s="7">
        <f>C57*D57</f>
        <v/>
      </c>
      <c r="F57" s="7">
        <f>C57+E57</f>
        <v/>
      </c>
      <c r="G57" s="7" t="inlineStr">
        <is>
          <t>each</t>
        </is>
      </c>
      <c r="H57" s="7">
        <f>ROUNDUP(F57,0)</f>
        <v/>
      </c>
      <c r="I57" s="7" t="inlineStr">
        <is>
          <t>accesorios.py [DERIVED]: Inputs!B20 (Drywall screws per SF of board = 1.2) x 17472.4 SF of board</t>
        </is>
      </c>
      <c r="J57" s="7">
        <f>Inputs!$B$20*17472.4</f>
        <v/>
      </c>
    </row>
    <row r="58" ht="15" customHeight="1" s="8">
      <c r="A58" s="7" t="inlineStr">
        <is>
          <t>Framing screws, pan head self-drilling</t>
        </is>
      </c>
      <c r="B58" s="7" t="inlineStr">
        <is>
          <t>PCS</t>
        </is>
      </c>
      <c r="C58" s="7" t="n">
        <v>7228</v>
      </c>
      <c r="D58" s="7" t="n">
        <v>0</v>
      </c>
      <c r="E58" s="7">
        <f>C58*D58</f>
        <v/>
      </c>
      <c r="F58" s="7">
        <f>C58+E58</f>
        <v/>
      </c>
      <c r="G58" s="7" t="inlineStr">
        <is>
          <t>each</t>
        </is>
      </c>
      <c r="H58" s="7">
        <f>ROUNDUP(F58,0)</f>
        <v/>
      </c>
      <c r="I58" s="7" t="inlineStr">
        <is>
          <t>accesorios.py [DERIVED]: Inputs!B21 (Framing screws per stud piece = 4) x 1807 stud pieces</t>
        </is>
      </c>
      <c r="J58" s="7">
        <f>Inputs!$B$21*1807</f>
        <v/>
      </c>
    </row>
    <row r="59" ht="15" customHeight="1" s="8">
      <c r="A59" s="7" t="inlineStr">
        <is>
          <t>Power-driven fasteners, slab pins for the bottom track</t>
        </is>
      </c>
      <c r="B59" s="7" t="inlineStr">
        <is>
          <t>PCS</t>
        </is>
      </c>
      <c r="C59" s="7" t="n">
        <v>528.0599999999999</v>
      </c>
      <c r="D59" s="7" t="n">
        <v>0</v>
      </c>
      <c r="E59" s="7">
        <f>C59*D59</f>
        <v/>
      </c>
      <c r="F59" s="7">
        <f>C59+E59</f>
        <v/>
      </c>
      <c r="G59" s="7" t="inlineStr">
        <is>
          <t>each</t>
        </is>
      </c>
      <c r="H59" s="7">
        <f>ROUNDUP(F59,0)</f>
        <v/>
      </c>
      <c r="I59" s="7" t="inlineStr">
        <is>
          <t>accesorios.py [DERIVED]: 528.06 LF of interior bottom track on slab / Inputs!B22 (Power-driven pin spacing (ft) = 1)</t>
        </is>
      </c>
      <c r="J59" s="7">
        <f>528.06/Inputs!$B$22</f>
        <v/>
      </c>
    </row>
    <row r="60" ht="15" customHeight="1" s="8">
      <c r="A60" s="7" t="inlineStr">
        <is>
          <t>Expansion anchors Hilti 1/4" Kwik Bolt II, exterior bottom track @ 8" O.C.</t>
        </is>
      </c>
      <c r="B60" s="7" t="inlineStr">
        <is>
          <t>PCS</t>
        </is>
      </c>
      <c r="C60" s="7" t="n">
        <v>322.62</v>
      </c>
      <c r="D60" s="7" t="n">
        <v>0</v>
      </c>
      <c r="E60" s="7">
        <f>C60*D60</f>
        <v/>
      </c>
      <c r="F60" s="7">
        <f>C60+E60</f>
        <v/>
      </c>
      <c r="G60" s="7" t="inlineStr">
        <is>
          <t>each</t>
        </is>
      </c>
      <c r="H60" s="7">
        <f>ROUNDUP(F60,0)</f>
        <v/>
      </c>
      <c r="I60" s="7" t="inlineStr">
        <is>
          <t>accesorios.py [DERIVED]: 215.19 LF of exterior bottom track on slab / Inputs!B25 (Expansion anchor spacing (ft) = 0.667)</t>
        </is>
      </c>
      <c r="J60" s="7">
        <f>215.19/Inputs!$B$25</f>
        <v/>
      </c>
    </row>
    <row r="61" ht="15" customHeight="1" s="8">
      <c r="A61" s="7" t="inlineStr">
        <is>
          <t>Joint compound, all purpose</t>
        </is>
      </c>
      <c r="B61" s="7" t="inlineStr">
        <is>
          <t>LB</t>
        </is>
      </c>
      <c r="C61" s="7" t="n">
        <v>1258.01</v>
      </c>
      <c r="D61" s="7" t="n">
        <v>0</v>
      </c>
      <c r="E61" s="7">
        <f>C61*D61</f>
        <v/>
      </c>
      <c r="F61" s="7">
        <f>C61+E61</f>
        <v/>
      </c>
      <c r="G61" s="7" t="inlineStr">
        <is>
          <t>lb</t>
        </is>
      </c>
      <c r="H61" s="7">
        <f>ROUNDUP(F61,0)</f>
        <v/>
      </c>
      <c r="I61" s="7" t="inlineStr">
        <is>
          <t>accesorios.py [DERIVED]: Inputs!B23 (Joint compound (lb per SF) = 0.072) x 17472.4 SF of board</t>
        </is>
      </c>
      <c r="J61" s="7">
        <f>Inputs!$B$23*17472.4</f>
        <v/>
      </c>
    </row>
    <row r="62" ht="15" customHeight="1" s="8">
      <c r="A62" s="7" t="inlineStr">
        <is>
          <t>Joint tape, paper</t>
        </is>
      </c>
      <c r="B62" s="7" t="inlineStr">
        <is>
          <t>LF</t>
        </is>
      </c>
      <c r="C62" s="7" t="n">
        <v>6464.79</v>
      </c>
      <c r="D62" s="7" t="n">
        <v>0</v>
      </c>
      <c r="E62" s="7">
        <f>C62*D62</f>
        <v/>
      </c>
      <c r="F62" s="7">
        <f>C62+E62</f>
        <v/>
      </c>
      <c r="G62" s="7" t="inlineStr">
        <is>
          <t>LF</t>
        </is>
      </c>
      <c r="H62" s="7">
        <f>ROUNDUP(F62,0)</f>
        <v/>
      </c>
      <c r="I62" s="7" t="inlineStr">
        <is>
          <t>accesorios.py [DERIVED]: Inputs!B24 (Joint tape (LF per SF) = 0.37) x 17472.4 SF of board</t>
        </is>
      </c>
      <c r="J62" s="7">
        <f>Inputs!$B$24*17472.4</f>
        <v/>
      </c>
    </row>
    <row r="63" ht="15" customHeight="1" s="8">
      <c r="A63" s="7" t="inlineStr">
        <is>
          <t>Level 5 finish</t>
        </is>
      </c>
      <c r="B63" s="7" t="inlineStr">
        <is>
          <t>SF</t>
        </is>
      </c>
      <c r="C63" s="7" t="n">
        <v>716.15</v>
      </c>
      <c r="D63" s="7">
        <f>Inputs!$B$6</f>
        <v/>
      </c>
      <c r="E63" s="7">
        <f>C63*D63</f>
        <v/>
      </c>
      <c r="F63" s="7">
        <f>C63+E63</f>
        <v/>
      </c>
      <c r="G63" s="7" t="inlineStr">
        <is>
          <t>SF</t>
        </is>
      </c>
      <c r="H63" s="7">
        <f>ROUNDUP(F63,0)</f>
        <v/>
      </c>
      <c r="I63" s="7" t="inlineStr">
        <is>
          <t>accesorios.py [DERIVED]: 1/A11.04; 6/A11.01; 5/A11.04; 11/A11.04; 14/A11.04; 10/A11.03; 1/A11.01</t>
        </is>
      </c>
    </row>
    <row r="64" ht="15" customHeight="1" s="8">
      <c r="A64" s="7" t="inlineStr">
        <is>
          <t>Deflection clips at non-load-bearing walls to structure</t>
        </is>
      </c>
      <c r="B64" s="7" t="inlineStr">
        <is>
          <t>PCS</t>
        </is>
      </c>
      <c r="C64" s="7" t="n">
        <v>0</v>
      </c>
      <c r="D64" s="7" t="n">
        <v>0</v>
      </c>
      <c r="E64" s="7">
        <f>C64*D64</f>
        <v/>
      </c>
      <c r="F64" s="7">
        <f>C64+E64</f>
        <v/>
      </c>
      <c r="G64" s="7" t="inlineStr">
        <is>
          <t>each</t>
        </is>
      </c>
      <c r="H64" s="7">
        <f>ROUNDUP(F64,0)</f>
        <v/>
      </c>
      <c r="I64" s="7" t="inlineStr">
        <is>
          <t>accesorios.py [CRITERION]: S1.11 LGSF note 2; 1/A12.01; 3/A12.01; 4/A12.01</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C4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7" min="1" max="1"/>
    <col width="60" customWidth="1" style="7" min="2" max="3"/>
  </cols>
  <sheetData>
    <row r="1" ht="15" customHeight="1" s="8">
      <c r="A1" s="10" t="inlineStr">
        <is>
          <t>RFI</t>
        </is>
      </c>
      <c r="B1" s="10" t="inlineStr">
        <is>
          <t>Question / condition</t>
        </is>
      </c>
      <c r="C1" s="10" t="inlineStr">
        <is>
          <t>Delta of each alternative</t>
        </is>
      </c>
    </row>
    <row r="2" ht="15" customHeight="1" s="8">
      <c r="A2" s="7" t="inlineStr">
        <is>
          <t>RFI-ACC-additional-head-track</t>
        </is>
      </c>
      <c r="B2" s="7" t="inlineStr">
        <is>
          <t>additional head track: openings with their own box (openings_extra) &gt; 4'-0": do they also take the additional head track of HEAD TRACK @ NON LOAD BRG: ADD FULL LENGTH ADDL HEAD TRACK @ OPNG &gt; 4'-0"?</t>
        </is>
      </c>
      <c r="C2" s="7" t="inlineStr">
        <is>
          <t>100.54 lf</t>
        </is>
      </c>
    </row>
    <row r="3" ht="15" customHeight="1" s="8">
      <c r="A3" s="7" t="inlineStr">
        <is>
          <t>RFI-ACC-stud-reinforcement-mep</t>
        </is>
      </c>
      <c r="B3" s="7" t="inlineStr">
        <is>
          <t>stud reinforcement MEP: crossings read by hand (not found by mep.cruces): confirm each one on the M / P sheets (R73.5)</t>
        </is>
      </c>
      <c r="C3" s="7" t="inlineStr">
        <is>
          <t>4 pcs</t>
        </is>
      </c>
    </row>
    <row r="4" ht="15" customHeight="1" s="8">
      <c r="A4" s="7" t="inlineStr">
        <is>
          <t>RFI-ACC-stud-reinforcement-mep-2</t>
        </is>
      </c>
      <c r="B4" s="7" t="inlineStr">
        <is>
          <t>stud reinforcement MEP: duct / fire damper openings listed outside the registered MEP sweep (R73.5)</t>
        </is>
      </c>
      <c r="C4" s="7" t="inlineStr">
        <is>
          <t>2 pcs</t>
        </is>
      </c>
    </row>
    <row r="5" ht="15" customHeight="1" s="8">
      <c r="A5" s="7" t="inlineStr">
        <is>
          <t>RFI-ACC-gypsum-board-jamb-return</t>
        </is>
      </c>
      <c r="B5" s="7" t="inlineStr">
        <is>
          <t>gypsum board jamb return: jamb return width not dimensioned</t>
        </is>
      </c>
      <c r="C5" s="7" t="inlineStr">
        <is>
          <t>-62.41 sf</t>
        </is>
      </c>
    </row>
    <row r="6" ht="15" customHeight="1" s="8">
      <c r="A6" s="7" t="inlineStr">
        <is>
          <t>RFI-ACC-expansion-anchors</t>
        </is>
      </c>
      <c r="B6" s="7" t="inlineStr">
        <is>
          <t>expansion anchors: untagged parts of piers / boxes (R-16-2, R-17-2) without anchorage in the schedule (R72.8)</t>
        </is>
      </c>
      <c r="C6" s="7" t="inlineStr">
        <is>
          <t>13.6 pcs</t>
        </is>
      </c>
    </row>
    <row r="7" ht="15" customHeight="1" s="8">
      <c r="A7" s="7" t="inlineStr">
        <is>
          <t>RFI-ACC-slab-pins</t>
        </is>
      </c>
      <c r="B7" s="7" t="inlineStr">
        <is>
          <t>slab pins: pin spacing: 12" (interior anchorage) vs 16" (fastener schedule) vs 24" (type K box)</t>
        </is>
      </c>
      <c r="C7" s="7" t="inlineStr">
        <is>
          <t>16in: -132.02 pcs; 24in: -264.03 pcs</t>
        </is>
      </c>
    </row>
    <row r="8" ht="15" customHeight="1" s="8">
      <c r="A8" s="7" t="inlineStr">
        <is>
          <t>RFI-ACC-deflection-clips</t>
        </is>
      </c>
      <c r="B8" s="7" t="inlineStr">
        <is>
          <t>deflection clips: deflection clips: the general note asks for them at non-load-bearing walls and the partition details draw a slip / deflection track (R73.6)</t>
        </is>
      </c>
      <c r="C8" s="7" t="inlineStr">
        <is>
          <t>495 pcs</t>
        </is>
      </c>
    </row>
    <row r="9" ht="15" customHeight="1" s="8">
      <c r="A9" s="7" t="inlineStr">
        <is>
          <t>RFI-BEAM-R-2-1</t>
        </is>
      </c>
      <c r="B9" s="7" t="inlineStr">
        <is>
          <t>R-2-1 454.44-732.8 pt: S2.20 labels two beams on the same line (W16X26 (CANOPY) and W12X19 (HI)). Which beam does the exterior stud stop under?</t>
        </is>
      </c>
      <c r="C9" s="7" t="inlineStr">
        <is>
          <t>carried under W12X19 (HI): stud 14.358 ft; under the canopy beam: 10.442 ft (delta 3.916 ft per stud)</t>
        </is>
      </c>
    </row>
    <row r="10" ht="15" customHeight="1" s="8">
      <c r="A10" s="7" t="inlineStr">
        <is>
          <t>RFI-BEAM-R-EXT-W3-1</t>
        </is>
      </c>
      <c r="B10" s="7" t="inlineStr">
        <is>
          <t>R-EXT-W3-1 848.4-1244.4 pt: S2.20 labels two beams on the same line (W16X26 (CANOPY) and W12X19 (HI)). Which beam does the exterior stud stop under?</t>
        </is>
      </c>
      <c r="C10" s="7" t="inlineStr">
        <is>
          <t>carried under W12X19 (HI): stud 14.358 ft; under the canopy beam: 10.442 ft (delta 3.916 ft per stud)</t>
        </is>
      </c>
    </row>
    <row r="11" ht="15" customHeight="1" s="8">
      <c r="A11" s="7" t="inlineStr">
        <is>
          <t>RFI-EXT-GAUGE</t>
        </is>
      </c>
      <c r="B11" s="7" t="inlineStr">
        <is>
          <t>Exterior stud gauge: 7/S5.20 lists 600S137-33 @ 16" O.C.; S1.11 note 5 lists 600S162-54 @ 12" within 6 ft of building corners and @ 16" elsewhere. Which gauge governs?</t>
        </is>
      </c>
      <c r="C11" s="7" t="inlineStr">
        <is>
          <t>LF unchanged (spacing @ 12" within 6 ft of corners already carried); gauge 33 mil vs 54 mil changes the material grade only</t>
        </is>
      </c>
    </row>
    <row r="12" ht="15" customHeight="1" s="8">
      <c r="A12" s="7" t="inlineStr">
        <is>
          <t>RFI-EXT-STOP</t>
        </is>
      </c>
      <c r="B12" s="7" t="inlineStr">
        <is>
          <t>Architectural sections (C/A09.21, F/A09.22) run the 6" CFMF continuous outside the perimeter beam to T/STUD; structural 6/S5.10 and 10/S5.10 stop the light gauge framing under the perimeter beam with a deflection track and add HSS posts + 600S162-54 parapet infill above. Which governs?</t>
        </is>
      </c>
      <c r="C12" s="7" t="inlineStr">
        <is>
          <t>carried per S5.10 (wall studs B.O.D. - d + parapet infill by bay); per architecture each exterior stud runs T/STUD (17'-5" LP / 19'-8" HP) continuous</t>
        </is>
      </c>
    </row>
    <row r="13" ht="15" customHeight="1" s="8">
      <c r="A13" s="7" t="inlineStr">
        <is>
          <t>RFI-05</t>
        </is>
      </c>
      <c r="B13" s="7" t="inlineStr">
        <is>
          <t>Door 102 R.O. 3'-10": 7/S5.20 header schedule row 3'-4" &lt; span &lt;= 6'-0" = DOUBLE TRACK 18 GA; 2/S5.20 and 9/S5.20 call DOUBLE head track only at openings &gt; 4'-0". Which governs?</t>
        </is>
      </c>
      <c r="C13" s="7" t="inlineStr">
        <is>
          <t>carried DOUBLE (schedule, user decision #21): (3.833 + 1.333) x 2 = 10.33 LF; single = 5.17 LF (delta 5.17 LF)</t>
        </is>
      </c>
    </row>
    <row r="14" ht="15" customHeight="1" s="8">
      <c r="A14" s="7" t="inlineStr">
        <is>
          <t>RFI-02</t>
        </is>
      </c>
      <c r="B14" s="7" t="inlineStr">
        <is>
          <t>ATM-2 R.O.: 5/A08.11 prints 2'-2 1/8" (26.4"), 7/A08.11 prints 2'-2 1/2". Confirm.</t>
        </is>
      </c>
      <c r="C14" s="7" t="inlineStr">
        <is>
          <t>header/sill (R.O. + 1'-4") x pieces: 3/8" x (4 + 2) = 0.19 LF</t>
        </is>
      </c>
    </row>
    <row r="15" ht="15" customHeight="1" s="8">
      <c r="A15" s="7" t="inlineStr">
        <is>
          <t>RFI-ATM2-SISTER</t>
        </is>
      </c>
      <c r="B15" s="7" t="inlineStr">
        <is>
          <t>CLOSED - 6/A08.11 sistered 2 1/2" metal studs + furring at the drive-up ATM-2 recess: quantity set by Estimator decision 2026-10-23.</t>
        </is>
      </c>
      <c r="C15" s="7" t="inlineStr">
        <is>
          <t>carried 49.87 LF extra framing ATM recess (29A carried 23.00 LF: +26.87 LF)</t>
        </is>
      </c>
    </row>
    <row r="16" ht="15" customHeight="1" s="8">
      <c r="A16" s="7" t="inlineStr">
        <is>
          <t>RFI-VEST-BOX</t>
        </is>
      </c>
      <c r="B16" s="7" t="inlineStr">
        <is>
          <t>Vestibule glass VEST-GL-1 / VEST-GL-2: 4-7/A12.10 'METAL STUD FRAMING &amp; BOX HEADER AS NEEDED' with no box size. Confirm box beam size.</t>
        </is>
      </c>
      <c r="C16" s="7" t="inlineStr">
        <is>
          <t>carried box 4 pieces 3-5/8" (E11): (15.646 + 1.333) x 4 + (6.417 + 1.333) x 4 = 98.9 LF; 0 if not needed</t>
        </is>
      </c>
    </row>
    <row r="17" ht="15" customHeight="1" s="8">
      <c r="A17" s="7" t="inlineStr">
        <is>
          <t>RFI-01</t>
        </is>
      </c>
      <c r="B17" s="7" t="inlineStr">
        <is>
          <t>Coiling grille 103: A00.30 height 13'-6 1/2" vs 2/A08.21 head at 10'-0" (8/A11.01). Confirm head.</t>
        </is>
      </c>
      <c r="C17" s="7" t="inlineStr">
        <is>
          <t>grille head stud and board per 4/A08.21 chain; head at 13'-6 1/2" would remove the 2 1/2" infill above the lower box</t>
        </is>
      </c>
    </row>
    <row r="18" ht="15" customHeight="1" s="8">
      <c r="A18" s="7" t="inlineStr">
        <is>
          <t>RFI-04</t>
        </is>
      </c>
      <c r="B18" s="7" t="inlineStr">
        <is>
          <t>Office fronts: CONT. BOX BEAM (8/A12.01, 9/A12.01) carried as ONE continuous run per front line, first to last jamb (E line 39.97 ft, W line 18.51 ft). Confirm it is continuous across the G partitions between offices and whether it ends at the jamb or at the 4" stub face.</t>
        </is>
      </c>
      <c r="C18" s="7" t="inlineStr">
        <is>
          <t>per front: (L + 1.333) x 4; if per opening only (6 x (7.5 + 1.333) x 4 = 212.0 LF) vs continuous (41.30 + 19.84) x 4 = 244.6 LF; to the 4" stub faces +0.333 x 4 per end</t>
        </is>
      </c>
    </row>
    <row r="19" ht="15" customHeight="1" s="8">
      <c r="A19" s="7" t="inlineStr">
        <is>
          <t>RFI-08</t>
        </is>
      </c>
      <c r="B19" s="7" t="inlineStr">
        <is>
          <t>CASH-1 teller line opening 12'-0 1/4" (1/A12.08): 9/A12.08 draws a 3 5/8" stud soffit with FRT blocking and no header; span exceeds 7/S5.20 max 8'-0". Header required?</t>
        </is>
      </c>
      <c r="C19" s="7" t="inlineStr">
        <is>
          <t>not carried; a box beam 4 pieces would add (12.021 + 1.333) x 4 = 53.4 LF</t>
        </is>
      </c>
    </row>
    <row r="20" ht="15" customHeight="1" s="8">
      <c r="A20" s="7" t="inlineStr">
        <is>
          <t>RFI-OF-BOX</t>
        </is>
      </c>
      <c r="B20" s="7" t="inlineStr">
        <is>
          <t>Office front CONT. BOX BEAM size not dimensioned (8/A12.01 drawn ~5" x 5"). Confirm members.</t>
        </is>
      </c>
      <c r="C20" s="7" t="inlineStr">
        <is>
          <t>bulkhead stud height carried from top of the drawn box (8'-7"); +/- 1" box = +/- 0.08 ft per stud</t>
        </is>
      </c>
    </row>
    <row r="21" ht="15" customHeight="1" s="8">
      <c r="A21" s="7" t="inlineStr">
        <is>
          <t>RFI-D4-02</t>
        </is>
      </c>
      <c r="B21" s="7" t="inlineStr">
        <is>
          <t>Parapet: 11/S5.10 HSS 5x5x1/4 posts @ 5'-0" max with 600S162-54 infill @ 16"; architectural sections show the 6" stud continuous to T/STUD. Confirm infill by bay between posts.</t>
        </is>
      </c>
      <c r="C21" s="7" t="inlineStr">
        <is>
          <t>carried bay by bay (E3, 5 studs per bay min) x (T/STUD - B.O.D.)</t>
        </is>
      </c>
    </row>
    <row r="22" ht="15" customHeight="1" s="8">
      <c r="A22" s="7" t="inlineStr">
        <is>
          <t>RFI-D4-W2</t>
        </is>
      </c>
      <c r="B22" s="7" t="inlineStr">
        <is>
          <t>Canopy band on the grid D jog (W2, 3'-10 1/2") under the drive-up canopy: confirm glass mat band.</t>
        </is>
      </c>
      <c r="C22" s="7" t="inlineStr">
        <is>
          <t>carried 3.875 x 1.271 = 4.93 SF glass mat</t>
        </is>
      </c>
    </row>
    <row r="23" ht="15" customHeight="1" s="8">
      <c r="A23" s="7" t="inlineStr">
        <is>
          <t>RFI-CANOPY-DIR</t>
        </is>
      </c>
      <c r="B23" s="7" t="inlineStr">
        <is>
          <t>Canopy soffit framing direction not drawn (16/A09.27). Carried joists spanning wall to fascia (user decision #13, track at both ends).</t>
        </is>
      </c>
      <c r="C23" s="7" t="inlineStr">
        <is>
          <t>drive-up W legs: joists E-W 17.1 / 21.0 ft long; if N-S, joists 33.4 / 22.1 ft long and the count changes</t>
        </is>
      </c>
    </row>
    <row r="24" ht="15" customHeight="1" s="8">
      <c r="A24" s="7" t="inlineStr">
        <is>
          <t>RFI-ROOFSTEP</t>
        </is>
      </c>
      <c r="B24" s="7" t="inlineStr">
        <is>
          <t>Roof step at grid B (4/A02.02, 9/S5.10): no printed heights. Carried the detail measured to scale (scale verified: T/STEEL lines 2.319 ft vs S2.20 2.323): wall above the low roof 3.112 ft; bulkhead under the high deck two stud rows 3.460 / 1.131 ft + bottom 1.291 ft. Confirm.</t>
        </is>
      </c>
      <c r="C24" s="7" t="inlineStr">
        <is>
          <t>vs one row at the deck step 2.323 ft each: about -124 LF 3-5/8" stud, -103 LF track, -64 SF GWB, -41 SF nailbase</t>
        </is>
      </c>
    </row>
    <row r="25" ht="15" customHeight="1" s="8">
      <c r="A25" s="7" t="inlineStr">
        <is>
          <t>RFI-CEIL-SYS</t>
        </is>
      </c>
      <c r="B25" s="7" t="inlineStr">
        <is>
          <t>GB ceilings (Vestibule 100, 24 HR Vestibule 101, Waiting 104, Restrooms 113/114): no suspension detail in the set. Carried 7/8" furring @ 16" on 1-1/2" carrying @ 48" with hangers @ 48" (E14).</t>
        </is>
      </c>
      <c r="C25" s="7" t="inlineStr">
        <is>
          <t>if framed with 3-5/8" stud joists (6/A09.33 fixture detail) the furring becomes stud joists of the same count</t>
        </is>
      </c>
    </row>
    <row r="26" ht="15" customHeight="1" s="8">
      <c r="A26" s="7" t="inlineStr">
        <is>
          <t>RFI-D3-09</t>
        </is>
      </c>
      <c r="B26" s="7" t="inlineStr">
        <is>
          <t>ACT 11'-6" / 9'-0" step in front of the CSR line (A04.01, 5'-1" long): no detail called. Carried as a bulkhead per 8/A09.33 to structure.</t>
        </is>
      </c>
      <c r="C26" s="7" t="inlineStr">
        <is>
          <t>studs ROUNDUP(5.093/1.333)+1 = 5 x 6.375 = 31.9 LF + track; 0 if ACT wall angle only</t>
        </is>
      </c>
    </row>
    <row r="27" ht="15" customHeight="1" s="8">
      <c r="A27" s="7" t="inlineStr">
        <is>
          <t>RFI-CEIL-DIR</t>
        </is>
      </c>
      <c r="B27" s="7" t="inlineStr">
        <is>
          <t>Carrying channel direction for the GB ceilings is not printed.</t>
        </is>
      </c>
      <c r="C27" s="7" t="inlineStr">
        <is>
          <t>carried E-W (more material, 53.3): carrying 326.9 LF / hangers 113 pcs; N-S: 321.0 LF / 113 pcs</t>
        </is>
      </c>
    </row>
    <row r="28" ht="15" customHeight="1" s="8">
      <c r="A28" s="7" t="inlineStr">
        <is>
          <t>RFI-CSR-PLY</t>
        </is>
      </c>
      <c r="B28" s="7" t="inlineStr">
        <is>
          <t>CSR soffit: 9/A12.08 labels 5/8" FIRE TREATED PLYWOOD BLOCKING across the soffit bottom; 10/A09.33 draws 2 FRTW members. Carried 2 members (24.04 LF).</t>
        </is>
      </c>
      <c r="C28" s="7" t="inlineStr">
        <is>
          <t>full-width 5/8" FRT plywood = 3.4167 x 12.021 = 41.07 SF instead</t>
        </is>
      </c>
    </row>
    <row r="29" ht="15" customHeight="1" s="8">
      <c r="A29" s="7" t="inlineStr">
        <is>
          <t>RFI-BLK-TA</t>
        </is>
      </c>
      <c r="B29" s="7" t="inlineStr">
        <is>
          <t>Blocking length for toilet accessories / wall stops is not dimensioned. Carried grab bar length or one 16" stud bay per item.</t>
        </is>
      </c>
      <c r="C29" s="7" t="inlineStr">
        <is>
          <t>34 items; +/- 1.333 LF per item if a 32" piece is required</t>
        </is>
      </c>
    </row>
    <row r="30" ht="15" customHeight="1" s="8">
      <c r="A30" s="7" t="inlineStr">
        <is>
          <t>RFI-MW08</t>
        </is>
      </c>
      <c r="B30" s="7" t="inlineStr">
        <is>
          <t>MW08: 3/A12.04 'PRESSURE TREATED BLOCKING' vs millwork note D 'FRTW BLOCKING'. Carried FRT.</t>
        </is>
      </c>
      <c r="C30" s="7" t="inlineStr">
        <is>
          <t>7.583 LF moves between FRT and wood blocking</t>
        </is>
      </c>
    </row>
    <row r="31" ht="15" customHeight="1" s="8">
      <c r="A31" s="7" t="inlineStr">
        <is>
          <t>RFI-BLK-LOCKERS</t>
        </is>
      </c>
      <c r="B31" s="7" t="inlineStr">
        <is>
          <t>KN5 lockers blocking: locker width not dimensioned (HOLD box 4'-10 3/4").</t>
        </is>
      </c>
      <c r="C31" s="7" t="inlineStr">
        <is>
          <t>carried 4.889 LF metal blocking</t>
        </is>
      </c>
    </row>
    <row r="32" ht="15" customHeight="1" s="8">
      <c r="A32" s="7" t="inlineStr">
        <is>
          <t>RFI-KN6</t>
        </is>
      </c>
      <c r="B32" s="7" t="inlineStr">
        <is>
          <t>Electrical / NER plywood backboards (KN6): height not dimensioned. Carried 8'-0".</t>
        </is>
      </c>
      <c r="C32" s="7" t="inlineStr">
        <is>
          <t>32.39 LF x 1 ft = SF per foot of height</t>
        </is>
      </c>
    </row>
    <row r="33" ht="15" customHeight="1" s="8">
      <c r="A33" s="7" t="inlineStr">
        <is>
          <t>RFI-L5-WC20</t>
        </is>
      </c>
      <c r="B33" s="7" t="inlineStr">
        <is>
          <t>KN9/A05.01 WC-20 Level 5 in 24 HR Vestibule 101: the KN9 circle has no leader; the note 'PRIMER TINTED WITH P-15 BEHIND WC' sits by the diagonal ATM wall A-AN-01. Which wall gets WC-20 / Level 5?</t>
        </is>
      </c>
      <c r="C33" s="7" t="inlineStr">
        <is>
          <t>not carried; diagonal wall A-AN-01 face A: 17.458 x (10.0 - 0.333) - ATM 6.047 = +162.7 SF Level 5</t>
        </is>
      </c>
    </row>
    <row r="34" ht="15" customHeight="1" s="8">
      <c r="A34" s="7" t="inlineStr">
        <is>
          <t>RFI-SHEET</t>
        </is>
      </c>
      <c r="B34" s="7" t="inlineStr">
        <is>
          <t>Gypsum board sheet length for the 4/S5.20 edge blocking is not printed. Carried 12'-0".</t>
        </is>
      </c>
      <c r="C34" s="7" t="inlineStr">
        <is>
          <t>faces taller than 10'-0" / 8'-0" would add one blocking row each if shorter sheets are used</t>
        </is>
      </c>
    </row>
    <row r="35" ht="15" customHeight="1" s="8">
      <c r="A35" s="7" t="inlineStr">
        <is>
          <t>RFI-RATED</t>
        </is>
      </c>
      <c r="B35" s="7" t="inlineStr">
        <is>
          <t>Fire dampers FD-1..FD-4 (M01.01) sit in the type B walls of ELECTRICAL 120 and NER 121, but A12.01 gives no fire rating or UL design. Are these partitions rated (type X board, rated joints)?</t>
        </is>
      </c>
      <c r="C35" s="7" t="inlineStr">
        <is>
          <t>board type change only (5/8" regular -&gt; type X) on the B walls of rooms 120 / 121</t>
        </is>
      </c>
    </row>
    <row r="36" ht="15" customHeight="1" s="8">
      <c r="A36" s="7" t="inlineStr">
        <is>
          <t>RFI-ELEV</t>
        </is>
      </c>
      <c r="B36" s="7" t="inlineStr">
        <is>
          <t>Elevation titles inverted: 1/A09.01 titled SOUTH shows the north face (grid F/G); 2/A09.02 titled NORTH shows the south face (grid A).</t>
        </is>
      </c>
      <c r="C36" s="7" t="inlineStr">
        <is>
          <t>no quantity change (faces assigned by plan callout + north arrow)</t>
        </is>
      </c>
    </row>
    <row r="37" ht="15" customHeight="1" s="8">
      <c r="A37" s="7" t="inlineStr">
        <is>
          <t>RFI-D6-01</t>
        </is>
      </c>
      <c r="B37" s="7" t="inlineStr">
        <is>
          <t>G / G1 demising walls between offices (A-AN-06, A-AN-16, A-AN-17, A-AN-18, A-AS-01, A-AS-19, B-BN-07): 5/A12.01 shows the 2 layers 5/8" GWB rising above "SCHEDULED CEILING" to an unlabeled top line; 9/A12.01 and 10/A12.01 print "2 LAYERS 5/8" GYPSUM WALL BOARD TO EXTEND TO UNDERSIDE OF DECK" only for the bulkhead over the office front and the jamb stubs. Do the demising G/G1 boards go to the underside of deck (15'-4 1/2") or to scheduled ceiling + 6" (9'-6" in the offices, 9'-0" ATM side, 9'-0" Women's side)?</t>
        </is>
      </c>
      <c r="C37" s="7" t="inlineStr">
        <is>
          <t>board SF (all layers, both faces) deck vs ceiling+6": 1914.0 SF</t>
        </is>
      </c>
    </row>
    <row r="38" ht="15" customHeight="1" s="8">
      <c r="A38" s="7" t="inlineStr">
        <is>
          <t>RFI-D6-02</t>
        </is>
      </c>
      <c r="B38" s="7" t="inlineStr">
        <is>
          <t>C1 (6/A12.01) GWB face height: the detail is cut with a break line and gives no top. Applies to the restroom chase linings R-21-1/R-21-2 (5/8" MR), the C1 fur-out A-AN-13 (waiting display wall), the column enclosures A-AN-02/A-AN-08, the storefront pier linings R-16-1/R-17-1 and the FCAM box A-AS-16. Ceiling + 6" or underside of deck?</t>
        </is>
      </c>
      <c r="C38" s="7" t="inlineStr">
        <is>
          <t>GWB SF deck vs ceiling+6": 198.8 SF</t>
        </is>
      </c>
    </row>
    <row r="39" ht="15" customHeight="1" s="8">
      <c r="A39" s="7" t="inlineStr">
        <is>
          <t>RFI-D6-03</t>
        </is>
      </c>
      <c r="B39" s="7" t="inlineStr">
        <is>
          <t>Teller pod (CASH WINDOW 116): the K-type closures have no exposed customer face. B-BS-31 (A1K, N closure) sits 4.92 pt (~3-1/4") from the G wall A-AS-19 (gap rectangle drawn x 1661.76-1708.08) and abuts B2K A-AS-18; A-AS-15 (A1K, S closure) abuts C1 A-AS-16 (FUTURE FCAM) face to face. Which face receives the 3/8" ballistic panel + 5/8" GWB (customer side) and can the G south face (2.98 LF) and the A1K north face be boarded in a ~3" gap?</t>
        </is>
      </c>
      <c r="C39" s="7" t="inlineStr">
        <is>
          <t>B-BS-31 A 3.417 LF + A-AS-15 B 3.333 LF of ballistic + 5/8" to deck (customer build-up) vs teller side; G A-AS-19 B 2.98 LF x 2 layers to deck or none</t>
        </is>
      </c>
    </row>
    <row r="40" ht="15" customHeight="1" s="8">
      <c r="A40" s="7" t="inlineStr">
        <is>
          <t>RFI-D6-04</t>
        </is>
      </c>
      <c r="B40" s="7" t="inlineStr">
        <is>
          <t>Partition type F (12/A12.01) ATM LOBBY side: the 5/8" GWB over 3/4" FRT plywood is drawn stopping under the lobby gyp ceiling (no dimension) while the plywood runs "EXTEND TO DECK ABOVE". Confirm the lobby GWB stops at the 24 HR VESTIBULE GB ceiling (10'-0") and is not carried to deck.</t>
        </is>
      </c>
      <c r="C40" s="7" t="inlineStr">
        <is>
          <t>A-AN-01 side A: 17.458 LF x (15.375 - 10.0) = 93.8 SF of 5/8" GWB</t>
        </is>
      </c>
    </row>
    <row r="41" ht="15" customHeight="1" s="8">
      <c r="A41" s="7" t="inlineStr">
        <is>
          <t>RFI-D6-05</t>
        </is>
      </c>
      <c r="B41" s="7" t="inlineStr">
        <is>
          <t>Deck height between grid E and grid B (S2.20 "@ LOW ROOF" under W16x31 at grid E without B.O.D., D2 RFI-D2-06 / D3 D3-RFI-02). All faces N of grid B were taken at B.O.D. 15'-4 1/2" (H/A09.23 T/STEEL 15'-4 1/2" at D-B). If E-B is low roof, every deck face between y 734.1 and 1244.4 drops ~2.3 ft.</t>
        </is>
      </c>
      <c r="C41" s="7" t="inlineStr">
        <is>
          <t>all deck-height faces between grid E and grid B (B2 A-AN-03, B2K A-AS-18, A1K B-BS-31, EXT faces of Offices 5/6 and Office 4 / Cash Window N part, A1 faces in MW01 alcove, G jamb stubs A-AN-05/07/22, R-6-1) up to ~2.32 ft each</t>
        </is>
      </c>
    </row>
    <row r="42" ht="15" customHeight="1" s="8">
      <c r="A42" s="7" t="inlineStr">
        <is>
          <t>RFI-D6-06</t>
        </is>
      </c>
      <c r="B42" s="7" t="inlineStr">
        <is>
          <t>A1 A-AN-11 north face is covered for 10.0 LF (x 1287.24-1467.24) by the C1 fur-out A-AN-13 (display wall, keynote 7). Is the A1 board installed behind the fur-out (C1 "block partition" side) or omitted there?</t>
        </is>
      </c>
      <c r="C42" s="7" t="inlineStr">
        <is>
          <t>10.0 LF x 11.5 ft = 115 SF of 5/8" GWB</t>
        </is>
      </c>
    </row>
    <row r="43" ht="15" customHeight="1" s="8">
      <c r="A43" s="7" t="inlineStr">
        <is>
          <t>RFI-D6-07</t>
        </is>
      </c>
      <c r="B43" s="7" t="inlineStr">
        <is>
          <t>MW01 printer-cabinet alcove (x 1223.88-1271.16, y 974.76-1031.04): A04.01 places key note 1 "OPEN TO STRUCTURE ABOVE" inside it (not listed in D3). The A1 faces inside (A-AN-12 S, A-AN-14 W, A-AS-06 N, A-AS-04 N end) were taken to deck (15'-4 1/2"). Confirm (vs ceiling of the adjacent CENTRAL ZONE 11'-6" + 6").</t>
        </is>
      </c>
      <c r="C43" s="7" t="inlineStr">
        <is>
          <t>(2.543 + 3.127 + 2.02 + 0.607) LF x (15.375 - 12.0) = 28.0 SF</t>
        </is>
      </c>
    </row>
    <row r="44" ht="15" customHeight="1" s="8">
      <c r="A44" s="7" t="inlineStr">
        <is>
          <t>RFI-D6-08</t>
        </is>
      </c>
      <c r="B44" s="7" t="inlineStr">
        <is>
          <t>Faces inside the restroom plumbing chase (between C1 R-21-1 and R-21-2): EXT R-EXT-W3-1 interior face (1.08 LF) and the A1 ends A-AS-32/A-AS-33 (0.54 LF each) face the closed cavity. Board required there ("5/8" GYP. BOARD @ PERIMETER EXTERIOR WALL TO DECK" / A1 both faces) or omitted?</t>
        </is>
      </c>
      <c r="C44" s="7" t="inlineStr">
        <is>
          <t>(1.08 + 0.54 + 0.54) LF x ~12.9 ft = 27.9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7" min="1" max="1"/>
    <col width="12" customWidth="1" style="7" min="2" max="2"/>
    <col width="14" customWidth="1" style="7" min="3" max="3"/>
    <col width="60" customWidth="1" style="7" min="4" max="4"/>
    <col width="16" customWidth="1" style="7" min="5" max="5"/>
    <col width="60" customWidth="1" style="7" min="6" max="6"/>
  </cols>
  <sheetData>
    <row r="1" ht="15" customHeight="1" s="8">
      <c r="A1" s="7" t="inlineStr">
        <is>
          <t>7 questions in total, asked ONE at a time in this order: floor plan (partition types A-Z), then the details the floor plan calls, in order</t>
        </is>
      </c>
    </row>
    <row r="2" ht="15" customHeight="1" s="8">
      <c r="A2" s="7" t="inlineStr">
        <is>
          <t>#</t>
        </is>
      </c>
      <c r="B2" s="7" t="inlineStr">
        <is>
          <t>Phase</t>
        </is>
      </c>
      <c r="C2" s="7" t="inlineStr">
        <is>
          <t>Type / order</t>
        </is>
      </c>
      <c r="D2" s="7" t="inlineStr">
        <is>
          <t>Item</t>
        </is>
      </c>
      <c r="E2" s="7" t="inlineStr">
        <is>
          <t>Sheet + detail</t>
        </is>
      </c>
      <c r="F2" s="7" t="inlineStr">
        <is>
          <t>Image</t>
        </is>
      </c>
    </row>
    <row r="3" ht="15" customHeight="1" s="8">
      <c r="A3" s="7" t="inlineStr">
        <is>
          <t>1/7</t>
        </is>
      </c>
      <c r="B3" s="7" t="inlineStr">
        <is>
          <t>Floor plan</t>
        </is>
      </c>
      <c r="C3" s="7" t="inlineStr">
        <is>
          <t>B2K</t>
        </is>
      </c>
      <c r="D3" s="7" t="inlineStr">
        <is>
          <t>B2K tag (A-AS-18) is not in the A12.01 schedule: carried as B2 (6") + ballistic customer face (4/A12.01). Length 1'-9 1/4" per Estimator decision 2026-10-23 (29A hatch reading 1'-6"). Confirm type.</t>
        </is>
      </c>
      <c r="E3" s="7" t="inlineStr">
        <is>
          <t>4/A12.01</t>
        </is>
      </c>
      <c r="F3" s="7" t="inlineStr">
        <is>
          <t>/home/user/boa29a/work/etapas/2_lectura/A_hechos/img/D2/A02.01_B2K_tag.png</t>
        </is>
      </c>
    </row>
    <row r="4" ht="15" customHeight="1" s="8">
      <c r="A4" s="7" t="inlineStr">
        <is>
          <t>2/7</t>
        </is>
      </c>
      <c r="B4" s="7" t="inlineStr">
        <is>
          <t>Floor plan</t>
        </is>
      </c>
      <c r="C4" s="7" t="inlineStr">
        <is>
          <t>C1</t>
        </is>
      </c>
      <c r="D4" s="7" t="inlineStr">
        <is>
          <t>C1 lining height not labeled (6/A12.01 break line): carried to deck. Ceiling + 6" alternative in RFI-D6-02.</t>
        </is>
      </c>
      <c r="E4" s="7" t="inlineStr">
        <is>
          <t>6/A12.01</t>
        </is>
      </c>
      <c r="F4" s="7" t="inlineStr">
        <is>
          <t>/home/user/boa29a/work/etapas/2_lectura/A_hechos/img/D2/A12.01_d6_C1.png</t>
        </is>
      </c>
    </row>
    <row r="5" ht="15" customHeight="1" s="8">
      <c r="A5" s="7" t="inlineStr">
        <is>
          <t>3/7</t>
        </is>
      </c>
      <c r="B5" s="7" t="inlineStr">
        <is>
          <t>Floor plan</t>
        </is>
      </c>
      <c r="C5" s="7" t="inlineStr">
        <is>
          <t>EXT</t>
        </is>
      </c>
      <c r="D5" s="7" t="inlineStr">
        <is>
          <t>Exterior studs carried stopping under the perimeter beam (6/S5.10, 10/S5.10) + parapet infill by bay (11/S5.10); architecture runs the 6" stud to T/STUD (RFI-EXT-STOP). Grid 2 and grid 3 N lines carry two beams (CANOPY / HI): carried under (HI).</t>
        </is>
      </c>
      <c r="E5" s="7" t="inlineStr">
        <is>
          <t>6/S5.10</t>
        </is>
      </c>
      <c r="F5" s="7" t="inlineStr">
        <is>
          <t>/home/user/boa29a/work/etapas/2_lectura/A_hechos/img/D2/S5.10_d10_d6_perimeter.png</t>
        </is>
      </c>
    </row>
    <row r="6" ht="15" customHeight="1" s="8">
      <c r="A6" s="7" t="inlineStr">
        <is>
          <t>4/7</t>
        </is>
      </c>
      <c r="B6" s="7" t="inlineStr">
        <is>
          <t>Floor plan</t>
        </is>
      </c>
      <c r="C6" s="7" t="inlineStr">
        <is>
          <t>G</t>
        </is>
      </c>
      <c r="D6" s="7" t="inlineStr">
        <is>
          <t>G / G1 demising board height (5/A12.01 unlabeled top): carried to deck, alternative ceiling + 6" (RFI-D6-01, about 1,914 SF).</t>
        </is>
      </c>
      <c r="E6" s="7" t="inlineStr">
        <is>
          <t>5/A12.01</t>
        </is>
      </c>
      <c r="F6" s="7" t="inlineStr">
        <is>
          <t>/home/user/boa29a/work/etapas/2_lectura/A_hechos/img/D2/A12.01_d5_G_G1.png</t>
        </is>
      </c>
    </row>
    <row r="7" ht="15" customHeight="1" s="8">
      <c r="A7" s="7" t="inlineStr">
        <is>
          <t>5/7</t>
        </is>
      </c>
      <c r="B7" s="7" t="inlineStr">
        <is>
          <t>Detail</t>
        </is>
      </c>
      <c r="C7" s="7" t="n">
        <v>1</v>
      </c>
      <c r="D7" s="7" t="inlineStr">
        <is>
          <t>Office front CONT. BOX BEAM carried as one run per front line, first to last jamb (8/A12.01, 9/A12.01; RFI-04).</t>
        </is>
      </c>
      <c r="E7" s="7" t="inlineStr">
        <is>
          <t>8/A12.01</t>
        </is>
      </c>
      <c r="F7" s="7" t="inlineStr">
        <is>
          <t>/home/user/boa29a/work/etapas/2_lectura/A_hechos/img/D1/A0201_office_fronts_marked.png</t>
        </is>
      </c>
    </row>
    <row r="8" ht="15" customHeight="1" s="8">
      <c r="A8" s="7" t="inlineStr">
        <is>
          <t>6/7</t>
        </is>
      </c>
      <c r="B8" s="7" t="inlineStr">
        <is>
          <t>Detail</t>
        </is>
      </c>
      <c r="C8" s="7" t="n">
        <v>2</v>
      </c>
      <c r="D8" s="7" t="inlineStr">
        <is>
          <t>Roof step at grid B (4/A02.02): wall height above the low roof not dimensioned; carried at the deck step 2'-3 7/8" (RFI-ROOFSTEP).</t>
        </is>
      </c>
      <c r="E8" s="7" t="inlineStr">
        <is>
          <t>4/A02.02</t>
        </is>
      </c>
      <c r="F8" s="7" t="inlineStr">
        <is>
          <t>/home/user/boa29a/work/etapas/2_lectura/A_hechos/img/D4/4_A0202_roof_step.png</t>
        </is>
      </c>
    </row>
    <row r="9" ht="15" customHeight="1" s="8">
      <c r="A9" s="7" t="inlineStr">
        <is>
          <t>7/7</t>
        </is>
      </c>
      <c r="B9" s="7" t="inlineStr">
        <is>
          <t>Detail</t>
        </is>
      </c>
      <c r="C9" s="7" t="n">
        <v>3</v>
      </c>
      <c r="D9" s="7" t="inlineStr">
        <is>
          <t>Canopy soffit framing direction not drawn (16/A09.27): carried joists wall to fascia (user decision #13).</t>
        </is>
      </c>
      <c r="E9" s="7" t="inlineStr">
        <is>
          <t>16/A09.27</t>
        </is>
      </c>
      <c r="F9" s="7" t="inlineStr">
        <is>
          <t>/home/user/boa29a/work/etapas/2_lectura/A_hechos/img/D4/16_A0927_driveup_canopy.png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7" min="1" max="1"/>
    <col width="60" customWidth="1" style="7" min="2" max="2"/>
    <col width="16" customWidth="1" style="7" min="3" max="3"/>
    <col width="60" customWidth="1" style="7" min="4" max="4"/>
  </cols>
  <sheetData>
    <row r="1" ht="15" customHeight="1" s="8">
      <c r="A1" s="7" t="inlineStr">
        <is>
          <t>Scope ID</t>
        </is>
      </c>
      <c r="B1" s="7" t="inlineStr">
        <is>
          <t>Scope</t>
        </is>
      </c>
      <c r="C1" s="7" t="inlineStr">
        <is>
          <t>Status</t>
        </is>
      </c>
      <c r="D1" s="7" t="inlineStr">
        <is>
          <t>Note (quantity, NOT APPLICABLE + sheet, or RFI)</t>
        </is>
      </c>
    </row>
    <row r="2" ht="15" customHeight="1" s="8">
      <c r="A2" s="7" t="inlineStr">
        <is>
          <t>ALC-01</t>
        </is>
      </c>
      <c r="B2" s="7" t="inlineStr">
        <is>
          <t>Interior partition framing (studs + tracks)</t>
        </is>
      </c>
      <c r="C2" s="7" t="inlineStr">
        <is>
          <t>QUANTIFIED</t>
        </is>
      </c>
      <c r="D2" s="7" t="inlineStr">
        <is>
          <t>Partition Takeoff + studs / tracks (familias_out.json)</t>
        </is>
      </c>
    </row>
    <row r="3" ht="15" customHeight="1" s="8">
      <c r="A3" s="7" t="inlineStr">
        <is>
          <t>ALC-02</t>
        </is>
      </c>
      <c r="B3" s="7" t="inlineStr">
        <is>
          <t>Exterior wall framing (CFMF)</t>
        </is>
      </c>
      <c r="C3" s="7" t="inlineStr">
        <is>
          <t>QUANTIFIED</t>
        </is>
      </c>
      <c r="D3" s="7" t="inlineStr">
        <is>
          <t>EXT-6CFMF walls, 6" stud (C/A09.21, 6/S5.10)</t>
        </is>
      </c>
    </row>
    <row r="4" ht="15" customHeight="1" s="8">
      <c r="A4" s="7" t="inlineStr">
        <is>
          <t>ALC-03</t>
        </is>
      </c>
      <c r="B4" s="7" t="inlineStr">
        <is>
          <t>Parapet framing</t>
        </is>
      </c>
      <c r="C4" s="7" t="inlineStr">
        <is>
          <t>QUANTIFIED</t>
        </is>
      </c>
      <c r="D4" s="7" t="inlineStr">
        <is>
          <t>6" parapet infill by bay (11/S5.10, E3)</t>
        </is>
      </c>
    </row>
    <row r="5" ht="15" customHeight="1" s="8">
      <c r="A5" s="7" t="inlineStr">
        <is>
          <t>ALC-04</t>
        </is>
      </c>
      <c r="B5" s="7" t="inlineStr">
        <is>
          <t>Top / deflection and bottom track</t>
        </is>
      </c>
      <c r="C5" s="7" t="inlineStr">
        <is>
          <t>QUANTIFIED</t>
        </is>
      </c>
      <c r="D5" s="7" t="inlineStr">
        <is>
          <t>bottom + top / deflection track (corridas)</t>
        </is>
      </c>
    </row>
    <row r="6" ht="15" customHeight="1" s="8">
      <c r="A6" s="7" t="inlineStr">
        <is>
          <t>ALC-05</t>
        </is>
      </c>
      <c r="B6" s="7" t="inlineStr">
        <is>
          <t>Headers, sills and jambs at openings</t>
        </is>
      </c>
      <c r="C6" s="7" t="inlineStr">
        <is>
          <t>QUANTIFIED</t>
        </is>
      </c>
      <c r="D6" s="7" t="inlineStr">
        <is>
          <t>header / box beam by pieces + sill track (headers.py, 7/S5.20, 2/S5.20)</t>
        </is>
      </c>
    </row>
    <row r="7" ht="15" customHeight="1" s="8">
      <c r="A7" s="7" t="inlineStr">
        <is>
          <t>ALC-06</t>
        </is>
      </c>
      <c r="B7" s="7" t="inlineStr">
        <is>
          <t>Bracing / bridging</t>
        </is>
      </c>
      <c r="C7" s="7" t="inlineStr">
        <is>
          <t>QUANTIFIED</t>
        </is>
      </c>
      <c r="D7" s="7" t="inlineStr">
        <is>
          <t>bracing 1-1/2" C.R. @ 48" (1F/S5.20)</t>
        </is>
      </c>
    </row>
    <row r="8" ht="15" customHeight="1" s="8">
      <c r="A8" s="7" t="inlineStr">
        <is>
          <t>ALC-07</t>
        </is>
      </c>
      <c r="B8" s="7" t="inlineStr">
        <is>
          <t>Gypsum board on walls (layers per type)</t>
        </is>
      </c>
      <c r="C8" s="7" t="inlineStr">
        <is>
          <t>QUANTIFIED</t>
        </is>
      </c>
      <c r="D8" s="7" t="inlineStr">
        <is>
          <t>board face by face (board_caras.py, A12.01)</t>
        </is>
      </c>
    </row>
    <row r="9" ht="15" customHeight="1" s="8">
      <c r="A9" s="7" t="inlineStr">
        <is>
          <t>ALC-08</t>
        </is>
      </c>
      <c r="B9" s="7" t="inlineStr">
        <is>
          <t>Moisture / abuse / special board at wet zones</t>
        </is>
      </c>
      <c r="C9" s="7" t="inlineStr">
        <is>
          <t>QUANTIFIED</t>
        </is>
      </c>
      <c r="D9" s="7" t="inlineStr">
        <is>
          <t>5/8" MR behind toilet and lavatory only (F/A08.01)</t>
        </is>
      </c>
    </row>
    <row r="10" ht="15" customHeight="1" s="8">
      <c r="A10" s="7" t="inlineStr">
        <is>
          <t>ALC-09</t>
        </is>
      </c>
      <c r="B10" s="7" t="inlineStr">
        <is>
          <t>Exterior gypsum / glass mat sheathing</t>
        </is>
      </c>
      <c r="C10" s="7" t="inlineStr">
        <is>
          <t>QUANTIFIED</t>
        </is>
      </c>
      <c r="D10" s="7" t="inlineStr">
        <is>
          <t>glass mat base + canopy band; exterior gyp sheathing roof side of parapets (5/A09.26, 4/A09.26); glass mat only where a detail labels it: the drive-up canopy 15/A09.27 carries no glass mat (Estimator decision 2026-10-23)</t>
        </is>
      </c>
    </row>
    <row r="11" ht="15" customHeight="1" s="8">
      <c r="A11" s="7" t="inlineStr">
        <is>
          <t>ALC-10</t>
        </is>
      </c>
      <c r="B11" s="7" t="inlineStr">
        <is>
          <t>FRT plywood sheathing / substrate</t>
        </is>
      </c>
      <c r="C11" s="7" t="inlineStr">
        <is>
          <t>QUANTIFIED</t>
        </is>
      </c>
      <c r="D11" s="7" t="inlineStr">
        <is>
          <t>FRT plywood by material and use (nailbase, canopy, substrate, pier, KN6)</t>
        </is>
      </c>
    </row>
    <row r="12" ht="15" customHeight="1" s="8">
      <c r="A12" s="7" t="inlineStr">
        <is>
          <t>ALC-11</t>
        </is>
      </c>
      <c r="B12" s="7" t="inlineStr">
        <is>
          <t>Gypsum board ceilings</t>
        </is>
      </c>
      <c r="C12" s="7" t="inlineStr">
        <is>
          <t>QUANTIFIED</t>
        </is>
      </c>
      <c r="D12" s="7" t="inlineStr">
        <is>
          <t>GB ceilings A04.01 (Vestibules 100/101, Waiting 104, Restrooms 113/114, CSR soffit)</t>
        </is>
      </c>
    </row>
    <row r="13" ht="15" customHeight="1" s="8">
      <c r="A13" s="7" t="inlineStr">
        <is>
          <t>ALC-12</t>
        </is>
      </c>
      <c r="B13" s="7" t="inlineStr">
        <is>
          <t>Ceiling suspension (furring / carrying channel / hanger wire / ceiling track)</t>
        </is>
      </c>
      <c r="C13" s="7" t="inlineStr">
        <is>
          <t>RFI</t>
        </is>
      </c>
      <c r="D13" s="7" t="inlineStr">
        <is>
          <t>furring + carrying + hanger wire carried; system not detailed (RFI-CEIL-SYS, RFI-CEIL-DIR) A04.01</t>
        </is>
      </c>
    </row>
    <row r="14" ht="15" customHeight="1" s="8">
      <c r="A14" s="7" t="inlineStr">
        <is>
          <t>ALC-13</t>
        </is>
      </c>
      <c r="B14" s="7" t="inlineStr">
        <is>
          <t>Soffits and bulkheads (framing + board)</t>
        </is>
      </c>
      <c r="C14" s="7" t="inlineStr">
        <is>
          <t>QUANTIFIED</t>
        </is>
      </c>
      <c r="D14" s="7" t="inlineStr">
        <is>
          <t>CSR framed soffit 10/A09.33: 3-5/8" vertical studs @ 16" O.C. + 2 tracks (top and bottom) full length, PLUS horizontal 3-5/8" joists as drawn (48.08 LF) (Estimator decision 2026-10-23, Rev 1); bulkhead 8/A09.33, office front bulkheads 8/A12.01, transitions 7/A09.33</t>
        </is>
      </c>
    </row>
    <row r="15" ht="15" customHeight="1" s="8">
      <c r="A15" s="7" t="inlineStr">
        <is>
          <t>ALC-14</t>
        </is>
      </c>
      <c r="B15" s="7" t="inlineStr">
        <is>
          <t>Canopy / marquee framing and sheathing</t>
        </is>
      </c>
      <c r="C15" s="7" t="inlineStr">
        <is>
          <t>QUANTIFIED</t>
        </is>
      </c>
      <c r="D15" s="7" t="inlineStr">
        <is>
          <t>canopy joists, fascia box, canopy soffit track, ext. FRT plywood (16/A09.27)</t>
        </is>
      </c>
    </row>
    <row r="16" ht="15" customHeight="1" s="8">
      <c r="A16" s="7" t="inlineStr">
        <is>
          <t>ALC-15</t>
        </is>
      </c>
      <c r="B16" s="7" t="inlineStr">
        <is>
          <t>Column furring / wraps</t>
        </is>
      </c>
      <c r="C16" s="7" t="inlineStr">
        <is>
          <t>QUANTIFIED</t>
        </is>
      </c>
      <c r="D16" s="7" t="inlineStr">
        <is>
          <t>canopy column wraps 5/A09.25, storefront piers 1/A09.25 2/A09.25</t>
        </is>
      </c>
    </row>
    <row r="17" ht="15" customHeight="1" s="8">
      <c r="A17" s="7" t="inlineStr">
        <is>
          <t>ALC-16</t>
        </is>
      </c>
      <c r="B17" s="7" t="inlineStr">
        <is>
          <t>Blocking (FRT wood / metal) for millwork and accessories</t>
        </is>
      </c>
      <c r="C17" s="7" t="inlineStr">
        <is>
          <t>QUANTIFIED</t>
        </is>
      </c>
      <c r="D17" s="7" t="inlineStr">
        <is>
          <t>blocking items FRT / metal (A12.0x note D, E/A08.01, D/A00.30, KN5/KN7)</t>
        </is>
      </c>
    </row>
    <row r="18" ht="15" customHeight="1" s="8">
      <c r="A18" s="7" t="inlineStr">
        <is>
          <t>ALC-17</t>
        </is>
      </c>
      <c r="B18" s="7" t="inlineStr">
        <is>
          <t>Framed openings (MEP, access panels, diffusers)</t>
        </is>
      </c>
      <c r="C18" s="7" t="inlineStr">
        <is>
          <t>QUANTIFIED</t>
        </is>
      </c>
      <c r="D18" s="7" t="inlineStr">
        <is>
          <t>framed_openings.py (E02.01 fixtures, A04.01 diffusers, KN4 access panel)</t>
        </is>
      </c>
    </row>
    <row r="19" ht="15" customHeight="1" s="8">
      <c r="A19" s="7" t="inlineStr">
        <is>
          <t>ALC-18</t>
        </is>
      </c>
      <c r="B19" s="7" t="inlineStr">
        <is>
          <t>Trim: corner bead, casing bead, control joints, reveals</t>
        </is>
      </c>
      <c r="C19" s="7" t="inlineStr">
        <is>
          <t>QUANTIFIED</t>
        </is>
      </c>
      <c r="D19" s="7" t="inlineStr">
        <is>
          <t>corner bead / casing / shadow molding; control joints EXCLUDED: only stucco CJ (5/A09.31) and civil, A04.01 canopy plaster</t>
        </is>
      </c>
    </row>
    <row r="20" ht="15" customHeight="1" s="8">
      <c r="A20" s="7" t="inlineStr">
        <is>
          <t>ALC-19</t>
        </is>
      </c>
      <c r="B20" s="7" t="inlineStr">
        <is>
          <t>Acoustical sealant / sound attenuation (EXCLUDED: estimator standing order, all projects)</t>
        </is>
      </c>
      <c r="C20" s="7" t="inlineStr">
        <is>
          <t>NOT APPLICABLE</t>
        </is>
      </c>
      <c r="D20" s="7" t="inlineStr">
        <is>
          <t>EXCLUDED: EXCLUDED in all projects (estimator standing order): no acoustical sealant row and no quantity</t>
        </is>
      </c>
    </row>
    <row r="21" ht="15" customHeight="1" s="8">
      <c r="A21" s="7" t="inlineStr">
        <is>
          <t>ALC-20</t>
        </is>
      </c>
      <c r="B21" s="7" t="inlineStr">
        <is>
          <t>FRP / cement board / tile backer</t>
        </is>
      </c>
      <c r="C21" s="7" t="inlineStr">
        <is>
          <t>QUANTIFIED</t>
        </is>
      </c>
      <c r="D21" s="7" t="inlineStr">
        <is>
          <t>FRP WC-3 (A08.01) + mop sink (KN6/A05.01); cement board under CT cove base</t>
        </is>
      </c>
    </row>
    <row r="22" ht="15" customHeight="1" s="8">
      <c r="A22" s="7" t="inlineStr">
        <is>
          <t>ALC-21</t>
        </is>
      </c>
      <c r="B22" s="7" t="inlineStr">
        <is>
          <t>Shaft walls / area separation walls</t>
        </is>
      </c>
      <c r="C22" s="7" t="inlineStr">
        <is>
          <t>NOT APPLICABLE</t>
        </is>
      </c>
      <c r="D22" s="7" t="inlineStr">
        <is>
          <t>no shaft / area separation walls: 'SHAFT' only in drilled shaft piers (S1.10, S3.10 foundations)</t>
        </is>
      </c>
    </row>
    <row r="23" ht="15" customHeight="1" s="8">
      <c r="A23" s="7" t="inlineStr">
        <is>
          <t>ALC-22</t>
        </is>
      </c>
      <c r="B23" s="7" t="inlineStr">
        <is>
          <t>Rated assemblies (UL designs) and their board type</t>
        </is>
      </c>
      <c r="C23" s="7" t="inlineStr">
        <is>
          <t>RFI</t>
        </is>
      </c>
      <c r="D23" s="7" t="inlineStr">
        <is>
          <t>A12.01 lists no UL designs or ratings; mentions on A11.03, A12.02, E00.01, E02.02, E04.02, M00.01, M03.01 are not wall ratings; FDs on M01.01 in B walls of 120 / 121 -&gt; RFI-RATED</t>
        </is>
      </c>
    </row>
    <row r="24" ht="15" customHeight="1" s="8">
      <c r="A24" s="7" t="inlineStr">
        <is>
          <t>ALC-23</t>
        </is>
      </c>
      <c r="B24" s="7" t="inlineStr">
        <is>
          <t>Special panels (ballistic, lead-lined, abuse)</t>
        </is>
      </c>
      <c r="C24" s="7" t="inlineStr">
        <is>
          <t>QUANTIFIED</t>
        </is>
      </c>
      <c r="D24" s="7" t="inlineStr">
        <is>
          <t>ballistic panel 4/A12.01 (A1K, B2K) to 8'-0" + 3/8" gyp above</t>
        </is>
      </c>
    </row>
    <row r="25" ht="15" customHeight="1" s="8">
      <c r="A25" s="7" t="inlineStr">
        <is>
          <t>ALC-24</t>
        </is>
      </c>
      <c r="B25" s="7" t="inlineStr">
        <is>
          <t>Finish level (Level 4 / Level 5)</t>
        </is>
      </c>
      <c r="C25" s="7" t="inlineStr">
        <is>
          <t>QUANTIFIED</t>
        </is>
      </c>
      <c r="D25" s="7" t="inlineStr">
        <is>
          <t>Level 5 WC-18 / WC-22 (A00.40, KN10/A05.01); mentions A08.11, A12.02 checked</t>
        </is>
      </c>
    </row>
    <row r="26" ht="15" customHeight="1" s="8">
      <c r="A26" s="7" t="inlineStr">
        <is>
          <t>ALC-X25</t>
        </is>
      </c>
      <c r="B26" s="7" t="inlineStr">
        <is>
          <t>batt insulation</t>
        </is>
      </c>
      <c r="C26" s="7" t="inlineStr">
        <is>
          <t>NOT APPLICABLE</t>
        </is>
      </c>
      <c r="D26" s="7" t="inlineStr">
        <is>
          <t>EXCLUDED (estimator criterion: no insulation)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8">
      <c r="A1" s="7" t="inlineStr">
        <is>
          <t>reglas.py compuerta OK</t>
        </is>
      </c>
    </row>
    <row r="2" ht="15" customHeight="1" s="8">
      <c r="A2" s="7" t="inlineStr">
        <is>
          <t>{"canon": "58561581d3957a0a4f6648238b271e04c0c64d0b522a77f8a626b6f312d2d0cf", "evidencias": "82e2b8f598617ff37c67b2d3f0286692316352430a323c37a2f4aea67eeafed2", "familias_out": "7460cc629d2f7e3aa413f8ee9d8af933d52092c6dc44a325f9f6bcae73b0dbe4", "reglas": "6b1417729801ae3a09203587193933ac24995f0d8d2c1a33936defc574dc86e9", "version": "v73"}</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2026-10-23T22:05:02Z</dcterms:created>
  <dcterms:modified xmlns:dcterms="http://purl.org/dc/terms/" xmlns:xsi="http://www.w3.org/2001/XMLSchema-instance" xsi:type="dcterms:W3CDTF">2026-10-23T23:40:43Z</dcterms:modified>
  <cp:revision>0</cp:revision>
</cp:coreProperties>
</file>