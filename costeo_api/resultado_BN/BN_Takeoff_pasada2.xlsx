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<sst xmlns="http://schemas.openxmlformats.org/spreadsheetml/2006/main" count="963" uniqueCount="670">
  <si>
    <t xml:space="preserve">Barnes &amp; Noble #3566, 3173 Cinema Point, Colorado Springs CO   |   METAL FRAMING &amp; DRYWALL TAKEOFF</t>
  </si>
  <si>
    <t xml:space="preserve">Bid set: planos_BN_limpios.pdf   ·   2026-10-29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</si>
  <si>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</si>
  <si>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</si>
  <si>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</si>
  <si>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</si>
  <si>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</si>
  <si>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</si>
  <si>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</si>
  <si>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</si>
  <si>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</si>
  <si>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</si>
  <si>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</si>
  <si>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</si>
  <si>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</si>
  <si>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</si>
  <si>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Printed wall heights 23'-0" to 23'-8" (1,2/A-400A, 1,2/A-400B): a 20 ft stick cannot make a stud; 24 ft stock (RFI-C06).</t>
  </si>
  <si>
    <t xml:space="preserve">Track stock length (ft)</t>
  </si>
  <si>
    <t xml:space="preserve">Track, sill track and purlin: runs.</t>
  </si>
  <si>
    <t xml:space="preserve">Floor plan scale (pt/ft)</t>
  </si>
  <si>
    <t xml:space="preserve">n/a</t>
  </si>
  <si>
    <t xml:space="preserve">Project value (not used in this take-off: heights are per wall in the Partition Takeoff).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</si>
  <si>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</si>
  <si>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</si>
  <si>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</si>
  <si>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</si>
  <si>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</si>
  <si>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</si>
  <si>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</si>
  <si>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</si>
  <si>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</si>
  <si>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</si>
  <si>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</si>
  <si>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</si>
  <si>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</si>
  <si>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</si>
  <si>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Wall board screws: 24" o.c. on 16" o.c. studs + 12" o.c. butt joints = 0.46 per SF (8.E/A-410). Ceilings use 0.83 per SF (12" o.c.), see RFI-D03.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</si>
  <si>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</si>
  <si>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</si>
  <si>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</si>
  <si>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Pins: 2 rows @ 16" (8.F/A-410, conservative vs 9/A-410 @ 24", RFI-D01). Net pins come from the Partition Takeoff, not from this cell.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</si>
  <si>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</si>
  <si>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</si>
  <si>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</si>
  <si>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</si>
  <si>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</si>
  <si>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</si>
  <si>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2x lumber stock length (ft)</t>
  </si>
  <si>
    <t xml:space="preserve">2x wood / FRT blocking: 16 ft sticks (estimator decision 2026-10-27).</t>
  </si>
  <si>
    <t xml:space="preserve">Drywall grid main tee length (ft)</t>
  </si>
  <si>
    <t xml:space="preserve">USG DGLW26 main tee (manufacturer length).</t>
  </si>
  <si>
    <t xml:space="preserve">Drywall grid cross tee length (ft)</t>
  </si>
  <si>
    <t xml:space="preserve">USG DGLW424 cross tee (manufacturer length).</t>
  </si>
  <si>
    <t xml:space="preserve">Grid channel / angle molding length (ft)</t>
  </si>
  <si>
    <t xml:space="preserve">USG DGCM27 / DGWM24 molding (manufacturer length).</t>
  </si>
  <si>
    <t xml:space="preserve">FRP panel (SF per panel)</t>
  </si>
  <si>
    <t xml:space="preserve">FRP-1 panel 4'x10' (estimator to confirm the panel size).</t>
  </si>
  <si>
    <t xml:space="preserve">ORGANIZED PARTITION TAKEOFF - Barnes &amp; Noble #3566, 3173 Cinema Point, Colorado Springs CO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</si>
  <si>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</si>
  <si>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</si>
  <si>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</si>
  <si>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</si>
  <si>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</si>
  <si>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</si>
  <si>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</si>
  <si>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</si>
  <si>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</si>
  <si>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</si>
  <si>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</si>
  <si>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</si>
  <si>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2</t>
  </si>
  <si>
    <t xml:space="preserve">2  #2-01a  -  Stock Rm 111 / Sales 101 partition, V line x=497-500pt, y 560-1289 pt (N end at N ext. wall to corridor N wall)</t>
  </si>
  <si>
    <t xml:space="preserve">2-01a</t>
  </si>
  <si>
    <t xml:space="preserve">3-5/8"</t>
  </si>
  <si>
    <t xml:space="preserve">Stock Rm 111 / Sales 101 partition, V line x=497-500pt, y 560-1289 pt (N end at N ext. wall to corridor N wall) | Board by face: A[Stock Rm 111 open to deck: GWB58 0.00-23.67] | B[Sales 101 open to deck: GWB58 0.00-23.67]</t>
  </si>
  <si>
    <t xml:space="preserve">1/A-101</t>
  </si>
  <si>
    <t xml:space="preserve">[DERIVED]</t>
  </si>
  <si>
    <t xml:space="preserve">2  #2-01b  -  Stock Rm 111 / Corridor 110 wall, same line x=497-500pt, y 1292-1409</t>
  </si>
  <si>
    <t xml:space="preserve">2-01b</t>
  </si>
  <si>
    <t xml:space="preserve">Stock Rm 111 / Corridor 110 wall, same line x=497-500pt, y 1292-1409 | Board by face: A[Stock Rm 111 open to deck: GWB58 0.00-23.67] | B[Corridor 110 ACT-3 9'-0": GWB58 0.00-9.50]</t>
  </si>
  <si>
    <t xml:space="preserve">2  #2-02  -  BOH N wall, H line y=1289-1292pt, x 500-1011 (corridor 110 / break 106 / mgr 105 vs sales)</t>
  </si>
  <si>
    <t xml:space="preserve">2-02</t>
  </si>
  <si>
    <t xml:space="preserve">BOH N wall, H line y=1289-1292pt, x 500-1011 (corridor 110 / break 106 / mgr 105 vs sales) | Board by face: A[Sales 101 open to deck: GWB58 0.00-23.00] | B[Corridor 110/Break 106/Mgr 105 ACT-3 9'-0": GWB58 0.00-9.50]</t>
  </si>
  <si>
    <t xml:space="preserve">2  #2-03  -  Women's RR 109 west wall, V line x=556-560pt, y 1341-1409</t>
  </si>
  <si>
    <t xml:space="preserve">2-03</t>
  </si>
  <si>
    <t xml:space="preserve">Women's RR 109 west wall, V line x=556-560pt, y 1341-1409 | Board by face: A[Corridor ACT-3: GWB58 0.00-9.50] | B[Women's RR GWB clg 9'-0" (tile 6'-7" by others): CB58 0.00-1.17+WR58 1.17-9.00+GWB58 9.00-9.50]</t>
  </si>
  <si>
    <t xml:space="preserve">1/A-101,1/A-200</t>
  </si>
  <si>
    <t xml:space="preserve">2  #2-04  -  Women's RR 109 N wall incl. 6" jamb stub + door 9 R.O. + pony wall, H line y=1337-1341pt, x 560-622</t>
  </si>
  <si>
    <t xml:space="preserve">2-04</t>
  </si>
  <si>
    <t xml:space="preserve">Women's RR 109 N wall incl. 6" jamb stub + door 9 R.O. + pony wall, H line y=1337-1341pt, x 560-622 | Board by face: A[Corridor/hall ACT-3: GWB58 0.00-9.50] | B[Women's RR: CB58 0.00-1.17+WR58 1.17-9.00+GWB58 9.00-9.50]</t>
  </si>
  <si>
    <t xml:space="preserve">2  #2-05  -  Lav/chase face (between RRs), H line y=1354-1357pt, x 622-658</t>
  </si>
  <si>
    <t xml:space="preserve">2-05</t>
  </si>
  <si>
    <t xml:space="preserve">Lav/chase face (between RRs), H line y=1354-1357pt, x 622-658 | Board by face: A[Hall recess: GWB58 0.00-9.50] | B[Women's/Men's RR lav wall: CB58 0.00-1.17+WR58 1.17-9.00+GWB58 9.00-9.50]</t>
  </si>
  <si>
    <t xml:space="preserve">2  #2-06  -  Chase returns x2 (V 618-622 &amp; 658-662, y 1341-1353)</t>
  </si>
  <si>
    <t xml:space="preserve">2-06</t>
  </si>
  <si>
    <t xml:space="preserve">Chase returns x2 (V 618-622 &amp; 658-662, y 1341-1353) | Board by face: A[Hall recess: GWB58 0.00-9.50] | B[RR: CB58 0.00-1.17+WR58 1.17-9.00+GWB58 9.00-9.50]</t>
  </si>
  <si>
    <t xml:space="preserve">2  #2-07  -  Men's RR 108 N wall incl. pony wall, door 8 R.O., 6" stub, H line y=1337-1341pt, x 658-720</t>
  </si>
  <si>
    <t xml:space="preserve">2-07</t>
  </si>
  <si>
    <t xml:space="preserve">Men's RR 108 N wall incl. pony wall, door 8 R.O., 6" stub, H line y=1337-1341pt, x 658-720 | Board by face: A[Hall ACT-3: GWB58 0.00-9.50] | B[Men's RR: CB58 0.00-1.17+WR58 1.17-9.00+GWB58 9.00-9.50]</t>
  </si>
  <si>
    <t xml:space="preserve">2  #2-08  -  Men's RR 108 E wall / Janitor 107 W wall, V line x=720-724pt, y 1341-1409</t>
  </si>
  <si>
    <t xml:space="preserve">2-08</t>
  </si>
  <si>
    <t xml:space="preserve">Men's RR 108 E wall / Janitor 107 W wall, V line x=720-724pt, y 1341-1409 | Board by face: A[Men's RR: CB58 0.00-1.17+WR58 1.17-9.00+GWB58 9.00-9.50] | B[Janitor closet 107 open to deck: WR58 0.00-23.00+FRP 0.00-8.00]</t>
  </si>
  <si>
    <t xml:space="preserve">2  #2-09  -  Janitor 107 N wall (door 7), H line y=1337-1341pt, x 724-760</t>
  </si>
  <si>
    <t xml:space="preserve">2-09</t>
  </si>
  <si>
    <t xml:space="preserve">Janitor 107 N wall (door 7), H line y=1337-1341pt, x 724-760 | Board by face: A[Hall ACT-3: GWB58 0.00-9.50] | B[Janitor 107: WR58 0.00-23.00+FRP 0.00-8.00]</t>
  </si>
  <si>
    <t xml:space="preserve">2  #2-10a  -  Hall E closure / Break Rm 106 W wall (door 5), V line x=760-764, y 1292-1341</t>
  </si>
  <si>
    <t xml:space="preserve">2-10a</t>
  </si>
  <si>
    <t xml:space="preserve">Hall E closure / Break Rm 106 W wall (door 5), V line x=760-764, y 1292-1341 | Board by face: A[Hall ACT-3: GWB58 0.00-9.50] | B[Break 106 ACT-3: GWB58 0.00-9.50]</t>
  </si>
  <si>
    <t xml:space="preserve">2  #2-10b  -  Janitor 107 E wall / Break 106 W wall, V line x=760-764, y 1341-1409</t>
  </si>
  <si>
    <t xml:space="preserve">2-10b</t>
  </si>
  <si>
    <t xml:space="preserve">Janitor 107 E wall / Break 106 W wall, V line x=760-764, y 1341-1409 | Board by face: A[Janitor 107: WR58 0.00-23.00+FRP 0.00-8.00] | B[Break 106 ACT-3: GWB58 0.00-9.50]</t>
  </si>
  <si>
    <t xml:space="preserve">2  #2-11  -  Break 106 / Manager's 105 wall (door 6), V line x=931-935, y 1292-1409</t>
  </si>
  <si>
    <t xml:space="preserve">2-11</t>
  </si>
  <si>
    <t xml:space="preserve">Break 106 / Manager's 105 wall (door 6), V line x=931-935, y 1292-1409 | Board by face: A[Break 106 ACT-3: GWB58 0.00-9.50] | B[Mgr 105 ACT-3: GWB58 0.00-9.50]</t>
  </si>
  <si>
    <t xml:space="preserve">2  #2-12  -  Storage 112 S wall (door 14), H line y=605-609pt, x 1487-1926</t>
  </si>
  <si>
    <t xml:space="preserve">2-12</t>
  </si>
  <si>
    <t xml:space="preserve">Storage 112 S wall (door 14), H line y=605-609pt, x 1487-1926 | Board by face: A[Storage 112 open to deck: GWB58 0.00-23.00] | B[Sales 101 open to deck: GWB58 0.00-23.00]</t>
  </si>
  <si>
    <t xml:space="preserve">2  #2-13  -  Storage 112 W end wall, V line x=1487-1491, y 560-605</t>
  </si>
  <si>
    <t xml:space="preserve">2-13</t>
  </si>
  <si>
    <t xml:space="preserve">Storage 112 W end wall, V line x=1487-1491, y 560-605 | Board by face: A[Sales 101: GWB58 0.00-23.00] | B[Storage 112: GWB58 0.00-23.00]</t>
  </si>
  <si>
    <t xml:space="preserve">SUBTOTAL TYPE 2</t>
  </si>
  <si>
    <t xml:space="preserve">TYPE 3</t>
  </si>
  <si>
    <t xml:space="preserve">3  #3-01  -  Cafe seating bar partition west unit (x~1500-1585pt, y 1160-1240pt)</t>
  </si>
  <si>
    <t xml:space="preserve">3-01</t>
  </si>
  <si>
    <t xml:space="preserve">Cafe seating bar partition west unit (x~1500-1585pt, y 1160-1240pt) | Board by face: A[Cafe seating side (both faces): GWB58 0.00-8.00] | B[Opposite face: GWB58 0.00-8.00]</t>
  </si>
  <si>
    <t xml:space="preserve">3  #3-02  -  Cafe seating bar partition east unit (x~1720-1835pt)</t>
  </si>
  <si>
    <t xml:space="preserve">3-02</t>
  </si>
  <si>
    <t xml:space="preserve">Cafe seating bar partition east unit (x~1720-1835pt) | Board by face: A[Cafe seating side (both faces): GWB58 0.00-8.00] | B[Opposite face: GWB58 0.00-8.00]</t>
  </si>
  <si>
    <t xml:space="preserve">SUBTOTAL TYPE 3</t>
  </si>
  <si>
    <t xml:space="preserve">TYPE 4</t>
  </si>
  <si>
    <t xml:space="preserve">4  #4-01  -  Sales floor center X feature wall (2 arcs + 2 end caps + returns), x~1500-1740pt, y~860-1120pt</t>
  </si>
  <si>
    <t xml:space="preserve">4-01</t>
  </si>
  <si>
    <t xml:space="preserve">Sales floor center X feature wall (2 arcs + 2 end caps + returns), x~1500-1740pt, y~860-1120pt | Board by face: A[Outside/concave face: GWB58 0.00-7.50] | B[Inside face: GWB58 0.00-7.50]</t>
  </si>
  <si>
    <t xml:space="preserve">SUBTOTAL TYPE 4</t>
  </si>
  <si>
    <t xml:space="preserve">TYPE 5</t>
  </si>
  <si>
    <t xml:space="preserve">5  #5-01  -  Central RR chase wall (Women's|Men's), V line x=637-642pt, y 1357-1409</t>
  </si>
  <si>
    <t xml:space="preserve">5-01</t>
  </si>
  <si>
    <t xml:space="preserve">6"</t>
  </si>
  <si>
    <t xml:space="preserve">Central RR chase wall (Women's|Men's), V line x=637-642pt, y 1357-1409 | Board by face: A[Women's RR: CB58 0.00-1.17+WR58 1.17-9.00+GWB58 9.00-9.50] | B[Men's RR: CB58 0.00-1.17+WR58 1.17-9.00+GWB58 9.00-9.50]</t>
  </si>
  <si>
    <t xml:space="preserve">SUBTOTAL TYPE 5</t>
  </si>
  <si>
    <t xml:space="preserve">TYPE E1</t>
  </si>
  <si>
    <t xml:space="preserve">E1  #E1-01  -  Cafe sales S wall on existing CMU, x 1267-1951</t>
  </si>
  <si>
    <t xml:space="preserve">E1-01</t>
  </si>
  <si>
    <t xml:space="preserve">Cafe sales S wall on existing CMU, x 1267-1951 | Board by face: A[Cafe sales GWB clg 11'-6"/11'-0" (zone RFI-B11): CB12 0.00-12.00]</t>
  </si>
  <si>
    <t xml:space="preserve">1/A-221</t>
  </si>
  <si>
    <t xml:space="preserve">E1  #E1-02  -  Cafe sales W-end stub / pier (1'-0" thick) x~1216-1267</t>
  </si>
  <si>
    <t xml:space="preserve">E1-02</t>
  </si>
  <si>
    <t xml:space="preserve">Cafe sales W-end stub / pier (1'-0" thick) x~1216-1267 | Board by face: A[Cafe sales: CB12 0.00-12.00]</t>
  </si>
  <si>
    <t xml:space="preserve">[PENDING]</t>
  </si>
  <si>
    <t xml:space="preserve">SUBTOTAL TYPE E1</t>
  </si>
  <si>
    <t xml:space="preserve">TYPE E2</t>
  </si>
  <si>
    <t xml:space="preserve">E2  #E2-01  -  Workroom 104 S wall on existing CMU (H line y~792-812), x 191-1216</t>
  </si>
  <si>
    <t xml:space="preserve">E2-01</t>
  </si>
  <si>
    <t xml:space="preserve">Workroom 104 S wall on existing CMU (H line y~792-812), x 191-1216 | Board by face: A[Workroom 104: FRT58 0.00-10.50+FRP 0.50-10.00]</t>
  </si>
  <si>
    <t xml:space="preserve">SUBTOTAL TYPE E2</t>
  </si>
  <si>
    <t xml:space="preserve">TYPE F</t>
  </si>
  <si>
    <t xml:space="preserve">F  #F-01  -  Cafe SE column box 3'-3" x 3'-3"</t>
  </si>
  <si>
    <t xml:space="preserve">F-01</t>
  </si>
  <si>
    <t xml:space="preserve">Cafe SE column box 3'-3" x 3'-3" | Board by face: A[Cafe sales: FRT58 0.00-12.00]</t>
  </si>
  <si>
    <t xml:space="preserve">SUBTOTAL TYPE F</t>
  </si>
  <si>
    <t xml:space="preserve">TYPE H1</t>
  </si>
  <si>
    <t xml:space="preserve">H1  #H1-01  -  Workroom 104 N wall (H line), x 191-1216 (A-221 pt)</t>
  </si>
  <si>
    <t xml:space="preserve">H1-01</t>
  </si>
  <si>
    <t xml:space="preserve">Workroom 104 N wall (H line), x 191-1216 (A-221 pt) | Board by face: A[Sales 101 open to deck: GWB58 0.00-23.00] | B[Workroom 104 ACT-1 10'-0": FRT58 0.00-10.50+FRP 0.50-10.00]</t>
  </si>
  <si>
    <t xml:space="preserve">H1  #H1-02  -  Workroom 104 W wall (V line) / Mgr's 105 E wall, y 354-792</t>
  </si>
  <si>
    <t xml:space="preserve">H1-02</t>
  </si>
  <si>
    <t xml:space="preserve">Workroom 104 W wall (V line) / Mgr's 105 E wall, y 354-792 | Board by face: A[Mgr 105 ACT-3: GWB58 0.00-9.50] | B[Workroom 104: FRT58 0.00-10.50+FRP 0.50-10.00]</t>
  </si>
  <si>
    <t xml:space="preserve">SUBTOTAL TYPE H1</t>
  </si>
  <si>
    <t xml:space="preserve">TYPE H2a</t>
  </si>
  <si>
    <t xml:space="preserve">H2a  #H2a-01  -  Workroom|Cafe sales partition w/ pass-thru door 3 (V x=1216-1231, y 354-696)</t>
  </si>
  <si>
    <t xml:space="preserve">H2a-01</t>
  </si>
  <si>
    <t xml:space="preserve">Workroom|Cafe sales partition w/ pass-thru door 3 (V x=1216-1231, y 354-696) | Board by face: A[Workroom 104: FRT58 0.00-10.50+FRP 0.50-10.00] | B[Cafe sales (clg 11'-6" zone -&gt; +6"): GWB58 0.00-12.00]</t>
  </si>
  <si>
    <t xml:space="preserve">SUBTOTAL TYPE H2a</t>
  </si>
  <si>
    <t xml:space="preserve">TYPE H2b</t>
  </si>
  <si>
    <t xml:space="preserve">H2b  #H2b-01  -  Workroom stub wall near W end (V x=269-283, y 722-792)</t>
  </si>
  <si>
    <t xml:space="preserve">H2b-01</t>
  </si>
  <si>
    <t xml:space="preserve">Workroom stub wall near W end (V x=269-283, y 722-792) | Board by face: A[Workroom (W): FRT58 0.00-10.00+FRP 0.50-10.00] | B[Workroom (E): FRT58 0.00-10.00+FRP 0.50-10.00]</t>
  </si>
  <si>
    <t xml:space="preserve">SUBTOTAL TYPE H2b</t>
  </si>
  <si>
    <t xml:space="preserve">TYPE H3a</t>
  </si>
  <si>
    <t xml:space="preserve">H3a  #H3-02  -  Grab&amp;Go N wall (H y=88-110), x 1123-1248</t>
  </si>
  <si>
    <t xml:space="preserve">H3-02</t>
  </si>
  <si>
    <t xml:space="preserve">Grab&amp;Go N wall (H y=88-110), x 1123-1248 | Board by face: A[Outside side: FRT58 0.00-15.00+GWB58 15.00-23.00] | B[Grab&amp;Go: GWB58 0.00-7.58]</t>
  </si>
  <si>
    <t xml:space="preserve">SUBTOTAL TYPE H3a</t>
  </si>
  <si>
    <t xml:space="preserve">TYPE H3b</t>
  </si>
  <si>
    <t xml:space="preserve">H3b  #H3-01  -  Grab&amp;Go W wall (V x=1101-1123, y 110-332)</t>
  </si>
  <si>
    <t xml:space="preserve">H3-01</t>
  </si>
  <si>
    <t xml:space="preserve">Grab&amp;Go W wall (V x=1101-1123, y 110-332) | Board by face: A[Outside (sales) side: FRT58 0.00-8.00+GWB58 8.00-23.00] | B[Grab&amp;Go GWB clg 7'-1": GWB58 0.00-7.58]</t>
  </si>
  <si>
    <t xml:space="preserve">SUBTOTAL TYPE H3b</t>
  </si>
  <si>
    <t xml:space="preserve">TYPE I</t>
  </si>
  <si>
    <t xml:space="preserve">I  #I-01  -  Storefront-return face at Grab&amp;Go (I SIM.), thickness only</t>
  </si>
  <si>
    <t xml:space="preserve">I-01</t>
  </si>
  <si>
    <t xml:space="preserve">Storefront-return face at Grab&amp;Go (I SIM.), thickness only | Board by face: A[Face: FRT58 0.00-15.00+GWB58 15.00-23.00]</t>
  </si>
  <si>
    <t xml:space="preserve">I  #I-02  -  Second I SIM. face at Grab&amp;Go</t>
  </si>
  <si>
    <t xml:space="preserve">I-02</t>
  </si>
  <si>
    <t xml:space="preserve">Second I SIM. face at Grab&amp;Go | Board by face: A[Face: FRT58 0.00-15.00+GWB58 15.00-23.00]</t>
  </si>
  <si>
    <t xml:space="preserve">I  #I-03  -  I tag at W stub (x~1230)</t>
  </si>
  <si>
    <t xml:space="preserve">I-03</t>
  </si>
  <si>
    <t xml:space="preserve">I tag at W stub (x~1230) | Board by face: A[Face: FRT58 0.00-15.00+GWB58 15.00-23.00]</t>
  </si>
  <si>
    <t xml:space="preserve">I  #I-04  -  I tag right of F box (storefront jamb)</t>
  </si>
  <si>
    <t xml:space="preserve">I-04</t>
  </si>
  <si>
    <t xml:space="preserve">I tag right of F box (storefront jamb) | Board by face: </t>
  </si>
  <si>
    <t xml:space="preserve">SUBTOTAL TYPE I</t>
  </si>
  <si>
    <t xml:space="preserve">TYPE CTR A</t>
  </si>
  <si>
    <t xml:space="preserve">CTR A  #CA-A  -  Cafe front counter A (L + chamfer), N side of cafe sales</t>
  </si>
  <si>
    <t xml:space="preserve">CA-A</t>
  </si>
  <si>
    <t xml:space="preserve">Cafe front counter A (L + chamfer), N side of cafe sales | Board by face: A[Customer side: 3/4" FRT ply + 1/2" cement bd: FRT34 0.00-2.71+CB12 0.00-2.71] | B[Cafe side: FRP-1 over 1/2" cement bd: CB12 0.00-2.71+FRP 0.00-2.71]</t>
  </si>
  <si>
    <t xml:space="preserve">SUBTOTAL TYPE CTR A</t>
  </si>
  <si>
    <t xml:space="preserve">TYPE CTR B</t>
  </si>
  <si>
    <t xml:space="preserve">CTR B  #CA-B  -  Pastry case B (W leg)</t>
  </si>
  <si>
    <t xml:space="preserve">CA-B</t>
  </si>
  <si>
    <t xml:space="preserve">Pastry case B (W leg) | Board by face: A[Customer side: 3/4" FRT + 1/2" CB: FRT34 0.00-2.71+CB12 0.00-2.71] | B[Case side: 1/2" CB: CB12 0.00-2.71]</t>
  </si>
  <si>
    <t xml:space="preserve">SUBTOTAL TYPE CTR B</t>
  </si>
  <si>
    <t xml:space="preserve">TYPE CTR C</t>
  </si>
  <si>
    <t xml:space="preserve">CTR C  #CA-C  -  Pastry case C (E leg)</t>
  </si>
  <si>
    <t xml:space="preserve">CA-C</t>
  </si>
  <si>
    <t xml:space="preserve">Pastry case C (E leg) | Board by face: A[Customer side: 3/4" FRT + 1/2" CB: FRT34 0.00-2.71+CB12 0.00-2.71] | B[Case side: 1/2" CB: CB12 0.00-2.71]</t>
  </si>
  <si>
    <t xml:space="preserve">SUBTOTAL TYPE CTR C</t>
  </si>
  <si>
    <t xml:space="preserve">TYPE CTR D</t>
  </si>
  <si>
    <t xml:space="preserve">CTR D  #CA-D  -  Pastry case D (S/front)</t>
  </si>
  <si>
    <t xml:space="preserve">CA-D</t>
  </si>
  <si>
    <t xml:space="preserve">Pastry case D (S/front) | Board by face: A[Pastry-cafe side: FRP-1 over 1/2" CB: CB12 0.00-2.71+FRP 0.00-2.71] | B[Cafe side: layers not printed (assume 1/2" CB): CB12 0.00-2.71]</t>
  </si>
  <si>
    <t xml:space="preserve">SUBTOTAL TYPE CTR D</t>
  </si>
  <si>
    <t xml:space="preserve">TOTAL - PARTITIONS (GRAND TOTAL)</t>
  </si>
  <si>
    <t xml:space="preserve">TYPE OTHER FRAMING (NOT A PARTITION)</t>
  </si>
  <si>
    <t xml:space="preserve">C25 COLUMN WRAPS  #K-01..K-06  -  9 existing 24"x24" columns, new GWB surround (perimeter 8.0 LF each)</t>
  </si>
  <si>
    <t xml:space="preserve">K-01..K-06</t>
  </si>
  <si>
    <t xml:space="preserve">9 existing 24"x24" columns, new GWB surround (perimeter 8.0 LF each)</t>
  </si>
  <si>
    <t xml:space="preserve">VESTIBULE FRAMING  #V-01  -  4 boxed columns 5"x5" W line (included in Material Summary)</t>
  </si>
  <si>
    <t xml:space="preserve">V-01</t>
  </si>
  <si>
    <t xml:space="preserve">4 boxed columns 5"x5" W line (included in Material Summary)</t>
  </si>
  <si>
    <t xml:space="preserve">1/A-210, 8/A-210</t>
  </si>
  <si>
    <t xml:space="preserve">VESTIBULE FRAMING  #V-02  -  Nested box beam W line, (2) 8" studs, 12'-8" between corner posts</t>
  </si>
  <si>
    <t xml:space="preserve">V-02</t>
  </si>
  <si>
    <t xml:space="preserve">8"</t>
  </si>
  <si>
    <t xml:space="preserve">Nested box beam W line, (2) 8" studs, 12'-8" between corner posts</t>
  </si>
  <si>
    <t xml:space="preserve">8/A-210, 7/A-210</t>
  </si>
  <si>
    <t xml:space="preserve">VESTIBULE FRAMING  #V-03  -  8" joists @16" roof, span 7'-8"</t>
  </si>
  <si>
    <t xml:space="preserve">V-03</t>
  </si>
  <si>
    <t xml:space="preserve">8" joists @16" roof, span 7'-8"</t>
  </si>
  <si>
    <t xml:space="preserve">1/A-210, 4/A-210</t>
  </si>
  <si>
    <t xml:space="preserve">SOFFIT  #S-01  -  Cafe sales soffit L-run: exposed face FRT ply to T.O. WD-1 + GWB above; inner face GWB; underside GWB (2/A-221)</t>
  </si>
  <si>
    <t xml:space="preserve">S-01</t>
  </si>
  <si>
    <t xml:space="preserve">Cafe sales soffit L-run: exposed face FRT ply to T.O. WD-1 + GWB above; inner face GWB; underside GWB (2/A-221)</t>
  </si>
  <si>
    <t xml:space="preserve">2/A-221, 1/A-226A</t>
  </si>
  <si>
    <t xml:space="preserve">SOFFIT  #S-02  -  Grab &amp; Go soffit: exposed face FRT ply to T.O. WD-1 + GWB above; inner face unboarded; underside GWB (3/A-221)</t>
  </si>
  <si>
    <t xml:space="preserve">S-02</t>
  </si>
  <si>
    <t xml:space="preserve">Grab &amp; Go soffit: exposed face FRT ply to T.O. WD-1 + GWB above; inner face unboarded; underside GWB (3/A-221)</t>
  </si>
  <si>
    <t xml:space="preserve">3/A-221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</si>
  <si>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</si>
  <si>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</si>
  <si>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</si>
  <si>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</si>
  <si>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</si>
  <si>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</si>
  <si>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</si>
  <si>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</si>
  <si>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</si>
  <si>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</si>
  <si>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</si>
  <si>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</si>
  <si>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3-5/8" metal stud 20 ga (gauge not printed, RFI-C01) - partitions, counters, column wraps, soffits</t>
  </si>
  <si>
    <t xml:space="preserve">LF</t>
  </si>
  <si>
    <t xml:space="preserve">stick 24 ft</t>
  </si>
  <si>
    <t xml:space="preserve">[DERIVED] Partition Takeoff (studs + jamb studs x height), 1/A-101, 1/A-221; column wraps 1/A-101 C25 (9 tags counted); soffit 2/A-221; stud size 2/A-410, 3/A-410</t>
  </si>
  <si>
    <t xml:space="preserve">6" metal stud 20 ga (gauge not printed, RFI-C01) - type 5, cafe/workroom walls, G&amp;G soffit</t>
  </si>
  <si>
    <t xml:space="preserve">[DERIVED] Partition Takeoff, 5/A-410, 1/A-221, section G/A-221, 3/A-221</t>
  </si>
  <si>
    <t xml:space="preserve">3-5/8" metal stud 18 ga - vestibule boxed columns (2 per column x 4)</t>
  </si>
  <si>
    <t xml:space="preserve">[DERIVED] 1/A-210 plan (4 boxed columns), 8/A-210 (18 ga printed); height 10'-6" B.O. ceiling 1/A-121</t>
  </si>
  <si>
    <t xml:space="preserve">8" metal stud 18 ga - vestibule nested box beam (2 studs x 12'-8")</t>
  </si>
  <si>
    <t xml:space="preserve">[DERIVED] 8/A-210 (2) 8"x18 ga studs; run 12'-8" between corner posts 1/A-210, 4/A-210</t>
  </si>
  <si>
    <t xml:space="preserve">8" metal joist @ 16" o.c. - vestibule roof (gauge not printed)</t>
  </si>
  <si>
    <t xml:space="preserve">[PENDING] 1/A-210, 4/A-210; 11 joists x 7'-8" (RFI-B04)</t>
  </si>
  <si>
    <t xml:space="preserve">8" metal stud as ledger at existing storefront - vestibule (gauge not printed)</t>
  </si>
  <si>
    <t xml:space="preserve">[PENDING] 4/A-210 "8" LEDGER"; length = beam run 12'-8" (RFI-B04)</t>
  </si>
  <si>
    <t xml:space="preserve">3-5/8" bottom track 20 ga (floor)</t>
  </si>
  <si>
    <t xml:space="preserve">run 10 ft</t>
  </si>
  <si>
    <t xml:space="preserve">[DERIVED] Partition Takeoff bottom track (not deducted at doors), 1/A-101, 1/A-221, 2/A-410</t>
  </si>
  <si>
    <t xml:space="preserve">3-5/8" top track 20 ga, slotted deflection (full-height walls to deck)</t>
  </si>
  <si>
    <t xml:space="preserve">[DERIVED] Partition Takeoff top track, 2/A-410, 5/A-410, 4/A-410</t>
  </si>
  <si>
    <t xml:space="preserve">3-5/8" top track 20 ga, fixed (partial-height walls and counters)</t>
  </si>
  <si>
    <t xml:space="preserve">[DERIVED] Partition Takeoff top track, 3/A-410, 4/A-410, 1/A-221 sections B, C, D</t>
  </si>
  <si>
    <t xml:space="preserve">3-5/8" track 20 ga - column wraps and soffits (top + bottom)</t>
  </si>
  <si>
    <t xml:space="preserve">[DERIVED] 1/A-101 C25 (9 wraps x 8.0 LF x 2), 2/A-221 soffit (2 x 28.07 LF)</t>
  </si>
  <si>
    <t xml:space="preserve">3-5/8" track 20 ga at door heads (2 pieces, R.O. + 1'-4")</t>
  </si>
  <si>
    <t xml:space="preserve">[PENDING] No header schedule or head detail printed (1/A-500 shows jamb only): carried 0 LF; delta in RFI-B21</t>
  </si>
  <si>
    <t xml:space="preserve">3-5/8" fire-stop track at ceiling line (TYP)</t>
  </si>
  <si>
    <t xml:space="preserve">[PENDING] 4/A-410, 8/A-410 fire stop at ceiling line TYP; all 3-5/8" walls to deck with a ceiling on at least one face: 2-01b, 2-02 to 2-11 (incl. 2-08, 2-10b), H2a-01, H2b-01, F-01, H3 not here (6") (RFI-B19)</t>
  </si>
  <si>
    <t xml:space="preserve">6" bottom track 20 ga (floor)</t>
  </si>
  <si>
    <t xml:space="preserve">[DERIVED] Partition Takeoff, 5/A-410, section G/A-221, 1/A-221</t>
  </si>
  <si>
    <t xml:space="preserve">6" top track 20 ga, slotted deflection (full-height walls to deck)</t>
  </si>
  <si>
    <t xml:space="preserve">[DERIVED] Partition Takeoff, 5/A-410, section E/A-221, section H/A-221</t>
  </si>
  <si>
    <t xml:space="preserve">6" track 20 ga - G&amp;G soffit (top + bottom)</t>
  </si>
  <si>
    <t xml:space="preserve">[PENDING] 3/A-221 (RFI-B14)</t>
  </si>
  <si>
    <t xml:space="preserve">6" fire-stop track at ceiling line (TYP)</t>
  </si>
  <si>
    <t xml:space="preserve">[PENDING] 4/A-410, 8/A-410 fire stop TYP; 6" walls to deck with a ceiling on a face: 5-01, H1-01, H1-02, E1-01, E1-02, E2-01, H3-01, H3-02 (RFI-B19)</t>
  </si>
  <si>
    <t xml:space="preserve">3-5/8" track 16 ga - vestibule boxed columns</t>
  </si>
  <si>
    <t xml:space="preserve">[DERIVED] 8/A-210 (4 columns, 5" each)</t>
  </si>
  <si>
    <t xml:space="preserve">6" runner track 16 ga - vestibule nested box beam</t>
  </si>
  <si>
    <t xml:space="preserve">[DERIVED] 8/A-210 (6"x16 ga top and bottom track), run 12'-8" 1/A-210</t>
  </si>
  <si>
    <t xml:space="preserve">20 ga x 2" min deep relief channel at top of full-height walls</t>
  </si>
  <si>
    <t xml:space="preserve">channel 10 ft</t>
  </si>
  <si>
    <t xml:space="preserve">[PENDING] 5/A-410 typ. connection detail "CONTINUOUS 20 GA X 2" MIN DEEP RELIEF CHANNEL"; LF = top track of walls to deck (RFI-D02)</t>
  </si>
  <si>
    <t xml:space="preserve">1-1/2" C.R. channel 16 ga - bracing @ 4'-0" o.c. (note 4/A-410)</t>
  </si>
  <si>
    <t xml:space="preserve">C.R. channel 16 ft</t>
  </si>
  <si>
    <t xml:space="preserve">[DERIVED] Partition Takeoff bracing rows x LF, note 4/A-410, 5/A-410 (first row 4'-0" above floor)</t>
  </si>
  <si>
    <t xml:space="preserve">2x2 16 ga clip angle at C.R. channel / stud crossings</t>
  </si>
  <si>
    <t xml:space="preserve">EA</t>
  </si>
  <si>
    <t xml:space="preserve">ea</t>
  </si>
  <si>
    <t xml:space="preserve">[DERIVED] 5/A-410: one 2"x2"x16 ga clip per stud per bracing row</t>
  </si>
  <si>
    <t xml:space="preserve">Moment clip 3-5/8" x 20 ga at partial-height wall base (1 per stud)</t>
  </si>
  <si>
    <t xml:space="preserve">[DERIVED] A/A-410, 3/A-410, 4/A-410, 1/A-101 (types 3 and 4)</t>
  </si>
  <si>
    <t xml:space="preserve">Clip angles 3x3x16 ga at vestibule nested beam</t>
  </si>
  <si>
    <t xml:space="preserve">[PENDING] 7/A-210 (2 per end), RFI-B04</t>
  </si>
  <si>
    <t xml:space="preserve">2x4 FRT wood blocking - receiving tables (3 levels x 2 tables)</t>
  </si>
  <si>
    <t xml:space="preserve">2x lumber 16 ft</t>
  </si>
  <si>
    <t xml:space="preserve">[PENDING] 8/A-413, 8A/A-413, key note 2/A-111 (RFI-B08)</t>
  </si>
  <si>
    <t xml:space="preserve">FRT wood blocking - office walls, 3 rows at 1'-4" (2x4 assumed, size not printed)</t>
  </si>
  <si>
    <t xml:space="preserve">[DERIVED] 3,4/A-412 "F.R.T. BLOCKING IN WALL BEHIND GWB"; rows x (8'-6" + 12'-11") 1/A-412 (RFI-B08)</t>
  </si>
  <si>
    <t xml:space="preserve">FRT wood blocking - break room kitchen unit, 1 row (2x4 assumed)</t>
  </si>
  <si>
    <t xml:space="preserve">[PENDING] 6/A-412 "PROVIDE BLOCKING IN PARTITION FOR CABINETS AS REQUIRED"; unit 2'-9" + 2'-7" (RFI-B08)</t>
  </si>
  <si>
    <t xml:space="preserve">5/8" FRT plywood</t>
  </si>
  <si>
    <t xml:space="preserve">SF</t>
  </si>
  <si>
    <t xml:space="preserve">4x12 ft sheet</t>
  </si>
  <si>
    <t xml:space="preserve">[DERIVED] Partition Takeoff col FRT 5/8 (cafe/workroom/G&amp;G walls, 1/A-221, sections E, F, H, I) + soffit plywood below T.O. WD-1 only (2,3/A-221)</t>
  </si>
  <si>
    <t xml:space="preserve">3/4" FRT plywood</t>
  </si>
  <si>
    <t xml:space="preserve">[DERIVED] counters A-D 1/A-221; janitor backing 11/A-200 (23 SF); menu-board plywood 4/A-226A (35.7 SF, thickness not printed); RR grab-bar backing 2,3,4/A-200, 21/A-201 (PENDING); vestibule roof deck 4/A-210 (PENDING)</t>
  </si>
  <si>
    <t xml:space="preserve">3/4" FRT plywood lavatory backing panels (size not read)</t>
  </si>
  <si>
    <t xml:space="preserve">[PENDING] 26/A-201, 4/A-200 (RFI-B08)</t>
  </si>
  <si>
    <t xml:space="preserve">5/8" gypsum board (GWB)</t>
  </si>
  <si>
    <t xml:space="preserve">[DERIVED] Partition Takeoff col GWB 5/8; GWB ceilings 1/A-121 (C-03..C-06); soffit: cafe exposed face above T.O. WD-1 + inner face + undersides, G&amp;G exposed face above T.O. WD-1 + underside (2,3/A-221); column wraps 1/A-101 C25; vestibule columns 6/A-210</t>
  </si>
  <si>
    <t xml:space="preserve">5/8" W.R. gypsum board (moisture resistant)</t>
  </si>
  <si>
    <t xml:space="preserve">[DERIVED] Partition Takeoff col W.R. 5/8 (restroom, janitor 2/A-410 note 2, note 7); RR GWB ceilings 1/A-121 'walls and ceiling'</t>
  </si>
  <si>
    <t xml:space="preserve">5/8" cement board</t>
  </si>
  <si>
    <t xml:space="preserve">[DERIVED] restroom base 1'-2" 22/A-201, 2,3,4/A-200</t>
  </si>
  <si>
    <t xml:space="preserve">1/2" cement board</t>
  </si>
  <si>
    <t xml:space="preserve">[DERIVED] E1 and counters 1/A-221, sections E, B, C, D/A-221</t>
  </si>
  <si>
    <t xml:space="preserve">FRP-1 panels</t>
  </si>
  <si>
    <t xml:space="preserve">FRP panel 40 SF (Inputs)</t>
  </si>
  <si>
    <t xml:space="preserve">[DERIVED] workroom FRP-1 from 6" above floor to 10'-0" (3,4/A-225 J-mold at 6" base; 1-4/A-226B pattern full height), janitor 9-12/A-200 (8'-0" hold), counters 1/A-221</t>
  </si>
  <si>
    <t xml:space="preserve">Thermafiber SAFB sound/fire insulation, full cavity</t>
  </si>
  <si>
    <t xml:space="preserve">[DERIVED] Partition Takeoff col insulation, 2/A-410, 5/A-410, section G/A-221 (H1 only), 1/A-101 table (RFI-B05)</t>
  </si>
  <si>
    <t xml:space="preserve">3-1/2" sound attenuation blanket above GWB / ACT ceilings (toilets, offices, break room)</t>
  </si>
  <si>
    <t xml:space="preserve">[PENDING] 2/A-410 "FINISHED CEILING (SOUND ATTENUATION BLANKETS AT TOILETS, OFFICES, AND BREAK ROOM ONLY)"; 1/A-101 table leaves the CEILING column blank (conflict, RFI-B17); RR 130.0 + break 240.1 + manager 109.7 SF</t>
  </si>
  <si>
    <t xml:space="preserve">Corner bead - column wraps, vestibule columns, type 3 posts, type 4 X wall</t>
  </si>
  <si>
    <t xml:space="preserve">trim stick 10 ft</t>
  </si>
  <si>
    <t xml:space="preserve">[DERIVED] 1/A-101 C25, 6/A-210, 4/A-410 (type 4 count PENDING, RFI-B06)</t>
  </si>
  <si>
    <t xml:space="preserve">Control joints (ASTM C840, &lt;= 30 ft runs, both faces)</t>
  </si>
  <si>
    <t xml:space="preserve">[DERIVED] Partition Takeoff control joint LF; ASTM C840 default (not printed in the set); 1/A-101</t>
  </si>
  <si>
    <t xml:space="preserve">PVC trim - J-mold at bottom of FRP</t>
  </si>
  <si>
    <t xml:space="preserve">[DERIVED] 3,4/A-225 (J-mold at bottom of FRP panel), 9-12/A-200 (top edge / corners RFI-B09)</t>
  </si>
  <si>
    <t xml:space="preserve">PVC trim - division bar at FRP every 4'-0"</t>
  </si>
  <si>
    <t xml:space="preserve">[PENDING] 1/A-225, 9-12/A-200; 23 bars on FRP runs at 9'-6" (workroom) / 8'-0" (janitor); panel-joint default, not printed</t>
  </si>
  <si>
    <t xml:space="preserve">Stainless 2x2 full-height corner guards, workroom</t>
  </si>
  <si>
    <t xml:space="preserve">guard</t>
  </si>
  <si>
    <t xml:space="preserve">[PENDING] A-131 req. 6, 1/A-221 (RFI-B09)</t>
  </si>
  <si>
    <t xml:space="preserve">Joint compound, all purpose</t>
  </si>
  <si>
    <t xml:space="preserve">LB</t>
  </si>
  <si>
    <t xml:space="preserve">lb</t>
  </si>
  <si>
    <t xml:space="preserve">[DERIVED] yield Inputs!B23 x gypsum board SF; Div 09/A-001A Level 4</t>
  </si>
  <si>
    <t xml:space="preserve">Joint tape, paper</t>
  </si>
  <si>
    <t xml:space="preserve">[DERIVED] yield Inputs!B24 x gypsum board SF; Div 09/A-001A</t>
  </si>
  <si>
    <t xml:space="preserve">Drywall screws #7 x 1-1/4" Type S bugle head - walls, 24" o.c. field (board on 20 ga studs)</t>
  </si>
  <si>
    <t xml:space="preserve">[DERIVED] 8.E/A-410 "FIELD 12" O.C. CEILINGS, 24" O.C. WALLS, BUTT JOINTS 12" O.C."; yield Inputs!B20 (0.46/SF) x wall board SF (RFI-D03)</t>
  </si>
  <si>
    <t xml:space="preserve">Drywall screws #7 x 1-1/4" Type S bugle head - ceilings and soffit undersides, 12" o.c. field</t>
  </si>
  <si>
    <t xml:space="preserve">[DERIVED] 8.E/A-410 12" o.c. ceilings; 0.83/SF = 0.75 LF framing per SF x 1 per LF + butt joints (RFI-D03)</t>
  </si>
  <si>
    <t xml:space="preserve">Type S-12 drywall screws #6 x 1-1/4" (board on 18 ga vestibule columns)</t>
  </si>
  <si>
    <t xml:space="preserve">[DERIVED] 8.E/A-410; 6/A-210; yield Inputs!B20 x vestibule column board</t>
  </si>
  <si>
    <t xml:space="preserve">Framing screws #8-18 x 1/2" pan head (20 ga studs)</t>
  </si>
  <si>
    <t xml:space="preserve">[DERIVED] 8.A/A-410 (min. 2 per connection) + 9/A-410 "#8 SCREWS EA. SIDE OF STUD TO TRACK"; yield Inputs!B21 x stud pieces</t>
  </si>
  <si>
    <t xml:space="preserve">Heavy-gauge framing screws #10-16 x 3/4" pan head (vestibule joists)</t>
  </si>
  <si>
    <t xml:space="preserve">[PENDING] 8.A/A-410 (18/16 ga: min. 3 per connection), 4/A-210 (6 per joist, RFI-B04)</t>
  </si>
  <si>
    <t xml:space="preserve">TEKS screws #10-16 at vestibule nested columns and box beam ((8) @ 16" o.c.)</t>
  </si>
  <si>
    <t xml:space="preserve">[DERIVED] 8/A-210 "(8) #10-16 TEKS 16" O.C. TYP.": columns 4 x 9 stations x 8 + beam 11 stations x 8 (RFI-B04)</t>
  </si>
  <si>
    <t xml:space="preserve">TEKS screws #10-16 x 3/4" at clip angles and moment clips</t>
  </si>
  <si>
    <t xml:space="preserve">[DERIVED] 5/A-410 "(4) TEK SCREWS" per 2x2 clip; A/A-410 "(1) #10-16 SCREW @ EACH FLANGE" per moment clip; 7/A-210 "(4) #10-16" per vestibule clip angle</t>
  </si>
  <si>
    <t xml:space="preserve">Power-driven fasteners, slab pins for the bottom track (2 rows @ 16")</t>
  </si>
  <si>
    <t xml:space="preserve">[DERIVED] 8.F/A-410 "2 ROWS AT 16" O.C." (conservative vs 9/A-410 @ 24", RFI-D01); Partition Takeoff pins; column wraps 1/A-101 C25</t>
  </si>
  <si>
    <t xml:space="preserve">Hilti Kwik HUS-EZ anchors 1/4" x 1-5/8" at moment clips (2 per clip)</t>
  </si>
  <si>
    <t xml:space="preserve">[DERIVED] A/A-410, 3/A-410, 4/A-410</t>
  </si>
  <si>
    <t xml:space="preserve">Self-tapping #8 pan head screws at relief channel @ 24" o.c. + 6" from ends</t>
  </si>
  <si>
    <t xml:space="preserve">[PENDING] 5/A-410 typ. connection detail; one run per full-height wall (RFI-D02)</t>
  </si>
  <si>
    <t xml:space="preserve">Cement board screws (yield = drywall screw yield)</t>
  </si>
  <si>
    <t xml:space="preserve">[PENDING] 22/A-201, 1/A-221; spacing not printed for cement board (RFI-D03)</t>
  </si>
  <si>
    <t xml:space="preserve">Plywood screws #10-24 x 1-1/4" Teks/3, 24" o.c. field / 12" o.c. perimeter</t>
  </si>
  <si>
    <t xml:space="preserve">[DERIVED] 8.D/A-410: 24" field + 12" perimeter = 32 per 4x8 sheet = 1.0 per SF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</si>
  <si>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</si>
  <si>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</si>
  <si>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</si>
  <si>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</si>
  <si>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Exterior walls (types 1, 1A, 1B, 1C) are EXISTING (A-101 legend 'EXISTING EXTERIOR WALL'; DM-101 key notes 3 and 6: patch and repair, facade to remain). 1/A-410 prints '5/8" GYP BD BY FUTURE TENANT' on the interior face and A-002 gives perimeter studs, insulation and vapor barrier to the Landlord. Base: excluded from the take-off (no row in the Partition Takeoff or Material Summary). Does the tenant GC install the interior GWB face?</t>
  </si>
  <si>
    <t xml:space="preserve">If yes (Alt A): +7,824 SF 5/8" GWB over 340.5 LF x 23'-0"/23'-8" (N 15'-7" + 158.8 ft, W 64.8 ft less 6.3 ft door, angled 23.7 ft, S 20'-11" + 6.2 + 50.6 ft) = +3,599 screws. If the tenant also frames (Alt B): +255 studs at 23'-0", +681 LF track, R-21 and vapor barrier 7,824 SF each. East facade piers (1B/1C) are not dimensioned: + piers x 21'-9" x 1 face. Stud o.c. is not printed for 1/1A/1B/1C (16" assumed; 24" cuts studs by about one third).</t>
  </si>
  <si>
    <t xml:space="preserve">RFI-04</t>
  </si>
  <si>
    <t xml:space="preserve">Types 3 and 4 partial-height walls (T.O. WALL 8'-0" / 7'-6" A.F.F.): studs run 'to bottom of nested stud bracing' with no top-cap detail.</t>
  </si>
  <si>
    <t xml:space="preserve">Base: track cap + GWB both faces to T.O. WALL. Alt: GWB wraps the top = + L x wall thickness (type 3: 38.7 LF x 0.40 ft = +15.5 SF; type 4: 75.5 LF x 0.40 ft = +30.2 SF).</t>
  </si>
  <si>
    <t xml:space="preserve">RFI-07</t>
  </si>
  <si>
    <t xml:space="preserve">Wet-area backing under restroom tile (tile 6'-7" on 2,3,4/A-200). 22/A-201 prints 1'-2" cement board base; 2/A-410 note 2 and note 7 print W.R. gypsum board above to the B.O. gyp ceiling; A-101 general note 8 allows moisture-resistant drywall or cement board. Base: cement board to 1'-2", W.R. above.</t>
  </si>
  <si>
    <t xml:space="preserve">If cement board is required behind all tile to 6'-7": +218.7 SF 5/8" cement board, -218.7 SF W.R. board (price delta only).</t>
  </si>
  <si>
    <t xml:space="preserve">RFI-08</t>
  </si>
  <si>
    <t xml:space="preserve">GWB ceiling and soffit framing system (restrooms 9'-0", vestibule 10'-6", cafe 9'-0"/11'-6"/11'-0", seating cloud 12'-0", G&amp;G 7'-1"): A-121 prints 12 ga hanger wire @ 48" o.c. but no furring/carrying channel layout. Not quantified (no suspension rows).</t>
  </si>
  <si>
    <t xml:space="preserve">Alt: 7/8" hat furring @ 16" o.c. = 0.75 LF per SF of GWB ceiling = 882 LF on 1,176.5 SF; hanger wire 1 per 16 SF = 74 hangers; carrying channel @ 48" o.c. = 0.25 LF per SF = 294 LF.</t>
  </si>
  <si>
    <t xml:space="preserve">RFI-10</t>
  </si>
  <si>
    <t xml:space="preserve">Demising wall (A-101 key note C5: patch/repair, add GWB/furring as required) has no extent printed; storage 112 north face.</t>
  </si>
  <si>
    <t xml:space="preserve">Base: patch only (0). Alt: new GWB face = L x 23'-0" per face with L about 37 ft by vector (start of demising not printed) = +851 SF.</t>
  </si>
  <si>
    <t xml:space="preserve">RFI-11</t>
  </si>
  <si>
    <t xml:space="preserve">No rated new partition is tagged (A-410 note 1 and the UL detail sheets apply only to rated assemblies; the construction legend has no rated line). Base: no rating.</t>
  </si>
  <si>
    <t xml:space="preserve">If 1-hr rating is required on the types 2/5 walls: +1 layer on affected faces = +5,926 SF GWB (about half of the wall board SF) and fire safing at deck.</t>
  </si>
  <si>
    <t xml:space="preserve">RFI-15</t>
  </si>
  <si>
    <t xml:space="preserve">Corner guards: spec A-001A Div 05 calls 2"x2"x72" metal corner guards at outside corners; A-101 note C22 calls stainless 48" A.F.F. at stock-room outside corners; A-131 req. 6 calls 2x2 full-height stainless in the workroom.</t>
  </si>
  <si>
    <t xml:space="preserve">Workroom 60.0 LF carried. Stock room C22: outside corners not itemised: 4 ea at door 11 jambs and wall ends x 4'-0" = +16 LF. Spec 72" guards at all other outside GWB corners: + corner count x 6'-0".</t>
  </si>
  <si>
    <t xml:space="preserve">RFI-B03</t>
  </si>
  <si>
    <t xml:space="preserve">Type 5 (6" studs) wall length 5-01 is not printed on A-101 (7" thickness read from the plan confirms the type; vector length 5.69 ft).</t>
  </si>
  <si>
    <t xml:space="preserve">Each +/-1'-0" = +/-1 stud (23 LF), +/-23 SF board per face set, +/-1.0 LF track pair.</t>
  </si>
  <si>
    <t xml:space="preserve">RFI-B04</t>
  </si>
  <si>
    <t xml:space="preserve">Vestibule framing (A-210): columns (4 boxed 5"x5", counted on 1/A-210), nested box beam on the W line 12'-8" between corner posts (1/A-210, 4/A-210), 8" joists @ 16" o.c. span 7'-8" with 8" ledger and 3/4" plywood deck. Joist gauge, ledger material and whether the storefront vendor (Div 08) furnishes the assembly are not printed. Screws: (8) #10-16 TEKS @ 16" o.c. read as 8 per 16" station.</t>
  </si>
  <si>
    <t xml:space="preserve">If excluded as storefront scope: -84 LF stud (columns), -25.3 LF stud, -25.3 LF track, -84.3 LF joist, -12.7 LF ledger, -97 SF GWB ceiling, -97 SF plywood, -70 SF column GWB, -168 LF bead, -376 TEKS. If (8) TEKS means 8 per column / per beam only: -344 TEKS.</t>
  </si>
  <si>
    <t xml:space="preserve">RFI-B05</t>
  </si>
  <si>
    <t xml:space="preserve">Insulation. (a) Thermafiber SAFB 'full cavity' (A-410 types 2, 5; H1) carried to full stud height. (b) 1/A-101 note: 3-1/2" sound blankets in the WALLS of rooms 103-112 (all ten rooms, ceiling column blank), but section G/A-221 prints 'WALL TYPE H2 NO SOUND CONTROL INSULATION' and E1/E2/F/H3/I show none: H2 and the cafe-side tags follow the printed H2 note.</t>
  </si>
  <si>
    <t xml:space="preserve">(a) Stopping the blanket at ceiling line + 6" (9'-6") on walls with ACT/GWB ceilings both sides: -802 SF. (b) Adding blankets to H2a (9.5 LF x 23'-0") and H3 (9.65 LF x 23'-0"): +440 SF.</t>
  </si>
  <si>
    <t xml:space="preserve">RFI-B06</t>
  </si>
  <si>
    <t xml:space="preserve">Type 4 X wall (A-101): 2 arcs 25'-1" printed (R32'-9"), caps 9'-0" printed, return length per end not printed (1'-10" taken from the printed 1'-10" dims, 4 returns).</t>
  </si>
  <si>
    <t xml:space="preserve">Each +/-1'-0" of return length = +/-4 LF wall = +/-60 SF board (both faces at 7'-6"), +/-3 studs. Corner count for bead (12) from plan geometry.</t>
  </si>
  <si>
    <t xml:space="preserve">RFI-B07</t>
  </si>
  <si>
    <t xml:space="preserve">3,4/A-410 'F.R.P. OVER 5/8" PLYWOOD WHERE SHELVING OCCURS': no shelving face is drawn on the cafe seating bars (type 3) or the X wall (type 4). Not in totals.</t>
  </si>
  <si>
    <t xml:space="preserve">Type 3: +96 SF FRP + 96 SF 5/8" FRT plywood per unit (12'-0" x 8'-0" one face; 2 units = 192 / 192 SF), minus same GWB. Type 4 X wall one face 50.2 LF x 7'-6" = +376 SF FRP / plywood, minus same GWB.</t>
  </si>
  <si>
    <t xml:space="preserve">RFI-B08</t>
  </si>
  <si>
    <t xml:space="preserve">Blocking not dimensioned: stock-room steel shelving (7/A-413, 5'-0" units, C14/C27 counts not read), receiving table (8,8A/A-413: 2x4 FRT 'continuous (TYP.)' read as 3 levels), restroom grab-bar and lavatory backing (21,26/A-201), break-room kitchen unit (6/A-412), menu-board plywood (dashed on 4/A-226A, thickness not printed). Carried: office walls 64.3 LF (3,4/A-412), kitchen 5.3 LF, menu board 35.7 SF 3/4", janitor 23 SF (11/A-200).</t>
  </si>
  <si>
    <t xml:space="preserve">Receiving table 1 row instead of 3: -69.0 LF. Stock shelving: units x 5'-0" x levels (&lt;= 4). Grab-bar backing 28 SF 3/4" FRT if not by the EC. Menu board 1/2" FRT instead of 3/4": no change in SF.</t>
  </si>
  <si>
    <t xml:space="preserve">RFI-B09</t>
  </si>
  <si>
    <t xml:space="preserve">Workroom FRP-1 (A-225, 1-4/A-226B): FRP is carried from 6" above the floor (J-mold at the top of the 6" EP-1 base, 3,4/A-225) to 10'-0" (pattern fills the full elevation; the 6'-0" and 4'-0" dims on 1/A-226B are equipment heights). Top termination bar and inside/outside corner moldings are not printed (A-225 note: 'including 6" base with termination bar'). Stainless 2x2 full-height corner guards (A-131 req. 6): 6 corners counted (H2b stub 4 + door 3 jambs 2).</t>
  </si>
  <si>
    <t xml:space="preserve">Top termination bar: +78.6 LF PVC trim. Each corner more or less = +/-10 LF guard. FRP only to 6'-0": -317 SF.</t>
  </si>
  <si>
    <t xml:space="preserve">RFI-B10</t>
  </si>
  <si>
    <t xml:space="preserve">H2b stub (1.95 ft, A-221) top of wall not printed; base 10'-0" (workroom wall height 2/A-226B).</t>
  </si>
  <si>
    <t xml:space="preserve">To deck 23'-0": +13 ft x 1.95 x 2 faces = +50.7 SF plywood and +2 studs.</t>
  </si>
  <si>
    <t xml:space="preserve">RFI-B11</t>
  </si>
  <si>
    <t xml:space="preserve">Cafe GWB ceiling zones (9'-0"/11'-6"/11'-0", A-121) are not dimensioned; total 284 SF [DERIVED]. Wall board on cafe faces carried to 11'-6" + 6" = 12'-0". Seating cloud 46'-0" x 14'-0" edge/fascia not detailed.</t>
  </si>
  <si>
    <t xml:space="preserve">Each 1'-0" of cafe face height (E1-01, E1-02, F, H2a, H3) = +44 SF. Framed bulkhead around the 120 LF cloud perimeter: + 91 studs @16" x 1'-0" fascia, +240 LF track.</t>
  </si>
  <si>
    <t xml:space="preserve">RFI-B12</t>
  </si>
  <si>
    <t xml:space="preserve">E1 stub/pier 1'-0" x 2'-8" HOLD at the cafe/workroom division (1/A-221): second face and closure not printed. Base: 2.67 LF, 1 face 1/2" cement board.</t>
  </si>
  <si>
    <t xml:space="preserve">Closed box 2 x (2'-8" + 1'-0") = 7.33 LF, 4 faces: +4.7 LF, +3 studs, +58 SF cement board.</t>
  </si>
  <si>
    <t xml:space="preserve">RFI-B13</t>
  </si>
  <si>
    <t xml:space="preserve">Cafe column box F (3'-3" x 3'-3"): section F prints 'to bottom of nested stud bracing' with no top. Base: studs to deck, plywood to 12'-0".</t>
  </si>
  <si>
    <t xml:space="preserve">Box to ceiling (12'-0"): -11 ft x 11 studs = -121 LF stud.</t>
  </si>
  <si>
    <t xml:space="preserve">RFI-B14</t>
  </si>
  <si>
    <t xml:space="preserve">Soffits 2,3/A-221: layers per face are now read from the sections (exposed face FRT plywood to T.O. WD-1 and GWB above; cafe inner face GWB; G&amp;G inner face unboarded). T.O. WD-1 'see elevation' read as 15'-0" (6/A-226A); depth 7 1/4" for the cafe soffit taken from the G&amp;G printed dim; cross bracing 'as req'd' not quantified.</t>
  </si>
  <si>
    <t xml:space="preserve">T.O. WD-1 at 11'-0" instead of 15'-0": plywood -4.0 ft x 36.7 LF = -147 SF, GWB +147 SF. Cross bracing: + 2 diagonals per 4'-0" bay x 15 ft = about +105 LF C.R. channel.</t>
  </si>
  <si>
    <t xml:space="preserve">RFI-B15</t>
  </si>
  <si>
    <t xml:space="preserve">Face tags 'I SIM.' (A-221 plan, 4 tags): two at G&amp;G jambs (7 1/4" printed), one at the E1 stub (1'-0"), one at the SE storefront jamb (thickness not printed, 0 LF).</t>
  </si>
  <si>
    <t xml:space="preserve">4th tag: +0.6 to 1.0 LF x (15'-0" plywood + 8'-0" GWB) = +9 to +15 SF plywood and +5 to +8 SF GWB.</t>
  </si>
  <si>
    <t xml:space="preserve">RFI-B16</t>
  </si>
  <si>
    <t xml:space="preserve">Counter D (sec D/A-221) prints only the pastry-side layers (FRP-1 over 1/2" cement board); the cafe-side layers are not printed (1/2" cement board assumed).</t>
  </si>
  <si>
    <t xml:space="preserve">If gypsum board instead: -16.6 SF cement board, +16.6 SF GWB.</t>
  </si>
  <si>
    <t xml:space="preserve">RFI-B17</t>
  </si>
  <si>
    <t xml:space="preserve">Ceiling sound blankets conflict: 2/A-410 prints 'FINISHED CEILING (SOUND ATTENUATION BLANKETS AT TOILETS, OFFICES, AND BREAK ROOM ONLY)'; the 1/A-101 room table prints the CEILING column blank for rooms 103-112. Base: carried per the detail (more material).</t>
  </si>
  <si>
    <t xml:space="preserve">If the A-101 table governs: -479.7 SF 3-1/2" blanket (RR 130.0 + break 240.1 + manager 109.7 SF).</t>
  </si>
  <si>
    <t xml:space="preserve">RFI-B18</t>
  </si>
  <si>
    <t xml:space="preserve">L/J-bead, reveals, shadow molds: no edge detail or metal reveal is drawn on A-101/A-121/A-221/A-225 (Div 05 C 'reveals per plans'); 0 LF carried.</t>
  </si>
  <si>
    <t xml:space="preserve">Casing bead at GWB ceiling perimeters = about 316 LF (32.3 x 2 + 40.7 + 71.8 + 19.3 + 120).</t>
  </si>
  <si>
    <t xml:space="preserve">RFI-B19</t>
  </si>
  <si>
    <t xml:space="preserve">Fire-stop track at ceiling line (4/A-410, 8/A-410 'TYP.'): carried on every wall to deck with a ceiling on at least one face (23 runs); furnished by? (A-002: firestopping LL / sealants TC).</t>
  </si>
  <si>
    <t xml:space="preserve">Carried 265.7 LF (159.5 LF 3-5/8" + 106.2 LF 6"), up from 151.4 LF in pass 1. If only the 14 runs with ACT/GWB ceilings on both faces count: -114.3 LF.</t>
  </si>
  <si>
    <t xml:space="preserve">RFI-B20</t>
  </si>
  <si>
    <t xml:space="preserve">Wall heights: A-400A/B print 'B.O. JOIST EL. 23'-0" V.I.F.' with the wall height dimension to it (N 23'-0", S 23'-0", W 23'-8", E 21'-9") and B.O. deck 25'-0"/24'-0"/25'-7" V.I.F.; 2/A-410 and 5/A-410 place the deflection track at 'UNDERSIDE OF DECK'. Walls are carried to the printed wall-height dimension (not to the max).</t>
  </si>
  <si>
    <t xml:space="preserve">If studs must reach the B.O. deck: +2.0 ft x 400.7 LF of full-height walls = +801 SF per face and +2 ft x 353 studs = +706 LF.</t>
  </si>
  <si>
    <t xml:space="preserve">RFI-B21</t>
  </si>
  <si>
    <t xml:space="preserve">Door headers: no header schedule and no head detail is printed (1/A-500 shows the HM jamb only). Header track is therefore carried at 0 LF; jamb studs (2 per opening) stay. 9 new openings: D3 4'-0"x8'-0", D4-D7 and D14 3'-0"x7'-0", D8/D9 R.O. 3'-4" printed, D11 4'-0"x7'-0".</t>
  </si>
  <si>
    <t xml:space="preserve">If head framing (2 track pieces, R.O. + 1'-4") is required: +83.35 LF 3-5/8" track (D3 10.67, D4 8.67, D5 8.67, D6 8.67, D7 8.67, D8 9.33, D9 9.33, D11 10.67, D14 8.67).</t>
  </si>
  <si>
    <t xml:space="preserve">RFI-B24</t>
  </si>
  <si>
    <t xml:space="preserve">Storage 112 N face / demising wall (C5): see RFI-10. Loading-zone angled wall and doors 12/13 are existing (excluded, RFI-01).</t>
  </si>
  <si>
    <t xml:space="preserve">n/a: see RFI-10 and RFI-01 deltas.</t>
  </si>
  <si>
    <t xml:space="preserve">RFI-C01</t>
  </si>
  <si>
    <t xml:space="preserve">Stud gauge per type is not scheduled (3/A-410 gives max heights only; 8/A-410 note 5: min 20 ga). 20 ga carried for 3-5/8" and 6". 3-5/8" walls at 23'-0" exceed the 20 ga ST limit of 17'-11" and also 14 ga SJ 22'-0" (3/A-410); 6" 18 ga SJ reaches 28'-0".</t>
  </si>
  <si>
    <t xml:space="preserve">Gauge changes unit price per LF only. 18/16 ga studs use #10-16 x 3/4" screws (6 per stud) instead of #8 (4 per stud): moving all 3-5/8" studs to 16 ga = +2 x 385 = +770 screws.</t>
  </si>
  <si>
    <t xml:space="preserve">RFI-C02</t>
  </si>
  <si>
    <t xml:space="preserve">Clip angles at C.R. channel / stud crossings: 5/A-410 prints one 2"x2"x16 ga clip with (4) TEK screws at each crossing; bracing rows start 4'-0" above floor, every 4'-0".</t>
  </si>
  <si>
    <t xml:space="preserve">Base 1771 clips x 4 = 7084 TEK screws (pass 1 used 2 per clip). If bracing is required only above 12'-0" (stud schedule note 3): rows at 4'-0" and 8'-0" would drop on walls under 12'-0" (types 3, 4, counters, H2b).</t>
  </si>
  <si>
    <t xml:space="preserve">RFI-C03</t>
  </si>
  <si>
    <t xml:space="preserve">Spec A-001A Div 09 lists 5/8" Type X; plans (A-410, A-221) say 5/8" GWB / W.R. gyp bd and tag no rated partition. Base: regular 5/8" GWB and W.R.</t>
  </si>
  <si>
    <t xml:space="preserve">Type X on all board: same SF (14,243 SF GWB), price per SF only.</t>
  </si>
  <si>
    <t xml:space="preserve">RFI-C04</t>
  </si>
  <si>
    <t xml:space="preserve">Cement board screw spacing is not printed (8.E covers gypsum board only): 1.2 per SF carried. Slab pins and top fasteners: see RFI-D01, RFI-D02.</t>
  </si>
  <si>
    <t xml:space="preserve">Cement board at 0.46 per SF like gypsum: -359 screws.</t>
  </si>
  <si>
    <t xml:space="preserve">RFI-C06</t>
  </si>
  <si>
    <t xml:space="preserve">Stud stock: printed wall heights are 23'-0" to 23'-8", so 20 ft sticks cannot make full-height studs; Inputs set to 24 ft stock. Bottom track and pins are not deducted at doors.</t>
  </si>
  <si>
    <t xml:space="preserve">With 20 ft stock, full-height studs would be spliced or special-ordered; 24 ft stock leaves a 1'-0" offcut per stud inside the 15 % metal waste.</t>
  </si>
  <si>
    <t xml:space="preserve">RFI-D01</t>
  </si>
  <si>
    <t xml:space="preserve">Floor-track anchorage conflict: 8.F/A-410 prints 'X-DNI fastener, 1" min length, 2 ROWS AT 16" O.C.'; 9/A-410 prints '0.177 dia. Hilti powder-actuated fastener at 24"' for the same track. The more demanding printed value (8.F) is carried.</t>
  </si>
  <si>
    <t xml:space="preserve">If 9/A-410 governs (1 row @ 24"): 786 -&gt; 262 pins (-524). Types 3/4 keep HUS-EZ anchors at the moment clips.</t>
  </si>
  <si>
    <t xml:space="preserve">RFI-D02</t>
  </si>
  <si>
    <t xml:space="preserve">Top-of-wall connection (5/A-410 typ. connection detail): continuous 20 ga x 2" min deep relief channel anchored with #8 pan head screws at 24" o.c. and 6" from ends, plus the slotted deflection track (4/A-410, 8/A-410). Not clear whether the relief channel is in addition to or instead of the slotted track. 8.C/A-410 alternatively prints X-EDNI fasteners 2 rows @ 16" for tracks fixed to structural steel.</t>
  </si>
  <si>
    <t xml:space="preserve">If instead of the slotted track: -398.5 LF relief channel and -220 screws, no change in slotted-track LF. If X-EDNI 2 rows @ 16" applies: 598 fasteners instead of 220.</t>
  </si>
  <si>
    <t xml:space="preserve">RFI-D03</t>
  </si>
  <si>
    <t xml:space="preserve">Board screw yield: 8.E/A-410 prints 24" o.c. on walls, 12" o.c. on ceilings, butt joints 12" o.c. Carried 0.46 per SF on walls and 0.83 per SF on ceilings (pass 1 used the skill default 1.2 per SF, not printed).</t>
  </si>
  <si>
    <t xml:space="preserve">At the 1.2 per SF skill default: +10,743 screws.</t>
  </si>
  <si>
    <t xml:space="preserve">RFI-D04</t>
  </si>
  <si>
    <t xml:space="preserve">Menu-board FRT plywood blocking (dashed on 4/A-226A): thickness and extent beyond the five printed frames (4 x 24"x31" + 1 x 70"x31") are not printed; carried 35.7 SF 3/4".</t>
  </si>
  <si>
    <t xml:space="preserve">If the dashed zone is the full tile field (23'-3" x 6'-3"): +109 SF.</t>
  </si>
  <si>
    <t xml:space="preserve">28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</si>
  <si>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</si>
  <si>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</si>
  <si>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</si>
  <si>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</si>
  <si>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</si>
  <si>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</si>
  <si>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1/28</t>
  </si>
  <si>
    <t xml:space="preserve">Floor plan</t>
  </si>
  <si>
    <t xml:space="preserve">2</t>
  </si>
  <si>
    <t xml:space="preserve">Verify tag count and location of type 2 (15 wall rows)</t>
  </si>
  <si>
    <t xml:space="preserve">Zoom crop of 1/A-101 (&gt;= 200 dpi) around the tags / detail</t>
  </si>
  <si>
    <t xml:space="preserve">2/28</t>
  </si>
  <si>
    <t xml:space="preserve">3</t>
  </si>
  <si>
    <t xml:space="preserve">Verify tag count and location of type 3 (2 wall rows)</t>
  </si>
  <si>
    <t xml:space="preserve">3/28</t>
  </si>
  <si>
    <t xml:space="preserve">4</t>
  </si>
  <si>
    <t xml:space="preserve">Verify tag count and location of type 4 (1 wall rows)</t>
  </si>
  <si>
    <t xml:space="preserve">4/28</t>
  </si>
  <si>
    <t xml:space="preserve">5</t>
  </si>
  <si>
    <t xml:space="preserve">Verify tag count and location of type 5 (1 wall rows)</t>
  </si>
  <si>
    <t xml:space="preserve">5/28</t>
  </si>
  <si>
    <t xml:space="preserve">E1</t>
  </si>
  <si>
    <t xml:space="preserve">Verify tag count and location of type E1 (2 wall rows); PENDING rows: E1-02</t>
  </si>
  <si>
    <t xml:space="preserve">Zoom crop of 1/A-221 (&gt;= 200 dpi) around the tags / detail</t>
  </si>
  <si>
    <t xml:space="preserve">6/28</t>
  </si>
  <si>
    <t xml:space="preserve">E2</t>
  </si>
  <si>
    <t xml:space="preserve">Verify tag count and location of type E2 (1 wall rows)</t>
  </si>
  <si>
    <t xml:space="preserve">7/28</t>
  </si>
  <si>
    <t xml:space="preserve">F</t>
  </si>
  <si>
    <t xml:space="preserve">Verify tag count and location of type F (1 wall rows); PENDING rows: F-01</t>
  </si>
  <si>
    <t xml:space="preserve">8/28</t>
  </si>
  <si>
    <t xml:space="preserve">H1</t>
  </si>
  <si>
    <t xml:space="preserve">Verify tag count and location of type H1 (2 wall rows)</t>
  </si>
  <si>
    <t xml:space="preserve">9/28</t>
  </si>
  <si>
    <t xml:space="preserve">H2a</t>
  </si>
  <si>
    <t xml:space="preserve">Verify tag count and location of type H2a (1 wall rows)</t>
  </si>
  <si>
    <t xml:space="preserve">10/28</t>
  </si>
  <si>
    <t xml:space="preserve">H2b</t>
  </si>
  <si>
    <t xml:space="preserve">Verify tag count and location of type H2b (1 wall rows)</t>
  </si>
  <si>
    <t xml:space="preserve">11/28</t>
  </si>
  <si>
    <t xml:space="preserve">H3a</t>
  </si>
  <si>
    <t xml:space="preserve">Verify tag count and location of type H3a (1 wall rows)</t>
  </si>
  <si>
    <t xml:space="preserve">12/28</t>
  </si>
  <si>
    <t xml:space="preserve">H3b</t>
  </si>
  <si>
    <t xml:space="preserve">Verify tag count and location of type H3b (1 wall rows)</t>
  </si>
  <si>
    <t xml:space="preserve">13/28</t>
  </si>
  <si>
    <t xml:space="preserve">I</t>
  </si>
  <si>
    <t xml:space="preserve">Verify tag count and location of type I (4 wall rows); PENDING rows: I-03, I-04</t>
  </si>
  <si>
    <t xml:space="preserve">14/28</t>
  </si>
  <si>
    <t xml:space="preserve">CTR A</t>
  </si>
  <si>
    <t xml:space="preserve">Verify tag count and location of type CTR A (1 wall rows)</t>
  </si>
  <si>
    <t xml:space="preserve">15/28</t>
  </si>
  <si>
    <t xml:space="preserve">CTR B</t>
  </si>
  <si>
    <t xml:space="preserve">Verify tag count and location of type CTR B (1 wall rows)</t>
  </si>
  <si>
    <t xml:space="preserve">16/28</t>
  </si>
  <si>
    <t xml:space="preserve">CTR C</t>
  </si>
  <si>
    <t xml:space="preserve">Verify tag count and location of type CTR C (1 wall rows)</t>
  </si>
  <si>
    <t xml:space="preserve">17/28</t>
  </si>
  <si>
    <t xml:space="preserve">CTR D</t>
  </si>
  <si>
    <t xml:space="preserve">Verify tag count and location of type CTR D (1 wall rows); PENDING rows: CA-D</t>
  </si>
  <si>
    <t xml:space="preserve">18/28</t>
  </si>
  <si>
    <t xml:space="preserve">Detail</t>
  </si>
  <si>
    <t xml:space="preserve">Exterior wall details 1, 1A, 1B, 1C (scope Alt A)</t>
  </si>
  <si>
    <t xml:space="preserve">1/A-410</t>
  </si>
  <si>
    <t xml:space="preserve">Zoom crop of 1/A-410 (&gt;= 200 dpi) around the tags / detail</t>
  </si>
  <si>
    <t xml:space="preserve">19/28</t>
  </si>
  <si>
    <t xml:space="preserve">Type 2 layers, W.R. wet side, deflection track</t>
  </si>
  <si>
    <t xml:space="preserve">2/A-410</t>
  </si>
  <si>
    <t xml:space="preserve">Zoom crop of 2/A-410 (&gt;= 200 dpi) around the tags / detail</t>
  </si>
  <si>
    <t xml:space="preserve">20/28</t>
  </si>
  <si>
    <t xml:space="preserve">Type 3 partial height, stud schedule (gauge)</t>
  </si>
  <si>
    <t xml:space="preserve">3/A-410</t>
  </si>
  <si>
    <t xml:space="preserve">Zoom crop of 3/A-410 (&gt;= 200 dpi) around the tags / detail</t>
  </si>
  <si>
    <t xml:space="preserve">21/28</t>
  </si>
  <si>
    <t xml:space="preserve">Type 4 partial height, slip track</t>
  </si>
  <si>
    <t xml:space="preserve">4/A-410</t>
  </si>
  <si>
    <t xml:space="preserve">Zoom crop of 4/A-410 (&gt;= 200 dpi) around the tags / detail</t>
  </si>
  <si>
    <t xml:space="preserve">22/28</t>
  </si>
  <si>
    <t xml:space="preserve">Type 5 and lateral bracing / clip angles</t>
  </si>
  <si>
    <t xml:space="preserve">5/A-410</t>
  </si>
  <si>
    <t xml:space="preserve">Zoom crop of 5/A-410 (&gt;= 200 dpi) around the tags / detail</t>
  </si>
  <si>
    <t xml:space="preserve">23/28</t>
  </si>
  <si>
    <t xml:space="preserve">Fastener notes 8.A-8.F, fire stop TYP</t>
  </si>
  <si>
    <t xml:space="preserve">8/A-410</t>
  </si>
  <si>
    <t xml:space="preserve">Zoom crop of 8/A-410 (&gt;= 200 dpi) around the tags / detail</t>
  </si>
  <si>
    <t xml:space="preserve">24/28</t>
  </si>
  <si>
    <t xml:space="preserve">Moment clip base connection</t>
  </si>
  <si>
    <t xml:space="preserve">A/A-410</t>
  </si>
  <si>
    <t xml:space="preserve">Zoom crop of A/A-410 (&gt;= 200 dpi) around the tags / detail</t>
  </si>
  <si>
    <t xml:space="preserve">25/28</t>
  </si>
  <si>
    <t xml:space="preserve">Vestibule framing plan</t>
  </si>
  <si>
    <t xml:space="preserve">1/A-210</t>
  </si>
  <si>
    <t xml:space="preserve">Zoom crop of 1/A-210 (&gt;= 200 dpi) around the tags / detail</t>
  </si>
  <si>
    <t xml:space="preserve">26/28</t>
  </si>
  <si>
    <t xml:space="preserve">Vestibule column / beam details</t>
  </si>
  <si>
    <t xml:space="preserve">8/A-210</t>
  </si>
  <si>
    <t xml:space="preserve">Zoom crop of 8/A-210 (&gt;= 200 dpi) around the tags / detail</t>
  </si>
  <si>
    <t xml:space="preserve">27/28</t>
  </si>
  <si>
    <t xml:space="preserve">Section G wall layers per face</t>
  </si>
  <si>
    <t xml:space="preserve">G/A-221</t>
  </si>
  <si>
    <t xml:space="preserve">Zoom crop of G/A-221 (&gt;= 200 dpi) around the tags / detail</t>
  </si>
  <si>
    <t xml:space="preserve">28/28</t>
  </si>
  <si>
    <t xml:space="preserve">Janitor 3/4" FRT plywood area</t>
  </si>
  <si>
    <t xml:space="preserve">11/A-200</t>
  </si>
  <si>
    <t xml:space="preserve">Zoom crop of 11/A-200 (&gt;= 200 dpi) around the tags / detail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</si>
  <si>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</si>
  <si>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</si>
  <si>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</si>
  <si>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</si>
  <si>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(types 2, 3, 4, 5, cafe/workroom tags)</t>
  </si>
  <si>
    <t xml:space="preserve">QUANTIFIED</t>
  </si>
  <si>
    <t xml:space="preserve">Partition Takeoff, 2-5/A-410, 1/A-101, 1/A-221</t>
  </si>
  <si>
    <t xml:space="preserve">ALC-02</t>
  </si>
  <si>
    <t xml:space="preserve">Existing exterior walls (types 1, 1A, 1B, 1C): excluded, no rows; tenant GWB face by RFI</t>
  </si>
  <si>
    <t xml:space="preserve">Existing walls (A-101 legend, DM-101 key notes 3, 6); not in Partition Takeoff or Material Summary; RFI-01, 1-1C/A-410</t>
  </si>
  <si>
    <t xml:space="preserve">ALC-03</t>
  </si>
  <si>
    <t xml:space="preserve">Header track at door openings</t>
  </si>
  <si>
    <t xml:space="preserve">No header schedule or head detail printed (1/A-500); 0 LF carried, RFI-B21</t>
  </si>
  <si>
    <t xml:space="preserve">ALC-04</t>
  </si>
  <si>
    <t xml:space="preserve">Nested stud bracing and clip angles (4 TEK screws per clip)</t>
  </si>
  <si>
    <t xml:space="preserve">note 4/A-410, 5/A-410 (RFI-C02)</t>
  </si>
  <si>
    <t xml:space="preserve">ALC-05</t>
  </si>
  <si>
    <t xml:space="preserve">Blocking and FRT plywood backing</t>
  </si>
  <si>
    <t xml:space="preserve">Receiving table, office walls, kitchen, menu board carried; steel shelving PENDING (RFI-B08), 7/A-413, 3,4,6/A-412</t>
  </si>
  <si>
    <t xml:space="preserve">ALC-06</t>
  </si>
  <si>
    <t xml:space="preserve">Gypsum board 5/8" regular, W.R., cement board, FRT plywood</t>
  </si>
  <si>
    <t xml:space="preserve">Material Summary, 2/A-410, 22/A-201, 1/A-221</t>
  </si>
  <si>
    <t xml:space="preserve">ALC-07</t>
  </si>
  <si>
    <t xml:space="preserve">Type X gypsum board</t>
  </si>
  <si>
    <t xml:space="preserve">RFI-C03, A-001A Div 09</t>
  </si>
  <si>
    <t xml:space="preserve">ALC-08</t>
  </si>
  <si>
    <t xml:space="preserve">GWB ceilings and soffits (layers per face from 2,3/A-221)</t>
  </si>
  <si>
    <t xml:space="preserve">1/A-121, 2/A-221, 3/A-221 (zones PENDING, RFI-B11, RFI-B14)</t>
  </si>
  <si>
    <t xml:space="preserve">ALC-09</t>
  </si>
  <si>
    <t xml:space="preserve">Acoustical ceilings ACT-1 / ACT-3</t>
  </si>
  <si>
    <t xml:space="preserve">NOT APPLICABLE</t>
  </si>
  <si>
    <t xml:space="preserve">Ceiling sub, 1/A-121</t>
  </si>
  <si>
    <t xml:space="preserve">ALC-10</t>
  </si>
  <si>
    <t xml:space="preserve">Ceiling sound blankets 3-1/2" (toilets, offices, break room)</t>
  </si>
  <si>
    <t xml:space="preserve">2/A-410 vs 1/A-101 table conflict, RFI-B17</t>
  </si>
  <si>
    <t xml:space="preserve">ALC-11</t>
  </si>
  <si>
    <t xml:space="preserve">Wall insulation Thermafiber SAFB</t>
  </si>
  <si>
    <t xml:space="preserve">2/A-410, 5/A-410, section G/A-221 (RFI-B05)</t>
  </si>
  <si>
    <t xml:space="preserve">ALC-12</t>
  </si>
  <si>
    <t xml:space="preserve">Exterior R-21 batt and vapor barrier</t>
  </si>
  <si>
    <t xml:space="preserve">Landlord scope, A-002 (RFI-01)</t>
  </si>
  <si>
    <t xml:space="preserve">ALC-13</t>
  </si>
  <si>
    <t xml:space="preserve">FRP panels (from 6" above floor) and PVC trim (J-mold, division bars)</t>
  </si>
  <si>
    <t xml:space="preserve">1/A-225, 3,4/A-225, 9-12/A-200, 1-4/A-226B</t>
  </si>
  <si>
    <t xml:space="preserve">ALC-14</t>
  </si>
  <si>
    <t xml:space="preserve">Corner bead, control joints, corner guards</t>
  </si>
  <si>
    <t xml:space="preserve">6/A-210, 1/A-101 C25; C22 stock-room guards PENDING (RFI-15)</t>
  </si>
  <si>
    <t xml:space="preserve">ALC-15</t>
  </si>
  <si>
    <t xml:space="preserve">L/J-bead, reveals, shadow molds</t>
  </si>
  <si>
    <t xml:space="preserve">No edge details drawn, RFI-B18, A-001A Div 05</t>
  </si>
  <si>
    <t xml:space="preserve">ALC-16</t>
  </si>
  <si>
    <t xml:space="preserve">Fire stop track at ceiling line (all walls to deck with a ceiling on a face)</t>
  </si>
  <si>
    <t xml:space="preserve">4/A-410, 8/A-410 TYP (RFI-B19)</t>
  </si>
  <si>
    <t xml:space="preserve">ALC-17</t>
  </si>
  <si>
    <t xml:space="preserve">Acoustical sealant at runners; firestop sealants</t>
  </si>
  <si>
    <t xml:space="preserve">Clarifications only; sealants TC / firestop LL per A-002</t>
  </si>
  <si>
    <t xml:space="preserve">ALC-18</t>
  </si>
  <si>
    <t xml:space="preserve">Fasteners (screws, pins, anchors, relief-channel screws)</t>
  </si>
  <si>
    <t xml:space="preserve">Material Summary FASTENER rows; 8.A-8.F/A-410, 5/A-410, 9/A-410</t>
  </si>
  <si>
    <t xml:space="preserve">ALC-19</t>
  </si>
  <si>
    <t xml:space="preserve">Expansion anchors for exterior bottom track</t>
  </si>
  <si>
    <t xml:space="preserve">No tenant exterior framing, 1-1C/A-410</t>
  </si>
  <si>
    <t xml:space="preserve">ALC-20</t>
  </si>
  <si>
    <t xml:space="preserve">Fixture installs BY GC / fixture installer</t>
  </si>
  <si>
    <t xml:space="preserve">Estimating convention (not by this trade), 1/A-111</t>
  </si>
  <si>
    <t xml:space="preserve">ALC-21</t>
  </si>
  <si>
    <t xml:space="preserve">Relief channel at top of full-height walls</t>
  </si>
  <si>
    <t xml:space="preserve">5/A-410 typ. connection detail, RFI-D02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</si>
</sst>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24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0" t="s">
        <v>20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s">
        <v>20</v>
      </c>
      <c r="C13" s="0" t="s">
        <v>21</v>
      </c>
    </row>
    <row r="14" customFormat="false" ht="15" hidden="false" customHeight="false" outlineLevel="0" collapsed="false">
      <c r="A14" s="0" t="s">
        <v>23</v>
      </c>
      <c r="B14" s="0" t="s">
        <v>20</v>
      </c>
      <c r="C14" s="0" t="s">
        <v>21</v>
      </c>
    </row>
    <row r="15" customFormat="false" ht="15" hidden="false" customHeight="false" outlineLevel="0" collapsed="false">
      <c r="A15" s="0" t="s">
        <v>24</v>
      </c>
      <c r="B15" s="3" t="n">
        <v>25</v>
      </c>
      <c r="C15" s="4" t="s">
        <v>25</v>
      </c>
    </row>
    <row r="16" customFormat="false" ht="15" hidden="false" customHeight="false" outlineLevel="0" collapsed="false">
      <c r="A16" s="0" t="s">
        <v>26</v>
      </c>
      <c r="B16" s="3" t="n">
        <v>16</v>
      </c>
      <c r="C16" s="4" t="s">
        <v>27</v>
      </c>
    </row>
    <row r="17" customFormat="false" ht="15" hidden="false" customHeight="false" outlineLevel="0" collapsed="false">
      <c r="A17" s="0" t="s">
        <v>28</v>
      </c>
      <c r="B17" s="3" t="n">
        <v>12</v>
      </c>
      <c r="C17" s="4" t="s">
        <v>29</v>
      </c>
    </row>
    <row r="18" customFormat="false" ht="15" hidden="false" customHeight="false" outlineLevel="0" collapsed="false">
      <c r="A18" s="0" t="s">
        <v>30</v>
      </c>
      <c r="B18" s="3" t="n">
        <v>10</v>
      </c>
      <c r="C18" s="4" t="s">
        <v>31</v>
      </c>
    </row>
    <row r="19" customFormat="false" ht="15" hidden="false" customHeight="false" outlineLevel="0" collapsed="false">
      <c r="A19" s="0" t="s">
        <v>32</v>
      </c>
      <c r="B19" s="3" t="s">
        <v>33</v>
      </c>
      <c r="C19" s="4" t="s">
        <v>34</v>
      </c>
    </row>
    <row r="20" customFormat="false" ht="15" hidden="false" customHeight="false" outlineLevel="0" collapsed="false">
      <c r="A20" s="0" t="s">
        <v>35</v>
      </c>
      <c r="B20" s="3" t="n">
        <v>0.46</v>
      </c>
      <c r="C20" s="4" t="s">
        <v>36</v>
      </c>
    </row>
    <row r="21" customFormat="false" ht="15" hidden="false" customHeight="false" outlineLevel="0" collapsed="false">
      <c r="A21" s="0" t="s">
        <v>37</v>
      </c>
      <c r="B21" s="3" t="n">
        <v>4</v>
      </c>
      <c r="C21" s="4" t="s">
        <v>38</v>
      </c>
    </row>
    <row r="22" customFormat="false" ht="15" hidden="false" customHeight="false" outlineLevel="0" collapsed="false">
      <c r="A22" s="0" t="s">
        <v>39</v>
      </c>
      <c r="B22" s="3" t="n">
        <v>1.33333333333333</v>
      </c>
      <c r="C22" s="4" t="s">
        <v>40</v>
      </c>
    </row>
    <row r="23" customFormat="false" ht="15" hidden="false" customHeight="false" outlineLevel="0" collapsed="false">
      <c r="A23" s="0" t="s">
        <v>41</v>
      </c>
      <c r="B23" s="3" t="n">
        <v>0.072</v>
      </c>
      <c r="C23" s="4" t="s">
        <v>42</v>
      </c>
    </row>
    <row r="24" customFormat="false" ht="15" hidden="false" customHeight="false" outlineLevel="0" collapsed="false">
      <c r="A24" s="0" t="s">
        <v>43</v>
      </c>
      <c r="B24" s="3" t="n">
        <v>0.37</v>
      </c>
      <c r="C24" s="4" t="s">
        <v>44</v>
      </c>
    </row>
    <row r="25" customFormat="false" ht="15" hidden="false" customHeight="false" outlineLevel="0" collapsed="false">
      <c r="A25" s="0" t="s">
        <v>45</v>
      </c>
      <c r="B25" s="3" t="n">
        <v>0.666666666666667</v>
      </c>
      <c r="C25" s="4" t="s">
        <v>46</v>
      </c>
    </row>
    <row r="26" customFormat="false" ht="15" hidden="false" customHeight="false" outlineLevel="0" collapsed="false">
      <c r="A26" s="0" t="s">
        <v>47</v>
      </c>
      <c r="B26" s="3" t="n">
        <v>16</v>
      </c>
      <c r="C26" s="4" t="s">
        <v>48</v>
      </c>
    </row>
    <row r="27" customFormat="false" ht="15" hidden="false" customHeight="false" outlineLevel="0" collapsed="false">
      <c r="A27" s="0" t="s">
        <v>49</v>
      </c>
      <c r="B27" s="3" t="n">
        <v>12</v>
      </c>
      <c r="C27" s="4" t="s">
        <v>50</v>
      </c>
    </row>
    <row r="28" customFormat="false" ht="15" hidden="false" customHeight="false" outlineLevel="0" collapsed="false">
      <c r="A28" s="0" t="s">
        <v>51</v>
      </c>
      <c r="B28" s="3" t="n">
        <v>4</v>
      </c>
      <c r="C28" s="4" t="s">
        <v>52</v>
      </c>
    </row>
    <row r="29" customFormat="false" ht="15" hidden="false" customHeight="false" outlineLevel="0" collapsed="false">
      <c r="A29" s="0" t="s">
        <v>53</v>
      </c>
      <c r="B29" s="3" t="n">
        <v>12</v>
      </c>
      <c r="C29" s="4" t="s">
        <v>54</v>
      </c>
    </row>
    <row r="30" customFormat="false" ht="15" hidden="false" customHeight="false" outlineLevel="0" collapsed="false">
      <c r="A30" s="0" t="s">
        <v>55</v>
      </c>
      <c r="B30" s="3" t="n">
        <v>40</v>
      </c>
      <c r="C30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60"/>
    <col collapsed="false" customWidth="true" hidden="false" outlineLevel="0" max="10" min="10" style="0" width="2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2" t="s">
        <v>59</v>
      </c>
      <c r="B4" s="2" t="s">
        <v>60</v>
      </c>
      <c r="C4" s="2" t="s">
        <v>61</v>
      </c>
      <c r="D4" s="2" t="s">
        <v>62</v>
      </c>
      <c r="E4" s="2" t="s">
        <v>63</v>
      </c>
      <c r="F4" s="2" t="s">
        <v>64</v>
      </c>
      <c r="G4" s="2" t="s">
        <v>65</v>
      </c>
      <c r="H4" s="2" t="s">
        <v>66</v>
      </c>
      <c r="I4" s="2" t="s">
        <v>67</v>
      </c>
      <c r="J4" s="2" t="s">
        <v>68</v>
      </c>
      <c r="K4" s="2" t="s">
        <v>69</v>
      </c>
    </row>
    <row r="5" customFormat="false" ht="15" hidden="false" customHeight="false" outlineLevel="0" collapsed="false">
      <c r="A5" s="5" t="s">
        <v>70</v>
      </c>
    </row>
    <row r="6" customFormat="false" ht="15" hidden="false" customHeight="false" outlineLevel="0" collapsed="false">
      <c r="A6" s="0" t="s">
        <v>71</v>
      </c>
      <c r="B6" s="0" t="s">
        <v>72</v>
      </c>
      <c r="C6" s="0" t="n">
        <v>81</v>
      </c>
      <c r="D6" s="0" t="n">
        <v>23.667</v>
      </c>
      <c r="E6" s="0" t="n">
        <v>2</v>
      </c>
      <c r="F6" s="0" t="s">
        <v>73</v>
      </c>
      <c r="G6" s="0" t="n">
        <v>16</v>
      </c>
      <c r="H6" s="0" t="n">
        <v>3778</v>
      </c>
      <c r="I6" s="0" t="s">
        <v>74</v>
      </c>
      <c r="J6" s="0" t="s">
        <v>75</v>
      </c>
      <c r="K6" s="0" t="s">
        <v>76</v>
      </c>
    </row>
    <row r="7" customFormat="false" ht="15" hidden="false" customHeight="false" outlineLevel="0" collapsed="false">
      <c r="A7" s="0" t="s">
        <v>77</v>
      </c>
      <c r="B7" s="0" t="s">
        <v>78</v>
      </c>
      <c r="C7" s="0" t="n">
        <v>12.917</v>
      </c>
      <c r="D7" s="0" t="n">
        <v>23.667</v>
      </c>
      <c r="E7" s="0" t="n">
        <v>2</v>
      </c>
      <c r="F7" s="0" t="s">
        <v>73</v>
      </c>
      <c r="G7" s="0" t="n">
        <v>16</v>
      </c>
      <c r="H7" s="0" t="n">
        <v>428.4</v>
      </c>
      <c r="I7" s="0" t="s">
        <v>79</v>
      </c>
      <c r="J7" s="0" t="s">
        <v>75</v>
      </c>
      <c r="K7" s="0" t="s">
        <v>76</v>
      </c>
    </row>
    <row r="8" customFormat="false" ht="15" hidden="false" customHeight="false" outlineLevel="0" collapsed="false">
      <c r="A8" s="0" t="s">
        <v>80</v>
      </c>
      <c r="B8" s="0" t="s">
        <v>81</v>
      </c>
      <c r="C8" s="0" t="n">
        <v>56.83</v>
      </c>
      <c r="D8" s="0" t="n">
        <v>23</v>
      </c>
      <c r="E8" s="0" t="n">
        <v>2</v>
      </c>
      <c r="F8" s="0" t="s">
        <v>73</v>
      </c>
      <c r="G8" s="0" t="n">
        <v>16</v>
      </c>
      <c r="H8" s="0" t="n">
        <v>1805</v>
      </c>
      <c r="I8" s="0" t="s">
        <v>82</v>
      </c>
      <c r="J8" s="0" t="s">
        <v>75</v>
      </c>
      <c r="K8" s="0" t="s">
        <v>76</v>
      </c>
    </row>
    <row r="9" customFormat="false" ht="15" hidden="false" customHeight="false" outlineLevel="0" collapsed="false">
      <c r="A9" s="0" t="s">
        <v>83</v>
      </c>
      <c r="B9" s="0" t="s">
        <v>84</v>
      </c>
      <c r="C9" s="0" t="n">
        <v>7.5</v>
      </c>
      <c r="D9" s="0" t="n">
        <v>23</v>
      </c>
      <c r="E9" s="0" t="n">
        <v>2</v>
      </c>
      <c r="F9" s="0" t="s">
        <v>73</v>
      </c>
      <c r="G9" s="0" t="n">
        <v>16</v>
      </c>
      <c r="H9" s="0" t="n">
        <v>142.6</v>
      </c>
      <c r="I9" s="0" t="s">
        <v>85</v>
      </c>
      <c r="J9" s="0" t="s">
        <v>86</v>
      </c>
      <c r="K9" s="0" t="s">
        <v>76</v>
      </c>
    </row>
    <row r="10" customFormat="false" ht="15" hidden="false" customHeight="false" outlineLevel="0" collapsed="false">
      <c r="A10" s="0" t="s">
        <v>87</v>
      </c>
      <c r="B10" s="0" t="s">
        <v>88</v>
      </c>
      <c r="C10" s="0" t="n">
        <v>6.917</v>
      </c>
      <c r="D10" s="0" t="n">
        <v>23</v>
      </c>
      <c r="E10" s="0" t="n">
        <v>2</v>
      </c>
      <c r="F10" s="0" t="s">
        <v>73</v>
      </c>
      <c r="G10" s="0" t="n">
        <v>16</v>
      </c>
      <c r="H10" s="0" t="n">
        <v>84.7</v>
      </c>
      <c r="I10" s="0" t="s">
        <v>89</v>
      </c>
      <c r="J10" s="0" t="s">
        <v>75</v>
      </c>
      <c r="K10" s="0" t="s">
        <v>76</v>
      </c>
    </row>
    <row r="11" customFormat="false" ht="15" hidden="false" customHeight="false" outlineLevel="0" collapsed="false">
      <c r="A11" s="0" t="s">
        <v>90</v>
      </c>
      <c r="B11" s="0" t="s">
        <v>91</v>
      </c>
      <c r="C11" s="0" t="n">
        <v>4</v>
      </c>
      <c r="D11" s="0" t="n">
        <v>23</v>
      </c>
      <c r="E11" s="0" t="n">
        <v>2</v>
      </c>
      <c r="F11" s="0" t="s">
        <v>73</v>
      </c>
      <c r="G11" s="0" t="n">
        <v>16</v>
      </c>
      <c r="H11" s="0" t="n">
        <v>76</v>
      </c>
      <c r="I11" s="0" t="s">
        <v>92</v>
      </c>
      <c r="J11" s="0" t="s">
        <v>86</v>
      </c>
      <c r="K11" s="0" t="s">
        <v>76</v>
      </c>
    </row>
    <row r="12" customFormat="false" ht="15" hidden="false" customHeight="false" outlineLevel="0" collapsed="false">
      <c r="A12" s="0" t="s">
        <v>93</v>
      </c>
      <c r="B12" s="0" t="s">
        <v>94</v>
      </c>
      <c r="C12" s="0" t="n">
        <v>2.666</v>
      </c>
      <c r="D12" s="0" t="n">
        <v>23</v>
      </c>
      <c r="E12" s="0" t="n">
        <v>2</v>
      </c>
      <c r="F12" s="0" t="s">
        <v>73</v>
      </c>
      <c r="G12" s="0" t="n">
        <v>16</v>
      </c>
      <c r="H12" s="0" t="n">
        <v>50.7</v>
      </c>
      <c r="I12" s="0" t="s">
        <v>95</v>
      </c>
      <c r="J12" s="0" t="s">
        <v>75</v>
      </c>
      <c r="K12" s="0" t="s">
        <v>76</v>
      </c>
    </row>
    <row r="13" customFormat="false" ht="15" hidden="false" customHeight="false" outlineLevel="0" collapsed="false">
      <c r="A13" s="0" t="s">
        <v>96</v>
      </c>
      <c r="B13" s="0" t="s">
        <v>97</v>
      </c>
      <c r="C13" s="0" t="n">
        <v>6.917</v>
      </c>
      <c r="D13" s="0" t="n">
        <v>23</v>
      </c>
      <c r="E13" s="0" t="n">
        <v>2</v>
      </c>
      <c r="F13" s="0" t="s">
        <v>73</v>
      </c>
      <c r="G13" s="0" t="n">
        <v>16</v>
      </c>
      <c r="H13" s="0" t="n">
        <v>84.7</v>
      </c>
      <c r="I13" s="0" t="s">
        <v>98</v>
      </c>
      <c r="J13" s="0" t="s">
        <v>75</v>
      </c>
      <c r="K13" s="0" t="s">
        <v>76</v>
      </c>
    </row>
    <row r="14" customFormat="false" ht="15" hidden="false" customHeight="false" outlineLevel="0" collapsed="false">
      <c r="A14" s="0" t="s">
        <v>99</v>
      </c>
      <c r="B14" s="0" t="s">
        <v>100</v>
      </c>
      <c r="C14" s="0" t="n">
        <v>7.5</v>
      </c>
      <c r="D14" s="0" t="n">
        <v>23</v>
      </c>
      <c r="E14" s="0" t="n">
        <v>2</v>
      </c>
      <c r="F14" s="0" t="s">
        <v>73</v>
      </c>
      <c r="G14" s="0" t="n">
        <v>16</v>
      </c>
      <c r="H14" s="0" t="n">
        <v>243.8</v>
      </c>
      <c r="I14" s="0" t="s">
        <v>101</v>
      </c>
      <c r="J14" s="0" t="s">
        <v>86</v>
      </c>
      <c r="K14" s="0" t="s">
        <v>76</v>
      </c>
    </row>
    <row r="15" customFormat="false" ht="15" hidden="false" customHeight="false" outlineLevel="0" collapsed="false">
      <c r="A15" s="0" t="s">
        <v>102</v>
      </c>
      <c r="B15" s="0" t="s">
        <v>103</v>
      </c>
      <c r="C15" s="0" t="n">
        <v>4</v>
      </c>
      <c r="D15" s="0" t="n">
        <v>23</v>
      </c>
      <c r="E15" s="0" t="n">
        <v>2</v>
      </c>
      <c r="F15" s="0" t="s">
        <v>73</v>
      </c>
      <c r="G15" s="0" t="n">
        <v>16</v>
      </c>
      <c r="H15" s="0" t="n">
        <v>88</v>
      </c>
      <c r="I15" s="0" t="s">
        <v>104</v>
      </c>
      <c r="J15" s="0" t="s">
        <v>86</v>
      </c>
      <c r="K15" s="0" t="s">
        <v>76</v>
      </c>
    </row>
    <row r="16" customFormat="false" ht="15" hidden="false" customHeight="false" outlineLevel="0" collapsed="false">
      <c r="A16" s="0" t="s">
        <v>105</v>
      </c>
      <c r="B16" s="0" t="s">
        <v>106</v>
      </c>
      <c r="C16" s="0" t="n">
        <v>5.417</v>
      </c>
      <c r="D16" s="0" t="n">
        <v>23</v>
      </c>
      <c r="E16" s="0" t="n">
        <v>2</v>
      </c>
      <c r="F16" s="0" t="s">
        <v>73</v>
      </c>
      <c r="G16" s="0" t="n">
        <v>16</v>
      </c>
      <c r="H16" s="0" t="n">
        <v>60.9</v>
      </c>
      <c r="I16" s="0" t="s">
        <v>107</v>
      </c>
      <c r="J16" s="0" t="s">
        <v>75</v>
      </c>
      <c r="K16" s="0" t="s">
        <v>76</v>
      </c>
    </row>
    <row r="17" customFormat="false" ht="15" hidden="false" customHeight="false" outlineLevel="0" collapsed="false">
      <c r="A17" s="0" t="s">
        <v>108</v>
      </c>
      <c r="B17" s="0" t="s">
        <v>109</v>
      </c>
      <c r="C17" s="0" t="n">
        <v>7.5</v>
      </c>
      <c r="D17" s="0" t="n">
        <v>23</v>
      </c>
      <c r="E17" s="0" t="n">
        <v>2</v>
      </c>
      <c r="F17" s="0" t="s">
        <v>73</v>
      </c>
      <c r="G17" s="0" t="n">
        <v>16</v>
      </c>
      <c r="H17" s="0" t="n">
        <v>243.7</v>
      </c>
      <c r="I17" s="0" t="s">
        <v>110</v>
      </c>
      <c r="J17" s="0" t="s">
        <v>86</v>
      </c>
      <c r="K17" s="0" t="s">
        <v>76</v>
      </c>
    </row>
    <row r="18" customFormat="false" ht="15" hidden="false" customHeight="false" outlineLevel="0" collapsed="false">
      <c r="A18" s="0" t="s">
        <v>111</v>
      </c>
      <c r="B18" s="0" t="s">
        <v>112</v>
      </c>
      <c r="C18" s="0" t="n">
        <v>12.917</v>
      </c>
      <c r="D18" s="0" t="n">
        <v>23</v>
      </c>
      <c r="E18" s="0" t="n">
        <v>2</v>
      </c>
      <c r="F18" s="0" t="s">
        <v>73</v>
      </c>
      <c r="G18" s="0" t="n">
        <v>16</v>
      </c>
      <c r="H18" s="0" t="n">
        <v>203.4</v>
      </c>
      <c r="I18" s="0" t="s">
        <v>113</v>
      </c>
      <c r="J18" s="0" t="s">
        <v>75</v>
      </c>
      <c r="K18" s="0" t="s">
        <v>76</v>
      </c>
    </row>
    <row r="19" customFormat="false" ht="15" hidden="false" customHeight="false" outlineLevel="0" collapsed="false">
      <c r="A19" s="0" t="s">
        <v>114</v>
      </c>
      <c r="B19" s="0" t="s">
        <v>115</v>
      </c>
      <c r="C19" s="0" t="n">
        <v>48.75</v>
      </c>
      <c r="D19" s="0" t="n">
        <v>23</v>
      </c>
      <c r="E19" s="0" t="n">
        <v>2</v>
      </c>
      <c r="F19" s="0" t="s">
        <v>73</v>
      </c>
      <c r="G19" s="0" t="n">
        <v>16</v>
      </c>
      <c r="H19" s="0" t="n">
        <v>2200.5</v>
      </c>
      <c r="I19" s="0" t="s">
        <v>116</v>
      </c>
      <c r="J19" s="0" t="s">
        <v>75</v>
      </c>
      <c r="K19" s="0" t="s">
        <v>76</v>
      </c>
    </row>
    <row r="20" customFormat="false" ht="15" hidden="false" customHeight="false" outlineLevel="0" collapsed="false">
      <c r="A20" s="0" t="s">
        <v>117</v>
      </c>
      <c r="B20" s="0" t="s">
        <v>118</v>
      </c>
      <c r="C20" s="0" t="n">
        <v>5</v>
      </c>
      <c r="D20" s="0" t="n">
        <v>23</v>
      </c>
      <c r="E20" s="0" t="n">
        <v>2</v>
      </c>
      <c r="F20" s="0" t="s">
        <v>73</v>
      </c>
      <c r="G20" s="0" t="n">
        <v>16</v>
      </c>
      <c r="H20" s="0" t="n">
        <v>230</v>
      </c>
      <c r="I20" s="0" t="s">
        <v>119</v>
      </c>
      <c r="J20" s="0" t="s">
        <v>75</v>
      </c>
      <c r="K20" s="0" t="s">
        <v>76</v>
      </c>
    </row>
    <row r="21" customFormat="false" ht="15" hidden="false" customHeight="false" outlineLevel="0" collapsed="false">
      <c r="B21" s="6" t="s">
        <v>120</v>
      </c>
      <c r="C21" s="4" t="n">
        <f aca="false">SUM(C6:C20)</f>
        <v>269.831</v>
      </c>
      <c r="H21" s="4" t="n">
        <f aca="false">SUM(H6:H20)</f>
        <v>9720.4</v>
      </c>
    </row>
    <row r="22" customFormat="false" ht="15" hidden="false" customHeight="false" outlineLevel="0" collapsed="false">
      <c r="A22" s="5" t="s">
        <v>121</v>
      </c>
    </row>
    <row r="23" customFormat="false" ht="15" hidden="false" customHeight="false" outlineLevel="0" collapsed="false">
      <c r="A23" s="0" t="s">
        <v>122</v>
      </c>
      <c r="B23" s="0" t="s">
        <v>123</v>
      </c>
      <c r="C23" s="0" t="n">
        <v>19.333</v>
      </c>
      <c r="D23" s="0" t="n">
        <v>8</v>
      </c>
      <c r="E23" s="0" t="n">
        <v>2</v>
      </c>
      <c r="F23" s="0" t="s">
        <v>73</v>
      </c>
      <c r="G23" s="0" t="n">
        <v>16</v>
      </c>
      <c r="H23" s="0" t="n">
        <v>309.3</v>
      </c>
      <c r="I23" s="0" t="s">
        <v>124</v>
      </c>
      <c r="J23" s="0" t="s">
        <v>75</v>
      </c>
      <c r="K23" s="0" t="s">
        <v>76</v>
      </c>
    </row>
    <row r="24" customFormat="false" ht="15" hidden="false" customHeight="false" outlineLevel="0" collapsed="false">
      <c r="A24" s="0" t="s">
        <v>125</v>
      </c>
      <c r="B24" s="0" t="s">
        <v>126</v>
      </c>
      <c r="C24" s="0" t="n">
        <v>19.333</v>
      </c>
      <c r="D24" s="0" t="n">
        <v>8</v>
      </c>
      <c r="E24" s="0" t="n">
        <v>2</v>
      </c>
      <c r="F24" s="0" t="s">
        <v>73</v>
      </c>
      <c r="G24" s="0" t="n">
        <v>16</v>
      </c>
      <c r="H24" s="0" t="n">
        <v>309.3</v>
      </c>
      <c r="I24" s="0" t="s">
        <v>127</v>
      </c>
      <c r="J24" s="0" t="s">
        <v>75</v>
      </c>
      <c r="K24" s="0" t="s">
        <v>76</v>
      </c>
    </row>
    <row r="25" customFormat="false" ht="15" hidden="false" customHeight="false" outlineLevel="0" collapsed="false">
      <c r="B25" s="6" t="s">
        <v>128</v>
      </c>
      <c r="C25" s="4" t="n">
        <f aca="false">SUM(C23:C24)</f>
        <v>38.666</v>
      </c>
      <c r="H25" s="4" t="n">
        <f aca="false">SUM(H23:H24)</f>
        <v>618.6</v>
      </c>
    </row>
    <row r="26" customFormat="false" ht="15" hidden="false" customHeight="false" outlineLevel="0" collapsed="false">
      <c r="A26" s="5" t="s">
        <v>129</v>
      </c>
    </row>
    <row r="27" customFormat="false" ht="15" hidden="false" customHeight="false" outlineLevel="0" collapsed="false">
      <c r="A27" s="0" t="s">
        <v>130</v>
      </c>
      <c r="B27" s="0" t="s">
        <v>131</v>
      </c>
      <c r="C27" s="0" t="n">
        <v>75.5</v>
      </c>
      <c r="D27" s="0" t="n">
        <v>7.5</v>
      </c>
      <c r="E27" s="0" t="n">
        <v>2</v>
      </c>
      <c r="F27" s="0" t="s">
        <v>73</v>
      </c>
      <c r="G27" s="0" t="n">
        <v>16</v>
      </c>
      <c r="H27" s="0" t="n">
        <v>1132.5</v>
      </c>
      <c r="I27" s="0" t="s">
        <v>132</v>
      </c>
      <c r="J27" s="0" t="s">
        <v>75</v>
      </c>
      <c r="K27" s="0" t="s">
        <v>76</v>
      </c>
    </row>
    <row r="28" customFormat="false" ht="15" hidden="false" customHeight="false" outlineLevel="0" collapsed="false">
      <c r="B28" s="6" t="s">
        <v>133</v>
      </c>
      <c r="C28" s="4" t="n">
        <f aca="false">SUM(C27:C27)</f>
        <v>75.5</v>
      </c>
      <c r="H28" s="4" t="n">
        <f aca="false">SUM(H27:H27)</f>
        <v>1132.5</v>
      </c>
    </row>
    <row r="29" customFormat="false" ht="15" hidden="false" customHeight="false" outlineLevel="0" collapsed="false">
      <c r="A29" s="5" t="s">
        <v>134</v>
      </c>
    </row>
    <row r="30" customFormat="false" ht="15" hidden="false" customHeight="false" outlineLevel="0" collapsed="false">
      <c r="A30" s="0" t="s">
        <v>135</v>
      </c>
      <c r="B30" s="0" t="s">
        <v>136</v>
      </c>
      <c r="C30" s="0" t="n">
        <v>5.69</v>
      </c>
      <c r="D30" s="0" t="n">
        <v>23</v>
      </c>
      <c r="E30" s="0" t="n">
        <v>2</v>
      </c>
      <c r="F30" s="0" t="s">
        <v>137</v>
      </c>
      <c r="G30" s="0" t="n">
        <v>16</v>
      </c>
      <c r="H30" s="0" t="n">
        <v>108.1</v>
      </c>
      <c r="I30" s="0" t="s">
        <v>138</v>
      </c>
      <c r="J30" s="0" t="s">
        <v>86</v>
      </c>
      <c r="K30" s="0" t="s">
        <v>76</v>
      </c>
    </row>
    <row r="31" customFormat="false" ht="15" hidden="false" customHeight="false" outlineLevel="0" collapsed="false">
      <c r="B31" s="6" t="s">
        <v>139</v>
      </c>
      <c r="C31" s="4" t="n">
        <f aca="false">SUM(C30:C30)</f>
        <v>5.69</v>
      </c>
      <c r="H31" s="4" t="n">
        <f aca="false">SUM(H30:H30)</f>
        <v>108.1</v>
      </c>
    </row>
    <row r="32" customFormat="false" ht="15" hidden="false" customHeight="false" outlineLevel="0" collapsed="false">
      <c r="A32" s="5" t="s">
        <v>140</v>
      </c>
    </row>
    <row r="33" customFormat="false" ht="15" hidden="false" customHeight="false" outlineLevel="0" collapsed="false">
      <c r="A33" s="0" t="s">
        <v>141</v>
      </c>
      <c r="B33" s="0" t="s">
        <v>142</v>
      </c>
      <c r="C33" s="0" t="n">
        <v>19</v>
      </c>
      <c r="D33" s="0" t="n">
        <v>23</v>
      </c>
      <c r="E33" s="0" t="n">
        <v>1</v>
      </c>
      <c r="F33" s="0" t="s">
        <v>137</v>
      </c>
      <c r="G33" s="0" t="n">
        <v>16</v>
      </c>
      <c r="H33" s="0" t="n">
        <v>228</v>
      </c>
      <c r="I33" s="0" t="s">
        <v>143</v>
      </c>
      <c r="J33" s="0" t="s">
        <v>144</v>
      </c>
      <c r="K33" s="0" t="s">
        <v>76</v>
      </c>
    </row>
    <row r="34" customFormat="false" ht="15" hidden="false" customHeight="false" outlineLevel="0" collapsed="false">
      <c r="A34" s="0" t="s">
        <v>145</v>
      </c>
      <c r="B34" s="0" t="s">
        <v>146</v>
      </c>
      <c r="C34" s="0" t="n">
        <v>2.667</v>
      </c>
      <c r="D34" s="0" t="n">
        <v>23</v>
      </c>
      <c r="E34" s="0" t="n">
        <v>1</v>
      </c>
      <c r="F34" s="0" t="s">
        <v>137</v>
      </c>
      <c r="G34" s="0" t="n">
        <v>16</v>
      </c>
      <c r="H34" s="0" t="n">
        <v>32</v>
      </c>
      <c r="I34" s="0" t="s">
        <v>147</v>
      </c>
      <c r="J34" s="0" t="s">
        <v>144</v>
      </c>
      <c r="K34" s="0" t="s">
        <v>148</v>
      </c>
    </row>
    <row r="35" customFormat="false" ht="15" hidden="false" customHeight="false" outlineLevel="0" collapsed="false">
      <c r="B35" s="6" t="s">
        <v>149</v>
      </c>
      <c r="C35" s="4" t="n">
        <f aca="false">SUM(C33:C34)</f>
        <v>21.667</v>
      </c>
      <c r="H35" s="4" t="n">
        <f aca="false">SUM(H33:H34)</f>
        <v>260</v>
      </c>
    </row>
    <row r="36" customFormat="false" ht="15" hidden="false" customHeight="false" outlineLevel="0" collapsed="false">
      <c r="A36" s="5" t="s">
        <v>150</v>
      </c>
    </row>
    <row r="37" customFormat="false" ht="15" hidden="false" customHeight="false" outlineLevel="0" collapsed="false">
      <c r="A37" s="0" t="s">
        <v>151</v>
      </c>
      <c r="B37" s="0" t="s">
        <v>152</v>
      </c>
      <c r="C37" s="0" t="n">
        <v>28.49</v>
      </c>
      <c r="D37" s="0" t="n">
        <v>23</v>
      </c>
      <c r="E37" s="0" t="n">
        <v>1</v>
      </c>
      <c r="F37" s="0" t="s">
        <v>137</v>
      </c>
      <c r="G37" s="0" t="n">
        <v>16</v>
      </c>
      <c r="H37" s="0" t="n">
        <v>299.1</v>
      </c>
      <c r="I37" s="0" t="s">
        <v>153</v>
      </c>
      <c r="J37" s="0" t="s">
        <v>144</v>
      </c>
      <c r="K37" s="0" t="s">
        <v>76</v>
      </c>
    </row>
    <row r="38" customFormat="false" ht="15" hidden="false" customHeight="false" outlineLevel="0" collapsed="false">
      <c r="B38" s="6" t="s">
        <v>154</v>
      </c>
      <c r="C38" s="4" t="n">
        <f aca="false">SUM(C37:C37)</f>
        <v>28.49</v>
      </c>
      <c r="H38" s="4" t="n">
        <f aca="false">SUM(H37:H37)</f>
        <v>299.1</v>
      </c>
    </row>
    <row r="39" customFormat="false" ht="15" hidden="false" customHeight="false" outlineLevel="0" collapsed="false">
      <c r="A39" s="5" t="s">
        <v>155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n">
        <v>13</v>
      </c>
      <c r="D40" s="0" t="n">
        <v>23</v>
      </c>
      <c r="E40" s="0" t="n">
        <v>1</v>
      </c>
      <c r="F40" s="0" t="s">
        <v>73</v>
      </c>
      <c r="G40" s="0" t="n">
        <v>16</v>
      </c>
      <c r="H40" s="0" t="n">
        <v>156</v>
      </c>
      <c r="I40" s="0" t="s">
        <v>158</v>
      </c>
      <c r="J40" s="0" t="s">
        <v>144</v>
      </c>
      <c r="K40" s="0" t="s">
        <v>148</v>
      </c>
    </row>
    <row r="41" customFormat="false" ht="15" hidden="false" customHeight="false" outlineLevel="0" collapsed="false">
      <c r="B41" s="6" t="s">
        <v>159</v>
      </c>
      <c r="C41" s="4" t="n">
        <f aca="false">SUM(C40:C40)</f>
        <v>13</v>
      </c>
      <c r="H41" s="4" t="n">
        <f aca="false">SUM(H40:H40)</f>
        <v>156</v>
      </c>
    </row>
    <row r="42" customFormat="false" ht="15" hidden="false" customHeight="false" outlineLevel="0" collapsed="false">
      <c r="A42" s="5" t="s">
        <v>160</v>
      </c>
    </row>
    <row r="43" customFormat="false" ht="15" hidden="false" customHeight="false" outlineLevel="0" collapsed="false">
      <c r="A43" s="0" t="s">
        <v>161</v>
      </c>
      <c r="B43" s="0" t="s">
        <v>162</v>
      </c>
      <c r="C43" s="0" t="n">
        <v>28.49</v>
      </c>
      <c r="D43" s="0" t="n">
        <v>23</v>
      </c>
      <c r="E43" s="0" t="n">
        <v>2</v>
      </c>
      <c r="F43" s="0" t="s">
        <v>137</v>
      </c>
      <c r="G43" s="0" t="n">
        <v>16</v>
      </c>
      <c r="H43" s="0" t="n">
        <v>954.4</v>
      </c>
      <c r="I43" s="0" t="s">
        <v>163</v>
      </c>
      <c r="J43" s="0" t="s">
        <v>144</v>
      </c>
      <c r="K43" s="0" t="s">
        <v>76</v>
      </c>
    </row>
    <row r="44" customFormat="false" ht="15" hidden="false" customHeight="false" outlineLevel="0" collapsed="false">
      <c r="A44" s="0" t="s">
        <v>164</v>
      </c>
      <c r="B44" s="0" t="s">
        <v>165</v>
      </c>
      <c r="C44" s="0" t="n">
        <v>12.167</v>
      </c>
      <c r="D44" s="0" t="n">
        <v>23</v>
      </c>
      <c r="E44" s="0" t="n">
        <v>2</v>
      </c>
      <c r="F44" s="0" t="s">
        <v>137</v>
      </c>
      <c r="G44" s="0" t="n">
        <v>16</v>
      </c>
      <c r="H44" s="0" t="n">
        <v>243.4</v>
      </c>
      <c r="I44" s="0" t="s">
        <v>166</v>
      </c>
      <c r="J44" s="0" t="s">
        <v>144</v>
      </c>
      <c r="K44" s="0" t="s">
        <v>76</v>
      </c>
    </row>
    <row r="45" customFormat="false" ht="15" hidden="false" customHeight="false" outlineLevel="0" collapsed="false">
      <c r="B45" s="6" t="s">
        <v>167</v>
      </c>
      <c r="C45" s="4" t="n">
        <f aca="false">SUM(C43:C44)</f>
        <v>40.657</v>
      </c>
      <c r="H45" s="4" t="n">
        <f aca="false">SUM(H43:H44)</f>
        <v>1197.8</v>
      </c>
    </row>
    <row r="46" customFormat="false" ht="15" hidden="false" customHeight="false" outlineLevel="0" collapsed="false">
      <c r="A46" s="5" t="s">
        <v>168</v>
      </c>
    </row>
    <row r="47" customFormat="false" ht="15" hidden="false" customHeight="false" outlineLevel="0" collapsed="false">
      <c r="A47" s="0" t="s">
        <v>169</v>
      </c>
      <c r="B47" s="0" t="s">
        <v>170</v>
      </c>
      <c r="C47" s="0" t="n">
        <v>9.5</v>
      </c>
      <c r="D47" s="0" t="n">
        <v>23</v>
      </c>
      <c r="E47" s="0" t="n">
        <v>2</v>
      </c>
      <c r="F47" s="0" t="s">
        <v>73</v>
      </c>
      <c r="G47" s="0" t="n">
        <v>16</v>
      </c>
      <c r="H47" s="0" t="n">
        <v>149.8</v>
      </c>
      <c r="I47" s="0" t="s">
        <v>171</v>
      </c>
      <c r="J47" s="0" t="s">
        <v>144</v>
      </c>
      <c r="K47" s="0" t="s">
        <v>76</v>
      </c>
    </row>
    <row r="48" customFormat="false" ht="15" hidden="false" customHeight="false" outlineLevel="0" collapsed="false">
      <c r="B48" s="6" t="s">
        <v>172</v>
      </c>
      <c r="C48" s="4" t="n">
        <f aca="false">SUM(C47:C47)</f>
        <v>9.5</v>
      </c>
      <c r="H48" s="4" t="n">
        <f aca="false">SUM(H47:H47)</f>
        <v>149.8</v>
      </c>
    </row>
    <row r="49" customFormat="false" ht="15" hidden="false" customHeight="false" outlineLevel="0" collapsed="false">
      <c r="A49" s="5" t="s">
        <v>173</v>
      </c>
    </row>
    <row r="50" customFormat="false" ht="15" hidden="false" customHeight="false" outlineLevel="0" collapsed="false">
      <c r="A50" s="0" t="s">
        <v>174</v>
      </c>
      <c r="B50" s="0" t="s">
        <v>175</v>
      </c>
      <c r="C50" s="0" t="n">
        <v>1.95</v>
      </c>
      <c r="D50" s="0" t="n">
        <v>10</v>
      </c>
      <c r="E50" s="0" t="n">
        <v>2</v>
      </c>
      <c r="F50" s="0" t="s">
        <v>73</v>
      </c>
      <c r="G50" s="0" t="n">
        <v>16</v>
      </c>
      <c r="H50" s="0" t="n">
        <v>39</v>
      </c>
      <c r="I50" s="0" t="s">
        <v>176</v>
      </c>
      <c r="J50" s="0" t="s">
        <v>144</v>
      </c>
      <c r="K50" s="0" t="s">
        <v>76</v>
      </c>
    </row>
    <row r="51" customFormat="false" ht="15" hidden="false" customHeight="false" outlineLevel="0" collapsed="false">
      <c r="B51" s="6" t="s">
        <v>177</v>
      </c>
      <c r="C51" s="4" t="n">
        <f aca="false">SUM(C50:C50)</f>
        <v>1.95</v>
      </c>
      <c r="H51" s="4" t="n">
        <f aca="false">SUM(H50:H50)</f>
        <v>39</v>
      </c>
    </row>
    <row r="52" customFormat="false" ht="15" hidden="false" customHeight="false" outlineLevel="0" collapsed="false">
      <c r="A52" s="5" t="s">
        <v>178</v>
      </c>
    </row>
    <row r="53" customFormat="false" ht="15" hidden="false" customHeight="false" outlineLevel="0" collapsed="false">
      <c r="A53" s="0" t="s">
        <v>179</v>
      </c>
      <c r="B53" s="0" t="s">
        <v>180</v>
      </c>
      <c r="C53" s="0" t="n">
        <v>3.479</v>
      </c>
      <c r="D53" s="0" t="n">
        <v>23</v>
      </c>
      <c r="E53" s="0" t="n">
        <v>2</v>
      </c>
      <c r="F53" s="0" t="s">
        <v>137</v>
      </c>
      <c r="G53" s="0" t="n">
        <v>16</v>
      </c>
      <c r="H53" s="0" t="n">
        <v>106.4</v>
      </c>
      <c r="I53" s="0" t="s">
        <v>181</v>
      </c>
      <c r="J53" s="0" t="s">
        <v>144</v>
      </c>
      <c r="K53" s="0" t="s">
        <v>76</v>
      </c>
    </row>
    <row r="54" customFormat="false" ht="15" hidden="false" customHeight="false" outlineLevel="0" collapsed="false">
      <c r="B54" s="6" t="s">
        <v>182</v>
      </c>
      <c r="C54" s="4" t="n">
        <f aca="false">SUM(C53:C53)</f>
        <v>3.479</v>
      </c>
      <c r="H54" s="4" t="n">
        <f aca="false">SUM(H53:H53)</f>
        <v>106.4</v>
      </c>
    </row>
    <row r="55" customFormat="false" ht="15" hidden="false" customHeight="false" outlineLevel="0" collapsed="false">
      <c r="A55" s="5" t="s">
        <v>183</v>
      </c>
    </row>
    <row r="56" customFormat="false" ht="15" hidden="false" customHeight="false" outlineLevel="0" collapsed="false">
      <c r="A56" s="0" t="s">
        <v>184</v>
      </c>
      <c r="B56" s="0" t="s">
        <v>185</v>
      </c>
      <c r="C56" s="0" t="n">
        <v>6.167</v>
      </c>
      <c r="D56" s="0" t="n">
        <v>23</v>
      </c>
      <c r="E56" s="0" t="n">
        <v>2</v>
      </c>
      <c r="F56" s="0" t="s">
        <v>137</v>
      </c>
      <c r="G56" s="0" t="n">
        <v>16</v>
      </c>
      <c r="H56" s="0" t="n">
        <v>188.6</v>
      </c>
      <c r="I56" s="0" t="s">
        <v>186</v>
      </c>
      <c r="J56" s="0" t="s">
        <v>144</v>
      </c>
      <c r="K56" s="0" t="s">
        <v>76</v>
      </c>
    </row>
    <row r="57" customFormat="false" ht="15" hidden="false" customHeight="false" outlineLevel="0" collapsed="false">
      <c r="B57" s="6" t="s">
        <v>187</v>
      </c>
      <c r="C57" s="4" t="n">
        <f aca="false">SUM(C56:C56)</f>
        <v>6.167</v>
      </c>
      <c r="H57" s="4" t="n">
        <f aca="false">SUM(H56:H56)</f>
        <v>188.6</v>
      </c>
    </row>
    <row r="58" customFormat="false" ht="15" hidden="false" customHeight="false" outlineLevel="0" collapsed="false">
      <c r="A58" s="5" t="s">
        <v>188</v>
      </c>
    </row>
    <row r="59" customFormat="false" ht="15" hidden="false" customHeight="false" outlineLevel="0" collapsed="false">
      <c r="A59" s="0" t="s">
        <v>189</v>
      </c>
      <c r="B59" s="0" t="s">
        <v>190</v>
      </c>
      <c r="C59" s="0" t="n">
        <v>0.604</v>
      </c>
      <c r="D59" s="0" t="n">
        <v>23</v>
      </c>
      <c r="E59" s="0" t="n">
        <v>1</v>
      </c>
      <c r="F59" s="0" t="s">
        <v>137</v>
      </c>
      <c r="G59" s="0" t="n">
        <v>16</v>
      </c>
      <c r="H59" s="0" t="n">
        <v>13.9</v>
      </c>
      <c r="I59" s="0" t="s">
        <v>191</v>
      </c>
      <c r="J59" s="0" t="s">
        <v>144</v>
      </c>
      <c r="K59" s="0" t="s">
        <v>76</v>
      </c>
    </row>
    <row r="60" customFormat="false" ht="15" hidden="false" customHeight="false" outlineLevel="0" collapsed="false">
      <c r="A60" s="0" t="s">
        <v>192</v>
      </c>
      <c r="B60" s="0" t="s">
        <v>193</v>
      </c>
      <c r="C60" s="0" t="n">
        <v>0.604</v>
      </c>
      <c r="D60" s="0" t="n">
        <v>23</v>
      </c>
      <c r="E60" s="0" t="n">
        <v>1</v>
      </c>
      <c r="F60" s="0" t="s">
        <v>137</v>
      </c>
      <c r="G60" s="0" t="n">
        <v>16</v>
      </c>
      <c r="H60" s="0" t="n">
        <v>13.9</v>
      </c>
      <c r="I60" s="0" t="s">
        <v>194</v>
      </c>
      <c r="J60" s="0" t="s">
        <v>144</v>
      </c>
      <c r="K60" s="0" t="s">
        <v>76</v>
      </c>
    </row>
    <row r="61" customFormat="false" ht="15" hidden="false" customHeight="false" outlineLevel="0" collapsed="false">
      <c r="A61" s="0" t="s">
        <v>195</v>
      </c>
      <c r="B61" s="0" t="s">
        <v>196</v>
      </c>
      <c r="C61" s="0" t="n">
        <v>1</v>
      </c>
      <c r="D61" s="0" t="n">
        <v>23</v>
      </c>
      <c r="E61" s="0" t="n">
        <v>1</v>
      </c>
      <c r="F61" s="0" t="s">
        <v>137</v>
      </c>
      <c r="G61" s="0" t="n">
        <v>16</v>
      </c>
      <c r="H61" s="0" t="n">
        <v>23</v>
      </c>
      <c r="I61" s="0" t="s">
        <v>197</v>
      </c>
      <c r="J61" s="0" t="s">
        <v>144</v>
      </c>
      <c r="K61" s="0" t="s">
        <v>148</v>
      </c>
    </row>
    <row r="62" customFormat="false" ht="15" hidden="false" customHeight="false" outlineLevel="0" collapsed="false">
      <c r="A62" s="0" t="s">
        <v>198</v>
      </c>
      <c r="B62" s="0" t="s">
        <v>199</v>
      </c>
      <c r="C62" s="0" t="n">
        <v>0</v>
      </c>
      <c r="D62" s="0" t="n">
        <v>23</v>
      </c>
      <c r="E62" s="0" t="n">
        <v>1</v>
      </c>
      <c r="F62" s="0" t="s">
        <v>137</v>
      </c>
      <c r="G62" s="0" t="n">
        <v>16</v>
      </c>
      <c r="H62" s="0" t="n">
        <v>0</v>
      </c>
      <c r="I62" s="0" t="s">
        <v>200</v>
      </c>
      <c r="J62" s="0" t="s">
        <v>144</v>
      </c>
      <c r="K62" s="0" t="s">
        <v>148</v>
      </c>
    </row>
    <row r="63" customFormat="false" ht="15" hidden="false" customHeight="false" outlineLevel="0" collapsed="false">
      <c r="B63" s="6" t="s">
        <v>201</v>
      </c>
      <c r="C63" s="4" t="n">
        <f aca="false">SUM(C59:C62)</f>
        <v>2.208</v>
      </c>
      <c r="H63" s="4" t="n">
        <f aca="false">SUM(H59:H62)</f>
        <v>50.8</v>
      </c>
    </row>
    <row r="64" customFormat="false" ht="15" hidden="false" customHeight="false" outlineLevel="0" collapsed="false">
      <c r="A64" s="5" t="s">
        <v>202</v>
      </c>
    </row>
    <row r="65" customFormat="false" ht="15" hidden="false" customHeight="false" outlineLevel="0" collapsed="false">
      <c r="A65" s="0" t="s">
        <v>203</v>
      </c>
      <c r="B65" s="0" t="s">
        <v>204</v>
      </c>
      <c r="C65" s="0" t="n">
        <v>21.127</v>
      </c>
      <c r="D65" s="0" t="n">
        <v>2.708</v>
      </c>
      <c r="E65" s="0" t="n">
        <v>2</v>
      </c>
      <c r="F65" s="0" t="s">
        <v>73</v>
      </c>
      <c r="G65" s="0" t="n">
        <v>16</v>
      </c>
      <c r="H65" s="0" t="n">
        <v>171.6</v>
      </c>
      <c r="I65" s="0" t="s">
        <v>205</v>
      </c>
      <c r="J65" s="0" t="s">
        <v>144</v>
      </c>
      <c r="K65" s="0" t="s">
        <v>76</v>
      </c>
    </row>
    <row r="66" customFormat="false" ht="15" hidden="false" customHeight="false" outlineLevel="0" collapsed="false">
      <c r="B66" s="6" t="s">
        <v>206</v>
      </c>
      <c r="C66" s="4" t="n">
        <f aca="false">SUM(C65:C65)</f>
        <v>21.127</v>
      </c>
      <c r="H66" s="4" t="n">
        <f aca="false">SUM(H65:H65)</f>
        <v>171.6</v>
      </c>
    </row>
    <row r="67" customFormat="false" ht="15" hidden="false" customHeight="false" outlineLevel="0" collapsed="false">
      <c r="A67" s="5" t="s">
        <v>207</v>
      </c>
    </row>
    <row r="68" customFormat="false" ht="15" hidden="false" customHeight="false" outlineLevel="0" collapsed="false">
      <c r="A68" s="0" t="s">
        <v>208</v>
      </c>
      <c r="B68" s="0" t="s">
        <v>209</v>
      </c>
      <c r="C68" s="0" t="n">
        <v>2.75</v>
      </c>
      <c r="D68" s="0" t="n">
        <v>2.708</v>
      </c>
      <c r="E68" s="0" t="n">
        <v>2</v>
      </c>
      <c r="F68" s="0" t="s">
        <v>73</v>
      </c>
      <c r="G68" s="0" t="n">
        <v>16</v>
      </c>
      <c r="H68" s="0" t="n">
        <v>22.3</v>
      </c>
      <c r="I68" s="0" t="s">
        <v>210</v>
      </c>
      <c r="J68" s="0" t="s">
        <v>144</v>
      </c>
      <c r="K68" s="0" t="s">
        <v>76</v>
      </c>
    </row>
    <row r="69" customFormat="false" ht="15" hidden="false" customHeight="false" outlineLevel="0" collapsed="false">
      <c r="B69" s="6" t="s">
        <v>211</v>
      </c>
      <c r="C69" s="4" t="n">
        <f aca="false">SUM(C68:C68)</f>
        <v>2.75</v>
      </c>
      <c r="H69" s="4" t="n">
        <f aca="false">SUM(H68:H68)</f>
        <v>22.3</v>
      </c>
    </row>
    <row r="70" customFormat="false" ht="15" hidden="false" customHeight="false" outlineLevel="0" collapsed="false">
      <c r="A70" s="5" t="s">
        <v>212</v>
      </c>
    </row>
    <row r="71" customFormat="false" ht="15" hidden="false" customHeight="false" outlineLevel="0" collapsed="false">
      <c r="A71" s="0" t="s">
        <v>213</v>
      </c>
      <c r="B71" s="0" t="s">
        <v>214</v>
      </c>
      <c r="C71" s="0" t="n">
        <v>2.75</v>
      </c>
      <c r="D71" s="0" t="n">
        <v>2.708</v>
      </c>
      <c r="E71" s="0" t="n">
        <v>2</v>
      </c>
      <c r="F71" s="0" t="s">
        <v>73</v>
      </c>
      <c r="G71" s="0" t="n">
        <v>16</v>
      </c>
      <c r="H71" s="0" t="n">
        <v>22.3</v>
      </c>
      <c r="I71" s="0" t="s">
        <v>215</v>
      </c>
      <c r="J71" s="0" t="s">
        <v>144</v>
      </c>
      <c r="K71" s="0" t="s">
        <v>76</v>
      </c>
    </row>
    <row r="72" customFormat="false" ht="15" hidden="false" customHeight="false" outlineLevel="0" collapsed="false">
      <c r="B72" s="6" t="s">
        <v>216</v>
      </c>
      <c r="C72" s="4" t="n">
        <f aca="false">SUM(C71:C71)</f>
        <v>2.75</v>
      </c>
      <c r="H72" s="4" t="n">
        <f aca="false">SUM(H71:H71)</f>
        <v>22.3</v>
      </c>
    </row>
    <row r="73" customFormat="false" ht="15" hidden="false" customHeight="false" outlineLevel="0" collapsed="false">
      <c r="A73" s="5" t="s">
        <v>217</v>
      </c>
    </row>
    <row r="74" customFormat="false" ht="15" hidden="false" customHeight="false" outlineLevel="0" collapsed="false">
      <c r="A74" s="0" t="s">
        <v>218</v>
      </c>
      <c r="B74" s="0" t="s">
        <v>219</v>
      </c>
      <c r="C74" s="0" t="n">
        <v>6.146</v>
      </c>
      <c r="D74" s="0" t="n">
        <v>2.708</v>
      </c>
      <c r="E74" s="0" t="n">
        <v>2</v>
      </c>
      <c r="F74" s="0" t="s">
        <v>73</v>
      </c>
      <c r="G74" s="0" t="n">
        <v>16</v>
      </c>
      <c r="H74" s="0" t="n">
        <v>33.3</v>
      </c>
      <c r="I74" s="0" t="s">
        <v>220</v>
      </c>
      <c r="J74" s="0" t="s">
        <v>144</v>
      </c>
      <c r="K74" s="0" t="s">
        <v>148</v>
      </c>
    </row>
    <row r="75" customFormat="false" ht="15" hidden="false" customHeight="false" outlineLevel="0" collapsed="false">
      <c r="B75" s="6" t="s">
        <v>221</v>
      </c>
      <c r="C75" s="4" t="n">
        <f aca="false">SUM(C74:C74)</f>
        <v>6.146</v>
      </c>
      <c r="H75" s="4" t="n">
        <f aca="false">SUM(H74:H74)</f>
        <v>33.3</v>
      </c>
    </row>
    <row r="76" customFormat="false" ht="15" hidden="false" customHeight="false" outlineLevel="0" collapsed="false">
      <c r="B76" s="6" t="s">
        <v>222</v>
      </c>
      <c r="C76" s="4" t="n">
        <f aca="false">C21+C25+C28+C31+C35+C38+C41+C45+C48+C51+C54+C57+C63+C66+C69+C72+C75</f>
        <v>549.578</v>
      </c>
      <c r="H76" s="4" t="n">
        <f aca="false">H21+H25+H28+H31+H35+H38+H41+H45+H48+H51+H54+H57+H63+H66+H69+H72+H75</f>
        <v>14276.6</v>
      </c>
    </row>
    <row r="78" customFormat="false" ht="15" hidden="false" customHeight="false" outlineLevel="0" collapsed="false">
      <c r="A78" s="5" t="s">
        <v>223</v>
      </c>
    </row>
    <row r="79" customFormat="false" ht="15" hidden="false" customHeight="false" outlineLevel="0" collapsed="false">
      <c r="A79" s="0" t="s">
        <v>224</v>
      </c>
      <c r="B79" s="0" t="s">
        <v>225</v>
      </c>
      <c r="C79" s="0" t="n">
        <v>72</v>
      </c>
      <c r="D79" s="0" t="n">
        <v>8</v>
      </c>
      <c r="E79" s="0" t="n">
        <v>1</v>
      </c>
      <c r="F79" s="0" t="s">
        <v>73</v>
      </c>
      <c r="G79" s="0" t="n">
        <v>16</v>
      </c>
      <c r="H79" s="0" t="n">
        <v>576</v>
      </c>
      <c r="I79" s="0" t="s">
        <v>226</v>
      </c>
      <c r="J79" s="0" t="s">
        <v>75</v>
      </c>
      <c r="K79" s="0" t="s">
        <v>76</v>
      </c>
    </row>
    <row r="80" customFormat="false" ht="15" hidden="false" customHeight="false" outlineLevel="0" collapsed="false">
      <c r="A80" s="0" t="s">
        <v>227</v>
      </c>
      <c r="B80" s="0" t="s">
        <v>228</v>
      </c>
      <c r="C80" s="0" t="n">
        <v>6.67</v>
      </c>
      <c r="D80" s="0" t="n">
        <v>10.5</v>
      </c>
      <c r="E80" s="0" t="n">
        <v>1</v>
      </c>
      <c r="F80" s="0" t="s">
        <v>73</v>
      </c>
      <c r="G80" s="0" t="n">
        <v>16</v>
      </c>
      <c r="H80" s="0" t="n">
        <v>70</v>
      </c>
      <c r="I80" s="0" t="s">
        <v>229</v>
      </c>
      <c r="J80" s="0" t="s">
        <v>230</v>
      </c>
      <c r="K80" s="0" t="s">
        <v>76</v>
      </c>
    </row>
    <row r="81" customFormat="false" ht="15" hidden="false" customHeight="false" outlineLevel="0" collapsed="false">
      <c r="A81" s="0" t="s">
        <v>231</v>
      </c>
      <c r="B81" s="0" t="s">
        <v>232</v>
      </c>
      <c r="C81" s="0" t="n">
        <v>12.67</v>
      </c>
      <c r="E81" s="0" t="n">
        <v>1</v>
      </c>
      <c r="F81" s="0" t="s">
        <v>233</v>
      </c>
      <c r="G81" s="0" t="n">
        <v>16</v>
      </c>
      <c r="H81" s="0" t="n">
        <v>0</v>
      </c>
      <c r="I81" s="0" t="s">
        <v>234</v>
      </c>
      <c r="J81" s="0" t="s">
        <v>235</v>
      </c>
      <c r="K81" s="0" t="s">
        <v>76</v>
      </c>
    </row>
    <row r="82" customFormat="false" ht="15" hidden="false" customHeight="false" outlineLevel="0" collapsed="false">
      <c r="A82" s="0" t="s">
        <v>236</v>
      </c>
      <c r="B82" s="0" t="s">
        <v>237</v>
      </c>
      <c r="C82" s="0" t="n">
        <v>12.67</v>
      </c>
      <c r="D82" s="0" t="n">
        <v>7.67</v>
      </c>
      <c r="E82" s="0" t="n">
        <v>1</v>
      </c>
      <c r="F82" s="0" t="s">
        <v>233</v>
      </c>
      <c r="G82" s="0" t="n">
        <v>16</v>
      </c>
      <c r="H82" s="0" t="n">
        <v>0</v>
      </c>
      <c r="I82" s="0" t="s">
        <v>238</v>
      </c>
      <c r="J82" s="0" t="s">
        <v>239</v>
      </c>
      <c r="K82" s="0" t="s">
        <v>148</v>
      </c>
    </row>
    <row r="83" customFormat="false" ht="15" hidden="false" customHeight="false" outlineLevel="0" collapsed="false">
      <c r="A83" s="0" t="s">
        <v>240</v>
      </c>
      <c r="B83" s="0" t="s">
        <v>241</v>
      </c>
      <c r="C83" s="0" t="n">
        <v>28.07</v>
      </c>
      <c r="D83" s="0" t="n">
        <v>14</v>
      </c>
      <c r="E83" s="0" t="n">
        <v>2</v>
      </c>
      <c r="F83" s="0" t="s">
        <v>73</v>
      </c>
      <c r="G83" s="0" t="n">
        <v>16</v>
      </c>
      <c r="H83" s="0" t="n">
        <v>802.92</v>
      </c>
      <c r="I83" s="0" t="s">
        <v>242</v>
      </c>
      <c r="J83" s="0" t="s">
        <v>243</v>
      </c>
      <c r="K83" s="0" t="s">
        <v>148</v>
      </c>
    </row>
    <row r="84" customFormat="false" ht="15" hidden="false" customHeight="false" outlineLevel="0" collapsed="false">
      <c r="A84" s="0" t="s">
        <v>244</v>
      </c>
      <c r="B84" s="0" t="s">
        <v>245</v>
      </c>
      <c r="C84" s="0" t="n">
        <v>7.38</v>
      </c>
      <c r="D84" s="0" t="n">
        <v>15.92</v>
      </c>
      <c r="E84" s="0" t="n">
        <v>2</v>
      </c>
      <c r="F84" s="0" t="s">
        <v>137</v>
      </c>
      <c r="G84" s="0" t="n">
        <v>16</v>
      </c>
      <c r="H84" s="0" t="n">
        <v>121.92</v>
      </c>
      <c r="I84" s="0" t="s">
        <v>246</v>
      </c>
      <c r="J84" s="0" t="s">
        <v>247</v>
      </c>
      <c r="K84" s="0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248</v>
      </c>
    </row>
    <row r="2" customFormat="false" ht="15" hidden="false" customHeight="false" outlineLevel="0" collapsed="false">
      <c r="A2" s="0" t="s">
        <v>249</v>
      </c>
    </row>
    <row r="3" customFormat="false" ht="15" hidden="false" customHeight="false" outlineLevel="0" collapsed="false">
      <c r="A3" s="2" t="s">
        <v>250</v>
      </c>
      <c r="B3" s="2" t="s">
        <v>251</v>
      </c>
      <c r="C3" s="2" t="s">
        <v>252</v>
      </c>
      <c r="D3" s="2" t="s">
        <v>253</v>
      </c>
      <c r="E3" s="2" t="s">
        <v>254</v>
      </c>
      <c r="F3" s="2" t="s">
        <v>255</v>
      </c>
      <c r="G3" s="2" t="s">
        <v>256</v>
      </c>
      <c r="H3" s="2" t="s">
        <v>257</v>
      </c>
      <c r="I3" s="2" t="s">
        <v>258</v>
      </c>
      <c r="J3" s="2" t="s">
        <v>259</v>
      </c>
    </row>
    <row r="4" customFormat="false" ht="15" hidden="false" customHeight="false" outlineLevel="0" collapsed="false">
      <c r="A4" s="0" t="s">
        <v>260</v>
      </c>
      <c r="B4" s="0" t="s">
        <v>261</v>
      </c>
      <c r="C4" s="0" t="n">
        <v>7683.97</v>
      </c>
      <c r="D4" s="0" t="n">
        <f aca="false">Inputs!$B$5</f>
        <v>0.15</v>
      </c>
      <c r="E4" s="0" t="n">
        <f aca="false">C4*D4</f>
        <v>1152.5955</v>
      </c>
      <c r="F4" s="0" t="n">
        <f aca="false">C4+E4</f>
        <v>8836.5655</v>
      </c>
      <c r="G4" s="0" t="s">
        <v>262</v>
      </c>
      <c r="H4" s="0" t="n">
        <f aca="false">ROUNDUP(F4/Inputs!$B$10,0)</f>
        <v>369</v>
      </c>
      <c r="I4" s="0" t="s">
        <v>263</v>
      </c>
    </row>
    <row r="5" customFormat="false" ht="15" hidden="false" customHeight="false" outlineLevel="0" collapsed="false">
      <c r="A5" s="0" t="s">
        <v>264</v>
      </c>
      <c r="B5" s="0" t="s">
        <v>261</v>
      </c>
      <c r="C5" s="0" t="n">
        <v>2227.42</v>
      </c>
      <c r="D5" s="0" t="n">
        <f aca="false">Inputs!$B$5</f>
        <v>0.15</v>
      </c>
      <c r="E5" s="0" t="n">
        <f aca="false">C5*D5</f>
        <v>334.113</v>
      </c>
      <c r="F5" s="0" t="n">
        <f aca="false">C5+E5</f>
        <v>2561.533</v>
      </c>
      <c r="G5" s="0" t="s">
        <v>262</v>
      </c>
      <c r="H5" s="0" t="n">
        <f aca="false">ROUNDUP(F5/Inputs!$B$10,0)</f>
        <v>107</v>
      </c>
      <c r="I5" s="0" t="s">
        <v>265</v>
      </c>
    </row>
    <row r="6" customFormat="false" ht="15" hidden="false" customHeight="false" outlineLevel="0" collapsed="false">
      <c r="A6" s="0" t="s">
        <v>266</v>
      </c>
      <c r="B6" s="0" t="s">
        <v>261</v>
      </c>
      <c r="C6" s="0" t="n">
        <v>84</v>
      </c>
      <c r="D6" s="0" t="n">
        <f aca="false">Inputs!$B$5</f>
        <v>0.15</v>
      </c>
      <c r="E6" s="0" t="n">
        <f aca="false">C6*D6</f>
        <v>12.6</v>
      </c>
      <c r="F6" s="0" t="n">
        <f aca="false">C6+E6</f>
        <v>96.6</v>
      </c>
      <c r="G6" s="0" t="s">
        <v>262</v>
      </c>
      <c r="H6" s="0" t="n">
        <f aca="false">ROUNDUP(F6/Inputs!$B$10,0)</f>
        <v>5</v>
      </c>
      <c r="I6" s="0" t="s">
        <v>267</v>
      </c>
    </row>
    <row r="7" customFormat="false" ht="15" hidden="false" customHeight="false" outlineLevel="0" collapsed="false">
      <c r="A7" s="0" t="s">
        <v>268</v>
      </c>
      <c r="B7" s="0" t="s">
        <v>261</v>
      </c>
      <c r="C7" s="0" t="n">
        <v>25.34</v>
      </c>
      <c r="D7" s="0" t="n">
        <f aca="false">Inputs!$B$5</f>
        <v>0.15</v>
      </c>
      <c r="E7" s="0" t="n">
        <f aca="false">C7*D7</f>
        <v>3.801</v>
      </c>
      <c r="F7" s="0" t="n">
        <f aca="false">C7+E7</f>
        <v>29.141</v>
      </c>
      <c r="G7" s="0" t="s">
        <v>262</v>
      </c>
      <c r="H7" s="0" t="n">
        <f aca="false">ROUNDUP(F7/Inputs!$B$10,0)</f>
        <v>2</v>
      </c>
      <c r="I7" s="0" t="s">
        <v>269</v>
      </c>
    </row>
    <row r="8" customFormat="false" ht="15" hidden="false" customHeight="false" outlineLevel="0" collapsed="false">
      <c r="A8" s="0" t="s">
        <v>270</v>
      </c>
      <c r="B8" s="0" t="s">
        <v>261</v>
      </c>
      <c r="C8" s="0" t="n">
        <v>84.34</v>
      </c>
      <c r="D8" s="0" t="n">
        <f aca="false">Inputs!$B$5</f>
        <v>0.15</v>
      </c>
      <c r="E8" s="0" t="n">
        <f aca="false">C8*D8</f>
        <v>12.651</v>
      </c>
      <c r="F8" s="0" t="n">
        <f aca="false">C8+E8</f>
        <v>96.991</v>
      </c>
      <c r="G8" s="0" t="s">
        <v>262</v>
      </c>
      <c r="H8" s="0" t="n">
        <f aca="false">ROUNDUP(F8/Inputs!$B$10,0)</f>
        <v>5</v>
      </c>
      <c r="I8" s="0" t="s">
        <v>271</v>
      </c>
    </row>
    <row r="9" customFormat="false" ht="15" hidden="false" customHeight="false" outlineLevel="0" collapsed="false">
      <c r="A9" s="0" t="s">
        <v>272</v>
      </c>
      <c r="B9" s="0" t="s">
        <v>261</v>
      </c>
      <c r="C9" s="0" t="n">
        <v>12.67</v>
      </c>
      <c r="D9" s="0" t="n">
        <f aca="false">Inputs!$B$5</f>
        <v>0.15</v>
      </c>
      <c r="E9" s="0" t="n">
        <f aca="false">C9*D9</f>
        <v>1.9005</v>
      </c>
      <c r="F9" s="0" t="n">
        <f aca="false">C9+E9</f>
        <v>14.5705</v>
      </c>
      <c r="G9" s="0" t="s">
        <v>262</v>
      </c>
      <c r="H9" s="0" t="n">
        <f aca="false">ROUNDUP(F9/Inputs!$B$10,0)</f>
        <v>1</v>
      </c>
      <c r="I9" s="0" t="s">
        <v>273</v>
      </c>
    </row>
    <row r="10" customFormat="false" ht="15" hidden="false" customHeight="false" outlineLevel="0" collapsed="false">
      <c r="A10" s="0" t="s">
        <v>274</v>
      </c>
      <c r="B10" s="0" t="s">
        <v>261</v>
      </c>
      <c r="C10" s="0" t="n">
        <v>441.24</v>
      </c>
      <c r="D10" s="0" t="n">
        <f aca="false">Inputs!$B$5</f>
        <v>0.15</v>
      </c>
      <c r="E10" s="0" t="n">
        <f aca="false">C10*D10</f>
        <v>66.186</v>
      </c>
      <c r="F10" s="0" t="n">
        <f aca="false">C10+E10</f>
        <v>507.426</v>
      </c>
      <c r="G10" s="0" t="s">
        <v>275</v>
      </c>
      <c r="H10" s="0" t="n">
        <f aca="false">ROUNDUP(F10/Inputs!$B$11,0)</f>
        <v>51</v>
      </c>
      <c r="I10" s="0" t="s">
        <v>276</v>
      </c>
    </row>
    <row r="11" customFormat="false" ht="15" hidden="false" customHeight="false" outlineLevel="0" collapsed="false">
      <c r="A11" s="0" t="s">
        <v>277</v>
      </c>
      <c r="B11" s="0" t="s">
        <v>261</v>
      </c>
      <c r="C11" s="0" t="n">
        <v>292.35</v>
      </c>
      <c r="D11" s="0" t="n">
        <f aca="false">Inputs!$B$5</f>
        <v>0.15</v>
      </c>
      <c r="E11" s="0" t="n">
        <f aca="false">C11*D11</f>
        <v>43.8525</v>
      </c>
      <c r="F11" s="0" t="n">
        <f aca="false">C11+E11</f>
        <v>336.2025</v>
      </c>
      <c r="G11" s="0" t="s">
        <v>275</v>
      </c>
      <c r="H11" s="0" t="n">
        <f aca="false">ROUNDUP(F11/Inputs!$B$11,0)</f>
        <v>34</v>
      </c>
      <c r="I11" s="0" t="s">
        <v>278</v>
      </c>
    </row>
    <row r="12" customFormat="false" ht="15" hidden="false" customHeight="false" outlineLevel="0" collapsed="false">
      <c r="A12" s="0" t="s">
        <v>279</v>
      </c>
      <c r="B12" s="0" t="s">
        <v>261</v>
      </c>
      <c r="C12" s="0" t="n">
        <v>148.89</v>
      </c>
      <c r="D12" s="0" t="n">
        <f aca="false">Inputs!$B$5</f>
        <v>0.15</v>
      </c>
      <c r="E12" s="0" t="n">
        <f aca="false">C12*D12</f>
        <v>22.3335</v>
      </c>
      <c r="F12" s="0" t="n">
        <f aca="false">C12+E12</f>
        <v>171.2235</v>
      </c>
      <c r="G12" s="0" t="s">
        <v>275</v>
      </c>
      <c r="H12" s="0" t="n">
        <f aca="false">ROUNDUP(F12/Inputs!$B$11,0)</f>
        <v>18</v>
      </c>
      <c r="I12" s="0" t="s">
        <v>280</v>
      </c>
    </row>
    <row r="13" customFormat="false" ht="15" hidden="false" customHeight="false" outlineLevel="0" collapsed="false">
      <c r="A13" s="0" t="s">
        <v>281</v>
      </c>
      <c r="B13" s="0" t="s">
        <v>261</v>
      </c>
      <c r="C13" s="0" t="n">
        <v>200.15</v>
      </c>
      <c r="D13" s="0" t="n">
        <f aca="false">Inputs!$B$5</f>
        <v>0.15</v>
      </c>
      <c r="E13" s="0" t="n">
        <f aca="false">C13*D13</f>
        <v>30.0225</v>
      </c>
      <c r="F13" s="0" t="n">
        <f aca="false">C13+E13</f>
        <v>230.1725</v>
      </c>
      <c r="G13" s="0" t="s">
        <v>275</v>
      </c>
      <c r="H13" s="0" t="n">
        <f aca="false">ROUNDUP(F13/Inputs!$B$11,0)</f>
        <v>24</v>
      </c>
      <c r="I13" s="0" t="s">
        <v>282</v>
      </c>
    </row>
    <row r="14" customFormat="false" ht="15" hidden="false" customHeight="false" outlineLevel="0" collapsed="false">
      <c r="A14" s="0" t="s">
        <v>283</v>
      </c>
      <c r="B14" s="0" t="s">
        <v>261</v>
      </c>
      <c r="C14" s="0" t="n">
        <v>0</v>
      </c>
      <c r="D14" s="0" t="n">
        <f aca="false">Inputs!$B$5</f>
        <v>0.15</v>
      </c>
      <c r="E14" s="0" t="n">
        <f aca="false">C14*D14</f>
        <v>0</v>
      </c>
      <c r="F14" s="0" t="n">
        <f aca="false">C14+E14</f>
        <v>0</v>
      </c>
      <c r="G14" s="0" t="s">
        <v>275</v>
      </c>
      <c r="H14" s="0" t="n">
        <f aca="false">ROUNDUP(F14/Inputs!$B$11,0)</f>
        <v>0</v>
      </c>
      <c r="I14" s="0" t="s">
        <v>284</v>
      </c>
    </row>
    <row r="15" customFormat="false" ht="15" hidden="false" customHeight="false" outlineLevel="0" collapsed="false">
      <c r="A15" s="0" t="s">
        <v>285</v>
      </c>
      <c r="B15" s="0" t="s">
        <v>261</v>
      </c>
      <c r="C15" s="0" t="n">
        <v>159.53</v>
      </c>
      <c r="D15" s="0" t="n">
        <f aca="false">Inputs!$B$5</f>
        <v>0.15</v>
      </c>
      <c r="E15" s="0" t="n">
        <f aca="false">C15*D15</f>
        <v>23.9295</v>
      </c>
      <c r="F15" s="0" t="n">
        <f aca="false">C15+E15</f>
        <v>183.4595</v>
      </c>
      <c r="G15" s="0" t="s">
        <v>275</v>
      </c>
      <c r="H15" s="0" t="n">
        <f aca="false">ROUNDUP(F15/Inputs!$B$11,0)</f>
        <v>19</v>
      </c>
      <c r="I15" s="0" t="s">
        <v>286</v>
      </c>
    </row>
    <row r="16" customFormat="false" ht="15" hidden="false" customHeight="false" outlineLevel="0" collapsed="false">
      <c r="A16" s="0" t="s">
        <v>287</v>
      </c>
      <c r="B16" s="0" t="s">
        <v>261</v>
      </c>
      <c r="C16" s="0" t="n">
        <v>106.16</v>
      </c>
      <c r="D16" s="0" t="n">
        <f aca="false">Inputs!$B$5</f>
        <v>0.15</v>
      </c>
      <c r="E16" s="0" t="n">
        <f aca="false">C16*D16</f>
        <v>15.924</v>
      </c>
      <c r="F16" s="0" t="n">
        <f aca="false">C16+E16</f>
        <v>122.084</v>
      </c>
      <c r="G16" s="0" t="s">
        <v>275</v>
      </c>
      <c r="H16" s="0" t="n">
        <f aca="false">ROUNDUP(F16/Inputs!$B$11,0)</f>
        <v>13</v>
      </c>
      <c r="I16" s="0" t="s">
        <v>288</v>
      </c>
    </row>
    <row r="17" customFormat="false" ht="15" hidden="false" customHeight="false" outlineLevel="0" collapsed="false">
      <c r="A17" s="0" t="s">
        <v>289</v>
      </c>
      <c r="B17" s="0" t="s">
        <v>261</v>
      </c>
      <c r="C17" s="0" t="n">
        <v>106.16</v>
      </c>
      <c r="D17" s="0" t="n">
        <f aca="false">Inputs!$B$5</f>
        <v>0.15</v>
      </c>
      <c r="E17" s="0" t="n">
        <f aca="false">C17*D17</f>
        <v>15.924</v>
      </c>
      <c r="F17" s="0" t="n">
        <f aca="false">C17+E17</f>
        <v>122.084</v>
      </c>
      <c r="G17" s="0" t="s">
        <v>275</v>
      </c>
      <c r="H17" s="0" t="n">
        <f aca="false">ROUNDUP(F17/Inputs!$B$11,0)</f>
        <v>13</v>
      </c>
      <c r="I17" s="0" t="s">
        <v>290</v>
      </c>
    </row>
    <row r="18" customFormat="false" ht="15" hidden="false" customHeight="false" outlineLevel="0" collapsed="false">
      <c r="A18" s="0" t="s">
        <v>291</v>
      </c>
      <c r="B18" s="0" t="s">
        <v>261</v>
      </c>
      <c r="C18" s="0" t="n">
        <v>14.75</v>
      </c>
      <c r="D18" s="0" t="n">
        <f aca="false">Inputs!$B$5</f>
        <v>0.15</v>
      </c>
      <c r="E18" s="0" t="n">
        <f aca="false">C18*D18</f>
        <v>2.2125</v>
      </c>
      <c r="F18" s="0" t="n">
        <f aca="false">C18+E18</f>
        <v>16.9625</v>
      </c>
      <c r="G18" s="0" t="s">
        <v>275</v>
      </c>
      <c r="H18" s="0" t="n">
        <f aca="false">ROUNDUP(F18/Inputs!$B$11,0)</f>
        <v>2</v>
      </c>
      <c r="I18" s="0" t="s">
        <v>292</v>
      </c>
    </row>
    <row r="19" customFormat="false" ht="15" hidden="false" customHeight="false" outlineLevel="0" collapsed="false">
      <c r="A19" s="0" t="s">
        <v>293</v>
      </c>
      <c r="B19" s="0" t="s">
        <v>261</v>
      </c>
      <c r="C19" s="0" t="n">
        <v>106.15</v>
      </c>
      <c r="D19" s="0" t="n">
        <f aca="false">Inputs!$B$5</f>
        <v>0.15</v>
      </c>
      <c r="E19" s="0" t="n">
        <f aca="false">C19*D19</f>
        <v>15.9225</v>
      </c>
      <c r="F19" s="0" t="n">
        <f aca="false">C19+E19</f>
        <v>122.0725</v>
      </c>
      <c r="G19" s="0" t="s">
        <v>275</v>
      </c>
      <c r="H19" s="0" t="n">
        <f aca="false">ROUNDUP(F19/Inputs!$B$11,0)</f>
        <v>13</v>
      </c>
      <c r="I19" s="0" t="s">
        <v>294</v>
      </c>
    </row>
    <row r="20" customFormat="false" ht="15" hidden="false" customHeight="false" outlineLevel="0" collapsed="false">
      <c r="A20" s="0" t="s">
        <v>295</v>
      </c>
      <c r="B20" s="0" t="s">
        <v>261</v>
      </c>
      <c r="C20" s="0" t="n">
        <v>3.33</v>
      </c>
      <c r="D20" s="0" t="n">
        <f aca="false">Inputs!$B$5</f>
        <v>0.15</v>
      </c>
      <c r="E20" s="0" t="n">
        <f aca="false">C20*D20</f>
        <v>0.4995</v>
      </c>
      <c r="F20" s="0" t="n">
        <f aca="false">C20+E20</f>
        <v>3.8295</v>
      </c>
      <c r="G20" s="0" t="s">
        <v>275</v>
      </c>
      <c r="H20" s="0" t="n">
        <f aca="false">ROUNDUP(F20/Inputs!$B$11,0)</f>
        <v>1</v>
      </c>
      <c r="I20" s="0" t="s">
        <v>296</v>
      </c>
    </row>
    <row r="21" customFormat="false" ht="15" hidden="false" customHeight="false" outlineLevel="0" collapsed="false">
      <c r="A21" s="0" t="s">
        <v>297</v>
      </c>
      <c r="B21" s="0" t="s">
        <v>261</v>
      </c>
      <c r="C21" s="0" t="n">
        <v>25.34</v>
      </c>
      <c r="D21" s="0" t="n">
        <f aca="false">Inputs!$B$5</f>
        <v>0.15</v>
      </c>
      <c r="E21" s="0" t="n">
        <f aca="false">C21*D21</f>
        <v>3.801</v>
      </c>
      <c r="F21" s="0" t="n">
        <f aca="false">C21+E21</f>
        <v>29.141</v>
      </c>
      <c r="G21" s="0" t="s">
        <v>262</v>
      </c>
      <c r="H21" s="0" t="n">
        <f aca="false">ROUNDUP(F21/Inputs!$B$10,0)</f>
        <v>2</v>
      </c>
      <c r="I21" s="0" t="s">
        <v>298</v>
      </c>
    </row>
    <row r="22" customFormat="false" ht="15" hidden="false" customHeight="false" outlineLevel="0" collapsed="false">
      <c r="A22" s="0" t="s">
        <v>299</v>
      </c>
      <c r="B22" s="0" t="s">
        <v>261</v>
      </c>
      <c r="C22" s="0" t="n">
        <v>398.51</v>
      </c>
      <c r="D22" s="0" t="n">
        <f aca="false">Inputs!$B$5</f>
        <v>0.15</v>
      </c>
      <c r="E22" s="0" t="n">
        <f aca="false">C22*D22</f>
        <v>59.7765</v>
      </c>
      <c r="F22" s="0" t="n">
        <f aca="false">C22+E22</f>
        <v>458.2865</v>
      </c>
      <c r="G22" s="0" t="s">
        <v>300</v>
      </c>
      <c r="H22" s="0" t="n">
        <f aca="false">ROUNDUP(F22/10,0)</f>
        <v>46</v>
      </c>
      <c r="I22" s="0" t="s">
        <v>301</v>
      </c>
    </row>
    <row r="23" customFormat="false" ht="15" hidden="false" customHeight="false" outlineLevel="0" collapsed="false">
      <c r="A23" s="0" t="s">
        <v>302</v>
      </c>
      <c r="B23" s="0" t="s">
        <v>261</v>
      </c>
      <c r="C23" s="0" t="n">
        <v>2110.44</v>
      </c>
      <c r="D23" s="0" t="n">
        <f aca="false">Inputs!$B$5</f>
        <v>0.15</v>
      </c>
      <c r="E23" s="0" t="n">
        <f aca="false">C23*D23</f>
        <v>316.566</v>
      </c>
      <c r="F23" s="0" t="n">
        <f aca="false">C23+E23</f>
        <v>2427.006</v>
      </c>
      <c r="G23" s="0" t="s">
        <v>303</v>
      </c>
      <c r="H23" s="0" t="n">
        <f aca="false">ROUNDUP(F23/Inputs!$B$16,0)</f>
        <v>152</v>
      </c>
      <c r="I23" s="0" t="s">
        <v>304</v>
      </c>
    </row>
    <row r="24" customFormat="false" ht="15" hidden="false" customHeight="false" outlineLevel="0" collapsed="false">
      <c r="A24" s="0" t="s">
        <v>305</v>
      </c>
      <c r="B24" s="0" t="s">
        <v>306</v>
      </c>
      <c r="C24" s="0" t="n">
        <v>1771</v>
      </c>
      <c r="D24" s="0" t="n">
        <f aca="false">Inputs!$B$5</f>
        <v>0.15</v>
      </c>
      <c r="E24" s="0" t="n">
        <f aca="false">C24*D24</f>
        <v>265.65</v>
      </c>
      <c r="F24" s="0" t="n">
        <f aca="false">C24+E24</f>
        <v>2036.65</v>
      </c>
      <c r="G24" s="0" t="s">
        <v>307</v>
      </c>
      <c r="H24" s="0" t="n">
        <f aca="false">ROUNDUP(F24,0)</f>
        <v>2037</v>
      </c>
      <c r="I24" s="0" t="s">
        <v>308</v>
      </c>
    </row>
    <row r="25" customFormat="false" ht="15" hidden="false" customHeight="false" outlineLevel="0" collapsed="false">
      <c r="A25" s="0" t="s">
        <v>309</v>
      </c>
      <c r="B25" s="0" t="s">
        <v>306</v>
      </c>
      <c r="C25" s="0" t="n">
        <v>90</v>
      </c>
      <c r="D25" s="0" t="n">
        <f aca="false">Inputs!$B$5</f>
        <v>0.15</v>
      </c>
      <c r="E25" s="0" t="n">
        <f aca="false">C25*D25</f>
        <v>13.5</v>
      </c>
      <c r="F25" s="0" t="n">
        <f aca="false">C25+E25</f>
        <v>103.5</v>
      </c>
      <c r="G25" s="0" t="s">
        <v>307</v>
      </c>
      <c r="H25" s="0" t="n">
        <f aca="false">ROUNDUP(F25,0)</f>
        <v>104</v>
      </c>
      <c r="I25" s="0" t="s">
        <v>310</v>
      </c>
    </row>
    <row r="26" customFormat="false" ht="15" hidden="false" customHeight="false" outlineLevel="0" collapsed="false">
      <c r="A26" s="0" t="s">
        <v>311</v>
      </c>
      <c r="B26" s="0" t="s">
        <v>306</v>
      </c>
      <c r="C26" s="0" t="n">
        <v>4</v>
      </c>
      <c r="D26" s="0" t="n">
        <v>0</v>
      </c>
      <c r="E26" s="0" t="n">
        <f aca="false">C26*D26</f>
        <v>0</v>
      </c>
      <c r="F26" s="0" t="n">
        <f aca="false">C26+E26</f>
        <v>4</v>
      </c>
      <c r="G26" s="0" t="s">
        <v>307</v>
      </c>
      <c r="H26" s="0" t="n">
        <f aca="false">ROUNDUP(F26,0)</f>
        <v>4</v>
      </c>
      <c r="I26" s="0" t="s">
        <v>312</v>
      </c>
    </row>
    <row r="27" customFormat="false" ht="15" hidden="false" customHeight="false" outlineLevel="0" collapsed="false">
      <c r="A27" s="0" t="s">
        <v>313</v>
      </c>
      <c r="B27" s="0" t="s">
        <v>261</v>
      </c>
      <c r="C27" s="0" t="n">
        <v>103.5</v>
      </c>
      <c r="D27" s="0" t="n">
        <f aca="false">Inputs!$B$6</f>
        <v>0.06</v>
      </c>
      <c r="E27" s="0" t="n">
        <f aca="false">C27*D27</f>
        <v>6.21</v>
      </c>
      <c r="F27" s="0" t="n">
        <f aca="false">C27+E27</f>
        <v>109.71</v>
      </c>
      <c r="G27" s="0" t="s">
        <v>314</v>
      </c>
      <c r="H27" s="0" t="n">
        <f aca="false">ROUNDUP(F27/Inputs!$B$26,0)</f>
        <v>7</v>
      </c>
      <c r="I27" s="0" t="s">
        <v>315</v>
      </c>
    </row>
    <row r="28" customFormat="false" ht="15" hidden="false" customHeight="false" outlineLevel="0" collapsed="false">
      <c r="A28" s="0" t="s">
        <v>316</v>
      </c>
      <c r="B28" s="0" t="s">
        <v>261</v>
      </c>
      <c r="C28" s="0" t="n">
        <v>64.26</v>
      </c>
      <c r="D28" s="0" t="n">
        <f aca="false">Inputs!$B$6</f>
        <v>0.06</v>
      </c>
      <c r="E28" s="0" t="n">
        <f aca="false">C28*D28</f>
        <v>3.8556</v>
      </c>
      <c r="F28" s="0" t="n">
        <f aca="false">C28+E28</f>
        <v>68.1156</v>
      </c>
      <c r="G28" s="0" t="s">
        <v>314</v>
      </c>
      <c r="H28" s="0" t="n">
        <f aca="false">ROUNDUP(F28/Inputs!$B$26,0)</f>
        <v>5</v>
      </c>
      <c r="I28" s="0" t="s">
        <v>317</v>
      </c>
    </row>
    <row r="29" customFormat="false" ht="15" hidden="false" customHeight="false" outlineLevel="0" collapsed="false">
      <c r="A29" s="0" t="s">
        <v>318</v>
      </c>
      <c r="B29" s="0" t="s">
        <v>261</v>
      </c>
      <c r="C29" s="0" t="n">
        <v>5.33</v>
      </c>
      <c r="D29" s="0" t="n">
        <f aca="false">Inputs!$B$6</f>
        <v>0.06</v>
      </c>
      <c r="E29" s="0" t="n">
        <f aca="false">C29*D29</f>
        <v>0.3198</v>
      </c>
      <c r="F29" s="0" t="n">
        <f aca="false">C29+E29</f>
        <v>5.6498</v>
      </c>
      <c r="G29" s="0" t="s">
        <v>314</v>
      </c>
      <c r="H29" s="0" t="n">
        <f aca="false">ROUNDUP(F29/Inputs!$B$26,0)</f>
        <v>1</v>
      </c>
      <c r="I29" s="0" t="s">
        <v>319</v>
      </c>
    </row>
    <row r="30" customFormat="false" ht="15" hidden="false" customHeight="false" outlineLevel="0" collapsed="false">
      <c r="A30" s="0" t="s">
        <v>320</v>
      </c>
      <c r="B30" s="0" t="s">
        <v>321</v>
      </c>
      <c r="C30" s="0" t="n">
        <v>1350.35</v>
      </c>
      <c r="D30" s="0" t="n">
        <f aca="false">Inputs!$B$6</f>
        <v>0.06</v>
      </c>
      <c r="E30" s="0" t="n">
        <f aca="false">C30*D30</f>
        <v>81.021</v>
      </c>
      <c r="F30" s="0" t="n">
        <f aca="false">C30+E30</f>
        <v>1431.371</v>
      </c>
      <c r="G30" s="0" t="s">
        <v>322</v>
      </c>
      <c r="H30" s="0" t="n">
        <f aca="false">ROUNDUP(F30/32,0)</f>
        <v>45</v>
      </c>
      <c r="I30" s="0" t="s">
        <v>323</v>
      </c>
    </row>
    <row r="31" customFormat="false" ht="15" hidden="false" customHeight="false" outlineLevel="0" collapsed="false">
      <c r="A31" s="0" t="s">
        <v>324</v>
      </c>
      <c r="B31" s="0" t="s">
        <v>321</v>
      </c>
      <c r="C31" s="0" t="n">
        <v>255.85</v>
      </c>
      <c r="D31" s="0" t="n">
        <f aca="false">Inputs!$B$6</f>
        <v>0.06</v>
      </c>
      <c r="E31" s="0" t="n">
        <f aca="false">C31*D31</f>
        <v>15.351</v>
      </c>
      <c r="F31" s="0" t="n">
        <f aca="false">C31+E31</f>
        <v>271.201</v>
      </c>
      <c r="G31" s="0" t="s">
        <v>322</v>
      </c>
      <c r="H31" s="0" t="n">
        <f aca="false">ROUNDUP(F31/32,0)</f>
        <v>9</v>
      </c>
      <c r="I31" s="0" t="s">
        <v>325</v>
      </c>
    </row>
    <row r="32" customFormat="false" ht="15" hidden="false" customHeight="false" outlineLevel="0" collapsed="false">
      <c r="A32" s="0" t="s">
        <v>326</v>
      </c>
      <c r="B32" s="0" t="s">
        <v>306</v>
      </c>
      <c r="C32" s="0" t="n">
        <v>2</v>
      </c>
      <c r="D32" s="0" t="n">
        <v>0</v>
      </c>
      <c r="E32" s="0" t="n">
        <f aca="false">C32*D32</f>
        <v>0</v>
      </c>
      <c r="F32" s="0" t="n">
        <f aca="false">C32+E32</f>
        <v>2</v>
      </c>
      <c r="G32" s="0" t="s">
        <v>307</v>
      </c>
      <c r="H32" s="0" t="n">
        <f aca="false">ROUNDUP(F32,0)</f>
        <v>2</v>
      </c>
      <c r="I32" s="0" t="s">
        <v>327</v>
      </c>
    </row>
    <row r="33" customFormat="false" ht="15" hidden="false" customHeight="false" outlineLevel="0" collapsed="false">
      <c r="A33" s="0" t="s">
        <v>328</v>
      </c>
      <c r="B33" s="0" t="s">
        <v>321</v>
      </c>
      <c r="C33" s="0" t="n">
        <v>14242.81</v>
      </c>
      <c r="D33" s="0" t="n">
        <f aca="false">Inputs!$B$6</f>
        <v>0.06</v>
      </c>
      <c r="E33" s="0" t="n">
        <f aca="false">C33*D33</f>
        <v>854.5686</v>
      </c>
      <c r="F33" s="0" t="n">
        <f aca="false">C33+E33</f>
        <v>15097.3786</v>
      </c>
      <c r="G33" s="0" t="s">
        <v>322</v>
      </c>
      <c r="H33" s="0" t="n">
        <f aca="false">ROUNDUP(F33/Inputs!$B$9,0)</f>
        <v>315</v>
      </c>
      <c r="I33" s="0" t="s">
        <v>329</v>
      </c>
    </row>
    <row r="34" customFormat="false" ht="15" hidden="false" customHeight="false" outlineLevel="0" collapsed="false">
      <c r="A34" s="0" t="s">
        <v>330</v>
      </c>
      <c r="B34" s="0" t="s">
        <v>321</v>
      </c>
      <c r="C34" s="0" t="n">
        <v>874.2</v>
      </c>
      <c r="D34" s="0" t="n">
        <f aca="false">Inputs!$B$6</f>
        <v>0.06</v>
      </c>
      <c r="E34" s="0" t="n">
        <f aca="false">C34*D34</f>
        <v>52.452</v>
      </c>
      <c r="F34" s="0" t="n">
        <f aca="false">C34+E34</f>
        <v>926.652</v>
      </c>
      <c r="G34" s="0" t="s">
        <v>322</v>
      </c>
      <c r="H34" s="0" t="n">
        <f aca="false">ROUNDUP(F34/Inputs!$B$9,0)</f>
        <v>20</v>
      </c>
      <c r="I34" s="0" t="s">
        <v>331</v>
      </c>
    </row>
    <row r="35" customFormat="false" ht="15" hidden="false" customHeight="false" outlineLevel="0" collapsed="false">
      <c r="A35" s="0" t="s">
        <v>332</v>
      </c>
      <c r="B35" s="0" t="s">
        <v>321</v>
      </c>
      <c r="C35" s="0" t="n">
        <v>47.1</v>
      </c>
      <c r="D35" s="0" t="n">
        <f aca="false">Inputs!$B$6</f>
        <v>0.06</v>
      </c>
      <c r="E35" s="0" t="n">
        <f aca="false">C35*D35</f>
        <v>2.826</v>
      </c>
      <c r="F35" s="0" t="n">
        <f aca="false">C35+E35</f>
        <v>49.926</v>
      </c>
      <c r="G35" s="0" t="s">
        <v>322</v>
      </c>
      <c r="H35" s="0" t="n">
        <f aca="false">ROUNDUP(F35/Inputs!$B$9,0)</f>
        <v>2</v>
      </c>
      <c r="I35" s="0" t="s">
        <v>333</v>
      </c>
    </row>
    <row r="36" customFormat="false" ht="15" hidden="false" customHeight="false" outlineLevel="0" collapsed="false">
      <c r="A36" s="0" t="s">
        <v>334</v>
      </c>
      <c r="B36" s="0" t="s">
        <v>321</v>
      </c>
      <c r="C36" s="0" t="n">
        <v>437.5</v>
      </c>
      <c r="D36" s="0" t="n">
        <f aca="false">Inputs!$B$6</f>
        <v>0.06</v>
      </c>
      <c r="E36" s="0" t="n">
        <f aca="false">C36*D36</f>
        <v>26.25</v>
      </c>
      <c r="F36" s="0" t="n">
        <f aca="false">C36+E36</f>
        <v>463.75</v>
      </c>
      <c r="G36" s="0" t="s">
        <v>322</v>
      </c>
      <c r="H36" s="0" t="n">
        <f aca="false">ROUNDUP(F36/Inputs!$B$9,0)</f>
        <v>10</v>
      </c>
      <c r="I36" s="0" t="s">
        <v>335</v>
      </c>
    </row>
    <row r="37" customFormat="false" ht="15" hidden="false" customHeight="false" outlineLevel="0" collapsed="false">
      <c r="A37" s="0" t="s">
        <v>336</v>
      </c>
      <c r="B37" s="0" t="s">
        <v>321</v>
      </c>
      <c r="C37" s="0" t="n">
        <v>959</v>
      </c>
      <c r="D37" s="0" t="n">
        <f aca="false">Inputs!$B$6</f>
        <v>0.06</v>
      </c>
      <c r="E37" s="0" t="n">
        <f aca="false">C37*D37</f>
        <v>57.54</v>
      </c>
      <c r="F37" s="0" t="n">
        <f aca="false">C37+E37</f>
        <v>1016.54</v>
      </c>
      <c r="G37" s="0" t="s">
        <v>337</v>
      </c>
      <c r="H37" s="0" t="n">
        <f aca="false">ROUNDUP(F37/Inputs!$B$30,0)</f>
        <v>26</v>
      </c>
      <c r="I37" s="0" t="s">
        <v>338</v>
      </c>
    </row>
    <row r="38" customFormat="false" ht="15" hidden="false" customHeight="false" outlineLevel="0" collapsed="false">
      <c r="A38" s="0" t="s">
        <v>339</v>
      </c>
      <c r="B38" s="0" t="s">
        <v>321</v>
      </c>
      <c r="C38" s="0" t="n">
        <v>7155.1</v>
      </c>
      <c r="D38" s="0" t="n">
        <f aca="false">Inputs!$B$6</f>
        <v>0.06</v>
      </c>
      <c r="E38" s="0" t="n">
        <f aca="false">C38*D38</f>
        <v>429.306</v>
      </c>
      <c r="F38" s="0" t="n">
        <f aca="false">C38+E38</f>
        <v>7584.406</v>
      </c>
      <c r="G38" s="0" t="s">
        <v>321</v>
      </c>
      <c r="H38" s="0" t="n">
        <f aca="false">ROUNDUP(F38,0)</f>
        <v>7585</v>
      </c>
      <c r="I38" s="0" t="s">
        <v>340</v>
      </c>
    </row>
    <row r="39" customFormat="false" ht="15" hidden="false" customHeight="false" outlineLevel="0" collapsed="false">
      <c r="A39" s="0" t="s">
        <v>341</v>
      </c>
      <c r="B39" s="0" t="s">
        <v>321</v>
      </c>
      <c r="C39" s="0" t="n">
        <v>479.72</v>
      </c>
      <c r="D39" s="0" t="n">
        <f aca="false">Inputs!$B$6</f>
        <v>0.06</v>
      </c>
      <c r="E39" s="0" t="n">
        <f aca="false">C39*D39</f>
        <v>28.7832</v>
      </c>
      <c r="F39" s="0" t="n">
        <f aca="false">C39+E39</f>
        <v>508.5032</v>
      </c>
      <c r="G39" s="0" t="s">
        <v>321</v>
      </c>
      <c r="H39" s="0" t="n">
        <f aca="false">ROUNDUP(F39,0)</f>
        <v>509</v>
      </c>
      <c r="I39" s="0" t="s">
        <v>342</v>
      </c>
    </row>
    <row r="40" customFormat="false" ht="15" hidden="false" customHeight="false" outlineLevel="0" collapsed="false">
      <c r="A40" s="0" t="s">
        <v>343</v>
      </c>
      <c r="B40" s="0" t="s">
        <v>261</v>
      </c>
      <c r="C40" s="0" t="n">
        <v>674</v>
      </c>
      <c r="D40" s="0" t="n">
        <f aca="false">Inputs!$B$6</f>
        <v>0.06</v>
      </c>
      <c r="E40" s="0" t="n">
        <f aca="false">C40*D40</f>
        <v>40.44</v>
      </c>
      <c r="F40" s="0" t="n">
        <f aca="false">C40+E40</f>
        <v>714.44</v>
      </c>
      <c r="G40" s="0" t="s">
        <v>344</v>
      </c>
      <c r="H40" s="0" t="n">
        <f aca="false">ROUNDUP(F40/Inputs!$B$18,0)</f>
        <v>72</v>
      </c>
      <c r="I40" s="0" t="s">
        <v>345</v>
      </c>
    </row>
    <row r="41" customFormat="false" ht="15" hidden="false" customHeight="false" outlineLevel="0" collapsed="false">
      <c r="A41" s="0" t="s">
        <v>346</v>
      </c>
      <c r="B41" s="0" t="s">
        <v>261</v>
      </c>
      <c r="C41" s="0" t="n">
        <v>216.7</v>
      </c>
      <c r="D41" s="0" t="n">
        <f aca="false">Inputs!$B$6</f>
        <v>0.06</v>
      </c>
      <c r="E41" s="0" t="n">
        <f aca="false">C41*D41</f>
        <v>13.002</v>
      </c>
      <c r="F41" s="0" t="n">
        <f aca="false">C41+E41</f>
        <v>229.702</v>
      </c>
      <c r="G41" s="0" t="s">
        <v>344</v>
      </c>
      <c r="H41" s="0" t="n">
        <f aca="false">ROUNDUP(F41/Inputs!$B$18,0)</f>
        <v>23</v>
      </c>
      <c r="I41" s="0" t="s">
        <v>347</v>
      </c>
    </row>
    <row r="42" customFormat="false" ht="15" hidden="false" customHeight="false" outlineLevel="0" collapsed="false">
      <c r="A42" s="0" t="s">
        <v>348</v>
      </c>
      <c r="B42" s="0" t="s">
        <v>261</v>
      </c>
      <c r="C42" s="0" t="n">
        <v>98.55</v>
      </c>
      <c r="D42" s="0" t="n">
        <f aca="false">Inputs!$B$6</f>
        <v>0.06</v>
      </c>
      <c r="E42" s="0" t="n">
        <f aca="false">C42*D42</f>
        <v>5.913</v>
      </c>
      <c r="F42" s="0" t="n">
        <f aca="false">C42+E42</f>
        <v>104.463</v>
      </c>
      <c r="G42" s="0" t="s">
        <v>344</v>
      </c>
      <c r="H42" s="0" t="n">
        <f aca="false">ROUNDUP(F42/Inputs!$B$18,0)</f>
        <v>11</v>
      </c>
      <c r="I42" s="0" t="s">
        <v>349</v>
      </c>
    </row>
    <row r="43" customFormat="false" ht="15" hidden="false" customHeight="false" outlineLevel="0" collapsed="false">
      <c r="A43" s="0" t="s">
        <v>350</v>
      </c>
      <c r="B43" s="0" t="s">
        <v>261</v>
      </c>
      <c r="C43" s="0" t="n">
        <v>211</v>
      </c>
      <c r="D43" s="0" t="n">
        <f aca="false">Inputs!$B$6</f>
        <v>0.06</v>
      </c>
      <c r="E43" s="0" t="n">
        <f aca="false">C43*D43</f>
        <v>12.66</v>
      </c>
      <c r="F43" s="0" t="n">
        <f aca="false">C43+E43</f>
        <v>223.66</v>
      </c>
      <c r="G43" s="0" t="s">
        <v>344</v>
      </c>
      <c r="H43" s="0" t="n">
        <f aca="false">ROUNDUP(F43/Inputs!$B$18,0)</f>
        <v>23</v>
      </c>
      <c r="I43" s="0" t="s">
        <v>351</v>
      </c>
    </row>
    <row r="44" customFormat="false" ht="15" hidden="false" customHeight="false" outlineLevel="0" collapsed="false">
      <c r="A44" s="0" t="s">
        <v>352</v>
      </c>
      <c r="B44" s="0" t="s">
        <v>261</v>
      </c>
      <c r="C44" s="0" t="n">
        <v>60</v>
      </c>
      <c r="D44" s="0" t="n">
        <f aca="false">Inputs!$B$6</f>
        <v>0.06</v>
      </c>
      <c r="E44" s="0" t="n">
        <f aca="false">C44*D44</f>
        <v>3.6</v>
      </c>
      <c r="F44" s="0" t="n">
        <f aca="false">C44+E44</f>
        <v>63.6</v>
      </c>
      <c r="G44" s="0" t="s">
        <v>353</v>
      </c>
      <c r="H44" s="0" t="n">
        <f aca="false">ROUNDUP(F44/6,0)</f>
        <v>11</v>
      </c>
      <c r="I44" s="0" t="s">
        <v>354</v>
      </c>
    </row>
    <row r="45" customFormat="false" ht="15" hidden="false" customHeight="false" outlineLevel="0" collapsed="false">
      <c r="A45" s="0" t="s">
        <v>355</v>
      </c>
      <c r="B45" s="0" t="s">
        <v>356</v>
      </c>
      <c r="C45" s="0" t="n">
        <v>1088.42</v>
      </c>
      <c r="D45" s="0" t="n">
        <v>0</v>
      </c>
      <c r="E45" s="0" t="n">
        <f aca="false">C45*D45</f>
        <v>0</v>
      </c>
      <c r="F45" s="0" t="n">
        <f aca="false">C45+E45</f>
        <v>1088.42</v>
      </c>
      <c r="G45" s="0" t="s">
        <v>357</v>
      </c>
      <c r="H45" s="0" t="n">
        <f aca="false">ROUNDUP(F45,0)</f>
        <v>1089</v>
      </c>
      <c r="I45" s="0" t="s">
        <v>358</v>
      </c>
      <c r="J45" s="0" t="n">
        <f aca="false">Inputs!$B$23*15117.01</f>
        <v>1088.42472</v>
      </c>
    </row>
    <row r="46" customFormat="false" ht="15" hidden="false" customHeight="false" outlineLevel="0" collapsed="false">
      <c r="A46" s="0" t="s">
        <v>359</v>
      </c>
      <c r="B46" s="0" t="s">
        <v>261</v>
      </c>
      <c r="C46" s="0" t="n">
        <v>5593.29</v>
      </c>
      <c r="D46" s="0" t="n">
        <v>0</v>
      </c>
      <c r="E46" s="0" t="n">
        <f aca="false">C46*D46</f>
        <v>0</v>
      </c>
      <c r="F46" s="0" t="n">
        <f aca="false">C46+E46</f>
        <v>5593.29</v>
      </c>
      <c r="G46" s="0" t="s">
        <v>261</v>
      </c>
      <c r="H46" s="0" t="n">
        <f aca="false">ROUNDUP(F46,0)</f>
        <v>5594</v>
      </c>
      <c r="I46" s="0" t="s">
        <v>360</v>
      </c>
      <c r="J46" s="0" t="n">
        <f aca="false">Inputs!$B$24*15117.01</f>
        <v>5593.2937</v>
      </c>
    </row>
    <row r="47" customFormat="false" ht="15" hidden="false" customHeight="false" outlineLevel="0" collapsed="false">
      <c r="A47" s="0" t="s">
        <v>361</v>
      </c>
      <c r="B47" s="0" t="s">
        <v>306</v>
      </c>
      <c r="C47" s="0" t="n">
        <v>6370.58</v>
      </c>
      <c r="D47" s="0" t="n">
        <v>0</v>
      </c>
      <c r="E47" s="0" t="n">
        <f aca="false">C47*D47</f>
        <v>0</v>
      </c>
      <c r="F47" s="0" t="n">
        <f aca="false">C47+E47</f>
        <v>6370.58</v>
      </c>
      <c r="G47" s="0" t="s">
        <v>307</v>
      </c>
      <c r="H47" s="0" t="n">
        <f aca="false">ROUNDUP(F47,0)</f>
        <v>6371</v>
      </c>
      <c r="I47" s="0" t="s">
        <v>362</v>
      </c>
      <c r="J47" s="0" t="n">
        <f aca="false">Inputs!$B$20*13849.08</f>
        <v>6370.5768</v>
      </c>
    </row>
    <row r="48" customFormat="false" ht="15" hidden="false" customHeight="false" outlineLevel="0" collapsed="false">
      <c r="A48" s="0" t="s">
        <v>363</v>
      </c>
      <c r="B48" s="0" t="s">
        <v>306</v>
      </c>
      <c r="C48" s="0" t="n">
        <v>994.28</v>
      </c>
      <c r="D48" s="0" t="n">
        <v>0</v>
      </c>
      <c r="E48" s="0" t="n">
        <f aca="false">C48*D48</f>
        <v>0</v>
      </c>
      <c r="F48" s="0" t="n">
        <f aca="false">C48+E48</f>
        <v>994.28</v>
      </c>
      <c r="G48" s="0" t="s">
        <v>307</v>
      </c>
      <c r="H48" s="0" t="n">
        <f aca="false">ROUNDUP(F48,0)</f>
        <v>995</v>
      </c>
      <c r="I48" s="0" t="s">
        <v>364</v>
      </c>
      <c r="J48" s="0" t="n">
        <f aca="false">0.83*1197.93</f>
        <v>994.2819</v>
      </c>
    </row>
    <row r="49" customFormat="false" ht="15" hidden="false" customHeight="false" outlineLevel="0" collapsed="false">
      <c r="A49" s="0" t="s">
        <v>365</v>
      </c>
      <c r="B49" s="0" t="s">
        <v>306</v>
      </c>
      <c r="C49" s="0" t="n">
        <v>32.2</v>
      </c>
      <c r="D49" s="0" t="n">
        <v>0</v>
      </c>
      <c r="E49" s="0" t="n">
        <f aca="false">C49*D49</f>
        <v>0</v>
      </c>
      <c r="F49" s="0" t="n">
        <f aca="false">C49+E49</f>
        <v>32.2</v>
      </c>
      <c r="G49" s="0" t="s">
        <v>307</v>
      </c>
      <c r="H49" s="0" t="n">
        <f aca="false">ROUNDUP(F49,0)</f>
        <v>33</v>
      </c>
      <c r="I49" s="0" t="s">
        <v>366</v>
      </c>
      <c r="J49" s="0" t="n">
        <f aca="false">Inputs!$B$20*70</f>
        <v>32.2</v>
      </c>
    </row>
    <row r="50" customFormat="false" ht="15" hidden="false" customHeight="false" outlineLevel="0" collapsed="false">
      <c r="A50" s="0" t="s">
        <v>367</v>
      </c>
      <c r="B50" s="0" t="s">
        <v>306</v>
      </c>
      <c r="C50" s="0" t="n">
        <v>2280</v>
      </c>
      <c r="D50" s="0" t="n">
        <v>0</v>
      </c>
      <c r="E50" s="0" t="n">
        <f aca="false">C50*D50</f>
        <v>0</v>
      </c>
      <c r="F50" s="0" t="n">
        <f aca="false">C50+E50</f>
        <v>2280</v>
      </c>
      <c r="G50" s="0" t="s">
        <v>307</v>
      </c>
      <c r="H50" s="0" t="n">
        <f aca="false">ROUNDUP(F50,0)</f>
        <v>2280</v>
      </c>
      <c r="I50" s="0" t="s">
        <v>368</v>
      </c>
      <c r="J50" s="0" t="n">
        <f aca="false">Inputs!$B$21*570</f>
        <v>2280</v>
      </c>
    </row>
    <row r="51" customFormat="false" ht="15" hidden="false" customHeight="false" outlineLevel="0" collapsed="false">
      <c r="A51" s="0" t="s">
        <v>369</v>
      </c>
      <c r="B51" s="0" t="s">
        <v>306</v>
      </c>
      <c r="C51" s="0" t="n">
        <v>66</v>
      </c>
      <c r="D51" s="0" t="n">
        <v>0</v>
      </c>
      <c r="E51" s="0" t="n">
        <f aca="false">C51*D51</f>
        <v>0</v>
      </c>
      <c r="F51" s="0" t="n">
        <f aca="false">C51+E51</f>
        <v>66</v>
      </c>
      <c r="G51" s="0" t="s">
        <v>307</v>
      </c>
      <c r="H51" s="0" t="n">
        <f aca="false">ROUNDUP(F51,0)</f>
        <v>66</v>
      </c>
      <c r="I51" s="0" t="s">
        <v>370</v>
      </c>
    </row>
    <row r="52" customFormat="false" ht="15" hidden="false" customHeight="false" outlineLevel="0" collapsed="false">
      <c r="A52" s="0" t="s">
        <v>371</v>
      </c>
      <c r="B52" s="0" t="s">
        <v>306</v>
      </c>
      <c r="C52" s="0" t="n">
        <v>376</v>
      </c>
      <c r="D52" s="0" t="n">
        <v>0</v>
      </c>
      <c r="E52" s="0" t="n">
        <f aca="false">C52*D52</f>
        <v>0</v>
      </c>
      <c r="F52" s="0" t="n">
        <f aca="false">C52+E52</f>
        <v>376</v>
      </c>
      <c r="G52" s="0" t="s">
        <v>307</v>
      </c>
      <c r="H52" s="0" t="n">
        <f aca="false">ROUNDUP(F52,0)</f>
        <v>376</v>
      </c>
      <c r="I52" s="0" t="s">
        <v>372</v>
      </c>
    </row>
    <row r="53" customFormat="false" ht="15" hidden="false" customHeight="false" outlineLevel="0" collapsed="false">
      <c r="A53" s="0" t="s">
        <v>373</v>
      </c>
      <c r="B53" s="0" t="s">
        <v>306</v>
      </c>
      <c r="C53" s="0" t="n">
        <v>7280</v>
      </c>
      <c r="D53" s="0" t="n">
        <v>0</v>
      </c>
      <c r="E53" s="0" t="n">
        <f aca="false">C53*D53</f>
        <v>0</v>
      </c>
      <c r="F53" s="0" t="n">
        <f aca="false">C53+E53</f>
        <v>7280</v>
      </c>
      <c r="G53" s="0" t="s">
        <v>307</v>
      </c>
      <c r="H53" s="0" t="n">
        <f aca="false">ROUNDUP(F53,0)</f>
        <v>7280</v>
      </c>
      <c r="I53" s="0" t="s">
        <v>374</v>
      </c>
    </row>
    <row r="54" customFormat="false" ht="15" hidden="false" customHeight="false" outlineLevel="0" collapsed="false">
      <c r="A54" s="0" t="s">
        <v>375</v>
      </c>
      <c r="B54" s="0" t="s">
        <v>306</v>
      </c>
      <c r="C54" s="0" t="n">
        <v>786</v>
      </c>
      <c r="D54" s="0" t="n">
        <v>0</v>
      </c>
      <c r="E54" s="0" t="n">
        <f aca="false">C54*D54</f>
        <v>0</v>
      </c>
      <c r="F54" s="0" t="n">
        <f aca="false">C54+E54</f>
        <v>786</v>
      </c>
      <c r="G54" s="0" t="s">
        <v>307</v>
      </c>
      <c r="H54" s="0" t="n">
        <f aca="false">ROUNDUP(F54,0)</f>
        <v>786</v>
      </c>
      <c r="I54" s="0" t="s">
        <v>376</v>
      </c>
    </row>
    <row r="55" customFormat="false" ht="15" hidden="false" customHeight="false" outlineLevel="0" collapsed="false">
      <c r="A55" s="0" t="s">
        <v>377</v>
      </c>
      <c r="B55" s="0" t="s">
        <v>306</v>
      </c>
      <c r="C55" s="0" t="n">
        <v>180</v>
      </c>
      <c r="D55" s="0" t="n">
        <v>0</v>
      </c>
      <c r="E55" s="0" t="n">
        <f aca="false">C55*D55</f>
        <v>0</v>
      </c>
      <c r="F55" s="0" t="n">
        <f aca="false">C55+E55</f>
        <v>180</v>
      </c>
      <c r="G55" s="0" t="s">
        <v>307</v>
      </c>
      <c r="H55" s="0" t="n">
        <f aca="false">ROUNDUP(F55,0)</f>
        <v>180</v>
      </c>
      <c r="I55" s="0" t="s">
        <v>378</v>
      </c>
    </row>
    <row r="56" customFormat="false" ht="15" hidden="false" customHeight="false" outlineLevel="0" collapsed="false">
      <c r="A56" s="0" t="s">
        <v>379</v>
      </c>
      <c r="B56" s="0" t="s">
        <v>306</v>
      </c>
      <c r="C56" s="0" t="n">
        <v>220</v>
      </c>
      <c r="D56" s="0" t="n">
        <v>0</v>
      </c>
      <c r="E56" s="0" t="n">
        <f aca="false">C56*D56</f>
        <v>0</v>
      </c>
      <c r="F56" s="0" t="n">
        <f aca="false">C56+E56</f>
        <v>220</v>
      </c>
      <c r="G56" s="0" t="s">
        <v>307</v>
      </c>
      <c r="H56" s="0" t="n">
        <f aca="false">ROUNDUP(F56,0)</f>
        <v>220</v>
      </c>
      <c r="I56" s="0" t="s">
        <v>380</v>
      </c>
    </row>
    <row r="57" customFormat="false" ht="15" hidden="false" customHeight="false" outlineLevel="0" collapsed="false">
      <c r="A57" s="0" t="s">
        <v>381</v>
      </c>
      <c r="B57" s="0" t="s">
        <v>306</v>
      </c>
      <c r="C57" s="0" t="n">
        <v>581.52</v>
      </c>
      <c r="D57" s="0" t="n">
        <v>0</v>
      </c>
      <c r="E57" s="0" t="n">
        <f aca="false">C57*D57</f>
        <v>0</v>
      </c>
      <c r="F57" s="0" t="n">
        <f aca="false">C57+E57</f>
        <v>581.52</v>
      </c>
      <c r="G57" s="0" t="s">
        <v>307</v>
      </c>
      <c r="H57" s="0" t="n">
        <f aca="false">ROUNDUP(F57,0)</f>
        <v>582</v>
      </c>
      <c r="I57" s="0" t="s">
        <v>382</v>
      </c>
    </row>
    <row r="58" customFormat="false" ht="15" hidden="false" customHeight="false" outlineLevel="0" collapsed="false">
      <c r="A58" s="0" t="s">
        <v>383</v>
      </c>
      <c r="B58" s="0" t="s">
        <v>306</v>
      </c>
      <c r="C58" s="0" t="n">
        <v>1509.08</v>
      </c>
      <c r="D58" s="0" t="n">
        <v>0</v>
      </c>
      <c r="E58" s="0" t="n">
        <f aca="false">C58*D58</f>
        <v>0</v>
      </c>
      <c r="F58" s="0" t="n">
        <f aca="false">C58+E58</f>
        <v>1509.08</v>
      </c>
      <c r="G58" s="0" t="s">
        <v>307</v>
      </c>
      <c r="H58" s="0" t="n">
        <f aca="false">ROUNDUP(F58,0)</f>
        <v>1510</v>
      </c>
      <c r="I58" s="0" t="s">
        <v>384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385</v>
      </c>
      <c r="B1" s="2" t="s">
        <v>386</v>
      </c>
      <c r="C1" s="2" t="s">
        <v>387</v>
      </c>
    </row>
    <row r="2" customFormat="false" ht="15" hidden="false" customHeight="false" outlineLevel="0" collapsed="false">
      <c r="A2" s="0" t="s">
        <v>388</v>
      </c>
      <c r="B2" s="0" t="s">
        <v>389</v>
      </c>
      <c r="C2" s="0" t="s">
        <v>390</v>
      </c>
    </row>
    <row r="3" customFormat="false" ht="15" hidden="false" customHeight="false" outlineLevel="0" collapsed="false">
      <c r="A3" s="0" t="s">
        <v>391</v>
      </c>
      <c r="B3" s="0" t="s">
        <v>392</v>
      </c>
      <c r="C3" s="0" t="s">
        <v>393</v>
      </c>
    </row>
    <row r="4" customFormat="false" ht="15" hidden="false" customHeight="false" outlineLevel="0" collapsed="false">
      <c r="A4" s="0" t="s">
        <v>394</v>
      </c>
      <c r="B4" s="0" t="s">
        <v>395</v>
      </c>
      <c r="C4" s="0" t="s">
        <v>396</v>
      </c>
    </row>
    <row r="5" customFormat="false" ht="15" hidden="false" customHeight="false" outlineLevel="0" collapsed="false">
      <c r="A5" s="0" t="s">
        <v>397</v>
      </c>
      <c r="B5" s="0" t="s">
        <v>398</v>
      </c>
      <c r="C5" s="0" t="s">
        <v>399</v>
      </c>
    </row>
    <row r="6" customFormat="false" ht="15" hidden="false" customHeight="false" outlineLevel="0" collapsed="false">
      <c r="A6" s="0" t="s">
        <v>400</v>
      </c>
      <c r="B6" s="0" t="s">
        <v>401</v>
      </c>
      <c r="C6" s="0" t="s">
        <v>402</v>
      </c>
    </row>
    <row r="7" customFormat="false" ht="15" hidden="false" customHeight="false" outlineLevel="0" collapsed="false">
      <c r="A7" s="0" t="s">
        <v>403</v>
      </c>
      <c r="B7" s="0" t="s">
        <v>404</v>
      </c>
      <c r="C7" s="0" t="s">
        <v>405</v>
      </c>
    </row>
    <row r="8" customFormat="false" ht="15" hidden="false" customHeight="false" outlineLevel="0" collapsed="false">
      <c r="A8" s="0" t="s">
        <v>406</v>
      </c>
      <c r="B8" s="0" t="s">
        <v>407</v>
      </c>
      <c r="C8" s="0" t="s">
        <v>408</v>
      </c>
    </row>
    <row r="9" customFormat="false" ht="15" hidden="false" customHeight="false" outlineLevel="0" collapsed="false">
      <c r="A9" s="0" t="s">
        <v>409</v>
      </c>
      <c r="B9" s="0" t="s">
        <v>410</v>
      </c>
      <c r="C9" s="0" t="s">
        <v>411</v>
      </c>
    </row>
    <row r="10" customFormat="false" ht="15" hidden="false" customHeight="false" outlineLevel="0" collapsed="false">
      <c r="A10" s="0" t="s">
        <v>412</v>
      </c>
      <c r="B10" s="0" t="s">
        <v>413</v>
      </c>
      <c r="C10" s="0" t="s">
        <v>414</v>
      </c>
    </row>
    <row r="11" customFormat="false" ht="15" hidden="false" customHeight="false" outlineLevel="0" collapsed="false">
      <c r="A11" s="0" t="s">
        <v>415</v>
      </c>
      <c r="B11" s="0" t="s">
        <v>416</v>
      </c>
      <c r="C11" s="0" t="s">
        <v>417</v>
      </c>
    </row>
    <row r="12" customFormat="false" ht="15" hidden="false" customHeight="false" outlineLevel="0" collapsed="false">
      <c r="A12" s="0" t="s">
        <v>418</v>
      </c>
      <c r="B12" s="0" t="s">
        <v>419</v>
      </c>
      <c r="C12" s="0" t="s">
        <v>420</v>
      </c>
    </row>
    <row r="13" customFormat="false" ht="15" hidden="false" customHeight="false" outlineLevel="0" collapsed="false">
      <c r="A13" s="0" t="s">
        <v>421</v>
      </c>
      <c r="B13" s="0" t="s">
        <v>422</v>
      </c>
      <c r="C13" s="0" t="s">
        <v>423</v>
      </c>
    </row>
    <row r="14" customFormat="false" ht="15" hidden="false" customHeight="false" outlineLevel="0" collapsed="false">
      <c r="A14" s="0" t="s">
        <v>424</v>
      </c>
      <c r="B14" s="0" t="s">
        <v>425</v>
      </c>
      <c r="C14" s="0" t="s">
        <v>426</v>
      </c>
    </row>
    <row r="15" customFormat="false" ht="15" hidden="false" customHeight="false" outlineLevel="0" collapsed="false">
      <c r="A15" s="0" t="s">
        <v>427</v>
      </c>
      <c r="B15" s="0" t="s">
        <v>428</v>
      </c>
      <c r="C15" s="0" t="s">
        <v>429</v>
      </c>
    </row>
    <row r="16" customFormat="false" ht="15" hidden="false" customHeight="false" outlineLevel="0" collapsed="false">
      <c r="A16" s="0" t="s">
        <v>430</v>
      </c>
      <c r="B16" s="0" t="s">
        <v>431</v>
      </c>
      <c r="C16" s="0" t="s">
        <v>432</v>
      </c>
    </row>
    <row r="17" customFormat="false" ht="15" hidden="false" customHeight="false" outlineLevel="0" collapsed="false">
      <c r="A17" s="0" t="s">
        <v>433</v>
      </c>
      <c r="B17" s="0" t="s">
        <v>434</v>
      </c>
      <c r="C17" s="0" t="s">
        <v>435</v>
      </c>
    </row>
    <row r="18" customFormat="false" ht="15" hidden="false" customHeight="false" outlineLevel="0" collapsed="false">
      <c r="A18" s="0" t="s">
        <v>436</v>
      </c>
      <c r="B18" s="0" t="s">
        <v>437</v>
      </c>
      <c r="C18" s="0" t="s">
        <v>438</v>
      </c>
    </row>
    <row r="19" customFormat="false" ht="15" hidden="false" customHeight="false" outlineLevel="0" collapsed="false">
      <c r="A19" s="0" t="s">
        <v>439</v>
      </c>
      <c r="B19" s="0" t="s">
        <v>440</v>
      </c>
      <c r="C19" s="0" t="s">
        <v>441</v>
      </c>
    </row>
    <row r="20" customFormat="false" ht="15" hidden="false" customHeight="false" outlineLevel="0" collapsed="false">
      <c r="A20" s="0" t="s">
        <v>442</v>
      </c>
      <c r="B20" s="0" t="s">
        <v>443</v>
      </c>
      <c r="C20" s="0" t="s">
        <v>444</v>
      </c>
    </row>
    <row r="21" customFormat="false" ht="15" hidden="false" customHeight="false" outlineLevel="0" collapsed="false">
      <c r="A21" s="0" t="s">
        <v>445</v>
      </c>
      <c r="B21" s="0" t="s">
        <v>446</v>
      </c>
      <c r="C21" s="0" t="s">
        <v>447</v>
      </c>
    </row>
    <row r="22" customFormat="false" ht="15" hidden="false" customHeight="false" outlineLevel="0" collapsed="false">
      <c r="A22" s="0" t="s">
        <v>448</v>
      </c>
      <c r="B22" s="0" t="s">
        <v>449</v>
      </c>
      <c r="C22" s="0" t="s">
        <v>450</v>
      </c>
    </row>
    <row r="23" customFormat="false" ht="15" hidden="false" customHeight="false" outlineLevel="0" collapsed="false">
      <c r="A23" s="0" t="s">
        <v>451</v>
      </c>
      <c r="B23" s="0" t="s">
        <v>452</v>
      </c>
      <c r="C23" s="0" t="s">
        <v>453</v>
      </c>
    </row>
    <row r="24" customFormat="false" ht="15" hidden="false" customHeight="false" outlineLevel="0" collapsed="false">
      <c r="A24" s="0" t="s">
        <v>454</v>
      </c>
      <c r="B24" s="0" t="s">
        <v>455</v>
      </c>
      <c r="C24" s="0" t="s">
        <v>456</v>
      </c>
    </row>
    <row r="25" customFormat="false" ht="15" hidden="false" customHeight="false" outlineLevel="0" collapsed="false">
      <c r="A25" s="0" t="s">
        <v>457</v>
      </c>
      <c r="B25" s="0" t="s">
        <v>458</v>
      </c>
      <c r="C25" s="0" t="s">
        <v>459</v>
      </c>
    </row>
    <row r="26" customFormat="false" ht="15" hidden="false" customHeight="false" outlineLevel="0" collapsed="false">
      <c r="A26" s="0" t="s">
        <v>460</v>
      </c>
      <c r="B26" s="0" t="s">
        <v>461</v>
      </c>
      <c r="C26" s="0" t="s">
        <v>462</v>
      </c>
    </row>
    <row r="27" customFormat="false" ht="15" hidden="false" customHeight="false" outlineLevel="0" collapsed="false">
      <c r="A27" s="0" t="s">
        <v>463</v>
      </c>
      <c r="B27" s="0" t="s">
        <v>464</v>
      </c>
      <c r="C27" s="0" t="s">
        <v>465</v>
      </c>
    </row>
    <row r="28" customFormat="false" ht="15" hidden="false" customHeight="false" outlineLevel="0" collapsed="false">
      <c r="A28" s="0" t="s">
        <v>466</v>
      </c>
      <c r="B28" s="0" t="s">
        <v>467</v>
      </c>
      <c r="C28" s="0" t="s">
        <v>468</v>
      </c>
    </row>
    <row r="29" customFormat="false" ht="15" hidden="false" customHeight="false" outlineLevel="0" collapsed="false">
      <c r="A29" s="0" t="s">
        <v>469</v>
      </c>
      <c r="B29" s="0" t="s">
        <v>470</v>
      </c>
      <c r="C29" s="0" t="s">
        <v>471</v>
      </c>
    </row>
    <row r="30" customFormat="false" ht="15" hidden="false" customHeight="false" outlineLevel="0" collapsed="false">
      <c r="A30" s="0" t="s">
        <v>472</v>
      </c>
      <c r="B30" s="0" t="s">
        <v>473</v>
      </c>
      <c r="C30" s="0" t="s">
        <v>474</v>
      </c>
    </row>
    <row r="31" customFormat="false" ht="15" hidden="false" customHeight="false" outlineLevel="0" collapsed="false">
      <c r="A31" s="0" t="s">
        <v>475</v>
      </c>
      <c r="B31" s="0" t="s">
        <v>476</v>
      </c>
      <c r="C31" s="0" t="s">
        <v>477</v>
      </c>
    </row>
    <row r="32" customFormat="false" ht="15" hidden="false" customHeight="false" outlineLevel="0" collapsed="false">
      <c r="A32" s="0" t="s">
        <v>478</v>
      </c>
      <c r="B32" s="0" t="s">
        <v>479</v>
      </c>
      <c r="C32" s="0" t="s">
        <v>480</v>
      </c>
    </row>
    <row r="33" customFormat="false" ht="15" hidden="false" customHeight="false" outlineLevel="0" collapsed="false">
      <c r="A33" s="0" t="s">
        <v>481</v>
      </c>
      <c r="B33" s="0" t="s">
        <v>482</v>
      </c>
      <c r="C33" s="0" t="s">
        <v>483</v>
      </c>
    </row>
    <row r="34" customFormat="false" ht="15" hidden="false" customHeight="false" outlineLevel="0" collapsed="false">
      <c r="A34" s="0" t="s">
        <v>484</v>
      </c>
      <c r="B34" s="0" t="s">
        <v>485</v>
      </c>
      <c r="C34" s="0" t="s">
        <v>486</v>
      </c>
    </row>
    <row r="35" customFormat="false" ht="15" hidden="false" customHeight="false" outlineLevel="0" collapsed="false">
      <c r="A35" s="0" t="s">
        <v>487</v>
      </c>
      <c r="B35" s="0" t="s">
        <v>488</v>
      </c>
      <c r="C35" s="0" t="s">
        <v>489</v>
      </c>
    </row>
    <row r="36" customFormat="false" ht="15" hidden="false" customHeight="false" outlineLevel="0" collapsed="false">
      <c r="A36" s="0" t="s">
        <v>490</v>
      </c>
      <c r="B36" s="0" t="s">
        <v>491</v>
      </c>
      <c r="C36" s="0" t="s">
        <v>492</v>
      </c>
    </row>
    <row r="37" customFormat="false" ht="15" hidden="false" customHeight="false" outlineLevel="0" collapsed="false">
      <c r="A37" s="0" t="s">
        <v>493</v>
      </c>
      <c r="B37" s="0" t="s">
        <v>494</v>
      </c>
      <c r="C37" s="0" t="s">
        <v>495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496</v>
      </c>
    </row>
    <row r="2" customFormat="false" ht="15" hidden="false" customHeight="false" outlineLevel="0" collapsed="false">
      <c r="A2" s="0" t="s">
        <v>497</v>
      </c>
      <c r="B2" s="0" t="s">
        <v>498</v>
      </c>
      <c r="C2" s="0" t="s">
        <v>499</v>
      </c>
      <c r="D2" s="0" t="s">
        <v>500</v>
      </c>
      <c r="E2" s="0" t="s">
        <v>501</v>
      </c>
      <c r="F2" s="0" t="s">
        <v>502</v>
      </c>
    </row>
    <row r="3" customFormat="false" ht="15" hidden="false" customHeight="false" outlineLevel="0" collapsed="false">
      <c r="A3" s="0" t="s">
        <v>503</v>
      </c>
      <c r="B3" s="0" t="s">
        <v>504</v>
      </c>
      <c r="C3" s="0" t="s">
        <v>505</v>
      </c>
      <c r="D3" s="0" t="s">
        <v>506</v>
      </c>
      <c r="E3" s="0" t="s">
        <v>75</v>
      </c>
      <c r="F3" s="0" t="s">
        <v>507</v>
      </c>
    </row>
    <row r="4" customFormat="false" ht="15" hidden="false" customHeight="false" outlineLevel="0" collapsed="false">
      <c r="A4" s="0" t="s">
        <v>508</v>
      </c>
      <c r="B4" s="0" t="s">
        <v>504</v>
      </c>
      <c r="C4" s="0" t="s">
        <v>509</v>
      </c>
      <c r="D4" s="0" t="s">
        <v>510</v>
      </c>
      <c r="E4" s="0" t="s">
        <v>75</v>
      </c>
      <c r="F4" s="0" t="s">
        <v>507</v>
      </c>
    </row>
    <row r="5" customFormat="false" ht="15" hidden="false" customHeight="false" outlineLevel="0" collapsed="false">
      <c r="A5" s="0" t="s">
        <v>511</v>
      </c>
      <c r="B5" s="0" t="s">
        <v>504</v>
      </c>
      <c r="C5" s="0" t="s">
        <v>512</v>
      </c>
      <c r="D5" s="0" t="s">
        <v>513</v>
      </c>
      <c r="E5" s="0" t="s">
        <v>75</v>
      </c>
      <c r="F5" s="0" t="s">
        <v>507</v>
      </c>
    </row>
    <row r="6" customFormat="false" ht="15" hidden="false" customHeight="false" outlineLevel="0" collapsed="false">
      <c r="A6" s="0" t="s">
        <v>514</v>
      </c>
      <c r="B6" s="0" t="s">
        <v>504</v>
      </c>
      <c r="C6" s="0" t="s">
        <v>515</v>
      </c>
      <c r="D6" s="0" t="s">
        <v>516</v>
      </c>
      <c r="E6" s="0" t="s">
        <v>75</v>
      </c>
      <c r="F6" s="0" t="s">
        <v>507</v>
      </c>
    </row>
    <row r="7" customFormat="false" ht="15" hidden="false" customHeight="false" outlineLevel="0" collapsed="false">
      <c r="A7" s="0" t="s">
        <v>517</v>
      </c>
      <c r="B7" s="0" t="s">
        <v>504</v>
      </c>
      <c r="C7" s="0" t="s">
        <v>518</v>
      </c>
      <c r="D7" s="0" t="s">
        <v>519</v>
      </c>
      <c r="E7" s="0" t="s">
        <v>144</v>
      </c>
      <c r="F7" s="0" t="s">
        <v>520</v>
      </c>
    </row>
    <row r="8" customFormat="false" ht="15" hidden="false" customHeight="false" outlineLevel="0" collapsed="false">
      <c r="A8" s="0" t="s">
        <v>521</v>
      </c>
      <c r="B8" s="0" t="s">
        <v>504</v>
      </c>
      <c r="C8" s="0" t="s">
        <v>522</v>
      </c>
      <c r="D8" s="0" t="s">
        <v>523</v>
      </c>
      <c r="E8" s="0" t="s">
        <v>144</v>
      </c>
      <c r="F8" s="0" t="s">
        <v>520</v>
      </c>
    </row>
    <row r="9" customFormat="false" ht="15" hidden="false" customHeight="false" outlineLevel="0" collapsed="false">
      <c r="A9" s="0" t="s">
        <v>524</v>
      </c>
      <c r="B9" s="0" t="s">
        <v>504</v>
      </c>
      <c r="C9" s="0" t="s">
        <v>525</v>
      </c>
      <c r="D9" s="0" t="s">
        <v>526</v>
      </c>
      <c r="E9" s="0" t="s">
        <v>144</v>
      </c>
      <c r="F9" s="0" t="s">
        <v>520</v>
      </c>
    </row>
    <row r="10" customFormat="false" ht="15" hidden="false" customHeight="false" outlineLevel="0" collapsed="false">
      <c r="A10" s="0" t="s">
        <v>527</v>
      </c>
      <c r="B10" s="0" t="s">
        <v>504</v>
      </c>
      <c r="C10" s="0" t="s">
        <v>528</v>
      </c>
      <c r="D10" s="0" t="s">
        <v>529</v>
      </c>
      <c r="E10" s="0" t="s">
        <v>144</v>
      </c>
      <c r="F10" s="0" t="s">
        <v>520</v>
      </c>
    </row>
    <row r="11" customFormat="false" ht="15" hidden="false" customHeight="false" outlineLevel="0" collapsed="false">
      <c r="A11" s="0" t="s">
        <v>530</v>
      </c>
      <c r="B11" s="0" t="s">
        <v>504</v>
      </c>
      <c r="C11" s="0" t="s">
        <v>531</v>
      </c>
      <c r="D11" s="0" t="s">
        <v>532</v>
      </c>
      <c r="E11" s="0" t="s">
        <v>144</v>
      </c>
      <c r="F11" s="0" t="s">
        <v>520</v>
      </c>
    </row>
    <row r="12" customFormat="false" ht="15" hidden="false" customHeight="false" outlineLevel="0" collapsed="false">
      <c r="A12" s="0" t="s">
        <v>533</v>
      </c>
      <c r="B12" s="0" t="s">
        <v>504</v>
      </c>
      <c r="C12" s="0" t="s">
        <v>534</v>
      </c>
      <c r="D12" s="0" t="s">
        <v>535</v>
      </c>
      <c r="E12" s="0" t="s">
        <v>144</v>
      </c>
      <c r="F12" s="0" t="s">
        <v>520</v>
      </c>
    </row>
    <row r="13" customFormat="false" ht="15" hidden="false" customHeight="false" outlineLevel="0" collapsed="false">
      <c r="A13" s="0" t="s">
        <v>536</v>
      </c>
      <c r="B13" s="0" t="s">
        <v>504</v>
      </c>
      <c r="C13" s="0" t="s">
        <v>537</v>
      </c>
      <c r="D13" s="0" t="s">
        <v>538</v>
      </c>
      <c r="E13" s="0" t="s">
        <v>144</v>
      </c>
      <c r="F13" s="0" t="s">
        <v>520</v>
      </c>
    </row>
    <row r="14" customFormat="false" ht="15" hidden="false" customHeight="false" outlineLevel="0" collapsed="false">
      <c r="A14" s="0" t="s">
        <v>539</v>
      </c>
      <c r="B14" s="0" t="s">
        <v>504</v>
      </c>
      <c r="C14" s="0" t="s">
        <v>540</v>
      </c>
      <c r="D14" s="0" t="s">
        <v>541</v>
      </c>
      <c r="E14" s="0" t="s">
        <v>144</v>
      </c>
      <c r="F14" s="0" t="s">
        <v>520</v>
      </c>
    </row>
    <row r="15" customFormat="false" ht="15" hidden="false" customHeight="false" outlineLevel="0" collapsed="false">
      <c r="A15" s="0" t="s">
        <v>542</v>
      </c>
      <c r="B15" s="0" t="s">
        <v>504</v>
      </c>
      <c r="C15" s="0" t="s">
        <v>543</v>
      </c>
      <c r="D15" s="0" t="s">
        <v>544</v>
      </c>
      <c r="E15" s="0" t="s">
        <v>144</v>
      </c>
      <c r="F15" s="0" t="s">
        <v>520</v>
      </c>
    </row>
    <row r="16" customFormat="false" ht="15" hidden="false" customHeight="false" outlineLevel="0" collapsed="false">
      <c r="A16" s="0" t="s">
        <v>545</v>
      </c>
      <c r="B16" s="0" t="s">
        <v>504</v>
      </c>
      <c r="C16" s="0" t="s">
        <v>546</v>
      </c>
      <c r="D16" s="0" t="s">
        <v>547</v>
      </c>
      <c r="E16" s="0" t="s">
        <v>144</v>
      </c>
      <c r="F16" s="0" t="s">
        <v>520</v>
      </c>
    </row>
    <row r="17" customFormat="false" ht="15" hidden="false" customHeight="false" outlineLevel="0" collapsed="false">
      <c r="A17" s="0" t="s">
        <v>548</v>
      </c>
      <c r="B17" s="0" t="s">
        <v>504</v>
      </c>
      <c r="C17" s="0" t="s">
        <v>549</v>
      </c>
      <c r="D17" s="0" t="s">
        <v>550</v>
      </c>
      <c r="E17" s="0" t="s">
        <v>144</v>
      </c>
      <c r="F17" s="0" t="s">
        <v>520</v>
      </c>
    </row>
    <row r="18" customFormat="false" ht="15" hidden="false" customHeight="false" outlineLevel="0" collapsed="false">
      <c r="A18" s="0" t="s">
        <v>551</v>
      </c>
      <c r="B18" s="0" t="s">
        <v>504</v>
      </c>
      <c r="C18" s="0" t="s">
        <v>552</v>
      </c>
      <c r="D18" s="0" t="s">
        <v>553</v>
      </c>
      <c r="E18" s="0" t="s">
        <v>144</v>
      </c>
      <c r="F18" s="0" t="s">
        <v>520</v>
      </c>
    </row>
    <row r="19" customFormat="false" ht="15" hidden="false" customHeight="false" outlineLevel="0" collapsed="false">
      <c r="A19" s="0" t="s">
        <v>554</v>
      </c>
      <c r="B19" s="0" t="s">
        <v>504</v>
      </c>
      <c r="C19" s="0" t="s">
        <v>555</v>
      </c>
      <c r="D19" s="0" t="s">
        <v>556</v>
      </c>
      <c r="E19" s="0" t="s">
        <v>144</v>
      </c>
      <c r="F19" s="0" t="s">
        <v>520</v>
      </c>
    </row>
    <row r="20" customFormat="false" ht="15" hidden="false" customHeight="false" outlineLevel="0" collapsed="false">
      <c r="A20" s="0" t="s">
        <v>557</v>
      </c>
      <c r="B20" s="0" t="s">
        <v>558</v>
      </c>
      <c r="C20" s="0" t="n">
        <v>1</v>
      </c>
      <c r="D20" s="0" t="s">
        <v>559</v>
      </c>
      <c r="E20" s="0" t="s">
        <v>560</v>
      </c>
      <c r="F20" s="0" t="s">
        <v>561</v>
      </c>
    </row>
    <row r="21" customFormat="false" ht="15" hidden="false" customHeight="false" outlineLevel="0" collapsed="false">
      <c r="A21" s="0" t="s">
        <v>562</v>
      </c>
      <c r="B21" s="0" t="s">
        <v>558</v>
      </c>
      <c r="C21" s="0" t="n">
        <v>2</v>
      </c>
      <c r="D21" s="0" t="s">
        <v>563</v>
      </c>
      <c r="E21" s="0" t="s">
        <v>564</v>
      </c>
      <c r="F21" s="0" t="s">
        <v>565</v>
      </c>
    </row>
    <row r="22" customFormat="false" ht="15" hidden="false" customHeight="false" outlineLevel="0" collapsed="false">
      <c r="A22" s="0" t="s">
        <v>566</v>
      </c>
      <c r="B22" s="0" t="s">
        <v>558</v>
      </c>
      <c r="C22" s="0" t="n">
        <v>3</v>
      </c>
      <c r="D22" s="0" t="s">
        <v>567</v>
      </c>
      <c r="E22" s="0" t="s">
        <v>568</v>
      </c>
      <c r="F22" s="0" t="s">
        <v>569</v>
      </c>
    </row>
    <row r="23" customFormat="false" ht="15" hidden="false" customHeight="false" outlineLevel="0" collapsed="false">
      <c r="A23" s="0" t="s">
        <v>570</v>
      </c>
      <c r="B23" s="0" t="s">
        <v>558</v>
      </c>
      <c r="C23" s="0" t="n">
        <v>4</v>
      </c>
      <c r="D23" s="0" t="s">
        <v>571</v>
      </c>
      <c r="E23" s="0" t="s">
        <v>572</v>
      </c>
      <c r="F23" s="0" t="s">
        <v>573</v>
      </c>
    </row>
    <row r="24" customFormat="false" ht="15" hidden="false" customHeight="false" outlineLevel="0" collapsed="false">
      <c r="A24" s="0" t="s">
        <v>574</v>
      </c>
      <c r="B24" s="0" t="s">
        <v>558</v>
      </c>
      <c r="C24" s="0" t="n">
        <v>5</v>
      </c>
      <c r="D24" s="0" t="s">
        <v>575</v>
      </c>
      <c r="E24" s="0" t="s">
        <v>576</v>
      </c>
      <c r="F24" s="0" t="s">
        <v>577</v>
      </c>
    </row>
    <row r="25" customFormat="false" ht="15" hidden="false" customHeight="false" outlineLevel="0" collapsed="false">
      <c r="A25" s="0" t="s">
        <v>578</v>
      </c>
      <c r="B25" s="0" t="s">
        <v>558</v>
      </c>
      <c r="C25" s="0" t="n">
        <v>6</v>
      </c>
      <c r="D25" s="0" t="s">
        <v>579</v>
      </c>
      <c r="E25" s="0" t="s">
        <v>580</v>
      </c>
      <c r="F25" s="0" t="s">
        <v>581</v>
      </c>
    </row>
    <row r="26" customFormat="false" ht="15" hidden="false" customHeight="false" outlineLevel="0" collapsed="false">
      <c r="A26" s="0" t="s">
        <v>582</v>
      </c>
      <c r="B26" s="0" t="s">
        <v>558</v>
      </c>
      <c r="C26" s="0" t="n">
        <v>7</v>
      </c>
      <c r="D26" s="0" t="s">
        <v>583</v>
      </c>
      <c r="E26" s="0" t="s">
        <v>584</v>
      </c>
      <c r="F26" s="0" t="s">
        <v>585</v>
      </c>
    </row>
    <row r="27" customFormat="false" ht="15" hidden="false" customHeight="false" outlineLevel="0" collapsed="false">
      <c r="A27" s="0" t="s">
        <v>586</v>
      </c>
      <c r="B27" s="0" t="s">
        <v>558</v>
      </c>
      <c r="C27" s="0" t="n">
        <v>8</v>
      </c>
      <c r="D27" s="0" t="s">
        <v>587</v>
      </c>
      <c r="E27" s="0" t="s">
        <v>588</v>
      </c>
      <c r="F27" s="0" t="s">
        <v>589</v>
      </c>
    </row>
    <row r="28" customFormat="false" ht="15" hidden="false" customHeight="false" outlineLevel="0" collapsed="false">
      <c r="A28" s="0" t="s">
        <v>590</v>
      </c>
      <c r="B28" s="0" t="s">
        <v>558</v>
      </c>
      <c r="C28" s="0" t="n">
        <v>9</v>
      </c>
      <c r="D28" s="0" t="s">
        <v>591</v>
      </c>
      <c r="E28" s="0" t="s">
        <v>592</v>
      </c>
      <c r="F28" s="0" t="s">
        <v>593</v>
      </c>
    </row>
    <row r="29" customFormat="false" ht="15" hidden="false" customHeight="false" outlineLevel="0" collapsed="false">
      <c r="A29" s="0" t="s">
        <v>594</v>
      </c>
      <c r="B29" s="0" t="s">
        <v>558</v>
      </c>
      <c r="C29" s="0" t="n">
        <v>10</v>
      </c>
      <c r="D29" s="0" t="s">
        <v>595</v>
      </c>
      <c r="E29" s="0" t="s">
        <v>596</v>
      </c>
      <c r="F29" s="0" t="s">
        <v>597</v>
      </c>
    </row>
    <row r="30" customFormat="false" ht="15" hidden="false" customHeight="false" outlineLevel="0" collapsed="false">
      <c r="A30" s="0" t="s">
        <v>598</v>
      </c>
      <c r="B30" s="0" t="s">
        <v>558</v>
      </c>
      <c r="C30" s="0" t="n">
        <v>11</v>
      </c>
      <c r="D30" s="0" t="s">
        <v>599</v>
      </c>
      <c r="E30" s="0" t="s">
        <v>600</v>
      </c>
      <c r="F30" s="0" t="s">
        <v>601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602</v>
      </c>
      <c r="B1" s="0" t="s">
        <v>603</v>
      </c>
      <c r="C1" s="0" t="s">
        <v>69</v>
      </c>
      <c r="D1" s="0" t="s">
        <v>604</v>
      </c>
    </row>
    <row r="2" customFormat="false" ht="15" hidden="false" customHeight="false" outlineLevel="0" collapsed="false">
      <c r="A2" s="0" t="s">
        <v>605</v>
      </c>
      <c r="B2" s="0" t="s">
        <v>606</v>
      </c>
      <c r="C2" s="0" t="s">
        <v>607</v>
      </c>
      <c r="D2" s="0" t="s">
        <v>608</v>
      </c>
    </row>
    <row r="3" customFormat="false" ht="15" hidden="false" customHeight="false" outlineLevel="0" collapsed="false">
      <c r="A3" s="0" t="s">
        <v>609</v>
      </c>
      <c r="B3" s="0" t="s">
        <v>610</v>
      </c>
      <c r="C3" s="0" t="s">
        <v>385</v>
      </c>
      <c r="D3" s="0" t="s">
        <v>611</v>
      </c>
    </row>
    <row r="4" customFormat="false" ht="15" hidden="false" customHeight="false" outlineLevel="0" collapsed="false">
      <c r="A4" s="0" t="s">
        <v>612</v>
      </c>
      <c r="B4" s="0" t="s">
        <v>613</v>
      </c>
      <c r="C4" s="0" t="s">
        <v>385</v>
      </c>
      <c r="D4" s="0" t="s">
        <v>614</v>
      </c>
    </row>
    <row r="5" customFormat="false" ht="15" hidden="false" customHeight="false" outlineLevel="0" collapsed="false">
      <c r="A5" s="0" t="s">
        <v>615</v>
      </c>
      <c r="B5" s="0" t="s">
        <v>616</v>
      </c>
      <c r="C5" s="0" t="s">
        <v>607</v>
      </c>
      <c r="D5" s="0" t="s">
        <v>617</v>
      </c>
    </row>
    <row r="6" customFormat="false" ht="15" hidden="false" customHeight="false" outlineLevel="0" collapsed="false">
      <c r="A6" s="0" t="s">
        <v>618</v>
      </c>
      <c r="B6" s="0" t="s">
        <v>619</v>
      </c>
      <c r="C6" s="0" t="s">
        <v>385</v>
      </c>
      <c r="D6" s="0" t="s">
        <v>620</v>
      </c>
    </row>
    <row r="7" customFormat="false" ht="15" hidden="false" customHeight="false" outlineLevel="0" collapsed="false">
      <c r="A7" s="0" t="s">
        <v>621</v>
      </c>
      <c r="B7" s="0" t="s">
        <v>622</v>
      </c>
      <c r="C7" s="0" t="s">
        <v>607</v>
      </c>
      <c r="D7" s="0" t="s">
        <v>623</v>
      </c>
    </row>
    <row r="8" customFormat="false" ht="15" hidden="false" customHeight="false" outlineLevel="0" collapsed="false">
      <c r="A8" s="0" t="s">
        <v>624</v>
      </c>
      <c r="B8" s="0" t="s">
        <v>625</v>
      </c>
      <c r="C8" s="0" t="s">
        <v>385</v>
      </c>
      <c r="D8" s="0" t="s">
        <v>626</v>
      </c>
    </row>
    <row r="9" customFormat="false" ht="15" hidden="false" customHeight="false" outlineLevel="0" collapsed="false">
      <c r="A9" s="0" t="s">
        <v>627</v>
      </c>
      <c r="B9" s="0" t="s">
        <v>628</v>
      </c>
      <c r="C9" s="0" t="s">
        <v>607</v>
      </c>
      <c r="D9" s="0" t="s">
        <v>629</v>
      </c>
    </row>
    <row r="10" customFormat="false" ht="15" hidden="false" customHeight="false" outlineLevel="0" collapsed="false">
      <c r="A10" s="0" t="s">
        <v>630</v>
      </c>
      <c r="B10" s="0" t="s">
        <v>631</v>
      </c>
      <c r="C10" s="0" t="s">
        <v>632</v>
      </c>
      <c r="D10" s="0" t="s">
        <v>633</v>
      </c>
    </row>
    <row r="11" customFormat="false" ht="15" hidden="false" customHeight="false" outlineLevel="0" collapsed="false">
      <c r="A11" s="0" t="s">
        <v>634</v>
      </c>
      <c r="B11" s="0" t="s">
        <v>635</v>
      </c>
      <c r="C11" s="0" t="s">
        <v>607</v>
      </c>
      <c r="D11" s="0" t="s">
        <v>636</v>
      </c>
    </row>
    <row r="12" customFormat="false" ht="15" hidden="false" customHeight="false" outlineLevel="0" collapsed="false">
      <c r="A12" s="0" t="s">
        <v>637</v>
      </c>
      <c r="B12" s="0" t="s">
        <v>638</v>
      </c>
      <c r="C12" s="0" t="s">
        <v>607</v>
      </c>
      <c r="D12" s="0" t="s">
        <v>639</v>
      </c>
    </row>
    <row r="13" customFormat="false" ht="15" hidden="false" customHeight="false" outlineLevel="0" collapsed="false">
      <c r="A13" s="0" t="s">
        <v>640</v>
      </c>
      <c r="B13" s="0" t="s">
        <v>641</v>
      </c>
      <c r="C13" s="0" t="s">
        <v>632</v>
      </c>
      <c r="D13" s="0" t="s">
        <v>642</v>
      </c>
    </row>
    <row r="14" customFormat="false" ht="15" hidden="false" customHeight="false" outlineLevel="0" collapsed="false">
      <c r="A14" s="0" t="s">
        <v>643</v>
      </c>
      <c r="B14" s="0" t="s">
        <v>644</v>
      </c>
      <c r="C14" s="0" t="s">
        <v>607</v>
      </c>
      <c r="D14" s="0" t="s">
        <v>645</v>
      </c>
    </row>
    <row r="15" customFormat="false" ht="15" hidden="false" customHeight="false" outlineLevel="0" collapsed="false">
      <c r="A15" s="0" t="s">
        <v>646</v>
      </c>
      <c r="B15" s="0" t="s">
        <v>647</v>
      </c>
      <c r="C15" s="0" t="s">
        <v>607</v>
      </c>
      <c r="D15" s="0" t="s">
        <v>648</v>
      </c>
    </row>
    <row r="16" customFormat="false" ht="15" hidden="false" customHeight="false" outlineLevel="0" collapsed="false">
      <c r="A16" s="0" t="s">
        <v>649</v>
      </c>
      <c r="B16" s="0" t="s">
        <v>650</v>
      </c>
      <c r="C16" s="0" t="s">
        <v>385</v>
      </c>
      <c r="D16" s="0" t="s">
        <v>651</v>
      </c>
    </row>
    <row r="17" customFormat="false" ht="15" hidden="false" customHeight="false" outlineLevel="0" collapsed="false">
      <c r="A17" s="0" t="s">
        <v>652</v>
      </c>
      <c r="B17" s="0" t="s">
        <v>653</v>
      </c>
      <c r="C17" s="0" t="s">
        <v>607</v>
      </c>
      <c r="D17" s="0" t="s">
        <v>654</v>
      </c>
    </row>
    <row r="18" customFormat="false" ht="15" hidden="false" customHeight="false" outlineLevel="0" collapsed="false">
      <c r="A18" s="0" t="s">
        <v>655</v>
      </c>
      <c r="B18" s="0" t="s">
        <v>656</v>
      </c>
      <c r="C18" s="0" t="s">
        <v>632</v>
      </c>
      <c r="D18" s="0" t="s">
        <v>657</v>
      </c>
    </row>
    <row r="19" customFormat="false" ht="15" hidden="false" customHeight="false" outlineLevel="0" collapsed="false">
      <c r="A19" s="0" t="s">
        <v>658</v>
      </c>
      <c r="B19" s="0" t="s">
        <v>659</v>
      </c>
      <c r="C19" s="0" t="s">
        <v>607</v>
      </c>
      <c r="D19" s="0" t="s">
        <v>660</v>
      </c>
    </row>
    <row r="20" customFormat="false" ht="15" hidden="false" customHeight="false" outlineLevel="0" collapsed="false">
      <c r="A20" s="0" t="s">
        <v>661</v>
      </c>
      <c r="B20" s="0" t="s">
        <v>662</v>
      </c>
      <c r="C20" s="0" t="s">
        <v>632</v>
      </c>
      <c r="D20" s="0" t="s">
        <v>663</v>
      </c>
    </row>
    <row r="21" customFormat="false" ht="15" hidden="false" customHeight="false" outlineLevel="0" collapsed="false">
      <c r="A21" s="0" t="s">
        <v>664</v>
      </c>
      <c r="B21" s="0" t="s">
        <v>665</v>
      </c>
      <c r="C21" s="0" t="s">
        <v>632</v>
      </c>
      <c r="D21" s="0" t="s">
        <v>666</v>
      </c>
    </row>
    <row r="22" customFormat="false" ht="15" hidden="false" customHeight="false" outlineLevel="0" collapsed="false">
      <c r="A22" s="0" t="s">
        <v>667</v>
      </c>
      <c r="B22" s="0" t="s">
        <v>668</v>
      </c>
      <c r="C22" s="0" t="s">
        <v>385</v>
      </c>
      <c r="D22" s="0" t="s">
        <v>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2026-10-29T03:38:07Z</dcterms:created>
  <dc:creator>openpyxl</dc:creator>
  <dc:description/>
  <dc:language>en-US</dc:language>
  <cp:lastModifiedBy/>
  <dcterms:modified xsi:type="dcterms:W3CDTF">2026-10-29T03:38:07Z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