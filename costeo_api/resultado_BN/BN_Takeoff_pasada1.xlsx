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Inputs" sheetId="1" state="visible" r:id="rId3"/>
    <sheet name="Partition Takeoff" sheetId="2" state="visible" r:id="rId4"/>
    <sheet name="Material Summary" sheetId="3" state="visible" r:id="rId5"/>
    <sheet name="Pending Items" sheetId="4" state="visible" r:id="rId6"/>
    <sheet name="Review Items" sheetId="5" state="visible" r:id="rId7"/>
    <sheet name="Scope Checklist"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<sst xmlns="http://schemas.openxmlformats.org/spreadsheetml/2006/main" count="1022" uniqueCount="694">
  <si>
    <t xml:space="preserve">Barnes &amp; Noble #3566, 3173 Cinema Point, Colorado Springs CO   |   METAL FRAMING &amp; DRYWALL TAKEOFF</t>
  </si>
  <si>
    <t xml:space="preserve">Bid set: planos_BN_limpios.pdf   ·   2026-10-29   ·   Edit ONLY the yellow cells.</t>
  </si>
  <si>
    <t xml:space="preserve">PARAMETER</t>
  </si>
  <si>
    <t xml:space="preserve">VALUE</t>
  </si>
  <si>
    <t xml:space="preserve">NOTE / SOURCE</t>
  </si>
  <si>
    <t xml:space="preserve">Waste - ALL METAL, any type</t>
  </si>
  <si>
    <t xml:space="preserve">Estimator standing rule: 15% on everything that is metal.</t>
  </si>
  <si>
    <t xml:space="preserve">Waste - EVERYTHING THAT IS NOT METAL</t>
  </si>
  <si>
    <t xml:space="preserve">Estimator standing rule: same figure as board.</t>
  </si>
  <si>
    <t xml:space="preserve">Board sheet width (ft)</t>
  </si>
  <si>
    <t xml:space="preserve">Sheet size is a parameter; buy the size that wastes least.</t>
  </si>
  <si>
    <t xml:space="preserve">Board sheet length (ft)</t>
  </si>
  <si>
    <t xml:space="preserve">Change it and every sheet count re-rounds.</t>
  </si>
  <si>
    <t xml:space="preserve">SF per board sheet</t>
  </si>
  <si>
    <t xml:space="preserve">Width x length.</t>
  </si>
  <si>
    <t xml:space="preserve">Stud stock length (ft)</t>
  </si>
  <si>
    <t xml:space="preserve">Printed wall heights 23'-0" to 23'-8" (1,2/A-400A, 1,2/A-400B): a 20 ft stick cannot make a stud; 24 ft stock (RFI-C06).</t>
  </si>
  <si>
    <t xml:space="preserve">Track stock length (ft)</t>
  </si>
  <si>
    <t xml:space="preserve">Track, sill track and purlin: runs.</t>
  </si>
  <si>
    <t xml:space="preserve">Floor plan scale (pt/ft)</t>
  </si>
  <si>
    <t xml:space="preserve">n/a</t>
  </si>
  <si>
    <t xml:space="preserve">Project value (not used in this take-off: heights are per wall in the Partition Takeoff).</t>
  </si>
  <si>
    <t xml:space="preserve">B.O. Deck (ft)</t>
  </si>
  <si>
    <t xml:space="preserve">T.O. Parapet (ft)</t>
  </si>
  <si>
    <t xml:space="preserve">Sealant coverage (LF per tube)</t>
  </si>
  <si>
    <t xml:space="preserve">Sealant yield per tube - set your supplier's figure.</t>
  </si>
  <si>
    <t xml:space="preserve">C.R. channel stock length (ft)</t>
  </si>
  <si>
    <t xml:space="preserve">1-1/2" cold-rolled channel (bracing, carrying channel).</t>
  </si>
  <si>
    <t xml:space="preserve">Hat / furring channel stock (ft)</t>
  </si>
  <si>
    <t xml:space="preserve">7/8" hat furring channel.</t>
  </si>
  <si>
    <t xml:space="preserve">Trim stick length (ft)</t>
  </si>
  <si>
    <t xml:space="preserve">Corner bead, casing bead, shadow molding, PVC trim.</t>
  </si>
  <si>
    <t xml:space="preserve">Hanger wire purchase</t>
  </si>
  <si>
    <t xml:space="preserve">continuous coil (LF)</t>
  </si>
  <si>
    <t xml:space="preserve">Bought by LF from a continuous coil; the hanger count goes on its own PCS row.</t>
  </si>
  <si>
    <t xml:space="preserve">Drywall screws per SF of board</t>
  </si>
  <si>
    <t xml:space="preserve">YIELD (GA-216 field / perimeter spacing).</t>
  </si>
  <si>
    <t xml:space="preserve">Framing screws per stud piece</t>
  </si>
  <si>
    <t xml:space="preserve">YIELD: 2 per stud-to-track connection, each end.</t>
  </si>
  <si>
    <t xml:space="preserve">Power-driven pin spacing (ft)</t>
  </si>
  <si>
    <t xml:space="preserve">1 row @ 16" (R80e.34 #1; 9/A-410 vs 8.F/A-410). Net pins come from the Partition Takeoff, not from this cell.</t>
  </si>
  <si>
    <t xml:space="preserve">Joint compound (lb per SF)</t>
  </si>
  <si>
    <t xml:space="preserve">YIELD: 72 lb per 1,000 SF, level 4 (estimator criterion).</t>
  </si>
  <si>
    <t xml:space="preserve">Joint tape (LF per SF)</t>
  </si>
  <si>
    <t xml:space="preserve">YIELD: 370 LF per 1,000 SF.</t>
  </si>
  <si>
    <t xml:space="preserve">Expansion anchor spacing (ft)</t>
  </si>
  <si>
    <t xml:space="preserve">YIELD: exterior bottom track on slab.</t>
  </si>
  <si>
    <t xml:space="preserve">2x lumber stock length (ft)</t>
  </si>
  <si>
    <t xml:space="preserve">2x wood / FRT blocking: 16 ft sticks (estimator decision 2026-10-27).</t>
  </si>
  <si>
    <t xml:space="preserve">Drywall grid main tee length (ft)</t>
  </si>
  <si>
    <t xml:space="preserve">USG DGLW26 main tee (manufacturer length).</t>
  </si>
  <si>
    <t xml:space="preserve">Drywall grid cross tee length (ft)</t>
  </si>
  <si>
    <t xml:space="preserve">USG DGLW424 cross tee (manufacturer length).</t>
  </si>
  <si>
    <t xml:space="preserve">Grid channel / angle molding length (ft)</t>
  </si>
  <si>
    <t xml:space="preserve">USG DGCM27 / DGWM24 molding (manufacturer length).</t>
  </si>
  <si>
    <t xml:space="preserve">FRP panel (SF per panel)</t>
  </si>
  <si>
    <t xml:space="preserve">FRP-1 panel 4'x10' (estimator to confirm the panel size).</t>
  </si>
  <si>
    <t xml:space="preserve">ORGANIZED PARTITION TAKEOFF - Barnes &amp; Noble #3566, 3173 Cinema Point, Colorado Springs CO</t>
  </si>
  <si>
    <t xml:space="preserve">Grouped by partition type. Every row cites its DETAIL/SHEET and its status.</t>
  </si>
  <si>
    <t xml:space="preserve">Partition / Scope</t>
  </si>
  <si>
    <t xml:space="preserve">Wall #</t>
  </si>
  <si>
    <t xml:space="preserve">Length (LF)</t>
  </si>
  <si>
    <t xml:space="preserve">Height (FT)</t>
  </si>
  <si>
    <t xml:space="preserve">Layers</t>
  </si>
  <si>
    <t xml:space="preserve">Stud Size</t>
  </si>
  <si>
    <t xml:space="preserve">Stud O.C. (in)</t>
  </si>
  <si>
    <t xml:space="preserve">Board (SF)</t>
  </si>
  <si>
    <t xml:space="preserve">Location</t>
  </si>
  <si>
    <t xml:space="preserve">Source (DETAIL/SHEET)</t>
  </si>
  <si>
    <t xml:space="preserve">Status</t>
  </si>
  <si>
    <t xml:space="preserve">TYPE 2</t>
  </si>
  <si>
    <t xml:space="preserve">2  #2-01a  -  Stock Rm 111 / Sales 101 partition, V line x=497-500pt, y 560-1289 pt (N end at N ext. wall to corridor N wall)</t>
  </si>
  <si>
    <t xml:space="preserve">2-01a</t>
  </si>
  <si>
    <t xml:space="preserve">3-5/8"</t>
  </si>
  <si>
    <t xml:space="preserve">Stock Rm 111 / Sales 101 partition, V line x=497-500pt, y 560-1289 pt (N end at N ext. wall to corridor N wall) | Board by face: A[Stock Rm 111 open to deck: GWB58 0.00-23.67] | B[Sales 101 open to deck: GWB58 0.00-23.67]</t>
  </si>
  <si>
    <t xml:space="preserve">1/A-101</t>
  </si>
  <si>
    <t xml:space="preserve">[DERIVED]</t>
  </si>
  <si>
    <t xml:space="preserve">2  #2-01b  -  Stock Rm 111 / Corridor 110 wall, same line x=497-500pt, y 1292-1409</t>
  </si>
  <si>
    <t xml:space="preserve">2-01b</t>
  </si>
  <si>
    <t xml:space="preserve">Stock Rm 111 / Corridor 110 wall, same line x=497-500pt, y 1292-1409 | Board by face: A[Stock Rm 111 open to deck: GWB58 0.00-23.67] | B[Corridor 110 ACT-3 9'-0": GWB58 0.00-9.50]</t>
  </si>
  <si>
    <t xml:space="preserve">2  #2-02  -  BOH N wall, H line y=1289-1292pt, x 500-1011 (corridor 110 / break 106 / mgr 105 vs sales)</t>
  </si>
  <si>
    <t xml:space="preserve">2-02</t>
  </si>
  <si>
    <t xml:space="preserve">BOH N wall, H line y=1289-1292pt, x 500-1011 (corridor 110 / break 106 / mgr 105 vs sales) | Board by face: A[Sales 101 open to deck: GWB58 0.00-23.00] | B[Corridor 110/Break 106/Mgr 105 ACT-3 9'-0": GWB58 0.00-9.50]</t>
  </si>
  <si>
    <t xml:space="preserve">2  #2-03  -  Women's RR 109 west wall, V line x=556-560pt, y 1341-1409</t>
  </si>
  <si>
    <t xml:space="preserve">2-03</t>
  </si>
  <si>
    <t xml:space="preserve">Women's RR 109 west wall, V line x=556-560pt, y 1341-1409 | Board by face: A[Corridor ACT-3: GWB58 0.00-9.50] | B[Women's RR GWB clg 9'-0" (tile 6'-7" by others): CB58 0.00-1.17+WR58 1.17-9.00+GWB58 9.00-9.50]</t>
  </si>
  <si>
    <t xml:space="preserve">1/A-101,1/A-200</t>
  </si>
  <si>
    <t xml:space="preserve">2  #2-04  -  Women's RR 109 N wall incl. 6" jamb stub + door 9 R.O. + pony wall, H line y=1337-1341pt, x 560-622</t>
  </si>
  <si>
    <t xml:space="preserve">2-04</t>
  </si>
  <si>
    <t xml:space="preserve">Women's RR 109 N wall incl. 6" jamb stub + door 9 R.O. + pony wall, H line y=1337-1341pt, x 560-622 | Board by face: A[Corridor/hall ACT-3: GWB58 0.00-9.50] | B[Women's RR: CB58 0.00-1.17+WR58 1.17-9.00+GWB58 9.00-9.50]</t>
  </si>
  <si>
    <t xml:space="preserve">2  #2-05  -  Lav/chase face (between RRs), H line y=1354-1357pt, x 622-658</t>
  </si>
  <si>
    <t xml:space="preserve">2-05</t>
  </si>
  <si>
    <t xml:space="preserve">Lav/chase face (between RRs), H line y=1354-1357pt, x 622-658 | Board by face: A[Hall recess: GWB58 0.00-9.50] | B[Women's/Men's RR lav wall: CB58 0.00-1.17+WR58 1.17-9.00+GWB58 9.00-9.50]</t>
  </si>
  <si>
    <t xml:space="preserve">2  #2-06  -  Chase returns x2 (V 618-622 &amp; 658-662, y 1341-1353)</t>
  </si>
  <si>
    <t xml:space="preserve">2-06</t>
  </si>
  <si>
    <t xml:space="preserve">Chase returns x2 (V 618-622 &amp; 658-662, y 1341-1353) | Board by face: A[Hall recess: GWB58 0.00-9.50] | B[RR: CB58 0.00-1.17+WR58 1.17-9.00+GWB58 9.00-9.50]</t>
  </si>
  <si>
    <t xml:space="preserve">2  #2-07  -  Men's RR 108 N wall incl. pony wall, door 8 R.O., 6" stub, H line y=1337-1341pt, x 658-720</t>
  </si>
  <si>
    <t xml:space="preserve">2-07</t>
  </si>
  <si>
    <t xml:space="preserve">Men's RR 108 N wall incl. pony wall, door 8 R.O., 6" stub, H line y=1337-1341pt, x 658-720 | Board by face: A[Hall ACT-3: GWB58 0.00-9.50] | B[Men's RR: CB58 0.00-1.17+WR58 1.17-9.00+GWB58 9.00-9.50]</t>
  </si>
  <si>
    <t xml:space="preserve">2  #2-08  -  Men's RR 108 E wall / Janitor 107 W wall, V line x=720-724pt, y 1341-1409</t>
  </si>
  <si>
    <t xml:space="preserve">2-08</t>
  </si>
  <si>
    <t xml:space="preserve">Men's RR 108 E wall / Janitor 107 W wall, V line x=720-724pt, y 1341-1409 | Board by face: A[Men's RR: CB58 0.00-1.17+WR58 1.17-9.00+GWB58 9.00-9.50] | B[Janitor closet 107 open to deck: WR58 0.00-23.00+FRP 0.00-8.00]</t>
  </si>
  <si>
    <t xml:space="preserve">2  #2-09  -  Janitor 107 N wall (door 7), H line y=1337-1341pt, x 724-760</t>
  </si>
  <si>
    <t xml:space="preserve">2-09</t>
  </si>
  <si>
    <t xml:space="preserve">Janitor 107 N wall (door 7), H line y=1337-1341pt, x 724-760 | Board by face: A[Hall ACT-3: GWB58 0.00-9.50] | B[Janitor 107: WR58 0.00-23.00+FRP 0.00-8.00]</t>
  </si>
  <si>
    <t xml:space="preserve">2  #2-10a  -  Hall E closure / Break Rm 106 W wall (door 5), V line x=760-764, y 1292-1341</t>
  </si>
  <si>
    <t xml:space="preserve">2-10a</t>
  </si>
  <si>
    <t xml:space="preserve">Hall E closure / Break Rm 106 W wall (door 5), V line x=760-764, y 1292-1341 | Board by face: A[Hall ACT-3: GWB58 0.00-9.50] | B[Break 106 ACT-3: GWB58 0.00-9.50]</t>
  </si>
  <si>
    <t xml:space="preserve">2  #2-10b  -  Janitor 107 E wall / Break 106 W wall, V line x=760-764, y 1341-1409</t>
  </si>
  <si>
    <t xml:space="preserve">2-10b</t>
  </si>
  <si>
    <t xml:space="preserve">Janitor 107 E wall / Break 106 W wall, V line x=760-764, y 1341-1409 | Board by face: A[Janitor 107: WR58 0.00-23.00+FRP 0.00-8.00] | B[Break 106 ACT-3: GWB58 0.00-9.50]</t>
  </si>
  <si>
    <t xml:space="preserve">2  #2-11  -  Break 106 / Manager's 105 wall (door 6), V line x=931-935, y 1292-1409</t>
  </si>
  <si>
    <t xml:space="preserve">2-11</t>
  </si>
  <si>
    <t xml:space="preserve">Break 106 / Manager's 105 wall (door 6), V line x=931-935, y 1292-1409 | Board by face: A[Break 106 ACT-3: GWB58 0.00-9.50] | B[Mgr 105 ACT-3: GWB58 0.00-9.50]</t>
  </si>
  <si>
    <t xml:space="preserve">2  #2-12  -  Storage 112 S wall (door 14), H line y=605-609pt, x 1487-1926</t>
  </si>
  <si>
    <t xml:space="preserve">2-12</t>
  </si>
  <si>
    <t xml:space="preserve">Storage 112 S wall (door 14), H line y=605-609pt, x 1487-1926 | Board by face: A[Storage 112 open to deck: GWB58 0.00-23.00] | B[Sales 101 open to deck: GWB58 0.00-23.00]</t>
  </si>
  <si>
    <t xml:space="preserve">2  #2-13  -  Storage 112 W end wall, V line x=1487-1491, y 560-605</t>
  </si>
  <si>
    <t xml:space="preserve">2-13</t>
  </si>
  <si>
    <t xml:space="preserve">Storage 112 W end wall, V line x=1487-1491, y 560-605 | Board by face: A[Sales 101: GWB58 0.00-23.00] | B[Storage 112: GWB58 0.00-23.00]</t>
  </si>
  <si>
    <t xml:space="preserve">SUBTOTAL TYPE 2</t>
  </si>
  <si>
    <t xml:space="preserve">TYPE 3</t>
  </si>
  <si>
    <t xml:space="preserve">3  #3-01  -  Cafe seating bar partition west unit (x~1500-1585pt, y 1160-1240pt)</t>
  </si>
  <si>
    <t xml:space="preserve">3-01</t>
  </si>
  <si>
    <t xml:space="preserve">Cafe seating bar partition west unit (x~1500-1585pt, y 1160-1240pt) | Board by face: A[Cafe seating side (both faces): GWB58 0.00-8.00] | B[Opposite face: GWB58 0.00-8.00]</t>
  </si>
  <si>
    <t xml:space="preserve">3  #3-02  -  Cafe seating bar partition east unit (x~1720-1835pt)</t>
  </si>
  <si>
    <t xml:space="preserve">3-02</t>
  </si>
  <si>
    <t xml:space="preserve">Cafe seating bar partition east unit (x~1720-1835pt) | Board by face: A[Cafe seating side (both faces): GWB58 0.00-8.00] | B[Opposite face: GWB58 0.00-8.00]</t>
  </si>
  <si>
    <t xml:space="preserve">SUBTOTAL TYPE 3</t>
  </si>
  <si>
    <t xml:space="preserve">TYPE 4</t>
  </si>
  <si>
    <t xml:space="preserve">4  #4-01  -  Sales floor center X feature wall (2 arcs + 2 end caps + returns), x~1500-1740pt, y~860-1120pt</t>
  </si>
  <si>
    <t xml:space="preserve">4-01</t>
  </si>
  <si>
    <t xml:space="preserve">Sales floor center X feature wall (2 arcs + 2 end caps + returns), x~1500-1740pt, y~860-1120pt | Board by face: A[Outside/concave face: GWB58 0.00-7.50] | B[Inside face: GWB58 0.00-7.50]</t>
  </si>
  <si>
    <t xml:space="preserve">SUBTOTAL TYPE 4</t>
  </si>
  <si>
    <t xml:space="preserve">TYPE 5</t>
  </si>
  <si>
    <t xml:space="preserve">5  #5-01  -  Central RR chase wall (Women's|Men's), V line x=637-642pt, y 1357-1409</t>
  </si>
  <si>
    <t xml:space="preserve">5-01</t>
  </si>
  <si>
    <t xml:space="preserve">6"</t>
  </si>
  <si>
    <t xml:space="preserve">Central RR chase wall (Women's|Men's), V line x=637-642pt, y 1357-1409 | Board by face: A[Women's RR: CB58 0.00-1.17+WR58 1.17-9.00+GWB58 9.00-9.50] | B[Men's RR: CB58 0.00-1.17+WR58 1.17-9.00+GWB58 9.00-9.50]</t>
  </si>
  <si>
    <t xml:space="preserve">SUBTOTAL TYPE 5</t>
  </si>
  <si>
    <t xml:space="preserve">TYPE E1</t>
  </si>
  <si>
    <t xml:space="preserve">E1  #E1-01  -  Cafe sales S wall on existing CMU, x 1267-1951</t>
  </si>
  <si>
    <t xml:space="preserve">E1-01</t>
  </si>
  <si>
    <t xml:space="preserve">Cafe sales S wall on existing CMU, x 1267-1951 | Board by face: A[Cafe sales GWB clg 11'-6"/11'-0" (zone RFI-B11): CB12 0.00-12.00]</t>
  </si>
  <si>
    <t xml:space="preserve">1/A-221</t>
  </si>
  <si>
    <t xml:space="preserve">E1  #E1-02  -  Cafe sales W-end stub / pier (1'-0" thick) x~1216-1267</t>
  </si>
  <si>
    <t xml:space="preserve">E1-02</t>
  </si>
  <si>
    <t xml:space="preserve">Cafe sales W-end stub / pier (1'-0" thick) x~1216-1267 | Board by face: A[Cafe sales: CB12 0.00-12.00]</t>
  </si>
  <si>
    <t xml:space="preserve">[PENDING]</t>
  </si>
  <si>
    <t xml:space="preserve">SUBTOTAL TYPE E1</t>
  </si>
  <si>
    <t xml:space="preserve">TYPE E2</t>
  </si>
  <si>
    <t xml:space="preserve">E2  #E2-01  -  Workroom 104 S wall on existing CMU (H line y~792-812), x 191-1216</t>
  </si>
  <si>
    <t xml:space="preserve">E2-01</t>
  </si>
  <si>
    <t xml:space="preserve">Workroom 104 S wall on existing CMU (H line y~792-812), x 191-1216 | Board by face: A[Workroom 104: FRT58 0.00-10.50+FRP 0.00-10.00]</t>
  </si>
  <si>
    <t xml:space="preserve">SUBTOTAL TYPE E2</t>
  </si>
  <si>
    <t xml:space="preserve">TYPE F</t>
  </si>
  <si>
    <t xml:space="preserve">F  #F-01  -  Cafe SE column box 3'-3" x 3'-3"</t>
  </si>
  <si>
    <t xml:space="preserve">F-01</t>
  </si>
  <si>
    <t xml:space="preserve">Cafe SE column box 3'-3" x 3'-3" | Board by face: A[Cafe sales: FRT58 0.00-12.00]</t>
  </si>
  <si>
    <t xml:space="preserve">SUBTOTAL TYPE F</t>
  </si>
  <si>
    <t xml:space="preserve">TYPE H1</t>
  </si>
  <si>
    <t xml:space="preserve">H1  #H1-01  -  Workroom 104 N wall (H line), x 191-1216 (A-221 pt)</t>
  </si>
  <si>
    <t xml:space="preserve">H1-01</t>
  </si>
  <si>
    <t xml:space="preserve">Workroom 104 N wall (H line), x 191-1216 (A-221 pt) | Board by face: A[Sales 101 open to deck: GWB58 0.00-23.00] | B[Workroom 104 ACT-1 10'-0": FRT58 0.00-10.50+FRP 0.00-10.00]</t>
  </si>
  <si>
    <t xml:space="preserve">H1  #H1-02  -  Workroom 104 W wall (V line) / Mgr's 105 E wall, y 354-792</t>
  </si>
  <si>
    <t xml:space="preserve">H1-02</t>
  </si>
  <si>
    <t xml:space="preserve">Workroom 104 W wall (V line) / Mgr's 105 E wall, y 354-792 | Board by face: A[Mgr 105 ACT-3: GWB58 0.00-9.50] | B[Workroom 104: FRT58 0.00-10.50+FRP 0.00-10.00]</t>
  </si>
  <si>
    <t xml:space="preserve">SUBTOTAL TYPE H1</t>
  </si>
  <si>
    <t xml:space="preserve">TYPE H2a</t>
  </si>
  <si>
    <t xml:space="preserve">H2a  #H2a-01  -  Workroom|Cafe sales partition w/ pass-thru door 3 (V x=1216-1231, y 354-696)</t>
  </si>
  <si>
    <t xml:space="preserve">H2a-01</t>
  </si>
  <si>
    <t xml:space="preserve">Workroom|Cafe sales partition w/ pass-thru door 3 (V x=1216-1231, y 354-696) | Board by face: A[Workroom 104: FRT58 0.00-10.50+FRP 0.00-10.00] | B[Cafe sales (clg 11'-6" zone -&gt; +6"): GWB58 0.00-12.00]</t>
  </si>
  <si>
    <t xml:space="preserve">SUBTOTAL TYPE H2a</t>
  </si>
  <si>
    <t xml:space="preserve">TYPE H2b</t>
  </si>
  <si>
    <t xml:space="preserve">H2b  #H2b-01  -  Workroom stub wall near W end (V x=269-283, y 722-792)</t>
  </si>
  <si>
    <t xml:space="preserve">H2b-01</t>
  </si>
  <si>
    <t xml:space="preserve">Workroom stub wall near W end (V x=269-283, y 722-792) | Board by face: A[Workroom (W): FRT58 0.00-10.00+FRP 0.00-10.00] | B[Workroom (E): FRT58 0.00-10.00+FRP 0.00-10.00]</t>
  </si>
  <si>
    <t xml:space="preserve">SUBTOTAL TYPE H2b</t>
  </si>
  <si>
    <t xml:space="preserve">TYPE H3a</t>
  </si>
  <si>
    <t xml:space="preserve">H3a  #H3-02  -  Grab&amp;Go N wall (H y=88-110), x 1123-1248</t>
  </si>
  <si>
    <t xml:space="preserve">H3-02</t>
  </si>
  <si>
    <t xml:space="preserve">Grab&amp;Go N wall (H y=88-110), x 1123-1248 | Board by face: A[Outside side: FRT58 0.00-15.00+GWB58 15.00-23.00] | B[Grab&amp;Go: GWB58 0.00-7.58]</t>
  </si>
  <si>
    <t xml:space="preserve">SUBTOTAL TYPE H3a</t>
  </si>
  <si>
    <t xml:space="preserve">TYPE H3b</t>
  </si>
  <si>
    <t xml:space="preserve">H3b  #H3-01  -  Grab&amp;Go W wall (V x=1101-1123, y 110-332)</t>
  </si>
  <si>
    <t xml:space="preserve">H3-01</t>
  </si>
  <si>
    <t xml:space="preserve">Grab&amp;Go W wall (V x=1101-1123, y 110-332) | Board by face: A[Outside (sales) side: FRT58 0.00-8.00+GWB58 8.00-23.00] | B[Grab&amp;Go GWB clg 7'-1": GWB58 0.00-7.58]</t>
  </si>
  <si>
    <t xml:space="preserve">SUBTOTAL TYPE H3b</t>
  </si>
  <si>
    <t xml:space="preserve">TYPE I</t>
  </si>
  <si>
    <t xml:space="preserve">I  #I-01  -  Storefront-return face at Grab&amp;Go (I SIM.), thickness only</t>
  </si>
  <si>
    <t xml:space="preserve">I-01</t>
  </si>
  <si>
    <t xml:space="preserve">Storefront-return face at Grab&amp;Go (I SIM.), thickness only | Board by face: A[Face: FRT58 0.00-15.00+GWB58 15.00-23.00]</t>
  </si>
  <si>
    <t xml:space="preserve">I  #I-02  -  Second I SIM. face at Grab&amp;Go</t>
  </si>
  <si>
    <t xml:space="preserve">I-02</t>
  </si>
  <si>
    <t xml:space="preserve">Second I SIM. face at Grab&amp;Go | Board by face: A[Face: FRT58 0.00-15.00+GWB58 15.00-23.00]</t>
  </si>
  <si>
    <t xml:space="preserve">I  #I-03  -  I tag at W stub (x~1230)</t>
  </si>
  <si>
    <t xml:space="preserve">I-03</t>
  </si>
  <si>
    <t xml:space="preserve">I tag at W stub (x~1230) | Board by face: A[Face: FRT58 0.00-15.00+GWB58 15.00-23.00]</t>
  </si>
  <si>
    <t xml:space="preserve">I  #I-04  -  I tag right of F box (storefront jamb)</t>
  </si>
  <si>
    <t xml:space="preserve">I-04</t>
  </si>
  <si>
    <t xml:space="preserve">I tag right of F box (storefront jamb) | Board by face: </t>
  </si>
  <si>
    <t xml:space="preserve">SUBTOTAL TYPE I</t>
  </si>
  <si>
    <t xml:space="preserve">TYPE CTR A</t>
  </si>
  <si>
    <t xml:space="preserve">CTR A  #CA-A  -  Cafe front counter A (L + chamfer), N side of cafe sales</t>
  </si>
  <si>
    <t xml:space="preserve">CA-A</t>
  </si>
  <si>
    <t xml:space="preserve">Cafe front counter A (L + chamfer), N side of cafe sales | Board by face: A[Customer side: 3/4" FRT ply + 1/2" cement bd: FRT34 0.00-2.71+CB12 0.00-2.71] | B[Cafe side: FRP-1 over 1/2" cement bd: CB12 0.00-2.71+FRP 0.00-2.71]</t>
  </si>
  <si>
    <t xml:space="preserve">SUBTOTAL TYPE CTR A</t>
  </si>
  <si>
    <t xml:space="preserve">TYPE CTR B</t>
  </si>
  <si>
    <t xml:space="preserve">CTR B  #CA-B  -  Pastry case B (W leg)</t>
  </si>
  <si>
    <t xml:space="preserve">CA-B</t>
  </si>
  <si>
    <t xml:space="preserve">Pastry case B (W leg) | Board by face: A[Customer side: 3/4" FRT + 1/2" CB: FRT34 0.00-2.71+CB12 0.00-2.71] | B[Case side: 1/2" CB: CB12 0.00-2.71]</t>
  </si>
  <si>
    <t xml:space="preserve">SUBTOTAL TYPE CTR B</t>
  </si>
  <si>
    <t xml:space="preserve">TYPE CTR C</t>
  </si>
  <si>
    <t xml:space="preserve">CTR C  #CA-C  -  Pastry case C (E leg)</t>
  </si>
  <si>
    <t xml:space="preserve">CA-C</t>
  </si>
  <si>
    <t xml:space="preserve">Pastry case C (E leg) | Board by face: A[Customer side: 3/4" FRT + 1/2" CB: FRT34 0.00-2.71+CB12 0.00-2.71] | B[Case side: 1/2" CB: CB12 0.00-2.71]</t>
  </si>
  <si>
    <t xml:space="preserve">SUBTOTAL TYPE CTR C</t>
  </si>
  <si>
    <t xml:space="preserve">TYPE CTR D</t>
  </si>
  <si>
    <t xml:space="preserve">CTR D  #CA-D  -  Pastry case D (S/front)</t>
  </si>
  <si>
    <t xml:space="preserve">CA-D</t>
  </si>
  <si>
    <t xml:space="preserve">Pastry case D (S/front) | Board by face: A[Pastry-cafe side: FRP-1 over 1/2" CB: CB12 0.00-2.71+FRP 0.00-2.71] | B[Cafe side: layers not printed (assume 1/2" CB): CB12 0.00-2.71]</t>
  </si>
  <si>
    <t xml:space="preserve">SUBTOTAL TYPE CTR D</t>
  </si>
  <si>
    <t xml:space="preserve">TOTAL - PARTITIONS (GRAND TOTAL)</t>
  </si>
  <si>
    <t xml:space="preserve">TYPE OTHER FRAMING (NOT A PARTITION)</t>
  </si>
  <si>
    <t xml:space="preserve">EXISTING EXT 1A  #1A-N1  -  Stock Rm 111 N exterior wall, inner face y=560 pt, x 356-497 - EXISTING wall, Alt A tenant GWB face only, NOT in Material Summary (RFI-B02)</t>
  </si>
  <si>
    <t xml:space="preserve">1A-N1</t>
  </si>
  <si>
    <t xml:space="preserve">LL (existing)</t>
  </si>
  <si>
    <t xml:space="preserve">Stock Rm 111 N exterior wall, inner face y=560 pt, x 356-497 - EXISTING wall, Alt A tenant GWB face only, NOT in Material Summary (RFI-B02) | Board by face: A[Interior face (tenant 5/8" GWB, 1/A-410): GWB58 0.00-23.00]</t>
  </si>
  <si>
    <t xml:space="preserve">EXISTING EXT 1  #1-N  -  N exterior wall inner face y=560.4pt, x 497-1926 (cafe/sales N; east part = demising w/ adjacent tenant C5) - EXISTING wall, Alt A tenant GWB face only, NOT in Material Summary (RFI-B02)</t>
  </si>
  <si>
    <t xml:space="preserve">1-N</t>
  </si>
  <si>
    <t xml:space="preserve">N exterior wall inner face y=560.4pt, x 497-1926 (cafe/sales N; east part = demising w/ adjacent tenant C5) - EXISTING wall, Alt A tenant GWB face only, NOT in Material Summary (RFI-B02) | Board by face: A[Interior face (tenant 5/8" GWB, 1/A-410): GWB58 0.00-23.00]</t>
  </si>
  <si>
    <t xml:space="preserve">EXISTING EXT 1A  #1A-W  -  W exterior wall inner face x=356pt, y 560-1143 (door gap y843-900) - EXISTING wall, Alt A tenant GWB face only, NOT in Material Summary (RFI-B02)</t>
  </si>
  <si>
    <t xml:space="preserve">1A-W</t>
  </si>
  <si>
    <t xml:space="preserve">W exterior wall inner face x=356pt, y 560-1143 (door gap y843-900) - EXISTING wall, Alt A tenant GWB face only, NOT in Material Summary (RFI-B02) | Board by face: A[Interior face (tenant 5/8" GWB, 1/A-410): GWB58 0.00-23.67]</t>
  </si>
  <si>
    <t xml:space="preserve">EXISTING EXT 1B  #1B-A  -  Loading-zone angled wall inner face (253,1203)-&gt;(308,1409) pt - EXISTING wall, Alt A tenant GWB face only, NOT in Material Summary (RFI-B02)</t>
  </si>
  <si>
    <t xml:space="preserve">1B-A</t>
  </si>
  <si>
    <t xml:space="preserve">Loading-zone angled wall inner face (253,1203)-&gt;(308,1409) pt - EXISTING wall, Alt A tenant GWB face only, NOT in Material Summary (RFI-B02) | Board by face: A[Interior face (tenant 5/8" GWB, 1/A-410): GWB58 0.00-23.67]</t>
  </si>
  <si>
    <t xml:space="preserve">EXISTING EXT 1B  #1B-S1  -  Stock Rm 111 S exterior wall (tag 1B), y=1408.6, x 308-512 - EXISTING wall, Alt A tenant GWB face only, NOT in Material Summary (RFI-B02)</t>
  </si>
  <si>
    <t xml:space="preserve">1B-S1</t>
  </si>
  <si>
    <t xml:space="preserve">Stock Rm 111 S exterior wall (tag 1B), y=1408.6, x 308-512 - EXISTING wall, Alt A tenant GWB face only, NOT in Material Summary (RFI-B02) | Board by face: A[Interior face (tenant 5/8" GWB, 1/A-410): GWB58 0.00-23.00]</t>
  </si>
  <si>
    <t xml:space="preserve">EXISTING EXT 1  #1-S1  -  Corridor 110 S exterior wall (door 10 existing), x 500-556 - EXISTING wall, Alt A tenant GWB face only, NOT in Material Summary (RFI-B02)</t>
  </si>
  <si>
    <t xml:space="preserve">1-S1</t>
  </si>
  <si>
    <t xml:space="preserve">Corridor 110 S exterior wall (door 10 existing), x 500-556 - EXISTING wall, Alt A tenant GWB face only, NOT in Material Summary (RFI-B02) | Board by face: A[Interior face (tenant 5/8" GWB, 1/A-410): GWB58 0.00-23.00]</t>
  </si>
  <si>
    <t xml:space="preserve">EXISTING EXT 1  #1-S2  -  BOH S exterior wall women/men/janitor/break/mgr, x 556-1011 - EXISTING wall, Alt A tenant GWB face only, NOT in Material Summary (RFI-B02)</t>
  </si>
  <si>
    <t xml:space="preserve">1-S2</t>
  </si>
  <si>
    <t xml:space="preserve">BOH S exterior wall women/men/janitor/break/mgr, x 556-1011 - EXISTING wall, Alt A tenant GWB face only, NOT in Material Summary (RFI-B02) | Board by face: A[Interior face (tenant 5/8" GWB, 1/A-410): GWB58 0.00-23.00]</t>
  </si>
  <si>
    <t xml:space="preserve">EXISTING EXT 1B/1C  #1B-E / 1C-E  -  E facade stone piers at storefront (1B/1C diamonds along E wall, see 1B_log.md) - EXISTING wall, Alt A tenant GWB face only, NOT in Material Summary (RFI-B02)</t>
  </si>
  <si>
    <t xml:space="preserve">1B-E / 1C-E</t>
  </si>
  <si>
    <t xml:space="preserve">E facade stone piers at storefront (1B/1C diamonds along E wall, see 1B_log.md) - EXISTING wall, Alt A tenant GWB face only, NOT in Material Summary (RFI-B02) | Board by face: </t>
  </si>
  <si>
    <t xml:space="preserve">C25 COLUMN WRAPS  #K-01..K-06  -  9 existing 24"x24" columns, new GWB surround (perimeter 8.0 LF each)</t>
  </si>
  <si>
    <t xml:space="preserve">K-01..K-06</t>
  </si>
  <si>
    <t xml:space="preserve">9 existing 24"x24" columns, new GWB surround (perimeter 8.0 LF each)</t>
  </si>
  <si>
    <t xml:space="preserve">VESTIBULE FRAMING  #V-01  -  4 boxed columns 5"x5" W line (included in Material Summary)</t>
  </si>
  <si>
    <t xml:space="preserve">V-01</t>
  </si>
  <si>
    <t xml:space="preserve">4 boxed columns 5"x5" W line (included in Material Summary)</t>
  </si>
  <si>
    <t xml:space="preserve">1/A-210, 8/A-210</t>
  </si>
  <si>
    <t xml:space="preserve">VESTIBULE FRAMING  #V-02  -  Nested beam W frontage (2) 8" studs</t>
  </si>
  <si>
    <t xml:space="preserve">V-02</t>
  </si>
  <si>
    <t xml:space="preserve">8"</t>
  </si>
  <si>
    <t xml:space="preserve">Nested beam W frontage (2) 8" studs</t>
  </si>
  <si>
    <t xml:space="preserve">8/A-210, 7/A-210</t>
  </si>
  <si>
    <t xml:space="preserve">VESTIBULE FRAMING  #V-03  -  8" joists @16" roof, span 7'-8"</t>
  </si>
  <si>
    <t xml:space="preserve">V-03</t>
  </si>
  <si>
    <t xml:space="preserve">8" joists @16" roof, span 7'-8"</t>
  </si>
  <si>
    <t xml:space="preserve">1/A-210, 4/A-210</t>
  </si>
  <si>
    <t xml:space="preserve">SOFFIT  #S-01  -  Cafe sales soffit L-run</t>
  </si>
  <si>
    <t xml:space="preserve">S-01</t>
  </si>
  <si>
    <t xml:space="preserve">Cafe sales soffit L-run</t>
  </si>
  <si>
    <t xml:space="preserve">2/A-221, 1/A-226A</t>
  </si>
  <si>
    <t xml:space="preserve">SOFFIT  #S-02  -  Grab &amp; Go soffit</t>
  </si>
  <si>
    <t xml:space="preserve">S-02</t>
  </si>
  <si>
    <t xml:space="preserve">Grab &amp; Go soffit</t>
  </si>
  <si>
    <t xml:space="preserve">3/A-221</t>
  </si>
  <si>
    <t xml:space="preserve">MATERIAL SUMMARY - NET / WASTE / PURCHASE</t>
  </si>
  <si>
    <t xml:space="preserve">Waste lives HERE, in its own column, applied ONCE: Pieces = ROUNDUP(Net x (1 + waste) / stock). Every stock length, coverage and yield is an Inputs cell.</t>
  </si>
  <si>
    <t xml:space="preserve">Material</t>
  </si>
  <si>
    <t xml:space="preserve">Unit</t>
  </si>
  <si>
    <t xml:space="preserve">Net</t>
  </si>
  <si>
    <t xml:space="preserve">Waste %</t>
  </si>
  <si>
    <t xml:space="preserve">Waste</t>
  </si>
  <si>
    <t xml:space="preserve">Purchase</t>
  </si>
  <si>
    <t xml:space="preserve">Selling unit</t>
  </si>
  <si>
    <t xml:space="preserve">Pieces to buy</t>
  </si>
  <si>
    <t xml:space="preserve">Where it comes from</t>
  </si>
  <si>
    <t xml:space="preserve">Yield check (live formula)</t>
  </si>
  <si>
    <t xml:space="preserve">3-5/8" metal stud 20 ga (gauge not printed, RFI-C01) - partitions, counters, column wraps, soffits</t>
  </si>
  <si>
    <t xml:space="preserve">LF</t>
  </si>
  <si>
    <t xml:space="preserve">stick 24 ft</t>
  </si>
  <si>
    <t xml:space="preserve">[DERIVED] Partition Takeoff (studs + jamb studs x height), 1/A-101, 1/A-221; column wraps 1/A-101 C25; soffit 2/A-221; stud size 2/A-410, 3/A-410</t>
  </si>
  <si>
    <t xml:space="preserve">6" metal stud 20 ga (gauge not printed, RFI-C01) - type 5, cafe/workroom walls, G&amp;G soffit</t>
  </si>
  <si>
    <t xml:space="preserve">[DERIVED] Partition Takeoff, 5/A-410, 1/A-221, section G/A-221, 3/A-221</t>
  </si>
  <si>
    <t xml:space="preserve">3-5/8" metal stud 18 ga - vestibule boxed columns (2 per column x 4)</t>
  </si>
  <si>
    <t xml:space="preserve">[DERIVED] 1/A-210, 8/A-210 (gauge printed 18 ga); height 10'-6" 1/A-121 (RFI-B04)</t>
  </si>
  <si>
    <t xml:space="preserve">8" metal stud 18 ga - vestibule nested beam (2 runs x 12'-8")</t>
  </si>
  <si>
    <t xml:space="preserve">[PENDING] 8/A-210, 7/A-210, 4/A-210; beam extents not dimensioned (RFI-B04)</t>
  </si>
  <si>
    <t xml:space="preserve">8" metal joist @ 16" o.c. - vestibule roof (gauge not printed)</t>
  </si>
  <si>
    <t xml:space="preserve">[PENDING] 1/A-210, 4/A-210; 11 joists x 7'-8" (RFI-B04)</t>
  </si>
  <si>
    <t xml:space="preserve">3-5/8" bottom track 20 ga (floor)</t>
  </si>
  <si>
    <t xml:space="preserve">run 10 ft</t>
  </si>
  <si>
    <t xml:space="preserve">[DERIVED] Partition Takeoff bottom track (not deducted at doors), 1/A-101, 1/A-221, 2/A-410</t>
  </si>
  <si>
    <t xml:space="preserve">3-5/8" top track 20 ga, slotted deflection (full-height walls to deck)</t>
  </si>
  <si>
    <t xml:space="preserve">[DERIVED] Partition Takeoff top track, 2/A-410 note 7, 4/A-410</t>
  </si>
  <si>
    <t xml:space="preserve">3-5/8" top track 20 ga, fixed (partial-height walls and counters)</t>
  </si>
  <si>
    <t xml:space="preserve">[DERIVED] Partition Takeoff top track, 3/A-410, 4/A-410, 1/A-221 sections B, C, D</t>
  </si>
  <si>
    <t xml:space="preserve">3-5/8" track 20 ga - column wraps and soffits (top + bottom)</t>
  </si>
  <si>
    <t xml:space="preserve">[DERIVED] 1/A-101 C25 (9 wraps x 8.0 LF x 2), 2/A-221 soffit (2 x 28.07 LF)</t>
  </si>
  <si>
    <t xml:space="preserve">3-5/8" track 20 ga at door heads (2 pieces, R.O. + 1'-4")</t>
  </si>
  <si>
    <t xml:space="preserve">[DERIVED] Partition Takeoff header track, A-500 door sizes, 1/A-101 (R80e.34 #4; RFI-B21)</t>
  </si>
  <si>
    <t xml:space="preserve">3-5/8" fire-stop track at ceiling line (TYP)</t>
  </si>
  <si>
    <t xml:space="preserve">[PENDING] 8/A-410 fire stop at ceiling line TYP, 1/A-101 (RFI-B19)</t>
  </si>
  <si>
    <t xml:space="preserve">6" bottom track 20 ga (floor)</t>
  </si>
  <si>
    <t xml:space="preserve">[DERIVED] Partition Takeoff, 5/A-410, section G/A-221, 1/A-221</t>
  </si>
  <si>
    <t xml:space="preserve">6" top track 20 ga, slotted deflection (full-height walls to deck)</t>
  </si>
  <si>
    <t xml:space="preserve">[DERIVED] Partition Takeoff, 5/A-410, section E/A-221, section H/A-221</t>
  </si>
  <si>
    <t xml:space="preserve">6" track 20 ga - G&amp;G soffit (top + bottom)</t>
  </si>
  <si>
    <t xml:space="preserve">[PENDING] 3/A-221 (RFI-B14)</t>
  </si>
  <si>
    <t xml:space="preserve">6" fire-stop track at ceiling line (TYP)</t>
  </si>
  <si>
    <t xml:space="preserve">[PENDING] 8/A-410 fire stop at ceiling line TYP, 1/A-221 (RFI-B19)</t>
  </si>
  <si>
    <t xml:space="preserve">3-5/8" track 16 ga - vestibule boxed columns</t>
  </si>
  <si>
    <t xml:space="preserve">[DERIVED] 8/A-210 (4 columns, 5" each)</t>
  </si>
  <si>
    <t xml:space="preserve">6" runner track 16 ga - vestibule nested beam</t>
  </si>
  <si>
    <t xml:space="preserve">[PENDING] 8/A-210, 7/A-210 (RFI-B04)</t>
  </si>
  <si>
    <t xml:space="preserve">1-1/2" C.R. channel 16 ga - bracing @ 4'-0" o.c. (note 4/A-410)</t>
  </si>
  <si>
    <t xml:space="preserve">C.R. channel 16 ft</t>
  </si>
  <si>
    <t xml:space="preserve">[DERIVED] Partition Takeoff bracing rows x LF, note 4/A-410, 5/A-410</t>
  </si>
  <si>
    <t xml:space="preserve">2x2 16 ga clip angle at C.R. channel / stud crossings</t>
  </si>
  <si>
    <t xml:space="preserve">EA</t>
  </si>
  <si>
    <t xml:space="preserve">ea</t>
  </si>
  <si>
    <t xml:space="preserve">[PENDING] 5/A-410 (one per stud crossing; count rule R80e.27, RFI-C02)</t>
  </si>
  <si>
    <t xml:space="preserve">Moment clip 3-5/8" x 20 ga at partial-height wall base (1 per stud)</t>
  </si>
  <si>
    <t xml:space="preserve">[DERIVED] A/A-410, 3/A-410, 4/A-410, 1/A-101 (types 3 and 4)</t>
  </si>
  <si>
    <t xml:space="preserve">Clip angles 3x3x16 ga at vestibule nested beam</t>
  </si>
  <si>
    <t xml:space="preserve">[PENDING] 7/A-210 (2 per end), RFI-B04</t>
  </si>
  <si>
    <t xml:space="preserve">2x4 FRT wood blocking - receiving tables (3 levels x 2 tables)</t>
  </si>
  <si>
    <t xml:space="preserve">2x lumber 16 ft</t>
  </si>
  <si>
    <t xml:space="preserve">[PENDING] 8/A-413, 8A/A-413, key note 2/A-111 (RFI-B08)</t>
  </si>
  <si>
    <t xml:space="preserve">5/8" FRT plywood</t>
  </si>
  <si>
    <t xml:space="preserve">SF</t>
  </si>
  <si>
    <t xml:space="preserve">4x12 ft sheet</t>
  </si>
  <si>
    <t xml:space="preserve">[DERIVED] Partition Takeoff col FRT 5/8 (cafe/workroom/G&amp;G walls, 1/A-221, sections E, F, H) + soffit plywood (2/A-221, 5,6/A-226A)</t>
  </si>
  <si>
    <t xml:space="preserve">3/4" FRT plywood</t>
  </si>
  <si>
    <t xml:space="preserve">[DERIVED] counters A-D 1/A-221; janitor backing area 11/A-200 (23 SF); RR grab-bar backing 2,3,4/A-200, 21/A-201 (PENDING); vestibule roof deck 4/A-210 (PENDING)</t>
  </si>
  <si>
    <t xml:space="preserve">3/4" FRT plywood lavatory backing panels (size not read)</t>
  </si>
  <si>
    <t xml:space="preserve">[PENDING] 26/A-201, 4/A-200 (RFI-B08)</t>
  </si>
  <si>
    <t xml:space="preserve">5/8" gypsum board (GWB)</t>
  </si>
  <si>
    <t xml:space="preserve">[DERIVED] Partition Takeoff col GWB 5/8; GWB ceilings 1/A-121 (C-03..C-06); soffit faces 2/A-221, 3/A-221; column wraps 1/A-101 C25; vestibule columns 6/A-210</t>
  </si>
  <si>
    <t xml:space="preserve">5/8" W.R. gypsum board (moisture resistant)</t>
  </si>
  <si>
    <t xml:space="preserve">[DERIVED] Partition Takeoff col W.R. 5/8 (restroom, janitor 2/A-410 note 2); RR GWB ceilings 1/A-121 'walls and ceiling'</t>
  </si>
  <si>
    <t xml:space="preserve">5/8" cement board</t>
  </si>
  <si>
    <t xml:space="preserve">[DERIVED] restroom base 1'-2" 22/A-201, 2,3,4/A-200</t>
  </si>
  <si>
    <t xml:space="preserve">1/2" cement board</t>
  </si>
  <si>
    <t xml:space="preserve">[DERIVED] E1 and counters 1/A-221, sections E, B, C, D/A-221</t>
  </si>
  <si>
    <t xml:space="preserve">FRP-1 panels</t>
  </si>
  <si>
    <t xml:space="preserve">FRP panel 40 SF (Inputs)</t>
  </si>
  <si>
    <t xml:space="preserve">[DERIVED] workroom 1/A-225 (RFI-B09 height), janitor 9-12/A-200, counters 1/A-221</t>
  </si>
  <si>
    <t xml:space="preserve">Thermafiber SAFB sound/fire insulation, full cavity</t>
  </si>
  <si>
    <t xml:space="preserve">[DERIVED] Partition Takeoff col insulation, 2/A-410, 5/A-410, 1/A-101 (RFI-B05)</t>
  </si>
  <si>
    <t xml:space="preserve">Corner bead - column wraps, vestibule columns, type 3 posts, type 4 X wall</t>
  </si>
  <si>
    <t xml:space="preserve">trim stick 10 ft</t>
  </si>
  <si>
    <t xml:space="preserve">[DERIVED] 1/A-101 C25, 6/A-210, 4/A-410 (type 4 count PENDING, RFI-B06); R73.13</t>
  </si>
  <si>
    <t xml:space="preserve">Control joints (ASTM C840, &lt;= 30 ft runs, both faces)</t>
  </si>
  <si>
    <t xml:space="preserve">[DERIVED] Partition Takeoff control joint LF; R80e.34 #8; 1/A-101</t>
  </si>
  <si>
    <t xml:space="preserve">PVC trim - J-mold at bottom of FRP</t>
  </si>
  <si>
    <t xml:space="preserve">[DERIVED] 3,4/A-225, 9-12/A-200 (top edge / corners RFI-B09)</t>
  </si>
  <si>
    <t xml:space="preserve">PVC trim - division bar at FRP every 4'-0"</t>
  </si>
  <si>
    <t xml:space="preserve">[PENDING] 1/A-225, 9-12/A-200; 23 bars on FRP runs (R80e.36; RFI-B09)</t>
  </si>
  <si>
    <t xml:space="preserve">Stainless 2x2 full-height corner guards, workroom</t>
  </si>
  <si>
    <t xml:space="preserve">guard</t>
  </si>
  <si>
    <t xml:space="preserve">[PENDING] A-131 req. 6, 1/A-221 (RFI-B09)</t>
  </si>
  <si>
    <t xml:space="preserve">Joint compound, all purpose</t>
  </si>
  <si>
    <t xml:space="preserve">LB</t>
  </si>
  <si>
    <t xml:space="preserve">lb</t>
  </si>
  <si>
    <t xml:space="preserve">[DERIVED] yield Inputs!B23 x gypsum board SF; Div 09/A-001A Level 4</t>
  </si>
  <si>
    <t xml:space="preserve">Joint tape, paper</t>
  </si>
  <si>
    <t xml:space="preserve">[DERIVED] yield Inputs!B24 x gypsum board SF; Div 09/A-001A</t>
  </si>
  <si>
    <t xml:space="preserve">Drywall screws #7 x 1-1/4" Type S bugle head (board on 20 ga studs)</t>
  </si>
  <si>
    <t xml:space="preserve">[DERIVED] 8.E/A-410 screw spacing; yield Inputs!B20 x gypsum + W.R. board SF</t>
  </si>
  <si>
    <t xml:space="preserve">Type S-12 drywall screws #6 x 1-1/4" (board on 18 ga vestibule columns)</t>
  </si>
  <si>
    <t xml:space="preserve">[DERIVED] 8.E/A-410; 6/A-210; yield Inputs!B20 x vestibule column board</t>
  </si>
  <si>
    <t xml:space="preserve">Framing screws #8-18 x 1/2" pan head (20 ga studs)</t>
  </si>
  <si>
    <t xml:space="preserve">[DERIVED] 8.A/A-410; yield Inputs!B21 x stud pieces (walls + jamb studs + wraps + soffits)</t>
  </si>
  <si>
    <t xml:space="preserve">Heavy-gauge framing screws #10-16 x 3/4" pan head (vestibule beam and joists)</t>
  </si>
  <si>
    <t xml:space="preserve">[PENDING] 8.A/A-410, 7/A-210, 4/A-210 (6 per piece, RFI-B04)</t>
  </si>
  <si>
    <t xml:space="preserve">TEKS screws #10 at vestibule boxed columns (8 per column @ 16")</t>
  </si>
  <si>
    <t xml:space="preserve">[DERIVED] 8/A-210, 1/A-210 (x4 columns)</t>
  </si>
  <si>
    <t xml:space="preserve">TEKS screws #10-16 x 3/4" at clip angles and moment clips (2 per clip)</t>
  </si>
  <si>
    <t xml:space="preserve">[PENDING] 5/A-410, A/A-410, 8.A/A-410 (RFI-C02)</t>
  </si>
  <si>
    <t xml:space="preserve">Power-driven fasteners, slab pins for the bottom track (1 row @ 16")</t>
  </si>
  <si>
    <t xml:space="preserve">[DERIVED] Partition Takeoff slab pins, 9/A-410, 8.F/A-410, R80e.34 #1; column wraps 1/A-101 C25</t>
  </si>
  <si>
    <t xml:space="preserve">Hilti Kwik HUS-EZ anchors 1/4" x 1-5/8" at moment clips (2 per clip)</t>
  </si>
  <si>
    <t xml:space="preserve">[DERIVED] A/A-410, 3/A-410, 4/A-410</t>
  </si>
  <si>
    <t xml:space="preserve">Top track fasteners to structure @ 24" o.c. (code default, spacing not printed)</t>
  </si>
  <si>
    <t xml:space="preserve">[PENDING] 4/A-410, 8.C/A-410; ASTM C754 default (RFI-C04)</t>
  </si>
  <si>
    <t xml:space="preserve">Cement board screws (yield = drywall screw yield)</t>
  </si>
  <si>
    <t xml:space="preserve">[PENDING] 22/A-201, 1/A-221; yield not printed (RFI-C04)</t>
  </si>
  <si>
    <t xml:space="preserve">Plywood screws (Teks/3), 1 per SF</t>
  </si>
  <si>
    <t xml:space="preserve">[PENDING] 8.D/A-410, 1/A-221; spacing not printed (RFI-C04)</t>
  </si>
  <si>
    <t xml:space="preserve">RFI</t>
  </si>
  <si>
    <t xml:space="preserve">Question / condition</t>
  </si>
  <si>
    <t xml:space="preserve">Delta of each alternative</t>
  </si>
  <si>
    <t xml:space="preserve">RFI-01</t>
  </si>
  <si>
    <t xml:space="preserve">Exterior wall framing scope (types 1/1A/1B/1C). A-002 marks "perimeter studs, insulation, vapor barrier F/I by LL" (Rev1), but 1-1C/A-410 show "5/8" GYP BD BY FUTURE TENANT".</t>
  </si>
  <si>
    <t xml:space="preserve">Alt A (assumed): framing/insulation/vapor barrier by LL → tenant takes only interior 5/8" GWB face = L×H/32 sheets, 0 LF stud. Alt B: tenant frames → adds studs (L/1.333+1)×H, 2 tracks, R-21 L×H SF, vapor barrier L×H SF. 1B would be 8" studs. Sheets: 1/A-410, 1B/A-410, A-002, 1/A-101.</t>
  </si>
  <si>
    <t xml:space="preserve">RFI-02</t>
  </si>
  <si>
    <t xml:space="preserve">Stud spacing exterior types 1–1C: no o.c. printed (only "3-5/8" metal stud").</t>
  </si>
  <si>
    <t xml:space="preserve">Assume 16" (A-410 notes). 24" o.c. would cut studs by ~1/3 (L/2+1 vs L/1.333+1).</t>
  </si>
  <si>
    <t xml:space="preserve">RFI-03</t>
  </si>
  <si>
    <t xml:space="preserve">Stud gauge per partition type: A-410 gives only a max-height schedule; "see schedule for gauge" with no per-type table; partition note: all studs ≥20 ga.</t>
  </si>
  <si>
    <t xml:space="preserve">Assume 20 ga ST for ≤17'-11" (3-5/8"), 6" per height from schedule (6" 20ga SJ to 26'-8"); sales walls up to 23'-0" in 6" ⇒ 18 ga SJ (28'-0") if 6" is used, or 3-5/8" 14 ga SJ (22'-0") fails at 23'. Delta: gauge change = price/LF only; material LF unchanged.</t>
  </si>
  <si>
    <t xml:space="preserve">RFI-04</t>
  </si>
  <si>
    <t xml:space="preserve">Type 3/4 partial-height wall top condition: T.O. WALL 8'-0"/7'-6" A.F.F. shown, but studs are "to bottom of nested stud bracing" with no top-of-wall cap detail.</t>
  </si>
  <si>
    <t xml:space="preserve">Assume track cap + GWB both sides to T.O.; alt: GWB wraps top (add L×thickness).</t>
  </si>
  <si>
    <t xml:space="preserve">RFI-05</t>
  </si>
  <si>
    <t xml:space="preserve">Type 2 vs 5 boundary in restrooms (3-5/8" vs 6" studs, adjacent diamond tags 2 &amp; 5 on 1/A-101): confirm which walls are 6" (wet wall / plumbing chase).</t>
  </si>
  <si>
    <t xml:space="preserve">Delta: 6" vs 3-5/8" = price/LF and track size; same LF.</t>
  </si>
  <si>
    <t xml:space="preserve">RFI-06</t>
  </si>
  <si>
    <t xml:space="preserve">FRP-1 heights (janitor closet 107, workroom 104, partial-height walls): janitor elevations A-200 9–12 show FRP-1 panel to an unlabeled height under "wall to deck"; workroom elevations show 10'-0" wall with FRP; no FRP top elevation printed except 6'-0" dim on 1/A-226B.</t>
  </si>
  <si>
    <t xml:space="preserve">Assume FRP to 6'-0" workroom / 8'-0" closet; alt full height 10'-0" = +67% FRP SF (workroom). Backing board behind FRP: assume 5/8" W.R. GWB (A-410 note) unless cement board (A-221 cafe side = 1/2" cementitious).</t>
  </si>
  <si>
    <t xml:space="preserve">RFI-07</t>
  </si>
  <si>
    <t xml:space="preserve">Wet-area board type: A-410/A-101 call "W.R. gyp bd" (greenboard) wet side only to B.O. ceiling; A-101 gen note 8 (landlord) allows "moisture-resistant drywall OR cement board"; A-201 shows 5/8" cement board under restroom wall tile.</t>
  </si>
  <si>
    <t xml:space="preserve">Assume cement board behind tile (restrooms to 6'-7" tile height, A-200), W.R. GWB elsewhere. Alt: W.R. GWB behind tile (price delta/SF only).</t>
  </si>
  <si>
    <t xml:space="preserve">RFI-08</t>
  </si>
  <si>
    <t xml:space="preserve">Ceiling framing system (soffits/GWB ceilings): restrooms 9'-0", vestibule 10'-6", cafe 9'-0"/11'-6"/11'-0", cafe seating 12'-0", grab&amp;go 7'-1" are GWB ceilings but no hanger/furring/joist detail is called on ceilings (spec: suspension grid per manufacturer, anchored to structure).</t>
  </si>
  <si>
    <t xml:space="preserve">Assume furring/hanger grid 12 ga wire @48" o.c. + 7/8" furring @16"/24" o.c. Soffit extents (A-221 dashed "soffit above") not dimensioned vertically. Alt joist-type framing = heavier.</t>
  </si>
  <si>
    <t xml:space="preserve">RFI-09</t>
  </si>
  <si>
    <t xml:space="preserve">Cafe soffit/bulkhead height &amp; drop (2,3/A-221, WD-1): T.O. WD-1 "see elevation"; elevations show 4'-0", 2'-0", 9'-0" (soft.) dims — confirm mapping of soffit to elevation lines before quantifying (Step B).</t>
  </si>
  <si>
    <t xml:space="preserve">See the assumption stated in the question; no quantity delta beyond price.</t>
  </si>
  <si>
    <t xml:space="preserve">RFI-10</t>
  </si>
  <si>
    <t xml:space="preserve">Demising/existing partitions: C5 says patch/repair + "add GWB/furring as required" with no extent; A-002 demising studs by LL (CMU).</t>
  </si>
  <si>
    <t xml:space="preserve">Assume tenant adds furring + 5/8" GWB on tenant face where shown with gray demising hatch on A-101/A-111; alt: patch only (0).</t>
  </si>
  <si>
    <t xml:space="preserve">RFI-11</t>
  </si>
  <si>
    <t xml:space="preserve">Rated assemblies: none tagged on new partitions; A-410 partition note 1/6 and UL WL/U-series details imply possible 1-hr/2-hr demising.</t>
  </si>
  <si>
    <t xml:space="preserve">Assume NO rated new partitions; if rating required, Type X 5/8" ×2 layers (1-hr) = +1 layer on affected faces.</t>
  </si>
  <si>
    <t xml:space="preserve">RFI-12</t>
  </si>
  <si>
    <t xml:space="preserve">Gypsum board jamb returns / wood trim: cased opening 2/A-500 = wood jambs, no gyp return; HM frames wrap GWB (1/A-500). No gyp return quantified unless a Step-B opening is drawn with return; storefront returns (tag I) = FRT plywood/GWB per A-221.</t>
  </si>
  <si>
    <t xml:space="preserve">RFI-13</t>
  </si>
  <si>
    <t xml:space="preserve">Slotted deflection track vs. full-height-to-deck on tall sales walls (up to 23'-0"+): deflection clip assumed at underside of deck; confirm stud brace spacing (A-410 5/A-410 lateral bracing @ 32" o.c. diag. / 4'-0" o.c. per partition note 4).</t>
  </si>
  <si>
    <t xml:space="preserve">RFI-14</t>
  </si>
  <si>
    <t xml:space="preserve">Glass-mat sheathing: spec Div 09 A.3 "exterior applications: glass mat substrate" but no exterior framing in tenant scope with a glass-mat tag (1B has "1/2" exterior gyp sheathing", LL).</t>
  </si>
  <si>
    <t xml:space="preserve">Assume none; alt = L×H on 1B.</t>
  </si>
  <si>
    <t xml:space="preserve">RFI-15</t>
  </si>
  <si>
    <t xml:space="preserve">Corner guards: spec 2"x2"x72" metal corner guards "at all outside corners or as specified in plans" vs C22 stainless 48" A.F.F. at stock-room outside corners and A-131 req.6 2x2 full-height stainless at workroom — assume spec metal corner bead at all GWB outside corners + stainless per C22/A-131 only where tagged.</t>
  </si>
  <si>
    <t xml:space="preserve">RFI-16</t>
  </si>
  <si>
    <t xml:space="preserve">Sheet/page-label conflicts: p17 file = A-222B per title block (index lists A-222B). No conflict found for pp1-34 order in the brief. Rev narrative says "Colorado Springs, OH" (Rev2/3) — typo only. Existing A-210 detail 5 shows 5" wall at storefront with "NEW 3 5/8" NESTED LT GAUGE POST" — confirm gauge ("LT") [P].</t>
  </si>
  <si>
    <t xml:space="preserve">RFI-17</t>
  </si>
  <si>
    <t xml:space="preserve">A-111 / A-003 content not itemized in this step (see sheet notes) — will be read in 1B; no assumption made.</t>
  </si>
  <si>
    <t xml:space="preserve">RFI-B01</t>
  </si>
  <si>
    <t xml:space="preserve">C25 column-wrap count (A-101 key note C25). Vector sweep finds **9** new 24"x24" boxes on the 30'-0" column grid (5 on y=797 pt row, 4 on y=1154 pt row; the 5th position on the lower row is tagged C23 = existing column left exposed). Step 1A estimated 8. Base: 9 (K-01).</t>
  </si>
  <si>
    <t xml:space="preserve">Delta if 8: −1 wrap = −8.0 LF track x2, −7 studs, −64 SF GWB, −32 LF corner bead, −6 pins.</t>
  </si>
  <si>
    <t xml:space="preserve">RFI-B02</t>
  </si>
  <si>
    <t xml:space="preserve">Exterior walls 1/1A/1B/1C are EXISTING (A-101 legend: "EXISTING EXTERIOR WALL"; no new line drawn) — scope of tenant GWB face and what is framed. A-410 1-1C: "5/8" GYP BD BY FUTURE TENANT" interior face; A-002: perimeter studs/insulation/VB by LL.</t>
  </si>
  <si>
    <t xml:space="preserve">Alt A (base, = 1A RFI-01): tenant GWB only = **7,824 SF** over 340.5 LF gross (N 15'-7" 1A + 158.8 ft type 1; W 64.8 ft 1A less 6.3 ft existing door; angled 1B 23.7 ft; S stock 20'-11" 1B; corridor S 6.2 ft; BOH S 50.6 ft); not in totals (rows marked [PENDING]). Alt B (tenant frames): + studs ROUNDUP(L/1.333)+1 per run (~255 studs at 23'-0"), 2 x 340.5 = 681 LF track, R-21 7,824 SF, VB 7,824 SF; 1B angled/8" studs. East facade 1B/1C stone piers are **not dimensioned** on A-101 (storefront C1 existing between them): LF [PENDING]; delta = piers x 21'-9" (2/A-400A) x 1 face.</t>
  </si>
  <si>
    <t xml:space="preserve">RFI-B03</t>
  </si>
  <si>
    <t xml:space="preserve">Type 5 (6" studs) wall length not printed. Central restroom wall 5-01 = 5.69 ft [vector 51.2 pt; 7" thickness confirms 6" stud]. Only 5-01 carries tag 5 in the A-101 sweep (diamond at central wall).</t>
  </si>
  <si>
    <t xml:space="preserve">Delta ±1'-0" = ±1 stud, ±23 SF board/ SF cement-board-W.R. both faces. Boundary 2 vs 5 (1A RFI-05) resolved by vector thickness: 4.9–5.1" = type 2; 7.1–7.3" = type 5 (also read on cafe/workroom walls, which carry A-221 tags instead).</t>
  </si>
  <si>
    <t xml:space="preserve">RFI-B04</t>
  </si>
  <si>
    <t xml:space="preserve">Vestibule A-210 framing scope &amp; layout. A-210 draws nested posts (4 boxed 5"x5" columns on the W line), nested beam (2)8" studs + 6"x16ga track, 8" joists @16" (span 7'-8") with 3/4" plywood and 5/8" GWB under. Not printed: beam extents, joist gauge, ledger length, who furnishes (vestibule "to match existing storefront system V.I.F." may be the storefront vendor, Div 08). Base: columns + 12'-8" beam on W side + 11 joists + GWB ceiling carried (V-01..V-04, C-03).</t>
  </si>
  <si>
    <t xml:space="preserve">Delta if excluded as storefront scope: −84 LF stud (cols) −25.3 LF stud −25.3 LF track −84.3 LF joist −97 SF GWB clg −97 SF plywood −70 SF col GWB −168 LF bead. Alt: beams on all four sides (+2 x 7'-8" beams: +30.7 LF stud, +30.7 LF track).</t>
  </si>
  <si>
    <t xml:space="preserve">RFI-B05</t>
  </si>
  <si>
    <t xml:space="preserve">Insulation: height and layers. (a) Thermafiber SAFB "full cavity" (A-410 types 2,5; H1) carried to full stud height = **7,155 SF**. If the blanket stops at the ceiling line +6" (9'-6") on walls with ACT/GWB ceilings on both faces: 6,353 SF (−802 SF). (b) Layers by face (R80e.26, section G/A-221): H2a = 5/8" GWB one side + 5/8" FRT ply other (one layer per side); H2b = FRT both; H1 same as H2a with insulation; H2 "no sound control insulation" (printed). If instead two layers per side were intended (arrow reading ambiguous at 0.7x; read at 2.6x): H1/H2a faces double = +1,348 SF board/ply (sum of the H1/H2a rows). (c) A-101 table "sound blankets in walls and ceilings of rooms 103–112": only the WALLS column showed bullets in my read; ceilings (RR 130 + break 240 + mgr 110 = 480 SF) NOT counted (RFI-B17).</t>
  </si>
  <si>
    <t xml:space="preserve">RFI-B06</t>
  </si>
  <si>
    <t xml:space="preserve">Type 4 X wall geometry (A-101). Arc length 25'-1" x2 printed (R32'-9"), cap width 9'-0" printed (bottom 8'-2" + 2x5"). Return length per end is not printed; used 1'-10" (two printed 1'-10" dims) x4. Total 75.5 LF.</t>
  </si>
  <si>
    <t xml:space="preserve">Delta per ±1'-0" of return length: ±4 LF (±60 SF both faces at 7'-6"). Corner count for bead (12) from plan geometry.</t>
  </si>
  <si>
    <t xml:space="preserve">RFI-B07</t>
  </si>
  <si>
    <t xml:space="preserve">FRP over 5/8" plywood "where shelving occurs" on types 3/4 (3,4/A-410). No shelving face is drawn on A-101 for the 2 cafe-seating bars or the X wall. Not in totals.</t>
  </si>
  <si>
    <t xml:space="preserve">Delta (R80e.34 #7, arrow face, full length, replaces GWB): type 3 = +96 SF FRP + 96 SF 5/8" FRT ply per unit (bar face 12'-0" x 8'-0"; 2 units = 192/192), X wall one face = 376 SF FRP/ply; minus the same GWB.</t>
  </si>
  <si>
    <t xml:space="preserve">RFI-B08</t>
  </si>
  <si>
    <t xml:space="preserve">Blocking / plywood backing not dimensioned. Janitor 3/4" FRT area 23.0 SF is printed (5'-9" x 4'-0"). Restroom grab-bar backing (21.0 LF x 16" = 28 SF), lavatory backing (2 ea), receiving table 2x4 FRT (3 levels x 17'-3" x 2 tables = 103.5 LF; 1 level = 34.5 LF), stock-room steel shelving (7/A-413, 5'-0" units, count not read), office/kitchenette (12,6/A-412 "as needed"), menu-board FRT dashed area (4/A-226A): quantities PENDING; formulas in `1B_other.csv` P-02..P-07. Fixture installs "BY GC/fixture installer" are excluded (R80e.34 #11).</t>
  </si>
  <si>
    <t xml:space="preserve">RFI-B09</t>
  </si>
  <si>
    <t xml:space="preserve">FRP-1 height (workroom, janitor). Janitor FRP printed "HOLD TO UNDERSIDE OF SHELF 8'-0"" (9–12/A-200) [CONFIRMED]. Workroom FRP top is not printed (A-225 FRP-1 dashed zone, 1–4/A-226B tag FRP-1 on 10'-0" walls; 6'-0" dim on 1/A-226B refers to the elevation 1 lower item): base = full 10'-0" = 793.5 SF; alt 6'-0" = 476.1 SF (−317.4 SF) and J-mold top edge (+78.6 LF if top termination bar required; A-225 note "including 6" base with termination bar"). Corner guards 2x2 stainless full height (A-131 req 6): 6 corners counted (H2b 4 + door 3 jambs 2) = 60 LF [PENDING count].</t>
  </si>
  <si>
    <t xml:space="preserve">RFI-B10</t>
  </si>
  <si>
    <t xml:space="preserve">H2b stub height (A-221). 3-5/8" stub, 1.95 ft long [vector], top not printed; base 10'-0" (workroom wall height 2/A-226B).</t>
  </si>
  <si>
    <t xml:space="preserve">Alt to deck 23'-0": +13 ft x 1.95 x 2 faces = +50.7 SF plywood/FRP-less, +2 studs.</t>
  </si>
  <si>
    <t xml:space="preserve">RFI-B11</t>
  </si>
  <si>
    <t xml:space="preserve">Cafe GWB ceiling zones &amp; seating cloud edge (A-121). Cafe sales GWB ceilings 9'-0"/11'-6"/11'-0" are not dimensioned (EQ / 2'-4" TYP offsets only); total envelope 284 SF [DERIVED], split by zone PENDING; wall board heights on cafe faces use 11'-6"+6" = 12'-0".</t>
  </si>
  <si>
    <t xml:space="preserve">Delta: each 1'-0" of face height on E1-01/E1-02/F/H2a/H3 = 19.0+2.7+13.0+9.5 LF x 1 ft ≈ 44 SF. Seating cloud 46'-0" x 14'-0" = 644 SF: edge detail (drop/fascia/reveal) not drawn — if framed bulkhead around 120 LF perimeter add studs/track per R80e.34 #6.</t>
  </si>
  <si>
    <t xml:space="preserve">RFI-B12</t>
  </si>
  <si>
    <t xml:space="preserve">E1 pier (1'-0" x 2'-8" HOLD) at cafe/workroom division (A-221). Printed 2'-8" HOLD x 1'-0"; interior shows a rect (cabinet/FE?). Framing and second face unprinted. Base: 2.67 LF, 1 face 1/2" cement bd.</t>
  </si>
  <si>
    <t xml:space="preserve">Alt: closed box 2x(2'-8"+1'-0") = 7.33 LF, 4 faces: +4.7 LF, +3 studs, +58 SF.</t>
  </si>
  <si>
    <t xml:space="preserve">RFI-B13</t>
  </si>
  <si>
    <t xml:space="preserve">Cafe column box F (3'-3" x 3'-3") top condition. Sec F "studs to bottom of nested stud bracing" (no top). Base: studs to deck (23'-0"), plywood to 12'-0".</t>
  </si>
  <si>
    <t xml:space="preserve">Alt box to ceiling/12'-0": −11 ft x 11 studs.</t>
  </si>
  <si>
    <t xml:space="preserve">RFI-B14</t>
  </si>
  <si>
    <t xml:space="preserve">Soffits (A-221 2,3; A-226A) height/depth/T.O. WD-1. Run measured on the dashed "SOFFIT ABOVE" outline: cafe 28.07 LF; G&amp;G 7.38 LF (6'-2" HOLD + 2 x 7 1/4" printed). B.O. soffit 9'-0" printed (1/A-226A "9'-0" SOFFIT"); T.O. = deck (sections "studs up to deck") — base 14'-0" (9'-0" to B.O. joist 23'-0"); alt T.O. WD-1 15'-0" = 6'-0": −8'-0" x 23 studs, −225 SF GWB. Depth 7 1/4" taken from the G&amp;G printed dim for the cafe soffit too (not printed for cafe). Cross bracing "as req'd" not quantified.</t>
  </si>
  <si>
    <t xml:space="preserve">RFI-B15</t>
  </si>
  <si>
    <t xml:space="preserve">Face tags "I SIM." (A-221 plan, 4 tags). Two at G&amp;G jambs (7 1/4" printed each) carried as finish-only rows (R80e.23); one at the E1 stub (1'-0") and one at the SE storefront jamb (thickness unprinted, LF 0).</t>
  </si>
  <si>
    <t xml:space="preserve">Delta of the 4th: 0.6–1.0 LF x (15'-0" ply + 8'-0" GWB).</t>
  </si>
  <si>
    <t xml:space="preserve">RFI-B16</t>
  </si>
  <si>
    <t xml:space="preserve">Counter D face layers (sec D/A-221) only "FRP-1 over 1/2" cementitious" printed on the pastry side; other face assumed 1/2" cement bd (6.1 LF x 2.708 ft = 16.6 SF).</t>
  </si>
  <si>
    <t xml:space="preserve">RFI-B17</t>
  </si>
  <si>
    <t xml:space="preserve">Ceiling sound blankets (2/A-410 note vs A-101 table): not carried (480 SF if ceilings of RR/break/mgr are required).</t>
  </si>
  <si>
    <t xml:space="preserve">RFI-B18</t>
  </si>
  <si>
    <t xml:space="preserve">L/J-bead, reveals, shadow molds: no edge detail or metal reveal is drawn on A-101/A-121/A-221/A-225 (Div 05 C "reveals per plans"); quantities 0/PENDING.</t>
  </si>
  <si>
    <t xml:space="preserve">Delta: casing bead = LF of exposed GWB edges (ceiling perimeters 32.3 x2 + 40.7 + 71.8 + 19.3 + 120 = ~316 LF if all ceilings need J-bead at walls).</t>
  </si>
  <si>
    <t xml:space="preserve">RFI-B19</t>
  </si>
  <si>
    <t xml:space="preserve">Fire stop at ceiling line (8/A-410 "TYP") applies to 14 wall runs (151.4 LF) with a ceilinged face: quantified as LF, material furnished by? (A-002: firestopping LL / sealants TC).</t>
  </si>
  <si>
    <t xml:space="preserve">RFI-B20</t>
  </si>
  <si>
    <t xml:space="preserve">Wall heights are V.I.F. and the deck slopes. Printed: N 23'-0" (1/A-400A), S 23'-0" (1/A-400B), W 23'-8" (2/A-400B; mapping to the stock-room wall confirmed by door 11 at the left of that elevation), E 21'-9" (2/A-400A). Used the printed average height per the skill (R80e.34 #3), not the max. Walls are taken to B.O. joist (printed wall heights); if the partitions must reach B.O. deck (25'-0" N/S, 24'-0" W, 25'-7" E printed) add ~2'-0": +2.0 ft x 400.7 LF of full-height runs = +801 SF per face + 2 ft per stud (459 studs = +918 LF).</t>
  </si>
  <si>
    <t xml:space="preserve">RFI-B21</t>
  </si>
  <si>
    <t xml:space="preserve">Headers: no header schedule. Applied R80e.34 #4: 2 track pieces (R.O.+1'-4") per door = 83.3 LF for 8 doors (D3 4'-0"x8'-0", D4–D7,D14 3'-0", D8/D9 R.O. 3'-4" printed vs 3'-0" leaf).</t>
  </si>
  <si>
    <t xml:space="preserve">Delta if HM frame needs no stud header (1/A-500): −83.3 LF track.</t>
  </si>
  <si>
    <t xml:space="preserve">RFI-B22</t>
  </si>
  <si>
    <t xml:space="preserve">Restroom wall tile height 6'-7" vs backing (A-200 elev 2–4, 22/A-201). A-201 prints cement board BASE 1'-2" and W.R. above (base case carried: cement bd 46.9 SF, W.R. 744 SF incl. janitor). If cement board is required behind all tile to 6'-7": +218.7 SF cement bd, −218.7 SF W.R.</t>
  </si>
  <si>
    <t xml:space="preserve">RFI-B23</t>
  </si>
  <si>
    <t xml:space="preserve">Stud gauge per type (carry-over of 1A RFI-03): unchanged. Heights now: types 2/5 and cafe 6" walls run to 23'-0"/23'-8" — 3-5/8" 20 ga max 17'-11" (A-410 schedule) is exceeded; 3-5/8" needs 14 ga SJ (22'-0") or less and still fails 23'-0"+; 6" needs 18ga SJ (28'-0"). Gauge affects price/LF only; bracing rows (5 @4'-0") and stud count unchanged.</t>
  </si>
  <si>
    <t xml:space="preserve">RFI-B24</t>
  </si>
  <si>
    <t xml:space="preserve">Storage 112 N face / demising wall C5. Storage room walls 2-12/2-13 carried (both faces). Existing N wall = demising with adjacent tenant: patch/repair only (A-002). If new GWB/furring is required on the demising run (1A RFI-10), delta = L x 23'-0" per face with L not dimensioned (grid F–H, ~37 ft by vector; start of demising not printed).</t>
  </si>
  <si>
    <t xml:space="preserve">RFI-B25</t>
  </si>
  <si>
    <t xml:space="preserve">Loading-zone angled wall 1B-A and stock-room existing doors. 23.67 ft is a vector length (no printed dim); doors 12/13 "refurbish as needed, V.I.F." have unprinted sizes (opening deducted at the W wall = 6.33 ft vector gap).</t>
  </si>
  <si>
    <t xml:space="preserve">RFI-B26</t>
  </si>
  <si>
    <t xml:space="preserve">Sheet cross-checks/conflicts logged. (a) A-111 is the Fixture Plan (no walls; confirms 2 receiving-table locations, key note 3/8 shelving) — A-101 and A-111 wall geometry identical. (b) A-121 plan is offset −334 pt in y vs A-101 (different sheet origin) — not an inconsistency. (c) Door 5/6 plan labels vs schedule: schedule #5 "Corridor→Break Room" and #6 "Break→Manager's" agree with openings found in V-lines x=760 and x=931. (d) A-101 prints "ADJACENT TENANT" label at grid F–G north wall while diamonds there tag type 1 (exterior CMU).</t>
  </si>
  <si>
    <t xml:space="preserve">RFI-C01</t>
  </si>
  <si>
    <t xml:space="preserve">Stud gauge per type is not scheduled (3/A-410 gives only max heights; 8/A-410 note 5: min 20 ga). Quantities carry 20 ga for 3-5/8" and 6"; 3-5/8" walls at 23'-0" exceed the 20 ga ST limit of 17'-11" and also 14 ga SJ 22'-0" (3/A-410).</t>
  </si>
  <si>
    <t xml:space="preserve">Gauge changes unit price and screw family only: 18/16/14 ga studs use #10-16 x 3/4" framing screws (6 per piece instead of 4) and Type S-12 drywall screws. Moving all 3-5/8" studs to heavy gauge: framing screws +2 per stud piece.</t>
  </si>
  <si>
    <t xml:space="preserve">RFI-C02</t>
  </si>
  <si>
    <t xml:space="preserve">Clip angles at C.R. channel / stud crossings (5/A-410) are counted one per stud per bracing row (R80e.27); the detail also prints (2) 2x2 16 ga angles @ 4'-0" o.c. and no fastener count per clip.</t>
  </si>
  <si>
    <t xml:space="preserve">Base 1771 clip angles + 3722 TEKS screws (2 per clip incl. 90 moment clips). If the detail means 2 angles per bracing run instead of 1 per crossing: clip angles -&gt; 2 x bracing LF / 4'-0".</t>
  </si>
  <si>
    <t xml:space="preserve">RFI-C03</t>
  </si>
  <si>
    <t xml:space="preserve">Spec A-001A Div 09 lists 5/8" Type X gypsum board; plans (A-410, A-221) say 5/8" GWB / W.R. gyp bd and tag no rated partition. Base: regular 5/8" GWB and W.R. 5/8".</t>
  </si>
  <si>
    <t xml:space="preserve">Type X on all board: same SF (14072 SF GWB), price/SF only.</t>
  </si>
  <si>
    <t xml:space="preserve">RFI-C04</t>
  </si>
  <si>
    <t xml:space="preserve">Fastener yields not printed: top-track fasteners to structure (4/A-410, 8.C), cement board screws and plywood screws (8.D) use skill defaults (24" o.c.; 1.2 and 1.0 per SF). Slab pins 1 row @ 16" (R80e.34 #1) from Partition Takeoff; no pins on soffit tracks.</t>
  </si>
  <si>
    <t xml:space="preserve">Top track @ 16" o.c.: 411 ea (+137). Plywood screws @ 8" o.c. field: +766 ea.</t>
  </si>
  <si>
    <t xml:space="preserve">RFI-C05</t>
  </si>
  <si>
    <t xml:space="preserve">Existing exterior walls (types 1, 1A, 1B, 1C) are shown in Partition Takeoff as OTHER FRAMING with PENDING status and are NOT in the Material Summary (Alt A, tenant GWB face only, RFI-01 / RFI-B02). Exterior cavities, R-21, vapor barrier and expansion anchors are excluded.</t>
  </si>
  <si>
    <t xml:space="preserve">Alt A tenant face: +7824 SF 5/8" GWB (+9389 screws). Alt B (tenant frames): see RFI-B02.</t>
  </si>
  <si>
    <t xml:space="preserve">RFI-C06</t>
  </si>
  <si>
    <t xml:space="preserve">Bottom track and slab pins are carried for the full wall LF (not deducted at doors); stud stock set to 24 ft because printed wall heights are 23'-0" to 23'-8" (20 ft sticks cannot make a stud).</t>
  </si>
  <si>
    <t xml:space="preserve">With 20 ft stud stock, full-height studs would be spliced or special-ordered; with 24 ft stock sticks are cut and the offcut is waste (15 %).</t>
  </si>
  <si>
    <t xml:space="preserve">28 questions in total, asked ONE at a time in this order: floor plan (partition types A-Z), then the details the floor plan calls, in order</t>
  </si>
  <si>
    <t xml:space="preserve">#</t>
  </si>
  <si>
    <t xml:space="preserve">Phase</t>
  </si>
  <si>
    <t xml:space="preserve">Type / order</t>
  </si>
  <si>
    <t xml:space="preserve">Item</t>
  </si>
  <si>
    <t xml:space="preserve">Sheet + detail</t>
  </si>
  <si>
    <t xml:space="preserve">Image</t>
  </si>
  <si>
    <t xml:space="preserve">1/28</t>
  </si>
  <si>
    <t xml:space="preserve">Floor plan</t>
  </si>
  <si>
    <t xml:space="preserve">2</t>
  </si>
  <si>
    <t xml:space="preserve">Verify tag count and location of type 2 (15 wall rows)</t>
  </si>
  <si>
    <t xml:space="preserve">p6_z2.0_150_1000.png, pr6_rest.png, p6_z2.4_330_1180.png</t>
  </si>
  <si>
    <t xml:space="preserve">2/28</t>
  </si>
  <si>
    <t xml:space="preserve">3</t>
  </si>
  <si>
    <t xml:space="preserve">Verify tag count and location of type 3 (2 wall rows)</t>
  </si>
  <si>
    <t xml:space="preserve">p6_z4.0_1480_1160.png</t>
  </si>
  <si>
    <t xml:space="preserve">3/28</t>
  </si>
  <si>
    <t xml:space="preserve">4</t>
  </si>
  <si>
    <t xml:space="preserve">Verify tag count and location of type 4 (1 wall rows)</t>
  </si>
  <si>
    <t xml:space="preserve">p6_z2.2_1440_760.png</t>
  </si>
  <si>
    <t xml:space="preserve">4/28</t>
  </si>
  <si>
    <t xml:space="preserve">5</t>
  </si>
  <si>
    <t xml:space="preserve">Verify tag count and location of type 5 (1 wall rows)</t>
  </si>
  <si>
    <t xml:space="preserve">p6_z2.4_330_1180.png</t>
  </si>
  <si>
    <t xml:space="preserve">5/28</t>
  </si>
  <si>
    <t xml:space="preserve">E1</t>
  </si>
  <si>
    <t xml:space="preserve">Verify tag count and location of type E1 (2 wall rows); PENDING rows: E1-02</t>
  </si>
  <si>
    <t xml:space="preserve">p15_z1.5_150_60.png, p15_z1.5_1100_60.png</t>
  </si>
  <si>
    <t xml:space="preserve">6/28</t>
  </si>
  <si>
    <t xml:space="preserve">E2</t>
  </si>
  <si>
    <t xml:space="preserve">Verify tag count and location of type E2 (1 wall rows)</t>
  </si>
  <si>
    <t xml:space="preserve">7/28</t>
  </si>
  <si>
    <t xml:space="preserve">F</t>
  </si>
  <si>
    <t xml:space="preserve">Verify tag count and location of type F (1 wall rows); PENDING rows: F-01</t>
  </si>
  <si>
    <t xml:space="preserve">8/28</t>
  </si>
  <si>
    <t xml:space="preserve">H1</t>
  </si>
  <si>
    <t xml:space="preserve">Verify tag count and location of type H1 (2 wall rows)</t>
  </si>
  <si>
    <t xml:space="preserve">9/28</t>
  </si>
  <si>
    <t xml:space="preserve">H2a</t>
  </si>
  <si>
    <t xml:space="preserve">Verify tag count and location of type H2a (1 wall rows)</t>
  </si>
  <si>
    <t xml:space="preserve">10/28</t>
  </si>
  <si>
    <t xml:space="preserve">H2b</t>
  </si>
  <si>
    <t xml:space="preserve">Verify tag count and location of type H2b (1 wall rows)</t>
  </si>
  <si>
    <t xml:space="preserve">11/28</t>
  </si>
  <si>
    <t xml:space="preserve">H3a</t>
  </si>
  <si>
    <t xml:space="preserve">Verify tag count and location of type H3a (1 wall rows)</t>
  </si>
  <si>
    <t xml:space="preserve">12/28</t>
  </si>
  <si>
    <t xml:space="preserve">H3b</t>
  </si>
  <si>
    <t xml:space="preserve">Verify tag count and location of type H3b (1 wall rows)</t>
  </si>
  <si>
    <t xml:space="preserve">13/28</t>
  </si>
  <si>
    <t xml:space="preserve">I</t>
  </si>
  <si>
    <t xml:space="preserve">Verify tag count and location of type I (4 wall rows); PENDING rows: I-03, I-04</t>
  </si>
  <si>
    <t xml:space="preserve">14/28</t>
  </si>
  <si>
    <t xml:space="preserve">CTR A</t>
  </si>
  <si>
    <t xml:space="preserve">Verify tag count and location of type CTR A (1 wall rows)</t>
  </si>
  <si>
    <t xml:space="preserve">15/28</t>
  </si>
  <si>
    <t xml:space="preserve">CTR B</t>
  </si>
  <si>
    <t xml:space="preserve">Verify tag count and location of type CTR B (1 wall rows)</t>
  </si>
  <si>
    <t xml:space="preserve">16/28</t>
  </si>
  <si>
    <t xml:space="preserve">CTR C</t>
  </si>
  <si>
    <t xml:space="preserve">Verify tag count and location of type CTR C (1 wall rows)</t>
  </si>
  <si>
    <t xml:space="preserve">17/28</t>
  </si>
  <si>
    <t xml:space="preserve">CTR D</t>
  </si>
  <si>
    <t xml:space="preserve">Verify tag count and location of type CTR D (1 wall rows); PENDING rows: CA-D</t>
  </si>
  <si>
    <t xml:space="preserve">18/28</t>
  </si>
  <si>
    <t xml:space="preserve">Detail</t>
  </si>
  <si>
    <t xml:space="preserve">Exterior wall details 1, 1A, 1B, 1C (scope Alt A)</t>
  </si>
  <si>
    <t xml:space="preserve">1/A-410</t>
  </si>
  <si>
    <t xml:space="preserve">p6_z0.7.png</t>
  </si>
  <si>
    <t xml:space="preserve">19/28</t>
  </si>
  <si>
    <t xml:space="preserve">Type 2 layers, W.R. wet side, deflection track</t>
  </si>
  <si>
    <t xml:space="preserve">2/A-410</t>
  </si>
  <si>
    <t xml:space="preserve">20/28</t>
  </si>
  <si>
    <t xml:space="preserve">Type 3 partial height, stud schedule (gauge)</t>
  </si>
  <si>
    <t xml:space="preserve">3/A-410</t>
  </si>
  <si>
    <t xml:space="preserve">21/28</t>
  </si>
  <si>
    <t xml:space="preserve">Type 4 partial height, slip track</t>
  </si>
  <si>
    <t xml:space="preserve">4/A-410</t>
  </si>
  <si>
    <t xml:space="preserve">22/28</t>
  </si>
  <si>
    <t xml:space="preserve">Type 5 and lateral bracing / clip angles</t>
  </si>
  <si>
    <t xml:space="preserve">5/A-410</t>
  </si>
  <si>
    <t xml:space="preserve">23/28</t>
  </si>
  <si>
    <t xml:space="preserve">Fastener notes 8.A-8.F, fire stop TYP</t>
  </si>
  <si>
    <t xml:space="preserve">8/A-410</t>
  </si>
  <si>
    <t xml:space="preserve">24/28</t>
  </si>
  <si>
    <t xml:space="preserve">Moment clip base connection</t>
  </si>
  <si>
    <t xml:space="preserve">A/A-410</t>
  </si>
  <si>
    <t xml:space="preserve">25/28</t>
  </si>
  <si>
    <t xml:space="preserve">Vestibule framing plan</t>
  </si>
  <si>
    <t xml:space="preserve">1/A-210</t>
  </si>
  <si>
    <t xml:space="preserve">see 1B_log.md</t>
  </si>
  <si>
    <t xml:space="preserve">26/28</t>
  </si>
  <si>
    <t xml:space="preserve">Vestibule column / beam details</t>
  </si>
  <si>
    <t xml:space="preserve">8/A-210</t>
  </si>
  <si>
    <t xml:space="preserve">27/28</t>
  </si>
  <si>
    <t xml:space="preserve">Section G wall layers per face</t>
  </si>
  <si>
    <t xml:space="preserve">G/A-221</t>
  </si>
  <si>
    <t xml:space="preserve">28/28</t>
  </si>
  <si>
    <t xml:space="preserve">Janitor 3/4" FRT plywood area</t>
  </si>
  <si>
    <t xml:space="preserve">11/A-200</t>
  </si>
  <si>
    <t xml:space="preserve">Scope ID</t>
  </si>
  <si>
    <t xml:space="preserve">Scope</t>
  </si>
  <si>
    <t xml:space="preserve">Note (quantity, NOT APPLICABLE + sheet, or RFI)</t>
  </si>
  <si>
    <t xml:space="preserve">ALC-01</t>
  </si>
  <si>
    <t xml:space="preserve">Interior partition framing (types 2, 3, 4, 5, cafe/workroom tags)</t>
  </si>
  <si>
    <t xml:space="preserve">QUANTIFIED</t>
  </si>
  <si>
    <t xml:space="preserve">Partition Takeoff, 2-5/A-410, 1/A-101, 1/A-221</t>
  </si>
  <si>
    <t xml:space="preserve">ALC-02</t>
  </si>
  <si>
    <t xml:space="preserve">Existing exterior walls (types 1, 1A, 1B, 1C)</t>
  </si>
  <si>
    <t xml:space="preserve">Existing walls; tenant GWB face only (Alt A) not in totals, RFI-B02, RFI-C05, 1-1C/A-410</t>
  </si>
  <si>
    <t xml:space="preserve">ALC-03</t>
  </si>
  <si>
    <t xml:space="preserve">Header track at door openings</t>
  </si>
  <si>
    <t xml:space="preserve">R80e.34 #4, A-500, 1/A-101 (RFI-B21)</t>
  </si>
  <si>
    <t xml:space="preserve">ALC-04</t>
  </si>
  <si>
    <t xml:space="preserve">Nested stud bracing and clip angles</t>
  </si>
  <si>
    <t xml:space="preserve">note 4/A-410, 5/A-410 (RFI-C02)</t>
  </si>
  <si>
    <t xml:space="preserve">ALC-05</t>
  </si>
  <si>
    <t xml:space="preserve">Blocking and FRT plywood backing</t>
  </si>
  <si>
    <t xml:space="preserve">Receiving table quantified; steel shelving, office, kitchenette, menu board PENDING (RFI-B08), 7/A-413, 12/A-412, 6/A-412</t>
  </si>
  <si>
    <t xml:space="preserve">ALC-06</t>
  </si>
  <si>
    <t xml:space="preserve">Gypsum board 5/8" regular, W.R., cement board, FRT plywood</t>
  </si>
  <si>
    <t xml:space="preserve">Material Summary, 2/A-410, 22/A-201, 1/A-221</t>
  </si>
  <si>
    <t xml:space="preserve">ALC-07</t>
  </si>
  <si>
    <t xml:space="preserve">Type X gypsum board</t>
  </si>
  <si>
    <t xml:space="preserve">RFI-C03, A-001A Div 09</t>
  </si>
  <si>
    <t xml:space="preserve">ALC-08</t>
  </si>
  <si>
    <t xml:space="preserve">GWB ceilings and soffits</t>
  </si>
  <si>
    <t xml:space="preserve">1/A-121, 2/A-221, 3/A-221 (zones PENDING, RFI-B11, RFI-B14)</t>
  </si>
  <si>
    <t xml:space="preserve">ALC-09</t>
  </si>
  <si>
    <t xml:space="preserve">Acoustical ceilings ACT-1 / ACT-3</t>
  </si>
  <si>
    <t xml:space="preserve">NOT APPLICABLE</t>
  </si>
  <si>
    <t xml:space="preserve">Ceiling sub, 1/A-121</t>
  </si>
  <si>
    <t xml:space="preserve">ALC-10</t>
  </si>
  <si>
    <t xml:space="preserve">Ceiling sound blankets 3-1/2"</t>
  </si>
  <si>
    <t xml:space="preserve">480 SF not carried, RFI-B17, 2/A-410, 1/A-101 table</t>
  </si>
  <si>
    <t xml:space="preserve">ALC-11</t>
  </si>
  <si>
    <t xml:space="preserve">Wall insulation Thermafiber SAFB</t>
  </si>
  <si>
    <t xml:space="preserve">2/A-410, 5/A-410 (RFI-B05)</t>
  </si>
  <si>
    <t xml:space="preserve">ALC-12</t>
  </si>
  <si>
    <t xml:space="preserve">Exterior R-21 batt and vapor barrier</t>
  </si>
  <si>
    <t xml:space="preserve">Landlord scope, A-002 (RFI-01)</t>
  </si>
  <si>
    <t xml:space="preserve">ALC-13</t>
  </si>
  <si>
    <t xml:space="preserve">FRP panels and PVC trim (J-mold, division bars)</t>
  </si>
  <si>
    <t xml:space="preserve">1/A-225, 9-12/A-200 (RFI-B09, R80e.36)</t>
  </si>
  <si>
    <t xml:space="preserve">ALC-14</t>
  </si>
  <si>
    <t xml:space="preserve">Corner bead, control joints, corner guards</t>
  </si>
  <si>
    <t xml:space="preserve">R73.13, R80e.34 #8; C22 stock-room guards PENDING (1/A-101 C22)</t>
  </si>
  <si>
    <t xml:space="preserve">ALC-15</t>
  </si>
  <si>
    <t xml:space="preserve">L/J-bead, reveals, shadow molds</t>
  </si>
  <si>
    <t xml:space="preserve">No edge details drawn, RFI-B18, A-001A Div 05</t>
  </si>
  <si>
    <t xml:space="preserve">ALC-16</t>
  </si>
  <si>
    <t xml:space="preserve">Fire stop track at ceiling line</t>
  </si>
  <si>
    <t xml:space="preserve">8/A-410 TYP (RFI-B19)</t>
  </si>
  <si>
    <t xml:space="preserve">ALC-17</t>
  </si>
  <si>
    <t xml:space="preserve">Acoustical sealant at runners; firestop sealants</t>
  </si>
  <si>
    <t xml:space="preserve">Clarifications only; sealants TC / firestop LL per A-002</t>
  </si>
  <si>
    <t xml:space="preserve">ALC-18</t>
  </si>
  <si>
    <t xml:space="preserve">Fasteners (screws, pins, anchors)</t>
  </si>
  <si>
    <t xml:space="preserve">Material Summary FASTENER rows; 8.A-8.F/A-410</t>
  </si>
  <si>
    <t xml:space="preserve">ALC-19</t>
  </si>
  <si>
    <t xml:space="preserve">Expansion anchors for exterior bottom track</t>
  </si>
  <si>
    <t xml:space="preserve">No tenant exterior framing (Alt A), 1-1C/A-410</t>
  </si>
  <si>
    <t xml:space="preserve">ALC-20</t>
  </si>
  <si>
    <t xml:space="preserve">Fixture installs BY GC / fixture installer</t>
  </si>
  <si>
    <t xml:space="preserve">R80e.34 #11, 1/A-111</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</si>
</sst>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3"/>
      <name val="Cambria"/>
      <family val="0"/>
      <charset val="1"/>
    </font>
    <font>
      <b val="true"/>
      <sz val="11"/>
      <color rgb="FFFFFFFF"/>
      <name val="Cambria"/>
      <family val="0"/>
      <charset val="1"/>
    </font>
    <font>
      <b val="true"/>
      <sz val="11"/>
      <name val="Cambria"/>
      <family val="0"/>
      <charset val="1"/>
    </font>
  </fonts>
  <fills count="5">
    <fill>
      <patternFill patternType="none"/>
    </fill>
    <fill>
      <patternFill patternType="gray125"/>
    </fill>
    <fill>
      <patternFill patternType="solid">
        <fgColor rgb="FF1F4E78"/>
        <bgColor rgb="FF003366"/>
      </patternFill>
    </fill>
    <fill>
      <patternFill patternType="solid">
        <fgColor rgb="FFFFF2CC"/>
        <bgColor rgb="FFFFFFFF"/>
      </patternFill>
    </fill>
    <fill>
      <patternFill patternType="solid">
        <fgColor rgb="FFDDEBF7"/>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22"/>
    <col collapsed="false" customWidth="true" hidden="false" outlineLevel="0" max="3" min="3" style="0" width="60"/>
  </cols>
  <sheetData>
    <row r="1" customFormat="false" ht="16.15" hidden="false" customHeight="false" outlineLevel="0" collapsed="false">
      <c r="A1" s="1" t="s">
        <v>0</v>
      </c>
    </row>
    <row r="2" customFormat="false" ht="15" hidden="false" customHeight="false" outlineLevel="0" collapsed="false">
      <c r="A2" s="0" t="s">
        <v>1</v>
      </c>
    </row>
    <row r="4" customFormat="false" ht="15" hidden="false" customHeight="false" outlineLevel="0" collapsed="false">
      <c r="A4" s="2" t="s">
        <v>2</v>
      </c>
      <c r="B4" s="2" t="s">
        <v>3</v>
      </c>
      <c r="C4" s="2" t="s">
        <v>4</v>
      </c>
    </row>
    <row r="5" customFormat="false" ht="15" hidden="false" customHeight="false" outlineLevel="0" collapsed="false">
      <c r="A5" s="0" t="s">
        <v>5</v>
      </c>
      <c r="B5" s="3" t="n">
        <v>0.15</v>
      </c>
      <c r="C5" s="4" t="s">
        <v>6</v>
      </c>
    </row>
    <row r="6" customFormat="false" ht="15" hidden="false" customHeight="false" outlineLevel="0" collapsed="false">
      <c r="A6" s="0" t="s">
        <v>7</v>
      </c>
      <c r="B6" s="3" t="n">
        <v>0.06</v>
      </c>
      <c r="C6" s="4" t="s">
        <v>8</v>
      </c>
    </row>
    <row r="7" customFormat="false" ht="15" hidden="false" customHeight="false" outlineLevel="0" collapsed="false">
      <c r="A7" s="0" t="s">
        <v>9</v>
      </c>
      <c r="B7" s="3" t="n">
        <v>4</v>
      </c>
      <c r="C7" s="4" t="s">
        <v>10</v>
      </c>
    </row>
    <row r="8" customFormat="false" ht="15" hidden="false" customHeight="false" outlineLevel="0" collapsed="false">
      <c r="A8" s="0" t="s">
        <v>11</v>
      </c>
      <c r="B8" s="3" t="n">
        <v>12</v>
      </c>
      <c r="C8" s="4" t="s">
        <v>12</v>
      </c>
    </row>
    <row r="9" customFormat="false" ht="15" hidden="false" customHeight="false" outlineLevel="0" collapsed="false">
      <c r="A9" s="0" t="s">
        <v>13</v>
      </c>
      <c r="B9" s="0" t="n">
        <f aca="false">B7*B8</f>
        <v>48</v>
      </c>
      <c r="C9" s="0" t="s">
        <v>14</v>
      </c>
    </row>
    <row r="10" customFormat="false" ht="15" hidden="false" customHeight="false" outlineLevel="0" collapsed="false">
      <c r="A10" s="0" t="s">
        <v>15</v>
      </c>
      <c r="B10" s="3" t="n">
        <v>24</v>
      </c>
      <c r="C10" s="4" t="s">
        <v>16</v>
      </c>
    </row>
    <row r="11" customFormat="false" ht="15" hidden="false" customHeight="false" outlineLevel="0" collapsed="false">
      <c r="A11" s="0" t="s">
        <v>17</v>
      </c>
      <c r="B11" s="3" t="n">
        <v>10</v>
      </c>
      <c r="C11" s="4" t="s">
        <v>18</v>
      </c>
    </row>
    <row r="12" customFormat="false" ht="15" hidden="false" customHeight="false" outlineLevel="0" collapsed="false">
      <c r="A12" s="0" t="s">
        <v>19</v>
      </c>
      <c r="B12" s="0" t="s">
        <v>20</v>
      </c>
      <c r="C12" s="0" t="s">
        <v>21</v>
      </c>
    </row>
    <row r="13" customFormat="false" ht="15" hidden="false" customHeight="false" outlineLevel="0" collapsed="false">
      <c r="A13" s="0" t="s">
        <v>22</v>
      </c>
      <c r="B13" s="0" t="s">
        <v>20</v>
      </c>
      <c r="C13" s="0" t="s">
        <v>21</v>
      </c>
    </row>
    <row r="14" customFormat="false" ht="15" hidden="false" customHeight="false" outlineLevel="0" collapsed="false">
      <c r="A14" s="0" t="s">
        <v>23</v>
      </c>
      <c r="B14" s="0" t="s">
        <v>20</v>
      </c>
      <c r="C14" s="0" t="s">
        <v>21</v>
      </c>
    </row>
    <row r="15" customFormat="false" ht="15" hidden="false" customHeight="false" outlineLevel="0" collapsed="false">
      <c r="A15" s="0" t="s">
        <v>24</v>
      </c>
      <c r="B15" s="3" t="n">
        <v>25</v>
      </c>
      <c r="C15" s="4" t="s">
        <v>25</v>
      </c>
    </row>
    <row r="16" customFormat="false" ht="15" hidden="false" customHeight="false" outlineLevel="0" collapsed="false">
      <c r="A16" s="0" t="s">
        <v>26</v>
      </c>
      <c r="B16" s="3" t="n">
        <v>16</v>
      </c>
      <c r="C16" s="4" t="s">
        <v>27</v>
      </c>
    </row>
    <row r="17" customFormat="false" ht="15" hidden="false" customHeight="false" outlineLevel="0" collapsed="false">
      <c r="A17" s="0" t="s">
        <v>28</v>
      </c>
      <c r="B17" s="3" t="n">
        <v>12</v>
      </c>
      <c r="C17" s="4" t="s">
        <v>29</v>
      </c>
    </row>
    <row r="18" customFormat="false" ht="15" hidden="false" customHeight="false" outlineLevel="0" collapsed="false">
      <c r="A18" s="0" t="s">
        <v>30</v>
      </c>
      <c r="B18" s="3" t="n">
        <v>10</v>
      </c>
      <c r="C18" s="4" t="s">
        <v>31</v>
      </c>
    </row>
    <row r="19" customFormat="false" ht="15" hidden="false" customHeight="false" outlineLevel="0" collapsed="false">
      <c r="A19" s="0" t="s">
        <v>32</v>
      </c>
      <c r="B19" s="3" t="s">
        <v>33</v>
      </c>
      <c r="C19" s="4" t="s">
        <v>34</v>
      </c>
    </row>
    <row r="20" customFormat="false" ht="15" hidden="false" customHeight="false" outlineLevel="0" collapsed="false">
      <c r="A20" s="0" t="s">
        <v>35</v>
      </c>
      <c r="B20" s="3" t="n">
        <v>1.2</v>
      </c>
      <c r="C20" s="4" t="s">
        <v>36</v>
      </c>
    </row>
    <row r="21" customFormat="false" ht="15" hidden="false" customHeight="false" outlineLevel="0" collapsed="false">
      <c r="A21" s="0" t="s">
        <v>37</v>
      </c>
      <c r="B21" s="3" t="n">
        <v>4</v>
      </c>
      <c r="C21" s="4" t="s">
        <v>38</v>
      </c>
    </row>
    <row r="22" customFormat="false" ht="15" hidden="false" customHeight="false" outlineLevel="0" collapsed="false">
      <c r="A22" s="0" t="s">
        <v>39</v>
      </c>
      <c r="B22" s="3" t="n">
        <v>1.33333333333333</v>
      </c>
      <c r="C22" s="4" t="s">
        <v>40</v>
      </c>
    </row>
    <row r="23" customFormat="false" ht="15" hidden="false" customHeight="false" outlineLevel="0" collapsed="false">
      <c r="A23" s="0" t="s">
        <v>41</v>
      </c>
      <c r="B23" s="3" t="n">
        <v>0.072</v>
      </c>
      <c r="C23" s="4" t="s">
        <v>42</v>
      </c>
    </row>
    <row r="24" customFormat="false" ht="15" hidden="false" customHeight="false" outlineLevel="0" collapsed="false">
      <c r="A24" s="0" t="s">
        <v>43</v>
      </c>
      <c r="B24" s="3" t="n">
        <v>0.37</v>
      </c>
      <c r="C24" s="4" t="s">
        <v>44</v>
      </c>
    </row>
    <row r="25" customFormat="false" ht="15" hidden="false" customHeight="false" outlineLevel="0" collapsed="false">
      <c r="A25" s="0" t="s">
        <v>45</v>
      </c>
      <c r="B25" s="3" t="n">
        <v>0.666666666666667</v>
      </c>
      <c r="C25" s="4" t="s">
        <v>46</v>
      </c>
    </row>
    <row r="26" customFormat="false" ht="15" hidden="false" customHeight="false" outlineLevel="0" collapsed="false">
      <c r="A26" s="0" t="s">
        <v>47</v>
      </c>
      <c r="B26" s="3" t="n">
        <v>16</v>
      </c>
      <c r="C26" s="4" t="s">
        <v>48</v>
      </c>
    </row>
    <row r="27" customFormat="false" ht="15" hidden="false" customHeight="false" outlineLevel="0" collapsed="false">
      <c r="A27" s="0" t="s">
        <v>49</v>
      </c>
      <c r="B27" s="3" t="n">
        <v>12</v>
      </c>
      <c r="C27" s="4" t="s">
        <v>50</v>
      </c>
    </row>
    <row r="28" customFormat="false" ht="15" hidden="false" customHeight="false" outlineLevel="0" collapsed="false">
      <c r="A28" s="0" t="s">
        <v>51</v>
      </c>
      <c r="B28" s="3" t="n">
        <v>4</v>
      </c>
      <c r="C28" s="4" t="s">
        <v>52</v>
      </c>
    </row>
    <row r="29" customFormat="false" ht="15" hidden="false" customHeight="false" outlineLevel="0" collapsed="false">
      <c r="A29" s="0" t="s">
        <v>53</v>
      </c>
      <c r="B29" s="3" t="n">
        <v>12</v>
      </c>
      <c r="C29" s="4" t="s">
        <v>54</v>
      </c>
    </row>
    <row r="30" customFormat="false" ht="15" hidden="false" customHeight="false" outlineLevel="0" collapsed="false">
      <c r="A30" s="0" t="s">
        <v>55</v>
      </c>
      <c r="B30" s="3" t="n">
        <v>40</v>
      </c>
      <c r="C30" s="4" t="s">
        <v>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34"/>
    <col collapsed="false" customWidth="true" hidden="false" outlineLevel="0" max="3" min="3" style="0" width="60"/>
    <col collapsed="false" customWidth="true" hidden="false" outlineLevel="0" max="4" min="4" style="0" width="13"/>
    <col collapsed="false" customWidth="true" hidden="false" outlineLevel="0" max="5" min="5" style="0" width="10"/>
    <col collapsed="false" customWidth="true" hidden="false" outlineLevel="0" max="6" min="6" style="0" width="15"/>
    <col collapsed="false" customWidth="true" hidden="false" outlineLevel="0" max="7" min="7" style="0" width="16"/>
    <col collapsed="false" customWidth="true" hidden="false" outlineLevel="0" max="9" min="8" style="0" width="60"/>
    <col collapsed="false" customWidth="true" hidden="false" outlineLevel="0" max="10" min="10" style="0" width="23"/>
    <col collapsed="false" customWidth="true" hidden="false" outlineLevel="0" max="11" min="11" style="0" width="11"/>
  </cols>
  <sheetData>
    <row r="1" customFormat="false" ht="16.15" hidden="false" customHeight="false" outlineLevel="0" collapsed="false">
      <c r="A1" s="1" t="s">
        <v>57</v>
      </c>
    </row>
    <row r="2" customFormat="false" ht="15" hidden="false" customHeight="false" outlineLevel="0" collapsed="false">
      <c r="A2" s="0" t="s">
        <v>58</v>
      </c>
    </row>
    <row r="4" customFormat="false" ht="15" hidden="false" customHeight="false" outlineLevel="0" collapsed="false">
      <c r="A4" s="2" t="s">
        <v>59</v>
      </c>
      <c r="B4" s="2" t="s">
        <v>60</v>
      </c>
      <c r="C4" s="2" t="s">
        <v>61</v>
      </c>
      <c r="D4" s="2" t="s">
        <v>62</v>
      </c>
      <c r="E4" s="2" t="s">
        <v>63</v>
      </c>
      <c r="F4" s="2" t="s">
        <v>64</v>
      </c>
      <c r="G4" s="2" t="s">
        <v>65</v>
      </c>
      <c r="H4" s="2" t="s">
        <v>66</v>
      </c>
      <c r="I4" s="2" t="s">
        <v>67</v>
      </c>
      <c r="J4" s="2" t="s">
        <v>68</v>
      </c>
      <c r="K4" s="2" t="s">
        <v>69</v>
      </c>
    </row>
    <row r="5" customFormat="false" ht="15" hidden="false" customHeight="false" outlineLevel="0" collapsed="false">
      <c r="A5" s="5" t="s">
        <v>70</v>
      </c>
    </row>
    <row r="6" customFormat="false" ht="15" hidden="false" customHeight="false" outlineLevel="0" collapsed="false">
      <c r="A6" s="0" t="s">
        <v>71</v>
      </c>
      <c r="B6" s="0" t="s">
        <v>72</v>
      </c>
      <c r="C6" s="0" t="n">
        <v>81</v>
      </c>
      <c r="D6" s="0" t="n">
        <v>23.667</v>
      </c>
      <c r="E6" s="0" t="n">
        <v>2</v>
      </c>
      <c r="F6" s="0" t="s">
        <v>73</v>
      </c>
      <c r="G6" s="0" t="n">
        <v>16</v>
      </c>
      <c r="H6" s="0" t="n">
        <v>3778</v>
      </c>
      <c r="I6" s="0" t="s">
        <v>74</v>
      </c>
      <c r="J6" s="0" t="s">
        <v>75</v>
      </c>
      <c r="K6" s="0" t="s">
        <v>76</v>
      </c>
    </row>
    <row r="7" customFormat="false" ht="15" hidden="false" customHeight="false" outlineLevel="0" collapsed="false">
      <c r="A7" s="0" t="s">
        <v>77</v>
      </c>
      <c r="B7" s="0" t="s">
        <v>78</v>
      </c>
      <c r="C7" s="0" t="n">
        <v>12.917</v>
      </c>
      <c r="D7" s="0" t="n">
        <v>23.667</v>
      </c>
      <c r="E7" s="0" t="n">
        <v>2</v>
      </c>
      <c r="F7" s="0" t="s">
        <v>73</v>
      </c>
      <c r="G7" s="0" t="n">
        <v>16</v>
      </c>
      <c r="H7" s="0" t="n">
        <v>428.4</v>
      </c>
      <c r="I7" s="0" t="s">
        <v>79</v>
      </c>
      <c r="J7" s="0" t="s">
        <v>75</v>
      </c>
      <c r="K7" s="0" t="s">
        <v>76</v>
      </c>
    </row>
    <row r="8" customFormat="false" ht="15" hidden="false" customHeight="false" outlineLevel="0" collapsed="false">
      <c r="A8" s="0" t="s">
        <v>80</v>
      </c>
      <c r="B8" s="0" t="s">
        <v>81</v>
      </c>
      <c r="C8" s="0" t="n">
        <v>56.83</v>
      </c>
      <c r="D8" s="0" t="n">
        <v>23</v>
      </c>
      <c r="E8" s="0" t="n">
        <v>2</v>
      </c>
      <c r="F8" s="0" t="s">
        <v>73</v>
      </c>
      <c r="G8" s="0" t="n">
        <v>16</v>
      </c>
      <c r="H8" s="0" t="n">
        <v>1805</v>
      </c>
      <c r="I8" s="0" t="s">
        <v>82</v>
      </c>
      <c r="J8" s="0" t="s">
        <v>75</v>
      </c>
      <c r="K8" s="0" t="s">
        <v>76</v>
      </c>
    </row>
    <row r="9" customFormat="false" ht="15" hidden="false" customHeight="false" outlineLevel="0" collapsed="false">
      <c r="A9" s="0" t="s">
        <v>83</v>
      </c>
      <c r="B9" s="0" t="s">
        <v>84</v>
      </c>
      <c r="C9" s="0" t="n">
        <v>7.5</v>
      </c>
      <c r="D9" s="0" t="n">
        <v>23</v>
      </c>
      <c r="E9" s="0" t="n">
        <v>2</v>
      </c>
      <c r="F9" s="0" t="s">
        <v>73</v>
      </c>
      <c r="G9" s="0" t="n">
        <v>16</v>
      </c>
      <c r="H9" s="0" t="n">
        <v>142.6</v>
      </c>
      <c r="I9" s="0" t="s">
        <v>85</v>
      </c>
      <c r="J9" s="0" t="s">
        <v>86</v>
      </c>
      <c r="K9" s="0" t="s">
        <v>76</v>
      </c>
    </row>
    <row r="10" customFormat="false" ht="15" hidden="false" customHeight="false" outlineLevel="0" collapsed="false">
      <c r="A10" s="0" t="s">
        <v>87</v>
      </c>
      <c r="B10" s="0" t="s">
        <v>88</v>
      </c>
      <c r="C10" s="0" t="n">
        <v>6.917</v>
      </c>
      <c r="D10" s="0" t="n">
        <v>23</v>
      </c>
      <c r="E10" s="0" t="n">
        <v>2</v>
      </c>
      <c r="F10" s="0" t="s">
        <v>73</v>
      </c>
      <c r="G10" s="0" t="n">
        <v>16</v>
      </c>
      <c r="H10" s="0" t="n">
        <v>84.7</v>
      </c>
      <c r="I10" s="0" t="s">
        <v>89</v>
      </c>
      <c r="J10" s="0" t="s">
        <v>75</v>
      </c>
      <c r="K10" s="0" t="s">
        <v>76</v>
      </c>
    </row>
    <row r="11" customFormat="false" ht="15" hidden="false" customHeight="false" outlineLevel="0" collapsed="false">
      <c r="A11" s="0" t="s">
        <v>90</v>
      </c>
      <c r="B11" s="0" t="s">
        <v>91</v>
      </c>
      <c r="C11" s="0" t="n">
        <v>4</v>
      </c>
      <c r="D11" s="0" t="n">
        <v>23</v>
      </c>
      <c r="E11" s="0" t="n">
        <v>2</v>
      </c>
      <c r="F11" s="0" t="s">
        <v>73</v>
      </c>
      <c r="G11" s="0" t="n">
        <v>16</v>
      </c>
      <c r="H11" s="0" t="n">
        <v>76</v>
      </c>
      <c r="I11" s="0" t="s">
        <v>92</v>
      </c>
      <c r="J11" s="0" t="s">
        <v>86</v>
      </c>
      <c r="K11" s="0" t="s">
        <v>76</v>
      </c>
    </row>
    <row r="12" customFormat="false" ht="15" hidden="false" customHeight="false" outlineLevel="0" collapsed="false">
      <c r="A12" s="0" t="s">
        <v>93</v>
      </c>
      <c r="B12" s="0" t="s">
        <v>94</v>
      </c>
      <c r="C12" s="0" t="n">
        <v>2.666</v>
      </c>
      <c r="D12" s="0" t="n">
        <v>23</v>
      </c>
      <c r="E12" s="0" t="n">
        <v>2</v>
      </c>
      <c r="F12" s="0" t="s">
        <v>73</v>
      </c>
      <c r="G12" s="0" t="n">
        <v>16</v>
      </c>
      <c r="H12" s="0" t="n">
        <v>50.7</v>
      </c>
      <c r="I12" s="0" t="s">
        <v>95</v>
      </c>
      <c r="J12" s="0" t="s">
        <v>75</v>
      </c>
      <c r="K12" s="0" t="s">
        <v>76</v>
      </c>
    </row>
    <row r="13" customFormat="false" ht="15" hidden="false" customHeight="false" outlineLevel="0" collapsed="false">
      <c r="A13" s="0" t="s">
        <v>96</v>
      </c>
      <c r="B13" s="0" t="s">
        <v>97</v>
      </c>
      <c r="C13" s="0" t="n">
        <v>6.917</v>
      </c>
      <c r="D13" s="0" t="n">
        <v>23</v>
      </c>
      <c r="E13" s="0" t="n">
        <v>2</v>
      </c>
      <c r="F13" s="0" t="s">
        <v>73</v>
      </c>
      <c r="G13" s="0" t="n">
        <v>16</v>
      </c>
      <c r="H13" s="0" t="n">
        <v>84.7</v>
      </c>
      <c r="I13" s="0" t="s">
        <v>98</v>
      </c>
      <c r="J13" s="0" t="s">
        <v>75</v>
      </c>
      <c r="K13" s="0" t="s">
        <v>76</v>
      </c>
    </row>
    <row r="14" customFormat="false" ht="15" hidden="false" customHeight="false" outlineLevel="0" collapsed="false">
      <c r="A14" s="0" t="s">
        <v>99</v>
      </c>
      <c r="B14" s="0" t="s">
        <v>100</v>
      </c>
      <c r="C14" s="0" t="n">
        <v>7.5</v>
      </c>
      <c r="D14" s="0" t="n">
        <v>23</v>
      </c>
      <c r="E14" s="0" t="n">
        <v>2</v>
      </c>
      <c r="F14" s="0" t="s">
        <v>73</v>
      </c>
      <c r="G14" s="0" t="n">
        <v>16</v>
      </c>
      <c r="H14" s="0" t="n">
        <v>243.8</v>
      </c>
      <c r="I14" s="0" t="s">
        <v>101</v>
      </c>
      <c r="J14" s="0" t="s">
        <v>86</v>
      </c>
      <c r="K14" s="0" t="s">
        <v>76</v>
      </c>
    </row>
    <row r="15" customFormat="false" ht="15" hidden="false" customHeight="false" outlineLevel="0" collapsed="false">
      <c r="A15" s="0" t="s">
        <v>102</v>
      </c>
      <c r="B15" s="0" t="s">
        <v>103</v>
      </c>
      <c r="C15" s="0" t="n">
        <v>4</v>
      </c>
      <c r="D15" s="0" t="n">
        <v>23</v>
      </c>
      <c r="E15" s="0" t="n">
        <v>2</v>
      </c>
      <c r="F15" s="0" t="s">
        <v>73</v>
      </c>
      <c r="G15" s="0" t="n">
        <v>16</v>
      </c>
      <c r="H15" s="0" t="n">
        <v>88</v>
      </c>
      <c r="I15" s="0" t="s">
        <v>104</v>
      </c>
      <c r="J15" s="0" t="s">
        <v>86</v>
      </c>
      <c r="K15" s="0" t="s">
        <v>76</v>
      </c>
    </row>
    <row r="16" customFormat="false" ht="15" hidden="false" customHeight="false" outlineLevel="0" collapsed="false">
      <c r="A16" s="0" t="s">
        <v>105</v>
      </c>
      <c r="B16" s="0" t="s">
        <v>106</v>
      </c>
      <c r="C16" s="0" t="n">
        <v>5.417</v>
      </c>
      <c r="D16" s="0" t="n">
        <v>23</v>
      </c>
      <c r="E16" s="0" t="n">
        <v>2</v>
      </c>
      <c r="F16" s="0" t="s">
        <v>73</v>
      </c>
      <c r="G16" s="0" t="n">
        <v>16</v>
      </c>
      <c r="H16" s="0" t="n">
        <v>60.9</v>
      </c>
      <c r="I16" s="0" t="s">
        <v>107</v>
      </c>
      <c r="J16" s="0" t="s">
        <v>75</v>
      </c>
      <c r="K16" s="0" t="s">
        <v>76</v>
      </c>
    </row>
    <row r="17" customFormat="false" ht="15" hidden="false" customHeight="false" outlineLevel="0" collapsed="false">
      <c r="A17" s="0" t="s">
        <v>108</v>
      </c>
      <c r="B17" s="0" t="s">
        <v>109</v>
      </c>
      <c r="C17" s="0" t="n">
        <v>7.5</v>
      </c>
      <c r="D17" s="0" t="n">
        <v>23</v>
      </c>
      <c r="E17" s="0" t="n">
        <v>2</v>
      </c>
      <c r="F17" s="0" t="s">
        <v>73</v>
      </c>
      <c r="G17" s="0" t="n">
        <v>16</v>
      </c>
      <c r="H17" s="0" t="n">
        <v>243.7</v>
      </c>
      <c r="I17" s="0" t="s">
        <v>110</v>
      </c>
      <c r="J17" s="0" t="s">
        <v>86</v>
      </c>
      <c r="K17" s="0" t="s">
        <v>76</v>
      </c>
    </row>
    <row r="18" customFormat="false" ht="15" hidden="false" customHeight="false" outlineLevel="0" collapsed="false">
      <c r="A18" s="0" t="s">
        <v>111</v>
      </c>
      <c r="B18" s="0" t="s">
        <v>112</v>
      </c>
      <c r="C18" s="0" t="n">
        <v>12.917</v>
      </c>
      <c r="D18" s="0" t="n">
        <v>23</v>
      </c>
      <c r="E18" s="0" t="n">
        <v>2</v>
      </c>
      <c r="F18" s="0" t="s">
        <v>73</v>
      </c>
      <c r="G18" s="0" t="n">
        <v>16</v>
      </c>
      <c r="H18" s="0" t="n">
        <v>203.4</v>
      </c>
      <c r="I18" s="0" t="s">
        <v>113</v>
      </c>
      <c r="J18" s="0" t="s">
        <v>75</v>
      </c>
      <c r="K18" s="0" t="s">
        <v>76</v>
      </c>
    </row>
    <row r="19" customFormat="false" ht="15" hidden="false" customHeight="false" outlineLevel="0" collapsed="false">
      <c r="A19" s="0" t="s">
        <v>114</v>
      </c>
      <c r="B19" s="0" t="s">
        <v>115</v>
      </c>
      <c r="C19" s="0" t="n">
        <v>48.75</v>
      </c>
      <c r="D19" s="0" t="n">
        <v>23</v>
      </c>
      <c r="E19" s="0" t="n">
        <v>2</v>
      </c>
      <c r="F19" s="0" t="s">
        <v>73</v>
      </c>
      <c r="G19" s="0" t="n">
        <v>16</v>
      </c>
      <c r="H19" s="0" t="n">
        <v>2200.5</v>
      </c>
      <c r="I19" s="0" t="s">
        <v>116</v>
      </c>
      <c r="J19" s="0" t="s">
        <v>75</v>
      </c>
      <c r="K19" s="0" t="s">
        <v>76</v>
      </c>
    </row>
    <row r="20" customFormat="false" ht="15" hidden="false" customHeight="false" outlineLevel="0" collapsed="false">
      <c r="A20" s="0" t="s">
        <v>117</v>
      </c>
      <c r="B20" s="0" t="s">
        <v>118</v>
      </c>
      <c r="C20" s="0" t="n">
        <v>5</v>
      </c>
      <c r="D20" s="0" t="n">
        <v>23</v>
      </c>
      <c r="E20" s="0" t="n">
        <v>2</v>
      </c>
      <c r="F20" s="0" t="s">
        <v>73</v>
      </c>
      <c r="G20" s="0" t="n">
        <v>16</v>
      </c>
      <c r="H20" s="0" t="n">
        <v>230</v>
      </c>
      <c r="I20" s="0" t="s">
        <v>119</v>
      </c>
      <c r="J20" s="0" t="s">
        <v>75</v>
      </c>
      <c r="K20" s="0" t="s">
        <v>76</v>
      </c>
    </row>
    <row r="21" customFormat="false" ht="15" hidden="false" customHeight="false" outlineLevel="0" collapsed="false">
      <c r="B21" s="6" t="s">
        <v>120</v>
      </c>
      <c r="C21" s="4" t="n">
        <f aca="false">SUM(C6:C20)</f>
        <v>269.831</v>
      </c>
      <c r="H21" s="4" t="n">
        <f aca="false">SUM(H6:H20)</f>
        <v>9720.4</v>
      </c>
    </row>
    <row r="22" customFormat="false" ht="15" hidden="false" customHeight="false" outlineLevel="0" collapsed="false">
      <c r="A22" s="5" t="s">
        <v>121</v>
      </c>
    </row>
    <row r="23" customFormat="false" ht="15" hidden="false" customHeight="false" outlineLevel="0" collapsed="false">
      <c r="A23" s="0" t="s">
        <v>122</v>
      </c>
      <c r="B23" s="0" t="s">
        <v>123</v>
      </c>
      <c r="C23" s="0" t="n">
        <v>19.333</v>
      </c>
      <c r="D23" s="0" t="n">
        <v>8</v>
      </c>
      <c r="E23" s="0" t="n">
        <v>2</v>
      </c>
      <c r="F23" s="0" t="s">
        <v>73</v>
      </c>
      <c r="G23" s="0" t="n">
        <v>16</v>
      </c>
      <c r="H23" s="0" t="n">
        <v>309.3</v>
      </c>
      <c r="I23" s="0" t="s">
        <v>124</v>
      </c>
      <c r="J23" s="0" t="s">
        <v>75</v>
      </c>
      <c r="K23" s="0" t="s">
        <v>76</v>
      </c>
    </row>
    <row r="24" customFormat="false" ht="15" hidden="false" customHeight="false" outlineLevel="0" collapsed="false">
      <c r="A24" s="0" t="s">
        <v>125</v>
      </c>
      <c r="B24" s="0" t="s">
        <v>126</v>
      </c>
      <c r="C24" s="0" t="n">
        <v>19.333</v>
      </c>
      <c r="D24" s="0" t="n">
        <v>8</v>
      </c>
      <c r="E24" s="0" t="n">
        <v>2</v>
      </c>
      <c r="F24" s="0" t="s">
        <v>73</v>
      </c>
      <c r="G24" s="0" t="n">
        <v>16</v>
      </c>
      <c r="H24" s="0" t="n">
        <v>309.3</v>
      </c>
      <c r="I24" s="0" t="s">
        <v>127</v>
      </c>
      <c r="J24" s="0" t="s">
        <v>75</v>
      </c>
      <c r="K24" s="0" t="s">
        <v>76</v>
      </c>
    </row>
    <row r="25" customFormat="false" ht="15" hidden="false" customHeight="false" outlineLevel="0" collapsed="false">
      <c r="B25" s="6" t="s">
        <v>128</v>
      </c>
      <c r="C25" s="4" t="n">
        <f aca="false">SUM(C23:C24)</f>
        <v>38.666</v>
      </c>
      <c r="H25" s="4" t="n">
        <f aca="false">SUM(H23:H24)</f>
        <v>618.6</v>
      </c>
    </row>
    <row r="26" customFormat="false" ht="15" hidden="false" customHeight="false" outlineLevel="0" collapsed="false">
      <c r="A26" s="5" t="s">
        <v>129</v>
      </c>
    </row>
    <row r="27" customFormat="false" ht="15" hidden="false" customHeight="false" outlineLevel="0" collapsed="false">
      <c r="A27" s="0" t="s">
        <v>130</v>
      </c>
      <c r="B27" s="0" t="s">
        <v>131</v>
      </c>
      <c r="C27" s="0" t="n">
        <v>75.5</v>
      </c>
      <c r="D27" s="0" t="n">
        <v>7.5</v>
      </c>
      <c r="E27" s="0" t="n">
        <v>2</v>
      </c>
      <c r="F27" s="0" t="s">
        <v>73</v>
      </c>
      <c r="G27" s="0" t="n">
        <v>16</v>
      </c>
      <c r="H27" s="0" t="n">
        <v>1132.5</v>
      </c>
      <c r="I27" s="0" t="s">
        <v>132</v>
      </c>
      <c r="J27" s="0" t="s">
        <v>75</v>
      </c>
      <c r="K27" s="0" t="s">
        <v>76</v>
      </c>
    </row>
    <row r="28" customFormat="false" ht="15" hidden="false" customHeight="false" outlineLevel="0" collapsed="false">
      <c r="B28" s="6" t="s">
        <v>133</v>
      </c>
      <c r="C28" s="4" t="n">
        <f aca="false">SUM(C27:C27)</f>
        <v>75.5</v>
      </c>
      <c r="H28" s="4" t="n">
        <f aca="false">SUM(H27:H27)</f>
        <v>1132.5</v>
      </c>
    </row>
    <row r="29" customFormat="false" ht="15" hidden="false" customHeight="false" outlineLevel="0" collapsed="false">
      <c r="A29" s="5" t="s">
        <v>134</v>
      </c>
    </row>
    <row r="30" customFormat="false" ht="15" hidden="false" customHeight="false" outlineLevel="0" collapsed="false">
      <c r="A30" s="0" t="s">
        <v>135</v>
      </c>
      <c r="B30" s="0" t="s">
        <v>136</v>
      </c>
      <c r="C30" s="0" t="n">
        <v>5.69</v>
      </c>
      <c r="D30" s="0" t="n">
        <v>23</v>
      </c>
      <c r="E30" s="0" t="n">
        <v>2</v>
      </c>
      <c r="F30" s="0" t="s">
        <v>137</v>
      </c>
      <c r="G30" s="0" t="n">
        <v>16</v>
      </c>
      <c r="H30" s="0" t="n">
        <v>108.1</v>
      </c>
      <c r="I30" s="0" t="s">
        <v>138</v>
      </c>
      <c r="J30" s="0" t="s">
        <v>86</v>
      </c>
      <c r="K30" s="0" t="s">
        <v>76</v>
      </c>
    </row>
    <row r="31" customFormat="false" ht="15" hidden="false" customHeight="false" outlineLevel="0" collapsed="false">
      <c r="B31" s="6" t="s">
        <v>139</v>
      </c>
      <c r="C31" s="4" t="n">
        <f aca="false">SUM(C30:C30)</f>
        <v>5.69</v>
      </c>
      <c r="H31" s="4" t="n">
        <f aca="false">SUM(H30:H30)</f>
        <v>108.1</v>
      </c>
    </row>
    <row r="32" customFormat="false" ht="15" hidden="false" customHeight="false" outlineLevel="0" collapsed="false">
      <c r="A32" s="5" t="s">
        <v>140</v>
      </c>
    </row>
    <row r="33" customFormat="false" ht="15" hidden="false" customHeight="false" outlineLevel="0" collapsed="false">
      <c r="A33" s="0" t="s">
        <v>141</v>
      </c>
      <c r="B33" s="0" t="s">
        <v>142</v>
      </c>
      <c r="C33" s="0" t="n">
        <v>19</v>
      </c>
      <c r="D33" s="0" t="n">
        <v>23</v>
      </c>
      <c r="E33" s="0" t="n">
        <v>1</v>
      </c>
      <c r="F33" s="0" t="s">
        <v>137</v>
      </c>
      <c r="G33" s="0" t="n">
        <v>16</v>
      </c>
      <c r="H33" s="0" t="n">
        <v>228</v>
      </c>
      <c r="I33" s="0" t="s">
        <v>143</v>
      </c>
      <c r="J33" s="0" t="s">
        <v>144</v>
      </c>
      <c r="K33" s="0" t="s">
        <v>76</v>
      </c>
    </row>
    <row r="34" customFormat="false" ht="15" hidden="false" customHeight="false" outlineLevel="0" collapsed="false">
      <c r="A34" s="0" t="s">
        <v>145</v>
      </c>
      <c r="B34" s="0" t="s">
        <v>146</v>
      </c>
      <c r="C34" s="0" t="n">
        <v>2.667</v>
      </c>
      <c r="D34" s="0" t="n">
        <v>23</v>
      </c>
      <c r="E34" s="0" t="n">
        <v>1</v>
      </c>
      <c r="F34" s="0" t="s">
        <v>137</v>
      </c>
      <c r="G34" s="0" t="n">
        <v>16</v>
      </c>
      <c r="H34" s="0" t="n">
        <v>32</v>
      </c>
      <c r="I34" s="0" t="s">
        <v>147</v>
      </c>
      <c r="J34" s="0" t="s">
        <v>144</v>
      </c>
      <c r="K34" s="0" t="s">
        <v>148</v>
      </c>
    </row>
    <row r="35" customFormat="false" ht="15" hidden="false" customHeight="false" outlineLevel="0" collapsed="false">
      <c r="B35" s="6" t="s">
        <v>149</v>
      </c>
      <c r="C35" s="4" t="n">
        <f aca="false">SUM(C33:C34)</f>
        <v>21.667</v>
      </c>
      <c r="H35" s="4" t="n">
        <f aca="false">SUM(H33:H34)</f>
        <v>260</v>
      </c>
    </row>
    <row r="36" customFormat="false" ht="15" hidden="false" customHeight="false" outlineLevel="0" collapsed="false">
      <c r="A36" s="5" t="s">
        <v>150</v>
      </c>
    </row>
    <row r="37" customFormat="false" ht="15" hidden="false" customHeight="false" outlineLevel="0" collapsed="false">
      <c r="A37" s="0" t="s">
        <v>151</v>
      </c>
      <c r="B37" s="0" t="s">
        <v>152</v>
      </c>
      <c r="C37" s="0" t="n">
        <v>28.49</v>
      </c>
      <c r="D37" s="0" t="n">
        <v>23</v>
      </c>
      <c r="E37" s="0" t="n">
        <v>1</v>
      </c>
      <c r="F37" s="0" t="s">
        <v>137</v>
      </c>
      <c r="G37" s="0" t="n">
        <v>16</v>
      </c>
      <c r="H37" s="0" t="n">
        <v>299.1</v>
      </c>
      <c r="I37" s="0" t="s">
        <v>153</v>
      </c>
      <c r="J37" s="0" t="s">
        <v>144</v>
      </c>
      <c r="K37" s="0" t="s">
        <v>76</v>
      </c>
    </row>
    <row r="38" customFormat="false" ht="15" hidden="false" customHeight="false" outlineLevel="0" collapsed="false">
      <c r="B38" s="6" t="s">
        <v>154</v>
      </c>
      <c r="C38" s="4" t="n">
        <f aca="false">SUM(C37:C37)</f>
        <v>28.49</v>
      </c>
      <c r="H38" s="4" t="n">
        <f aca="false">SUM(H37:H37)</f>
        <v>299.1</v>
      </c>
    </row>
    <row r="39" customFormat="false" ht="15" hidden="false" customHeight="false" outlineLevel="0" collapsed="false">
      <c r="A39" s="5" t="s">
        <v>155</v>
      </c>
    </row>
    <row r="40" customFormat="false" ht="15" hidden="false" customHeight="false" outlineLevel="0" collapsed="false">
      <c r="A40" s="0" t="s">
        <v>156</v>
      </c>
      <c r="B40" s="0" t="s">
        <v>157</v>
      </c>
      <c r="C40" s="0" t="n">
        <v>13</v>
      </c>
      <c r="D40" s="0" t="n">
        <v>23</v>
      </c>
      <c r="E40" s="0" t="n">
        <v>1</v>
      </c>
      <c r="F40" s="0" t="s">
        <v>73</v>
      </c>
      <c r="G40" s="0" t="n">
        <v>16</v>
      </c>
      <c r="H40" s="0" t="n">
        <v>156</v>
      </c>
      <c r="I40" s="0" t="s">
        <v>158</v>
      </c>
      <c r="J40" s="0" t="s">
        <v>144</v>
      </c>
      <c r="K40" s="0" t="s">
        <v>148</v>
      </c>
    </row>
    <row r="41" customFormat="false" ht="15" hidden="false" customHeight="false" outlineLevel="0" collapsed="false">
      <c r="B41" s="6" t="s">
        <v>159</v>
      </c>
      <c r="C41" s="4" t="n">
        <f aca="false">SUM(C40:C40)</f>
        <v>13</v>
      </c>
      <c r="H41" s="4" t="n">
        <f aca="false">SUM(H40:H40)</f>
        <v>156</v>
      </c>
    </row>
    <row r="42" customFormat="false" ht="15" hidden="false" customHeight="false" outlineLevel="0" collapsed="false">
      <c r="A42" s="5" t="s">
        <v>160</v>
      </c>
    </row>
    <row r="43" customFormat="false" ht="15" hidden="false" customHeight="false" outlineLevel="0" collapsed="false">
      <c r="A43" s="0" t="s">
        <v>161</v>
      </c>
      <c r="B43" s="0" t="s">
        <v>162</v>
      </c>
      <c r="C43" s="0" t="n">
        <v>28.49</v>
      </c>
      <c r="D43" s="0" t="n">
        <v>23</v>
      </c>
      <c r="E43" s="0" t="n">
        <v>2</v>
      </c>
      <c r="F43" s="0" t="s">
        <v>137</v>
      </c>
      <c r="G43" s="0" t="n">
        <v>16</v>
      </c>
      <c r="H43" s="0" t="n">
        <v>954.4</v>
      </c>
      <c r="I43" s="0" t="s">
        <v>163</v>
      </c>
      <c r="J43" s="0" t="s">
        <v>144</v>
      </c>
      <c r="K43" s="0" t="s">
        <v>76</v>
      </c>
    </row>
    <row r="44" customFormat="false" ht="15" hidden="false" customHeight="false" outlineLevel="0" collapsed="false">
      <c r="A44" s="0" t="s">
        <v>164</v>
      </c>
      <c r="B44" s="0" t="s">
        <v>165</v>
      </c>
      <c r="C44" s="0" t="n">
        <v>12.167</v>
      </c>
      <c r="D44" s="0" t="n">
        <v>23</v>
      </c>
      <c r="E44" s="0" t="n">
        <v>2</v>
      </c>
      <c r="F44" s="0" t="s">
        <v>137</v>
      </c>
      <c r="G44" s="0" t="n">
        <v>16</v>
      </c>
      <c r="H44" s="0" t="n">
        <v>243.4</v>
      </c>
      <c r="I44" s="0" t="s">
        <v>166</v>
      </c>
      <c r="J44" s="0" t="s">
        <v>144</v>
      </c>
      <c r="K44" s="0" t="s">
        <v>76</v>
      </c>
    </row>
    <row r="45" customFormat="false" ht="15" hidden="false" customHeight="false" outlineLevel="0" collapsed="false">
      <c r="B45" s="6" t="s">
        <v>167</v>
      </c>
      <c r="C45" s="4" t="n">
        <f aca="false">SUM(C43:C44)</f>
        <v>40.657</v>
      </c>
      <c r="H45" s="4" t="n">
        <f aca="false">SUM(H43:H44)</f>
        <v>1197.8</v>
      </c>
    </row>
    <row r="46" customFormat="false" ht="15" hidden="false" customHeight="false" outlineLevel="0" collapsed="false">
      <c r="A46" s="5" t="s">
        <v>168</v>
      </c>
    </row>
    <row r="47" customFormat="false" ht="15" hidden="false" customHeight="false" outlineLevel="0" collapsed="false">
      <c r="A47" s="0" t="s">
        <v>169</v>
      </c>
      <c r="B47" s="0" t="s">
        <v>170</v>
      </c>
      <c r="C47" s="0" t="n">
        <v>9.5</v>
      </c>
      <c r="D47" s="0" t="n">
        <v>23</v>
      </c>
      <c r="E47" s="0" t="n">
        <v>2</v>
      </c>
      <c r="F47" s="0" t="s">
        <v>73</v>
      </c>
      <c r="G47" s="0" t="n">
        <v>16</v>
      </c>
      <c r="H47" s="0" t="n">
        <v>149.8</v>
      </c>
      <c r="I47" s="0" t="s">
        <v>171</v>
      </c>
      <c r="J47" s="0" t="s">
        <v>144</v>
      </c>
      <c r="K47" s="0" t="s">
        <v>76</v>
      </c>
    </row>
    <row r="48" customFormat="false" ht="15" hidden="false" customHeight="false" outlineLevel="0" collapsed="false">
      <c r="B48" s="6" t="s">
        <v>172</v>
      </c>
      <c r="C48" s="4" t="n">
        <f aca="false">SUM(C47:C47)</f>
        <v>9.5</v>
      </c>
      <c r="H48" s="4" t="n">
        <f aca="false">SUM(H47:H47)</f>
        <v>149.8</v>
      </c>
    </row>
    <row r="49" customFormat="false" ht="15" hidden="false" customHeight="false" outlineLevel="0" collapsed="false">
      <c r="A49" s="5" t="s">
        <v>173</v>
      </c>
    </row>
    <row r="50" customFormat="false" ht="15" hidden="false" customHeight="false" outlineLevel="0" collapsed="false">
      <c r="A50" s="0" t="s">
        <v>174</v>
      </c>
      <c r="B50" s="0" t="s">
        <v>175</v>
      </c>
      <c r="C50" s="0" t="n">
        <v>1.95</v>
      </c>
      <c r="D50" s="0" t="n">
        <v>10</v>
      </c>
      <c r="E50" s="0" t="n">
        <v>2</v>
      </c>
      <c r="F50" s="0" t="s">
        <v>73</v>
      </c>
      <c r="G50" s="0" t="n">
        <v>16</v>
      </c>
      <c r="H50" s="0" t="n">
        <v>39</v>
      </c>
      <c r="I50" s="0" t="s">
        <v>176</v>
      </c>
      <c r="J50" s="0" t="s">
        <v>144</v>
      </c>
      <c r="K50" s="0" t="s">
        <v>76</v>
      </c>
    </row>
    <row r="51" customFormat="false" ht="15" hidden="false" customHeight="false" outlineLevel="0" collapsed="false">
      <c r="B51" s="6" t="s">
        <v>177</v>
      </c>
      <c r="C51" s="4" t="n">
        <f aca="false">SUM(C50:C50)</f>
        <v>1.95</v>
      </c>
      <c r="H51" s="4" t="n">
        <f aca="false">SUM(H50:H50)</f>
        <v>39</v>
      </c>
    </row>
    <row r="52" customFormat="false" ht="15" hidden="false" customHeight="false" outlineLevel="0" collapsed="false">
      <c r="A52" s="5" t="s">
        <v>178</v>
      </c>
    </row>
    <row r="53" customFormat="false" ht="15" hidden="false" customHeight="false" outlineLevel="0" collapsed="false">
      <c r="A53" s="0" t="s">
        <v>179</v>
      </c>
      <c r="B53" s="0" t="s">
        <v>180</v>
      </c>
      <c r="C53" s="0" t="n">
        <v>3.479</v>
      </c>
      <c r="D53" s="0" t="n">
        <v>23</v>
      </c>
      <c r="E53" s="0" t="n">
        <v>2</v>
      </c>
      <c r="F53" s="0" t="s">
        <v>137</v>
      </c>
      <c r="G53" s="0" t="n">
        <v>16</v>
      </c>
      <c r="H53" s="0" t="n">
        <v>106.4</v>
      </c>
      <c r="I53" s="0" t="s">
        <v>181</v>
      </c>
      <c r="J53" s="0" t="s">
        <v>144</v>
      </c>
      <c r="K53" s="0" t="s">
        <v>76</v>
      </c>
    </row>
    <row r="54" customFormat="false" ht="15" hidden="false" customHeight="false" outlineLevel="0" collapsed="false">
      <c r="B54" s="6" t="s">
        <v>182</v>
      </c>
      <c r="C54" s="4" t="n">
        <f aca="false">SUM(C53:C53)</f>
        <v>3.479</v>
      </c>
      <c r="H54" s="4" t="n">
        <f aca="false">SUM(H53:H53)</f>
        <v>106.4</v>
      </c>
    </row>
    <row r="55" customFormat="false" ht="15" hidden="false" customHeight="false" outlineLevel="0" collapsed="false">
      <c r="A55" s="5" t="s">
        <v>183</v>
      </c>
    </row>
    <row r="56" customFormat="false" ht="15" hidden="false" customHeight="false" outlineLevel="0" collapsed="false">
      <c r="A56" s="0" t="s">
        <v>184</v>
      </c>
      <c r="B56" s="0" t="s">
        <v>185</v>
      </c>
      <c r="C56" s="0" t="n">
        <v>6.167</v>
      </c>
      <c r="D56" s="0" t="n">
        <v>23</v>
      </c>
      <c r="E56" s="0" t="n">
        <v>2</v>
      </c>
      <c r="F56" s="0" t="s">
        <v>137</v>
      </c>
      <c r="G56" s="0" t="n">
        <v>16</v>
      </c>
      <c r="H56" s="0" t="n">
        <v>188.6</v>
      </c>
      <c r="I56" s="0" t="s">
        <v>186</v>
      </c>
      <c r="J56" s="0" t="s">
        <v>144</v>
      </c>
      <c r="K56" s="0" t="s">
        <v>76</v>
      </c>
    </row>
    <row r="57" customFormat="false" ht="15" hidden="false" customHeight="false" outlineLevel="0" collapsed="false">
      <c r="B57" s="6" t="s">
        <v>187</v>
      </c>
      <c r="C57" s="4" t="n">
        <f aca="false">SUM(C56:C56)</f>
        <v>6.167</v>
      </c>
      <c r="H57" s="4" t="n">
        <f aca="false">SUM(H56:H56)</f>
        <v>188.6</v>
      </c>
    </row>
    <row r="58" customFormat="false" ht="15" hidden="false" customHeight="false" outlineLevel="0" collapsed="false">
      <c r="A58" s="5" t="s">
        <v>188</v>
      </c>
    </row>
    <row r="59" customFormat="false" ht="15" hidden="false" customHeight="false" outlineLevel="0" collapsed="false">
      <c r="A59" s="0" t="s">
        <v>189</v>
      </c>
      <c r="B59" s="0" t="s">
        <v>190</v>
      </c>
      <c r="C59" s="0" t="n">
        <v>0.604</v>
      </c>
      <c r="D59" s="0" t="n">
        <v>23</v>
      </c>
      <c r="E59" s="0" t="n">
        <v>1</v>
      </c>
      <c r="F59" s="0" t="s">
        <v>137</v>
      </c>
      <c r="G59" s="0" t="n">
        <v>16</v>
      </c>
      <c r="H59" s="0" t="n">
        <v>13.9</v>
      </c>
      <c r="I59" s="0" t="s">
        <v>191</v>
      </c>
      <c r="J59" s="0" t="s">
        <v>144</v>
      </c>
      <c r="K59" s="0" t="s">
        <v>76</v>
      </c>
    </row>
    <row r="60" customFormat="false" ht="15" hidden="false" customHeight="false" outlineLevel="0" collapsed="false">
      <c r="A60" s="0" t="s">
        <v>192</v>
      </c>
      <c r="B60" s="0" t="s">
        <v>193</v>
      </c>
      <c r="C60" s="0" t="n">
        <v>0.604</v>
      </c>
      <c r="D60" s="0" t="n">
        <v>23</v>
      </c>
      <c r="E60" s="0" t="n">
        <v>1</v>
      </c>
      <c r="F60" s="0" t="s">
        <v>137</v>
      </c>
      <c r="G60" s="0" t="n">
        <v>16</v>
      </c>
      <c r="H60" s="0" t="n">
        <v>13.9</v>
      </c>
      <c r="I60" s="0" t="s">
        <v>194</v>
      </c>
      <c r="J60" s="0" t="s">
        <v>144</v>
      </c>
      <c r="K60" s="0" t="s">
        <v>76</v>
      </c>
    </row>
    <row r="61" customFormat="false" ht="15" hidden="false" customHeight="false" outlineLevel="0" collapsed="false">
      <c r="A61" s="0" t="s">
        <v>195</v>
      </c>
      <c r="B61" s="0" t="s">
        <v>196</v>
      </c>
      <c r="C61" s="0" t="n">
        <v>1</v>
      </c>
      <c r="D61" s="0" t="n">
        <v>23</v>
      </c>
      <c r="E61" s="0" t="n">
        <v>1</v>
      </c>
      <c r="F61" s="0" t="s">
        <v>137</v>
      </c>
      <c r="G61" s="0" t="n">
        <v>16</v>
      </c>
      <c r="H61" s="0" t="n">
        <v>23</v>
      </c>
      <c r="I61" s="0" t="s">
        <v>197</v>
      </c>
      <c r="J61" s="0" t="s">
        <v>144</v>
      </c>
      <c r="K61" s="0" t="s">
        <v>148</v>
      </c>
    </row>
    <row r="62" customFormat="false" ht="15" hidden="false" customHeight="false" outlineLevel="0" collapsed="false">
      <c r="A62" s="0" t="s">
        <v>198</v>
      </c>
      <c r="B62" s="0" t="s">
        <v>199</v>
      </c>
      <c r="C62" s="0" t="n">
        <v>0</v>
      </c>
      <c r="D62" s="0" t="n">
        <v>23</v>
      </c>
      <c r="E62" s="0" t="n">
        <v>1</v>
      </c>
      <c r="F62" s="0" t="s">
        <v>137</v>
      </c>
      <c r="G62" s="0" t="n">
        <v>16</v>
      </c>
      <c r="H62" s="0" t="n">
        <v>0</v>
      </c>
      <c r="I62" s="0" t="s">
        <v>200</v>
      </c>
      <c r="J62" s="0" t="s">
        <v>144</v>
      </c>
      <c r="K62" s="0" t="s">
        <v>148</v>
      </c>
    </row>
    <row r="63" customFormat="false" ht="15" hidden="false" customHeight="false" outlineLevel="0" collapsed="false">
      <c r="B63" s="6" t="s">
        <v>201</v>
      </c>
      <c r="C63" s="4" t="n">
        <f aca="false">SUM(C59:C62)</f>
        <v>2.208</v>
      </c>
      <c r="H63" s="4" t="n">
        <f aca="false">SUM(H59:H62)</f>
        <v>50.8</v>
      </c>
    </row>
    <row r="64" customFormat="false" ht="15" hidden="false" customHeight="false" outlineLevel="0" collapsed="false">
      <c r="A64" s="5" t="s">
        <v>202</v>
      </c>
    </row>
    <row r="65" customFormat="false" ht="15" hidden="false" customHeight="false" outlineLevel="0" collapsed="false">
      <c r="A65" s="0" t="s">
        <v>203</v>
      </c>
      <c r="B65" s="0" t="s">
        <v>204</v>
      </c>
      <c r="C65" s="0" t="n">
        <v>21.127</v>
      </c>
      <c r="D65" s="0" t="n">
        <v>2.708</v>
      </c>
      <c r="E65" s="0" t="n">
        <v>2</v>
      </c>
      <c r="F65" s="0" t="s">
        <v>73</v>
      </c>
      <c r="G65" s="0" t="n">
        <v>16</v>
      </c>
      <c r="H65" s="0" t="n">
        <v>171.6</v>
      </c>
      <c r="I65" s="0" t="s">
        <v>205</v>
      </c>
      <c r="J65" s="0" t="s">
        <v>144</v>
      </c>
      <c r="K65" s="0" t="s">
        <v>76</v>
      </c>
    </row>
    <row r="66" customFormat="false" ht="15" hidden="false" customHeight="false" outlineLevel="0" collapsed="false">
      <c r="B66" s="6" t="s">
        <v>206</v>
      </c>
      <c r="C66" s="4" t="n">
        <f aca="false">SUM(C65:C65)</f>
        <v>21.127</v>
      </c>
      <c r="H66" s="4" t="n">
        <f aca="false">SUM(H65:H65)</f>
        <v>171.6</v>
      </c>
    </row>
    <row r="67" customFormat="false" ht="15" hidden="false" customHeight="false" outlineLevel="0" collapsed="false">
      <c r="A67" s="5" t="s">
        <v>207</v>
      </c>
    </row>
    <row r="68" customFormat="false" ht="15" hidden="false" customHeight="false" outlineLevel="0" collapsed="false">
      <c r="A68" s="0" t="s">
        <v>208</v>
      </c>
      <c r="B68" s="0" t="s">
        <v>209</v>
      </c>
      <c r="C68" s="0" t="n">
        <v>2.75</v>
      </c>
      <c r="D68" s="0" t="n">
        <v>2.708</v>
      </c>
      <c r="E68" s="0" t="n">
        <v>2</v>
      </c>
      <c r="F68" s="0" t="s">
        <v>73</v>
      </c>
      <c r="G68" s="0" t="n">
        <v>16</v>
      </c>
      <c r="H68" s="0" t="n">
        <v>22.3</v>
      </c>
      <c r="I68" s="0" t="s">
        <v>210</v>
      </c>
      <c r="J68" s="0" t="s">
        <v>144</v>
      </c>
      <c r="K68" s="0" t="s">
        <v>76</v>
      </c>
    </row>
    <row r="69" customFormat="false" ht="15" hidden="false" customHeight="false" outlineLevel="0" collapsed="false">
      <c r="B69" s="6" t="s">
        <v>211</v>
      </c>
      <c r="C69" s="4" t="n">
        <f aca="false">SUM(C68:C68)</f>
        <v>2.75</v>
      </c>
      <c r="H69" s="4" t="n">
        <f aca="false">SUM(H68:H68)</f>
        <v>22.3</v>
      </c>
    </row>
    <row r="70" customFormat="false" ht="15" hidden="false" customHeight="false" outlineLevel="0" collapsed="false">
      <c r="A70" s="5" t="s">
        <v>212</v>
      </c>
    </row>
    <row r="71" customFormat="false" ht="15" hidden="false" customHeight="false" outlineLevel="0" collapsed="false">
      <c r="A71" s="0" t="s">
        <v>213</v>
      </c>
      <c r="B71" s="0" t="s">
        <v>214</v>
      </c>
      <c r="C71" s="0" t="n">
        <v>2.75</v>
      </c>
      <c r="D71" s="0" t="n">
        <v>2.708</v>
      </c>
      <c r="E71" s="0" t="n">
        <v>2</v>
      </c>
      <c r="F71" s="0" t="s">
        <v>73</v>
      </c>
      <c r="G71" s="0" t="n">
        <v>16</v>
      </c>
      <c r="H71" s="0" t="n">
        <v>22.3</v>
      </c>
      <c r="I71" s="0" t="s">
        <v>215</v>
      </c>
      <c r="J71" s="0" t="s">
        <v>144</v>
      </c>
      <c r="K71" s="0" t="s">
        <v>76</v>
      </c>
    </row>
    <row r="72" customFormat="false" ht="15" hidden="false" customHeight="false" outlineLevel="0" collapsed="false">
      <c r="B72" s="6" t="s">
        <v>216</v>
      </c>
      <c r="C72" s="4" t="n">
        <f aca="false">SUM(C71:C71)</f>
        <v>2.75</v>
      </c>
      <c r="H72" s="4" t="n">
        <f aca="false">SUM(H71:H71)</f>
        <v>22.3</v>
      </c>
    </row>
    <row r="73" customFormat="false" ht="15" hidden="false" customHeight="false" outlineLevel="0" collapsed="false">
      <c r="A73" s="5" t="s">
        <v>217</v>
      </c>
    </row>
    <row r="74" customFormat="false" ht="15" hidden="false" customHeight="false" outlineLevel="0" collapsed="false">
      <c r="A74" s="0" t="s">
        <v>218</v>
      </c>
      <c r="B74" s="0" t="s">
        <v>219</v>
      </c>
      <c r="C74" s="0" t="n">
        <v>6.146</v>
      </c>
      <c r="D74" s="0" t="n">
        <v>2.708</v>
      </c>
      <c r="E74" s="0" t="n">
        <v>2</v>
      </c>
      <c r="F74" s="0" t="s">
        <v>73</v>
      </c>
      <c r="G74" s="0" t="n">
        <v>16</v>
      </c>
      <c r="H74" s="0" t="n">
        <v>33.3</v>
      </c>
      <c r="I74" s="0" t="s">
        <v>220</v>
      </c>
      <c r="J74" s="0" t="s">
        <v>144</v>
      </c>
      <c r="K74" s="0" t="s">
        <v>148</v>
      </c>
    </row>
    <row r="75" customFormat="false" ht="15" hidden="false" customHeight="false" outlineLevel="0" collapsed="false">
      <c r="B75" s="6" t="s">
        <v>221</v>
      </c>
      <c r="C75" s="4" t="n">
        <f aca="false">SUM(C74:C74)</f>
        <v>6.146</v>
      </c>
      <c r="H75" s="4" t="n">
        <f aca="false">SUM(H74:H74)</f>
        <v>33.3</v>
      </c>
    </row>
    <row r="76" customFormat="false" ht="15" hidden="false" customHeight="false" outlineLevel="0" collapsed="false">
      <c r="B76" s="6" t="s">
        <v>222</v>
      </c>
      <c r="C76" s="4" t="n">
        <f aca="false">C21+C25+C28+C31+C35+C38+C41+C45+C48+C51+C54+C57+C63+C66+C69+C72+C75</f>
        <v>549.578</v>
      </c>
      <c r="H76" s="4" t="n">
        <f aca="false">H21+H25+H28+H31+H35+H38+H41+H45+H48+H51+H54+H57+H63+H66+H69+H72+H75</f>
        <v>14276.6</v>
      </c>
    </row>
    <row r="78" customFormat="false" ht="15" hidden="false" customHeight="false" outlineLevel="0" collapsed="false">
      <c r="A78" s="5" t="s">
        <v>223</v>
      </c>
    </row>
    <row r="79" customFormat="false" ht="15" hidden="false" customHeight="false" outlineLevel="0" collapsed="false">
      <c r="A79" s="0" t="s">
        <v>224</v>
      </c>
      <c r="B79" s="0" t="s">
        <v>225</v>
      </c>
      <c r="C79" s="0" t="n">
        <v>15.583</v>
      </c>
      <c r="D79" s="0" t="n">
        <v>23</v>
      </c>
      <c r="E79" s="0" t="n">
        <v>1</v>
      </c>
      <c r="F79" s="0" t="s">
        <v>226</v>
      </c>
      <c r="G79" s="0" t="n">
        <v>16</v>
      </c>
      <c r="H79" s="0" t="n">
        <v>358.4</v>
      </c>
      <c r="I79" s="0" t="s">
        <v>227</v>
      </c>
      <c r="J79" s="0" t="s">
        <v>75</v>
      </c>
      <c r="K79" s="0" t="s">
        <v>148</v>
      </c>
    </row>
    <row r="80" customFormat="false" ht="15" hidden="false" customHeight="false" outlineLevel="0" collapsed="false">
      <c r="A80" s="0" t="s">
        <v>228</v>
      </c>
      <c r="B80" s="0" t="s">
        <v>229</v>
      </c>
      <c r="C80" s="0" t="n">
        <v>158.778</v>
      </c>
      <c r="D80" s="0" t="n">
        <v>23</v>
      </c>
      <c r="E80" s="0" t="n">
        <v>1</v>
      </c>
      <c r="F80" s="0" t="s">
        <v>226</v>
      </c>
      <c r="G80" s="0" t="n">
        <v>16</v>
      </c>
      <c r="H80" s="0" t="n">
        <v>3651.9</v>
      </c>
      <c r="I80" s="0" t="s">
        <v>230</v>
      </c>
      <c r="J80" s="0" t="s">
        <v>75</v>
      </c>
      <c r="K80" s="0" t="s">
        <v>148</v>
      </c>
    </row>
    <row r="81" customFormat="false" ht="15" hidden="false" customHeight="false" outlineLevel="0" collapsed="false">
      <c r="A81" s="0" t="s">
        <v>231</v>
      </c>
      <c r="B81" s="0" t="s">
        <v>232</v>
      </c>
      <c r="C81" s="0" t="n">
        <v>64.778</v>
      </c>
      <c r="D81" s="0" t="n">
        <v>23.667</v>
      </c>
      <c r="E81" s="0" t="n">
        <v>1</v>
      </c>
      <c r="F81" s="0" t="s">
        <v>226</v>
      </c>
      <c r="G81" s="0" t="n">
        <v>16</v>
      </c>
      <c r="H81" s="0" t="n">
        <v>1488.7</v>
      </c>
      <c r="I81" s="0" t="s">
        <v>233</v>
      </c>
      <c r="J81" s="0" t="s">
        <v>75</v>
      </c>
      <c r="K81" s="0" t="s">
        <v>148</v>
      </c>
    </row>
    <row r="82" customFormat="false" ht="15" hidden="false" customHeight="false" outlineLevel="0" collapsed="false">
      <c r="A82" s="0" t="s">
        <v>234</v>
      </c>
      <c r="B82" s="0" t="s">
        <v>235</v>
      </c>
      <c r="C82" s="0" t="n">
        <v>23.67</v>
      </c>
      <c r="D82" s="0" t="n">
        <v>23.667</v>
      </c>
      <c r="E82" s="0" t="n">
        <v>1</v>
      </c>
      <c r="F82" s="0" t="s">
        <v>226</v>
      </c>
      <c r="G82" s="0" t="n">
        <v>16</v>
      </c>
      <c r="H82" s="0" t="n">
        <v>560.2</v>
      </c>
      <c r="I82" s="0" t="s">
        <v>236</v>
      </c>
      <c r="J82" s="0" t="s">
        <v>75</v>
      </c>
      <c r="K82" s="0" t="s">
        <v>148</v>
      </c>
    </row>
    <row r="83" customFormat="false" ht="15" hidden="false" customHeight="false" outlineLevel="0" collapsed="false">
      <c r="A83" s="0" t="s">
        <v>237</v>
      </c>
      <c r="B83" s="0" t="s">
        <v>238</v>
      </c>
      <c r="C83" s="0" t="n">
        <v>20.917</v>
      </c>
      <c r="D83" s="0" t="n">
        <v>23</v>
      </c>
      <c r="E83" s="0" t="n">
        <v>1</v>
      </c>
      <c r="F83" s="0" t="s">
        <v>226</v>
      </c>
      <c r="G83" s="0" t="n">
        <v>16</v>
      </c>
      <c r="H83" s="0" t="n">
        <v>481.1</v>
      </c>
      <c r="I83" s="0" t="s">
        <v>239</v>
      </c>
      <c r="J83" s="0" t="s">
        <v>75</v>
      </c>
      <c r="K83" s="0" t="s">
        <v>148</v>
      </c>
    </row>
    <row r="84" customFormat="false" ht="15" hidden="false" customHeight="false" outlineLevel="0" collapsed="false">
      <c r="A84" s="0" t="s">
        <v>240</v>
      </c>
      <c r="B84" s="0" t="s">
        <v>241</v>
      </c>
      <c r="C84" s="0" t="n">
        <v>6.178</v>
      </c>
      <c r="D84" s="0" t="n">
        <v>23</v>
      </c>
      <c r="E84" s="0" t="n">
        <v>1</v>
      </c>
      <c r="F84" s="0" t="s">
        <v>226</v>
      </c>
      <c r="G84" s="0" t="n">
        <v>16</v>
      </c>
      <c r="H84" s="0" t="n">
        <v>121.1</v>
      </c>
      <c r="I84" s="0" t="s">
        <v>242</v>
      </c>
      <c r="J84" s="0" t="s">
        <v>75</v>
      </c>
      <c r="K84" s="0" t="s">
        <v>148</v>
      </c>
    </row>
    <row r="85" customFormat="false" ht="15" hidden="false" customHeight="false" outlineLevel="0" collapsed="false">
      <c r="A85" s="0" t="s">
        <v>243</v>
      </c>
      <c r="B85" s="0" t="s">
        <v>244</v>
      </c>
      <c r="C85" s="0" t="n">
        <v>50.556</v>
      </c>
      <c r="D85" s="0" t="n">
        <v>23</v>
      </c>
      <c r="E85" s="0" t="n">
        <v>1</v>
      </c>
      <c r="F85" s="0" t="s">
        <v>226</v>
      </c>
      <c r="G85" s="0" t="n">
        <v>16</v>
      </c>
      <c r="H85" s="0" t="n">
        <v>1162.8</v>
      </c>
      <c r="I85" s="0" t="s">
        <v>245</v>
      </c>
      <c r="J85" s="0" t="s">
        <v>75</v>
      </c>
      <c r="K85" s="0" t="s">
        <v>148</v>
      </c>
    </row>
    <row r="86" customFormat="false" ht="15" hidden="false" customHeight="false" outlineLevel="0" collapsed="false">
      <c r="A86" s="0" t="s">
        <v>246</v>
      </c>
      <c r="B86" s="0" t="s">
        <v>247</v>
      </c>
      <c r="C86" s="0" t="n">
        <v>0</v>
      </c>
      <c r="D86" s="0" t="n">
        <v>21.75</v>
      </c>
      <c r="E86" s="0" t="n">
        <v>1</v>
      </c>
      <c r="F86" s="0" t="s">
        <v>226</v>
      </c>
      <c r="G86" s="0" t="n">
        <v>16</v>
      </c>
      <c r="H86" s="0" t="n">
        <v>0</v>
      </c>
      <c r="I86" s="0" t="s">
        <v>248</v>
      </c>
      <c r="J86" s="0" t="s">
        <v>75</v>
      </c>
      <c r="K86" s="0" t="s">
        <v>148</v>
      </c>
    </row>
    <row r="87" customFormat="false" ht="15" hidden="false" customHeight="false" outlineLevel="0" collapsed="false">
      <c r="A87" s="0" t="s">
        <v>249</v>
      </c>
      <c r="B87" s="0" t="s">
        <v>250</v>
      </c>
      <c r="C87" s="0" t="n">
        <v>72</v>
      </c>
      <c r="D87" s="0" t="n">
        <v>8</v>
      </c>
      <c r="E87" s="0" t="n">
        <v>1</v>
      </c>
      <c r="F87" s="0" t="s">
        <v>73</v>
      </c>
      <c r="G87" s="0" t="n">
        <v>16</v>
      </c>
      <c r="H87" s="0" t="n">
        <v>576</v>
      </c>
      <c r="I87" s="0" t="s">
        <v>251</v>
      </c>
      <c r="J87" s="0" t="s">
        <v>75</v>
      </c>
      <c r="K87" s="0" t="s">
        <v>76</v>
      </c>
    </row>
    <row r="88" customFormat="false" ht="15" hidden="false" customHeight="false" outlineLevel="0" collapsed="false">
      <c r="A88" s="0" t="s">
        <v>252</v>
      </c>
      <c r="B88" s="0" t="s">
        <v>253</v>
      </c>
      <c r="C88" s="0" t="n">
        <v>6.67</v>
      </c>
      <c r="D88" s="0" t="n">
        <v>10.5</v>
      </c>
      <c r="E88" s="0" t="n">
        <v>1</v>
      </c>
      <c r="F88" s="0" t="s">
        <v>73</v>
      </c>
      <c r="G88" s="0" t="n">
        <v>16</v>
      </c>
      <c r="H88" s="0" t="n">
        <v>70</v>
      </c>
      <c r="I88" s="0" t="s">
        <v>254</v>
      </c>
      <c r="J88" s="0" t="s">
        <v>255</v>
      </c>
      <c r="K88" s="0" t="s">
        <v>76</v>
      </c>
    </row>
    <row r="89" customFormat="false" ht="15" hidden="false" customHeight="false" outlineLevel="0" collapsed="false">
      <c r="A89" s="0" t="s">
        <v>256</v>
      </c>
      <c r="B89" s="0" t="s">
        <v>257</v>
      </c>
      <c r="C89" s="0" t="n">
        <v>12.67</v>
      </c>
      <c r="E89" s="0" t="n">
        <v>1</v>
      </c>
      <c r="F89" s="0" t="s">
        <v>258</v>
      </c>
      <c r="G89" s="0" t="n">
        <v>16</v>
      </c>
      <c r="H89" s="0" t="n">
        <v>0</v>
      </c>
      <c r="I89" s="0" t="s">
        <v>259</v>
      </c>
      <c r="J89" s="0" t="s">
        <v>260</v>
      </c>
      <c r="K89" s="0" t="s">
        <v>148</v>
      </c>
    </row>
    <row r="90" customFormat="false" ht="15" hidden="false" customHeight="false" outlineLevel="0" collapsed="false">
      <c r="A90" s="0" t="s">
        <v>261</v>
      </c>
      <c r="B90" s="0" t="s">
        <v>262</v>
      </c>
      <c r="C90" s="0" t="n">
        <v>12.67</v>
      </c>
      <c r="D90" s="0" t="n">
        <v>7.67</v>
      </c>
      <c r="E90" s="0" t="n">
        <v>1</v>
      </c>
      <c r="F90" s="0" t="s">
        <v>258</v>
      </c>
      <c r="G90" s="0" t="n">
        <v>16</v>
      </c>
      <c r="H90" s="0" t="n">
        <v>0</v>
      </c>
      <c r="I90" s="0" t="s">
        <v>263</v>
      </c>
      <c r="J90" s="0" t="s">
        <v>264</v>
      </c>
      <c r="K90" s="0" t="s">
        <v>148</v>
      </c>
    </row>
    <row r="91" customFormat="false" ht="15" hidden="false" customHeight="false" outlineLevel="0" collapsed="false">
      <c r="A91" s="0" t="s">
        <v>265</v>
      </c>
      <c r="B91" s="0" t="s">
        <v>266</v>
      </c>
      <c r="C91" s="0" t="n">
        <v>28.07</v>
      </c>
      <c r="D91" s="0" t="n">
        <v>14</v>
      </c>
      <c r="E91" s="0" t="n">
        <v>1</v>
      </c>
      <c r="F91" s="0" t="s">
        <v>73</v>
      </c>
      <c r="G91" s="0" t="n">
        <v>16</v>
      </c>
      <c r="H91" s="0" t="n">
        <v>578.44</v>
      </c>
      <c r="I91" s="0" t="s">
        <v>267</v>
      </c>
      <c r="J91" s="0" t="s">
        <v>268</v>
      </c>
      <c r="K91" s="0" t="s">
        <v>148</v>
      </c>
    </row>
    <row r="92" customFormat="false" ht="15" hidden="false" customHeight="false" outlineLevel="0" collapsed="false">
      <c r="A92" s="0" t="s">
        <v>269</v>
      </c>
      <c r="B92" s="0" t="s">
        <v>270</v>
      </c>
      <c r="C92" s="0" t="n">
        <v>7.38</v>
      </c>
      <c r="D92" s="0" t="n">
        <v>15.92</v>
      </c>
      <c r="E92" s="0" t="n">
        <v>2</v>
      </c>
      <c r="F92" s="0" t="s">
        <v>137</v>
      </c>
      <c r="G92" s="0" t="n">
        <v>16</v>
      </c>
      <c r="H92" s="0" t="n">
        <v>234.78</v>
      </c>
      <c r="I92" s="0" t="s">
        <v>271</v>
      </c>
      <c r="J92" s="0" t="s">
        <v>272</v>
      </c>
      <c r="K92" s="0" t="s">
        <v>148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3" min="2" style="0" width="10"/>
    <col collapsed="false" customWidth="true" hidden="false" outlineLevel="0" max="4" min="4" style="0" width="14"/>
    <col collapsed="false" customWidth="true" hidden="false" outlineLevel="0" max="6" min="5" style="0" width="10"/>
    <col collapsed="false" customWidth="true" hidden="false" outlineLevel="0" max="7" min="7" style="0" width="26"/>
    <col collapsed="false" customWidth="true" hidden="false" outlineLevel="0" max="8" min="8" style="0" width="30"/>
    <col collapsed="false" customWidth="true" hidden="false" outlineLevel="0" max="9" min="9" style="0" width="60"/>
    <col collapsed="false" customWidth="true" hidden="false" outlineLevel="0" max="10" min="10" style="0" width="28"/>
  </cols>
  <sheetData>
    <row r="1" customFormat="false" ht="16.15" hidden="false" customHeight="false" outlineLevel="0" collapsed="false">
      <c r="A1" s="1" t="s">
        <v>273</v>
      </c>
    </row>
    <row r="2" customFormat="false" ht="15" hidden="false" customHeight="false" outlineLevel="0" collapsed="false">
      <c r="A2" s="0" t="s">
        <v>274</v>
      </c>
    </row>
    <row r="3" customFormat="false" ht="15" hidden="false" customHeight="false" outlineLevel="0" collapsed="false">
      <c r="A3" s="2" t="s">
        <v>275</v>
      </c>
      <c r="B3" s="2" t="s">
        <v>276</v>
      </c>
      <c r="C3" s="2" t="s">
        <v>277</v>
      </c>
      <c r="D3" s="2" t="s">
        <v>278</v>
      </c>
      <c r="E3" s="2" t="s">
        <v>279</v>
      </c>
      <c r="F3" s="2" t="s">
        <v>280</v>
      </c>
      <c r="G3" s="2" t="s">
        <v>281</v>
      </c>
      <c r="H3" s="2" t="s">
        <v>282</v>
      </c>
      <c r="I3" s="2" t="s">
        <v>283</v>
      </c>
      <c r="J3" s="2" t="s">
        <v>284</v>
      </c>
    </row>
    <row r="4" customFormat="false" ht="15" hidden="false" customHeight="false" outlineLevel="0" collapsed="false">
      <c r="A4" s="0" t="s">
        <v>285</v>
      </c>
      <c r="B4" s="0" t="s">
        <v>286</v>
      </c>
      <c r="C4" s="0" t="n">
        <v>7683.97</v>
      </c>
      <c r="D4" s="0" t="n">
        <f aca="false">Inputs!$B$5</f>
        <v>0.15</v>
      </c>
      <c r="E4" s="0" t="n">
        <f aca="false">C4*D4</f>
        <v>1152.5955</v>
      </c>
      <c r="F4" s="0" t="n">
        <f aca="false">C4+E4</f>
        <v>8836.5655</v>
      </c>
      <c r="G4" s="0" t="s">
        <v>287</v>
      </c>
      <c r="H4" s="0" t="n">
        <f aca="false">ROUNDUP(F4/Inputs!$B$10,0)</f>
        <v>369</v>
      </c>
      <c r="I4" s="0" t="s">
        <v>288</v>
      </c>
    </row>
    <row r="5" customFormat="false" ht="15" hidden="false" customHeight="false" outlineLevel="0" collapsed="false">
      <c r="A5" s="0" t="s">
        <v>289</v>
      </c>
      <c r="B5" s="0" t="s">
        <v>286</v>
      </c>
      <c r="C5" s="0" t="n">
        <v>2227.42</v>
      </c>
      <c r="D5" s="0" t="n">
        <f aca="false">Inputs!$B$5</f>
        <v>0.15</v>
      </c>
      <c r="E5" s="0" t="n">
        <f aca="false">C5*D5</f>
        <v>334.113</v>
      </c>
      <c r="F5" s="0" t="n">
        <f aca="false">C5+E5</f>
        <v>2561.533</v>
      </c>
      <c r="G5" s="0" t="s">
        <v>287</v>
      </c>
      <c r="H5" s="0" t="n">
        <f aca="false">ROUNDUP(F5/Inputs!$B$10,0)</f>
        <v>107</v>
      </c>
      <c r="I5" s="0" t="s">
        <v>290</v>
      </c>
    </row>
    <row r="6" customFormat="false" ht="15" hidden="false" customHeight="false" outlineLevel="0" collapsed="false">
      <c r="A6" s="0" t="s">
        <v>291</v>
      </c>
      <c r="B6" s="0" t="s">
        <v>286</v>
      </c>
      <c r="C6" s="0" t="n">
        <v>84</v>
      </c>
      <c r="D6" s="0" t="n">
        <f aca="false">Inputs!$B$5</f>
        <v>0.15</v>
      </c>
      <c r="E6" s="0" t="n">
        <f aca="false">C6*D6</f>
        <v>12.6</v>
      </c>
      <c r="F6" s="0" t="n">
        <f aca="false">C6+E6</f>
        <v>96.6</v>
      </c>
      <c r="G6" s="0" t="s">
        <v>287</v>
      </c>
      <c r="H6" s="0" t="n">
        <f aca="false">ROUNDUP(F6/Inputs!$B$10,0)</f>
        <v>5</v>
      </c>
      <c r="I6" s="0" t="s">
        <v>292</v>
      </c>
    </row>
    <row r="7" customFormat="false" ht="15" hidden="false" customHeight="false" outlineLevel="0" collapsed="false">
      <c r="A7" s="0" t="s">
        <v>293</v>
      </c>
      <c r="B7" s="0" t="s">
        <v>286</v>
      </c>
      <c r="C7" s="0" t="n">
        <v>25.34</v>
      </c>
      <c r="D7" s="0" t="n">
        <f aca="false">Inputs!$B$5</f>
        <v>0.15</v>
      </c>
      <c r="E7" s="0" t="n">
        <f aca="false">C7*D7</f>
        <v>3.801</v>
      </c>
      <c r="F7" s="0" t="n">
        <f aca="false">C7+E7</f>
        <v>29.141</v>
      </c>
      <c r="G7" s="0" t="s">
        <v>287</v>
      </c>
      <c r="H7" s="0" t="n">
        <f aca="false">ROUNDUP(F7/Inputs!$B$10,0)</f>
        <v>2</v>
      </c>
      <c r="I7" s="0" t="s">
        <v>294</v>
      </c>
    </row>
    <row r="8" customFormat="false" ht="15" hidden="false" customHeight="false" outlineLevel="0" collapsed="false">
      <c r="A8" s="0" t="s">
        <v>295</v>
      </c>
      <c r="B8" s="0" t="s">
        <v>286</v>
      </c>
      <c r="C8" s="0" t="n">
        <v>84.34</v>
      </c>
      <c r="D8" s="0" t="n">
        <f aca="false">Inputs!$B$5</f>
        <v>0.15</v>
      </c>
      <c r="E8" s="0" t="n">
        <f aca="false">C8*D8</f>
        <v>12.651</v>
      </c>
      <c r="F8" s="0" t="n">
        <f aca="false">C8+E8</f>
        <v>96.991</v>
      </c>
      <c r="G8" s="0" t="s">
        <v>287</v>
      </c>
      <c r="H8" s="0" t="n">
        <f aca="false">ROUNDUP(F8/Inputs!$B$10,0)</f>
        <v>5</v>
      </c>
      <c r="I8" s="0" t="s">
        <v>296</v>
      </c>
    </row>
    <row r="9" customFormat="false" ht="15" hidden="false" customHeight="false" outlineLevel="0" collapsed="false">
      <c r="A9" s="0" t="s">
        <v>297</v>
      </c>
      <c r="B9" s="0" t="s">
        <v>286</v>
      </c>
      <c r="C9" s="0" t="n">
        <v>441.24</v>
      </c>
      <c r="D9" s="0" t="n">
        <f aca="false">Inputs!$B$5</f>
        <v>0.15</v>
      </c>
      <c r="E9" s="0" t="n">
        <f aca="false">C9*D9</f>
        <v>66.186</v>
      </c>
      <c r="F9" s="0" t="n">
        <f aca="false">C9+E9</f>
        <v>507.426</v>
      </c>
      <c r="G9" s="0" t="s">
        <v>298</v>
      </c>
      <c r="H9" s="0" t="n">
        <f aca="false">ROUNDUP(F9/Inputs!$B$11,0)</f>
        <v>51</v>
      </c>
      <c r="I9" s="0" t="s">
        <v>299</v>
      </c>
    </row>
    <row r="10" customFormat="false" ht="15" hidden="false" customHeight="false" outlineLevel="0" collapsed="false">
      <c r="A10" s="0" t="s">
        <v>300</v>
      </c>
      <c r="B10" s="0" t="s">
        <v>286</v>
      </c>
      <c r="C10" s="0" t="n">
        <v>292.35</v>
      </c>
      <c r="D10" s="0" t="n">
        <f aca="false">Inputs!$B$5</f>
        <v>0.15</v>
      </c>
      <c r="E10" s="0" t="n">
        <f aca="false">C10*D10</f>
        <v>43.8525</v>
      </c>
      <c r="F10" s="0" t="n">
        <f aca="false">C10+E10</f>
        <v>336.2025</v>
      </c>
      <c r="G10" s="0" t="s">
        <v>298</v>
      </c>
      <c r="H10" s="0" t="n">
        <f aca="false">ROUNDUP(F10/Inputs!$B$11,0)</f>
        <v>34</v>
      </c>
      <c r="I10" s="0" t="s">
        <v>301</v>
      </c>
    </row>
    <row r="11" customFormat="false" ht="15" hidden="false" customHeight="false" outlineLevel="0" collapsed="false">
      <c r="A11" s="0" t="s">
        <v>302</v>
      </c>
      <c r="B11" s="0" t="s">
        <v>286</v>
      </c>
      <c r="C11" s="0" t="n">
        <v>148.89</v>
      </c>
      <c r="D11" s="0" t="n">
        <f aca="false">Inputs!$B$5</f>
        <v>0.15</v>
      </c>
      <c r="E11" s="0" t="n">
        <f aca="false">C11*D11</f>
        <v>22.3335</v>
      </c>
      <c r="F11" s="0" t="n">
        <f aca="false">C11+E11</f>
        <v>171.2235</v>
      </c>
      <c r="G11" s="0" t="s">
        <v>298</v>
      </c>
      <c r="H11" s="0" t="n">
        <f aca="false">ROUNDUP(F11/Inputs!$B$11,0)</f>
        <v>18</v>
      </c>
      <c r="I11" s="0" t="s">
        <v>303</v>
      </c>
    </row>
    <row r="12" customFormat="false" ht="15" hidden="false" customHeight="false" outlineLevel="0" collapsed="false">
      <c r="A12" s="0" t="s">
        <v>304</v>
      </c>
      <c r="B12" s="0" t="s">
        <v>286</v>
      </c>
      <c r="C12" s="0" t="n">
        <v>200.15</v>
      </c>
      <c r="D12" s="0" t="n">
        <f aca="false">Inputs!$B$5</f>
        <v>0.15</v>
      </c>
      <c r="E12" s="0" t="n">
        <f aca="false">C12*D12</f>
        <v>30.0225</v>
      </c>
      <c r="F12" s="0" t="n">
        <f aca="false">C12+E12</f>
        <v>230.1725</v>
      </c>
      <c r="G12" s="0" t="s">
        <v>298</v>
      </c>
      <c r="H12" s="0" t="n">
        <f aca="false">ROUNDUP(F12/Inputs!$B$11,0)</f>
        <v>24</v>
      </c>
      <c r="I12" s="0" t="s">
        <v>305</v>
      </c>
    </row>
    <row r="13" customFormat="false" ht="15" hidden="false" customHeight="false" outlineLevel="0" collapsed="false">
      <c r="A13" s="0" t="s">
        <v>306</v>
      </c>
      <c r="B13" s="0" t="s">
        <v>286</v>
      </c>
      <c r="C13" s="0" t="n">
        <v>83.35</v>
      </c>
      <c r="D13" s="0" t="n">
        <f aca="false">Inputs!$B$5</f>
        <v>0.15</v>
      </c>
      <c r="E13" s="0" t="n">
        <f aca="false">C13*D13</f>
        <v>12.5025</v>
      </c>
      <c r="F13" s="0" t="n">
        <f aca="false">C13+E13</f>
        <v>95.8525</v>
      </c>
      <c r="G13" s="0" t="s">
        <v>298</v>
      </c>
      <c r="H13" s="0" t="n">
        <f aca="false">ROUNDUP(F13/Inputs!$B$11,0)</f>
        <v>10</v>
      </c>
      <c r="I13" s="0" t="s">
        <v>307</v>
      </c>
    </row>
    <row r="14" customFormat="false" ht="15" hidden="false" customHeight="false" outlineLevel="0" collapsed="false">
      <c r="A14" s="0" t="s">
        <v>308</v>
      </c>
      <c r="B14" s="0" t="s">
        <v>286</v>
      </c>
      <c r="C14" s="0" t="n">
        <v>129.58</v>
      </c>
      <c r="D14" s="0" t="n">
        <f aca="false">Inputs!$B$5</f>
        <v>0.15</v>
      </c>
      <c r="E14" s="0" t="n">
        <f aca="false">C14*D14</f>
        <v>19.437</v>
      </c>
      <c r="F14" s="0" t="n">
        <f aca="false">C14+E14</f>
        <v>149.017</v>
      </c>
      <c r="G14" s="0" t="s">
        <v>298</v>
      </c>
      <c r="H14" s="0" t="n">
        <f aca="false">ROUNDUP(F14/Inputs!$B$11,0)</f>
        <v>15</v>
      </c>
      <c r="I14" s="0" t="s">
        <v>309</v>
      </c>
    </row>
    <row r="15" customFormat="false" ht="15" hidden="false" customHeight="false" outlineLevel="0" collapsed="false">
      <c r="A15" s="0" t="s">
        <v>310</v>
      </c>
      <c r="B15" s="0" t="s">
        <v>286</v>
      </c>
      <c r="C15" s="0" t="n">
        <v>106.16</v>
      </c>
      <c r="D15" s="0" t="n">
        <f aca="false">Inputs!$B$5</f>
        <v>0.15</v>
      </c>
      <c r="E15" s="0" t="n">
        <f aca="false">C15*D15</f>
        <v>15.924</v>
      </c>
      <c r="F15" s="0" t="n">
        <f aca="false">C15+E15</f>
        <v>122.084</v>
      </c>
      <c r="G15" s="0" t="s">
        <v>298</v>
      </c>
      <c r="H15" s="0" t="n">
        <f aca="false">ROUNDUP(F15/Inputs!$B$11,0)</f>
        <v>13</v>
      </c>
      <c r="I15" s="0" t="s">
        <v>311</v>
      </c>
    </row>
    <row r="16" customFormat="false" ht="15" hidden="false" customHeight="false" outlineLevel="0" collapsed="false">
      <c r="A16" s="0" t="s">
        <v>312</v>
      </c>
      <c r="B16" s="0" t="s">
        <v>286</v>
      </c>
      <c r="C16" s="0" t="n">
        <v>106.16</v>
      </c>
      <c r="D16" s="0" t="n">
        <f aca="false">Inputs!$B$5</f>
        <v>0.15</v>
      </c>
      <c r="E16" s="0" t="n">
        <f aca="false">C16*D16</f>
        <v>15.924</v>
      </c>
      <c r="F16" s="0" t="n">
        <f aca="false">C16+E16</f>
        <v>122.084</v>
      </c>
      <c r="G16" s="0" t="s">
        <v>298</v>
      </c>
      <c r="H16" s="0" t="n">
        <f aca="false">ROUNDUP(F16/Inputs!$B$11,0)</f>
        <v>13</v>
      </c>
      <c r="I16" s="0" t="s">
        <v>313</v>
      </c>
    </row>
    <row r="17" customFormat="false" ht="15" hidden="false" customHeight="false" outlineLevel="0" collapsed="false">
      <c r="A17" s="0" t="s">
        <v>314</v>
      </c>
      <c r="B17" s="0" t="s">
        <v>286</v>
      </c>
      <c r="C17" s="0" t="n">
        <v>14.75</v>
      </c>
      <c r="D17" s="0" t="n">
        <f aca="false">Inputs!$B$5</f>
        <v>0.15</v>
      </c>
      <c r="E17" s="0" t="n">
        <f aca="false">C17*D17</f>
        <v>2.2125</v>
      </c>
      <c r="F17" s="0" t="n">
        <f aca="false">C17+E17</f>
        <v>16.9625</v>
      </c>
      <c r="G17" s="0" t="s">
        <v>298</v>
      </c>
      <c r="H17" s="0" t="n">
        <f aca="false">ROUNDUP(F17/Inputs!$B$11,0)</f>
        <v>2</v>
      </c>
      <c r="I17" s="0" t="s">
        <v>315</v>
      </c>
    </row>
    <row r="18" customFormat="false" ht="15" hidden="false" customHeight="false" outlineLevel="0" collapsed="false">
      <c r="A18" s="0" t="s">
        <v>316</v>
      </c>
      <c r="B18" s="0" t="s">
        <v>286</v>
      </c>
      <c r="C18" s="0" t="n">
        <v>21.81</v>
      </c>
      <c r="D18" s="0" t="n">
        <f aca="false">Inputs!$B$5</f>
        <v>0.15</v>
      </c>
      <c r="E18" s="0" t="n">
        <f aca="false">C18*D18</f>
        <v>3.2715</v>
      </c>
      <c r="F18" s="0" t="n">
        <f aca="false">C18+E18</f>
        <v>25.0815</v>
      </c>
      <c r="G18" s="0" t="s">
        <v>298</v>
      </c>
      <c r="H18" s="0" t="n">
        <f aca="false">ROUNDUP(F18/Inputs!$B$11,0)</f>
        <v>3</v>
      </c>
      <c r="I18" s="0" t="s">
        <v>317</v>
      </c>
    </row>
    <row r="19" customFormat="false" ht="15" hidden="false" customHeight="false" outlineLevel="0" collapsed="false">
      <c r="A19" s="0" t="s">
        <v>318</v>
      </c>
      <c r="B19" s="0" t="s">
        <v>286</v>
      </c>
      <c r="C19" s="0" t="n">
        <v>3.33</v>
      </c>
      <c r="D19" s="0" t="n">
        <f aca="false">Inputs!$B$5</f>
        <v>0.15</v>
      </c>
      <c r="E19" s="0" t="n">
        <f aca="false">C19*D19</f>
        <v>0.4995</v>
      </c>
      <c r="F19" s="0" t="n">
        <f aca="false">C19+E19</f>
        <v>3.8295</v>
      </c>
      <c r="G19" s="0" t="s">
        <v>298</v>
      </c>
      <c r="H19" s="0" t="n">
        <f aca="false">ROUNDUP(F19/Inputs!$B$11,0)</f>
        <v>1</v>
      </c>
      <c r="I19" s="0" t="s">
        <v>319</v>
      </c>
    </row>
    <row r="20" customFormat="false" ht="15" hidden="false" customHeight="false" outlineLevel="0" collapsed="false">
      <c r="A20" s="0" t="s">
        <v>320</v>
      </c>
      <c r="B20" s="0" t="s">
        <v>286</v>
      </c>
      <c r="C20" s="0" t="n">
        <v>25.34</v>
      </c>
      <c r="D20" s="0" t="n">
        <f aca="false">Inputs!$B$5</f>
        <v>0.15</v>
      </c>
      <c r="E20" s="0" t="n">
        <f aca="false">C20*D20</f>
        <v>3.801</v>
      </c>
      <c r="F20" s="0" t="n">
        <f aca="false">C20+E20</f>
        <v>29.141</v>
      </c>
      <c r="G20" s="0" t="s">
        <v>298</v>
      </c>
      <c r="H20" s="0" t="n">
        <f aca="false">ROUNDUP(F20/Inputs!$B$11,0)</f>
        <v>3</v>
      </c>
      <c r="I20" s="0" t="s">
        <v>321</v>
      </c>
    </row>
    <row r="21" customFormat="false" ht="15" hidden="false" customHeight="false" outlineLevel="0" collapsed="false">
      <c r="A21" s="0" t="s">
        <v>322</v>
      </c>
      <c r="B21" s="0" t="s">
        <v>286</v>
      </c>
      <c r="C21" s="0" t="n">
        <v>2110.44</v>
      </c>
      <c r="D21" s="0" t="n">
        <f aca="false">Inputs!$B$5</f>
        <v>0.15</v>
      </c>
      <c r="E21" s="0" t="n">
        <f aca="false">C21*D21</f>
        <v>316.566</v>
      </c>
      <c r="F21" s="0" t="n">
        <f aca="false">C21+E21</f>
        <v>2427.006</v>
      </c>
      <c r="G21" s="0" t="s">
        <v>323</v>
      </c>
      <c r="H21" s="0" t="n">
        <f aca="false">ROUNDUP(F21/Inputs!$B$16,0)</f>
        <v>152</v>
      </c>
      <c r="I21" s="0" t="s">
        <v>324</v>
      </c>
    </row>
    <row r="22" customFormat="false" ht="15" hidden="false" customHeight="false" outlineLevel="0" collapsed="false">
      <c r="A22" s="0" t="s">
        <v>325</v>
      </c>
      <c r="B22" s="0" t="s">
        <v>326</v>
      </c>
      <c r="C22" s="0" t="n">
        <v>1771</v>
      </c>
      <c r="D22" s="0" t="n">
        <f aca="false">Inputs!$B$5</f>
        <v>0.15</v>
      </c>
      <c r="E22" s="0" t="n">
        <f aca="false">C22*D22</f>
        <v>265.65</v>
      </c>
      <c r="F22" s="0" t="n">
        <f aca="false">C22+E22</f>
        <v>2036.65</v>
      </c>
      <c r="G22" s="0" t="s">
        <v>327</v>
      </c>
      <c r="H22" s="0" t="n">
        <f aca="false">ROUNDUP(F22,0)</f>
        <v>2037</v>
      </c>
      <c r="I22" s="0" t="s">
        <v>328</v>
      </c>
    </row>
    <row r="23" customFormat="false" ht="15" hidden="false" customHeight="false" outlineLevel="0" collapsed="false">
      <c r="A23" s="0" t="s">
        <v>329</v>
      </c>
      <c r="B23" s="0" t="s">
        <v>326</v>
      </c>
      <c r="C23" s="0" t="n">
        <v>90</v>
      </c>
      <c r="D23" s="0" t="n">
        <f aca="false">Inputs!$B$5</f>
        <v>0.15</v>
      </c>
      <c r="E23" s="0" t="n">
        <f aca="false">C23*D23</f>
        <v>13.5</v>
      </c>
      <c r="F23" s="0" t="n">
        <f aca="false">C23+E23</f>
        <v>103.5</v>
      </c>
      <c r="G23" s="0" t="s">
        <v>327</v>
      </c>
      <c r="H23" s="0" t="n">
        <f aca="false">ROUNDUP(F23,0)</f>
        <v>104</v>
      </c>
      <c r="I23" s="0" t="s">
        <v>330</v>
      </c>
    </row>
    <row r="24" customFormat="false" ht="15" hidden="false" customHeight="false" outlineLevel="0" collapsed="false">
      <c r="A24" s="0" t="s">
        <v>331</v>
      </c>
      <c r="B24" s="0" t="s">
        <v>326</v>
      </c>
      <c r="C24" s="0" t="n">
        <v>4</v>
      </c>
      <c r="D24" s="0" t="n">
        <v>0</v>
      </c>
      <c r="E24" s="0" t="n">
        <f aca="false">C24*D24</f>
        <v>0</v>
      </c>
      <c r="F24" s="0" t="n">
        <f aca="false">C24+E24</f>
        <v>4</v>
      </c>
      <c r="G24" s="0" t="s">
        <v>327</v>
      </c>
      <c r="H24" s="0" t="n">
        <f aca="false">ROUNDUP(F24,0)</f>
        <v>4</v>
      </c>
      <c r="I24" s="0" t="s">
        <v>332</v>
      </c>
    </row>
    <row r="25" customFormat="false" ht="15" hidden="false" customHeight="false" outlineLevel="0" collapsed="false">
      <c r="A25" s="0" t="s">
        <v>333</v>
      </c>
      <c r="B25" s="0" t="s">
        <v>286</v>
      </c>
      <c r="C25" s="0" t="n">
        <v>103.5</v>
      </c>
      <c r="D25" s="0" t="n">
        <f aca="false">Inputs!$B$6</f>
        <v>0.06</v>
      </c>
      <c r="E25" s="0" t="n">
        <f aca="false">C25*D25</f>
        <v>6.21</v>
      </c>
      <c r="F25" s="0" t="n">
        <f aca="false">C25+E25</f>
        <v>109.71</v>
      </c>
      <c r="G25" s="0" t="s">
        <v>334</v>
      </c>
      <c r="H25" s="0" t="n">
        <f aca="false">ROUNDUP(F25/Inputs!$B$26,0)</f>
        <v>7</v>
      </c>
      <c r="I25" s="0" t="s">
        <v>335</v>
      </c>
    </row>
    <row r="26" customFormat="false" ht="15" hidden="false" customHeight="false" outlineLevel="0" collapsed="false">
      <c r="A26" s="0" t="s">
        <v>336</v>
      </c>
      <c r="B26" s="0" t="s">
        <v>337</v>
      </c>
      <c r="C26" s="0" t="n">
        <v>1409.33</v>
      </c>
      <c r="D26" s="0" t="n">
        <f aca="false">Inputs!$B$6</f>
        <v>0.06</v>
      </c>
      <c r="E26" s="0" t="n">
        <f aca="false">C26*D26</f>
        <v>84.5598</v>
      </c>
      <c r="F26" s="0" t="n">
        <f aca="false">C26+E26</f>
        <v>1493.8898</v>
      </c>
      <c r="G26" s="0" t="s">
        <v>338</v>
      </c>
      <c r="H26" s="0" t="n">
        <f aca="false">ROUNDUP(F26/32,0)</f>
        <v>47</v>
      </c>
      <c r="I26" s="0" t="s">
        <v>339</v>
      </c>
    </row>
    <row r="27" customFormat="false" ht="15" hidden="false" customHeight="false" outlineLevel="0" collapsed="false">
      <c r="A27" s="0" t="s">
        <v>340</v>
      </c>
      <c r="B27" s="0" t="s">
        <v>337</v>
      </c>
      <c r="C27" s="0" t="n">
        <v>220.11</v>
      </c>
      <c r="D27" s="0" t="n">
        <f aca="false">Inputs!$B$6</f>
        <v>0.06</v>
      </c>
      <c r="E27" s="0" t="n">
        <f aca="false">C27*D27</f>
        <v>13.2066</v>
      </c>
      <c r="F27" s="0" t="n">
        <f aca="false">C27+E27</f>
        <v>233.3166</v>
      </c>
      <c r="G27" s="0" t="s">
        <v>338</v>
      </c>
      <c r="H27" s="0" t="n">
        <f aca="false">ROUNDUP(F27/32,0)</f>
        <v>8</v>
      </c>
      <c r="I27" s="0" t="s">
        <v>341</v>
      </c>
    </row>
    <row r="28" customFormat="false" ht="15" hidden="false" customHeight="false" outlineLevel="0" collapsed="false">
      <c r="A28" s="0" t="s">
        <v>342</v>
      </c>
      <c r="B28" s="0" t="s">
        <v>326</v>
      </c>
      <c r="C28" s="0" t="n">
        <v>2</v>
      </c>
      <c r="D28" s="0" t="n">
        <v>0</v>
      </c>
      <c r="E28" s="0" t="n">
        <f aca="false">C28*D28</f>
        <v>0</v>
      </c>
      <c r="F28" s="0" t="n">
        <f aca="false">C28+E28</f>
        <v>2</v>
      </c>
      <c r="G28" s="0" t="s">
        <v>327</v>
      </c>
      <c r="H28" s="0" t="n">
        <f aca="false">ROUNDUP(F28,0)</f>
        <v>2</v>
      </c>
      <c r="I28" s="0" t="s">
        <v>343</v>
      </c>
    </row>
    <row r="29" customFormat="false" ht="15" hidden="false" customHeight="false" outlineLevel="0" collapsed="false">
      <c r="A29" s="0" t="s">
        <v>344</v>
      </c>
      <c r="B29" s="0" t="s">
        <v>337</v>
      </c>
      <c r="C29" s="0" t="n">
        <v>14072.2</v>
      </c>
      <c r="D29" s="0" t="n">
        <f aca="false">Inputs!$B$6</f>
        <v>0.06</v>
      </c>
      <c r="E29" s="0" t="n">
        <f aca="false">C29*D29</f>
        <v>844.332</v>
      </c>
      <c r="F29" s="0" t="n">
        <f aca="false">C29+E29</f>
        <v>14916.532</v>
      </c>
      <c r="G29" s="0" t="s">
        <v>338</v>
      </c>
      <c r="H29" s="0" t="n">
        <f aca="false">ROUNDUP(F29/Inputs!$B$9,0)</f>
        <v>311</v>
      </c>
      <c r="I29" s="0" t="s">
        <v>345</v>
      </c>
    </row>
    <row r="30" customFormat="false" ht="15" hidden="false" customHeight="false" outlineLevel="0" collapsed="false">
      <c r="A30" s="0" t="s">
        <v>346</v>
      </c>
      <c r="B30" s="0" t="s">
        <v>337</v>
      </c>
      <c r="C30" s="0" t="n">
        <v>874.2</v>
      </c>
      <c r="D30" s="0" t="n">
        <f aca="false">Inputs!$B$6</f>
        <v>0.06</v>
      </c>
      <c r="E30" s="0" t="n">
        <f aca="false">C30*D30</f>
        <v>52.452</v>
      </c>
      <c r="F30" s="0" t="n">
        <f aca="false">C30+E30</f>
        <v>926.652</v>
      </c>
      <c r="G30" s="0" t="s">
        <v>338</v>
      </c>
      <c r="H30" s="0" t="n">
        <f aca="false">ROUNDUP(F30/Inputs!$B$9,0)</f>
        <v>20</v>
      </c>
      <c r="I30" s="0" t="s">
        <v>347</v>
      </c>
    </row>
    <row r="31" customFormat="false" ht="15" hidden="false" customHeight="false" outlineLevel="0" collapsed="false">
      <c r="A31" s="0" t="s">
        <v>348</v>
      </c>
      <c r="B31" s="0" t="s">
        <v>337</v>
      </c>
      <c r="C31" s="0" t="n">
        <v>47.1</v>
      </c>
      <c r="D31" s="0" t="n">
        <f aca="false">Inputs!$B$6</f>
        <v>0.06</v>
      </c>
      <c r="E31" s="0" t="n">
        <f aca="false">C31*D31</f>
        <v>2.826</v>
      </c>
      <c r="F31" s="0" t="n">
        <f aca="false">C31+E31</f>
        <v>49.926</v>
      </c>
      <c r="G31" s="0" t="s">
        <v>338</v>
      </c>
      <c r="H31" s="0" t="n">
        <f aca="false">ROUNDUP(F31/Inputs!$B$9,0)</f>
        <v>2</v>
      </c>
      <c r="I31" s="0" t="s">
        <v>349</v>
      </c>
    </row>
    <row r="32" customFormat="false" ht="15" hidden="false" customHeight="false" outlineLevel="0" collapsed="false">
      <c r="A32" s="0" t="s">
        <v>350</v>
      </c>
      <c r="B32" s="0" t="s">
        <v>337</v>
      </c>
      <c r="C32" s="0" t="n">
        <v>437.5</v>
      </c>
      <c r="D32" s="0" t="n">
        <f aca="false">Inputs!$B$6</f>
        <v>0.06</v>
      </c>
      <c r="E32" s="0" t="n">
        <f aca="false">C32*D32</f>
        <v>26.25</v>
      </c>
      <c r="F32" s="0" t="n">
        <f aca="false">C32+E32</f>
        <v>463.75</v>
      </c>
      <c r="G32" s="0" t="s">
        <v>338</v>
      </c>
      <c r="H32" s="0" t="n">
        <f aca="false">ROUNDUP(F32/Inputs!$B$9,0)</f>
        <v>10</v>
      </c>
      <c r="I32" s="0" t="s">
        <v>351</v>
      </c>
    </row>
    <row r="33" customFormat="false" ht="15" hidden="false" customHeight="false" outlineLevel="0" collapsed="false">
      <c r="A33" s="0" t="s">
        <v>352</v>
      </c>
      <c r="B33" s="0" t="s">
        <v>337</v>
      </c>
      <c r="C33" s="0" t="n">
        <v>998.3</v>
      </c>
      <c r="D33" s="0" t="n">
        <f aca="false">Inputs!$B$6</f>
        <v>0.06</v>
      </c>
      <c r="E33" s="0" t="n">
        <f aca="false">C33*D33</f>
        <v>59.898</v>
      </c>
      <c r="F33" s="0" t="n">
        <f aca="false">C33+E33</f>
        <v>1058.198</v>
      </c>
      <c r="G33" s="0" t="s">
        <v>353</v>
      </c>
      <c r="H33" s="0" t="n">
        <f aca="false">ROUNDUP(F33/Inputs!$B$30,0)</f>
        <v>27</v>
      </c>
      <c r="I33" s="0" t="s">
        <v>354</v>
      </c>
    </row>
    <row r="34" customFormat="false" ht="15" hidden="false" customHeight="false" outlineLevel="0" collapsed="false">
      <c r="A34" s="0" t="s">
        <v>355</v>
      </c>
      <c r="B34" s="0" t="s">
        <v>337</v>
      </c>
      <c r="C34" s="0" t="n">
        <v>7155.1</v>
      </c>
      <c r="D34" s="0" t="n">
        <f aca="false">Inputs!$B$6</f>
        <v>0.06</v>
      </c>
      <c r="E34" s="0" t="n">
        <f aca="false">C34*D34</f>
        <v>429.306</v>
      </c>
      <c r="F34" s="0" t="n">
        <f aca="false">C34+E34</f>
        <v>7584.406</v>
      </c>
      <c r="G34" s="0" t="s">
        <v>337</v>
      </c>
      <c r="H34" s="0" t="n">
        <f aca="false">ROUNDUP(F34,0)</f>
        <v>7585</v>
      </c>
      <c r="I34" s="0" t="s">
        <v>356</v>
      </c>
    </row>
    <row r="35" customFormat="false" ht="15" hidden="false" customHeight="false" outlineLevel="0" collapsed="false">
      <c r="A35" s="0" t="s">
        <v>357</v>
      </c>
      <c r="B35" s="0" t="s">
        <v>286</v>
      </c>
      <c r="C35" s="0" t="n">
        <v>674</v>
      </c>
      <c r="D35" s="0" t="n">
        <f aca="false">Inputs!$B$6</f>
        <v>0.06</v>
      </c>
      <c r="E35" s="0" t="n">
        <f aca="false">C35*D35</f>
        <v>40.44</v>
      </c>
      <c r="F35" s="0" t="n">
        <f aca="false">C35+E35</f>
        <v>714.44</v>
      </c>
      <c r="G35" s="0" t="s">
        <v>358</v>
      </c>
      <c r="H35" s="0" t="n">
        <f aca="false">ROUNDUP(F35/Inputs!$B$18,0)</f>
        <v>72</v>
      </c>
      <c r="I35" s="0" t="s">
        <v>359</v>
      </c>
    </row>
    <row r="36" customFormat="false" ht="15" hidden="false" customHeight="false" outlineLevel="0" collapsed="false">
      <c r="A36" s="0" t="s">
        <v>360</v>
      </c>
      <c r="B36" s="0" t="s">
        <v>286</v>
      </c>
      <c r="C36" s="0" t="n">
        <v>216.7</v>
      </c>
      <c r="D36" s="0" t="n">
        <f aca="false">Inputs!$B$6</f>
        <v>0.06</v>
      </c>
      <c r="E36" s="0" t="n">
        <f aca="false">C36*D36</f>
        <v>13.002</v>
      </c>
      <c r="F36" s="0" t="n">
        <f aca="false">C36+E36</f>
        <v>229.702</v>
      </c>
      <c r="G36" s="0" t="s">
        <v>358</v>
      </c>
      <c r="H36" s="0" t="n">
        <f aca="false">ROUNDUP(F36/Inputs!$B$18,0)</f>
        <v>23</v>
      </c>
      <c r="I36" s="0" t="s">
        <v>361</v>
      </c>
    </row>
    <row r="37" customFormat="false" ht="15" hidden="false" customHeight="false" outlineLevel="0" collapsed="false">
      <c r="A37" s="0" t="s">
        <v>362</v>
      </c>
      <c r="B37" s="0" t="s">
        <v>286</v>
      </c>
      <c r="C37" s="0" t="n">
        <v>98.55</v>
      </c>
      <c r="D37" s="0" t="n">
        <f aca="false">Inputs!$B$6</f>
        <v>0.06</v>
      </c>
      <c r="E37" s="0" t="n">
        <f aca="false">C37*D37</f>
        <v>5.913</v>
      </c>
      <c r="F37" s="0" t="n">
        <f aca="false">C37+E37</f>
        <v>104.463</v>
      </c>
      <c r="G37" s="0" t="s">
        <v>358</v>
      </c>
      <c r="H37" s="0" t="n">
        <f aca="false">ROUNDUP(F37/Inputs!$B$18,0)</f>
        <v>11</v>
      </c>
      <c r="I37" s="0" t="s">
        <v>363</v>
      </c>
    </row>
    <row r="38" customFormat="false" ht="15" hidden="false" customHeight="false" outlineLevel="0" collapsed="false">
      <c r="A38" s="0" t="s">
        <v>364</v>
      </c>
      <c r="B38" s="0" t="s">
        <v>286</v>
      </c>
      <c r="C38" s="0" t="n">
        <v>220</v>
      </c>
      <c r="D38" s="0" t="n">
        <f aca="false">Inputs!$B$6</f>
        <v>0.06</v>
      </c>
      <c r="E38" s="0" t="n">
        <f aca="false">C38*D38</f>
        <v>13.2</v>
      </c>
      <c r="F38" s="0" t="n">
        <f aca="false">C38+E38</f>
        <v>233.2</v>
      </c>
      <c r="G38" s="0" t="s">
        <v>358</v>
      </c>
      <c r="H38" s="0" t="n">
        <f aca="false">ROUNDUP(F38/Inputs!$B$18,0)</f>
        <v>24</v>
      </c>
      <c r="I38" s="0" t="s">
        <v>365</v>
      </c>
    </row>
    <row r="39" customFormat="false" ht="15" hidden="false" customHeight="false" outlineLevel="0" collapsed="false">
      <c r="A39" s="0" t="s">
        <v>366</v>
      </c>
      <c r="B39" s="0" t="s">
        <v>286</v>
      </c>
      <c r="C39" s="0" t="n">
        <v>60</v>
      </c>
      <c r="D39" s="0" t="n">
        <f aca="false">Inputs!$B$6</f>
        <v>0.06</v>
      </c>
      <c r="E39" s="0" t="n">
        <f aca="false">C39*D39</f>
        <v>3.6</v>
      </c>
      <c r="F39" s="0" t="n">
        <f aca="false">C39+E39</f>
        <v>63.6</v>
      </c>
      <c r="G39" s="0" t="s">
        <v>367</v>
      </c>
      <c r="H39" s="0" t="n">
        <f aca="false">ROUNDUP(F39/6,0)</f>
        <v>11</v>
      </c>
      <c r="I39" s="0" t="s">
        <v>368</v>
      </c>
    </row>
    <row r="40" customFormat="false" ht="15" hidden="false" customHeight="false" outlineLevel="0" collapsed="false">
      <c r="A40" s="0" t="s">
        <v>369</v>
      </c>
      <c r="B40" s="0" t="s">
        <v>370</v>
      </c>
      <c r="C40" s="0" t="n">
        <v>1076.14</v>
      </c>
      <c r="D40" s="0" t="n">
        <v>0</v>
      </c>
      <c r="E40" s="0" t="n">
        <f aca="false">C40*D40</f>
        <v>0</v>
      </c>
      <c r="F40" s="0" t="n">
        <f aca="false">C40+E40</f>
        <v>1076.14</v>
      </c>
      <c r="G40" s="0" t="s">
        <v>371</v>
      </c>
      <c r="H40" s="0" t="n">
        <f aca="false">ROUNDUP(F40,0)</f>
        <v>1077</v>
      </c>
      <c r="I40" s="0" t="s">
        <v>372</v>
      </c>
      <c r="J40" s="0" t="n">
        <f aca="false">Inputs!$B$23*14946.4</f>
        <v>1076.1408</v>
      </c>
    </row>
    <row r="41" customFormat="false" ht="15" hidden="false" customHeight="false" outlineLevel="0" collapsed="false">
      <c r="A41" s="0" t="s">
        <v>373</v>
      </c>
      <c r="B41" s="0" t="s">
        <v>286</v>
      </c>
      <c r="C41" s="0" t="n">
        <v>5530.17</v>
      </c>
      <c r="D41" s="0" t="n">
        <v>0</v>
      </c>
      <c r="E41" s="0" t="n">
        <f aca="false">C41*D41</f>
        <v>0</v>
      </c>
      <c r="F41" s="0" t="n">
        <f aca="false">C41+E41</f>
        <v>5530.17</v>
      </c>
      <c r="G41" s="0" t="s">
        <v>286</v>
      </c>
      <c r="H41" s="0" t="n">
        <f aca="false">ROUNDUP(F41,0)</f>
        <v>5531</v>
      </c>
      <c r="I41" s="0" t="s">
        <v>374</v>
      </c>
      <c r="J41" s="0" t="n">
        <f aca="false">Inputs!$B$24*14946.4</f>
        <v>5530.168</v>
      </c>
    </row>
    <row r="42" customFormat="false" ht="15" hidden="false" customHeight="false" outlineLevel="0" collapsed="false">
      <c r="A42" s="0" t="s">
        <v>375</v>
      </c>
      <c r="B42" s="0" t="s">
        <v>326</v>
      </c>
      <c r="C42" s="0" t="n">
        <v>17851.68</v>
      </c>
      <c r="D42" s="0" t="n">
        <v>0</v>
      </c>
      <c r="E42" s="0" t="n">
        <f aca="false">C42*D42</f>
        <v>0</v>
      </c>
      <c r="F42" s="0" t="n">
        <f aca="false">C42+E42</f>
        <v>17851.68</v>
      </c>
      <c r="G42" s="0" t="s">
        <v>327</v>
      </c>
      <c r="H42" s="0" t="n">
        <f aca="false">ROUNDUP(F42,0)</f>
        <v>17852</v>
      </c>
      <c r="I42" s="0" t="s">
        <v>376</v>
      </c>
      <c r="J42" s="0" t="n">
        <f aca="false">Inputs!$B$20*14876.4</f>
        <v>17851.68</v>
      </c>
    </row>
    <row r="43" customFormat="false" ht="15" hidden="false" customHeight="false" outlineLevel="0" collapsed="false">
      <c r="A43" s="0" t="s">
        <v>377</v>
      </c>
      <c r="B43" s="0" t="s">
        <v>326</v>
      </c>
      <c r="C43" s="0" t="n">
        <v>84</v>
      </c>
      <c r="D43" s="0" t="n">
        <v>0</v>
      </c>
      <c r="E43" s="0" t="n">
        <f aca="false">C43*D43</f>
        <v>0</v>
      </c>
      <c r="F43" s="0" t="n">
        <f aca="false">C43+E43</f>
        <v>84</v>
      </c>
      <c r="G43" s="0" t="s">
        <v>327</v>
      </c>
      <c r="H43" s="0" t="n">
        <f aca="false">ROUNDUP(F43,0)</f>
        <v>84</v>
      </c>
      <c r="I43" s="0" t="s">
        <v>378</v>
      </c>
      <c r="J43" s="0" t="n">
        <f aca="false">Inputs!$B$20*70</f>
        <v>84</v>
      </c>
    </row>
    <row r="44" customFormat="false" ht="15" hidden="false" customHeight="false" outlineLevel="0" collapsed="false">
      <c r="A44" s="0" t="s">
        <v>379</v>
      </c>
      <c r="B44" s="0" t="s">
        <v>326</v>
      </c>
      <c r="C44" s="0" t="n">
        <v>2280</v>
      </c>
      <c r="D44" s="0" t="n">
        <v>0</v>
      </c>
      <c r="E44" s="0" t="n">
        <f aca="false">C44*D44</f>
        <v>0</v>
      </c>
      <c r="F44" s="0" t="n">
        <f aca="false">C44+E44</f>
        <v>2280</v>
      </c>
      <c r="G44" s="0" t="s">
        <v>327</v>
      </c>
      <c r="H44" s="0" t="n">
        <f aca="false">ROUNDUP(F44,0)</f>
        <v>2280</v>
      </c>
      <c r="I44" s="0" t="s">
        <v>380</v>
      </c>
      <c r="J44" s="0" t="n">
        <f aca="false">Inputs!$B$21*570</f>
        <v>2280</v>
      </c>
    </row>
    <row r="45" customFormat="false" ht="15" hidden="false" customHeight="false" outlineLevel="0" collapsed="false">
      <c r="A45" s="0" t="s">
        <v>381</v>
      </c>
      <c r="B45" s="0" t="s">
        <v>326</v>
      </c>
      <c r="C45" s="0" t="n">
        <v>78</v>
      </c>
      <c r="D45" s="0" t="n">
        <v>0</v>
      </c>
      <c r="E45" s="0" t="n">
        <f aca="false">C45*D45</f>
        <v>0</v>
      </c>
      <c r="F45" s="0" t="n">
        <f aca="false">C45+E45</f>
        <v>78</v>
      </c>
      <c r="G45" s="0" t="s">
        <v>327</v>
      </c>
      <c r="H45" s="0" t="n">
        <f aca="false">ROUNDUP(F45,0)</f>
        <v>78</v>
      </c>
      <c r="I45" s="0" t="s">
        <v>382</v>
      </c>
    </row>
    <row r="46" customFormat="false" ht="15" hidden="false" customHeight="false" outlineLevel="0" collapsed="false">
      <c r="A46" s="0" t="s">
        <v>383</v>
      </c>
      <c r="B46" s="0" t="s">
        <v>326</v>
      </c>
      <c r="C46" s="0" t="n">
        <v>32</v>
      </c>
      <c r="D46" s="0" t="n">
        <v>0</v>
      </c>
      <c r="E46" s="0" t="n">
        <f aca="false">C46*D46</f>
        <v>0</v>
      </c>
      <c r="F46" s="0" t="n">
        <f aca="false">C46+E46</f>
        <v>32</v>
      </c>
      <c r="G46" s="0" t="s">
        <v>327</v>
      </c>
      <c r="H46" s="0" t="n">
        <f aca="false">ROUNDUP(F46,0)</f>
        <v>32</v>
      </c>
      <c r="I46" s="0" t="s">
        <v>384</v>
      </c>
    </row>
    <row r="47" customFormat="false" ht="15" hidden="false" customHeight="false" outlineLevel="0" collapsed="false">
      <c r="A47" s="0" t="s">
        <v>385</v>
      </c>
      <c r="B47" s="0" t="s">
        <v>326</v>
      </c>
      <c r="C47" s="0" t="n">
        <v>3722</v>
      </c>
      <c r="D47" s="0" t="n">
        <v>0</v>
      </c>
      <c r="E47" s="0" t="n">
        <f aca="false">C47*D47</f>
        <v>0</v>
      </c>
      <c r="F47" s="0" t="n">
        <f aca="false">C47+E47</f>
        <v>3722</v>
      </c>
      <c r="G47" s="0" t="s">
        <v>327</v>
      </c>
      <c r="H47" s="0" t="n">
        <f aca="false">ROUNDUP(F47,0)</f>
        <v>3722</v>
      </c>
      <c r="I47" s="0" t="s">
        <v>386</v>
      </c>
    </row>
    <row r="48" customFormat="false" ht="15" hidden="false" customHeight="false" outlineLevel="0" collapsed="false">
      <c r="A48" s="0" t="s">
        <v>387</v>
      </c>
      <c r="B48" s="0" t="s">
        <v>326</v>
      </c>
      <c r="C48" s="0" t="n">
        <v>393</v>
      </c>
      <c r="D48" s="0" t="n">
        <v>0</v>
      </c>
      <c r="E48" s="0" t="n">
        <f aca="false">C48*D48</f>
        <v>0</v>
      </c>
      <c r="F48" s="0" t="n">
        <f aca="false">C48+E48</f>
        <v>393</v>
      </c>
      <c r="G48" s="0" t="s">
        <v>327</v>
      </c>
      <c r="H48" s="0" t="n">
        <f aca="false">ROUNDUP(F48,0)</f>
        <v>393</v>
      </c>
      <c r="I48" s="0" t="s">
        <v>388</v>
      </c>
    </row>
    <row r="49" customFormat="false" ht="15" hidden="false" customHeight="false" outlineLevel="0" collapsed="false">
      <c r="A49" s="0" t="s">
        <v>389</v>
      </c>
      <c r="B49" s="0" t="s">
        <v>326</v>
      </c>
      <c r="C49" s="0" t="n">
        <v>180</v>
      </c>
      <c r="D49" s="0" t="n">
        <v>0</v>
      </c>
      <c r="E49" s="0" t="n">
        <f aca="false">C49*D49</f>
        <v>0</v>
      </c>
      <c r="F49" s="0" t="n">
        <f aca="false">C49+E49</f>
        <v>180</v>
      </c>
      <c r="G49" s="0" t="s">
        <v>327</v>
      </c>
      <c r="H49" s="0" t="n">
        <f aca="false">ROUNDUP(F49,0)</f>
        <v>180</v>
      </c>
      <c r="I49" s="0" t="s">
        <v>390</v>
      </c>
    </row>
    <row r="50" customFormat="false" ht="15" hidden="false" customHeight="false" outlineLevel="0" collapsed="false">
      <c r="A50" s="0" t="s">
        <v>391</v>
      </c>
      <c r="B50" s="0" t="s">
        <v>326</v>
      </c>
      <c r="C50" s="0" t="n">
        <v>273.7</v>
      </c>
      <c r="D50" s="0" t="n">
        <v>0</v>
      </c>
      <c r="E50" s="0" t="n">
        <f aca="false">C50*D50</f>
        <v>0</v>
      </c>
      <c r="F50" s="0" t="n">
        <f aca="false">C50+E50</f>
        <v>273.7</v>
      </c>
      <c r="G50" s="0" t="s">
        <v>327</v>
      </c>
      <c r="H50" s="0" t="n">
        <f aca="false">ROUNDUP(F50,0)</f>
        <v>274</v>
      </c>
      <c r="I50" s="0" t="s">
        <v>392</v>
      </c>
    </row>
    <row r="51" customFormat="false" ht="15" hidden="false" customHeight="false" outlineLevel="0" collapsed="false">
      <c r="A51" s="0" t="s">
        <v>393</v>
      </c>
      <c r="B51" s="0" t="s">
        <v>326</v>
      </c>
      <c r="C51" s="0" t="n">
        <v>581.52</v>
      </c>
      <c r="D51" s="0" t="n">
        <v>0</v>
      </c>
      <c r="E51" s="0" t="n">
        <f aca="false">C51*D51</f>
        <v>0</v>
      </c>
      <c r="F51" s="0" t="n">
        <f aca="false">C51+E51</f>
        <v>581.52</v>
      </c>
      <c r="G51" s="0" t="s">
        <v>327</v>
      </c>
      <c r="H51" s="0" t="n">
        <f aca="false">ROUNDUP(F51,0)</f>
        <v>582</v>
      </c>
      <c r="I51" s="0" t="s">
        <v>394</v>
      </c>
    </row>
    <row r="52" customFormat="false" ht="15" hidden="false" customHeight="false" outlineLevel="0" collapsed="false">
      <c r="A52" s="0" t="s">
        <v>395</v>
      </c>
      <c r="B52" s="0" t="s">
        <v>326</v>
      </c>
      <c r="C52" s="0" t="n">
        <v>1532.33</v>
      </c>
      <c r="D52" s="0" t="n">
        <v>0</v>
      </c>
      <c r="E52" s="0" t="n">
        <f aca="false">C52*D52</f>
        <v>0</v>
      </c>
      <c r="F52" s="0" t="n">
        <f aca="false">C52+E52</f>
        <v>1532.33</v>
      </c>
      <c r="G52" s="0" t="s">
        <v>327</v>
      </c>
      <c r="H52" s="0" t="n">
        <f aca="false">ROUNDUP(F52,0)</f>
        <v>1533</v>
      </c>
      <c r="I52" s="0" t="s">
        <v>396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60"/>
  </cols>
  <sheetData>
    <row r="1" customFormat="false" ht="15" hidden="false" customHeight="false" outlineLevel="0" collapsed="false">
      <c r="A1" s="2" t="s">
        <v>397</v>
      </c>
      <c r="B1" s="2" t="s">
        <v>398</v>
      </c>
      <c r="C1" s="2" t="s">
        <v>399</v>
      </c>
    </row>
    <row r="2" customFormat="false" ht="15" hidden="false" customHeight="false" outlineLevel="0" collapsed="false">
      <c r="A2" s="0" t="s">
        <v>400</v>
      </c>
      <c r="B2" s="0" t="s">
        <v>401</v>
      </c>
      <c r="C2" s="0" t="s">
        <v>402</v>
      </c>
    </row>
    <row r="3" customFormat="false" ht="15" hidden="false" customHeight="false" outlineLevel="0" collapsed="false">
      <c r="A3" s="0" t="s">
        <v>403</v>
      </c>
      <c r="B3" s="0" t="s">
        <v>404</v>
      </c>
      <c r="C3" s="0" t="s">
        <v>405</v>
      </c>
    </row>
    <row r="4" customFormat="false" ht="15" hidden="false" customHeight="false" outlineLevel="0" collapsed="false">
      <c r="A4" s="0" t="s">
        <v>406</v>
      </c>
      <c r="B4" s="0" t="s">
        <v>407</v>
      </c>
      <c r="C4" s="0" t="s">
        <v>408</v>
      </c>
    </row>
    <row r="5" customFormat="false" ht="15" hidden="false" customHeight="false" outlineLevel="0" collapsed="false">
      <c r="A5" s="0" t="s">
        <v>409</v>
      </c>
      <c r="B5" s="0" t="s">
        <v>410</v>
      </c>
      <c r="C5" s="0" t="s">
        <v>411</v>
      </c>
    </row>
    <row r="6" customFormat="false" ht="15" hidden="false" customHeight="false" outlineLevel="0" collapsed="false">
      <c r="A6" s="0" t="s">
        <v>412</v>
      </c>
      <c r="B6" s="0" t="s">
        <v>413</v>
      </c>
      <c r="C6" s="0" t="s">
        <v>414</v>
      </c>
    </row>
    <row r="7" customFormat="false" ht="15" hidden="false" customHeight="false" outlineLevel="0" collapsed="false">
      <c r="A7" s="0" t="s">
        <v>415</v>
      </c>
      <c r="B7" s="0" t="s">
        <v>416</v>
      </c>
      <c r="C7" s="0" t="s">
        <v>417</v>
      </c>
    </row>
    <row r="8" customFormat="false" ht="15" hidden="false" customHeight="false" outlineLevel="0" collapsed="false">
      <c r="A8" s="0" t="s">
        <v>418</v>
      </c>
      <c r="B8" s="0" t="s">
        <v>419</v>
      </c>
      <c r="C8" s="0" t="s">
        <v>420</v>
      </c>
    </row>
    <row r="9" customFormat="false" ht="15" hidden="false" customHeight="false" outlineLevel="0" collapsed="false">
      <c r="A9" s="0" t="s">
        <v>421</v>
      </c>
      <c r="B9" s="0" t="s">
        <v>422</v>
      </c>
      <c r="C9" s="0" t="s">
        <v>423</v>
      </c>
    </row>
    <row r="10" customFormat="false" ht="15" hidden="false" customHeight="false" outlineLevel="0" collapsed="false">
      <c r="A10" s="0" t="s">
        <v>424</v>
      </c>
      <c r="B10" s="0" t="s">
        <v>425</v>
      </c>
      <c r="C10" s="0" t="s">
        <v>426</v>
      </c>
    </row>
    <row r="11" customFormat="false" ht="15" hidden="false" customHeight="false" outlineLevel="0" collapsed="false">
      <c r="A11" s="0" t="s">
        <v>427</v>
      </c>
      <c r="B11" s="0" t="s">
        <v>428</v>
      </c>
      <c r="C11" s="0" t="s">
        <v>429</v>
      </c>
    </row>
    <row r="12" customFormat="false" ht="15" hidden="false" customHeight="false" outlineLevel="0" collapsed="false">
      <c r="A12" s="0" t="s">
        <v>430</v>
      </c>
      <c r="B12" s="0" t="s">
        <v>431</v>
      </c>
      <c r="C12" s="0" t="s">
        <v>432</v>
      </c>
    </row>
    <row r="13" customFormat="false" ht="15" hidden="false" customHeight="false" outlineLevel="0" collapsed="false">
      <c r="A13" s="0" t="s">
        <v>433</v>
      </c>
      <c r="B13" s="0" t="s">
        <v>434</v>
      </c>
      <c r="C13" s="0" t="s">
        <v>426</v>
      </c>
    </row>
    <row r="14" customFormat="false" ht="15" hidden="false" customHeight="false" outlineLevel="0" collapsed="false">
      <c r="A14" s="0" t="s">
        <v>435</v>
      </c>
      <c r="B14" s="0" t="s">
        <v>436</v>
      </c>
      <c r="C14" s="0" t="s">
        <v>426</v>
      </c>
    </row>
    <row r="15" customFormat="false" ht="15" hidden="false" customHeight="false" outlineLevel="0" collapsed="false">
      <c r="A15" s="0" t="s">
        <v>437</v>
      </c>
      <c r="B15" s="0" t="s">
        <v>438</v>
      </c>
      <c r="C15" s="0" t="s">
        <v>439</v>
      </c>
    </row>
    <row r="16" customFormat="false" ht="15" hidden="false" customHeight="false" outlineLevel="0" collapsed="false">
      <c r="A16" s="0" t="s">
        <v>440</v>
      </c>
      <c r="B16" s="0" t="s">
        <v>441</v>
      </c>
      <c r="C16" s="0" t="s">
        <v>426</v>
      </c>
    </row>
    <row r="17" customFormat="false" ht="15" hidden="false" customHeight="false" outlineLevel="0" collapsed="false">
      <c r="A17" s="0" t="s">
        <v>442</v>
      </c>
      <c r="B17" s="0" t="s">
        <v>443</v>
      </c>
      <c r="C17" s="0" t="s">
        <v>426</v>
      </c>
    </row>
    <row r="18" customFormat="false" ht="15" hidden="false" customHeight="false" outlineLevel="0" collapsed="false">
      <c r="A18" s="0" t="s">
        <v>444</v>
      </c>
      <c r="B18" s="0" t="s">
        <v>445</v>
      </c>
      <c r="C18" s="0" t="s">
        <v>426</v>
      </c>
    </row>
    <row r="19" customFormat="false" ht="15" hidden="false" customHeight="false" outlineLevel="0" collapsed="false">
      <c r="A19" s="0" t="s">
        <v>446</v>
      </c>
      <c r="B19" s="0" t="s">
        <v>447</v>
      </c>
      <c r="C19" s="0" t="s">
        <v>448</v>
      </c>
    </row>
    <row r="20" customFormat="false" ht="15" hidden="false" customHeight="false" outlineLevel="0" collapsed="false">
      <c r="A20" s="0" t="s">
        <v>449</v>
      </c>
      <c r="B20" s="0" t="s">
        <v>450</v>
      </c>
      <c r="C20" s="0" t="s">
        <v>451</v>
      </c>
    </row>
    <row r="21" customFormat="false" ht="15" hidden="false" customHeight="false" outlineLevel="0" collapsed="false">
      <c r="A21" s="0" t="s">
        <v>452</v>
      </c>
      <c r="B21" s="0" t="s">
        <v>453</v>
      </c>
      <c r="C21" s="0" t="s">
        <v>454</v>
      </c>
    </row>
    <row r="22" customFormat="false" ht="15" hidden="false" customHeight="false" outlineLevel="0" collapsed="false">
      <c r="A22" s="0" t="s">
        <v>455</v>
      </c>
      <c r="B22" s="0" t="s">
        <v>456</v>
      </c>
      <c r="C22" s="0" t="s">
        <v>457</v>
      </c>
    </row>
    <row r="23" customFormat="false" ht="15" hidden="false" customHeight="false" outlineLevel="0" collapsed="false">
      <c r="A23" s="0" t="s">
        <v>458</v>
      </c>
      <c r="B23" s="0" t="s">
        <v>459</v>
      </c>
      <c r="C23" s="0" t="s">
        <v>426</v>
      </c>
    </row>
    <row r="24" customFormat="false" ht="15" hidden="false" customHeight="false" outlineLevel="0" collapsed="false">
      <c r="A24" s="0" t="s">
        <v>460</v>
      </c>
      <c r="B24" s="0" t="s">
        <v>461</v>
      </c>
      <c r="C24" s="0" t="s">
        <v>462</v>
      </c>
    </row>
    <row r="25" customFormat="false" ht="15" hidden="false" customHeight="false" outlineLevel="0" collapsed="false">
      <c r="A25" s="0" t="s">
        <v>463</v>
      </c>
      <c r="B25" s="0" t="s">
        <v>464</v>
      </c>
      <c r="C25" s="0" t="s">
        <v>465</v>
      </c>
    </row>
    <row r="26" customFormat="false" ht="15" hidden="false" customHeight="false" outlineLevel="0" collapsed="false">
      <c r="A26" s="0" t="s">
        <v>466</v>
      </c>
      <c r="B26" s="0" t="s">
        <v>467</v>
      </c>
      <c r="C26" s="0" t="s">
        <v>426</v>
      </c>
    </row>
    <row r="27" customFormat="false" ht="15" hidden="false" customHeight="false" outlineLevel="0" collapsed="false">
      <c r="A27" s="0" t="s">
        <v>468</v>
      </c>
      <c r="B27" s="0" t="s">
        <v>469</v>
      </c>
      <c r="C27" s="0" t="s">
        <v>426</v>
      </c>
    </row>
    <row r="28" customFormat="false" ht="15" hidden="false" customHeight="false" outlineLevel="0" collapsed="false">
      <c r="A28" s="0" t="s">
        <v>470</v>
      </c>
      <c r="B28" s="0" t="s">
        <v>471</v>
      </c>
      <c r="C28" s="0" t="s">
        <v>472</v>
      </c>
    </row>
    <row r="29" customFormat="false" ht="15" hidden="false" customHeight="false" outlineLevel="0" collapsed="false">
      <c r="A29" s="0" t="s">
        <v>473</v>
      </c>
      <c r="B29" s="0" t="s">
        <v>474</v>
      </c>
      <c r="C29" s="0" t="s">
        <v>475</v>
      </c>
    </row>
    <row r="30" customFormat="false" ht="15" hidden="false" customHeight="false" outlineLevel="0" collapsed="false">
      <c r="A30" s="0" t="s">
        <v>476</v>
      </c>
      <c r="B30" s="0" t="s">
        <v>477</v>
      </c>
      <c r="C30" s="0" t="s">
        <v>478</v>
      </c>
    </row>
    <row r="31" customFormat="false" ht="15" hidden="false" customHeight="false" outlineLevel="0" collapsed="false">
      <c r="A31" s="0" t="s">
        <v>479</v>
      </c>
      <c r="B31" s="0" t="s">
        <v>480</v>
      </c>
      <c r="C31" s="0" t="s">
        <v>481</v>
      </c>
    </row>
    <row r="32" customFormat="false" ht="15" hidden="false" customHeight="false" outlineLevel="0" collapsed="false">
      <c r="A32" s="0" t="s">
        <v>482</v>
      </c>
      <c r="B32" s="0" t="s">
        <v>483</v>
      </c>
      <c r="C32" s="0" t="s">
        <v>426</v>
      </c>
    </row>
    <row r="33" customFormat="false" ht="15" hidden="false" customHeight="false" outlineLevel="0" collapsed="false">
      <c r="A33" s="0" t="s">
        <v>484</v>
      </c>
      <c r="B33" s="0" t="s">
        <v>485</v>
      </c>
      <c r="C33" s="0" t="s">
        <v>486</v>
      </c>
    </row>
    <row r="34" customFormat="false" ht="15" hidden="false" customHeight="false" outlineLevel="0" collapsed="false">
      <c r="A34" s="0" t="s">
        <v>487</v>
      </c>
      <c r="B34" s="0" t="s">
        <v>488</v>
      </c>
      <c r="C34" s="0" t="s">
        <v>426</v>
      </c>
    </row>
    <row r="35" customFormat="false" ht="15" hidden="false" customHeight="false" outlineLevel="0" collapsed="false">
      <c r="A35" s="0" t="s">
        <v>489</v>
      </c>
      <c r="B35" s="0" t="s">
        <v>490</v>
      </c>
      <c r="C35" s="0" t="s">
        <v>426</v>
      </c>
    </row>
    <row r="36" customFormat="false" ht="15" hidden="false" customHeight="false" outlineLevel="0" collapsed="false">
      <c r="A36" s="0" t="s">
        <v>491</v>
      </c>
      <c r="B36" s="0" t="s">
        <v>492</v>
      </c>
      <c r="C36" s="0" t="s">
        <v>493</v>
      </c>
    </row>
    <row r="37" customFormat="false" ht="15" hidden="false" customHeight="false" outlineLevel="0" collapsed="false">
      <c r="A37" s="0" t="s">
        <v>494</v>
      </c>
      <c r="B37" s="0" t="s">
        <v>495</v>
      </c>
      <c r="C37" s="0" t="s">
        <v>426</v>
      </c>
    </row>
    <row r="38" customFormat="false" ht="15" hidden="false" customHeight="false" outlineLevel="0" collapsed="false">
      <c r="A38" s="0" t="s">
        <v>496</v>
      </c>
      <c r="B38" s="0" t="s">
        <v>497</v>
      </c>
      <c r="C38" s="0" t="s">
        <v>426</v>
      </c>
    </row>
    <row r="39" customFormat="false" ht="15" hidden="false" customHeight="false" outlineLevel="0" collapsed="false">
      <c r="A39" s="0" t="s">
        <v>498</v>
      </c>
      <c r="B39" s="0" t="s">
        <v>499</v>
      </c>
      <c r="C39" s="0" t="s">
        <v>500</v>
      </c>
    </row>
    <row r="40" customFormat="false" ht="15" hidden="false" customHeight="false" outlineLevel="0" collapsed="false">
      <c r="A40" s="0" t="s">
        <v>501</v>
      </c>
      <c r="B40" s="0" t="s">
        <v>502</v>
      </c>
      <c r="C40" s="0" t="s">
        <v>426</v>
      </c>
    </row>
    <row r="41" customFormat="false" ht="15" hidden="false" customHeight="false" outlineLevel="0" collapsed="false">
      <c r="A41" s="0" t="s">
        <v>503</v>
      </c>
      <c r="B41" s="0" t="s">
        <v>504</v>
      </c>
      <c r="C41" s="0" t="s">
        <v>426</v>
      </c>
    </row>
    <row r="42" customFormat="false" ht="15" hidden="false" customHeight="false" outlineLevel="0" collapsed="false">
      <c r="A42" s="0" t="s">
        <v>505</v>
      </c>
      <c r="B42" s="0" t="s">
        <v>506</v>
      </c>
      <c r="C42" s="0" t="s">
        <v>426</v>
      </c>
    </row>
    <row r="43" customFormat="false" ht="15" hidden="false" customHeight="false" outlineLevel="0" collapsed="false">
      <c r="A43" s="0" t="s">
        <v>507</v>
      </c>
      <c r="B43" s="0" t="s">
        <v>508</v>
      </c>
      <c r="C43" s="0" t="s">
        <v>426</v>
      </c>
    </row>
    <row r="44" customFormat="false" ht="15" hidden="false" customHeight="false" outlineLevel="0" collapsed="false">
      <c r="A44" s="0" t="s">
        <v>509</v>
      </c>
      <c r="B44" s="0" t="s">
        <v>510</v>
      </c>
      <c r="C44" s="0" t="s">
        <v>426</v>
      </c>
    </row>
    <row r="45" customFormat="false" ht="15" hidden="false" customHeight="false" outlineLevel="0" collapsed="false">
      <c r="A45" s="0" t="s">
        <v>511</v>
      </c>
      <c r="B45" s="0" t="s">
        <v>512</v>
      </c>
      <c r="C45" s="0" t="s">
        <v>513</v>
      </c>
    </row>
    <row r="46" customFormat="false" ht="15" hidden="false" customHeight="false" outlineLevel="0" collapsed="false">
      <c r="A46" s="0" t="s">
        <v>514</v>
      </c>
      <c r="B46" s="0" t="s">
        <v>515</v>
      </c>
      <c r="C46" s="0" t="s">
        <v>516</v>
      </c>
    </row>
    <row r="47" customFormat="false" ht="15" hidden="false" customHeight="false" outlineLevel="0" collapsed="false">
      <c r="A47" s="0" t="s">
        <v>517</v>
      </c>
      <c r="B47" s="0" t="s">
        <v>518</v>
      </c>
      <c r="C47" s="0" t="s">
        <v>519</v>
      </c>
    </row>
    <row r="48" customFormat="false" ht="15" hidden="false" customHeight="false" outlineLevel="0" collapsed="false">
      <c r="A48" s="0" t="s">
        <v>520</v>
      </c>
      <c r="B48" s="0" t="s">
        <v>521</v>
      </c>
      <c r="C48" s="0" t="s">
        <v>522</v>
      </c>
    </row>
    <row r="49" customFormat="false" ht="15" hidden="false" customHeight="false" outlineLevel="0" collapsed="false">
      <c r="A49" s="0" t="s">
        <v>523</v>
      </c>
      <c r="B49" s="0" t="s">
        <v>524</v>
      </c>
      <c r="C49" s="0" t="s">
        <v>525</v>
      </c>
    </row>
    <row r="50" customFormat="false" ht="15" hidden="false" customHeight="false" outlineLevel="0" collapsed="false">
      <c r="A50" s="0" t="s">
        <v>526</v>
      </c>
      <c r="B50" s="0" t="s">
        <v>527</v>
      </c>
      <c r="C50" s="0" t="s">
        <v>528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12"/>
    <col collapsed="false" customWidth="true" hidden="false" outlineLevel="0" max="3" min="3" style="0" width="14"/>
    <col collapsed="false" customWidth="true" hidden="false" outlineLevel="0" max="4" min="4" style="0" width="60"/>
    <col collapsed="false" customWidth="true" hidden="false" outlineLevel="0" max="5" min="5" style="0" width="16"/>
    <col collapsed="false" customWidth="true" hidden="false" outlineLevel="0" max="6" min="6" style="0" width="58"/>
  </cols>
  <sheetData>
    <row r="1" customFormat="false" ht="15" hidden="false" customHeight="false" outlineLevel="0" collapsed="false">
      <c r="A1" s="0" t="s">
        <v>529</v>
      </c>
    </row>
    <row r="2" customFormat="false" ht="15" hidden="false" customHeight="false" outlineLevel="0" collapsed="false">
      <c r="A2" s="0" t="s">
        <v>530</v>
      </c>
      <c r="B2" s="0" t="s">
        <v>531</v>
      </c>
      <c r="C2" s="0" t="s">
        <v>532</v>
      </c>
      <c r="D2" s="0" t="s">
        <v>533</v>
      </c>
      <c r="E2" s="0" t="s">
        <v>534</v>
      </c>
      <c r="F2" s="0" t="s">
        <v>535</v>
      </c>
    </row>
    <row r="3" customFormat="false" ht="15" hidden="false" customHeight="false" outlineLevel="0" collapsed="false">
      <c r="A3" s="0" t="s">
        <v>536</v>
      </c>
      <c r="B3" s="0" t="s">
        <v>537</v>
      </c>
      <c r="C3" s="0" t="s">
        <v>538</v>
      </c>
      <c r="D3" s="0" t="s">
        <v>539</v>
      </c>
      <c r="E3" s="0" t="s">
        <v>75</v>
      </c>
      <c r="F3" s="0" t="s">
        <v>540</v>
      </c>
    </row>
    <row r="4" customFormat="false" ht="15" hidden="false" customHeight="false" outlineLevel="0" collapsed="false">
      <c r="A4" s="0" t="s">
        <v>541</v>
      </c>
      <c r="B4" s="0" t="s">
        <v>537</v>
      </c>
      <c r="C4" s="0" t="s">
        <v>542</v>
      </c>
      <c r="D4" s="0" t="s">
        <v>543</v>
      </c>
      <c r="E4" s="0" t="s">
        <v>75</v>
      </c>
      <c r="F4" s="0" t="s">
        <v>544</v>
      </c>
    </row>
    <row r="5" customFormat="false" ht="15" hidden="false" customHeight="false" outlineLevel="0" collapsed="false">
      <c r="A5" s="0" t="s">
        <v>545</v>
      </c>
      <c r="B5" s="0" t="s">
        <v>537</v>
      </c>
      <c r="C5" s="0" t="s">
        <v>546</v>
      </c>
      <c r="D5" s="0" t="s">
        <v>547</v>
      </c>
      <c r="E5" s="0" t="s">
        <v>75</v>
      </c>
      <c r="F5" s="0" t="s">
        <v>548</v>
      </c>
    </row>
    <row r="6" customFormat="false" ht="15" hidden="false" customHeight="false" outlineLevel="0" collapsed="false">
      <c r="A6" s="0" t="s">
        <v>549</v>
      </c>
      <c r="B6" s="0" t="s">
        <v>537</v>
      </c>
      <c r="C6" s="0" t="s">
        <v>550</v>
      </c>
      <c r="D6" s="0" t="s">
        <v>551</v>
      </c>
      <c r="E6" s="0" t="s">
        <v>75</v>
      </c>
      <c r="F6" s="0" t="s">
        <v>552</v>
      </c>
    </row>
    <row r="7" customFormat="false" ht="15" hidden="false" customHeight="false" outlineLevel="0" collapsed="false">
      <c r="A7" s="0" t="s">
        <v>553</v>
      </c>
      <c r="B7" s="0" t="s">
        <v>537</v>
      </c>
      <c r="C7" s="0" t="s">
        <v>554</v>
      </c>
      <c r="D7" s="0" t="s">
        <v>555</v>
      </c>
      <c r="E7" s="0" t="s">
        <v>144</v>
      </c>
      <c r="F7" s="0" t="s">
        <v>556</v>
      </c>
    </row>
    <row r="8" customFormat="false" ht="15" hidden="false" customHeight="false" outlineLevel="0" collapsed="false">
      <c r="A8" s="0" t="s">
        <v>557</v>
      </c>
      <c r="B8" s="0" t="s">
        <v>537</v>
      </c>
      <c r="C8" s="0" t="s">
        <v>558</v>
      </c>
      <c r="D8" s="0" t="s">
        <v>559</v>
      </c>
      <c r="E8" s="0" t="s">
        <v>144</v>
      </c>
      <c r="F8" s="0" t="s">
        <v>556</v>
      </c>
    </row>
    <row r="9" customFormat="false" ht="15" hidden="false" customHeight="false" outlineLevel="0" collapsed="false">
      <c r="A9" s="0" t="s">
        <v>560</v>
      </c>
      <c r="B9" s="0" t="s">
        <v>537</v>
      </c>
      <c r="C9" s="0" t="s">
        <v>561</v>
      </c>
      <c r="D9" s="0" t="s">
        <v>562</v>
      </c>
      <c r="E9" s="0" t="s">
        <v>144</v>
      </c>
      <c r="F9" s="0" t="s">
        <v>556</v>
      </c>
    </row>
    <row r="10" customFormat="false" ht="15" hidden="false" customHeight="false" outlineLevel="0" collapsed="false">
      <c r="A10" s="0" t="s">
        <v>563</v>
      </c>
      <c r="B10" s="0" t="s">
        <v>537</v>
      </c>
      <c r="C10" s="0" t="s">
        <v>564</v>
      </c>
      <c r="D10" s="0" t="s">
        <v>565</v>
      </c>
      <c r="E10" s="0" t="s">
        <v>144</v>
      </c>
      <c r="F10" s="0" t="s">
        <v>556</v>
      </c>
    </row>
    <row r="11" customFormat="false" ht="15" hidden="false" customHeight="false" outlineLevel="0" collapsed="false">
      <c r="A11" s="0" t="s">
        <v>566</v>
      </c>
      <c r="B11" s="0" t="s">
        <v>537</v>
      </c>
      <c r="C11" s="0" t="s">
        <v>567</v>
      </c>
      <c r="D11" s="0" t="s">
        <v>568</v>
      </c>
      <c r="E11" s="0" t="s">
        <v>144</v>
      </c>
      <c r="F11" s="0" t="s">
        <v>556</v>
      </c>
    </row>
    <row r="12" customFormat="false" ht="15" hidden="false" customHeight="false" outlineLevel="0" collapsed="false">
      <c r="A12" s="0" t="s">
        <v>569</v>
      </c>
      <c r="B12" s="0" t="s">
        <v>537</v>
      </c>
      <c r="C12" s="0" t="s">
        <v>570</v>
      </c>
      <c r="D12" s="0" t="s">
        <v>571</v>
      </c>
      <c r="E12" s="0" t="s">
        <v>144</v>
      </c>
      <c r="F12" s="0" t="s">
        <v>556</v>
      </c>
    </row>
    <row r="13" customFormat="false" ht="15" hidden="false" customHeight="false" outlineLevel="0" collapsed="false">
      <c r="A13" s="0" t="s">
        <v>572</v>
      </c>
      <c r="B13" s="0" t="s">
        <v>537</v>
      </c>
      <c r="C13" s="0" t="s">
        <v>573</v>
      </c>
      <c r="D13" s="0" t="s">
        <v>574</v>
      </c>
      <c r="E13" s="0" t="s">
        <v>144</v>
      </c>
      <c r="F13" s="0" t="s">
        <v>556</v>
      </c>
    </row>
    <row r="14" customFormat="false" ht="15" hidden="false" customHeight="false" outlineLevel="0" collapsed="false">
      <c r="A14" s="0" t="s">
        <v>575</v>
      </c>
      <c r="B14" s="0" t="s">
        <v>537</v>
      </c>
      <c r="C14" s="0" t="s">
        <v>576</v>
      </c>
      <c r="D14" s="0" t="s">
        <v>577</v>
      </c>
      <c r="E14" s="0" t="s">
        <v>144</v>
      </c>
      <c r="F14" s="0" t="s">
        <v>556</v>
      </c>
    </row>
    <row r="15" customFormat="false" ht="15" hidden="false" customHeight="false" outlineLevel="0" collapsed="false">
      <c r="A15" s="0" t="s">
        <v>578</v>
      </c>
      <c r="B15" s="0" t="s">
        <v>537</v>
      </c>
      <c r="C15" s="0" t="s">
        <v>579</v>
      </c>
      <c r="D15" s="0" t="s">
        <v>580</v>
      </c>
      <c r="E15" s="0" t="s">
        <v>144</v>
      </c>
      <c r="F15" s="0" t="s">
        <v>556</v>
      </c>
    </row>
    <row r="16" customFormat="false" ht="15" hidden="false" customHeight="false" outlineLevel="0" collapsed="false">
      <c r="A16" s="0" t="s">
        <v>581</v>
      </c>
      <c r="B16" s="0" t="s">
        <v>537</v>
      </c>
      <c r="C16" s="0" t="s">
        <v>582</v>
      </c>
      <c r="D16" s="0" t="s">
        <v>583</v>
      </c>
      <c r="E16" s="0" t="s">
        <v>144</v>
      </c>
      <c r="F16" s="0" t="s">
        <v>556</v>
      </c>
    </row>
    <row r="17" customFormat="false" ht="15" hidden="false" customHeight="false" outlineLevel="0" collapsed="false">
      <c r="A17" s="0" t="s">
        <v>584</v>
      </c>
      <c r="B17" s="0" t="s">
        <v>537</v>
      </c>
      <c r="C17" s="0" t="s">
        <v>585</v>
      </c>
      <c r="D17" s="0" t="s">
        <v>586</v>
      </c>
      <c r="E17" s="0" t="s">
        <v>144</v>
      </c>
      <c r="F17" s="0" t="s">
        <v>556</v>
      </c>
    </row>
    <row r="18" customFormat="false" ht="15" hidden="false" customHeight="false" outlineLevel="0" collapsed="false">
      <c r="A18" s="0" t="s">
        <v>587</v>
      </c>
      <c r="B18" s="0" t="s">
        <v>537</v>
      </c>
      <c r="C18" s="0" t="s">
        <v>588</v>
      </c>
      <c r="D18" s="0" t="s">
        <v>589</v>
      </c>
      <c r="E18" s="0" t="s">
        <v>144</v>
      </c>
      <c r="F18" s="0" t="s">
        <v>556</v>
      </c>
    </row>
    <row r="19" customFormat="false" ht="15" hidden="false" customHeight="false" outlineLevel="0" collapsed="false">
      <c r="A19" s="0" t="s">
        <v>590</v>
      </c>
      <c r="B19" s="0" t="s">
        <v>537</v>
      </c>
      <c r="C19" s="0" t="s">
        <v>591</v>
      </c>
      <c r="D19" s="0" t="s">
        <v>592</v>
      </c>
      <c r="E19" s="0" t="s">
        <v>144</v>
      </c>
      <c r="F19" s="0" t="s">
        <v>556</v>
      </c>
    </row>
    <row r="20" customFormat="false" ht="15" hidden="false" customHeight="false" outlineLevel="0" collapsed="false">
      <c r="A20" s="0" t="s">
        <v>593</v>
      </c>
      <c r="B20" s="0" t="s">
        <v>594</v>
      </c>
      <c r="C20" s="0" t="n">
        <v>1</v>
      </c>
      <c r="D20" s="0" t="s">
        <v>595</v>
      </c>
      <c r="E20" s="0" t="s">
        <v>596</v>
      </c>
      <c r="F20" s="0" t="s">
        <v>597</v>
      </c>
    </row>
    <row r="21" customFormat="false" ht="15" hidden="false" customHeight="false" outlineLevel="0" collapsed="false">
      <c r="A21" s="0" t="s">
        <v>598</v>
      </c>
      <c r="B21" s="0" t="s">
        <v>594</v>
      </c>
      <c r="C21" s="0" t="n">
        <v>2</v>
      </c>
      <c r="D21" s="0" t="s">
        <v>599</v>
      </c>
      <c r="E21" s="0" t="s">
        <v>600</v>
      </c>
      <c r="F21" s="0" t="s">
        <v>597</v>
      </c>
    </row>
    <row r="22" customFormat="false" ht="15" hidden="false" customHeight="false" outlineLevel="0" collapsed="false">
      <c r="A22" s="0" t="s">
        <v>601</v>
      </c>
      <c r="B22" s="0" t="s">
        <v>594</v>
      </c>
      <c r="C22" s="0" t="n">
        <v>3</v>
      </c>
      <c r="D22" s="0" t="s">
        <v>602</v>
      </c>
      <c r="E22" s="0" t="s">
        <v>603</v>
      </c>
      <c r="F22" s="0" t="s">
        <v>597</v>
      </c>
    </row>
    <row r="23" customFormat="false" ht="15" hidden="false" customHeight="false" outlineLevel="0" collapsed="false">
      <c r="A23" s="0" t="s">
        <v>604</v>
      </c>
      <c r="B23" s="0" t="s">
        <v>594</v>
      </c>
      <c r="C23" s="0" t="n">
        <v>4</v>
      </c>
      <c r="D23" s="0" t="s">
        <v>605</v>
      </c>
      <c r="E23" s="0" t="s">
        <v>606</v>
      </c>
      <c r="F23" s="0" t="s">
        <v>597</v>
      </c>
    </row>
    <row r="24" customFormat="false" ht="15" hidden="false" customHeight="false" outlineLevel="0" collapsed="false">
      <c r="A24" s="0" t="s">
        <v>607</v>
      </c>
      <c r="B24" s="0" t="s">
        <v>594</v>
      </c>
      <c r="C24" s="0" t="n">
        <v>5</v>
      </c>
      <c r="D24" s="0" t="s">
        <v>608</v>
      </c>
      <c r="E24" s="0" t="s">
        <v>609</v>
      </c>
      <c r="F24" s="0" t="s">
        <v>597</v>
      </c>
    </row>
    <row r="25" customFormat="false" ht="15" hidden="false" customHeight="false" outlineLevel="0" collapsed="false">
      <c r="A25" s="0" t="s">
        <v>610</v>
      </c>
      <c r="B25" s="0" t="s">
        <v>594</v>
      </c>
      <c r="C25" s="0" t="n">
        <v>6</v>
      </c>
      <c r="D25" s="0" t="s">
        <v>611</v>
      </c>
      <c r="E25" s="0" t="s">
        <v>612</v>
      </c>
      <c r="F25" s="0" t="s">
        <v>597</v>
      </c>
    </row>
    <row r="26" customFormat="false" ht="15" hidden="false" customHeight="false" outlineLevel="0" collapsed="false">
      <c r="A26" s="0" t="s">
        <v>613</v>
      </c>
      <c r="B26" s="0" t="s">
        <v>594</v>
      </c>
      <c r="C26" s="0" t="n">
        <v>7</v>
      </c>
      <c r="D26" s="0" t="s">
        <v>614</v>
      </c>
      <c r="E26" s="0" t="s">
        <v>615</v>
      </c>
      <c r="F26" s="0" t="s">
        <v>597</v>
      </c>
    </row>
    <row r="27" customFormat="false" ht="15" hidden="false" customHeight="false" outlineLevel="0" collapsed="false">
      <c r="A27" s="0" t="s">
        <v>616</v>
      </c>
      <c r="B27" s="0" t="s">
        <v>594</v>
      </c>
      <c r="C27" s="0" t="n">
        <v>8</v>
      </c>
      <c r="D27" s="0" t="s">
        <v>617</v>
      </c>
      <c r="E27" s="0" t="s">
        <v>618</v>
      </c>
      <c r="F27" s="0" t="s">
        <v>619</v>
      </c>
    </row>
    <row r="28" customFormat="false" ht="15" hidden="false" customHeight="false" outlineLevel="0" collapsed="false">
      <c r="A28" s="0" t="s">
        <v>620</v>
      </c>
      <c r="B28" s="0" t="s">
        <v>594</v>
      </c>
      <c r="C28" s="0" t="n">
        <v>9</v>
      </c>
      <c r="D28" s="0" t="s">
        <v>621</v>
      </c>
      <c r="E28" s="0" t="s">
        <v>622</v>
      </c>
      <c r="F28" s="0" t="s">
        <v>619</v>
      </c>
    </row>
    <row r="29" customFormat="false" ht="15" hidden="false" customHeight="false" outlineLevel="0" collapsed="false">
      <c r="A29" s="0" t="s">
        <v>623</v>
      </c>
      <c r="B29" s="0" t="s">
        <v>594</v>
      </c>
      <c r="C29" s="0" t="n">
        <v>10</v>
      </c>
      <c r="D29" s="0" t="s">
        <v>624</v>
      </c>
      <c r="E29" s="0" t="s">
        <v>625</v>
      </c>
      <c r="F29" s="0" t="s">
        <v>619</v>
      </c>
    </row>
    <row r="30" customFormat="false" ht="15" hidden="false" customHeight="false" outlineLevel="0" collapsed="false">
      <c r="A30" s="0" t="s">
        <v>626</v>
      </c>
      <c r="B30" s="0" t="s">
        <v>594</v>
      </c>
      <c r="C30" s="0" t="n">
        <v>11</v>
      </c>
      <c r="D30" s="0" t="s">
        <v>627</v>
      </c>
      <c r="E30" s="0" t="s">
        <v>628</v>
      </c>
      <c r="F30" s="0" t="s">
        <v>619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60"/>
    <col collapsed="false" customWidth="true" hidden="false" outlineLevel="0" max="3" min="3" style="0" width="16"/>
    <col collapsed="false" customWidth="true" hidden="false" outlineLevel="0" max="4" min="4" style="0" width="60"/>
  </cols>
  <sheetData>
    <row r="1" customFormat="false" ht="15" hidden="false" customHeight="false" outlineLevel="0" collapsed="false">
      <c r="A1" s="0" t="s">
        <v>629</v>
      </c>
      <c r="B1" s="0" t="s">
        <v>630</v>
      </c>
      <c r="C1" s="0" t="s">
        <v>69</v>
      </c>
      <c r="D1" s="0" t="s">
        <v>631</v>
      </c>
    </row>
    <row r="2" customFormat="false" ht="15" hidden="false" customHeight="false" outlineLevel="0" collapsed="false">
      <c r="A2" s="0" t="s">
        <v>632</v>
      </c>
      <c r="B2" s="0" t="s">
        <v>633</v>
      </c>
      <c r="C2" s="0" t="s">
        <v>634</v>
      </c>
      <c r="D2" s="0" t="s">
        <v>635</v>
      </c>
    </row>
    <row r="3" customFormat="false" ht="15" hidden="false" customHeight="false" outlineLevel="0" collapsed="false">
      <c r="A3" s="0" t="s">
        <v>636</v>
      </c>
      <c r="B3" s="0" t="s">
        <v>637</v>
      </c>
      <c r="C3" s="0" t="s">
        <v>397</v>
      </c>
      <c r="D3" s="0" t="s">
        <v>638</v>
      </c>
    </row>
    <row r="4" customFormat="false" ht="15" hidden="false" customHeight="false" outlineLevel="0" collapsed="false">
      <c r="A4" s="0" t="s">
        <v>639</v>
      </c>
      <c r="B4" s="0" t="s">
        <v>640</v>
      </c>
      <c r="C4" s="0" t="s">
        <v>634</v>
      </c>
      <c r="D4" s="0" t="s">
        <v>641</v>
      </c>
    </row>
    <row r="5" customFormat="false" ht="15" hidden="false" customHeight="false" outlineLevel="0" collapsed="false">
      <c r="A5" s="0" t="s">
        <v>642</v>
      </c>
      <c r="B5" s="0" t="s">
        <v>643</v>
      </c>
      <c r="C5" s="0" t="s">
        <v>634</v>
      </c>
      <c r="D5" s="0" t="s">
        <v>644</v>
      </c>
    </row>
    <row r="6" customFormat="false" ht="15" hidden="false" customHeight="false" outlineLevel="0" collapsed="false">
      <c r="A6" s="0" t="s">
        <v>645</v>
      </c>
      <c r="B6" s="0" t="s">
        <v>646</v>
      </c>
      <c r="C6" s="0" t="s">
        <v>397</v>
      </c>
      <c r="D6" s="0" t="s">
        <v>647</v>
      </c>
    </row>
    <row r="7" customFormat="false" ht="15" hidden="false" customHeight="false" outlineLevel="0" collapsed="false">
      <c r="A7" s="0" t="s">
        <v>648</v>
      </c>
      <c r="B7" s="0" t="s">
        <v>649</v>
      </c>
      <c r="C7" s="0" t="s">
        <v>634</v>
      </c>
      <c r="D7" s="0" t="s">
        <v>650</v>
      </c>
    </row>
    <row r="8" customFormat="false" ht="15" hidden="false" customHeight="false" outlineLevel="0" collapsed="false">
      <c r="A8" s="0" t="s">
        <v>651</v>
      </c>
      <c r="B8" s="0" t="s">
        <v>652</v>
      </c>
      <c r="C8" s="0" t="s">
        <v>397</v>
      </c>
      <c r="D8" s="0" t="s">
        <v>653</v>
      </c>
    </row>
    <row r="9" customFormat="false" ht="15" hidden="false" customHeight="false" outlineLevel="0" collapsed="false">
      <c r="A9" s="0" t="s">
        <v>654</v>
      </c>
      <c r="B9" s="0" t="s">
        <v>655</v>
      </c>
      <c r="C9" s="0" t="s">
        <v>634</v>
      </c>
      <c r="D9" s="0" t="s">
        <v>656</v>
      </c>
    </row>
    <row r="10" customFormat="false" ht="15" hidden="false" customHeight="false" outlineLevel="0" collapsed="false">
      <c r="A10" s="0" t="s">
        <v>657</v>
      </c>
      <c r="B10" s="0" t="s">
        <v>658</v>
      </c>
      <c r="C10" s="0" t="s">
        <v>659</v>
      </c>
      <c r="D10" s="0" t="s">
        <v>660</v>
      </c>
    </row>
    <row r="11" customFormat="false" ht="15" hidden="false" customHeight="false" outlineLevel="0" collapsed="false">
      <c r="A11" s="0" t="s">
        <v>661</v>
      </c>
      <c r="B11" s="0" t="s">
        <v>662</v>
      </c>
      <c r="C11" s="0" t="s">
        <v>397</v>
      </c>
      <c r="D11" s="0" t="s">
        <v>663</v>
      </c>
    </row>
    <row r="12" customFormat="false" ht="15" hidden="false" customHeight="false" outlineLevel="0" collapsed="false">
      <c r="A12" s="0" t="s">
        <v>664</v>
      </c>
      <c r="B12" s="0" t="s">
        <v>665</v>
      </c>
      <c r="C12" s="0" t="s">
        <v>634</v>
      </c>
      <c r="D12" s="0" t="s">
        <v>666</v>
      </c>
    </row>
    <row r="13" customFormat="false" ht="15" hidden="false" customHeight="false" outlineLevel="0" collapsed="false">
      <c r="A13" s="0" t="s">
        <v>667</v>
      </c>
      <c r="B13" s="0" t="s">
        <v>668</v>
      </c>
      <c r="C13" s="0" t="s">
        <v>659</v>
      </c>
      <c r="D13" s="0" t="s">
        <v>669</v>
      </c>
    </row>
    <row r="14" customFormat="false" ht="15" hidden="false" customHeight="false" outlineLevel="0" collapsed="false">
      <c r="A14" s="0" t="s">
        <v>670</v>
      </c>
      <c r="B14" s="0" t="s">
        <v>671</v>
      </c>
      <c r="C14" s="0" t="s">
        <v>634</v>
      </c>
      <c r="D14" s="0" t="s">
        <v>672</v>
      </c>
    </row>
    <row r="15" customFormat="false" ht="15" hidden="false" customHeight="false" outlineLevel="0" collapsed="false">
      <c r="A15" s="0" t="s">
        <v>673</v>
      </c>
      <c r="B15" s="0" t="s">
        <v>674</v>
      </c>
      <c r="C15" s="0" t="s">
        <v>634</v>
      </c>
      <c r="D15" s="0" t="s">
        <v>675</v>
      </c>
    </row>
    <row r="16" customFormat="false" ht="15" hidden="false" customHeight="false" outlineLevel="0" collapsed="false">
      <c r="A16" s="0" t="s">
        <v>676</v>
      </c>
      <c r="B16" s="0" t="s">
        <v>677</v>
      </c>
      <c r="C16" s="0" t="s">
        <v>397</v>
      </c>
      <c r="D16" s="0" t="s">
        <v>678</v>
      </c>
    </row>
    <row r="17" customFormat="false" ht="15" hidden="false" customHeight="false" outlineLevel="0" collapsed="false">
      <c r="A17" s="0" t="s">
        <v>679</v>
      </c>
      <c r="B17" s="0" t="s">
        <v>680</v>
      </c>
      <c r="C17" s="0" t="s">
        <v>634</v>
      </c>
      <c r="D17" s="0" t="s">
        <v>681</v>
      </c>
    </row>
    <row r="18" customFormat="false" ht="15" hidden="false" customHeight="false" outlineLevel="0" collapsed="false">
      <c r="A18" s="0" t="s">
        <v>682</v>
      </c>
      <c r="B18" s="0" t="s">
        <v>683</v>
      </c>
      <c r="C18" s="0" t="s">
        <v>659</v>
      </c>
      <c r="D18" s="0" t="s">
        <v>684</v>
      </c>
    </row>
    <row r="19" customFormat="false" ht="15" hidden="false" customHeight="false" outlineLevel="0" collapsed="false">
      <c r="A19" s="0" t="s">
        <v>685</v>
      </c>
      <c r="B19" s="0" t="s">
        <v>686</v>
      </c>
      <c r="C19" s="0" t="s">
        <v>634</v>
      </c>
      <c r="D19" s="0" t="s">
        <v>687</v>
      </c>
    </row>
    <row r="20" customFormat="false" ht="15" hidden="false" customHeight="false" outlineLevel="0" collapsed="false">
      <c r="A20" s="0" t="s">
        <v>688</v>
      </c>
      <c r="B20" s="0" t="s">
        <v>689</v>
      </c>
      <c r="C20" s="0" t="s">
        <v>659</v>
      </c>
      <c r="D20" s="0" t="s">
        <v>690</v>
      </c>
    </row>
    <row r="21" customFormat="false" ht="15" hidden="false" customHeight="false" outlineLevel="0" collapsed="false">
      <c r="A21" s="0" t="s">
        <v>691</v>
      </c>
      <c r="B21" s="0" t="s">
        <v>692</v>
      </c>
      <c r="C21" s="0" t="s">
        <v>659</v>
      </c>
      <c r="D21" s="0" t="s">
        <v>693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2026-10-29T03:23:03Z</dcterms:created>
  <dc:creator>openpyxl</dc:creator>
  <dc:description/>
  <dc:language>en-US</dc:language>
  <cp:lastModifiedBy/>
  <dcterms:modified xsi:type="dcterms:W3CDTF">2026-10-29T03:23:03Z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