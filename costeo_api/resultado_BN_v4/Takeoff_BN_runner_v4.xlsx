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<sst xmlns="http://schemas.openxmlformats.org/spreadsheetml/2006/main" count="976" uniqueCount="672">
  <si>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</si>
  <si>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</si>
  <si>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</si>
  <si>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</si>
  <si>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</si>
  <si>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</si>
  <si>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</si>
  <si>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</si>
  <si>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</si>
  <si>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</si>
  <si>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</si>
  <si>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</si>
  <si>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</si>
  <si>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</si>
  <si>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</si>
  <si>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</si>
  <si>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</si>
  <si>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</si>
  <si>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</si>
  <si>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</si>
  <si>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</si>
  <si>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</si>
  <si>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</si>
  <si>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</si>
  <si>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</si>
  <si>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</si>
  <si>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</si>
  <si>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</si>
  <si>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</si>
  <si>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</si>
  <si>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</si>
  <si>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</si>
  <si>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</si>
  <si>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</si>
  <si>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</si>
  <si>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</si>
  <si>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</si>
  <si>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</si>
  <si>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</si>
  <si>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</si>
  <si>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spacing, one row @ 16" O.C. = 1.333 ft per pin (estimator decision 2026-10-27, RFI-ACC-slab-pins B).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</si>
  <si>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</si>
  <si>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</si>
  <si>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</si>
  <si>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</si>
  <si>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</si>
  <si>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</si>
  <si>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</si>
  <si>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(estimator decision 2026-10-27).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</si>
  <si>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</si>
  <si>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</si>
  <si>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</si>
  <si>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</si>
  <si>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</si>
  <si>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</si>
  <si>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</si>
  <si>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</si>
  <si>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</si>
  <si>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</si>
  <si>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</si>
  <si>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</si>
  <si>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</si>
  <si>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</si>
  <si>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</si>
  <si>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</si>
  <si>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</si>
  <si>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</si>
  <si>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</si>
  <si>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</si>
  <si>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</si>
  <si>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</si>
  <si>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#2-03+W2-06.5  -  Men's Restroom 108 / Sales floor / hall + Corridor 110 / Men's Restroom 108 / Janitor Closet 107</t>
  </si>
  <si>
    <t xml:space="preserve">2-03+W2-06.5</t>
  </si>
  <si>
    <t xml:space="preserve">3-5/8" 20</t>
  </si>
  <si>
    <t xml:space="preserve">Men's Restroom 108 / Sales floor / hall + Corridor 110 / Men's Restroom 108 / Janitor Closet 107 | Board by face: 2-03 A Men's Restroom 108 9.03 x 9 ft (5/8 regular); 2-03 B Sales floor / hall 9.03 x 20 ft (5/8 regular); W2-06.5 A Corridor 110 4 x 9.5 ft (5/8 type X); W2-06.5 B Men's Restroom 108 2.44 x 9 ft (5/8 type X WR); W2-06.5 B Janitor Closet 107 1.56 x 25 ft (5/8 type X WR)</t>
  </si>
  <si>
    <t xml:space="preserve">2/A-410</t>
  </si>
  <si>
    <t xml:space="preserve">[DERIVED]</t>
  </si>
  <si>
    <t xml:space="preserve">2  #2-13  -  West / exterior side (trash, loading) / Sales floor</t>
  </si>
  <si>
    <t xml:space="preserve">2-13</t>
  </si>
  <si>
    <t xml:space="preserve">West / exterior side (trash, loading) / Sales floor</t>
  </si>
  <si>
    <t xml:space="preserve">2  #W2-01+2-11+2-12  -  Furred cavity at north exterior wall / Sales floor + Furred cavity / Sales floor</t>
  </si>
  <si>
    <t xml:space="preserve">W2-01+2-11+2-12</t>
  </si>
  <si>
    <t xml:space="preserve">Furred cavity at north exterior wall / Sales floor + Furred cavity / Sales floor</t>
  </si>
  <si>
    <t xml:space="preserve">2  #W2-04+W2-03  -  Sales Area 101 / Corridor 110 / Break Room 106 / Manager's Office 105 + Stock Room 111 / Sales Area 101 / Corridor 110</t>
  </si>
  <si>
    <t xml:space="preserve">W2-04+W2-03</t>
  </si>
  <si>
    <t xml:space="preserve">Sales Area 101 / Corridor 110 / Break Room 106 / Manager's Office 105 + Stock Room 111 / Sales Area 101 / Corridor 110 | Board by face: W2-04 A Sales Area 101 57.2 x 25 ft (5/8 type X); W2-04 B Corridor 110 29.27 x 9.5 ft (5/8 type X); W2-04 B Break Room 106 19.18 x 9.5 ft (5/8 type X); W2-04 B Manager's Office 105 8.76 x 9.5 ft (5/8 type X); W2-03 A Stock Room 111 12.94 x 25 ft (5/8 type X); W2-03 B Sales Area 101 11.14 x 25 ft (5/8 type X); W2-03 B Corridor 110 1.8 x 9.5 ft (5/8 type X)</t>
  </si>
  <si>
    <t xml:space="preserve">2  #W2-05  -  Corridor 110 / Women's Restroom 109</t>
  </si>
  <si>
    <t xml:space="preserve">W2-05</t>
  </si>
  <si>
    <t xml:space="preserve">Corridor 110 / Women's Restroom 109 | Board by face: A Corridor 110 12.92 x 9.5 ft (5/8 type X); B Corridor 110 5.41 x 9.5 ft (5/8 type X); B Women's Restroom 109 7.51 x 9 ft (5/8 type X WR)</t>
  </si>
  <si>
    <t xml:space="preserve">2  #W2-06.1  -  Women's Restroom 109 / Sales floor / hall</t>
  </si>
  <si>
    <t xml:space="preserve">W2-06.1</t>
  </si>
  <si>
    <t xml:space="preserve">Women's Restroom 109 / Sales floor / hall | Board by face: A Women's Restroom 109 9.06 x 9 ft (5/8 type X); B Sales floor / hall 9.06 x 20 ft (5/8 type X WR)</t>
  </si>
  <si>
    <t xml:space="preserve">2  #W2-07  -  Men's Restroom 108 / Janitor Closet 107</t>
  </si>
  <si>
    <t xml:space="preserve">W2-07</t>
  </si>
  <si>
    <t xml:space="preserve">Men's Restroom 108 / Janitor Closet 107 | Board by face: A Men's Restroom 108 7.52 x 9 ft (5/8 type X WR); B Janitor Closet 107 7.52 x 20 ft (5/8 type X WR)</t>
  </si>
  <si>
    <t xml:space="preserve">2  #W2-08  -  Corridor 110 / Janitor Closet 107 / Break Room 106</t>
  </si>
  <si>
    <t xml:space="preserve">W2-08</t>
  </si>
  <si>
    <t xml:space="preserve">Corridor 110 / Janitor Closet 107 / Break Room 106 | Board by face: A Corridor 110 5.41 x 9.5 ft (5/8 type X); A Janitor Closet 107 7.51 x 25 ft (5/8 type X WR); B Break Room 106 12.94 x 9.5 ft (5/8 type X)</t>
  </si>
  <si>
    <t xml:space="preserve">2  #W2-09  -  Break Room 106 / Manager's Office 105</t>
  </si>
  <si>
    <t xml:space="preserve">W2-09</t>
  </si>
  <si>
    <t xml:space="preserve">Break Room 106 / Manager's Office 105 | Board by face: A Break Room 106 12.94 x 9 ft (5/8 type X); B Manager's Office 105 12.94 x 9 ft (5/8 type X)</t>
  </si>
  <si>
    <t xml:space="preserve">SUBTOTAL TYPE 2</t>
  </si>
  <si>
    <t xml:space="preserve">TYPE 5</t>
  </si>
  <si>
    <t xml:space="preserve">5  #5-01b  -  Women's Restroom 109 / Men's Restroom 108</t>
  </si>
  <si>
    <t xml:space="preserve">5-01b</t>
  </si>
  <si>
    <t xml:space="preserve">6" 20</t>
  </si>
  <si>
    <t xml:space="preserve">Women's Restroom 109 / Men's Restroom 108 | Board by face: A Women's Restroom 109 4.22 x 9 ft (5/8 MR); B Men's Restroom 108 4.22 x 9 ft (5/8 MR)</t>
  </si>
  <si>
    <t xml:space="preserve">5/A-410</t>
  </si>
  <si>
    <t xml:space="preserve">5  #W5-01  -  Women's Restroom 109 / Men's Restroom 108</t>
  </si>
  <si>
    <t xml:space="preserve">W5-01</t>
  </si>
  <si>
    <t xml:space="preserve">Women's Restroom 109 / Men's Restroom 108 | Board by face: A Women's Restroom 109 5.72 x 9 ft (5/8 type X WR); B Men's Restroom 108 5.72 x 9 ft (5/8 type X WR)</t>
  </si>
  <si>
    <t xml:space="preserve">SUBTOTAL TYPE 5</t>
  </si>
  <si>
    <t xml:space="preserve">TYPE 3</t>
  </si>
  <si>
    <t xml:space="preserve">3  #W3-01  -  Sales floor (display fixtures)</t>
  </si>
  <si>
    <t xml:space="preserve">W3-01</t>
  </si>
  <si>
    <t xml:space="preserve">Sales floor (display fixtures)</t>
  </si>
  <si>
    <t xml:space="preserve">3/A-410</t>
  </si>
  <si>
    <t xml:space="preserve">3  #W3-02  -  Sales floor (display fixtures)</t>
  </si>
  <si>
    <t xml:space="preserve">W3-02</t>
  </si>
  <si>
    <t xml:space="preserve">3  #W3-03  -  Sales floor (display fixtures)</t>
  </si>
  <si>
    <t xml:space="preserve">W3-03</t>
  </si>
  <si>
    <t xml:space="preserve">3  #W3-04  -  Sales floor (display fixtures)</t>
  </si>
  <si>
    <t xml:space="preserve">W3-04</t>
  </si>
  <si>
    <t xml:space="preserve">3  #W3-05  -  Sales floor (display fixtures)</t>
  </si>
  <si>
    <t xml:space="preserve">W3-05</t>
  </si>
  <si>
    <t xml:space="preserve">3  #W3-06  -  Sales floor (display fixtures)</t>
  </si>
  <si>
    <t xml:space="preserve">W3-06</t>
  </si>
  <si>
    <t xml:space="preserve">SUBTOTAL TYPE 3</t>
  </si>
  <si>
    <t xml:space="preserve">TYPE 4</t>
  </si>
  <si>
    <t xml:space="preserve">4  #4-02  -  Sales floor (feature wall)</t>
  </si>
  <si>
    <t xml:space="preserve">4-02</t>
  </si>
  <si>
    <t xml:space="preserve">Sales floor (feature wall)</t>
  </si>
  <si>
    <t xml:space="preserve">4/A-410</t>
  </si>
  <si>
    <t xml:space="preserve">4  #4-03  -  Sales floor (feature wall)</t>
  </si>
  <si>
    <t xml:space="preserve">4-03</t>
  </si>
  <si>
    <t xml:space="preserve">4  #W4-28a  -  Sales floor (feature wall)</t>
  </si>
  <si>
    <t xml:space="preserve">W4-28a</t>
  </si>
  <si>
    <t xml:space="preserve">4  #W4-31a  -  Sales floor (feature wall)</t>
  </si>
  <si>
    <t xml:space="preserve">W4-31a</t>
  </si>
  <si>
    <t xml:space="preserve">SUBTOTAL TYPE 4</t>
  </si>
  <si>
    <t xml:space="preserve">TYPE H1</t>
  </si>
  <si>
    <t xml:space="preserve">H1  #C-H1-N  -  Sales Area 101 / Grab &amp; Go</t>
  </si>
  <si>
    <t xml:space="preserve">C-H1-N</t>
  </si>
  <si>
    <t xml:space="preserve">Sales Area 101 / Grab &amp; Go | Board by face: A Sales Area 101 21.86 x 25 ft (5/8 type X); A Grab &amp; Go 3.44 x 7.58 ft (5/8 type X)</t>
  </si>
  <si>
    <t xml:space="preserve">G/A-221</t>
  </si>
  <si>
    <t xml:space="preserve">H1  #C-H1-W  -  Cafe Workroom 104</t>
  </si>
  <si>
    <t xml:space="preserve">C-H1-W</t>
  </si>
  <si>
    <t xml:space="preserve">Cafe Workroom 104</t>
  </si>
  <si>
    <t xml:space="preserve">SUBTOTAL TYPE H1</t>
  </si>
  <si>
    <t xml:space="preserve">TYPE H2A</t>
  </si>
  <si>
    <t xml:space="preserve">H2A  #C-H2a  -  Cafe Sales</t>
  </si>
  <si>
    <t xml:space="preserve">C-H2a</t>
  </si>
  <si>
    <t xml:space="preserve">Cafe Sales</t>
  </si>
  <si>
    <t xml:space="preserve">SUBTOTAL TYPE H2A</t>
  </si>
  <si>
    <t xml:space="preserve">TYPE H2B</t>
  </si>
  <si>
    <t xml:space="preserve">H2B  #C-H2b  -  C-H2b</t>
  </si>
  <si>
    <t xml:space="preserve">C-H2b</t>
  </si>
  <si>
    <t xml:space="preserve">SUBTOTAL TYPE H2B</t>
  </si>
  <si>
    <t xml:space="preserve">TYPE H3A</t>
  </si>
  <si>
    <t xml:space="preserve">H3A  #C-H3a  -  Grab &amp; Go / Sales Area 101</t>
  </si>
  <si>
    <t xml:space="preserve">C-H3a</t>
  </si>
  <si>
    <t xml:space="preserve">Grab &amp; Go / Sales Area 101 | Board by face: B Grab &amp; Go 3.99 x 20 ft (5/8 type X); A Sales Area 101 3.99 x 10 ft (5/8 type X)</t>
  </si>
  <si>
    <t xml:space="preserve">H/A-221</t>
  </si>
  <si>
    <t xml:space="preserve">SUBTOTAL TYPE H3A</t>
  </si>
  <si>
    <t xml:space="preserve">TYPE H3B</t>
  </si>
  <si>
    <t xml:space="preserve">H3B  #C-H3b  -  Cafe Workroom 104</t>
  </si>
  <si>
    <t xml:space="preserve">C-H3b</t>
  </si>
  <si>
    <t xml:space="preserve">SUBTOTAL TYPE H3B</t>
  </si>
  <si>
    <t xml:space="preserve">TYPE E2</t>
  </si>
  <si>
    <t xml:space="preserve">E2  #C-E2  -  Cafe Workroom 104</t>
  </si>
  <si>
    <t xml:space="preserve">C-E2</t>
  </si>
  <si>
    <t xml:space="preserve">E/A-221</t>
  </si>
  <si>
    <t xml:space="preserve">SUBTOTAL TYPE E2</t>
  </si>
  <si>
    <t xml:space="preserve">TYPE E1</t>
  </si>
  <si>
    <t xml:space="preserve">E1  #C-E1-S+C-E1-P.2  -  Cafe 103 / concealed: behind the Workroom door pier and inside the SE box (no cement board) + Cafe Workroom 104</t>
  </si>
  <si>
    <t xml:space="preserve">C-E1-S+C-E1-P.2</t>
  </si>
  <si>
    <t xml:space="preserve">Cafe 103 / concealed: behind the Workroom door pier and inside the SE box (no cement board) + Cafe Workroom 104 | Board by face: C-E1-S A Cafe 103 16.14 x 12 ft (1/2 cement board); C-E1-S A concealed: behind the Workroom door pier and inside the SE box (no cement board) 3.79 x 0 ft (1/2 cement board); C-E1-P.2 A Cafe Workroom 104 3.67 x 12 ft (1/2 cement board)</t>
  </si>
  <si>
    <t xml:space="preserve">SUBTOTAL TYPE E1</t>
  </si>
  <si>
    <t xml:space="preserve">TYPE F</t>
  </si>
  <si>
    <t xml:space="preserve">F  #F-01  -  F-01</t>
  </si>
  <si>
    <t xml:space="preserve">F-01</t>
  </si>
  <si>
    <t xml:space="preserve">F/A-221</t>
  </si>
  <si>
    <t xml:space="preserve">[PENDING]</t>
  </si>
  <si>
    <t xml:space="preserve">SUBTOTAL TYPE F</t>
  </si>
  <si>
    <t xml:space="preserve">TYPE I</t>
  </si>
  <si>
    <t xml:space="preserve">I  #I-02  -  Cafe Sales</t>
  </si>
  <si>
    <t xml:space="preserve">I-02</t>
  </si>
  <si>
    <t xml:space="preserve">I/A-221</t>
  </si>
  <si>
    <t xml:space="preserve">I  #I-03  -  Grab &amp; Go (end face)</t>
  </si>
  <si>
    <t xml:space="preserve">I-03</t>
  </si>
  <si>
    <t xml:space="preserve">Grab &amp; Go (end face)</t>
  </si>
  <si>
    <t xml:space="preserve">I  #I-05  -  Cafe Sales (east face of box F)</t>
  </si>
  <si>
    <t xml:space="preserve">I-05</t>
  </si>
  <si>
    <t xml:space="preserve">Cafe Sales (east face of box F)</t>
  </si>
  <si>
    <t xml:space="preserve">SUBTOTAL TYPE I</t>
  </si>
  <si>
    <t xml:space="preserve">TYPE A</t>
  </si>
  <si>
    <t xml:space="preserve">A  #C-A-1  -  Customer side (counter) / Cafe side (counter)</t>
  </si>
  <si>
    <t xml:space="preserve">C-A-1</t>
  </si>
  <si>
    <t xml:space="preserve">Customer side (counter) / Cafe side (counter)</t>
  </si>
  <si>
    <t xml:space="preserve">A/A-221</t>
  </si>
  <si>
    <t xml:space="preserve">A  #C-A-2  -  Customer side (counter) / Cafe side (counter)</t>
  </si>
  <si>
    <t xml:space="preserve">C-A-2</t>
  </si>
  <si>
    <t xml:space="preserve">A  #C-A-3  -  Customer side (counter) / Cafe side (counter)</t>
  </si>
  <si>
    <t xml:space="preserve">C-A-3</t>
  </si>
  <si>
    <t xml:space="preserve">SUBTOTAL TYPE A</t>
  </si>
  <si>
    <t xml:space="preserve">TYPE B</t>
  </si>
  <si>
    <t xml:space="preserve">B  #C-B  -  Customer side (counter) / Cafe side (counter)</t>
  </si>
  <si>
    <t xml:space="preserve">C-B</t>
  </si>
  <si>
    <t xml:space="preserve">B/A-221</t>
  </si>
  <si>
    <t xml:space="preserve">SUBTOTAL TYPE B</t>
  </si>
  <si>
    <t xml:space="preserve">TYPE D</t>
  </si>
  <si>
    <t xml:space="preserve">D  #C-D  -  Customer side (counter) / Cafe side (counter)</t>
  </si>
  <si>
    <t xml:space="preserve">C-D</t>
  </si>
  <si>
    <t xml:space="preserve">D/A-221</t>
  </si>
  <si>
    <t xml:space="preserve">SUBTOTAL TYPE D</t>
  </si>
  <si>
    <t xml:space="preserve">TYPE C</t>
  </si>
  <si>
    <t xml:space="preserve">C  #C-C  -  Customer side (counter) / Cafe side (counter)</t>
  </si>
  <si>
    <t xml:space="preserve">C-C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</si>
  <si>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</si>
  <si>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</si>
  <si>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</si>
  <si>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</si>
  <si>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floor</t>
  </si>
  <si>
    <t xml:space="preserve">CW-01</t>
  </si>
  <si>
    <t xml:space="preserve">Sales floor</t>
  </si>
  <si>
    <t xml:space="preserve">C25/A-101</t>
  </si>
  <si>
    <t xml:space="preserve">column_wrap  #CW-02  -  Sales floor</t>
  </si>
  <si>
    <t xml:space="preserve">CW-02</t>
  </si>
  <si>
    <t xml:space="preserve">column_wrap  #CW-03  -  Sales floor</t>
  </si>
  <si>
    <t xml:space="preserve">CW-03</t>
  </si>
  <si>
    <t xml:space="preserve">column_wrap  #CW-04  -  Sales floor</t>
  </si>
  <si>
    <t xml:space="preserve">CW-04</t>
  </si>
  <si>
    <t xml:space="preserve">column_wrap  #CW-05  -  Sales floor</t>
  </si>
  <si>
    <t xml:space="preserve">CW-05</t>
  </si>
  <si>
    <t xml:space="preserve">column_wrap  #CW-06  -  Sales floor</t>
  </si>
  <si>
    <t xml:space="preserve">CW-06</t>
  </si>
  <si>
    <t xml:space="preserve">column_wrap  #CW-07  -  Sales floor</t>
  </si>
  <si>
    <t xml:space="preserve">CW-07</t>
  </si>
  <si>
    <t xml:space="preserve">column_wrap  #CW-08  -  Sales floor</t>
  </si>
  <si>
    <t xml:space="preserve">CW-08</t>
  </si>
  <si>
    <t xml:space="preserve">column_wrap  #CW-09  -  Sales floor</t>
  </si>
  <si>
    <t xml:space="preserve">CW-09</t>
  </si>
  <si>
    <t xml:space="preserve">soffit_side  #SS-N  -  Cafe Sales / Grab &amp; Go</t>
  </si>
  <si>
    <t xml:space="preserve">SS-N</t>
  </si>
  <si>
    <t xml:space="preserve">Cafe Sales / Grab &amp; Go | Board by face: A Cafe Sales 22.67 x 10 ft (5/8 type X); B Grab &amp; Go 22.67 x 1.92 ft (5/8 regular)</t>
  </si>
  <si>
    <t xml:space="preserve">6/A-221</t>
  </si>
  <si>
    <t xml:space="preserve">soffit_side  #SS-GG  -  Cafe Sales / Grab &amp; Go</t>
  </si>
  <si>
    <t xml:space="preserve">SS-GG</t>
  </si>
  <si>
    <t xml:space="preserve">Cafe Sales / Grab &amp; Go</t>
  </si>
  <si>
    <t xml:space="preserve">stub  #I-04  -  Cafe Sales (end face)</t>
  </si>
  <si>
    <t xml:space="preserve">I-04</t>
  </si>
  <si>
    <t xml:space="preserve">Cafe Sales (end face)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</si>
  <si>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</si>
  <si>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</si>
  <si>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</si>
  <si>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</si>
  <si>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</si>
  <si>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</si>
  <si>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</si>
  <si>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</si>
  <si>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</si>
  <si>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</si>
  <si>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</si>
  <si>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</si>
  <si>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</si>
  <si>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</si>
  <si>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</si>
  <si>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E/A-221, A/A-221, B/A-221, D/A-221, C/A-221, F/A-221 | Breakdown [DERIVED]: W2-01 48.33 + W2-03 12.94 + W2-04 57.2 + W2-05 12.92 + W2-06.1 9.06 + W2-06.5 4 + W2-07 7.52 + W2-08 12.94 + W2-09 12.94 + W3-01 3.67 + W3-02 12 + W3-05 3.67 + W3-03 12 + W3-06 3.67 + W3-04 3.67 + W4-28a 9 + W4-31a 9 + C-H2a 4.49 + C-H2b 2 + C-E1-P.2 3.67 + C-A-1 10.44 + C-A-2 3.97 + C-A-3 6.34 + C-B 2.75 + C-D 6.15 + C-C 2.23 + 2-03 9.03 + F-01 9.75 + 2-11 5.03 + 2-12 5.03 + 2-13 71.33 + 4-02 24.21 + 4-03 24.21 = 425.16 LF (wall length x rows) | Track gauge = stud gauge (A-410 schedule note 2): 20 425.16 LF</t>
  </si>
  <si>
    <t xml:space="preserve">Bottom track 6"</t>
  </si>
  <si>
    <t xml:space="preserve">N/SHEET: 5/A-410, G/A-221, H/A-221, E/A-221, I/A-221 | Breakdown [DERIVED]: W5-01 5.72 + C-H1-N 25.3 + C-H1-W 13.22 + C-H3a 3.99 + C-H3b 6.76 + C-E2 28.49 + C-E1-S 19.93 + 5-01b 4.22 + I-02 3.46 = 111.09 LF (wall length x rows) | Track gauge = stud gauge (A-410 schedule note 2): 20 111.09 LF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</si>
  <si>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</si>
  <si>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 | Track gauge = stud gauge (A-410 schedule note 2): 20 72 LF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</si>
  <si>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</si>
  <si>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</si>
  <si>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</si>
  <si>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</si>
  <si>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</si>
  <si>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</si>
  <si>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</si>
  <si>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 | Breakdown [DERIVED]: W5-01 140 + C-H1-N 400 + C-H1-W 220 + C-H3a 100 + C-H3b 140 + C-E2 460 + C-E1-S 320 + 5-01b 100 + I-02 80 = 1,960 LF (per wall: field + jambs + nodes + cripples x height; plus listed elements) | By gauge (A-410 Metal Stud Schedule): 20 1,960 LF; elements (gauge in their operation) 0 LF</t>
  </si>
  <si>
    <t xml:space="preserve">3-5/8" metal stud (LF of material)</t>
  </si>
  <si>
    <t xml:space="preserve">N/SHEET: 2/A-410, 3/A-410, 4/A-410, G/A-221, E/A-221, A/A-221, B/A-221, D/A-221, C/A-221, 6/A-221, C25/A-101, F/A-221, 7/A-210 | Breakdown [DERIVED]: W2-01 800 + W2-03 240 + W2-04 946 + W2-05 220 + W2-06.1 246 + W2-06.5 146 + W2-07 140 + W2-08 306 + W2-09 306 + W3-01 32 + W3-02 96 + W3-05 32 + W3-03 96 + W3-06 32 + W3-04 32 + W4-28a 75 + W4-31a 75 + C-H2a 159 + C-H2b 60 + C-E1-P.2 80 + C-A-1 29.79 + C-A-2 13.54 + C-A-3 16.25 + C-B 10.83 + C-D 21.66 + C-C 8.12 + SS-N 36.48 + SS-GG 11.52 + 2-03 246 + 2-11 100 + 2-12 100 + 2-13 1,100 + 4-02 150 + 4-03 150 + CW-01 96 + CW-02 96 + CW-03 96 + CW-04 96 + CW-05 96 + CW-06 96 + CW-07 96 + CW-08 96 + CW-09 96 + F-01 240 + DIAG-BRACES-T2 468 + VEST-POSTS-STUD 126 = 7,811.19 LF (per wall: field + jambs + nodes + cripples x height; plus listed elements) | By gauge (A-410 Metal Stud Schedule): 20 7,217.19 LF; elements (gauge in their operation) 594 LF</t>
  </si>
  <si>
    <t xml:space="preserve">Ceiling perimeter track at GWB ceilings (size not printed, RFI)</t>
  </si>
  <si>
    <t xml:space="preserve">N/SHEET: 6/A-221, 1/A-121, 5/A-121 | Breakdown [DERIVED]: SS-N 45.34 + SS-GG 12.42 + Women's Restroom 109 32.33 + Men's Restroom 108 32.33 + Cafe 103 - 11'-6" GWB band 52.51 + Cafe 103 - 9'-0" GWB band 43.33 + Grab &amp; Go 20.49 + VEST-BOX-BEAM-TRACK 25.33 + VEST-LEDGER 12.67 + VEST-POSTS-TRACK 5 = 281.75 LF</t>
  </si>
  <si>
    <t xml:space="preserve">Bracing 1-1/2" C.R. channel</t>
  </si>
  <si>
    <t xml:space="preserve">C.R. channel 16 ft</t>
  </si>
  <si>
    <t xml:space="preserve">N/SHEET: 5/A-410, 2/A-410, 5/A-410, 3/A-410, 4/A-410, C25/A-101, G/A-221, H/A-221, E/A-221, I/A-221, F/A-221 | Breakdown [DERIVED]: W2-01 193.32 + W2-03 51.76 + W2-04 228.8 + W2-05 51.68 + W2-06.1 36.24 + W2-06.5 16 + W2-07 30.08 + W2-08 51.76 + W2-09 51.76 + W5-01 22.88 + W3-01 3.67 + W3-02 12 + W3-05 3.67 + W3-03 12 + W3-06 3.67 + W3-04 3.67 + W4-28a 9 + W4-31a 9 + CW-01 8 + CW-02 8 + CW-03 8 + CW-04 8 + CW-05 8 + CW-06 8 + CW-07 8 + CW-08 8 + CW-09 8 + C-H1-N 101.2 + C-H1-W 52.88 + C-H2a 17.96 + C-H2b 8 + C-H3a 15.96 + C-H3b 27.04 + C-E2 113.96 + C-E1-S 79.72 + C-E1-P.2 14.68 + 2-03 36.12 + 5-01b 16.88 + I-02 13.84 + F-01 39 + 2-11 20.12 + 2-12 20.12 + 2-13 285.32 + 4-02 24.21 + 4-03 24.21 = 1,774.18 LF (rows = ROUNDUP(H x 12 / 48) - 1, x length)</t>
  </si>
  <si>
    <t xml:space="preserve">Header / metal stud box beam</t>
  </si>
  <si>
    <t xml:space="preserve">N/SHEET: not applicable (see note)</t>
  </si>
  <si>
    <t xml:space="preserve">Furring channel (ceilings)</t>
  </si>
  <si>
    <t xml:space="preserve">hat channel 12 ft</t>
  </si>
  <si>
    <t xml:space="preserve">N/SHEET: 5/A-121, 1/A-121 | Breakdown [DERIVED]: Women's Restroom 109 56.48 + Men's Restroom 108 56.41 + Cafe 103 - 11'-6" GWB band 100.05 + Cafe 103 - 9'-0" GWB band 42.67 + Grab &amp; Go 30.84 = 286.45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</si>
  <si>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</si>
  <si>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</si>
  <si>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</si>
  <si>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= 1,545.5 LF (hangers @ 48" O.C. x drop to deck per room)</t>
  </si>
  <si>
    <t xml:space="preserve">5/8" gypsum board, regular</t>
  </si>
  <si>
    <t xml:space="preserve">SF</t>
  </si>
  <si>
    <t xml:space="preserve">4x12 ft sheet (Inputs)</t>
  </si>
  <si>
    <t xml:space="preserve">N/SHEET: C25/A-101, 6/A-221, 2/A-410, I/A-221, 4/A-410, A-001A | Breakdown [DERIVED]: CW-01 48 + CW-02 48 + CW-03 48 + CW-04 48 + CW-05 48 + CW-06 48 + CW-07 48 + CW-08 48 + CW-09 48 + SS-N 43.53 + SS-GG 23.84 + 2-03 261.87 + I-02 69.2 + 2-11 201.2 + 2-12 201.2 + 2-13 2,853.2 + 4-02 363.16 + 4-03 363.16 + I-03 10.6 + I-04 8.8 + I-05 65 = 4,896.76 SF (faces: length x face height x layers - openings; ceilings: RCP area)</t>
  </si>
  <si>
    <t xml:space="preserve">5/8" gypsum board, MOISTURE RESISTANT</t>
  </si>
  <si>
    <t xml:space="preserve">N/SHEET: 5/A-410, A-001A | Breakdown [DERIVED]: 5-01b 75.96 = 75.96 SF (faces: length x face height x layers - openings; ceilings: RCP area)</t>
  </si>
  <si>
    <t xml:space="preserve">Blocking FRT / 2X FRT wood</t>
  </si>
  <si>
    <t xml:space="preserve">2x lumber 16 ft</t>
  </si>
  <si>
    <t xml:space="preserve">N/SHEET: 7/A-413, 8A/A-413, 4/A-412, 6/A-412 | Breakdown [DERIVED]: BLK-STOCK 387 + BLK-RECEIVING 69 + BLK-OFFICE 85.6 + BLK-BREAK 10.67 = 552.27 LF</t>
  </si>
  <si>
    <t xml:space="preserve">5/8" gypsum board, Type X</t>
  </si>
  <si>
    <t xml:space="preserve">N/SHEET: 2/A-410, 3/A-410, 4/A-410, C25/A-101, G/A-221, H/A-221, 6/A-221, 5/A-121, 4/A-121, 2/A-221, 4/A-210, A-001A | Breakdown [DERIVED]: W2-01 1,933.2 + W2-03 619.08 + W2-04 1,973.4 + W2-05 174.14 + W2-06.1 81.54 + W2-06.5 38 + W2-08 174.33 + W2-09 232.92 + W3-01 29.36 + W3-02 96 + W3-05 29.36 + W3-03 96 + W3-06 29.36 + W3-04 29.36 + W4-28a 67.5 + W4-31a 67.5 + CW-01 16 + CW-02 16 + CW-03 16 + CW-04 16 + CW-05 16 + CW-06 16 + CW-07 16 + CW-08 16 + CW-09 16 + C-H1-N 572.53 + C-H1-W 264.4 + C-H2a 89.8 + C-H3a 119.7 + C-H3b 135.2 + SS-N 226.7 + ceiling Cafe 103 - 11'-6" GWB band 125.07 + ceiling Cafe 103 - 9'-0" GWB band 50.67 + ceiling Cafe Seating Area 102 - GWB cloud 573.69 + ceiling Cafe 103 - 11'-0" GWB zone 109.65 + ceiling Grab &amp; Go 25.16 + VEST-GWB 105.5 + CLOUD-FASCIA-GWB 53.6 = 8,266.72 SF (faces: length x face height x layers - openings; ceilings: RCP area)</t>
  </si>
  <si>
    <t xml:space="preserve">5/8" gypsum board, Type X W.R. (water resistant)</t>
  </si>
  <si>
    <t xml:space="preserve">N/SHEET: 2/A-410, 5/A-410, 5/A-121, A-001A | Breakdown [DERIVED]: W2-05 67.59 + W2-06.1 181.2 + W2-06.5 60.99 + W2-07 218.08 + W2-08 187.75 + W5-01 102.96 + ceiling Women's Restroom 109 61.19 + ceiling Men's Restroom 108 61.11 = 940.87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</si>
  <si>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</si>
  <si>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</si>
  <si>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</si>
  <si>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main tee 12 ft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</si>
  <si>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</si>
  <si>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</si>
  <si>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cross tee 4 ft</t>
  </si>
  <si>
    <t xml:space="preserve">USG channel molding DGCM27</t>
  </si>
  <si>
    <t xml:space="preserve">molding 12 ft</t>
  </si>
  <si>
    <t xml:space="preserve">USG angle molding DGWM24</t>
  </si>
  <si>
    <t xml:space="preserve">METAL trim - corner bead, casing bead, shadow molding, gypsum edge trim</t>
  </si>
  <si>
    <t xml:space="preserve">trim stick 10 ft</t>
  </si>
  <si>
    <t xml:space="preserve">N/SHEET: F/A-221 | Breakdown [DERIVED]: CW-01..09 corner bead 288 + F-01 corner bead 40 = 328 LF</t>
  </si>
  <si>
    <t xml:space="preserve">1/2" cement board / cementitious backer</t>
  </si>
  <si>
    <t xml:space="preserve">N/SHEET: E/A-221, A/A-221, B/A-221, D/A-221, C/A-221 | Breakdown [DERIVED]: C-E2 Cafe Workroom 104 569.8 + C-E1-S Cafe 103 193.69 + C-E1-P.2 Cafe Workroom 104 44.04 + C-A-1 Customer side (counter) 28.27 + C-A-1 Cafe side (counter) 28.27 + C-A-2 Customer side (counter) 10.75 + C-A-2 Cafe side (counter) 10.75 + C-A-3 Customer side (counter) 17.17 + C-A-3 Cafe side (counter) 17.17 + C-B Customer side (counter) 7.45 + C-B Cafe side (counter) 7.45 + C-D Customer side (counter) 16.65 + C-D Cafe side (counter) 16.65 + C-C Customer side (counter) 6.04 + C-C Cafe side (counter) 6.04 = 980.19 SF</t>
  </si>
  <si>
    <t xml:space="preserve">FRP panels</t>
  </si>
  <si>
    <t xml:space="preserve">FRP panel 40 SF (Inputs)</t>
  </si>
  <si>
    <t xml:space="preserve">N/SHEET: 3/A-410, 4/A-410, 1/A-221, 1/A-226B, 2/A-226B, 3/A-226B, 4/A-226B, 9/A-200, 10/A-200, 11/A-200, 12/A-200, 1/A-225, 4/A-225, 6/A-225 | Breakdown [DERIVED]: FRP-TYPES-3-4 936.74 + FRP-1-CAFE-WORKROOM 852.2 + FRP-1-JANITOR 155.44 + FRP-1-CAFE-BELOW-COUNTER 57 = 2,001.38 SF</t>
  </si>
  <si>
    <t xml:space="preserve">Moment clip ClarkDietrich MC series with stiffening plate (A/A-410), one per stud of types 3 / 4</t>
  </si>
  <si>
    <t xml:space="preserve">PCS</t>
  </si>
  <si>
    <t xml:space="preserve">piece</t>
  </si>
  <si>
    <t xml:space="preserve">N/SHEET: A/A-410, 3/A-410, 4/A-410 | Breakdown [DERIVED]: MOMENT-CLIPS-T3-T4 162 = 162 PCS | one ClarkDietrich MC clip per stud: type 3 = 40 studs + type 4 = 122 studs = 162 (estimator decision 2026-10-27, RFI-28 A)</t>
  </si>
  <si>
    <t xml:space="preserve">Hilti Kwik HUS-EZ 1/4" x 1-5/8" concrete screws at the moment clips (3/A-410, 4/A-410)</t>
  </si>
  <si>
    <t xml:space="preserve">N/SHEET: 3/A-410, 4/A-410 | Breakdown [DERIVED]: HUS-EZ-T3-T4 324 = 324 PCS | 3/A-410, 4/A-410 "(2)-1/4"ø X 1 5/8" HILTI KWIK HUSEZ CONCRETE SCREW AND MOMENT CLIP": 162 clips x 2 = 324 (estimator decision 2026-10-27, RFI-28 A)</t>
  </si>
  <si>
    <t xml:space="preserve">#10-16 screws at the moment clips, (1) at each flange (A/A-410)</t>
  </si>
  <si>
    <t xml:space="preserve">N/SHEET: A/A-410 | Breakdown [DERIVED]: SCREWS-10-16-MOMENT-CLIPS 324 = 324 PCS | A/A-410 "(1) #10-16 SCREW @ EACH FLANGE": 162 clips x 2 = 324 (estimator decision 2026-10-27, RFI-28 A)</t>
  </si>
  <si>
    <t xml:space="preserve">Metal corner guard 2"x2"x72" at outside corners (A-001A)</t>
  </si>
  <si>
    <t xml:space="preserve">N/SHEET: A-001A, A-101, A-221 | Breakdown [DERIVED]: CORNER-GUARDS-METAL-72 72 = 72 PCS | A-001A "INSTALL METAL CORNER GUARDS (2"X2"X72") AT ALL OUTSIDE CORNERS": C25 column surrounds 9 x 4 = 36 + type 3 posts 16 + type 4 hourglass caps 8 + type 2 (Storage SW 1, C26 alcove 4) 5 + Cafe 7 = 72 (estimator decision 2026-10-27, RFI-29)</t>
  </si>
  <si>
    <t xml:space="preserve">Stainless steel corner guard 48" A.F.F. (C22/A-101)</t>
  </si>
  <si>
    <t xml:space="preserve">N/SHEET: C22/A-101 | Breakdown [DERIVED]: CORNER-GUARD-STAINLESS-48 1 = 1 PCS | C22/A-101 "STAINLESS STEEL CORNER GUARDS AT 48" A.F.F. FOR ALL OUTSIDE GYPSUM BOARD CORNERS AT STOCKROOM WALLS": the corner the C22 leader points to (loading zone bend) = 1 (estimator decision 2026-10-27, RFI-29)</t>
  </si>
  <si>
    <t xml:space="preserve">Control joint, gypsum board walls (ASTM C840, 30 ft max)</t>
  </si>
  <si>
    <t xml:space="preserve">N/SHEET: A-101, A-410 | Breakdown [DERIVED]: CONTROL-JOINTS-T2 250 = 250 LF | ASTM C840 30 ft max: W2-01 48.77 LF -&gt; 1, W2-03 94.24 LF -&gt; 3, W2-04 56.76 LF -&gt; 1 = 5 joints x 25.0 ft x 2 faces = 250.0 LF (estimator decision 2026-10-27, RFI-24 A)</t>
  </si>
  <si>
    <t xml:space="preserve">#8 screws at diagonal brace ends, 2 per end (manufacturer rule; 3/A-410 prints none)</t>
  </si>
  <si>
    <t xml:space="preserve">N/SHEET: 3/A-410 | Breakdown [DERIVED]: SCREWS-8-BRACE-ENDS 512 = 512 PCS | diagonal braces 117 (type 2, 468.0 LF / 4.0) + 11 (Cafe, 44.0 LF / 4.0) = 128 braces x 2 ends x 2 = 512 (estimator decision 2026-10-27, RFI-51)</t>
  </si>
  <si>
    <t xml:space="preserve">3-5/8" stud, framed soffit 2/A-221 (LF)</t>
  </si>
  <si>
    <t xml:space="preserve">N/SHEET: 2/A-221, 1/A-121 | Breakdown [DERIVED]: Cafe 103 - 11'-0" GWB zone: framed_soffit: ROUNDUP(23.25/(16/12))+1 = 19 joists x 4.716 = 89.61 LF 3-5/8" joists = 89.61 LF (framed soffit joists, 2/A-221)</t>
  </si>
  <si>
    <t xml:space="preserve">FRT plywood substrate (3/4 in.)</t>
  </si>
  <si>
    <t xml:space="preserve">N/SHEET: 4/A-226A, 21/A-201, 5/A-210, 4/A-210, A/A-221, A-410 (ALL PLYWOOD NEEDS TO BE FRT) | Breakdown [DERIVED]: MENU-BOARD-FRT 60.6 + RESTROOM-BACKING-FRT 17.77 + VEST-POSTS-PLYWOOD 105 + VEST-PLYWOOD 106.62 + COUNTER-CUST-PLY 86.33 = 376.32 SF (strip length x height)</t>
  </si>
  <si>
    <t xml:space="preserve">FRT plywood substrate (5/8 in.)</t>
  </si>
  <si>
    <t xml:space="preserve">N/SHEET: 1/A-226A, 3/A-410, 4/A-410, G/A-221, H/A-221, I/A-221, E/A-221, F/A-221, A-410 (ALL PLYWOOD NEEDS TO BE FRT) | Breakdown [DERIVED]: SS-N-WD1-FRT 318.78 + TYPE-3-A-FRT 309.44 + TYPE-4-A-FRT 627.3 + H1-01-FRT 264.4 + H1-02-FRT 506 + H3-01-FRT 54.08 + I-01-FRT 79.8 + I-02-FRT 69.2 + H2-01-FRT 89.8 + E1-01-FRT 72.6 + H2-02-FRT 40 + H2-02-FRT 40 + E2-01-FRT 569.8 + E1-02-FRT 398.6 + F-01-FRT 195 = 3,634.8 SF (strip length x height)</t>
  </si>
  <si>
    <t xml:space="preserve">5/8" FRT plywood at canopy column wraps</t>
  </si>
  <si>
    <t xml:space="preserve">N/SHEET: F/A-221, A-410 (ALL PLYWOOD NEEDS TO BE FRT) | Breakdown [DERIVED]: F-01 195 = 195 SF (strip length x height)</t>
  </si>
  <si>
    <t xml:space="preserve">Hanger wire 12 ga - hanger count (one per hanger, height per room)</t>
  </si>
  <si>
    <t xml:space="preserve">each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</si>
  <si>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</si>
  <si>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 - extended to every door as a 2-piece track header (R.O. + 1'-4") x 2 (RFI-09)</t>
  </si>
  <si>
    <t xml:space="preserve">N/SHEET: 1/A-500 | Door 4 (W2-04): (3.0 + 2 x 0.667) x 1 x 2 pieces = 8.67; Door 9 (W2-06.1): (3.0 + 2 x 0.667) x 1 x 2 pieces = 8.67; Door 7 (W2-06.5): (3.0 + 2 x 0.667) x 1 x 2 pieces = 8.67; Door 5 (W2-08): (3.0 + 2 x 0.667) x 1 x 2 pieces = 8.67; Door 6 (W2-09): (3.0 + 2 x 0.667) x 1 x 2 pieces = 8.67; DR-104 (C-H2a): (4.0 + 2 x 0.667) x 1 x 2 pieces = 10.67; Door 8 (2-03): (3.0 + 2 x 0.667) x 1 x 2 pieces = 8.67</t>
  </si>
  <si>
    <t xml:space="preserve">Stud reinforcement at MEP penetrations</t>
  </si>
  <si>
    <t xml:space="preserve">[DERIVED] N/SHEET: M-102, A-101 | X01 (W2-03, 14" DIA) 1 + X02 (W2-06.1, 6" DIA) 1 + X03 (W2-06.5, 6" DIA) 1 + X04 (W5-01, 6" DIA) 1 + X05 (W2-07, 6" DIA) 1 + X06 (W2-08, 10" DIA) 1 + X07 (W2-09, 8" DIA) 1 + X08 (W2-01, 10" DIA) 1 + T01 (W2-03, TG-1 12"x10") 1 + T02 (W2-02, TG-1 14"x6") 1 = 10 plates</t>
  </si>
  <si>
    <t xml:space="preserve">Extra framing - ATM recess (only what a detail prints at the recess; the wall stays in its type)</t>
  </si>
  <si>
    <t xml:space="preserve">[DERIVED] N/SHEET: A-101 | none: no ATM / recessed equipment detail in the set (A-410 / A-221 / A-200 read)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</si>
  <si>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</si>
  <si>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</si>
  <si>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</si>
  <si>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[RFI] N/SHEET: A-101, A-200, A-221, A-121, DR-104 | RFI: No opening detail in the sheets read (A-101, A-200, A-221, A-121) shows gypsum board returning at jambs/head of cased or storefront openings; per estimator rule jamb return is counted only where a detail draws it. Delta: Carried at 0 SF. If confirmed gypsum returns at openings: + (R.O. width + 2 x head height) x wall thickness x layers per opening, DR-4..DR-9, DR-104.</t>
  </si>
  <si>
    <t xml:space="preserve">PVC trim - edge trim molding and inside corner molding at the FRP, incl. outside corners, door edges and division bars every 4' (see breakdown)</t>
  </si>
  <si>
    <t xml:space="preserve">[DERIVED] N/SHEET: 3/A-225, 1/A-225, 1/A-221, 9/A-200, 10/A-200, 11/A-200, 12/A-200, 3/A-410, 4/A-410, 4/A-225 | PVC-CAFE-WORKROOM: J-mold at bottom (3/A-225 "FRP J-MOLD AT BOTTOM OF FRP PANEL") 85.22 - door 3 4.0 = 81.22 + top edge 85.22 + inside corners 6 x 10.0 = 60.0 + outside corners (stub C-H2b end) 2 x 10.0 = 20.0 + door 3 edge trim 2 x 8.0 + 4.0 = 20.0 = 266.44 LF (estimator decision 2026-10-28); PVC-JANITOR: J-mold at bottom 19.43 - door 7 3.0 = 16.43 + top edge at 8'-0" 19.43 + inside corners 4 x 8.0 = 32.0 + door 7 edge trim 2 x 7.0 + 3.0 = 17.0 = 84.86 LF (estimator decision 2026-10-28); PVC-TYPES-3-4: J-mold at bottom 122.32 + type 3 vertical edge trim 2 walls x 2 ends x 8.0 = 32.0 (top: corner bead already carried; hourglass cap outside corners: metal corner guard A-001A governs, no PVC) = 154.32 LF (estimator decision 2026-10-28); PVC-CAFE-BELOW-COUNTER: 4/A-225 "FRP J-MOLD AT BOTTOM OF FRP PANEL" above B-2 on the C-E1-S Cafe face: 19.0 LF (estimator decision 2026-10-28); FRP-DIVISION-BARS: division bars at every 4' panel joint: Work Room 18 x 10.0 = 180 + Janitor 2 x 8.0 = 16 + type 3 4 x 8.0 = 32 + type 4 18 x 7.5 = 135 = 363 LF (estimator decision 2026-10-28; A-001A FRP per manufacturer)</t>
  </si>
  <si>
    <t xml:space="preserve">Power-driven fasteners and duct sleeves - duct sleeves at the duct crossings (M-102)</t>
  </si>
  <si>
    <t xml:space="preserve">[DERIVED] N/SHEET: M-102, A-101 | duct sleeves = X01 (W2-03) 1 + X02 (W2-06.1) 1 + X03 (W2-06.5) 1 + X04 (W5-01) 1 + X05 (W2-07) 1 + X06 (W2-08) 1 + X07 (W2-09) 1 + X08 (W2-01) 1 = 8</t>
  </si>
  <si>
    <t xml:space="preserve">Access panel</t>
  </si>
  <si>
    <t xml:space="preserve">[DERIVED] N/SHEET: A-121 | none: no access panel markers read in A-121 for GWB ceilings (A-121)</t>
  </si>
  <si>
    <t xml:space="preserve">Drywall screws #7 x 1-1/4" Type S bugle head (board on 25/20 ga studs)</t>
  </si>
  <si>
    <t xml:space="preserve">[DERIVED] N/SHEET: GA-216 | Inputs!B20 (Drywall screws per SF of board = 1.2) x 14180.3 SF of board</t>
  </si>
  <si>
    <t xml:space="preserve">Framing screws #8-18 x 1/2" pan head (25/20 ga studs)</t>
  </si>
  <si>
    <t xml:space="preserve">[DERIVED] N/SHEET: A-410 note 8.A | Inputs!B21 (Framing screws per stud piece = 4) x 645 stud pieces | Breakdown [DERIVED]: 4 x 645 stud pieces of the 25/20 ga walls and other framing [2-03 13 + 2-11 5 + 2-12 5 + 2-13 55 + 4-02 20 + 4-03 20 + 5-01b 5 + C-A-1 11 + C-A-2 5 + C-A-3 6 + C-B 4 + C-C 3 + C-D 8 + C-E1-P.2 4 + C-E1-S 16 + C-E2 23 + C-H1-N 20 + C-H1-W 11 + C-H2a 9 + C-H2b 3 + C-H3a 5 + C-H3b 7 + I-02 4 + SS-GG 6 + SS-N 19 + W2-01 40 + W2-03 12 + W2-04 48 + W2-05 11 + W2-06.1 13 + W2-06.5 8 + W2-07 7 + W2-08 16 + W2-09 16 + W3-01 4 + W3-02 12 + W3-03 12 + W3-04 4 + W3-05 4 + W3-06 4 + W4-28a 10 + W4-31a 10 + W5-01 7 (walls 525); CW-01 12; CW-02 12; CW-03 12; CW-04 12; CW-05 12; CW-06 12; CW-07 12; CW-08 12; CW-09 12; F-01 12; I-03.6" 0; I-04.6" 0; I-05.6" 0] = 2580</t>
  </si>
  <si>
    <t xml:space="preserve">Power-driven fasteners, slab pins for the bottom track</t>
  </si>
  <si>
    <t xml:space="preserve">[DERIVED] N/SHEET: A-410 note 8.F (9/A-410 = alternate) | 608.25 LF of interior bottom track on slab / Inputs!B22 (Power-driven pin spacing (ft) = 1.33333)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</si>
  <si>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</si>
  <si>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</si>
  <si>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</si>
  <si>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</si>
  <si>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</si>
  <si>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A-001A Div 09 A.8 | Inputs!B23 (Joint compound (lb per SF) = 0.072) x 14180.3 SF of board</t>
  </si>
  <si>
    <t xml:space="preserve">Joint tape, paper</t>
  </si>
  <si>
    <t xml:space="preserve">[DERIVED] N/SHEET: A-001A Div 09 A.8 | Inputs!B24 (Joint tape (LF per SF) = 0.37) x 14180.3 SF of board</t>
  </si>
  <si>
    <t xml:space="preserve">Level 5 finish</t>
  </si>
  <si>
    <t xml:space="preserve">[DERIVED] N/SHEET: A-101, A-121, A-200, A-221 | RFI: No finish schedule tag or key note reading LEVEL 5 was found in the sheets read (A-101, A-121, A-200, A-221); finish level is not printed. Delta: Carried at 0 SF (Level 4 assumed per Clarifications). If Level 5 is required: add SF = sum of L x (height - base) of the tagged faces.</t>
  </si>
  <si>
    <t xml:space="preserve">Deflection clips at non-load-bearing walls to structure</t>
  </si>
  <si>
    <t xml:space="preserve">[DERIVED] N/SHEET: 5/A-410 | none: A-410 note 8 typical fasteners / slip track detail 5/A-410 draw slip track in the type; no clip note found in general notes</t>
  </si>
  <si>
    <t xml:space="preserve">Heavy-gauge framing screws #10-16 x 3/4" pan head (18/16/14 ga studs)</t>
  </si>
  <si>
    <t xml:space="preserve">[DERIVED] N/SHEET: A-410 | none in the set</t>
  </si>
  <si>
    <t xml:space="preserve">Type S-12 drywall screws #6 x 1-1/4" (board on 18/16/14 ga studs)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</si>
  <si>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</si>
  <si>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</si>
  <si>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</si>
  <si>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</si>
  <si>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CLOSED - estimator decision 2026-10-27: One row @ 16" O.C. (A-410 note 8.F spacing). N/SHEET: A-410 note 8.F; 9/A-410.</t>
  </si>
  <si>
    <t xml:space="preserve">Applied: slab pins 777.43 -&gt; 388.72 (518.29 LF / 1.333; -388.71).</t>
  </si>
  <si>
    <t xml:space="preserve">RFI-ACC-gypsum-board-jamb-return</t>
  </si>
  <si>
    <t xml:space="preserve">gypsum board jamb return: No opening detail in the sheets read (A-101, A-200, A-221, A-121) shows gypsum board returning at jambs/head of cased or storefront openings; per estimator rule jamb return is counted only where a detail draws it.</t>
  </si>
  <si>
    <t xml:space="preserve">Carried at 0 SF. If confirmed gypsum returns at openings: + (R.O. width + 2 x head height) x wall thickness x layers per opening, DR-4..DR-9, DR-104.</t>
  </si>
  <si>
    <t xml:space="preserve">RFI-ACC-level-5-finish</t>
  </si>
  <si>
    <t xml:space="preserve">Level 5 finish: No finish schedule tag or key note reading LEVEL 5 was found in the sheets read (A-101, A-121, A-200, A-221); finish level is not printed.</t>
  </si>
  <si>
    <t xml:space="preserve">Carried at 0 SF (Level 4 assumed per Clarifications). If Level 5 is required: add SF = sum of L x (height - base) of the tagged faces.</t>
  </si>
  <si>
    <t xml:space="preserve">RFI-ACC-stud-reinforcement-mep</t>
  </si>
  <si>
    <t xml:space="preserve">CLOSED - estimator decision 2026-10-27: Counted on M-102 + A-101: 8 duct crossings at the full-height walls (types 2 / 5) + 2 TG-1 transfer grille openings (W2-03, W2-02). N/SHEET: M-102; A-101.</t>
  </si>
  <si>
    <t xml:space="preserve">Applied: stud reinforcement plates 0 -&gt; 10 (8 ducts x 1 + 2 TG-1); duct sleeves 0 -&gt; 8.</t>
  </si>
  <si>
    <t xml:space="preserve">RFI-ACC-pvc-trim-at-frp</t>
  </si>
  <si>
    <t xml:space="preserve">PVC trim at FRP: FRP-1 is called at the cafe side of counters / cafe workroom (A-221) but its perimeter is not measured in this reading (FRP panel SF carried as RFI-07), so PVC edge trim LF cannot be derived.</t>
  </si>
  <si>
    <t xml:space="preserve">Carried at 0 LF. If FRP-1 is confirmed in scope: 2 x net FRP perimeter (doors deducted) + inside corners x top height, per estimator rule PVC trim at FRP.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</si>
  <si>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</si>
  <si>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</si>
  <si>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</si>
  <si>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</si>
  <si>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</si>
  <si>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</si>
  <si>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</si>
  <si>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CLOSED - estimator decision 2026-10-27: B.O. deck 25'-0" kept. N/SHEET: 1/A-400A; 1/A-400B.</t>
  </si>
  <si>
    <t xml:space="preserve">No change.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</si>
  <si>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</si>
  <si>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</si>
  <si>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</t>
  </si>
  <si>
    <t xml:space="preserve">RFI-05</t>
  </si>
  <si>
    <t xml:space="preserve">CLOSED - estimator decision 2026-10-27: Closed: types E1 / E2 counted once; type 1 existing per RFI-01. N/SHEET: E/A-221; A-410.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</si>
  <si>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</si>
  <si>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</si>
  <si>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</si>
  <si>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</si>
  <si>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</si>
  <si>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</si>
  <si>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</si>
  <si>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</si>
  <si>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</si>
  <si>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CLOSED - estimator decision 2026-10-27: 2-piece track header at every door. N/SHEET: A-500 door schedule; 1/A-500.</t>
  </si>
  <si>
    <t xml:space="preserve">Applied: head track at door openings 10.67 -&gt; 83.32 LF ((R.O. + 1'-4") x 2 at every door in a new wall; replaces RFI-31).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</si>
  <si>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</si>
  <si>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</si>
  <si>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</si>
  <si>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</si>
  <si>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</si>
  <si>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</si>
  <si>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</si>
  <si>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</si>
  <si>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</si>
  <si>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CLOSED - estimator decision 2026-10-27: FRP-1 in our scope. N/SHEET: A-510; 1-4/A-226B; 9-12/A-200.</t>
  </si>
  <si>
    <t xml:space="preserve">Applied: FRP + 1,030.64 SF (Cafe Work Room 875.20 + Janitor 155.44) + PVC trim (J-mold top / bottom + inside corners). Revised by RFI-55 (estimator decision 2026-10-28): Work Room FRP 852.20 SF (finished dimensions, 1/A-221); PVC trim per real corners / edges + division bars.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</si>
  <si>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</si>
  <si>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</si>
  <si>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</si>
  <si>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</si>
  <si>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</si>
  <si>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</si>
  <si>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</si>
  <si>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</si>
  <si>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</si>
  <si>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</si>
  <si>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</si>
  <si>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</si>
  <si>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</si>
  <si>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</si>
  <si>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</si>
  <si>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</si>
  <si>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</si>
  <si>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</si>
  <si>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</si>
  <si>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</si>
  <si>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</si>
  <si>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CLOSED - estimator decision 2026-10-27: Fascia GWB at the Cafe Seating cloud. N/SHEET: 4/A-121.</t>
  </si>
  <si>
    <t xml:space="preserve">Applied: 5/8" Type X + 53.6 SF (107.21 LF x 0.5 ft); edge trim already carried.</t>
  </si>
  <si>
    <t xml:space="preserve">RFI-22</t>
  </si>
  <si>
    <t xml:space="preserve">CLOSED - estimator decision 2026-10-27: One face of types 3 / 4 (122.32 LF) = 5/8" FRT plywood + FRP (A-410 building dept note: all plywood FRT). N/SHEET: 3/A-410; 4/A-410.</t>
  </si>
  <si>
    <t xml:space="preserve">Applied: 5/8" FRT plywood + 936.74 SF, FRP + 936.74 SF, 5/8" Type X - 936.74 SF on that face, PVC trim + 244.64 LF. Revised by RFI-55 (estimator decision 2026-10-28): types 3 / 4 PVC 154.32 LF (hourglass cap corners take the metal corner guard) + division bars 167 LF.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</si>
  <si>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</si>
  <si>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</si>
  <si>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0.00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</si>
  <si>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</si>
  <si>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CLOSED - estimator decision 2026-10-27: Control joints per ASTM C840 (30 ft max). N/SHEET: A-101; A-410.</t>
  </si>
  <si>
    <t xml:space="preserve">Applied: control joint + 250.0 LF (W2-01 1, W2-03 3, W2-04 1 = 5 joints x 25.0 ft x 2 faces).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</si>
  <si>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</si>
  <si>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</si>
  <si>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</si>
  <si>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</si>
  <si>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</si>
  <si>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</si>
  <si>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</si>
  <si>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14,266.95 SF = walls 13,204.92 + GWB ceilings 884.24 (Cafe 103 - 11'-6" GWB band 125.07, Cafe 103 - 9'-0" GWB band 50.67, Cafe Seating Area 102 - GWB cloud 573.69, Cafe 103 - 11'-0" GWB zone 109.65, Grab &amp; Go 25.16) + VEST-GWB 105.5 + SS-GG-BOTTOM-GWB 3.73 + VEST-GWB-BANDS 14.96 + CLOUD-FASCIA-GWB 53.6; Type X W.R. 1,092.59 SF; 5/8" regular 0.</t>
  </si>
  <si>
    <t xml:space="preserve">RFI-28</t>
  </si>
  <si>
    <t xml:space="preserve">CLOSED - estimator decision 2026-10-27: Moment clip at every stud of types 3 / 4. N/SHEET: A/A-410; 3/A-410; 4/A-410.</t>
  </si>
  <si>
    <t xml:space="preserve">Applied: + 162 moment clips, + 324 Kwik HUS-EZ 1/4" x 1-5/8", + 324 #10-16 screws.</t>
  </si>
  <si>
    <t xml:space="preserve">RFI-29</t>
  </si>
  <si>
    <t xml:space="preserve">CLOSED - estimator decision 2026-10-27: Both: (a) stainless steel corner guard 48" at the corner the C22 leader points to (existing perimeter, the plan asks for it); (b) metal corner guards 2"x2"x72" at all outside corners. N/SHEET: C22/A-101; A-001A.</t>
  </si>
  <si>
    <t xml:space="preserve">Applied: stainless 48" = 1; metal 2"x2"x72" = 72 (C25 36, type 3 16, type 4 8, type 2 5, Cafe 7).</t>
  </si>
  <si>
    <t xml:space="preserve">RFI-30</t>
  </si>
  <si>
    <t xml:space="preserve">CLOSED - estimator decision 2026-10-27: EXCLUDED: access panels by GC / tenant contractor (M-100 GN 30, E GN 12 GC installs; A-002 F/I tenant contractor); quantity not shown. N/SHEET: M-100; A-002.</t>
  </si>
  <si>
    <t xml:space="preserve">Not carried (Scope Checklist ALC-17).</t>
  </si>
  <si>
    <t xml:space="preserve">RFI-31</t>
  </si>
  <si>
    <t xml:space="preserve">CLOSED - estimator decision 2026-10-27: Additional head track removed: inside the door headers of RFI-09 (no double count). N/SHEET: A-500.</t>
  </si>
  <si>
    <t xml:space="preserve">Applied: - 10.67 LF (now inside the 83.32 LF of RFI-09).</t>
  </si>
  <si>
    <t xml:space="preserve">RFI-32</t>
  </si>
  <si>
    <t xml:space="preserve">CLOSED - estimator decision 2026-10-27: Water heater backing kept. N/SHEET: P-201.</t>
  </si>
  <si>
    <t xml:space="preserve">No change: 10.67 LF 3-5/8" stud.</t>
  </si>
  <si>
    <t xml:space="preserve">RFI-33</t>
  </si>
  <si>
    <t xml:space="preserve">CLOSED - estimator decision 2026-10-27: Janitor 3/4" FRT plywood kept. N/SHEET: 11/A-200.</t>
  </si>
  <si>
    <t xml:space="preserve">No change: 17.0 SF.</t>
  </si>
  <si>
    <t xml:space="preserve">RFI-34</t>
  </si>
  <si>
    <t xml:space="preserve">CLOSED(rev7):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</si>
  <si>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</si>
  <si>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</si>
  <si>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CLOSED - estimator decision 2026-10-27: Fire stop track at ceiling line kept. N/SHEET: 3/A-410 (TYP.).</t>
  </si>
  <si>
    <t xml:space="preserve">No change: 264.21 LF.</t>
  </si>
  <si>
    <t xml:space="preserve">RFI-36</t>
  </si>
  <si>
    <t xml:space="preserve">CLOSED - estimator decision 2026-10-27: EXCLUDED: W-3 surface-mounted 3/4" FRT plywood blocking BY GC / FIXTURE INSTALLER. N/SHEET: 1/A-414; 7/A-414.</t>
  </si>
  <si>
    <t xml:space="preserve">Not carried (Scope Checklist ALC-16).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</si>
  <si>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</si>
  <si>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</si>
  <si>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</si>
  <si>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</si>
  <si>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CLOSED - estimator decision 2026-10-27: Seismic bracing per 5/A-121 kept (the plan governs). N/SHEET: 5/A-121.</t>
  </si>
  <si>
    <t xml:space="preserve">No change: splay wires 743.29 LF + 16 ga wire 131.42 LF.</t>
  </si>
  <si>
    <t xml:space="preserve">RFI-39</t>
  </si>
  <si>
    <t xml:space="preserve">CLOSED - estimator decision 2026-10-27: FE cabinet FRT 2x kept (covers the 12-13/16" fire-rated R.O. of JL 1017F10). N/SHEET: 4/A-101.</t>
  </si>
  <si>
    <t xml:space="preserve">No change: 16.0 LF.</t>
  </si>
  <si>
    <t xml:space="preserve">RFI-40</t>
  </si>
  <si>
    <t xml:space="preserve">CLOSED - estimator decision 2026-10-27: Nested inner runner kept. N/SHEET: 3/A-410.</t>
  </si>
  <si>
    <t xml:space="preserve">No change: 479.85 LF.</t>
  </si>
  <si>
    <t xml:space="preserve">RFI-41</t>
  </si>
  <si>
    <t xml:space="preserve">CLOSED - estimator decision 2026-10-27: Joists at 5'-0". N/SHEET: 8/A-410; A-400A; A-400B.</t>
  </si>
  <si>
    <t xml:space="preserve">No change: cross members 705.0 LF; #8 screws 775 (2 per cross member, verified by the independent review); the 2-per-wall-stud reading (+ 98) stays as a note.</t>
  </si>
  <si>
    <t xml:space="preserve">RFI-42</t>
  </si>
  <si>
    <t xml:space="preserve">CLOSED - estimator decision 2026-10-27: Soffit cross bracing kept (2/A-221 "as req'd", conservative). N/SHEET: 2/A-221.</t>
  </si>
  <si>
    <t xml:space="preserve">No change: 90.0 LF.</t>
  </si>
  <si>
    <t xml:space="preserve">RFI-43</t>
  </si>
  <si>
    <t xml:space="preserve">CLOSED - estimator decision 2026-10-27: E1 cement board to 12'-0" (TL-4 / WD-1 to 11'-6" on 4/A-226A + 6"; 11'-6" at C-E1-B). N/SHEET: E/A-221; 4/A-226A; 1/A-121.</t>
  </si>
  <si>
    <t xml:space="preserve">Applied: 1/2" cement board - 305.62 SF (C-E1-S 19.0 x 13.0 + C-E1-P.2 2.11 x 13.0 + C-E1-B 2.31 x 13.5).</t>
  </si>
  <si>
    <t xml:space="preserve">RFI-44</t>
  </si>
  <si>
    <t xml:space="preserve">CLOSED - estimator decision 2026-10-27: T.O. WD-1 on the H3a Sales face = 15'-0" (precedent 6/A-226A). N/SHEET: H/A-221; 6/A-226A.</t>
  </si>
  <si>
    <t xml:space="preserve">Applied: 5/8" FRT plywood - 40.8 SF; 5/8" Type X + 40.8 SF (4.08 x 10.0).</t>
  </si>
  <si>
    <t xml:space="preserve">RFI-45</t>
  </si>
  <si>
    <t xml:space="preserve">CLOSED - estimator decision 2026-10-27: Kept (conservative). N/SHEET: G/A-221.</t>
  </si>
  <si>
    <t xml:space="preserve">No change: 66.7 SF on C-H2a.</t>
  </si>
  <si>
    <t xml:space="preserve">RFI-46</t>
  </si>
  <si>
    <t xml:space="preserve">CLOSED - estimator decision 2026-10-27: Kept (estimator decision 2026-10-26). N/SHEET: F/A-221; 3/A-410; 4/A-410.</t>
  </si>
  <si>
    <t xml:space="preserve">No change: 6.52 + 122.32 LF.</t>
  </si>
  <si>
    <t xml:space="preserve">RFI-47</t>
  </si>
  <si>
    <t xml:space="preserve">CLOSED - estimator decision 2026-10-27: FRT (A-410 building dept note: all plywood FRT); thickness per the A-221 sections (5/8", conservative). N/SHEET: A-410; A-221.</t>
  </si>
  <si>
    <t xml:space="preserve">RFI-48</t>
  </si>
  <si>
    <t xml:space="preserve">CLOSED - estimator decision 2026-10-27: In-partition FRT 2x, 3 rows kept (conservative + FRT note). N/SHEET: 7/A-413.</t>
  </si>
  <si>
    <t xml:space="preserve">No change: 387 LF.</t>
  </si>
  <si>
    <t xml:space="preserve">RFI-49</t>
  </si>
  <si>
    <t xml:space="preserve">CLOSED - estimator decision 2026-10-27: Resolved on the plan: 0 cased openings (A-500 schedule / types; no 2/A-500 bubble on any sheet). "2/A-500 detail not referenced on any plan". N/SHEET: 2/A-500; A-500.</t>
  </si>
  <si>
    <t xml:space="preserve">Applied: 2x wood blocking - 17.0 LF.</t>
  </si>
  <si>
    <t xml:space="preserve">RFI-50</t>
  </si>
  <si>
    <t xml:space="preserve">CLOSED - estimator decision 2026-10-27: EXCLUDED: server room 4'x8' FRT plywood BY GC. N/SHEET: 2/E-103; E-301.</t>
  </si>
  <si>
    <t xml:space="preserve">Applied: 3/4" FRT plywood - 32.0 SF (Scope Checklist ALC-10).</t>
  </si>
  <si>
    <t xml:space="preserve">RFI-52</t>
  </si>
  <si>
    <t xml:space="preserve">CLOSED - estimator decision 2026-10-27: Kept (11'-3 1/2" printed). N/SHEET: 2/A-210; 3/A-210.</t>
  </si>
  <si>
    <t xml:space="preserve">No change: 14.96 SF.</t>
  </si>
  <si>
    <t xml:space="preserve">RFI-53</t>
  </si>
  <si>
    <t xml:space="preserve">CLOSED - estimator decision 2026-10-27: Fixture hanger wire kept. N/SHEET: 5/A-121.</t>
  </si>
  <si>
    <t xml:space="preserve">No change: 401.0 LF.</t>
  </si>
  <si>
    <t xml:space="preserve">RFI-51</t>
  </si>
  <si>
    <t xml:space="preserve">CLOSED - estimator decision 2026-10-27: Kept as carried + diagonal brace end screws 2 per end (manufacturer rule where the plan prints none); 8/A-210 read as 8 per station @ 16" O.C. N/SHEET: 3/A-410; 7/A-210; 8/A-210.</t>
  </si>
  <si>
    <t xml:space="preserve">Applied: + 512 #8 screws at brace ends (128 braces x 2 ends x 2); 520 Tek screws at 8/A-210 kept.</t>
  </si>
  <si>
    <t xml:space="preserve">RFI-54</t>
  </si>
  <si>
    <t xml:space="preserve">CLOSED - estimator decision 2026-10-27: Perimeter track kept (conservative); 8" ledger = 16 ga like the 8/A-210 nested members. N/SHEET: 5/A-121; 4/A-210; 8/A-210.</t>
  </si>
  <si>
    <t xml:space="preserve">No change in LF.</t>
  </si>
  <si>
    <t xml:space="preserve">RFI-55</t>
  </si>
  <si>
    <t xml:space="preserve">CLOSED - estimator decision 2026-10-28: PVC trim and FRP per the targeted review (real corners and edges; division bars every 4'; hourglass cap corners take the metal corner guard, not PVC; Work Room FRP at finished dimensions; FRP-1 below the Cafe countertop). N/SHEET: 3/A-225; 4/A-225; 1/A-225; 6/A-225; 1/A-221; 9-12/A-200; A-001A.</t>
  </si>
  <si>
    <t xml:space="preserve">Applied: PVC trim + division bars 530.54 -&gt; 887.62 LF (trim 524.62 + division bars 363.0); FRP 1,967.38 -&gt; 2,001.38 SF (Work Room - 23.0, Cafe below countertop + 57.0).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</si>
  <si>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</si>
  <si>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</si>
  <si>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</si>
  <si>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</si>
  <si>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</si>
  <si>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</si>
  <si>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</si>
  <si>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</si>
  <si>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</si>
  <si>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</si>
  <si>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</si>
  <si>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</si>
  <si>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</si>
  <si>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</si>
  <si>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</si>
  <si>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</si>
  <si>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</si>
  <si>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</si>
  <si>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</si>
  <si>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</si>
  <si>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</si>
  <si>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</si>
  <si>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</si>
  <si>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(own rows by size, 3/A-410) (3/A-410, RFI-35) and additional head track 83.32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</si>
  <si>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</si>
  <si>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</si>
  <si>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</si>
  <si>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</si>
  <si>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</si>
  <si>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</si>
  <si>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</si>
  <si>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</si>
  <si>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14,266.95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</si>
  <si>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</si>
  <si>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</si>
  <si>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</si>
  <si>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</si>
  <si>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</si>
  <si>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</si>
  <si>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</si>
  <si>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</si>
  <si>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2,686.45 SF (Cafe types G, H, E2, F, I and Grab &amp; Go soffit 3/A-221; soffit faces 2/A-221) + 3/4" 370.46 SF (counters A/B, menu boards 4/A-226A, restroom backing 21/A-201, vestibule 4/A-210, 5/A-210, janitor 11/A-200) - breakdown in Material Summary EXCLUDED (estimator decision 2026-10-27, RFI-50): server room 4'x8' FRT plywood BY GC (2/E-103). Types 3 / 4 one face 5/8" FRT plywood + FRP added (RFI-22).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</si>
  <si>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</si>
  <si>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</si>
  <si>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</si>
  <si>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</si>
  <si>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</si>
  <si>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</si>
  <si>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</si>
  <si>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</si>
  <si>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</si>
  <si>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</si>
  <si>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</si>
  <si>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</si>
  <si>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</si>
  <si>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</si>
  <si>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</si>
  <si>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</si>
  <si>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</si>
  <si>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+ 3/4" FRT plywood menu boards 60.61 SF (4/A-226A) + restroom backing 17.78 SF (21/A-201) + janitor 17.0 SF (11/A-200, RFI-33); water heater backing P-201 10.67 LF 3-5/8" stud (RFI-32); W-3 surface blocking 1/A-414 RFI-36. EXCLUDED (estimator decision 2026-10-27, RFI-36): W-3 surface-mounted 3/4" FRT plywood blocking BY GC / FIXTURE INSTALLER (1/A-414, 7/A-414). 2/A-500 cased opening blocking removed: 0 cased openings (RFI-49).</t>
  </si>
  <si>
    <t xml:space="preserve">ALC-17</t>
  </si>
  <si>
    <t xml:space="preserve">Framed openings (MEP, access panels, diffusers)</t>
  </si>
  <si>
    <t xml:space="preserve">QUANTIFIED: stud reinforcement plates 10 + duct sleeves 8 (M-102 count, estimator decision 2026-10-27). Access panels EXCLUDED (estimator decision 2026-10-27, RFI-30): access panels by GC / tenant contractor (M-100 GN 30, E GN 12 GC installs; A-002 F/I tenant contractor); quantity not shown.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</si>
  <si>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</si>
  <si>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</si>
  <si>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control joints not printed - carried per ASTM C840 (estimator decision 2026-10-27, RFI-24). Control joints 250.0 LF (ASTM C840, RFI-24); corner guards metal 2"x2"x72" 72 + stainless 48" 1 (RFI-29).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</si>
  <si>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</si>
  <si>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</si>
  <si>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</si>
  <si>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</si>
  <si>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</si>
  <si>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QUANTIFIED (estimator decision 2026-10-27): FRP-1 Cafe Work Room + Janitor (RFI-13) and one face of types 3 / 4 (RFI-22) + PVC trim; cement board E1 to 12'-0" (RFI-43). 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</si>
  <si>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</si>
  <si>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</si>
  <si>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</si>
  <si>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</si>
  <si>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</si>
  <si>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</si>
  <si>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</si>
  <si>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</si>
  <si>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</si>
  <si>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</si>
  <si>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</si>
  <si>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</si>
  <si>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</si>
  <si>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</si>
  <si>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</si>
  <si>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</si>
  <si>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</si>
  <si>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</si>
  <si>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</si>
  <si>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</si>
  <si>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</si>
  <si>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</si>
  <si>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</si>
  <si>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</si>
  <si>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</si>
  <si>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</si>
  <si>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</si>
  <si>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</si>
  <si>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</si>
  <si>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</si>
  <si>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</si>
  <si>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"30328baae8a109373483e25954cb34b9d553393b9a6064bfc8f8b3a24584bd94", "evidencias": "82f4ec13c901d7191f9772989e98854d158340ab19499f6cfbada96ca6cbd21e", "familias_out": "efd452b69a59a44adaa0688741a3a30591b17914b1817021a5318c284e429a7e", "reglas": "72bf0be21e40184db31d6df02ebb10ea5608c6ccc6004bdc86763c869879d378",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</si>
</sst>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1.333333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13.03</v>
      </c>
      <c r="D6" s="0" t="n">
        <v>20</v>
      </c>
      <c r="E6" s="0" t="n">
        <v>2</v>
      </c>
      <c r="F6" s="0" t="s">
        <v>73</v>
      </c>
      <c r="G6" s="0" t="n">
        <v>16</v>
      </c>
      <c r="H6" s="0" t="n">
        <v>360.86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71.33</v>
      </c>
      <c r="D7" s="0" t="n">
        <v>20</v>
      </c>
      <c r="E7" s="0" t="n">
        <v>2</v>
      </c>
      <c r="F7" s="0" t="s">
        <v>73</v>
      </c>
      <c r="G7" s="0" t="n">
        <v>16</v>
      </c>
      <c r="H7" s="0" t="n">
        <v>2853.2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58.39</v>
      </c>
      <c r="D8" s="0" t="n">
        <v>20</v>
      </c>
      <c r="E8" s="0" t="n">
        <v>2</v>
      </c>
      <c r="F8" s="0" t="s">
        <v>73</v>
      </c>
      <c r="G8" s="0" t="n">
        <v>16</v>
      </c>
      <c r="H8" s="0" t="n">
        <v>2335.6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70.14</v>
      </c>
      <c r="D9" s="0" t="n">
        <v>20</v>
      </c>
      <c r="E9" s="0" t="n">
        <v>2</v>
      </c>
      <c r="F9" s="0" t="s">
        <v>73</v>
      </c>
      <c r="G9" s="0" t="n">
        <v>16</v>
      </c>
      <c r="H9" s="0" t="n">
        <v>2592.48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12.92</v>
      </c>
      <c r="D10" s="0" t="n">
        <v>20</v>
      </c>
      <c r="E10" s="0" t="n">
        <v>2</v>
      </c>
      <c r="F10" s="0" t="s">
        <v>73</v>
      </c>
      <c r="G10" s="0" t="n">
        <v>16</v>
      </c>
      <c r="H10" s="0" t="n">
        <v>241.73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9.06</v>
      </c>
      <c r="D11" s="0" t="n">
        <v>20</v>
      </c>
      <c r="E11" s="0" t="n">
        <v>2</v>
      </c>
      <c r="F11" s="0" t="s">
        <v>73</v>
      </c>
      <c r="G11" s="0" t="n">
        <v>16</v>
      </c>
      <c r="H11" s="0" t="n">
        <v>262.74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A12" s="0" t="s">
        <v>92</v>
      </c>
      <c r="B12" s="0" t="s">
        <v>93</v>
      </c>
      <c r="C12" s="0" t="n">
        <v>7.52</v>
      </c>
      <c r="D12" s="0" t="n">
        <v>20</v>
      </c>
      <c r="E12" s="0" t="n">
        <v>2</v>
      </c>
      <c r="F12" s="0" t="s">
        <v>73</v>
      </c>
      <c r="G12" s="0" t="n">
        <v>16</v>
      </c>
      <c r="H12" s="0" t="n">
        <v>218.08</v>
      </c>
      <c r="I12" s="0" t="s">
        <v>94</v>
      </c>
      <c r="J12" s="0" t="s">
        <v>75</v>
      </c>
      <c r="K12" s="0" t="s">
        <v>76</v>
      </c>
    </row>
    <row r="13" customFormat="false" ht="15" hidden="false" customHeight="false" outlineLevel="0" collapsed="false">
      <c r="A13" s="0" t="s">
        <v>95</v>
      </c>
      <c r="B13" s="0" t="s">
        <v>96</v>
      </c>
      <c r="C13" s="0" t="n">
        <v>12.94</v>
      </c>
      <c r="D13" s="0" t="n">
        <v>20</v>
      </c>
      <c r="E13" s="0" t="n">
        <v>2</v>
      </c>
      <c r="F13" s="0" t="s">
        <v>73</v>
      </c>
      <c r="G13" s="0" t="n">
        <v>16</v>
      </c>
      <c r="H13" s="0" t="n">
        <v>362.08</v>
      </c>
      <c r="I13" s="0" t="s">
        <v>97</v>
      </c>
      <c r="J13" s="0" t="s">
        <v>75</v>
      </c>
      <c r="K13" s="0" t="s">
        <v>76</v>
      </c>
    </row>
    <row r="14" customFormat="false" ht="15" hidden="false" customHeight="false" outlineLevel="0" collapsed="false">
      <c r="A14" s="0" t="s">
        <v>98</v>
      </c>
      <c r="B14" s="0" t="s">
        <v>99</v>
      </c>
      <c r="C14" s="0" t="n">
        <v>12.94</v>
      </c>
      <c r="D14" s="0" t="n">
        <v>20</v>
      </c>
      <c r="E14" s="0" t="n">
        <v>2</v>
      </c>
      <c r="F14" s="0" t="s">
        <v>73</v>
      </c>
      <c r="G14" s="0" t="n">
        <v>16</v>
      </c>
      <c r="H14" s="0" t="n">
        <v>232.92</v>
      </c>
      <c r="I14" s="0" t="s">
        <v>100</v>
      </c>
      <c r="J14" s="0" t="s">
        <v>75</v>
      </c>
      <c r="K14" s="0" t="s">
        <v>76</v>
      </c>
    </row>
    <row r="15" customFormat="false" ht="15" hidden="false" customHeight="false" outlineLevel="0" collapsed="false">
      <c r="B15" s="6" t="s">
        <v>101</v>
      </c>
      <c r="C15" s="4" t="n">
        <f aca="false">SUM(C6:C14)</f>
        <v>268.27</v>
      </c>
      <c r="H15" s="4" t="n">
        <f aca="false">SUM(H6:H14)</f>
        <v>9459.69</v>
      </c>
    </row>
    <row r="16" customFormat="false" ht="15" hidden="false" customHeight="false" outlineLevel="0" collapsed="false">
      <c r="A16" s="5" t="s">
        <v>102</v>
      </c>
    </row>
    <row r="17" customFormat="false" ht="15" hidden="false" customHeight="false" outlineLevel="0" collapsed="false">
      <c r="A17" s="0" t="s">
        <v>103</v>
      </c>
      <c r="B17" s="0" t="s">
        <v>104</v>
      </c>
      <c r="C17" s="0" t="n">
        <v>4.22</v>
      </c>
      <c r="D17" s="0" t="n">
        <v>20</v>
      </c>
      <c r="E17" s="0" t="n">
        <v>2</v>
      </c>
      <c r="F17" s="0" t="s">
        <v>105</v>
      </c>
      <c r="G17" s="0" t="n">
        <v>16</v>
      </c>
      <c r="H17" s="0" t="n">
        <v>75.96</v>
      </c>
      <c r="I17" s="0" t="s">
        <v>106</v>
      </c>
      <c r="J17" s="0" t="s">
        <v>107</v>
      </c>
      <c r="K17" s="0" t="s">
        <v>76</v>
      </c>
    </row>
    <row r="18" customFormat="false" ht="15" hidden="false" customHeight="false" outlineLevel="0" collapsed="false">
      <c r="A18" s="0" t="s">
        <v>108</v>
      </c>
      <c r="B18" s="0" t="s">
        <v>109</v>
      </c>
      <c r="C18" s="0" t="n">
        <v>5.72</v>
      </c>
      <c r="D18" s="0" t="n">
        <v>20</v>
      </c>
      <c r="E18" s="0" t="n">
        <v>2</v>
      </c>
      <c r="F18" s="0" t="s">
        <v>105</v>
      </c>
      <c r="G18" s="0" t="n">
        <v>16</v>
      </c>
      <c r="H18" s="0" t="n">
        <v>102.96</v>
      </c>
      <c r="I18" s="0" t="s">
        <v>110</v>
      </c>
      <c r="J18" s="0" t="s">
        <v>107</v>
      </c>
      <c r="K18" s="0" t="s">
        <v>76</v>
      </c>
    </row>
    <row r="19" customFormat="false" ht="15" hidden="false" customHeight="false" outlineLevel="0" collapsed="false">
      <c r="B19" s="6" t="s">
        <v>111</v>
      </c>
      <c r="C19" s="4" t="n">
        <f aca="false">SUM(C17:C18)</f>
        <v>9.94</v>
      </c>
      <c r="H19" s="4" t="n">
        <f aca="false">SUM(H17:H18)</f>
        <v>178.92</v>
      </c>
    </row>
    <row r="20" customFormat="false" ht="15" hidden="false" customHeight="false" outlineLevel="0" collapsed="false">
      <c r="A20" s="5" t="s">
        <v>112</v>
      </c>
    </row>
    <row r="21" customFormat="false" ht="15" hidden="false" customHeight="false" outlineLevel="0" collapsed="false">
      <c r="A21" s="0" t="s">
        <v>113</v>
      </c>
      <c r="B21" s="0" t="s">
        <v>114</v>
      </c>
      <c r="C21" s="0" t="n">
        <v>3.67</v>
      </c>
      <c r="D21" s="0" t="n">
        <v>8</v>
      </c>
      <c r="E21" s="0" t="n">
        <v>1</v>
      </c>
      <c r="F21" s="0" t="s">
        <v>73</v>
      </c>
      <c r="G21" s="0" t="n">
        <v>16</v>
      </c>
      <c r="H21" s="0" t="n">
        <v>29.36</v>
      </c>
      <c r="I21" s="0" t="s">
        <v>115</v>
      </c>
      <c r="J21" s="0" t="s">
        <v>116</v>
      </c>
      <c r="K21" s="0" t="s">
        <v>76</v>
      </c>
    </row>
    <row r="22" customFormat="false" ht="15" hidden="false" customHeight="false" outlineLevel="0" collapsed="false">
      <c r="A22" s="0" t="s">
        <v>117</v>
      </c>
      <c r="B22" s="0" t="s">
        <v>118</v>
      </c>
      <c r="C22" s="0" t="n">
        <v>12</v>
      </c>
      <c r="D22" s="0" t="n">
        <v>8</v>
      </c>
      <c r="E22" s="0" t="n">
        <v>1</v>
      </c>
      <c r="F22" s="0" t="s">
        <v>73</v>
      </c>
      <c r="G22" s="0" t="n">
        <v>16</v>
      </c>
      <c r="H22" s="0" t="n">
        <v>96</v>
      </c>
      <c r="I22" s="0" t="s">
        <v>115</v>
      </c>
      <c r="J22" s="0" t="s">
        <v>116</v>
      </c>
      <c r="K22" s="0" t="s">
        <v>76</v>
      </c>
    </row>
    <row r="23" customFormat="false" ht="15" hidden="false" customHeight="false" outlineLevel="0" collapsed="false">
      <c r="A23" s="0" t="s">
        <v>119</v>
      </c>
      <c r="B23" s="0" t="s">
        <v>120</v>
      </c>
      <c r="C23" s="0" t="n">
        <v>12</v>
      </c>
      <c r="D23" s="0" t="n">
        <v>8</v>
      </c>
      <c r="E23" s="0" t="n">
        <v>1</v>
      </c>
      <c r="F23" s="0" t="s">
        <v>73</v>
      </c>
      <c r="G23" s="0" t="n">
        <v>16</v>
      </c>
      <c r="H23" s="0" t="n">
        <v>96</v>
      </c>
      <c r="I23" s="0" t="s">
        <v>115</v>
      </c>
      <c r="J23" s="0" t="s">
        <v>116</v>
      </c>
      <c r="K23" s="0" t="s">
        <v>76</v>
      </c>
    </row>
    <row r="24" customFormat="false" ht="15" hidden="false" customHeight="false" outlineLevel="0" collapsed="false">
      <c r="A24" s="0" t="s">
        <v>121</v>
      </c>
      <c r="B24" s="0" t="s">
        <v>122</v>
      </c>
      <c r="C24" s="0" t="n">
        <v>3.67</v>
      </c>
      <c r="D24" s="0" t="n">
        <v>8</v>
      </c>
      <c r="E24" s="0" t="n">
        <v>1</v>
      </c>
      <c r="F24" s="0" t="s">
        <v>73</v>
      </c>
      <c r="G24" s="0" t="n">
        <v>16</v>
      </c>
      <c r="H24" s="0" t="n">
        <v>29.36</v>
      </c>
      <c r="I24" s="0" t="s">
        <v>115</v>
      </c>
      <c r="J24" s="0" t="s">
        <v>116</v>
      </c>
      <c r="K24" s="0" t="s">
        <v>76</v>
      </c>
    </row>
    <row r="25" customFormat="false" ht="15" hidden="false" customHeight="false" outlineLevel="0" collapsed="false">
      <c r="A25" s="0" t="s">
        <v>123</v>
      </c>
      <c r="B25" s="0" t="s">
        <v>124</v>
      </c>
      <c r="C25" s="0" t="n">
        <v>3.67</v>
      </c>
      <c r="D25" s="0" t="n">
        <v>8</v>
      </c>
      <c r="E25" s="0" t="n">
        <v>1</v>
      </c>
      <c r="F25" s="0" t="s">
        <v>73</v>
      </c>
      <c r="G25" s="0" t="n">
        <v>16</v>
      </c>
      <c r="H25" s="0" t="n">
        <v>29.36</v>
      </c>
      <c r="I25" s="0" t="s">
        <v>115</v>
      </c>
      <c r="J25" s="0" t="s">
        <v>116</v>
      </c>
      <c r="K25" s="0" t="s">
        <v>76</v>
      </c>
    </row>
    <row r="26" customFormat="false" ht="15" hidden="false" customHeight="false" outlineLevel="0" collapsed="false">
      <c r="A26" s="0" t="s">
        <v>125</v>
      </c>
      <c r="B26" s="0" t="s">
        <v>126</v>
      </c>
      <c r="C26" s="0" t="n">
        <v>3.67</v>
      </c>
      <c r="D26" s="0" t="n">
        <v>8</v>
      </c>
      <c r="E26" s="0" t="n">
        <v>1</v>
      </c>
      <c r="F26" s="0" t="s">
        <v>73</v>
      </c>
      <c r="G26" s="0" t="n">
        <v>16</v>
      </c>
      <c r="H26" s="0" t="n">
        <v>29.36</v>
      </c>
      <c r="I26" s="0" t="s">
        <v>115</v>
      </c>
      <c r="J26" s="0" t="s">
        <v>116</v>
      </c>
      <c r="K26" s="0" t="s">
        <v>76</v>
      </c>
    </row>
    <row r="27" customFormat="false" ht="15" hidden="false" customHeight="false" outlineLevel="0" collapsed="false">
      <c r="B27" s="6" t="s">
        <v>127</v>
      </c>
      <c r="C27" s="4" t="n">
        <f aca="false">SUM(C21:C26)</f>
        <v>38.68</v>
      </c>
      <c r="H27" s="4" t="n">
        <f aca="false">SUM(H21:H26)</f>
        <v>309.44</v>
      </c>
    </row>
    <row r="28" customFormat="false" ht="15" hidden="false" customHeight="false" outlineLevel="0" collapsed="false">
      <c r="A28" s="5" t="s">
        <v>128</v>
      </c>
    </row>
    <row r="29" customFormat="false" ht="15" hidden="false" customHeight="false" outlineLevel="0" collapsed="false">
      <c r="A29" s="0" t="s">
        <v>129</v>
      </c>
      <c r="B29" s="0" t="s">
        <v>130</v>
      </c>
      <c r="C29" s="0" t="n">
        <v>24.21</v>
      </c>
      <c r="D29" s="0" t="n">
        <v>7.5</v>
      </c>
      <c r="E29" s="0" t="n">
        <v>2</v>
      </c>
      <c r="F29" s="0" t="s">
        <v>73</v>
      </c>
      <c r="G29" s="0" t="n">
        <v>16</v>
      </c>
      <c r="H29" s="0" t="n">
        <v>363.16</v>
      </c>
      <c r="I29" s="0" t="s">
        <v>131</v>
      </c>
      <c r="J29" s="0" t="s">
        <v>132</v>
      </c>
      <c r="K29" s="0" t="s">
        <v>76</v>
      </c>
    </row>
    <row r="30" customFormat="false" ht="15" hidden="false" customHeight="false" outlineLevel="0" collapsed="false">
      <c r="A30" s="0" t="s">
        <v>133</v>
      </c>
      <c r="B30" s="0" t="s">
        <v>134</v>
      </c>
      <c r="C30" s="0" t="n">
        <v>24.21</v>
      </c>
      <c r="D30" s="0" t="n">
        <v>7.5</v>
      </c>
      <c r="E30" s="0" t="n">
        <v>2</v>
      </c>
      <c r="F30" s="0" t="s">
        <v>73</v>
      </c>
      <c r="G30" s="0" t="n">
        <v>16</v>
      </c>
      <c r="H30" s="0" t="n">
        <v>363.16</v>
      </c>
      <c r="I30" s="0" t="s">
        <v>131</v>
      </c>
      <c r="J30" s="0" t="s">
        <v>132</v>
      </c>
      <c r="K30" s="0" t="s">
        <v>76</v>
      </c>
    </row>
    <row r="31" customFormat="false" ht="15" hidden="false" customHeight="false" outlineLevel="0" collapsed="false">
      <c r="A31" s="0" t="s">
        <v>135</v>
      </c>
      <c r="B31" s="0" t="s">
        <v>136</v>
      </c>
      <c r="C31" s="0" t="n">
        <v>9</v>
      </c>
      <c r="D31" s="0" t="n">
        <v>7.5</v>
      </c>
      <c r="E31" s="0" t="n">
        <v>1</v>
      </c>
      <c r="F31" s="0" t="s">
        <v>73</v>
      </c>
      <c r="G31" s="0" t="n">
        <v>16</v>
      </c>
      <c r="H31" s="0" t="n">
        <v>67.5</v>
      </c>
      <c r="I31" s="0" t="s">
        <v>131</v>
      </c>
      <c r="J31" s="0" t="s">
        <v>132</v>
      </c>
      <c r="K31" s="0" t="s">
        <v>76</v>
      </c>
    </row>
    <row r="32" customFormat="false" ht="15" hidden="false" customHeight="false" outlineLevel="0" collapsed="false">
      <c r="A32" s="0" t="s">
        <v>137</v>
      </c>
      <c r="B32" s="0" t="s">
        <v>138</v>
      </c>
      <c r="C32" s="0" t="n">
        <v>9</v>
      </c>
      <c r="D32" s="0" t="n">
        <v>7.5</v>
      </c>
      <c r="E32" s="0" t="n">
        <v>1</v>
      </c>
      <c r="F32" s="0" t="s">
        <v>73</v>
      </c>
      <c r="G32" s="0" t="n">
        <v>16</v>
      </c>
      <c r="H32" s="0" t="n">
        <v>67.5</v>
      </c>
      <c r="I32" s="0" t="s">
        <v>131</v>
      </c>
      <c r="J32" s="0" t="s">
        <v>132</v>
      </c>
      <c r="K32" s="0" t="s">
        <v>76</v>
      </c>
    </row>
    <row r="33" customFormat="false" ht="15" hidden="false" customHeight="false" outlineLevel="0" collapsed="false">
      <c r="B33" s="6" t="s">
        <v>139</v>
      </c>
      <c r="C33" s="4" t="n">
        <f aca="false">SUM(C29:C32)</f>
        <v>66.42</v>
      </c>
      <c r="H33" s="4" t="n">
        <f aca="false">SUM(H29:H32)</f>
        <v>861.32</v>
      </c>
    </row>
    <row r="34" customFormat="false" ht="15" hidden="false" customHeight="false" outlineLevel="0" collapsed="false">
      <c r="A34" s="5" t="s">
        <v>140</v>
      </c>
    </row>
    <row r="35" customFormat="false" ht="15" hidden="false" customHeight="false" outlineLevel="0" collapsed="false">
      <c r="A35" s="0" t="s">
        <v>141</v>
      </c>
      <c r="B35" s="0" t="s">
        <v>142</v>
      </c>
      <c r="C35" s="0" t="n">
        <v>25.3</v>
      </c>
      <c r="D35" s="0" t="n">
        <v>20</v>
      </c>
      <c r="E35" s="0" t="n">
        <v>1</v>
      </c>
      <c r="F35" s="0" t="s">
        <v>105</v>
      </c>
      <c r="G35" s="0" t="n">
        <v>16</v>
      </c>
      <c r="H35" s="0" t="n">
        <v>572.53</v>
      </c>
      <c r="I35" s="0" t="s">
        <v>143</v>
      </c>
      <c r="J35" s="0" t="s">
        <v>144</v>
      </c>
      <c r="K35" s="0" t="s">
        <v>76</v>
      </c>
    </row>
    <row r="36" customFormat="false" ht="15" hidden="false" customHeight="false" outlineLevel="0" collapsed="false">
      <c r="A36" s="0" t="s">
        <v>145</v>
      </c>
      <c r="B36" s="0" t="s">
        <v>146</v>
      </c>
      <c r="C36" s="0" t="n">
        <v>13.22</v>
      </c>
      <c r="D36" s="0" t="n">
        <v>20</v>
      </c>
      <c r="E36" s="0" t="n">
        <v>1</v>
      </c>
      <c r="F36" s="0" t="s">
        <v>105</v>
      </c>
      <c r="G36" s="0" t="n">
        <v>16</v>
      </c>
      <c r="H36" s="0" t="n">
        <v>264.4</v>
      </c>
      <c r="I36" s="0" t="s">
        <v>147</v>
      </c>
      <c r="J36" s="0" t="s">
        <v>144</v>
      </c>
      <c r="K36" s="0" t="s">
        <v>76</v>
      </c>
    </row>
    <row r="37" customFormat="false" ht="15" hidden="false" customHeight="false" outlineLevel="0" collapsed="false">
      <c r="B37" s="6" t="s">
        <v>148</v>
      </c>
      <c r="C37" s="4" t="n">
        <f aca="false">SUM(C35:C36)</f>
        <v>38.52</v>
      </c>
      <c r="H37" s="4" t="n">
        <f aca="false">SUM(H35:H36)</f>
        <v>836.93</v>
      </c>
    </row>
    <row r="38" customFormat="false" ht="15" hidden="false" customHeight="false" outlineLevel="0" collapsed="false">
      <c r="A38" s="5" t="s">
        <v>149</v>
      </c>
    </row>
    <row r="39" customFormat="false" ht="15" hidden="false" customHeight="false" outlineLevel="0" collapsed="false">
      <c r="A39" s="0" t="s">
        <v>150</v>
      </c>
      <c r="B39" s="0" t="s">
        <v>151</v>
      </c>
      <c r="C39" s="0" t="n">
        <v>4.49</v>
      </c>
      <c r="D39" s="0" t="n">
        <v>20</v>
      </c>
      <c r="E39" s="0" t="n">
        <v>1</v>
      </c>
      <c r="F39" s="0" t="s">
        <v>73</v>
      </c>
      <c r="G39" s="0" t="n">
        <v>16</v>
      </c>
      <c r="H39" s="0" t="n">
        <v>89.8</v>
      </c>
      <c r="I39" s="0" t="s">
        <v>152</v>
      </c>
      <c r="J39" s="0" t="s">
        <v>144</v>
      </c>
      <c r="K39" s="0" t="s">
        <v>76</v>
      </c>
    </row>
    <row r="40" customFormat="false" ht="15" hidden="false" customHeight="false" outlineLevel="0" collapsed="false">
      <c r="B40" s="6" t="s">
        <v>153</v>
      </c>
      <c r="C40" s="4" t="n">
        <f aca="false">SUM(C39:C39)</f>
        <v>4.49</v>
      </c>
      <c r="H40" s="4" t="n">
        <f aca="false">SUM(H39:H39)</f>
        <v>89.8</v>
      </c>
    </row>
    <row r="41" customFormat="false" ht="15" hidden="false" customHeight="false" outlineLevel="0" collapsed="false">
      <c r="A41" s="5" t="s">
        <v>154</v>
      </c>
    </row>
    <row r="42" customFormat="false" ht="15" hidden="false" customHeight="false" outlineLevel="0" collapsed="false">
      <c r="A42" s="0" t="s">
        <v>155</v>
      </c>
      <c r="B42" s="0" t="s">
        <v>156</v>
      </c>
      <c r="C42" s="0" t="n">
        <v>2</v>
      </c>
      <c r="D42" s="0" t="n">
        <v>20</v>
      </c>
      <c r="E42" s="0" t="n">
        <v>0</v>
      </c>
      <c r="F42" s="0" t="s">
        <v>73</v>
      </c>
      <c r="G42" s="0" t="n">
        <v>16</v>
      </c>
      <c r="H42" s="0" t="n">
        <v>0</v>
      </c>
      <c r="I42" s="0" t="s">
        <v>156</v>
      </c>
      <c r="J42" s="0" t="s">
        <v>144</v>
      </c>
      <c r="K42" s="0" t="s">
        <v>76</v>
      </c>
    </row>
    <row r="43" customFormat="false" ht="15" hidden="false" customHeight="false" outlineLevel="0" collapsed="false">
      <c r="B43" s="6" t="s">
        <v>157</v>
      </c>
      <c r="C43" s="4" t="n">
        <f aca="false">SUM(C42:C42)</f>
        <v>2</v>
      </c>
      <c r="H43" s="4" t="n">
        <f aca="false">SUM(H42:H42)</f>
        <v>0</v>
      </c>
    </row>
    <row r="44" customFormat="false" ht="15" hidden="false" customHeight="false" outlineLevel="0" collapsed="false">
      <c r="A44" s="5" t="s">
        <v>158</v>
      </c>
    </row>
    <row r="45" customFormat="false" ht="15" hidden="false" customHeight="false" outlineLevel="0" collapsed="false">
      <c r="A45" s="0" t="s">
        <v>159</v>
      </c>
      <c r="B45" s="0" t="s">
        <v>160</v>
      </c>
      <c r="C45" s="0" t="n">
        <v>3.99</v>
      </c>
      <c r="D45" s="0" t="n">
        <v>20</v>
      </c>
      <c r="E45" s="0" t="n">
        <v>2</v>
      </c>
      <c r="F45" s="0" t="s">
        <v>105</v>
      </c>
      <c r="G45" s="0" t="n">
        <v>16</v>
      </c>
      <c r="H45" s="0" t="n">
        <v>119.7</v>
      </c>
      <c r="I45" s="0" t="s">
        <v>161</v>
      </c>
      <c r="J45" s="0" t="s">
        <v>162</v>
      </c>
      <c r="K45" s="0" t="s">
        <v>76</v>
      </c>
    </row>
    <row r="46" customFormat="false" ht="15" hidden="false" customHeight="false" outlineLevel="0" collapsed="false">
      <c r="B46" s="6" t="s">
        <v>163</v>
      </c>
      <c r="C46" s="4" t="n">
        <f aca="false">SUM(C45:C45)</f>
        <v>3.99</v>
      </c>
      <c r="H46" s="4" t="n">
        <f aca="false">SUM(H45:H45)</f>
        <v>119.7</v>
      </c>
    </row>
    <row r="47" customFormat="false" ht="15" hidden="false" customHeight="false" outlineLevel="0" collapsed="false">
      <c r="A47" s="5" t="s">
        <v>164</v>
      </c>
    </row>
    <row r="48" customFormat="false" ht="15" hidden="false" customHeight="false" outlineLevel="0" collapsed="false">
      <c r="A48" s="0" t="s">
        <v>165</v>
      </c>
      <c r="B48" s="0" t="s">
        <v>166</v>
      </c>
      <c r="C48" s="0" t="n">
        <v>6.76</v>
      </c>
      <c r="D48" s="0" t="n">
        <v>20</v>
      </c>
      <c r="E48" s="0" t="n">
        <v>1</v>
      </c>
      <c r="F48" s="0" t="s">
        <v>105</v>
      </c>
      <c r="G48" s="0" t="n">
        <v>16</v>
      </c>
      <c r="H48" s="0" t="n">
        <v>135.2</v>
      </c>
      <c r="I48" s="0" t="s">
        <v>147</v>
      </c>
      <c r="J48" s="0" t="s">
        <v>162</v>
      </c>
      <c r="K48" s="0" t="s">
        <v>76</v>
      </c>
    </row>
    <row r="49" customFormat="false" ht="15" hidden="false" customHeight="false" outlineLevel="0" collapsed="false">
      <c r="B49" s="6" t="s">
        <v>167</v>
      </c>
      <c r="C49" s="4" t="n">
        <f aca="false">SUM(C48:C48)</f>
        <v>6.76</v>
      </c>
      <c r="H49" s="4" t="n">
        <f aca="false">SUM(H48:H48)</f>
        <v>135.2</v>
      </c>
    </row>
    <row r="50" customFormat="false" ht="15" hidden="false" customHeight="false" outlineLevel="0" collapsed="false">
      <c r="A50" s="5" t="s">
        <v>168</v>
      </c>
    </row>
    <row r="51" customFormat="false" ht="15" hidden="false" customHeight="false" outlineLevel="0" collapsed="false">
      <c r="A51" s="0" t="s">
        <v>169</v>
      </c>
      <c r="B51" s="0" t="s">
        <v>170</v>
      </c>
      <c r="C51" s="0" t="n">
        <v>28.49</v>
      </c>
      <c r="D51" s="0" t="n">
        <v>20</v>
      </c>
      <c r="E51" s="0" t="n">
        <v>1</v>
      </c>
      <c r="F51" s="0" t="s">
        <v>105</v>
      </c>
      <c r="G51" s="0" t="n">
        <v>16</v>
      </c>
      <c r="H51" s="0" t="n">
        <v>569.8</v>
      </c>
      <c r="I51" s="0" t="s">
        <v>147</v>
      </c>
      <c r="J51" s="0" t="s">
        <v>171</v>
      </c>
      <c r="K51" s="0" t="s">
        <v>76</v>
      </c>
    </row>
    <row r="52" customFormat="false" ht="15" hidden="false" customHeight="false" outlineLevel="0" collapsed="false">
      <c r="B52" s="6" t="s">
        <v>172</v>
      </c>
      <c r="C52" s="4" t="n">
        <f aca="false">SUM(C51:C51)</f>
        <v>28.49</v>
      </c>
      <c r="H52" s="4" t="n">
        <f aca="false">SUM(H51:H51)</f>
        <v>569.8</v>
      </c>
    </row>
    <row r="53" customFormat="false" ht="15" hidden="false" customHeight="false" outlineLevel="0" collapsed="false">
      <c r="A53" s="5" t="s">
        <v>173</v>
      </c>
    </row>
    <row r="54" customFormat="false" ht="15" hidden="false" customHeight="false" outlineLevel="0" collapsed="false">
      <c r="A54" s="0" t="s">
        <v>174</v>
      </c>
      <c r="B54" s="0" t="s">
        <v>175</v>
      </c>
      <c r="C54" s="0" t="n">
        <v>23.6</v>
      </c>
      <c r="D54" s="0" t="n">
        <v>20</v>
      </c>
      <c r="E54" s="0" t="n">
        <v>0.84</v>
      </c>
      <c r="F54" s="0" t="s">
        <v>105</v>
      </c>
      <c r="G54" s="0" t="n">
        <v>16</v>
      </c>
      <c r="H54" s="0" t="n">
        <v>237.73</v>
      </c>
      <c r="I54" s="0" t="s">
        <v>176</v>
      </c>
      <c r="J54" s="0" t="s">
        <v>171</v>
      </c>
      <c r="K54" s="0" t="s">
        <v>76</v>
      </c>
    </row>
    <row r="55" customFormat="false" ht="15" hidden="false" customHeight="false" outlineLevel="0" collapsed="false">
      <c r="B55" s="6" t="s">
        <v>177</v>
      </c>
      <c r="C55" s="4" t="n">
        <f aca="false">SUM(C54:C54)</f>
        <v>23.6</v>
      </c>
      <c r="H55" s="4" t="n">
        <f aca="false">SUM(H54:H54)</f>
        <v>237.73</v>
      </c>
    </row>
    <row r="56" customFormat="false" ht="15" hidden="false" customHeight="false" outlineLevel="0" collapsed="false">
      <c r="A56" s="5" t="s">
        <v>178</v>
      </c>
    </row>
    <row r="57" customFormat="false" ht="15" hidden="false" customHeight="false" outlineLevel="0" collapsed="false">
      <c r="A57" s="0" t="s">
        <v>179</v>
      </c>
      <c r="B57" s="0" t="s">
        <v>180</v>
      </c>
      <c r="C57" s="0" t="n">
        <v>9.75</v>
      </c>
      <c r="D57" s="0" t="n">
        <v>20</v>
      </c>
      <c r="E57" s="0" t="n">
        <v>0</v>
      </c>
      <c r="F57" s="0" t="s">
        <v>73</v>
      </c>
      <c r="G57" s="0" t="n">
        <v>16</v>
      </c>
      <c r="H57" s="0" t="n">
        <v>0</v>
      </c>
      <c r="I57" s="0" t="s">
        <v>180</v>
      </c>
      <c r="J57" s="0" t="s">
        <v>181</v>
      </c>
      <c r="K57" s="0" t="s">
        <v>182</v>
      </c>
    </row>
    <row r="58" customFormat="false" ht="15" hidden="false" customHeight="false" outlineLevel="0" collapsed="false">
      <c r="B58" s="6" t="s">
        <v>183</v>
      </c>
      <c r="C58" s="4" t="n">
        <f aca="false">SUM(C57:C57)</f>
        <v>9.75</v>
      </c>
      <c r="H58" s="4" t="n">
        <f aca="false">SUM(H57:H57)</f>
        <v>0</v>
      </c>
    </row>
    <row r="59" customFormat="false" ht="15" hidden="false" customHeight="false" outlineLevel="0" collapsed="false">
      <c r="A59" s="5" t="s">
        <v>184</v>
      </c>
    </row>
    <row r="60" customFormat="false" ht="15" hidden="false" customHeight="false" outlineLevel="0" collapsed="false">
      <c r="A60" s="0" t="s">
        <v>185</v>
      </c>
      <c r="B60" s="0" t="s">
        <v>186</v>
      </c>
      <c r="C60" s="0" t="n">
        <v>3.46</v>
      </c>
      <c r="D60" s="0" t="n">
        <v>20</v>
      </c>
      <c r="E60" s="0" t="n">
        <v>1</v>
      </c>
      <c r="F60" s="0" t="s">
        <v>105</v>
      </c>
      <c r="G60" s="0" t="n">
        <v>16</v>
      </c>
      <c r="H60" s="0" t="n">
        <v>69.2</v>
      </c>
      <c r="I60" s="0" t="s">
        <v>152</v>
      </c>
      <c r="J60" s="0" t="s">
        <v>187</v>
      </c>
      <c r="K60" s="0" t="s">
        <v>76</v>
      </c>
    </row>
    <row r="61" customFormat="false" ht="15" hidden="false" customHeight="false" outlineLevel="0" collapsed="false">
      <c r="A61" s="0" t="s">
        <v>188</v>
      </c>
      <c r="B61" s="0" t="s">
        <v>189</v>
      </c>
      <c r="C61" s="0" t="n">
        <v>0.53</v>
      </c>
      <c r="D61" s="0" t="n">
        <v>20</v>
      </c>
      <c r="E61" s="0" t="n">
        <v>1</v>
      </c>
      <c r="F61" s="0" t="s">
        <v>105</v>
      </c>
      <c r="G61" s="0" t="n">
        <v>16</v>
      </c>
      <c r="H61" s="0" t="n">
        <v>10.6</v>
      </c>
      <c r="I61" s="0" t="s">
        <v>190</v>
      </c>
      <c r="J61" s="0" t="s">
        <v>187</v>
      </c>
      <c r="K61" s="0" t="s">
        <v>76</v>
      </c>
    </row>
    <row r="62" customFormat="false" ht="15" hidden="false" customHeight="false" outlineLevel="0" collapsed="false">
      <c r="A62" s="0" t="s">
        <v>191</v>
      </c>
      <c r="B62" s="0" t="s">
        <v>192</v>
      </c>
      <c r="C62" s="0" t="n">
        <v>3.25</v>
      </c>
      <c r="D62" s="0" t="n">
        <v>20</v>
      </c>
      <c r="E62" s="0" t="n">
        <v>1</v>
      </c>
      <c r="F62" s="0" t="s">
        <v>105</v>
      </c>
      <c r="G62" s="0" t="n">
        <v>16</v>
      </c>
      <c r="H62" s="0" t="n">
        <v>65</v>
      </c>
      <c r="I62" s="0" t="s">
        <v>193</v>
      </c>
      <c r="J62" s="0" t="s">
        <v>187</v>
      </c>
      <c r="K62" s="0" t="s">
        <v>76</v>
      </c>
    </row>
    <row r="63" customFormat="false" ht="15" hidden="false" customHeight="false" outlineLevel="0" collapsed="false">
      <c r="B63" s="6" t="s">
        <v>194</v>
      </c>
      <c r="C63" s="4" t="n">
        <f aca="false">SUM(C60:C62)</f>
        <v>7.24</v>
      </c>
      <c r="H63" s="4" t="n">
        <f aca="false">SUM(H60:H62)</f>
        <v>144.8</v>
      </c>
    </row>
    <row r="64" customFormat="false" ht="15" hidden="false" customHeight="false" outlineLevel="0" collapsed="false">
      <c r="A64" s="5" t="s">
        <v>195</v>
      </c>
    </row>
    <row r="65" customFormat="false" ht="15" hidden="false" customHeight="false" outlineLevel="0" collapsed="false">
      <c r="A65" s="0" t="s">
        <v>196</v>
      </c>
      <c r="B65" s="0" t="s">
        <v>197</v>
      </c>
      <c r="C65" s="0" t="n">
        <v>10.44</v>
      </c>
      <c r="D65" s="0" t="n">
        <v>2.708</v>
      </c>
      <c r="E65" s="0" t="n">
        <v>2</v>
      </c>
      <c r="F65" s="0" t="s">
        <v>73</v>
      </c>
      <c r="G65" s="0" t="n">
        <v>16</v>
      </c>
      <c r="H65" s="0" t="n">
        <v>56.54</v>
      </c>
      <c r="I65" s="0" t="s">
        <v>198</v>
      </c>
      <c r="J65" s="0" t="s">
        <v>199</v>
      </c>
      <c r="K65" s="0" t="s">
        <v>76</v>
      </c>
    </row>
    <row r="66" customFormat="false" ht="15" hidden="false" customHeight="false" outlineLevel="0" collapsed="false">
      <c r="A66" s="0" t="s">
        <v>200</v>
      </c>
      <c r="B66" s="0" t="s">
        <v>201</v>
      </c>
      <c r="C66" s="0" t="n">
        <v>3.97</v>
      </c>
      <c r="D66" s="0" t="n">
        <v>2.708</v>
      </c>
      <c r="E66" s="0" t="n">
        <v>2</v>
      </c>
      <c r="F66" s="0" t="s">
        <v>73</v>
      </c>
      <c r="G66" s="0" t="n">
        <v>16</v>
      </c>
      <c r="H66" s="0" t="n">
        <v>21.5</v>
      </c>
      <c r="I66" s="0" t="s">
        <v>198</v>
      </c>
      <c r="J66" s="0" t="s">
        <v>199</v>
      </c>
      <c r="K66" s="0" t="s">
        <v>76</v>
      </c>
    </row>
    <row r="67" customFormat="false" ht="15" hidden="false" customHeight="false" outlineLevel="0" collapsed="false">
      <c r="A67" s="0" t="s">
        <v>202</v>
      </c>
      <c r="B67" s="0" t="s">
        <v>203</v>
      </c>
      <c r="C67" s="0" t="n">
        <v>6.34</v>
      </c>
      <c r="D67" s="0" t="n">
        <v>2.708</v>
      </c>
      <c r="E67" s="0" t="n">
        <v>2</v>
      </c>
      <c r="F67" s="0" t="s">
        <v>73</v>
      </c>
      <c r="G67" s="0" t="n">
        <v>16</v>
      </c>
      <c r="H67" s="0" t="n">
        <v>34.34</v>
      </c>
      <c r="I67" s="0" t="s">
        <v>198</v>
      </c>
      <c r="J67" s="0" t="s">
        <v>199</v>
      </c>
      <c r="K67" s="0" t="s">
        <v>76</v>
      </c>
    </row>
    <row r="68" customFormat="false" ht="15" hidden="false" customHeight="false" outlineLevel="0" collapsed="false">
      <c r="B68" s="6" t="s">
        <v>204</v>
      </c>
      <c r="C68" s="4" t="n">
        <f aca="false">SUM(C65:C67)</f>
        <v>20.75</v>
      </c>
      <c r="H68" s="4" t="n">
        <f aca="false">SUM(H65:H67)</f>
        <v>112.38</v>
      </c>
    </row>
    <row r="69" customFormat="false" ht="15" hidden="false" customHeight="false" outlineLevel="0" collapsed="false">
      <c r="A69" s="5" t="s">
        <v>205</v>
      </c>
    </row>
    <row r="70" customFormat="false" ht="15" hidden="false" customHeight="false" outlineLevel="0" collapsed="false">
      <c r="A70" s="0" t="s">
        <v>206</v>
      </c>
      <c r="B70" s="0" t="s">
        <v>207</v>
      </c>
      <c r="C70" s="0" t="n">
        <v>2.75</v>
      </c>
      <c r="D70" s="0" t="n">
        <v>2.708</v>
      </c>
      <c r="E70" s="0" t="n">
        <v>2</v>
      </c>
      <c r="F70" s="0" t="s">
        <v>73</v>
      </c>
      <c r="G70" s="0" t="n">
        <v>16</v>
      </c>
      <c r="H70" s="0" t="n">
        <v>14.9</v>
      </c>
      <c r="I70" s="0" t="s">
        <v>198</v>
      </c>
      <c r="J70" s="0" t="s">
        <v>208</v>
      </c>
      <c r="K70" s="0" t="s">
        <v>76</v>
      </c>
    </row>
    <row r="71" customFormat="false" ht="15" hidden="false" customHeight="false" outlineLevel="0" collapsed="false">
      <c r="B71" s="6" t="s">
        <v>209</v>
      </c>
      <c r="C71" s="4" t="n">
        <f aca="false">SUM(C70:C70)</f>
        <v>2.75</v>
      </c>
      <c r="H71" s="4" t="n">
        <f aca="false">SUM(H70:H70)</f>
        <v>14.9</v>
      </c>
    </row>
    <row r="72" customFormat="false" ht="15" hidden="false" customHeight="false" outlineLevel="0" collapsed="false">
      <c r="A72" s="5" t="s">
        <v>210</v>
      </c>
    </row>
    <row r="73" customFormat="false" ht="15" hidden="false" customHeight="false" outlineLevel="0" collapsed="false">
      <c r="A73" s="0" t="s">
        <v>211</v>
      </c>
      <c r="B73" s="0" t="s">
        <v>212</v>
      </c>
      <c r="C73" s="0" t="n">
        <v>6.15</v>
      </c>
      <c r="D73" s="0" t="n">
        <v>2.708</v>
      </c>
      <c r="E73" s="0" t="n">
        <v>2</v>
      </c>
      <c r="F73" s="0" t="s">
        <v>73</v>
      </c>
      <c r="G73" s="0" t="n">
        <v>16</v>
      </c>
      <c r="H73" s="0" t="n">
        <v>33.3</v>
      </c>
      <c r="I73" s="0" t="s">
        <v>198</v>
      </c>
      <c r="J73" s="0" t="s">
        <v>213</v>
      </c>
      <c r="K73" s="0" t="s">
        <v>76</v>
      </c>
    </row>
    <row r="74" customFormat="false" ht="15" hidden="false" customHeight="false" outlineLevel="0" collapsed="false">
      <c r="B74" s="6" t="s">
        <v>214</v>
      </c>
      <c r="C74" s="4" t="n">
        <f aca="false">SUM(C73:C73)</f>
        <v>6.15</v>
      </c>
      <c r="H74" s="4" t="n">
        <f aca="false">SUM(H73:H73)</f>
        <v>33.3</v>
      </c>
    </row>
    <row r="75" customFormat="false" ht="15" hidden="false" customHeight="false" outlineLevel="0" collapsed="false">
      <c r="A75" s="5" t="s">
        <v>215</v>
      </c>
    </row>
    <row r="76" customFormat="false" ht="15" hidden="false" customHeight="false" outlineLevel="0" collapsed="false">
      <c r="A76" s="0" t="s">
        <v>216</v>
      </c>
      <c r="B76" s="0" t="s">
        <v>217</v>
      </c>
      <c r="C76" s="0" t="n">
        <v>2.23</v>
      </c>
      <c r="D76" s="0" t="n">
        <v>2.708</v>
      </c>
      <c r="E76" s="0" t="n">
        <v>2</v>
      </c>
      <c r="F76" s="0" t="s">
        <v>73</v>
      </c>
      <c r="G76" s="0" t="n">
        <v>16</v>
      </c>
      <c r="H76" s="0" t="n">
        <v>12.08</v>
      </c>
      <c r="I76" s="0" t="s">
        <v>198</v>
      </c>
      <c r="J76" s="0" t="s">
        <v>218</v>
      </c>
      <c r="K76" s="0" t="s">
        <v>76</v>
      </c>
    </row>
    <row r="77" customFormat="false" ht="15" hidden="false" customHeight="false" outlineLevel="0" collapsed="false">
      <c r="B77" s="6" t="s">
        <v>219</v>
      </c>
      <c r="C77" s="4" t="n">
        <f aca="false">SUM(C76:C76)</f>
        <v>2.23</v>
      </c>
      <c r="H77" s="4" t="n">
        <f aca="false">SUM(H76:H76)</f>
        <v>12.08</v>
      </c>
    </row>
    <row r="78" customFormat="false" ht="15" hidden="false" customHeight="false" outlineLevel="0" collapsed="false">
      <c r="B78" s="6" t="s">
        <v>220</v>
      </c>
      <c r="C78" s="4" t="n">
        <f aca="false">C15+C19+C27+C33+C37+C40+C43+C46+C49+C52+C55+C58+C63+C68+C71+C74+C77</f>
        <v>540.03</v>
      </c>
      <c r="H78" s="4" t="n">
        <f aca="false">H15+H19+H27+H33+H37+H40+H43+H46+H49+H52+H55+H58+H63+H68+H71+H74+H77</f>
        <v>13115.99</v>
      </c>
    </row>
    <row r="80" customFormat="false" ht="15" hidden="false" customHeight="false" outlineLevel="0" collapsed="false">
      <c r="A80" s="5" t="s">
        <v>221</v>
      </c>
    </row>
    <row r="81" customFormat="false" ht="15" hidden="false" customHeight="false" outlineLevel="0" collapsed="false">
      <c r="A81" s="0" t="s">
        <v>222</v>
      </c>
      <c r="B81" s="0" t="s">
        <v>223</v>
      </c>
      <c r="C81" s="0" t="n">
        <v>8</v>
      </c>
      <c r="D81" s="0" t="n">
        <v>8</v>
      </c>
      <c r="E81" s="0" t="n">
        <v>1</v>
      </c>
      <c r="F81" s="0" t="s">
        <v>73</v>
      </c>
      <c r="G81" s="0" t="n">
        <v>16</v>
      </c>
      <c r="H81" s="0" t="n">
        <v>64</v>
      </c>
      <c r="I81" s="0" t="s">
        <v>224</v>
      </c>
      <c r="J81" s="0" t="s">
        <v>225</v>
      </c>
      <c r="K81" s="0" t="s">
        <v>76</v>
      </c>
    </row>
    <row r="82" customFormat="false" ht="15" hidden="false" customHeight="false" outlineLevel="0" collapsed="false">
      <c r="A82" s="0" t="s">
        <v>226</v>
      </c>
      <c r="B82" s="0" t="s">
        <v>227</v>
      </c>
      <c r="C82" s="0" t="n">
        <v>8</v>
      </c>
      <c r="D82" s="0" t="n">
        <v>8</v>
      </c>
      <c r="E82" s="0" t="n">
        <v>1</v>
      </c>
      <c r="F82" s="0" t="s">
        <v>73</v>
      </c>
      <c r="G82" s="0" t="n">
        <v>16</v>
      </c>
      <c r="H82" s="0" t="n">
        <v>64</v>
      </c>
      <c r="I82" s="0" t="s">
        <v>224</v>
      </c>
      <c r="J82" s="0" t="s">
        <v>225</v>
      </c>
      <c r="K82" s="0" t="s">
        <v>76</v>
      </c>
    </row>
    <row r="83" customFormat="false" ht="15" hidden="false" customHeight="false" outlineLevel="0" collapsed="false">
      <c r="A83" s="0" t="s">
        <v>228</v>
      </c>
      <c r="B83" s="0" t="s">
        <v>229</v>
      </c>
      <c r="C83" s="0" t="n">
        <v>8</v>
      </c>
      <c r="D83" s="0" t="n">
        <v>8</v>
      </c>
      <c r="E83" s="0" t="n">
        <v>1</v>
      </c>
      <c r="F83" s="0" t="s">
        <v>73</v>
      </c>
      <c r="G83" s="0" t="n">
        <v>16</v>
      </c>
      <c r="H83" s="0" t="n">
        <v>64</v>
      </c>
      <c r="I83" s="0" t="s">
        <v>224</v>
      </c>
      <c r="J83" s="0" t="s">
        <v>225</v>
      </c>
      <c r="K83" s="0" t="s">
        <v>76</v>
      </c>
    </row>
    <row r="84" customFormat="false" ht="15" hidden="false" customHeight="false" outlineLevel="0" collapsed="false">
      <c r="A84" s="0" t="s">
        <v>230</v>
      </c>
      <c r="B84" s="0" t="s">
        <v>231</v>
      </c>
      <c r="C84" s="0" t="n">
        <v>8</v>
      </c>
      <c r="D84" s="0" t="n">
        <v>8</v>
      </c>
      <c r="E84" s="0" t="n">
        <v>1</v>
      </c>
      <c r="F84" s="0" t="s">
        <v>73</v>
      </c>
      <c r="G84" s="0" t="n">
        <v>16</v>
      </c>
      <c r="H84" s="0" t="n">
        <v>64</v>
      </c>
      <c r="I84" s="0" t="s">
        <v>224</v>
      </c>
      <c r="J84" s="0" t="s">
        <v>225</v>
      </c>
      <c r="K84" s="0" t="s">
        <v>76</v>
      </c>
    </row>
    <row r="85" customFormat="false" ht="15" hidden="false" customHeight="false" outlineLevel="0" collapsed="false">
      <c r="A85" s="0" t="s">
        <v>232</v>
      </c>
      <c r="B85" s="0" t="s">
        <v>233</v>
      </c>
      <c r="C85" s="0" t="n">
        <v>8</v>
      </c>
      <c r="D85" s="0" t="n">
        <v>8</v>
      </c>
      <c r="E85" s="0" t="n">
        <v>1</v>
      </c>
      <c r="F85" s="0" t="s">
        <v>73</v>
      </c>
      <c r="G85" s="0" t="n">
        <v>16</v>
      </c>
      <c r="H85" s="0" t="n">
        <v>64</v>
      </c>
      <c r="I85" s="0" t="s">
        <v>224</v>
      </c>
      <c r="J85" s="0" t="s">
        <v>225</v>
      </c>
      <c r="K85" s="0" t="s">
        <v>76</v>
      </c>
    </row>
    <row r="86" customFormat="false" ht="15" hidden="false" customHeight="false" outlineLevel="0" collapsed="false">
      <c r="A86" s="0" t="s">
        <v>234</v>
      </c>
      <c r="B86" s="0" t="s">
        <v>235</v>
      </c>
      <c r="C86" s="0" t="n">
        <v>8</v>
      </c>
      <c r="D86" s="0" t="n">
        <v>8</v>
      </c>
      <c r="E86" s="0" t="n">
        <v>1</v>
      </c>
      <c r="F86" s="0" t="s">
        <v>73</v>
      </c>
      <c r="G86" s="0" t="n">
        <v>16</v>
      </c>
      <c r="H86" s="0" t="n">
        <v>64</v>
      </c>
      <c r="I86" s="0" t="s">
        <v>224</v>
      </c>
      <c r="J86" s="0" t="s">
        <v>225</v>
      </c>
      <c r="K86" s="0" t="s">
        <v>76</v>
      </c>
    </row>
    <row r="87" customFormat="false" ht="15" hidden="false" customHeight="false" outlineLevel="0" collapsed="false">
      <c r="A87" s="0" t="s">
        <v>236</v>
      </c>
      <c r="B87" s="0" t="s">
        <v>237</v>
      </c>
      <c r="C87" s="0" t="n">
        <v>8</v>
      </c>
      <c r="D87" s="0" t="n">
        <v>8</v>
      </c>
      <c r="E87" s="0" t="n">
        <v>1</v>
      </c>
      <c r="F87" s="0" t="s">
        <v>73</v>
      </c>
      <c r="G87" s="0" t="n">
        <v>16</v>
      </c>
      <c r="H87" s="0" t="n">
        <v>64</v>
      </c>
      <c r="I87" s="0" t="s">
        <v>224</v>
      </c>
      <c r="J87" s="0" t="s">
        <v>225</v>
      </c>
      <c r="K87" s="0" t="s">
        <v>76</v>
      </c>
    </row>
    <row r="88" customFormat="false" ht="15" hidden="false" customHeight="false" outlineLevel="0" collapsed="false">
      <c r="A88" s="0" t="s">
        <v>238</v>
      </c>
      <c r="B88" s="0" t="s">
        <v>239</v>
      </c>
      <c r="C88" s="0" t="n">
        <v>8</v>
      </c>
      <c r="D88" s="0" t="n">
        <v>8</v>
      </c>
      <c r="E88" s="0" t="n">
        <v>1</v>
      </c>
      <c r="F88" s="0" t="s">
        <v>73</v>
      </c>
      <c r="G88" s="0" t="n">
        <v>16</v>
      </c>
      <c r="H88" s="0" t="n">
        <v>64</v>
      </c>
      <c r="I88" s="0" t="s">
        <v>224</v>
      </c>
      <c r="J88" s="0" t="s">
        <v>225</v>
      </c>
      <c r="K88" s="0" t="s">
        <v>76</v>
      </c>
    </row>
    <row r="89" customFormat="false" ht="15" hidden="false" customHeight="false" outlineLevel="0" collapsed="false">
      <c r="A89" s="0" t="s">
        <v>240</v>
      </c>
      <c r="B89" s="0" t="s">
        <v>241</v>
      </c>
      <c r="C89" s="0" t="n">
        <v>8</v>
      </c>
      <c r="D89" s="0" t="n">
        <v>8</v>
      </c>
      <c r="E89" s="0" t="n">
        <v>1</v>
      </c>
      <c r="F89" s="0" t="s">
        <v>73</v>
      </c>
      <c r="G89" s="0" t="n">
        <v>16</v>
      </c>
      <c r="H89" s="0" t="n">
        <v>64</v>
      </c>
      <c r="I89" s="0" t="s">
        <v>224</v>
      </c>
      <c r="J89" s="0" t="s">
        <v>225</v>
      </c>
      <c r="K89" s="0" t="s">
        <v>76</v>
      </c>
    </row>
    <row r="90" customFormat="false" ht="15" hidden="false" customHeight="false" outlineLevel="0" collapsed="false">
      <c r="A90" s="0" t="s">
        <v>242</v>
      </c>
      <c r="B90" s="0" t="s">
        <v>243</v>
      </c>
      <c r="C90" s="0" t="n">
        <v>22.67</v>
      </c>
      <c r="D90" s="0" t="n">
        <v>1.92</v>
      </c>
      <c r="E90" s="0" t="n">
        <v>2</v>
      </c>
      <c r="F90" s="0" t="s">
        <v>73</v>
      </c>
      <c r="G90" s="0" t="n">
        <v>16</v>
      </c>
      <c r="H90" s="0" t="n">
        <v>270.23</v>
      </c>
      <c r="I90" s="0" t="s">
        <v>244</v>
      </c>
      <c r="J90" s="0" t="s">
        <v>245</v>
      </c>
      <c r="K90" s="0" t="s">
        <v>76</v>
      </c>
    </row>
    <row r="91" customFormat="false" ht="15" hidden="false" customHeight="false" outlineLevel="0" collapsed="false">
      <c r="A91" s="0" t="s">
        <v>246</v>
      </c>
      <c r="B91" s="0" t="s">
        <v>247</v>
      </c>
      <c r="C91" s="0" t="n">
        <v>6.21</v>
      </c>
      <c r="D91" s="0" t="n">
        <v>1.92</v>
      </c>
      <c r="E91" s="0" t="n">
        <v>2</v>
      </c>
      <c r="F91" s="0" t="s">
        <v>73</v>
      </c>
      <c r="G91" s="0" t="n">
        <v>16</v>
      </c>
      <c r="H91" s="0" t="n">
        <v>23.84</v>
      </c>
      <c r="I91" s="0" t="s">
        <v>248</v>
      </c>
      <c r="J91" s="0" t="s">
        <v>245</v>
      </c>
      <c r="K91" s="0" t="s">
        <v>76</v>
      </c>
    </row>
    <row r="92" customFormat="false" ht="15" hidden="false" customHeight="false" outlineLevel="0" collapsed="false">
      <c r="A92" s="0" t="s">
        <v>249</v>
      </c>
      <c r="B92" s="0" t="s">
        <v>250</v>
      </c>
      <c r="C92" s="0" t="n">
        <v>0.44</v>
      </c>
      <c r="D92" s="0" t="n">
        <v>20</v>
      </c>
      <c r="E92" s="0" t="n">
        <v>1</v>
      </c>
      <c r="F92" s="0" t="s">
        <v>105</v>
      </c>
      <c r="G92" s="0" t="n">
        <v>16</v>
      </c>
      <c r="H92" s="0" t="n">
        <v>8.8</v>
      </c>
      <c r="I92" s="0" t="s">
        <v>251</v>
      </c>
      <c r="J92" s="0" t="s">
        <v>187</v>
      </c>
      <c r="K92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0" t="s">
        <v>253</v>
      </c>
    </row>
    <row r="3" customFormat="false" ht="15" hidden="false" customHeight="false" outlineLevel="0" collapsed="false">
      <c r="A3" s="2" t="s">
        <v>254</v>
      </c>
      <c r="B3" s="2" t="s">
        <v>255</v>
      </c>
      <c r="C3" s="2" t="s">
        <v>256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262</v>
      </c>
      <c r="J3" s="2" t="s">
        <v>263</v>
      </c>
    </row>
    <row r="4" customFormat="false" ht="15" hidden="false" customHeight="false" outlineLevel="0" collapsed="false">
      <c r="A4" s="0" t="s">
        <v>264</v>
      </c>
      <c r="B4" s="0" t="s">
        <v>265</v>
      </c>
      <c r="C4" s="0" t="n">
        <v>425.16</v>
      </c>
      <c r="D4" s="0" t="n">
        <f aca="false">Inputs!$B$5</f>
        <v>0.15</v>
      </c>
      <c r="E4" s="0" t="n">
        <f aca="false">C4*D4</f>
        <v>63.774</v>
      </c>
      <c r="F4" s="0" t="n">
        <f aca="false">C4+E4</f>
        <v>488.934</v>
      </c>
      <c r="G4" s="0" t="s">
        <v>266</v>
      </c>
      <c r="H4" s="0" t="n">
        <f aca="false">ROUNDUP(F4/Inputs!$B$11,0)</f>
        <v>49</v>
      </c>
      <c r="I4" s="0" t="s">
        <v>267</v>
      </c>
    </row>
    <row r="5" customFormat="false" ht="15" hidden="false" customHeight="false" outlineLevel="0" collapsed="false">
      <c r="A5" s="0" t="s">
        <v>268</v>
      </c>
      <c r="B5" s="0" t="s">
        <v>265</v>
      </c>
      <c r="C5" s="0" t="n">
        <v>111.09</v>
      </c>
      <c r="D5" s="0" t="n">
        <f aca="false">Inputs!$B$5</f>
        <v>0.15</v>
      </c>
      <c r="E5" s="0" t="n">
        <f aca="false">C5*D5</f>
        <v>16.6635</v>
      </c>
      <c r="F5" s="0" t="n">
        <f aca="false">C5+E5</f>
        <v>127.7535</v>
      </c>
      <c r="G5" s="0" t="s">
        <v>266</v>
      </c>
      <c r="H5" s="0" t="n">
        <f aca="false">ROUNDUP(F5/Inputs!$B$11,0)</f>
        <v>13</v>
      </c>
      <c r="I5" s="0" t="s">
        <v>269</v>
      </c>
    </row>
    <row r="6" customFormat="false" ht="15" hidden="false" customHeight="false" outlineLevel="0" collapsed="false">
      <c r="A6" s="0" t="s">
        <v>270</v>
      </c>
      <c r="B6" s="0" t="s">
        <v>265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266</v>
      </c>
      <c r="H6" s="0" t="n">
        <f aca="false">ROUNDUP(F6/Inputs!$B$11,0)</f>
        <v>9</v>
      </c>
      <c r="I6" s="0" t="s">
        <v>271</v>
      </c>
    </row>
    <row r="7" customFormat="false" ht="15" hidden="false" customHeight="false" outlineLevel="0" collapsed="false">
      <c r="A7" s="0" t="s">
        <v>272</v>
      </c>
      <c r="B7" s="0" t="s">
        <v>265</v>
      </c>
      <c r="C7" s="0" t="n">
        <v>425.16</v>
      </c>
      <c r="D7" s="0" t="n">
        <f aca="false">Inputs!$B$5</f>
        <v>0.15</v>
      </c>
      <c r="E7" s="0" t="n">
        <f aca="false">C7*D7</f>
        <v>63.774</v>
      </c>
      <c r="F7" s="0" t="n">
        <f aca="false">C7+E7</f>
        <v>488.934</v>
      </c>
      <c r="G7" s="0" t="s">
        <v>266</v>
      </c>
      <c r="H7" s="0" t="n">
        <f aca="false">ROUNDUP(F7/Inputs!$B$11,0)</f>
        <v>49</v>
      </c>
      <c r="I7" s="0" t="s">
        <v>267</v>
      </c>
    </row>
    <row r="8" customFormat="false" ht="15" hidden="false" customHeight="false" outlineLevel="0" collapsed="false">
      <c r="A8" s="0" t="s">
        <v>273</v>
      </c>
      <c r="B8" s="0" t="s">
        <v>265</v>
      </c>
      <c r="C8" s="0" t="n">
        <v>111.09</v>
      </c>
      <c r="D8" s="0" t="n">
        <f aca="false">Inputs!$B$5</f>
        <v>0.15</v>
      </c>
      <c r="E8" s="0" t="n">
        <f aca="false">C8*D8</f>
        <v>16.6635</v>
      </c>
      <c r="F8" s="0" t="n">
        <f aca="false">C8+E8</f>
        <v>127.7535</v>
      </c>
      <c r="G8" s="0" t="s">
        <v>266</v>
      </c>
      <c r="H8" s="0" t="n">
        <f aca="false">ROUNDUP(F8/Inputs!$B$11,0)</f>
        <v>13</v>
      </c>
      <c r="I8" s="0" t="s">
        <v>269</v>
      </c>
    </row>
    <row r="9" customFormat="false" ht="15" hidden="false" customHeight="false" outlineLevel="0" collapsed="false">
      <c r="A9" s="0" t="s">
        <v>274</v>
      </c>
      <c r="B9" s="0" t="s">
        <v>265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266</v>
      </c>
      <c r="H9" s="0" t="n">
        <f aca="false">ROUNDUP(F9/Inputs!$B$11,0)</f>
        <v>9</v>
      </c>
      <c r="I9" s="0" t="s">
        <v>271</v>
      </c>
    </row>
    <row r="10" customFormat="false" ht="15" hidden="false" customHeight="false" outlineLevel="0" collapsed="false">
      <c r="A10" s="0" t="s">
        <v>275</v>
      </c>
      <c r="B10" s="0" t="s">
        <v>265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276</v>
      </c>
      <c r="H10" s="0" t="n">
        <f aca="false">ROUNDUP(F10/Inputs!$B$10,0)</f>
        <v>2</v>
      </c>
      <c r="I10" s="0" t="s">
        <v>277</v>
      </c>
    </row>
    <row r="11" customFormat="false" ht="15" hidden="false" customHeight="false" outlineLevel="0" collapsed="false">
      <c r="A11" s="0" t="s">
        <v>278</v>
      </c>
      <c r="B11" s="0" t="s">
        <v>265</v>
      </c>
      <c r="C11" s="0" t="n">
        <v>1960</v>
      </c>
      <c r="D11" s="0" t="n">
        <f aca="false">Inputs!$B$5</f>
        <v>0.15</v>
      </c>
      <c r="E11" s="0" t="n">
        <f aca="false">C11*D11</f>
        <v>294</v>
      </c>
      <c r="F11" s="0" t="n">
        <f aca="false">C11+E11</f>
        <v>2254</v>
      </c>
      <c r="G11" s="0" t="s">
        <v>276</v>
      </c>
      <c r="H11" s="0" t="n">
        <f aca="false">ROUNDUP(F11/Inputs!$B$10,0)</f>
        <v>113</v>
      </c>
      <c r="I11" s="0" t="s">
        <v>279</v>
      </c>
    </row>
    <row r="12" customFormat="false" ht="15" hidden="false" customHeight="false" outlineLevel="0" collapsed="false">
      <c r="A12" s="0" t="s">
        <v>280</v>
      </c>
      <c r="B12" s="0" t="s">
        <v>265</v>
      </c>
      <c r="C12" s="0" t="n">
        <v>7811.19</v>
      </c>
      <c r="D12" s="0" t="n">
        <f aca="false">Inputs!$B$5</f>
        <v>0.15</v>
      </c>
      <c r="E12" s="0" t="n">
        <f aca="false">C12*D12</f>
        <v>1171.6785</v>
      </c>
      <c r="F12" s="0" t="n">
        <f aca="false">C12+E12</f>
        <v>8982.8685</v>
      </c>
      <c r="G12" s="0" t="s">
        <v>276</v>
      </c>
      <c r="H12" s="0" t="n">
        <f aca="false">ROUNDUP(F12/Inputs!$B$10,0)</f>
        <v>450</v>
      </c>
      <c r="I12" s="0" t="s">
        <v>281</v>
      </c>
    </row>
    <row r="13" customFormat="false" ht="15" hidden="false" customHeight="false" outlineLevel="0" collapsed="false">
      <c r="A13" s="0" t="s">
        <v>282</v>
      </c>
      <c r="B13" s="0" t="s">
        <v>265</v>
      </c>
      <c r="C13" s="0" t="n">
        <v>281.75</v>
      </c>
      <c r="D13" s="0" t="n">
        <f aca="false">Inputs!$B$5</f>
        <v>0.15</v>
      </c>
      <c r="E13" s="0" t="n">
        <f aca="false">C13*D13</f>
        <v>42.2625</v>
      </c>
      <c r="F13" s="0" t="n">
        <f aca="false">C13+E13</f>
        <v>324.0125</v>
      </c>
      <c r="G13" s="0" t="s">
        <v>266</v>
      </c>
      <c r="H13" s="0" t="n">
        <f aca="false">ROUNDUP(F13/Inputs!$B$11,0)</f>
        <v>33</v>
      </c>
      <c r="I13" s="0" t="s">
        <v>283</v>
      </c>
    </row>
    <row r="14" customFormat="false" ht="15" hidden="false" customHeight="false" outlineLevel="0" collapsed="false">
      <c r="A14" s="0" t="s">
        <v>284</v>
      </c>
      <c r="B14" s="0" t="s">
        <v>265</v>
      </c>
      <c r="C14" s="0" t="n">
        <v>1774.18</v>
      </c>
      <c r="D14" s="0" t="n">
        <f aca="false">Inputs!$B$5</f>
        <v>0.15</v>
      </c>
      <c r="E14" s="0" t="n">
        <f aca="false">C14*D14</f>
        <v>266.127</v>
      </c>
      <c r="F14" s="0" t="n">
        <f aca="false">C14+E14</f>
        <v>2040.307</v>
      </c>
      <c r="G14" s="0" t="s">
        <v>285</v>
      </c>
      <c r="H14" s="0" t="n">
        <f aca="false">ROUNDUP(F14/Inputs!$B$16,0)</f>
        <v>128</v>
      </c>
      <c r="I14" s="0" t="s">
        <v>286</v>
      </c>
    </row>
    <row r="15" customFormat="false" ht="15" hidden="false" customHeight="false" outlineLevel="0" collapsed="false">
      <c r="A15" s="0" t="s">
        <v>287</v>
      </c>
      <c r="B15" s="0" t="s">
        <v>265</v>
      </c>
      <c r="C15" s="0" t="n">
        <v>62.67</v>
      </c>
      <c r="D15" s="0" t="n">
        <f aca="false">Inputs!$B$5</f>
        <v>0.15</v>
      </c>
      <c r="E15" s="0" t="n">
        <f aca="false">C15*D15</f>
        <v>9.4005</v>
      </c>
      <c r="F15" s="0" t="n">
        <f aca="false">C15+E15</f>
        <v>72.0705</v>
      </c>
      <c r="G15" s="0" t="s">
        <v>276</v>
      </c>
      <c r="H15" s="0" t="n">
        <f aca="false">ROUNDUP(F15/Inputs!$B$10,0)</f>
        <v>4</v>
      </c>
      <c r="I15" s="0" t="s">
        <v>288</v>
      </c>
    </row>
    <row r="16" customFormat="false" ht="15" hidden="false" customHeight="false" outlineLevel="0" collapsed="false">
      <c r="A16" s="0" t="s">
        <v>289</v>
      </c>
      <c r="B16" s="0" t="s">
        <v>265</v>
      </c>
      <c r="C16" s="0" t="n">
        <v>286.44</v>
      </c>
      <c r="D16" s="0" t="n">
        <f aca="false">Inputs!$B$5</f>
        <v>0.15</v>
      </c>
      <c r="E16" s="0" t="n">
        <f aca="false">C16*D16</f>
        <v>42.966</v>
      </c>
      <c r="F16" s="0" t="n">
        <f aca="false">C16+E16</f>
        <v>329.406</v>
      </c>
      <c r="G16" s="0" t="s">
        <v>290</v>
      </c>
      <c r="H16" s="0" t="n">
        <f aca="false">ROUNDUP(F16/Inputs!$B$17,0)</f>
        <v>28</v>
      </c>
      <c r="I16" s="0" t="s">
        <v>291</v>
      </c>
    </row>
    <row r="17" customFormat="false" ht="15" hidden="false" customHeight="false" outlineLevel="0" collapsed="false">
      <c r="A17" s="0" t="s">
        <v>292</v>
      </c>
      <c r="B17" s="0" t="s">
        <v>265</v>
      </c>
      <c r="C17" s="0" t="n">
        <v>159.16</v>
      </c>
      <c r="D17" s="0" t="n">
        <f aca="false">Inputs!$B$5</f>
        <v>0.15</v>
      </c>
      <c r="E17" s="0" t="n">
        <f aca="false">C17*D17</f>
        <v>23.874</v>
      </c>
      <c r="F17" s="0" t="n">
        <f aca="false">C17+E17</f>
        <v>183.034</v>
      </c>
      <c r="G17" s="0" t="s">
        <v>285</v>
      </c>
      <c r="H17" s="0" t="n">
        <f aca="false">ROUNDUP(F17/Inputs!$B$16,0)</f>
        <v>12</v>
      </c>
      <c r="I17" s="0" t="s">
        <v>293</v>
      </c>
    </row>
    <row r="18" customFormat="false" ht="15" hidden="false" customHeight="false" outlineLevel="0" collapsed="false">
      <c r="A18" s="0" t="s">
        <v>294</v>
      </c>
      <c r="B18" s="0" t="s">
        <v>265</v>
      </c>
      <c r="C18" s="0" t="n">
        <v>1545.5</v>
      </c>
      <c r="D18" s="0" t="n">
        <f aca="false">Inputs!$B$5</f>
        <v>0.15</v>
      </c>
      <c r="E18" s="0" t="n">
        <f aca="false">C18*D18</f>
        <v>231.825</v>
      </c>
      <c r="F18" s="0" t="n">
        <f aca="false">C18+E18</f>
        <v>1777.325</v>
      </c>
      <c r="G18" s="0" t="s">
        <v>33</v>
      </c>
      <c r="H18" s="0" t="n">
        <f aca="false">ROUNDUP(F18,0)</f>
        <v>1778</v>
      </c>
      <c r="I18" s="0" t="s">
        <v>295</v>
      </c>
    </row>
    <row r="19" customFormat="false" ht="15" hidden="false" customHeight="false" outlineLevel="0" collapsed="false">
      <c r="A19" s="0" t="s">
        <v>296</v>
      </c>
      <c r="B19" s="0" t="s">
        <v>297</v>
      </c>
      <c r="C19" s="0" t="n">
        <v>4896.74</v>
      </c>
      <c r="D19" s="0" t="n">
        <f aca="false">Inputs!$B$6</f>
        <v>0.06</v>
      </c>
      <c r="E19" s="0" t="n">
        <f aca="false">C19*D19</f>
        <v>293.8044</v>
      </c>
      <c r="F19" s="0" t="n">
        <f aca="false">C19+E19</f>
        <v>5190.5444</v>
      </c>
      <c r="G19" s="0" t="s">
        <v>298</v>
      </c>
      <c r="H19" s="0" t="n">
        <f aca="false">ROUNDUP(F19/Inputs!$B$9,0)</f>
        <v>109</v>
      </c>
      <c r="I19" s="0" t="s">
        <v>299</v>
      </c>
    </row>
    <row r="20" customFormat="false" ht="15" hidden="false" customHeight="false" outlineLevel="0" collapsed="false">
      <c r="A20" s="0" t="s">
        <v>300</v>
      </c>
      <c r="B20" s="0" t="s">
        <v>297</v>
      </c>
      <c r="C20" s="0" t="n">
        <v>75.96</v>
      </c>
      <c r="D20" s="0" t="n">
        <f aca="false">Inputs!$B$6</f>
        <v>0.06</v>
      </c>
      <c r="E20" s="0" t="n">
        <f aca="false">C20*D20</f>
        <v>4.5576</v>
      </c>
      <c r="F20" s="0" t="n">
        <f aca="false">C20+E20</f>
        <v>80.5176</v>
      </c>
      <c r="G20" s="0" t="s">
        <v>298</v>
      </c>
      <c r="H20" s="0" t="n">
        <f aca="false">ROUNDUP(F20/Inputs!$B$9,0)</f>
        <v>2</v>
      </c>
      <c r="I20" s="0" t="s">
        <v>301</v>
      </c>
    </row>
    <row r="21" customFormat="false" ht="15" hidden="false" customHeight="false" outlineLevel="0" collapsed="false">
      <c r="A21" s="0" t="s">
        <v>302</v>
      </c>
      <c r="B21" s="0" t="s">
        <v>265</v>
      </c>
      <c r="C21" s="0" t="n">
        <v>552.27</v>
      </c>
      <c r="D21" s="0" t="n">
        <f aca="false">Inputs!$B$6</f>
        <v>0.06</v>
      </c>
      <c r="E21" s="0" t="n">
        <f aca="false">C21*D21</f>
        <v>33.1362</v>
      </c>
      <c r="F21" s="0" t="n">
        <f aca="false">C21+E21</f>
        <v>585.4062</v>
      </c>
      <c r="G21" s="0" t="s">
        <v>303</v>
      </c>
      <c r="H21" s="0" t="n">
        <f aca="false">ROUNDUP(F21/Inputs!$B$26,0)</f>
        <v>37</v>
      </c>
      <c r="I21" s="0" t="s">
        <v>304</v>
      </c>
    </row>
    <row r="22" customFormat="false" ht="15" hidden="false" customHeight="false" outlineLevel="0" collapsed="false">
      <c r="A22" s="0" t="s">
        <v>305</v>
      </c>
      <c r="B22" s="0" t="s">
        <v>297</v>
      </c>
      <c r="C22" s="0" t="n">
        <v>8266.72</v>
      </c>
      <c r="D22" s="0" t="n">
        <f aca="false">Inputs!$B$6</f>
        <v>0.06</v>
      </c>
      <c r="E22" s="0" t="n">
        <f aca="false">C22*D22</f>
        <v>496.0032</v>
      </c>
      <c r="F22" s="0" t="n">
        <f aca="false">C22+E22</f>
        <v>8762.7232</v>
      </c>
      <c r="G22" s="0" t="s">
        <v>298</v>
      </c>
      <c r="H22" s="0" t="n">
        <f aca="false">ROUNDUP(F22/Inputs!$B$9,0)</f>
        <v>183</v>
      </c>
      <c r="I22" s="0" t="s">
        <v>306</v>
      </c>
    </row>
    <row r="23" customFormat="false" ht="15" hidden="false" customHeight="false" outlineLevel="0" collapsed="false">
      <c r="A23" s="0" t="s">
        <v>307</v>
      </c>
      <c r="B23" s="0" t="s">
        <v>297</v>
      </c>
      <c r="C23" s="0" t="n">
        <v>940.87</v>
      </c>
      <c r="D23" s="0" t="n">
        <f aca="false">Inputs!$B$6</f>
        <v>0.06</v>
      </c>
      <c r="E23" s="0" t="n">
        <f aca="false">C23*D23</f>
        <v>56.4522</v>
      </c>
      <c r="F23" s="0" t="n">
        <f aca="false">C23+E23</f>
        <v>997.3222</v>
      </c>
      <c r="G23" s="0" t="s">
        <v>298</v>
      </c>
      <c r="H23" s="0" t="n">
        <f aca="false">ROUNDUP(F23/Inputs!$B$9,0)</f>
        <v>21</v>
      </c>
      <c r="I23" s="0" t="s">
        <v>308</v>
      </c>
    </row>
    <row r="24" customFormat="false" ht="15" hidden="false" customHeight="false" outlineLevel="0" collapsed="false">
      <c r="A24" s="0" t="s">
        <v>309</v>
      </c>
      <c r="B24" s="0" t="s">
        <v>265</v>
      </c>
      <c r="C24" s="0" t="n">
        <v>88</v>
      </c>
      <c r="D24" s="0" t="n">
        <f aca="false">Inputs!$B$5</f>
        <v>0.15</v>
      </c>
      <c r="E24" s="0" t="n">
        <f aca="false">C24*D24</f>
        <v>13.2</v>
      </c>
      <c r="F24" s="0" t="n">
        <f aca="false">C24+E24</f>
        <v>101.2</v>
      </c>
      <c r="G24" s="0" t="s">
        <v>276</v>
      </c>
      <c r="H24" s="0" t="n">
        <f aca="false">ROUNDUP(F24/Inputs!$B$10,0)</f>
        <v>6</v>
      </c>
      <c r="I24" s="0" t="s">
        <v>310</v>
      </c>
    </row>
    <row r="25" customFormat="false" ht="15" hidden="false" customHeight="false" outlineLevel="0" collapsed="false">
      <c r="A25" s="0" t="s">
        <v>311</v>
      </c>
      <c r="B25" s="0" t="s">
        <v>265</v>
      </c>
      <c r="C25" s="0" t="n">
        <v>194.16</v>
      </c>
      <c r="D25" s="0" t="n">
        <f aca="false">Inputs!$B$5</f>
        <v>0.15</v>
      </c>
      <c r="E25" s="0" t="n">
        <f aca="false">C25*D25</f>
        <v>29.124</v>
      </c>
      <c r="F25" s="0" t="n">
        <f aca="false">C25+E25</f>
        <v>223.284</v>
      </c>
      <c r="G25" s="0" t="s">
        <v>312</v>
      </c>
      <c r="H25" s="0" t="n">
        <f aca="false">ROUNDUP(F25/Inputs!$B$27,0)</f>
        <v>19</v>
      </c>
      <c r="I25" s="0" t="s">
        <v>313</v>
      </c>
    </row>
    <row r="26" customFormat="false" ht="15" hidden="false" customHeight="false" outlineLevel="0" collapsed="false">
      <c r="A26" s="0" t="s">
        <v>314</v>
      </c>
      <c r="B26" s="0" t="s">
        <v>265</v>
      </c>
      <c r="C26" s="0" t="n">
        <v>457.96</v>
      </c>
      <c r="D26" s="0" t="n">
        <f aca="false">Inputs!$B$5</f>
        <v>0.15</v>
      </c>
      <c r="E26" s="0" t="n">
        <f aca="false">C26*D26</f>
        <v>68.694</v>
      </c>
      <c r="F26" s="0" t="n">
        <f aca="false">C26+E26</f>
        <v>526.654</v>
      </c>
      <c r="G26" s="0" t="s">
        <v>315</v>
      </c>
      <c r="H26" s="0" t="n">
        <f aca="false">ROUNDUP(F26/Inputs!$B$28,0)</f>
        <v>132</v>
      </c>
      <c r="I26" s="0" t="s">
        <v>313</v>
      </c>
    </row>
    <row r="27" customFormat="false" ht="15" hidden="false" customHeight="false" outlineLevel="0" collapsed="false">
      <c r="A27" s="0" t="s">
        <v>316</v>
      </c>
      <c r="B27" s="0" t="s">
        <v>265</v>
      </c>
      <c r="C27" s="0" t="n">
        <v>107.21</v>
      </c>
      <c r="D27" s="0" t="n">
        <f aca="false">Inputs!$B$5</f>
        <v>0.15</v>
      </c>
      <c r="E27" s="0" t="n">
        <f aca="false">C27*D27</f>
        <v>16.0815</v>
      </c>
      <c r="F27" s="0" t="n">
        <f aca="false">C27+E27</f>
        <v>123.2915</v>
      </c>
      <c r="G27" s="0" t="s">
        <v>317</v>
      </c>
      <c r="H27" s="0" t="n">
        <f aca="false">ROUNDUP(F27/Inputs!$B$29,0)</f>
        <v>11</v>
      </c>
      <c r="I27" s="0" t="s">
        <v>313</v>
      </c>
    </row>
    <row r="28" customFormat="false" ht="15" hidden="false" customHeight="false" outlineLevel="0" collapsed="false">
      <c r="A28" s="0" t="s">
        <v>318</v>
      </c>
      <c r="B28" s="0" t="s">
        <v>265</v>
      </c>
      <c r="C28" s="0" t="n">
        <v>107.21</v>
      </c>
      <c r="D28" s="0" t="n">
        <f aca="false">Inputs!$B$5</f>
        <v>0.15</v>
      </c>
      <c r="E28" s="0" t="n">
        <f aca="false">C28*D28</f>
        <v>16.0815</v>
      </c>
      <c r="F28" s="0" t="n">
        <f aca="false">C28+E28</f>
        <v>123.2915</v>
      </c>
      <c r="G28" s="0" t="s">
        <v>317</v>
      </c>
      <c r="H28" s="0" t="n">
        <f aca="false">ROUNDUP(F28/Inputs!$B$29,0)</f>
        <v>11</v>
      </c>
      <c r="I28" s="0" t="s">
        <v>313</v>
      </c>
    </row>
    <row r="29" customFormat="false" ht="15" hidden="false" customHeight="false" outlineLevel="0" collapsed="false">
      <c r="A29" s="0" t="s">
        <v>319</v>
      </c>
      <c r="B29" s="0" t="s">
        <v>265</v>
      </c>
      <c r="C29" s="0" t="n">
        <v>328</v>
      </c>
      <c r="D29" s="0" t="n">
        <f aca="false">Inputs!$B$5</f>
        <v>0.15</v>
      </c>
      <c r="E29" s="0" t="n">
        <f aca="false">C29*D29</f>
        <v>49.2</v>
      </c>
      <c r="F29" s="0" t="n">
        <f aca="false">C29+E29</f>
        <v>377.2</v>
      </c>
      <c r="G29" s="0" t="s">
        <v>320</v>
      </c>
      <c r="H29" s="0" t="n">
        <f aca="false">ROUNDUP(F29/Inputs!$B$18,0)</f>
        <v>38</v>
      </c>
      <c r="I29" s="0" t="s">
        <v>321</v>
      </c>
    </row>
    <row r="30" customFormat="false" ht="15" hidden="false" customHeight="false" outlineLevel="0" collapsed="false">
      <c r="A30" s="0" t="s">
        <v>322</v>
      </c>
      <c r="B30" s="0" t="s">
        <v>297</v>
      </c>
      <c r="C30" s="0" t="n">
        <v>980.19</v>
      </c>
      <c r="D30" s="0" t="n">
        <f aca="false">Inputs!$B$6</f>
        <v>0.06</v>
      </c>
      <c r="E30" s="0" t="n">
        <f aca="false">C30*D30</f>
        <v>58.8114</v>
      </c>
      <c r="F30" s="0" t="n">
        <f aca="false">C30+E30</f>
        <v>1039.0014</v>
      </c>
      <c r="G30" s="0" t="s">
        <v>298</v>
      </c>
      <c r="H30" s="0" t="n">
        <f aca="false">ROUNDUP(F30/Inputs!$B$9,0)</f>
        <v>22</v>
      </c>
      <c r="I30" s="0" t="s">
        <v>323</v>
      </c>
    </row>
    <row r="31" customFormat="false" ht="15" hidden="false" customHeight="false" outlineLevel="0" collapsed="false">
      <c r="A31" s="0" t="s">
        <v>324</v>
      </c>
      <c r="B31" s="0" t="s">
        <v>297</v>
      </c>
      <c r="C31" s="0" t="n">
        <v>2001.38</v>
      </c>
      <c r="D31" s="0" t="n">
        <f aca="false">Inputs!$B$6</f>
        <v>0.06</v>
      </c>
      <c r="E31" s="0" t="n">
        <f aca="false">C31*D31</f>
        <v>120.0828</v>
      </c>
      <c r="F31" s="0" t="n">
        <f aca="false">C31+E31</f>
        <v>2121.4628</v>
      </c>
      <c r="G31" s="0" t="s">
        <v>325</v>
      </c>
      <c r="H31" s="0" t="n">
        <f aca="false">ROUNDUP(F31/Inputs!$B$30,0)</f>
        <v>54</v>
      </c>
      <c r="I31" s="0" t="s">
        <v>326</v>
      </c>
    </row>
    <row r="32" customFormat="false" ht="15" hidden="false" customHeight="false" outlineLevel="0" collapsed="false">
      <c r="A32" s="0" t="s">
        <v>327</v>
      </c>
      <c r="B32" s="0" t="s">
        <v>328</v>
      </c>
      <c r="C32" s="0" t="n">
        <v>162</v>
      </c>
      <c r="D32" s="0" t="n">
        <f aca="false">Inputs!$B$5</f>
        <v>0.15</v>
      </c>
      <c r="E32" s="0" t="n">
        <f aca="false">C32*D32</f>
        <v>24.3</v>
      </c>
      <c r="F32" s="0" t="n">
        <f aca="false">C32+E32</f>
        <v>186.3</v>
      </c>
      <c r="G32" s="0" t="s">
        <v>329</v>
      </c>
      <c r="H32" s="0" t="n">
        <f aca="false">ROUNDUP(F32,0)</f>
        <v>187</v>
      </c>
      <c r="I32" s="0" t="s">
        <v>330</v>
      </c>
    </row>
    <row r="33" customFormat="false" ht="15" hidden="false" customHeight="false" outlineLevel="0" collapsed="false">
      <c r="A33" s="0" t="s">
        <v>331</v>
      </c>
      <c r="B33" s="0" t="s">
        <v>328</v>
      </c>
      <c r="C33" s="0" t="n">
        <v>324</v>
      </c>
      <c r="D33" s="0" t="n">
        <f aca="false">Inputs!$B$5</f>
        <v>0.15</v>
      </c>
      <c r="E33" s="0" t="n">
        <f aca="false">C33*D33</f>
        <v>48.6</v>
      </c>
      <c r="F33" s="0" t="n">
        <f aca="false">C33+E33</f>
        <v>372.6</v>
      </c>
      <c r="G33" s="0" t="s">
        <v>329</v>
      </c>
      <c r="H33" s="0" t="n">
        <f aca="false">ROUNDUP(F33,0)</f>
        <v>373</v>
      </c>
      <c r="I33" s="0" t="s">
        <v>332</v>
      </c>
    </row>
    <row r="34" customFormat="false" ht="15" hidden="false" customHeight="false" outlineLevel="0" collapsed="false">
      <c r="A34" s="0" t="s">
        <v>333</v>
      </c>
      <c r="B34" s="0" t="s">
        <v>328</v>
      </c>
      <c r="C34" s="0" t="n">
        <v>324</v>
      </c>
      <c r="D34" s="0" t="n">
        <f aca="false">Inputs!$B$5</f>
        <v>0.15</v>
      </c>
      <c r="E34" s="0" t="n">
        <f aca="false">C34*D34</f>
        <v>48.6</v>
      </c>
      <c r="F34" s="0" t="n">
        <f aca="false">C34+E34</f>
        <v>372.6</v>
      </c>
      <c r="G34" s="0" t="s">
        <v>329</v>
      </c>
      <c r="H34" s="0" t="n">
        <f aca="false">ROUNDUP(F34,0)</f>
        <v>373</v>
      </c>
      <c r="I34" s="0" t="s">
        <v>334</v>
      </c>
    </row>
    <row r="35" customFormat="false" ht="15" hidden="false" customHeight="false" outlineLevel="0" collapsed="false">
      <c r="A35" s="0" t="s">
        <v>335</v>
      </c>
      <c r="B35" s="0" t="s">
        <v>328</v>
      </c>
      <c r="C35" s="0" t="n">
        <v>72</v>
      </c>
      <c r="D35" s="0" t="n">
        <f aca="false">Inputs!$B$5</f>
        <v>0.15</v>
      </c>
      <c r="E35" s="0" t="n">
        <f aca="false">C35*D35</f>
        <v>10.8</v>
      </c>
      <c r="F35" s="0" t="n">
        <f aca="false">C35+E35</f>
        <v>82.8</v>
      </c>
      <c r="G35" s="0" t="s">
        <v>329</v>
      </c>
      <c r="H35" s="0" t="n">
        <f aca="false">ROUNDUP(F35,0)</f>
        <v>83</v>
      </c>
      <c r="I35" s="0" t="s">
        <v>336</v>
      </c>
    </row>
    <row r="36" customFormat="false" ht="15" hidden="false" customHeight="false" outlineLevel="0" collapsed="false">
      <c r="A36" s="0" t="s">
        <v>337</v>
      </c>
      <c r="B36" s="0" t="s">
        <v>328</v>
      </c>
      <c r="C36" s="0" t="n">
        <v>1</v>
      </c>
      <c r="D36" s="0" t="n">
        <v>0</v>
      </c>
      <c r="E36" s="0" t="n">
        <f aca="false">C36*D36</f>
        <v>0</v>
      </c>
      <c r="F36" s="0" t="n">
        <f aca="false">C36+E36</f>
        <v>1</v>
      </c>
      <c r="G36" s="0" t="s">
        <v>329</v>
      </c>
      <c r="H36" s="0" t="n">
        <f aca="false">ROUNDUP(F36,0)</f>
        <v>1</v>
      </c>
      <c r="I36" s="0" t="s">
        <v>338</v>
      </c>
    </row>
    <row r="37" customFormat="false" ht="15" hidden="false" customHeight="false" outlineLevel="0" collapsed="false">
      <c r="A37" s="0" t="s">
        <v>339</v>
      </c>
      <c r="B37" s="0" t="s">
        <v>265</v>
      </c>
      <c r="C37" s="0" t="n">
        <v>250</v>
      </c>
      <c r="D37" s="0" t="n">
        <f aca="false">Inputs!$B$5</f>
        <v>0.15</v>
      </c>
      <c r="E37" s="0" t="n">
        <f aca="false">C37*D37</f>
        <v>37.5</v>
      </c>
      <c r="F37" s="0" t="n">
        <f aca="false">C37+E37</f>
        <v>287.5</v>
      </c>
      <c r="G37" s="0" t="s">
        <v>320</v>
      </c>
      <c r="H37" s="0" t="n">
        <f aca="false">ROUNDUP(F37/Inputs!$B$18,0)</f>
        <v>29</v>
      </c>
      <c r="I37" s="0" t="s">
        <v>340</v>
      </c>
    </row>
    <row r="38" customFormat="false" ht="15" hidden="false" customHeight="false" outlineLevel="0" collapsed="false">
      <c r="A38" s="0" t="s">
        <v>341</v>
      </c>
      <c r="B38" s="0" t="s">
        <v>328</v>
      </c>
      <c r="C38" s="0" t="n">
        <v>512</v>
      </c>
      <c r="D38" s="0" t="n">
        <f aca="false">Inputs!$B$5</f>
        <v>0.15</v>
      </c>
      <c r="E38" s="0" t="n">
        <f aca="false">C38*D38</f>
        <v>76.8</v>
      </c>
      <c r="F38" s="0" t="n">
        <f aca="false">C38+E38</f>
        <v>588.8</v>
      </c>
      <c r="G38" s="0" t="s">
        <v>329</v>
      </c>
      <c r="H38" s="0" t="n">
        <f aca="false">ROUNDUP(F38,0)</f>
        <v>589</v>
      </c>
      <c r="I38" s="0" t="s">
        <v>342</v>
      </c>
    </row>
    <row r="39" customFormat="false" ht="15" hidden="false" customHeight="false" outlineLevel="0" collapsed="false">
      <c r="A39" s="0" t="s">
        <v>343</v>
      </c>
      <c r="B39" s="0" t="s">
        <v>265</v>
      </c>
      <c r="C39" s="0" t="n">
        <v>89.61</v>
      </c>
      <c r="D39" s="0" t="n">
        <f aca="false">Inputs!$B$5</f>
        <v>0.15</v>
      </c>
      <c r="E39" s="0" t="n">
        <f aca="false">C39*D39</f>
        <v>13.4415</v>
      </c>
      <c r="F39" s="0" t="n">
        <f aca="false">C39+E39</f>
        <v>103.0515</v>
      </c>
      <c r="G39" s="0" t="s">
        <v>276</v>
      </c>
      <c r="H39" s="0" t="n">
        <f aca="false">ROUNDUP(F39/Inputs!$B$10,0)</f>
        <v>6</v>
      </c>
      <c r="I39" s="0" t="s">
        <v>344</v>
      </c>
    </row>
    <row r="40" customFormat="false" ht="15" hidden="false" customHeight="false" outlineLevel="0" collapsed="false">
      <c r="A40" s="0" t="s">
        <v>345</v>
      </c>
      <c r="B40" s="0" t="s">
        <v>297</v>
      </c>
      <c r="C40" s="0" t="n">
        <v>376.32</v>
      </c>
      <c r="D40" s="0" t="n">
        <f aca="false">Inputs!$B$6</f>
        <v>0.06</v>
      </c>
      <c r="E40" s="0" t="n">
        <f aca="false">C40*D40</f>
        <v>22.5792</v>
      </c>
      <c r="F40" s="0" t="n">
        <f aca="false">C40+E40</f>
        <v>398.8992</v>
      </c>
      <c r="G40" s="0" t="s">
        <v>298</v>
      </c>
      <c r="H40" s="0" t="n">
        <f aca="false">ROUNDUP(F40/Inputs!$B$9,0)</f>
        <v>9</v>
      </c>
      <c r="I40" s="0" t="s">
        <v>346</v>
      </c>
    </row>
    <row r="41" customFormat="false" ht="15" hidden="false" customHeight="false" outlineLevel="0" collapsed="false">
      <c r="A41" s="0" t="s">
        <v>347</v>
      </c>
      <c r="B41" s="0" t="s">
        <v>297</v>
      </c>
      <c r="C41" s="0" t="n">
        <v>3634.8</v>
      </c>
      <c r="D41" s="0" t="n">
        <f aca="false">Inputs!$B$6</f>
        <v>0.06</v>
      </c>
      <c r="E41" s="0" t="n">
        <f aca="false">C41*D41</f>
        <v>218.088</v>
      </c>
      <c r="F41" s="0" t="n">
        <f aca="false">C41+E41</f>
        <v>3852.888</v>
      </c>
      <c r="G41" s="0" t="s">
        <v>298</v>
      </c>
      <c r="H41" s="0" t="n">
        <f aca="false">ROUNDUP(F41/Inputs!$B$9,0)</f>
        <v>81</v>
      </c>
      <c r="I41" s="0" t="s">
        <v>348</v>
      </c>
    </row>
    <row r="42" customFormat="false" ht="15" hidden="false" customHeight="false" outlineLevel="0" collapsed="false">
      <c r="A42" s="0" t="s">
        <v>349</v>
      </c>
      <c r="B42" s="0" t="s">
        <v>297</v>
      </c>
      <c r="C42" s="0" t="n">
        <v>195</v>
      </c>
      <c r="D42" s="0" t="n">
        <f aca="false">Inputs!$B$6</f>
        <v>0.06</v>
      </c>
      <c r="E42" s="0" t="n">
        <f aca="false">C42*D42</f>
        <v>11.7</v>
      </c>
      <c r="F42" s="0" t="n">
        <f aca="false">C42+E42</f>
        <v>206.7</v>
      </c>
      <c r="G42" s="0" t="s">
        <v>298</v>
      </c>
      <c r="H42" s="0" t="n">
        <f aca="false">ROUNDUP(F42/Inputs!$B$9,0)</f>
        <v>5</v>
      </c>
      <c r="I42" s="0" t="s">
        <v>350</v>
      </c>
    </row>
    <row r="43" customFormat="false" ht="15" hidden="false" customHeight="false" outlineLevel="0" collapsed="false">
      <c r="A43" s="0" t="s">
        <v>351</v>
      </c>
      <c r="B43" s="0" t="s">
        <v>328</v>
      </c>
      <c r="C43" s="0" t="n">
        <v>109</v>
      </c>
      <c r="D43" s="0" t="n">
        <v>0</v>
      </c>
      <c r="E43" s="0" t="n">
        <f aca="false">C43*D43</f>
        <v>0</v>
      </c>
      <c r="F43" s="0" t="n">
        <f aca="false">C43+E43</f>
        <v>109</v>
      </c>
      <c r="G43" s="0" t="s">
        <v>352</v>
      </c>
      <c r="H43" s="0" t="n">
        <f aca="false">ROUNDUP(F43,0)</f>
        <v>109</v>
      </c>
      <c r="I43" s="0" t="s">
        <v>353</v>
      </c>
    </row>
    <row r="44" customFormat="false" ht="15" hidden="false" customHeight="false" outlineLevel="0" collapsed="false">
      <c r="A44" s="0" t="s">
        <v>354</v>
      </c>
      <c r="B44" s="0" t="s">
        <v>265</v>
      </c>
      <c r="C44" s="0" t="n">
        <v>62.67</v>
      </c>
      <c r="D44" s="0" t="n">
        <f aca="false">Inputs!$B$5</f>
        <v>0.15</v>
      </c>
      <c r="E44" s="0" t="n">
        <f aca="false">C44*D44</f>
        <v>9.4005</v>
      </c>
      <c r="F44" s="0" t="n">
        <f aca="false">C44+E44</f>
        <v>72.0705</v>
      </c>
      <c r="G44" s="0" t="s">
        <v>276</v>
      </c>
      <c r="H44" s="0" t="n">
        <f aca="false">ROUNDUP(F44/Inputs!$B$10,0)</f>
        <v>4</v>
      </c>
      <c r="I44" s="0" t="s">
        <v>355</v>
      </c>
    </row>
    <row r="45" customFormat="false" ht="15" hidden="false" customHeight="false" outlineLevel="0" collapsed="false">
      <c r="A45" s="0" t="s">
        <v>356</v>
      </c>
      <c r="B45" s="0" t="s">
        <v>328</v>
      </c>
      <c r="C45" s="0" t="n">
        <v>10</v>
      </c>
      <c r="D45" s="0" t="n">
        <v>0</v>
      </c>
      <c r="E45" s="0" t="n">
        <f aca="false">C45*D45</f>
        <v>0</v>
      </c>
      <c r="F45" s="0" t="n">
        <f aca="false">C45+E45</f>
        <v>10</v>
      </c>
      <c r="G45" s="0" t="s">
        <v>352</v>
      </c>
      <c r="H45" s="0" t="n">
        <f aca="false">ROUNDUP(F45,0)</f>
        <v>10</v>
      </c>
      <c r="I45" s="0" t="s">
        <v>357</v>
      </c>
    </row>
    <row r="46" customFormat="false" ht="15" hidden="false" customHeight="false" outlineLevel="0" collapsed="false">
      <c r="A46" s="0" t="s">
        <v>358</v>
      </c>
      <c r="B46" s="0" t="s">
        <v>265</v>
      </c>
      <c r="C46" s="0" t="n">
        <v>0</v>
      </c>
      <c r="D46" s="0" t="n">
        <f aca="false">Inputs!$B$5</f>
        <v>0.15</v>
      </c>
      <c r="E46" s="0" t="n">
        <f aca="false">C46*D46</f>
        <v>0</v>
      </c>
      <c r="F46" s="0" t="n">
        <f aca="false">C46+E46</f>
        <v>0</v>
      </c>
      <c r="G46" s="0" t="s">
        <v>276</v>
      </c>
      <c r="H46" s="0" t="n">
        <f aca="false">ROUNDUP(F46/Inputs!$B$10,0)</f>
        <v>0</v>
      </c>
      <c r="I46" s="0" t="s">
        <v>359</v>
      </c>
    </row>
    <row r="47" customFormat="false" ht="15" hidden="false" customHeight="false" outlineLevel="0" collapsed="false">
      <c r="A47" s="0" t="s">
        <v>360</v>
      </c>
      <c r="B47" s="0" t="s">
        <v>265</v>
      </c>
      <c r="C47" s="0" t="n">
        <v>0</v>
      </c>
      <c r="D47" s="0" t="n">
        <f aca="false">Inputs!$B$5</f>
        <v>0.15</v>
      </c>
      <c r="E47" s="0" t="n">
        <f aca="false">C47*D47</f>
        <v>0</v>
      </c>
      <c r="F47" s="0" t="n">
        <f aca="false">C47+E47</f>
        <v>0</v>
      </c>
      <c r="G47" s="0" t="s">
        <v>276</v>
      </c>
      <c r="H47" s="0" t="n">
        <f aca="false">ROUNDUP(F47/Inputs!$B$10,0)</f>
        <v>0</v>
      </c>
      <c r="I47" s="0" t="s">
        <v>361</v>
      </c>
    </row>
    <row r="48" customFormat="false" ht="15" hidden="false" customHeight="false" outlineLevel="0" collapsed="false">
      <c r="A48" s="0" t="s">
        <v>362</v>
      </c>
      <c r="B48" s="0" t="s">
        <v>297</v>
      </c>
      <c r="C48" s="0" t="n">
        <v>0</v>
      </c>
      <c r="D48" s="0" t="n">
        <f aca="false">Inputs!$B$6</f>
        <v>0.06</v>
      </c>
      <c r="E48" s="0" t="n">
        <f aca="false">C48*D48</f>
        <v>0</v>
      </c>
      <c r="F48" s="0" t="n">
        <f aca="false">C48+E48</f>
        <v>0</v>
      </c>
      <c r="G48" s="0" t="s">
        <v>298</v>
      </c>
      <c r="H48" s="0" t="n">
        <f aca="false">ROUNDUP(F48/Inputs!$B$9,0)</f>
        <v>0</v>
      </c>
      <c r="I48" s="0" t="s">
        <v>363</v>
      </c>
    </row>
    <row r="49" customFormat="false" ht="15" hidden="false" customHeight="false" outlineLevel="0" collapsed="false">
      <c r="A49" s="0" t="s">
        <v>364</v>
      </c>
      <c r="B49" s="0" t="s">
        <v>265</v>
      </c>
      <c r="C49" s="0" t="n">
        <v>887.62</v>
      </c>
      <c r="D49" s="0" t="n">
        <f aca="false">Inputs!$B$6</f>
        <v>0.06</v>
      </c>
      <c r="E49" s="0" t="n">
        <f aca="false">C49*D49</f>
        <v>53.2572</v>
      </c>
      <c r="F49" s="0" t="n">
        <f aca="false">C49+E49</f>
        <v>940.8772</v>
      </c>
      <c r="G49" s="0" t="s">
        <v>320</v>
      </c>
      <c r="H49" s="0" t="n">
        <f aca="false">ROUNDUP(F49/Inputs!$B$18,0)</f>
        <v>95</v>
      </c>
      <c r="I49" s="0" t="s">
        <v>365</v>
      </c>
    </row>
    <row r="50" customFormat="false" ht="15" hidden="false" customHeight="false" outlineLevel="0" collapsed="false">
      <c r="A50" s="0" t="s">
        <v>366</v>
      </c>
      <c r="B50" s="0" t="s">
        <v>328</v>
      </c>
      <c r="C50" s="0" t="n">
        <v>8</v>
      </c>
      <c r="D50" s="0" t="n">
        <v>0</v>
      </c>
      <c r="E50" s="0" t="n">
        <f aca="false">C50*D50</f>
        <v>0</v>
      </c>
      <c r="F50" s="0" t="n">
        <f aca="false">C50+E50</f>
        <v>8</v>
      </c>
      <c r="G50" s="0" t="s">
        <v>352</v>
      </c>
      <c r="H50" s="0" t="n">
        <f aca="false">ROUNDUP(F50,0)</f>
        <v>8</v>
      </c>
      <c r="I50" s="0" t="s">
        <v>367</v>
      </c>
    </row>
    <row r="51" customFormat="false" ht="15" hidden="false" customHeight="false" outlineLevel="0" collapsed="false">
      <c r="A51" s="0" t="s">
        <v>368</v>
      </c>
      <c r="B51" s="0" t="s">
        <v>328</v>
      </c>
      <c r="C51" s="0" t="n">
        <v>0</v>
      </c>
      <c r="D51" s="0" t="n">
        <v>0</v>
      </c>
      <c r="E51" s="0" t="n">
        <f aca="false">C51*D51</f>
        <v>0</v>
      </c>
      <c r="F51" s="0" t="n">
        <f aca="false">C51+E51</f>
        <v>0</v>
      </c>
      <c r="G51" s="0" t="s">
        <v>352</v>
      </c>
      <c r="H51" s="0" t="n">
        <f aca="false">ROUNDUP(F51,0)</f>
        <v>0</v>
      </c>
      <c r="I51" s="0" t="s">
        <v>369</v>
      </c>
    </row>
    <row r="52" customFormat="false" ht="15" hidden="false" customHeight="false" outlineLevel="0" collapsed="false">
      <c r="A52" s="0" t="s">
        <v>370</v>
      </c>
      <c r="B52" s="0" t="s">
        <v>328</v>
      </c>
      <c r="C52" s="0" t="n">
        <v>17016.35</v>
      </c>
      <c r="D52" s="0" t="n">
        <v>0</v>
      </c>
      <c r="E52" s="0" t="n">
        <f aca="false">C52*D52</f>
        <v>0</v>
      </c>
      <c r="F52" s="0" t="n">
        <f aca="false">C52+E52</f>
        <v>17016.35</v>
      </c>
      <c r="G52" s="0" t="s">
        <v>352</v>
      </c>
      <c r="H52" s="0" t="n">
        <f aca="false">ROUNDUP(F52,0)</f>
        <v>17017</v>
      </c>
      <c r="I52" s="0" t="s">
        <v>371</v>
      </c>
      <c r="J52" s="0" t="n">
        <f aca="false">Inputs!$B$20*14180.3</f>
        <v>17016.36</v>
      </c>
    </row>
    <row r="53" customFormat="false" ht="15" hidden="false" customHeight="false" outlineLevel="0" collapsed="false">
      <c r="A53" s="0" t="s">
        <v>372</v>
      </c>
      <c r="B53" s="0" t="s">
        <v>328</v>
      </c>
      <c r="C53" s="0" t="n">
        <v>2580</v>
      </c>
      <c r="D53" s="0" t="n">
        <v>0</v>
      </c>
      <c r="E53" s="0" t="n">
        <f aca="false">C53*D53</f>
        <v>0</v>
      </c>
      <c r="F53" s="0" t="n">
        <f aca="false">C53+E53</f>
        <v>2580</v>
      </c>
      <c r="G53" s="0" t="s">
        <v>352</v>
      </c>
      <c r="H53" s="0" t="n">
        <f aca="false">ROUNDUP(F53,0)</f>
        <v>2580</v>
      </c>
      <c r="I53" s="0" t="s">
        <v>373</v>
      </c>
      <c r="J53" s="0" t="n">
        <f aca="false">Inputs!$B$21*645</f>
        <v>2580</v>
      </c>
    </row>
    <row r="54" customFormat="false" ht="15" hidden="false" customHeight="false" outlineLevel="0" collapsed="false">
      <c r="A54" s="0" t="s">
        <v>374</v>
      </c>
      <c r="B54" s="0" t="s">
        <v>328</v>
      </c>
      <c r="C54" s="0" t="n">
        <v>456.19</v>
      </c>
      <c r="D54" s="0" t="n">
        <v>0</v>
      </c>
      <c r="E54" s="0" t="n">
        <f aca="false">C54*D54</f>
        <v>0</v>
      </c>
      <c r="F54" s="0" t="n">
        <f aca="false">C54+E54</f>
        <v>456.19</v>
      </c>
      <c r="G54" s="0" t="s">
        <v>352</v>
      </c>
      <c r="H54" s="0" t="n">
        <f aca="false">ROUNDUP(F54,0)</f>
        <v>457</v>
      </c>
      <c r="I54" s="0" t="s">
        <v>375</v>
      </c>
      <c r="J54" s="0" t="n">
        <f aca="false">608.25/Inputs!$B$22</f>
        <v>456.187614046904</v>
      </c>
    </row>
    <row r="55" customFormat="false" ht="15" hidden="false" customHeight="false" outlineLevel="0" collapsed="false">
      <c r="A55" s="0" t="s">
        <v>376</v>
      </c>
      <c r="B55" s="0" t="s">
        <v>328</v>
      </c>
      <c r="C55" s="0" t="n">
        <v>0</v>
      </c>
      <c r="D55" s="0" t="n">
        <v>0</v>
      </c>
      <c r="E55" s="0" t="n">
        <f aca="false">C55*D55</f>
        <v>0</v>
      </c>
      <c r="F55" s="0" t="n">
        <f aca="false">C55+E55</f>
        <v>0</v>
      </c>
      <c r="G55" s="0" t="s">
        <v>352</v>
      </c>
      <c r="H55" s="0" t="n">
        <f aca="false">ROUNDUP(F55,0)</f>
        <v>0</v>
      </c>
      <c r="I55" s="0" t="s">
        <v>377</v>
      </c>
      <c r="J55" s="0" t="n">
        <f aca="false">0*Inputs!$B$25</f>
        <v>0</v>
      </c>
    </row>
    <row r="56" customFormat="false" ht="15" hidden="false" customHeight="false" outlineLevel="0" collapsed="false">
      <c r="A56" s="0" t="s">
        <v>378</v>
      </c>
      <c r="B56" s="0" t="s">
        <v>379</v>
      </c>
      <c r="C56" s="0" t="n">
        <v>1020.98</v>
      </c>
      <c r="D56" s="0" t="n">
        <v>0</v>
      </c>
      <c r="E56" s="0" t="n">
        <f aca="false">C56*D56</f>
        <v>0</v>
      </c>
      <c r="F56" s="0" t="n">
        <f aca="false">C56+E56</f>
        <v>1020.98</v>
      </c>
      <c r="G56" s="0" t="s">
        <v>380</v>
      </c>
      <c r="H56" s="0" t="n">
        <f aca="false">ROUNDUP(F56,0)</f>
        <v>1021</v>
      </c>
      <c r="I56" s="0" t="s">
        <v>381</v>
      </c>
      <c r="J56" s="0" t="n">
        <f aca="false">Inputs!$B$23*14180.3</f>
        <v>1020.9816</v>
      </c>
    </row>
    <row r="57" customFormat="false" ht="15" hidden="false" customHeight="false" outlineLevel="0" collapsed="false">
      <c r="A57" s="0" t="s">
        <v>382</v>
      </c>
      <c r="B57" s="0" t="s">
        <v>265</v>
      </c>
      <c r="C57" s="0" t="n">
        <v>5246.71</v>
      </c>
      <c r="D57" s="0" t="n">
        <v>0</v>
      </c>
      <c r="E57" s="0" t="n">
        <f aca="false">C57*D57</f>
        <v>0</v>
      </c>
      <c r="F57" s="0" t="n">
        <f aca="false">C57+E57</f>
        <v>5246.71</v>
      </c>
      <c r="G57" s="0" t="s">
        <v>265</v>
      </c>
      <c r="H57" s="0" t="n">
        <f aca="false">ROUNDUP(F57,0)</f>
        <v>5247</v>
      </c>
      <c r="I57" s="0" t="s">
        <v>383</v>
      </c>
      <c r="J57" s="0" t="n">
        <f aca="false">Inputs!$B$24*14180.3</f>
        <v>5246.711</v>
      </c>
    </row>
    <row r="58" customFormat="false" ht="15" hidden="false" customHeight="false" outlineLevel="0" collapsed="false">
      <c r="A58" s="0" t="s">
        <v>384</v>
      </c>
      <c r="B58" s="0" t="s">
        <v>297</v>
      </c>
      <c r="C58" s="0" t="n">
        <v>0</v>
      </c>
      <c r="D58" s="0" t="n">
        <f aca="false">Inputs!$B$6</f>
        <v>0.06</v>
      </c>
      <c r="E58" s="0" t="n">
        <f aca="false">C58*D58</f>
        <v>0</v>
      </c>
      <c r="F58" s="0" t="n">
        <f aca="false">C58+E58</f>
        <v>0</v>
      </c>
      <c r="G58" s="0" t="s">
        <v>297</v>
      </c>
      <c r="H58" s="0" t="n">
        <f aca="false">ROUNDUP(F58,0)</f>
        <v>0</v>
      </c>
      <c r="I58" s="0" t="s">
        <v>385</v>
      </c>
    </row>
    <row r="59" customFormat="false" ht="15" hidden="false" customHeight="false" outlineLevel="0" collapsed="false">
      <c r="A59" s="0" t="s">
        <v>386</v>
      </c>
      <c r="B59" s="0" t="s">
        <v>328</v>
      </c>
      <c r="C59" s="0" t="n">
        <v>0</v>
      </c>
      <c r="D59" s="0" t="n">
        <v>0</v>
      </c>
      <c r="E59" s="0" t="n">
        <f aca="false">C59*D59</f>
        <v>0</v>
      </c>
      <c r="F59" s="0" t="n">
        <f aca="false">C59+E59</f>
        <v>0</v>
      </c>
      <c r="G59" s="0" t="s">
        <v>352</v>
      </c>
      <c r="H59" s="0" t="n">
        <f aca="false">ROUNDUP(F59,0)</f>
        <v>0</v>
      </c>
      <c r="I59" s="0" t="s">
        <v>387</v>
      </c>
    </row>
    <row r="60" customFormat="false" ht="15" hidden="false" customHeight="false" outlineLevel="0" collapsed="false">
      <c r="A60" s="0" t="s">
        <v>388</v>
      </c>
      <c r="B60" s="0" t="s">
        <v>328</v>
      </c>
      <c r="C60" s="0" t="n">
        <v>0</v>
      </c>
      <c r="D60" s="0" t="n">
        <v>0</v>
      </c>
      <c r="E60" s="0" t="n">
        <f aca="false">C60*D60</f>
        <v>0</v>
      </c>
      <c r="F60" s="0" t="n">
        <f aca="false">C60+E60</f>
        <v>0</v>
      </c>
      <c r="G60" s="0" t="s">
        <v>352</v>
      </c>
      <c r="H60" s="0" t="n">
        <f aca="false">ROUNDUP(F60,0)</f>
        <v>0</v>
      </c>
      <c r="I60" s="0" t="s">
        <v>389</v>
      </c>
    </row>
    <row r="61" customFormat="false" ht="15" hidden="false" customHeight="false" outlineLevel="0" collapsed="false">
      <c r="A61" s="0" t="s">
        <v>390</v>
      </c>
      <c r="B61" s="0" t="s">
        <v>328</v>
      </c>
      <c r="C61" s="0" t="n">
        <v>0</v>
      </c>
      <c r="D61" s="0" t="n">
        <v>0</v>
      </c>
      <c r="E61" s="0" t="n">
        <f aca="false">C61*D61</f>
        <v>0</v>
      </c>
      <c r="F61" s="0" t="n">
        <f aca="false">C61+E61</f>
        <v>0</v>
      </c>
      <c r="G61" s="0" t="s">
        <v>352</v>
      </c>
      <c r="H61" s="0" t="n">
        <f aca="false">ROUNDUP(F61,0)</f>
        <v>0</v>
      </c>
      <c r="I61" s="0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391</v>
      </c>
      <c r="B1" s="2" t="s">
        <v>392</v>
      </c>
      <c r="C1" s="2" t="s">
        <v>393</v>
      </c>
    </row>
    <row r="2" customFormat="false" ht="15" hidden="false" customHeight="false" outlineLevel="0" collapsed="false">
      <c r="A2" s="0" t="s">
        <v>394</v>
      </c>
      <c r="B2" s="0" t="s">
        <v>395</v>
      </c>
      <c r="C2" s="0" t="s">
        <v>396</v>
      </c>
    </row>
    <row r="3" customFormat="false" ht="15" hidden="false" customHeight="false" outlineLevel="0" collapsed="false">
      <c r="A3" s="0" t="s">
        <v>397</v>
      </c>
      <c r="B3" s="0" t="s">
        <v>398</v>
      </c>
      <c r="C3" s="0" t="s">
        <v>399</v>
      </c>
    </row>
    <row r="4" customFormat="false" ht="15" hidden="false" customHeight="false" outlineLevel="0" collapsed="false">
      <c r="A4" s="0" t="s">
        <v>400</v>
      </c>
      <c r="B4" s="0" t="s">
        <v>401</v>
      </c>
      <c r="C4" s="0" t="s">
        <v>402</v>
      </c>
    </row>
    <row r="5" customFormat="false" ht="15" hidden="false" customHeight="false" outlineLevel="0" collapsed="false">
      <c r="A5" s="0" t="s">
        <v>403</v>
      </c>
      <c r="B5" s="0" t="s">
        <v>404</v>
      </c>
      <c r="C5" s="0" t="s">
        <v>405</v>
      </c>
    </row>
    <row r="6" customFormat="false" ht="15" hidden="false" customHeight="false" outlineLevel="0" collapsed="false">
      <c r="A6" s="0" t="s">
        <v>406</v>
      </c>
      <c r="B6" s="0" t="s">
        <v>407</v>
      </c>
      <c r="C6" s="0" t="s">
        <v>408</v>
      </c>
    </row>
    <row r="7" customFormat="false" ht="15" hidden="false" customHeight="false" outlineLevel="0" collapsed="false">
      <c r="A7" s="0" t="s">
        <v>409</v>
      </c>
      <c r="B7" s="0" t="s">
        <v>410</v>
      </c>
      <c r="C7" s="0" t="s">
        <v>411</v>
      </c>
    </row>
    <row r="8" customFormat="false" ht="15" hidden="false" customHeight="false" outlineLevel="0" collapsed="false">
      <c r="A8" s="0" t="s">
        <v>412</v>
      </c>
      <c r="B8" s="0" t="s">
        <v>413</v>
      </c>
      <c r="C8" s="0" t="s">
        <v>414</v>
      </c>
    </row>
    <row r="9" customFormat="false" ht="15" hidden="false" customHeight="false" outlineLevel="0" collapsed="false">
      <c r="A9" s="0" t="s">
        <v>415</v>
      </c>
      <c r="B9" s="0" t="s">
        <v>416</v>
      </c>
      <c r="C9" s="0" t="s">
        <v>417</v>
      </c>
    </row>
    <row r="10" customFormat="false" ht="15" hidden="false" customHeight="false" outlineLevel="0" collapsed="false">
      <c r="A10" s="0" t="s">
        <v>418</v>
      </c>
      <c r="B10" s="0" t="s">
        <v>419</v>
      </c>
      <c r="C10" s="0" t="s">
        <v>420</v>
      </c>
    </row>
    <row r="11" customFormat="false" ht="15" hidden="false" customHeight="false" outlineLevel="0" collapsed="false">
      <c r="A11" s="0" t="s">
        <v>421</v>
      </c>
      <c r="B11" s="0" t="s">
        <v>422</v>
      </c>
      <c r="C11" s="0" t="s">
        <v>417</v>
      </c>
    </row>
    <row r="12" customFormat="false" ht="15" hidden="false" customHeight="false" outlineLevel="0" collapsed="false">
      <c r="A12" s="0" t="s">
        <v>423</v>
      </c>
      <c r="B12" s="0" t="s">
        <v>424</v>
      </c>
      <c r="C12" s="0" t="s">
        <v>425</v>
      </c>
    </row>
    <row r="13" customFormat="false" ht="15" hidden="false" customHeight="false" outlineLevel="0" collapsed="false">
      <c r="A13" s="0" t="s">
        <v>426</v>
      </c>
      <c r="B13" s="0" t="s">
        <v>427</v>
      </c>
      <c r="C13" s="0" t="s">
        <v>414</v>
      </c>
    </row>
    <row r="14" customFormat="false" ht="15" hidden="false" customHeight="false" outlineLevel="0" collapsed="false">
      <c r="A14" s="0" t="s">
        <v>428</v>
      </c>
      <c r="B14" s="0" t="s">
        <v>429</v>
      </c>
      <c r="C14" s="0" t="s">
        <v>430</v>
      </c>
    </row>
    <row r="15" customFormat="false" ht="15" hidden="false" customHeight="false" outlineLevel="0" collapsed="false">
      <c r="A15" s="0" t="s">
        <v>431</v>
      </c>
      <c r="B15" s="0" t="s">
        <v>432</v>
      </c>
      <c r="C15" s="0" t="s">
        <v>433</v>
      </c>
    </row>
    <row r="16" customFormat="false" ht="15" hidden="false" customHeight="false" outlineLevel="0" collapsed="false">
      <c r="A16" s="0" t="s">
        <v>434</v>
      </c>
      <c r="B16" s="0" t="s">
        <v>435</v>
      </c>
      <c r="C16" s="0" t="s">
        <v>414</v>
      </c>
    </row>
    <row r="17" customFormat="false" ht="15" hidden="false" customHeight="false" outlineLevel="0" collapsed="false">
      <c r="A17" s="0" t="s">
        <v>436</v>
      </c>
      <c r="B17" s="0" t="s">
        <v>437</v>
      </c>
      <c r="C17" s="0" t="s">
        <v>438</v>
      </c>
    </row>
    <row r="18" customFormat="false" ht="15" hidden="false" customHeight="false" outlineLevel="0" collapsed="false">
      <c r="A18" s="0" t="s">
        <v>439</v>
      </c>
      <c r="B18" s="0" t="s">
        <v>440</v>
      </c>
      <c r="C18" s="0" t="s">
        <v>441</v>
      </c>
    </row>
    <row r="19" customFormat="false" ht="15" hidden="false" customHeight="false" outlineLevel="0" collapsed="false">
      <c r="A19" s="0" t="s">
        <v>442</v>
      </c>
      <c r="B19" s="0" t="s">
        <v>443</v>
      </c>
      <c r="C19" s="0" t="s">
        <v>444</v>
      </c>
    </row>
    <row r="20" customFormat="false" ht="15" hidden="false" customHeight="false" outlineLevel="0" collapsed="false">
      <c r="A20" s="0" t="s">
        <v>445</v>
      </c>
      <c r="B20" s="0" t="s">
        <v>446</v>
      </c>
      <c r="C20" s="0" t="s">
        <v>447</v>
      </c>
    </row>
    <row r="21" customFormat="false" ht="15" hidden="false" customHeight="false" outlineLevel="0" collapsed="false">
      <c r="A21" s="0" t="s">
        <v>448</v>
      </c>
      <c r="B21" s="0" t="s">
        <v>449</v>
      </c>
      <c r="C21" s="0" t="s">
        <v>450</v>
      </c>
    </row>
    <row r="22" customFormat="false" ht="15" hidden="false" customHeight="false" outlineLevel="0" collapsed="false">
      <c r="A22" s="0" t="s">
        <v>451</v>
      </c>
      <c r="B22" s="0" t="s">
        <v>452</v>
      </c>
      <c r="C22" s="0" t="s">
        <v>453</v>
      </c>
    </row>
    <row r="23" customFormat="false" ht="15" hidden="false" customHeight="false" outlineLevel="0" collapsed="false">
      <c r="A23" s="0" t="s">
        <v>454</v>
      </c>
      <c r="B23" s="0" t="s">
        <v>455</v>
      </c>
      <c r="C23" s="0" t="s">
        <v>456</v>
      </c>
    </row>
    <row r="24" customFormat="false" ht="15" hidden="false" customHeight="false" outlineLevel="0" collapsed="false">
      <c r="A24" s="0" t="s">
        <v>457</v>
      </c>
      <c r="B24" s="0" t="s">
        <v>458</v>
      </c>
      <c r="C24" s="0" t="s">
        <v>459</v>
      </c>
    </row>
    <row r="25" customFormat="false" ht="15" hidden="false" customHeight="false" outlineLevel="0" collapsed="false">
      <c r="A25" s="0" t="s">
        <v>460</v>
      </c>
      <c r="B25" s="0" t="s">
        <v>461</v>
      </c>
      <c r="C25" s="0" t="s">
        <v>414</v>
      </c>
    </row>
    <row r="26" customFormat="false" ht="15" hidden="false" customHeight="false" outlineLevel="0" collapsed="false">
      <c r="A26" s="0" t="s">
        <v>462</v>
      </c>
      <c r="B26" s="0" t="s">
        <v>463</v>
      </c>
      <c r="C26" s="0" t="s">
        <v>464</v>
      </c>
    </row>
    <row r="27" customFormat="false" ht="15" hidden="false" customHeight="false" outlineLevel="0" collapsed="false">
      <c r="A27" s="0" t="s">
        <v>465</v>
      </c>
      <c r="B27" s="0" t="s">
        <v>466</v>
      </c>
      <c r="C27" s="0" t="s">
        <v>467</v>
      </c>
    </row>
    <row r="28" customFormat="false" ht="15" hidden="false" customHeight="false" outlineLevel="0" collapsed="false">
      <c r="A28" s="0" t="s">
        <v>468</v>
      </c>
      <c r="B28" s="0" t="s">
        <v>469</v>
      </c>
      <c r="C28" s="0" t="s">
        <v>470</v>
      </c>
    </row>
    <row r="29" customFormat="false" ht="15" hidden="false" customHeight="false" outlineLevel="0" collapsed="false">
      <c r="A29" s="0" t="s">
        <v>471</v>
      </c>
      <c r="B29" s="0" t="s">
        <v>472</v>
      </c>
      <c r="C29" s="0" t="s">
        <v>473</v>
      </c>
    </row>
    <row r="30" customFormat="false" ht="15" hidden="false" customHeight="false" outlineLevel="0" collapsed="false">
      <c r="A30" s="0" t="s">
        <v>474</v>
      </c>
      <c r="B30" s="0" t="s">
        <v>475</v>
      </c>
      <c r="C30" s="0" t="s">
        <v>476</v>
      </c>
    </row>
    <row r="31" customFormat="false" ht="15" hidden="false" customHeight="false" outlineLevel="0" collapsed="false">
      <c r="A31" s="0" t="s">
        <v>477</v>
      </c>
      <c r="B31" s="0" t="s">
        <v>478</v>
      </c>
      <c r="C31" s="0" t="s">
        <v>479</v>
      </c>
    </row>
    <row r="32" customFormat="false" ht="15" hidden="false" customHeight="false" outlineLevel="0" collapsed="false">
      <c r="A32" s="0" t="s">
        <v>480</v>
      </c>
      <c r="B32" s="0" t="s">
        <v>481</v>
      </c>
      <c r="C32" s="0" t="s">
        <v>414</v>
      </c>
    </row>
    <row r="33" customFormat="false" ht="15" hidden="false" customHeight="false" outlineLevel="0" collapsed="false">
      <c r="A33" s="0" t="s">
        <v>482</v>
      </c>
      <c r="B33" s="0" t="s">
        <v>483</v>
      </c>
      <c r="C33" s="0" t="s">
        <v>484</v>
      </c>
    </row>
    <row r="34" customFormat="false" ht="15" hidden="false" customHeight="false" outlineLevel="0" collapsed="false">
      <c r="A34" s="0" t="s">
        <v>485</v>
      </c>
      <c r="B34" s="0" t="s">
        <v>486</v>
      </c>
      <c r="C34" s="0" t="s">
        <v>487</v>
      </c>
    </row>
    <row r="35" customFormat="false" ht="15" hidden="false" customHeight="false" outlineLevel="0" collapsed="false">
      <c r="A35" s="0" t="s">
        <v>488</v>
      </c>
      <c r="B35" s="0" t="s">
        <v>489</v>
      </c>
      <c r="C35" s="0" t="s">
        <v>490</v>
      </c>
    </row>
    <row r="36" customFormat="false" ht="15" hidden="false" customHeight="false" outlineLevel="0" collapsed="false">
      <c r="A36" s="0" t="s">
        <v>491</v>
      </c>
      <c r="B36" s="0" t="s">
        <v>492</v>
      </c>
      <c r="C36" s="0" t="s">
        <v>493</v>
      </c>
    </row>
    <row r="37" customFormat="false" ht="15" hidden="false" customHeight="false" outlineLevel="0" collapsed="false">
      <c r="A37" s="0" t="s">
        <v>494</v>
      </c>
      <c r="B37" s="0" t="s">
        <v>495</v>
      </c>
      <c r="C37" s="0" t="s">
        <v>496</v>
      </c>
    </row>
    <row r="38" customFormat="false" ht="15" hidden="false" customHeight="false" outlineLevel="0" collapsed="false">
      <c r="A38" s="0" t="s">
        <v>497</v>
      </c>
      <c r="B38" s="0" t="s">
        <v>498</v>
      </c>
      <c r="C38" s="0" t="s">
        <v>499</v>
      </c>
    </row>
    <row r="39" customFormat="false" ht="15" hidden="false" customHeight="false" outlineLevel="0" collapsed="false">
      <c r="A39" s="0" t="s">
        <v>500</v>
      </c>
      <c r="B39" s="0" t="s">
        <v>501</v>
      </c>
      <c r="C39" s="0" t="s">
        <v>502</v>
      </c>
    </row>
    <row r="40" customFormat="false" ht="15" hidden="false" customHeight="false" outlineLevel="0" collapsed="false">
      <c r="A40" s="0" t="s">
        <v>503</v>
      </c>
      <c r="B40" s="0" t="s">
        <v>504</v>
      </c>
      <c r="C40" s="0" t="s">
        <v>505</v>
      </c>
    </row>
    <row r="41" customFormat="false" ht="15" hidden="false" customHeight="false" outlineLevel="0" collapsed="false">
      <c r="A41" s="0" t="s">
        <v>506</v>
      </c>
      <c r="B41" s="0" t="s">
        <v>507</v>
      </c>
      <c r="C41" s="0" t="s">
        <v>508</v>
      </c>
    </row>
    <row r="42" customFormat="false" ht="15" hidden="false" customHeight="false" outlineLevel="0" collapsed="false">
      <c r="A42" s="0" t="s">
        <v>509</v>
      </c>
      <c r="B42" s="0" t="s">
        <v>510</v>
      </c>
      <c r="C42" s="0" t="s">
        <v>511</v>
      </c>
    </row>
    <row r="43" customFormat="false" ht="15" hidden="false" customHeight="false" outlineLevel="0" collapsed="false">
      <c r="A43" s="0" t="s">
        <v>512</v>
      </c>
      <c r="B43" s="0" t="s">
        <v>513</v>
      </c>
      <c r="C43" s="0" t="s">
        <v>514</v>
      </c>
    </row>
    <row r="44" customFormat="false" ht="15" hidden="false" customHeight="false" outlineLevel="0" collapsed="false">
      <c r="A44" s="0" t="s">
        <v>515</v>
      </c>
      <c r="B44" s="0" t="s">
        <v>516</v>
      </c>
      <c r="C44" s="0" t="s">
        <v>517</v>
      </c>
    </row>
    <row r="45" customFormat="false" ht="15" hidden="false" customHeight="false" outlineLevel="0" collapsed="false">
      <c r="A45" s="0" t="s">
        <v>518</v>
      </c>
      <c r="B45" s="0" t="s">
        <v>519</v>
      </c>
      <c r="C45" s="0" t="s">
        <v>520</v>
      </c>
    </row>
    <row r="46" customFormat="false" ht="15" hidden="false" customHeight="false" outlineLevel="0" collapsed="false">
      <c r="A46" s="0" t="s">
        <v>521</v>
      </c>
      <c r="B46" s="0" t="s">
        <v>522</v>
      </c>
      <c r="C46" s="0" t="s">
        <v>523</v>
      </c>
    </row>
    <row r="47" customFormat="false" ht="15" hidden="false" customHeight="false" outlineLevel="0" collapsed="false">
      <c r="A47" s="0" t="s">
        <v>524</v>
      </c>
      <c r="B47" s="0" t="s">
        <v>525</v>
      </c>
      <c r="C47" s="0" t="s">
        <v>526</v>
      </c>
    </row>
    <row r="48" customFormat="false" ht="15" hidden="false" customHeight="false" outlineLevel="0" collapsed="false">
      <c r="A48" s="0" t="s">
        <v>527</v>
      </c>
      <c r="B48" s="0" t="s">
        <v>528</v>
      </c>
      <c r="C48" s="0" t="s">
        <v>529</v>
      </c>
    </row>
    <row r="49" customFormat="false" ht="15" hidden="false" customHeight="false" outlineLevel="0" collapsed="false">
      <c r="A49" s="0" t="s">
        <v>530</v>
      </c>
      <c r="B49" s="0" t="s">
        <v>531</v>
      </c>
      <c r="C49" s="0" t="s">
        <v>532</v>
      </c>
    </row>
    <row r="50" customFormat="false" ht="15" hidden="false" customHeight="false" outlineLevel="0" collapsed="false">
      <c r="A50" s="0" t="s">
        <v>533</v>
      </c>
      <c r="B50" s="0" t="s">
        <v>534</v>
      </c>
      <c r="C50" s="0" t="s">
        <v>535</v>
      </c>
    </row>
    <row r="51" customFormat="false" ht="15" hidden="false" customHeight="false" outlineLevel="0" collapsed="false">
      <c r="A51" s="0" t="s">
        <v>536</v>
      </c>
      <c r="B51" s="0" t="s">
        <v>537</v>
      </c>
      <c r="C51" s="0" t="s">
        <v>538</v>
      </c>
    </row>
    <row r="52" customFormat="false" ht="15" hidden="false" customHeight="false" outlineLevel="0" collapsed="false">
      <c r="A52" s="0" t="s">
        <v>539</v>
      </c>
      <c r="B52" s="0" t="s">
        <v>540</v>
      </c>
      <c r="C52" s="0" t="s">
        <v>541</v>
      </c>
    </row>
    <row r="53" customFormat="false" ht="15" hidden="false" customHeight="false" outlineLevel="0" collapsed="false">
      <c r="A53" s="0" t="s">
        <v>542</v>
      </c>
      <c r="B53" s="0" t="s">
        <v>543</v>
      </c>
      <c r="C53" s="0" t="s">
        <v>417</v>
      </c>
    </row>
    <row r="54" customFormat="false" ht="15" hidden="false" customHeight="false" outlineLevel="0" collapsed="false">
      <c r="A54" s="0" t="s">
        <v>544</v>
      </c>
      <c r="B54" s="0" t="s">
        <v>545</v>
      </c>
      <c r="C54" s="0" t="s">
        <v>546</v>
      </c>
    </row>
    <row r="55" customFormat="false" ht="15" hidden="false" customHeight="false" outlineLevel="0" collapsed="false">
      <c r="A55" s="0" t="s">
        <v>547</v>
      </c>
      <c r="B55" s="0" t="s">
        <v>548</v>
      </c>
      <c r="C55" s="0" t="s">
        <v>549</v>
      </c>
    </row>
    <row r="56" customFormat="false" ht="15" hidden="false" customHeight="false" outlineLevel="0" collapsed="false">
      <c r="A56" s="0" t="s">
        <v>550</v>
      </c>
      <c r="B56" s="0" t="s">
        <v>551</v>
      </c>
      <c r="C56" s="0" t="s">
        <v>552</v>
      </c>
    </row>
    <row r="57" customFormat="false" ht="15" hidden="false" customHeight="false" outlineLevel="0" collapsed="false">
      <c r="A57" s="0" t="s">
        <v>553</v>
      </c>
      <c r="B57" s="0" t="s">
        <v>554</v>
      </c>
      <c r="C57" s="0" t="s">
        <v>555</v>
      </c>
    </row>
    <row r="58" customFormat="false" ht="15" hidden="false" customHeight="false" outlineLevel="0" collapsed="false">
      <c r="A58" s="0" t="s">
        <v>556</v>
      </c>
      <c r="B58" s="0" t="s">
        <v>557</v>
      </c>
      <c r="C58" s="0" t="s">
        <v>558</v>
      </c>
    </row>
    <row r="59" customFormat="false" ht="15" hidden="false" customHeight="false" outlineLevel="0" collapsed="false">
      <c r="A59" s="0" t="s">
        <v>559</v>
      </c>
      <c r="B59" s="0" t="s">
        <v>560</v>
      </c>
      <c r="C59" s="0" t="s">
        <v>561</v>
      </c>
    </row>
    <row r="60" customFormat="false" ht="15" hidden="false" customHeight="false" outlineLevel="0" collapsed="false">
      <c r="A60" s="0" t="s">
        <v>562</v>
      </c>
      <c r="B60" s="0" t="s">
        <v>563</v>
      </c>
      <c r="C60" s="0" t="s">
        <v>564</v>
      </c>
    </row>
    <row r="61" customFormat="false" ht="15" hidden="false" customHeight="false" outlineLevel="0" collapsed="false">
      <c r="A61" s="0" t="s">
        <v>565</v>
      </c>
      <c r="B61" s="0" t="s">
        <v>566</v>
      </c>
      <c r="C61" s="0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568</v>
      </c>
    </row>
    <row r="2" customFormat="false" ht="15" hidden="false" customHeight="false" outlineLevel="0" collapsed="false">
      <c r="A2" s="0" t="s">
        <v>569</v>
      </c>
      <c r="B2" s="0" t="s">
        <v>570</v>
      </c>
      <c r="C2" s="0" t="s">
        <v>571</v>
      </c>
      <c r="D2" s="0" t="s">
        <v>572</v>
      </c>
      <c r="E2" s="0" t="s">
        <v>573</v>
      </c>
      <c r="F2" s="0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575</v>
      </c>
      <c r="B1" s="0" t="s">
        <v>576</v>
      </c>
      <c r="C1" s="0" t="s">
        <v>69</v>
      </c>
      <c r="D1" s="0" t="s">
        <v>577</v>
      </c>
    </row>
    <row r="2" customFormat="false" ht="15" hidden="false" customHeight="false" outlineLevel="0" collapsed="false">
      <c r="A2" s="0" t="s">
        <v>578</v>
      </c>
      <c r="B2" s="0" t="s">
        <v>579</v>
      </c>
      <c r="C2" s="0" t="s">
        <v>580</v>
      </c>
      <c r="D2" s="0" t="s">
        <v>581</v>
      </c>
    </row>
    <row r="3" customFormat="false" ht="15" hidden="false" customHeight="false" outlineLevel="0" collapsed="false">
      <c r="A3" s="0" t="s">
        <v>582</v>
      </c>
      <c r="B3" s="0" t="s">
        <v>583</v>
      </c>
      <c r="C3" s="0" t="s">
        <v>584</v>
      </c>
      <c r="D3" s="0" t="s">
        <v>585</v>
      </c>
    </row>
    <row r="4" customFormat="false" ht="15" hidden="false" customHeight="false" outlineLevel="0" collapsed="false">
      <c r="A4" s="0" t="s">
        <v>586</v>
      </c>
      <c r="B4" s="0" t="s">
        <v>587</v>
      </c>
      <c r="C4" s="0" t="s">
        <v>584</v>
      </c>
      <c r="D4" s="0" t="s">
        <v>588</v>
      </c>
    </row>
    <row r="5" customFormat="false" ht="15" hidden="false" customHeight="false" outlineLevel="0" collapsed="false">
      <c r="A5" s="0" t="s">
        <v>589</v>
      </c>
      <c r="B5" s="0" t="s">
        <v>590</v>
      </c>
      <c r="C5" s="0" t="s">
        <v>580</v>
      </c>
      <c r="D5" s="0" t="s">
        <v>591</v>
      </c>
    </row>
    <row r="6" customFormat="false" ht="15" hidden="false" customHeight="false" outlineLevel="0" collapsed="false">
      <c r="A6" s="0" t="s">
        <v>592</v>
      </c>
      <c r="B6" s="0" t="s">
        <v>593</v>
      </c>
      <c r="C6" s="0" t="s">
        <v>391</v>
      </c>
      <c r="D6" s="0" t="s">
        <v>594</v>
      </c>
    </row>
    <row r="7" customFormat="false" ht="15" hidden="false" customHeight="false" outlineLevel="0" collapsed="false">
      <c r="A7" s="0" t="s">
        <v>595</v>
      </c>
      <c r="B7" s="0" t="s">
        <v>596</v>
      </c>
      <c r="C7" s="0" t="s">
        <v>580</v>
      </c>
      <c r="D7" s="0" t="s">
        <v>597</v>
      </c>
    </row>
    <row r="8" customFormat="false" ht="15" hidden="false" customHeight="false" outlineLevel="0" collapsed="false">
      <c r="A8" s="0" t="s">
        <v>598</v>
      </c>
      <c r="B8" s="0" t="s">
        <v>599</v>
      </c>
      <c r="C8" s="0" t="s">
        <v>580</v>
      </c>
      <c r="D8" s="0" t="s">
        <v>600</v>
      </c>
    </row>
    <row r="9" customFormat="false" ht="15" hidden="false" customHeight="false" outlineLevel="0" collapsed="false">
      <c r="A9" s="0" t="s">
        <v>601</v>
      </c>
      <c r="B9" s="0" t="s">
        <v>602</v>
      </c>
      <c r="C9" s="0" t="s">
        <v>580</v>
      </c>
      <c r="D9" s="0" t="s">
        <v>603</v>
      </c>
    </row>
    <row r="10" customFormat="false" ht="15" hidden="false" customHeight="false" outlineLevel="0" collapsed="false">
      <c r="A10" s="0" t="s">
        <v>604</v>
      </c>
      <c r="B10" s="0" t="s">
        <v>605</v>
      </c>
      <c r="C10" s="0" t="s">
        <v>584</v>
      </c>
      <c r="D10" s="0" t="s">
        <v>606</v>
      </c>
    </row>
    <row r="11" customFormat="false" ht="15" hidden="false" customHeight="false" outlineLevel="0" collapsed="false">
      <c r="A11" s="0" t="s">
        <v>607</v>
      </c>
      <c r="B11" s="0" t="s">
        <v>608</v>
      </c>
      <c r="C11" s="0" t="s">
        <v>580</v>
      </c>
      <c r="D11" s="0" t="s">
        <v>609</v>
      </c>
    </row>
    <row r="12" customFormat="false" ht="15" hidden="false" customHeight="false" outlineLevel="0" collapsed="false">
      <c r="A12" s="0" t="s">
        <v>610</v>
      </c>
      <c r="B12" s="0" t="s">
        <v>611</v>
      </c>
      <c r="C12" s="0" t="s">
        <v>580</v>
      </c>
      <c r="D12" s="0" t="s">
        <v>612</v>
      </c>
    </row>
    <row r="13" customFormat="false" ht="15" hidden="false" customHeight="false" outlineLevel="0" collapsed="false">
      <c r="A13" s="0" t="s">
        <v>613</v>
      </c>
      <c r="B13" s="0" t="s">
        <v>614</v>
      </c>
      <c r="C13" s="0" t="s">
        <v>580</v>
      </c>
      <c r="D13" s="0" t="s">
        <v>615</v>
      </c>
    </row>
    <row r="14" customFormat="false" ht="15" hidden="false" customHeight="false" outlineLevel="0" collapsed="false">
      <c r="A14" s="0" t="s">
        <v>616</v>
      </c>
      <c r="B14" s="0" t="s">
        <v>617</v>
      </c>
      <c r="C14" s="0" t="s">
        <v>580</v>
      </c>
      <c r="D14" s="0" t="s">
        <v>618</v>
      </c>
    </row>
    <row r="15" customFormat="false" ht="15" hidden="false" customHeight="false" outlineLevel="0" collapsed="false">
      <c r="A15" s="0" t="s">
        <v>619</v>
      </c>
      <c r="B15" s="0" t="s">
        <v>620</v>
      </c>
      <c r="C15" s="0" t="s">
        <v>584</v>
      </c>
      <c r="D15" s="0" t="s">
        <v>621</v>
      </c>
    </row>
    <row r="16" customFormat="false" ht="15" hidden="false" customHeight="false" outlineLevel="0" collapsed="false">
      <c r="A16" s="0" t="s">
        <v>622</v>
      </c>
      <c r="B16" s="0" t="s">
        <v>623</v>
      </c>
      <c r="C16" s="0" t="s">
        <v>580</v>
      </c>
      <c r="D16" s="0" t="s">
        <v>624</v>
      </c>
    </row>
    <row r="17" customFormat="false" ht="15" hidden="false" customHeight="false" outlineLevel="0" collapsed="false">
      <c r="A17" s="0" t="s">
        <v>625</v>
      </c>
      <c r="B17" s="0" t="s">
        <v>626</v>
      </c>
      <c r="C17" s="0" t="s">
        <v>580</v>
      </c>
      <c r="D17" s="0" t="s">
        <v>627</v>
      </c>
    </row>
    <row r="18" customFormat="false" ht="15" hidden="false" customHeight="false" outlineLevel="0" collapsed="false">
      <c r="A18" s="0" t="s">
        <v>628</v>
      </c>
      <c r="B18" s="0" t="s">
        <v>629</v>
      </c>
      <c r="C18" s="0" t="s">
        <v>580</v>
      </c>
      <c r="D18" s="0" t="s">
        <v>630</v>
      </c>
    </row>
    <row r="19" customFormat="false" ht="15" hidden="false" customHeight="false" outlineLevel="0" collapsed="false">
      <c r="A19" s="0" t="s">
        <v>631</v>
      </c>
      <c r="B19" s="0" t="s">
        <v>632</v>
      </c>
      <c r="C19" s="0" t="s">
        <v>580</v>
      </c>
      <c r="D19" s="0" t="s">
        <v>633</v>
      </c>
    </row>
    <row r="20" customFormat="false" ht="15" hidden="false" customHeight="false" outlineLevel="0" collapsed="false">
      <c r="A20" s="0" t="s">
        <v>634</v>
      </c>
      <c r="B20" s="0" t="s">
        <v>635</v>
      </c>
      <c r="C20" s="0" t="s">
        <v>584</v>
      </c>
      <c r="D20" s="0" t="s">
        <v>636</v>
      </c>
    </row>
    <row r="21" customFormat="false" ht="15" hidden="false" customHeight="false" outlineLevel="0" collapsed="false">
      <c r="A21" s="0" t="s">
        <v>637</v>
      </c>
      <c r="B21" s="0" t="s">
        <v>638</v>
      </c>
      <c r="C21" s="0" t="s">
        <v>580</v>
      </c>
      <c r="D21" s="0" t="s">
        <v>639</v>
      </c>
    </row>
    <row r="22" customFormat="false" ht="15" hidden="false" customHeight="false" outlineLevel="0" collapsed="false">
      <c r="A22" s="0" t="s">
        <v>640</v>
      </c>
      <c r="B22" s="0" t="s">
        <v>641</v>
      </c>
      <c r="C22" s="0" t="s">
        <v>584</v>
      </c>
      <c r="D22" s="0" t="s">
        <v>642</v>
      </c>
    </row>
    <row r="23" customFormat="false" ht="15" hidden="false" customHeight="false" outlineLevel="0" collapsed="false">
      <c r="A23" s="0" t="s">
        <v>643</v>
      </c>
      <c r="B23" s="0" t="s">
        <v>644</v>
      </c>
      <c r="C23" s="0" t="s">
        <v>584</v>
      </c>
      <c r="D23" s="0" t="s">
        <v>645</v>
      </c>
    </row>
    <row r="24" customFormat="false" ht="15" hidden="false" customHeight="false" outlineLevel="0" collapsed="false">
      <c r="A24" s="0" t="s">
        <v>646</v>
      </c>
      <c r="B24" s="0" t="s">
        <v>647</v>
      </c>
      <c r="C24" s="0" t="s">
        <v>584</v>
      </c>
      <c r="D24" s="0" t="s">
        <v>648</v>
      </c>
    </row>
    <row r="25" customFormat="false" ht="15" hidden="false" customHeight="false" outlineLevel="0" collapsed="false">
      <c r="A25" s="0" t="s">
        <v>649</v>
      </c>
      <c r="B25" s="0" t="s">
        <v>650</v>
      </c>
      <c r="C25" s="0" t="s">
        <v>580</v>
      </c>
      <c r="D25" s="0" t="s">
        <v>651</v>
      </c>
    </row>
    <row r="26" customFormat="false" ht="15" hidden="false" customHeight="false" outlineLevel="0" collapsed="false">
      <c r="A26" s="0" t="s">
        <v>652</v>
      </c>
      <c r="B26" s="0" t="s">
        <v>653</v>
      </c>
      <c r="C26" s="0" t="s">
        <v>584</v>
      </c>
      <c r="D26" s="0" t="s">
        <v>654</v>
      </c>
    </row>
    <row r="27" customFormat="false" ht="15" hidden="false" customHeight="false" outlineLevel="0" collapsed="false">
      <c r="A27" s="0" t="s">
        <v>655</v>
      </c>
      <c r="B27" s="0" t="s">
        <v>656</v>
      </c>
      <c r="C27" s="0" t="s">
        <v>584</v>
      </c>
      <c r="D27" s="0" t="s">
        <v>657</v>
      </c>
    </row>
    <row r="28" customFormat="false" ht="15" hidden="false" customHeight="false" outlineLevel="0" collapsed="false">
      <c r="A28" s="0" t="s">
        <v>658</v>
      </c>
      <c r="B28" s="0" t="s">
        <v>659</v>
      </c>
      <c r="C28" s="0" t="s">
        <v>584</v>
      </c>
      <c r="D28" s="0" t="s">
        <v>660</v>
      </c>
    </row>
    <row r="29" customFormat="false" ht="15" hidden="false" customHeight="false" outlineLevel="0" collapsed="false">
      <c r="A29" s="0" t="s">
        <v>661</v>
      </c>
      <c r="B29" s="0" t="s">
        <v>662</v>
      </c>
      <c r="C29" s="0" t="s">
        <v>584</v>
      </c>
      <c r="D29" s="0" t="s">
        <v>663</v>
      </c>
    </row>
    <row r="30" customFormat="false" ht="15" hidden="false" customHeight="false" outlineLevel="0" collapsed="false">
      <c r="A30" s="0" t="s">
        <v>664</v>
      </c>
      <c r="B30" s="0" t="s">
        <v>665</v>
      </c>
      <c r="C30" s="0" t="s">
        <v>391</v>
      </c>
      <c r="D30" s="0" t="s">
        <v>666</v>
      </c>
    </row>
    <row r="31" customFormat="false" ht="15" hidden="false" customHeight="false" outlineLevel="0" collapsed="false">
      <c r="A31" s="0" t="s">
        <v>667</v>
      </c>
      <c r="B31" s="0" t="s">
        <v>668</v>
      </c>
      <c r="C31" s="0" t="s">
        <v>584</v>
      </c>
      <c r="D31" s="0" t="s">
        <v>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670</v>
      </c>
    </row>
    <row r="2" customFormat="false" ht="15" hidden="false" customHeight="false" outlineLevel="0" collapsed="false">
      <c r="A2" s="0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2026-10-30T19:33:28Z</dcterms:created>
  <dc:creator>openpyxl</dc:creator>
  <dc:description/>
  <dc:language>en-US</dc:language>
  <cp:lastModifiedBy/>
  <dcterms:modified xsi:type="dcterms:W3CDTF">2026-10-30T19:33:28Z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