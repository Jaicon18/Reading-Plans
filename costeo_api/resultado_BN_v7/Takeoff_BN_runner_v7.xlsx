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<sst xmlns="http://schemas.openxmlformats.org/spreadsheetml/2006/main" count="953" uniqueCount="663">
  <si>
    <t xml:space="preserve">Barnes &amp; Noble - Colorado Springs, CO (3173 Cinema Point)   |   METAL FRAMING &amp; DRYWALL TAKEOFF</t>
  </si>
  <si>
    <t xml:space="preserve">Bid set: Barnes _ Noble - Colorado Springs, CO - COMBINED BID SET - 250918.pdf   ·   2026-10-24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</si>
  <si>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</si>
  <si>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</si>
  <si>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</si>
  <si>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</si>
  <si>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</si>
  <si>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</si>
  <si>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</si>
  <si>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</si>
  <si>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</si>
  <si>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</si>
  <si>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</si>
  <si>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</si>
  <si>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</si>
  <si>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</si>
  <si>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</si>
  <si>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</si>
  <si>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</si>
  <si>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</si>
  <si>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</si>
  <si>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(not used in this take-off: heights are per wall in the Partition Takeoff).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</si>
  <si>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</si>
  <si>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</si>
  <si>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</si>
  <si>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</si>
  <si>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</si>
  <si>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</si>
  <si>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</si>
  <si>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</si>
  <si>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</si>
  <si>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</si>
  <si>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</si>
  <si>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</si>
  <si>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</si>
  <si>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</si>
  <si>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YIELD: estimator 1.2 / SF; products per A-410 note 8.E (Type S 25/20 ga, Type S-12 18/16/14 ga) and A-001A Div 09 A.5.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</si>
  <si>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</si>
  <si>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</si>
  <si>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</si>
  <si>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A-410 note 8.F spacing, one row @ 16" O.C. = 1.333 ft per pin (estimator decision 2026-10-27, RFI-ACC-slab-pins B).</t>
  </si>
  <si>
    <t xml:space="preserve">Joint compound (lb per SF)</t>
  </si>
  <si>
    <t xml:space="preserve">YIELD: 72 lb per 1,000 SF; Level 4 finish printed on A-001A Div 09 A.8 "PROVIDE AT A MINIMUM A LEVEL 4 FINISH".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</si>
  <si>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</si>
  <si>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</si>
  <si>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</si>
  <si>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</si>
  <si>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2x lumber stock length (ft)</t>
  </si>
  <si>
    <t xml:space="preserve">2x wood / FRT blocking: 16 ft sticks (estimator decision 2026-10-27).</t>
  </si>
  <si>
    <t xml:space="preserve">Drywall grid main tee length (ft)</t>
  </si>
  <si>
    <t xml:space="preserve">USG DGLW26 main tee (manufacturer length).</t>
  </si>
  <si>
    <t xml:space="preserve">Drywall grid cross tee length (ft)</t>
  </si>
  <si>
    <t xml:space="preserve">USG DGLW424 cross tee (manufacturer length).</t>
  </si>
  <si>
    <t xml:space="preserve">Grid channel / angle molding length (ft)</t>
  </si>
  <si>
    <t xml:space="preserve">USG DGCM27 / DGWM24 molding (manufacturer length).</t>
  </si>
  <si>
    <t xml:space="preserve">FRP panel (SF per panel)</t>
  </si>
  <si>
    <t xml:space="preserve">FRP-1 panel 4'x10' (estimator to confirm the panel size).</t>
  </si>
  <si>
    <t xml:space="preserve">ORGANIZED PARTITION TAKEOFF - Barnes &amp; Noble - Colorado Springs, CO (3173 Cinema Point)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</si>
  <si>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</si>
  <si>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</si>
  <si>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</si>
  <si>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</si>
  <si>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</si>
  <si>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</si>
  <si>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</si>
  <si>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</si>
  <si>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</si>
  <si>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</si>
  <si>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</si>
  <si>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</si>
  <si>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2</t>
  </si>
  <si>
    <t xml:space="preserve">2  #W2-01+W2-02  -  STORAGE / SALES AREA + STORAGE</t>
  </si>
  <si>
    <t xml:space="preserve">W2-01+W2-02</t>
  </si>
  <si>
    <t xml:space="preserve">3-5/8" 20</t>
  </si>
  <si>
    <t xml:space="preserve">STORAGE / SALES AREA + STORAGE | Board by face: W2-01 A STORAGE 49.2 x 25.29 ft (5/8 type X); W2-01 B SALES AREA 49.2 x 25.29 ft (5/8 type X); W2-02 A STORAGE 5.41 x 25.29 ft (5/8 type X)</t>
  </si>
  <si>
    <t xml:space="preserve">2/A-410</t>
  </si>
  <si>
    <t xml:space="preserve">[DERIVED]</t>
  </si>
  <si>
    <t xml:space="preserve">2  #W2-03  -  Stock Room 111 / Sales Area 101 / Corridor 110</t>
  </si>
  <si>
    <t xml:space="preserve">W2-03</t>
  </si>
  <si>
    <t xml:space="preserve">Stock Room 111 / Sales Area 101 / Corridor 110 | Board by face: A Stock Room 111 94.25 x 25 ft (5/8 type X); B Sales Area 101 81.12 x 25 ft (5/8 type X); B Corridor 110 13.12 x 9.5 ft (5/8 type X)</t>
  </si>
  <si>
    <t xml:space="preserve">2  #W2-04  -  Sales Area 101 / Corridor 110 / Break Room 106 / Manager's Office 105</t>
  </si>
  <si>
    <t xml:space="preserve">W2-04</t>
  </si>
  <si>
    <t xml:space="preserve">Sales Area 101 / Corridor 110 / Break Room 106 / Manager's Office 105 | Board by face: A Sales Area 101 57.11 x 25 ft (5/8 type X); B Corridor 110 29.22 x 9.5 ft (5/8 type X); B Break Room 106 19.15 x 9.5 ft (5/8 type X); B Manager's Office 105 8.74 x 9.5 ft (5/8 type X)</t>
  </si>
  <si>
    <t xml:space="preserve">2  #W2-05  -  Corridor 110 / Women's Restroom 109</t>
  </si>
  <si>
    <t xml:space="preserve">W2-05</t>
  </si>
  <si>
    <t xml:space="preserve">Corridor 110 / Women's Restroom 109 | Board by face: A Corridor 110 12.92 x 9.5 ft (5/8 type X); B Corridor 110 5.41 x 9.5 ft (5/8 type X); B Women's Restroom 109 7.51 x 9 ft (5/8 type X WR)</t>
  </si>
  <si>
    <t xml:space="preserve">2  #W2-06.2+W2-06.1  -  WOMENS RESTROOM</t>
  </si>
  <si>
    <t xml:space="preserve">W2-06.2+W2-06.1</t>
  </si>
  <si>
    <t xml:space="preserve">WOMENS RESTROOM | Board by face: W2-06.2 A WOMENS RESTROOM 2.22 x 9 ft (5/8 type X WR); W2-06.2 B WOMENS RESTROOM 2.22 x 9 ft (5/8 type X WR); W2-06.1 A WOMENS RESTROOM 3.08 x 9 ft (5/8 type X WR); W2-06.1 B WOMENS RESTROOM 3.08 x 9 ft (5/8 type X WR)</t>
  </si>
  <si>
    <t xml:space="preserve">2  #W2-06.3  -  Corridor 110 / Women's Restroom 109 / Men's Restroom 108</t>
  </si>
  <si>
    <t xml:space="preserve">W2-06.3</t>
  </si>
  <si>
    <t xml:space="preserve">Corridor 110 / Women's Restroom 109 / Men's Restroom 108 | Board by face: A Corridor 110 4.04 x 9.5 ft (5/8 type X WR); B Women's Restroom 109 2 x 9 ft (5/8 type X WR); B Men's Restroom 108 2.04 x 9 ft (5/8 type X WR)</t>
  </si>
  <si>
    <t xml:space="preserve">2  #W2-06.4+W2-06.5  -  WOMENS RESTROOM + Corridor 110 / Men's Restroom 108 / Janitor Closet 107</t>
  </si>
  <si>
    <t xml:space="preserve">W2-06.4+W2-06.5</t>
  </si>
  <si>
    <t xml:space="preserve">WOMENS RESTROOM + Corridor 110 / Men's Restroom 108 / Janitor Closet 107 | Board by face: W2-06.4 A WOMENS RESTROOM 2.22 x 9 ft (5/8 type X WR); W2-06.4 B WOMENS RESTROOM 2.22 x 9 ft (5/8 type X WR); W2-06.5 A Corridor 110 3.04 x 9.5 ft (5/8 type X); W2-06.5 B Men's Restroom 108 1.85 x 9 ft (5/8 type X WR); W2-06.5 B Janitor Closet 107 1.19 x 25 ft (5/8 type X WR)</t>
  </si>
  <si>
    <t xml:space="preserve">2  #W2-07  -  MENS RESTROOM / JANITOR CLOSET</t>
  </si>
  <si>
    <t xml:space="preserve">W2-07</t>
  </si>
  <si>
    <t xml:space="preserve">MENS RESTROOM / JANITOR CLOSET | Board by face: A MENS RESTROOM 7.51 x 9 ft (5/8 type X WR); B JANITOR CLOSET 7.51 x 25.29 ft (5/8 type X WR)</t>
  </si>
  <si>
    <t xml:space="preserve">2  #W2-08  -  Corridor 110 / Janitor Closet 107 / Break Room 106</t>
  </si>
  <si>
    <t xml:space="preserve">W2-08</t>
  </si>
  <si>
    <t xml:space="preserve">Corridor 110 / Janitor Closet 107 / Break Room 106 | Board by face: A Corridor 110 3.94 x 9.5 ft (5/8 type X); A Janitor Closet 107 5.48 x 25 ft (5/8 type X WR); B Break Room 106 9.42 x 9.5 ft (5/8 type X)</t>
  </si>
  <si>
    <t xml:space="preserve">2  #W2-09  -  BREAK ROOM / MANAGERS OFFICE</t>
  </si>
  <si>
    <t xml:space="preserve">W2-09</t>
  </si>
  <si>
    <t xml:space="preserve">BREAK ROOM / MANAGERS OFFICE | Board by face: A BREAK ROOM 9.42 x 9.5 ft (5/8 type X); B MANAGERS OFFICE 9.42 x 9.5 ft (5/8 type X)</t>
  </si>
  <si>
    <t xml:space="preserve">SUBTOTAL TYPE 2</t>
  </si>
  <si>
    <t xml:space="preserve">TYPE 5</t>
  </si>
  <si>
    <t xml:space="preserve">5  #W5-01  -  WOMENS RESTROOM / MENS RESTROOM</t>
  </si>
  <si>
    <t xml:space="preserve">W5-01</t>
  </si>
  <si>
    <t xml:space="preserve">6" 20</t>
  </si>
  <si>
    <t xml:space="preserve">WOMENS RESTROOM / MENS RESTROOM | Board by face: A WOMENS RESTROOM 5.7 x 9 ft (5/8 type X WR); B MENS RESTROOM 5.7 x 9 ft (5/8 type X WR)</t>
  </si>
  <si>
    <t xml:space="preserve">5/A-410</t>
  </si>
  <si>
    <t xml:space="preserve">SUBTOTAL TYPE 5</t>
  </si>
  <si>
    <t xml:space="preserve">TYPE 3</t>
  </si>
  <si>
    <t xml:space="preserve">3  #W3-01  -  SALES AREA</t>
  </si>
  <si>
    <t xml:space="preserve">W3-01</t>
  </si>
  <si>
    <t xml:space="preserve">SALES AREA</t>
  </si>
  <si>
    <t xml:space="preserve">3/A-410</t>
  </si>
  <si>
    <t xml:space="preserve">3  #W3-02  -  SALES AREA</t>
  </si>
  <si>
    <t xml:space="preserve">W3-02</t>
  </si>
  <si>
    <t xml:space="preserve">3  #W3-03  -  SALES AREA</t>
  </si>
  <si>
    <t xml:space="preserve">W3-03</t>
  </si>
  <si>
    <t xml:space="preserve">3  #W3-04  -  SALES AREA</t>
  </si>
  <si>
    <t xml:space="preserve">W3-04</t>
  </si>
  <si>
    <t xml:space="preserve">3  #W3-05  -  SALES AREA</t>
  </si>
  <si>
    <t xml:space="preserve">W3-05</t>
  </si>
  <si>
    <t xml:space="preserve">3  #W3-06  -  SALES AREA</t>
  </si>
  <si>
    <t xml:space="preserve">W3-06</t>
  </si>
  <si>
    <t xml:space="preserve">SUBTOTAL TYPE 3</t>
  </si>
  <si>
    <t xml:space="preserve">TYPE 4</t>
  </si>
  <si>
    <t xml:space="preserve">4  #W4-28a+W4-31a+C-4-LEGL+C-4-LEGR  -  SALES AREA</t>
  </si>
  <si>
    <t xml:space="preserve">W4-28a+W4-31a+C-4-LEGL+C-4-LEGR</t>
  </si>
  <si>
    <t xml:space="preserve">SALES AREA | Board by face: W4-28a B SALES AREA 9 x 7.5 ft (5/8 type X); W4-31a B SALES AREA 9 x 7.5 ft (5/8 type X); C-4-LEGL A SALES AREA 23.42 x 7.5 ft (5/8 type X); C-4-LEGL B SALES AREA 23.42 x 7.5 ft (5/8 type X); C-4-LEGR A SALES AREA 23.42 x 7.5 ft (5/8 type X); C-4-LEGR B SALES AREA 23.42 x 7.5 ft (5/8 type X)</t>
  </si>
  <si>
    <t xml:space="preserve">4/A-410</t>
  </si>
  <si>
    <t xml:space="preserve">SUBTOTAL TYPE 4</t>
  </si>
  <si>
    <t xml:space="preserve">TYPE H1</t>
  </si>
  <si>
    <t xml:space="preserve">H1  #C-H1-N  -  Sales Area 101 / Grab &amp; Go</t>
  </si>
  <si>
    <t xml:space="preserve">C-H1-N</t>
  </si>
  <si>
    <t xml:space="preserve">Sales Area 101 / Grab &amp; Go | Board by face: A Sales Area 101 25.43 x 25 ft (5/8 type X); A Grab &amp; Go 4.01 x 7.58 ft (5/8 type X)</t>
  </si>
  <si>
    <t xml:space="preserve">G/A-221</t>
  </si>
  <si>
    <t xml:space="preserve">H1  #C-H1-W  -  DEMISING / ADJACENT TENANT / CAFE WORKROOM</t>
  </si>
  <si>
    <t xml:space="preserve">C-H1-W</t>
  </si>
  <si>
    <t xml:space="preserve">DEMISING / ADJACENT TENANT / CAFE WORKROOM | Board by face: A DEMISING / ADJACENT TENANT 12.25 x 25.29 ft (5/8 type X); B CAFE WORKROOM 12.25 x 10.5 ft (5/8 type X)</t>
  </si>
  <si>
    <t xml:space="preserve">SUBTOTAL TYPE H1</t>
  </si>
  <si>
    <t xml:space="preserve">TYPE H2A</t>
  </si>
  <si>
    <t xml:space="preserve">H2A  #C-H2a  -  CAFE WORKROOM / SALES AREA</t>
  </si>
  <si>
    <t xml:space="preserve">C-H2a</t>
  </si>
  <si>
    <t xml:space="preserve">CAFE WORKROOM / SALES AREA | Board by face: B CAFE WORKROOM 4.5 x 10.5 ft (5/8 type X); A SALES AREA 4.5 x 25.29 ft (5/8 type X)</t>
  </si>
  <si>
    <t xml:space="preserve">SUBTOTAL TYPE H2A</t>
  </si>
  <si>
    <t xml:space="preserve">TYPE H2B</t>
  </si>
  <si>
    <t xml:space="preserve">H2B  #C-H2b  -  CAFE WORKROOM</t>
  </si>
  <si>
    <t xml:space="preserve">C-H2b</t>
  </si>
  <si>
    <t xml:space="preserve">CAFE WORKROOM | Board by face: A CAFE WORKROOM 1.97 x 10.5 ft (5/8 type X); B CAFE WORKROOM 1.97 x 10.5 ft (5/8 type X)</t>
  </si>
  <si>
    <t xml:space="preserve">SUBTOTAL TYPE H2B</t>
  </si>
  <si>
    <t xml:space="preserve">TYPE H3A</t>
  </si>
  <si>
    <t xml:space="preserve">H3A  #C-H3a  -  GRAB &amp; GO / Sales Area 101</t>
  </si>
  <si>
    <t xml:space="preserve">C-H3a</t>
  </si>
  <si>
    <t xml:space="preserve">GRAB &amp; GO / Sales Area 101 | Board by face: B GRAB &amp; GO 4.03 x 7.58 ft (5/8 type X); A Sales Area 101 4.03 x 10 ft (5/8 type X)</t>
  </si>
  <si>
    <t xml:space="preserve">H/A-221</t>
  </si>
  <si>
    <t xml:space="preserve">SUBTOTAL TYPE H3A</t>
  </si>
  <si>
    <t xml:space="preserve">TYPE H3B</t>
  </si>
  <si>
    <t xml:space="preserve">H3B  #C-H3b  -  CAFE WORKROOM / GRAB &amp; GO</t>
  </si>
  <si>
    <t xml:space="preserve">C-H3b</t>
  </si>
  <si>
    <t xml:space="preserve">CAFE WORKROOM / GRAB &amp; GO | Board by face: B CAFE WORKROOM 6.22 x 10.5 ft (5/8 type X); A GRAB &amp; GO 6.22 x 7.58 ft (5/8 type X)</t>
  </si>
  <si>
    <t xml:space="preserve">SUBTOTAL TYPE H3B</t>
  </si>
  <si>
    <t xml:space="preserve">TYPE E2</t>
  </si>
  <si>
    <t xml:space="preserve">E2  #C-E2  -  CAFE WORKROOM / DEMISING / ADJACENT TENANT</t>
  </si>
  <si>
    <t xml:space="preserve">C-E2</t>
  </si>
  <si>
    <t xml:space="preserve">CAFE WORKROOM / DEMISING / ADJACENT TENANT | Board by face: A CAFE WORKROOM 29.44 x 10.5 ft (5/8 type X); B DEMISING / ADJACENT TENANT 29.44 x 25.29 ft (5/8 type X)</t>
  </si>
  <si>
    <t xml:space="preserve">E/A-221</t>
  </si>
  <si>
    <t xml:space="preserve">SUBTOTAL TYPE E2</t>
  </si>
  <si>
    <t xml:space="preserve">TYPE E1</t>
  </si>
  <si>
    <t xml:space="preserve">E1  #C-E1-B  -  CAFE SALES</t>
  </si>
  <si>
    <t xml:space="preserve">C-E1-B</t>
  </si>
  <si>
    <t xml:space="preserve">CAFE SALES | Board by face: A CAFE SALES 3.17 x 11.5 ft (5/8 type X)</t>
  </si>
  <si>
    <t xml:space="preserve">E1  #C-E1-P.2  -  CAFE WORKROOM / CAFE</t>
  </si>
  <si>
    <t xml:space="preserve">C-E1-P.2</t>
  </si>
  <si>
    <t xml:space="preserve">CAFE WORKROOM / CAFE | Board by face: A CAFE WORKROOM 2.67 x 12 ft (5/8 type X); B CAFE 2.67 x 25.29 ft (5/8 type X)</t>
  </si>
  <si>
    <t xml:space="preserve">E1  #C-E1-S  -  Cafe 103 / concealed: behind the Workroom door pier and inside the SE box (no cement board)</t>
  </si>
  <si>
    <t xml:space="preserve">C-E1-S</t>
  </si>
  <si>
    <t xml:space="preserve">Cafe 103 / concealed: behind the Workroom door pier and inside the SE box (no cement board) | Board by face: A Cafe 103 15.39 x 12 ft (1/2 cement board); A concealed: behind the Workroom door pier and inside the SE box (no cement board) 3.61 x 0 ft (1/2 cement board)</t>
  </si>
  <si>
    <t xml:space="preserve">SUBTOTAL TYPE E1</t>
  </si>
  <si>
    <t xml:space="preserve">TYPE F</t>
  </si>
  <si>
    <t xml:space="preserve">F  #C-F  -  CAFE SALES COUNTER</t>
  </si>
  <si>
    <t xml:space="preserve">C-F</t>
  </si>
  <si>
    <t xml:space="preserve">CAFE SALES COUNTER | Board by face: A CAFE SALES COUNTER 3.25 x 2.71 ft (1/2 cement board)</t>
  </si>
  <si>
    <t xml:space="preserve">F/A-221</t>
  </si>
  <si>
    <t xml:space="preserve">SUBTOTAL TYPE F</t>
  </si>
  <si>
    <t xml:space="preserve">TYPE I</t>
  </si>
  <si>
    <t xml:space="preserve">I  #C-I  -  CAFE SALES</t>
  </si>
  <si>
    <t xml:space="preserve">C-I</t>
  </si>
  <si>
    <t xml:space="preserve">CAFE SALES | Board by face: A CAFE SALES 3.17 x 10 ft (5/8 type X)</t>
  </si>
  <si>
    <t xml:space="preserve">I/A-221</t>
  </si>
  <si>
    <t xml:space="preserve">I  #C-I-1  -  SALES AREA / CAFE WORKROOM</t>
  </si>
  <si>
    <t xml:space="preserve">C-I-1</t>
  </si>
  <si>
    <t xml:space="preserve">SALES AREA / CAFE WORKROOM | Board by face: A SALES AREA 1 x 25.29 ft (5/8 type X); B CAFE WORKROOM 1 x 10.5 ft (5/8 type X)</t>
  </si>
  <si>
    <t xml:space="preserve">I  #C-I-GGE  -  SALES AREA</t>
  </si>
  <si>
    <t xml:space="preserve">C-I-GGE</t>
  </si>
  <si>
    <t xml:space="preserve">I  #C-I-H1E  -  CAFE WORKROOM</t>
  </si>
  <si>
    <t xml:space="preserve">C-I-H1E</t>
  </si>
  <si>
    <t xml:space="preserve">CAFE WORKROOM</t>
  </si>
  <si>
    <t xml:space="preserve">SUBTOTAL TYPE I</t>
  </si>
  <si>
    <t xml:space="preserve">TYPE A</t>
  </si>
  <si>
    <t xml:space="preserve">A  #C-A-1  -  CAFE SALES COUNTER</t>
  </si>
  <si>
    <t xml:space="preserve">C-A-1</t>
  </si>
  <si>
    <t xml:space="preserve">CAFE SALES COUNTER</t>
  </si>
  <si>
    <t xml:space="preserve">A/A-221</t>
  </si>
  <si>
    <t xml:space="preserve">A  #C-A-2  -  CAFE SALES COUNTER</t>
  </si>
  <si>
    <t xml:space="preserve">C-A-2</t>
  </si>
  <si>
    <t xml:space="preserve">A  #C-A-3  -  CAFE SALES COUNTER</t>
  </si>
  <si>
    <t xml:space="preserve">C-A-3</t>
  </si>
  <si>
    <t xml:space="preserve">SUBTOTAL TYPE A</t>
  </si>
  <si>
    <t xml:space="preserve">TYPE B</t>
  </si>
  <si>
    <t xml:space="preserve">B  #C-B  -  CAFE SALES COUNTER</t>
  </si>
  <si>
    <t xml:space="preserve">C-B</t>
  </si>
  <si>
    <t xml:space="preserve">B/A-221</t>
  </si>
  <si>
    <t xml:space="preserve">SUBTOTAL TYPE B</t>
  </si>
  <si>
    <t xml:space="preserve">TYPE D</t>
  </si>
  <si>
    <t xml:space="preserve">D  #C-D  -  CAFE SALES COUNTER</t>
  </si>
  <si>
    <t xml:space="preserve">C-D</t>
  </si>
  <si>
    <t xml:space="preserve">D/A-221</t>
  </si>
  <si>
    <t xml:space="preserve">SUBTOTAL TYPE D</t>
  </si>
  <si>
    <t xml:space="preserve">TYPE C</t>
  </si>
  <si>
    <t xml:space="preserve">C  #C-C  -  CAFE SALES COUNTER</t>
  </si>
  <si>
    <t xml:space="preserve">C-C</t>
  </si>
  <si>
    <t xml:space="preserve">C/A-221</t>
  </si>
  <si>
    <t xml:space="preserve">SUBTOTAL TYPE C</t>
  </si>
  <si>
    <t xml:space="preserve">TYPE C25</t>
  </si>
  <si>
    <t xml:space="preserve">C25  #CW-01  -  SALES AREA</t>
  </si>
  <si>
    <t xml:space="preserve">CW-01</t>
  </si>
  <si>
    <t xml:space="preserve">C25/A-101</t>
  </si>
  <si>
    <t xml:space="preserve">C25  #CW-02  -  SALES AREA</t>
  </si>
  <si>
    <t xml:space="preserve">CW-02</t>
  </si>
  <si>
    <t xml:space="preserve">C25  #CW-03  -  SALES AREA</t>
  </si>
  <si>
    <t xml:space="preserve">CW-03</t>
  </si>
  <si>
    <t xml:space="preserve">C25  #CW-04  -  SALES AREA</t>
  </si>
  <si>
    <t xml:space="preserve">CW-04</t>
  </si>
  <si>
    <t xml:space="preserve">C25  #CW-05  -  SALES AREA</t>
  </si>
  <si>
    <t xml:space="preserve">CW-05</t>
  </si>
  <si>
    <t xml:space="preserve">C25  #CW-06  -  SALES AREA</t>
  </si>
  <si>
    <t xml:space="preserve">CW-06</t>
  </si>
  <si>
    <t xml:space="preserve">C25  #CW-07  -  SALES AREA</t>
  </si>
  <si>
    <t xml:space="preserve">CW-07</t>
  </si>
  <si>
    <t xml:space="preserve">C25  #CW-08  -  SALES AREA</t>
  </si>
  <si>
    <t xml:space="preserve">CW-08</t>
  </si>
  <si>
    <t xml:space="preserve">C25  #CW-09  -  SALES AREA</t>
  </si>
  <si>
    <t xml:space="preserve">CW-09</t>
  </si>
  <si>
    <t xml:space="preserve">SUBTOTAL TYPE C25</t>
  </si>
  <si>
    <t xml:space="preserve">TOTAL - PARTITIONS (GRAND TOTAL)</t>
  </si>
  <si>
    <t xml:space="preserve">TYPE OTHER FRAMING (NOT A PARTITION)</t>
  </si>
  <si>
    <t xml:space="preserve">soffit_side  #SS-N  -  CAFE SALES</t>
  </si>
  <si>
    <t xml:space="preserve">SS-N</t>
  </si>
  <si>
    <t xml:space="preserve">CAFE SALES | Board by face: A CAFE SALES 22.78 x 10 ft (5/8 type X)</t>
  </si>
  <si>
    <t xml:space="preserve">4/A-221</t>
  </si>
  <si>
    <t xml:space="preserve">soffit_side  #SS-E  -  CAFE SALES</t>
  </si>
  <si>
    <t xml:space="preserve">SS-E</t>
  </si>
  <si>
    <t xml:space="preserve">CAFE SALES | Board by face: A CAFE SALES 10.12 x 10 ft (5/8 type X)</t>
  </si>
  <si>
    <t xml:space="preserve">soffit_side  #SS-GG  -  GRAB &amp; GO</t>
  </si>
  <si>
    <t xml:space="preserve">SS-GG</t>
  </si>
  <si>
    <t xml:space="preserve">GRAB &amp; GO</t>
  </si>
  <si>
    <t xml:space="preserve">3/A-221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</si>
  <si>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</si>
  <si>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</si>
  <si>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</si>
  <si>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</si>
  <si>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</si>
  <si>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</si>
  <si>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</si>
  <si>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</si>
  <si>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</si>
  <si>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</si>
  <si>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</si>
  <si>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</si>
  <si>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Bottom track 3-5/8"</t>
  </si>
  <si>
    <t xml:space="preserve">LF</t>
  </si>
  <si>
    <t xml:space="preserve">run 10 ft</t>
  </si>
  <si>
    <t xml:space="preserve">N/SHEET: 2/A-410, 3/A-410, 4/A-410, C25/A-101, G/A-221, F/A-221, A/A-221, B/A-221, D/A-221, C/A-221 | Breakdown [DERIVED]: W2-01 49.2 + W2-02 5.41 + W2-03 94.25 + W2-04 57.11 + W2-05 12.92 + W2-06.1 3.08 + W2-06.2 2.22 + W2-06.3 4.04 + W2-06.4 2.22 + W2-06.5 3.04 + W2-07 7.51 + W2-08 9.42 + W2-09 9.42 + W3-01 3.67 + W3-02 12 + W3-05 3.67 + W3-03 12 + W3-06 3.67 + W3-04 3.67 + W4-28a 9 + W4-31a 9 + CW-01 8 + CW-02 8 + CW-03 8 + CW-04 8 + CW-05 8 + CW-06 8 + CW-07 8 + CW-08 8 + CW-09 8 + C-H2a 4.5 + C-H2b 1.97 + C-F 3.25 + C-A-1 10.39 + C-A-2 4.15 + C-A-3 6.33 + C-B 3.17 + C-D 6.17 + C-C 3.17 + C-4-LEGL 23.42 + C-4-LEGR 23.42 = 478.46 LF (wall length x rows) | Track gauge = stud gauge (A-410 schedule note 2): 20 478.46 LF</t>
  </si>
  <si>
    <t xml:space="preserve">Bottom track 6"</t>
  </si>
  <si>
    <t xml:space="preserve">N/SHEET: 5/A-410, G/A-221, H/A-221, E/A-221, I/A-221 | Breakdown [DERIVED]: W5-01 5.7 + C-H1-N 29.44 + C-H1-W 12.25 + C-H3a 4.03 + C-H3b 6.22 + C-E2 29.44 + C-E1-S 19 + C-E1-P.2 2.67 + C-E1-B 3.17 + C-I 3.17 + C-I-1 1 + C-I-GGE 0.5 + C-I-H1E 0.53 = 117.12 LF (wall length x rows) | Track gauge = stud gauge (A-410 schedule note 2): 20 117.12 LF</t>
  </si>
  <si>
    <t xml:space="preserve">Top / deflection track 3-5/8"</t>
  </si>
  <si>
    <t xml:space="preserve">Top / deflection track 6"</t>
  </si>
  <si>
    <t xml:space="preserve">8" stud (all gauges)</t>
  </si>
  <si>
    <t xml:space="preserve">stick 20 ft</t>
  </si>
  <si>
    <t xml:space="preserve">N/SHEET: 8/A-210 | Breakdown [DERIVED]: VEST-BOX-BEAM-STUD 25.33 = 25.33 LF (per wall: field + jambs + nodes + cripples x height; plus listed elements)</t>
  </si>
  <si>
    <t xml:space="preserve">6" metal stud (LF of material)</t>
  </si>
  <si>
    <t xml:space="preserve">N/SHEET: 5/A-410, G/A-221, H/A-221, E/A-221, I/A-221, 3/A-221 | Breakdown [DERIVED]: W5-01 177.03 + C-H1-N 657.54 + C-H1-W 303.48 + C-H3a 151.74 + C-H3b 202.32 + C-E2 632.25 + C-E1-S 404.64 + C-E1-P.2 101.16 + C-E1-B 126.45 + C-I 101.16 + SS-GG 109.26 + C-I-1 50.58 + C-I-GGE 50.58 + C-I-H1E 50.58 = 3,118.77 LF (per wall: field + jambs + nodes + cripples x height; plus listed elements) | By gauge (A-410 Metal Stud Schedule): 20 3,118.77 LF</t>
  </si>
  <si>
    <t xml:space="preserve">3-5/8" metal stud (LF of material)</t>
  </si>
  <si>
    <t xml:space="preserve">N/SHEET: 2/A-410, 3/A-410, 4/A-410, G/A-221, F/A-221, A/A-221, B/A-221, D/A-221, C/A-221, 4/A-221, C25/A-101, 7/A-210 | Breakdown [DERIVED]: W2-01 986.31 + W2-02 151.74 + W2-03 1,820.88 + W2-04 1,399.53 + W2-05 365.35 + W2-06.1 101.16 + W2-06.2 126.45 + W2-06.3 151.74 + W2-06.4 101.16 + W2-06.5 101.16 + W2-07 264.19 + W2-08 314.77 + W2-09 227.61 + W3-01 32 + W3-02 96 + W3-05 32 + W3-03 96 + W3-06 32 + W3-04 32 + W4-28a 60 + W4-31a 60 + C-H2a 126.45 + C-H2b 101.16 + C-F 126.45 + C-A-1 24.39 + C-A-2 13.55 + C-A-3 18.97 + C-B 13.55 + C-D 16.26 + C-C 16.26 + SS-N 345.99 + SS-E 163.89 + C-4-LEGL 150 + C-4-LEGR 150 + CW-01 96 + CW-02 96 + CW-03 96 + CW-04 96 + CW-05 96 + CW-06 96 + CW-07 96 + CW-08 96 + CW-09 96 + DIAG-BRACES-T2 468 + VEST-POSTS-STUD 126 = 9,276.97 LF (per wall: field + jambs + nodes + cripples x height; plus listed elements) | By gauge (A-410 Metal Stud Schedule): 20 8,682.97 LF; elements (gauge in their operation) 594 LF</t>
  </si>
  <si>
    <t xml:space="preserve">Ceiling perimeter track at GWB ceilings (size not printed, RFI)</t>
  </si>
  <si>
    <t xml:space="preserve">N/SHEET: 4/A-221, 3/A-221, 1/A-121, 5/A-121 | Breakdown [DERIVED]: SS-N 45.56 + SS-E 20.24 + SS-GG 12.34 + Women's Restroom 109 32.33 + Men's Restroom 108 32.33 + Cafe 103 - 11'-6" GWB band 52.51 + Cafe 103 - 9'-0" GWB band 43.33 + Grab &amp; Go 20.49 + VEST-BOX-BEAM-TRACK 25.33 + VEST-LEDGER 12.67 + VEST-POSTS-TRACK 5 = 302.13 LF</t>
  </si>
  <si>
    <t xml:space="preserve">Bracing 1-1/2" C.R. channel</t>
  </si>
  <si>
    <t xml:space="preserve">C.R. channel 16 ft</t>
  </si>
  <si>
    <t xml:space="preserve">N/SHEET: 5/A-410, 2/A-410, 5/A-410, 3/A-410, 4/A-410, C25/A-101, G/A-221, H/A-221, E/A-221, F/A-221, I/A-221, 4/A-221, 3/A-221 | Breakdown [DERIVED]: W2-01 295.2 + W2-02 32.46 + W2-03 565.5 + W2-04 342.66 + W2-05 77.52 + W2-06.1 18.48 + W2-06.2 13.32 + W2-06.3 24.24 + W2-06.4 13.32 + W2-06.5 18.24 + W2-07 45.06 + W2-08 56.52 + W2-09 56.52 + W5-01 34.2 + W3-01 3.67 + W3-02 12 + W3-05 3.67 + W3-03 12 + W3-06 3.67 + W3-04 3.67 + W4-28a 9 + W4-31a 9 + CW-01 8 + CW-02 8 + CW-03 8 + CW-04 8 + CW-05 8 + CW-06 8 + CW-07 8 + CW-08 8 + CW-09 8 + C-H1-N 176.64 + C-H1-W 73.5 + C-H2a 27 + C-H2b 11.82 + C-H3a 24.18 + C-H3b 37.32 + C-E2 176.64 + C-E1-S 114 + C-E1-P.2 16.02 + C-E1-B 19.02 + C-F 19.5 + C-I 19.02 + SS-N 91.12 + SS-E 40.48 + SS-GG 24.68 + C-I-1 6 + C-4-LEGL 23.42 + C-4-LEGR 23.42 + C-I-GGE 3 + C-I-H1E 3.18 = 2,651.88 LF (rows = ROUNDUP(H x 12 / 48) - 1, x length)</t>
  </si>
  <si>
    <t xml:space="preserve">Header / metal stud box beam</t>
  </si>
  <si>
    <t xml:space="preserve">N/SHEET: not applicable (see note)</t>
  </si>
  <si>
    <t xml:space="preserve">Furring channel (ceilings)</t>
  </si>
  <si>
    <t xml:space="preserve">hat channel 12 ft</t>
  </si>
  <si>
    <t xml:space="preserve">N/SHEET: 5/A-121, 1/A-121 | Breakdown [DERIVED]: Women's Restroom 109 56.48 + Men's Restroom 108 56.41 + Cafe 103 - 11'-6" GWB band 100.05 + Cafe 103 - 9'-0" GWB band 42.67 + Grab &amp; Go 30.84 = 286.45 LF</t>
  </si>
  <si>
    <t xml:space="preserve">Carrying channel (ceilings)</t>
  </si>
  <si>
    <t xml:space="preserve">N/SHEET: 5/A-121, 1/A-121 | Breakdown [DERIVED]: Women's Restroom 109 24.48 + Men's Restroom 108 24.44 + Cafe 103 - 11'-6" GWB band 60 + Cafe 103 - 9'-0" GWB band 38 + Grab &amp; Go 12.24 = 159.16 LF</t>
  </si>
  <si>
    <t xml:space="preserve">Hanger wire</t>
  </si>
  <si>
    <t xml:space="preserve">N/SHEET: 5/A-121, 1/A-121 | Breakdown [DERIVED]: Women's Restroom 109 144 + Men's Restroom 108 144 + Cafe 103 - 11'-6" GWB band 243 + Cafe 103 - 9'-0" GWB band 192 + Cafe Seating Area 102 - GWB cloud 715 + Grab &amp; Go 107.5 = 1,545.5 LF (hangers @ 48" O.C. x drop to deck per room)</t>
  </si>
  <si>
    <t xml:space="preserve">Blocking FRT / 2X FRT wood</t>
  </si>
  <si>
    <t xml:space="preserve">2x lumber 16 ft</t>
  </si>
  <si>
    <t xml:space="preserve">N/SHEET: 7/A-413, 8A/A-413, 4/A-412, 6/A-412 | Breakdown [DERIVED]: BLK-STOCK 387 + BLK-RECEIVING 69 + BLK-OFFICE 85.6 + BLK-BREAK 10.67 = 552.27 LF</t>
  </si>
  <si>
    <t xml:space="preserve">5/8" gypsum board, Type X</t>
  </si>
  <si>
    <t xml:space="preserve">SF</t>
  </si>
  <si>
    <t xml:space="preserve">4x12 ft sheet (Inputs)</t>
  </si>
  <si>
    <t xml:space="preserve">N/SHEET: 2/A-410, 3/A-410, 4/A-410, C25/A-101, G/A-221, H/A-221, E/A-221, I/A-221, 4/A-221, 3/A-221, 5/A-121, 4/A-121, 2/A-221, 4/A-210, A-001A | Breakdown [DERIVED]: W2-01 2,488.54 + W2-02 136.82 + W2-03 4,508.89 + W2-04 1,970.3 + W2-05 174.14 + W2-06.5 28.88 + W2-08 126.96 + W2-09 178.98 + W3-01 29.36 + W3-02 96 + W3-05 29.36 + W3-03 96 + W3-06 29.36 + W3-04 29.36 + W4-28a 67.5 + W4-31a 67.5 + CW-01 64 + CW-02 64 + CW-03 64 + CW-04 64 + CW-05 64 + CW-06 64 + CW-07 64 + CW-08 64 + CW-09 64 + C-H1-N 666.22 + C-H1-W 438.42 + C-H2a 161.05 + C-H2b 41.36 + C-H3a 70.85 + C-H3b 112.46 + C-E2 1,053.66 + C-E1-P.2 99.56 + C-E1-B 36.45 + C-I 31.7 + SS-N 227.8 + SS-E 101.2 + SS-GG 112.36 + C-I-1 35.79 + C-4-LEGL 351.3 + C-4-LEGR 351.3 + C-I-GGE 12.64 + C-I-H1E 13.4 + ceiling Cafe 103 - 11'-6" GWB band 125.07 + ceiling Cafe 103 - 9'-0" GWB band 50.67 + ceiling Cafe Seating Area 102 - GWB cloud 573.69 + ceiling Cafe 103 - 11'-0" GWB zone 109.65 + ceiling Grab &amp; Go 25.16 + VEST-GWB 105.5 + CLOUD-FASCIA-GWB 53.6 = 15,594.81 SF (faces: length x face height x layers - openings; ceilings: RCP area)</t>
  </si>
  <si>
    <t xml:space="preserve">5/8" gypsum board, Type X W.R. (water resistant)</t>
  </si>
  <si>
    <t xml:space="preserve">N/SHEET: 2/A-410, 5/A-410, 5/A-121, A-001A | Breakdown [DERIVED]: W2-05 67.59 + W2-06.1 55.44 + W2-06.2 39.96 + W2-06.3 74.74 + W2-06.4 39.96 + W2-06.5 46.36 + W2-07 257.52 + W2-08 136.9 + W5-01 102.6 + ceiling Women's Restroom 109 61.19 + ceiling Men's Restroom 108 61.11 = 943.37 SF (faces: length x face height x layers - openings; ceilings: RCP area)</t>
  </si>
  <si>
    <t xml:space="preserve">8" metal joist (ceiling box)</t>
  </si>
  <si>
    <t xml:space="preserve">N/SHEET: 4/A-210 | 8" JOISTS @ 16" O.C.: ROUNDUP(152/16)+1 = 11 x (7'-8" + 2" + 2" = 8.0 ft) = 88.0 LF (1/A-210 12'-8" N-S)</t>
  </si>
  <si>
    <t xml:space="preserve">USG drywall suspension main tee DGLW26</t>
  </si>
  <si>
    <t xml:space="preserve">main tee 12 ft</t>
  </si>
  <si>
    <t xml:space="preserve">N/SHEET: 4/A-121, 1/A-121 | USG drywall suspension grid: main tee ROUNDUP(14.773/4.0)+1 = 5 x 38.833 = 194.16; cross tee ROUNDUP(38.833/1.333)+1 = 31 x 14.773 = 457.96; channel + angle molding 107.21 each</t>
  </si>
  <si>
    <t xml:space="preserve">USG drywall suspension cross tee DGLW424</t>
  </si>
  <si>
    <t xml:space="preserve">cross tee 4 ft</t>
  </si>
  <si>
    <t xml:space="preserve">USG channel molding DGCM27</t>
  </si>
  <si>
    <t xml:space="preserve">molding 12 ft</t>
  </si>
  <si>
    <t xml:space="preserve">USG angle molding DGWM24</t>
  </si>
  <si>
    <t xml:space="preserve">Stud blocking at edge of gypboard (structural detail)</t>
  </si>
  <si>
    <t xml:space="preserve">METAL trim - corner bead, casing bead, shadow molding, gypsum edge trim</t>
  </si>
  <si>
    <t xml:space="preserve">trim stick 10 ft</t>
  </si>
  <si>
    <t xml:space="preserve">N/SHEET: C25/A-101 | Breakdown [DERIVED]: PROG-CB-PARTIAL 425.04 + PROG-CB-COLUMNS 288 + PROG-CORNER_BEAD-CLOUD 107.21 + PROG-J_BEAD-CLOUD 107.21 = 927.46 LF</t>
  </si>
  <si>
    <t xml:space="preserve">1/2" cement board / cementitious backer</t>
  </si>
  <si>
    <t xml:space="preserve">N/SHEET: E/A-221, F/A-221, A/A-221, B/A-221, D/A-221, C/A-221 | Breakdown [DERIVED]: C-E1-S Cafe 103 184.66 + C-F CAFE SALES COUNTER 8.81 + C-A-1 CAFE SALES COUNTER 28.16 + C-A-1 CAFE SALES COUNTER 28.16 + C-A-2 CAFE SALES COUNTER 11.24 + C-A-2 CAFE SALES COUNTER 11.24 + C-A-3 CAFE SALES COUNTER 17.15 + C-A-3 CAFE SALES COUNTER 17.15 + C-B CAFE SALES COUNTER 8.59 + C-B CAFE SALES COUNTER 8.59 + C-D CAFE SALES COUNTER 16.72 + C-D CAFE SALES COUNTER 16.72 + C-C CAFE SALES COUNTER 8.59 + C-C CAFE SALES COUNTER 8.59 = 374.37 SF</t>
  </si>
  <si>
    <t xml:space="preserve">FRP panels</t>
  </si>
  <si>
    <t xml:space="preserve">FRP panel 40 SF (Inputs)</t>
  </si>
  <si>
    <t xml:space="preserve">N/SHEET: 3/A-410, 4/A-410, 1/A-221, 1/A-226B, 2/A-226B, 3/A-226B, 4/A-226B, 9/A-200, 10/A-200, 11/A-200, 12/A-200, 1/A-225, 4/A-225, 6/A-225 | Breakdown [DERIVED]: FRP-TYPES-3-4 936.74 + FRP-1-CAFE-WORKROOM 852.2 + FRP-1-JANITOR 155.44 + FRP-1-CAFE-BELOW-COUNTER 57 = 2,001.38 SF</t>
  </si>
  <si>
    <t xml:space="preserve">Moment clip ClarkDietrich MC series with stiffening plate (A/A-410), one per stud of types 3 / 4</t>
  </si>
  <si>
    <t xml:space="preserve">PCS</t>
  </si>
  <si>
    <t xml:space="preserve">piece</t>
  </si>
  <si>
    <t xml:space="preserve">N/SHEET: A/A-410, 3/A-410, 4/A-410 | Breakdown [DERIVED]: MOMENT-CLIPS-T3-T4 162 = 162 PCS | one ClarkDietrich MC clip per stud: type 3 = 40 studs + type 4 = 122 studs = 162 (estimator decision 2026-10-27, RFI-28 A)</t>
  </si>
  <si>
    <t xml:space="preserve">Hilti Kwik HUS-EZ 1/4" x 1-5/8" concrete screws at the moment clips (3/A-410, 4/A-410)</t>
  </si>
  <si>
    <t xml:space="preserve">N/SHEET: 3/A-410, 4/A-410 | Breakdown [DERIVED]: HUS-EZ-T3-T4 324 = 324 PCS | 3/A-410, 4/A-410 "(2)-1/4"ø X 1 5/8" HILTI KWIK HUSEZ CONCRETE SCREW AND MOMENT CLIP": 162 clips x 2 = 324 (estimator decision 2026-10-27, RFI-28 A)</t>
  </si>
  <si>
    <t xml:space="preserve">#10-16 screws at the moment clips, (1) at each flange (A/A-410)</t>
  </si>
  <si>
    <t xml:space="preserve">N/SHEET: A/A-410 | Breakdown [DERIVED]: SCREWS-10-16-MOMENT-CLIPS 324 = 324 PCS | A/A-410 "(1) #10-16 SCREW @ EACH FLANGE": 162 clips x 2 = 324 (estimator decision 2026-10-27, RFI-28 A)</t>
  </si>
  <si>
    <t xml:space="preserve">Metal corner guard 2"x2"x72" at outside corners (A-001A)</t>
  </si>
  <si>
    <t xml:space="preserve">N/SHEET: A-001A, A-101, A-221 | Breakdown [DERIVED]: CORNER-GUARDS-METAL-72 72 = 72 PCS | A-001A "INSTALL METAL CORNER GUARDS (2"X2"X72") AT ALL OUTSIDE CORNERS": C25 column surrounds 9 x 4 = 36 + type 3 posts 16 + type 4 hourglass caps 8 + type 2 (Storage SW 1, C26 alcove 4) 5 + Cafe 7 = 72 (estimator decision 2026-10-27, RFI-29)</t>
  </si>
  <si>
    <t xml:space="preserve">Stainless steel corner guard 48" A.F.F. (C22/A-101)</t>
  </si>
  <si>
    <t xml:space="preserve">N/SHEET: C22/A-101 | Breakdown [DERIVED]: CORNER-GUARD-STAINLESS-48 1 = 1 PCS | C22/A-101 "STAINLESS STEEL CORNER GUARDS AT 48" A.F.F. FOR ALL OUTSIDE GYPSUM BOARD CORNERS AT STOCKROOM WALLS": the corner the C22 leader points to (loading zone bend) = 1 (estimator decision 2026-10-27, RFI-29)</t>
  </si>
  <si>
    <t xml:space="preserve">Control joint, gypsum board walls (ASTM C840, 30 ft max)</t>
  </si>
  <si>
    <t xml:space="preserve">N/SHEET: A-101, A-410 | Breakdown [DERIVED]: CONTROL-JOINTS-T2 250 = 250 LF | ASTM C840 30 ft max: W2-01 48.77 LF -&gt; 1, W2-03 94.24 LF -&gt; 3, W2-04 56.76 LF -&gt; 1 = 5 joints x 25.0 ft x 2 faces = 250.0 LF (estimator decision 2026-10-27, RFI-24 A)</t>
  </si>
  <si>
    <t xml:space="preserve">#8 screws at diagonal brace ends, 2 per end (manufacturer rule; 3/A-410 prints none)</t>
  </si>
  <si>
    <t xml:space="preserve">N/SHEET: 3/A-410 | Breakdown [DERIVED]: SCREWS-8-BRACE-ENDS 512 = 512 PCS | diagonal braces 117 (type 2, 468.0 LF / 4.0) + 11 (Cafe, 44.0 LF / 4.0) = 128 braces x 2 ends x 2 = 512 (estimator decision 2026-10-27, RFI-51)</t>
  </si>
  <si>
    <t xml:space="preserve">3-5/8" stud, framed soffit 2/A-221 (LF)</t>
  </si>
  <si>
    <t xml:space="preserve">N/SHEET: 2/A-221, 1/A-121 | Breakdown [DERIVED]: Cafe 103 - 11'-0" GWB zone: framed_soffit: ROUNDUP(23.25/(16/12))+1 = 19 joists x 4.716 = 89.61 LF 3-5/8" joists = 89.61 LF (framed soffit joists, 2/A-221)</t>
  </si>
  <si>
    <t xml:space="preserve">FRT plywood substrate (3/4 in.)</t>
  </si>
  <si>
    <t xml:space="preserve">N/SHEET: 4/A-226A, 21/A-201, 5/A-210, 4/A-210, A/A-221, B/A-221, A-410 (ALL PLYWOOD NEEDS TO BE FRT) | Breakdown [DERIVED]: MENU-BOARD-FRT 60.6 + RESTROOM-BACKING-FRT 17.77 + VEST-POSTS-PLYWOOD 105 + VEST-PLYWOOD 106.62 + counter customer side A 56.69 + counter customer side B and C 17.18 = 363.86 SF (strip length x height)</t>
  </si>
  <si>
    <t xml:space="preserve">FRT plywood substrate (5/8 in.)</t>
  </si>
  <si>
    <t xml:space="preserve">N/SHEET: I/A-221, 1/A-226A, 6/A-226A, 3/A-410, 4/A-410, 3/A-221, 4/A-221, A-410 (ALL PLYWOOD NEEDS TO BE FRT) | Breakdown [DERIVED]: C-I-A-FRT 34.65 + SS-N-WD1-FRT 318.78 + SS-E-WD1-FRT 141.68 + TYPE-3-A-FRT 309.44 + TYPE-4-A-FRT 627.3 + C-SOF-GG FRT plywood substrate 112.36 + C-SOF-CAFE-N FRT plywood substrate 414.82 + C-SOF-CAFE-E FRT plywood substrate 184.29 = 2,143.32 SF (strip length x height)</t>
  </si>
  <si>
    <t xml:space="preserve">Hanger wire 12 ga - hanger count (one per hanger, height per room)</t>
  </si>
  <si>
    <t xml:space="preserve">each</t>
  </si>
  <si>
    <t xml:space="preserve">N/SHEET: 5/A-121, 1/A-121 | Breakdown [DERIVED]: Women's Restroom 109 9 + Men's Restroom 108 9 + Cafe 103 - 11'-6" GWB band 18 + Cafe 103 - 9'-0" GWB band 12 + Cafe Seating Area 102 - GWB cloud 55 + Grab &amp; Go 6 = 109 PCS (one per hanger)</t>
  </si>
  <si>
    <t xml:space="preserve">Additional head track at openings over 4'-0" wide - extended to every door as a 2-piece track header (R.O. + 1'-4") x 2 (RFI-09)</t>
  </si>
  <si>
    <t xml:space="preserve">N/SHEET: 1/A-500 | Door 4 (W2-04): (3.0 + 2 x 0.667) x 1 x 2 pieces = 8.67; Door 5 (W2-04): (3.0 + 2 x 0.667) x 1 x 2 pieces = 8.67; Door 6 (W2-04): (3.0 + 2 x 0.667) x 1 x 2 pieces = 8.67; Door 9 (W2-05): (3.0 + 2 x 0.667) x 1 x 2 pieces = 8.67; Door 8 (W2-07): (3.0 + 2 x 0.667) x 1 x 2 pieces = 8.67; Door 7 (W2-08): (3.0 + 2 x 0.667) x 1 x 2 pieces = 8.67</t>
  </si>
  <si>
    <t xml:space="preserve">Stud reinforcement at MEP penetrations</t>
  </si>
  <si>
    <t xml:space="preserve">[DERIVED] N/SHEET: M-102, A-101 | X01 (W2-03, 14" DIA) 1 + X02 (W2-06.1, 6" DIA) 1 + X03 (W2-06.5, 6" DIA) 1 + X04 (W5-01, 6" DIA) 1 + X05 (W2-07, 6" DIA) 1 + X06 (W2-08, 10" DIA) 1 + X07 (W2-09, 8" DIA) 1 + X08 (W2-01, 10" DIA) 1 + T01 (W2-03, TG-1 12"x10") 1 + T02 (W2-02, TG-1 14"x6") 1 = 10 plates</t>
  </si>
  <si>
    <t xml:space="preserve">Extra framing - ATM recess (only what a detail prints at the recess; the wall stays in its type)</t>
  </si>
  <si>
    <t xml:space="preserve">[DERIVED] N/SHEET: 1/A-101 | none: no ATM / recessed equipment detail in the cafe, restroom or office scope read (A-101 keynotes C1-C28, A-221 details) (1/A-101)</t>
  </si>
  <si>
    <t xml:space="preserve">2-1/2" CFMF @ 16" O.C. at coiling grille head (detail per plans)</t>
  </si>
  <si>
    <t xml:space="preserve">N/SHEET: A-000, A-101, A-410, A-500 | none: no parapet infill, coiling grille or duct sleeve detail in the set (A-000 index; A-101, A-410, A-500)</t>
  </si>
  <si>
    <t xml:space="preserve">Gypsum board jamb return at openings</t>
  </si>
  <si>
    <t xml:space="preserve">[DERIVED] N/SHEET: I/A-221 | none: no cased opening with printed gypsum return detail in the A-221 or A-410 sheets read (I/A-221)</t>
  </si>
  <si>
    <t xml:space="preserve">PVC trim - edge trim molding and inside corner molding at the FRP, incl. outside corners, door edges and division bars every 4' (see breakdown)</t>
  </si>
  <si>
    <t xml:space="preserve">[DERIVED] N/SHEET: 3/A-225, 1/A-225, 1/A-221, 9/A-200, 10/A-200, 11/A-200, 12/A-200, 3/A-410, 4/A-410, 4/A-225 | PVC-CAFE-WORKROOM: J-mold at bottom (3/A-225 "FRP J-MOLD AT BOTTOM OF FRP PANEL") 85.22 - door 3 4.0 = 81.22 + top edge 85.22 + inside corners 6 x 10.0 = 60.0 + outside corners (stub C-H2b end) 2 x 10.0 = 20.0 + door 3 edge trim 2 x 8.0 + 4.0 = 20.0 = 266.44 LF (estimator decision 2026-10-28); PVC-JANITOR: J-mold at bottom 19.43 - door 7 3.0 = 16.43 + top edge at 8'-0" 19.43 + inside corners 4 x 8.0 = 32.0 + door 7 edge trim 2 x 7.0 + 3.0 = 17.0 = 84.86 LF (estimator decision 2026-10-28); PVC-TYPES-3-4: J-mold at bottom 122.32 + type 3 vertical edge trim 2 walls x 2 ends x 8.0 = 32.0 (top: corner bead already carried; hourglass cap outside corners: metal corner guard A-001A governs, no PVC) = 154.32 LF (estimator decision 2026-10-28); PVC-CAFE-BELOW-COUNTER: 4/A-225 "FRP J-MOLD AT BOTTOM OF FRP PANEL" above B-2 on the C-E1-S Cafe face: 19.0 LF (estimator decision 2026-10-28); FRP-DIVISION-BARS: division bars at every 4' panel joint: Work Room 18 x 10.0 = 180 + Janitor 2 x 8.0 = 16 + type 3 4 x 8.0 = 32 + type 4 18 x 7.5 = 135 = 363 LF (estimator decision 2026-10-28; A-001A FRP per manufacturer)</t>
  </si>
  <si>
    <t xml:space="preserve">Power-driven fasteners and duct sleeves - duct sleeves at the duct crossings (M-102)</t>
  </si>
  <si>
    <t xml:space="preserve">[DERIVED] N/SHEET: M-102, A-101 | duct sleeves = X01 (W2-03) 1 + X02 (W2-06.1) 1 + X03 (W2-06.5) 1 + X04 (W5-01) 1 + X05 (W2-07) 1 + X06 (W2-08) 1 + X07 (W2-09) 1 + X08 (W2-01) 1 = 8</t>
  </si>
  <si>
    <t xml:space="preserve">Access panel</t>
  </si>
  <si>
    <t xml:space="preserve">[DERIVED] N/SHEET: 1/A-121 | none: no access panel marker read on A-121 key notes 1-11 (1/A-121)</t>
  </si>
  <si>
    <t xml:space="preserve">Drywall screws #7 x 1-1/4" Type S bugle head (board on 25/20 ga studs)</t>
  </si>
  <si>
    <t xml:space="preserve">[DERIVED] N/SHEET: GA-216 | Inputs!B20 (Drywall screws per SF of board = 1.2) x 16538.2 SF of board</t>
  </si>
  <si>
    <t xml:space="preserve">Framing screws #8-18 x 1/2" pan head (25/20 ga studs)</t>
  </si>
  <si>
    <t xml:space="preserve">[DERIVED] N/SHEET: A-410 note 8.A | Inputs!B21 (Framing screws per stud piece = 4) x 654 stud pieces | Breakdown [DERIVED]: 4 x 654 stud pieces of the 25/20 ga walls and other framing [C-4-LEGL 20 + C-4-LEGR 20 + C-A-1 9 + C-A-2 5 + C-A-3 7 + C-B 5 + C-C 6 + C-D 6 + C-E1-B 5 + C-E1-P.2 4 + C-E1-S 16 + C-E2 25 + C-F 5 + C-H1-N 26 + C-H1-W 12 + C-H2a 5 + C-H2b 4 + C-H3a 6 + C-H3b 8 + C-I 4 + C-I-1 2 + C-I-GGE 2 + C-I-H1E 2 + SS-E 9 + SS-GG 6 + SS-N 19 + W2-01 39 + W2-02 6 + W2-03 72 + W2-04 57 + W2-05 15 + W2-06.1 4 + W2-06.2 5 + W2-06.3 6 + W2-06.4 4 + W2-06.5 4 + W2-07 11 + W2-08 13 + W2-09 9 + W3-01 4 + W3-02 12 + W3-03 12 + W3-04 4 + W3-05 4 + W3-06 4 + W4-28a 8 + W4-31a 8 + W5-01 7 (walls 546); CW-01 12; CW-02 12; CW-03 12; CW-04 12; CW-05 12; CW-06 12; CW-07 12; CW-08 12; CW-09 12] = 2616</t>
  </si>
  <si>
    <t xml:space="preserve">Power-driven fasteners, slab pins for the bottom track</t>
  </si>
  <si>
    <t xml:space="preserve">[DERIVED] N/SHEET: A-410 note 8.F (9/A-410 = alternate) | 595.58 LF of interior bottom track on slab / Inputs!B22 (Power-driven pin spacing (ft) = 1.33333)</t>
  </si>
  <si>
    <t xml:space="preserve">Expansion anchors Hilti 1/4" Kwik Bolt II, exterior bottom track @ 8" O.C.</t>
  </si>
  <si>
    <t xml:space="preserve">[DERIVED] N/SHEET: 1/DM-101 | none: no new exterior wall on slab - perimeter walls 1 / 1A / 1B / 1C are EXISTING (RFI-01; 1/DM-101, A-101)</t>
  </si>
  <si>
    <t xml:space="preserve">Joint compound, all purpose</t>
  </si>
  <si>
    <t xml:space="preserve">LB</t>
  </si>
  <si>
    <t xml:space="preserve">lb</t>
  </si>
  <si>
    <t xml:space="preserve">[DERIVED] N/SHEET: A-001A Div 09 A.8 | Inputs!B23 (Joint compound (lb per SF) = 0.072) x 16538.2 SF of board</t>
  </si>
  <si>
    <t xml:space="preserve">Joint tape, paper</t>
  </si>
  <si>
    <t xml:space="preserve">[DERIVED] N/SHEET: A-001A Div 09 A.8 | Inputs!B24 (Joint tape (LF per SF) = 0.37) x 16538.2 SF of board</t>
  </si>
  <si>
    <t xml:space="preserve">Level 5 finish</t>
  </si>
  <si>
    <t xml:space="preserve">[DERIVED] N/SHEET: 1/A-101 | none: no LEVEL 5 key note read on A-101 (keynotes C1-C28) or A-121 (1/A-101)</t>
  </si>
  <si>
    <t xml:space="preserve">Deflection clips at non-load-bearing walls to structure</t>
  </si>
  <si>
    <t xml:space="preserve">[DERIVED] N/SHEET: 4/A-410 | none: A-410 detail 4/A-410 shows slotted deflection track at deck and the Partition Notes print no deflection clips; general notes read on A-410</t>
  </si>
  <si>
    <t xml:space="preserve">Heavy-gauge framing screws #10-16 x 3/4" pan head (18/16/14 ga studs)</t>
  </si>
  <si>
    <t xml:space="preserve">[DERIVED] N/SHEET: A-410 | none in the set</t>
  </si>
  <si>
    <t xml:space="preserve">Type S-12 drywall screws #6 x 1-1/4" (board on 18/16/14 ga studs)</t>
  </si>
  <si>
    <t xml:space="preserve">RFI</t>
  </si>
  <si>
    <t xml:space="preserve">Question / condition</t>
  </si>
  <si>
    <t xml:space="preserve">Delta of each alternative</t>
  </si>
  <si>
    <t xml:space="preserve">RFI-ACC-slab-pins</t>
  </si>
  <si>
    <t xml:space="preserve">CLOSED - estimator decision 2026-10-27: One row @ 16" O.C. (A-410 note 8.F spacing). N/SHEET: A-410 note 8.F; 9/A-410.</t>
  </si>
  <si>
    <t xml:space="preserve">(A) Plans / specs: delta Applied: slab pins 777.43 -&gt; 388.72 (518.29 LF / 1.333; -388.71). | (B) Trade code: no applicable code provision cited | (C) Other: ____</t>
  </si>
  <si>
    <t xml:space="preserve">RFI-01</t>
  </si>
  <si>
    <t xml:space="preserve">CLOSED - estimator decision 2026-10-24 (rev1): perimeter walls types 1 / 1A / 1B / 1C are EXISTING (1/DM-101 legend solid = to remain + key note 3 "EXTERIOR WALL PATCH AND REPAIR AS REQUIRED TO MAINTAIN EXISTING FIRE RATING"; A-101 Construction Legend "EXISTING EXTERIOR WALL" / "EXISTING PARTITION"; A-002 "PERIMETER STUDS, INSULATION, VAPOR BARRIER F/I BY LL"). Perimeter framing (studs, track, bracing, 1B sheathing) EXCLUDED. Interior face patch &amp; repair (1/DM-101 key note 3, A-101 C5) = ALLOWANCE, amount: $ ________ (blank, estimator to fill). rev2 (estimator decision 2026-10-25): break room kitchenette W.R. on existing EXT-07 (6/A-412, 7/A-412) is INSIDE this patch &amp; repair allowance; allowance amount stays BLANK (decided). A-410 types 1, 1A, 1B, 1C label the interior board "5/8" GYP BD BY FUTURE TENANT": EXCLUDED with that citation, consistent with this decision. A-413 7/8A general note "IF SHELVING IS TO BE INSTALLED ON EXISTING WALL, G.C. IS TO REMOVE AND REPLACE GYP. BOARD AS REQUIRED FOR INSTALLATION OF WOOD BLOCKING": inside this patch &amp; repair allowance.</t>
  </si>
  <si>
    <t xml:space="preserve">(A) Plans / specs: delta Applied: - 417.43 LF of perimeter walls (17 walls); 3-5/8" stud 16,812.96 -&gt; 10,120.39 LF; 8" stud 2,332.99 -&gt; 0; 1/2" exterior sheathing 2,469.22 -&gt; 0 SF; bottom / top track 1,051.87 -&gt; 634.44 LF each; bracing 5,230.74 -&gt; 2,827.81 LF. Allowance: blank.; board by future tenant on the existing perimeter (A-410 types 1 / 1A / 1B / 1C): upper bound 417.43 LF x 25.0 = 10,436 SF 5/8" Type X if it were ever in our scope. | (B) Trade code: no applicable code provision cited | (C) Other: ____</t>
  </si>
  <si>
    <t xml:space="preserve">RFI-02</t>
  </si>
  <si>
    <t xml:space="preserve">N/A after RFI-01 (perimeter walls existing, rev1): the north 1A / 1 boundary no longer affects the take-off (both types are existing, excluded).</t>
  </si>
  <si>
    <t xml:space="preserve">(A) Plans / specs: delta none | (B) Trade code: no applicable code provision cited | (C) Other: ____</t>
  </si>
  <si>
    <t xml:space="preserve">RFI-03</t>
  </si>
  <si>
    <t xml:space="preserve">CLOSED - estimator decision 2026-10-27: B.O. deck 25'-0" kept. N/SHEET: 1/A-400A; 1/A-400B.</t>
  </si>
  <si>
    <t xml:space="preserve">(A) Plans / specs: delta No change. | (B) Trade code: no applicable code provision cited | (C) Other: ____</t>
  </si>
  <si>
    <t xml:space="preserve">RFI-04</t>
  </si>
  <si>
    <t xml:space="preserve">CLOSED - Review Item rev3 (estimator decision 2026-10-26): type 2 &gt; 22 ft: 3-5/8" 14 ga SJ + diagonal braces @ 32" O.C. to structure (3/A-410 Top Track Detail "PROVIDE DIAGONAL BRACING AT 32" O.C. TO STRUCTURE ABOVE (TYP.)"); brace member / length not printed - estimator choice 3-5/8" 20 ga stud x 4 ft at 45 deg. same precedent applied to the Cafe 3-5/8" walls to deck (C-H2a, C-H2b, C-F): 14 ga SJ + 11 diagonal braces = 44.0 LF.</t>
  </si>
  <si>
    <t xml:space="preserve">(A) Plans / specs: delta Applied: 117 braces x 4.0 ft = 468.0 LF (type 2) + 44.0 LF (Cafe) 3-5/8" 20 ga stud (member and length = estimator choice). Citation history: rev0-rev2 cited the partition type 3 section, rev3-rev6 cited 8/A-410 (that bubble is the Typ. Connection Detail); the Top Track Detail is bubble 3/A-410. | (B) Trade code: no applicable code provision cited | (C) Other: ____</t>
  </si>
  <si>
    <t xml:space="preserve">RFI-05</t>
  </si>
  <si>
    <t xml:space="preserve">CLOSED - estimator decision 2026-10-27: Closed: types E1 / E2 counted once; type 1 existing per RFI-01. N/SHEET: E/A-221; A-410.</t>
  </si>
  <si>
    <t xml:space="preserve">RFI-06</t>
  </si>
  <si>
    <t xml:space="preserve">CLOSED - Review Item rev3 (estimator decision 2026-10-26): Cafe walls H1, H2a, H2b, H3a, H3b, F studs TO DECK 25'-0" (1/A-400B draws the Cafe walls floor to B.O. DECK; A-226A elevations break at the top; no section prints a stud top). Board per face = ceiling + 6" (A-410 partition note 3): Workroom ACT-1 10'-0" -&gt; 10'-6"; Grab &amp; Go GWB 7'-1" -&gt; 7'-7"; Cafe open-to-deck strip at H2a (1/A-121 PT-6 OPEN TO DECK) -&gt; to deck.</t>
  </si>
  <si>
    <t xml:space="preserve">(A) Plans / specs: delta Applied (faces already at these heights in rev2; RCP evidence on 1/A-121). | (B) Trade code: no applicable code provision cited | (C) Other: ____</t>
  </si>
  <si>
    <t xml:space="preserve">RFI-07</t>
  </si>
  <si>
    <t xml:space="preserve">N/A after RFI-01 (perimeter walls existing, rev1): exterior furring 3-5/8" over 22'-0" (types 1, 1A, 1C) is existing, excluded.</t>
  </si>
  <si>
    <t xml:space="preserve">RFI-08</t>
  </si>
  <si>
    <t xml:space="preserve">CLOSED - Review Item rev3 (estimator decision 2026-10-26): type I WD-1 top = 15'-0" A.F.F. (6/A-226A; elevation bubble on 1/A-221 looks west at the type I face, verified).</t>
  </si>
  <si>
    <t xml:space="preserve">(A) Plans / specs: delta Applied (rev3 + rev5): type I 5/8" FRT plywood floor to 15'-0" (6/A-226A) = (C-I 2.31 + C-I-P.1 1.00 + end faces C-I-E1 / C-I-E2 1.21) 4.52 LF x 15.0 = 67.74 SF; GWB 15'-0" to deck 4.52 x 10.0 = 45.16 SF. | (B) Trade code: no applicable code provision cited | (C) Other: ____</t>
  </si>
  <si>
    <t xml:space="preserve">RFI-09</t>
  </si>
  <si>
    <t xml:space="preserve">CLOSED - estimator decision 2026-10-27: 2-piece track header at every door. N/SHEET: A-500 door schedule; 1/A-500.</t>
  </si>
  <si>
    <t xml:space="preserve">(A) Plans / specs: delta Applied: head track at door openings 10.67 -&gt; 83.32 LF ((R.O. + 1'-4") x 2 at every door in a new wall; replaces RFI-31). | (B) Trade code: no applicable code provision cited | (C) Other: ____</t>
  </si>
  <si>
    <t xml:space="preserve">RFI-10</t>
  </si>
  <si>
    <t xml:space="preserve">N/A after RFI-01 (perimeter walls existing, rev1): doors 10, 12, 13 are existing doors in existing perimeter walls (A-500 EXISTING V.I.F.); no framing in our scope.</t>
  </si>
  <si>
    <t xml:space="preserve">RFI-11</t>
  </si>
  <si>
    <t xml:space="preserve">CLOSED - estimator decision RFI-11 (rev1) + W.R. gypsum board on all faces of Women's 109, Men's 108, Janitor 107 and the drinking fountain alcove (A-410 Partition Notes 2 "PROVIDE WATER RESISTANT GYPSUM BOARD IN ALL BATHROOMS AND JANITOR'S CLOSET FOR WALL AND CEILING CONSTRUCTION", note 7, "*" note, 2/A-410, 5/A-410; A-001A Div 09 A.4) and on the restroom GWB ceilings (same note 2; 1/A-121 GWB 9'-0"). Cafe Work Room 104: NO W.R. - G/A-221 draws only 5/8" FRT plywood on the Work Room side (FRP-1 finish, A-510); there is no gypsum board on that face (rev6 removes the 570.36 SF GWB faces).</t>
  </si>
  <si>
    <t xml:space="preserve">(A) Plans / specs: delta Applied (rev7): 5/8" Type X W.R. = 1,092.59 SF = walls (Women's 222.93 + Men's 223.02 + Janitor 485.75 + alcove corridor 88.63) + restroom ceilings 122.30 - 1'-2" cement board base 50.04 (22/A-201). | (B) Trade code: no applicable code provision cited | (C) Other: ____</t>
  </si>
  <si>
    <t xml:space="preserve">RFI-12</t>
  </si>
  <si>
    <t xml:space="preserve">CLOSED (base) / OPEN (installer of tile)(rev7): 22/A-201 Tile Base Detail prints "5/8" CEMENT BOARD" with "1'-2" CEMENT BOARD BASE" and 5/8" W.R. GYP. BD. above (A-001A Div 09 J.2). Corridor 110 wall tile (A-510) backer: not detailed.</t>
  </si>
  <si>
    <t xml:space="preserve">(A) Plans / specs: delta Applied: + 50.04 SF cement board base on the restroom faces of new walls and the same SF out of W.R. Open: Corridor 110 wall tile backer - each 1 ft of tile height = 93.44 SF cement board instead of Type X. | (B) Trade code: no applicable code provision cited | (C) Other: ____</t>
  </si>
  <si>
    <t xml:space="preserve">RFI-13</t>
  </si>
  <si>
    <t xml:space="preserve">CLOSED - estimator decision 2026-10-27: FRP-1 in our scope. N/SHEET: A-510; 1-4/A-226B; 9-12/A-200.</t>
  </si>
  <si>
    <t xml:space="preserve">(A) Plans / specs: delta Applied: FRP + 1,030.64 SF (Cafe Work Room 875.20 + Janitor 155.44) + PVC trim (J-mold top / bottom + inside corners). Revised by RFI-55 (estimator decision 2026-10-28): Work Room FRP 852.20 SF (finished dimensions, 1/A-221); PVC trim per real corners / edges + division bars. | (B) Trade code: no applicable code provision cited | (C) Other: ____</t>
  </si>
  <si>
    <t xml:space="preserve">RFI-14</t>
  </si>
  <si>
    <t xml:space="preserve">CLOSED - estimator answer (rev4): Cafe soffit bottom = 11'-0" (A-121 RCP governs over 1/A-226A 9'-0"); north face sign band WD-1 top = 15'-0" (same as east face, 6/A-226A). Both faces: WD-1 11'-0" to 15'-0" with 5/8" FRT plywood behind; GWB above to deck and at the soffit bottom (2/A-221).</t>
  </si>
  <si>
    <t xml:space="preserve">(A) Plans / specs: delta Applied: SS-N FRT 22.77 x 4.0 = 91.08 SF (rev3 45.54 at 9'-0"/11'-0"); SS-N GWB 14 -&gt; 10 ft; SS-E unchanged (FRT 40.48 SF, GWB 10 ft). | (B) Trade code: no applicable code provision cited | (C) Other: ____</t>
  </si>
  <si>
    <t xml:space="preserve">RFI-15</t>
  </si>
  <si>
    <t xml:space="preserve">CLOSED - Review Item rev3 (estimator decision 2026-10-26): Cafe Seating cloud = USG drywall suspension grid as drawn on 4/A-121 (DGLW26 main tee, DGLW424 cross tee, DGCM27 channel molding, DGWM24 angle molding); carrying channel direction E-W confirmed (joists N-S: 1/A-400A joists cut in section, 2/A-400A joists in profile).</t>
  </si>
  <si>
    <t xml:space="preserve">(A) Plans / specs: delta Applied: main tee 194.16 LF (5 x 38.833, @ 48" USG standard), cross tee 457.96 LF (31 x 14.773 = 124 pcs, @ 16" USG standard; 24" alt. = 22 rows / 88 pcs), DGCM27 107.21 LF, DGWM24 107.21 LF; removed from the cloud: furring -310.23 LF, carrying -194.17 LF, ceiling track -107.21 LF. | (B) Trade code: no applicable code provision cited | (C) Other: ____</t>
  </si>
  <si>
    <t xml:space="preserve">RFI-16</t>
  </si>
  <si>
    <t xml:space="preserve">CLOSED - estimator answer (rev4): vestibule post sheathing = 3/4" FRT plywood, 4 faces, full height (5/A-210 "5/8 GYP. BOARD SHEATHING AS REQUIRED" -&gt; estimator: plywood).</t>
  </si>
  <si>
    <t xml:space="preserve">(A) Plans / specs: delta Applied: 6 posts x 4 faces x 5" x 10.5 ft = 105.0 SF 3/4" FRT plywood (6 posts per 1/A-210). | (B) Trade code: no applicable code provision cited | (C) Other: ____</t>
  </si>
  <si>
    <t xml:space="preserve">RFI-17</t>
  </si>
  <si>
    <t xml:space="preserve">CLOSED - estimator answer (rev4): column surrounds C25 stud spacing = 16" O.C. (as carried); count 9.</t>
  </si>
  <si>
    <t xml:space="preserve">(A) Plans / specs: delta none (as carried) | (B) Trade code: no applicable code provision cited | (C) Other: ____</t>
  </si>
  <si>
    <t xml:space="preserve">RFI-18</t>
  </si>
  <si>
    <t xml:space="preserve">CLOSED - Review Item rev3 (estimator decision 2026-10-26): type 4 curved walls = face-average arc 25.68 LF each (estimator choice vs printed 25'-1").</t>
  </si>
  <si>
    <t xml:space="preserve">(A) Plans / specs: delta Applied: + 1.17 LF type 4 (83.64 LF). | (B) Trade code: no applicable code provision cited | (C) Other: ____</t>
  </si>
  <si>
    <t xml:space="preserve">RFI-19</t>
  </si>
  <si>
    <t xml:space="preserve">CLOSED - Review Item rev3 (estimator decision 2026-10-26): board height where a ceiling exists = ceiling + 6" (2/A-410, A-410 partition note 3). Kept.</t>
  </si>
  <si>
    <t xml:space="preserve">RFI-20</t>
  </si>
  <si>
    <t xml:space="preserve">CLOSED - audit rev4 row 6 (rev5): Grab &amp; Go header soffit QUANTIFIED from the plan: 6'-2" HOLD (1/A-221) x (B.O. deck 25'-0" - Grab &amp; Go GWB 7'-1", 1/A-121) with 6" metal studs @ 16" O.C. (3/A-221); 5/8" FRT plywood substrate on the east face, GWB at the soffit bottom. T.O. WD-1 not printed -&gt; RFI-34.</t>
  </si>
  <si>
    <t xml:space="preserve">(A) Plans / specs: delta Applied: SS-GG 6" studs 6 x 17.917 = 107.5 LF; ceiling / soffit track 6.167 x 2 = 12.33 LF; bracing 4 rows x 6.167 = 24.67 LF (5/A-410); 5/8" FRT plywood 6.167 x 17.917 = 110.49 SF; bottom GWB 3.73 SF. | (B) Trade code: no applicable code provision cited | (C) Other: ____</t>
  </si>
  <si>
    <t xml:space="preserve">RFI-21</t>
  </si>
  <si>
    <t xml:space="preserve">CLOSED - estimator decision 2026-10-27: Fascia GWB at the Cafe Seating cloud. N/SHEET: 4/A-121.</t>
  </si>
  <si>
    <t xml:space="preserve">(A) Plans / specs: delta Applied: 5/8" Type X + 53.6 SF (107.21 LF x 0.5 ft); edge trim already carried. | (B) Trade code: no applicable code provision cited | (C) Other: ____</t>
  </si>
  <si>
    <t xml:space="preserve">RFI-22</t>
  </si>
  <si>
    <t xml:space="preserve">CLOSED - estimator decision 2026-10-27: One face of types 3 / 4 (122.32 LF) = 5/8" FRT plywood + FRP (A-410 building dept note: all plywood FRT). N/SHEET: 3/A-410; 4/A-410.</t>
  </si>
  <si>
    <t xml:space="preserve">(A) Plans / specs: delta Applied: 5/8" FRT plywood + 936.74 SF, FRP + 936.74 SF, 5/8" Type X - 936.74 SF on that face, PVC trim + 244.64 LF. Revised by RFI-55 (estimator decision 2026-10-28): types 3 / 4 PVC 154.32 LF (hourglass cap corners take the metal corner guard) + division bars 167 LF. | (B) Trade code: no applicable code provision cited | (C) Other: ____</t>
  </si>
  <si>
    <t xml:space="preserve">RFI-23</t>
  </si>
  <si>
    <t xml:space="preserve">CLOSED - estimator decision 2026-10-24 (rev1): FRT blocking taken off with the counts and rows per detail: stock room shelving 7/A-413 (3 rows), receiving table 8A/A-413 (4 rows), Manager's Office 3, 4/A-412 (4 rows), break room cabinets 6/A-412 (2 rows); restroom backing 21, 26/A-201 (10 pcs 3/4" FRT plywood); Cafe menu boards 4/A-226A continuous 3/4" FRT plywood 31" high x C-E1-S.</t>
  </si>
  <si>
    <t xml:space="preserve">(A) Plans / specs: delta Applied: FRT blocking 568.27 LF FRT + 2X wood 0.00 LF (2/A-500) (387.0 + 69.0 + 85.6 + 10.67 + FE cabinets 16.0, rev7); 3/4" FRT plywood + 60.61 SF menu boards (23.46 x 31/12) + 17.78 SF restroom backing (10 pcs x 16" bay x 16" high, rev2 (estimator decision 2026-10-25): 13.33 x 16/12). rev5: water heater backing (P-201) carried conservatively -&gt; RFI-32; janitor 3/4" FRT plywood area (11/A-200) carried 17.0 SF -&gt; RFI-33; W-3 surface blocking (1/A-414, 7/A-414) -&gt; RFI-36. | (B) Trade code: no applicable code provision cited | (C) Other: ____</t>
  </si>
  <si>
    <t xml:space="preserve">RFI-24</t>
  </si>
  <si>
    <t xml:space="preserve">CLOSED - estimator decision 2026-10-27: Control joints per ASTM C840 (30 ft max). N/SHEET: A-101; A-410.</t>
  </si>
  <si>
    <t xml:space="preserve">(A) Plans / specs: delta Applied: control joint + 250.0 LF (W2-01 1, W2-03 3, W2-04 1 = 5 joints x 25.0 ft x 2 faces). | (B) Trade code: no applicable code provision cited | (C) Other: ____</t>
  </si>
  <si>
    <t xml:space="preserve">RFI-25</t>
  </si>
  <si>
    <t xml:space="preserve">Merged into RFI-01 allowance (rev1): demising / perimeter wall patch &amp; repair (A-101 C5, 1/DM-101 key note 3) = ALLOWANCE, amount blank.</t>
  </si>
  <si>
    <t xml:space="preserve">(A) Plans / specs: delta Allowance: $ ________ (blank) | (B) Trade code: no applicable code provision cited | (C) Other: ____</t>
  </si>
  <si>
    <t xml:space="preserve">RFI-26</t>
  </si>
  <si>
    <t xml:space="preserve">N/A after RFI-01 (perimeter walls existing, rev1): type 1B (and its 1/2" exterior gyp sheathing) is existing, excluded.</t>
  </si>
  <si>
    <t xml:space="preserve">RFI-27</t>
  </si>
  <si>
    <t xml:space="preserve">CLOSED - estimator decision 2026-10-24 (rev1): all 5/8" gyp bd on new walls AND GWB ceilings = Type X (A-001A Div 09 A.2; 4/A-121, 5/A-121 - rev2 (estimator decision 2026-10-25): ceilings to Type X); W.R. faces = 5/8" Type X W.R. No 5/8" regular remains.</t>
  </si>
  <si>
    <t xml:space="preserve">(A) Plans / specs: delta Applied (rev7): 5/8" Type X 14,266.95 SF = walls 13,204.92 + GWB ceilings 884.24 (Cafe 103 - 11'-6" GWB band 125.07, Cafe 103 - 9'-0" GWB band 50.67, Cafe Seating Area 102 - GWB cloud 573.69, Cafe 103 - 11'-0" GWB zone 109.65, Grab &amp; Go 25.16) + VEST-GWB 105.5 + SS-GG-BOTTOM-GWB 3.73 + VEST-GWB-BANDS 14.96 + CLOUD-FASCIA-GWB 53.6; Type X W.R. 1,092.59 SF; 5/8" regular 0. | (B) Trade code: no applicable code provision cited | (C) Other: ____</t>
  </si>
  <si>
    <t xml:space="preserve">RFI-28</t>
  </si>
  <si>
    <t xml:space="preserve">CLOSED - estimator decision 2026-10-27: Moment clip at every stud of types 3 / 4. N/SHEET: A/A-410; 3/A-410; 4/A-410.</t>
  </si>
  <si>
    <t xml:space="preserve">(A) Plans / specs: delta Applied: + 162 moment clips, + 324 Kwik HUS-EZ 1/4" x 1-5/8", + 324 #10-16 screws. | (B) Trade code: no applicable code provision cited | (C) Other: ____</t>
  </si>
  <si>
    <t xml:space="preserve">RFI-29</t>
  </si>
  <si>
    <t xml:space="preserve">CLOSED - estimator decision 2026-10-27: Both: (a) stainless steel corner guard 48" at the corner the C22 leader points to (existing perimeter, the plan asks for it); (b) metal corner guards 2"x2"x72" at all outside corners. N/SHEET: C22/A-101; A-001A.</t>
  </si>
  <si>
    <t xml:space="preserve">(A) Plans / specs: delta Applied: stainless 48" = 1; metal 2"x2"x72" = 72 (C25 36, type 3 16, type 4 8, type 2 5, Cafe 7). | (B) Trade code: no applicable code provision cited | (C) Other: ____</t>
  </si>
  <si>
    <t xml:space="preserve">RFI-30</t>
  </si>
  <si>
    <t xml:space="preserve">CLOSED - estimator decision 2026-10-27: EXCLUDED: access panels by GC / tenant contractor (M-100 GN 30, E GN 12 GC installs; A-002 F/I tenant contractor); quantity not shown. N/SHEET: M-100; A-002.</t>
  </si>
  <si>
    <t xml:space="preserve">(A) Plans / specs: delta Not carried (Scope Checklist ALC-17). | (B) Trade code: no applicable code provision cited | (C) Other: ____</t>
  </si>
  <si>
    <t xml:space="preserve">RFI-31</t>
  </si>
  <si>
    <t xml:space="preserve">CLOSED - estimator decision 2026-10-27: Additional head track removed: inside the door headers of RFI-09 (no double count). N/SHEET: A-500.</t>
  </si>
  <si>
    <t xml:space="preserve">(A) Plans / specs: delta Applied: - 10.67 LF (now inside the 83.32 LF of RFI-09). | (B) Trade code: no applicable code provision cited | (C) Other: ____</t>
  </si>
  <si>
    <t xml:space="preserve">RFI-32</t>
  </si>
  <si>
    <t xml:space="preserve">CLOSED - estimator decision 2026-10-27: Water heater backing kept. N/SHEET: P-201.</t>
  </si>
  <si>
    <t xml:space="preserve">(A) Plans / specs: delta No change: 10.67 LF 3-5/8" stud. | (B) Trade code: no applicable code provision cited | (C) Other: ____</t>
  </si>
  <si>
    <t xml:space="preserve">RFI-33</t>
  </si>
  <si>
    <t xml:space="preserve">CLOSED - estimator decision 2026-10-27: Janitor 3/4" FRT plywood kept. N/SHEET: 11/A-200.</t>
  </si>
  <si>
    <t xml:space="preserve">(A) Plans / specs: delta No change: 17.0 SF. | (B) Trade code: no applicable code provision cited | (C) Other: ____</t>
  </si>
  <si>
    <t xml:space="preserve">RFI-34</t>
  </si>
  <si>
    <t xml:space="preserve">CLOSED(rev7): T.O. WD-1 at the Grab &amp; Go header = 15'-0" (5/A-226A 11'-0" + 4'-0" WD-1; 6/A-226A 15'-0"). 3/A-221: 5/8" FRT plywood full face, 5/8" GWB over it above T.O. WD-1.</t>
  </si>
  <si>
    <t xml:space="preserve">(A) Plans / specs: delta Applied: + 6.167 x 10.0 = 61.67 SF 5/8" Type X (15'-0" to deck); FRT plywood unchanged (110.49 SF). | (B) Trade code: no applicable code provision cited | (C) Other: ____</t>
  </si>
  <si>
    <t xml:space="preserve">RFI-35</t>
  </si>
  <si>
    <t xml:space="preserve">CLOSED - estimator decision 2026-10-27: Fire stop track at ceiling line kept. N/SHEET: 3/A-410 (TYP.).</t>
  </si>
  <si>
    <t xml:space="preserve">(A) Plans / specs: delta No change: 264.21 LF. | (B) Trade code: no applicable code provision cited | (C) Other: ____</t>
  </si>
  <si>
    <t xml:space="preserve">RFI-36</t>
  </si>
  <si>
    <t xml:space="preserve">CLOSED - estimator decision 2026-10-27: EXCLUDED: W-3 surface-mounted 3/4" FRT plywood blocking BY GC / FIXTURE INSTALLER. N/SHEET: 1/A-414; 7/A-414.</t>
  </si>
  <si>
    <t xml:space="preserve">(A) Plans / specs: delta Not carried (Scope Checklist ALC-16). | (B) Trade code: no applicable code provision cited | (C) Other: ____</t>
  </si>
  <si>
    <t xml:space="preserve">RFI-37</t>
  </si>
  <si>
    <t xml:space="preserve">CLOSED - resolved from the plan (rev6): the Sales / Cafe faces of C-H1-N and C-H2a are 5/8" gypsum board only. G/A-221 draws one layer on the Sales Floor side ("5/8" GYPSUM BOARD"); C-H1-N Sales face = Sales Area 101 PAINTED GYP. BD. (A-510); C-H2a Cafe face = PT-3 painted wall around door 3 (1/A-225 finish plan, 5/A-226A Cafe Service Line Elevation); the narrow WD-1 left of the door is the type I return C-I-P.1 (already carried). images 12-14.</t>
  </si>
  <si>
    <t xml:space="preserve">(A) Plans / specs: delta Applied: - 951.75 SF 5/8" FRT plywood (C-H1-N A 25.90 x 25.0 = 647.50 + C-H2a B 12.17 x 25.0 = 304.25), carried since rev0; GWB on those faces unchanged. | (B) Trade code: no applicable code provision cited | (C) Other: ____</t>
  </si>
  <si>
    <t xml:space="preserve">RFI-38</t>
  </si>
  <si>
    <t xml:space="preserve">CLOSED - estimator decision 2026-10-27: Seismic bracing per 5/A-121 kept (the plan governs). N/SHEET: 5/A-121.</t>
  </si>
  <si>
    <t xml:space="preserve">(A) Plans / specs: delta No change: splay wires 743.29 LF + 16 ga wire 131.42 LF. | (B) Trade code: no applicable code provision cited | (C) Other: ____</t>
  </si>
  <si>
    <t xml:space="preserve">RFI-39</t>
  </si>
  <si>
    <t xml:space="preserve">CLOSED - estimator decision 2026-10-27: FE cabinet FRT 2x kept (covers the 12-13/16" fire-rated R.O. of JL 1017F10). N/SHEET: 4/A-101.</t>
  </si>
  <si>
    <t xml:space="preserve">(A) Plans / specs: delta No change: 16.0 LF. | (B) Trade code: no applicable code provision cited | (C) Other: ____</t>
  </si>
  <si>
    <t xml:space="preserve">RFI-40</t>
  </si>
  <si>
    <t xml:space="preserve">CLOSED - estimator decision 2026-10-27: Nested inner runner kept. N/SHEET: 3/A-410.</t>
  </si>
  <si>
    <t xml:space="preserve">(A) Plans / specs: delta No change: 479.85 LF. | (B) Trade code: no applicable code provision cited | (C) Other: ____</t>
  </si>
  <si>
    <t xml:space="preserve">RFI-41</t>
  </si>
  <si>
    <t xml:space="preserve">CLOSED - estimator decision 2026-10-27: Joists at 5'-0". N/SHEET: 8/A-410; A-400A; A-400B.</t>
  </si>
  <si>
    <t xml:space="preserve">(A) Plans / specs: delta No change: cross members 705.0 LF; #8 screws 775 (2 per cross member, verified by the independent review); the 2-per-wall-stud reading (+ 98) stays as a note. | (B) Trade code: no applicable code provision cited | (C) Other: ____</t>
  </si>
  <si>
    <t xml:space="preserve">RFI-42</t>
  </si>
  <si>
    <t xml:space="preserve">CLOSED - estimator decision 2026-10-27: Soffit cross bracing kept (2/A-221 "as req'd", conservative). N/SHEET: 2/A-221.</t>
  </si>
  <si>
    <t xml:space="preserve">(A) Plans / specs: delta No change: 90.0 LF. | (B) Trade code: no applicable code provision cited | (C) Other: ____</t>
  </si>
  <si>
    <t xml:space="preserve">RFI-43</t>
  </si>
  <si>
    <t xml:space="preserve">CLOSED - estimator decision 2026-10-27: E1 cement board to 12'-0" (TL-4 / WD-1 to 11'-6" on 4/A-226A + 6"; 11'-6" at C-E1-B). N/SHEET: E/A-221; 4/A-226A; 1/A-121.</t>
  </si>
  <si>
    <t xml:space="preserve">(A) Plans / specs: delta Applied: 1/2" cement board - 305.62 SF (C-E1-S 19.0 x 13.0 + C-E1-P.2 2.11 x 13.0 + C-E1-B 2.31 x 13.5). | (B) Trade code: no applicable code provision cited | (C) Other: ____</t>
  </si>
  <si>
    <t xml:space="preserve">RFI-44</t>
  </si>
  <si>
    <t xml:space="preserve">CLOSED - estimator decision 2026-10-27: T.O. WD-1 on the H3a Sales face = 15'-0" (precedent 6/A-226A). N/SHEET: H/A-221; 6/A-226A.</t>
  </si>
  <si>
    <t xml:space="preserve">(A) Plans / specs: delta Applied: 5/8" FRT plywood - 40.8 SF; 5/8" Type X + 40.8 SF (4.08 x 10.0). | (B) Trade code: no applicable code provision cited | (C) Other: ____</t>
  </si>
  <si>
    <t xml:space="preserve">RFI-45</t>
  </si>
  <si>
    <t xml:space="preserve">CLOSED - estimator decision 2026-10-27: Kept (conservative). N/SHEET: G/A-221.</t>
  </si>
  <si>
    <t xml:space="preserve">(A) Plans / specs: delta No change: 66.7 SF on C-H2a. | (B) Trade code: no applicable code provision cited | (C) Other: ____</t>
  </si>
  <si>
    <t xml:space="preserve">RFI-46</t>
  </si>
  <si>
    <t xml:space="preserve">CLOSED - estimator decision 2026-10-27: Kept (estimator decision 2026-10-26). N/SHEET: F/A-221; 3/A-410; 4/A-410.</t>
  </si>
  <si>
    <t xml:space="preserve">(A) Plans / specs: delta No change: 6.52 + 122.32 LF. | (B) Trade code: no applicable code provision cited | (C) Other: ____</t>
  </si>
  <si>
    <t xml:space="preserve">RFI-47</t>
  </si>
  <si>
    <t xml:space="preserve">CLOSED - estimator decision 2026-10-27: FRT (A-410 building dept note: all plywood FRT); thickness per the A-221 sections (5/8", conservative). N/SHEET: A-410; A-221.</t>
  </si>
  <si>
    <t xml:space="preserve">RFI-48</t>
  </si>
  <si>
    <t xml:space="preserve">CLOSED - estimator decision 2026-10-27: In-partition FRT 2x, 3 rows kept (conservative + FRT note). N/SHEET: 7/A-413.</t>
  </si>
  <si>
    <t xml:space="preserve">(A) Plans / specs: delta No change: 387 LF. | (B) Trade code: no applicable code provision cited | (C) Other: ____</t>
  </si>
  <si>
    <t xml:space="preserve">RFI-49</t>
  </si>
  <si>
    <t xml:space="preserve">CLOSED - estimator decision 2026-10-27: Resolved on the plan: 0 cased openings (A-500 schedule / types; no 2/A-500 bubble on any sheet). "2/A-500 detail not referenced on any plan". N/SHEET: 2/A-500; A-500.</t>
  </si>
  <si>
    <t xml:space="preserve">(A) Plans / specs: delta Applied: 2x wood blocking - 17.0 LF. | (B) Trade code: no applicable code provision cited | (C) Other: ____</t>
  </si>
  <si>
    <t xml:space="preserve">RFI-50</t>
  </si>
  <si>
    <t xml:space="preserve">CLOSED - estimator decision 2026-10-27: EXCLUDED: server room 4'x8' FRT plywood BY GC. N/SHEET: 2/E-103; E-301.</t>
  </si>
  <si>
    <t xml:space="preserve">(A) Plans / specs: delta Applied: 3/4" FRT plywood - 32.0 SF (Scope Checklist ALC-10). | (B) Trade code: no applicable code provision cited | (C) Other: ____</t>
  </si>
  <si>
    <t xml:space="preserve">RFI-52</t>
  </si>
  <si>
    <t xml:space="preserve">CLOSED - estimator decision 2026-10-27: Kept (11'-3 1/2" printed). N/SHEET: 2/A-210; 3/A-210.</t>
  </si>
  <si>
    <t xml:space="preserve">(A) Plans / specs: delta No change: 14.96 SF. | (B) Trade code: no applicable code provision cited | (C) Other: ____</t>
  </si>
  <si>
    <t xml:space="preserve">RFI-53</t>
  </si>
  <si>
    <t xml:space="preserve">CLOSED - estimator decision 2026-10-27: Fixture hanger wire kept. N/SHEET: 5/A-121.</t>
  </si>
  <si>
    <t xml:space="preserve">(A) Plans / specs: delta No change: 401.0 LF. | (B) Trade code: no applicable code provision cited | (C) Other: ____</t>
  </si>
  <si>
    <t xml:space="preserve">RFI-51</t>
  </si>
  <si>
    <t xml:space="preserve">CLOSED - estimator decision 2026-10-27: Kept as carried + diagonal brace end screws 2 per end (manufacturer rule where the plan prints none); 8/A-210 read as 8 per station @ 16" O.C. N/SHEET: 3/A-410; 7/A-210; 8/A-210.</t>
  </si>
  <si>
    <t xml:space="preserve">(A) Plans / specs: delta Applied: + 512 #8 screws at brace ends (128 braces x 2 ends x 2); 520 Tek screws at 8/A-210 kept. | (B) Trade code: no applicable code provision cited | (C) Other: ____</t>
  </si>
  <si>
    <t xml:space="preserve">RFI-54</t>
  </si>
  <si>
    <t xml:space="preserve">CLOSED - estimator decision 2026-10-27: Perimeter track kept (conservative); 8" ledger = 16 ga like the 8/A-210 nested members. N/SHEET: 5/A-121; 4/A-210; 8/A-210.</t>
  </si>
  <si>
    <t xml:space="preserve">(A) Plans / specs: delta No change in LF. | (B) Trade code: no applicable code provision cited | (C) Other: ____</t>
  </si>
  <si>
    <t xml:space="preserve">RFI-ACC-stud-reinforcement-mep</t>
  </si>
  <si>
    <t xml:space="preserve">CLOSED - estimator decision 2026-10-27: Counted on M-102 + A-101: 8 duct crossings at the full-height walls (types 2 / 5) + 2 TG-1 transfer grille openings (W2-03, W2-02). N/SHEET: M-102; A-101.</t>
  </si>
  <si>
    <t xml:space="preserve">(A) Plans / specs: delta Applied: stud reinforcement plates 0 -&gt; 10 (8 ducts x 1 + 2 TG-1); duct sleeves 0 -&gt; 8. | (B) Trade code: no applicable code provision cited | (C) Other: ____</t>
  </si>
  <si>
    <t xml:space="preserve">RFI-55</t>
  </si>
  <si>
    <t xml:space="preserve">CLOSED - estimator decision 2026-10-28: PVC trim and FRP per the targeted review (real corners and edges; division bars every 4'; hourglass cap corners take the metal corner guard, not PVC; Work Room FRP at finished dimensions; FRP-1 below the Cafe countertop). N/SHEET: 3/A-225; 4/A-225; 1/A-225; 6/A-225; 1/A-221; 9-12/A-200; A-001A.</t>
  </si>
  <si>
    <t xml:space="preserve">(A) Plans / specs: delta Applied: PVC trim + division bars 530.54 -&gt; 887.62 LF (trim 524.62 + division bars 363.0); FRP 1,967.38 -&gt; 2,001.38 SF (Work Room - 23.0, Cafe below countertop + 57.0). | (B) Trade code: no applicable code provision cited | (C) Other: ____</t>
  </si>
  <si>
    <t xml:space="preserve">0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</si>
  <si>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</si>
  <si>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</si>
  <si>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</si>
  <si>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</si>
  <si>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</si>
  <si>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</si>
  <si>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</si>
  <si>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</si>
  <si>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</si>
  <si>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</si>
  <si>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</si>
  <si>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</si>
  <si>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Quantified (rev1): partition types 2, 5, 3, 4 (A-410) and Cafe types H1, H2a, H2b, H3a, H3b, E2, E1, F, I, A, B, D, C (A-221) on A-101 / A-221; 3-5/8" and 6" stud families in Material Summary. Perimeter types 1 / 1A / 1B / 1C EXISTING - EXCLUDED (RFI-01).</t>
  </si>
  <si>
    <t xml:space="preserve">ALC-02</t>
  </si>
  <si>
    <t xml:space="preserve">Exterior wall framing (CFMF)</t>
  </si>
  <si>
    <t xml:space="preserve">NOT APPLICABLE</t>
  </si>
  <si>
    <t xml:space="preserve">NOT APPLICABLE (rev1, estimator decision RFI-01): perimeter walls types 1 / 1A / 1B / 1C are existing; their interior board is labeled "5/8" GYP BD BY FUTURE TENANT" on 1, 1A, 1B, 1C/A-410 - EXCLUDED with that citation.</t>
  </si>
  <si>
    <t xml:space="preserve">ALC-03</t>
  </si>
  <si>
    <t xml:space="preserve">Parapet framing</t>
  </si>
  <si>
    <t xml:space="preserve">NOT APPLICABLE: no parapet framing in scope - partition schedule A-410 and sections A-400A, A-400B show no parapet type; M-301 (p50) mention is a mechanical roof-edge note</t>
  </si>
  <si>
    <t xml:space="preserve">ALC-04</t>
  </si>
  <si>
    <t xml:space="preserve">Top / deflection and bottom track</t>
  </si>
  <si>
    <t xml:space="preserve">Bottom track and top / deflection track = partition LF per type (A-101, A-221; 2/A-410, 3/A-410); + fire stop track at ceiling line (own rows by size, 3/A-410) (3/A-410, RFI-35) and additional head track 83.32 LF (RFI-31); M-302 (p51) mention is plumbing expansion fittings; nested inner runner at deflection heads (3/A-410, RFI-40); 8/A-410 #8 pan head screws + P.A.F. + #8 screws (own rows); X-EDNI 8.C = alternative in RFI-51; cross members at walls parallel to joists (8/A-410 Typ. Connection, RFI-41).</t>
  </si>
  <si>
    <t xml:space="preserve">ALC-05</t>
  </si>
  <si>
    <t xml:space="preserve">Headers, sills and jambs at openings</t>
  </si>
  <si>
    <t xml:space="preserve">RFI-09 door headers: no header schedule in the set and 1/A-500 shows no header; jambs carried as studs; sill track not called (A-500 door schedule)</t>
  </si>
  <si>
    <t xml:space="preserve">ALC-06</t>
  </si>
  <si>
    <t xml:space="preserve">Bracing / bridging</t>
  </si>
  <si>
    <t xml:space="preserve">Bracing C.R. channel @ 4'-0" O.C. per A-410 partition note 4 and 5/A-410 = 2,883.65 LF; diagonal bracing type 2 &gt; 22'-0" per 3/A-410 Top Track Detail (RFI-04 CLOSED rev3: 117 braces = 468.0 LF) + 2" x 2" 16 ga clip angles at every stud per bracing row (5/A-410) and 2/A-221 soffit cross bracing (RFI-42).</t>
  </si>
  <si>
    <t xml:space="preserve">ALC-07</t>
  </si>
  <si>
    <t xml:space="preserve">Gypsum board on walls (layers per type)</t>
  </si>
  <si>
    <t xml:space="preserve">Quantified (rev6): 5/8" Type X 14,266.95 SF + 5/8" Type X W.R. 1,092.59 SF (A-410, A-001A, RFI-27, RFI-11); no 5/8" regular. Perimeter walls existing (RFI-01).</t>
  </si>
  <si>
    <t xml:space="preserve">ALC-08</t>
  </si>
  <si>
    <t xml:space="preserve">Moisture / abuse / special board at wet zones</t>
  </si>
  <si>
    <t xml:space="preserve">Quantified (rev6): 5/8" Type X W.R. 1,092.59 SF = all faces of Women's 109, Men's 108, Janitor 107 and drinking fountain alcove corridor faces (A-410 Partition Notes 2 and 7, '*' note, 2/A-410, 5/A-410) + restroom GWB ceilings 122.30 SF (A-410 Partition Notes 2); Cafe Work Room 104 = FRT plywood + FRP-1, no gypsum (G/A-221, A-510); existing EXT-07 faces = patch allowance.</t>
  </si>
  <si>
    <t xml:space="preserve">ALC-09</t>
  </si>
  <si>
    <t xml:space="preserve">Exterior gypsum / glass mat sheathing</t>
  </si>
  <si>
    <t xml:space="preserve">NOT APPLICABLE (rev1): the only sheathing in the set is 1/2 in exterior gyp sheathing of type 1B (1B/A-410), an EXISTING perimeter wall - EXCLUDED (RFI-01, 1/DM-101, A-002); M-301 (p50) 'plastic sheathing' is temporary protection.</t>
  </si>
  <si>
    <t xml:space="preserve">ALC-10</t>
  </si>
  <si>
    <t xml:space="preserve">FRT plywood sheathing / substrate</t>
  </si>
  <si>
    <t xml:space="preserve">FRT plywood 5/8" 2,686.45 SF (Cafe types G, H, E2, F, I and Grab &amp; Go soffit 3/A-221; soffit faces 2/A-221) + 3/4" 370.46 SF (counters A/B, menu boards 4/A-226A, restroom backing 21/A-201, vestibule 4/A-210, 5/A-210, janitor 11/A-200) - breakdown in Material Summary EXCLUDED (estimator decision 2026-10-27, RFI-50): server room 4'x8' FRT plywood BY GC (2/E-103). Types 3 / 4 one face 5/8" FRT plywood + FRP added (RFI-22).</t>
  </si>
  <si>
    <t xml:space="preserve">ALC-11</t>
  </si>
  <si>
    <t xml:space="preserve">Gypsum board ceilings</t>
  </si>
  <si>
    <t xml:space="preserve">Quantified (rev7): suspended GWB ceilings and soffits per A-121 (5/A-121, 4/A-121) and 2/A-221 = 1,006.54 SF (incl. Grab &amp; Go 7'-1" 25.16 SF): 5/8" Type X + restroom ceilings 5/8" Type X W.R. (A-410 Partition Notes 2).</t>
  </si>
  <si>
    <t xml:space="preserve">ALC-12</t>
  </si>
  <si>
    <t xml:space="preserve">Ceiling suspension (furring / carrying channel / hanger wire / ceiling track)</t>
  </si>
  <si>
    <t xml:space="preserve">Furring channel @ 24", carrying channel @ 48", hanger wire 109 pcs at 48" + 29 at light fixtures, ceiling track per 5/A-121 on A-121; carrying direction E-W (RFI-15 CLOSED rev3: joists N-S on 1/A-400A, 2/A-400A); Cafe Seating cloud = USG drywall suspension grid 4/A-121; M-100 (p46), M-101 (p47), M-102 (p48) hangers are MEP; Grab &amp; Go GWB ceiling 7'-1" added; additional hangers at light fixtures and seismic splay wires per 5/A-121 (RFI-38); 16 ga tie wire (5/A-121) = consumable of the furring / carrying install, no separate row.</t>
  </si>
  <si>
    <t xml:space="preserve">ALC-13</t>
  </si>
  <si>
    <t xml:space="preserve">Soffits and bulkheads (framing + board)</t>
  </si>
  <si>
    <t xml:space="preserve">Quantified: framed soffit 2/A-221 (SS-N, SS-E, SS-IN-N, SS-IN-E) and Grab &amp; Go header soffit 3/A-221 (SS-GG, RFI-20 CLOSED rev5; T.O. WD-1 RFI-34); E-102 (p36) bulkhead is signage (by others)</t>
  </si>
  <si>
    <t xml:space="preserve">ALC-14</t>
  </si>
  <si>
    <t xml:space="preserve">Canopy / marquee framing and sheathing</t>
  </si>
  <si>
    <t xml:space="preserve">NOT APPLICABLE: E-102 (p36) 'MOUNT WITHIN CANOPY BULKHEAD' is an electrical sign note at the existing canopy; no canopy framing on A-101, A-121, A-210</t>
  </si>
  <si>
    <t xml:space="preserve">ALC-15</t>
  </si>
  <si>
    <t xml:space="preserve">Column furring / wraps</t>
  </si>
  <si>
    <t xml:space="preserve">Column wraps C25 x 9 on A-101, studs @ 16" O.C. (RFI-17 CLOSED rev4), carried under OTHER FRAMING</t>
  </si>
  <si>
    <t xml:space="preserve">ALC-16</t>
  </si>
  <si>
    <t xml:space="preserve">Blocking (FRT wood / metal) for millwork and accessories</t>
  </si>
  <si>
    <t xml:space="preserve">Quantified (rev1, RFI-23): FRT blocking 568.27 LF (7/A-413 387.0, 8A/A-413 69.0, 3-4/A-412 85.6, 6/A-412 10.67, 4/A-101 FE cabinets 16.0) + 3/4" FRT plywood menu boards 60.61 SF (4/A-226A) + restroom backing 17.78 SF (21/A-201) + janitor 17.0 SF (11/A-200, RFI-33); water heater backing P-201 10.67 LF 3-5/8" stud (RFI-32); W-3 surface blocking 1/A-414 RFI-36. EXCLUDED (estimator decision 2026-10-27, RFI-36): W-3 surface-mounted 3/4" FRT plywood blocking BY GC / FIXTURE INSTALLER (1/A-414, 7/A-414). 2/A-500 cased opening blocking removed: 0 cased openings (RFI-49).</t>
  </si>
  <si>
    <t xml:space="preserve">ALC-17</t>
  </si>
  <si>
    <t xml:space="preserve">Framed openings (MEP, access panels, diffusers)</t>
  </si>
  <si>
    <t xml:space="preserve">QUANTIFIED: stud reinforcement plates 10 + duct sleeves 8 (M-102 count, estimator decision 2026-10-27). Access panels EXCLUDED (estimator decision 2026-10-27, RFI-30): access panels by GC / tenant contractor (M-100 GN 30, E GN 12 GC installs; A-002 F/I tenant contractor); quantity not shown. recessed FE cabinets framed per 4/A-101 (FRT header + base, RFI-39); no framed MEP opening drawn in GWB walls (A-121, M-102, P-101A).</t>
  </si>
  <si>
    <t xml:space="preserve">ALC-18</t>
  </si>
  <si>
    <t xml:space="preserve">Trim: corner bead, casing bead, control joints, reveals</t>
  </si>
  <si>
    <t xml:space="preserve">Metal trim (corner bead, J-bead) per A-410, A-121, A-510 Finish Notes 8 (incl. soffit bottom edges 65.31 LF); control joints not printed - carried per ASTM C840 (estimator decision 2026-10-27, RFI-24). Control joints 250.0 LF (ASTM C840, RFI-24); corner guards metal 2"x2"x72" 72 + stainless 48" 1 (RFI-29).</t>
  </si>
  <si>
    <t xml:space="preserve">ALC-19</t>
  </si>
  <si>
    <t xml:space="preserve">Acoustical sealant / sound attenuation (EXCLUDED: estimator standing order, all projects)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</si>
  <si>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</si>
  <si>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</si>
  <si>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</si>
  <si>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QUANTIFIED (estimator decision 2026-10-27): FRP-1 Cafe Work Room + Janitor (RFI-13) and one face of types 3 / 4 (RFI-22) + PVC trim; cement board E1 to 12'-0" (RFI-43). Cement board at wet walls (A-510 tile finishes, RFI-12 incl. Corridor 110 wall tile); FRP-1 extent RFI-13 / RFI-22 not carried</t>
  </si>
  <si>
    <t xml:space="preserve">ALC-21</t>
  </si>
  <si>
    <t xml:space="preserve">Shaft walls / area separation walls</t>
  </si>
  <si>
    <t xml:space="preserve">NOT APPLICABLE: no shaft wall / area separation wall in partition schedule A-410 or plan A-101</t>
  </si>
  <si>
    <t xml:space="preserve">ALC-22</t>
  </si>
  <si>
    <t xml:space="preserve">Rated assemblies (UL designs) and their board type</t>
  </si>
  <si>
    <t xml:space="preserve">NOT APPLICABLE: all partition types are Non-Rated per A-410 titles (2/A-410, 3/A-410, 4/A-410, 5/A-410); E-201 (p40), E-202 (p42), E-301 (p44), M-100 (p46) mentions are generic penetration notes</t>
  </si>
  <si>
    <t xml:space="preserve">ALC-23</t>
  </si>
  <si>
    <t xml:space="preserve">Special panels (ballistic, lead-lined, abuse)</t>
  </si>
  <si>
    <t xml:space="preserve">NOT APPLICABLE: no ballistic, lead-lined or abuse panels in A-410 schedule or A-510 finish schedule</t>
  </si>
  <si>
    <t xml:space="preserve">ALC-24</t>
  </si>
  <si>
    <t xml:space="preserve">Finish level (Level 4 / Level 5)</t>
  </si>
  <si>
    <t xml:space="preserve">QUANTIFIED: Level 4 finish printed - A-001A Div 09 A.8 "PROVIDE AT A MINIMUM A LEVEL 4 FINISH" (joint compound / tape yields per Inputs); no Level 5 (A-510).</t>
  </si>
  <si>
    <t xml:space="preserve">ALC-X40</t>
  </si>
  <si>
    <t xml:space="preserve">Acoustical lay-in ceilings ACT-1 / ACT-3 (tile + Prelude XL grid + wires)</t>
  </si>
  <si>
    <t xml:space="preserve">EXCLUDED: Div 09 51 acoustical ceilings by the ACT contractor - A-002 lists "ACOUSTICAL CEILING SYSTEM" as its own line (F/I tenant contractor); ACT-1 Cafe Workroom 10'-0", ACT-3 Corridor, Break Room, Manager's Office 9'-0" (1/A-121, A-510 finish legend); ACT portion of 5/A-121. Wall board heights use these ceilings + 6".</t>
  </si>
  <si>
    <t xml:space="preserve">ALC-X41</t>
  </si>
  <si>
    <t xml:space="preserve">Unistrut space frame / strut channel</t>
  </si>
  <si>
    <t xml:space="preserve">EXCLUDED: A-001A Div 05 D "UNISTRUT SPACE FRAME GRID SYSTEM ... AS REQUIRED FOR LIGHTING, CEILING ACCESSORIES OR MECHANICAL SYSTEMS SUSPENSION" and A-002 cafe signage "STRUT CHANNEL" = lighting / sign / MEP supports by those trades; the sign blocking is carried (4/A-226A menu boards).</t>
  </si>
  <si>
    <t xml:space="preserve">ALC-X42</t>
  </si>
  <si>
    <t xml:space="preserve">Caulk at the base of wet-area walls</t>
  </si>
  <si>
    <t xml:space="preserve">EXCLUDED: A-101 general note 8 "BOTTOM OF THE WALL CAULKED AT FLOOR LEVEL" = joint sealant (Div 07), excluded like all sealants (estimator standing order).</t>
  </si>
  <si>
    <t xml:space="preserve">ALC-X43</t>
  </si>
  <si>
    <t xml:space="preserve">Partition seismic bracing (A-002 Div 10)</t>
  </si>
  <si>
    <t xml:space="preserve">EXCLUDED as a separate item: A-002 Div 10 "SEISMIC BRACING" is listed with the specialties; partition lateral bracing is carried per 5/A-410 and 3/A-410; ceiling bracing per 5/A-121 carried under RFI-38.</t>
  </si>
  <si>
    <t xml:space="preserve">ALC-X44</t>
  </si>
  <si>
    <t xml:space="preserve">Remove &amp; replace existing GWB for shelving blocking (7/A-413)</t>
  </si>
  <si>
    <t xml:space="preserve">Inside the RFI-01 patch &amp; repair allowance (existing perimeter walls): A-413 general note "G.C. IS TO REMOVE AND REPLACE GYP. BOARD AS REQUIRED FOR INSTALLATION OF WOOD BLOCKING".</t>
  </si>
  <si>
    <t xml:space="preserve">ALC-X30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</si>
  <si>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</si>
  <si>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</si>
  <si>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</si>
  <si>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"8bdec55037a6be817f0f77ce3aee96942e5c16dd1111543dc36b0df9266a6b0a", "evidencias": "82f4ec13c901d7191f9772989e98854d158340ab19499f6cfbada96ca6cbd21e", "familias_out": "a17cb8736700ecd7b963bcbcb876cde382d4baeea2b2a9715d28dfe6e33b2a0d", "reglas": "add98168ed5f6609abe835c745a9f67dbfa99402dc80d3b201c86884ce167d05",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</si>
</sst>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1.333333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0.666666666666667</v>
      </c>
      <c r="C25" s="4" t="s">
        <v>46</v>
      </c>
    </row>
    <row r="26" customFormat="false" ht="15" hidden="false" customHeight="false" outlineLevel="0" collapsed="false">
      <c r="A26" s="0" t="s">
        <v>47</v>
      </c>
      <c r="B26" s="3" t="n">
        <v>16</v>
      </c>
      <c r="C26" s="4" t="s">
        <v>48</v>
      </c>
    </row>
    <row r="27" customFormat="false" ht="15" hidden="false" customHeight="false" outlineLevel="0" collapsed="false">
      <c r="A27" s="0" t="s">
        <v>49</v>
      </c>
      <c r="B27" s="3" t="n">
        <v>12</v>
      </c>
      <c r="C27" s="4" t="s">
        <v>50</v>
      </c>
    </row>
    <row r="28" customFormat="false" ht="15" hidden="false" customHeight="false" outlineLevel="0" collapsed="false">
      <c r="A28" s="0" t="s">
        <v>51</v>
      </c>
      <c r="B28" s="3" t="n">
        <v>4</v>
      </c>
      <c r="C28" s="4" t="s">
        <v>52</v>
      </c>
    </row>
    <row r="29" customFormat="false" ht="15" hidden="false" customHeight="false" outlineLevel="0" collapsed="false">
      <c r="A29" s="0" t="s">
        <v>53</v>
      </c>
      <c r="B29" s="3" t="n">
        <v>12</v>
      </c>
      <c r="C29" s="4" t="s">
        <v>54</v>
      </c>
    </row>
    <row r="30" customFormat="false" ht="15" hidden="false" customHeight="false" outlineLevel="0" collapsed="false">
      <c r="A30" s="0" t="s">
        <v>55</v>
      </c>
      <c r="B30" s="3" t="n">
        <v>40</v>
      </c>
      <c r="C30" s="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9" min="8" style="0" width="60"/>
    <col collapsed="false" customWidth="true" hidden="false" outlineLevel="0" max="10" min="10" style="0" width="23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57</v>
      </c>
    </row>
    <row r="2" customFormat="false" ht="15" hidden="false" customHeight="false" outlineLevel="0" collapsed="false">
      <c r="A2" s="0" t="s">
        <v>58</v>
      </c>
    </row>
    <row r="4" customFormat="false" ht="15" hidden="false" customHeight="false" outlineLevel="0" collapsed="false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67</v>
      </c>
      <c r="J4" s="2" t="s">
        <v>68</v>
      </c>
      <c r="K4" s="2" t="s">
        <v>69</v>
      </c>
    </row>
    <row r="5" customFormat="false" ht="15" hidden="false" customHeight="false" outlineLevel="0" collapsed="false">
      <c r="A5" s="5" t="s">
        <v>70</v>
      </c>
    </row>
    <row r="6" customFormat="false" ht="15" hidden="false" customHeight="false" outlineLevel="0" collapsed="false">
      <c r="A6" s="0" t="s">
        <v>71</v>
      </c>
      <c r="B6" s="0" t="s">
        <v>72</v>
      </c>
      <c r="C6" s="0" t="n">
        <v>54.61</v>
      </c>
      <c r="D6" s="0" t="n">
        <v>25.29</v>
      </c>
      <c r="E6" s="0" t="n">
        <v>1.9</v>
      </c>
      <c r="F6" s="0" t="s">
        <v>73</v>
      </c>
      <c r="G6" s="0" t="n">
        <v>16</v>
      </c>
      <c r="H6" s="0" t="n">
        <v>2625.36</v>
      </c>
      <c r="I6" s="0" t="s">
        <v>74</v>
      </c>
      <c r="J6" s="0" t="s">
        <v>75</v>
      </c>
      <c r="K6" s="0" t="s">
        <v>76</v>
      </c>
    </row>
    <row r="7" customFormat="false" ht="15" hidden="false" customHeight="false" outlineLevel="0" collapsed="false">
      <c r="A7" s="0" t="s">
        <v>77</v>
      </c>
      <c r="B7" s="0" t="s">
        <v>78</v>
      </c>
      <c r="C7" s="0" t="n">
        <v>94.25</v>
      </c>
      <c r="D7" s="0" t="n">
        <v>25.29</v>
      </c>
      <c r="E7" s="0" t="n">
        <v>2</v>
      </c>
      <c r="F7" s="0" t="s">
        <v>73</v>
      </c>
      <c r="G7" s="0" t="n">
        <v>16</v>
      </c>
      <c r="H7" s="0" t="n">
        <v>4508.89</v>
      </c>
      <c r="I7" s="0" t="s">
        <v>79</v>
      </c>
      <c r="J7" s="0" t="s">
        <v>75</v>
      </c>
      <c r="K7" s="0" t="s">
        <v>76</v>
      </c>
    </row>
    <row r="8" customFormat="false" ht="15" hidden="false" customHeight="false" outlineLevel="0" collapsed="false">
      <c r="A8" s="0" t="s">
        <v>80</v>
      </c>
      <c r="B8" s="0" t="s">
        <v>81</v>
      </c>
      <c r="C8" s="0" t="n">
        <v>57.11</v>
      </c>
      <c r="D8" s="0" t="n">
        <v>25.29</v>
      </c>
      <c r="E8" s="0" t="n">
        <v>2</v>
      </c>
      <c r="F8" s="0" t="s">
        <v>73</v>
      </c>
      <c r="G8" s="0" t="n">
        <v>16</v>
      </c>
      <c r="H8" s="0" t="n">
        <v>1970.3</v>
      </c>
      <c r="I8" s="0" t="s">
        <v>82</v>
      </c>
      <c r="J8" s="0" t="s">
        <v>75</v>
      </c>
      <c r="K8" s="0" t="s">
        <v>76</v>
      </c>
    </row>
    <row r="9" customFormat="false" ht="15" hidden="false" customHeight="false" outlineLevel="0" collapsed="false">
      <c r="A9" s="0" t="s">
        <v>83</v>
      </c>
      <c r="B9" s="0" t="s">
        <v>84</v>
      </c>
      <c r="C9" s="0" t="n">
        <v>12.92</v>
      </c>
      <c r="D9" s="0" t="n">
        <v>25.29</v>
      </c>
      <c r="E9" s="0" t="n">
        <v>2</v>
      </c>
      <c r="F9" s="0" t="s">
        <v>73</v>
      </c>
      <c r="G9" s="0" t="n">
        <v>16</v>
      </c>
      <c r="H9" s="0" t="n">
        <v>241.73</v>
      </c>
      <c r="I9" s="0" t="s">
        <v>85</v>
      </c>
      <c r="J9" s="0" t="s">
        <v>75</v>
      </c>
      <c r="K9" s="0" t="s">
        <v>76</v>
      </c>
    </row>
    <row r="10" customFormat="false" ht="15" hidden="false" customHeight="false" outlineLevel="0" collapsed="false">
      <c r="A10" s="0" t="s">
        <v>86</v>
      </c>
      <c r="B10" s="0" t="s">
        <v>87</v>
      </c>
      <c r="C10" s="0" t="n">
        <v>5.3</v>
      </c>
      <c r="D10" s="0" t="n">
        <v>25.29</v>
      </c>
      <c r="E10" s="0" t="n">
        <v>2</v>
      </c>
      <c r="F10" s="0" t="s">
        <v>73</v>
      </c>
      <c r="G10" s="0" t="n">
        <v>16</v>
      </c>
      <c r="H10" s="0" t="n">
        <v>95.4</v>
      </c>
      <c r="I10" s="0" t="s">
        <v>88</v>
      </c>
      <c r="J10" s="0" t="s">
        <v>75</v>
      </c>
      <c r="K10" s="0" t="s">
        <v>76</v>
      </c>
    </row>
    <row r="11" customFormat="false" ht="15" hidden="false" customHeight="false" outlineLevel="0" collapsed="false">
      <c r="A11" s="0" t="s">
        <v>89</v>
      </c>
      <c r="B11" s="0" t="s">
        <v>90</v>
      </c>
      <c r="C11" s="0" t="n">
        <v>4.04</v>
      </c>
      <c r="D11" s="0" t="n">
        <v>25.29</v>
      </c>
      <c r="E11" s="0" t="n">
        <v>2</v>
      </c>
      <c r="F11" s="0" t="s">
        <v>73</v>
      </c>
      <c r="G11" s="0" t="n">
        <v>16</v>
      </c>
      <c r="H11" s="0" t="n">
        <v>74.74</v>
      </c>
      <c r="I11" s="0" t="s">
        <v>91</v>
      </c>
      <c r="J11" s="0" t="s">
        <v>75</v>
      </c>
      <c r="K11" s="0" t="s">
        <v>76</v>
      </c>
    </row>
    <row r="12" customFormat="false" ht="15" hidden="false" customHeight="false" outlineLevel="0" collapsed="false">
      <c r="A12" s="0" t="s">
        <v>92</v>
      </c>
      <c r="B12" s="0" t="s">
        <v>93</v>
      </c>
      <c r="C12" s="0" t="n">
        <v>5.26</v>
      </c>
      <c r="D12" s="0" t="n">
        <v>25.29</v>
      </c>
      <c r="E12" s="0" t="n">
        <v>2</v>
      </c>
      <c r="F12" s="0" t="s">
        <v>73</v>
      </c>
      <c r="G12" s="0" t="n">
        <v>16</v>
      </c>
      <c r="H12" s="0" t="n">
        <v>115.2</v>
      </c>
      <c r="I12" s="0" t="s">
        <v>94</v>
      </c>
      <c r="J12" s="0" t="s">
        <v>75</v>
      </c>
      <c r="K12" s="0" t="s">
        <v>76</v>
      </c>
    </row>
    <row r="13" customFormat="false" ht="15" hidden="false" customHeight="false" outlineLevel="0" collapsed="false">
      <c r="A13" s="0" t="s">
        <v>95</v>
      </c>
      <c r="B13" s="0" t="s">
        <v>96</v>
      </c>
      <c r="C13" s="0" t="n">
        <v>7.51</v>
      </c>
      <c r="D13" s="0" t="n">
        <v>25.29</v>
      </c>
      <c r="E13" s="0" t="n">
        <v>2</v>
      </c>
      <c r="F13" s="0" t="s">
        <v>73</v>
      </c>
      <c r="G13" s="0" t="n">
        <v>16</v>
      </c>
      <c r="H13" s="0" t="n">
        <v>257.52</v>
      </c>
      <c r="I13" s="0" t="s">
        <v>97</v>
      </c>
      <c r="J13" s="0" t="s">
        <v>75</v>
      </c>
      <c r="K13" s="0" t="s">
        <v>76</v>
      </c>
    </row>
    <row r="14" customFormat="false" ht="15" hidden="false" customHeight="false" outlineLevel="0" collapsed="false">
      <c r="A14" s="0" t="s">
        <v>98</v>
      </c>
      <c r="B14" s="0" t="s">
        <v>99</v>
      </c>
      <c r="C14" s="0" t="n">
        <v>9.42</v>
      </c>
      <c r="D14" s="0" t="n">
        <v>25.29</v>
      </c>
      <c r="E14" s="0" t="n">
        <v>2</v>
      </c>
      <c r="F14" s="0" t="s">
        <v>73</v>
      </c>
      <c r="G14" s="0" t="n">
        <v>16</v>
      </c>
      <c r="H14" s="0" t="n">
        <v>263.86</v>
      </c>
      <c r="I14" s="0" t="s">
        <v>100</v>
      </c>
      <c r="J14" s="0" t="s">
        <v>75</v>
      </c>
      <c r="K14" s="0" t="s">
        <v>76</v>
      </c>
    </row>
    <row r="15" customFormat="false" ht="15" hidden="false" customHeight="false" outlineLevel="0" collapsed="false">
      <c r="A15" s="0" t="s">
        <v>101</v>
      </c>
      <c r="B15" s="0" t="s">
        <v>102</v>
      </c>
      <c r="C15" s="0" t="n">
        <v>9.42</v>
      </c>
      <c r="D15" s="0" t="n">
        <v>25.29</v>
      </c>
      <c r="E15" s="0" t="n">
        <v>2</v>
      </c>
      <c r="F15" s="0" t="s">
        <v>73</v>
      </c>
      <c r="G15" s="0" t="n">
        <v>16</v>
      </c>
      <c r="H15" s="0" t="n">
        <v>178.98</v>
      </c>
      <c r="I15" s="0" t="s">
        <v>103</v>
      </c>
      <c r="J15" s="0" t="s">
        <v>75</v>
      </c>
      <c r="K15" s="0" t="s">
        <v>76</v>
      </c>
    </row>
    <row r="16" customFormat="false" ht="15" hidden="false" customHeight="false" outlineLevel="0" collapsed="false">
      <c r="B16" s="6" t="s">
        <v>104</v>
      </c>
      <c r="C16" s="4" t="n">
        <f aca="false">SUM(C6:C15)</f>
        <v>259.84</v>
      </c>
      <c r="H16" s="4" t="n">
        <f aca="false">SUM(H6:H15)</f>
        <v>10331.98</v>
      </c>
    </row>
    <row r="17" customFormat="false" ht="15" hidden="false" customHeight="false" outlineLevel="0" collapsed="false">
      <c r="A17" s="5" t="s">
        <v>105</v>
      </c>
    </row>
    <row r="18" customFormat="false" ht="15" hidden="false" customHeight="false" outlineLevel="0" collapsed="false">
      <c r="A18" s="0" t="s">
        <v>106</v>
      </c>
      <c r="B18" s="0" t="s">
        <v>107</v>
      </c>
      <c r="C18" s="0" t="n">
        <v>5.7</v>
      </c>
      <c r="D18" s="0" t="n">
        <v>25.29</v>
      </c>
      <c r="E18" s="0" t="n">
        <v>2</v>
      </c>
      <c r="F18" s="0" t="s">
        <v>108</v>
      </c>
      <c r="G18" s="0" t="n">
        <v>16</v>
      </c>
      <c r="H18" s="0" t="n">
        <v>102.6</v>
      </c>
      <c r="I18" s="0" t="s">
        <v>109</v>
      </c>
      <c r="J18" s="0" t="s">
        <v>110</v>
      </c>
      <c r="K18" s="0" t="s">
        <v>76</v>
      </c>
    </row>
    <row r="19" customFormat="false" ht="15" hidden="false" customHeight="false" outlineLevel="0" collapsed="false">
      <c r="B19" s="6" t="s">
        <v>111</v>
      </c>
      <c r="C19" s="4" t="n">
        <f aca="false">SUM(C18:C18)</f>
        <v>5.7</v>
      </c>
      <c r="H19" s="4" t="n">
        <f aca="false">SUM(H18:H18)</f>
        <v>102.6</v>
      </c>
    </row>
    <row r="20" customFormat="false" ht="15" hidden="false" customHeight="false" outlineLevel="0" collapsed="false">
      <c r="A20" s="5" t="s">
        <v>112</v>
      </c>
    </row>
    <row r="21" customFormat="false" ht="15" hidden="false" customHeight="false" outlineLevel="0" collapsed="false">
      <c r="A21" s="0" t="s">
        <v>113</v>
      </c>
      <c r="B21" s="0" t="s">
        <v>114</v>
      </c>
      <c r="C21" s="0" t="n">
        <v>3.67</v>
      </c>
      <c r="D21" s="0" t="n">
        <v>8</v>
      </c>
      <c r="E21" s="0" t="n">
        <v>1</v>
      </c>
      <c r="F21" s="0" t="s">
        <v>73</v>
      </c>
      <c r="G21" s="0" t="n">
        <v>16</v>
      </c>
      <c r="H21" s="0" t="n">
        <v>29.36</v>
      </c>
      <c r="I21" s="0" t="s">
        <v>115</v>
      </c>
      <c r="J21" s="0" t="s">
        <v>116</v>
      </c>
      <c r="K21" s="0" t="s">
        <v>76</v>
      </c>
    </row>
    <row r="22" customFormat="false" ht="15" hidden="false" customHeight="false" outlineLevel="0" collapsed="false">
      <c r="A22" s="0" t="s">
        <v>117</v>
      </c>
      <c r="B22" s="0" t="s">
        <v>118</v>
      </c>
      <c r="C22" s="0" t="n">
        <v>12</v>
      </c>
      <c r="D22" s="0" t="n">
        <v>8</v>
      </c>
      <c r="E22" s="0" t="n">
        <v>1</v>
      </c>
      <c r="F22" s="0" t="s">
        <v>73</v>
      </c>
      <c r="G22" s="0" t="n">
        <v>16</v>
      </c>
      <c r="H22" s="0" t="n">
        <v>96</v>
      </c>
      <c r="I22" s="0" t="s">
        <v>115</v>
      </c>
      <c r="J22" s="0" t="s">
        <v>116</v>
      </c>
      <c r="K22" s="0" t="s">
        <v>76</v>
      </c>
    </row>
    <row r="23" customFormat="false" ht="15" hidden="false" customHeight="false" outlineLevel="0" collapsed="false">
      <c r="A23" s="0" t="s">
        <v>119</v>
      </c>
      <c r="B23" s="0" t="s">
        <v>120</v>
      </c>
      <c r="C23" s="0" t="n">
        <v>12</v>
      </c>
      <c r="D23" s="0" t="n">
        <v>8</v>
      </c>
      <c r="E23" s="0" t="n">
        <v>1</v>
      </c>
      <c r="F23" s="0" t="s">
        <v>73</v>
      </c>
      <c r="G23" s="0" t="n">
        <v>16</v>
      </c>
      <c r="H23" s="0" t="n">
        <v>96</v>
      </c>
      <c r="I23" s="0" t="s">
        <v>115</v>
      </c>
      <c r="J23" s="0" t="s">
        <v>116</v>
      </c>
      <c r="K23" s="0" t="s">
        <v>76</v>
      </c>
    </row>
    <row r="24" customFormat="false" ht="15" hidden="false" customHeight="false" outlineLevel="0" collapsed="false">
      <c r="A24" s="0" t="s">
        <v>121</v>
      </c>
      <c r="B24" s="0" t="s">
        <v>122</v>
      </c>
      <c r="C24" s="0" t="n">
        <v>3.67</v>
      </c>
      <c r="D24" s="0" t="n">
        <v>8</v>
      </c>
      <c r="E24" s="0" t="n">
        <v>1</v>
      </c>
      <c r="F24" s="0" t="s">
        <v>73</v>
      </c>
      <c r="G24" s="0" t="n">
        <v>16</v>
      </c>
      <c r="H24" s="0" t="n">
        <v>29.36</v>
      </c>
      <c r="I24" s="0" t="s">
        <v>115</v>
      </c>
      <c r="J24" s="0" t="s">
        <v>116</v>
      </c>
      <c r="K24" s="0" t="s">
        <v>76</v>
      </c>
    </row>
    <row r="25" customFormat="false" ht="15" hidden="false" customHeight="false" outlineLevel="0" collapsed="false">
      <c r="A25" s="0" t="s">
        <v>123</v>
      </c>
      <c r="B25" s="0" t="s">
        <v>124</v>
      </c>
      <c r="C25" s="0" t="n">
        <v>3.67</v>
      </c>
      <c r="D25" s="0" t="n">
        <v>8</v>
      </c>
      <c r="E25" s="0" t="n">
        <v>1</v>
      </c>
      <c r="F25" s="0" t="s">
        <v>73</v>
      </c>
      <c r="G25" s="0" t="n">
        <v>16</v>
      </c>
      <c r="H25" s="0" t="n">
        <v>29.36</v>
      </c>
      <c r="I25" s="0" t="s">
        <v>115</v>
      </c>
      <c r="J25" s="0" t="s">
        <v>116</v>
      </c>
      <c r="K25" s="0" t="s">
        <v>76</v>
      </c>
    </row>
    <row r="26" customFormat="false" ht="15" hidden="false" customHeight="false" outlineLevel="0" collapsed="false">
      <c r="A26" s="0" t="s">
        <v>125</v>
      </c>
      <c r="B26" s="0" t="s">
        <v>126</v>
      </c>
      <c r="C26" s="0" t="n">
        <v>3.67</v>
      </c>
      <c r="D26" s="0" t="n">
        <v>8</v>
      </c>
      <c r="E26" s="0" t="n">
        <v>1</v>
      </c>
      <c r="F26" s="0" t="s">
        <v>73</v>
      </c>
      <c r="G26" s="0" t="n">
        <v>16</v>
      </c>
      <c r="H26" s="0" t="n">
        <v>29.36</v>
      </c>
      <c r="I26" s="0" t="s">
        <v>115</v>
      </c>
      <c r="J26" s="0" t="s">
        <v>116</v>
      </c>
      <c r="K26" s="0" t="s">
        <v>76</v>
      </c>
    </row>
    <row r="27" customFormat="false" ht="15" hidden="false" customHeight="false" outlineLevel="0" collapsed="false">
      <c r="B27" s="6" t="s">
        <v>127</v>
      </c>
      <c r="C27" s="4" t="n">
        <f aca="false">SUM(C21:C26)</f>
        <v>38.68</v>
      </c>
      <c r="H27" s="4" t="n">
        <f aca="false">SUM(H21:H26)</f>
        <v>309.44</v>
      </c>
    </row>
    <row r="28" customFormat="false" ht="15" hidden="false" customHeight="false" outlineLevel="0" collapsed="false">
      <c r="A28" s="5" t="s">
        <v>128</v>
      </c>
    </row>
    <row r="29" customFormat="false" ht="15" hidden="false" customHeight="false" outlineLevel="0" collapsed="false">
      <c r="A29" s="0" t="s">
        <v>129</v>
      </c>
      <c r="B29" s="0" t="s">
        <v>130</v>
      </c>
      <c r="C29" s="0" t="n">
        <v>64.84</v>
      </c>
      <c r="D29" s="0" t="n">
        <v>7.5</v>
      </c>
      <c r="E29" s="0" t="n">
        <v>1.72</v>
      </c>
      <c r="F29" s="0" t="s">
        <v>73</v>
      </c>
      <c r="G29" s="0" t="n">
        <v>16</v>
      </c>
      <c r="H29" s="0" t="n">
        <v>837.6</v>
      </c>
      <c r="I29" s="0" t="s">
        <v>131</v>
      </c>
      <c r="J29" s="0" t="s">
        <v>132</v>
      </c>
      <c r="K29" s="0" t="s">
        <v>76</v>
      </c>
    </row>
    <row r="30" customFormat="false" ht="15" hidden="false" customHeight="false" outlineLevel="0" collapsed="false">
      <c r="B30" s="6" t="s">
        <v>133</v>
      </c>
      <c r="C30" s="4" t="n">
        <f aca="false">SUM(C29:C29)</f>
        <v>64.84</v>
      </c>
      <c r="H30" s="4" t="n">
        <f aca="false">SUM(H29:H29)</f>
        <v>837.6</v>
      </c>
    </row>
    <row r="31" customFormat="false" ht="15" hidden="false" customHeight="false" outlineLevel="0" collapsed="false">
      <c r="A31" s="5" t="s">
        <v>134</v>
      </c>
    </row>
    <row r="32" customFormat="false" ht="15" hidden="false" customHeight="false" outlineLevel="0" collapsed="false">
      <c r="A32" s="0" t="s">
        <v>135</v>
      </c>
      <c r="B32" s="0" t="s">
        <v>136</v>
      </c>
      <c r="C32" s="0" t="n">
        <v>29.44</v>
      </c>
      <c r="D32" s="0" t="n">
        <v>25.29</v>
      </c>
      <c r="E32" s="0" t="n">
        <v>1</v>
      </c>
      <c r="F32" s="0" t="s">
        <v>108</v>
      </c>
      <c r="G32" s="0" t="n">
        <v>16</v>
      </c>
      <c r="H32" s="0" t="n">
        <v>666.22</v>
      </c>
      <c r="I32" s="0" t="s">
        <v>137</v>
      </c>
      <c r="J32" s="0" t="s">
        <v>138</v>
      </c>
      <c r="K32" s="0" t="s">
        <v>76</v>
      </c>
    </row>
    <row r="33" customFormat="false" ht="15" hidden="false" customHeight="false" outlineLevel="0" collapsed="false">
      <c r="A33" s="0" t="s">
        <v>139</v>
      </c>
      <c r="B33" s="0" t="s">
        <v>140</v>
      </c>
      <c r="C33" s="0" t="n">
        <v>12.25</v>
      </c>
      <c r="D33" s="0" t="n">
        <v>25.29</v>
      </c>
      <c r="E33" s="0" t="n">
        <v>2</v>
      </c>
      <c r="F33" s="0" t="s">
        <v>108</v>
      </c>
      <c r="G33" s="0" t="n">
        <v>16</v>
      </c>
      <c r="H33" s="0" t="n">
        <v>438.42</v>
      </c>
      <c r="I33" s="0" t="s">
        <v>141</v>
      </c>
      <c r="J33" s="0" t="s">
        <v>138</v>
      </c>
      <c r="K33" s="0" t="s">
        <v>76</v>
      </c>
    </row>
    <row r="34" customFormat="false" ht="15" hidden="false" customHeight="false" outlineLevel="0" collapsed="false">
      <c r="B34" s="6" t="s">
        <v>142</v>
      </c>
      <c r="C34" s="4" t="n">
        <f aca="false">SUM(C32:C33)</f>
        <v>41.69</v>
      </c>
      <c r="H34" s="4" t="n">
        <f aca="false">SUM(H32:H33)</f>
        <v>1104.64</v>
      </c>
    </row>
    <row r="35" customFormat="false" ht="15" hidden="false" customHeight="false" outlineLevel="0" collapsed="false">
      <c r="A35" s="5" t="s">
        <v>143</v>
      </c>
    </row>
    <row r="36" customFormat="false" ht="15" hidden="false" customHeight="false" outlineLevel="0" collapsed="false">
      <c r="A36" s="0" t="s">
        <v>144</v>
      </c>
      <c r="B36" s="0" t="s">
        <v>145</v>
      </c>
      <c r="C36" s="0" t="n">
        <v>4.5</v>
      </c>
      <c r="D36" s="0" t="n">
        <v>25.29</v>
      </c>
      <c r="E36" s="0" t="n">
        <v>2</v>
      </c>
      <c r="F36" s="0" t="s">
        <v>73</v>
      </c>
      <c r="G36" s="0" t="n">
        <v>16</v>
      </c>
      <c r="H36" s="0" t="n">
        <v>161.05</v>
      </c>
      <c r="I36" s="0" t="s">
        <v>146</v>
      </c>
      <c r="J36" s="0" t="s">
        <v>138</v>
      </c>
      <c r="K36" s="0" t="s">
        <v>76</v>
      </c>
    </row>
    <row r="37" customFormat="false" ht="15" hidden="false" customHeight="false" outlineLevel="0" collapsed="false">
      <c r="B37" s="6" t="s">
        <v>147</v>
      </c>
      <c r="C37" s="4" t="n">
        <f aca="false">SUM(C36:C36)</f>
        <v>4.5</v>
      </c>
      <c r="H37" s="4" t="n">
        <f aca="false">SUM(H36:H36)</f>
        <v>161.05</v>
      </c>
    </row>
    <row r="38" customFormat="false" ht="15" hidden="false" customHeight="false" outlineLevel="0" collapsed="false">
      <c r="A38" s="5" t="s">
        <v>148</v>
      </c>
    </row>
    <row r="39" customFormat="false" ht="15" hidden="false" customHeight="false" outlineLevel="0" collapsed="false">
      <c r="A39" s="0" t="s">
        <v>149</v>
      </c>
      <c r="B39" s="0" t="s">
        <v>150</v>
      </c>
      <c r="C39" s="0" t="n">
        <v>1.97</v>
      </c>
      <c r="D39" s="0" t="n">
        <v>25.29</v>
      </c>
      <c r="E39" s="0" t="n">
        <v>2</v>
      </c>
      <c r="F39" s="0" t="s">
        <v>73</v>
      </c>
      <c r="G39" s="0" t="n">
        <v>16</v>
      </c>
      <c r="H39" s="0" t="n">
        <v>41.36</v>
      </c>
      <c r="I39" s="0" t="s">
        <v>151</v>
      </c>
      <c r="J39" s="0" t="s">
        <v>138</v>
      </c>
      <c r="K39" s="0" t="s">
        <v>76</v>
      </c>
    </row>
    <row r="40" customFormat="false" ht="15" hidden="false" customHeight="false" outlineLevel="0" collapsed="false">
      <c r="B40" s="6" t="s">
        <v>152</v>
      </c>
      <c r="C40" s="4" t="n">
        <f aca="false">SUM(C39:C39)</f>
        <v>1.97</v>
      </c>
      <c r="H40" s="4" t="n">
        <f aca="false">SUM(H39:H39)</f>
        <v>41.36</v>
      </c>
    </row>
    <row r="41" customFormat="false" ht="15" hidden="false" customHeight="false" outlineLevel="0" collapsed="false">
      <c r="A41" s="5" t="s">
        <v>153</v>
      </c>
    </row>
    <row r="42" customFormat="false" ht="15" hidden="false" customHeight="false" outlineLevel="0" collapsed="false">
      <c r="A42" s="0" t="s">
        <v>154</v>
      </c>
      <c r="B42" s="0" t="s">
        <v>155</v>
      </c>
      <c r="C42" s="0" t="n">
        <v>4.03</v>
      </c>
      <c r="D42" s="0" t="n">
        <v>25.29</v>
      </c>
      <c r="E42" s="0" t="n">
        <v>2</v>
      </c>
      <c r="F42" s="0" t="s">
        <v>108</v>
      </c>
      <c r="G42" s="0" t="n">
        <v>16</v>
      </c>
      <c r="H42" s="0" t="n">
        <v>70.85</v>
      </c>
      <c r="I42" s="0" t="s">
        <v>156</v>
      </c>
      <c r="J42" s="0" t="s">
        <v>157</v>
      </c>
      <c r="K42" s="0" t="s">
        <v>76</v>
      </c>
    </row>
    <row r="43" customFormat="false" ht="15" hidden="false" customHeight="false" outlineLevel="0" collapsed="false">
      <c r="B43" s="6" t="s">
        <v>158</v>
      </c>
      <c r="C43" s="4" t="n">
        <f aca="false">SUM(C42:C42)</f>
        <v>4.03</v>
      </c>
      <c r="H43" s="4" t="n">
        <f aca="false">SUM(H42:H42)</f>
        <v>70.85</v>
      </c>
    </row>
    <row r="44" customFormat="false" ht="15" hidden="false" customHeight="false" outlineLevel="0" collapsed="false">
      <c r="A44" s="5" t="s">
        <v>159</v>
      </c>
    </row>
    <row r="45" customFormat="false" ht="15" hidden="false" customHeight="false" outlineLevel="0" collapsed="false">
      <c r="A45" s="0" t="s">
        <v>160</v>
      </c>
      <c r="B45" s="0" t="s">
        <v>161</v>
      </c>
      <c r="C45" s="0" t="n">
        <v>6.22</v>
      </c>
      <c r="D45" s="0" t="n">
        <v>25.29</v>
      </c>
      <c r="E45" s="0" t="n">
        <v>2</v>
      </c>
      <c r="F45" s="0" t="s">
        <v>108</v>
      </c>
      <c r="G45" s="0" t="n">
        <v>16</v>
      </c>
      <c r="H45" s="0" t="n">
        <v>112.46</v>
      </c>
      <c r="I45" s="0" t="s">
        <v>162</v>
      </c>
      <c r="J45" s="0" t="s">
        <v>157</v>
      </c>
      <c r="K45" s="0" t="s">
        <v>76</v>
      </c>
    </row>
    <row r="46" customFormat="false" ht="15" hidden="false" customHeight="false" outlineLevel="0" collapsed="false">
      <c r="B46" s="6" t="s">
        <v>163</v>
      </c>
      <c r="C46" s="4" t="n">
        <f aca="false">SUM(C45:C45)</f>
        <v>6.22</v>
      </c>
      <c r="H46" s="4" t="n">
        <f aca="false">SUM(H45:H45)</f>
        <v>112.46</v>
      </c>
    </row>
    <row r="47" customFormat="false" ht="15" hidden="false" customHeight="false" outlineLevel="0" collapsed="false">
      <c r="A47" s="5" t="s">
        <v>164</v>
      </c>
    </row>
    <row r="48" customFormat="false" ht="15" hidden="false" customHeight="false" outlineLevel="0" collapsed="false">
      <c r="A48" s="0" t="s">
        <v>165</v>
      </c>
      <c r="B48" s="0" t="s">
        <v>166</v>
      </c>
      <c r="C48" s="0" t="n">
        <v>29.44</v>
      </c>
      <c r="D48" s="0" t="n">
        <v>25.29</v>
      </c>
      <c r="E48" s="0" t="n">
        <v>2</v>
      </c>
      <c r="F48" s="0" t="s">
        <v>108</v>
      </c>
      <c r="G48" s="0" t="n">
        <v>16</v>
      </c>
      <c r="H48" s="0" t="n">
        <v>1053.66</v>
      </c>
      <c r="I48" s="0" t="s">
        <v>167</v>
      </c>
      <c r="J48" s="0" t="s">
        <v>168</v>
      </c>
      <c r="K48" s="0" t="s">
        <v>76</v>
      </c>
    </row>
    <row r="49" customFormat="false" ht="15" hidden="false" customHeight="false" outlineLevel="0" collapsed="false">
      <c r="B49" s="6" t="s">
        <v>169</v>
      </c>
      <c r="C49" s="4" t="n">
        <f aca="false">SUM(C48:C48)</f>
        <v>29.44</v>
      </c>
      <c r="H49" s="4" t="n">
        <f aca="false">SUM(H48:H48)</f>
        <v>1053.66</v>
      </c>
    </row>
    <row r="50" customFormat="false" ht="15" hidden="false" customHeight="false" outlineLevel="0" collapsed="false">
      <c r="A50" s="5" t="s">
        <v>170</v>
      </c>
    </row>
    <row r="51" customFormat="false" ht="15" hidden="false" customHeight="false" outlineLevel="0" collapsed="false">
      <c r="A51" s="0" t="s">
        <v>171</v>
      </c>
      <c r="B51" s="0" t="s">
        <v>172</v>
      </c>
      <c r="C51" s="0" t="n">
        <v>3.17</v>
      </c>
      <c r="D51" s="0" t="n">
        <v>25.29</v>
      </c>
      <c r="E51" s="0" t="n">
        <v>1</v>
      </c>
      <c r="F51" s="0" t="s">
        <v>108</v>
      </c>
      <c r="G51" s="0" t="n">
        <v>16</v>
      </c>
      <c r="H51" s="0" t="n">
        <v>36.45</v>
      </c>
      <c r="I51" s="0" t="s">
        <v>173</v>
      </c>
      <c r="J51" s="0" t="s">
        <v>168</v>
      </c>
      <c r="K51" s="0" t="s">
        <v>76</v>
      </c>
    </row>
    <row r="52" customFormat="false" ht="15" hidden="false" customHeight="false" outlineLevel="0" collapsed="false">
      <c r="A52" s="0" t="s">
        <v>174</v>
      </c>
      <c r="B52" s="0" t="s">
        <v>175</v>
      </c>
      <c r="C52" s="0" t="n">
        <v>2.67</v>
      </c>
      <c r="D52" s="0" t="n">
        <v>25.29</v>
      </c>
      <c r="E52" s="0" t="n">
        <v>2</v>
      </c>
      <c r="F52" s="0" t="s">
        <v>108</v>
      </c>
      <c r="G52" s="0" t="n">
        <v>16</v>
      </c>
      <c r="H52" s="0" t="n">
        <v>99.56</v>
      </c>
      <c r="I52" s="0" t="s">
        <v>176</v>
      </c>
      <c r="J52" s="0" t="s">
        <v>168</v>
      </c>
      <c r="K52" s="0" t="s">
        <v>76</v>
      </c>
    </row>
    <row r="53" customFormat="false" ht="15" hidden="false" customHeight="false" outlineLevel="0" collapsed="false">
      <c r="A53" s="0" t="s">
        <v>177</v>
      </c>
      <c r="B53" s="0" t="s">
        <v>178</v>
      </c>
      <c r="C53" s="0" t="n">
        <v>19</v>
      </c>
      <c r="D53" s="0" t="n">
        <v>25.29</v>
      </c>
      <c r="E53" s="0" t="n">
        <v>0.81</v>
      </c>
      <c r="F53" s="0" t="s">
        <v>108</v>
      </c>
      <c r="G53" s="0" t="n">
        <v>16</v>
      </c>
      <c r="H53" s="0" t="n">
        <v>184.66</v>
      </c>
      <c r="I53" s="0" t="s">
        <v>179</v>
      </c>
      <c r="J53" s="0" t="s">
        <v>168</v>
      </c>
      <c r="K53" s="0" t="s">
        <v>76</v>
      </c>
    </row>
    <row r="54" customFormat="false" ht="15" hidden="false" customHeight="false" outlineLevel="0" collapsed="false">
      <c r="B54" s="6" t="s">
        <v>180</v>
      </c>
      <c r="C54" s="4" t="n">
        <f aca="false">SUM(C51:C53)</f>
        <v>24.84</v>
      </c>
      <c r="H54" s="4" t="n">
        <f aca="false">SUM(H51:H53)</f>
        <v>320.67</v>
      </c>
    </row>
    <row r="55" customFormat="false" ht="15" hidden="false" customHeight="false" outlineLevel="0" collapsed="false">
      <c r="A55" s="5" t="s">
        <v>181</v>
      </c>
    </row>
    <row r="56" customFormat="false" ht="15" hidden="false" customHeight="false" outlineLevel="0" collapsed="false">
      <c r="A56" s="0" t="s">
        <v>182</v>
      </c>
      <c r="B56" s="0" t="s">
        <v>183</v>
      </c>
      <c r="C56" s="0" t="n">
        <v>3.25</v>
      </c>
      <c r="D56" s="0" t="n">
        <v>25.29</v>
      </c>
      <c r="E56" s="0" t="n">
        <v>1</v>
      </c>
      <c r="F56" s="0" t="s">
        <v>73</v>
      </c>
      <c r="G56" s="0" t="n">
        <v>16</v>
      </c>
      <c r="H56" s="0" t="n">
        <v>8.81</v>
      </c>
      <c r="I56" s="0" t="s">
        <v>184</v>
      </c>
      <c r="J56" s="0" t="s">
        <v>185</v>
      </c>
      <c r="K56" s="0" t="s">
        <v>76</v>
      </c>
    </row>
    <row r="57" customFormat="false" ht="15" hidden="false" customHeight="false" outlineLevel="0" collapsed="false">
      <c r="B57" s="6" t="s">
        <v>186</v>
      </c>
      <c r="C57" s="4" t="n">
        <f aca="false">SUM(C56:C56)</f>
        <v>3.25</v>
      </c>
      <c r="H57" s="4" t="n">
        <f aca="false">SUM(H56:H56)</f>
        <v>8.81</v>
      </c>
    </row>
    <row r="58" customFormat="false" ht="15" hidden="false" customHeight="false" outlineLevel="0" collapsed="false">
      <c r="A58" s="5" t="s">
        <v>187</v>
      </c>
    </row>
    <row r="59" customFormat="false" ht="15" hidden="false" customHeight="false" outlineLevel="0" collapsed="false">
      <c r="A59" s="0" t="s">
        <v>188</v>
      </c>
      <c r="B59" s="0" t="s">
        <v>189</v>
      </c>
      <c r="C59" s="0" t="n">
        <v>3.17</v>
      </c>
      <c r="D59" s="0" t="n">
        <v>25.29</v>
      </c>
      <c r="E59" s="0" t="n">
        <v>1</v>
      </c>
      <c r="F59" s="0" t="s">
        <v>108</v>
      </c>
      <c r="G59" s="0" t="n">
        <v>16</v>
      </c>
      <c r="H59" s="0" t="n">
        <v>31.7</v>
      </c>
      <c r="I59" s="0" t="s">
        <v>190</v>
      </c>
      <c r="J59" s="0" t="s">
        <v>191</v>
      </c>
      <c r="K59" s="0" t="s">
        <v>76</v>
      </c>
    </row>
    <row r="60" customFormat="false" ht="15" hidden="false" customHeight="false" outlineLevel="0" collapsed="false">
      <c r="A60" s="0" t="s">
        <v>192</v>
      </c>
      <c r="B60" s="0" t="s">
        <v>193</v>
      </c>
      <c r="C60" s="0" t="n">
        <v>1</v>
      </c>
      <c r="D60" s="0" t="n">
        <v>25.29</v>
      </c>
      <c r="E60" s="0" t="n">
        <v>2</v>
      </c>
      <c r="F60" s="0" t="s">
        <v>108</v>
      </c>
      <c r="G60" s="0" t="n">
        <v>16</v>
      </c>
      <c r="H60" s="0" t="n">
        <v>35.79</v>
      </c>
      <c r="I60" s="0" t="s">
        <v>194</v>
      </c>
      <c r="J60" s="0" t="s">
        <v>191</v>
      </c>
      <c r="K60" s="0" t="s">
        <v>76</v>
      </c>
    </row>
    <row r="61" customFormat="false" ht="15" hidden="false" customHeight="false" outlineLevel="0" collapsed="false">
      <c r="A61" s="0" t="s">
        <v>195</v>
      </c>
      <c r="B61" s="0" t="s">
        <v>196</v>
      </c>
      <c r="C61" s="0" t="n">
        <v>0.5</v>
      </c>
      <c r="D61" s="0" t="n">
        <v>25.29</v>
      </c>
      <c r="E61" s="0" t="n">
        <v>1</v>
      </c>
      <c r="F61" s="0" t="s">
        <v>108</v>
      </c>
      <c r="G61" s="0" t="n">
        <v>16</v>
      </c>
      <c r="H61" s="0" t="n">
        <v>12.64</v>
      </c>
      <c r="I61" s="0" t="s">
        <v>115</v>
      </c>
      <c r="J61" s="0" t="s">
        <v>191</v>
      </c>
      <c r="K61" s="0" t="s">
        <v>76</v>
      </c>
    </row>
    <row r="62" customFormat="false" ht="15" hidden="false" customHeight="false" outlineLevel="0" collapsed="false">
      <c r="A62" s="0" t="s">
        <v>197</v>
      </c>
      <c r="B62" s="0" t="s">
        <v>198</v>
      </c>
      <c r="C62" s="0" t="n">
        <v>0.53</v>
      </c>
      <c r="D62" s="0" t="n">
        <v>25.29</v>
      </c>
      <c r="E62" s="0" t="n">
        <v>1</v>
      </c>
      <c r="F62" s="0" t="s">
        <v>108</v>
      </c>
      <c r="G62" s="0" t="n">
        <v>16</v>
      </c>
      <c r="H62" s="0" t="n">
        <v>13.4</v>
      </c>
      <c r="I62" s="0" t="s">
        <v>199</v>
      </c>
      <c r="J62" s="0" t="s">
        <v>191</v>
      </c>
      <c r="K62" s="0" t="s">
        <v>76</v>
      </c>
    </row>
    <row r="63" customFormat="false" ht="15" hidden="false" customHeight="false" outlineLevel="0" collapsed="false">
      <c r="B63" s="6" t="s">
        <v>200</v>
      </c>
      <c r="C63" s="4" t="n">
        <f aca="false">SUM(C59:C62)</f>
        <v>5.2</v>
      </c>
      <c r="H63" s="4" t="n">
        <f aca="false">SUM(H59:H62)</f>
        <v>93.53</v>
      </c>
    </row>
    <row r="64" customFormat="false" ht="15" hidden="false" customHeight="false" outlineLevel="0" collapsed="false">
      <c r="A64" s="5" t="s">
        <v>201</v>
      </c>
    </row>
    <row r="65" customFormat="false" ht="15" hidden="false" customHeight="false" outlineLevel="0" collapsed="false">
      <c r="A65" s="0" t="s">
        <v>202</v>
      </c>
      <c r="B65" s="0" t="s">
        <v>203</v>
      </c>
      <c r="C65" s="0" t="n">
        <v>10.39</v>
      </c>
      <c r="D65" s="0" t="n">
        <v>2.71</v>
      </c>
      <c r="E65" s="0" t="n">
        <v>2</v>
      </c>
      <c r="F65" s="0" t="s">
        <v>73</v>
      </c>
      <c r="G65" s="0" t="n">
        <v>16</v>
      </c>
      <c r="H65" s="0" t="n">
        <v>56.32</v>
      </c>
      <c r="I65" s="0" t="s">
        <v>204</v>
      </c>
      <c r="J65" s="0" t="s">
        <v>205</v>
      </c>
      <c r="K65" s="0" t="s">
        <v>76</v>
      </c>
    </row>
    <row r="66" customFormat="false" ht="15" hidden="false" customHeight="false" outlineLevel="0" collapsed="false">
      <c r="A66" s="0" t="s">
        <v>206</v>
      </c>
      <c r="B66" s="0" t="s">
        <v>207</v>
      </c>
      <c r="C66" s="0" t="n">
        <v>4.148</v>
      </c>
      <c r="D66" s="0" t="n">
        <v>2.71</v>
      </c>
      <c r="E66" s="0" t="n">
        <v>2</v>
      </c>
      <c r="F66" s="0" t="s">
        <v>73</v>
      </c>
      <c r="G66" s="0" t="n">
        <v>16</v>
      </c>
      <c r="H66" s="0" t="n">
        <v>22.48</v>
      </c>
      <c r="I66" s="0" t="s">
        <v>204</v>
      </c>
      <c r="J66" s="0" t="s">
        <v>205</v>
      </c>
      <c r="K66" s="0" t="s">
        <v>76</v>
      </c>
    </row>
    <row r="67" customFormat="false" ht="15" hidden="false" customHeight="false" outlineLevel="0" collapsed="false">
      <c r="A67" s="0" t="s">
        <v>208</v>
      </c>
      <c r="B67" s="0" t="s">
        <v>209</v>
      </c>
      <c r="C67" s="0" t="n">
        <v>6.33</v>
      </c>
      <c r="D67" s="0" t="n">
        <v>2.71</v>
      </c>
      <c r="E67" s="0" t="n">
        <v>2</v>
      </c>
      <c r="F67" s="0" t="s">
        <v>73</v>
      </c>
      <c r="G67" s="0" t="n">
        <v>16</v>
      </c>
      <c r="H67" s="0" t="n">
        <v>34.3</v>
      </c>
      <c r="I67" s="0" t="s">
        <v>204</v>
      </c>
      <c r="J67" s="0" t="s">
        <v>205</v>
      </c>
      <c r="K67" s="0" t="s">
        <v>76</v>
      </c>
    </row>
    <row r="68" customFormat="false" ht="15" hidden="false" customHeight="false" outlineLevel="0" collapsed="false">
      <c r="B68" s="6" t="s">
        <v>210</v>
      </c>
      <c r="C68" s="4" t="n">
        <f aca="false">SUM(C65:C67)</f>
        <v>20.868</v>
      </c>
      <c r="H68" s="4" t="n">
        <f aca="false">SUM(H65:H67)</f>
        <v>113.1</v>
      </c>
    </row>
    <row r="69" customFormat="false" ht="15" hidden="false" customHeight="false" outlineLevel="0" collapsed="false">
      <c r="A69" s="5" t="s">
        <v>211</v>
      </c>
    </row>
    <row r="70" customFormat="false" ht="15" hidden="false" customHeight="false" outlineLevel="0" collapsed="false">
      <c r="A70" s="0" t="s">
        <v>212</v>
      </c>
      <c r="B70" s="0" t="s">
        <v>213</v>
      </c>
      <c r="C70" s="0" t="n">
        <v>3.17</v>
      </c>
      <c r="D70" s="0" t="n">
        <v>2.71</v>
      </c>
      <c r="E70" s="0" t="n">
        <v>2</v>
      </c>
      <c r="F70" s="0" t="s">
        <v>73</v>
      </c>
      <c r="G70" s="0" t="n">
        <v>16</v>
      </c>
      <c r="H70" s="0" t="n">
        <v>17.18</v>
      </c>
      <c r="I70" s="0" t="s">
        <v>204</v>
      </c>
      <c r="J70" s="0" t="s">
        <v>214</v>
      </c>
      <c r="K70" s="0" t="s">
        <v>76</v>
      </c>
    </row>
    <row r="71" customFormat="false" ht="15" hidden="false" customHeight="false" outlineLevel="0" collapsed="false">
      <c r="B71" s="6" t="s">
        <v>215</v>
      </c>
      <c r="C71" s="4" t="n">
        <f aca="false">SUM(C70:C70)</f>
        <v>3.17</v>
      </c>
      <c r="H71" s="4" t="n">
        <f aca="false">SUM(H70:H70)</f>
        <v>17.18</v>
      </c>
    </row>
    <row r="72" customFormat="false" ht="15" hidden="false" customHeight="false" outlineLevel="0" collapsed="false">
      <c r="A72" s="5" t="s">
        <v>216</v>
      </c>
    </row>
    <row r="73" customFormat="false" ht="15" hidden="false" customHeight="false" outlineLevel="0" collapsed="false">
      <c r="A73" s="0" t="s">
        <v>217</v>
      </c>
      <c r="B73" s="0" t="s">
        <v>218</v>
      </c>
      <c r="C73" s="0" t="n">
        <v>6.17</v>
      </c>
      <c r="D73" s="0" t="n">
        <v>2.71</v>
      </c>
      <c r="E73" s="0" t="n">
        <v>2</v>
      </c>
      <c r="F73" s="0" t="s">
        <v>73</v>
      </c>
      <c r="G73" s="0" t="n">
        <v>16</v>
      </c>
      <c r="H73" s="0" t="n">
        <v>33.44</v>
      </c>
      <c r="I73" s="0" t="s">
        <v>204</v>
      </c>
      <c r="J73" s="0" t="s">
        <v>219</v>
      </c>
      <c r="K73" s="0" t="s">
        <v>76</v>
      </c>
    </row>
    <row r="74" customFormat="false" ht="15" hidden="false" customHeight="false" outlineLevel="0" collapsed="false">
      <c r="B74" s="6" t="s">
        <v>220</v>
      </c>
      <c r="C74" s="4" t="n">
        <f aca="false">SUM(C73:C73)</f>
        <v>6.17</v>
      </c>
      <c r="H74" s="4" t="n">
        <f aca="false">SUM(H73:H73)</f>
        <v>33.44</v>
      </c>
    </row>
    <row r="75" customFormat="false" ht="15" hidden="false" customHeight="false" outlineLevel="0" collapsed="false">
      <c r="A75" s="5" t="s">
        <v>221</v>
      </c>
    </row>
    <row r="76" customFormat="false" ht="15" hidden="false" customHeight="false" outlineLevel="0" collapsed="false">
      <c r="A76" s="0" t="s">
        <v>222</v>
      </c>
      <c r="B76" s="0" t="s">
        <v>223</v>
      </c>
      <c r="C76" s="0" t="n">
        <v>3.17</v>
      </c>
      <c r="D76" s="0" t="n">
        <v>2.71</v>
      </c>
      <c r="E76" s="0" t="n">
        <v>2</v>
      </c>
      <c r="F76" s="0" t="s">
        <v>73</v>
      </c>
      <c r="G76" s="0" t="n">
        <v>16</v>
      </c>
      <c r="H76" s="0" t="n">
        <v>17.18</v>
      </c>
      <c r="I76" s="0" t="s">
        <v>204</v>
      </c>
      <c r="J76" s="0" t="s">
        <v>224</v>
      </c>
      <c r="K76" s="0" t="s">
        <v>76</v>
      </c>
    </row>
    <row r="77" customFormat="false" ht="15" hidden="false" customHeight="false" outlineLevel="0" collapsed="false">
      <c r="B77" s="6" t="s">
        <v>225</v>
      </c>
      <c r="C77" s="4" t="n">
        <f aca="false">SUM(C76:C76)</f>
        <v>3.17</v>
      </c>
      <c r="H77" s="4" t="n">
        <f aca="false">SUM(H76:H76)</f>
        <v>17.18</v>
      </c>
    </row>
    <row r="78" customFormat="false" ht="15" hidden="false" customHeight="false" outlineLevel="0" collapsed="false">
      <c r="A78" s="5" t="s">
        <v>226</v>
      </c>
    </row>
    <row r="79" customFormat="false" ht="15" hidden="false" customHeight="false" outlineLevel="0" collapsed="false">
      <c r="A79" s="0" t="s">
        <v>227</v>
      </c>
      <c r="B79" s="0" t="s">
        <v>228</v>
      </c>
      <c r="C79" s="0" t="n">
        <v>8</v>
      </c>
      <c r="D79" s="0" t="n">
        <v>8</v>
      </c>
      <c r="E79" s="0" t="n">
        <v>1</v>
      </c>
      <c r="F79" s="0" t="s">
        <v>73</v>
      </c>
      <c r="G79" s="0" t="n">
        <v>16</v>
      </c>
      <c r="H79" s="0" t="n">
        <v>64</v>
      </c>
      <c r="I79" s="0" t="s">
        <v>115</v>
      </c>
      <c r="J79" s="0" t="s">
        <v>229</v>
      </c>
      <c r="K79" s="0" t="s">
        <v>76</v>
      </c>
    </row>
    <row r="80" customFormat="false" ht="15" hidden="false" customHeight="false" outlineLevel="0" collapsed="false">
      <c r="A80" s="0" t="s">
        <v>230</v>
      </c>
      <c r="B80" s="0" t="s">
        <v>231</v>
      </c>
      <c r="C80" s="0" t="n">
        <v>8</v>
      </c>
      <c r="D80" s="0" t="n">
        <v>8</v>
      </c>
      <c r="E80" s="0" t="n">
        <v>1</v>
      </c>
      <c r="F80" s="0" t="s">
        <v>73</v>
      </c>
      <c r="G80" s="0" t="n">
        <v>16</v>
      </c>
      <c r="H80" s="0" t="n">
        <v>64</v>
      </c>
      <c r="I80" s="0" t="s">
        <v>115</v>
      </c>
      <c r="J80" s="0" t="s">
        <v>229</v>
      </c>
      <c r="K80" s="0" t="s">
        <v>76</v>
      </c>
    </row>
    <row r="81" customFormat="false" ht="15" hidden="false" customHeight="false" outlineLevel="0" collapsed="false">
      <c r="A81" s="0" t="s">
        <v>232</v>
      </c>
      <c r="B81" s="0" t="s">
        <v>233</v>
      </c>
      <c r="C81" s="0" t="n">
        <v>8</v>
      </c>
      <c r="D81" s="0" t="n">
        <v>8</v>
      </c>
      <c r="E81" s="0" t="n">
        <v>1</v>
      </c>
      <c r="F81" s="0" t="s">
        <v>73</v>
      </c>
      <c r="G81" s="0" t="n">
        <v>16</v>
      </c>
      <c r="H81" s="0" t="n">
        <v>64</v>
      </c>
      <c r="I81" s="0" t="s">
        <v>115</v>
      </c>
      <c r="J81" s="0" t="s">
        <v>229</v>
      </c>
      <c r="K81" s="0" t="s">
        <v>76</v>
      </c>
    </row>
    <row r="82" customFormat="false" ht="15" hidden="false" customHeight="false" outlineLevel="0" collapsed="false">
      <c r="A82" s="0" t="s">
        <v>234</v>
      </c>
      <c r="B82" s="0" t="s">
        <v>235</v>
      </c>
      <c r="C82" s="0" t="n">
        <v>8</v>
      </c>
      <c r="D82" s="0" t="n">
        <v>8</v>
      </c>
      <c r="E82" s="0" t="n">
        <v>1</v>
      </c>
      <c r="F82" s="0" t="s">
        <v>73</v>
      </c>
      <c r="G82" s="0" t="n">
        <v>16</v>
      </c>
      <c r="H82" s="0" t="n">
        <v>64</v>
      </c>
      <c r="I82" s="0" t="s">
        <v>115</v>
      </c>
      <c r="J82" s="0" t="s">
        <v>229</v>
      </c>
      <c r="K82" s="0" t="s">
        <v>76</v>
      </c>
    </row>
    <row r="83" customFormat="false" ht="15" hidden="false" customHeight="false" outlineLevel="0" collapsed="false">
      <c r="A83" s="0" t="s">
        <v>236</v>
      </c>
      <c r="B83" s="0" t="s">
        <v>237</v>
      </c>
      <c r="C83" s="0" t="n">
        <v>8</v>
      </c>
      <c r="D83" s="0" t="n">
        <v>8</v>
      </c>
      <c r="E83" s="0" t="n">
        <v>1</v>
      </c>
      <c r="F83" s="0" t="s">
        <v>73</v>
      </c>
      <c r="G83" s="0" t="n">
        <v>16</v>
      </c>
      <c r="H83" s="0" t="n">
        <v>64</v>
      </c>
      <c r="I83" s="0" t="s">
        <v>115</v>
      </c>
      <c r="J83" s="0" t="s">
        <v>229</v>
      </c>
      <c r="K83" s="0" t="s">
        <v>76</v>
      </c>
    </row>
    <row r="84" customFormat="false" ht="15" hidden="false" customHeight="false" outlineLevel="0" collapsed="false">
      <c r="A84" s="0" t="s">
        <v>238</v>
      </c>
      <c r="B84" s="0" t="s">
        <v>239</v>
      </c>
      <c r="C84" s="0" t="n">
        <v>8</v>
      </c>
      <c r="D84" s="0" t="n">
        <v>8</v>
      </c>
      <c r="E84" s="0" t="n">
        <v>1</v>
      </c>
      <c r="F84" s="0" t="s">
        <v>73</v>
      </c>
      <c r="G84" s="0" t="n">
        <v>16</v>
      </c>
      <c r="H84" s="0" t="n">
        <v>64</v>
      </c>
      <c r="I84" s="0" t="s">
        <v>115</v>
      </c>
      <c r="J84" s="0" t="s">
        <v>229</v>
      </c>
      <c r="K84" s="0" t="s">
        <v>76</v>
      </c>
    </row>
    <row r="85" customFormat="false" ht="15" hidden="false" customHeight="false" outlineLevel="0" collapsed="false">
      <c r="A85" s="0" t="s">
        <v>240</v>
      </c>
      <c r="B85" s="0" t="s">
        <v>241</v>
      </c>
      <c r="C85" s="0" t="n">
        <v>8</v>
      </c>
      <c r="D85" s="0" t="n">
        <v>8</v>
      </c>
      <c r="E85" s="0" t="n">
        <v>1</v>
      </c>
      <c r="F85" s="0" t="s">
        <v>73</v>
      </c>
      <c r="G85" s="0" t="n">
        <v>16</v>
      </c>
      <c r="H85" s="0" t="n">
        <v>64</v>
      </c>
      <c r="I85" s="0" t="s">
        <v>115</v>
      </c>
      <c r="J85" s="0" t="s">
        <v>229</v>
      </c>
      <c r="K85" s="0" t="s">
        <v>76</v>
      </c>
    </row>
    <row r="86" customFormat="false" ht="15" hidden="false" customHeight="false" outlineLevel="0" collapsed="false">
      <c r="A86" s="0" t="s">
        <v>242</v>
      </c>
      <c r="B86" s="0" t="s">
        <v>243</v>
      </c>
      <c r="C86" s="0" t="n">
        <v>8</v>
      </c>
      <c r="D86" s="0" t="n">
        <v>8</v>
      </c>
      <c r="E86" s="0" t="n">
        <v>1</v>
      </c>
      <c r="F86" s="0" t="s">
        <v>73</v>
      </c>
      <c r="G86" s="0" t="n">
        <v>16</v>
      </c>
      <c r="H86" s="0" t="n">
        <v>64</v>
      </c>
      <c r="I86" s="0" t="s">
        <v>115</v>
      </c>
      <c r="J86" s="0" t="s">
        <v>229</v>
      </c>
      <c r="K86" s="0" t="s">
        <v>76</v>
      </c>
    </row>
    <row r="87" customFormat="false" ht="15" hidden="false" customHeight="false" outlineLevel="0" collapsed="false">
      <c r="A87" s="0" t="s">
        <v>244</v>
      </c>
      <c r="B87" s="0" t="s">
        <v>245</v>
      </c>
      <c r="C87" s="0" t="n">
        <v>8</v>
      </c>
      <c r="D87" s="0" t="n">
        <v>8</v>
      </c>
      <c r="E87" s="0" t="n">
        <v>1</v>
      </c>
      <c r="F87" s="0" t="s">
        <v>73</v>
      </c>
      <c r="G87" s="0" t="n">
        <v>16</v>
      </c>
      <c r="H87" s="0" t="n">
        <v>64</v>
      </c>
      <c r="I87" s="0" t="s">
        <v>115</v>
      </c>
      <c r="J87" s="0" t="s">
        <v>229</v>
      </c>
      <c r="K87" s="0" t="s">
        <v>76</v>
      </c>
    </row>
    <row r="88" customFormat="false" ht="15" hidden="false" customHeight="false" outlineLevel="0" collapsed="false">
      <c r="B88" s="6" t="s">
        <v>246</v>
      </c>
      <c r="C88" s="4" t="n">
        <f aca="false">SUM(C79:C87)</f>
        <v>72</v>
      </c>
      <c r="H88" s="4" t="n">
        <f aca="false">SUM(H79:H87)</f>
        <v>576</v>
      </c>
    </row>
    <row r="89" customFormat="false" ht="15" hidden="false" customHeight="false" outlineLevel="0" collapsed="false">
      <c r="B89" s="6" t="s">
        <v>247</v>
      </c>
      <c r="C89" s="4" t="n">
        <f aca="false">C16+C19+C27+C30+C34+C37+C40+C43+C46+C49+C54+C57+C63+C68+C71+C74+C77+C88</f>
        <v>595.578</v>
      </c>
      <c r="H89" s="4" t="n">
        <f aca="false">H16+H19+H27+H30+H34+H37+H40+H43+H46+H49+H54+H57+H63+H68+H71+H74+H77+H88</f>
        <v>15305.55</v>
      </c>
    </row>
    <row r="91" customFormat="false" ht="15" hidden="false" customHeight="false" outlineLevel="0" collapsed="false">
      <c r="A91" s="5" t="s">
        <v>248</v>
      </c>
    </row>
    <row r="92" customFormat="false" ht="15" hidden="false" customHeight="false" outlineLevel="0" collapsed="false">
      <c r="A92" s="0" t="s">
        <v>249</v>
      </c>
      <c r="B92" s="0" t="s">
        <v>250</v>
      </c>
      <c r="C92" s="0" t="n">
        <v>22.78</v>
      </c>
      <c r="D92" s="0" t="n">
        <v>18.21</v>
      </c>
      <c r="E92" s="0" t="n">
        <v>1</v>
      </c>
      <c r="F92" s="0" t="s">
        <v>73</v>
      </c>
      <c r="G92" s="0" t="n">
        <v>16</v>
      </c>
      <c r="H92" s="0" t="n">
        <v>227.8</v>
      </c>
      <c r="I92" s="0" t="s">
        <v>251</v>
      </c>
      <c r="J92" s="0" t="s">
        <v>252</v>
      </c>
      <c r="K92" s="0" t="s">
        <v>76</v>
      </c>
    </row>
    <row r="93" customFormat="false" ht="15" hidden="false" customHeight="false" outlineLevel="0" collapsed="false">
      <c r="A93" s="0" t="s">
        <v>253</v>
      </c>
      <c r="B93" s="0" t="s">
        <v>254</v>
      </c>
      <c r="C93" s="0" t="n">
        <v>10.12</v>
      </c>
      <c r="D93" s="0" t="n">
        <v>18.21</v>
      </c>
      <c r="E93" s="0" t="n">
        <v>1</v>
      </c>
      <c r="F93" s="0" t="s">
        <v>73</v>
      </c>
      <c r="G93" s="0" t="n">
        <v>16</v>
      </c>
      <c r="H93" s="0" t="n">
        <v>101.2</v>
      </c>
      <c r="I93" s="0" t="s">
        <v>255</v>
      </c>
      <c r="J93" s="0" t="s">
        <v>252</v>
      </c>
      <c r="K93" s="0" t="s">
        <v>76</v>
      </c>
    </row>
    <row r="94" customFormat="false" ht="15" hidden="false" customHeight="false" outlineLevel="0" collapsed="false">
      <c r="A94" s="0" t="s">
        <v>256</v>
      </c>
      <c r="B94" s="0" t="s">
        <v>257</v>
      </c>
      <c r="C94" s="0" t="n">
        <v>6.17</v>
      </c>
      <c r="D94" s="0" t="n">
        <v>18.21</v>
      </c>
      <c r="E94" s="0" t="n">
        <v>1</v>
      </c>
      <c r="F94" s="0" t="s">
        <v>108</v>
      </c>
      <c r="G94" s="0" t="n">
        <v>16</v>
      </c>
      <c r="H94" s="0" t="n">
        <v>112.36</v>
      </c>
      <c r="I94" s="0" t="s">
        <v>258</v>
      </c>
      <c r="J94" s="0" t="s">
        <v>259</v>
      </c>
      <c r="K94" s="0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6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260</v>
      </c>
    </row>
    <row r="2" customFormat="false" ht="15" hidden="false" customHeight="false" outlineLevel="0" collapsed="false">
      <c r="A2" s="0" t="s">
        <v>261</v>
      </c>
    </row>
    <row r="3" customFormat="false" ht="15" hidden="false" customHeight="false" outlineLevel="0" collapsed="false">
      <c r="A3" s="2" t="s">
        <v>262</v>
      </c>
      <c r="B3" s="2" t="s">
        <v>263</v>
      </c>
      <c r="C3" s="2" t="s">
        <v>264</v>
      </c>
      <c r="D3" s="2" t="s">
        <v>265</v>
      </c>
      <c r="E3" s="2" t="s">
        <v>266</v>
      </c>
      <c r="F3" s="2" t="s">
        <v>267</v>
      </c>
      <c r="G3" s="2" t="s">
        <v>268</v>
      </c>
      <c r="H3" s="2" t="s">
        <v>269</v>
      </c>
      <c r="I3" s="2" t="s">
        <v>270</v>
      </c>
      <c r="J3" s="2" t="s">
        <v>271</v>
      </c>
    </row>
    <row r="4" customFormat="false" ht="15" hidden="false" customHeight="false" outlineLevel="0" collapsed="false">
      <c r="A4" s="0" t="s">
        <v>272</v>
      </c>
      <c r="B4" s="0" t="s">
        <v>273</v>
      </c>
      <c r="C4" s="0" t="n">
        <v>478.46</v>
      </c>
      <c r="D4" s="0" t="n">
        <f aca="false">Inputs!$B$5</f>
        <v>0.15</v>
      </c>
      <c r="E4" s="0" t="n">
        <f aca="false">C4*D4</f>
        <v>71.769</v>
      </c>
      <c r="F4" s="0" t="n">
        <f aca="false">C4+E4</f>
        <v>550.229</v>
      </c>
      <c r="G4" s="0" t="s">
        <v>274</v>
      </c>
      <c r="H4" s="0" t="n">
        <f aca="false">ROUNDUP(F4/Inputs!$B$11,0)</f>
        <v>56</v>
      </c>
      <c r="I4" s="0" t="s">
        <v>275</v>
      </c>
    </row>
    <row r="5" customFormat="false" ht="15" hidden="false" customHeight="false" outlineLevel="0" collapsed="false">
      <c r="A5" s="0" t="s">
        <v>276</v>
      </c>
      <c r="B5" s="0" t="s">
        <v>273</v>
      </c>
      <c r="C5" s="0" t="n">
        <v>117.12</v>
      </c>
      <c r="D5" s="0" t="n">
        <f aca="false">Inputs!$B$5</f>
        <v>0.15</v>
      </c>
      <c r="E5" s="0" t="n">
        <f aca="false">C5*D5</f>
        <v>17.568</v>
      </c>
      <c r="F5" s="0" t="n">
        <f aca="false">C5+E5</f>
        <v>134.688</v>
      </c>
      <c r="G5" s="0" t="s">
        <v>274</v>
      </c>
      <c r="H5" s="0" t="n">
        <f aca="false">ROUNDUP(F5/Inputs!$B$11,0)</f>
        <v>14</v>
      </c>
      <c r="I5" s="0" t="s">
        <v>277</v>
      </c>
    </row>
    <row r="6" customFormat="false" ht="15" hidden="false" customHeight="false" outlineLevel="0" collapsed="false">
      <c r="A6" s="0" t="s">
        <v>278</v>
      </c>
      <c r="B6" s="0" t="s">
        <v>273</v>
      </c>
      <c r="C6" s="0" t="n">
        <v>478.46</v>
      </c>
      <c r="D6" s="0" t="n">
        <f aca="false">Inputs!$B$5</f>
        <v>0.15</v>
      </c>
      <c r="E6" s="0" t="n">
        <f aca="false">C6*D6</f>
        <v>71.769</v>
      </c>
      <c r="F6" s="0" t="n">
        <f aca="false">C6+E6</f>
        <v>550.229</v>
      </c>
      <c r="G6" s="0" t="s">
        <v>274</v>
      </c>
      <c r="H6" s="0" t="n">
        <f aca="false">ROUNDUP(F6/Inputs!$B$11,0)</f>
        <v>56</v>
      </c>
      <c r="I6" s="0" t="s">
        <v>275</v>
      </c>
    </row>
    <row r="7" customFormat="false" ht="15" hidden="false" customHeight="false" outlineLevel="0" collapsed="false">
      <c r="A7" s="0" t="s">
        <v>279</v>
      </c>
      <c r="B7" s="0" t="s">
        <v>273</v>
      </c>
      <c r="C7" s="0" t="n">
        <v>117.12</v>
      </c>
      <c r="D7" s="0" t="n">
        <f aca="false">Inputs!$B$5</f>
        <v>0.15</v>
      </c>
      <c r="E7" s="0" t="n">
        <f aca="false">C7*D7</f>
        <v>17.568</v>
      </c>
      <c r="F7" s="0" t="n">
        <f aca="false">C7+E7</f>
        <v>134.688</v>
      </c>
      <c r="G7" s="0" t="s">
        <v>274</v>
      </c>
      <c r="H7" s="0" t="n">
        <f aca="false">ROUNDUP(F7/Inputs!$B$11,0)</f>
        <v>14</v>
      </c>
      <c r="I7" s="0" t="s">
        <v>277</v>
      </c>
    </row>
    <row r="8" customFormat="false" ht="15" hidden="false" customHeight="false" outlineLevel="0" collapsed="false">
      <c r="A8" s="0" t="s">
        <v>280</v>
      </c>
      <c r="B8" s="0" t="s">
        <v>273</v>
      </c>
      <c r="C8" s="0" t="n">
        <v>25.33</v>
      </c>
      <c r="D8" s="0" t="n">
        <f aca="false">Inputs!$B$5</f>
        <v>0.15</v>
      </c>
      <c r="E8" s="0" t="n">
        <f aca="false">C8*D8</f>
        <v>3.7995</v>
      </c>
      <c r="F8" s="0" t="n">
        <f aca="false">C8+E8</f>
        <v>29.1295</v>
      </c>
      <c r="G8" s="0" t="s">
        <v>281</v>
      </c>
      <c r="H8" s="0" t="n">
        <f aca="false">ROUNDUP(F8/Inputs!$B$10,0)</f>
        <v>2</v>
      </c>
      <c r="I8" s="0" t="s">
        <v>282</v>
      </c>
    </row>
    <row r="9" customFormat="false" ht="15" hidden="false" customHeight="false" outlineLevel="0" collapsed="false">
      <c r="A9" s="0" t="s">
        <v>283</v>
      </c>
      <c r="B9" s="0" t="s">
        <v>273</v>
      </c>
      <c r="C9" s="0" t="n">
        <v>3118.77</v>
      </c>
      <c r="D9" s="0" t="n">
        <f aca="false">Inputs!$B$5</f>
        <v>0.15</v>
      </c>
      <c r="E9" s="0" t="n">
        <f aca="false">C9*D9</f>
        <v>467.8155</v>
      </c>
      <c r="F9" s="0" t="n">
        <f aca="false">C9+E9</f>
        <v>3586.5855</v>
      </c>
      <c r="G9" s="0" t="s">
        <v>281</v>
      </c>
      <c r="H9" s="0" t="n">
        <f aca="false">ROUNDUP(F9/Inputs!$B$10,0)</f>
        <v>180</v>
      </c>
      <c r="I9" s="0" t="s">
        <v>284</v>
      </c>
    </row>
    <row r="10" customFormat="false" ht="15" hidden="false" customHeight="false" outlineLevel="0" collapsed="false">
      <c r="A10" s="0" t="s">
        <v>285</v>
      </c>
      <c r="B10" s="0" t="s">
        <v>273</v>
      </c>
      <c r="C10" s="0" t="n">
        <v>9276.97</v>
      </c>
      <c r="D10" s="0" t="n">
        <f aca="false">Inputs!$B$5</f>
        <v>0.15</v>
      </c>
      <c r="E10" s="0" t="n">
        <f aca="false">C10*D10</f>
        <v>1391.5455</v>
      </c>
      <c r="F10" s="0" t="n">
        <f aca="false">C10+E10</f>
        <v>10668.5155</v>
      </c>
      <c r="G10" s="0" t="s">
        <v>281</v>
      </c>
      <c r="H10" s="0" t="n">
        <f aca="false">ROUNDUP(F10/Inputs!$B$10,0)</f>
        <v>534</v>
      </c>
      <c r="I10" s="0" t="s">
        <v>286</v>
      </c>
    </row>
    <row r="11" customFormat="false" ht="15" hidden="false" customHeight="false" outlineLevel="0" collapsed="false">
      <c r="A11" s="0" t="s">
        <v>287</v>
      </c>
      <c r="B11" s="0" t="s">
        <v>273</v>
      </c>
      <c r="C11" s="0" t="n">
        <v>302.13</v>
      </c>
      <c r="D11" s="0" t="n">
        <f aca="false">Inputs!$B$5</f>
        <v>0.15</v>
      </c>
      <c r="E11" s="0" t="n">
        <f aca="false">C11*D11</f>
        <v>45.3195</v>
      </c>
      <c r="F11" s="0" t="n">
        <f aca="false">C11+E11</f>
        <v>347.4495</v>
      </c>
      <c r="G11" s="0" t="s">
        <v>274</v>
      </c>
      <c r="H11" s="0" t="n">
        <f aca="false">ROUNDUP(F11/Inputs!$B$11,0)</f>
        <v>35</v>
      </c>
      <c r="I11" s="0" t="s">
        <v>288</v>
      </c>
    </row>
    <row r="12" customFormat="false" ht="15" hidden="false" customHeight="false" outlineLevel="0" collapsed="false">
      <c r="A12" s="0" t="s">
        <v>289</v>
      </c>
      <c r="B12" s="0" t="s">
        <v>273</v>
      </c>
      <c r="C12" s="0" t="n">
        <v>2651.88</v>
      </c>
      <c r="D12" s="0" t="n">
        <f aca="false">Inputs!$B$5</f>
        <v>0.15</v>
      </c>
      <c r="E12" s="0" t="n">
        <f aca="false">C12*D12</f>
        <v>397.782</v>
      </c>
      <c r="F12" s="0" t="n">
        <f aca="false">C12+E12</f>
        <v>3049.662</v>
      </c>
      <c r="G12" s="0" t="s">
        <v>290</v>
      </c>
      <c r="H12" s="0" t="n">
        <f aca="false">ROUNDUP(F12/Inputs!$B$16,0)</f>
        <v>191</v>
      </c>
      <c r="I12" s="0" t="s">
        <v>291</v>
      </c>
    </row>
    <row r="13" customFormat="false" ht="15" hidden="false" customHeight="false" outlineLevel="0" collapsed="false">
      <c r="A13" s="0" t="s">
        <v>292</v>
      </c>
      <c r="B13" s="0" t="s">
        <v>273</v>
      </c>
      <c r="C13" s="0" t="n">
        <v>52</v>
      </c>
      <c r="D13" s="0" t="n">
        <f aca="false">Inputs!$B$5</f>
        <v>0.15</v>
      </c>
      <c r="E13" s="0" t="n">
        <f aca="false">C13*D13</f>
        <v>7.8</v>
      </c>
      <c r="F13" s="0" t="n">
        <f aca="false">C13+E13</f>
        <v>59.8</v>
      </c>
      <c r="G13" s="0" t="s">
        <v>281</v>
      </c>
      <c r="H13" s="0" t="n">
        <f aca="false">ROUNDUP(F13/Inputs!$B$10,0)</f>
        <v>3</v>
      </c>
      <c r="I13" s="0" t="s">
        <v>293</v>
      </c>
    </row>
    <row r="14" customFormat="false" ht="15" hidden="false" customHeight="false" outlineLevel="0" collapsed="false">
      <c r="A14" s="0" t="s">
        <v>294</v>
      </c>
      <c r="B14" s="0" t="s">
        <v>273</v>
      </c>
      <c r="C14" s="0" t="n">
        <v>286.44</v>
      </c>
      <c r="D14" s="0" t="n">
        <f aca="false">Inputs!$B$5</f>
        <v>0.15</v>
      </c>
      <c r="E14" s="0" t="n">
        <f aca="false">C14*D14</f>
        <v>42.966</v>
      </c>
      <c r="F14" s="0" t="n">
        <f aca="false">C14+E14</f>
        <v>329.406</v>
      </c>
      <c r="G14" s="0" t="s">
        <v>295</v>
      </c>
      <c r="H14" s="0" t="n">
        <f aca="false">ROUNDUP(F14/Inputs!$B$17,0)</f>
        <v>28</v>
      </c>
      <c r="I14" s="0" t="s">
        <v>296</v>
      </c>
    </row>
    <row r="15" customFormat="false" ht="15" hidden="false" customHeight="false" outlineLevel="0" collapsed="false">
      <c r="A15" s="0" t="s">
        <v>297</v>
      </c>
      <c r="B15" s="0" t="s">
        <v>273</v>
      </c>
      <c r="C15" s="0" t="n">
        <v>159.16</v>
      </c>
      <c r="D15" s="0" t="n">
        <f aca="false">Inputs!$B$5</f>
        <v>0.15</v>
      </c>
      <c r="E15" s="0" t="n">
        <f aca="false">C15*D15</f>
        <v>23.874</v>
      </c>
      <c r="F15" s="0" t="n">
        <f aca="false">C15+E15</f>
        <v>183.034</v>
      </c>
      <c r="G15" s="0" t="s">
        <v>290</v>
      </c>
      <c r="H15" s="0" t="n">
        <f aca="false">ROUNDUP(F15/Inputs!$B$16,0)</f>
        <v>12</v>
      </c>
      <c r="I15" s="0" t="s">
        <v>298</v>
      </c>
    </row>
    <row r="16" customFormat="false" ht="15" hidden="false" customHeight="false" outlineLevel="0" collapsed="false">
      <c r="A16" s="0" t="s">
        <v>299</v>
      </c>
      <c r="B16" s="0" t="s">
        <v>273</v>
      </c>
      <c r="C16" s="0" t="n">
        <v>1545.5</v>
      </c>
      <c r="D16" s="0" t="n">
        <f aca="false">Inputs!$B$5</f>
        <v>0.15</v>
      </c>
      <c r="E16" s="0" t="n">
        <f aca="false">C16*D16</f>
        <v>231.825</v>
      </c>
      <c r="F16" s="0" t="n">
        <f aca="false">C16+E16</f>
        <v>1777.325</v>
      </c>
      <c r="G16" s="0" t="s">
        <v>33</v>
      </c>
      <c r="H16" s="0" t="n">
        <f aca="false">ROUNDUP(F16,0)</f>
        <v>1778</v>
      </c>
      <c r="I16" s="0" t="s">
        <v>300</v>
      </c>
    </row>
    <row r="17" customFormat="false" ht="15" hidden="false" customHeight="false" outlineLevel="0" collapsed="false">
      <c r="A17" s="0" t="s">
        <v>301</v>
      </c>
      <c r="B17" s="0" t="s">
        <v>273</v>
      </c>
      <c r="C17" s="0" t="n">
        <v>552.27</v>
      </c>
      <c r="D17" s="0" t="n">
        <f aca="false">Inputs!$B$6</f>
        <v>0.06</v>
      </c>
      <c r="E17" s="0" t="n">
        <f aca="false">C17*D17</f>
        <v>33.1362</v>
      </c>
      <c r="F17" s="0" t="n">
        <f aca="false">C17+E17</f>
        <v>585.4062</v>
      </c>
      <c r="G17" s="0" t="s">
        <v>302</v>
      </c>
      <c r="H17" s="0" t="n">
        <f aca="false">ROUNDUP(F17/Inputs!$B$26,0)</f>
        <v>37</v>
      </c>
      <c r="I17" s="0" t="s">
        <v>303</v>
      </c>
    </row>
    <row r="18" customFormat="false" ht="15" hidden="false" customHeight="false" outlineLevel="0" collapsed="false">
      <c r="A18" s="0" t="s">
        <v>304</v>
      </c>
      <c r="B18" s="0" t="s">
        <v>305</v>
      </c>
      <c r="C18" s="0" t="n">
        <v>15594.81</v>
      </c>
      <c r="D18" s="0" t="n">
        <f aca="false">Inputs!$B$6</f>
        <v>0.06</v>
      </c>
      <c r="E18" s="0" t="n">
        <f aca="false">C18*D18</f>
        <v>935.6886</v>
      </c>
      <c r="F18" s="0" t="n">
        <f aca="false">C18+E18</f>
        <v>16530.4986</v>
      </c>
      <c r="G18" s="0" t="s">
        <v>306</v>
      </c>
      <c r="H18" s="0" t="n">
        <f aca="false">ROUNDUP(F18/Inputs!$B$9,0)</f>
        <v>345</v>
      </c>
      <c r="I18" s="0" t="s">
        <v>307</v>
      </c>
    </row>
    <row r="19" customFormat="false" ht="15" hidden="false" customHeight="false" outlineLevel="0" collapsed="false">
      <c r="A19" s="0" t="s">
        <v>308</v>
      </c>
      <c r="B19" s="0" t="s">
        <v>305</v>
      </c>
      <c r="C19" s="0" t="n">
        <v>943.36</v>
      </c>
      <c r="D19" s="0" t="n">
        <f aca="false">Inputs!$B$6</f>
        <v>0.06</v>
      </c>
      <c r="E19" s="0" t="n">
        <f aca="false">C19*D19</f>
        <v>56.6016</v>
      </c>
      <c r="F19" s="0" t="n">
        <f aca="false">C19+E19</f>
        <v>999.9616</v>
      </c>
      <c r="G19" s="0" t="s">
        <v>306</v>
      </c>
      <c r="H19" s="0" t="n">
        <f aca="false">ROUNDUP(F19/Inputs!$B$9,0)</f>
        <v>21</v>
      </c>
      <c r="I19" s="0" t="s">
        <v>309</v>
      </c>
    </row>
    <row r="20" customFormat="false" ht="15" hidden="false" customHeight="false" outlineLevel="0" collapsed="false">
      <c r="A20" s="0" t="s">
        <v>310</v>
      </c>
      <c r="B20" s="0" t="s">
        <v>273</v>
      </c>
      <c r="C20" s="0" t="n">
        <v>88</v>
      </c>
      <c r="D20" s="0" t="n">
        <f aca="false">Inputs!$B$5</f>
        <v>0.15</v>
      </c>
      <c r="E20" s="0" t="n">
        <f aca="false">C20*D20</f>
        <v>13.2</v>
      </c>
      <c r="F20" s="0" t="n">
        <f aca="false">C20+E20</f>
        <v>101.2</v>
      </c>
      <c r="G20" s="0" t="s">
        <v>281</v>
      </c>
      <c r="H20" s="0" t="n">
        <f aca="false">ROUNDUP(F20/Inputs!$B$10,0)</f>
        <v>6</v>
      </c>
      <c r="I20" s="0" t="s">
        <v>311</v>
      </c>
    </row>
    <row r="21" customFormat="false" ht="15" hidden="false" customHeight="false" outlineLevel="0" collapsed="false">
      <c r="A21" s="0" t="s">
        <v>312</v>
      </c>
      <c r="B21" s="0" t="s">
        <v>273</v>
      </c>
      <c r="C21" s="0" t="n">
        <v>194.16</v>
      </c>
      <c r="D21" s="0" t="n">
        <f aca="false">Inputs!$B$5</f>
        <v>0.15</v>
      </c>
      <c r="E21" s="0" t="n">
        <f aca="false">C21*D21</f>
        <v>29.124</v>
      </c>
      <c r="F21" s="0" t="n">
        <f aca="false">C21+E21</f>
        <v>223.284</v>
      </c>
      <c r="G21" s="0" t="s">
        <v>313</v>
      </c>
      <c r="H21" s="0" t="n">
        <f aca="false">ROUNDUP(F21/Inputs!$B$27,0)</f>
        <v>19</v>
      </c>
      <c r="I21" s="0" t="s">
        <v>314</v>
      </c>
    </row>
    <row r="22" customFormat="false" ht="15" hidden="false" customHeight="false" outlineLevel="0" collapsed="false">
      <c r="A22" s="0" t="s">
        <v>315</v>
      </c>
      <c r="B22" s="0" t="s">
        <v>273</v>
      </c>
      <c r="C22" s="0" t="n">
        <v>457.96</v>
      </c>
      <c r="D22" s="0" t="n">
        <f aca="false">Inputs!$B$5</f>
        <v>0.15</v>
      </c>
      <c r="E22" s="0" t="n">
        <f aca="false">C22*D22</f>
        <v>68.694</v>
      </c>
      <c r="F22" s="0" t="n">
        <f aca="false">C22+E22</f>
        <v>526.654</v>
      </c>
      <c r="G22" s="0" t="s">
        <v>316</v>
      </c>
      <c r="H22" s="0" t="n">
        <f aca="false">ROUNDUP(F22/Inputs!$B$28,0)</f>
        <v>132</v>
      </c>
      <c r="I22" s="0" t="s">
        <v>314</v>
      </c>
    </row>
    <row r="23" customFormat="false" ht="15" hidden="false" customHeight="false" outlineLevel="0" collapsed="false">
      <c r="A23" s="0" t="s">
        <v>317</v>
      </c>
      <c r="B23" s="0" t="s">
        <v>273</v>
      </c>
      <c r="C23" s="0" t="n">
        <v>107.21</v>
      </c>
      <c r="D23" s="0" t="n">
        <f aca="false">Inputs!$B$5</f>
        <v>0.15</v>
      </c>
      <c r="E23" s="0" t="n">
        <f aca="false">C23*D23</f>
        <v>16.0815</v>
      </c>
      <c r="F23" s="0" t="n">
        <f aca="false">C23+E23</f>
        <v>123.2915</v>
      </c>
      <c r="G23" s="0" t="s">
        <v>318</v>
      </c>
      <c r="H23" s="0" t="n">
        <f aca="false">ROUNDUP(F23/Inputs!$B$29,0)</f>
        <v>11</v>
      </c>
      <c r="I23" s="0" t="s">
        <v>314</v>
      </c>
    </row>
    <row r="24" customFormat="false" ht="15" hidden="false" customHeight="false" outlineLevel="0" collapsed="false">
      <c r="A24" s="0" t="s">
        <v>319</v>
      </c>
      <c r="B24" s="0" t="s">
        <v>273</v>
      </c>
      <c r="C24" s="0" t="n">
        <v>107.21</v>
      </c>
      <c r="D24" s="0" t="n">
        <f aca="false">Inputs!$B$5</f>
        <v>0.15</v>
      </c>
      <c r="E24" s="0" t="n">
        <f aca="false">C24*D24</f>
        <v>16.0815</v>
      </c>
      <c r="F24" s="0" t="n">
        <f aca="false">C24+E24</f>
        <v>123.2915</v>
      </c>
      <c r="G24" s="0" t="s">
        <v>318</v>
      </c>
      <c r="H24" s="0" t="n">
        <f aca="false">ROUNDUP(F24/Inputs!$B$29,0)</f>
        <v>11</v>
      </c>
      <c r="I24" s="0" t="s">
        <v>314</v>
      </c>
    </row>
    <row r="25" customFormat="false" ht="15" hidden="false" customHeight="false" outlineLevel="0" collapsed="false">
      <c r="A25" s="0" t="s">
        <v>320</v>
      </c>
      <c r="B25" s="0" t="s">
        <v>273</v>
      </c>
      <c r="C25" s="0" t="n">
        <v>302.64</v>
      </c>
      <c r="D25" s="0" t="n">
        <f aca="false">Inputs!$B$5</f>
        <v>0.15</v>
      </c>
      <c r="E25" s="0" t="n">
        <f aca="false">C25*D25</f>
        <v>45.396</v>
      </c>
      <c r="F25" s="0" t="n">
        <f aca="false">C25+E25</f>
        <v>348.036</v>
      </c>
      <c r="G25" s="0" t="s">
        <v>281</v>
      </c>
      <c r="H25" s="0" t="n">
        <f aca="false">ROUNDUP(F25/Inputs!$B$10,0)</f>
        <v>18</v>
      </c>
      <c r="I25" s="0" t="s">
        <v>293</v>
      </c>
    </row>
    <row r="26" customFormat="false" ht="15" hidden="false" customHeight="false" outlineLevel="0" collapsed="false">
      <c r="A26" s="0" t="s">
        <v>321</v>
      </c>
      <c r="B26" s="0" t="s">
        <v>273</v>
      </c>
      <c r="C26" s="0" t="n">
        <v>927.46</v>
      </c>
      <c r="D26" s="0" t="n">
        <f aca="false">Inputs!$B$5</f>
        <v>0.15</v>
      </c>
      <c r="E26" s="0" t="n">
        <f aca="false">C26*D26</f>
        <v>139.119</v>
      </c>
      <c r="F26" s="0" t="n">
        <f aca="false">C26+E26</f>
        <v>1066.579</v>
      </c>
      <c r="G26" s="0" t="s">
        <v>322</v>
      </c>
      <c r="H26" s="0" t="n">
        <f aca="false">ROUNDUP(F26/Inputs!$B$18,0)</f>
        <v>107</v>
      </c>
      <c r="I26" s="0" t="s">
        <v>323</v>
      </c>
    </row>
    <row r="27" customFormat="false" ht="15" hidden="false" customHeight="false" outlineLevel="0" collapsed="false">
      <c r="A27" s="0" t="s">
        <v>324</v>
      </c>
      <c r="B27" s="0" t="s">
        <v>305</v>
      </c>
      <c r="C27" s="0" t="n">
        <v>374.37</v>
      </c>
      <c r="D27" s="0" t="n">
        <f aca="false">Inputs!$B$6</f>
        <v>0.06</v>
      </c>
      <c r="E27" s="0" t="n">
        <f aca="false">C27*D27</f>
        <v>22.4622</v>
      </c>
      <c r="F27" s="0" t="n">
        <f aca="false">C27+E27</f>
        <v>396.8322</v>
      </c>
      <c r="G27" s="0" t="s">
        <v>306</v>
      </c>
      <c r="H27" s="0" t="n">
        <f aca="false">ROUNDUP(F27/Inputs!$B$9,0)</f>
        <v>9</v>
      </c>
      <c r="I27" s="0" t="s">
        <v>325</v>
      </c>
    </row>
    <row r="28" customFormat="false" ht="15" hidden="false" customHeight="false" outlineLevel="0" collapsed="false">
      <c r="A28" s="0" t="s">
        <v>326</v>
      </c>
      <c r="B28" s="0" t="s">
        <v>305</v>
      </c>
      <c r="C28" s="0" t="n">
        <v>2001.38</v>
      </c>
      <c r="D28" s="0" t="n">
        <f aca="false">Inputs!$B$6</f>
        <v>0.06</v>
      </c>
      <c r="E28" s="0" t="n">
        <f aca="false">C28*D28</f>
        <v>120.0828</v>
      </c>
      <c r="F28" s="0" t="n">
        <f aca="false">C28+E28</f>
        <v>2121.4628</v>
      </c>
      <c r="G28" s="0" t="s">
        <v>327</v>
      </c>
      <c r="H28" s="0" t="n">
        <f aca="false">ROUNDUP(F28/Inputs!$B$30,0)</f>
        <v>54</v>
      </c>
      <c r="I28" s="0" t="s">
        <v>328</v>
      </c>
    </row>
    <row r="29" customFormat="false" ht="15" hidden="false" customHeight="false" outlineLevel="0" collapsed="false">
      <c r="A29" s="0" t="s">
        <v>329</v>
      </c>
      <c r="B29" s="0" t="s">
        <v>330</v>
      </c>
      <c r="C29" s="0" t="n">
        <v>162</v>
      </c>
      <c r="D29" s="0" t="n">
        <f aca="false">Inputs!$B$5</f>
        <v>0.15</v>
      </c>
      <c r="E29" s="0" t="n">
        <f aca="false">C29*D29</f>
        <v>24.3</v>
      </c>
      <c r="F29" s="0" t="n">
        <f aca="false">C29+E29</f>
        <v>186.3</v>
      </c>
      <c r="G29" s="0" t="s">
        <v>331</v>
      </c>
      <c r="H29" s="0" t="n">
        <f aca="false">ROUNDUP(F29,0)</f>
        <v>187</v>
      </c>
      <c r="I29" s="0" t="s">
        <v>332</v>
      </c>
    </row>
    <row r="30" customFormat="false" ht="15" hidden="false" customHeight="false" outlineLevel="0" collapsed="false">
      <c r="A30" s="0" t="s">
        <v>333</v>
      </c>
      <c r="B30" s="0" t="s">
        <v>330</v>
      </c>
      <c r="C30" s="0" t="n">
        <v>324</v>
      </c>
      <c r="D30" s="0" t="n">
        <f aca="false">Inputs!$B$5</f>
        <v>0.15</v>
      </c>
      <c r="E30" s="0" t="n">
        <f aca="false">C30*D30</f>
        <v>48.6</v>
      </c>
      <c r="F30" s="0" t="n">
        <f aca="false">C30+E30</f>
        <v>372.6</v>
      </c>
      <c r="G30" s="0" t="s">
        <v>331</v>
      </c>
      <c r="H30" s="0" t="n">
        <f aca="false">ROUNDUP(F30,0)</f>
        <v>373</v>
      </c>
      <c r="I30" s="0" t="s">
        <v>334</v>
      </c>
    </row>
    <row r="31" customFormat="false" ht="15" hidden="false" customHeight="false" outlineLevel="0" collapsed="false">
      <c r="A31" s="0" t="s">
        <v>335</v>
      </c>
      <c r="B31" s="0" t="s">
        <v>330</v>
      </c>
      <c r="C31" s="0" t="n">
        <v>324</v>
      </c>
      <c r="D31" s="0" t="n">
        <f aca="false">Inputs!$B$5</f>
        <v>0.15</v>
      </c>
      <c r="E31" s="0" t="n">
        <f aca="false">C31*D31</f>
        <v>48.6</v>
      </c>
      <c r="F31" s="0" t="n">
        <f aca="false">C31+E31</f>
        <v>372.6</v>
      </c>
      <c r="G31" s="0" t="s">
        <v>331</v>
      </c>
      <c r="H31" s="0" t="n">
        <f aca="false">ROUNDUP(F31,0)</f>
        <v>373</v>
      </c>
      <c r="I31" s="0" t="s">
        <v>336</v>
      </c>
    </row>
    <row r="32" customFormat="false" ht="15" hidden="false" customHeight="false" outlineLevel="0" collapsed="false">
      <c r="A32" s="0" t="s">
        <v>337</v>
      </c>
      <c r="B32" s="0" t="s">
        <v>330</v>
      </c>
      <c r="C32" s="0" t="n">
        <v>72</v>
      </c>
      <c r="D32" s="0" t="n">
        <f aca="false">Inputs!$B$5</f>
        <v>0.15</v>
      </c>
      <c r="E32" s="0" t="n">
        <f aca="false">C32*D32</f>
        <v>10.8</v>
      </c>
      <c r="F32" s="0" t="n">
        <f aca="false">C32+E32</f>
        <v>82.8</v>
      </c>
      <c r="G32" s="0" t="s">
        <v>331</v>
      </c>
      <c r="H32" s="0" t="n">
        <f aca="false">ROUNDUP(F32,0)</f>
        <v>83</v>
      </c>
      <c r="I32" s="0" t="s">
        <v>338</v>
      </c>
    </row>
    <row r="33" customFormat="false" ht="15" hidden="false" customHeight="false" outlineLevel="0" collapsed="false">
      <c r="A33" s="0" t="s">
        <v>339</v>
      </c>
      <c r="B33" s="0" t="s">
        <v>330</v>
      </c>
      <c r="C33" s="0" t="n">
        <v>1</v>
      </c>
      <c r="D33" s="0" t="n">
        <v>0</v>
      </c>
      <c r="E33" s="0" t="n">
        <f aca="false">C33*D33</f>
        <v>0</v>
      </c>
      <c r="F33" s="0" t="n">
        <f aca="false">C33+E33</f>
        <v>1</v>
      </c>
      <c r="G33" s="0" t="s">
        <v>331</v>
      </c>
      <c r="H33" s="0" t="n">
        <f aca="false">ROUNDUP(F33,0)</f>
        <v>1</v>
      </c>
      <c r="I33" s="0" t="s">
        <v>340</v>
      </c>
    </row>
    <row r="34" customFormat="false" ht="15" hidden="false" customHeight="false" outlineLevel="0" collapsed="false">
      <c r="A34" s="0" t="s">
        <v>341</v>
      </c>
      <c r="B34" s="0" t="s">
        <v>273</v>
      </c>
      <c r="C34" s="0" t="n">
        <v>250</v>
      </c>
      <c r="D34" s="0" t="n">
        <f aca="false">Inputs!$B$5</f>
        <v>0.15</v>
      </c>
      <c r="E34" s="0" t="n">
        <f aca="false">C34*D34</f>
        <v>37.5</v>
      </c>
      <c r="F34" s="0" t="n">
        <f aca="false">C34+E34</f>
        <v>287.5</v>
      </c>
      <c r="G34" s="0" t="s">
        <v>322</v>
      </c>
      <c r="H34" s="0" t="n">
        <f aca="false">ROUNDUP(F34/Inputs!$B$18,0)</f>
        <v>29</v>
      </c>
      <c r="I34" s="0" t="s">
        <v>342</v>
      </c>
    </row>
    <row r="35" customFormat="false" ht="15" hidden="false" customHeight="false" outlineLevel="0" collapsed="false">
      <c r="A35" s="0" t="s">
        <v>343</v>
      </c>
      <c r="B35" s="0" t="s">
        <v>330</v>
      </c>
      <c r="C35" s="0" t="n">
        <v>512</v>
      </c>
      <c r="D35" s="0" t="n">
        <f aca="false">Inputs!$B$5</f>
        <v>0.15</v>
      </c>
      <c r="E35" s="0" t="n">
        <f aca="false">C35*D35</f>
        <v>76.8</v>
      </c>
      <c r="F35" s="0" t="n">
        <f aca="false">C35+E35</f>
        <v>588.8</v>
      </c>
      <c r="G35" s="0" t="s">
        <v>331</v>
      </c>
      <c r="H35" s="0" t="n">
        <f aca="false">ROUNDUP(F35,0)</f>
        <v>589</v>
      </c>
      <c r="I35" s="0" t="s">
        <v>344</v>
      </c>
    </row>
    <row r="36" customFormat="false" ht="15" hidden="false" customHeight="false" outlineLevel="0" collapsed="false">
      <c r="A36" s="0" t="s">
        <v>345</v>
      </c>
      <c r="B36" s="0" t="s">
        <v>273</v>
      </c>
      <c r="C36" s="0" t="n">
        <v>89.61</v>
      </c>
      <c r="D36" s="0" t="n">
        <f aca="false">Inputs!$B$5</f>
        <v>0.15</v>
      </c>
      <c r="E36" s="0" t="n">
        <f aca="false">C36*D36</f>
        <v>13.4415</v>
      </c>
      <c r="F36" s="0" t="n">
        <f aca="false">C36+E36</f>
        <v>103.0515</v>
      </c>
      <c r="G36" s="0" t="s">
        <v>281</v>
      </c>
      <c r="H36" s="0" t="n">
        <f aca="false">ROUNDUP(F36/Inputs!$B$10,0)</f>
        <v>6</v>
      </c>
      <c r="I36" s="0" t="s">
        <v>346</v>
      </c>
    </row>
    <row r="37" customFormat="false" ht="15" hidden="false" customHeight="false" outlineLevel="0" collapsed="false">
      <c r="A37" s="0" t="s">
        <v>347</v>
      </c>
      <c r="B37" s="0" t="s">
        <v>305</v>
      </c>
      <c r="C37" s="0" t="n">
        <v>363.86</v>
      </c>
      <c r="D37" s="0" t="n">
        <f aca="false">Inputs!$B$6</f>
        <v>0.06</v>
      </c>
      <c r="E37" s="0" t="n">
        <f aca="false">C37*D37</f>
        <v>21.8316</v>
      </c>
      <c r="F37" s="0" t="n">
        <f aca="false">C37+E37</f>
        <v>385.6916</v>
      </c>
      <c r="G37" s="0" t="s">
        <v>306</v>
      </c>
      <c r="H37" s="0" t="n">
        <f aca="false">ROUNDUP(F37/Inputs!$B$9,0)</f>
        <v>9</v>
      </c>
      <c r="I37" s="0" t="s">
        <v>348</v>
      </c>
    </row>
    <row r="38" customFormat="false" ht="15" hidden="false" customHeight="false" outlineLevel="0" collapsed="false">
      <c r="A38" s="0" t="s">
        <v>349</v>
      </c>
      <c r="B38" s="0" t="s">
        <v>305</v>
      </c>
      <c r="C38" s="0" t="n">
        <v>2143.31</v>
      </c>
      <c r="D38" s="0" t="n">
        <f aca="false">Inputs!$B$6</f>
        <v>0.06</v>
      </c>
      <c r="E38" s="0" t="n">
        <f aca="false">C38*D38</f>
        <v>128.5986</v>
      </c>
      <c r="F38" s="0" t="n">
        <f aca="false">C38+E38</f>
        <v>2271.9086</v>
      </c>
      <c r="G38" s="0" t="s">
        <v>306</v>
      </c>
      <c r="H38" s="0" t="n">
        <f aca="false">ROUNDUP(F38/Inputs!$B$9,0)</f>
        <v>48</v>
      </c>
      <c r="I38" s="0" t="s">
        <v>350</v>
      </c>
    </row>
    <row r="39" customFormat="false" ht="15" hidden="false" customHeight="false" outlineLevel="0" collapsed="false">
      <c r="A39" s="0" t="s">
        <v>351</v>
      </c>
      <c r="B39" s="0" t="s">
        <v>330</v>
      </c>
      <c r="C39" s="0" t="n">
        <v>109</v>
      </c>
      <c r="D39" s="0" t="n">
        <v>0</v>
      </c>
      <c r="E39" s="0" t="n">
        <f aca="false">C39*D39</f>
        <v>0</v>
      </c>
      <c r="F39" s="0" t="n">
        <f aca="false">C39+E39</f>
        <v>109</v>
      </c>
      <c r="G39" s="0" t="s">
        <v>352</v>
      </c>
      <c r="H39" s="0" t="n">
        <f aca="false">ROUNDUP(F39,0)</f>
        <v>109</v>
      </c>
      <c r="I39" s="0" t="s">
        <v>353</v>
      </c>
    </row>
    <row r="40" customFormat="false" ht="15" hidden="false" customHeight="false" outlineLevel="0" collapsed="false">
      <c r="A40" s="0" t="s">
        <v>354</v>
      </c>
      <c r="B40" s="0" t="s">
        <v>273</v>
      </c>
      <c r="C40" s="0" t="n">
        <v>52</v>
      </c>
      <c r="D40" s="0" t="n">
        <f aca="false">Inputs!$B$5</f>
        <v>0.15</v>
      </c>
      <c r="E40" s="0" t="n">
        <f aca="false">C40*D40</f>
        <v>7.8</v>
      </c>
      <c r="F40" s="0" t="n">
        <f aca="false">C40+E40</f>
        <v>59.8</v>
      </c>
      <c r="G40" s="0" t="s">
        <v>281</v>
      </c>
      <c r="H40" s="0" t="n">
        <f aca="false">ROUNDUP(F40/Inputs!$B$10,0)</f>
        <v>3</v>
      </c>
      <c r="I40" s="0" t="s">
        <v>355</v>
      </c>
    </row>
    <row r="41" customFormat="false" ht="15" hidden="false" customHeight="false" outlineLevel="0" collapsed="false">
      <c r="A41" s="0" t="s">
        <v>356</v>
      </c>
      <c r="B41" s="0" t="s">
        <v>330</v>
      </c>
      <c r="C41" s="0" t="n">
        <v>10</v>
      </c>
      <c r="D41" s="0" t="n">
        <v>0</v>
      </c>
      <c r="E41" s="0" t="n">
        <f aca="false">C41*D41</f>
        <v>0</v>
      </c>
      <c r="F41" s="0" t="n">
        <f aca="false">C41+E41</f>
        <v>10</v>
      </c>
      <c r="G41" s="0" t="s">
        <v>352</v>
      </c>
      <c r="H41" s="0" t="n">
        <f aca="false">ROUNDUP(F41,0)</f>
        <v>10</v>
      </c>
      <c r="I41" s="0" t="s">
        <v>357</v>
      </c>
    </row>
    <row r="42" customFormat="false" ht="15" hidden="false" customHeight="false" outlineLevel="0" collapsed="false">
      <c r="A42" s="0" t="s">
        <v>358</v>
      </c>
      <c r="B42" s="0" t="s">
        <v>273</v>
      </c>
      <c r="C42" s="0" t="n">
        <v>0</v>
      </c>
      <c r="D42" s="0" t="n">
        <f aca="false">Inputs!$B$5</f>
        <v>0.15</v>
      </c>
      <c r="E42" s="0" t="n">
        <f aca="false">C42*D42</f>
        <v>0</v>
      </c>
      <c r="F42" s="0" t="n">
        <f aca="false">C42+E42</f>
        <v>0</v>
      </c>
      <c r="G42" s="0" t="s">
        <v>281</v>
      </c>
      <c r="H42" s="0" t="n">
        <f aca="false">ROUNDUP(F42/Inputs!$B$10,0)</f>
        <v>0</v>
      </c>
      <c r="I42" s="0" t="s">
        <v>359</v>
      </c>
    </row>
    <row r="43" customFormat="false" ht="15" hidden="false" customHeight="false" outlineLevel="0" collapsed="false">
      <c r="A43" s="0" t="s">
        <v>360</v>
      </c>
      <c r="B43" s="0" t="s">
        <v>273</v>
      </c>
      <c r="C43" s="0" t="n">
        <v>0</v>
      </c>
      <c r="D43" s="0" t="n">
        <f aca="false">Inputs!$B$5</f>
        <v>0.15</v>
      </c>
      <c r="E43" s="0" t="n">
        <f aca="false">C43*D43</f>
        <v>0</v>
      </c>
      <c r="F43" s="0" t="n">
        <f aca="false">C43+E43</f>
        <v>0</v>
      </c>
      <c r="G43" s="0" t="s">
        <v>281</v>
      </c>
      <c r="H43" s="0" t="n">
        <f aca="false">ROUNDUP(F43/Inputs!$B$10,0)</f>
        <v>0</v>
      </c>
      <c r="I43" s="0" t="s">
        <v>361</v>
      </c>
    </row>
    <row r="44" customFormat="false" ht="15" hidden="false" customHeight="false" outlineLevel="0" collapsed="false">
      <c r="A44" s="0" t="s">
        <v>362</v>
      </c>
      <c r="B44" s="0" t="s">
        <v>305</v>
      </c>
      <c r="C44" s="0" t="n">
        <v>0</v>
      </c>
      <c r="D44" s="0" t="n">
        <f aca="false">Inputs!$B$6</f>
        <v>0.06</v>
      </c>
      <c r="E44" s="0" t="n">
        <f aca="false">C44*D44</f>
        <v>0</v>
      </c>
      <c r="F44" s="0" t="n">
        <f aca="false">C44+E44</f>
        <v>0</v>
      </c>
      <c r="G44" s="0" t="s">
        <v>306</v>
      </c>
      <c r="H44" s="0" t="n">
        <f aca="false">ROUNDUP(F44/Inputs!$B$9,0)</f>
        <v>0</v>
      </c>
      <c r="I44" s="0" t="s">
        <v>363</v>
      </c>
    </row>
    <row r="45" customFormat="false" ht="15" hidden="false" customHeight="false" outlineLevel="0" collapsed="false">
      <c r="A45" s="0" t="s">
        <v>364</v>
      </c>
      <c r="B45" s="0" t="s">
        <v>273</v>
      </c>
      <c r="C45" s="0" t="n">
        <v>887.62</v>
      </c>
      <c r="D45" s="0" t="n">
        <f aca="false">Inputs!$B$6</f>
        <v>0.06</v>
      </c>
      <c r="E45" s="0" t="n">
        <f aca="false">C45*D45</f>
        <v>53.2572</v>
      </c>
      <c r="F45" s="0" t="n">
        <f aca="false">C45+E45</f>
        <v>940.8772</v>
      </c>
      <c r="G45" s="0" t="s">
        <v>322</v>
      </c>
      <c r="H45" s="0" t="n">
        <f aca="false">ROUNDUP(F45/Inputs!$B$18,0)</f>
        <v>95</v>
      </c>
      <c r="I45" s="0" t="s">
        <v>365</v>
      </c>
    </row>
    <row r="46" customFormat="false" ht="15" hidden="false" customHeight="false" outlineLevel="0" collapsed="false">
      <c r="A46" s="0" t="s">
        <v>366</v>
      </c>
      <c r="B46" s="0" t="s">
        <v>330</v>
      </c>
      <c r="C46" s="0" t="n">
        <v>8</v>
      </c>
      <c r="D46" s="0" t="n">
        <v>0</v>
      </c>
      <c r="E46" s="0" t="n">
        <f aca="false">C46*D46</f>
        <v>0</v>
      </c>
      <c r="F46" s="0" t="n">
        <f aca="false">C46+E46</f>
        <v>8</v>
      </c>
      <c r="G46" s="0" t="s">
        <v>352</v>
      </c>
      <c r="H46" s="0" t="n">
        <f aca="false">ROUNDUP(F46,0)</f>
        <v>8</v>
      </c>
      <c r="I46" s="0" t="s">
        <v>367</v>
      </c>
    </row>
    <row r="47" customFormat="false" ht="15" hidden="false" customHeight="false" outlineLevel="0" collapsed="false">
      <c r="A47" s="0" t="s">
        <v>368</v>
      </c>
      <c r="B47" s="0" t="s">
        <v>330</v>
      </c>
      <c r="C47" s="0" t="n">
        <v>0</v>
      </c>
      <c r="D47" s="0" t="n">
        <v>0</v>
      </c>
      <c r="E47" s="0" t="n">
        <f aca="false">C47*D47</f>
        <v>0</v>
      </c>
      <c r="F47" s="0" t="n">
        <f aca="false">C47+E47</f>
        <v>0</v>
      </c>
      <c r="G47" s="0" t="s">
        <v>352</v>
      </c>
      <c r="H47" s="0" t="n">
        <f aca="false">ROUNDUP(F47,0)</f>
        <v>0</v>
      </c>
      <c r="I47" s="0" t="s">
        <v>369</v>
      </c>
    </row>
    <row r="48" customFormat="false" ht="15" hidden="false" customHeight="false" outlineLevel="0" collapsed="false">
      <c r="A48" s="0" t="s">
        <v>370</v>
      </c>
      <c r="B48" s="0" t="s">
        <v>330</v>
      </c>
      <c r="C48" s="0" t="n">
        <v>19845.8</v>
      </c>
      <c r="D48" s="0" t="n">
        <v>0</v>
      </c>
      <c r="E48" s="0" t="n">
        <f aca="false">C48*D48</f>
        <v>0</v>
      </c>
      <c r="F48" s="0" t="n">
        <f aca="false">C48+E48</f>
        <v>19845.8</v>
      </c>
      <c r="G48" s="0" t="s">
        <v>352</v>
      </c>
      <c r="H48" s="0" t="n">
        <f aca="false">ROUNDUP(F48,0)</f>
        <v>19846</v>
      </c>
      <c r="I48" s="0" t="s">
        <v>371</v>
      </c>
      <c r="J48" s="0" t="n">
        <f aca="false">Inputs!$B$20*16538.2</f>
        <v>19845.84</v>
      </c>
    </row>
    <row r="49" customFormat="false" ht="15" hidden="false" customHeight="false" outlineLevel="0" collapsed="false">
      <c r="A49" s="0" t="s">
        <v>372</v>
      </c>
      <c r="B49" s="0" t="s">
        <v>330</v>
      </c>
      <c r="C49" s="0" t="n">
        <v>2616</v>
      </c>
      <c r="D49" s="0" t="n">
        <v>0</v>
      </c>
      <c r="E49" s="0" t="n">
        <f aca="false">C49*D49</f>
        <v>0</v>
      </c>
      <c r="F49" s="0" t="n">
        <f aca="false">C49+E49</f>
        <v>2616</v>
      </c>
      <c r="G49" s="0" t="s">
        <v>352</v>
      </c>
      <c r="H49" s="0" t="n">
        <f aca="false">ROUNDUP(F49,0)</f>
        <v>2616</v>
      </c>
      <c r="I49" s="0" t="s">
        <v>373</v>
      </c>
      <c r="J49" s="0" t="n">
        <f aca="false">Inputs!$B$21*654</f>
        <v>2616</v>
      </c>
    </row>
    <row r="50" customFormat="false" ht="15" hidden="false" customHeight="false" outlineLevel="0" collapsed="false">
      <c r="A50" s="0" t="s">
        <v>374</v>
      </c>
      <c r="B50" s="0" t="s">
        <v>330</v>
      </c>
      <c r="C50" s="0" t="n">
        <v>446.68</v>
      </c>
      <c r="D50" s="0" t="n">
        <v>0</v>
      </c>
      <c r="E50" s="0" t="n">
        <f aca="false">C50*D50</f>
        <v>0</v>
      </c>
      <c r="F50" s="0" t="n">
        <f aca="false">C50+E50</f>
        <v>446.68</v>
      </c>
      <c r="G50" s="0" t="s">
        <v>352</v>
      </c>
      <c r="H50" s="0" t="n">
        <f aca="false">ROUNDUP(F50,0)</f>
        <v>447</v>
      </c>
      <c r="I50" s="0" t="s">
        <v>375</v>
      </c>
      <c r="J50" s="0" t="n">
        <f aca="false">595.58/Inputs!$B$22</f>
        <v>446.685111671278</v>
      </c>
    </row>
    <row r="51" customFormat="false" ht="15" hidden="false" customHeight="false" outlineLevel="0" collapsed="false">
      <c r="A51" s="0" t="s">
        <v>376</v>
      </c>
      <c r="B51" s="0" t="s">
        <v>330</v>
      </c>
      <c r="C51" s="0" t="n">
        <v>0</v>
      </c>
      <c r="D51" s="0" t="n">
        <v>0</v>
      </c>
      <c r="E51" s="0" t="n">
        <f aca="false">C51*D51</f>
        <v>0</v>
      </c>
      <c r="F51" s="0" t="n">
        <f aca="false">C51+E51</f>
        <v>0</v>
      </c>
      <c r="G51" s="0" t="s">
        <v>352</v>
      </c>
      <c r="H51" s="0" t="n">
        <f aca="false">ROUNDUP(F51,0)</f>
        <v>0</v>
      </c>
      <c r="I51" s="0" t="s">
        <v>377</v>
      </c>
      <c r="J51" s="0" t="n">
        <f aca="false">0*Inputs!$B$25</f>
        <v>0</v>
      </c>
    </row>
    <row r="52" customFormat="false" ht="15" hidden="false" customHeight="false" outlineLevel="0" collapsed="false">
      <c r="A52" s="0" t="s">
        <v>378</v>
      </c>
      <c r="B52" s="0" t="s">
        <v>379</v>
      </c>
      <c r="C52" s="0" t="n">
        <v>1190.75</v>
      </c>
      <c r="D52" s="0" t="n">
        <v>0</v>
      </c>
      <c r="E52" s="0" t="n">
        <f aca="false">C52*D52</f>
        <v>0</v>
      </c>
      <c r="F52" s="0" t="n">
        <f aca="false">C52+E52</f>
        <v>1190.75</v>
      </c>
      <c r="G52" s="0" t="s">
        <v>380</v>
      </c>
      <c r="H52" s="0" t="n">
        <f aca="false">ROUNDUP(F52,0)</f>
        <v>1191</v>
      </c>
      <c r="I52" s="0" t="s">
        <v>381</v>
      </c>
      <c r="J52" s="0" t="n">
        <f aca="false">Inputs!$B$23*16538.2</f>
        <v>1190.7504</v>
      </c>
    </row>
    <row r="53" customFormat="false" ht="15" hidden="false" customHeight="false" outlineLevel="0" collapsed="false">
      <c r="A53" s="0" t="s">
        <v>382</v>
      </c>
      <c r="B53" s="0" t="s">
        <v>273</v>
      </c>
      <c r="C53" s="0" t="n">
        <v>6119.12</v>
      </c>
      <c r="D53" s="0" t="n">
        <v>0</v>
      </c>
      <c r="E53" s="0" t="n">
        <f aca="false">C53*D53</f>
        <v>0</v>
      </c>
      <c r="F53" s="0" t="n">
        <f aca="false">C53+E53</f>
        <v>6119.12</v>
      </c>
      <c r="G53" s="0" t="s">
        <v>273</v>
      </c>
      <c r="H53" s="0" t="n">
        <f aca="false">ROUNDUP(F53,0)</f>
        <v>6120</v>
      </c>
      <c r="I53" s="0" t="s">
        <v>383</v>
      </c>
      <c r="J53" s="0" t="n">
        <f aca="false">Inputs!$B$24*16538.2</f>
        <v>6119.134</v>
      </c>
    </row>
    <row r="54" customFormat="false" ht="15" hidden="false" customHeight="false" outlineLevel="0" collapsed="false">
      <c r="A54" s="0" t="s">
        <v>384</v>
      </c>
      <c r="B54" s="0" t="s">
        <v>305</v>
      </c>
      <c r="C54" s="0" t="n">
        <v>0</v>
      </c>
      <c r="D54" s="0" t="n">
        <f aca="false">Inputs!$B$6</f>
        <v>0.06</v>
      </c>
      <c r="E54" s="0" t="n">
        <f aca="false">C54*D54</f>
        <v>0</v>
      </c>
      <c r="F54" s="0" t="n">
        <f aca="false">C54+E54</f>
        <v>0</v>
      </c>
      <c r="G54" s="0" t="s">
        <v>305</v>
      </c>
      <c r="H54" s="0" t="n">
        <f aca="false">ROUNDUP(F54,0)</f>
        <v>0</v>
      </c>
      <c r="I54" s="0" t="s">
        <v>385</v>
      </c>
    </row>
    <row r="55" customFormat="false" ht="15" hidden="false" customHeight="false" outlineLevel="0" collapsed="false">
      <c r="A55" s="0" t="s">
        <v>386</v>
      </c>
      <c r="B55" s="0" t="s">
        <v>330</v>
      </c>
      <c r="C55" s="0" t="n">
        <v>0</v>
      </c>
      <c r="D55" s="0" t="n">
        <v>0</v>
      </c>
      <c r="E55" s="0" t="n">
        <f aca="false">C55*D55</f>
        <v>0</v>
      </c>
      <c r="F55" s="0" t="n">
        <f aca="false">C55+E55</f>
        <v>0</v>
      </c>
      <c r="G55" s="0" t="s">
        <v>352</v>
      </c>
      <c r="H55" s="0" t="n">
        <f aca="false">ROUNDUP(F55,0)</f>
        <v>0</v>
      </c>
      <c r="I55" s="0" t="s">
        <v>387</v>
      </c>
    </row>
    <row r="56" customFormat="false" ht="15" hidden="false" customHeight="false" outlineLevel="0" collapsed="false">
      <c r="A56" s="0" t="s">
        <v>388</v>
      </c>
      <c r="B56" s="0" t="s">
        <v>330</v>
      </c>
      <c r="C56" s="0" t="n">
        <v>0</v>
      </c>
      <c r="D56" s="0" t="n">
        <v>0</v>
      </c>
      <c r="E56" s="0" t="n">
        <f aca="false">C56*D56</f>
        <v>0</v>
      </c>
      <c r="F56" s="0" t="n">
        <f aca="false">C56+E56</f>
        <v>0</v>
      </c>
      <c r="G56" s="0" t="s">
        <v>352</v>
      </c>
      <c r="H56" s="0" t="n">
        <f aca="false">ROUNDUP(F56,0)</f>
        <v>0</v>
      </c>
      <c r="I56" s="0" t="s">
        <v>389</v>
      </c>
    </row>
    <row r="57" customFormat="false" ht="15" hidden="false" customHeight="false" outlineLevel="0" collapsed="false">
      <c r="A57" s="0" t="s">
        <v>390</v>
      </c>
      <c r="B57" s="0" t="s">
        <v>330</v>
      </c>
      <c r="C57" s="0" t="n">
        <v>0</v>
      </c>
      <c r="D57" s="0" t="n">
        <v>0</v>
      </c>
      <c r="E57" s="0" t="n">
        <f aca="false">C57*D57</f>
        <v>0</v>
      </c>
      <c r="F57" s="0" t="n">
        <f aca="false">C57+E57</f>
        <v>0</v>
      </c>
      <c r="G57" s="0" t="s">
        <v>352</v>
      </c>
      <c r="H57" s="0" t="n">
        <f aca="false">ROUNDUP(F57,0)</f>
        <v>0</v>
      </c>
      <c r="I57" s="0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391</v>
      </c>
      <c r="B1" s="2" t="s">
        <v>392</v>
      </c>
      <c r="C1" s="2" t="s">
        <v>393</v>
      </c>
    </row>
    <row r="2" customFormat="false" ht="15" hidden="false" customHeight="false" outlineLevel="0" collapsed="false">
      <c r="A2" s="0" t="s">
        <v>394</v>
      </c>
      <c r="B2" s="0" t="s">
        <v>395</v>
      </c>
      <c r="C2" s="0" t="s">
        <v>396</v>
      </c>
    </row>
    <row r="3" customFormat="false" ht="15" hidden="false" customHeight="false" outlineLevel="0" collapsed="false">
      <c r="A3" s="0" t="s">
        <v>397</v>
      </c>
      <c r="B3" s="0" t="s">
        <v>398</v>
      </c>
      <c r="C3" s="0" t="s">
        <v>399</v>
      </c>
    </row>
    <row r="4" customFormat="false" ht="15" hidden="false" customHeight="false" outlineLevel="0" collapsed="false">
      <c r="A4" s="0" t="s">
        <v>400</v>
      </c>
      <c r="B4" s="0" t="s">
        <v>401</v>
      </c>
      <c r="C4" s="0" t="s">
        <v>402</v>
      </c>
    </row>
    <row r="5" customFormat="false" ht="15" hidden="false" customHeight="false" outlineLevel="0" collapsed="false">
      <c r="A5" s="0" t="s">
        <v>403</v>
      </c>
      <c r="B5" s="0" t="s">
        <v>404</v>
      </c>
      <c r="C5" s="0" t="s">
        <v>405</v>
      </c>
    </row>
    <row r="6" customFormat="false" ht="15" hidden="false" customHeight="false" outlineLevel="0" collapsed="false">
      <c r="A6" s="0" t="s">
        <v>406</v>
      </c>
      <c r="B6" s="0" t="s">
        <v>407</v>
      </c>
      <c r="C6" s="0" t="s">
        <v>408</v>
      </c>
    </row>
    <row r="7" customFormat="false" ht="15" hidden="false" customHeight="false" outlineLevel="0" collapsed="false">
      <c r="A7" s="0" t="s">
        <v>409</v>
      </c>
      <c r="B7" s="0" t="s">
        <v>410</v>
      </c>
      <c r="C7" s="0" t="s">
        <v>405</v>
      </c>
    </row>
    <row r="8" customFormat="false" ht="15" hidden="false" customHeight="false" outlineLevel="0" collapsed="false">
      <c r="A8" s="0" t="s">
        <v>411</v>
      </c>
      <c r="B8" s="0" t="s">
        <v>412</v>
      </c>
      <c r="C8" s="0" t="s">
        <v>413</v>
      </c>
    </row>
    <row r="9" customFormat="false" ht="15" hidden="false" customHeight="false" outlineLevel="0" collapsed="false">
      <c r="A9" s="0" t="s">
        <v>414</v>
      </c>
      <c r="B9" s="0" t="s">
        <v>415</v>
      </c>
      <c r="C9" s="0" t="s">
        <v>402</v>
      </c>
    </row>
    <row r="10" customFormat="false" ht="15" hidden="false" customHeight="false" outlineLevel="0" collapsed="false">
      <c r="A10" s="0" t="s">
        <v>416</v>
      </c>
      <c r="B10" s="0" t="s">
        <v>417</v>
      </c>
      <c r="C10" s="0" t="s">
        <v>418</v>
      </c>
    </row>
    <row r="11" customFormat="false" ht="15" hidden="false" customHeight="false" outlineLevel="0" collapsed="false">
      <c r="A11" s="0" t="s">
        <v>419</v>
      </c>
      <c r="B11" s="0" t="s">
        <v>420</v>
      </c>
      <c r="C11" s="0" t="s">
        <v>421</v>
      </c>
    </row>
    <row r="12" customFormat="false" ht="15" hidden="false" customHeight="false" outlineLevel="0" collapsed="false">
      <c r="A12" s="0" t="s">
        <v>422</v>
      </c>
      <c r="B12" s="0" t="s">
        <v>423</v>
      </c>
      <c r="C12" s="0" t="s">
        <v>402</v>
      </c>
    </row>
    <row r="13" customFormat="false" ht="15" hidden="false" customHeight="false" outlineLevel="0" collapsed="false">
      <c r="A13" s="0" t="s">
        <v>424</v>
      </c>
      <c r="B13" s="0" t="s">
        <v>425</v>
      </c>
      <c r="C13" s="0" t="s">
        <v>426</v>
      </c>
    </row>
    <row r="14" customFormat="false" ht="15" hidden="false" customHeight="false" outlineLevel="0" collapsed="false">
      <c r="A14" s="0" t="s">
        <v>427</v>
      </c>
      <c r="B14" s="0" t="s">
        <v>428</v>
      </c>
      <c r="C14" s="0" t="s">
        <v>429</v>
      </c>
    </row>
    <row r="15" customFormat="false" ht="15" hidden="false" customHeight="false" outlineLevel="0" collapsed="false">
      <c r="A15" s="0" t="s">
        <v>430</v>
      </c>
      <c r="B15" s="0" t="s">
        <v>431</v>
      </c>
      <c r="C15" s="0" t="s">
        <v>432</v>
      </c>
    </row>
    <row r="16" customFormat="false" ht="15" hidden="false" customHeight="false" outlineLevel="0" collapsed="false">
      <c r="A16" s="0" t="s">
        <v>433</v>
      </c>
      <c r="B16" s="0" t="s">
        <v>434</v>
      </c>
      <c r="C16" s="0" t="s">
        <v>435</v>
      </c>
    </row>
    <row r="17" customFormat="false" ht="15" hidden="false" customHeight="false" outlineLevel="0" collapsed="false">
      <c r="A17" s="0" t="s">
        <v>436</v>
      </c>
      <c r="B17" s="0" t="s">
        <v>437</v>
      </c>
      <c r="C17" s="0" t="s">
        <v>438</v>
      </c>
    </row>
    <row r="18" customFormat="false" ht="15" hidden="false" customHeight="false" outlineLevel="0" collapsed="false">
      <c r="A18" s="0" t="s">
        <v>439</v>
      </c>
      <c r="B18" s="0" t="s">
        <v>440</v>
      </c>
      <c r="C18" s="0" t="s">
        <v>441</v>
      </c>
    </row>
    <row r="19" customFormat="false" ht="15" hidden="false" customHeight="false" outlineLevel="0" collapsed="false">
      <c r="A19" s="0" t="s">
        <v>442</v>
      </c>
      <c r="B19" s="0" t="s">
        <v>443</v>
      </c>
      <c r="C19" s="0" t="s">
        <v>444</v>
      </c>
    </row>
    <row r="20" customFormat="false" ht="15" hidden="false" customHeight="false" outlineLevel="0" collapsed="false">
      <c r="A20" s="0" t="s">
        <v>445</v>
      </c>
      <c r="B20" s="0" t="s">
        <v>446</v>
      </c>
      <c r="C20" s="0" t="s">
        <v>447</v>
      </c>
    </row>
    <row r="21" customFormat="false" ht="15" hidden="false" customHeight="false" outlineLevel="0" collapsed="false">
      <c r="A21" s="0" t="s">
        <v>448</v>
      </c>
      <c r="B21" s="0" t="s">
        <v>449</v>
      </c>
      <c r="C21" s="0" t="s">
        <v>402</v>
      </c>
    </row>
    <row r="22" customFormat="false" ht="15" hidden="false" customHeight="false" outlineLevel="0" collapsed="false">
      <c r="A22" s="0" t="s">
        <v>450</v>
      </c>
      <c r="B22" s="0" t="s">
        <v>451</v>
      </c>
      <c r="C22" s="0" t="s">
        <v>452</v>
      </c>
    </row>
    <row r="23" customFormat="false" ht="15" hidden="false" customHeight="false" outlineLevel="0" collapsed="false">
      <c r="A23" s="0" t="s">
        <v>453</v>
      </c>
      <c r="B23" s="0" t="s">
        <v>454</v>
      </c>
      <c r="C23" s="0" t="s">
        <v>455</v>
      </c>
    </row>
    <row r="24" customFormat="false" ht="15" hidden="false" customHeight="false" outlineLevel="0" collapsed="false">
      <c r="A24" s="0" t="s">
        <v>456</v>
      </c>
      <c r="B24" s="0" t="s">
        <v>457</v>
      </c>
      <c r="C24" s="0" t="s">
        <v>458</v>
      </c>
    </row>
    <row r="25" customFormat="false" ht="15" hidden="false" customHeight="false" outlineLevel="0" collapsed="false">
      <c r="A25" s="0" t="s">
        <v>459</v>
      </c>
      <c r="B25" s="0" t="s">
        <v>460</v>
      </c>
      <c r="C25" s="0" t="s">
        <v>461</v>
      </c>
    </row>
    <row r="26" customFormat="false" ht="15" hidden="false" customHeight="false" outlineLevel="0" collapsed="false">
      <c r="A26" s="0" t="s">
        <v>462</v>
      </c>
      <c r="B26" s="0" t="s">
        <v>463</v>
      </c>
      <c r="C26" s="0" t="s">
        <v>464</v>
      </c>
    </row>
    <row r="27" customFormat="false" ht="15" hidden="false" customHeight="false" outlineLevel="0" collapsed="false">
      <c r="A27" s="0" t="s">
        <v>465</v>
      </c>
      <c r="B27" s="0" t="s">
        <v>466</v>
      </c>
      <c r="C27" s="0" t="s">
        <v>467</v>
      </c>
    </row>
    <row r="28" customFormat="false" ht="15" hidden="false" customHeight="false" outlineLevel="0" collapsed="false">
      <c r="A28" s="0" t="s">
        <v>468</v>
      </c>
      <c r="B28" s="0" t="s">
        <v>469</v>
      </c>
      <c r="C28" s="0" t="s">
        <v>402</v>
      </c>
    </row>
    <row r="29" customFormat="false" ht="15" hidden="false" customHeight="false" outlineLevel="0" collapsed="false">
      <c r="A29" s="0" t="s">
        <v>470</v>
      </c>
      <c r="B29" s="0" t="s">
        <v>471</v>
      </c>
      <c r="C29" s="0" t="s">
        <v>472</v>
      </c>
    </row>
    <row r="30" customFormat="false" ht="15" hidden="false" customHeight="false" outlineLevel="0" collapsed="false">
      <c r="A30" s="0" t="s">
        <v>473</v>
      </c>
      <c r="B30" s="0" t="s">
        <v>474</v>
      </c>
      <c r="C30" s="0" t="s">
        <v>475</v>
      </c>
    </row>
    <row r="31" customFormat="false" ht="15" hidden="false" customHeight="false" outlineLevel="0" collapsed="false">
      <c r="A31" s="0" t="s">
        <v>476</v>
      </c>
      <c r="B31" s="0" t="s">
        <v>477</v>
      </c>
      <c r="C31" s="0" t="s">
        <v>478</v>
      </c>
    </row>
    <row r="32" customFormat="false" ht="15" hidden="false" customHeight="false" outlineLevel="0" collapsed="false">
      <c r="A32" s="0" t="s">
        <v>479</v>
      </c>
      <c r="B32" s="0" t="s">
        <v>480</v>
      </c>
      <c r="C32" s="0" t="s">
        <v>481</v>
      </c>
    </row>
    <row r="33" customFormat="false" ht="15" hidden="false" customHeight="false" outlineLevel="0" collapsed="false">
      <c r="A33" s="0" t="s">
        <v>482</v>
      </c>
      <c r="B33" s="0" t="s">
        <v>483</v>
      </c>
      <c r="C33" s="0" t="s">
        <v>484</v>
      </c>
    </row>
    <row r="34" customFormat="false" ht="15" hidden="false" customHeight="false" outlineLevel="0" collapsed="false">
      <c r="A34" s="0" t="s">
        <v>485</v>
      </c>
      <c r="B34" s="0" t="s">
        <v>486</v>
      </c>
      <c r="C34" s="0" t="s">
        <v>487</v>
      </c>
    </row>
    <row r="35" customFormat="false" ht="15" hidden="false" customHeight="false" outlineLevel="0" collapsed="false">
      <c r="A35" s="0" t="s">
        <v>488</v>
      </c>
      <c r="B35" s="0" t="s">
        <v>489</v>
      </c>
      <c r="C35" s="0" t="s">
        <v>490</v>
      </c>
    </row>
    <row r="36" customFormat="false" ht="15" hidden="false" customHeight="false" outlineLevel="0" collapsed="false">
      <c r="A36" s="0" t="s">
        <v>491</v>
      </c>
      <c r="B36" s="0" t="s">
        <v>492</v>
      </c>
      <c r="C36" s="0" t="s">
        <v>493</v>
      </c>
    </row>
    <row r="37" customFormat="false" ht="15" hidden="false" customHeight="false" outlineLevel="0" collapsed="false">
      <c r="A37" s="0" t="s">
        <v>494</v>
      </c>
      <c r="B37" s="0" t="s">
        <v>495</v>
      </c>
      <c r="C37" s="0" t="s">
        <v>496</v>
      </c>
    </row>
    <row r="38" customFormat="false" ht="15" hidden="false" customHeight="false" outlineLevel="0" collapsed="false">
      <c r="A38" s="0" t="s">
        <v>497</v>
      </c>
      <c r="B38" s="0" t="s">
        <v>498</v>
      </c>
      <c r="C38" s="0" t="s">
        <v>499</v>
      </c>
    </row>
    <row r="39" customFormat="false" ht="15" hidden="false" customHeight="false" outlineLevel="0" collapsed="false">
      <c r="A39" s="0" t="s">
        <v>500</v>
      </c>
      <c r="B39" s="0" t="s">
        <v>501</v>
      </c>
      <c r="C39" s="0" t="s">
        <v>502</v>
      </c>
    </row>
    <row r="40" customFormat="false" ht="15" hidden="false" customHeight="false" outlineLevel="0" collapsed="false">
      <c r="A40" s="0" t="s">
        <v>503</v>
      </c>
      <c r="B40" s="0" t="s">
        <v>504</v>
      </c>
      <c r="C40" s="0" t="s">
        <v>505</v>
      </c>
    </row>
    <row r="41" customFormat="false" ht="15" hidden="false" customHeight="false" outlineLevel="0" collapsed="false">
      <c r="A41" s="0" t="s">
        <v>506</v>
      </c>
      <c r="B41" s="0" t="s">
        <v>507</v>
      </c>
      <c r="C41" s="0" t="s">
        <v>508</v>
      </c>
    </row>
    <row r="42" customFormat="false" ht="15" hidden="false" customHeight="false" outlineLevel="0" collapsed="false">
      <c r="A42" s="0" t="s">
        <v>509</v>
      </c>
      <c r="B42" s="0" t="s">
        <v>510</v>
      </c>
      <c r="C42" s="0" t="s">
        <v>511</v>
      </c>
    </row>
    <row r="43" customFormat="false" ht="15" hidden="false" customHeight="false" outlineLevel="0" collapsed="false">
      <c r="A43" s="0" t="s">
        <v>512</v>
      </c>
      <c r="B43" s="0" t="s">
        <v>513</v>
      </c>
      <c r="C43" s="0" t="s">
        <v>514</v>
      </c>
    </row>
    <row r="44" customFormat="false" ht="15" hidden="false" customHeight="false" outlineLevel="0" collapsed="false">
      <c r="A44" s="0" t="s">
        <v>515</v>
      </c>
      <c r="B44" s="0" t="s">
        <v>516</v>
      </c>
      <c r="C44" s="0" t="s">
        <v>517</v>
      </c>
    </row>
    <row r="45" customFormat="false" ht="15" hidden="false" customHeight="false" outlineLevel="0" collapsed="false">
      <c r="A45" s="0" t="s">
        <v>518</v>
      </c>
      <c r="B45" s="0" t="s">
        <v>519</v>
      </c>
      <c r="C45" s="0" t="s">
        <v>520</v>
      </c>
    </row>
    <row r="46" customFormat="false" ht="15" hidden="false" customHeight="false" outlineLevel="0" collapsed="false">
      <c r="A46" s="0" t="s">
        <v>521</v>
      </c>
      <c r="B46" s="0" t="s">
        <v>522</v>
      </c>
      <c r="C46" s="0" t="s">
        <v>523</v>
      </c>
    </row>
    <row r="47" customFormat="false" ht="15" hidden="false" customHeight="false" outlineLevel="0" collapsed="false">
      <c r="A47" s="0" t="s">
        <v>524</v>
      </c>
      <c r="B47" s="0" t="s">
        <v>525</v>
      </c>
      <c r="C47" s="0" t="s">
        <v>526</v>
      </c>
    </row>
    <row r="48" customFormat="false" ht="15" hidden="false" customHeight="false" outlineLevel="0" collapsed="false">
      <c r="A48" s="0" t="s">
        <v>527</v>
      </c>
      <c r="B48" s="0" t="s">
        <v>528</v>
      </c>
      <c r="C48" s="0" t="s">
        <v>529</v>
      </c>
    </row>
    <row r="49" customFormat="false" ht="15" hidden="false" customHeight="false" outlineLevel="0" collapsed="false">
      <c r="A49" s="0" t="s">
        <v>530</v>
      </c>
      <c r="B49" s="0" t="s">
        <v>531</v>
      </c>
      <c r="C49" s="0" t="s">
        <v>405</v>
      </c>
    </row>
    <row r="50" customFormat="false" ht="15" hidden="false" customHeight="false" outlineLevel="0" collapsed="false">
      <c r="A50" s="0" t="s">
        <v>532</v>
      </c>
      <c r="B50" s="0" t="s">
        <v>533</v>
      </c>
      <c r="C50" s="0" t="s">
        <v>534</v>
      </c>
    </row>
    <row r="51" customFormat="false" ht="15" hidden="false" customHeight="false" outlineLevel="0" collapsed="false">
      <c r="A51" s="0" t="s">
        <v>535</v>
      </c>
      <c r="B51" s="0" t="s">
        <v>536</v>
      </c>
      <c r="C51" s="0" t="s">
        <v>537</v>
      </c>
    </row>
    <row r="52" customFormat="false" ht="15" hidden="false" customHeight="false" outlineLevel="0" collapsed="false">
      <c r="A52" s="0" t="s">
        <v>538</v>
      </c>
      <c r="B52" s="0" t="s">
        <v>539</v>
      </c>
      <c r="C52" s="0" t="s">
        <v>540</v>
      </c>
    </row>
    <row r="53" customFormat="false" ht="15" hidden="false" customHeight="false" outlineLevel="0" collapsed="false">
      <c r="A53" s="0" t="s">
        <v>541</v>
      </c>
      <c r="B53" s="0" t="s">
        <v>542</v>
      </c>
      <c r="C53" s="0" t="s">
        <v>543</v>
      </c>
    </row>
    <row r="54" customFormat="false" ht="15" hidden="false" customHeight="false" outlineLevel="0" collapsed="false">
      <c r="A54" s="0" t="s">
        <v>544</v>
      </c>
      <c r="B54" s="0" t="s">
        <v>545</v>
      </c>
      <c r="C54" s="0" t="s">
        <v>546</v>
      </c>
    </row>
    <row r="55" customFormat="false" ht="15" hidden="false" customHeight="false" outlineLevel="0" collapsed="false">
      <c r="A55" s="0" t="s">
        <v>547</v>
      </c>
      <c r="B55" s="0" t="s">
        <v>548</v>
      </c>
      <c r="C55" s="0" t="s">
        <v>549</v>
      </c>
    </row>
    <row r="56" customFormat="false" ht="15" hidden="false" customHeight="false" outlineLevel="0" collapsed="false">
      <c r="A56" s="0" t="s">
        <v>550</v>
      </c>
      <c r="B56" s="0" t="s">
        <v>551</v>
      </c>
      <c r="C56" s="0" t="s">
        <v>552</v>
      </c>
    </row>
    <row r="57" customFormat="false" ht="15" hidden="false" customHeight="false" outlineLevel="0" collapsed="false">
      <c r="A57" s="0" t="s">
        <v>553</v>
      </c>
      <c r="B57" s="0" t="s">
        <v>554</v>
      </c>
      <c r="C57" s="0" t="s">
        <v>555</v>
      </c>
    </row>
    <row r="58" customFormat="false" ht="15" hidden="false" customHeight="false" outlineLevel="0" collapsed="false">
      <c r="A58" s="0" t="s">
        <v>556</v>
      </c>
      <c r="B58" s="0" t="s">
        <v>557</v>
      </c>
      <c r="C58" s="0" t="s">
        <v>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0" t="s">
        <v>559</v>
      </c>
    </row>
    <row r="2" customFormat="false" ht="15" hidden="false" customHeight="false" outlineLevel="0" collapsed="false">
      <c r="A2" s="0" t="s">
        <v>560</v>
      </c>
      <c r="B2" s="0" t="s">
        <v>561</v>
      </c>
      <c r="C2" s="0" t="s">
        <v>562</v>
      </c>
      <c r="D2" s="0" t="s">
        <v>563</v>
      </c>
      <c r="E2" s="0" t="s">
        <v>564</v>
      </c>
      <c r="F2" s="0" t="s">
        <v>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566</v>
      </c>
      <c r="B1" s="0" t="s">
        <v>567</v>
      </c>
      <c r="C1" s="0" t="s">
        <v>69</v>
      </c>
      <c r="D1" s="0" t="s">
        <v>568</v>
      </c>
    </row>
    <row r="2" customFormat="false" ht="15" hidden="false" customHeight="false" outlineLevel="0" collapsed="false">
      <c r="A2" s="0" t="s">
        <v>569</v>
      </c>
      <c r="B2" s="0" t="s">
        <v>570</v>
      </c>
      <c r="C2" s="0" t="s">
        <v>571</v>
      </c>
      <c r="D2" s="0" t="s">
        <v>572</v>
      </c>
    </row>
    <row r="3" customFormat="false" ht="15" hidden="false" customHeight="false" outlineLevel="0" collapsed="false">
      <c r="A3" s="0" t="s">
        <v>573</v>
      </c>
      <c r="B3" s="0" t="s">
        <v>574</v>
      </c>
      <c r="C3" s="0" t="s">
        <v>575</v>
      </c>
      <c r="D3" s="0" t="s">
        <v>576</v>
      </c>
    </row>
    <row r="4" customFormat="false" ht="15" hidden="false" customHeight="false" outlineLevel="0" collapsed="false">
      <c r="A4" s="0" t="s">
        <v>577</v>
      </c>
      <c r="B4" s="0" t="s">
        <v>578</v>
      </c>
      <c r="C4" s="0" t="s">
        <v>575</v>
      </c>
      <c r="D4" s="0" t="s">
        <v>579</v>
      </c>
    </row>
    <row r="5" customFormat="false" ht="15" hidden="false" customHeight="false" outlineLevel="0" collapsed="false">
      <c r="A5" s="0" t="s">
        <v>580</v>
      </c>
      <c r="B5" s="0" t="s">
        <v>581</v>
      </c>
      <c r="C5" s="0" t="s">
        <v>571</v>
      </c>
      <c r="D5" s="0" t="s">
        <v>582</v>
      </c>
    </row>
    <row r="6" customFormat="false" ht="15" hidden="false" customHeight="false" outlineLevel="0" collapsed="false">
      <c r="A6" s="0" t="s">
        <v>583</v>
      </c>
      <c r="B6" s="0" t="s">
        <v>584</v>
      </c>
      <c r="C6" s="0" t="s">
        <v>391</v>
      </c>
      <c r="D6" s="0" t="s">
        <v>585</v>
      </c>
    </row>
    <row r="7" customFormat="false" ht="15" hidden="false" customHeight="false" outlineLevel="0" collapsed="false">
      <c r="A7" s="0" t="s">
        <v>586</v>
      </c>
      <c r="B7" s="0" t="s">
        <v>587</v>
      </c>
      <c r="C7" s="0" t="s">
        <v>571</v>
      </c>
      <c r="D7" s="0" t="s">
        <v>588</v>
      </c>
    </row>
    <row r="8" customFormat="false" ht="15" hidden="false" customHeight="false" outlineLevel="0" collapsed="false">
      <c r="A8" s="0" t="s">
        <v>589</v>
      </c>
      <c r="B8" s="0" t="s">
        <v>590</v>
      </c>
      <c r="C8" s="0" t="s">
        <v>571</v>
      </c>
      <c r="D8" s="0" t="s">
        <v>591</v>
      </c>
    </row>
    <row r="9" customFormat="false" ht="15" hidden="false" customHeight="false" outlineLevel="0" collapsed="false">
      <c r="A9" s="0" t="s">
        <v>592</v>
      </c>
      <c r="B9" s="0" t="s">
        <v>593</v>
      </c>
      <c r="C9" s="0" t="s">
        <v>571</v>
      </c>
      <c r="D9" s="0" t="s">
        <v>594</v>
      </c>
    </row>
    <row r="10" customFormat="false" ht="15" hidden="false" customHeight="false" outlineLevel="0" collapsed="false">
      <c r="A10" s="0" t="s">
        <v>595</v>
      </c>
      <c r="B10" s="0" t="s">
        <v>596</v>
      </c>
      <c r="C10" s="0" t="s">
        <v>575</v>
      </c>
      <c r="D10" s="0" t="s">
        <v>597</v>
      </c>
    </row>
    <row r="11" customFormat="false" ht="15" hidden="false" customHeight="false" outlineLevel="0" collapsed="false">
      <c r="A11" s="0" t="s">
        <v>598</v>
      </c>
      <c r="B11" s="0" t="s">
        <v>599</v>
      </c>
      <c r="C11" s="0" t="s">
        <v>571</v>
      </c>
      <c r="D11" s="0" t="s">
        <v>600</v>
      </c>
    </row>
    <row r="12" customFormat="false" ht="15" hidden="false" customHeight="false" outlineLevel="0" collapsed="false">
      <c r="A12" s="0" t="s">
        <v>601</v>
      </c>
      <c r="B12" s="0" t="s">
        <v>602</v>
      </c>
      <c r="C12" s="0" t="s">
        <v>571</v>
      </c>
      <c r="D12" s="0" t="s">
        <v>603</v>
      </c>
    </row>
    <row r="13" customFormat="false" ht="15" hidden="false" customHeight="false" outlineLevel="0" collapsed="false">
      <c r="A13" s="0" t="s">
        <v>604</v>
      </c>
      <c r="B13" s="0" t="s">
        <v>605</v>
      </c>
      <c r="C13" s="0" t="s">
        <v>571</v>
      </c>
      <c r="D13" s="0" t="s">
        <v>606</v>
      </c>
    </row>
    <row r="14" customFormat="false" ht="15" hidden="false" customHeight="false" outlineLevel="0" collapsed="false">
      <c r="A14" s="0" t="s">
        <v>607</v>
      </c>
      <c r="B14" s="0" t="s">
        <v>608</v>
      </c>
      <c r="C14" s="0" t="s">
        <v>571</v>
      </c>
      <c r="D14" s="0" t="s">
        <v>609</v>
      </c>
    </row>
    <row r="15" customFormat="false" ht="15" hidden="false" customHeight="false" outlineLevel="0" collapsed="false">
      <c r="A15" s="0" t="s">
        <v>610</v>
      </c>
      <c r="B15" s="0" t="s">
        <v>611</v>
      </c>
      <c r="C15" s="0" t="s">
        <v>575</v>
      </c>
      <c r="D15" s="0" t="s">
        <v>612</v>
      </c>
    </row>
    <row r="16" customFormat="false" ht="15" hidden="false" customHeight="false" outlineLevel="0" collapsed="false">
      <c r="A16" s="0" t="s">
        <v>613</v>
      </c>
      <c r="B16" s="0" t="s">
        <v>614</v>
      </c>
      <c r="C16" s="0" t="s">
        <v>571</v>
      </c>
      <c r="D16" s="0" t="s">
        <v>615</v>
      </c>
    </row>
    <row r="17" customFormat="false" ht="15" hidden="false" customHeight="false" outlineLevel="0" collapsed="false">
      <c r="A17" s="0" t="s">
        <v>616</v>
      </c>
      <c r="B17" s="0" t="s">
        <v>617</v>
      </c>
      <c r="C17" s="0" t="s">
        <v>571</v>
      </c>
      <c r="D17" s="0" t="s">
        <v>618</v>
      </c>
    </row>
    <row r="18" customFormat="false" ht="15" hidden="false" customHeight="false" outlineLevel="0" collapsed="false">
      <c r="A18" s="0" t="s">
        <v>619</v>
      </c>
      <c r="B18" s="0" t="s">
        <v>620</v>
      </c>
      <c r="C18" s="0" t="s">
        <v>571</v>
      </c>
      <c r="D18" s="0" t="s">
        <v>621</v>
      </c>
    </row>
    <row r="19" customFormat="false" ht="15" hidden="false" customHeight="false" outlineLevel="0" collapsed="false">
      <c r="A19" s="0" t="s">
        <v>622</v>
      </c>
      <c r="B19" s="0" t="s">
        <v>623</v>
      </c>
      <c r="C19" s="0" t="s">
        <v>571</v>
      </c>
      <c r="D19" s="0" t="s">
        <v>624</v>
      </c>
    </row>
    <row r="20" customFormat="false" ht="15" hidden="false" customHeight="false" outlineLevel="0" collapsed="false">
      <c r="A20" s="0" t="s">
        <v>625</v>
      </c>
      <c r="B20" s="0" t="s">
        <v>626</v>
      </c>
      <c r="C20" s="0" t="s">
        <v>575</v>
      </c>
      <c r="D20" s="0" t="s">
        <v>627</v>
      </c>
    </row>
    <row r="21" customFormat="false" ht="15" hidden="false" customHeight="false" outlineLevel="0" collapsed="false">
      <c r="A21" s="0" t="s">
        <v>628</v>
      </c>
      <c r="B21" s="0" t="s">
        <v>629</v>
      </c>
      <c r="C21" s="0" t="s">
        <v>571</v>
      </c>
      <c r="D21" s="0" t="s">
        <v>630</v>
      </c>
    </row>
    <row r="22" customFormat="false" ht="15" hidden="false" customHeight="false" outlineLevel="0" collapsed="false">
      <c r="A22" s="0" t="s">
        <v>631</v>
      </c>
      <c r="B22" s="0" t="s">
        <v>632</v>
      </c>
      <c r="C22" s="0" t="s">
        <v>575</v>
      </c>
      <c r="D22" s="0" t="s">
        <v>633</v>
      </c>
    </row>
    <row r="23" customFormat="false" ht="15" hidden="false" customHeight="false" outlineLevel="0" collapsed="false">
      <c r="A23" s="0" t="s">
        <v>634</v>
      </c>
      <c r="B23" s="0" t="s">
        <v>635</v>
      </c>
      <c r="C23" s="0" t="s">
        <v>575</v>
      </c>
      <c r="D23" s="0" t="s">
        <v>636</v>
      </c>
    </row>
    <row r="24" customFormat="false" ht="15" hidden="false" customHeight="false" outlineLevel="0" collapsed="false">
      <c r="A24" s="0" t="s">
        <v>637</v>
      </c>
      <c r="B24" s="0" t="s">
        <v>638</v>
      </c>
      <c r="C24" s="0" t="s">
        <v>575</v>
      </c>
      <c r="D24" s="0" t="s">
        <v>639</v>
      </c>
    </row>
    <row r="25" customFormat="false" ht="15" hidden="false" customHeight="false" outlineLevel="0" collapsed="false">
      <c r="A25" s="0" t="s">
        <v>640</v>
      </c>
      <c r="B25" s="0" t="s">
        <v>641</v>
      </c>
      <c r="C25" s="0" t="s">
        <v>571</v>
      </c>
      <c r="D25" s="0" t="s">
        <v>642</v>
      </c>
    </row>
    <row r="26" customFormat="false" ht="15" hidden="false" customHeight="false" outlineLevel="0" collapsed="false">
      <c r="A26" s="0" t="s">
        <v>643</v>
      </c>
      <c r="B26" s="0" t="s">
        <v>644</v>
      </c>
      <c r="C26" s="0" t="s">
        <v>575</v>
      </c>
      <c r="D26" s="0" t="s">
        <v>645</v>
      </c>
    </row>
    <row r="27" customFormat="false" ht="15" hidden="false" customHeight="false" outlineLevel="0" collapsed="false">
      <c r="A27" s="0" t="s">
        <v>646</v>
      </c>
      <c r="B27" s="0" t="s">
        <v>647</v>
      </c>
      <c r="C27" s="0" t="s">
        <v>575</v>
      </c>
      <c r="D27" s="0" t="s">
        <v>648</v>
      </c>
    </row>
    <row r="28" customFormat="false" ht="15" hidden="false" customHeight="false" outlineLevel="0" collapsed="false">
      <c r="A28" s="0" t="s">
        <v>649</v>
      </c>
      <c r="B28" s="0" t="s">
        <v>650</v>
      </c>
      <c r="C28" s="0" t="s">
        <v>575</v>
      </c>
      <c r="D28" s="0" t="s">
        <v>651</v>
      </c>
    </row>
    <row r="29" customFormat="false" ht="15" hidden="false" customHeight="false" outlineLevel="0" collapsed="false">
      <c r="A29" s="0" t="s">
        <v>652</v>
      </c>
      <c r="B29" s="0" t="s">
        <v>653</v>
      </c>
      <c r="C29" s="0" t="s">
        <v>575</v>
      </c>
      <c r="D29" s="0" t="s">
        <v>654</v>
      </c>
    </row>
    <row r="30" customFormat="false" ht="15" hidden="false" customHeight="false" outlineLevel="0" collapsed="false">
      <c r="A30" s="0" t="s">
        <v>655</v>
      </c>
      <c r="B30" s="0" t="s">
        <v>656</v>
      </c>
      <c r="C30" s="0" t="s">
        <v>391</v>
      </c>
      <c r="D30" s="0" t="s">
        <v>657</v>
      </c>
    </row>
    <row r="31" customFormat="false" ht="15" hidden="false" customHeight="false" outlineLevel="0" collapsed="false">
      <c r="A31" s="0" t="s">
        <v>658</v>
      </c>
      <c r="B31" s="0" t="s">
        <v>659</v>
      </c>
      <c r="C31" s="0" t="s">
        <v>575</v>
      </c>
      <c r="D31" s="0" t="s">
        <v>660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661</v>
      </c>
    </row>
    <row r="2" customFormat="false" ht="15" hidden="false" customHeight="false" outlineLevel="0" collapsed="false">
      <c r="A2" s="0" t="s">
        <v>662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2026-10-31T05:45:07Z</dcterms:created>
  <dc:creator>openpyxl</dc:creator>
  <dc:description/>
  <dc:language>en-US</dc:language>
  <cp:lastModifiedBy/>
  <dcterms:modified xsi:type="dcterms:W3CDTF">2026-10-31T05:45:07Z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