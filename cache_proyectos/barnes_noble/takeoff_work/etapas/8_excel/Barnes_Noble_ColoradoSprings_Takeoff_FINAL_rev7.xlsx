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<sst xmlns="http://schemas.openxmlformats.org/spreadsheetml/2006/main" count="1024" uniqueCount="701">
  <si>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</si>
  <si>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</si>
  <si>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</si>
  <si>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</si>
  <si>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</si>
  <si>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</si>
  <si>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</si>
  <si>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</si>
  <si>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</si>
  <si>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</si>
  <si>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</si>
  <si>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</si>
  <si>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</si>
  <si>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</si>
  <si>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</si>
  <si>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</si>
  <si>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</si>
  <si>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</si>
  <si>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</si>
  <si>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</si>
  <si>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</si>
  <si>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</si>
  <si>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</si>
  <si>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</si>
  <si>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</si>
  <si>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</si>
  <si>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</si>
  <si>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</si>
  <si>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</si>
  <si>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</si>
  <si>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</si>
  <si>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</si>
  <si>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</si>
  <si>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</si>
  <si>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</si>
  <si>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</si>
  <si>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</si>
  <si>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</si>
  <si>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</si>
  <si>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</si>
  <si>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</si>
  <si>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</si>
  <si>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</si>
  <si>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</si>
  <si>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</si>
  <si>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</si>
  <si>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</si>
  <si>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</si>
  <si>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</si>
  <si>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</si>
  <si>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</si>
  <si>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</si>
  <si>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</si>
  <si>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</si>
  <si>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</si>
  <si>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</si>
  <si>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</si>
  <si>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</si>
  <si>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</si>
  <si>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</si>
  <si>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</si>
  <si>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</si>
  <si>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</si>
  <si>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</si>
  <si>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</si>
  <si>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</si>
  <si>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</si>
  <si>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</si>
  <si>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</si>
  <si>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</si>
  <si>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</si>
  <si>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</si>
  <si>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</si>
  <si>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</si>
  <si>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</si>
  <si>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</si>
  <si>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</si>
  <si>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</si>
  <si>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</si>
  <si>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</si>
  <si>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</si>
  <si>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</si>
  <si>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</si>
  <si>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</si>
  <si>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</si>
  <si>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</si>
  <si>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</si>
  <si>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</si>
  <si>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</si>
  <si>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</si>
  <si>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</si>
  <si>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</si>
  <si>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</si>
  <si>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</si>
  <si>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</si>
  <si>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</si>
  <si>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</si>
  <si>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</si>
  <si>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</si>
  <si>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</si>
  <si>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</si>
  <si>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</si>
  <si>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</si>
  <si>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</si>
  <si>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</si>
  <si>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</si>
  <si>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</si>
  <si>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</si>
  <si>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</si>
  <si>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</si>
  <si>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</si>
  <si>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</si>
  <si>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</si>
  <si>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</si>
  <si>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</si>
  <si>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</si>
  <si>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</si>
  <si>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</si>
  <si>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</si>
  <si>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</si>
  <si>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</si>
  <si>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</si>
  <si>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</si>
  <si>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</si>
  <si>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</si>
  <si>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</si>
  <si>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</si>
  <si>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</si>
  <si>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</si>
  <si>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</si>
  <si>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</si>
  <si>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</si>
  <si>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</si>
  <si>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</si>
  <si>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</si>
  <si>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</si>
  <si>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</si>
  <si>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</si>
  <si>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</si>
  <si>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</si>
  <si>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</si>
  <si>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</si>
  <si>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</si>
  <si>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</si>
  <si>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</si>
  <si>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</si>
  <si>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</si>
  <si>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</si>
  <si>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</si>
  <si>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</si>
  <si>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</si>
  <si>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</si>
  <si>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</si>
  <si>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</si>
  <si>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</si>
  <si>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</si>
  <si>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</si>
  <si>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</si>
  <si>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</si>
  <si>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</si>
  <si>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</si>
  <si>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</si>
  <si>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</si>
  <si>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</si>
  <si>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</si>
  <si>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</si>
  <si>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</si>
  <si>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</si>
  <si>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</si>
  <si>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</si>
  <si>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</si>
  <si>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</si>
  <si>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</si>
  <si>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</si>
  <si>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</si>
  <si>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</si>
  <si>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</si>
  <si>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</si>
  <si>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</si>
  <si>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</si>
  <si>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</si>
  <si>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</si>
  <si>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</si>
  <si>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</si>
  <si>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</si>
  <si>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</si>
  <si>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</si>
  <si>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</si>
  <si>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</si>
  <si>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</si>
  <si>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</si>
  <si>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</si>
  <si>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</si>
  <si>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</si>
  <si>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</si>
  <si>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</si>
  <si>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</si>
  <si>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</si>
  <si>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</si>
  <si>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</si>
  <si>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</si>
  <si>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</si>
  <si>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</si>
  <si>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</si>
  <si>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</si>
  <si>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</si>
  <si>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</si>
  <si>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</si>
  <si>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</si>
  <si>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</si>
  <si>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</si>
  <si>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</si>
  <si>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</si>
  <si>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</si>
  <si>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</si>
  <si>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</si>
  <si>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</si>
  <si>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</si>
  <si>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</si>
  <si>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</si>
  <si>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25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</si>
  <si>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</si>
  <si>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</si>
  <si>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</si>
  <si>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</si>
  <si>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</si>
  <si>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</si>
  <si>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</si>
  <si>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</si>
  <si>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</si>
  <si>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</si>
  <si>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</si>
  <si>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</si>
  <si>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</si>
  <si>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</si>
  <si>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</si>
  <si>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</si>
  <si>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</si>
  <si>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</si>
  <si>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</si>
  <si>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</si>
  <si>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</si>
  <si>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</si>
  <si>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</si>
  <si>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</si>
  <si>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</si>
  <si>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</si>
  <si>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</si>
  <si>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</si>
  <si>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</si>
  <si>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</si>
  <si>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</si>
  <si>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</si>
  <si>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</si>
  <si>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</si>
  <si>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</si>
  <si>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</si>
  <si>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</si>
  <si>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</si>
  <si>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</si>
  <si>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</si>
  <si>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</si>
  <si>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</si>
  <si>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</si>
  <si>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</si>
  <si>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</si>
  <si>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</si>
  <si>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</si>
  <si>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</si>
  <si>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</si>
  <si>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</si>
  <si>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</si>
  <si>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</si>
  <si>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</si>
  <si>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</si>
  <si>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</si>
  <si>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</si>
  <si>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</si>
  <si>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</si>
  <si>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</si>
  <si>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</si>
  <si>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</si>
  <si>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</si>
  <si>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</si>
  <si>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</si>
  <si>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</si>
  <si>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</si>
  <si>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</si>
  <si>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</si>
  <si>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</si>
  <si>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</si>
  <si>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</si>
  <si>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</si>
  <si>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</si>
  <si>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</si>
  <si>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</si>
  <si>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</si>
  <si>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</si>
  <si>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</si>
  <si>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</si>
  <si>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</si>
  <si>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</si>
  <si>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</si>
  <si>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</si>
  <si>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</si>
  <si>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</si>
  <si>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</si>
  <si>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</si>
  <si>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</si>
  <si>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</si>
  <si>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</si>
  <si>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</si>
  <si>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</si>
  <si>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</si>
  <si>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</si>
  <si>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</si>
  <si>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</si>
  <si>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</si>
  <si>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</si>
  <si>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</si>
  <si>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</si>
  <si>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</si>
  <si>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</si>
  <si>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</si>
  <si>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</si>
  <si>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</si>
  <si>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</si>
  <si>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</si>
  <si>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</si>
  <si>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</si>
  <si>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</si>
  <si>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</si>
  <si>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</si>
  <si>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</si>
  <si>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</si>
  <si>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</si>
  <si>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</si>
  <si>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</si>
  <si>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</si>
  <si>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</si>
  <si>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</si>
  <si>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= 11,479.27 LF (per wall: field + jambs + nodes + cripples x height; plus listed elements) | By gauge (A-410 Metal Stud Schedule): 14 ga SJ 7,257 LF; 20 ga 2,927.08 LF; elements (gauge in their operation) 1,295.19 LF</t>
  </si>
  <si>
    <t xml:space="preserve">1-5/8" metal stud (LF of material)</t>
  </si>
  <si>
    <t xml:space="preserve">N/SHEET: 5/A-121 | Breakdown [DERIVED]: SEISMIC-STRUTS-5-A121 131.42 = 131.42 LF | 5/A-121 "1 5/8\" x 16 GA. METAL JOIST" compression post per brace group: groups Women's 1 x drop 16.0; Men's 1 x drop 16.0; Cafe 11'-6" band 1 x drop 13.5; Cafe 9'-0" band 1 x drop 16.0; Cafe cloud 4 x drop 13.0; Grab &amp; Go 1 x drop 17.917 -&gt; sum(groups x drop) = 131.42 LF (conservative - RFI-38)</t>
  </si>
  <si>
    <t xml:space="preserve">Track, ceilings / soffits / canopy</t>
  </si>
  <si>
    <t xml:space="preserve">N/SHEET: 2/A-221, 3/A-221, 8/A-210, 4/A-210, 7/A-210, 3/A-410, 5/A-121 | Breakdown [DERIVED]: SS-N 45.54 + SS-E 20.24 + SS-IN-N 40 + SS-IN-E 12.5 + SS-GG 12.33 + Women's Restroom 109 32.33 + Men's Restroom 108 32.33 + Cafe 103 - 11'-6" GWB band 52.51 + Cafe 103 - 9'-0" GWB band 43.33 + Grab &amp; Go 20.49 + VEST-BOX-BEAM-TRACK 25.33 + VEST-LEDGER 12.67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+ FIRESTOP-W5-01 5.7 + FIRESTOP-C-H1-N 29.98 + FIRESTOP-C-H1-W 12.17 + FIRESTOP-C-E2 29.3 + FIRESTOP-C-H3a 4.08 + FIRESTOP-C-H3b 6.17 + FIRESTOP-C-E1-S 19 = 618.81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</si>
  <si>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</si>
  <si>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</si>
  <si>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</si>
  <si>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</si>
  <si>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</si>
  <si>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</si>
  <si>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</si>
  <si>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</si>
  <si>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</si>
  <si>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= 2,689.79 LF (hangers @ 48" O.C. x drop to deck per room)</t>
  </si>
  <si>
    <t xml:space="preserve">Blocking FRT / 2X FRT wood</t>
  </si>
  <si>
    <t xml:space="preserve">piece</t>
  </si>
  <si>
    <t xml:space="preserve">N/SHEET: 7/A-413, 8A/A-413, 4/A-412, 6/A-412, 4/A-101, 2/A-500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</si>
  <si>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</si>
  <si>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</si>
  <si>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</si>
  <si>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= 15,109.23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</si>
  <si>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</si>
  <si>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</si>
  <si>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</si>
  <si>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</si>
  <si>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</si>
  <si>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</si>
  <si>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</si>
  <si>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USG channel molding DGCM27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</si>
  <si>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</si>
  <si>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</si>
  <si>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</si>
  <si>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</si>
  <si>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X-EDNI fasteners 0.145" (Hilti), top track to structure (A-410 note 8.C)</t>
  </si>
  <si>
    <t xml:space="preserve">N/SHEET: A-410 | Breakdown [DERIVED]: X-EDNI-8C 720 = 720 PCS | A-410 Partition Notes (typical fastener) 8.C "0.145\" DIA. HILTI X-EDNI ... 2 ROWS AT 16\" O.C. FOR CONTINUOUS APPLICATIONS SUCH AS TRACKS": 479.85 LF deep leg track to structure x 2 rows / 1.333 ft = 720 pcs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</si>
  <si>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</si>
  <si>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</si>
  <si>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</si>
  <si>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</si>
  <si>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</si>
  <si>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</si>
  <si>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</si>
  <si>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</si>
  <si>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</si>
  <si>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Cement board (tile / FRP substrate)</t>
  </si>
  <si>
    <t xml:space="preserve">N/SHEET: E/A-221, A/A-221, B/A-221, D/A-221, C/A-221, 22/A-201 | Breakdown [DERIVED]: C-E1-S Cafe 103 475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+ RESTROOM-BASE-CEMENT 50.04 = 789.92 SF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</si>
  <si>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</si>
  <si>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</si>
  <si>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Blocking 2X wood (not labeled FRT)</t>
  </si>
  <si>
    <t xml:space="preserve">N/SHEET: 7/A-413, 8A/A-413, 4/A-412, 6/A-412, 4/A-101, 2/A-500 | Breakdown [DERIVED]: BLK-CASED-OPENING 17 = 17 LF</t>
  </si>
  <si>
    <t xml:space="preserve">FRT plywood substrate (5/8 in.)</t>
  </si>
  <si>
    <t xml:space="preserve">N/SHEET: G/A-221, H/A-221, E/A-221, F/A-221, I/A-221, 1/A-226A, 6/A-226A, 3/A-221, A-410 (ALL PLYWOOD NEEDS TO BE FRT) | Breakdown [DERIVED]: C-H1-N-B-FRT 314.79 + C-H1-W-B-FRT 127.78 + C-H2a-A-FRT 127.78 + C-H2b-A-FRT 20.47 + C-H2b-B-FRT 20.47 + C-H3a-A-FRT 102 + C-H3b-A-FRT 49.36 + C-E2-A-FRT 307.65 + C-F-A-FRT 81.5 + C-I-P.1-A-FRT 15 + C-I-A-FRT 34.65 + SS-N-WD1-FRT 318.78 + SS-E-WD1-FRT 141.68 + SS-GG-FRT 110.49 + C-I-E1-A-FRT 9.04 + C-I-E2-A-FRT 9.04 = 1,790.48 SF (strip length x height)</t>
  </si>
  <si>
    <t xml:space="preserve">FRT plywood substrate (3/4 in.)</t>
  </si>
  <si>
    <t xml:space="preserve">N/SHEET: A/A-221, B/A-221, 4/A-226A, 21/A-201, 5/A-210, 4/A-210, 11/A-200, 2/E-103, A-410 (ALL PLYWOOD NEEDS TO BE FRT) | Breakdown [DERIVED]: C-A-1-A-FRT 26.78 + C-A-2-A-FRT 11.21 + C-A-3-A-FRT 16.9 + C-B-A-FRT 8.58 + MENU-BOARD-FRT 60.6 + RESTROOM-BACKING-FRT 17.77 + VEST-POSTS-PLYWOOD 105 + VEST-PLYWOOD 106.62 + JANITOR-FRT-11-A200 17 + SERVER-ROOM-BACKBOARD 32 = 402.46 SF (strip length x height)</t>
  </si>
  <si>
    <t xml:space="preserve">Hanger wire 12 ga - hanger count (one per hanger, height per room)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</si>
  <si>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</si>
  <si>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</t>
  </si>
  <si>
    <t xml:space="preserve">N/SHEET: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</si>
  <si>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</si>
  <si>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</si>
  <si>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6/A-410, 7/A-410 | RFI: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 Delta: per duct crossing a stud wall: + MAX(1, ROUNDUP(duct width / 16")) stud reinforcement plates x stud rows (skill default, not printed: 6/A-410 and 7/A-410 are pipe firestopping only);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</si>
  <si>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</si>
  <si>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</si>
  <si>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</si>
  <si>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</si>
  <si>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</si>
  <si>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</si>
  <si>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</si>
  <si>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4/A-226B, 12/A-200 | none: FRP-1 (A-510): Cafe Work Room 104 FRP-1 full height to the 10'-0" ceiling (1-4/A-226B); Janitor 107 FRP-1 to 96" A.F.F. (A-131) / 8'-0" (9-12/A-200); Cafe 103 below countertop. Installer not defined (A-002) - not carried, RFI-13 with delta (1,030.64 SF) - PVC trim with it.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</si>
  <si>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</si>
  <si>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</si>
  <si>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</si>
  <si>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</si>
  <si>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1-1/4" bugle head</t>
  </si>
  <si>
    <t xml:space="preserve">[DERIVED] N/SHEET: GA-216 | Inputs!B20 (Drywall screws per SF of board = 1.2) x 16201.9 SF of board</t>
  </si>
  <si>
    <t xml:space="preserve">Framing screws, pan head self-drilling</t>
  </si>
  <si>
    <t xml:space="preserve">[DERIVED] N/SHEET: driver = the board / stud / bottom track rows of this sheet | Inputs!B21 (Framing screws per stud piece = 4) x 781 stud pieces</t>
  </si>
  <si>
    <t xml:space="preserve">Power-driven fasteners, slab pins for the bottom track</t>
  </si>
  <si>
    <t xml:space="preserve">[DERIVED] N/SHEET: driver = the board / stud / bottom track rows of this sheet | 640.61 LF of interior bottom track on slab / Inputs!B22 (Power-driven pin spacing (ft) = 1)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</si>
  <si>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</si>
  <si>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</si>
  <si>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</si>
  <si>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</si>
  <si>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</si>
  <si>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16201.9 SF of board</t>
  </si>
  <si>
    <t xml:space="preserve">Joint tape, paper</t>
  </si>
  <si>
    <t xml:space="preserve">[DERIVED] N/SHEET: driver = the board / stud / bottom track rows of this sheet | Inputs!B24 (Joint tape (LF per SF) = 0.37) x 16201.9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</si>
  <si>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</si>
  <si>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</si>
  <si>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</si>
  <si>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</si>
  <si>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</si>
  <si>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</si>
  <si>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</si>
  <si>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</si>
  <si>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12" (interior anchorage) vs 16" (fastener schedule) vs 24" (type K box)</t>
  </si>
  <si>
    <t xml:space="preserve">16in: -160.15 pcs; 24in: -320.31 pcs</t>
  </si>
  <si>
    <t xml:space="preserve">RFI-ACC-stud-reinforcement-mep</t>
  </si>
  <si>
    <t xml:space="preserve">stud reinforcement MEP: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</t>
  </si>
  <si>
    <t xml:space="preserve">per duct crossing a stud wall: + MAX(1, ROUNDUP(duct width / 16")) stud reinforcement plates x stud rows (skill default, not printed: 6/A-410 and 7/A-410 are pipe firestopping only);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</si>
  <si>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</si>
  <si>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 Paso 12 (rev7):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</si>
  <si>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</si>
  <si>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</si>
  <si>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</si>
  <si>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</si>
  <si>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</si>
  <si>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 Paso 12 (rev7): the elevations also print 21'-9" V.I.F. at the right end of 2/A-400A and 23'-8" V.I.F. on A-400B (joists sloping): the B.O. deck range is wider than 24'-0" to 25'-7".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</si>
  <si>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</si>
  <si>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</si>
  <si>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 Paso 12 (rev7):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</si>
  <si>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 (Paso 12 C-07).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</si>
  <si>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</si>
  <si>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</si>
  <si>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</si>
  <si>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</si>
  <si>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</si>
  <si>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</si>
  <si>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</si>
  <si>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</si>
  <si>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</si>
  <si>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</si>
  <si>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</si>
  <si>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</si>
  <si>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</si>
  <si>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</si>
  <si>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</si>
  <si>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</si>
  <si>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</si>
  <si>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plan check rev6: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</si>
  <si>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</si>
  <si>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</si>
  <si>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 - Paso 12 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</si>
  <si>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</si>
  <si>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</si>
  <si>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FRP-1 (A-510): Cafe Work Room 104 FRP-1 full height to the 10'-0" ceiling (1-4/A-226B); Janitor 107 FRP-1 to 96" A.F.F. (A-131) / 8'-0" (9-12/A-200). Who furnishes / installs the FRP is not defined (A-002). Substrate: E/A-221 and G/A-221 call 5/8" FRT plywood on the Work Room faces; 3/A-225 draws a dotted (board) fill - conflict. Not carried - Paso 12 (rev7): heights corrected.</t>
  </si>
  <si>
    <t xml:space="preserve">If FRP is in our scope: Cafe Work Room 87.52 LF x 10.0 = 875.20 SF + Janitor 19.43 LF x 8.0 = 155.44 SF = 1,030.64 SF FRP-1 gross (doors not deducted) + PVC trim (J-mold, inside corners).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</si>
  <si>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</si>
  <si>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</si>
  <si>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</si>
  <si>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</si>
  <si>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</si>
  <si>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</si>
  <si>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</si>
  <si>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</si>
  <si>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</si>
  <si>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</si>
  <si>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</si>
  <si>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</si>
  <si>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</si>
  <si>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</si>
  <si>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</si>
  <si>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</si>
  <si>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</si>
  <si>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</si>
  <si>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</si>
  <si>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</si>
  <si>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</si>
  <si>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</si>
  <si>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</si>
  <si>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</si>
  <si>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</si>
  <si>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</si>
  <si>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</si>
  <si>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</si>
  <si>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585.27 LF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</si>
  <si>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</si>
  <si>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</si>
  <si>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</si>
  <si>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</si>
  <si>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</si>
  <si>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</si>
  <si>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</si>
  <si>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</si>
  <si>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</si>
  <si>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</si>
  <si>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15,109.29 SF = walls 14,100.86 + GWB ceilings 884.24 (Cafe 103 - 11'-6" GWB band 125.07, Cafe 103 - 9'-0" GWB band 50.67, Cafe Seating Area 102 - GWB cloud 573.69, Cafe 103 - 11'-0" GWB zone 109.65, Grab &amp; Go 25.16) + VEST-GWB 105.5 + SS-GG-BOTTOM-GWB 3.73 + VEST-GWB-BANDS 14.96; Type X W.R. 1,092.59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</si>
  <si>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</si>
  <si>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</si>
  <si>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</si>
  <si>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</si>
  <si>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</si>
  <si>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</si>
  <si>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</si>
  <si>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</si>
  <si>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</si>
  <si>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</si>
  <si>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(skill default criterion; citation corrected, audit rev4 row 8 (rev5)).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</si>
  <si>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</si>
  <si>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</si>
  <si>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row 5 (rev5):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</si>
  <si>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</si>
  <si>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</si>
  <si>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row 4 (rev5):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</si>
  <si>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</si>
  <si>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</si>
  <si>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CLOSED - Paso 12 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</si>
  <si>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</si>
  <si>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</si>
  <si>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3/A-410 Top Track Detail "METAL STUD/TRACK FIRE STOP AT CEILING LINE, TYP." (rev5-rev6 cited 8/A-410, which is the Typ. Connection Detail - Paso 12 C-07): applied to every full-height wall with a ceiling on at least one face (1/A-121); carried; confirm with the GC.</t>
  </si>
  <si>
    <t xml:space="preserve">Carried per wall (Material Summary breakdown) = 264.21 LF; if not required: minus that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</si>
  <si>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</si>
  <si>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row 11 (rev5).</t>
  </si>
  <si>
    <t xml:space="preserve">If by the drywall contractor: + one 3/4" FRT plywood strip per W-3 unit (size per 1/A-414, 7/A-414) x W-3 count from A-111 - PENDING count.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</si>
  <si>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</si>
  <si>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</si>
  <si>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</si>
  <si>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</si>
  <si>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Ceiling seismic bracing: A-121 Ceiling Notes 1 "SEE A-420 DRAWINGS REGARDING CEILING BRACING" - A-420 is not in the set; 5/A-121 draws splay wires @ 12'-0" O.C. each way and a 1-5/8" x 16 ga metal joist post; A-002 Div 10 "SEISMIC BRACING" F/I by the tenant contractor. Carried conservatively on the GWB suspended ceilings.</t>
  </si>
  <si>
    <t xml:space="preserve">Carried: splay wires 743.29 LF (hanger wire row) + 1-5/8" posts 131.42 LF; if not required (seismic category / A-420): minus both.</t>
  </si>
  <si>
    <t xml:space="preserve">RFI-39</t>
  </si>
  <si>
    <t xml:space="preserve">Recessed fire extinguisher cabinets (A-101 C11, A-111 KN 9, 4/A-101 "F.R.T. WOOD STUD HEADER ABOVE AND BASE BELOW CABINET"): 4 in new walls (W2-01, W2-03 x 2, Cafe Workroom); cabinet width / rough opening not printed (Cosmopolitan fully recessed, Ambassador 1017F10).</t>
  </si>
  <si>
    <t xml:space="preserve">Carried 16.0 LF FRT 2x (4 x (2.0 + 2.0 ft)); each +1 ft of cabinet width = +8.0 LF FRT; jamb studs inside the field studs.</t>
  </si>
  <si>
    <t xml:space="preserve">RFI-40</t>
  </si>
  <si>
    <t xml:space="preserve">3/A-410 Top Track Detail: "METAL RUNNER AT STUDS - SECURE GWB TO METAL RUNNER" with "DO NOT SECURE METAL STUDS OR GWB TO DEEP LEG TRACK" read as a nested inner runner at every deflection head. Carried; confirm.</t>
  </si>
  <si>
    <t xml:space="preserve">Carried 479.85 LF nested inner runner; if a single deep leg track is accepted: minus that LF.</t>
  </si>
  <si>
    <t xml:space="preserve">RFI-41</t>
  </si>
  <si>
    <t xml:space="preserve">8/A-410 Typ. Connection Detail (PARALLEL TO STRUCTURE): full-height walls parallel to the joists (N-S) hang from metal studs spanning joist to joist; joist spacing not printed (A-400A / A-400B).</t>
  </si>
  <si>
    <t xml:space="preserve">Carried 705.0 LF (members @ 24" O.C. along the wall x 5.0 ft assumed joist spacing); each 1 ft of joist spacing = 141.0 LF.</t>
  </si>
  <si>
    <t xml:space="preserve">RFI-42</t>
  </si>
  <si>
    <t xml:space="preserve">2/A-221 framed soffit drop "CROSS BRACING AS REQ'D": member / spacing not printed.</t>
  </si>
  <si>
    <t xml:space="preserve">Carried 90.0 LF 3-5/8" stud (pairs @ 4'-0" x 5.0 ft); if not required: minus that LF.</t>
  </si>
  <si>
    <t xml:space="preserve">RFI-43</t>
  </si>
  <si>
    <t xml:space="preserve">E/A-221 type E1 (Cafe south wall C-E1-S, C-E1-P.2, C-E1-B): 1/2" cement board height not printed; carried to deck 25'-0" (studs to deck). The Cafe 9'-0" GWB band runs along C-E1-S (1/A-121).</t>
  </si>
  <si>
    <t xml:space="preserve">If the cement board stops at 9'-0" + 6" (A-410 Partition Notes 3): C-E1-S 19.0 x 15.5 = - 294.5 SF, C-E1-P.2 2.11 x 15.5 = - 32.7 SF, C-E1-B 2.31 x 15.5 = - 35.8 SF.</t>
  </si>
  <si>
    <t xml:space="preserve">RFI-44</t>
  </si>
  <si>
    <t xml:space="preserve">H/A-221 "H3a = PLYWOOD TO TOP OF WD-1": T.O. WD-1 on the H3a Sales face not printed (A-225, A-226A). Carried: FRT plywood to deck (25'-0"), no GWB.</t>
  </si>
  <si>
    <t xml:space="preserve">If T.O. WD-1 = 15'-0" as on the Grab &amp; Go header (6/A-226A): FRT plywood - 40.8 SF (4.08 x 10.0) and 5/8" Type X + 40.8 SF.</t>
  </si>
  <si>
    <t xml:space="preserve">RFI-45</t>
  </si>
  <si>
    <t xml:space="preserve">1/A-221 Workroom door pier (1'-0" x 2'-8" HOLD) against H2a with an internal void: the C-H2a Cafe face may be concealed along the pier.</t>
  </si>
  <si>
    <t xml:space="preserve">If concealed: - 2.67 x 25.0 = - 66.7 SF 5/8" Type X on C-H2a (pier faces carried as C-E1-P.2 / C-I-P.1).</t>
  </si>
  <si>
    <t xml:space="preserve">RFI-46</t>
  </si>
  <si>
    <t xml:space="preserve">F/A-221 "3 5/8" METAL STUDS @ 16" O.C. TO BOTTOM OF NESTED STUD BRACING": the nested stud bracing member is not drawn; studs carried to deck (estimator decision RI 7).</t>
  </si>
  <si>
    <t xml:space="preserve">Carried 6.52 LF 3-5/8" (2 nested members); define member / elevation.</t>
  </si>
  <si>
    <t xml:space="preserve">RFI-47</t>
  </si>
  <si>
    <t xml:space="preserve">Plywood material / thickness conflicts on A-225: 5/A-225 die wall "3/4" THICK MARINE GRADE PLYWOOD" vs A/A-221, B/A-221 "3/4" FRT PLYWOOD SUBSTRATE" and A-410 "ALL PLYWOOD NEEDS TO BE FRT"; 10/A-225 "1/2" F.R.T. PLYWOOD SUBSTRATE" vs I/A-221, G/A-221, H/A-221 5/8" FRT plywood. Carried as FRT, thickness per the A-221 sections.</t>
  </si>
  <si>
    <t xml:space="preserve">Same SF; material / thickness change only: die wall 63.47 SF marine vs FRT; type I end faces 18.08 SF 1/2" instead of 5/8".</t>
  </si>
  <si>
    <t xml:space="preserve">RFI-48</t>
  </si>
  <si>
    <t xml:space="preserve">Stock room shelving blocking: 7/A-413 "FRT WOOD BLOCKING IN PARTITION" vs 7A/A-413 "SURFACE MOUNT WOOD BLOCKING" (no FRT). Carried in-partition FRT 2x, 3 rows (387 LF).</t>
  </si>
  <si>
    <t xml:space="preserve">Quantity unchanged; if surface-mounted: material / installation method change only (not FRT, no board cut-outs).</t>
  </si>
  <si>
    <t xml:space="preserve">RFI-49</t>
  </si>
  <si>
    <t xml:space="preserve">2/A-500 Cased Opening Detail: "WOOD BLOCKING" across the stud return; the number / location of cased openings is not marked on A-101.</t>
  </si>
  <si>
    <t xml:space="preserve">Carried 1 opening x 17.0 LF wood blocking (not labeled FRT); each additional opening + 17.0 LF.</t>
  </si>
  <si>
    <t xml:space="preserve">RFI-50</t>
  </si>
  <si>
    <t xml:space="preserve">2/E-103 Server Room: "4'x8' FRT PLYWOOD SHEET AND POWER BY GC - ALL OTHER WORK BY OTHERS" (E-301 "fire-rated plywood terminal board"). Carried in the drywall scope (FRT plywood substrate); confirm the trade.</t>
  </si>
  <si>
    <t xml:space="preserve">Carried 32.0 SF 3/4" FRT plywood; if by the electrical contractor: - 32.0 SF.</t>
  </si>
  <si>
    <t xml:space="preserve">RFI-52</t>
  </si>
  <si>
    <t xml:space="preserve">Vestibule GWB bands above B.O. ceiling 10'-6": top of the band 11'-3 1/2" V.I.F. (2/A-210, 3/A-210, "VESTIBULE ASSEMBLY TO MATCH EXISTING STOREFRONT SYSTEM V.I.F.").</t>
  </si>
  <si>
    <t xml:space="preserve">Carried 14.96 SF; each 1" of band height = 1.89 SF (front 12.67 + sides 2 x 8.42 ft / 12).</t>
  </si>
  <si>
    <t xml:space="preserve">RFI-53</t>
  </si>
  <si>
    <t xml:space="preserve">Light fixtures in the Cafe GWB bands (11'-6" and 9'-0", 1/A-121): fixture count in the bands not taken; 5/A-121 "PROVIDE ADDITIONAL WIRE SUPPORT AT ALL LIGHT FIXTURES".</t>
  </si>
  <si>
    <t xml:space="preserve">Each fixture in a band = + 1 hanger x 13.5 / 16.0 ft wire.</t>
  </si>
  <si>
    <t xml:space="preserve">RFI-51</t>
  </si>
  <si>
    <t xml:space="preserve">Fastener counts not printed: 7/A-210 3"x3"x16 ga clip angles (count per header end); cement board screw spacing (manufacturer standard 8" O.C. used); plywood screws per A-410 note 8.D (24" field / 12" perimeter on 4x8 sheets).</t>
  </si>
  <si>
    <t xml:space="preserve">Carried: clip angles 7/A-210 4 pcs; cement board screws 1686 pcs; plywood screws 2331 pcs - adjust to the estimator yields. Framing screws count the stud pieces of the walls and column wraps (781); the detail members (braces, cross members, posts, bracing) add about + 724 screws. Slab pins at 12" O.C. (estimator criterion); A-410 note 8.F (2 rows at 16" O.C. into concrete) = about + 321 pins.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</si>
  <si>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</si>
  <si>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</si>
  <si>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</si>
  <si>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</si>
  <si>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</si>
  <si>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</si>
  <si>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</si>
  <si>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</si>
  <si>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</si>
  <si>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</si>
  <si>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</si>
  <si>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</si>
  <si>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</si>
  <si>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</si>
  <si>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</si>
  <si>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</si>
  <si>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</si>
  <si>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</si>
  <si>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</si>
  <si>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</si>
  <si>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</si>
  <si>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</si>
  <si>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</si>
  <si>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264.21 LF (3/A-410, RFI-35) and additional head track 10.67 LF (RFI-31); M-302 (p51) mention is plumbing expansion fittings; nested inner runner at deflection heads (3/A-410, RFI-40); X-EDNI fasteners 8.C;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</si>
  <si>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</si>
  <si>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</si>
  <si>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</si>
  <si>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</si>
  <si>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</si>
  <si>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</si>
  <si>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</si>
  <si>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</si>
  <si>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15,109.29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</si>
  <si>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</si>
  <si>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</si>
  <si>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</si>
  <si>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</si>
  <si>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</si>
  <si>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</si>
  <si>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</si>
  <si>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</si>
  <si>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1,790.51 SF (Cafe types G, H, E2, F, I and Grab &amp; Go soffit 3/A-221; soffit faces 2/A-221) + 3/4" 402.46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</si>
  <si>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</si>
  <si>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</si>
  <si>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</si>
  <si>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</si>
  <si>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</si>
  <si>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</si>
  <si>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</si>
  <si>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</si>
  <si>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</si>
  <si>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</si>
  <si>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</si>
  <si>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</si>
  <si>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</si>
  <si>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</si>
  <si>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</si>
  <si>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</si>
  <si>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</si>
  <si>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585.27 LF (7/A-413 387.0, 8A/A-413 69.0, 3-4/A-412 85.6, 6/A-412 10.67, 4/A-101 FE cabinets 16.0) + 2X wood 17.0 LF (2/A-500)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</si>
  <si>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</si>
  <si>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</si>
  <si>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RFI: access panels RFI-30;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</si>
  <si>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</si>
  <si>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</si>
  <si>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no control joint printed (RFI-24).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</si>
  <si>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</si>
  <si>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</si>
  <si>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</si>
  <si>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</si>
  <si>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</si>
  <si>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</si>
  <si>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</si>
  <si>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</si>
  <si>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</si>
  <si>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</si>
  <si>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</si>
  <si>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</si>
  <si>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</si>
  <si>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</si>
  <si>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</si>
  <si>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</si>
  <si>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</si>
  <si>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</si>
  <si>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</si>
  <si>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</si>
  <si>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</si>
  <si>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</si>
  <si>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</si>
  <si>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</si>
  <si>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</si>
  <si>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</si>
  <si>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</si>
  <si>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</si>
  <si>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</si>
  <si>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</si>
  <si>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</si>
  <si>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</si>
  <si>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</si>
  <si>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</si>
  <si>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</si>
  <si>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</si>
  <si>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</si>
  <si>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"47198641f746c0c3aaff104d86c478b8629dfe00c16faed73946af08016d7263", "evidencias": "82f4ec13c901d7191f9772989e98854d158340ab19499f6cfbada96ca6cbd21e", "familias_out": "943ff7bb50599871e6bbd3e4d57748b5c9338105b4ae26b344d45f16d0214ea4", "reglas": "e6de403e47b5aff83e6ca5064f657f448b59ec1e6bbfaf2c2faf6ce87f8729ce",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</si>
</sst>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99</v>
      </c>
      <c r="G19" s="0" t="n">
        <v>16</v>
      </c>
      <c r="H19" s="0" t="n">
        <v>58.72</v>
      </c>
      <c r="I19" s="0" t="s">
        <v>100</v>
      </c>
      <c r="J19" s="0" t="s">
        <v>101</v>
      </c>
      <c r="K19" s="0" t="s">
        <v>66</v>
      </c>
    </row>
    <row r="20" customFormat="false" ht="15" hidden="false" customHeight="false" outlineLevel="0" collapsed="false">
      <c r="A20" s="0" t="s">
        <v>102</v>
      </c>
      <c r="B20" s="0" t="s">
        <v>103</v>
      </c>
      <c r="C20" s="0" t="n">
        <v>12</v>
      </c>
      <c r="D20" s="0" t="n">
        <v>8</v>
      </c>
      <c r="E20" s="0" t="n">
        <v>2</v>
      </c>
      <c r="F20" s="0" t="s">
        <v>99</v>
      </c>
      <c r="G20" s="0" t="n">
        <v>16</v>
      </c>
      <c r="H20" s="0" t="n">
        <v>192</v>
      </c>
      <c r="I20" s="0" t="s">
        <v>104</v>
      </c>
      <c r="J20" s="0" t="s">
        <v>101</v>
      </c>
      <c r="K20" s="0" t="s">
        <v>66</v>
      </c>
    </row>
    <row r="21" customFormat="false" ht="15" hidden="false" customHeight="false" outlineLevel="0" collapsed="false">
      <c r="A21" s="0" t="s">
        <v>105</v>
      </c>
      <c r="B21" s="0" t="s">
        <v>106</v>
      </c>
      <c r="C21" s="0" t="n">
        <v>12</v>
      </c>
      <c r="D21" s="0" t="n">
        <v>8</v>
      </c>
      <c r="E21" s="0" t="n">
        <v>2</v>
      </c>
      <c r="F21" s="0" t="s">
        <v>99</v>
      </c>
      <c r="G21" s="0" t="n">
        <v>16</v>
      </c>
      <c r="H21" s="0" t="n">
        <v>192</v>
      </c>
      <c r="I21" s="0" t="s">
        <v>107</v>
      </c>
      <c r="J21" s="0" t="s">
        <v>101</v>
      </c>
      <c r="K21" s="0" t="s">
        <v>66</v>
      </c>
    </row>
    <row r="22" customFormat="false" ht="15" hidden="false" customHeight="false" outlineLevel="0" collapsed="false">
      <c r="A22" s="0" t="s">
        <v>108</v>
      </c>
      <c r="B22" s="0" t="s">
        <v>109</v>
      </c>
      <c r="C22" s="0" t="n">
        <v>3.67</v>
      </c>
      <c r="D22" s="0" t="n">
        <v>8</v>
      </c>
      <c r="E22" s="0" t="n">
        <v>2</v>
      </c>
      <c r="F22" s="0" t="s">
        <v>99</v>
      </c>
      <c r="G22" s="0" t="n">
        <v>16</v>
      </c>
      <c r="H22" s="0" t="n">
        <v>58.72</v>
      </c>
      <c r="I22" s="0" t="s">
        <v>110</v>
      </c>
      <c r="J22" s="0" t="s">
        <v>101</v>
      </c>
      <c r="K22" s="0" t="s">
        <v>66</v>
      </c>
    </row>
    <row r="23" customFormat="false" ht="15" hidden="false" customHeight="false" outlineLevel="0" collapsed="false">
      <c r="A23" s="0" t="s">
        <v>111</v>
      </c>
      <c r="B23" s="0" t="s">
        <v>112</v>
      </c>
      <c r="C23" s="0" t="n">
        <v>3.67</v>
      </c>
      <c r="D23" s="0" t="n">
        <v>8</v>
      </c>
      <c r="E23" s="0" t="n">
        <v>2</v>
      </c>
      <c r="F23" s="0" t="s">
        <v>99</v>
      </c>
      <c r="G23" s="0" t="n">
        <v>16</v>
      </c>
      <c r="H23" s="0" t="n">
        <v>58.72</v>
      </c>
      <c r="I23" s="0" t="s">
        <v>113</v>
      </c>
      <c r="J23" s="0" t="s">
        <v>101</v>
      </c>
      <c r="K23" s="0" t="s">
        <v>66</v>
      </c>
    </row>
    <row r="24" customFormat="false" ht="15" hidden="false" customHeight="false" outlineLevel="0" collapsed="false">
      <c r="A24" s="0" t="s">
        <v>114</v>
      </c>
      <c r="B24" s="0" t="s">
        <v>115</v>
      </c>
      <c r="C24" s="0" t="n">
        <v>3.67</v>
      </c>
      <c r="D24" s="0" t="n">
        <v>8</v>
      </c>
      <c r="E24" s="0" t="n">
        <v>2</v>
      </c>
      <c r="F24" s="0" t="s">
        <v>99</v>
      </c>
      <c r="G24" s="0" t="n">
        <v>16</v>
      </c>
      <c r="H24" s="0" t="n">
        <v>58.72</v>
      </c>
      <c r="I24" s="0" t="s">
        <v>116</v>
      </c>
      <c r="J24" s="0" t="s">
        <v>101</v>
      </c>
      <c r="K24" s="0" t="s">
        <v>66</v>
      </c>
    </row>
    <row r="25" customFormat="false" ht="15" hidden="false" customHeight="false" outlineLevel="0" collapsed="false">
      <c r="B25" s="6" t="s">
        <v>117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118</v>
      </c>
    </row>
    <row r="27" customFormat="false" ht="15" hidden="false" customHeight="false" outlineLevel="0" collapsed="false">
      <c r="A27" s="0" t="s">
        <v>119</v>
      </c>
      <c r="B27" s="0" t="s">
        <v>120</v>
      </c>
      <c r="C27" s="0" t="n">
        <v>12.68</v>
      </c>
      <c r="D27" s="0" t="n">
        <v>7.5</v>
      </c>
      <c r="E27" s="0" t="n">
        <v>2</v>
      </c>
      <c r="F27" s="0" t="s">
        <v>99</v>
      </c>
      <c r="G27" s="0" t="n">
        <v>16</v>
      </c>
      <c r="H27" s="0" t="n">
        <v>190.2</v>
      </c>
      <c r="I27" s="0" t="s">
        <v>121</v>
      </c>
      <c r="J27" s="0" t="s">
        <v>122</v>
      </c>
      <c r="K27" s="0" t="s">
        <v>66</v>
      </c>
    </row>
    <row r="28" customFormat="false" ht="15" hidden="false" customHeight="false" outlineLevel="0" collapsed="false">
      <c r="A28" s="0" t="s">
        <v>123</v>
      </c>
      <c r="B28" s="0" t="s">
        <v>124</v>
      </c>
      <c r="C28" s="0" t="n">
        <v>1.77</v>
      </c>
      <c r="D28" s="0" t="n">
        <v>7.5</v>
      </c>
      <c r="E28" s="0" t="n">
        <v>2</v>
      </c>
      <c r="F28" s="0" t="s">
        <v>99</v>
      </c>
      <c r="G28" s="0" t="n">
        <v>16</v>
      </c>
      <c r="H28" s="0" t="n">
        <v>26.56</v>
      </c>
      <c r="I28" s="0" t="s">
        <v>125</v>
      </c>
      <c r="J28" s="0" t="s">
        <v>122</v>
      </c>
      <c r="K28" s="0" t="s">
        <v>66</v>
      </c>
    </row>
    <row r="29" customFormat="false" ht="15" hidden="false" customHeight="false" outlineLevel="0" collapsed="false">
      <c r="A29" s="0" t="s">
        <v>126</v>
      </c>
      <c r="B29" s="0" t="s">
        <v>127</v>
      </c>
      <c r="C29" s="0" t="n">
        <v>1.72</v>
      </c>
      <c r="D29" s="0" t="n">
        <v>7.5</v>
      </c>
      <c r="E29" s="0" t="n">
        <v>2</v>
      </c>
      <c r="F29" s="0" t="s">
        <v>99</v>
      </c>
      <c r="G29" s="0" t="n">
        <v>16</v>
      </c>
      <c r="H29" s="0" t="n">
        <v>25.8</v>
      </c>
      <c r="I29" s="0" t="s">
        <v>128</v>
      </c>
      <c r="J29" s="0" t="s">
        <v>122</v>
      </c>
      <c r="K29" s="0" t="s">
        <v>66</v>
      </c>
    </row>
    <row r="30" customFormat="false" ht="15" hidden="false" customHeight="false" outlineLevel="0" collapsed="false">
      <c r="A30" s="0" t="s">
        <v>129</v>
      </c>
      <c r="B30" s="0" t="s">
        <v>130</v>
      </c>
      <c r="C30" s="0" t="n">
        <v>4.27</v>
      </c>
      <c r="D30" s="0" t="n">
        <v>7.5</v>
      </c>
      <c r="E30" s="0" t="n">
        <v>2</v>
      </c>
      <c r="F30" s="0" t="s">
        <v>99</v>
      </c>
      <c r="G30" s="0" t="n">
        <v>16</v>
      </c>
      <c r="H30" s="0" t="n">
        <v>64.04</v>
      </c>
      <c r="I30" s="0" t="s">
        <v>131</v>
      </c>
      <c r="J30" s="0" t="s">
        <v>122</v>
      </c>
      <c r="K30" s="0" t="s">
        <v>66</v>
      </c>
    </row>
    <row r="31" customFormat="false" ht="15" hidden="false" customHeight="false" outlineLevel="0" collapsed="false">
      <c r="A31" s="0" t="s">
        <v>132</v>
      </c>
      <c r="B31" s="0" t="s">
        <v>133</v>
      </c>
      <c r="C31" s="0" t="n">
        <v>4.27</v>
      </c>
      <c r="D31" s="0" t="n">
        <v>7.5</v>
      </c>
      <c r="E31" s="0" t="n">
        <v>2</v>
      </c>
      <c r="F31" s="0" t="s">
        <v>99</v>
      </c>
      <c r="G31" s="0" t="n">
        <v>16</v>
      </c>
      <c r="H31" s="0" t="n">
        <v>64.04</v>
      </c>
      <c r="I31" s="0" t="s">
        <v>134</v>
      </c>
      <c r="J31" s="0" t="s">
        <v>122</v>
      </c>
      <c r="K31" s="0" t="s">
        <v>66</v>
      </c>
    </row>
    <row r="32" customFormat="false" ht="15" hidden="false" customHeight="false" outlineLevel="0" collapsed="false">
      <c r="A32" s="0" t="s">
        <v>135</v>
      </c>
      <c r="B32" s="0" t="s">
        <v>136</v>
      </c>
      <c r="C32" s="0" t="n">
        <v>4.29</v>
      </c>
      <c r="D32" s="0" t="n">
        <v>7.5</v>
      </c>
      <c r="E32" s="0" t="n">
        <v>2</v>
      </c>
      <c r="F32" s="0" t="s">
        <v>99</v>
      </c>
      <c r="G32" s="0" t="n">
        <v>16</v>
      </c>
      <c r="H32" s="0" t="n">
        <v>64.34</v>
      </c>
      <c r="I32" s="0" t="s">
        <v>137</v>
      </c>
      <c r="J32" s="0" t="s">
        <v>122</v>
      </c>
      <c r="K32" s="0" t="s">
        <v>66</v>
      </c>
    </row>
    <row r="33" customFormat="false" ht="15" hidden="false" customHeight="false" outlineLevel="0" collapsed="false">
      <c r="A33" s="0" t="s">
        <v>138</v>
      </c>
      <c r="B33" s="0" t="s">
        <v>139</v>
      </c>
      <c r="C33" s="0" t="n">
        <v>4.29</v>
      </c>
      <c r="D33" s="0" t="n">
        <v>7.5</v>
      </c>
      <c r="E33" s="0" t="n">
        <v>2</v>
      </c>
      <c r="F33" s="0" t="s">
        <v>99</v>
      </c>
      <c r="G33" s="0" t="n">
        <v>16</v>
      </c>
      <c r="H33" s="0" t="n">
        <v>64.34</v>
      </c>
      <c r="I33" s="0" t="s">
        <v>140</v>
      </c>
      <c r="J33" s="0" t="s">
        <v>122</v>
      </c>
      <c r="K33" s="0" t="s">
        <v>66</v>
      </c>
    </row>
    <row r="34" customFormat="false" ht="15" hidden="false" customHeight="false" outlineLevel="0" collapsed="false">
      <c r="A34" s="0" t="s">
        <v>141</v>
      </c>
      <c r="B34" s="0" t="s">
        <v>142</v>
      </c>
      <c r="C34" s="0" t="n">
        <v>4.27</v>
      </c>
      <c r="D34" s="0" t="n">
        <v>7.5</v>
      </c>
      <c r="E34" s="0" t="n">
        <v>2</v>
      </c>
      <c r="F34" s="0" t="s">
        <v>99</v>
      </c>
      <c r="G34" s="0" t="n">
        <v>16</v>
      </c>
      <c r="H34" s="0" t="n">
        <v>64.04</v>
      </c>
      <c r="I34" s="0" t="s">
        <v>143</v>
      </c>
      <c r="J34" s="0" t="s">
        <v>122</v>
      </c>
      <c r="K34" s="0" t="s">
        <v>66</v>
      </c>
    </row>
    <row r="35" customFormat="false" ht="15" hidden="false" customHeight="false" outlineLevel="0" collapsed="false">
      <c r="A35" s="0" t="s">
        <v>144</v>
      </c>
      <c r="B35" s="0" t="s">
        <v>145</v>
      </c>
      <c r="C35" s="0" t="n">
        <v>4.29</v>
      </c>
      <c r="D35" s="0" t="n">
        <v>7.5</v>
      </c>
      <c r="E35" s="0" t="n">
        <v>2</v>
      </c>
      <c r="F35" s="0" t="s">
        <v>99</v>
      </c>
      <c r="G35" s="0" t="n">
        <v>16</v>
      </c>
      <c r="H35" s="0" t="n">
        <v>64.34</v>
      </c>
      <c r="I35" s="0" t="s">
        <v>146</v>
      </c>
      <c r="J35" s="0" t="s">
        <v>122</v>
      </c>
      <c r="K35" s="0" t="s">
        <v>66</v>
      </c>
    </row>
    <row r="36" customFormat="false" ht="15" hidden="false" customHeight="false" outlineLevel="0" collapsed="false">
      <c r="A36" s="0" t="s">
        <v>147</v>
      </c>
      <c r="B36" s="0" t="s">
        <v>148</v>
      </c>
      <c r="C36" s="0" t="n">
        <v>4.28</v>
      </c>
      <c r="D36" s="0" t="n">
        <v>7.5</v>
      </c>
      <c r="E36" s="0" t="n">
        <v>2</v>
      </c>
      <c r="F36" s="0" t="s">
        <v>99</v>
      </c>
      <c r="G36" s="0" t="n">
        <v>16</v>
      </c>
      <c r="H36" s="0" t="n">
        <v>64.2</v>
      </c>
      <c r="I36" s="0" t="s">
        <v>149</v>
      </c>
      <c r="J36" s="0" t="s">
        <v>122</v>
      </c>
      <c r="K36" s="0" t="s">
        <v>66</v>
      </c>
    </row>
    <row r="37" customFormat="false" ht="15" hidden="false" customHeight="false" outlineLevel="0" collapsed="false">
      <c r="A37" s="0" t="s">
        <v>150</v>
      </c>
      <c r="B37" s="0" t="s">
        <v>151</v>
      </c>
      <c r="C37" s="0" t="n">
        <v>4.28</v>
      </c>
      <c r="D37" s="0" t="n">
        <v>7.5</v>
      </c>
      <c r="E37" s="0" t="n">
        <v>2</v>
      </c>
      <c r="F37" s="0" t="s">
        <v>99</v>
      </c>
      <c r="G37" s="0" t="n">
        <v>16</v>
      </c>
      <c r="H37" s="0" t="n">
        <v>64.2</v>
      </c>
      <c r="I37" s="0" t="s">
        <v>152</v>
      </c>
      <c r="J37" s="0" t="s">
        <v>122</v>
      </c>
      <c r="K37" s="0" t="s">
        <v>66</v>
      </c>
    </row>
    <row r="38" customFormat="false" ht="15" hidden="false" customHeight="false" outlineLevel="0" collapsed="false">
      <c r="A38" s="0" t="s">
        <v>153</v>
      </c>
      <c r="B38" s="0" t="s">
        <v>154</v>
      </c>
      <c r="C38" s="0" t="n">
        <v>4.28</v>
      </c>
      <c r="D38" s="0" t="n">
        <v>7.5</v>
      </c>
      <c r="E38" s="0" t="n">
        <v>2</v>
      </c>
      <c r="F38" s="0" t="s">
        <v>99</v>
      </c>
      <c r="G38" s="0" t="n">
        <v>16</v>
      </c>
      <c r="H38" s="0" t="n">
        <v>64.2</v>
      </c>
      <c r="I38" s="0" t="s">
        <v>155</v>
      </c>
      <c r="J38" s="0" t="s">
        <v>122</v>
      </c>
      <c r="K38" s="0" t="s">
        <v>66</v>
      </c>
    </row>
    <row r="39" customFormat="false" ht="15" hidden="false" customHeight="false" outlineLevel="0" collapsed="false">
      <c r="A39" s="0" t="s">
        <v>156</v>
      </c>
      <c r="B39" s="0" t="s">
        <v>157</v>
      </c>
      <c r="C39" s="0" t="n">
        <v>4.28</v>
      </c>
      <c r="D39" s="0" t="n">
        <v>7.5</v>
      </c>
      <c r="E39" s="0" t="n">
        <v>2</v>
      </c>
      <c r="F39" s="0" t="s">
        <v>99</v>
      </c>
      <c r="G39" s="0" t="n">
        <v>16</v>
      </c>
      <c r="H39" s="0" t="n">
        <v>64.2</v>
      </c>
      <c r="I39" s="0" t="s">
        <v>158</v>
      </c>
      <c r="J39" s="0" t="s">
        <v>122</v>
      </c>
      <c r="K39" s="0" t="s">
        <v>66</v>
      </c>
    </row>
    <row r="40" customFormat="false" ht="15" hidden="false" customHeight="false" outlineLevel="0" collapsed="false">
      <c r="A40" s="0" t="s">
        <v>159</v>
      </c>
      <c r="B40" s="0" t="s">
        <v>160</v>
      </c>
      <c r="C40" s="0" t="n">
        <v>4.28</v>
      </c>
      <c r="D40" s="0" t="n">
        <v>7.5</v>
      </c>
      <c r="E40" s="0" t="n">
        <v>2</v>
      </c>
      <c r="F40" s="0" t="s">
        <v>99</v>
      </c>
      <c r="G40" s="0" t="n">
        <v>16</v>
      </c>
      <c r="H40" s="0" t="n">
        <v>64.2</v>
      </c>
      <c r="I40" s="0" t="s">
        <v>161</v>
      </c>
      <c r="J40" s="0" t="s">
        <v>122</v>
      </c>
      <c r="K40" s="0" t="s">
        <v>66</v>
      </c>
    </row>
    <row r="41" customFormat="false" ht="15" hidden="false" customHeight="false" outlineLevel="0" collapsed="false">
      <c r="A41" s="0" t="s">
        <v>162</v>
      </c>
      <c r="B41" s="0" t="s">
        <v>163</v>
      </c>
      <c r="C41" s="0" t="n">
        <v>4.28</v>
      </c>
      <c r="D41" s="0" t="n">
        <v>7.5</v>
      </c>
      <c r="E41" s="0" t="n">
        <v>2</v>
      </c>
      <c r="F41" s="0" t="s">
        <v>99</v>
      </c>
      <c r="G41" s="0" t="n">
        <v>16</v>
      </c>
      <c r="H41" s="0" t="n">
        <v>64.2</v>
      </c>
      <c r="I41" s="0" t="s">
        <v>164</v>
      </c>
      <c r="J41" s="0" t="s">
        <v>122</v>
      </c>
      <c r="K41" s="0" t="s">
        <v>66</v>
      </c>
    </row>
    <row r="42" customFormat="false" ht="15" hidden="false" customHeight="false" outlineLevel="0" collapsed="false">
      <c r="A42" s="0" t="s">
        <v>165</v>
      </c>
      <c r="B42" s="0" t="s">
        <v>166</v>
      </c>
      <c r="C42" s="0" t="n">
        <v>12.68</v>
      </c>
      <c r="D42" s="0" t="n">
        <v>7.5</v>
      </c>
      <c r="E42" s="0" t="n">
        <v>2</v>
      </c>
      <c r="F42" s="0" t="s">
        <v>99</v>
      </c>
      <c r="G42" s="0" t="n">
        <v>16</v>
      </c>
      <c r="H42" s="0" t="n">
        <v>190.2</v>
      </c>
      <c r="I42" s="0" t="s">
        <v>167</v>
      </c>
      <c r="J42" s="0" t="s">
        <v>122</v>
      </c>
      <c r="K42" s="0" t="s">
        <v>66</v>
      </c>
    </row>
    <row r="43" customFormat="false" ht="15" hidden="false" customHeight="false" outlineLevel="0" collapsed="false">
      <c r="A43" s="0" t="s">
        <v>168</v>
      </c>
      <c r="B43" s="0" t="s">
        <v>169</v>
      </c>
      <c r="C43" s="0" t="n">
        <v>1.75</v>
      </c>
      <c r="D43" s="0" t="n">
        <v>7.5</v>
      </c>
      <c r="E43" s="0" t="n">
        <v>2</v>
      </c>
      <c r="F43" s="0" t="s">
        <v>99</v>
      </c>
      <c r="G43" s="0" t="n">
        <v>16</v>
      </c>
      <c r="H43" s="0" t="n">
        <v>26.24</v>
      </c>
      <c r="I43" s="0" t="s">
        <v>170</v>
      </c>
      <c r="J43" s="0" t="s">
        <v>122</v>
      </c>
      <c r="K43" s="0" t="s">
        <v>66</v>
      </c>
    </row>
    <row r="44" customFormat="false" ht="15" hidden="false" customHeight="false" outlineLevel="0" collapsed="false">
      <c r="A44" s="0" t="s">
        <v>171</v>
      </c>
      <c r="B44" s="0" t="s">
        <v>172</v>
      </c>
      <c r="C44" s="0" t="n">
        <v>1.68</v>
      </c>
      <c r="D44" s="0" t="n">
        <v>7.5</v>
      </c>
      <c r="E44" s="0" t="n">
        <v>2</v>
      </c>
      <c r="F44" s="0" t="s">
        <v>99</v>
      </c>
      <c r="G44" s="0" t="n">
        <v>16</v>
      </c>
      <c r="H44" s="0" t="n">
        <v>25.2</v>
      </c>
      <c r="I44" s="0" t="s">
        <v>173</v>
      </c>
      <c r="J44" s="0" t="s">
        <v>122</v>
      </c>
      <c r="K44" s="0" t="s">
        <v>66</v>
      </c>
    </row>
    <row r="45" customFormat="false" ht="15" hidden="false" customHeight="false" outlineLevel="0" collapsed="false">
      <c r="B45" s="6" t="s">
        <v>174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175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n">
        <v>29.98</v>
      </c>
      <c r="D47" s="0" t="n">
        <v>25</v>
      </c>
      <c r="E47" s="0" t="n">
        <v>1</v>
      </c>
      <c r="F47" s="0" t="s">
        <v>92</v>
      </c>
      <c r="G47" s="0" t="n">
        <v>16</v>
      </c>
      <c r="H47" s="0" t="n">
        <v>678.44</v>
      </c>
      <c r="I47" s="0" t="s">
        <v>178</v>
      </c>
      <c r="J47" s="0" t="s">
        <v>179</v>
      </c>
      <c r="K47" s="0" t="s">
        <v>66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n">
        <v>12.17</v>
      </c>
      <c r="D48" s="0" t="n">
        <v>25</v>
      </c>
      <c r="E48" s="0" t="n">
        <v>1</v>
      </c>
      <c r="F48" s="0" t="s">
        <v>92</v>
      </c>
      <c r="G48" s="0" t="n">
        <v>16</v>
      </c>
      <c r="H48" s="0" t="n">
        <v>115.61</v>
      </c>
      <c r="I48" s="0" t="s">
        <v>182</v>
      </c>
      <c r="J48" s="0" t="s">
        <v>179</v>
      </c>
      <c r="K48" s="0" t="s">
        <v>66</v>
      </c>
    </row>
    <row r="49" customFormat="false" ht="15" hidden="false" customHeight="false" outlineLevel="0" collapsed="false">
      <c r="B49" s="6" t="s">
        <v>183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184</v>
      </c>
    </row>
    <row r="51" customFormat="false" ht="15" hidden="false" customHeight="false" outlineLevel="0" collapsed="false">
      <c r="A51" s="0" t="s">
        <v>185</v>
      </c>
      <c r="B51" s="0" t="s">
        <v>186</v>
      </c>
      <c r="C51" s="0" t="n">
        <v>12.17</v>
      </c>
      <c r="D51" s="0" t="n">
        <v>25</v>
      </c>
      <c r="E51" s="0" t="n">
        <v>1</v>
      </c>
      <c r="F51" s="0" t="s">
        <v>63</v>
      </c>
      <c r="G51" s="0" t="n">
        <v>16</v>
      </c>
      <c r="H51" s="0" t="n">
        <v>304.25</v>
      </c>
      <c r="I51" s="0" t="s">
        <v>187</v>
      </c>
      <c r="J51" s="0" t="s">
        <v>179</v>
      </c>
      <c r="K51" s="0" t="s">
        <v>66</v>
      </c>
    </row>
    <row r="52" customFormat="false" ht="15" hidden="false" customHeight="false" outlineLevel="0" collapsed="false">
      <c r="B52" s="6" t="s">
        <v>188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189</v>
      </c>
    </row>
    <row r="54" customFormat="false" ht="15" hidden="false" customHeight="false" outlineLevel="0" collapsed="false">
      <c r="A54" s="0" t="s">
        <v>190</v>
      </c>
      <c r="B54" s="0" t="s">
        <v>191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192</v>
      </c>
      <c r="J54" s="0" t="s">
        <v>179</v>
      </c>
      <c r="K54" s="0" t="s">
        <v>66</v>
      </c>
    </row>
    <row r="55" customFormat="false" ht="15" hidden="false" customHeight="false" outlineLevel="0" collapsed="false">
      <c r="B55" s="6" t="s">
        <v>193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194</v>
      </c>
    </row>
    <row r="57" customFormat="false" ht="15" hidden="false" customHeight="false" outlineLevel="0" collapsed="false">
      <c r="A57" s="0" t="s">
        <v>195</v>
      </c>
      <c r="B57" s="0" t="s">
        <v>196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197</v>
      </c>
      <c r="J57" s="0" t="s">
        <v>198</v>
      </c>
      <c r="K57" s="0" t="s">
        <v>66</v>
      </c>
    </row>
    <row r="58" customFormat="false" ht="15" hidden="false" customHeight="false" outlineLevel="0" collapsed="false">
      <c r="B58" s="6" t="s">
        <v>199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200</v>
      </c>
    </row>
    <row r="60" customFormat="false" ht="15" hidden="false" customHeight="false" outlineLevel="0" collapsed="false">
      <c r="A60" s="0" t="s">
        <v>201</v>
      </c>
      <c r="B60" s="0" t="s">
        <v>202</v>
      </c>
      <c r="C60" s="0" t="n">
        <v>6.17</v>
      </c>
      <c r="D60" s="0" t="n">
        <v>25</v>
      </c>
      <c r="E60" s="0" t="n">
        <v>2</v>
      </c>
      <c r="F60" s="0" t="s">
        <v>92</v>
      </c>
      <c r="G60" s="0" t="n">
        <v>16</v>
      </c>
      <c r="H60" s="0" t="n">
        <v>151.68</v>
      </c>
      <c r="I60" s="0" t="s">
        <v>203</v>
      </c>
      <c r="J60" s="0" t="s">
        <v>198</v>
      </c>
      <c r="K60" s="0" t="s">
        <v>66</v>
      </c>
    </row>
    <row r="61" customFormat="false" ht="15" hidden="false" customHeight="false" outlineLevel="0" collapsed="false">
      <c r="B61" s="6" t="s">
        <v>204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205</v>
      </c>
    </row>
    <row r="63" customFormat="false" ht="15" hidden="false" customHeight="false" outlineLevel="0" collapsed="false">
      <c r="A63" s="0" t="s">
        <v>206</v>
      </c>
      <c r="B63" s="0" t="s">
        <v>207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208</v>
      </c>
      <c r="J63" s="0" t="s">
        <v>209</v>
      </c>
      <c r="K63" s="0" t="s">
        <v>66</v>
      </c>
    </row>
    <row r="64" customFormat="false" ht="15" hidden="false" customHeight="false" outlineLevel="0" collapsed="false">
      <c r="B64" s="6" t="s">
        <v>210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211</v>
      </c>
    </row>
    <row r="66" customFormat="false" ht="15" hidden="false" customHeight="false" outlineLevel="0" collapsed="false">
      <c r="A66" s="0" t="s">
        <v>212</v>
      </c>
      <c r="B66" s="0" t="s">
        <v>213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214</v>
      </c>
      <c r="J66" s="0" t="s">
        <v>209</v>
      </c>
      <c r="K66" s="0" t="s">
        <v>66</v>
      </c>
    </row>
    <row r="67" customFormat="false" ht="15" hidden="false" customHeight="false" outlineLevel="0" collapsed="false">
      <c r="A67" s="0" t="s">
        <v>215</v>
      </c>
      <c r="B67" s="0" t="s">
        <v>216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217</v>
      </c>
      <c r="J67" s="0" t="s">
        <v>209</v>
      </c>
      <c r="K67" s="0" t="s">
        <v>66</v>
      </c>
    </row>
    <row r="68" customFormat="false" ht="15" hidden="false" customHeight="false" outlineLevel="0" collapsed="false">
      <c r="A68" s="0" t="s">
        <v>218</v>
      </c>
      <c r="B68" s="0" t="s">
        <v>219</v>
      </c>
      <c r="C68" s="0" t="n">
        <v>23.46</v>
      </c>
      <c r="D68" s="0" t="n">
        <v>25</v>
      </c>
      <c r="E68" s="0" t="n">
        <v>0.81</v>
      </c>
      <c r="F68" s="0" t="s">
        <v>92</v>
      </c>
      <c r="G68" s="0" t="n">
        <v>16</v>
      </c>
      <c r="H68" s="0" t="n">
        <v>475</v>
      </c>
      <c r="I68" s="0" t="s">
        <v>220</v>
      </c>
      <c r="J68" s="0" t="s">
        <v>209</v>
      </c>
      <c r="K68" s="0" t="s">
        <v>66</v>
      </c>
    </row>
    <row r="69" customFormat="false" ht="15" hidden="false" customHeight="false" outlineLevel="0" collapsed="false">
      <c r="B69" s="6" t="s">
        <v>221</v>
      </c>
      <c r="C69" s="4" t="n">
        <f aca="false">SUM(C66:C68)</f>
        <v>27.88</v>
      </c>
      <c r="H69" s="4" t="n">
        <f aca="false">SUM(H66:H68)</f>
        <v>585.5</v>
      </c>
    </row>
    <row r="70" customFormat="false" ht="15" hidden="false" customHeight="false" outlineLevel="0" collapsed="false">
      <c r="A70" s="5" t="s">
        <v>222</v>
      </c>
    </row>
    <row r="71" customFormat="false" ht="15" hidden="false" customHeight="false" outlineLevel="0" collapsed="false">
      <c r="A71" s="0" t="s">
        <v>223</v>
      </c>
      <c r="B71" s="0" t="s">
        <v>224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225</v>
      </c>
      <c r="J71" s="0" t="s">
        <v>226</v>
      </c>
      <c r="K71" s="0" t="s">
        <v>66</v>
      </c>
    </row>
    <row r="72" customFormat="false" ht="15" hidden="false" customHeight="false" outlineLevel="0" collapsed="false">
      <c r="B72" s="6" t="s">
        <v>227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228</v>
      </c>
    </row>
    <row r="74" customFormat="false" ht="15" hidden="false" customHeight="false" outlineLevel="0" collapsed="false">
      <c r="A74" s="0" t="s">
        <v>229</v>
      </c>
      <c r="B74" s="0" t="s">
        <v>230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231</v>
      </c>
      <c r="J74" s="0" t="s">
        <v>232</v>
      </c>
      <c r="K74" s="0" t="s">
        <v>66</v>
      </c>
    </row>
    <row r="75" customFormat="false" ht="15" hidden="false" customHeight="false" outlineLevel="0" collapsed="false">
      <c r="A75" s="0" t="s">
        <v>233</v>
      </c>
      <c r="B75" s="0" t="s">
        <v>234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235</v>
      </c>
      <c r="J75" s="0" t="s">
        <v>232</v>
      </c>
      <c r="K75" s="0" t="s">
        <v>66</v>
      </c>
    </row>
    <row r="76" customFormat="false" ht="15" hidden="false" customHeight="false" outlineLevel="0" collapsed="false">
      <c r="A76" s="0" t="s">
        <v>236</v>
      </c>
      <c r="B76" s="0" t="s">
        <v>237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238</v>
      </c>
      <c r="J76" s="0" t="s">
        <v>232</v>
      </c>
      <c r="K76" s="0" t="s">
        <v>66</v>
      </c>
    </row>
    <row r="77" customFormat="false" ht="15" hidden="false" customHeight="false" outlineLevel="0" collapsed="false">
      <c r="A77" s="0" t="s">
        <v>239</v>
      </c>
      <c r="B77" s="0" t="s">
        <v>240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241</v>
      </c>
      <c r="J77" s="0" t="s">
        <v>232</v>
      </c>
      <c r="K77" s="0" t="s">
        <v>66</v>
      </c>
    </row>
    <row r="78" customFormat="false" ht="15" hidden="false" customHeight="false" outlineLevel="0" collapsed="false">
      <c r="B78" s="6" t="s">
        <v>242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243</v>
      </c>
    </row>
    <row r="80" customFormat="false" ht="15" hidden="false" customHeight="false" outlineLevel="0" collapsed="false">
      <c r="A80" s="0" t="s">
        <v>244</v>
      </c>
      <c r="B80" s="0" t="s">
        <v>245</v>
      </c>
      <c r="C80" s="0" t="n">
        <v>9.89</v>
      </c>
      <c r="D80" s="0" t="n">
        <v>2.708</v>
      </c>
      <c r="E80" s="0" t="n">
        <v>2</v>
      </c>
      <c r="F80" s="0" t="s">
        <v>99</v>
      </c>
      <c r="G80" s="0" t="n">
        <v>16</v>
      </c>
      <c r="H80" s="0" t="n">
        <v>53.56</v>
      </c>
      <c r="I80" s="0" t="s">
        <v>246</v>
      </c>
      <c r="J80" s="0" t="s">
        <v>247</v>
      </c>
      <c r="K80" s="0" t="s">
        <v>66</v>
      </c>
    </row>
    <row r="81" customFormat="false" ht="15" hidden="false" customHeight="false" outlineLevel="0" collapsed="false">
      <c r="A81" s="0" t="s">
        <v>248</v>
      </c>
      <c r="B81" s="0" t="s">
        <v>249</v>
      </c>
      <c r="C81" s="0" t="n">
        <v>4.14</v>
      </c>
      <c r="D81" s="0" t="n">
        <v>2.708</v>
      </c>
      <c r="E81" s="0" t="n">
        <v>2</v>
      </c>
      <c r="F81" s="0" t="s">
        <v>99</v>
      </c>
      <c r="G81" s="0" t="n">
        <v>16</v>
      </c>
      <c r="H81" s="0" t="n">
        <v>22.42</v>
      </c>
      <c r="I81" s="0" t="s">
        <v>250</v>
      </c>
      <c r="J81" s="0" t="s">
        <v>247</v>
      </c>
      <c r="K81" s="0" t="s">
        <v>66</v>
      </c>
    </row>
    <row r="82" customFormat="false" ht="15" hidden="false" customHeight="false" outlineLevel="0" collapsed="false">
      <c r="A82" s="0" t="s">
        <v>251</v>
      </c>
      <c r="B82" s="0" t="s">
        <v>252</v>
      </c>
      <c r="C82" s="0" t="n">
        <v>6.24</v>
      </c>
      <c r="D82" s="0" t="n">
        <v>2.708</v>
      </c>
      <c r="E82" s="0" t="n">
        <v>2</v>
      </c>
      <c r="F82" s="0" t="s">
        <v>99</v>
      </c>
      <c r="G82" s="0" t="n">
        <v>16</v>
      </c>
      <c r="H82" s="0" t="n">
        <v>33.8</v>
      </c>
      <c r="I82" s="0" t="s">
        <v>253</v>
      </c>
      <c r="J82" s="0" t="s">
        <v>247</v>
      </c>
      <c r="K82" s="0" t="s">
        <v>66</v>
      </c>
    </row>
    <row r="83" customFormat="false" ht="15" hidden="false" customHeight="false" outlineLevel="0" collapsed="false">
      <c r="B83" s="6" t="s">
        <v>254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255</v>
      </c>
    </row>
    <row r="85" customFormat="false" ht="15" hidden="false" customHeight="false" outlineLevel="0" collapsed="false">
      <c r="A85" s="0" t="s">
        <v>256</v>
      </c>
      <c r="B85" s="0" t="s">
        <v>257</v>
      </c>
      <c r="C85" s="0" t="n">
        <v>3.17</v>
      </c>
      <c r="D85" s="0" t="n">
        <v>2.708</v>
      </c>
      <c r="E85" s="0" t="n">
        <v>2</v>
      </c>
      <c r="F85" s="0" t="s">
        <v>99</v>
      </c>
      <c r="G85" s="0" t="n">
        <v>16</v>
      </c>
      <c r="H85" s="0" t="n">
        <v>17.16</v>
      </c>
      <c r="I85" s="0" t="s">
        <v>258</v>
      </c>
      <c r="J85" s="0" t="s">
        <v>259</v>
      </c>
      <c r="K85" s="0" t="s">
        <v>66</v>
      </c>
    </row>
    <row r="86" customFormat="false" ht="15" hidden="false" customHeight="false" outlineLevel="0" collapsed="false">
      <c r="B86" s="6" t="s">
        <v>260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261</v>
      </c>
    </row>
    <row r="88" customFormat="false" ht="15" hidden="false" customHeight="false" outlineLevel="0" collapsed="false">
      <c r="A88" s="0" t="s">
        <v>262</v>
      </c>
      <c r="B88" s="0" t="s">
        <v>263</v>
      </c>
      <c r="C88" s="0" t="n">
        <v>5.14</v>
      </c>
      <c r="D88" s="0" t="n">
        <v>1</v>
      </c>
      <c r="E88" s="0" t="n">
        <v>2</v>
      </c>
      <c r="F88" s="0" t="s">
        <v>99</v>
      </c>
      <c r="G88" s="0" t="n">
        <v>16</v>
      </c>
      <c r="H88" s="0" t="n">
        <v>10.28</v>
      </c>
      <c r="I88" s="0" t="s">
        <v>264</v>
      </c>
      <c r="J88" s="0" t="s">
        <v>265</v>
      </c>
      <c r="K88" s="0" t="s">
        <v>66</v>
      </c>
    </row>
    <row r="89" customFormat="false" ht="15" hidden="false" customHeight="false" outlineLevel="0" collapsed="false">
      <c r="B89" s="6" t="s">
        <v>266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267</v>
      </c>
    </row>
    <row r="91" customFormat="false" ht="15" hidden="false" customHeight="false" outlineLevel="0" collapsed="false">
      <c r="A91" s="0" t="s">
        <v>268</v>
      </c>
      <c r="B91" s="0" t="s">
        <v>269</v>
      </c>
      <c r="C91" s="0" t="n">
        <v>3.17</v>
      </c>
      <c r="D91" s="0" t="n">
        <v>2.708</v>
      </c>
      <c r="E91" s="0" t="n">
        <v>2</v>
      </c>
      <c r="F91" s="0" t="s">
        <v>99</v>
      </c>
      <c r="G91" s="0" t="n">
        <v>16</v>
      </c>
      <c r="H91" s="0" t="n">
        <v>17.16</v>
      </c>
      <c r="I91" s="0" t="s">
        <v>270</v>
      </c>
      <c r="J91" s="0" t="s">
        <v>271</v>
      </c>
      <c r="K91" s="0" t="s">
        <v>66</v>
      </c>
    </row>
    <row r="92" customFormat="false" ht="15" hidden="false" customHeight="false" outlineLevel="0" collapsed="false">
      <c r="B92" s="6" t="s">
        <v>272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14881.32</v>
      </c>
    </row>
    <row r="95" customFormat="false" ht="15" hidden="false" customHeight="false" outlineLevel="0" collapsed="false">
      <c r="A95" s="5" t="s">
        <v>274</v>
      </c>
    </row>
    <row r="96" customFormat="false" ht="15" hidden="false" customHeight="false" outlineLevel="0" collapsed="false">
      <c r="A96" s="0" t="s">
        <v>275</v>
      </c>
      <c r="B96" s="0" t="s">
        <v>276</v>
      </c>
      <c r="C96" s="0" t="n">
        <v>8</v>
      </c>
      <c r="D96" s="0" t="n">
        <v>8</v>
      </c>
      <c r="E96" s="0" t="n">
        <v>1</v>
      </c>
      <c r="F96" s="0" t="s">
        <v>99</v>
      </c>
      <c r="G96" s="0" t="n">
        <v>16</v>
      </c>
      <c r="H96" s="0" t="n">
        <v>64</v>
      </c>
      <c r="I96" s="0" t="s">
        <v>277</v>
      </c>
      <c r="J96" s="0" t="s">
        <v>278</v>
      </c>
      <c r="K96" s="0" t="s">
        <v>66</v>
      </c>
    </row>
    <row r="97" customFormat="false" ht="15" hidden="false" customHeight="false" outlineLevel="0" collapsed="false">
      <c r="A97" s="0" t="s">
        <v>279</v>
      </c>
      <c r="B97" s="0" t="s">
        <v>280</v>
      </c>
      <c r="C97" s="0" t="n">
        <v>8</v>
      </c>
      <c r="D97" s="0" t="n">
        <v>8</v>
      </c>
      <c r="E97" s="0" t="n">
        <v>1</v>
      </c>
      <c r="F97" s="0" t="s">
        <v>99</v>
      </c>
      <c r="G97" s="0" t="n">
        <v>16</v>
      </c>
      <c r="H97" s="0" t="n">
        <v>64</v>
      </c>
      <c r="I97" s="0" t="s">
        <v>277</v>
      </c>
      <c r="J97" s="0" t="s">
        <v>278</v>
      </c>
      <c r="K97" s="0" t="s">
        <v>66</v>
      </c>
    </row>
    <row r="98" customFormat="false" ht="15" hidden="false" customHeight="false" outlineLevel="0" collapsed="false">
      <c r="A98" s="0" t="s">
        <v>281</v>
      </c>
      <c r="B98" s="0" t="s">
        <v>282</v>
      </c>
      <c r="C98" s="0" t="n">
        <v>8</v>
      </c>
      <c r="D98" s="0" t="n">
        <v>8</v>
      </c>
      <c r="E98" s="0" t="n">
        <v>1</v>
      </c>
      <c r="F98" s="0" t="s">
        <v>99</v>
      </c>
      <c r="G98" s="0" t="n">
        <v>16</v>
      </c>
      <c r="H98" s="0" t="n">
        <v>64</v>
      </c>
      <c r="I98" s="0" t="s">
        <v>277</v>
      </c>
      <c r="J98" s="0" t="s">
        <v>278</v>
      </c>
      <c r="K98" s="0" t="s">
        <v>66</v>
      </c>
    </row>
    <row r="99" customFormat="false" ht="15" hidden="false" customHeight="false" outlineLevel="0" collapsed="false">
      <c r="A99" s="0" t="s">
        <v>283</v>
      </c>
      <c r="B99" s="0" t="s">
        <v>284</v>
      </c>
      <c r="C99" s="0" t="n">
        <v>8</v>
      </c>
      <c r="D99" s="0" t="n">
        <v>8</v>
      </c>
      <c r="E99" s="0" t="n">
        <v>1</v>
      </c>
      <c r="F99" s="0" t="s">
        <v>99</v>
      </c>
      <c r="G99" s="0" t="n">
        <v>16</v>
      </c>
      <c r="H99" s="0" t="n">
        <v>64</v>
      </c>
      <c r="I99" s="0" t="s">
        <v>277</v>
      </c>
      <c r="J99" s="0" t="s">
        <v>278</v>
      </c>
      <c r="K99" s="0" t="s">
        <v>66</v>
      </c>
    </row>
    <row r="100" customFormat="false" ht="15" hidden="false" customHeight="false" outlineLevel="0" collapsed="false">
      <c r="A100" s="0" t="s">
        <v>285</v>
      </c>
      <c r="B100" s="0" t="s">
        <v>286</v>
      </c>
      <c r="C100" s="0" t="n">
        <v>8</v>
      </c>
      <c r="D100" s="0" t="n">
        <v>8</v>
      </c>
      <c r="E100" s="0" t="n">
        <v>1</v>
      </c>
      <c r="F100" s="0" t="s">
        <v>99</v>
      </c>
      <c r="G100" s="0" t="n">
        <v>16</v>
      </c>
      <c r="H100" s="0" t="n">
        <v>64</v>
      </c>
      <c r="I100" s="0" t="s">
        <v>277</v>
      </c>
      <c r="J100" s="0" t="s">
        <v>278</v>
      </c>
      <c r="K100" s="0" t="s">
        <v>66</v>
      </c>
    </row>
    <row r="101" customFormat="false" ht="15" hidden="false" customHeight="false" outlineLevel="0" collapsed="false">
      <c r="A101" s="0" t="s">
        <v>287</v>
      </c>
      <c r="B101" s="0" t="s">
        <v>288</v>
      </c>
      <c r="C101" s="0" t="n">
        <v>8</v>
      </c>
      <c r="D101" s="0" t="n">
        <v>8</v>
      </c>
      <c r="E101" s="0" t="n">
        <v>1</v>
      </c>
      <c r="F101" s="0" t="s">
        <v>99</v>
      </c>
      <c r="G101" s="0" t="n">
        <v>16</v>
      </c>
      <c r="H101" s="0" t="n">
        <v>64</v>
      </c>
      <c r="I101" s="0" t="s">
        <v>277</v>
      </c>
      <c r="J101" s="0" t="s">
        <v>278</v>
      </c>
      <c r="K101" s="0" t="s">
        <v>66</v>
      </c>
    </row>
    <row r="102" customFormat="false" ht="15" hidden="false" customHeight="false" outlineLevel="0" collapsed="false">
      <c r="A102" s="0" t="s">
        <v>289</v>
      </c>
      <c r="B102" s="0" t="s">
        <v>290</v>
      </c>
      <c r="C102" s="0" t="n">
        <v>8</v>
      </c>
      <c r="D102" s="0" t="n">
        <v>8</v>
      </c>
      <c r="E102" s="0" t="n">
        <v>1</v>
      </c>
      <c r="F102" s="0" t="s">
        <v>99</v>
      </c>
      <c r="G102" s="0" t="n">
        <v>16</v>
      </c>
      <c r="H102" s="0" t="n">
        <v>64</v>
      </c>
      <c r="I102" s="0" t="s">
        <v>277</v>
      </c>
      <c r="J102" s="0" t="s">
        <v>278</v>
      </c>
      <c r="K102" s="0" t="s">
        <v>66</v>
      </c>
    </row>
    <row r="103" customFormat="false" ht="15" hidden="false" customHeight="false" outlineLevel="0" collapsed="false">
      <c r="A103" s="0" t="s">
        <v>291</v>
      </c>
      <c r="B103" s="0" t="s">
        <v>292</v>
      </c>
      <c r="C103" s="0" t="n">
        <v>8</v>
      </c>
      <c r="D103" s="0" t="n">
        <v>8</v>
      </c>
      <c r="E103" s="0" t="n">
        <v>1</v>
      </c>
      <c r="F103" s="0" t="s">
        <v>99</v>
      </c>
      <c r="G103" s="0" t="n">
        <v>16</v>
      </c>
      <c r="H103" s="0" t="n">
        <v>64</v>
      </c>
      <c r="I103" s="0" t="s">
        <v>277</v>
      </c>
      <c r="J103" s="0" t="s">
        <v>278</v>
      </c>
      <c r="K103" s="0" t="s">
        <v>66</v>
      </c>
    </row>
    <row r="104" customFormat="false" ht="15" hidden="false" customHeight="false" outlineLevel="0" collapsed="false">
      <c r="A104" s="0" t="s">
        <v>293</v>
      </c>
      <c r="B104" s="0" t="s">
        <v>294</v>
      </c>
      <c r="C104" s="0" t="n">
        <v>8</v>
      </c>
      <c r="D104" s="0" t="n">
        <v>8</v>
      </c>
      <c r="E104" s="0" t="n">
        <v>1</v>
      </c>
      <c r="F104" s="0" t="s">
        <v>99</v>
      </c>
      <c r="G104" s="0" t="n">
        <v>16</v>
      </c>
      <c r="H104" s="0" t="n">
        <v>64</v>
      </c>
      <c r="I104" s="0" t="s">
        <v>277</v>
      </c>
      <c r="J104" s="0" t="s">
        <v>278</v>
      </c>
      <c r="K104" s="0" t="s">
        <v>66</v>
      </c>
    </row>
    <row r="105" customFormat="false" ht="15" hidden="false" customHeight="false" outlineLevel="0" collapsed="false">
      <c r="A105" s="0" t="s">
        <v>295</v>
      </c>
      <c r="B105" s="0" t="s">
        <v>296</v>
      </c>
      <c r="C105" s="0" t="n">
        <v>22.77</v>
      </c>
      <c r="D105" s="0" t="n">
        <v>14</v>
      </c>
      <c r="E105" s="0" t="n">
        <v>1</v>
      </c>
      <c r="F105" s="0" t="s">
        <v>99</v>
      </c>
      <c r="G105" s="0" t="n">
        <v>16</v>
      </c>
      <c r="H105" s="0" t="n">
        <v>227.7</v>
      </c>
      <c r="I105" s="0" t="s">
        <v>297</v>
      </c>
      <c r="J105" s="0" t="s">
        <v>298</v>
      </c>
      <c r="K105" s="0" t="s">
        <v>66</v>
      </c>
    </row>
    <row r="106" customFormat="false" ht="15" hidden="false" customHeight="false" outlineLevel="0" collapsed="false">
      <c r="A106" s="0" t="s">
        <v>299</v>
      </c>
      <c r="B106" s="0" t="s">
        <v>300</v>
      </c>
      <c r="C106" s="0" t="n">
        <v>10.12</v>
      </c>
      <c r="D106" s="0" t="n">
        <v>14</v>
      </c>
      <c r="E106" s="0" t="n">
        <v>1</v>
      </c>
      <c r="F106" s="0" t="s">
        <v>99</v>
      </c>
      <c r="G106" s="0" t="n">
        <v>16</v>
      </c>
      <c r="H106" s="0" t="n">
        <v>101.2</v>
      </c>
      <c r="I106" s="0" t="s">
        <v>301</v>
      </c>
      <c r="J106" s="0" t="s">
        <v>298</v>
      </c>
      <c r="K106" s="0" t="s">
        <v>66</v>
      </c>
    </row>
    <row r="107" customFormat="false" ht="15" hidden="false" customHeight="false" outlineLevel="0" collapsed="false">
      <c r="A107" s="0" t="s">
        <v>302</v>
      </c>
      <c r="B107" s="0" t="s">
        <v>303</v>
      </c>
      <c r="C107" s="0" t="n">
        <v>20</v>
      </c>
      <c r="D107" s="0" t="n">
        <v>13.5</v>
      </c>
      <c r="E107" s="0" t="n">
        <v>1</v>
      </c>
      <c r="F107" s="0" t="s">
        <v>99</v>
      </c>
      <c r="G107" s="0" t="n">
        <v>16</v>
      </c>
      <c r="H107" s="0" t="n">
        <v>10</v>
      </c>
      <c r="I107" s="0" t="s">
        <v>304</v>
      </c>
      <c r="J107" s="0" t="s">
        <v>298</v>
      </c>
      <c r="K107" s="0" t="s">
        <v>66</v>
      </c>
    </row>
    <row r="108" customFormat="false" ht="15" hidden="false" customHeight="false" outlineLevel="0" collapsed="false">
      <c r="A108" s="0" t="s">
        <v>305</v>
      </c>
      <c r="B108" s="0" t="s">
        <v>306</v>
      </c>
      <c r="C108" s="0" t="n">
        <v>6.25</v>
      </c>
      <c r="D108" s="0" t="n">
        <v>13.5</v>
      </c>
      <c r="E108" s="0" t="n">
        <v>1</v>
      </c>
      <c r="F108" s="0" t="s">
        <v>99</v>
      </c>
      <c r="G108" s="0" t="n">
        <v>16</v>
      </c>
      <c r="H108" s="0" t="n">
        <v>3.12</v>
      </c>
      <c r="I108" s="0" t="s">
        <v>307</v>
      </c>
      <c r="J108" s="0" t="s">
        <v>298</v>
      </c>
      <c r="K108" s="0" t="s">
        <v>66</v>
      </c>
    </row>
    <row r="109" customFormat="false" ht="15" hidden="false" customHeight="false" outlineLevel="0" collapsed="false">
      <c r="A109" s="0" t="s">
        <v>308</v>
      </c>
      <c r="B109" s="0" t="s">
        <v>309</v>
      </c>
      <c r="C109" s="0" t="n">
        <v>6.167</v>
      </c>
      <c r="D109" s="0" t="n">
        <v>17.917</v>
      </c>
      <c r="E109" s="0" t="n">
        <v>1</v>
      </c>
      <c r="F109" s="0" t="s">
        <v>92</v>
      </c>
      <c r="G109" s="0" t="n">
        <v>16</v>
      </c>
      <c r="H109" s="0" t="n">
        <v>61.67</v>
      </c>
      <c r="I109" s="0" t="s">
        <v>310</v>
      </c>
      <c r="J109" s="0" t="s">
        <v>311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0" t="s">
        <v>313</v>
      </c>
    </row>
    <row r="3" customFormat="false" ht="15" hidden="false" customHeight="false" outlineLevel="0" collapsed="false">
      <c r="A3" s="2" t="s">
        <v>314</v>
      </c>
      <c r="B3" s="2" t="s">
        <v>315</v>
      </c>
      <c r="C3" s="2" t="s">
        <v>316</v>
      </c>
      <c r="D3" s="2" t="s">
        <v>317</v>
      </c>
      <c r="E3" s="2" t="s">
        <v>318</v>
      </c>
      <c r="F3" s="2" t="s">
        <v>319</v>
      </c>
      <c r="G3" s="2" t="s">
        <v>320</v>
      </c>
      <c r="H3" s="2" t="s">
        <v>321</v>
      </c>
      <c r="I3" s="2" t="s">
        <v>322</v>
      </c>
      <c r="J3" s="2" t="s">
        <v>323</v>
      </c>
    </row>
    <row r="4" customFormat="false" ht="15" hidden="false" customHeight="false" outlineLevel="0" collapsed="false">
      <c r="A4" s="0" t="s">
        <v>324</v>
      </c>
      <c r="B4" s="0" t="s">
        <v>325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326</v>
      </c>
      <c r="H4" s="0" t="n">
        <f aca="false">ROUNDUP(F4/Inputs!$B$11,0)</f>
        <v>52</v>
      </c>
      <c r="I4" s="0" t="s">
        <v>327</v>
      </c>
    </row>
    <row r="5" customFormat="false" ht="15" hidden="false" customHeight="false" outlineLevel="0" collapsed="false">
      <c r="A5" s="0" t="s">
        <v>328</v>
      </c>
      <c r="B5" s="0" t="s">
        <v>325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326</v>
      </c>
      <c r="H5" s="0" t="n">
        <f aca="false">ROUNDUP(F5/Inputs!$B$11,0)</f>
        <v>14</v>
      </c>
      <c r="I5" s="0" t="s">
        <v>329</v>
      </c>
    </row>
    <row r="6" customFormat="false" ht="15" hidden="false" customHeight="false" outlineLevel="0" collapsed="false">
      <c r="A6" s="0" t="s">
        <v>330</v>
      </c>
      <c r="B6" s="0" t="s">
        <v>325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326</v>
      </c>
      <c r="H6" s="0" t="n">
        <f aca="false">ROUNDUP(F6/Inputs!$B$11,0)</f>
        <v>9</v>
      </c>
      <c r="I6" s="0" t="s">
        <v>331</v>
      </c>
    </row>
    <row r="7" customFormat="false" ht="15" hidden="false" customHeight="false" outlineLevel="0" collapsed="false">
      <c r="A7" s="0" t="s">
        <v>332</v>
      </c>
      <c r="B7" s="0" t="s">
        <v>325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326</v>
      </c>
      <c r="H7" s="0" t="n">
        <f aca="false">ROUNDUP(F7/Inputs!$B$11,0)</f>
        <v>52</v>
      </c>
      <c r="I7" s="0" t="s">
        <v>327</v>
      </c>
    </row>
    <row r="8" customFormat="false" ht="15" hidden="false" customHeight="false" outlineLevel="0" collapsed="false">
      <c r="A8" s="0" t="s">
        <v>333</v>
      </c>
      <c r="B8" s="0" t="s">
        <v>325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326</v>
      </c>
      <c r="H8" s="0" t="n">
        <f aca="false">ROUNDUP(F8/Inputs!$B$11,0)</f>
        <v>14</v>
      </c>
      <c r="I8" s="0" t="s">
        <v>329</v>
      </c>
    </row>
    <row r="9" customFormat="false" ht="15" hidden="false" customHeight="false" outlineLevel="0" collapsed="false">
      <c r="A9" s="0" t="s">
        <v>334</v>
      </c>
      <c r="B9" s="0" t="s">
        <v>325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326</v>
      </c>
      <c r="H9" s="0" t="n">
        <f aca="false">ROUNDUP(F9/Inputs!$B$11,0)</f>
        <v>9</v>
      </c>
      <c r="I9" s="0" t="s">
        <v>331</v>
      </c>
    </row>
    <row r="10" customFormat="false" ht="15" hidden="false" customHeight="false" outlineLevel="0" collapsed="false">
      <c r="A10" s="0" t="s">
        <v>335</v>
      </c>
      <c r="B10" s="0" t="s">
        <v>325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336</v>
      </c>
      <c r="H10" s="0" t="n">
        <f aca="false">ROUNDUP(F10/Inputs!$B$10,0)</f>
        <v>2</v>
      </c>
      <c r="I10" s="0" t="s">
        <v>337</v>
      </c>
    </row>
    <row r="11" customFormat="false" ht="15" hidden="false" customHeight="false" outlineLevel="0" collapsed="false">
      <c r="A11" s="0" t="s">
        <v>338</v>
      </c>
      <c r="B11" s="0" t="s">
        <v>325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336</v>
      </c>
      <c r="H11" s="0" t="n">
        <f aca="false">ROUNDUP(F11/Inputs!$B$10,0)</f>
        <v>182</v>
      </c>
      <c r="I11" s="0" t="s">
        <v>339</v>
      </c>
    </row>
    <row r="12" customFormat="false" ht="15" hidden="false" customHeight="false" outlineLevel="0" collapsed="false">
      <c r="A12" s="0" t="s">
        <v>340</v>
      </c>
      <c r="B12" s="0" t="s">
        <v>325</v>
      </c>
      <c r="C12" s="0" t="n">
        <v>11479.27</v>
      </c>
      <c r="D12" s="0" t="n">
        <f aca="false">Inputs!$B$5</f>
        <v>0.15</v>
      </c>
      <c r="E12" s="0" t="n">
        <f aca="false">C12*D12</f>
        <v>1721.8905</v>
      </c>
      <c r="F12" s="0" t="n">
        <f aca="false">C12+E12</f>
        <v>13201.1605</v>
      </c>
      <c r="G12" s="0" t="s">
        <v>336</v>
      </c>
      <c r="H12" s="0" t="n">
        <f aca="false">ROUNDUP(F12/Inputs!$B$10,0)</f>
        <v>661</v>
      </c>
      <c r="I12" s="0" t="s">
        <v>341</v>
      </c>
    </row>
    <row r="13" customFormat="false" ht="15" hidden="false" customHeight="false" outlineLevel="0" collapsed="false">
      <c r="A13" s="0" t="s">
        <v>342</v>
      </c>
      <c r="B13" s="0" t="s">
        <v>325</v>
      </c>
      <c r="C13" s="0" t="n">
        <v>131.42</v>
      </c>
      <c r="D13" s="0" t="n">
        <f aca="false">Inputs!$B$5</f>
        <v>0.15</v>
      </c>
      <c r="E13" s="0" t="n">
        <f aca="false">C13*D13</f>
        <v>19.713</v>
      </c>
      <c r="F13" s="0" t="n">
        <f aca="false">C13+E13</f>
        <v>151.133</v>
      </c>
      <c r="G13" s="0" t="s">
        <v>336</v>
      </c>
      <c r="H13" s="0" t="n">
        <f aca="false">ROUNDUP(F13/Inputs!$B$10,0)</f>
        <v>8</v>
      </c>
      <c r="I13" s="0" t="s">
        <v>343</v>
      </c>
    </row>
    <row r="14" customFormat="false" ht="15" hidden="false" customHeight="false" outlineLevel="0" collapsed="false">
      <c r="A14" s="0" t="s">
        <v>344</v>
      </c>
      <c r="B14" s="0" t="s">
        <v>325</v>
      </c>
      <c r="C14" s="0" t="n">
        <v>618.81</v>
      </c>
      <c r="D14" s="0" t="n">
        <f aca="false">Inputs!$B$5</f>
        <v>0.15</v>
      </c>
      <c r="E14" s="0" t="n">
        <f aca="false">C14*D14</f>
        <v>92.8215</v>
      </c>
      <c r="F14" s="0" t="n">
        <f aca="false">C14+E14</f>
        <v>711.6315</v>
      </c>
      <c r="G14" s="0" t="s">
        <v>326</v>
      </c>
      <c r="H14" s="0" t="n">
        <f aca="false">ROUNDUP(F14/Inputs!$B$11,0)</f>
        <v>72</v>
      </c>
      <c r="I14" s="0" t="s">
        <v>345</v>
      </c>
    </row>
    <row r="15" customFormat="false" ht="15" hidden="false" customHeight="false" outlineLevel="0" collapsed="false">
      <c r="A15" s="0" t="s">
        <v>346</v>
      </c>
      <c r="B15" s="0" t="s">
        <v>325</v>
      </c>
      <c r="C15" s="0" t="n">
        <v>2883.65</v>
      </c>
      <c r="D15" s="0" t="n">
        <f aca="false">Inputs!$B$5</f>
        <v>0.15</v>
      </c>
      <c r="E15" s="0" t="n">
        <f aca="false">C15*D15</f>
        <v>432.5475</v>
      </c>
      <c r="F15" s="0" t="n">
        <f aca="false">C15+E15</f>
        <v>3316.1975</v>
      </c>
      <c r="G15" s="0" t="s">
        <v>347</v>
      </c>
      <c r="H15" s="0" t="n">
        <f aca="false">ROUNDUP(F15/Inputs!$B$16,0)</f>
        <v>208</v>
      </c>
      <c r="I15" s="0" t="s">
        <v>348</v>
      </c>
    </row>
    <row r="16" customFormat="false" ht="15" hidden="false" customHeight="false" outlineLevel="0" collapsed="false">
      <c r="A16" s="0" t="s">
        <v>349</v>
      </c>
      <c r="B16" s="0" t="s">
        <v>325</v>
      </c>
      <c r="C16" s="0" t="n">
        <v>207.45</v>
      </c>
      <c r="D16" s="0" t="n">
        <f aca="false">Inputs!$B$5</f>
        <v>0.15</v>
      </c>
      <c r="E16" s="0" t="n">
        <f aca="false">C16*D16</f>
        <v>31.1175</v>
      </c>
      <c r="F16" s="0" t="n">
        <f aca="false">C16+E16</f>
        <v>238.5675</v>
      </c>
      <c r="G16" s="0" t="s">
        <v>350</v>
      </c>
      <c r="H16" s="0" t="n">
        <f aca="false">ROUNDUP(F16/Inputs!$B$17,0)</f>
        <v>20</v>
      </c>
      <c r="I16" s="0" t="s">
        <v>351</v>
      </c>
    </row>
    <row r="17" customFormat="false" ht="15" hidden="false" customHeight="false" outlineLevel="0" collapsed="false">
      <c r="A17" s="0" t="s">
        <v>352</v>
      </c>
      <c r="B17" s="0" t="s">
        <v>325</v>
      </c>
      <c r="C17" s="0" t="n">
        <v>159.16</v>
      </c>
      <c r="D17" s="0" t="n">
        <f aca="false">Inputs!$B$5</f>
        <v>0.15</v>
      </c>
      <c r="E17" s="0" t="n">
        <f aca="false">C17*D17</f>
        <v>23.874</v>
      </c>
      <c r="F17" s="0" t="n">
        <f aca="false">C17+E17</f>
        <v>183.034</v>
      </c>
      <c r="G17" s="0" t="s">
        <v>347</v>
      </c>
      <c r="H17" s="0" t="n">
        <f aca="false">ROUNDUP(F17/Inputs!$B$16,0)</f>
        <v>12</v>
      </c>
      <c r="I17" s="0" t="s">
        <v>353</v>
      </c>
    </row>
    <row r="18" customFormat="false" ht="15" hidden="false" customHeight="false" outlineLevel="0" collapsed="false">
      <c r="A18" s="0" t="s">
        <v>354</v>
      </c>
      <c r="B18" s="0" t="s">
        <v>325</v>
      </c>
      <c r="C18" s="0" t="n">
        <v>2689.79</v>
      </c>
      <c r="D18" s="0" t="n">
        <f aca="false">Inputs!$B$5</f>
        <v>0.15</v>
      </c>
      <c r="E18" s="0" t="n">
        <f aca="false">C18*D18</f>
        <v>403.4685</v>
      </c>
      <c r="F18" s="0" t="n">
        <f aca="false">C18+E18</f>
        <v>3093.2585</v>
      </c>
      <c r="G18" s="0" t="s">
        <v>33</v>
      </c>
      <c r="H18" s="0" t="n">
        <f aca="false">ROUNDUP(F18,0)</f>
        <v>3094</v>
      </c>
      <c r="I18" s="0" t="s">
        <v>355</v>
      </c>
    </row>
    <row r="19" customFormat="false" ht="15" hidden="false" customHeight="false" outlineLevel="0" collapsed="false">
      <c r="A19" s="0" t="s">
        <v>356</v>
      </c>
      <c r="B19" s="0" t="s">
        <v>325</v>
      </c>
      <c r="C19" s="0" t="n">
        <v>568.27</v>
      </c>
      <c r="D19" s="0" t="n">
        <f aca="false">Inputs!$B$5</f>
        <v>0.15</v>
      </c>
      <c r="E19" s="0" t="n">
        <f aca="false">C19*D19</f>
        <v>85.2405</v>
      </c>
      <c r="F19" s="0" t="n">
        <f aca="false">C19+E19</f>
        <v>653.5105</v>
      </c>
      <c r="G19" s="0" t="s">
        <v>357</v>
      </c>
      <c r="H19" s="0" t="n">
        <f aca="false">ROUNDUP(F19,0)</f>
        <v>654</v>
      </c>
      <c r="I19" s="0" t="s">
        <v>358</v>
      </c>
    </row>
    <row r="20" customFormat="false" ht="15" hidden="false" customHeight="false" outlineLevel="0" collapsed="false">
      <c r="A20" s="0" t="s">
        <v>359</v>
      </c>
      <c r="B20" s="0" t="s">
        <v>360</v>
      </c>
      <c r="C20" s="0" t="n">
        <v>15109.29</v>
      </c>
      <c r="D20" s="0" t="n">
        <f aca="false">Inputs!$B$6</f>
        <v>0.06</v>
      </c>
      <c r="E20" s="0" t="n">
        <f aca="false">C20*D20</f>
        <v>906.5574</v>
      </c>
      <c r="F20" s="0" t="n">
        <f aca="false">C20+E20</f>
        <v>16015.8474</v>
      </c>
      <c r="G20" s="0" t="s">
        <v>361</v>
      </c>
      <c r="H20" s="0" t="n">
        <f aca="false">ROUNDUP(F20/Inputs!$B$9,0)</f>
        <v>334</v>
      </c>
      <c r="I20" s="0" t="s">
        <v>362</v>
      </c>
    </row>
    <row r="21" customFormat="false" ht="15" hidden="false" customHeight="false" outlineLevel="0" collapsed="false">
      <c r="A21" s="0" t="s">
        <v>363</v>
      </c>
      <c r="B21" s="0" t="s">
        <v>360</v>
      </c>
      <c r="C21" s="0" t="n">
        <v>1092.59</v>
      </c>
      <c r="D21" s="0" t="n">
        <f aca="false">Inputs!$B$6</f>
        <v>0.06</v>
      </c>
      <c r="E21" s="0" t="n">
        <f aca="false">C21*D21</f>
        <v>65.5554</v>
      </c>
      <c r="F21" s="0" t="n">
        <f aca="false">C21+E21</f>
        <v>1158.1454</v>
      </c>
      <c r="G21" s="0" t="s">
        <v>361</v>
      </c>
      <c r="H21" s="0" t="n">
        <f aca="false">ROUNDUP(F21/Inputs!$B$9,0)</f>
        <v>25</v>
      </c>
      <c r="I21" s="0" t="s">
        <v>364</v>
      </c>
    </row>
    <row r="22" customFormat="false" ht="15" hidden="false" customHeight="false" outlineLevel="0" collapsed="false">
      <c r="A22" s="0" t="s">
        <v>365</v>
      </c>
      <c r="B22" s="0" t="s">
        <v>325</v>
      </c>
      <c r="C22" s="0" t="n">
        <v>88</v>
      </c>
      <c r="D22" s="0" t="n">
        <f aca="false">Inputs!$B$5</f>
        <v>0.15</v>
      </c>
      <c r="E22" s="0" t="n">
        <f aca="false">C22*D22</f>
        <v>13.2</v>
      </c>
      <c r="F22" s="0" t="n">
        <f aca="false">C22+E22</f>
        <v>101.2</v>
      </c>
      <c r="G22" s="0" t="s">
        <v>336</v>
      </c>
      <c r="H22" s="0" t="n">
        <f aca="false">ROUNDUP(F22/Inputs!$B$10,0)</f>
        <v>6</v>
      </c>
      <c r="I22" s="0" t="s">
        <v>366</v>
      </c>
    </row>
    <row r="23" customFormat="false" ht="15" hidden="false" customHeight="false" outlineLevel="0" collapsed="false">
      <c r="A23" s="0" t="s">
        <v>367</v>
      </c>
      <c r="B23" s="0" t="s">
        <v>325</v>
      </c>
      <c r="C23" s="0" t="n">
        <v>194.16</v>
      </c>
      <c r="D23" s="0" t="n">
        <f aca="false">Inputs!$B$5</f>
        <v>0.15</v>
      </c>
      <c r="E23" s="0" t="n">
        <f aca="false">C23*D23</f>
        <v>29.124</v>
      </c>
      <c r="F23" s="0" t="n">
        <f aca="false">C23+E23</f>
        <v>223.284</v>
      </c>
      <c r="G23" s="0" t="s">
        <v>357</v>
      </c>
      <c r="H23" s="0" t="n">
        <f aca="false">ROUNDUP(F23,0)</f>
        <v>224</v>
      </c>
      <c r="I23" s="0" t="s">
        <v>368</v>
      </c>
    </row>
    <row r="24" customFormat="false" ht="15" hidden="false" customHeight="false" outlineLevel="0" collapsed="false">
      <c r="A24" s="0" t="s">
        <v>369</v>
      </c>
      <c r="B24" s="0" t="s">
        <v>325</v>
      </c>
      <c r="C24" s="0" t="n">
        <v>457.96</v>
      </c>
      <c r="D24" s="0" t="n">
        <f aca="false">Inputs!$B$5</f>
        <v>0.15</v>
      </c>
      <c r="E24" s="0" t="n">
        <f aca="false">C24*D24</f>
        <v>68.694</v>
      </c>
      <c r="F24" s="0" t="n">
        <f aca="false">C24+E24</f>
        <v>526.654</v>
      </c>
      <c r="G24" s="0" t="s">
        <v>357</v>
      </c>
      <c r="H24" s="0" t="n">
        <f aca="false">ROUNDUP(F24,0)</f>
        <v>527</v>
      </c>
      <c r="I24" s="0" t="s">
        <v>368</v>
      </c>
    </row>
    <row r="25" customFormat="false" ht="15" hidden="false" customHeight="false" outlineLevel="0" collapsed="false">
      <c r="A25" s="0" t="s">
        <v>370</v>
      </c>
      <c r="B25" s="0" t="s">
        <v>325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357</v>
      </c>
      <c r="H25" s="0" t="n">
        <f aca="false">ROUNDUP(F25,0)</f>
        <v>124</v>
      </c>
      <c r="I25" s="0" t="s">
        <v>368</v>
      </c>
    </row>
    <row r="26" customFormat="false" ht="15" hidden="false" customHeight="false" outlineLevel="0" collapsed="false">
      <c r="A26" s="0" t="s">
        <v>371</v>
      </c>
      <c r="B26" s="0" t="s">
        <v>325</v>
      </c>
      <c r="C26" s="0" t="n">
        <v>107.21</v>
      </c>
      <c r="D26" s="0" t="n">
        <f aca="false">Inputs!$B$5</f>
        <v>0.15</v>
      </c>
      <c r="E26" s="0" t="n">
        <f aca="false">C26*D26</f>
        <v>16.0815</v>
      </c>
      <c r="F26" s="0" t="n">
        <f aca="false">C26+E26</f>
        <v>123.2915</v>
      </c>
      <c r="G26" s="0" t="s">
        <v>357</v>
      </c>
      <c r="H26" s="0" t="n">
        <f aca="false">ROUNDUP(F26,0)</f>
        <v>124</v>
      </c>
      <c r="I26" s="0" t="s">
        <v>368</v>
      </c>
    </row>
    <row r="27" customFormat="false" ht="15" hidden="false" customHeight="false" outlineLevel="0" collapsed="false">
      <c r="A27" s="0" t="s">
        <v>372</v>
      </c>
      <c r="B27" s="0" t="s">
        <v>373</v>
      </c>
      <c r="C27" s="0" t="n">
        <v>2522</v>
      </c>
      <c r="D27" s="0" t="n">
        <f aca="false">Inputs!$B$5</f>
        <v>0.15</v>
      </c>
      <c r="E27" s="0" t="n">
        <f aca="false">C27*D27</f>
        <v>378.3</v>
      </c>
      <c r="F27" s="0" t="n">
        <f aca="false">C27+E27</f>
        <v>2900.3</v>
      </c>
      <c r="G27" s="0" t="s">
        <v>357</v>
      </c>
      <c r="H27" s="0" t="n">
        <f aca="false">ROUNDUP(F27,0)</f>
        <v>2901</v>
      </c>
      <c r="I27" s="0" t="s">
        <v>374</v>
      </c>
    </row>
    <row r="28" customFormat="false" ht="15" hidden="false" customHeight="false" outlineLevel="0" collapsed="false">
      <c r="A28" s="0" t="s">
        <v>375</v>
      </c>
      <c r="B28" s="0" t="s">
        <v>373</v>
      </c>
      <c r="C28" s="0" t="n">
        <v>720</v>
      </c>
      <c r="D28" s="0" t="n">
        <f aca="false">Inputs!$B$5</f>
        <v>0.15</v>
      </c>
      <c r="E28" s="0" t="n">
        <f aca="false">C28*D28</f>
        <v>108</v>
      </c>
      <c r="F28" s="0" t="n">
        <f aca="false">C28+E28</f>
        <v>828</v>
      </c>
      <c r="G28" s="0" t="s">
        <v>357</v>
      </c>
      <c r="H28" s="0" t="n">
        <f aca="false">ROUNDUP(F28,0)</f>
        <v>828</v>
      </c>
      <c r="I28" s="0" t="s">
        <v>376</v>
      </c>
    </row>
    <row r="29" customFormat="false" ht="15" hidden="false" customHeight="false" outlineLevel="0" collapsed="false">
      <c r="A29" s="0" t="s">
        <v>377</v>
      </c>
      <c r="B29" s="0" t="s">
        <v>373</v>
      </c>
      <c r="C29" s="0" t="n">
        <v>2331</v>
      </c>
      <c r="D29" s="0" t="n">
        <f aca="false">Inputs!$B$5</f>
        <v>0.15</v>
      </c>
      <c r="E29" s="0" t="n">
        <f aca="false">C29*D29</f>
        <v>349.65</v>
      </c>
      <c r="F29" s="0" t="n">
        <f aca="false">C29+E29</f>
        <v>2680.65</v>
      </c>
      <c r="G29" s="0" t="s">
        <v>357</v>
      </c>
      <c r="H29" s="0" t="n">
        <f aca="false">ROUNDUP(F29,0)</f>
        <v>2681</v>
      </c>
      <c r="I29" s="0" t="s">
        <v>378</v>
      </c>
    </row>
    <row r="30" customFormat="false" ht="15" hidden="false" customHeight="false" outlineLevel="0" collapsed="false">
      <c r="A30" s="0" t="s">
        <v>379</v>
      </c>
      <c r="B30" s="0" t="s">
        <v>373</v>
      </c>
      <c r="C30" s="0" t="n">
        <v>1686</v>
      </c>
      <c r="D30" s="0" t="n">
        <f aca="false">Inputs!$B$5</f>
        <v>0.15</v>
      </c>
      <c r="E30" s="0" t="n">
        <f aca="false">C30*D30</f>
        <v>252.9</v>
      </c>
      <c r="F30" s="0" t="n">
        <f aca="false">C30+E30</f>
        <v>1938.9</v>
      </c>
      <c r="G30" s="0" t="s">
        <v>357</v>
      </c>
      <c r="H30" s="0" t="n">
        <f aca="false">ROUNDUP(F30,0)</f>
        <v>1939</v>
      </c>
      <c r="I30" s="0" t="s">
        <v>380</v>
      </c>
    </row>
    <row r="31" customFormat="false" ht="15" hidden="false" customHeight="false" outlineLevel="0" collapsed="false">
      <c r="A31" s="0" t="s">
        <v>381</v>
      </c>
      <c r="B31" s="0" t="s">
        <v>325</v>
      </c>
      <c r="C31" s="0" t="n">
        <v>479.85</v>
      </c>
      <c r="D31" s="0" t="n">
        <f aca="false">Inputs!$B$5</f>
        <v>0.15</v>
      </c>
      <c r="E31" s="0" t="n">
        <f aca="false">C31*D31</f>
        <v>71.9775</v>
      </c>
      <c r="F31" s="0" t="n">
        <f aca="false">C31+E31</f>
        <v>551.8275</v>
      </c>
      <c r="G31" s="0" t="s">
        <v>326</v>
      </c>
      <c r="H31" s="0" t="n">
        <f aca="false">ROUNDUP(F31/Inputs!$B$11,0)</f>
        <v>56</v>
      </c>
      <c r="I31" s="0" t="s">
        <v>382</v>
      </c>
    </row>
    <row r="32" customFormat="false" ht="15" hidden="false" customHeight="false" outlineLevel="0" collapsed="false">
      <c r="A32" s="0" t="s">
        <v>383</v>
      </c>
      <c r="B32" s="0" t="s">
        <v>325</v>
      </c>
      <c r="C32" s="0" t="n">
        <v>957.03</v>
      </c>
      <c r="D32" s="0" t="n">
        <f aca="false">Inputs!$B$5</f>
        <v>0.15</v>
      </c>
      <c r="E32" s="0" t="n">
        <f aca="false">C32*D32</f>
        <v>143.5545</v>
      </c>
      <c r="F32" s="0" t="n">
        <f aca="false">C32+E32</f>
        <v>1100.5845</v>
      </c>
      <c r="G32" s="0" t="s">
        <v>384</v>
      </c>
      <c r="H32" s="0" t="n">
        <f aca="false">ROUNDUP(F32/Inputs!$B$18,0)</f>
        <v>111</v>
      </c>
      <c r="I32" s="0" t="s">
        <v>385</v>
      </c>
    </row>
    <row r="33" customFormat="false" ht="15" hidden="false" customHeight="false" outlineLevel="0" collapsed="false">
      <c r="A33" s="0" t="s">
        <v>386</v>
      </c>
      <c r="B33" s="0" t="s">
        <v>360</v>
      </c>
      <c r="C33" s="0" t="n">
        <v>789.94</v>
      </c>
      <c r="D33" s="0" t="n">
        <f aca="false">Inputs!$B$6</f>
        <v>0.06</v>
      </c>
      <c r="E33" s="0" t="n">
        <f aca="false">C33*D33</f>
        <v>47.3964</v>
      </c>
      <c r="F33" s="0" t="n">
        <f aca="false">C33+E33</f>
        <v>837.3364</v>
      </c>
      <c r="G33" s="0" t="s">
        <v>361</v>
      </c>
      <c r="H33" s="0" t="n">
        <f aca="false">ROUNDUP(F33/Inputs!$B$9,0)</f>
        <v>18</v>
      </c>
      <c r="I33" s="0" t="s">
        <v>387</v>
      </c>
    </row>
    <row r="34" customFormat="false" ht="15" hidden="false" customHeight="false" outlineLevel="0" collapsed="false">
      <c r="A34" s="0" t="s">
        <v>388</v>
      </c>
      <c r="B34" s="0" t="s">
        <v>325</v>
      </c>
      <c r="C34" s="0" t="n">
        <v>61.31</v>
      </c>
      <c r="D34" s="0" t="n">
        <f aca="false">Inputs!$B$5</f>
        <v>0.15</v>
      </c>
      <c r="E34" s="0" t="n">
        <f aca="false">C34*D34</f>
        <v>9.1965</v>
      </c>
      <c r="F34" s="0" t="n">
        <f aca="false">C34+E34</f>
        <v>70.5065</v>
      </c>
      <c r="G34" s="0" t="s">
        <v>336</v>
      </c>
      <c r="H34" s="0" t="n">
        <f aca="false">ROUNDUP(F34/Inputs!$B$10,0)</f>
        <v>4</v>
      </c>
      <c r="I34" s="0" t="s">
        <v>389</v>
      </c>
    </row>
    <row r="35" customFormat="false" ht="15" hidden="false" customHeight="false" outlineLevel="0" collapsed="false">
      <c r="A35" s="0" t="s">
        <v>390</v>
      </c>
      <c r="B35" s="0" t="s">
        <v>325</v>
      </c>
      <c r="C35" s="0" t="n">
        <v>17</v>
      </c>
      <c r="D35" s="0" t="n">
        <f aca="false">Inputs!$B$5</f>
        <v>0.15</v>
      </c>
      <c r="E35" s="0" t="n">
        <f aca="false">C35*D35</f>
        <v>2.55</v>
      </c>
      <c r="F35" s="0" t="n">
        <f aca="false">C35+E35</f>
        <v>19.55</v>
      </c>
      <c r="G35" s="0" t="s">
        <v>357</v>
      </c>
      <c r="H35" s="0" t="n">
        <f aca="false">ROUNDUP(F35,0)</f>
        <v>20</v>
      </c>
      <c r="I35" s="0" t="s">
        <v>391</v>
      </c>
    </row>
    <row r="36" customFormat="false" ht="15" hidden="false" customHeight="false" outlineLevel="0" collapsed="false">
      <c r="A36" s="0" t="s">
        <v>392</v>
      </c>
      <c r="B36" s="0" t="s">
        <v>360</v>
      </c>
      <c r="C36" s="0" t="n">
        <v>1790.51</v>
      </c>
      <c r="D36" s="0" t="n">
        <f aca="false">Inputs!$B$6</f>
        <v>0.06</v>
      </c>
      <c r="E36" s="0" t="n">
        <f aca="false">C36*D36</f>
        <v>107.4306</v>
      </c>
      <c r="F36" s="0" t="n">
        <f aca="false">C36+E36</f>
        <v>1897.9406</v>
      </c>
      <c r="G36" s="0" t="s">
        <v>361</v>
      </c>
      <c r="H36" s="0" t="n">
        <f aca="false">ROUNDUP(F36/Inputs!$B$9,0)</f>
        <v>40</v>
      </c>
      <c r="I36" s="0" t="s">
        <v>393</v>
      </c>
    </row>
    <row r="37" customFormat="false" ht="15" hidden="false" customHeight="false" outlineLevel="0" collapsed="false">
      <c r="A37" s="0" t="s">
        <v>394</v>
      </c>
      <c r="B37" s="0" t="s">
        <v>360</v>
      </c>
      <c r="C37" s="0" t="n">
        <v>402.46</v>
      </c>
      <c r="D37" s="0" t="n">
        <f aca="false">Inputs!$B$6</f>
        <v>0.06</v>
      </c>
      <c r="E37" s="0" t="n">
        <f aca="false">C37*D37</f>
        <v>24.1476</v>
      </c>
      <c r="F37" s="0" t="n">
        <f aca="false">C37+E37</f>
        <v>426.6076</v>
      </c>
      <c r="G37" s="0" t="s">
        <v>361</v>
      </c>
      <c r="H37" s="0" t="n">
        <f aca="false">ROUNDUP(F37/Inputs!$B$9,0)</f>
        <v>9</v>
      </c>
      <c r="I37" s="0" t="s">
        <v>395</v>
      </c>
    </row>
    <row r="38" customFormat="false" ht="15" hidden="false" customHeight="false" outlineLevel="0" collapsed="false">
      <c r="A38" s="0" t="s">
        <v>396</v>
      </c>
      <c r="B38" s="0" t="s">
        <v>373</v>
      </c>
      <c r="C38" s="0" t="n">
        <v>109</v>
      </c>
      <c r="D38" s="0" t="n">
        <v>0</v>
      </c>
      <c r="E38" s="0" t="n">
        <f aca="false">C38*D38</f>
        <v>0</v>
      </c>
      <c r="F38" s="0" t="n">
        <f aca="false">C38+E38</f>
        <v>109</v>
      </c>
      <c r="H38" s="0" t="n">
        <f aca="false">ROUNDUP(F38,0)</f>
        <v>109</v>
      </c>
      <c r="I38" s="0" t="s">
        <v>397</v>
      </c>
    </row>
    <row r="39" customFormat="false" ht="15" hidden="false" customHeight="false" outlineLevel="0" collapsed="false">
      <c r="A39" s="0" t="s">
        <v>398</v>
      </c>
      <c r="B39" s="0" t="s">
        <v>325</v>
      </c>
      <c r="C39" s="0" t="n">
        <v>10.67</v>
      </c>
      <c r="D39" s="0" t="n">
        <f aca="false">Inputs!$B$5</f>
        <v>0.15</v>
      </c>
      <c r="E39" s="0" t="n">
        <f aca="false">C39*D39</f>
        <v>1.6005</v>
      </c>
      <c r="F39" s="0" t="n">
        <f aca="false">C39+E39</f>
        <v>12.2705</v>
      </c>
      <c r="G39" s="0" t="s">
        <v>326</v>
      </c>
      <c r="H39" s="0" t="n">
        <f aca="false">ROUNDUP(F39/Inputs!$B$11,0)</f>
        <v>2</v>
      </c>
      <c r="I39" s="0" t="s">
        <v>399</v>
      </c>
    </row>
    <row r="40" customFormat="false" ht="15" hidden="false" customHeight="false" outlineLevel="0" collapsed="false">
      <c r="A40" s="0" t="s">
        <v>400</v>
      </c>
      <c r="B40" s="0" t="s">
        <v>373</v>
      </c>
      <c r="C40" s="0" t="n">
        <v>0</v>
      </c>
      <c r="D40" s="0" t="n">
        <v>0</v>
      </c>
      <c r="E40" s="0" t="n">
        <f aca="false">C40*D40</f>
        <v>0</v>
      </c>
      <c r="F40" s="0" t="n">
        <f aca="false">C40+E40</f>
        <v>0</v>
      </c>
      <c r="G40" s="0" t="s">
        <v>401</v>
      </c>
      <c r="H40" s="0" t="n">
        <f aca="false">ROUNDUP(F40,0)</f>
        <v>0</v>
      </c>
      <c r="I40" s="0" t="s">
        <v>402</v>
      </c>
    </row>
    <row r="41" customFormat="false" ht="15" hidden="false" customHeight="false" outlineLevel="0" collapsed="false">
      <c r="A41" s="0" t="s">
        <v>403</v>
      </c>
      <c r="B41" s="0" t="s">
        <v>325</v>
      </c>
      <c r="C41" s="0" t="n">
        <v>0</v>
      </c>
      <c r="D41" s="0" t="n">
        <f aca="false">Inputs!$B$5</f>
        <v>0.15</v>
      </c>
      <c r="E41" s="0" t="n">
        <f aca="false">C41*D41</f>
        <v>0</v>
      </c>
      <c r="F41" s="0" t="n">
        <f aca="false">C41+E41</f>
        <v>0</v>
      </c>
      <c r="G41" s="0" t="s">
        <v>336</v>
      </c>
      <c r="H41" s="0" t="n">
        <f aca="false">ROUNDUP(F41/Inputs!$B$10,0)</f>
        <v>0</v>
      </c>
      <c r="I41" s="0" t="s">
        <v>404</v>
      </c>
    </row>
    <row r="42" customFormat="false" ht="15" hidden="false" customHeight="false" outlineLevel="0" collapsed="false">
      <c r="A42" s="0" t="s">
        <v>405</v>
      </c>
      <c r="B42" s="0" t="s">
        <v>325</v>
      </c>
      <c r="C42" s="0" t="n">
        <v>0</v>
      </c>
      <c r="D42" s="0" t="n">
        <f aca="false">Inputs!$B$5</f>
        <v>0.15</v>
      </c>
      <c r="E42" s="0" t="n">
        <f aca="false">C42*D42</f>
        <v>0</v>
      </c>
      <c r="F42" s="0" t="n">
        <f aca="false">C42+E42</f>
        <v>0</v>
      </c>
      <c r="G42" s="0" t="s">
        <v>336</v>
      </c>
      <c r="H42" s="0" t="n">
        <f aca="false">ROUNDUP(F42/Inputs!$B$10,0)</f>
        <v>0</v>
      </c>
      <c r="I42" s="0" t="s">
        <v>406</v>
      </c>
    </row>
    <row r="43" customFormat="false" ht="15" hidden="false" customHeight="false" outlineLevel="0" collapsed="false">
      <c r="A43" s="0" t="s">
        <v>407</v>
      </c>
      <c r="B43" s="0" t="s">
        <v>360</v>
      </c>
      <c r="C43" s="0" t="n">
        <v>0</v>
      </c>
      <c r="D43" s="0" t="n">
        <f aca="false">Inputs!$B$6</f>
        <v>0.06</v>
      </c>
      <c r="E43" s="0" t="n">
        <f aca="false">C43*D43</f>
        <v>0</v>
      </c>
      <c r="F43" s="0" t="n">
        <f aca="false">C43+E43</f>
        <v>0</v>
      </c>
      <c r="G43" s="0" t="s">
        <v>361</v>
      </c>
      <c r="H43" s="0" t="n">
        <f aca="false">ROUNDUP(F43/Inputs!$B$9,0)</f>
        <v>0</v>
      </c>
      <c r="I43" s="0" t="s">
        <v>408</v>
      </c>
    </row>
    <row r="44" customFormat="false" ht="15" hidden="false" customHeight="false" outlineLevel="0" collapsed="false">
      <c r="A44" s="0" t="s">
        <v>409</v>
      </c>
      <c r="B44" s="0" t="s">
        <v>325</v>
      </c>
      <c r="C44" s="0" t="n">
        <v>0</v>
      </c>
      <c r="D44" s="0" t="n">
        <f aca="false">Inputs!$B$6</f>
        <v>0.06</v>
      </c>
      <c r="E44" s="0" t="n">
        <f aca="false">C44*D44</f>
        <v>0</v>
      </c>
      <c r="F44" s="0" t="n">
        <f aca="false">C44+E44</f>
        <v>0</v>
      </c>
      <c r="G44" s="0" t="s">
        <v>384</v>
      </c>
      <c r="H44" s="0" t="n">
        <f aca="false">ROUNDUP(F44/Inputs!$B$18,0)</f>
        <v>0</v>
      </c>
      <c r="I44" s="0" t="s">
        <v>410</v>
      </c>
    </row>
    <row r="45" customFormat="false" ht="15" hidden="false" customHeight="false" outlineLevel="0" collapsed="false">
      <c r="A45" s="0" t="s">
        <v>411</v>
      </c>
      <c r="B45" s="0" t="s">
        <v>373</v>
      </c>
      <c r="C45" s="0" t="n">
        <v>0</v>
      </c>
      <c r="D45" s="0" t="n">
        <v>0</v>
      </c>
      <c r="E45" s="0" t="n">
        <f aca="false">C45*D45</f>
        <v>0</v>
      </c>
      <c r="F45" s="0" t="n">
        <f aca="false">C45+E45</f>
        <v>0</v>
      </c>
      <c r="G45" s="0" t="s">
        <v>401</v>
      </c>
      <c r="H45" s="0" t="n">
        <f aca="false">ROUNDUP(F45,0)</f>
        <v>0</v>
      </c>
      <c r="I45" s="0" t="s">
        <v>412</v>
      </c>
    </row>
    <row r="46" customFormat="false" ht="15" hidden="false" customHeight="false" outlineLevel="0" collapsed="false">
      <c r="A46" s="0" t="s">
        <v>413</v>
      </c>
      <c r="B46" s="0" t="s">
        <v>373</v>
      </c>
      <c r="C46" s="0" t="n">
        <v>0</v>
      </c>
      <c r="D46" s="0" t="n">
        <v>0</v>
      </c>
      <c r="E46" s="0" t="n">
        <f aca="false">C46*D46</f>
        <v>0</v>
      </c>
      <c r="F46" s="0" t="n">
        <f aca="false">C46+E46</f>
        <v>0</v>
      </c>
      <c r="G46" s="0" t="s">
        <v>401</v>
      </c>
      <c r="H46" s="0" t="n">
        <f aca="false">ROUNDUP(F46,0)</f>
        <v>0</v>
      </c>
      <c r="I46" s="0" t="s">
        <v>414</v>
      </c>
    </row>
    <row r="47" customFormat="false" ht="15" hidden="false" customHeight="false" outlineLevel="0" collapsed="false">
      <c r="A47" s="0" t="s">
        <v>415</v>
      </c>
      <c r="B47" s="0" t="s">
        <v>373</v>
      </c>
      <c r="C47" s="0" t="n">
        <v>19442.26</v>
      </c>
      <c r="D47" s="0" t="n">
        <v>0</v>
      </c>
      <c r="E47" s="0" t="n">
        <f aca="false">C47*D47</f>
        <v>0</v>
      </c>
      <c r="F47" s="0" t="n">
        <f aca="false">C47+E47</f>
        <v>19442.26</v>
      </c>
      <c r="G47" s="0" t="s">
        <v>401</v>
      </c>
      <c r="H47" s="0" t="n">
        <f aca="false">ROUNDUP(F47,0)</f>
        <v>19443</v>
      </c>
      <c r="I47" s="0" t="s">
        <v>416</v>
      </c>
      <c r="J47" s="0" t="n">
        <f aca="false">Inputs!$B$20*16201.9</f>
        <v>19442.28</v>
      </c>
    </row>
    <row r="48" customFormat="false" ht="15" hidden="false" customHeight="false" outlineLevel="0" collapsed="false">
      <c r="A48" s="0" t="s">
        <v>417</v>
      </c>
      <c r="B48" s="0" t="s">
        <v>373</v>
      </c>
      <c r="C48" s="0" t="n">
        <v>3124</v>
      </c>
      <c r="D48" s="0" t="n">
        <v>0</v>
      </c>
      <c r="E48" s="0" t="n">
        <f aca="false">C48*D48</f>
        <v>0</v>
      </c>
      <c r="F48" s="0" t="n">
        <f aca="false">C48+E48</f>
        <v>3124</v>
      </c>
      <c r="G48" s="0" t="s">
        <v>401</v>
      </c>
      <c r="H48" s="0" t="n">
        <f aca="false">ROUNDUP(F48,0)</f>
        <v>3124</v>
      </c>
      <c r="I48" s="0" t="s">
        <v>418</v>
      </c>
      <c r="J48" s="0" t="n">
        <f aca="false">Inputs!$B$21*781</f>
        <v>3124</v>
      </c>
    </row>
    <row r="49" customFormat="false" ht="15" hidden="false" customHeight="false" outlineLevel="0" collapsed="false">
      <c r="A49" s="0" t="s">
        <v>419</v>
      </c>
      <c r="B49" s="0" t="s">
        <v>373</v>
      </c>
      <c r="C49" s="0" t="n">
        <v>640.61</v>
      </c>
      <c r="D49" s="0" t="n">
        <v>0</v>
      </c>
      <c r="E49" s="0" t="n">
        <f aca="false">C49*D49</f>
        <v>0</v>
      </c>
      <c r="F49" s="0" t="n">
        <f aca="false">C49+E49</f>
        <v>640.61</v>
      </c>
      <c r="G49" s="0" t="s">
        <v>401</v>
      </c>
      <c r="H49" s="0" t="n">
        <f aca="false">ROUNDUP(F49,0)</f>
        <v>641</v>
      </c>
      <c r="I49" s="0" t="s">
        <v>420</v>
      </c>
      <c r="J49" s="0" t="n">
        <f aca="false">640.61/Inputs!$B$22</f>
        <v>640.61</v>
      </c>
    </row>
    <row r="50" customFormat="false" ht="15" hidden="false" customHeight="false" outlineLevel="0" collapsed="false">
      <c r="A50" s="0" t="s">
        <v>421</v>
      </c>
      <c r="B50" s="0" t="s">
        <v>373</v>
      </c>
      <c r="C50" s="0" t="n">
        <v>0</v>
      </c>
      <c r="D50" s="0" t="n">
        <v>0</v>
      </c>
      <c r="E50" s="0" t="n">
        <f aca="false">C50*D50</f>
        <v>0</v>
      </c>
      <c r="F50" s="0" t="n">
        <f aca="false">C50+E50</f>
        <v>0</v>
      </c>
      <c r="G50" s="0" t="s">
        <v>401</v>
      </c>
      <c r="H50" s="0" t="n">
        <f aca="false">ROUNDUP(F50,0)</f>
        <v>0</v>
      </c>
      <c r="I50" s="0" t="s">
        <v>422</v>
      </c>
      <c r="J50" s="0" t="n">
        <f aca="false">0*Inputs!$B$25</f>
        <v>0</v>
      </c>
    </row>
    <row r="51" customFormat="false" ht="15" hidden="false" customHeight="false" outlineLevel="0" collapsed="false">
      <c r="A51" s="0" t="s">
        <v>423</v>
      </c>
      <c r="B51" s="0" t="s">
        <v>424</v>
      </c>
      <c r="C51" s="0" t="n">
        <v>1166.54</v>
      </c>
      <c r="D51" s="0" t="n">
        <v>0</v>
      </c>
      <c r="E51" s="0" t="n">
        <f aca="false">C51*D51</f>
        <v>0</v>
      </c>
      <c r="F51" s="0" t="n">
        <f aca="false">C51+E51</f>
        <v>1166.54</v>
      </c>
      <c r="G51" s="0" t="s">
        <v>425</v>
      </c>
      <c r="H51" s="0" t="n">
        <f aca="false">ROUNDUP(F51,0)</f>
        <v>1167</v>
      </c>
      <c r="I51" s="0" t="s">
        <v>426</v>
      </c>
      <c r="J51" s="0" t="n">
        <f aca="false">Inputs!$B$23*16201.9</f>
        <v>1166.5368</v>
      </c>
    </row>
    <row r="52" customFormat="false" ht="15" hidden="false" customHeight="false" outlineLevel="0" collapsed="false">
      <c r="A52" s="0" t="s">
        <v>427</v>
      </c>
      <c r="B52" s="0" t="s">
        <v>325</v>
      </c>
      <c r="C52" s="0" t="n">
        <v>5994.7</v>
      </c>
      <c r="D52" s="0" t="n">
        <v>0</v>
      </c>
      <c r="E52" s="0" t="n">
        <f aca="false">C52*D52</f>
        <v>0</v>
      </c>
      <c r="F52" s="0" t="n">
        <f aca="false">C52+E52</f>
        <v>5994.7</v>
      </c>
      <c r="G52" s="0" t="s">
        <v>325</v>
      </c>
      <c r="H52" s="0" t="n">
        <f aca="false">ROUNDUP(F52,0)</f>
        <v>5995</v>
      </c>
      <c r="I52" s="0" t="s">
        <v>428</v>
      </c>
      <c r="J52" s="0" t="n">
        <f aca="false">Inputs!$B$24*16201.9</f>
        <v>5994.703</v>
      </c>
    </row>
    <row r="53" customFormat="false" ht="15" hidden="false" customHeight="false" outlineLevel="0" collapsed="false">
      <c r="A53" s="0" t="s">
        <v>429</v>
      </c>
      <c r="B53" s="0" t="s">
        <v>360</v>
      </c>
      <c r="C53" s="0" t="n">
        <v>0</v>
      </c>
      <c r="D53" s="0" t="n">
        <f aca="false">Inputs!$B$6</f>
        <v>0.06</v>
      </c>
      <c r="E53" s="0" t="n">
        <f aca="false">C53*D53</f>
        <v>0</v>
      </c>
      <c r="F53" s="0" t="n">
        <f aca="false">C53+E53</f>
        <v>0</v>
      </c>
      <c r="G53" s="0" t="s">
        <v>360</v>
      </c>
      <c r="H53" s="0" t="n">
        <f aca="false">ROUNDUP(F53,0)</f>
        <v>0</v>
      </c>
      <c r="I53" s="0" t="s">
        <v>430</v>
      </c>
    </row>
    <row r="54" customFormat="false" ht="15" hidden="false" customHeight="false" outlineLevel="0" collapsed="false">
      <c r="A54" s="0" t="s">
        <v>431</v>
      </c>
      <c r="B54" s="0" t="s">
        <v>373</v>
      </c>
      <c r="C54" s="0" t="n">
        <v>0</v>
      </c>
      <c r="D54" s="0" t="n">
        <v>0</v>
      </c>
      <c r="E54" s="0" t="n">
        <f aca="false">C54*D54</f>
        <v>0</v>
      </c>
      <c r="F54" s="0" t="n">
        <f aca="false">C54+E54</f>
        <v>0</v>
      </c>
      <c r="G54" s="0" t="s">
        <v>401</v>
      </c>
      <c r="H54" s="0" t="n">
        <f aca="false">ROUNDUP(F54,0)</f>
        <v>0</v>
      </c>
      <c r="I54" s="0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433</v>
      </c>
      <c r="B1" s="2" t="s">
        <v>434</v>
      </c>
      <c r="C1" s="2" t="s">
        <v>435</v>
      </c>
    </row>
    <row r="2" customFormat="false" ht="15" hidden="false" customHeight="false" outlineLevel="0" collapsed="false">
      <c r="A2" s="0" t="s">
        <v>436</v>
      </c>
      <c r="B2" s="0" t="s">
        <v>437</v>
      </c>
      <c r="C2" s="0" t="s">
        <v>438</v>
      </c>
    </row>
    <row r="3" customFormat="false" ht="15" hidden="false" customHeight="false" outlineLevel="0" collapsed="false">
      <c r="A3" s="0" t="s">
        <v>439</v>
      </c>
      <c r="B3" s="0" t="s">
        <v>440</v>
      </c>
      <c r="C3" s="0" t="s">
        <v>441</v>
      </c>
    </row>
    <row r="4" customFormat="false" ht="15" hidden="false" customHeight="false" outlineLevel="0" collapsed="false">
      <c r="A4" s="0" t="s">
        <v>442</v>
      </c>
      <c r="B4" s="0" t="s">
        <v>443</v>
      </c>
      <c r="C4" s="0" t="s">
        <v>444</v>
      </c>
    </row>
    <row r="5" customFormat="false" ht="15" hidden="false" customHeight="false" outlineLevel="0" collapsed="false">
      <c r="A5" s="0" t="s">
        <v>445</v>
      </c>
      <c r="B5" s="0" t="s">
        <v>446</v>
      </c>
      <c r="C5" s="0" t="s">
        <v>447</v>
      </c>
    </row>
    <row r="6" customFormat="false" ht="15" hidden="false" customHeight="false" outlineLevel="0" collapsed="false">
      <c r="A6" s="0" t="s">
        <v>448</v>
      </c>
      <c r="B6" s="0" t="s">
        <v>449</v>
      </c>
      <c r="C6" s="0" t="s">
        <v>450</v>
      </c>
    </row>
    <row r="7" customFormat="false" ht="15" hidden="false" customHeight="false" outlineLevel="0" collapsed="false">
      <c r="A7" s="0" t="s">
        <v>451</v>
      </c>
      <c r="B7" s="0" t="s">
        <v>452</v>
      </c>
      <c r="C7" s="0" t="s">
        <v>453</v>
      </c>
    </row>
    <row r="8" customFormat="false" ht="15" hidden="false" customHeight="false" outlineLevel="0" collapsed="false">
      <c r="A8" s="0" t="s">
        <v>454</v>
      </c>
      <c r="B8" s="0" t="s">
        <v>455</v>
      </c>
      <c r="C8" s="0" t="s">
        <v>456</v>
      </c>
    </row>
    <row r="9" customFormat="false" ht="15" hidden="false" customHeight="false" outlineLevel="0" collapsed="false">
      <c r="A9" s="0" t="s">
        <v>457</v>
      </c>
      <c r="B9" s="0" t="s">
        <v>458</v>
      </c>
      <c r="C9" s="0" t="s">
        <v>459</v>
      </c>
    </row>
    <row r="10" customFormat="false" ht="15" hidden="false" customHeight="false" outlineLevel="0" collapsed="false">
      <c r="A10" s="0" t="s">
        <v>460</v>
      </c>
      <c r="B10" s="0" t="s">
        <v>461</v>
      </c>
      <c r="C10" s="0" t="s">
        <v>447</v>
      </c>
    </row>
    <row r="11" customFormat="false" ht="15" hidden="false" customHeight="false" outlineLevel="0" collapsed="false">
      <c r="A11" s="0" t="s">
        <v>462</v>
      </c>
      <c r="B11" s="0" t="s">
        <v>463</v>
      </c>
      <c r="C11" s="0" t="s">
        <v>464</v>
      </c>
    </row>
    <row r="12" customFormat="false" ht="15" hidden="false" customHeight="false" outlineLevel="0" collapsed="false">
      <c r="A12" s="0" t="s">
        <v>465</v>
      </c>
      <c r="B12" s="0" t="s">
        <v>466</v>
      </c>
      <c r="C12" s="0" t="s">
        <v>467</v>
      </c>
    </row>
    <row r="13" customFormat="false" ht="15" hidden="false" customHeight="false" outlineLevel="0" collapsed="false">
      <c r="A13" s="0" t="s">
        <v>468</v>
      </c>
      <c r="B13" s="0" t="s">
        <v>469</v>
      </c>
      <c r="C13" s="0" t="s">
        <v>447</v>
      </c>
    </row>
    <row r="14" customFormat="false" ht="15" hidden="false" customHeight="false" outlineLevel="0" collapsed="false">
      <c r="A14" s="0" t="s">
        <v>470</v>
      </c>
      <c r="B14" s="0" t="s">
        <v>471</v>
      </c>
      <c r="C14" s="0" t="s">
        <v>472</v>
      </c>
    </row>
    <row r="15" customFormat="false" ht="15" hidden="false" customHeight="false" outlineLevel="0" collapsed="false">
      <c r="A15" s="0" t="s">
        <v>473</v>
      </c>
      <c r="B15" s="0" t="s">
        <v>474</v>
      </c>
      <c r="C15" s="0" t="s">
        <v>475</v>
      </c>
    </row>
    <row r="16" customFormat="false" ht="15" hidden="false" customHeight="false" outlineLevel="0" collapsed="false">
      <c r="A16" s="0" t="s">
        <v>476</v>
      </c>
      <c r="B16" s="0" t="s">
        <v>477</v>
      </c>
      <c r="C16" s="0" t="s">
        <v>478</v>
      </c>
    </row>
    <row r="17" customFormat="false" ht="15" hidden="false" customHeight="false" outlineLevel="0" collapsed="false">
      <c r="A17" s="0" t="s">
        <v>479</v>
      </c>
      <c r="B17" s="0" t="s">
        <v>480</v>
      </c>
      <c r="C17" s="0" t="s">
        <v>481</v>
      </c>
    </row>
    <row r="18" customFormat="false" ht="15" hidden="false" customHeight="false" outlineLevel="0" collapsed="false">
      <c r="A18" s="0" t="s">
        <v>482</v>
      </c>
      <c r="B18" s="0" t="s">
        <v>483</v>
      </c>
      <c r="C18" s="0" t="s">
        <v>484</v>
      </c>
    </row>
    <row r="19" customFormat="false" ht="15" hidden="false" customHeight="false" outlineLevel="0" collapsed="false">
      <c r="A19" s="0" t="s">
        <v>485</v>
      </c>
      <c r="B19" s="0" t="s">
        <v>486</v>
      </c>
      <c r="C19" s="0" t="s">
        <v>487</v>
      </c>
    </row>
    <row r="20" customFormat="false" ht="15" hidden="false" customHeight="false" outlineLevel="0" collapsed="false">
      <c r="A20" s="0" t="s">
        <v>488</v>
      </c>
      <c r="B20" s="0" t="s">
        <v>489</v>
      </c>
      <c r="C20" s="0" t="s">
        <v>490</v>
      </c>
    </row>
    <row r="21" customFormat="false" ht="15" hidden="false" customHeight="false" outlineLevel="0" collapsed="false">
      <c r="A21" s="0" t="s">
        <v>491</v>
      </c>
      <c r="B21" s="0" t="s">
        <v>492</v>
      </c>
      <c r="C21" s="0" t="s">
        <v>493</v>
      </c>
    </row>
    <row r="22" customFormat="false" ht="15" hidden="false" customHeight="false" outlineLevel="0" collapsed="false">
      <c r="A22" s="0" t="s">
        <v>494</v>
      </c>
      <c r="B22" s="0" t="s">
        <v>495</v>
      </c>
      <c r="C22" s="0" t="s">
        <v>447</v>
      </c>
    </row>
    <row r="23" customFormat="false" ht="15" hidden="false" customHeight="false" outlineLevel="0" collapsed="false">
      <c r="A23" s="0" t="s">
        <v>496</v>
      </c>
      <c r="B23" s="0" t="s">
        <v>497</v>
      </c>
      <c r="C23" s="0" t="s">
        <v>498</v>
      </c>
    </row>
    <row r="24" customFormat="false" ht="15" hidden="false" customHeight="false" outlineLevel="0" collapsed="false">
      <c r="A24" s="0" t="s">
        <v>499</v>
      </c>
      <c r="B24" s="0" t="s">
        <v>500</v>
      </c>
      <c r="C24" s="0" t="s">
        <v>501</v>
      </c>
    </row>
    <row r="25" customFormat="false" ht="15" hidden="false" customHeight="false" outlineLevel="0" collapsed="false">
      <c r="A25" s="0" t="s">
        <v>502</v>
      </c>
      <c r="B25" s="0" t="s">
        <v>503</v>
      </c>
      <c r="C25" s="0" t="s">
        <v>504</v>
      </c>
    </row>
    <row r="26" customFormat="false" ht="15" hidden="false" customHeight="false" outlineLevel="0" collapsed="false">
      <c r="A26" s="0" t="s">
        <v>505</v>
      </c>
      <c r="B26" s="0" t="s">
        <v>506</v>
      </c>
      <c r="C26" s="0" t="s">
        <v>507</v>
      </c>
    </row>
    <row r="27" customFormat="false" ht="15" hidden="false" customHeight="false" outlineLevel="0" collapsed="false">
      <c r="A27" s="0" t="s">
        <v>508</v>
      </c>
      <c r="B27" s="0" t="s">
        <v>509</v>
      </c>
      <c r="C27" s="0" t="s">
        <v>510</v>
      </c>
    </row>
    <row r="28" customFormat="false" ht="15" hidden="false" customHeight="false" outlineLevel="0" collapsed="false">
      <c r="A28" s="0" t="s">
        <v>511</v>
      </c>
      <c r="B28" s="0" t="s">
        <v>512</v>
      </c>
      <c r="C28" s="0" t="s">
        <v>513</v>
      </c>
    </row>
    <row r="29" customFormat="false" ht="15" hidden="false" customHeight="false" outlineLevel="0" collapsed="false">
      <c r="A29" s="0" t="s">
        <v>514</v>
      </c>
      <c r="B29" s="0" t="s">
        <v>515</v>
      </c>
      <c r="C29" s="0" t="s">
        <v>447</v>
      </c>
    </row>
    <row r="30" customFormat="false" ht="15" hidden="false" customHeight="false" outlineLevel="0" collapsed="false">
      <c r="A30" s="0" t="s">
        <v>516</v>
      </c>
      <c r="B30" s="0" t="s">
        <v>517</v>
      </c>
      <c r="C30" s="0" t="s">
        <v>518</v>
      </c>
    </row>
    <row r="31" customFormat="false" ht="15" hidden="false" customHeight="false" outlineLevel="0" collapsed="false">
      <c r="A31" s="0" t="s">
        <v>519</v>
      </c>
      <c r="B31" s="0" t="s">
        <v>520</v>
      </c>
      <c r="C31" s="0" t="s">
        <v>521</v>
      </c>
    </row>
    <row r="32" customFormat="false" ht="15" hidden="false" customHeight="false" outlineLevel="0" collapsed="false">
      <c r="A32" s="0" t="s">
        <v>522</v>
      </c>
      <c r="B32" s="0" t="s">
        <v>523</v>
      </c>
      <c r="C32" s="0" t="s">
        <v>524</v>
      </c>
    </row>
    <row r="33" customFormat="false" ht="15" hidden="false" customHeight="false" outlineLevel="0" collapsed="false">
      <c r="A33" s="0" t="s">
        <v>525</v>
      </c>
      <c r="B33" s="0" t="s">
        <v>526</v>
      </c>
      <c r="C33" s="0" t="s">
        <v>527</v>
      </c>
    </row>
    <row r="34" customFormat="false" ht="15" hidden="false" customHeight="false" outlineLevel="0" collapsed="false">
      <c r="A34" s="0" t="s">
        <v>528</v>
      </c>
      <c r="B34" s="0" t="s">
        <v>529</v>
      </c>
      <c r="C34" s="0" t="s">
        <v>530</v>
      </c>
    </row>
    <row r="35" customFormat="false" ht="15" hidden="false" customHeight="false" outlineLevel="0" collapsed="false">
      <c r="A35" s="0" t="s">
        <v>531</v>
      </c>
      <c r="B35" s="0" t="s">
        <v>532</v>
      </c>
      <c r="C35" s="0" t="s">
        <v>533</v>
      </c>
    </row>
    <row r="36" customFormat="false" ht="15" hidden="false" customHeight="false" outlineLevel="0" collapsed="false">
      <c r="A36" s="0" t="s">
        <v>534</v>
      </c>
      <c r="B36" s="0" t="s">
        <v>535</v>
      </c>
      <c r="C36" s="0" t="s">
        <v>536</v>
      </c>
    </row>
    <row r="37" customFormat="false" ht="15" hidden="false" customHeight="false" outlineLevel="0" collapsed="false">
      <c r="A37" s="0" t="s">
        <v>537</v>
      </c>
      <c r="B37" s="0" t="s">
        <v>538</v>
      </c>
      <c r="C37" s="0" t="s">
        <v>539</v>
      </c>
    </row>
    <row r="38" customFormat="false" ht="15" hidden="false" customHeight="false" outlineLevel="0" collapsed="false">
      <c r="A38" s="0" t="s">
        <v>540</v>
      </c>
      <c r="B38" s="0" t="s">
        <v>541</v>
      </c>
      <c r="C38" s="0" t="s">
        <v>542</v>
      </c>
    </row>
    <row r="39" customFormat="false" ht="15" hidden="false" customHeight="false" outlineLevel="0" collapsed="false">
      <c r="A39" s="0" t="s">
        <v>543</v>
      </c>
      <c r="B39" s="0" t="s">
        <v>544</v>
      </c>
      <c r="C39" s="0" t="s">
        <v>545</v>
      </c>
    </row>
    <row r="40" customFormat="false" ht="15" hidden="false" customHeight="false" outlineLevel="0" collapsed="false">
      <c r="A40" s="0" t="s">
        <v>546</v>
      </c>
      <c r="B40" s="0" t="s">
        <v>547</v>
      </c>
      <c r="C40" s="0" t="s">
        <v>548</v>
      </c>
    </row>
    <row r="41" customFormat="false" ht="15" hidden="false" customHeight="false" outlineLevel="0" collapsed="false">
      <c r="A41" s="0" t="s">
        <v>549</v>
      </c>
      <c r="B41" s="0" t="s">
        <v>550</v>
      </c>
      <c r="C41" s="0" t="s">
        <v>551</v>
      </c>
    </row>
    <row r="42" customFormat="false" ht="15" hidden="false" customHeight="false" outlineLevel="0" collapsed="false">
      <c r="A42" s="0" t="s">
        <v>552</v>
      </c>
      <c r="B42" s="0" t="s">
        <v>553</v>
      </c>
      <c r="C42" s="0" t="s">
        <v>554</v>
      </c>
    </row>
    <row r="43" customFormat="false" ht="15" hidden="false" customHeight="false" outlineLevel="0" collapsed="false">
      <c r="A43" s="0" t="s">
        <v>555</v>
      </c>
      <c r="B43" s="0" t="s">
        <v>556</v>
      </c>
      <c r="C43" s="0" t="s">
        <v>557</v>
      </c>
    </row>
    <row r="44" customFormat="false" ht="15" hidden="false" customHeight="false" outlineLevel="0" collapsed="false">
      <c r="A44" s="0" t="s">
        <v>558</v>
      </c>
      <c r="B44" s="0" t="s">
        <v>559</v>
      </c>
      <c r="C44" s="0" t="s">
        <v>560</v>
      </c>
    </row>
    <row r="45" customFormat="false" ht="15" hidden="false" customHeight="false" outlineLevel="0" collapsed="false">
      <c r="A45" s="0" t="s">
        <v>561</v>
      </c>
      <c r="B45" s="0" t="s">
        <v>562</v>
      </c>
      <c r="C45" s="0" t="s">
        <v>563</v>
      </c>
    </row>
    <row r="46" customFormat="false" ht="15" hidden="false" customHeight="false" outlineLevel="0" collapsed="false">
      <c r="A46" s="0" t="s">
        <v>564</v>
      </c>
      <c r="B46" s="0" t="s">
        <v>565</v>
      </c>
      <c r="C46" s="0" t="s">
        <v>566</v>
      </c>
    </row>
    <row r="47" customFormat="false" ht="15" hidden="false" customHeight="false" outlineLevel="0" collapsed="false">
      <c r="A47" s="0" t="s">
        <v>567</v>
      </c>
      <c r="B47" s="0" t="s">
        <v>568</v>
      </c>
      <c r="C47" s="0" t="s">
        <v>569</v>
      </c>
    </row>
    <row r="48" customFormat="false" ht="15" hidden="false" customHeight="false" outlineLevel="0" collapsed="false">
      <c r="A48" s="0" t="s">
        <v>570</v>
      </c>
      <c r="B48" s="0" t="s">
        <v>571</v>
      </c>
      <c r="C48" s="0" t="s">
        <v>572</v>
      </c>
    </row>
    <row r="49" customFormat="false" ht="15" hidden="false" customHeight="false" outlineLevel="0" collapsed="false">
      <c r="A49" s="0" t="s">
        <v>573</v>
      </c>
      <c r="B49" s="0" t="s">
        <v>574</v>
      </c>
      <c r="C49" s="0" t="s">
        <v>575</v>
      </c>
    </row>
    <row r="50" customFormat="false" ht="15" hidden="false" customHeight="false" outlineLevel="0" collapsed="false">
      <c r="A50" s="0" t="s">
        <v>576</v>
      </c>
      <c r="B50" s="0" t="s">
        <v>577</v>
      </c>
      <c r="C50" s="0" t="s">
        <v>578</v>
      </c>
    </row>
    <row r="51" customFormat="false" ht="15" hidden="false" customHeight="false" outlineLevel="0" collapsed="false">
      <c r="A51" s="0" t="s">
        <v>579</v>
      </c>
      <c r="B51" s="0" t="s">
        <v>580</v>
      </c>
      <c r="C51" s="0" t="s">
        <v>581</v>
      </c>
    </row>
    <row r="52" customFormat="false" ht="15" hidden="false" customHeight="false" outlineLevel="0" collapsed="false">
      <c r="A52" s="0" t="s">
        <v>582</v>
      </c>
      <c r="B52" s="0" t="s">
        <v>583</v>
      </c>
      <c r="C52" s="0" t="s">
        <v>584</v>
      </c>
    </row>
    <row r="53" customFormat="false" ht="15" hidden="false" customHeight="false" outlineLevel="0" collapsed="false">
      <c r="A53" s="0" t="s">
        <v>585</v>
      </c>
      <c r="B53" s="0" t="s">
        <v>586</v>
      </c>
      <c r="C53" s="0" t="s">
        <v>587</v>
      </c>
    </row>
    <row r="54" customFormat="false" ht="15" hidden="false" customHeight="false" outlineLevel="0" collapsed="false">
      <c r="A54" s="0" t="s">
        <v>588</v>
      </c>
      <c r="B54" s="0" t="s">
        <v>589</v>
      </c>
      <c r="C54" s="0" t="s">
        <v>590</v>
      </c>
    </row>
    <row r="55" customFormat="false" ht="15" hidden="false" customHeight="false" outlineLevel="0" collapsed="false">
      <c r="A55" s="0" t="s">
        <v>591</v>
      </c>
      <c r="B55" s="0" t="s">
        <v>592</v>
      </c>
      <c r="C55" s="0" t="s">
        <v>593</v>
      </c>
    </row>
    <row r="56" customFormat="false" ht="15" hidden="false" customHeight="false" outlineLevel="0" collapsed="false">
      <c r="A56" s="0" t="s">
        <v>594</v>
      </c>
      <c r="B56" s="0" t="s">
        <v>595</v>
      </c>
      <c r="C56" s="0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597</v>
      </c>
    </row>
    <row r="2" customFormat="false" ht="15" hidden="false" customHeight="false" outlineLevel="0" collapsed="false">
      <c r="A2" s="0" t="s">
        <v>598</v>
      </c>
      <c r="B2" s="0" t="s">
        <v>599</v>
      </c>
      <c r="C2" s="0" t="s">
        <v>600</v>
      </c>
      <c r="D2" s="0" t="s">
        <v>601</v>
      </c>
      <c r="E2" s="0" t="s">
        <v>602</v>
      </c>
      <c r="F2" s="0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604</v>
      </c>
      <c r="B1" s="0" t="s">
        <v>605</v>
      </c>
      <c r="C1" s="0" t="s">
        <v>59</v>
      </c>
      <c r="D1" s="0" t="s">
        <v>606</v>
      </c>
    </row>
    <row r="2" customFormat="false" ht="15" hidden="false" customHeight="false" outlineLevel="0" collapsed="false">
      <c r="A2" s="0" t="s">
        <v>607</v>
      </c>
      <c r="B2" s="0" t="s">
        <v>608</v>
      </c>
      <c r="C2" s="0" t="s">
        <v>609</v>
      </c>
      <c r="D2" s="0" t="s">
        <v>610</v>
      </c>
    </row>
    <row r="3" customFormat="false" ht="15" hidden="false" customHeight="false" outlineLevel="0" collapsed="false">
      <c r="A3" s="0" t="s">
        <v>611</v>
      </c>
      <c r="B3" s="0" t="s">
        <v>612</v>
      </c>
      <c r="C3" s="0" t="s">
        <v>613</v>
      </c>
      <c r="D3" s="0" t="s">
        <v>614</v>
      </c>
    </row>
    <row r="4" customFormat="false" ht="15" hidden="false" customHeight="false" outlineLevel="0" collapsed="false">
      <c r="A4" s="0" t="s">
        <v>615</v>
      </c>
      <c r="B4" s="0" t="s">
        <v>616</v>
      </c>
      <c r="C4" s="0" t="s">
        <v>613</v>
      </c>
      <c r="D4" s="0" t="s">
        <v>617</v>
      </c>
    </row>
    <row r="5" customFormat="false" ht="15" hidden="false" customHeight="false" outlineLevel="0" collapsed="false">
      <c r="A5" s="0" t="s">
        <v>618</v>
      </c>
      <c r="B5" s="0" t="s">
        <v>619</v>
      </c>
      <c r="C5" s="0" t="s">
        <v>609</v>
      </c>
      <c r="D5" s="0" t="s">
        <v>620</v>
      </c>
    </row>
    <row r="6" customFormat="false" ht="15" hidden="false" customHeight="false" outlineLevel="0" collapsed="false">
      <c r="A6" s="0" t="s">
        <v>621</v>
      </c>
      <c r="B6" s="0" t="s">
        <v>622</v>
      </c>
      <c r="C6" s="0" t="s">
        <v>433</v>
      </c>
      <c r="D6" s="0" t="s">
        <v>623</v>
      </c>
    </row>
    <row r="7" customFormat="false" ht="15" hidden="false" customHeight="false" outlineLevel="0" collapsed="false">
      <c r="A7" s="0" t="s">
        <v>624</v>
      </c>
      <c r="B7" s="0" t="s">
        <v>625</v>
      </c>
      <c r="C7" s="0" t="s">
        <v>609</v>
      </c>
      <c r="D7" s="0" t="s">
        <v>626</v>
      </c>
    </row>
    <row r="8" customFormat="false" ht="15" hidden="false" customHeight="false" outlineLevel="0" collapsed="false">
      <c r="A8" s="0" t="s">
        <v>627</v>
      </c>
      <c r="B8" s="0" t="s">
        <v>628</v>
      </c>
      <c r="C8" s="0" t="s">
        <v>609</v>
      </c>
      <c r="D8" s="0" t="s">
        <v>629</v>
      </c>
    </row>
    <row r="9" customFormat="false" ht="15" hidden="false" customHeight="false" outlineLevel="0" collapsed="false">
      <c r="A9" s="0" t="s">
        <v>630</v>
      </c>
      <c r="B9" s="0" t="s">
        <v>631</v>
      </c>
      <c r="C9" s="0" t="s">
        <v>609</v>
      </c>
      <c r="D9" s="0" t="s">
        <v>632</v>
      </c>
    </row>
    <row r="10" customFormat="false" ht="15" hidden="false" customHeight="false" outlineLevel="0" collapsed="false">
      <c r="A10" s="0" t="s">
        <v>633</v>
      </c>
      <c r="B10" s="0" t="s">
        <v>634</v>
      </c>
      <c r="C10" s="0" t="s">
        <v>613</v>
      </c>
      <c r="D10" s="0" t="s">
        <v>635</v>
      </c>
    </row>
    <row r="11" customFormat="false" ht="15" hidden="false" customHeight="false" outlineLevel="0" collapsed="false">
      <c r="A11" s="0" t="s">
        <v>636</v>
      </c>
      <c r="B11" s="0" t="s">
        <v>637</v>
      </c>
      <c r="C11" s="0" t="s">
        <v>609</v>
      </c>
      <c r="D11" s="0" t="s">
        <v>638</v>
      </c>
    </row>
    <row r="12" customFormat="false" ht="15" hidden="false" customHeight="false" outlineLevel="0" collapsed="false">
      <c r="A12" s="0" t="s">
        <v>639</v>
      </c>
      <c r="B12" s="0" t="s">
        <v>640</v>
      </c>
      <c r="C12" s="0" t="s">
        <v>609</v>
      </c>
      <c r="D12" s="0" t="s">
        <v>641</v>
      </c>
    </row>
    <row r="13" customFormat="false" ht="15" hidden="false" customHeight="false" outlineLevel="0" collapsed="false">
      <c r="A13" s="0" t="s">
        <v>642</v>
      </c>
      <c r="B13" s="0" t="s">
        <v>643</v>
      </c>
      <c r="C13" s="0" t="s">
        <v>609</v>
      </c>
      <c r="D13" s="0" t="s">
        <v>644</v>
      </c>
    </row>
    <row r="14" customFormat="false" ht="15" hidden="false" customHeight="false" outlineLevel="0" collapsed="false">
      <c r="A14" s="0" t="s">
        <v>645</v>
      </c>
      <c r="B14" s="0" t="s">
        <v>646</v>
      </c>
      <c r="C14" s="0" t="s">
        <v>609</v>
      </c>
      <c r="D14" s="0" t="s">
        <v>647</v>
      </c>
    </row>
    <row r="15" customFormat="false" ht="15" hidden="false" customHeight="false" outlineLevel="0" collapsed="false">
      <c r="A15" s="0" t="s">
        <v>648</v>
      </c>
      <c r="B15" s="0" t="s">
        <v>649</v>
      </c>
      <c r="C15" s="0" t="s">
        <v>613</v>
      </c>
      <c r="D15" s="0" t="s">
        <v>650</v>
      </c>
    </row>
    <row r="16" customFormat="false" ht="15" hidden="false" customHeight="false" outlineLevel="0" collapsed="false">
      <c r="A16" s="0" t="s">
        <v>651</v>
      </c>
      <c r="B16" s="0" t="s">
        <v>652</v>
      </c>
      <c r="C16" s="0" t="s">
        <v>609</v>
      </c>
      <c r="D16" s="0" t="s">
        <v>653</v>
      </c>
    </row>
    <row r="17" customFormat="false" ht="15" hidden="false" customHeight="false" outlineLevel="0" collapsed="false">
      <c r="A17" s="0" t="s">
        <v>654</v>
      </c>
      <c r="B17" s="0" t="s">
        <v>655</v>
      </c>
      <c r="C17" s="0" t="s">
        <v>609</v>
      </c>
      <c r="D17" s="0" t="s">
        <v>656</v>
      </c>
    </row>
    <row r="18" customFormat="false" ht="15" hidden="false" customHeight="false" outlineLevel="0" collapsed="false">
      <c r="A18" s="0" t="s">
        <v>657</v>
      </c>
      <c r="B18" s="0" t="s">
        <v>658</v>
      </c>
      <c r="C18" s="0" t="s">
        <v>433</v>
      </c>
      <c r="D18" s="0" t="s">
        <v>659</v>
      </c>
    </row>
    <row r="19" customFormat="false" ht="15" hidden="false" customHeight="false" outlineLevel="0" collapsed="false">
      <c r="A19" s="0" t="s">
        <v>660</v>
      </c>
      <c r="B19" s="0" t="s">
        <v>661</v>
      </c>
      <c r="C19" s="0" t="s">
        <v>609</v>
      </c>
      <c r="D19" s="0" t="s">
        <v>662</v>
      </c>
    </row>
    <row r="20" customFormat="false" ht="15" hidden="false" customHeight="false" outlineLevel="0" collapsed="false">
      <c r="A20" s="0" t="s">
        <v>663</v>
      </c>
      <c r="B20" s="0" t="s">
        <v>664</v>
      </c>
      <c r="C20" s="0" t="s">
        <v>613</v>
      </c>
      <c r="D20" s="0" t="s">
        <v>665</v>
      </c>
    </row>
    <row r="21" customFormat="false" ht="15" hidden="false" customHeight="false" outlineLevel="0" collapsed="false">
      <c r="A21" s="0" t="s">
        <v>666</v>
      </c>
      <c r="B21" s="0" t="s">
        <v>667</v>
      </c>
      <c r="C21" s="0" t="s">
        <v>609</v>
      </c>
      <c r="D21" s="0" t="s">
        <v>668</v>
      </c>
    </row>
    <row r="22" customFormat="false" ht="15" hidden="false" customHeight="false" outlineLevel="0" collapsed="false">
      <c r="A22" s="0" t="s">
        <v>669</v>
      </c>
      <c r="B22" s="0" t="s">
        <v>670</v>
      </c>
      <c r="C22" s="0" t="s">
        <v>613</v>
      </c>
      <c r="D22" s="0" t="s">
        <v>671</v>
      </c>
    </row>
    <row r="23" customFormat="false" ht="15" hidden="false" customHeight="false" outlineLevel="0" collapsed="false">
      <c r="A23" s="0" t="s">
        <v>672</v>
      </c>
      <c r="B23" s="0" t="s">
        <v>673</v>
      </c>
      <c r="C23" s="0" t="s">
        <v>613</v>
      </c>
      <c r="D23" s="0" t="s">
        <v>674</v>
      </c>
    </row>
    <row r="24" customFormat="false" ht="15" hidden="false" customHeight="false" outlineLevel="0" collapsed="false">
      <c r="A24" s="0" t="s">
        <v>675</v>
      </c>
      <c r="B24" s="0" t="s">
        <v>676</v>
      </c>
      <c r="C24" s="0" t="s">
        <v>613</v>
      </c>
      <c r="D24" s="0" t="s">
        <v>677</v>
      </c>
    </row>
    <row r="25" customFormat="false" ht="15" hidden="false" customHeight="false" outlineLevel="0" collapsed="false">
      <c r="A25" s="0" t="s">
        <v>678</v>
      </c>
      <c r="B25" s="0" t="s">
        <v>679</v>
      </c>
      <c r="C25" s="0" t="s">
        <v>609</v>
      </c>
      <c r="D25" s="0" t="s">
        <v>680</v>
      </c>
    </row>
    <row r="26" customFormat="false" ht="15" hidden="false" customHeight="false" outlineLevel="0" collapsed="false">
      <c r="A26" s="0" t="s">
        <v>681</v>
      </c>
      <c r="B26" s="0" t="s">
        <v>682</v>
      </c>
      <c r="C26" s="0" t="s">
        <v>613</v>
      </c>
      <c r="D26" s="0" t="s">
        <v>683</v>
      </c>
    </row>
    <row r="27" customFormat="false" ht="15" hidden="false" customHeight="false" outlineLevel="0" collapsed="false">
      <c r="A27" s="0" t="s">
        <v>684</v>
      </c>
      <c r="B27" s="0" t="s">
        <v>685</v>
      </c>
      <c r="C27" s="0" t="s">
        <v>613</v>
      </c>
      <c r="D27" s="0" t="s">
        <v>686</v>
      </c>
    </row>
    <row r="28" customFormat="false" ht="15" hidden="false" customHeight="false" outlineLevel="0" collapsed="false">
      <c r="A28" s="0" t="s">
        <v>687</v>
      </c>
      <c r="B28" s="0" t="s">
        <v>688</v>
      </c>
      <c r="C28" s="0" t="s">
        <v>613</v>
      </c>
      <c r="D28" s="0" t="s">
        <v>689</v>
      </c>
    </row>
    <row r="29" customFormat="false" ht="15" hidden="false" customHeight="false" outlineLevel="0" collapsed="false">
      <c r="A29" s="0" t="s">
        <v>690</v>
      </c>
      <c r="B29" s="0" t="s">
        <v>691</v>
      </c>
      <c r="C29" s="0" t="s">
        <v>613</v>
      </c>
      <c r="D29" s="0" t="s">
        <v>692</v>
      </c>
    </row>
    <row r="30" customFormat="false" ht="15" hidden="false" customHeight="false" outlineLevel="0" collapsed="false">
      <c r="A30" s="0" t="s">
        <v>693</v>
      </c>
      <c r="B30" s="0" t="s">
        <v>694</v>
      </c>
      <c r="C30" s="0" t="s">
        <v>433</v>
      </c>
      <c r="D30" s="0" t="s">
        <v>695</v>
      </c>
    </row>
    <row r="31" customFormat="false" ht="15" hidden="false" customHeight="false" outlineLevel="0" collapsed="false">
      <c r="A31" s="0" t="s">
        <v>696</v>
      </c>
      <c r="B31" s="0" t="s">
        <v>697</v>
      </c>
      <c r="C31" s="0" t="s">
        <v>613</v>
      </c>
      <c r="D31" s="0" t="s">
        <v>698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699</v>
      </c>
    </row>
    <row r="2" customFormat="false" ht="15" hidden="false" customHeight="false" outlineLevel="0" collapsed="false">
      <c r="A2" s="0" t="s">
        <v>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2026-10-27T05:37:23Z</dcterms:created>
  <dc:creator>openpyxl</dc:creator>
  <dc:description/>
  <dc:language>en-US</dc:language>
  <cp:lastModifiedBy/>
  <dcterms:modified xsi:type="dcterms:W3CDTF">2026-10-27T05:37:23Z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