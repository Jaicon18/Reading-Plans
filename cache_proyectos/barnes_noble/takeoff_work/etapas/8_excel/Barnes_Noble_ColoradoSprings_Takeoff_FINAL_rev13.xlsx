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<sst xmlns="http://schemas.openxmlformats.org/spreadsheetml/2006/main" count="1105" uniqueCount="752">
  <si>
    <t xml:space="preserve">Barnes &amp; Noble - Colorado Springs, CO (3173 Cinema Point)   |   METAL FRAMING &amp; DRYWALL TAKEOFF</t>
  </si>
  <si>
    <t xml:space="preserve">Bid set: Barnes _ Noble - Colorado Springs, CO - COMBINED BID SET - 250918.pdf   ·   2026-10-24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</si>
  <si>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</si>
  <si>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</si>
  <si>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</si>
  <si>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</si>
  <si>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</si>
  <si>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</si>
  <si>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</si>
  <si>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</si>
  <si>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</si>
  <si>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</si>
  <si>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</si>
  <si>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</si>
  <si>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</si>
  <si>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</si>
  <si>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</si>
  <si>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</si>
  <si>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</si>
  <si>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</si>
  <si>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</si>
  <si>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</si>
  <si>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</si>
  <si>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</si>
  <si>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</si>
  <si>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</si>
  <si>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</si>
  <si>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</si>
  <si>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</si>
  <si>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</si>
  <si>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</si>
  <si>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</si>
  <si>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</si>
  <si>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</si>
  <si>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</si>
  <si>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</si>
  <si>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YIELD: estimator 1.2 / SF; products per A-410 note 8.E (Type S 25/20 ga, Type S-12 18/16/14 ga) and A-001A Div 09 A.5.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</si>
  <si>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</si>
  <si>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</si>
  <si>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</si>
  <si>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A-410 note 8.F spacing, one row @ 16" O.C. = 1.333 ft per pin (estimator decision 2026-10-27, RFI-ACC-slab-pins B).</t>
  </si>
  <si>
    <t xml:space="preserve">Joint compound (lb per SF)</t>
  </si>
  <si>
    <t xml:space="preserve">YIELD: 72 lb per 1,000 SF; Level 4 finish printed on A-001A Div 09 A.8 "PROVIDE AT A MINIMUM A LEVEL 4 FINISH".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</si>
  <si>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</si>
  <si>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</si>
  <si>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</si>
  <si>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</si>
  <si>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</si>
  <si>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</si>
  <si>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</si>
  <si>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</si>
  <si>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</si>
  <si>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</si>
  <si>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</si>
  <si>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</si>
  <si>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</si>
  <si>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</si>
  <si>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Barnes &amp; Noble - Colorado Springs, CO (3173 Cinema Point)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</si>
  <si>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</si>
  <si>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</si>
  <si>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</si>
  <si>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</si>
  <si>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</si>
  <si>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</si>
  <si>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</si>
  <si>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</si>
  <si>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</si>
  <si>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</si>
  <si>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</si>
  <si>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</si>
  <si>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</si>
  <si>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#W2-01+W2-02  -  Storage 112 south wall (door 14, 3'-0" printed, inside wall) + Storage 112 west wall</t>
  </si>
  <si>
    <t xml:space="preserve">W2-01+W2-02</t>
  </si>
  <si>
    <t xml:space="preserve">3-5/8" 14 ga SJ</t>
  </si>
  <si>
    <t xml:space="preserve">Storage 112 south wall (door 14, 3'-0" printed, inside wall) + Storage 112 west wall</t>
  </si>
  <si>
    <t xml:space="preserve">2/A-410</t>
  </si>
  <si>
    <t xml:space="preserve">[DERIVED]</t>
  </si>
  <si>
    <t xml:space="preserve">2  #W2-03  -  Stock Room 111 / Sales + Corridor 110 (door 11 inside wall)</t>
  </si>
  <si>
    <t xml:space="preserve">W2-03</t>
  </si>
  <si>
    <t xml:space="preserve">Stock Room 111 / Sales + Corridor 110 (door 11 inside wall) | Board by face: A Stock Room 111 94.24 x 25 ft (5/8 type X); B Sales Area 101 81.12 x 25 ft (5/8 type X); B Corridor 110 13.12 x 9.5 ft (5/8 type X)</t>
  </si>
  <si>
    <t xml:space="preserve">2  #W2-04  -  BOH north wall: Corridor 110 to Manager's Office 105 (Sales side) (door 4 inside wall)</t>
  </si>
  <si>
    <t xml:space="preserve">W2-04</t>
  </si>
  <si>
    <t xml:space="preserve">BOH north wall: Corridor 110 to Manager's Office 105 (Sales side) (door 4 inside wall) | Board by face: A Sales Area 101 56.76 x 25 ft (5/8 type X); B Corridor 110 29.04 x 9.5 ft (5/8 type X); B Break Room 106 19.03 x 9.5 ft (5/8 type X); B Manager's Office 105 8.69 x 9.5 ft (5/8 type X)</t>
  </si>
  <si>
    <t xml:space="preserve">2  #W2-05  -  Corridor 110 / Women's 109</t>
  </si>
  <si>
    <t xml:space="preserve">W2-05</t>
  </si>
  <si>
    <t xml:space="preserve">Corridor 110 / Women's 109 | Board by face: A Corridor 110 12.92 x 9.5 ft (5/8 type X); B Corridor 110 5.41 x 9.5 ft (5/8 type X); B Women's Restroom 109 7.51 x 9 ft (5/8 type X WR)</t>
  </si>
  <si>
    <t xml:space="preserve">2  #W2-06.1+W2-06.2+W2-06.3+W2-06.4+W2-06.5  -  Restrooms 108/109 + Janitor 107 north run with chase jog (doors 9, 8, 7 inside)</t>
  </si>
  <si>
    <t xml:space="preserve">W2-06.1+W2-06.2+W2-06.3+W2-06.4+W2-06.5</t>
  </si>
  <si>
    <t xml:space="preserve">Restrooms 108/109 + Janitor 107 north run with chase jog (doors 9, 8, 7 inside) | Board by face: W2-06.1 A Corridor 110 6.92 x 9.5 ft (5/8 type X); W2-06.1 B Women's Restroom 109 6.92 x 9 ft (5/8 type X WR); W2-06.2 A Women's Restroom 109 2.23 x 9 ft (5/8 type X WR); W2-06.2 B Corridor 110 2.23 x 9.5 ft (5/8 type X WR); W2-06.3 A Corridor 110 4.87 x 9.5 ft (5/8 type X WR); W2-06.3 B Women's Restroom 109 2.41 x 9 ft (5/8 type X WR); W2-06.3 B Men's Restroom 108 2.46 x 9 ft (5/8 type X WR); W2-06.4 A Corridor 110 2.23 x 9.5 ft (5/8 type X WR); W2-06.4 B Men's Restroom 108 2.23 x 9 ft (5/8 type X WR); W2-06.5 A Corridor 110 11.29 x 9.5 ft (5/8 type X); W2-06.5 B Men's Restroom 108 6.88 x 9 ft (5/8 type X WR); W2-06.5 B Janitor Closet 107 4.41 x 25 ft (5/8 type X WR)</t>
  </si>
  <si>
    <t xml:space="preserve">2  #W2-07  -  Men's 108 / Janitor 107</t>
  </si>
  <si>
    <t xml:space="preserve">W2-07</t>
  </si>
  <si>
    <t xml:space="preserve">Men's 108 / Janitor 107 | Board by face: A Men's Restroom 108 7.51 x 9 ft (5/8 type X WR); B Janitor Closet 107 7.51 x 25 ft (5/8 type X WR)</t>
  </si>
  <si>
    <t xml:space="preserve">2  #W2-08  -  Janitor 107 / Break Room 106 (door 5 inside wall)</t>
  </si>
  <si>
    <t xml:space="preserve">W2-08</t>
  </si>
  <si>
    <t xml:space="preserve">Janitor 107 / Break Room 106 (door 5 inside wall) | Board by face: A Corridor 110 5.41 x 9.5 ft (5/8 type X); A Janitor Closet 107 7.51 x 25 ft (5/8 type X WR); B Break Room 106 12.92 x 9.5 ft (5/8 type X)</t>
  </si>
  <si>
    <t xml:space="preserve">2  #W2-09  -  Break Room 106 / Manager's Office 105 (door 6 inside wall)</t>
  </si>
  <si>
    <t xml:space="preserve">W2-09</t>
  </si>
  <si>
    <t xml:space="preserve">Break Room 106 / Manager's Office 105 (door 6 inside wall) | Board by face: A Break Room 106 12.92 x 9.5 ft (5/8 type X); B Manager's Office 105 12.92 x 9.5 ft (5/8 type X)</t>
  </si>
  <si>
    <t xml:space="preserve">SUBTOTAL TYPE 2</t>
  </si>
  <si>
    <t xml:space="preserve">TYPE 5</t>
  </si>
  <si>
    <t xml:space="preserve">5  #W5-01  -  Plumbing wall between Women's 109 / Men's 108</t>
  </si>
  <si>
    <t xml:space="preserve">W5-01</t>
  </si>
  <si>
    <t xml:space="preserve">6" 20 ga SJ</t>
  </si>
  <si>
    <t xml:space="preserve">Plumbing wall between Women's 109 / Men's 108 | Board by face: A Women's Restroom 109 5.7 x 9 ft (5/8 type X WR); B Men's Restroom 108 5.7 x 9 ft (5/8 type X WR)</t>
  </si>
  <si>
    <t xml:space="preserve">5/A-410</t>
  </si>
  <si>
    <t xml:space="preserve">SUBTOTAL TYPE 5</t>
  </si>
  <si>
    <t xml:space="preserve">TYPE 3</t>
  </si>
  <si>
    <t xml:space="preserve">3  #W3-01  -  Cafe Seating 102, west low wall - west end post</t>
  </si>
  <si>
    <t xml:space="preserve">W3-01</t>
  </si>
  <si>
    <t xml:space="preserve">3-5/8" 20 ga</t>
  </si>
  <si>
    <t xml:space="preserve">Cafe Seating 102, west low wall - west end post</t>
  </si>
  <si>
    <t xml:space="preserve">3/A-410</t>
  </si>
  <si>
    <t xml:space="preserve">3  #W3-02  -  Cafe Seating 102, west low wall - run</t>
  </si>
  <si>
    <t xml:space="preserve">W3-02</t>
  </si>
  <si>
    <t xml:space="preserve">Cafe Seating 102, west low wall - run</t>
  </si>
  <si>
    <t xml:space="preserve">3  #W3-03  -  Cafe Seating 102, east low wall - run</t>
  </si>
  <si>
    <t xml:space="preserve">W3-03</t>
  </si>
  <si>
    <t xml:space="preserve">Cafe Seating 102, east low wall - run</t>
  </si>
  <si>
    <t xml:space="preserve">3  #W3-04  -  Cafe Seating 102, east low wall - east end post</t>
  </si>
  <si>
    <t xml:space="preserve">W3-04</t>
  </si>
  <si>
    <t xml:space="preserve">Cafe Seating 102, east low wall - east end post</t>
  </si>
  <si>
    <t xml:space="preserve">3  #W3-05  -  Cafe Seating 102, west low wall - east end post</t>
  </si>
  <si>
    <t xml:space="preserve">W3-05</t>
  </si>
  <si>
    <t xml:space="preserve">Cafe Seating 102, west low wall - east end post</t>
  </si>
  <si>
    <t xml:space="preserve">3  #W3-06  -  Cafe Seating 102, east low wall - west end post</t>
  </si>
  <si>
    <t xml:space="preserve">W3-06</t>
  </si>
  <si>
    <t xml:space="preserve">Cafe Seating 102, east low wall - west end post</t>
  </si>
  <si>
    <t xml:space="preserve">SUBTOTAL TYPE 3</t>
  </si>
  <si>
    <t xml:space="preserve">TYPE 4</t>
  </si>
  <si>
    <t xml:space="preserve">4  #W4-28a+W4-28b+W4-28c  -  Hourglass display feature, north end cap: bar + Hourglass display feature, north end cap: west end return + Hourglass display feature, north end cap: east end return</t>
  </si>
  <si>
    <t xml:space="preserve">W4-28a+W4-28b+W4-28c</t>
  </si>
  <si>
    <t xml:space="preserve">Hourglass display feature, north end cap: bar + Hourglass display feature, north end cap: west end return + Hourglass display feature, north end cap: east end return</t>
  </si>
  <si>
    <t xml:space="preserve">4/A-410</t>
  </si>
  <si>
    <t xml:space="preserve">4  #W4-28d  -  Hourglass display feature, north end cap: west angled leg from end return to curved wall</t>
  </si>
  <si>
    <t xml:space="preserve">W4-28d</t>
  </si>
  <si>
    <t xml:space="preserve">Hourglass display feature, north end cap: west angled leg from end return to curved wall</t>
  </si>
  <si>
    <t xml:space="preserve">4  #W4-28e  -  Hourglass display feature, north end cap: east angled leg from end return to curved wall</t>
  </si>
  <si>
    <t xml:space="preserve">W4-28e</t>
  </si>
  <si>
    <t xml:space="preserve">Hourglass display feature, north end cap: east angled leg from end return to curved wall</t>
  </si>
  <si>
    <t xml:space="preserve">4  #W4-29a  -  Hourglass display feature, west curved wall (R=32'-9"), chord 1/6 from north (tagged)</t>
  </si>
  <si>
    <t xml:space="preserve">W4-29a</t>
  </si>
  <si>
    <t xml:space="preserve">Hourglass display feature, west curved wall (R=32'-9"), chord 1/6 from north (tagged)</t>
  </si>
  <si>
    <t xml:space="preserve">4  #W4-29b  -  Hourglass display feature, west curved wall (R=32'-9"), chord 2/6 from north</t>
  </si>
  <si>
    <t xml:space="preserve">W4-29b</t>
  </si>
  <si>
    <t xml:space="preserve">Hourglass display feature, west curved wall (R=32'-9"), chord 2/6 from north</t>
  </si>
  <si>
    <t xml:space="preserve">4  #W4-29c  -  Hourglass display feature, west curved wall (R=32'-9"), chord 3/6 from north</t>
  </si>
  <si>
    <t xml:space="preserve">W4-29c</t>
  </si>
  <si>
    <t xml:space="preserve">Hourglass display feature, west curved wall (R=32'-9"), chord 3/6 from north</t>
  </si>
  <si>
    <t xml:space="preserve">4  #W4-29d  -  Hourglass display feature, west curved wall (R=32'-9"), chord 4/6 from north</t>
  </si>
  <si>
    <t xml:space="preserve">W4-29d</t>
  </si>
  <si>
    <t xml:space="preserve">Hourglass display feature, west curved wall (R=32'-9"), chord 4/6 from north</t>
  </si>
  <si>
    <t xml:space="preserve">4  #W4-29e  -  Hourglass display feature, west curved wall (R=32'-9"), chord 5/6 from north</t>
  </si>
  <si>
    <t xml:space="preserve">W4-29e</t>
  </si>
  <si>
    <t xml:space="preserve">Hourglass display feature, west curved wall (R=32'-9"), chord 5/6 from north</t>
  </si>
  <si>
    <t xml:space="preserve">4  #W4-29f  -  Hourglass display feature, west curved wall (R=32'-9"), chord 6/6 from north</t>
  </si>
  <si>
    <t xml:space="preserve">W4-29f</t>
  </si>
  <si>
    <t xml:space="preserve">Hourglass display feature, west curved wall (R=32'-9"), chord 6/6 from north</t>
  </si>
  <si>
    <t xml:space="preserve">4  #W4-30a  -  Hourglass display feature, east curved wall (R=32'-9"), chord 1/6 from north (tagged)</t>
  </si>
  <si>
    <t xml:space="preserve">W4-30a</t>
  </si>
  <si>
    <t xml:space="preserve">Hourglass display feature, east curved wall (R=32'-9"), chord 1/6 from north (tagged)</t>
  </si>
  <si>
    <t xml:space="preserve">4  #W4-30b  -  Hourglass display feature, east curved wall (R=32'-9"), chord 2/6 from north</t>
  </si>
  <si>
    <t xml:space="preserve">W4-30b</t>
  </si>
  <si>
    <t xml:space="preserve">Hourglass display feature, east curved wall (R=32'-9"), chord 2/6 from north</t>
  </si>
  <si>
    <t xml:space="preserve">4  #W4-30c  -  Hourglass display feature, east curved wall (R=32'-9"), chord 3/6 from north</t>
  </si>
  <si>
    <t xml:space="preserve">W4-30c</t>
  </si>
  <si>
    <t xml:space="preserve">Hourglass display feature, east curved wall (R=32'-9"), chord 3/6 from north</t>
  </si>
  <si>
    <t xml:space="preserve">4  #W4-30d  -  Hourglass display feature, east curved wall (R=32'-9"), chord 4/6 from north</t>
  </si>
  <si>
    <t xml:space="preserve">W4-30d</t>
  </si>
  <si>
    <t xml:space="preserve">Hourglass display feature, east curved wall (R=32'-9"), chord 4/6 from north</t>
  </si>
  <si>
    <t xml:space="preserve">4  #W4-30e  -  Hourglass display feature, east curved wall (R=32'-9"), chord 5/6 from north</t>
  </si>
  <si>
    <t xml:space="preserve">W4-30e</t>
  </si>
  <si>
    <t xml:space="preserve">Hourglass display feature, east curved wall (R=32'-9"), chord 5/6 from north</t>
  </si>
  <si>
    <t xml:space="preserve">4  #W4-30f  -  Hourglass display feature, east curved wall (R=32'-9"), chord 6/6 from north</t>
  </si>
  <si>
    <t xml:space="preserve">W4-30f</t>
  </si>
  <si>
    <t xml:space="preserve">Hourglass display feature, east curved wall (R=32'-9"), chord 6/6 from north</t>
  </si>
  <si>
    <t xml:space="preserve">4  #W4-31a+W4-31b+W4-31c  -  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</si>
  <si>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W4-31a+W4-31b+W4-31c</t>
  </si>
  <si>
    <t xml:space="preserve">Hourglass display feature, south end cap: bar (untagged TYP. copy of the PT0037 north cap) + Hourglass display feature, south end cap: west end return (untagged TYP. copy of the PT0037 north cap) + Hourglass display feature, south end cap: east end return (untagged TYP. copy of the PT0037 north cap)</t>
  </si>
  <si>
    <t xml:space="preserve">4  #W4-31d  -  Hourglass display feature, south end cap: west angled leg from end return to curved wall (untagged TYP. copy of the PT0037 north cap)</t>
  </si>
  <si>
    <t xml:space="preserve">W4-31d</t>
  </si>
  <si>
    <t xml:space="preserve">Hourglass display feature, south end cap: west angled leg from end return to curved wall (untagged TYP. copy of the PT0037 north cap)</t>
  </si>
  <si>
    <t xml:space="preserve">4  #W4-31e  -  Hourglass display feature, south end cap: east angled leg from end return to curved wall (untagged TYP. copy of the PT0037 north cap)</t>
  </si>
  <si>
    <t xml:space="preserve">W4-31e</t>
  </si>
  <si>
    <t xml:space="preserve">Hourglass display feature, south end cap: east angled leg from end return to curved wall (untagged TYP. copy of the PT0037 north cap)</t>
  </si>
  <si>
    <t xml:space="preserve">SUBTOTAL TYPE 4</t>
  </si>
  <si>
    <t xml:space="preserve">TYPE H1</t>
  </si>
  <si>
    <t xml:space="preserve">H1  #C-H1-N  -  Cafe Workroom 104 north wall (to Sales / Grab &amp; Go)</t>
  </si>
  <si>
    <t xml:space="preserve">C-H1-N</t>
  </si>
  <si>
    <t xml:space="preserve">Cafe Workroom 104 north wall (to Sales / Grab &amp; Go) | Board by face: A Sales Area 101 25.9 x 25 ft (5/8 type X); A Grab &amp; Go 4.08 x 7.58 ft (5/8 type X)</t>
  </si>
  <si>
    <t xml:space="preserve">G/A-221</t>
  </si>
  <si>
    <t xml:space="preserve">H1  #C-H1-W  -  Cafe Workroom 104 west wall</t>
  </si>
  <si>
    <t xml:space="preserve">C-H1-W</t>
  </si>
  <si>
    <t xml:space="preserve">Cafe Workroom 104 west wall | Board by face: A Manager's Office 105 12.17 x 9.5 ft (5/8 type X)</t>
  </si>
  <si>
    <t xml:space="preserve">SUBTOTAL TYPE H1</t>
  </si>
  <si>
    <t xml:space="preserve">TYPE H2A</t>
  </si>
  <si>
    <t xml:space="preserve">H2A  #C-H2a  -  Cafe Workroom 104 / Cafe Sales (4'-0" door inside wall)</t>
  </si>
  <si>
    <t xml:space="preserve">C-H2a</t>
  </si>
  <si>
    <t xml:space="preserve">Cafe Workroom 104 / Cafe Sales (4'-0" door inside wall) | Board by face: B Cafe 103 12.17 x 25 ft (5/8 type X)</t>
  </si>
  <si>
    <t xml:space="preserve">SUBTOTAL TYPE H2A</t>
  </si>
  <si>
    <t xml:space="preserve">TYPE H2B</t>
  </si>
  <si>
    <t xml:space="preserve">H2B  #C-H2b  -  Cafe Workroom 104 stub wall</t>
  </si>
  <si>
    <t xml:space="preserve">C-H2b</t>
  </si>
  <si>
    <t xml:space="preserve">Cafe Workroom 104 stub wall</t>
  </si>
  <si>
    <t xml:space="preserve">SUBTOTAL TYPE H2B</t>
  </si>
  <si>
    <t xml:space="preserve">TYPE H3A</t>
  </si>
  <si>
    <t xml:space="preserve">H3A  #C-H3a  -  Grab &amp; Go north wall</t>
  </si>
  <si>
    <t xml:space="preserve">C-H3a</t>
  </si>
  <si>
    <t xml:space="preserve">Grab &amp; Go north wall | Board by face: B Grab &amp; Go 4.08 x 7.58 ft (5/8 type X); A Sales Area 101 4.08 x 10 ft (5/8 type X)</t>
  </si>
  <si>
    <t xml:space="preserve">H/A-221</t>
  </si>
  <si>
    <t xml:space="preserve">SUBTOTAL TYPE H3A</t>
  </si>
  <si>
    <t xml:space="preserve">TYPE H3B</t>
  </si>
  <si>
    <t xml:space="preserve">H3B  #C-H3b  -  Grab &amp; Go west wall</t>
  </si>
  <si>
    <t xml:space="preserve">C-H3b</t>
  </si>
  <si>
    <t xml:space="preserve">Grab &amp; Go west wall | Board by face: B Grab &amp; Go 6.17 x 7.58 ft (5/8 type X); A Sales Area 101 6.17 x 17 ft (5/8 type X)</t>
  </si>
  <si>
    <t xml:space="preserve">SUBTOTAL TYPE H3B</t>
  </si>
  <si>
    <t xml:space="preserve">TYPE E2</t>
  </si>
  <si>
    <t xml:space="preserve">E2  #C-E2  -  South wall, Cafe Workroom 104 (in front of demising / exterior wall)</t>
  </si>
  <si>
    <t xml:space="preserve">C-E2</t>
  </si>
  <si>
    <t xml:space="preserve">South wall, Cafe Workroom 104 (in front of demising / exterior wall)</t>
  </si>
  <si>
    <t xml:space="preserve">E/A-221</t>
  </si>
  <si>
    <t xml:space="preserve">SUBTOTAL TYPE E2</t>
  </si>
  <si>
    <t xml:space="preserve">TYPE E1</t>
  </si>
  <si>
    <t xml:space="preserve">E1  #C-E1-B  -  Box at SE corner of Cafe Sales - west side</t>
  </si>
  <si>
    <t xml:space="preserve">C-E1-B</t>
  </si>
  <si>
    <t xml:space="preserve">Box at SE corner of Cafe Sales - west side | Board by face: A Cafe 103 2.31 x 11.5 ft (1/2 cement board)</t>
  </si>
  <si>
    <t xml:space="preserve">E1  #C-E1-P.2  -  Pier at Workroom door (1'-0" x 2'-8" HOLD printed)</t>
  </si>
  <si>
    <t xml:space="preserve">C-E1-P.2</t>
  </si>
  <si>
    <t xml:space="preserve">Pier at Workroom door (1'-0" x 2'-8" HOLD printed) | Board by face: A Cafe 103 2.11 x 12 ft (1/2 cement board)</t>
  </si>
  <si>
    <t xml:space="preserve">E1  #C-E1-S  -  South wall, Cafe Sales 103 (in front of exterior wall)</t>
  </si>
  <si>
    <t xml:space="preserve">C-E1-S</t>
  </si>
  <si>
    <t xml:space="preserve">South wall, Cafe Sales 103 (in front of exterior wall) | Board by face: A Cafe 103 19 x 12 ft (1/2 cement board); A concealed: behind the Workroom door pier and inside the SE box (no cement board) 4.46 x 0 ft (1/2 cement board)</t>
  </si>
  <si>
    <t xml:space="preserve">SUBTOTAL TYPE E1</t>
  </si>
  <si>
    <t xml:space="preserve">TYPE F</t>
  </si>
  <si>
    <t xml:space="preserve">F  #C-F  -  Box at SE corner of Cafe Sales - north side (3'-3" printed)</t>
  </si>
  <si>
    <t xml:space="preserve">C-F</t>
  </si>
  <si>
    <t xml:space="preserve">Box at SE corner of Cafe Sales - north side (3'-3" printed)</t>
  </si>
  <si>
    <t xml:space="preserve">F/A-221</t>
  </si>
  <si>
    <t xml:space="preserve">SUBTOTAL TYPE F</t>
  </si>
  <si>
    <t xml:space="preserve">TYPE I</t>
  </si>
  <si>
    <t xml:space="preserve">I  #C-I  -  Box at SE corner of Cafe Sales - east side</t>
  </si>
  <si>
    <t xml:space="preserve">C-I</t>
  </si>
  <si>
    <t xml:space="preserve">Box at SE corner of Cafe Sales - east side | Board by face: A Cafe 103 2.31 x 10 ft (5/8 type X)</t>
  </si>
  <si>
    <t xml:space="preserve">I/A-221</t>
  </si>
  <si>
    <t xml:space="preserve">I  #C-I-E1  -  Type I end face (I SIM.) at the east end of C-H3a, Sales side</t>
  </si>
  <si>
    <t xml:space="preserve">C-I-E1</t>
  </si>
  <si>
    <t xml:space="preserve">Type I end face (I SIM.) at the east end of C-H3a, Sales side | Board by face: A Sales Area 101 0.6 x 10 ft (5/8 type X)</t>
  </si>
  <si>
    <t xml:space="preserve">I  #C-I-E2  -  Type I end face (I SIM.) at the east end of C-H1-N, Sales side</t>
  </si>
  <si>
    <t xml:space="preserve">C-I-E2</t>
  </si>
  <si>
    <t xml:space="preserve">Type I end face (I SIM.) at the east end of C-H1-N, Sales side | Board by face: A Sales Area 101 0.6 x 10 ft (5/8 type X)</t>
  </si>
  <si>
    <t xml:space="preserve">I  #C-I-P.1  -  1'-0" return at the top of the Workroom door pier (I tag)</t>
  </si>
  <si>
    <t xml:space="preserve">C-I-P.1</t>
  </si>
  <si>
    <t xml:space="preserve">1'-0" return at the top of the Workroom door pier (I tag) | Board by face: A Cafe 103 1 x 10 ft (5/8 type X)</t>
  </si>
  <si>
    <t xml:space="preserve">SUBTOTAL TYPE I</t>
  </si>
  <si>
    <t xml:space="preserve">TYPE A</t>
  </si>
  <si>
    <t xml:space="preserve">A  #C-A-1  -  Front counter - straight run</t>
  </si>
  <si>
    <t xml:space="preserve">C-A-1</t>
  </si>
  <si>
    <t xml:space="preserve">Front counter - straight run</t>
  </si>
  <si>
    <t xml:space="preserve">A/A-221</t>
  </si>
  <si>
    <t xml:space="preserve">A  #C-A-2  -  Front counter - 45 deg segment</t>
  </si>
  <si>
    <t xml:space="preserve">C-A-2</t>
  </si>
  <si>
    <t xml:space="preserve">Front counter - 45 deg segment</t>
  </si>
  <si>
    <t xml:space="preserve">A  #C-A-3  -  Front counter - east run to box</t>
  </si>
  <si>
    <t xml:space="preserve">C-A-3</t>
  </si>
  <si>
    <t xml:space="preserve">Front counter - east run to box</t>
  </si>
  <si>
    <t xml:space="preserve">SUBTOTAL TYPE A</t>
  </si>
  <si>
    <t xml:space="preserve">TYPE B</t>
  </si>
  <si>
    <t xml:space="preserve">B  #C-B  -  Pastry counter - west leg</t>
  </si>
  <si>
    <t xml:space="preserve">C-B</t>
  </si>
  <si>
    <t xml:space="preserve">Pastry counter - west leg</t>
  </si>
  <si>
    <t xml:space="preserve">B/A-221</t>
  </si>
  <si>
    <t xml:space="preserve">SUBTOTAL TYPE B</t>
  </si>
  <si>
    <t xml:space="preserve">TYPE D</t>
  </si>
  <si>
    <t xml:space="preserve">D  #C-D  -  Pastry counter - south (between legs)</t>
  </si>
  <si>
    <t xml:space="preserve">C-D</t>
  </si>
  <si>
    <t xml:space="preserve">Pastry counter - south (between legs)</t>
  </si>
  <si>
    <t xml:space="preserve">D/A-221</t>
  </si>
  <si>
    <t xml:space="preserve">SUBTOTAL TYPE D</t>
  </si>
  <si>
    <t xml:space="preserve">TYPE C</t>
  </si>
  <si>
    <t xml:space="preserve">C  #C-C  -  Pastry counter - east leg</t>
  </si>
  <si>
    <t xml:space="preserve">C-C</t>
  </si>
  <si>
    <t xml:space="preserve">Pastry counter - east leg</t>
  </si>
  <si>
    <t xml:space="preserve">C/A-221</t>
  </si>
  <si>
    <t xml:space="preserve">SUBTOTAL TYPE C</t>
  </si>
  <si>
    <t xml:space="preserve">TOTAL - PARTITIONS (GRAND TOTAL)</t>
  </si>
  <si>
    <t xml:space="preserve">TYPE OTHER FRAMING (NOT A PARTITION)</t>
  </si>
  <si>
    <t xml:space="preserve">column_wrap  #CW-01  -  Sales Area 101 - existing column, new 24"x24" GWB surround (keynote C25)</t>
  </si>
  <si>
    <t xml:space="preserve">CW-01</t>
  </si>
  <si>
    <t xml:space="preserve">Sales Area 101 - existing column, new 24"x24" GWB surround (keynote C25)</t>
  </si>
  <si>
    <t xml:space="preserve">C25/A-101</t>
  </si>
  <si>
    <t xml:space="preserve">column_wrap  #CW-02  -  Sales Area 101 - existing column, new 24"x24" GWB surround (keynote C25)</t>
  </si>
  <si>
    <t xml:space="preserve">CW-02</t>
  </si>
  <si>
    <t xml:space="preserve">column_wrap  #CW-03  -  Sales Area 101 - existing column, new 24"x24" GWB surround (keynote C25)</t>
  </si>
  <si>
    <t xml:space="preserve">CW-03</t>
  </si>
  <si>
    <t xml:space="preserve">column_wrap  #CW-04  -  Sales Area 101 - existing column, new 24"x24" GWB surround (keynote C25)</t>
  </si>
  <si>
    <t xml:space="preserve">CW-04</t>
  </si>
  <si>
    <t xml:space="preserve">column_wrap  #CW-05  -  Sales Area 101 - existing column, new 24"x24" GWB surround (keynote C25)</t>
  </si>
  <si>
    <t xml:space="preserve">CW-05</t>
  </si>
  <si>
    <t xml:space="preserve">column_wrap  #CW-06  -  Sales Area 101 - existing column, new 24"x24" GWB surround (keynote C25)</t>
  </si>
  <si>
    <t xml:space="preserve">CW-06</t>
  </si>
  <si>
    <t xml:space="preserve">column_wrap  #CW-07  -  Sales Area 101 - existing column, new 24"x24" GWB surround (keynote C25)</t>
  </si>
  <si>
    <t xml:space="preserve">CW-07</t>
  </si>
  <si>
    <t xml:space="preserve">column_wrap  #CW-08  -  Sales Area 101 - existing column, new 24"x24" GWB surround (keynote C25)</t>
  </si>
  <si>
    <t xml:space="preserve">CW-08</t>
  </si>
  <si>
    <t xml:space="preserve">column_wrap  #CW-09  -  Sales Area 101 - existing column, new 24"x24" GWB surround (keynote C25)</t>
  </si>
  <si>
    <t xml:space="preserve">CW-09</t>
  </si>
  <si>
    <t xml:space="preserve">soffit_side  #SS-N  -  Cafe 11'-0" zone N open edge to Sales</t>
  </si>
  <si>
    <t xml:space="preserve">SS-N</t>
  </si>
  <si>
    <t xml:space="preserve">Cafe 11'-0" zone N open edge to Sales | Board by face: A Cafe 103 22.77 x 10 ft (5/8 type X)</t>
  </si>
  <si>
    <t xml:space="preserve">2/A-221</t>
  </si>
  <si>
    <t xml:space="preserve">soffit_side  #SS-E  -  Cafe 11'-0" zone E open edge to Sales</t>
  </si>
  <si>
    <t xml:space="preserve">SS-E</t>
  </si>
  <si>
    <t xml:space="preserve">Cafe 11'-0" zone E open edge to Sales | Board by face: A Cafe 103 10.12 x 10 ft (5/8 type X)</t>
  </si>
  <si>
    <t xml:space="preserve">soffit_side  #SS-IN-N  -  Cafe 11'-6" band N edge (6" step)</t>
  </si>
  <si>
    <t xml:space="preserve">SS-IN-N</t>
  </si>
  <si>
    <t xml:space="preserve">Cafe 11'-6" band N edge (6" step) | Board by face: A Cafe 103 20 x 0.5 ft (5/8 type X)</t>
  </si>
  <si>
    <t xml:space="preserve">soffit_side  #SS-IN-E  -  Cafe 11'-6" band E edge (6" step)</t>
  </si>
  <si>
    <t xml:space="preserve">SS-IN-E</t>
  </si>
  <si>
    <t xml:space="preserve">Cafe 11'-6" band E edge (6" step) | Board by face: A Cafe 103 6.25 x 0.5 ft (5/8 type X)</t>
  </si>
  <si>
    <t xml:space="preserve">soffit_side  #SS-GG  -  Grab &amp; Go header soffit over the open east side (6'-2" HOLD)</t>
  </si>
  <si>
    <t xml:space="preserve">SS-GG</t>
  </si>
  <si>
    <t xml:space="preserve">Grab &amp; Go header soffit over the open east side (6'-2" HOLD) | Board by face: A Sales Area 101 6.17 x 10 ft (5/8 type X)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</si>
  <si>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</si>
  <si>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</si>
  <si>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</si>
  <si>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</si>
  <si>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</si>
  <si>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</si>
  <si>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</si>
  <si>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</si>
  <si>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</si>
  <si>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</si>
  <si>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</si>
  <si>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</si>
  <si>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</si>
  <si>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Bottom track 3-5/8"</t>
  </si>
  <si>
    <t xml:space="preserve">LF</t>
  </si>
  <si>
    <t xml:space="preserve">run 10 ft</t>
  </si>
  <si>
    <t xml:space="preserve">N/SHEET: 2/A-410, 3/A-410, 4/A-410, G/A-221, F/A-221, A/A-221, B/A-221, D/A-221, C/A-221 | Breakdown [DERIVED]: W2-01 48.77 + W2-02 4.99 + W2-03 94.24 + W2-04 56.76 + W2-05 12.92 + W2-06.1 6.92 + W2-06.2 2.23 + W2-06.3 4.87 + W2-06.4 2.23 + W2-06.5 11.29 + W2-07 7.51 + W2-08 12.92 + W2-09 12.92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C-H2a 12.17 + C-H2b 1.95 + C-F 3.26 + C-A-1 9.89 + C-A-2 4.14 + C-A-3 6.24 + C-B 3.17 + C-D 5.14 + C-C 3.17 = 450.02 LF (wall length x rows) | Track gauge = stud gauge (A-410 schedule note 2): 14 ga SJ 295.95 LF; 20 ga 154.07 LF</t>
  </si>
  <si>
    <t xml:space="preserve">Bottom track 6"</t>
  </si>
  <si>
    <t xml:space="preserve">N/SHEET: 5/A-410, G/A-221, H/A-221, E/A-221, I/A-221 | Breakdown [DERIVED]: W5-01 5.7 + C-H1-N 29.98 + C-H1-W 12.17 + C-H3a 4.08 + C-H3b 6.17 + C-E2 29.3 + C-E1-S 23.46 + C-I-P.1 1 + C-E1-P.2 2.11 + C-E1-B 2.31 + C-I 2.31 = 118.59 LF (wall length x rows) | Track gauge = stud gauge (A-410 schedule note 2): 20 ga SJ 118.59 LF</t>
  </si>
  <si>
    <t xml:space="preserve">Bottom track - other framing (not a partition type, see source)</t>
  </si>
  <si>
    <t xml:space="preserve">N/SHEET: C25/A-101 | Breakdown [DERIVED]: CW-01 8 + CW-02 8 + CW-03 8 + CW-04 8 + CW-05 8 + CW-06 8 + CW-07 8 + CW-08 8 + CW-09 8 = 72 LF (wall length x rows) | Track gauge = stud gauge (A-410 schedule note 2): 20 ga 72 LF</t>
  </si>
  <si>
    <t xml:space="preserve">Top / deflection track 3-5/8"</t>
  </si>
  <si>
    <t xml:space="preserve">Top / deflection track 6"</t>
  </si>
  <si>
    <t xml:space="preserve">Top / deflection track - other framing (not a partition type, see source)</t>
  </si>
  <si>
    <t xml:space="preserve">8" stud (all gauges)</t>
  </si>
  <si>
    <t xml:space="preserve">stick 20 ft</t>
  </si>
  <si>
    <t xml:space="preserve">N/SHEET: 8/A-210 | Breakdown [DERIVED]: VEST-BOX-BEAM-STUD 25.33 = 25.33 LF (per wall: field + jambs + nodes + cripples x height; plus listed elements)</t>
  </si>
  <si>
    <t xml:space="preserve">6" metal stud (LF of material)</t>
  </si>
  <si>
    <t xml:space="preserve">N/SHEET: 5/A-410, G/A-221, H/A-221, E/A-221, I/A-221, 3/A-221, 8/A-410 | Breakdown [DERIVED]: W5-01 175 + C-H1-N 650 + C-H1-W 300 + C-H3a 150 + C-H3b 175 + C-E2 575 + C-E1-S 525 + C-I-P.1 75 + C-E1-P.2 75 + C-E1-B 125 + C-I 75 + SS-GG 107.5 + CROSS-MEMBERS-8-A410-6 155 = 3,162.5 LF (per wall: field + jambs + nodes + cripples x height; plus listed elements) | By gauge (A-410 Metal Stud Schedule): 20 ga SJ 3,007.5 LF; elements (gauge in their operation) 155 LF</t>
  </si>
  <si>
    <t xml:space="preserve">3-5/8" metal stud (LF of material)</t>
  </si>
  <si>
    <t xml:space="preserve">N/SHEET: 2/A-410, 3/A-410, 4/A-410, G/A-221, F/A-221, A/A-221, B/A-221, D/A-221, C/A-221, 2/A-221, C25/A-101, 7/A-210, 8/A-410 | Breakdown [DERIVED]: W2-01 1,061 + W2-02 125 + W2-03 1,879 + W2-04 1,211 + W2-05 300 + W2-06.1 311 + W2-06.2 100 + W2-06.3 150 + W2-06.4 100 + W2-06.5 447 + W2-07 200 + W2-08 386 + W2-09 386 + W3-01 32 + W3-02 96 + W3-05 32 + W3-03 96 + W3-06 32 + W3-04 32 + W4-28a 75 + W4-28b 30 + W4-28c 30 + W4-28d 30 + W4-28e 30 + W4-29a 45 + W4-29b 45 + W4-29c 45 + W4-29d 45 + W4-29e 45 + W4-29f 45 + W4-30a 45 + W4-30b 45 + W4-30c 45 + W4-30d 45 + W4-30e 45 + W4-30f 45 + W4-31a 75 + W4-31b 30 + W4-31c 30 + W4-31d 22.5 + W4-31e 22.5 + C-H2a 376 + C-H2b 100 + C-F 125 + C-A-1 29.79 + C-A-2 16.25 + C-A-3 18.96 + C-B 16.25 + C-D 6 + C-C 10.83 + SS-N 280 + SS-E 126 + SS-IN-N 243 + SS-IN-E 81 + CW-01 96 + CW-02 96 + CW-03 96 + CW-04 96 + CW-05 96 + CW-06 96 + CW-07 96 + CW-08 96 + CW-09 96 + DIAG-BRACES-T2 468 + VEST-POSTS-STUD 126 + WH-BACKING-STUD 8 + WH-STEEL-BLOCKING 2.67 + DIAG-BRACES-CAFE 44 + CROSS-MEMBERS-8-A410-3 550 + SOFFIT-CROSS-BRACING-2-A221 90 + F-NESTED-BRACING 6.52 + NESTED-BRACING-T3-T4 122.32 = 11,601.59 LF (per wall: field + jambs + nodes + cripples x height; plus listed elements) | By gauge (A-410 Metal Stud Schedule): 14 ga SJ 7,257 LF; 20 ga 2,927.08 LF; elements (gauge in their operation) 1,417.51 LF</t>
  </si>
  <si>
    <t xml:space="preserve">Ceiling perimeter track at GWB ceilings (size not printed, RFI)</t>
  </si>
  <si>
    <t xml:space="preserve">N/SHEET: 1/A-121, 5/A-121 | Breakdown [DERIVED]: Women's Restroom 109 32.33 + Men's Restroom 108 32.33 + Cafe 103 - 11'-6" GWB band 52.51 + Cafe 103 - 9'-0" GWB band 43.33 + Grab &amp; Go 20.49 = 180.99 LF</t>
  </si>
  <si>
    <t xml:space="preserve">Bracing 1-1/2" C.R. channel @ 48" O.C.</t>
  </si>
  <si>
    <t xml:space="preserve">C.R. channel 16 ft</t>
  </si>
  <si>
    <t xml:space="preserve">N/SHEET: 5/A-410, 2/A-410, 5/A-410, 3/A-410, 4/A-410, C25/A-101, G/A-221, H/A-221, E/A-221, I/A-221, F/A-221, 2/A-221, 3/A-221 | Breakdown [DERIVED]: W2-01 292.62 + W2-02 29.94 + W2-03 565.44 + W2-04 340.56 + W2-05 77.52 + W2-06.1 41.52 + W2-06.2 13.38 + W2-06.3 29.22 + W2-06.4 13.38 + W2-06.5 67.74 + W2-07 45.06 + W2-08 77.52 + W2-09 77.52 + W5-01 34.2 + W3-01 3.67 + W3-02 12 + W3-05 3.67 + W3-03 12 + W3-06 3.67 + W3-04 3.67 + W4-28a 9 + W4-28b 1.84 + W4-28c 1.84 + W4-28d 1.77 + W4-28e 1.72 + W4-29a 4.27 + W4-29b 4.27 + W4-29c 4.29 + W4-29d 4.29 + W4-29e 4.27 + W4-29f 4.29 + W4-30a 4.28 + W4-30b 4.28 + W4-30c 4.28 + W4-30d 4.28 + W4-30e 4.28 + W4-30f 4.28 + W4-31a 9 + W4-31b 1.84 + W4-31c 1.84 + W4-31d 1.75 + W4-31e 1.68 + CW-01 8 + CW-02 8 + CW-03 8 + CW-04 8 + CW-05 8 + CW-06 8 + CW-07 8 + CW-08 8 + CW-09 8 + C-H1-N 179.88 + C-H1-W 73.02 + C-H2a 73.02 + C-H2b 11.7 + C-H3a 24.48 + C-H3b 37.02 + C-E2 175.8 + C-E1-S 140.76 + C-I-P.1 6 + C-E1-P.2 12.66 + C-E1-B 13.86 + C-F 19.56 + C-I 13.86 + SS-N 68.31 + SS-E 30.36 + SS-IN-N 60 + SS-IN-E 18.75 + SS-GG 24.67 = 2,883.65 LF (rows = ROUNDUP(H x 12 / 48) - 1, x length)</t>
  </si>
  <si>
    <t xml:space="preserve">Furring channel (ceilings)</t>
  </si>
  <si>
    <t xml:space="preserve">hat channel 12 ft</t>
  </si>
  <si>
    <t xml:space="preserve">N/SHEET: 5/A-121, 1/A-121 | Breakdown [DERIVED]: Women's Restroom 109 42.36 + Men's Restroom 108 42.31 + Cafe 103 - 11'-6" GWB band 68.78 + Cafe 103 - 9'-0" GWB band 29.34 + Grab &amp; Go 24.67 = 207.46 LF</t>
  </si>
  <si>
    <t xml:space="preserve">Carrying channel (ceilings)</t>
  </si>
  <si>
    <t xml:space="preserve">N/SHEET: 5/A-121, 1/A-121 | Breakdown [DERIVED]: Women's Restroom 109 24.48 + Men's Restroom 108 24.44 + Cafe 103 - 11'-6" GWB band 60 + Cafe 103 - 9'-0" GWB band 38 + Grab &amp; Go 12.24 = 159.16 LF</t>
  </si>
  <si>
    <t xml:space="preserve">Hanger wire</t>
  </si>
  <si>
    <t xml:space="preserve">N/SHEET: 5/A-121, 1/A-121 | Breakdown [DERIVED]: Women's Restroom 109 144 + Men's Restroom 108 144 + Cafe 103 - 11'-6" GWB band 243 + Cafe 103 - 9'-0" GWB band 192 + Cafe Seating Area 102 - GWB cloud 715 + Grab &amp; Go 107.5 + HANGERS-FIXTURES-5-A121 401 + SPLAY-WIRES-5-A121 743.29 = 2,689.79 LF (hangers @ 48" O.C. x drop to deck per room)</t>
  </si>
  <si>
    <t xml:space="preserve">Blocking FRT / 2X FRT wood</t>
  </si>
  <si>
    <t xml:space="preserve">2x lumber 16 ft</t>
  </si>
  <si>
    <t xml:space="preserve">N/SHEET: 7/A-413, 8A/A-413, 4/A-412, 6/A-412, 4/A-101 | Breakdown [DERIVED]: BLK-STOCK 387 + BLK-RECEIVING 69 + BLK-OFFICE 85.6 + BLK-BREAK 10.67 + BLK-FE-CABINETS 16 = 568.27 LF</t>
  </si>
  <si>
    <t xml:space="preserve">5/8" gypsum board, Type X</t>
  </si>
  <si>
    <t xml:space="preserve">SF</t>
  </si>
  <si>
    <t xml:space="preserve">4x12 ft sheet (Inputs)</t>
  </si>
  <si>
    <t xml:space="preserve">N/SHEET: 2/A-410, 3/A-410, 4/A-410, C25/A-101, G/A-221, H/A-221, I/A-221, 2/A-221, 3/A-221, 5/A-121, 4/A-121, 4/A-210, 2/A-210, A-001A | Breakdown [DERIVED]: W2-01 2,438.5 + W2-02 249.5 + W2-03 4,508.64 + W2-04 1,958.22 + W2-05 174.14 + W2-06.1 65.74 + W2-06.5 107.25 + W2-08 174.14 + W2-09 245.48 + W3-01 29.36 + W3-02 96 + W3-05 29.36 + W3-03 96 + W3-06 29.36 + W3-04 29.36 + W4-28a 67.5 + W4-28b 13.8 + W4-28c 13.8 + W4-28d 13.28 + W4-28e 12.9 + W4-29a 32.02 + W4-29b 32.02 + W4-29c 32.17 + W4-29d 32.17 + W4-29e 32.02 + W4-29f 32.17 + W4-30a 32.1 + W4-30b 32.1 + W4-30c 32.1 + W4-30d 32.1 + W4-30e 32.1 + W4-30f 32.1 + W4-31a 67.5 + W4-31b 13.8 + W4-31c 13.8 + W4-31d 13.12 + W4-31e 12.6 + CW-01 64 + CW-02 64 + CW-03 64 + CW-04 64 + CW-05 64 + CW-06 64 + CW-07 64 + CW-08 64 + CW-09 64 + C-H1-N 678.44 + C-H1-W 115.61 + C-H2a 304.25 + C-H3a 71.74 + C-H3b 151.68 + C-I-P.1 10 + C-I 23.1 + SS-N 227.7 + SS-E 101.2 + SS-IN-N 10 + SS-IN-E 3.12 + SS-GG 61.67 + C-I-E1 6.03 + C-I-E2 6.03 + ceiling Cafe 103 - 11'-6" GWB band 125.07 + ceiling Cafe 103 - 9'-0" GWB band 50.67 + ceiling Cafe Seating Area 102 - GWB cloud 573.69 + ceiling Cafe 103 - 11'-0" GWB zone 109.65 + ceiling Grab &amp; Go 25.16 + VEST-GWB 105.5 + SS-GG-BOTTOM-GWB 3.73 + VEST-GWB-BANDS 14.96 + CLOUD-FASCIA-GWB 53.6 = 14,266.92 SF (faces: length x face height x layers - openings; ceilings: RCP area)</t>
  </si>
  <si>
    <t xml:space="preserve">5/8" gypsum board, Type X W.R. (water resistant)</t>
  </si>
  <si>
    <t xml:space="preserve">N/SHEET: 2/A-410, 5/A-410, 5/A-121, 22/A-201, A-001A | Breakdown [DERIVED]: W2-05 67.59 + W2-06.1 62.28 + W2-06.2 41.25 + W2-06.3 90.1 + W2-06.4 41.25 + W2-06.5 172.17 + W2-07 255.34 + W2-08 187.75 + W5-01 102.6 + ceiling Women's Restroom 109 61.19 + ceiling Men's Restroom 108 61.11 + RESTROOM-BASE-WR-DEDUCT -50.04 = 1,092.59 SF (faces: length x face height x layers - openings; ceilings: RCP area)</t>
  </si>
  <si>
    <t xml:space="preserve">8" metal joist (ceiling box)</t>
  </si>
  <si>
    <t xml:space="preserve">N/SHEET: 4/A-210 | 8" JOISTS @ 16" O.C.: ROUNDUP(152/16)+1 = 11 x (7'-8" + 2" + 2" = 8.0 ft) = 88.0 LF (1/A-210 12'-8" N-S)</t>
  </si>
  <si>
    <t xml:space="preserve">USG drywall suspension main tee DGLW26</t>
  </si>
  <si>
    <t xml:space="preserve">main tee 12 ft</t>
  </si>
  <si>
    <t xml:space="preserve">N/SHEET: 4/A-121, 1/A-121 | USG drywall suspension grid: main tee ROUNDUP(14.773/4.0)+1 = 5 x 38.833 = 194.16; cross tee ROUNDUP(38.833/1.333)+1 = 31 x 14.773 = 457.96; channel + angle molding 107.21 each</t>
  </si>
  <si>
    <t xml:space="preserve">USG drywall suspension cross tee DGLW424</t>
  </si>
  <si>
    <t xml:space="preserve">cross tee 4 ft</t>
  </si>
  <si>
    <t xml:space="preserve">USG channel molding DGCM27</t>
  </si>
  <si>
    <t xml:space="preserve">molding 12 ft</t>
  </si>
  <si>
    <t xml:space="preserve">USG angle molding DGWM24</t>
  </si>
  <si>
    <t xml:space="preserve">Clip angle 16 ga (5/A-410 bracing clips + 7/A-210 nested header clips)</t>
  </si>
  <si>
    <t xml:space="preserve">PCS</t>
  </si>
  <si>
    <t xml:space="preserve">piece</t>
  </si>
  <si>
    <t xml:space="preserve">N/SHEET: 5/A-410, 7/A-210 | Breakdown [DERIVED]: CLIP-ANGLES-5-A410 2,518 + CLIP-ANGLES-7-A210 4 = 2,522 PCS | 2" x 2" 16 GA. CLIP ANGLE at each stud per bracing row, (4) TEK SCREWS (5/A-410): rows x studs = W2-01 6x38 + W2-02 6x5 + W2-03 6x72 + W2-04 6x44 + W2-05 6x11 + W2-06.1 6x7 + W2-06.2 6x3 + W2-06.3 6x5 + W2-06.4 6x3 + W2-06.5 6x10 + W2-07 6x7 + W2-08 6x11 + W2-09 6x11 + W5-01 6x6 + W3-01 1x4 + W3-02 1x10 + W3-05 1x4 + W3-03 1x10 + W3-06 1x4 + W3-04 1x4 + W4-28a 1x8 + W4-28b 1x3 + W4-28c 1x3 + W4-28d 1x3 + W4-28e 1x3 + W4-29a 1x5 + W4-29b 1x5 + W4-29c 1x5 + W4-29d 1x5 + W4-29e 1x5 + W4-29f 1x5 + W4-30a 1x5 + W4-30b 1x5 + W4-30c 1x5 + W4-30d 1x5 + W4-30e 1x5 + W4-30f 1x5 + W4-31a 1x8 + W4-31b 1x3 + W4-31c 1x3 + W4-31d 1x3 + W4-31e 1x3 + CW-01 1x12 + CW-02 1x12 + CW-03 1x12 + CW-04 1x12 + CW-05 1x12 + CW-06 1x12 + CW-07 1x12 + CW-08 1x12 + CW-09 1x12 + C-H1-N 6x24 + C-H1-W 6x11 + C-H2a 6x11 + C-H2b 6x3 + C-H3a 6x5 + C-H3b 6x6 + C-E2 6x23 + C-E1-S 6x19 + C-I-P.1 6x2 + C-E1-P.2 6x3 + C-E1-B 6x3 + C-F 6x4 + C-I 6x3 + SS-N 3x19 + SS-E 3x9 + SS-IN-N 3x16 + SS-IN-E 3x6 + SS-GG 4x6 = 2518 pcs; 3"x3"x16 GA. CLIP ANGLES at the nested header to jamb connection (7/A-210): 2 header ends x 2 (front / back) = 4 pcs (conservative; count not printed - RFI-51)</t>
  </si>
  <si>
    <t xml:space="preserve">#8 pan head self-tapping screws, relief channel to structure (8/A-410)</t>
  </si>
  <si>
    <t xml:space="preserve">N/SHEET: 8/A-410 | Breakdown [DERIVED]: PAN-HEAD-8-A410 291 = 291 PCS | 8/A-410 "CONTINUOUS 20 GA. X 2" MIN DEEP RELIEF CHANNEL - ANCHOR TO STEEL PLATE WITH #8 PAN HEAD SELF TAPPING SCREWS AT 24" O.C. AND 6" FROM ENDS": sum(ROUNDUP(L / 2) + 1) over 32 runs to structure (479.85 LF) = 291 pcs; note 8.C X-EDNI = alternative in RFI-51)</t>
  </si>
  <si>
    <t xml:space="preserve">#10-16 x 3/4" Tek screws, pan head, at 16 ga clip angles and nested header / column / beam (5/A-410; 7/A-210; 8/A-210; A-410 note 8.A)</t>
  </si>
  <si>
    <t xml:space="preserve">N/SHEET: 5/A-410, 7/A-210, 8/A-210, 1/A-210 | Breakdown [DERIVED]: TEK-SCREWS-CLIPS 10,668 = 10,668 PCS | 5/A-410 "2" x 2" 16 GA. CLIP ANGLE ... (4) TEK SCREWS": 2518 clips x 4 = 10072 + 7/A-210 "(4) #10-16 SCREWS": 4 clips x 4 = 16 + 7/A-210 "RUNNER TRACK ATTACHED TO HEADER SUING (2) TEK SCREWS AT 16" O.C" top and bottom runner: 2 runners x 2 x (ROUNDUP(12.667 / 1.333) + 1) = 44 + 8/A-210 "(8) #10-16 TEKS 16"O.C., TYP.": nested beam (ROUNDUP(12.667 / 1.333) + 1) x 8 = 88 + nested columns 6 x (ROUNDUP(10.5 / 1.333) + 1) x 8 = 432 + 7/A-210 head attachment "#10-16 TEK SCREWS (TYP.)": 2 clips x 8 = 16; total 10668 pcs. Header 12'-8" = 1/A-210 front dimension chain (152"). Size: 5/A-410 prints none; the clip is 16 ga, so A-410 note 8.A "18/16 GAUGE - #10 - 16 X 3/4" TEKS" applies (7/A-210 and 8/A-210 print #10-16)</t>
  </si>
  <si>
    <t xml:space="preserve">16 ga wire at seismic brace points (5/A-121)</t>
  </si>
  <si>
    <t xml:space="preserve">N/SHEET: 5/A-121 | Breakdown [DERIVED]: SEISMIC-VERTICAL-WIRE-5-A121 131.42 = 131.42 LF | 5/A-121 "16 GA. WIRE 12'-0\" O.C. EACH WAY AND WITHIN 6'-0\" OF EACH WALL" vertical wire at each brace point: groups Women's 1 x drop 16.0; Men's 1 x drop 16.0; Cafe 11'-6" band 1 x drop 13.5; Cafe 9'-0" band 1 x drop 16.0; Cafe cloud 4 x drop 13.0; Grab &amp; Go 1 x drop 17.917 -&gt; sum(groups x drop) = 131.42 LF (conservative - RFI-38) the 1-5/8" x 16 ga metal joist framing @ 48" O.C. on 5/A-121 is the horizontal carrying member (no post drawn)</t>
  </si>
  <si>
    <t xml:space="preserve">P.A.F. 3/16" x 3/8" at cross member ends (8/A-410)</t>
  </si>
  <si>
    <t xml:space="preserve">N/SHEET: 8/A-410 | Breakdown [DERIVED]: PAF-CROSS-MEMBERS-8-A410 282 = 282 PCS | 8/A-410 PARALLEL TO STRUCTURE "METAL STUD PER SCHEDULE W/ (1) 3/16" 3/8" P.A.F. AT EACH END": 141 cross members x 2 = 282 pcs (RFI-41)</t>
  </si>
  <si>
    <t xml:space="preserve">5/8" cement board (tile base)</t>
  </si>
  <si>
    <t xml:space="preserve">N/SHEET: 22/A-201 | Breakdown [DERIVED]: RESTROOM-BASE-CEMENT 50.04 = 50.04 SF | 5/8" CEMENT BOARD BASE 1'-2" (22/A-201; A-001A Div 09 J.2): W2-05 7.51 + W2-06.1 6.92 + W2-06.2 2.23 + W2-06.3 2.41 + W2-06.3 2.46 + W2-06.4 2.23 + W2-06.5 6.88 + W2-07 7.51 + W5-01 5.7 + W5-01 5.7 = 49.55 LF - doors 8, 9 (6.66) = 42.89 LF x 1'-2" = 50.04 SF</t>
  </si>
  <si>
    <t xml:space="preserve">Plywood screws #10-24 x 1-1/4" Teks/3 (A-410 note 8.D)</t>
  </si>
  <si>
    <t xml:space="preserve">N/SHEET: A-410 | Breakdown [DERIVED]: PLYWOOD-SCREWS-8D 2,331 = 2,331 PCS | A-410 Partition Notes 8.D "#10-24 X 1-1/4\" TEKS/3 ... 24\" O.C. FIELD, 12\" O.C. PERIMETER": 4x8 sheet on studs @ 16" = 24 perimeter + 10 field = 34 screws / 32 SF; 2192.98 SF FRT plywood x 34/32 = 2331 pcs</t>
  </si>
  <si>
    <t xml:space="preserve">Cement board screws 1-1/4" (manufacturer spacing)</t>
  </si>
  <si>
    <t xml:space="preserve">N/SHEET: E/A-221, A/A-221, B/A-221, C/A-221, D/A-221, 22/A-201 | Breakdown [DERIVED]: CEMENT-BOARD-SCREWS 1,686 = 1,686 PCS | cement board screws @ 8" O.C. on studs @ 16" (manufacturer standard, spacing not printed - RFI-51): 3x5 board = 4 studs x 8 = 32 screws / 15 SF; 789.94 SF x 32/15 = 1686 pcs</t>
  </si>
  <si>
    <t xml:space="preserve">Nested inner runner at the deflection head (3/A-410)</t>
  </si>
  <si>
    <t xml:space="preserve">N/SHEET: 3/A-410 | Breakdown [DERIVED]: NESTED-RUNNER-3-A410 479.85 = 479.85 LF | 3/A-410 "METAL RUNNER AT STUDS - SECURE GWB TO METAL RUNNER" + "DO NOT SECURE METAL STUDS OR GWB TO DEEP LEG TRACK": inner runner = length of every wall / soffit side to deck = W2-01 48.77 + W2-02 4.99 + W2-03 94.24 + W2-04 56.76 + W2-05 12.92 + W2-06.1 6.92 + W2-06.2 2.23 + W2-06.3 4.87 + W2-06.4 2.23 + W2-06.5 11.29 + W2-07 7.51 + W2-08 12.92 + W2-09 12.92 + W5-01 5.7 + C-H1-N 29.98 + C-H1-W 12.17 + C-H2a 12.17 + C-H2b 1.95 + C-H3a 4.08 + C-H3b 6.17 + C-E2 29.3 + C-E1-S 23.46 + C-I-P.1 1.0 + C-E1-P.2 2.11 + C-E1-B 2.31 + C-F 3.26 + C-I 2.31 + SS-N 22.77 + SS-E 10.12 + SS-IN-N 20.0 + SS-IN-E 6.25 + SS-GG 6.167 = 479.85 LF (RFI-40 confirms the reading)</t>
  </si>
  <si>
    <t xml:space="preserve">METAL trim - corner bead, casing bead, shadow molding, gypsum edge trim</t>
  </si>
  <si>
    <t xml:space="preserve">trim stick 10 ft</t>
  </si>
  <si>
    <t xml:space="preserve">N/SHEET: 3/A-410, 4/A-410, 4/A-121 | Breakdown [DERIVED]: CORNER-BEAD-SOFFITS 65.31 + Corner bead - type 3 partial height walls (top edges + free ends) 205.36 + Corner bead - type 4 partial height walls (top edges + free ends) 164.94 + Corner bead - corridor recess (drinking fountain alcove, W2-06) outside corners 19 + Corner bead - column surrounds C25 (9 ea) outside corners 288 + Corner bead - Cafe Seating GWB cloud bottom edge 107.21 + J-bead - Cafe Seating GWB cloud top of fascia 107.21 = 957.03 LF</t>
  </si>
  <si>
    <t xml:space="preserve">1/2" cement board / cementitious backer</t>
  </si>
  <si>
    <t xml:space="preserve">N/SHEET: E/A-221, A/A-221, B/A-221, D/A-221, C/A-221 | Breakdown [DERIVED]: C-E1-S Cafe 103 228 + C-E1-P.2 Cafe 103 25.32 + C-E1-B Cafe 103 26.57 + C-A-1 Cafe 103 26.78 + C-A-1 Cafe 103 26.78 + C-A-2 Cafe 103 11.21 + C-A-2 Cafe 103 11.21 + C-A-3 Cafe 103 16.9 + C-A-3 Cafe 103 16.9 + C-B Cafe 103 8.58 + C-B Cafe 103 8.58 + C-D Cafe 103 5.14 + C-D Cafe 103 5.14 + C-C Cafe 103 8.58 + C-C Cafe 103 8.58 = 434.27 SF</t>
  </si>
  <si>
    <t xml:space="preserve">FRP panels</t>
  </si>
  <si>
    <t xml:space="preserve">FRP panel 40 SF (Inputs)</t>
  </si>
  <si>
    <t xml:space="preserve">N/SHEET: 3/A-410, 4/A-410, 1/A-221, 1/A-226B, 2/A-226B, 3/A-226B, 4/A-226B, 9/A-200, 10/A-200, 11/A-200, 12/A-200, 1/A-225, 4/A-225, 6/A-225 | Breakdown [DERIVED]: FRP-TYPES-3-4 936.74 + FRP-1-CAFE-WORKROOM 852.2 + FRP-1-JANITOR 155.44 + FRP-1-CAFE-BELOW-COUNTER 57 = 2,001.38 SF</t>
  </si>
  <si>
    <t xml:space="preserve">Track 3-5/8" (14 ga 157.81 LF + 16 ga 5.00 LF + 20 ga 118.28 LF) at soffits, fire stop at ceiling line and nested columns</t>
  </si>
  <si>
    <t xml:space="preserve">N/SHEET: 3/A-410, 2/A-221, 8/A-210 | Breakdown [DERIVED]: SS-N 45.54 + SS-E 20.24 + SS-IN-N 40 + SS-IN-E 12.5 + VEST-POSTS-TRACK 5 + FIRESTOP-W2-04 56.76 + FIRESTOP-W2-05 12.92 + FIRESTOP-W2-06.1 6.92 + FIRESTOP-W2-06.2 2.23 + FIRESTOP-W2-06.3 4.87 + FIRESTOP-W2-06.4 2.23 + FIRESTOP-W2-06.5 11.29 + FIRESTOP-W2-07 7.51 + FIRESTOP-W2-08 12.92 + FIRESTOP-W2-09 12.92 + FIRESTOP-C-H2a 12.17 + FIRESTOP-W2-03 13.12 + FIRESTOP-C-H2b 1.95 = 281.09 LF</t>
  </si>
  <si>
    <t xml:space="preserve">Track 6" (16 ga 25.33 LF + 20 ga 118.73 LF) at soffits, fire stop at ceiling line and nested beam</t>
  </si>
  <si>
    <t xml:space="preserve">N/SHEET: 3/A-410, 3/A-221, 8/A-210 | Breakdown [DERIVED]: SS-GG 12.33 + VEST-BOX-BEAM-TRACK 25.33 + FIRESTOP-W5-01 5.7 + FIRESTOP-C-H1-N 29.98 + FIRESTOP-C-H1-W 12.17 + FIRESTOP-C-E2 29.3 + FIRESTOP-C-H3a 4.08 + FIRESTOP-C-H3b 6.17 + FIRESTOP-C-E1-S 19 = 144.06 LF</t>
  </si>
  <si>
    <t xml:space="preserve">8" ledger track (gauge not printed, RFI-54) (4/A-210)</t>
  </si>
  <si>
    <t xml:space="preserve">N/SHEET: 4/A-210 | Breakdown [DERIVED]: VEST-LEDGER 12.67 = 12.67 LF</t>
  </si>
  <si>
    <t xml:space="preserve">#8 screws at the top chord, cross members and track (8/A-410)</t>
  </si>
  <si>
    <t xml:space="preserve">N/SHEET: 8/A-410 | Breakdown [DERIVED]: SCREWS-8-A410 775 = 775 PCS | 8/A-410 PARALLEL TO STRUCTURE: "(2) #8 SCREW AT EACH STUD" 141 cross members x 2 = 282 + "ATTACH TO TRACK W/ #8 SCREWS AT 24" O.C." sum(ROUNDUP(L / 2) + 1) over the walls parallel to the joists = 141 + "ATTACH TO TOP CORD OF EXIST'G STRUCTURE #8 SCREWS" 141 cross members x 2 ends = 282; PERPENDICULAR TO STRUCTURE: "ATTACH TO TOP CORD OF EXIST'G STRUCTURE W/ #8 SCREWS" one per joist crossing, sum(ROUNDUP(L / 5.0) + 1) over 262.46 LF = 70 (joist spacing 5'-0" not printed, same assumption as the cross members - RFI-41); total 775 pcs</t>
  </si>
  <si>
    <t xml:space="preserve">Moment clip ClarkDietrich MC series with stiffening plate (A/A-410), one per stud of types 3 / 4</t>
  </si>
  <si>
    <t xml:space="preserve">N/SHEET: A/A-410, 3/A-410, 4/A-410 | Breakdown [DERIVED]: MOMENT-CLIPS-T3-T4 162 = 162 PCS | one ClarkDietrich MC clip per stud: type 3 = 40 studs + type 4 = 122 studs = 162 (estimator decision 2026-10-27, RFI-28 A)</t>
  </si>
  <si>
    <t xml:space="preserve">Hilti Kwik HUS-EZ 1/4" x 1-5/8" concrete screws at the moment clips (3/A-410, 4/A-410)</t>
  </si>
  <si>
    <t xml:space="preserve">N/SHEET: 3/A-410, 4/A-410 | Breakdown [DERIVED]: HUS-EZ-T3-T4 324 = 324 PCS | 3/A-410, 4/A-410 "(2)-1/4"ø X 1 5/8" HILTI KWIK HUSEZ CONCRETE SCREW AND MOMENT CLIP": 162 clips x 2 = 324 (estimator decision 2026-10-27, RFI-28 A)</t>
  </si>
  <si>
    <t xml:space="preserve">#10-16 screws at the moment clips, (1) at each flange (A/A-410)</t>
  </si>
  <si>
    <t xml:space="preserve">N/SHEET: A/A-410 | Breakdown [DERIVED]: SCREWS-10-16-MOMENT-CLIPS 324 = 324 PCS | A/A-410 "(1) #10-16 SCREW @ EACH FLANGE": 162 clips x 2 = 324 (estimator decision 2026-10-27, RFI-28 A)</t>
  </si>
  <si>
    <t xml:space="preserve">Metal corner guard 2"x2"x72" at outside corners (A-001A)</t>
  </si>
  <si>
    <t xml:space="preserve">N/SHEET: A-001A, A-101, A-221 | Breakdown [DERIVED]: CORNER-GUARDS-METAL-72 72 = 72 PCS | A-001A "INSTALL METAL CORNER GUARDS (2"X2"X72") AT ALL OUTSIDE CORNERS": C25 column surrounds 9 x 4 = 36 + type 3 posts 16 + type 4 hourglass caps 8 + type 2 (Storage SW 1, C26 alcove 4) 5 + Cafe 7 = 72 (estimator decision 2026-10-27, RFI-29)</t>
  </si>
  <si>
    <t xml:space="preserve">Stainless steel corner guard 48" A.F.F. (C22/A-101)</t>
  </si>
  <si>
    <t xml:space="preserve">N/SHEET: C22/A-101 | Breakdown [DERIVED]: CORNER-GUARD-STAINLESS-48 1 = 1 PCS | C22/A-101 "STAINLESS STEEL CORNER GUARDS AT 48" A.F.F. FOR ALL OUTSIDE GYPSUM BOARD CORNERS AT STOCKROOM WALLS": the corner the C22 leader points to (loading zone bend) = 1 (estimator decision 2026-10-27, RFI-29)</t>
  </si>
  <si>
    <t xml:space="preserve">Control joint, gypsum board walls (ASTM C840, 30 ft max)</t>
  </si>
  <si>
    <t xml:space="preserve">N/SHEET: A-101, A-410 | Breakdown [DERIVED]: CONTROL-JOINTS-T2 250 = 250 LF | ASTM C840 30 ft max: W2-01 48.77 LF -&gt; 1, W2-03 94.24 LF -&gt; 3, W2-04 56.76 LF -&gt; 1 = 5 joints x 25.0 ft x 2 faces = 250.0 LF (estimator decision 2026-10-27, RFI-24 A)</t>
  </si>
  <si>
    <t xml:space="preserve">#8 screws at diagonal brace ends, 2 per end (manufacturer rule; 3/A-410 prints none)</t>
  </si>
  <si>
    <t xml:space="preserve">N/SHEET: 3/A-410 | Breakdown [DERIVED]: SCREWS-8-BRACE-ENDS 512 = 512 PCS | diagonal braces 117 (type 2, 468.0 LF / 4.0) + 11 (Cafe, 44.0 LF / 4.0) = 128 braces x 2 ends x 2 = 512 (estimator decision 2026-10-27, RFI-51)</t>
  </si>
  <si>
    <t xml:space="preserve">3-5/8" stud, framed soffit 2/A-221 (LF)</t>
  </si>
  <si>
    <t xml:space="preserve">N/SHEET: 2/A-221, 1/A-121 | Breakdown [DERIVED]: Cafe 103 - 11'-0" GWB zone: framed_soffit: ROUNDUP(23.25/2)+1 = 13 joists x 4.716 = 61.31 LF 3-5/8" joists = 61.31 LF (framed soffit joists, 2/A-221)</t>
  </si>
  <si>
    <t xml:space="preserve">FRT plywood substrate (5/8 in.)</t>
  </si>
  <si>
    <t xml:space="preserve">N/SHEET: G/A-221, H/A-221, E/A-221, F/A-221, I/A-221, 1/A-226A, 6/A-226A, 3/A-221, 3/A-410, 4/A-410, A-410 (ALL PLYWOOD NEEDS TO BE FRT) | Breakdown [DERIVED]: C-H1-N-B-FRT 314.79 + C-H1-W-B-FRT 127.78 + C-H2a-A-FRT 127.78 + C-H2b-A-FRT 20.47 + C-H2b-B-FRT 20.47 + C-H3a-A-FRT 61.2 + C-H3b-A-FRT 49.36 + C-E2-A-FRT 307.65 + C-F-A-FRT 81.5 + C-I-P.1-A-FRT 15 + C-I-A-FRT 34.65 + SS-N-WD1-FRT 318.78 + SS-E-WD1-FRT 141.68 + SS-GG-FRT 110.49 + C-I-E1-A-FRT 9.04 + C-I-E2-A-FRT 9.04 + TYPE-3-A-FRT 309.44 + TYPE-4-A-FRT 627.3 = 2,686.42 SF (strip length x height)</t>
  </si>
  <si>
    <t xml:space="preserve">FRT plywood substrate (3/4 in.)</t>
  </si>
  <si>
    <t xml:space="preserve">N/SHEET: A/A-221, B/A-221, 4/A-226A, 21/A-201, 5/A-210, 4/A-210, 11/A-200, A-410 (ALL PLYWOOD NEEDS TO BE FRT) | Breakdown [DERIVED]: C-A-1-A-FRT 26.78 + C-A-2-A-FRT 11.21 + C-A-3-A-FRT 16.9 + C-B-A-FRT 8.58 + MENU-BOARD-FRT 60.6 + RESTROOM-BACKING-FRT 17.77 + VEST-POSTS-PLYWOOD 105 + VEST-PLYWOOD 106.62 + JANITOR-FRT-11-A200 17 = 370.46 SF (strip length x height)</t>
  </si>
  <si>
    <t xml:space="preserve">Hanger wire 12 ga - hanger count (one per hanger, height per room)</t>
  </si>
  <si>
    <t xml:space="preserve">each</t>
  </si>
  <si>
    <t xml:space="preserve">N/SHEET: 5/A-121, 1/A-121 | Breakdown [DERIVED]: Women's Restroom 109 9 + Men's Restroom 108 9 + Cafe 103 - 11'-6" GWB band 18 + Cafe 103 - 9'-0" GWB band 12 + Cafe Seating Area 102 - GWB cloud 55 + Grab &amp; Go 6 = 109 PCS (one per hanger)</t>
  </si>
  <si>
    <t xml:space="preserve">Additional head track at openings over 4'-0" wide - extended to every door as a 2-piece track header (R.O. + 1'-4") x 2 (RFI-09)</t>
  </si>
  <si>
    <t xml:space="preserve">N/SHEET: 1/A-500 | Door 14 (W2-01): (3.0 + 2 x 0.667) x 1 x 2 pieces = 8.67; Door 11 (W2-03): (4.0 + 2 x 0.667) x 1 x 2 pieces = 10.67; Door 4 (W2-04): (3.0 + 2 x 0.667) x 1 x 2 pieces = 8.67; Door 9 (W2-06.1): (3.33 + 2 x 0.667) x 1 x 2 pieces = 9.33; Door 8 (W2-06.5): (3.33 + 2 x 0.667) x 1 x 2 pieces = 9.33; Door 7 (W2-06.5): (3.0 + 2 x 0.667) x 1 x 2 pieces = 8.67; Door 5 (W2-08): (3.0 + 2 x 0.667) x 1 x 2 pieces = 8.67; Door 6 (W2-09): (3.0 + 2 x 0.667) x 1 x 2 pieces = 8.67; Door 3 (C-H2a): (4.0 + 2 x 0.667) x 1 x 2 pieces = 10.67</t>
  </si>
  <si>
    <t xml:space="preserve">Stud reinforcement at MEP penetrations</t>
  </si>
  <si>
    <t xml:space="preserve">[DERIVED] N/SHEET: M-102, A-101 | X01 (W2-03, 14" DIA) 1 + X02 (W2-06.1, 6" DIA) 1 + X03 (W2-06.5, 6" DIA) 1 + X04 (W5-01, 6" DIA) 1 + X05 (W2-07, 6" DIA) 1 + X06 (W2-08, 10" DIA) 1 + X07 (W2-09, 8" DIA) 1 + X08 (W2-01, 10" DIA) 1 + T01 (W2-03, TG-1 12"x10") 1 + T02 (W2-02, TG-1 14"x6") 1 = 10 plates</t>
  </si>
  <si>
    <t xml:space="preserve">Extra framing - ATM recess (only what a detail prints at the recess; the wall stays in its type)</t>
  </si>
  <si>
    <t xml:space="preserve">[DERIVED] N/SHEET: A-101 | none: No ATM / equipment recess in the set (A-101, A-500, A-221 reviewed) (A-101)</t>
  </si>
  <si>
    <t xml:space="preserve">2-1/2" CFMF @ 16" O.C. at coiling grille head (detail per plans)</t>
  </si>
  <si>
    <t xml:space="preserve">N/SHEET: A-000, A-101, A-410, A-500 | none: no parapet infill, coiling grille or duct sleeve detail in the set (A-000 index; A-101, A-410, A-500)</t>
  </si>
  <si>
    <t xml:space="preserve">Gypsum board jamb return at openings</t>
  </si>
  <si>
    <t xml:space="preserve">[DERIVED] N/SHEET: 1/A-500 | none: No opening with a gypsum board return: doors in hollow metal frames (1/A-500); cased opening 2/A-500 is wood jamb + B-1 trim; storefronts are Div 08 (1/A-500)</t>
  </si>
  <si>
    <t xml:space="preserve">PVC trim - edge trim molding and inside corner molding at the FRP, incl. outside corners, door edges and division bars every 4' (see breakdown)</t>
  </si>
  <si>
    <t xml:space="preserve">[DERIVED] N/SHEET: 3/A-225, 1/A-225, 1/A-221, 9/A-200, 10/A-200, 11/A-200, 12/A-200, 3/A-410, 4/A-410, 4/A-225 | PVC-CAFE-WORKROOM: J-mold at bottom (3/A-225 "FRP J-MOLD AT BOTTOM OF FRP PANEL") 85.22 - door 3 4.0 = 81.22 + top edge 85.22 + inside corners 6 x 10.0 = 60.0 + outside corners (stub C-H2b end) 2 x 10.0 = 20.0 + door 3 edge trim 2 x 8.0 + 4.0 = 20.0 = 266.44 LF (estimator decision 2026-10-28); PVC-JANITOR: J-mold at bottom 19.43 - door 7 3.0 = 16.43 + top edge at 8'-0" 19.43 + inside corners 4 x 8.0 = 32.0 + door 7 edge trim 2 x 7.0 + 3.0 = 17.0 = 84.86 LF (estimator decision 2026-10-28); PVC-TYPES-3-4: J-mold at bottom 122.32 + type 3 vertical edge trim 2 walls x 2 ends x 8.0 = 32.0 (top: corner bead already carried; hourglass cap outside corners: metal corner guard A-001A governs, no PVC) = 154.32 LF (estimator decision 2026-10-28); PVC-CAFE-BELOW-COUNTER: 4/A-225 "FRP J-MOLD AT BOTTOM OF FRP PANEL" above B-2 on the C-E1-S Cafe face: 19.0 LF (estimator decision 2026-10-28); FRP-DIVISION-BARS: division bars at every 4' panel joint: Work Room 18 x 10.0 = 180 + Janitor 2 x 8.0 = 16 + type 3 4 x 8.0 = 32 + type 4 18 x 7.5 = 135 = 363 LF (estimator decision 2026-10-28; A-001A FRP per manufacturer)</t>
  </si>
  <si>
    <t xml:space="preserve">Power-driven fasteners and duct sleeves - duct sleeves at the duct crossings (M-102)</t>
  </si>
  <si>
    <t xml:space="preserve">[DERIVED] N/SHEET: M-102, A-101 | duct sleeves = X01 (W2-03) 1 + X02 (W2-06.1) 1 + X03 (W2-06.5) 1 + X04 (W5-01) 1 + X05 (W2-07) 1 + X06 (W2-08) 1 + X07 (W2-09) 1 + X08 (W2-01) 1 = 8</t>
  </si>
  <si>
    <t xml:space="preserve">Access panel</t>
  </si>
  <si>
    <t xml:space="preserve">[DERIVED] N/SHEET: A-121 | none: No access panel shown in GWB ceilings or walls (A-121 ceiling key notes 1-11, M-102 and P sheets reviewed) (A-121)</t>
  </si>
  <si>
    <t xml:space="preserve">Drywall screws #7 x 1-1/4" Type S bugle head (board on 25/20 ga studs)</t>
  </si>
  <si>
    <t xml:space="preserve">[DERIVED] N/SHEET: A-410, A-001A | Inputs!B20 (Drywall screws per SF of board = 1.2) x 4252.69 SF of board</t>
  </si>
  <si>
    <t xml:space="preserve">Framing screws #8-18 x 1/2" pan head (25/20 ga studs)</t>
  </si>
  <si>
    <t xml:space="preserve">[DERIVED] N/SHEET: A-410 note 8.A | Inputs!B21 (Framing screws per stud piece = 4) x 485 stud pieces | Breakdown [DERIVED]: 4 x 485 stud pieces of the 25/20 ga walls and other framing [C-A-1 11 + C-A-2 6 + C-A-3 7 + C-B 6 + C-C 4 + C-D 6 + C-E1-B 5 + C-E1-P.2 3 + C-E1-S 21 + C-E2 23 + C-H1-N 26 + C-H1-W 12 + C-H3a 6 + C-H3b 7 + C-I 3 + C-I-P.1 3 + SS-E 9 + SS-GG 6 + SS-IN-E 6 + SS-IN-N 18 + SS-N 20 + W3-01 4 + W3-02 12 + W3-03 12 + W3-04 4 + W3-05 4 + W3-06 4 + W4-28a 10 + W4-28b 4 + W4-28c 4 + W4-28d 4 + W4-28e 4 + W4-29a 6 + W4-29b 6 + W4-29c 6 + W4-29d 6 + W4-29e 6 + W4-29f 6 + W4-30a 6 + W4-30b 6 + W4-30c 6 + W4-30d 6 + W4-30e 6 + W4-30f 6 + W4-31a 10 + W4-31b 4 + W4-31c 4 + W4-31d 3 + W4-31e 3 + W5-01 7 (walls 377); CW-01 12; CW-02 12; CW-03 12; CW-04 12; CW-05 12; CW-06 12; CW-07 12; CW-08 12; CW-09 12; C-I-E1.6" 0; C-I-E2.6" 0] = 1940</t>
  </si>
  <si>
    <t xml:space="preserve">Power-driven fasteners, slab pins for the bottom track</t>
  </si>
  <si>
    <t xml:space="preserve">[DERIVED] N/SHEET: A-410 note 8.F (9/A-410 = alternate) | 518.29 LF of interior bottom track on slab / Inputs!B22 (Power-driven pin spacing (ft) = 1.33333)</t>
  </si>
  <si>
    <t xml:space="preserve">Expansion anchors Hilti 1/4" Kwik Bolt II, exterior bottom track @ 8" O.C.</t>
  </si>
  <si>
    <t xml:space="preserve">[DERIVED] N/SHEET: 1/DM-101 | none: no new exterior wall on slab - perimeter walls 1 / 1A / 1B / 1C are EXISTING (RFI-01; 1/DM-101, A-101)</t>
  </si>
  <si>
    <t xml:space="preserve">Joint compound, all purpose</t>
  </si>
  <si>
    <t xml:space="preserve">LB</t>
  </si>
  <si>
    <t xml:space="preserve">lb</t>
  </si>
  <si>
    <t xml:space="preserve">[DERIVED] N/SHEET: A-001A Div 09 A.8 | Inputs!B23 (Joint compound (lb per SF) = 0.072) x 15359.5 SF of board</t>
  </si>
  <si>
    <t xml:space="preserve">Joint tape, paper</t>
  </si>
  <si>
    <t xml:space="preserve">[DERIVED] N/SHEET: A-001A Div 09 A.8 | Inputs!B24 (Joint tape (LF per SF) = 0.37) x 15359.5 SF of board</t>
  </si>
  <si>
    <t xml:space="preserve">Level 5 finish</t>
  </si>
  <si>
    <t xml:space="preserve">[DERIVED] N/SHEET: A-510 | none: No LEVEL 5 finish in A-510 room finish schedule / finish notes (paint finishes PT-1..PT-8 only) (A-510)</t>
  </si>
  <si>
    <t xml:space="preserve">Deflection clips at non-load-bearing walls to structure</t>
  </si>
  <si>
    <t xml:space="preserve">[DERIVED] N/SHEET: 3/A-410 | none: Deflection by deep leg track / slotted deflection at the top of full height walls (3/A-410 Top Track Detail, 2/A-410 "SLOTTED DEFLECTION", A-410 partition note 7 "PROVIDE DEFLECTION TRACK AS REQUIRED"); no deflection clips called</t>
  </si>
  <si>
    <t xml:space="preserve">Heavy-gauge framing screws #10-16 x 3/4" pan head (18/16/14 ga studs)</t>
  </si>
  <si>
    <t xml:space="preserve">[DERIVED] N/SHEET: A-410 | 6 (3 per connection x 2 ends) x 296 stud pieces of the 18/16/14 ga walls (C-F 5 + C-H2a 16 + C-H2b 4 + W2-01 43 + W2-02 5 + W2-03 76 + W2-04 49 + W2-05 12 + W2-06.1 13 + W2-06.2 4 + W2-06.3 6 + W2-06.4 4 + W2-06.5 19 + W2-07 8 + W2-08 16 + W2-09 16 = 296) = 1776</t>
  </si>
  <si>
    <t xml:space="preserve">Type S-12 drywall screws #6 x 1-1/4" (board on 18/16/14 ga studs)</t>
  </si>
  <si>
    <t xml:space="preserve">[DERIVED] N/SHEET: A-410 | 1.2 x (11143.59 SF of board on the 18/16/14 ga walls (C-F, C-H2a, C-H2b, W2-01, W2-02, W2-03, W2-04, W2-05, W2-06.1, W2-06.2, W2-06.3, W2-06.4, W2-06.5, W2-07, W2-08, W2-09) - 36.74 SF cement board base on those walls (22/A-201) = 11106.85 SF) = 13328.22</t>
  </si>
  <si>
    <t xml:space="preserve">RFI</t>
  </si>
  <si>
    <t xml:space="preserve">Question / condition</t>
  </si>
  <si>
    <t xml:space="preserve">Delta of each alternative</t>
  </si>
  <si>
    <t xml:space="preserve">RFI-ACC-slab-pins</t>
  </si>
  <si>
    <t xml:space="preserve">CLOSED - estimator decision 2026-10-27: One row @ 16" O.C. (A-410 note 8.F spacing). N/SHEET: A-410 note 8.F; 9/A-410.</t>
  </si>
  <si>
    <t xml:space="preserve">Applied: slab pins 777.43 -&gt; 388.72 (518.29 LF / 1.333; -388.71).</t>
  </si>
  <si>
    <t xml:space="preserve">RFI-ACC-stud-reinforcement-mep</t>
  </si>
  <si>
    <t xml:space="preserve">CLOSED - estimator decision 2026-10-27: Counted on M-102 + A-101: 8 duct crossings at the full-height walls (types 2 / 5) + 2 TG-1 transfer grille openings (W2-03, W2-02). N/SHEET: M-102; A-101.</t>
  </si>
  <si>
    <t xml:space="preserve">Applied: stud reinforcement plates 0 -&gt; 10 (8 ducts x 1 + 2 TG-1); duct sleeves 0 -&gt; 8.</t>
  </si>
  <si>
    <t xml:space="preserve">RFI-01</t>
  </si>
  <si>
    <t xml:space="preserve">CLOSED - estimator decision 2026-10-24 (rev1): perimeter walls types 1 / 1A / 1B / 1C are EXISTING (1/DM-101 legend solid = to remain + key note 3 "EXTERIOR WALL PATCH AND REPAIR AS REQUIRED TO MAINTAIN EXISTING FIRE RATING"; A-101 Construction Legend "EXISTING EXTERIOR WALL" / "EXISTING PARTITION"; A-002 "PERIMETER STUDS, INSULATION, VAPOR BARRIER F/I BY LL"). Perimeter framing (studs, track, bracing, 1B sheathing) EXCLUDED. Interior face patch &amp; repair (1/DM-101 key note 3, A-101 C5) = ALLOWANCE, amount: $ ________ (blank, estimator to fill). rev2 (estimator decision 2026-10-25): break room kitchenette W.R. on existing EXT-07 (6/A-412, 7/A-412) is INSIDE this patch &amp; repair allowance; allowance amount stays BLANK (decided). A-410 types 1, 1A, 1B, 1C label the interior board "5/8" GYP BD BY FUTURE TENANT": EXCLUDED with that citation, consistent with this decision. A-413 7/8A general note "IF SHELVING IS TO BE INSTALLED ON EXISTING WALL, G.C. IS TO REMOVE AND REPLACE GYP. BOARD AS REQUIRED FOR INSTALLATION OF WOOD BLOCKING": inside this patch &amp; repair allowance.</t>
  </si>
  <si>
    <t xml:space="preserve">Applied: - 417.43 LF of perimeter walls (17 walls); 3-5/8" stud 16,812.96 -&gt; 10,120.39 LF; 8" stud 2,332.99 -&gt; 0; 1/2" exterior sheathing 2,469.22 -&gt; 0 SF; bottom / top track 1,051.87 -&gt; 634.44 LF each; bracing 5,230.74 -&gt; 2,827.81 LF. Allowance: blank.; board by future tenant on the existing perimeter (A-410 types 1 / 1A / 1B / 1C): upper bound 417.43 LF x 25.0 = 10,436 SF 5/8" Type X if it were ever in our scope.</t>
  </si>
  <si>
    <t xml:space="preserve">RFI-02</t>
  </si>
  <si>
    <t xml:space="preserve">N/A after RFI-01 (perimeter walls existing, rev1): the north 1A / 1 boundary no longer affects the take-off (both types are existing, excluded).</t>
  </si>
  <si>
    <t xml:space="preserve">none</t>
  </si>
  <si>
    <t xml:space="preserve">RFI-03</t>
  </si>
  <si>
    <t xml:space="preserve">CLOSED - estimator decision 2026-10-27: B.O. deck 25'-0" kept. N/SHEET: 1/A-400A; 1/A-400B.</t>
  </si>
  <si>
    <t xml:space="preserve">No change.</t>
  </si>
  <si>
    <t xml:space="preserve">RFI-04</t>
  </si>
  <si>
    <t xml:space="preserve">CLOSED - Review Item rev3 (estimator decision 2026-10-26): type 2 &gt; 22 ft: 3-5/8" 14 ga SJ + diagonal braces @ 32" O.C. to structure (3/A-410 Top Track Detail "PROVIDE DIAGONAL BRACING AT 32" O.C. TO STRUCTURE ABOVE (TYP.)"); brace member / length not printed - estimator choice 3-5/8" 20 ga stud x 4 ft at 45 deg. same precedent applied to the Cafe 3-5/8" walls to deck (C-H2a, C-H2b, C-F): 14 ga SJ + 11 diagonal braces = 44.0 LF.</t>
  </si>
  <si>
    <t xml:space="preserve">Applied: 117 braces x 4.0 ft = 468.0 LF (type 2) + 44.0 LF (Cafe) 3-5/8" 20 ga stud (member and length = estimator choice). Citation history: rev0-rev2 cited the partition type 3 section, rev3-rev6 cited 8/A-410 (that bubble is the Typ. Connection Detail); the Top Track Detail is bubble 3/A-410.</t>
  </si>
  <si>
    <t xml:space="preserve">RFI-05</t>
  </si>
  <si>
    <t xml:space="preserve">CLOSED - estimator decision 2026-10-27: Closed: types E1 / E2 counted once; type 1 existing per RFI-01. N/SHEET: E/A-221; A-410.</t>
  </si>
  <si>
    <t xml:space="preserve">RFI-06</t>
  </si>
  <si>
    <t xml:space="preserve">CLOSED - Review Item rev3 (estimator decision 2026-10-26): Cafe walls H1, H2a, H2b, H3a, H3b, F studs TO DECK 25'-0" (1/A-400B draws the Cafe walls floor to B.O. DECK; A-226A elevations break at the top; no section prints a stud top). Board per face = ceiling + 6" (A-410 partition note 3): Workroom ACT-1 10'-0" -&gt; 10'-6"; Grab &amp; Go GWB 7'-1" -&gt; 7'-7"; Cafe open-to-deck strip at H2a (1/A-121 PT-6 OPEN TO DECK) -&gt; to deck.</t>
  </si>
  <si>
    <t xml:space="preserve">Applied (faces already at these heights in rev2; RCP evidence on 1/A-121).</t>
  </si>
  <si>
    <t xml:space="preserve">RFI-07</t>
  </si>
  <si>
    <t xml:space="preserve">N/A after RFI-01 (perimeter walls existing, rev1): exterior furring 3-5/8" over 22'-0" (types 1, 1A, 1C) is existing, excluded.</t>
  </si>
  <si>
    <t xml:space="preserve">RFI-08</t>
  </si>
  <si>
    <t xml:space="preserve">CLOSED - Review Item rev3 (estimator decision 2026-10-26): type I WD-1 top = 15'-0" A.F.F. (6/A-226A; elevation bubble on 1/A-221 looks west at the type I face, verified).</t>
  </si>
  <si>
    <t xml:space="preserve">Applied (rev3 + rev5): type I 5/8" FRT plywood floor to 15'-0" (6/A-226A) = (C-I 2.31 + C-I-P.1 1.00 + end faces C-I-E1 / C-I-E2 1.21) 4.52 LF x 15.0 = 67.74 SF; GWB 15'-0" to deck 4.52 x 10.0 = 45.16 SF.</t>
  </si>
  <si>
    <t xml:space="preserve">RFI-09</t>
  </si>
  <si>
    <t xml:space="preserve">CLOSED - estimator decision 2026-10-27: 2-piece track header at every door. N/SHEET: A-500 door schedule; 1/A-500.</t>
  </si>
  <si>
    <t xml:space="preserve">Applied: head track at door openings 10.67 -&gt; 83.32 LF ((R.O. + 1'-4") x 2 at every door in a new wall; replaces RFI-31).</t>
  </si>
  <si>
    <t xml:space="preserve">RFI-10</t>
  </si>
  <si>
    <t xml:space="preserve">N/A after RFI-01 (perimeter walls existing, rev1): doors 10, 12, 13 are existing doors in existing perimeter walls (A-500 EXISTING V.I.F.); no framing in our scope.</t>
  </si>
  <si>
    <t xml:space="preserve">RFI-11</t>
  </si>
  <si>
    <t xml:space="preserve">CLOSED - estimator decision RFI-11 (rev1) + W.R. gypsum board on all faces of Women's 109, Men's 108, Janitor 107 and the drinking fountain alcove (A-410 Partition Notes 2 "PROVIDE WATER RESISTANT GYPSUM BOARD IN ALL BATHROOMS AND JANITOR'S CLOSET FOR WALL AND CEILING CONSTRUCTION", note 7, "*" note, 2/A-410, 5/A-410; A-001A Div 09 A.4) and on the restroom GWB ceilings (same note 2; 1/A-121 GWB 9'-0"). Cafe Work Room 104: NO W.R. - G/A-221 draws only 5/8" FRT plywood on the Work Room side (FRP-1 finish, A-510); there is no gypsum board on that face (rev6 removes the 570.36 SF GWB faces).</t>
  </si>
  <si>
    <t xml:space="preserve">Applied (rev7): 5/8" Type X W.R. = 1,092.59 SF = walls (Women's 222.93 + Men's 223.02 + Janitor 485.75 + alcove corridor 88.63) + restroom ceilings 122.30 - 1'-2" cement board base 50.04 (22/A-201).</t>
  </si>
  <si>
    <t xml:space="preserve">RFI-12</t>
  </si>
  <si>
    <t xml:space="preserve">CLOSED (base) / OPEN (installer of tile)(rev7): 22/A-201 Tile Base Detail prints "5/8" CEMENT BOARD" with "1'-2" CEMENT BOARD BASE" and 5/8" W.R. GYP. BD. above (A-001A Div 09 J.2). Corridor 110 wall tile (A-510) backer: not detailed.</t>
  </si>
  <si>
    <t xml:space="preserve">Applied: + 50.04 SF cement board base on the restroom faces of new walls and the same SF out of W.R. Open: Corridor 110 wall tile backer - each 1 ft of tile height = 93.44 SF cement board instead of Type X.</t>
  </si>
  <si>
    <t xml:space="preserve">RFI-13</t>
  </si>
  <si>
    <t xml:space="preserve">CLOSED - estimator decision 2026-10-27: FRP-1 in our scope. N/SHEET: A-510; 1-4/A-226B; 9-12/A-200.</t>
  </si>
  <si>
    <t xml:space="preserve">Applied: FRP + 1,030.64 SF (Cafe Work Room 875.20 + Janitor 155.44) + PVC trim (J-mold top / bottom + inside corners). Revised by RFI-55 (estimator decision 2026-10-28): Work Room FRP 852.20 SF (finished dimensions, 1/A-221); PVC trim per real corners / edges + division bars.</t>
  </si>
  <si>
    <t xml:space="preserve">RFI-14</t>
  </si>
  <si>
    <t xml:space="preserve">CLOSED - estimator answer (rev4): Cafe soffit bottom = 11'-0" (A-121 RCP governs over 1/A-226A 9'-0"); north face sign band WD-1 top = 15'-0" (same as east face, 6/A-226A). Both faces: WD-1 11'-0" to 15'-0" with 5/8" FRT plywood behind; GWB above to deck and at the soffit bottom (2/A-221).</t>
  </si>
  <si>
    <t xml:space="preserve">Applied: SS-N FRT 22.77 x 4.0 = 91.08 SF (rev3 45.54 at 9'-0"/11'-0"); SS-N GWB 14 -&gt; 10 ft; SS-E unchanged (FRT 40.48 SF, GWB 10 ft).</t>
  </si>
  <si>
    <t xml:space="preserve">RFI-15</t>
  </si>
  <si>
    <t xml:space="preserve">CLOSED - Review Item rev3 (estimator decision 2026-10-26): Cafe Seating cloud = USG drywall suspension grid as drawn on 4/A-121 (DGLW26 main tee, DGLW424 cross tee, DGCM27 channel molding, DGWM24 angle molding); carrying channel direction E-W confirmed (joists N-S: 1/A-400A joists cut in section, 2/A-400A joists in profile).</t>
  </si>
  <si>
    <t xml:space="preserve">Applied: main tee 194.16 LF (5 x 38.833, @ 48" USG standard), cross tee 457.96 LF (31 x 14.773 = 124 pcs, @ 16" USG standard; 24" alt. = 22 rows / 88 pcs), DGCM27 107.21 LF, DGWM24 107.21 LF; removed from the cloud: furring -310.23 LF, carrying -194.17 LF, ceiling track -107.21 LF.</t>
  </si>
  <si>
    <t xml:space="preserve">RFI-16</t>
  </si>
  <si>
    <t xml:space="preserve">CLOSED - estimator answer (rev4): vestibule post sheathing = 3/4" FRT plywood, 4 faces, full height (5/A-210 "5/8 GYP. BOARD SHEATHING AS REQUIRED" -&gt; estimator: plywood).</t>
  </si>
  <si>
    <t xml:space="preserve">Applied: 6 posts x 4 faces x 5" x 10.5 ft = 105.0 SF 3/4" FRT plywood (6 posts per 1/A-210).</t>
  </si>
  <si>
    <t xml:space="preserve">RFI-17</t>
  </si>
  <si>
    <t xml:space="preserve">CLOSED - estimator answer (rev4): column surrounds C25 stud spacing = 16" O.C. (as carried); count 9.</t>
  </si>
  <si>
    <t xml:space="preserve">none (as carried)</t>
  </si>
  <si>
    <t xml:space="preserve">RFI-18</t>
  </si>
  <si>
    <t xml:space="preserve">CLOSED - Review Item rev3 (estimator decision 2026-10-26): type 4 curved walls = face-average arc 25.68 LF each (estimator choice vs printed 25'-1").</t>
  </si>
  <si>
    <t xml:space="preserve">Applied: + 1.17 LF type 4 (83.64 LF).</t>
  </si>
  <si>
    <t xml:space="preserve">RFI-19</t>
  </si>
  <si>
    <t xml:space="preserve">CLOSED - Review Item rev3 (estimator decision 2026-10-26): board height where a ceiling exists = ceiling + 6" (2/A-410, A-410 partition note 3). Kept.</t>
  </si>
  <si>
    <t xml:space="preserve">RFI-20</t>
  </si>
  <si>
    <t xml:space="preserve">CLOSED - audit rev4 row 6 (rev5): Grab &amp; Go header soffit QUANTIFIED from the plan: 6'-2" HOLD (1/A-221) x (B.O. deck 25'-0" - Grab &amp; Go GWB 7'-1", 1/A-121) with 6" metal studs @ 16" O.C. (3/A-221); 5/8" FRT plywood substrate on the east face, GWB at the soffit bottom. T.O. WD-1 not printed -&gt; RFI-34.</t>
  </si>
  <si>
    <t xml:space="preserve">Applied: SS-GG 6" studs 6 x 17.917 = 107.5 LF; ceiling / soffit track 6.167 x 2 = 12.33 LF; bracing 4 rows x 6.167 = 24.67 LF (5/A-410); 5/8" FRT plywood 6.167 x 17.917 = 110.49 SF; bottom GWB 3.73 SF.</t>
  </si>
  <si>
    <t xml:space="preserve">RFI-21</t>
  </si>
  <si>
    <t xml:space="preserve">CLOSED - estimator decision 2026-10-27: Fascia GWB at the Cafe Seating cloud. N/SHEET: 4/A-121.</t>
  </si>
  <si>
    <t xml:space="preserve">Applied: 5/8" Type X + 53.6 SF (107.21 LF x 0.5 ft); edge trim already carried.</t>
  </si>
  <si>
    <t xml:space="preserve">RFI-22</t>
  </si>
  <si>
    <t xml:space="preserve">CLOSED - estimator decision 2026-10-27: One face of types 3 / 4 (122.32 LF) = 5/8" FRT plywood + FRP (A-410 building dept note: all plywood FRT). N/SHEET: 3/A-410; 4/A-410.</t>
  </si>
  <si>
    <t xml:space="preserve">Applied: 5/8" FRT plywood + 936.74 SF, FRP + 936.74 SF, 5/8" Type X - 936.74 SF on that face, PVC trim + 244.64 LF. Revised by RFI-55 (estimator decision 2026-10-28): types 3 / 4 PVC 154.32 LF (hourglass cap corners take the metal corner guard) + division bars 167 LF.</t>
  </si>
  <si>
    <t xml:space="preserve">RFI-23</t>
  </si>
  <si>
    <t xml:space="preserve">CLOSED - estimator decision 2026-10-24 (rev1): FRT blocking taken off with the counts and rows per detail: stock room shelving 7/A-413 (3 rows), receiving table 8A/A-413 (4 rows), Manager's Office 3, 4/A-412 (4 rows), break room cabinets 6/A-412 (2 rows); restroom backing 21, 26/A-201 (10 pcs 3/4" FRT plywood); Cafe menu boards 4/A-226A continuous 3/4" FRT plywood 31" high x C-E1-S.</t>
  </si>
  <si>
    <t xml:space="preserve">Applied: FRT blocking 568.27 LF FRT + 2X wood 0.00 LF (2/A-500) (387.0 + 69.0 + 85.6 + 10.67 + FE cabinets 16.0, rev7); 3/4" FRT plywood + 60.61 SF menu boards (23.46 x 31/12) + 17.78 SF restroom backing (10 pcs x 16" bay x 16" high, rev2 (estimator decision 2026-10-25): 13.33 x 16/12). rev5: water heater backing (P-201) carried conservatively -&gt; RFI-32; janitor 3/4" FRT plywood area (11/A-200) carried 17.0 SF -&gt; RFI-33; W-3 surface blocking (1/A-414, 7/A-414) -&gt; RFI-36.</t>
  </si>
  <si>
    <t xml:space="preserve">RFI-24</t>
  </si>
  <si>
    <t xml:space="preserve">CLOSED - estimator decision 2026-10-27: Control joints per ASTM C840 (30 ft max). N/SHEET: A-101; A-410.</t>
  </si>
  <si>
    <t xml:space="preserve">Applied: control joint + 250.0 LF (W2-01 1, W2-03 3, W2-04 1 = 5 joints x 25.0 ft x 2 faces).</t>
  </si>
  <si>
    <t xml:space="preserve">RFI-25</t>
  </si>
  <si>
    <t xml:space="preserve">Merged into RFI-01 allowance (rev1): demising / perimeter wall patch &amp; repair (A-101 C5, 1/DM-101 key note 3) = ALLOWANCE, amount blank.</t>
  </si>
  <si>
    <t xml:space="preserve">Allowance: $ ________ (blank)</t>
  </si>
  <si>
    <t xml:space="preserve">RFI-26</t>
  </si>
  <si>
    <t xml:space="preserve">N/A after RFI-01 (perimeter walls existing, rev1): type 1B (and its 1/2" exterior gyp sheathing) is existing, excluded.</t>
  </si>
  <si>
    <t xml:space="preserve">RFI-27</t>
  </si>
  <si>
    <t xml:space="preserve">CLOSED - estimator decision 2026-10-24 (rev1): all 5/8" gyp bd on new walls AND GWB ceilings = Type X (A-001A Div 09 A.2; 4/A-121, 5/A-121 - rev2 (estimator decision 2026-10-25): ceilings to Type X); W.R. faces = 5/8" Type X W.R. No 5/8" regular remains.</t>
  </si>
  <si>
    <t xml:space="preserve">Applied (rev7): 5/8" Type X 14,266.95 SF = walls 13,204.92 + GWB ceilings 884.24 (Cafe 103 - 11'-6" GWB band 125.07, Cafe 103 - 9'-0" GWB band 50.67, Cafe Seating Area 102 - GWB cloud 573.69, Cafe 103 - 11'-0" GWB zone 109.65, Grab &amp; Go 25.16) + VEST-GWB 105.5 + SS-GG-BOTTOM-GWB 3.73 + VEST-GWB-BANDS 14.96 + CLOUD-FASCIA-GWB 53.6; Type X W.R. 1,092.59 SF; 5/8" regular 0.</t>
  </si>
  <si>
    <t xml:space="preserve">RFI-28</t>
  </si>
  <si>
    <t xml:space="preserve">CLOSED - estimator decision 2026-10-27: Moment clip at every stud of types 3 / 4. N/SHEET: A/A-410; 3/A-410; 4/A-410.</t>
  </si>
  <si>
    <t xml:space="preserve">Applied: + 162 moment clips, + 324 Kwik HUS-EZ 1/4" x 1-5/8", + 324 #10-16 screws.</t>
  </si>
  <si>
    <t xml:space="preserve">RFI-29</t>
  </si>
  <si>
    <t xml:space="preserve">CLOSED - estimator decision 2026-10-27: Both: (a) stainless steel corner guard 48" at the corner the C22 leader points to (existing perimeter, the plan asks for it); (b) metal corner guards 2"x2"x72" at all outside corners. N/SHEET: C22/A-101; A-001A.</t>
  </si>
  <si>
    <t xml:space="preserve">Applied: stainless 48" = 1; metal 2"x2"x72" = 72 (C25 36, type 3 16, type 4 8, type 2 5, Cafe 7).</t>
  </si>
  <si>
    <t xml:space="preserve">RFI-30</t>
  </si>
  <si>
    <t xml:space="preserve">CLOSED - estimator decision 2026-10-27: EXCLUDED: access panels by GC / tenant contractor (M-100 GN 30, E GN 12 GC installs; A-002 F/I tenant contractor); quantity not shown. N/SHEET: M-100; A-002.</t>
  </si>
  <si>
    <t xml:space="preserve">Not carried (Scope Checklist ALC-17).</t>
  </si>
  <si>
    <t xml:space="preserve">RFI-31</t>
  </si>
  <si>
    <t xml:space="preserve">CLOSED - estimator decision 2026-10-27: Additional head track removed: inside the door headers of RFI-09 (no double count). N/SHEET: A-500.</t>
  </si>
  <si>
    <t xml:space="preserve">Applied: - 10.67 LF (now inside the 83.32 LF of RFI-09).</t>
  </si>
  <si>
    <t xml:space="preserve">RFI-32</t>
  </si>
  <si>
    <t xml:space="preserve">CLOSED - estimator decision 2026-10-27: Water heater backing kept. N/SHEET: P-201.</t>
  </si>
  <si>
    <t xml:space="preserve">No change: 10.67 LF 3-5/8" stud.</t>
  </si>
  <si>
    <t xml:space="preserve">RFI-33</t>
  </si>
  <si>
    <t xml:space="preserve">CLOSED - estimator decision 2026-10-27: Janitor 3/4" FRT plywood kept. N/SHEET: 11/A-200.</t>
  </si>
  <si>
    <t xml:space="preserve">No change: 17.0 SF.</t>
  </si>
  <si>
    <t xml:space="preserve">RFI-34</t>
  </si>
  <si>
    <t xml:space="preserve">CLOSED(rev7): T.O. WD-1 at the Grab &amp; Go header = 15'-0" (5/A-226A 11'-0" + 4'-0" WD-1; 6/A-226A 15'-0"). 3/A-221: 5/8" FRT plywood full face, 5/8" GWB over it above T.O. WD-1.</t>
  </si>
  <si>
    <t xml:space="preserve">Applied: + 6.167 x 10.0 = 61.67 SF 5/8" Type X (15'-0" to deck); FRT plywood unchanged (110.49 SF).</t>
  </si>
  <si>
    <t xml:space="preserve">RFI-35</t>
  </si>
  <si>
    <t xml:space="preserve">CLOSED - estimator decision 2026-10-27: Fire stop track at ceiling line kept. N/SHEET: 3/A-410 (TYP.).</t>
  </si>
  <si>
    <t xml:space="preserve">No change: 264.21 LF.</t>
  </si>
  <si>
    <t xml:space="preserve">RFI-36</t>
  </si>
  <si>
    <t xml:space="preserve">CLOSED - estimator decision 2026-10-27: EXCLUDED: W-3 surface-mounted 3/4" FRT plywood blocking BY GC / FIXTURE INSTALLER. N/SHEET: 1/A-414; 7/A-414.</t>
  </si>
  <si>
    <t xml:space="preserve">Not carried (Scope Checklist ALC-16).</t>
  </si>
  <si>
    <t xml:space="preserve">RFI-37</t>
  </si>
  <si>
    <t xml:space="preserve">CLOSED - resolved from the plan (rev6): the Sales / Cafe faces of C-H1-N and C-H2a are 5/8" gypsum board only. G/A-221 draws one layer on the Sales Floor side ("5/8" GYPSUM BOARD"); C-H1-N Sales face = Sales Area 101 PAINTED GYP. BD. (A-510); C-H2a Cafe face = PT-3 painted wall around door 3 (1/A-225 finish plan, 5/A-226A Cafe Service Line Elevation); the narrow WD-1 left of the door is the type I return C-I-P.1 (already carried). images 12-14.</t>
  </si>
  <si>
    <t xml:space="preserve">Applied: - 951.75 SF 5/8" FRT plywood (C-H1-N A 25.90 x 25.0 = 647.50 + C-H2a B 12.17 x 25.0 = 304.25), carried since rev0; GWB on those faces unchanged.</t>
  </si>
  <si>
    <t xml:space="preserve">RFI-38</t>
  </si>
  <si>
    <t xml:space="preserve">CLOSED - estimator decision 2026-10-27: Seismic bracing per 5/A-121 kept (the plan governs). N/SHEET: 5/A-121.</t>
  </si>
  <si>
    <t xml:space="preserve">No change: splay wires 743.29 LF + 16 ga wire 131.42 LF.</t>
  </si>
  <si>
    <t xml:space="preserve">RFI-39</t>
  </si>
  <si>
    <t xml:space="preserve">CLOSED - estimator decision 2026-10-27: FE cabinet FRT 2x kept (covers the 12-13/16" fire-rated R.O. of JL 1017F10). N/SHEET: 4/A-101.</t>
  </si>
  <si>
    <t xml:space="preserve">No change: 16.0 LF.</t>
  </si>
  <si>
    <t xml:space="preserve">RFI-40</t>
  </si>
  <si>
    <t xml:space="preserve">CLOSED - estimator decision 2026-10-27: Nested inner runner kept. N/SHEET: 3/A-410.</t>
  </si>
  <si>
    <t xml:space="preserve">No change: 479.85 LF.</t>
  </si>
  <si>
    <t xml:space="preserve">RFI-41</t>
  </si>
  <si>
    <t xml:space="preserve">CLOSED - estimator decision 2026-10-27: Joists at 5'-0". N/SHEET: 8/A-410; A-400A; A-400B.</t>
  </si>
  <si>
    <t xml:space="preserve">No change: cross members 705.0 LF; #8 screws 775 (2 per cross member, verified by the independent review); the 2-per-wall-stud reading (+ 98) stays as a note.</t>
  </si>
  <si>
    <t xml:space="preserve">RFI-42</t>
  </si>
  <si>
    <t xml:space="preserve">CLOSED - estimator decision 2026-10-27: Soffit cross bracing kept (2/A-221 "as req'd", conservative). N/SHEET: 2/A-221.</t>
  </si>
  <si>
    <t xml:space="preserve">No change: 90.0 LF.</t>
  </si>
  <si>
    <t xml:space="preserve">RFI-43</t>
  </si>
  <si>
    <t xml:space="preserve">CLOSED - estimator decision 2026-10-27: E1 cement board to 12'-0" (TL-4 / WD-1 to 11'-6" on 4/A-226A + 6"; 11'-6" at C-E1-B). N/SHEET: E/A-221; 4/A-226A; 1/A-121.</t>
  </si>
  <si>
    <t xml:space="preserve">Applied: 1/2" cement board - 305.62 SF (C-E1-S 19.0 x 13.0 + C-E1-P.2 2.11 x 13.0 + C-E1-B 2.31 x 13.5).</t>
  </si>
  <si>
    <t xml:space="preserve">RFI-44</t>
  </si>
  <si>
    <t xml:space="preserve">CLOSED - estimator decision 2026-10-27: T.O. WD-1 on the H3a Sales face = 15'-0" (precedent 6/A-226A). N/SHEET: H/A-221; 6/A-226A.</t>
  </si>
  <si>
    <t xml:space="preserve">Applied: 5/8" FRT plywood - 40.8 SF; 5/8" Type X + 40.8 SF (4.08 x 10.0).</t>
  </si>
  <si>
    <t xml:space="preserve">RFI-45</t>
  </si>
  <si>
    <t xml:space="preserve">CLOSED - estimator decision 2026-10-27: Kept (conservative). N/SHEET: G/A-221.</t>
  </si>
  <si>
    <t xml:space="preserve">No change: 66.7 SF on C-H2a.</t>
  </si>
  <si>
    <t xml:space="preserve">RFI-46</t>
  </si>
  <si>
    <t xml:space="preserve">CLOSED - estimator decision 2026-10-27: Kept (estimator decision 2026-10-26). N/SHEET: F/A-221; 3/A-410; 4/A-410.</t>
  </si>
  <si>
    <t xml:space="preserve">No change: 6.52 + 122.32 LF.</t>
  </si>
  <si>
    <t xml:space="preserve">RFI-47</t>
  </si>
  <si>
    <t xml:space="preserve">CLOSED - estimator decision 2026-10-27: FRT (A-410 building dept note: all plywood FRT); thickness per the A-221 sections (5/8", conservative). N/SHEET: A-410; A-221.</t>
  </si>
  <si>
    <t xml:space="preserve">RFI-48</t>
  </si>
  <si>
    <t xml:space="preserve">CLOSED - estimator decision 2026-10-27: In-partition FRT 2x, 3 rows kept (conservative + FRT note). N/SHEET: 7/A-413.</t>
  </si>
  <si>
    <t xml:space="preserve">No change: 387 LF.</t>
  </si>
  <si>
    <t xml:space="preserve">RFI-49</t>
  </si>
  <si>
    <t xml:space="preserve">CLOSED - estimator decision 2026-10-27: Resolved on the plan: 0 cased openings (A-500 schedule / types; no 2/A-500 bubble on any sheet). "2/A-500 detail not referenced on any plan". N/SHEET: 2/A-500; A-500.</t>
  </si>
  <si>
    <t xml:space="preserve">Applied: 2x wood blocking - 17.0 LF.</t>
  </si>
  <si>
    <t xml:space="preserve">RFI-50</t>
  </si>
  <si>
    <t xml:space="preserve">CLOSED - estimator decision 2026-10-27: EXCLUDED: server room 4'x8' FRT plywood BY GC. N/SHEET: 2/E-103; E-301.</t>
  </si>
  <si>
    <t xml:space="preserve">Applied: 3/4" FRT plywood - 32.0 SF (Scope Checklist ALC-10).</t>
  </si>
  <si>
    <t xml:space="preserve">RFI-52</t>
  </si>
  <si>
    <t xml:space="preserve">CLOSED - estimator decision 2026-10-27: Kept (11'-3 1/2" printed). N/SHEET: 2/A-210; 3/A-210.</t>
  </si>
  <si>
    <t xml:space="preserve">No change: 14.96 SF.</t>
  </si>
  <si>
    <t xml:space="preserve">RFI-53</t>
  </si>
  <si>
    <t xml:space="preserve">CLOSED - estimator decision 2026-10-27: Fixture hanger wire kept. N/SHEET: 5/A-121.</t>
  </si>
  <si>
    <t xml:space="preserve">No change: 401.0 LF.</t>
  </si>
  <si>
    <t xml:space="preserve">RFI-51</t>
  </si>
  <si>
    <t xml:space="preserve">CLOSED - estimator decision 2026-10-27: Kept as carried + diagonal brace end screws 2 per end (manufacturer rule where the plan prints none); 8/A-210 read as 8 per station @ 16" O.C. N/SHEET: 3/A-410; 7/A-210; 8/A-210.</t>
  </si>
  <si>
    <t xml:space="preserve">Applied: + 512 #8 screws at brace ends (128 braces x 2 ends x 2); 520 Tek screws at 8/A-210 kept.</t>
  </si>
  <si>
    <t xml:space="preserve">RFI-54</t>
  </si>
  <si>
    <t xml:space="preserve">CLOSED - estimator decision 2026-10-27: Perimeter track kept (conservative); 8" ledger = 16 ga like the 8/A-210 nested members. N/SHEET: 5/A-121; 4/A-210; 8/A-210.</t>
  </si>
  <si>
    <t xml:space="preserve">No change in LF.</t>
  </si>
  <si>
    <t xml:space="preserve">RFI-55</t>
  </si>
  <si>
    <t xml:space="preserve">CLOSED - estimator decision 2026-10-28: PVC trim and FRP per the targeted review (real corners and edges; division bars every 4'; hourglass cap corners take the metal corner guard, not PVC; Work Room FRP at finished dimensions; FRP-1 below the Cafe countertop). N/SHEET: 3/A-225; 4/A-225; 1/A-225; 6/A-225; 1/A-221; 9-12/A-200; A-001A.</t>
  </si>
  <si>
    <t xml:space="preserve">Applied: PVC trim + division bars 530.54 -&gt; 887.62 LF (trim 524.62 + division bars 363.0); FRP 1,967.38 -&gt; 2,001.38 SF (Work Room - 23.0, Cafe below countertop + 57.0).</t>
  </si>
  <si>
    <t xml:space="preserve">0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</si>
  <si>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</si>
  <si>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</si>
  <si>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</si>
  <si>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</si>
  <si>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</si>
  <si>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</si>
  <si>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</si>
  <si>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</si>
  <si>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</si>
  <si>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</si>
  <si>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</si>
  <si>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</si>
  <si>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Quantified (rev1): partition types 2, 5, 3, 4 (A-410) and Cafe types H1, H2a, H2b, H3a, H3b, E2, E1, F, I, A, B, D, C (A-221) on A-101 / A-221; 3-5/8" and 6" stud families in Material Summary. Perimeter types 1 / 1A / 1B / 1C EXISTING - EXCLUDED (RFI-01).</t>
  </si>
  <si>
    <t xml:space="preserve">ALC-02</t>
  </si>
  <si>
    <t xml:space="preserve">Exterior wall framing (CFMF)</t>
  </si>
  <si>
    <t xml:space="preserve">NOT APPLICABLE</t>
  </si>
  <si>
    <t xml:space="preserve">NOT APPLICABLE (rev1, estimator decision RFI-01): perimeter walls types 1 / 1A / 1B / 1C are existing; their interior board is labeled "5/8" GYP BD BY FUTURE TENANT" on 1, 1A, 1B, 1C/A-410 - EXCLUDED with that citation.</t>
  </si>
  <si>
    <t xml:space="preserve">ALC-03</t>
  </si>
  <si>
    <t xml:space="preserve">Parapet framing</t>
  </si>
  <si>
    <t xml:space="preserve">NOT APPLICABLE: no parapet framing in scope - partition schedule A-410 and sections A-400A, A-400B show no parapet type; M-301 (p50) mention is a mechanical roof-edge note</t>
  </si>
  <si>
    <t xml:space="preserve">ALC-04</t>
  </si>
  <si>
    <t xml:space="preserve">Top / deflection and bottom track</t>
  </si>
  <si>
    <t xml:space="preserve">Bottom track and top / deflection track = partition LF per type (A-101, A-221; 2/A-410, 3/A-410); + fire stop track at ceiling line (own rows by size, 3/A-410) (3/A-410, RFI-35) and additional head track 83.32 LF (RFI-31); M-302 (p51) mention is plumbing expansion fittings; nested inner runner at deflection heads (3/A-410, RFI-40); 8/A-410 #8 pan head screws + P.A.F. + #8 screws (own rows); X-EDNI 8.C = alternative in RFI-51; cross members at walls parallel to joists (8/A-410 Typ. Connection, RFI-41).</t>
  </si>
  <si>
    <t xml:space="preserve">ALC-05</t>
  </si>
  <si>
    <t xml:space="preserve">Headers, sills and jambs at openings</t>
  </si>
  <si>
    <t xml:space="preserve">RFI-09 door headers: no header schedule in the set and 1/A-500 shows no header; jambs carried as studs; sill track not called (A-500 door schedule)</t>
  </si>
  <si>
    <t xml:space="preserve">ALC-06</t>
  </si>
  <si>
    <t xml:space="preserve">Bracing / bridging</t>
  </si>
  <si>
    <t xml:space="preserve">Bracing C.R. channel @ 4'-0" O.C. per A-410 partition note 4 and 5/A-410 = 2,883.65 LF; diagonal bracing type 2 &gt; 22'-0" per 3/A-410 Top Track Detail (RFI-04 CLOSED rev3: 117 braces = 468.0 LF) + 2" x 2" 16 ga clip angles at every stud per bracing row (5/A-410) and 2/A-221 soffit cross bracing (RFI-42).</t>
  </si>
  <si>
    <t xml:space="preserve">ALC-07</t>
  </si>
  <si>
    <t xml:space="preserve">Gypsum board on walls (layers per type)</t>
  </si>
  <si>
    <t xml:space="preserve">Quantified (rev6): 5/8" Type X 14,266.95 SF + 5/8" Type X W.R. 1,092.59 SF (A-410, A-001A, RFI-27, RFI-11); no 5/8" regular. Perimeter walls existing (RFI-01).</t>
  </si>
  <si>
    <t xml:space="preserve">ALC-08</t>
  </si>
  <si>
    <t xml:space="preserve">Moisture / abuse / special board at wet zones</t>
  </si>
  <si>
    <t xml:space="preserve">Quantified (rev6): 5/8" Type X W.R. 1,092.59 SF = all faces of Women's 109, Men's 108, Janitor 107 and drinking fountain alcove corridor faces (A-410 Partition Notes 2 and 7, '*' note, 2/A-410, 5/A-410) + restroom GWB ceilings 122.30 SF (A-410 Partition Notes 2); Cafe Work Room 104 = FRT plywood + FRP-1, no gypsum (G/A-221, A-510); existing EXT-07 faces = patch allowance.</t>
  </si>
  <si>
    <t xml:space="preserve">ALC-09</t>
  </si>
  <si>
    <t xml:space="preserve">Exterior gypsum / glass mat sheathing</t>
  </si>
  <si>
    <t xml:space="preserve">NOT APPLICABLE (rev1): the only sheathing in the set is 1/2 in exterior gyp sheathing of type 1B (1B/A-410), an EXISTING perimeter wall - EXCLUDED (RFI-01, 1/DM-101, A-002); M-301 (p50) 'plastic sheathing' is temporary protection.</t>
  </si>
  <si>
    <t xml:space="preserve">ALC-10</t>
  </si>
  <si>
    <t xml:space="preserve">FRT plywood sheathing / substrate</t>
  </si>
  <si>
    <t xml:space="preserve">FRT plywood 5/8" 2,686.45 SF (Cafe types G, H, E2, F, I and Grab &amp; Go soffit 3/A-221; soffit faces 2/A-221) + 3/4" 370.46 SF (counters A/B, menu boards 4/A-226A, restroom backing 21/A-201, vestibule 4/A-210, 5/A-210, janitor 11/A-200) - breakdown in Material Summary EXCLUDED (estimator decision 2026-10-27, RFI-50): server room 4'x8' FRT plywood BY GC (2/E-103). Types 3 / 4 one face 5/8" FRT plywood + FRP added (RFI-22).</t>
  </si>
  <si>
    <t xml:space="preserve">ALC-11</t>
  </si>
  <si>
    <t xml:space="preserve">Gypsum board ceilings</t>
  </si>
  <si>
    <t xml:space="preserve">Quantified (rev7): suspended GWB ceilings and soffits per A-121 (5/A-121, 4/A-121) and 2/A-221 = 1,006.54 SF (incl. Grab &amp; Go 7'-1" 25.16 SF): 5/8" Type X + restroom ceilings 5/8" Type X W.R. (A-410 Partition Notes 2).</t>
  </si>
  <si>
    <t xml:space="preserve">ALC-12</t>
  </si>
  <si>
    <t xml:space="preserve">Ceiling suspension (furring / carrying channel / hanger wire / ceiling track)</t>
  </si>
  <si>
    <t xml:space="preserve">Furring channel @ 24", carrying channel @ 48", hanger wire 109 pcs at 48" + 29 at light fixtures, ceiling track per 5/A-121 on A-121; carrying direction E-W (RFI-15 CLOSED rev3: joists N-S on 1/A-400A, 2/A-400A); Cafe Seating cloud = USG drywall suspension grid 4/A-121; M-100 (p46), M-101 (p47), M-102 (p48) hangers are MEP; Grab &amp; Go GWB ceiling 7'-1" added; additional hangers at light fixtures and seismic splay wires per 5/A-121 (RFI-38); 16 ga tie wire (5/A-121) = consumable of the furring / carrying install, no separate row.</t>
  </si>
  <si>
    <t xml:space="preserve">ALC-13</t>
  </si>
  <si>
    <t xml:space="preserve">Soffits and bulkheads (framing + board)</t>
  </si>
  <si>
    <t xml:space="preserve">Quantified: framed soffit 2/A-221 (SS-N, SS-E, SS-IN-N, SS-IN-E) and Grab &amp; Go header soffit 3/A-221 (SS-GG, RFI-20 CLOSED rev5; T.O. WD-1 RFI-34); E-102 (p36) bulkhead is signage (by others)</t>
  </si>
  <si>
    <t xml:space="preserve">ALC-14</t>
  </si>
  <si>
    <t xml:space="preserve">Canopy / marquee framing and sheathing</t>
  </si>
  <si>
    <t xml:space="preserve">NOT APPLICABLE: E-102 (p36) 'MOUNT WITHIN CANOPY BULKHEAD' is an electrical sign note at the existing canopy; no canopy framing on A-101, A-121, A-210</t>
  </si>
  <si>
    <t xml:space="preserve">ALC-15</t>
  </si>
  <si>
    <t xml:space="preserve">Column furring / wraps</t>
  </si>
  <si>
    <t xml:space="preserve">Column wraps C25 x 9 on A-101, studs @ 16" O.C. (RFI-17 CLOSED rev4), carried under OTHER FRAMING</t>
  </si>
  <si>
    <t xml:space="preserve">ALC-16</t>
  </si>
  <si>
    <t xml:space="preserve">Blocking (FRT wood / metal) for millwork and accessories</t>
  </si>
  <si>
    <t xml:space="preserve">Quantified (rev1, RFI-23): FRT blocking 568.27 LF (7/A-413 387.0, 8A/A-413 69.0, 3-4/A-412 85.6, 6/A-412 10.67, 4/A-101 FE cabinets 16.0) + 3/4" FRT plywood menu boards 60.61 SF (4/A-226A) + restroom backing 17.78 SF (21/A-201) + janitor 17.0 SF (11/A-200, RFI-33); water heater backing P-201 10.67 LF 3-5/8" stud (RFI-32); W-3 surface blocking 1/A-414 RFI-36. EXCLUDED (estimator decision 2026-10-27, RFI-36): W-3 surface-mounted 3/4" FRT plywood blocking BY GC / FIXTURE INSTALLER (1/A-414, 7/A-414). 2/A-500 cased opening blocking removed: 0 cased openings (RFI-49).</t>
  </si>
  <si>
    <t xml:space="preserve">ALC-17</t>
  </si>
  <si>
    <t xml:space="preserve">Framed openings (MEP, access panels, diffusers)</t>
  </si>
  <si>
    <t xml:space="preserve">QUANTIFIED: stud reinforcement plates 10 + duct sleeves 8 (M-102 count, estimator decision 2026-10-27). Access panels EXCLUDED (estimator decision 2026-10-27, RFI-30): access panels by GC / tenant contractor (M-100 GN 30, E GN 12 GC installs; A-002 F/I tenant contractor); quantity not shown. recessed FE cabinets framed per 4/A-101 (FRT header + base, RFI-39); no framed MEP opening drawn in GWB walls (A-121, M-102, P-101A).</t>
  </si>
  <si>
    <t xml:space="preserve">ALC-18</t>
  </si>
  <si>
    <t xml:space="preserve">Trim: corner bead, casing bead, control joints, reveals</t>
  </si>
  <si>
    <t xml:space="preserve">Metal trim (corner bead, J-bead) per A-410, A-121, A-510 Finish Notes 8 (incl. soffit bottom edges 65.31 LF); control joints not printed - carried per ASTM C840 (estimator decision 2026-10-27, RFI-24). Control joints 250.0 LF (ASTM C840, RFI-24); corner guards metal 2"x2"x72" 72 + stainless 48" 1 (RFI-29).</t>
  </si>
  <si>
    <t xml:space="preserve">ALC-19</t>
  </si>
  <si>
    <t xml:space="preserve">Acoustical sealant / sound attenuation (EXCLUDED: estimator standing order, all projects)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</si>
  <si>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</si>
  <si>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</si>
  <si>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</si>
  <si>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QUANTIFIED (estimator decision 2026-10-27): FRP-1 Cafe Work Room + Janitor (RFI-13) and one face of types 3 / 4 (RFI-22) + PVC trim; cement board E1 to 12'-0" (RFI-43). Cement board at wet walls (A-510 tile finishes, RFI-12 incl. Corridor 110 wall tile); FRP-1 extent RFI-13 / RFI-22 not carried</t>
  </si>
  <si>
    <t xml:space="preserve">ALC-21</t>
  </si>
  <si>
    <t xml:space="preserve">Shaft walls / area separation walls</t>
  </si>
  <si>
    <t xml:space="preserve">NOT APPLICABLE: no shaft wall / area separation wall in partition schedule A-410 or plan A-101</t>
  </si>
  <si>
    <t xml:space="preserve">ALC-22</t>
  </si>
  <si>
    <t xml:space="preserve">Rated assemblies (UL designs) and their board type</t>
  </si>
  <si>
    <t xml:space="preserve">NOT APPLICABLE: all partition types are Non-Rated per A-410 titles (2/A-410, 3/A-410, 4/A-410, 5/A-410); E-201 (p40), E-202 (p42), E-301 (p44), M-100 (p46) mentions are generic penetration notes</t>
  </si>
  <si>
    <t xml:space="preserve">ALC-23</t>
  </si>
  <si>
    <t xml:space="preserve">Special panels (ballistic, lead-lined, abuse)</t>
  </si>
  <si>
    <t xml:space="preserve">NOT APPLICABLE: no ballistic, lead-lined or abuse panels in A-410 schedule or A-510 finish schedule</t>
  </si>
  <si>
    <t xml:space="preserve">ALC-24</t>
  </si>
  <si>
    <t xml:space="preserve">Finish level (Level 4 / Level 5)</t>
  </si>
  <si>
    <t xml:space="preserve">QUANTIFIED: Level 4 finish printed - A-001A Div 09 A.8 "PROVIDE AT A MINIMUM A LEVEL 4 FINISH" (joint compound / tape yields per Inputs); no Level 5 (A-510).</t>
  </si>
  <si>
    <t xml:space="preserve">ALC-X40</t>
  </si>
  <si>
    <t xml:space="preserve">Acoustical lay-in ceilings ACT-1 / ACT-3 (tile + Prelude XL grid + wires)</t>
  </si>
  <si>
    <t xml:space="preserve">EXCLUDED: Div 09 51 acoustical ceilings by the ACT contractor - A-002 lists "ACOUSTICAL CEILING SYSTEM" as its own line (F/I tenant contractor); ACT-1 Cafe Workroom 10'-0", ACT-3 Corridor, Break Room, Manager's Office 9'-0" (1/A-121, A-510 finish legend); ACT portion of 5/A-121. Wall board heights use these ceilings + 6".</t>
  </si>
  <si>
    <t xml:space="preserve">ALC-X41</t>
  </si>
  <si>
    <t xml:space="preserve">Unistrut space frame / strut channel</t>
  </si>
  <si>
    <t xml:space="preserve">EXCLUDED: A-001A Div 05 D "UNISTRUT SPACE FRAME GRID SYSTEM ... AS REQUIRED FOR LIGHTING, CEILING ACCESSORIES OR MECHANICAL SYSTEMS SUSPENSION" and A-002 cafe signage "STRUT CHANNEL" = lighting / sign / MEP supports by those trades; the sign blocking is carried (4/A-226A menu boards).</t>
  </si>
  <si>
    <t xml:space="preserve">ALC-X42</t>
  </si>
  <si>
    <t xml:space="preserve">Caulk at the base of wet-area walls</t>
  </si>
  <si>
    <t xml:space="preserve">EXCLUDED: A-101 general note 8 "BOTTOM OF THE WALL CAULKED AT FLOOR LEVEL" = joint sealant (Div 07), excluded like all sealants (estimator standing order).</t>
  </si>
  <si>
    <t xml:space="preserve">ALC-X43</t>
  </si>
  <si>
    <t xml:space="preserve">Partition seismic bracing (A-002 Div 10)</t>
  </si>
  <si>
    <t xml:space="preserve">EXCLUDED as a separate item: A-002 Div 10 "SEISMIC BRACING" is listed with the specialties; partition lateral bracing is carried per 5/A-410 and 3/A-410; ceiling bracing per 5/A-121 carried under RFI-38.</t>
  </si>
  <si>
    <t xml:space="preserve">ALC-X44</t>
  </si>
  <si>
    <t xml:space="preserve">Remove &amp; replace existing GWB for shelving blocking (7/A-413)</t>
  </si>
  <si>
    <t xml:space="preserve">Inside the RFI-01 patch &amp; repair allowance (existing perimeter walls): A-413 general note "G.C. IS TO REMOVE AND REPLACE GYP. BOARD AS REQUIRED FOR INSTALLATION OF WOOD BLOCKING".</t>
  </si>
  <si>
    <t xml:space="preserve">ALC-X30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</si>
  <si>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</si>
  <si>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</si>
  <si>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</si>
  <si>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"c7127044ce1e61197dce878326d3f645ed6b2bbe7ae262f4e911ae5ab5a71334", "evidencias": "82f4ec13c901d7191f9772989e98854d158340ab19499f6cfbada96ca6cbd21e", "familias_out": "b185337f275b61687384e9e03306738f9c81a7254fdb31cb674cf3d3b32b5c00", "reglas": "26cd43ad2b0dabf9c000cc5efad076b676363c3a45b7af4570136de43fd09305",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</si>
</sst>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1.2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1.333333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1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53.76</v>
      </c>
      <c r="D6" s="0" t="n">
        <v>25</v>
      </c>
      <c r="E6" s="0" t="n">
        <v>2</v>
      </c>
      <c r="F6" s="0" t="s">
        <v>73</v>
      </c>
      <c r="G6" s="0" t="n">
        <v>16</v>
      </c>
      <c r="H6" s="0" t="n">
        <v>2688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94.24</v>
      </c>
      <c r="D7" s="0" t="n">
        <v>25</v>
      </c>
      <c r="E7" s="0" t="n">
        <v>2</v>
      </c>
      <c r="F7" s="0" t="s">
        <v>73</v>
      </c>
      <c r="G7" s="0" t="n">
        <v>16</v>
      </c>
      <c r="H7" s="0" t="n">
        <v>4508.64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56.76</v>
      </c>
      <c r="D8" s="0" t="n">
        <v>25</v>
      </c>
      <c r="E8" s="0" t="n">
        <v>2</v>
      </c>
      <c r="F8" s="0" t="s">
        <v>73</v>
      </c>
      <c r="G8" s="0" t="n">
        <v>16</v>
      </c>
      <c r="H8" s="0" t="n">
        <v>1958.22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12.92</v>
      </c>
      <c r="D9" s="0" t="n">
        <v>25</v>
      </c>
      <c r="E9" s="0" t="n">
        <v>2</v>
      </c>
      <c r="F9" s="0" t="s">
        <v>73</v>
      </c>
      <c r="G9" s="0" t="n">
        <v>16</v>
      </c>
      <c r="H9" s="0" t="n">
        <v>241.73</v>
      </c>
      <c r="I9" s="0" t="s">
        <v>85</v>
      </c>
      <c r="J9" s="0" t="s">
        <v>75</v>
      </c>
      <c r="K9" s="0" t="s">
        <v>76</v>
      </c>
    </row>
    <row r="10" customFormat="false" ht="15" hidden="false" customHeight="false" outlineLevel="0" collapsed="false">
      <c r="A10" s="0" t="s">
        <v>86</v>
      </c>
      <c r="B10" s="0" t="s">
        <v>87</v>
      </c>
      <c r="C10" s="0" t="n">
        <v>27.54</v>
      </c>
      <c r="D10" s="0" t="n">
        <v>25</v>
      </c>
      <c r="E10" s="0" t="n">
        <v>2</v>
      </c>
      <c r="F10" s="0" t="s">
        <v>73</v>
      </c>
      <c r="G10" s="0" t="n">
        <v>16</v>
      </c>
      <c r="H10" s="0" t="n">
        <v>580.04</v>
      </c>
      <c r="I10" s="0" t="s">
        <v>88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89</v>
      </c>
      <c r="B11" s="0" t="s">
        <v>90</v>
      </c>
      <c r="C11" s="0" t="n">
        <v>7.51</v>
      </c>
      <c r="D11" s="0" t="n">
        <v>25</v>
      </c>
      <c r="E11" s="0" t="n">
        <v>2</v>
      </c>
      <c r="F11" s="0" t="s">
        <v>73</v>
      </c>
      <c r="G11" s="0" t="n">
        <v>16</v>
      </c>
      <c r="H11" s="0" t="n">
        <v>255.34</v>
      </c>
      <c r="I11" s="0" t="s">
        <v>91</v>
      </c>
      <c r="J11" s="0" t="s">
        <v>75</v>
      </c>
      <c r="K11" s="0" t="s">
        <v>76</v>
      </c>
    </row>
    <row r="12" customFormat="false" ht="15" hidden="false" customHeight="false" outlineLevel="0" collapsed="false">
      <c r="A12" s="0" t="s">
        <v>92</v>
      </c>
      <c r="B12" s="0" t="s">
        <v>93</v>
      </c>
      <c r="C12" s="0" t="n">
        <v>12.92</v>
      </c>
      <c r="D12" s="0" t="n">
        <v>25</v>
      </c>
      <c r="E12" s="0" t="n">
        <v>2</v>
      </c>
      <c r="F12" s="0" t="s">
        <v>73</v>
      </c>
      <c r="G12" s="0" t="n">
        <v>16</v>
      </c>
      <c r="H12" s="0" t="n">
        <v>361.89</v>
      </c>
      <c r="I12" s="0" t="s">
        <v>94</v>
      </c>
      <c r="J12" s="0" t="s">
        <v>75</v>
      </c>
      <c r="K12" s="0" t="s">
        <v>76</v>
      </c>
    </row>
    <row r="13" customFormat="false" ht="15" hidden="false" customHeight="false" outlineLevel="0" collapsed="false">
      <c r="A13" s="0" t="s">
        <v>95</v>
      </c>
      <c r="B13" s="0" t="s">
        <v>96</v>
      </c>
      <c r="C13" s="0" t="n">
        <v>12.92</v>
      </c>
      <c r="D13" s="0" t="n">
        <v>25</v>
      </c>
      <c r="E13" s="0" t="n">
        <v>2</v>
      </c>
      <c r="F13" s="0" t="s">
        <v>73</v>
      </c>
      <c r="G13" s="0" t="n">
        <v>16</v>
      </c>
      <c r="H13" s="0" t="n">
        <v>245.48</v>
      </c>
      <c r="I13" s="0" t="s">
        <v>97</v>
      </c>
      <c r="J13" s="0" t="s">
        <v>75</v>
      </c>
      <c r="K13" s="0" t="s">
        <v>76</v>
      </c>
    </row>
    <row r="14" customFormat="false" ht="15" hidden="false" customHeight="false" outlineLevel="0" collapsed="false">
      <c r="B14" s="6" t="s">
        <v>98</v>
      </c>
      <c r="C14" s="4" t="n">
        <f aca="false">SUM(C6:C13)</f>
        <v>278.57</v>
      </c>
      <c r="H14" s="4" t="n">
        <f aca="false">SUM(H6:H13)</f>
        <v>10839.34</v>
      </c>
    </row>
    <row r="15" customFormat="false" ht="15" hidden="false" customHeight="false" outlineLevel="0" collapsed="false">
      <c r="A15" s="5" t="s">
        <v>99</v>
      </c>
    </row>
    <row r="16" customFormat="false" ht="15" hidden="false" customHeight="false" outlineLevel="0" collapsed="false">
      <c r="A16" s="0" t="s">
        <v>100</v>
      </c>
      <c r="B16" s="0" t="s">
        <v>101</v>
      </c>
      <c r="C16" s="0" t="n">
        <v>5.7</v>
      </c>
      <c r="D16" s="0" t="n">
        <v>25</v>
      </c>
      <c r="E16" s="0" t="n">
        <v>2</v>
      </c>
      <c r="F16" s="0" t="s">
        <v>102</v>
      </c>
      <c r="G16" s="0" t="n">
        <v>16</v>
      </c>
      <c r="H16" s="0" t="n">
        <v>102.6</v>
      </c>
      <c r="I16" s="0" t="s">
        <v>103</v>
      </c>
      <c r="J16" s="0" t="s">
        <v>104</v>
      </c>
      <c r="K16" s="0" t="s">
        <v>76</v>
      </c>
    </row>
    <row r="17" customFormat="false" ht="15" hidden="false" customHeight="false" outlineLevel="0" collapsed="false">
      <c r="B17" s="6" t="s">
        <v>105</v>
      </c>
      <c r="C17" s="4" t="n">
        <f aca="false">SUM(C16:C16)</f>
        <v>5.7</v>
      </c>
      <c r="H17" s="4" t="n">
        <f aca="false">SUM(H16:H16)</f>
        <v>102.6</v>
      </c>
    </row>
    <row r="18" customFormat="false" ht="15" hidden="false" customHeight="false" outlineLevel="0" collapsed="false">
      <c r="A18" s="5" t="s">
        <v>106</v>
      </c>
    </row>
    <row r="19" customFormat="false" ht="15" hidden="false" customHeight="false" outlineLevel="0" collapsed="false">
      <c r="A19" s="0" t="s">
        <v>107</v>
      </c>
      <c r="B19" s="0" t="s">
        <v>108</v>
      </c>
      <c r="C19" s="0" t="n">
        <v>3.67</v>
      </c>
      <c r="D19" s="0" t="n">
        <v>8</v>
      </c>
      <c r="E19" s="0" t="n">
        <v>1</v>
      </c>
      <c r="F19" s="0" t="s">
        <v>109</v>
      </c>
      <c r="G19" s="0" t="n">
        <v>16</v>
      </c>
      <c r="H19" s="0" t="n">
        <v>29.36</v>
      </c>
      <c r="I19" s="0" t="s">
        <v>110</v>
      </c>
      <c r="J19" s="0" t="s">
        <v>111</v>
      </c>
      <c r="K19" s="0" t="s">
        <v>76</v>
      </c>
    </row>
    <row r="20" customFormat="false" ht="15" hidden="false" customHeight="false" outlineLevel="0" collapsed="false">
      <c r="A20" s="0" t="s">
        <v>112</v>
      </c>
      <c r="B20" s="0" t="s">
        <v>113</v>
      </c>
      <c r="C20" s="0" t="n">
        <v>12</v>
      </c>
      <c r="D20" s="0" t="n">
        <v>8</v>
      </c>
      <c r="E20" s="0" t="n">
        <v>1</v>
      </c>
      <c r="F20" s="0" t="s">
        <v>109</v>
      </c>
      <c r="G20" s="0" t="n">
        <v>16</v>
      </c>
      <c r="H20" s="0" t="n">
        <v>96</v>
      </c>
      <c r="I20" s="0" t="s">
        <v>114</v>
      </c>
      <c r="J20" s="0" t="s">
        <v>111</v>
      </c>
      <c r="K20" s="0" t="s">
        <v>76</v>
      </c>
    </row>
    <row r="21" customFormat="false" ht="15" hidden="false" customHeight="false" outlineLevel="0" collapsed="false">
      <c r="A21" s="0" t="s">
        <v>115</v>
      </c>
      <c r="B21" s="0" t="s">
        <v>116</v>
      </c>
      <c r="C21" s="0" t="n">
        <v>12</v>
      </c>
      <c r="D21" s="0" t="n">
        <v>8</v>
      </c>
      <c r="E21" s="0" t="n">
        <v>1</v>
      </c>
      <c r="F21" s="0" t="s">
        <v>109</v>
      </c>
      <c r="G21" s="0" t="n">
        <v>16</v>
      </c>
      <c r="H21" s="0" t="n">
        <v>96</v>
      </c>
      <c r="I21" s="0" t="s">
        <v>117</v>
      </c>
      <c r="J21" s="0" t="s">
        <v>111</v>
      </c>
      <c r="K21" s="0" t="s">
        <v>76</v>
      </c>
    </row>
    <row r="22" customFormat="false" ht="15" hidden="false" customHeight="false" outlineLevel="0" collapsed="false">
      <c r="A22" s="0" t="s">
        <v>118</v>
      </c>
      <c r="B22" s="0" t="s">
        <v>119</v>
      </c>
      <c r="C22" s="0" t="n">
        <v>3.67</v>
      </c>
      <c r="D22" s="0" t="n">
        <v>8</v>
      </c>
      <c r="E22" s="0" t="n">
        <v>1</v>
      </c>
      <c r="F22" s="0" t="s">
        <v>109</v>
      </c>
      <c r="G22" s="0" t="n">
        <v>16</v>
      </c>
      <c r="H22" s="0" t="n">
        <v>29.36</v>
      </c>
      <c r="I22" s="0" t="s">
        <v>120</v>
      </c>
      <c r="J22" s="0" t="s">
        <v>111</v>
      </c>
      <c r="K22" s="0" t="s">
        <v>76</v>
      </c>
    </row>
    <row r="23" customFormat="false" ht="15" hidden="false" customHeight="false" outlineLevel="0" collapsed="false">
      <c r="A23" s="0" t="s">
        <v>121</v>
      </c>
      <c r="B23" s="0" t="s">
        <v>122</v>
      </c>
      <c r="C23" s="0" t="n">
        <v>3.67</v>
      </c>
      <c r="D23" s="0" t="n">
        <v>8</v>
      </c>
      <c r="E23" s="0" t="n">
        <v>1</v>
      </c>
      <c r="F23" s="0" t="s">
        <v>109</v>
      </c>
      <c r="G23" s="0" t="n">
        <v>16</v>
      </c>
      <c r="H23" s="0" t="n">
        <v>29.36</v>
      </c>
      <c r="I23" s="0" t="s">
        <v>123</v>
      </c>
      <c r="J23" s="0" t="s">
        <v>111</v>
      </c>
      <c r="K23" s="0" t="s">
        <v>76</v>
      </c>
    </row>
    <row r="24" customFormat="false" ht="15" hidden="false" customHeight="false" outlineLevel="0" collapsed="false">
      <c r="A24" s="0" t="s">
        <v>124</v>
      </c>
      <c r="B24" s="0" t="s">
        <v>125</v>
      </c>
      <c r="C24" s="0" t="n">
        <v>3.67</v>
      </c>
      <c r="D24" s="0" t="n">
        <v>8</v>
      </c>
      <c r="E24" s="0" t="n">
        <v>1</v>
      </c>
      <c r="F24" s="0" t="s">
        <v>109</v>
      </c>
      <c r="G24" s="0" t="n">
        <v>16</v>
      </c>
      <c r="H24" s="0" t="n">
        <v>29.36</v>
      </c>
      <c r="I24" s="0" t="s">
        <v>126</v>
      </c>
      <c r="J24" s="0" t="s">
        <v>111</v>
      </c>
      <c r="K24" s="0" t="s">
        <v>76</v>
      </c>
    </row>
    <row r="25" customFormat="false" ht="15" hidden="false" customHeight="false" outlineLevel="0" collapsed="false">
      <c r="B25" s="6" t="s">
        <v>127</v>
      </c>
      <c r="C25" s="4" t="n">
        <f aca="false">SUM(C19:C24)</f>
        <v>38.68</v>
      </c>
      <c r="H25" s="4" t="n">
        <f aca="false">SUM(H19:H24)</f>
        <v>309.44</v>
      </c>
    </row>
    <row r="26" customFormat="false" ht="15" hidden="false" customHeight="false" outlineLevel="0" collapsed="false">
      <c r="A26" s="5" t="s">
        <v>128</v>
      </c>
    </row>
    <row r="27" customFormat="false" ht="15" hidden="false" customHeight="false" outlineLevel="0" collapsed="false">
      <c r="A27" s="0" t="s">
        <v>129</v>
      </c>
      <c r="B27" s="0" t="s">
        <v>130</v>
      </c>
      <c r="C27" s="0" t="n">
        <v>12.68</v>
      </c>
      <c r="D27" s="0" t="n">
        <v>7.5</v>
      </c>
      <c r="E27" s="0" t="n">
        <v>1</v>
      </c>
      <c r="F27" s="0" t="s">
        <v>109</v>
      </c>
      <c r="G27" s="0" t="n">
        <v>16</v>
      </c>
      <c r="H27" s="0" t="n">
        <v>95.1</v>
      </c>
      <c r="I27" s="0" t="s">
        <v>131</v>
      </c>
      <c r="J27" s="0" t="s">
        <v>132</v>
      </c>
      <c r="K27" s="0" t="s">
        <v>76</v>
      </c>
    </row>
    <row r="28" customFormat="false" ht="15" hidden="false" customHeight="false" outlineLevel="0" collapsed="false">
      <c r="A28" s="0" t="s">
        <v>133</v>
      </c>
      <c r="B28" s="0" t="s">
        <v>134</v>
      </c>
      <c r="C28" s="0" t="n">
        <v>1.77</v>
      </c>
      <c r="D28" s="0" t="n">
        <v>7.5</v>
      </c>
      <c r="E28" s="0" t="n">
        <v>1</v>
      </c>
      <c r="F28" s="0" t="s">
        <v>109</v>
      </c>
      <c r="G28" s="0" t="n">
        <v>16</v>
      </c>
      <c r="H28" s="0" t="n">
        <v>13.28</v>
      </c>
      <c r="I28" s="0" t="s">
        <v>135</v>
      </c>
      <c r="J28" s="0" t="s">
        <v>132</v>
      </c>
      <c r="K28" s="0" t="s">
        <v>76</v>
      </c>
    </row>
    <row r="29" customFormat="false" ht="15" hidden="false" customHeight="false" outlineLevel="0" collapsed="false">
      <c r="A29" s="0" t="s">
        <v>136</v>
      </c>
      <c r="B29" s="0" t="s">
        <v>137</v>
      </c>
      <c r="C29" s="0" t="n">
        <v>1.72</v>
      </c>
      <c r="D29" s="0" t="n">
        <v>7.5</v>
      </c>
      <c r="E29" s="0" t="n">
        <v>1</v>
      </c>
      <c r="F29" s="0" t="s">
        <v>109</v>
      </c>
      <c r="G29" s="0" t="n">
        <v>16</v>
      </c>
      <c r="H29" s="0" t="n">
        <v>12.9</v>
      </c>
      <c r="I29" s="0" t="s">
        <v>138</v>
      </c>
      <c r="J29" s="0" t="s">
        <v>132</v>
      </c>
      <c r="K29" s="0" t="s">
        <v>76</v>
      </c>
    </row>
    <row r="30" customFormat="false" ht="15" hidden="false" customHeight="false" outlineLevel="0" collapsed="false">
      <c r="A30" s="0" t="s">
        <v>139</v>
      </c>
      <c r="B30" s="0" t="s">
        <v>140</v>
      </c>
      <c r="C30" s="0" t="n">
        <v>4.27</v>
      </c>
      <c r="D30" s="0" t="n">
        <v>7.5</v>
      </c>
      <c r="E30" s="0" t="n">
        <v>1</v>
      </c>
      <c r="F30" s="0" t="s">
        <v>109</v>
      </c>
      <c r="G30" s="0" t="n">
        <v>16</v>
      </c>
      <c r="H30" s="0" t="n">
        <v>32.02</v>
      </c>
      <c r="I30" s="0" t="s">
        <v>141</v>
      </c>
      <c r="J30" s="0" t="s">
        <v>132</v>
      </c>
      <c r="K30" s="0" t="s">
        <v>76</v>
      </c>
    </row>
    <row r="31" customFormat="false" ht="15" hidden="false" customHeight="false" outlineLevel="0" collapsed="false">
      <c r="A31" s="0" t="s">
        <v>142</v>
      </c>
      <c r="B31" s="0" t="s">
        <v>143</v>
      </c>
      <c r="C31" s="0" t="n">
        <v>4.27</v>
      </c>
      <c r="D31" s="0" t="n">
        <v>7.5</v>
      </c>
      <c r="E31" s="0" t="n">
        <v>1</v>
      </c>
      <c r="F31" s="0" t="s">
        <v>109</v>
      </c>
      <c r="G31" s="0" t="n">
        <v>16</v>
      </c>
      <c r="H31" s="0" t="n">
        <v>32.02</v>
      </c>
      <c r="I31" s="0" t="s">
        <v>144</v>
      </c>
      <c r="J31" s="0" t="s">
        <v>132</v>
      </c>
      <c r="K31" s="0" t="s">
        <v>76</v>
      </c>
    </row>
    <row r="32" customFormat="false" ht="15" hidden="false" customHeight="false" outlineLevel="0" collapsed="false">
      <c r="A32" s="0" t="s">
        <v>145</v>
      </c>
      <c r="B32" s="0" t="s">
        <v>146</v>
      </c>
      <c r="C32" s="0" t="n">
        <v>4.29</v>
      </c>
      <c r="D32" s="0" t="n">
        <v>7.5</v>
      </c>
      <c r="E32" s="0" t="n">
        <v>1</v>
      </c>
      <c r="F32" s="0" t="s">
        <v>109</v>
      </c>
      <c r="G32" s="0" t="n">
        <v>16</v>
      </c>
      <c r="H32" s="0" t="n">
        <v>32.17</v>
      </c>
      <c r="I32" s="0" t="s">
        <v>147</v>
      </c>
      <c r="J32" s="0" t="s">
        <v>132</v>
      </c>
      <c r="K32" s="0" t="s">
        <v>76</v>
      </c>
    </row>
    <row r="33" customFormat="false" ht="15" hidden="false" customHeight="false" outlineLevel="0" collapsed="false">
      <c r="A33" s="0" t="s">
        <v>148</v>
      </c>
      <c r="B33" s="0" t="s">
        <v>149</v>
      </c>
      <c r="C33" s="0" t="n">
        <v>4.29</v>
      </c>
      <c r="D33" s="0" t="n">
        <v>7.5</v>
      </c>
      <c r="E33" s="0" t="n">
        <v>1</v>
      </c>
      <c r="F33" s="0" t="s">
        <v>109</v>
      </c>
      <c r="G33" s="0" t="n">
        <v>16</v>
      </c>
      <c r="H33" s="0" t="n">
        <v>32.17</v>
      </c>
      <c r="I33" s="0" t="s">
        <v>150</v>
      </c>
      <c r="J33" s="0" t="s">
        <v>132</v>
      </c>
      <c r="K33" s="0" t="s">
        <v>76</v>
      </c>
    </row>
    <row r="34" customFormat="false" ht="15" hidden="false" customHeight="false" outlineLevel="0" collapsed="false">
      <c r="A34" s="0" t="s">
        <v>151</v>
      </c>
      <c r="B34" s="0" t="s">
        <v>152</v>
      </c>
      <c r="C34" s="0" t="n">
        <v>4.27</v>
      </c>
      <c r="D34" s="0" t="n">
        <v>7.5</v>
      </c>
      <c r="E34" s="0" t="n">
        <v>1</v>
      </c>
      <c r="F34" s="0" t="s">
        <v>109</v>
      </c>
      <c r="G34" s="0" t="n">
        <v>16</v>
      </c>
      <c r="H34" s="0" t="n">
        <v>32.02</v>
      </c>
      <c r="I34" s="0" t="s">
        <v>153</v>
      </c>
      <c r="J34" s="0" t="s">
        <v>132</v>
      </c>
      <c r="K34" s="0" t="s">
        <v>76</v>
      </c>
    </row>
    <row r="35" customFormat="false" ht="15" hidden="false" customHeight="false" outlineLevel="0" collapsed="false">
      <c r="A35" s="0" t="s">
        <v>154</v>
      </c>
      <c r="B35" s="0" t="s">
        <v>155</v>
      </c>
      <c r="C35" s="0" t="n">
        <v>4.29</v>
      </c>
      <c r="D35" s="0" t="n">
        <v>7.5</v>
      </c>
      <c r="E35" s="0" t="n">
        <v>1</v>
      </c>
      <c r="F35" s="0" t="s">
        <v>109</v>
      </c>
      <c r="G35" s="0" t="n">
        <v>16</v>
      </c>
      <c r="H35" s="0" t="n">
        <v>32.17</v>
      </c>
      <c r="I35" s="0" t="s">
        <v>156</v>
      </c>
      <c r="J35" s="0" t="s">
        <v>132</v>
      </c>
      <c r="K35" s="0" t="s">
        <v>76</v>
      </c>
    </row>
    <row r="36" customFormat="false" ht="15" hidden="false" customHeight="false" outlineLevel="0" collapsed="false">
      <c r="A36" s="0" t="s">
        <v>157</v>
      </c>
      <c r="B36" s="0" t="s">
        <v>158</v>
      </c>
      <c r="C36" s="0" t="n">
        <v>4.28</v>
      </c>
      <c r="D36" s="0" t="n">
        <v>7.5</v>
      </c>
      <c r="E36" s="0" t="n">
        <v>1</v>
      </c>
      <c r="F36" s="0" t="s">
        <v>109</v>
      </c>
      <c r="G36" s="0" t="n">
        <v>16</v>
      </c>
      <c r="H36" s="0" t="n">
        <v>32.1</v>
      </c>
      <c r="I36" s="0" t="s">
        <v>159</v>
      </c>
      <c r="J36" s="0" t="s">
        <v>132</v>
      </c>
      <c r="K36" s="0" t="s">
        <v>76</v>
      </c>
    </row>
    <row r="37" customFormat="false" ht="15" hidden="false" customHeight="false" outlineLevel="0" collapsed="false">
      <c r="A37" s="0" t="s">
        <v>160</v>
      </c>
      <c r="B37" s="0" t="s">
        <v>161</v>
      </c>
      <c r="C37" s="0" t="n">
        <v>4.28</v>
      </c>
      <c r="D37" s="0" t="n">
        <v>7.5</v>
      </c>
      <c r="E37" s="0" t="n">
        <v>1</v>
      </c>
      <c r="F37" s="0" t="s">
        <v>109</v>
      </c>
      <c r="G37" s="0" t="n">
        <v>16</v>
      </c>
      <c r="H37" s="0" t="n">
        <v>32.1</v>
      </c>
      <c r="I37" s="0" t="s">
        <v>162</v>
      </c>
      <c r="J37" s="0" t="s">
        <v>132</v>
      </c>
      <c r="K37" s="0" t="s">
        <v>76</v>
      </c>
    </row>
    <row r="38" customFormat="false" ht="15" hidden="false" customHeight="false" outlineLevel="0" collapsed="false">
      <c r="A38" s="0" t="s">
        <v>163</v>
      </c>
      <c r="B38" s="0" t="s">
        <v>164</v>
      </c>
      <c r="C38" s="0" t="n">
        <v>4.28</v>
      </c>
      <c r="D38" s="0" t="n">
        <v>7.5</v>
      </c>
      <c r="E38" s="0" t="n">
        <v>1</v>
      </c>
      <c r="F38" s="0" t="s">
        <v>109</v>
      </c>
      <c r="G38" s="0" t="n">
        <v>16</v>
      </c>
      <c r="H38" s="0" t="n">
        <v>32.1</v>
      </c>
      <c r="I38" s="0" t="s">
        <v>165</v>
      </c>
      <c r="J38" s="0" t="s">
        <v>132</v>
      </c>
      <c r="K38" s="0" t="s">
        <v>76</v>
      </c>
    </row>
    <row r="39" customFormat="false" ht="15" hidden="false" customHeight="false" outlineLevel="0" collapsed="false">
      <c r="A39" s="0" t="s">
        <v>166</v>
      </c>
      <c r="B39" s="0" t="s">
        <v>167</v>
      </c>
      <c r="C39" s="0" t="n">
        <v>4.28</v>
      </c>
      <c r="D39" s="0" t="n">
        <v>7.5</v>
      </c>
      <c r="E39" s="0" t="n">
        <v>1</v>
      </c>
      <c r="F39" s="0" t="s">
        <v>109</v>
      </c>
      <c r="G39" s="0" t="n">
        <v>16</v>
      </c>
      <c r="H39" s="0" t="n">
        <v>32.1</v>
      </c>
      <c r="I39" s="0" t="s">
        <v>168</v>
      </c>
      <c r="J39" s="0" t="s">
        <v>132</v>
      </c>
      <c r="K39" s="0" t="s">
        <v>76</v>
      </c>
    </row>
    <row r="40" customFormat="false" ht="15" hidden="false" customHeight="false" outlineLevel="0" collapsed="false">
      <c r="A40" s="0" t="s">
        <v>169</v>
      </c>
      <c r="B40" s="0" t="s">
        <v>170</v>
      </c>
      <c r="C40" s="0" t="n">
        <v>4.28</v>
      </c>
      <c r="D40" s="0" t="n">
        <v>7.5</v>
      </c>
      <c r="E40" s="0" t="n">
        <v>1</v>
      </c>
      <c r="F40" s="0" t="s">
        <v>109</v>
      </c>
      <c r="G40" s="0" t="n">
        <v>16</v>
      </c>
      <c r="H40" s="0" t="n">
        <v>32.1</v>
      </c>
      <c r="I40" s="0" t="s">
        <v>171</v>
      </c>
      <c r="J40" s="0" t="s">
        <v>132</v>
      </c>
      <c r="K40" s="0" t="s">
        <v>76</v>
      </c>
    </row>
    <row r="41" customFormat="false" ht="15" hidden="false" customHeight="false" outlineLevel="0" collapsed="false">
      <c r="A41" s="0" t="s">
        <v>172</v>
      </c>
      <c r="B41" s="0" t="s">
        <v>173</v>
      </c>
      <c r="C41" s="0" t="n">
        <v>4.28</v>
      </c>
      <c r="D41" s="0" t="n">
        <v>7.5</v>
      </c>
      <c r="E41" s="0" t="n">
        <v>1</v>
      </c>
      <c r="F41" s="0" t="s">
        <v>109</v>
      </c>
      <c r="G41" s="0" t="n">
        <v>16</v>
      </c>
      <c r="H41" s="0" t="n">
        <v>32.1</v>
      </c>
      <c r="I41" s="0" t="s">
        <v>174</v>
      </c>
      <c r="J41" s="0" t="s">
        <v>132</v>
      </c>
      <c r="K41" s="0" t="s">
        <v>76</v>
      </c>
    </row>
    <row r="42" customFormat="false" ht="15" hidden="false" customHeight="false" outlineLevel="0" collapsed="false">
      <c r="A42" s="0" t="s">
        <v>175</v>
      </c>
      <c r="B42" s="0" t="s">
        <v>176</v>
      </c>
      <c r="C42" s="0" t="n">
        <v>12.68</v>
      </c>
      <c r="D42" s="0" t="n">
        <v>7.5</v>
      </c>
      <c r="E42" s="0" t="n">
        <v>1</v>
      </c>
      <c r="F42" s="0" t="s">
        <v>109</v>
      </c>
      <c r="G42" s="0" t="n">
        <v>16</v>
      </c>
      <c r="H42" s="0" t="n">
        <v>95.1</v>
      </c>
      <c r="I42" s="0" t="s">
        <v>177</v>
      </c>
      <c r="J42" s="0" t="s">
        <v>132</v>
      </c>
      <c r="K42" s="0" t="s">
        <v>76</v>
      </c>
    </row>
    <row r="43" customFormat="false" ht="15" hidden="false" customHeight="false" outlineLevel="0" collapsed="false">
      <c r="A43" s="0" t="s">
        <v>178</v>
      </c>
      <c r="B43" s="0" t="s">
        <v>179</v>
      </c>
      <c r="C43" s="0" t="n">
        <v>1.75</v>
      </c>
      <c r="D43" s="0" t="n">
        <v>7.5</v>
      </c>
      <c r="E43" s="0" t="n">
        <v>1</v>
      </c>
      <c r="F43" s="0" t="s">
        <v>109</v>
      </c>
      <c r="G43" s="0" t="n">
        <v>16</v>
      </c>
      <c r="H43" s="0" t="n">
        <v>13.12</v>
      </c>
      <c r="I43" s="0" t="s">
        <v>180</v>
      </c>
      <c r="J43" s="0" t="s">
        <v>132</v>
      </c>
      <c r="K43" s="0" t="s">
        <v>76</v>
      </c>
    </row>
    <row r="44" customFormat="false" ht="15" hidden="false" customHeight="false" outlineLevel="0" collapsed="false">
      <c r="A44" s="0" t="s">
        <v>181</v>
      </c>
      <c r="B44" s="0" t="s">
        <v>182</v>
      </c>
      <c r="C44" s="0" t="n">
        <v>1.68</v>
      </c>
      <c r="D44" s="0" t="n">
        <v>7.5</v>
      </c>
      <c r="E44" s="0" t="n">
        <v>1</v>
      </c>
      <c r="F44" s="0" t="s">
        <v>109</v>
      </c>
      <c r="G44" s="0" t="n">
        <v>16</v>
      </c>
      <c r="H44" s="0" t="n">
        <v>12.6</v>
      </c>
      <c r="I44" s="0" t="s">
        <v>183</v>
      </c>
      <c r="J44" s="0" t="s">
        <v>132</v>
      </c>
      <c r="K44" s="0" t="s">
        <v>76</v>
      </c>
    </row>
    <row r="45" customFormat="false" ht="15" hidden="false" customHeight="false" outlineLevel="0" collapsed="false">
      <c r="B45" s="6" t="s">
        <v>184</v>
      </c>
      <c r="C45" s="4" t="n">
        <f aca="false">SUM(C27:C44)</f>
        <v>83.64</v>
      </c>
      <c r="H45" s="4" t="n">
        <f aca="false">SUM(H27:H44)</f>
        <v>627.27</v>
      </c>
    </row>
    <row r="46" customFormat="false" ht="15" hidden="false" customHeight="false" outlineLevel="0" collapsed="false">
      <c r="A46" s="5" t="s">
        <v>185</v>
      </c>
    </row>
    <row r="47" customFormat="false" ht="15" hidden="false" customHeight="false" outlineLevel="0" collapsed="false">
      <c r="A47" s="0" t="s">
        <v>186</v>
      </c>
      <c r="B47" s="0" t="s">
        <v>187</v>
      </c>
      <c r="C47" s="0" t="n">
        <v>29.98</v>
      </c>
      <c r="D47" s="0" t="n">
        <v>25</v>
      </c>
      <c r="E47" s="0" t="n">
        <v>1</v>
      </c>
      <c r="F47" s="0" t="s">
        <v>102</v>
      </c>
      <c r="G47" s="0" t="n">
        <v>16</v>
      </c>
      <c r="H47" s="0" t="n">
        <v>678.44</v>
      </c>
      <c r="I47" s="0" t="s">
        <v>188</v>
      </c>
      <c r="J47" s="0" t="s">
        <v>189</v>
      </c>
      <c r="K47" s="0" t="s">
        <v>76</v>
      </c>
    </row>
    <row r="48" customFormat="false" ht="15" hidden="false" customHeight="false" outlineLevel="0" collapsed="false">
      <c r="A48" s="0" t="s">
        <v>190</v>
      </c>
      <c r="B48" s="0" t="s">
        <v>191</v>
      </c>
      <c r="C48" s="0" t="n">
        <v>12.17</v>
      </c>
      <c r="D48" s="0" t="n">
        <v>25</v>
      </c>
      <c r="E48" s="0" t="n">
        <v>1</v>
      </c>
      <c r="F48" s="0" t="s">
        <v>102</v>
      </c>
      <c r="G48" s="0" t="n">
        <v>16</v>
      </c>
      <c r="H48" s="0" t="n">
        <v>115.61</v>
      </c>
      <c r="I48" s="0" t="s">
        <v>192</v>
      </c>
      <c r="J48" s="0" t="s">
        <v>189</v>
      </c>
      <c r="K48" s="0" t="s">
        <v>76</v>
      </c>
    </row>
    <row r="49" customFormat="false" ht="15" hidden="false" customHeight="false" outlineLevel="0" collapsed="false">
      <c r="B49" s="6" t="s">
        <v>193</v>
      </c>
      <c r="C49" s="4" t="n">
        <f aca="false">SUM(C47:C48)</f>
        <v>42.15</v>
      </c>
      <c r="H49" s="4" t="n">
        <f aca="false">SUM(H47:H48)</f>
        <v>794.05</v>
      </c>
    </row>
    <row r="50" customFormat="false" ht="15" hidden="false" customHeight="false" outlineLevel="0" collapsed="false">
      <c r="A50" s="5" t="s">
        <v>194</v>
      </c>
    </row>
    <row r="51" customFormat="false" ht="15" hidden="false" customHeight="false" outlineLevel="0" collapsed="false">
      <c r="A51" s="0" t="s">
        <v>195</v>
      </c>
      <c r="B51" s="0" t="s">
        <v>196</v>
      </c>
      <c r="C51" s="0" t="n">
        <v>12.17</v>
      </c>
      <c r="D51" s="0" t="n">
        <v>25</v>
      </c>
      <c r="E51" s="0" t="n">
        <v>1</v>
      </c>
      <c r="F51" s="0" t="s">
        <v>73</v>
      </c>
      <c r="G51" s="0" t="n">
        <v>16</v>
      </c>
      <c r="H51" s="0" t="n">
        <v>304.25</v>
      </c>
      <c r="I51" s="0" t="s">
        <v>197</v>
      </c>
      <c r="J51" s="0" t="s">
        <v>189</v>
      </c>
      <c r="K51" s="0" t="s">
        <v>76</v>
      </c>
    </row>
    <row r="52" customFormat="false" ht="15" hidden="false" customHeight="false" outlineLevel="0" collapsed="false">
      <c r="B52" s="6" t="s">
        <v>198</v>
      </c>
      <c r="C52" s="4" t="n">
        <f aca="false">SUM(C51:C51)</f>
        <v>12.17</v>
      </c>
      <c r="H52" s="4" t="n">
        <f aca="false">SUM(H51:H51)</f>
        <v>304.25</v>
      </c>
    </row>
    <row r="53" customFormat="false" ht="15" hidden="false" customHeight="false" outlineLevel="0" collapsed="false">
      <c r="A53" s="5" t="s">
        <v>199</v>
      </c>
    </row>
    <row r="54" customFormat="false" ht="15" hidden="false" customHeight="false" outlineLevel="0" collapsed="false">
      <c r="A54" s="0" t="s">
        <v>200</v>
      </c>
      <c r="B54" s="0" t="s">
        <v>201</v>
      </c>
      <c r="C54" s="0" t="n">
        <v>1.95</v>
      </c>
      <c r="D54" s="0" t="n">
        <v>25</v>
      </c>
      <c r="E54" s="0" t="n">
        <v>0</v>
      </c>
      <c r="F54" s="0" t="s">
        <v>73</v>
      </c>
      <c r="G54" s="0" t="n">
        <v>16</v>
      </c>
      <c r="H54" s="0" t="n">
        <v>0</v>
      </c>
      <c r="I54" s="0" t="s">
        <v>202</v>
      </c>
      <c r="J54" s="0" t="s">
        <v>189</v>
      </c>
      <c r="K54" s="0" t="s">
        <v>76</v>
      </c>
    </row>
    <row r="55" customFormat="false" ht="15" hidden="false" customHeight="false" outlineLevel="0" collapsed="false">
      <c r="B55" s="6" t="s">
        <v>203</v>
      </c>
      <c r="C55" s="4" t="n">
        <f aca="false">SUM(C54:C54)</f>
        <v>1.95</v>
      </c>
      <c r="H55" s="4" t="n">
        <f aca="false">SUM(H54:H54)</f>
        <v>0</v>
      </c>
    </row>
    <row r="56" customFormat="false" ht="15" hidden="false" customHeight="false" outlineLevel="0" collapsed="false">
      <c r="A56" s="5" t="s">
        <v>204</v>
      </c>
    </row>
    <row r="57" customFormat="false" ht="15" hidden="false" customHeight="false" outlineLevel="0" collapsed="false">
      <c r="A57" s="0" t="s">
        <v>205</v>
      </c>
      <c r="B57" s="0" t="s">
        <v>206</v>
      </c>
      <c r="C57" s="0" t="n">
        <v>4.08</v>
      </c>
      <c r="D57" s="0" t="n">
        <v>25</v>
      </c>
      <c r="E57" s="0" t="n">
        <v>2</v>
      </c>
      <c r="F57" s="0" t="s">
        <v>102</v>
      </c>
      <c r="G57" s="0" t="n">
        <v>16</v>
      </c>
      <c r="H57" s="0" t="n">
        <v>71.74</v>
      </c>
      <c r="I57" s="0" t="s">
        <v>207</v>
      </c>
      <c r="J57" s="0" t="s">
        <v>208</v>
      </c>
      <c r="K57" s="0" t="s">
        <v>76</v>
      </c>
    </row>
    <row r="58" customFormat="false" ht="15" hidden="false" customHeight="false" outlineLevel="0" collapsed="false">
      <c r="B58" s="6" t="s">
        <v>209</v>
      </c>
      <c r="C58" s="4" t="n">
        <f aca="false">SUM(C57:C57)</f>
        <v>4.08</v>
      </c>
      <c r="H58" s="4" t="n">
        <f aca="false">SUM(H57:H57)</f>
        <v>71.74</v>
      </c>
    </row>
    <row r="59" customFormat="false" ht="15" hidden="false" customHeight="false" outlineLevel="0" collapsed="false">
      <c r="A59" s="5" t="s">
        <v>210</v>
      </c>
    </row>
    <row r="60" customFormat="false" ht="15" hidden="false" customHeight="false" outlineLevel="0" collapsed="false">
      <c r="A60" s="0" t="s">
        <v>211</v>
      </c>
      <c r="B60" s="0" t="s">
        <v>212</v>
      </c>
      <c r="C60" s="0" t="n">
        <v>6.17</v>
      </c>
      <c r="D60" s="0" t="n">
        <v>25</v>
      </c>
      <c r="E60" s="0" t="n">
        <v>2</v>
      </c>
      <c r="F60" s="0" t="s">
        <v>102</v>
      </c>
      <c r="G60" s="0" t="n">
        <v>16</v>
      </c>
      <c r="H60" s="0" t="n">
        <v>151.68</v>
      </c>
      <c r="I60" s="0" t="s">
        <v>213</v>
      </c>
      <c r="J60" s="0" t="s">
        <v>208</v>
      </c>
      <c r="K60" s="0" t="s">
        <v>76</v>
      </c>
    </row>
    <row r="61" customFormat="false" ht="15" hidden="false" customHeight="false" outlineLevel="0" collapsed="false">
      <c r="B61" s="6" t="s">
        <v>214</v>
      </c>
      <c r="C61" s="4" t="n">
        <f aca="false">SUM(C60:C60)</f>
        <v>6.17</v>
      </c>
      <c r="H61" s="4" t="n">
        <f aca="false">SUM(H60:H60)</f>
        <v>151.68</v>
      </c>
    </row>
    <row r="62" customFormat="false" ht="15" hidden="false" customHeight="false" outlineLevel="0" collapsed="false">
      <c r="A62" s="5" t="s">
        <v>215</v>
      </c>
    </row>
    <row r="63" customFormat="false" ht="15" hidden="false" customHeight="false" outlineLevel="0" collapsed="false">
      <c r="A63" s="0" t="s">
        <v>216</v>
      </c>
      <c r="B63" s="0" t="s">
        <v>217</v>
      </c>
      <c r="C63" s="0" t="n">
        <v>29.3</v>
      </c>
      <c r="D63" s="0" t="n">
        <v>25</v>
      </c>
      <c r="E63" s="0" t="n">
        <v>0</v>
      </c>
      <c r="F63" s="0" t="s">
        <v>102</v>
      </c>
      <c r="G63" s="0" t="n">
        <v>16</v>
      </c>
      <c r="H63" s="0" t="n">
        <v>0</v>
      </c>
      <c r="I63" s="0" t="s">
        <v>218</v>
      </c>
      <c r="J63" s="0" t="s">
        <v>219</v>
      </c>
      <c r="K63" s="0" t="s">
        <v>76</v>
      </c>
    </row>
    <row r="64" customFormat="false" ht="15" hidden="false" customHeight="false" outlineLevel="0" collapsed="false">
      <c r="B64" s="6" t="s">
        <v>220</v>
      </c>
      <c r="C64" s="4" t="n">
        <f aca="false">SUM(C63:C63)</f>
        <v>29.3</v>
      </c>
      <c r="H64" s="4" t="n">
        <f aca="false">SUM(H63:H63)</f>
        <v>0</v>
      </c>
    </row>
    <row r="65" customFormat="false" ht="15" hidden="false" customHeight="false" outlineLevel="0" collapsed="false">
      <c r="A65" s="5" t="s">
        <v>221</v>
      </c>
    </row>
    <row r="66" customFormat="false" ht="15" hidden="false" customHeight="false" outlineLevel="0" collapsed="false">
      <c r="A66" s="0" t="s">
        <v>222</v>
      </c>
      <c r="B66" s="0" t="s">
        <v>223</v>
      </c>
      <c r="C66" s="0" t="n">
        <v>2.31</v>
      </c>
      <c r="D66" s="0" t="n">
        <v>25</v>
      </c>
      <c r="E66" s="0" t="n">
        <v>1</v>
      </c>
      <c r="F66" s="0" t="s">
        <v>102</v>
      </c>
      <c r="G66" s="0" t="n">
        <v>16</v>
      </c>
      <c r="H66" s="0" t="n">
        <v>26.57</v>
      </c>
      <c r="I66" s="0" t="s">
        <v>224</v>
      </c>
      <c r="J66" s="0" t="s">
        <v>219</v>
      </c>
      <c r="K66" s="0" t="s">
        <v>76</v>
      </c>
    </row>
    <row r="67" customFormat="false" ht="15" hidden="false" customHeight="false" outlineLevel="0" collapsed="false">
      <c r="A67" s="0" t="s">
        <v>225</v>
      </c>
      <c r="B67" s="0" t="s">
        <v>226</v>
      </c>
      <c r="C67" s="0" t="n">
        <v>2.11</v>
      </c>
      <c r="D67" s="0" t="n">
        <v>25</v>
      </c>
      <c r="E67" s="0" t="n">
        <v>1</v>
      </c>
      <c r="F67" s="0" t="s">
        <v>102</v>
      </c>
      <c r="G67" s="0" t="n">
        <v>16</v>
      </c>
      <c r="H67" s="0" t="n">
        <v>25.32</v>
      </c>
      <c r="I67" s="0" t="s">
        <v>227</v>
      </c>
      <c r="J67" s="0" t="s">
        <v>219</v>
      </c>
      <c r="K67" s="0" t="s">
        <v>76</v>
      </c>
    </row>
    <row r="68" customFormat="false" ht="15" hidden="false" customHeight="false" outlineLevel="0" collapsed="false">
      <c r="A68" s="0" t="s">
        <v>228</v>
      </c>
      <c r="B68" s="0" t="s">
        <v>229</v>
      </c>
      <c r="C68" s="0" t="n">
        <v>23.46</v>
      </c>
      <c r="D68" s="0" t="n">
        <v>25</v>
      </c>
      <c r="E68" s="0" t="n">
        <v>0.81</v>
      </c>
      <c r="F68" s="0" t="s">
        <v>102</v>
      </c>
      <c r="G68" s="0" t="n">
        <v>16</v>
      </c>
      <c r="H68" s="0" t="n">
        <v>228</v>
      </c>
      <c r="I68" s="0" t="s">
        <v>230</v>
      </c>
      <c r="J68" s="0" t="s">
        <v>219</v>
      </c>
      <c r="K68" s="0" t="s">
        <v>76</v>
      </c>
    </row>
    <row r="69" customFormat="false" ht="15" hidden="false" customHeight="false" outlineLevel="0" collapsed="false">
      <c r="B69" s="6" t="s">
        <v>231</v>
      </c>
      <c r="C69" s="4" t="n">
        <f aca="false">SUM(C66:C68)</f>
        <v>27.88</v>
      </c>
      <c r="H69" s="4" t="n">
        <f aca="false">SUM(H66:H68)</f>
        <v>279.89</v>
      </c>
    </row>
    <row r="70" customFormat="false" ht="15" hidden="false" customHeight="false" outlineLevel="0" collapsed="false">
      <c r="A70" s="5" t="s">
        <v>232</v>
      </c>
    </row>
    <row r="71" customFormat="false" ht="15" hidden="false" customHeight="false" outlineLevel="0" collapsed="false">
      <c r="A71" s="0" t="s">
        <v>233</v>
      </c>
      <c r="B71" s="0" t="s">
        <v>234</v>
      </c>
      <c r="C71" s="0" t="n">
        <v>3.26</v>
      </c>
      <c r="D71" s="0" t="n">
        <v>25</v>
      </c>
      <c r="E71" s="0" t="n">
        <v>0</v>
      </c>
      <c r="F71" s="0" t="s">
        <v>73</v>
      </c>
      <c r="G71" s="0" t="n">
        <v>16</v>
      </c>
      <c r="H71" s="0" t="n">
        <v>0</v>
      </c>
      <c r="I71" s="0" t="s">
        <v>235</v>
      </c>
      <c r="J71" s="0" t="s">
        <v>236</v>
      </c>
      <c r="K71" s="0" t="s">
        <v>76</v>
      </c>
    </row>
    <row r="72" customFormat="false" ht="15" hidden="false" customHeight="false" outlineLevel="0" collapsed="false">
      <c r="B72" s="6" t="s">
        <v>237</v>
      </c>
      <c r="C72" s="4" t="n">
        <f aca="false">SUM(C71:C71)</f>
        <v>3.26</v>
      </c>
      <c r="H72" s="4" t="n">
        <f aca="false">SUM(H71:H71)</f>
        <v>0</v>
      </c>
    </row>
    <row r="73" customFormat="false" ht="15" hidden="false" customHeight="false" outlineLevel="0" collapsed="false">
      <c r="A73" s="5" t="s">
        <v>238</v>
      </c>
    </row>
    <row r="74" customFormat="false" ht="15" hidden="false" customHeight="false" outlineLevel="0" collapsed="false">
      <c r="A74" s="0" t="s">
        <v>239</v>
      </c>
      <c r="B74" s="0" t="s">
        <v>240</v>
      </c>
      <c r="C74" s="0" t="n">
        <v>2.31</v>
      </c>
      <c r="D74" s="0" t="n">
        <v>25</v>
      </c>
      <c r="E74" s="0" t="n">
        <v>1</v>
      </c>
      <c r="F74" s="0" t="s">
        <v>102</v>
      </c>
      <c r="G74" s="0" t="n">
        <v>16</v>
      </c>
      <c r="H74" s="0" t="n">
        <v>23.1</v>
      </c>
      <c r="I74" s="0" t="s">
        <v>241</v>
      </c>
      <c r="J74" s="0" t="s">
        <v>242</v>
      </c>
      <c r="K74" s="0" t="s">
        <v>76</v>
      </c>
    </row>
    <row r="75" customFormat="false" ht="15" hidden="false" customHeight="false" outlineLevel="0" collapsed="false">
      <c r="A75" s="0" t="s">
        <v>243</v>
      </c>
      <c r="B75" s="0" t="s">
        <v>244</v>
      </c>
      <c r="C75" s="0" t="n">
        <v>0.603</v>
      </c>
      <c r="D75" s="0" t="n">
        <v>25</v>
      </c>
      <c r="E75" s="0" t="n">
        <v>1</v>
      </c>
      <c r="F75" s="0" t="s">
        <v>102</v>
      </c>
      <c r="G75" s="0" t="n">
        <v>16</v>
      </c>
      <c r="H75" s="0" t="n">
        <v>6.03</v>
      </c>
      <c r="I75" s="0" t="s">
        <v>245</v>
      </c>
      <c r="J75" s="0" t="s">
        <v>242</v>
      </c>
      <c r="K75" s="0" t="s">
        <v>76</v>
      </c>
    </row>
    <row r="76" customFormat="false" ht="15" hidden="false" customHeight="false" outlineLevel="0" collapsed="false">
      <c r="A76" s="0" t="s">
        <v>246</v>
      </c>
      <c r="B76" s="0" t="s">
        <v>247</v>
      </c>
      <c r="C76" s="0" t="n">
        <v>0.603</v>
      </c>
      <c r="D76" s="0" t="n">
        <v>25</v>
      </c>
      <c r="E76" s="0" t="n">
        <v>1</v>
      </c>
      <c r="F76" s="0" t="s">
        <v>102</v>
      </c>
      <c r="G76" s="0" t="n">
        <v>16</v>
      </c>
      <c r="H76" s="0" t="n">
        <v>6.03</v>
      </c>
      <c r="I76" s="0" t="s">
        <v>248</v>
      </c>
      <c r="J76" s="0" t="s">
        <v>242</v>
      </c>
      <c r="K76" s="0" t="s">
        <v>76</v>
      </c>
    </row>
    <row r="77" customFormat="false" ht="15" hidden="false" customHeight="false" outlineLevel="0" collapsed="false">
      <c r="A77" s="0" t="s">
        <v>249</v>
      </c>
      <c r="B77" s="0" t="s">
        <v>250</v>
      </c>
      <c r="C77" s="0" t="n">
        <v>1</v>
      </c>
      <c r="D77" s="0" t="n">
        <v>25</v>
      </c>
      <c r="E77" s="0" t="n">
        <v>1</v>
      </c>
      <c r="F77" s="0" t="s">
        <v>102</v>
      </c>
      <c r="G77" s="0" t="n">
        <v>16</v>
      </c>
      <c r="H77" s="0" t="n">
        <v>10</v>
      </c>
      <c r="I77" s="0" t="s">
        <v>251</v>
      </c>
      <c r="J77" s="0" t="s">
        <v>242</v>
      </c>
      <c r="K77" s="0" t="s">
        <v>76</v>
      </c>
    </row>
    <row r="78" customFormat="false" ht="15" hidden="false" customHeight="false" outlineLevel="0" collapsed="false">
      <c r="B78" s="6" t="s">
        <v>252</v>
      </c>
      <c r="C78" s="4" t="n">
        <f aca="false">SUM(C74:C77)</f>
        <v>4.516</v>
      </c>
      <c r="H78" s="4" t="n">
        <f aca="false">SUM(H74:H77)</f>
        <v>45.16</v>
      </c>
    </row>
    <row r="79" customFormat="false" ht="15" hidden="false" customHeight="false" outlineLevel="0" collapsed="false">
      <c r="A79" s="5" t="s">
        <v>253</v>
      </c>
    </row>
    <row r="80" customFormat="false" ht="15" hidden="false" customHeight="false" outlineLevel="0" collapsed="false">
      <c r="A80" s="0" t="s">
        <v>254</v>
      </c>
      <c r="B80" s="0" t="s">
        <v>255</v>
      </c>
      <c r="C80" s="0" t="n">
        <v>9.89</v>
      </c>
      <c r="D80" s="0" t="n">
        <v>2.708</v>
      </c>
      <c r="E80" s="0" t="n">
        <v>2</v>
      </c>
      <c r="F80" s="0" t="s">
        <v>109</v>
      </c>
      <c r="G80" s="0" t="n">
        <v>16</v>
      </c>
      <c r="H80" s="0" t="n">
        <v>53.56</v>
      </c>
      <c r="I80" s="0" t="s">
        <v>256</v>
      </c>
      <c r="J80" s="0" t="s">
        <v>257</v>
      </c>
      <c r="K80" s="0" t="s">
        <v>76</v>
      </c>
    </row>
    <row r="81" customFormat="false" ht="15" hidden="false" customHeight="false" outlineLevel="0" collapsed="false">
      <c r="A81" s="0" t="s">
        <v>258</v>
      </c>
      <c r="B81" s="0" t="s">
        <v>259</v>
      </c>
      <c r="C81" s="0" t="n">
        <v>4.14</v>
      </c>
      <c r="D81" s="0" t="n">
        <v>2.708</v>
      </c>
      <c r="E81" s="0" t="n">
        <v>2</v>
      </c>
      <c r="F81" s="0" t="s">
        <v>109</v>
      </c>
      <c r="G81" s="0" t="n">
        <v>16</v>
      </c>
      <c r="H81" s="0" t="n">
        <v>22.42</v>
      </c>
      <c r="I81" s="0" t="s">
        <v>260</v>
      </c>
      <c r="J81" s="0" t="s">
        <v>257</v>
      </c>
      <c r="K81" s="0" t="s">
        <v>76</v>
      </c>
    </row>
    <row r="82" customFormat="false" ht="15" hidden="false" customHeight="false" outlineLevel="0" collapsed="false">
      <c r="A82" s="0" t="s">
        <v>261</v>
      </c>
      <c r="B82" s="0" t="s">
        <v>262</v>
      </c>
      <c r="C82" s="0" t="n">
        <v>6.24</v>
      </c>
      <c r="D82" s="0" t="n">
        <v>2.708</v>
      </c>
      <c r="E82" s="0" t="n">
        <v>2</v>
      </c>
      <c r="F82" s="0" t="s">
        <v>109</v>
      </c>
      <c r="G82" s="0" t="n">
        <v>16</v>
      </c>
      <c r="H82" s="0" t="n">
        <v>33.8</v>
      </c>
      <c r="I82" s="0" t="s">
        <v>263</v>
      </c>
      <c r="J82" s="0" t="s">
        <v>257</v>
      </c>
      <c r="K82" s="0" t="s">
        <v>76</v>
      </c>
    </row>
    <row r="83" customFormat="false" ht="15" hidden="false" customHeight="false" outlineLevel="0" collapsed="false">
      <c r="B83" s="6" t="s">
        <v>264</v>
      </c>
      <c r="C83" s="4" t="n">
        <f aca="false">SUM(C80:C82)</f>
        <v>20.27</v>
      </c>
      <c r="H83" s="4" t="n">
        <f aca="false">SUM(H80:H82)</f>
        <v>109.78</v>
      </c>
    </row>
    <row r="84" customFormat="false" ht="15" hidden="false" customHeight="false" outlineLevel="0" collapsed="false">
      <c r="A84" s="5" t="s">
        <v>265</v>
      </c>
    </row>
    <row r="85" customFormat="false" ht="15" hidden="false" customHeight="false" outlineLevel="0" collapsed="false">
      <c r="A85" s="0" t="s">
        <v>266</v>
      </c>
      <c r="B85" s="0" t="s">
        <v>267</v>
      </c>
      <c r="C85" s="0" t="n">
        <v>3.17</v>
      </c>
      <c r="D85" s="0" t="n">
        <v>2.708</v>
      </c>
      <c r="E85" s="0" t="n">
        <v>2</v>
      </c>
      <c r="F85" s="0" t="s">
        <v>109</v>
      </c>
      <c r="G85" s="0" t="n">
        <v>16</v>
      </c>
      <c r="H85" s="0" t="n">
        <v>17.16</v>
      </c>
      <c r="I85" s="0" t="s">
        <v>268</v>
      </c>
      <c r="J85" s="0" t="s">
        <v>269</v>
      </c>
      <c r="K85" s="0" t="s">
        <v>76</v>
      </c>
    </row>
    <row r="86" customFormat="false" ht="15" hidden="false" customHeight="false" outlineLevel="0" collapsed="false">
      <c r="B86" s="6" t="s">
        <v>270</v>
      </c>
      <c r="C86" s="4" t="n">
        <f aca="false">SUM(C85:C85)</f>
        <v>3.17</v>
      </c>
      <c r="H86" s="4" t="n">
        <f aca="false">SUM(H85:H85)</f>
        <v>17.16</v>
      </c>
    </row>
    <row r="87" customFormat="false" ht="15" hidden="false" customHeight="false" outlineLevel="0" collapsed="false">
      <c r="A87" s="5" t="s">
        <v>271</v>
      </c>
    </row>
    <row r="88" customFormat="false" ht="15" hidden="false" customHeight="false" outlineLevel="0" collapsed="false">
      <c r="A88" s="0" t="s">
        <v>272</v>
      </c>
      <c r="B88" s="0" t="s">
        <v>273</v>
      </c>
      <c r="C88" s="0" t="n">
        <v>5.14</v>
      </c>
      <c r="D88" s="0" t="n">
        <v>1</v>
      </c>
      <c r="E88" s="0" t="n">
        <v>2</v>
      </c>
      <c r="F88" s="0" t="s">
        <v>109</v>
      </c>
      <c r="G88" s="0" t="n">
        <v>16</v>
      </c>
      <c r="H88" s="0" t="n">
        <v>10.28</v>
      </c>
      <c r="I88" s="0" t="s">
        <v>274</v>
      </c>
      <c r="J88" s="0" t="s">
        <v>275</v>
      </c>
      <c r="K88" s="0" t="s">
        <v>76</v>
      </c>
    </row>
    <row r="89" customFormat="false" ht="15" hidden="false" customHeight="false" outlineLevel="0" collapsed="false">
      <c r="B89" s="6" t="s">
        <v>276</v>
      </c>
      <c r="C89" s="4" t="n">
        <f aca="false">SUM(C88:C88)</f>
        <v>5.14</v>
      </c>
      <c r="H89" s="4" t="n">
        <f aca="false">SUM(H88:H88)</f>
        <v>10.28</v>
      </c>
    </row>
    <row r="90" customFormat="false" ht="15" hidden="false" customHeight="false" outlineLevel="0" collapsed="false">
      <c r="A90" s="5" t="s">
        <v>277</v>
      </c>
    </row>
    <row r="91" customFormat="false" ht="15" hidden="false" customHeight="false" outlineLevel="0" collapsed="false">
      <c r="A91" s="0" t="s">
        <v>278</v>
      </c>
      <c r="B91" s="0" t="s">
        <v>279</v>
      </c>
      <c r="C91" s="0" t="n">
        <v>3.17</v>
      </c>
      <c r="D91" s="0" t="n">
        <v>2.708</v>
      </c>
      <c r="E91" s="0" t="n">
        <v>2</v>
      </c>
      <c r="F91" s="0" t="s">
        <v>109</v>
      </c>
      <c r="G91" s="0" t="n">
        <v>16</v>
      </c>
      <c r="H91" s="0" t="n">
        <v>17.16</v>
      </c>
      <c r="I91" s="0" t="s">
        <v>280</v>
      </c>
      <c r="J91" s="0" t="s">
        <v>281</v>
      </c>
      <c r="K91" s="0" t="s">
        <v>76</v>
      </c>
    </row>
    <row r="92" customFormat="false" ht="15" hidden="false" customHeight="false" outlineLevel="0" collapsed="false">
      <c r="B92" s="6" t="s">
        <v>282</v>
      </c>
      <c r="C92" s="4" t="n">
        <f aca="false">SUM(C91:C91)</f>
        <v>3.17</v>
      </c>
      <c r="H92" s="4" t="n">
        <f aca="false">SUM(H91:H91)</f>
        <v>17.16</v>
      </c>
    </row>
    <row r="93" customFormat="false" ht="15" hidden="false" customHeight="false" outlineLevel="0" collapsed="false">
      <c r="B93" s="6" t="s">
        <v>283</v>
      </c>
      <c r="C93" s="4" t="n">
        <f aca="false">C14+C17+C25+C45+C49+C52+C55+C58+C61+C64+C69+C72+C78+C83+C86+C89+C92</f>
        <v>569.816</v>
      </c>
      <c r="H93" s="4" t="n">
        <f aca="false">H14+H17+H25+H45+H49+H52+H55+H58+H61+H64+H69+H72+H78+H83+H86+H89+H92</f>
        <v>13679.8</v>
      </c>
    </row>
    <row r="95" customFormat="false" ht="15" hidden="false" customHeight="false" outlineLevel="0" collapsed="false">
      <c r="A95" s="5" t="s">
        <v>284</v>
      </c>
    </row>
    <row r="96" customFormat="false" ht="15" hidden="false" customHeight="false" outlineLevel="0" collapsed="false">
      <c r="A96" s="0" t="s">
        <v>285</v>
      </c>
      <c r="B96" s="0" t="s">
        <v>286</v>
      </c>
      <c r="C96" s="0" t="n">
        <v>8</v>
      </c>
      <c r="D96" s="0" t="n">
        <v>8</v>
      </c>
      <c r="E96" s="0" t="n">
        <v>1</v>
      </c>
      <c r="F96" s="0" t="s">
        <v>109</v>
      </c>
      <c r="G96" s="0" t="n">
        <v>16</v>
      </c>
      <c r="H96" s="0" t="n">
        <v>64</v>
      </c>
      <c r="I96" s="0" t="s">
        <v>287</v>
      </c>
      <c r="J96" s="0" t="s">
        <v>288</v>
      </c>
      <c r="K96" s="0" t="s">
        <v>76</v>
      </c>
    </row>
    <row r="97" customFormat="false" ht="15" hidden="false" customHeight="false" outlineLevel="0" collapsed="false">
      <c r="A97" s="0" t="s">
        <v>289</v>
      </c>
      <c r="B97" s="0" t="s">
        <v>290</v>
      </c>
      <c r="C97" s="0" t="n">
        <v>8</v>
      </c>
      <c r="D97" s="0" t="n">
        <v>8</v>
      </c>
      <c r="E97" s="0" t="n">
        <v>1</v>
      </c>
      <c r="F97" s="0" t="s">
        <v>109</v>
      </c>
      <c r="G97" s="0" t="n">
        <v>16</v>
      </c>
      <c r="H97" s="0" t="n">
        <v>64</v>
      </c>
      <c r="I97" s="0" t="s">
        <v>287</v>
      </c>
      <c r="J97" s="0" t="s">
        <v>288</v>
      </c>
      <c r="K97" s="0" t="s">
        <v>76</v>
      </c>
    </row>
    <row r="98" customFormat="false" ht="15" hidden="false" customHeight="false" outlineLevel="0" collapsed="false">
      <c r="A98" s="0" t="s">
        <v>291</v>
      </c>
      <c r="B98" s="0" t="s">
        <v>292</v>
      </c>
      <c r="C98" s="0" t="n">
        <v>8</v>
      </c>
      <c r="D98" s="0" t="n">
        <v>8</v>
      </c>
      <c r="E98" s="0" t="n">
        <v>1</v>
      </c>
      <c r="F98" s="0" t="s">
        <v>109</v>
      </c>
      <c r="G98" s="0" t="n">
        <v>16</v>
      </c>
      <c r="H98" s="0" t="n">
        <v>64</v>
      </c>
      <c r="I98" s="0" t="s">
        <v>287</v>
      </c>
      <c r="J98" s="0" t="s">
        <v>288</v>
      </c>
      <c r="K98" s="0" t="s">
        <v>76</v>
      </c>
    </row>
    <row r="99" customFormat="false" ht="15" hidden="false" customHeight="false" outlineLevel="0" collapsed="false">
      <c r="A99" s="0" t="s">
        <v>293</v>
      </c>
      <c r="B99" s="0" t="s">
        <v>294</v>
      </c>
      <c r="C99" s="0" t="n">
        <v>8</v>
      </c>
      <c r="D99" s="0" t="n">
        <v>8</v>
      </c>
      <c r="E99" s="0" t="n">
        <v>1</v>
      </c>
      <c r="F99" s="0" t="s">
        <v>109</v>
      </c>
      <c r="G99" s="0" t="n">
        <v>16</v>
      </c>
      <c r="H99" s="0" t="n">
        <v>64</v>
      </c>
      <c r="I99" s="0" t="s">
        <v>287</v>
      </c>
      <c r="J99" s="0" t="s">
        <v>288</v>
      </c>
      <c r="K99" s="0" t="s">
        <v>76</v>
      </c>
    </row>
    <row r="100" customFormat="false" ht="15" hidden="false" customHeight="false" outlineLevel="0" collapsed="false">
      <c r="A100" s="0" t="s">
        <v>295</v>
      </c>
      <c r="B100" s="0" t="s">
        <v>296</v>
      </c>
      <c r="C100" s="0" t="n">
        <v>8</v>
      </c>
      <c r="D100" s="0" t="n">
        <v>8</v>
      </c>
      <c r="E100" s="0" t="n">
        <v>1</v>
      </c>
      <c r="F100" s="0" t="s">
        <v>109</v>
      </c>
      <c r="G100" s="0" t="n">
        <v>16</v>
      </c>
      <c r="H100" s="0" t="n">
        <v>64</v>
      </c>
      <c r="I100" s="0" t="s">
        <v>287</v>
      </c>
      <c r="J100" s="0" t="s">
        <v>288</v>
      </c>
      <c r="K100" s="0" t="s">
        <v>76</v>
      </c>
    </row>
    <row r="101" customFormat="false" ht="15" hidden="false" customHeight="false" outlineLevel="0" collapsed="false">
      <c r="A101" s="0" t="s">
        <v>297</v>
      </c>
      <c r="B101" s="0" t="s">
        <v>298</v>
      </c>
      <c r="C101" s="0" t="n">
        <v>8</v>
      </c>
      <c r="D101" s="0" t="n">
        <v>8</v>
      </c>
      <c r="E101" s="0" t="n">
        <v>1</v>
      </c>
      <c r="F101" s="0" t="s">
        <v>109</v>
      </c>
      <c r="G101" s="0" t="n">
        <v>16</v>
      </c>
      <c r="H101" s="0" t="n">
        <v>64</v>
      </c>
      <c r="I101" s="0" t="s">
        <v>287</v>
      </c>
      <c r="J101" s="0" t="s">
        <v>288</v>
      </c>
      <c r="K101" s="0" t="s">
        <v>76</v>
      </c>
    </row>
    <row r="102" customFormat="false" ht="15" hidden="false" customHeight="false" outlineLevel="0" collapsed="false">
      <c r="A102" s="0" t="s">
        <v>299</v>
      </c>
      <c r="B102" s="0" t="s">
        <v>300</v>
      </c>
      <c r="C102" s="0" t="n">
        <v>8</v>
      </c>
      <c r="D102" s="0" t="n">
        <v>8</v>
      </c>
      <c r="E102" s="0" t="n">
        <v>1</v>
      </c>
      <c r="F102" s="0" t="s">
        <v>109</v>
      </c>
      <c r="G102" s="0" t="n">
        <v>16</v>
      </c>
      <c r="H102" s="0" t="n">
        <v>64</v>
      </c>
      <c r="I102" s="0" t="s">
        <v>287</v>
      </c>
      <c r="J102" s="0" t="s">
        <v>288</v>
      </c>
      <c r="K102" s="0" t="s">
        <v>76</v>
      </c>
    </row>
    <row r="103" customFormat="false" ht="15" hidden="false" customHeight="false" outlineLevel="0" collapsed="false">
      <c r="A103" s="0" t="s">
        <v>301</v>
      </c>
      <c r="B103" s="0" t="s">
        <v>302</v>
      </c>
      <c r="C103" s="0" t="n">
        <v>8</v>
      </c>
      <c r="D103" s="0" t="n">
        <v>8</v>
      </c>
      <c r="E103" s="0" t="n">
        <v>1</v>
      </c>
      <c r="F103" s="0" t="s">
        <v>109</v>
      </c>
      <c r="G103" s="0" t="n">
        <v>16</v>
      </c>
      <c r="H103" s="0" t="n">
        <v>64</v>
      </c>
      <c r="I103" s="0" t="s">
        <v>287</v>
      </c>
      <c r="J103" s="0" t="s">
        <v>288</v>
      </c>
      <c r="K103" s="0" t="s">
        <v>76</v>
      </c>
    </row>
    <row r="104" customFormat="false" ht="15" hidden="false" customHeight="false" outlineLevel="0" collapsed="false">
      <c r="A104" s="0" t="s">
        <v>303</v>
      </c>
      <c r="B104" s="0" t="s">
        <v>304</v>
      </c>
      <c r="C104" s="0" t="n">
        <v>8</v>
      </c>
      <c r="D104" s="0" t="n">
        <v>8</v>
      </c>
      <c r="E104" s="0" t="n">
        <v>1</v>
      </c>
      <c r="F104" s="0" t="s">
        <v>109</v>
      </c>
      <c r="G104" s="0" t="n">
        <v>16</v>
      </c>
      <c r="H104" s="0" t="n">
        <v>64</v>
      </c>
      <c r="I104" s="0" t="s">
        <v>287</v>
      </c>
      <c r="J104" s="0" t="s">
        <v>288</v>
      </c>
      <c r="K104" s="0" t="s">
        <v>76</v>
      </c>
    </row>
    <row r="105" customFormat="false" ht="15" hidden="false" customHeight="false" outlineLevel="0" collapsed="false">
      <c r="A105" s="0" t="s">
        <v>305</v>
      </c>
      <c r="B105" s="0" t="s">
        <v>306</v>
      </c>
      <c r="C105" s="0" t="n">
        <v>22.77</v>
      </c>
      <c r="D105" s="0" t="n">
        <v>14</v>
      </c>
      <c r="E105" s="0" t="n">
        <v>1</v>
      </c>
      <c r="F105" s="0" t="s">
        <v>109</v>
      </c>
      <c r="G105" s="0" t="n">
        <v>16</v>
      </c>
      <c r="H105" s="0" t="n">
        <v>227.7</v>
      </c>
      <c r="I105" s="0" t="s">
        <v>307</v>
      </c>
      <c r="J105" s="0" t="s">
        <v>308</v>
      </c>
      <c r="K105" s="0" t="s">
        <v>76</v>
      </c>
    </row>
    <row r="106" customFormat="false" ht="15" hidden="false" customHeight="false" outlineLevel="0" collapsed="false">
      <c r="A106" s="0" t="s">
        <v>309</v>
      </c>
      <c r="B106" s="0" t="s">
        <v>310</v>
      </c>
      <c r="C106" s="0" t="n">
        <v>10.12</v>
      </c>
      <c r="D106" s="0" t="n">
        <v>14</v>
      </c>
      <c r="E106" s="0" t="n">
        <v>1</v>
      </c>
      <c r="F106" s="0" t="s">
        <v>109</v>
      </c>
      <c r="G106" s="0" t="n">
        <v>16</v>
      </c>
      <c r="H106" s="0" t="n">
        <v>101.2</v>
      </c>
      <c r="I106" s="0" t="s">
        <v>311</v>
      </c>
      <c r="J106" s="0" t="s">
        <v>308</v>
      </c>
      <c r="K106" s="0" t="s">
        <v>76</v>
      </c>
    </row>
    <row r="107" customFormat="false" ht="15" hidden="false" customHeight="false" outlineLevel="0" collapsed="false">
      <c r="A107" s="0" t="s">
        <v>312</v>
      </c>
      <c r="B107" s="0" t="s">
        <v>313</v>
      </c>
      <c r="C107" s="0" t="n">
        <v>20</v>
      </c>
      <c r="D107" s="0" t="n">
        <v>13.5</v>
      </c>
      <c r="E107" s="0" t="n">
        <v>1</v>
      </c>
      <c r="F107" s="0" t="s">
        <v>109</v>
      </c>
      <c r="G107" s="0" t="n">
        <v>16</v>
      </c>
      <c r="H107" s="0" t="n">
        <v>10</v>
      </c>
      <c r="I107" s="0" t="s">
        <v>314</v>
      </c>
      <c r="J107" s="0" t="s">
        <v>308</v>
      </c>
      <c r="K107" s="0" t="s">
        <v>76</v>
      </c>
    </row>
    <row r="108" customFormat="false" ht="15" hidden="false" customHeight="false" outlineLevel="0" collapsed="false">
      <c r="A108" s="0" t="s">
        <v>315</v>
      </c>
      <c r="B108" s="0" t="s">
        <v>316</v>
      </c>
      <c r="C108" s="0" t="n">
        <v>6.25</v>
      </c>
      <c r="D108" s="0" t="n">
        <v>13.5</v>
      </c>
      <c r="E108" s="0" t="n">
        <v>1</v>
      </c>
      <c r="F108" s="0" t="s">
        <v>109</v>
      </c>
      <c r="G108" s="0" t="n">
        <v>16</v>
      </c>
      <c r="H108" s="0" t="n">
        <v>3.12</v>
      </c>
      <c r="I108" s="0" t="s">
        <v>317</v>
      </c>
      <c r="J108" s="0" t="s">
        <v>308</v>
      </c>
      <c r="K108" s="0" t="s">
        <v>76</v>
      </c>
    </row>
    <row r="109" customFormat="false" ht="15" hidden="false" customHeight="false" outlineLevel="0" collapsed="false">
      <c r="A109" s="0" t="s">
        <v>318</v>
      </c>
      <c r="B109" s="0" t="s">
        <v>319</v>
      </c>
      <c r="C109" s="0" t="n">
        <v>6.167</v>
      </c>
      <c r="D109" s="0" t="n">
        <v>17.917</v>
      </c>
      <c r="E109" s="0" t="n">
        <v>1</v>
      </c>
      <c r="F109" s="0" t="s">
        <v>102</v>
      </c>
      <c r="G109" s="0" t="n">
        <v>16</v>
      </c>
      <c r="H109" s="0" t="n">
        <v>61.67</v>
      </c>
      <c r="I109" s="0" t="s">
        <v>320</v>
      </c>
      <c r="J109" s="0" t="s">
        <v>321</v>
      </c>
      <c r="K109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322</v>
      </c>
    </row>
    <row r="2" customFormat="false" ht="15" hidden="false" customHeight="false" outlineLevel="0" collapsed="false">
      <c r="A2" s="0" t="s">
        <v>323</v>
      </c>
    </row>
    <row r="3" customFormat="false" ht="15" hidden="false" customHeight="false" outlineLevel="0" collapsed="false">
      <c r="A3" s="2" t="s">
        <v>324</v>
      </c>
      <c r="B3" s="2" t="s">
        <v>325</v>
      </c>
      <c r="C3" s="2" t="s">
        <v>326</v>
      </c>
      <c r="D3" s="2" t="s">
        <v>327</v>
      </c>
      <c r="E3" s="2" t="s">
        <v>328</v>
      </c>
      <c r="F3" s="2" t="s">
        <v>329</v>
      </c>
      <c r="G3" s="2" t="s">
        <v>330</v>
      </c>
      <c r="H3" s="2" t="s">
        <v>331</v>
      </c>
      <c r="I3" s="2" t="s">
        <v>332</v>
      </c>
      <c r="J3" s="2" t="s">
        <v>333</v>
      </c>
    </row>
    <row r="4" customFormat="false" ht="15" hidden="false" customHeight="false" outlineLevel="0" collapsed="false">
      <c r="A4" s="0" t="s">
        <v>334</v>
      </c>
      <c r="B4" s="0" t="s">
        <v>335</v>
      </c>
      <c r="C4" s="0" t="n">
        <v>450.02</v>
      </c>
      <c r="D4" s="0" t="n">
        <f aca="false">Inputs!$B$5</f>
        <v>0.15</v>
      </c>
      <c r="E4" s="0" t="n">
        <f aca="false">C4*D4</f>
        <v>67.503</v>
      </c>
      <c r="F4" s="0" t="n">
        <f aca="false">C4+E4</f>
        <v>517.523</v>
      </c>
      <c r="G4" s="0" t="s">
        <v>336</v>
      </c>
      <c r="H4" s="0" t="n">
        <f aca="false">ROUNDUP(F4/Inputs!$B$11,0)</f>
        <v>52</v>
      </c>
      <c r="I4" s="0" t="s">
        <v>337</v>
      </c>
    </row>
    <row r="5" customFormat="false" ht="15" hidden="false" customHeight="false" outlineLevel="0" collapsed="false">
      <c r="A5" s="0" t="s">
        <v>338</v>
      </c>
      <c r="B5" s="0" t="s">
        <v>335</v>
      </c>
      <c r="C5" s="0" t="n">
        <v>118.59</v>
      </c>
      <c r="D5" s="0" t="n">
        <f aca="false">Inputs!$B$5</f>
        <v>0.15</v>
      </c>
      <c r="E5" s="0" t="n">
        <f aca="false">C5*D5</f>
        <v>17.7885</v>
      </c>
      <c r="F5" s="0" t="n">
        <f aca="false">C5+E5</f>
        <v>136.3785</v>
      </c>
      <c r="G5" s="0" t="s">
        <v>336</v>
      </c>
      <c r="H5" s="0" t="n">
        <f aca="false">ROUNDUP(F5/Inputs!$B$11,0)</f>
        <v>14</v>
      </c>
      <c r="I5" s="0" t="s">
        <v>339</v>
      </c>
    </row>
    <row r="6" customFormat="false" ht="15" hidden="false" customHeight="false" outlineLevel="0" collapsed="false">
      <c r="A6" s="0" t="s">
        <v>340</v>
      </c>
      <c r="B6" s="0" t="s">
        <v>335</v>
      </c>
      <c r="C6" s="0" t="n">
        <v>72</v>
      </c>
      <c r="D6" s="0" t="n">
        <f aca="false">Inputs!$B$5</f>
        <v>0.15</v>
      </c>
      <c r="E6" s="0" t="n">
        <f aca="false">C6*D6</f>
        <v>10.8</v>
      </c>
      <c r="F6" s="0" t="n">
        <f aca="false">C6+E6</f>
        <v>82.8</v>
      </c>
      <c r="G6" s="0" t="s">
        <v>336</v>
      </c>
      <c r="H6" s="0" t="n">
        <f aca="false">ROUNDUP(F6/Inputs!$B$11,0)</f>
        <v>9</v>
      </c>
      <c r="I6" s="0" t="s">
        <v>341</v>
      </c>
    </row>
    <row r="7" customFormat="false" ht="15" hidden="false" customHeight="false" outlineLevel="0" collapsed="false">
      <c r="A7" s="0" t="s">
        <v>342</v>
      </c>
      <c r="B7" s="0" t="s">
        <v>335</v>
      </c>
      <c r="C7" s="0" t="n">
        <v>450.02</v>
      </c>
      <c r="D7" s="0" t="n">
        <f aca="false">Inputs!$B$5</f>
        <v>0.15</v>
      </c>
      <c r="E7" s="0" t="n">
        <f aca="false">C7*D7</f>
        <v>67.503</v>
      </c>
      <c r="F7" s="0" t="n">
        <f aca="false">C7+E7</f>
        <v>517.523</v>
      </c>
      <c r="G7" s="0" t="s">
        <v>336</v>
      </c>
      <c r="H7" s="0" t="n">
        <f aca="false">ROUNDUP(F7/Inputs!$B$11,0)</f>
        <v>52</v>
      </c>
      <c r="I7" s="0" t="s">
        <v>337</v>
      </c>
    </row>
    <row r="8" customFormat="false" ht="15" hidden="false" customHeight="false" outlineLevel="0" collapsed="false">
      <c r="A8" s="0" t="s">
        <v>343</v>
      </c>
      <c r="B8" s="0" t="s">
        <v>335</v>
      </c>
      <c r="C8" s="0" t="n">
        <v>118.59</v>
      </c>
      <c r="D8" s="0" t="n">
        <f aca="false">Inputs!$B$5</f>
        <v>0.15</v>
      </c>
      <c r="E8" s="0" t="n">
        <f aca="false">C8*D8</f>
        <v>17.7885</v>
      </c>
      <c r="F8" s="0" t="n">
        <f aca="false">C8+E8</f>
        <v>136.3785</v>
      </c>
      <c r="G8" s="0" t="s">
        <v>336</v>
      </c>
      <c r="H8" s="0" t="n">
        <f aca="false">ROUNDUP(F8/Inputs!$B$11,0)</f>
        <v>14</v>
      </c>
      <c r="I8" s="0" t="s">
        <v>339</v>
      </c>
    </row>
    <row r="9" customFormat="false" ht="15" hidden="false" customHeight="false" outlineLevel="0" collapsed="false">
      <c r="A9" s="0" t="s">
        <v>344</v>
      </c>
      <c r="B9" s="0" t="s">
        <v>335</v>
      </c>
      <c r="C9" s="0" t="n">
        <v>72</v>
      </c>
      <c r="D9" s="0" t="n">
        <f aca="false">Inputs!$B$5</f>
        <v>0.15</v>
      </c>
      <c r="E9" s="0" t="n">
        <f aca="false">C9*D9</f>
        <v>10.8</v>
      </c>
      <c r="F9" s="0" t="n">
        <f aca="false">C9+E9</f>
        <v>82.8</v>
      </c>
      <c r="G9" s="0" t="s">
        <v>336</v>
      </c>
      <c r="H9" s="0" t="n">
        <f aca="false">ROUNDUP(F9/Inputs!$B$11,0)</f>
        <v>9</v>
      </c>
      <c r="I9" s="0" t="s">
        <v>341</v>
      </c>
    </row>
    <row r="10" customFormat="false" ht="15" hidden="false" customHeight="false" outlineLevel="0" collapsed="false">
      <c r="A10" s="0" t="s">
        <v>345</v>
      </c>
      <c r="B10" s="0" t="s">
        <v>335</v>
      </c>
      <c r="C10" s="0" t="n">
        <v>25.33</v>
      </c>
      <c r="D10" s="0" t="n">
        <f aca="false">Inputs!$B$5</f>
        <v>0.15</v>
      </c>
      <c r="E10" s="0" t="n">
        <f aca="false">C10*D10</f>
        <v>3.7995</v>
      </c>
      <c r="F10" s="0" t="n">
        <f aca="false">C10+E10</f>
        <v>29.1295</v>
      </c>
      <c r="G10" s="0" t="s">
        <v>346</v>
      </c>
      <c r="H10" s="0" t="n">
        <f aca="false">ROUNDUP(F10/Inputs!$B$10,0)</f>
        <v>2</v>
      </c>
      <c r="I10" s="0" t="s">
        <v>347</v>
      </c>
    </row>
    <row r="11" customFormat="false" ht="15" hidden="false" customHeight="false" outlineLevel="0" collapsed="false">
      <c r="A11" s="0" t="s">
        <v>348</v>
      </c>
      <c r="B11" s="0" t="s">
        <v>335</v>
      </c>
      <c r="C11" s="0" t="n">
        <v>3162.5</v>
      </c>
      <c r="D11" s="0" t="n">
        <f aca="false">Inputs!$B$5</f>
        <v>0.15</v>
      </c>
      <c r="E11" s="0" t="n">
        <f aca="false">C11*D11</f>
        <v>474.375</v>
      </c>
      <c r="F11" s="0" t="n">
        <f aca="false">C11+E11</f>
        <v>3636.875</v>
      </c>
      <c r="G11" s="0" t="s">
        <v>346</v>
      </c>
      <c r="H11" s="0" t="n">
        <f aca="false">ROUNDUP(F11/Inputs!$B$10,0)</f>
        <v>182</v>
      </c>
      <c r="I11" s="0" t="s">
        <v>349</v>
      </c>
    </row>
    <row r="12" customFormat="false" ht="15" hidden="false" customHeight="false" outlineLevel="0" collapsed="false">
      <c r="A12" s="0" t="s">
        <v>350</v>
      </c>
      <c r="B12" s="0" t="s">
        <v>335</v>
      </c>
      <c r="C12" s="0" t="n">
        <v>11601.59</v>
      </c>
      <c r="D12" s="0" t="n">
        <f aca="false">Inputs!$B$5</f>
        <v>0.15</v>
      </c>
      <c r="E12" s="0" t="n">
        <f aca="false">C12*D12</f>
        <v>1740.2385</v>
      </c>
      <c r="F12" s="0" t="n">
        <f aca="false">C12+E12</f>
        <v>13341.8285</v>
      </c>
      <c r="G12" s="0" t="s">
        <v>346</v>
      </c>
      <c r="H12" s="0" t="n">
        <f aca="false">ROUNDUP(F12/Inputs!$B$10,0)</f>
        <v>668</v>
      </c>
      <c r="I12" s="0" t="s">
        <v>351</v>
      </c>
    </row>
    <row r="13" customFormat="false" ht="15" hidden="false" customHeight="false" outlineLevel="0" collapsed="false">
      <c r="A13" s="0" t="s">
        <v>352</v>
      </c>
      <c r="B13" s="0" t="s">
        <v>335</v>
      </c>
      <c r="C13" s="0" t="n">
        <v>180.99</v>
      </c>
      <c r="D13" s="0" t="n">
        <f aca="false">Inputs!$B$5</f>
        <v>0.15</v>
      </c>
      <c r="E13" s="0" t="n">
        <f aca="false">C13*D13</f>
        <v>27.1485</v>
      </c>
      <c r="F13" s="0" t="n">
        <f aca="false">C13+E13</f>
        <v>208.1385</v>
      </c>
      <c r="G13" s="0" t="s">
        <v>336</v>
      </c>
      <c r="H13" s="0" t="n">
        <f aca="false">ROUNDUP(F13/Inputs!$B$11,0)</f>
        <v>21</v>
      </c>
      <c r="I13" s="0" t="s">
        <v>353</v>
      </c>
    </row>
    <row r="14" customFormat="false" ht="15" hidden="false" customHeight="false" outlineLevel="0" collapsed="false">
      <c r="A14" s="0" t="s">
        <v>354</v>
      </c>
      <c r="B14" s="0" t="s">
        <v>335</v>
      </c>
      <c r="C14" s="0" t="n">
        <v>2883.65</v>
      </c>
      <c r="D14" s="0" t="n">
        <f aca="false">Inputs!$B$5</f>
        <v>0.15</v>
      </c>
      <c r="E14" s="0" t="n">
        <f aca="false">C14*D14</f>
        <v>432.5475</v>
      </c>
      <c r="F14" s="0" t="n">
        <f aca="false">C14+E14</f>
        <v>3316.1975</v>
      </c>
      <c r="G14" s="0" t="s">
        <v>355</v>
      </c>
      <c r="H14" s="0" t="n">
        <f aca="false">ROUNDUP(F14/Inputs!$B$16,0)</f>
        <v>208</v>
      </c>
      <c r="I14" s="0" t="s">
        <v>356</v>
      </c>
    </row>
    <row r="15" customFormat="false" ht="15" hidden="false" customHeight="false" outlineLevel="0" collapsed="false">
      <c r="A15" s="0" t="s">
        <v>357</v>
      </c>
      <c r="B15" s="0" t="s">
        <v>335</v>
      </c>
      <c r="C15" s="0" t="n">
        <v>207.45</v>
      </c>
      <c r="D15" s="0" t="n">
        <f aca="false">Inputs!$B$5</f>
        <v>0.15</v>
      </c>
      <c r="E15" s="0" t="n">
        <f aca="false">C15*D15</f>
        <v>31.1175</v>
      </c>
      <c r="F15" s="0" t="n">
        <f aca="false">C15+E15</f>
        <v>238.5675</v>
      </c>
      <c r="G15" s="0" t="s">
        <v>358</v>
      </c>
      <c r="H15" s="0" t="n">
        <f aca="false">ROUNDUP(F15/Inputs!$B$17,0)</f>
        <v>20</v>
      </c>
      <c r="I15" s="0" t="s">
        <v>359</v>
      </c>
    </row>
    <row r="16" customFormat="false" ht="15" hidden="false" customHeight="false" outlineLevel="0" collapsed="false">
      <c r="A16" s="0" t="s">
        <v>360</v>
      </c>
      <c r="B16" s="0" t="s">
        <v>335</v>
      </c>
      <c r="C16" s="0" t="n">
        <v>159.16</v>
      </c>
      <c r="D16" s="0" t="n">
        <f aca="false">Inputs!$B$5</f>
        <v>0.15</v>
      </c>
      <c r="E16" s="0" t="n">
        <f aca="false">C16*D16</f>
        <v>23.874</v>
      </c>
      <c r="F16" s="0" t="n">
        <f aca="false">C16+E16</f>
        <v>183.034</v>
      </c>
      <c r="G16" s="0" t="s">
        <v>355</v>
      </c>
      <c r="H16" s="0" t="n">
        <f aca="false">ROUNDUP(F16/Inputs!$B$16,0)</f>
        <v>12</v>
      </c>
      <c r="I16" s="0" t="s">
        <v>361</v>
      </c>
    </row>
    <row r="17" customFormat="false" ht="15" hidden="false" customHeight="false" outlineLevel="0" collapsed="false">
      <c r="A17" s="0" t="s">
        <v>362</v>
      </c>
      <c r="B17" s="0" t="s">
        <v>335</v>
      </c>
      <c r="C17" s="0" t="n">
        <v>2689.79</v>
      </c>
      <c r="D17" s="0" t="n">
        <f aca="false">Inputs!$B$5</f>
        <v>0.15</v>
      </c>
      <c r="E17" s="0" t="n">
        <f aca="false">C17*D17</f>
        <v>403.4685</v>
      </c>
      <c r="F17" s="0" t="n">
        <f aca="false">C17+E17</f>
        <v>3093.2585</v>
      </c>
      <c r="G17" s="0" t="s">
        <v>33</v>
      </c>
      <c r="H17" s="0" t="n">
        <f aca="false">ROUNDUP(F17,0)</f>
        <v>3094</v>
      </c>
      <c r="I17" s="0" t="s">
        <v>363</v>
      </c>
    </row>
    <row r="18" customFormat="false" ht="15" hidden="false" customHeight="false" outlineLevel="0" collapsed="false">
      <c r="A18" s="0" t="s">
        <v>364</v>
      </c>
      <c r="B18" s="0" t="s">
        <v>335</v>
      </c>
      <c r="C18" s="0" t="n">
        <v>568.27</v>
      </c>
      <c r="D18" s="0" t="n">
        <f aca="false">Inputs!$B$6</f>
        <v>0.06</v>
      </c>
      <c r="E18" s="0" t="n">
        <f aca="false">C18*D18</f>
        <v>34.0962</v>
      </c>
      <c r="F18" s="0" t="n">
        <f aca="false">C18+E18</f>
        <v>602.3662</v>
      </c>
      <c r="G18" s="0" t="s">
        <v>365</v>
      </c>
      <c r="H18" s="0" t="n">
        <f aca="false">ROUNDUP(F18/Inputs!$B$26,0)</f>
        <v>38</v>
      </c>
      <c r="I18" s="0" t="s">
        <v>366</v>
      </c>
    </row>
    <row r="19" customFormat="false" ht="15" hidden="false" customHeight="false" outlineLevel="0" collapsed="false">
      <c r="A19" s="0" t="s">
        <v>367</v>
      </c>
      <c r="B19" s="0" t="s">
        <v>368</v>
      </c>
      <c r="C19" s="0" t="n">
        <v>14266.95</v>
      </c>
      <c r="D19" s="0" t="n">
        <f aca="false">Inputs!$B$6</f>
        <v>0.06</v>
      </c>
      <c r="E19" s="0" t="n">
        <f aca="false">C19*D19</f>
        <v>856.017</v>
      </c>
      <c r="F19" s="0" t="n">
        <f aca="false">C19+E19</f>
        <v>15122.967</v>
      </c>
      <c r="G19" s="0" t="s">
        <v>369</v>
      </c>
      <c r="H19" s="0" t="n">
        <f aca="false">ROUNDUP(F19/Inputs!$B$9,0)</f>
        <v>316</v>
      </c>
      <c r="I19" s="0" t="s">
        <v>370</v>
      </c>
    </row>
    <row r="20" customFormat="false" ht="15" hidden="false" customHeight="false" outlineLevel="0" collapsed="false">
      <c r="A20" s="0" t="s">
        <v>371</v>
      </c>
      <c r="B20" s="0" t="s">
        <v>368</v>
      </c>
      <c r="C20" s="0" t="n">
        <v>1092.59</v>
      </c>
      <c r="D20" s="0" t="n">
        <f aca="false">Inputs!$B$6</f>
        <v>0.06</v>
      </c>
      <c r="E20" s="0" t="n">
        <f aca="false">C20*D20</f>
        <v>65.5554</v>
      </c>
      <c r="F20" s="0" t="n">
        <f aca="false">C20+E20</f>
        <v>1158.1454</v>
      </c>
      <c r="G20" s="0" t="s">
        <v>369</v>
      </c>
      <c r="H20" s="0" t="n">
        <f aca="false">ROUNDUP(F20/Inputs!$B$9,0)</f>
        <v>25</v>
      </c>
      <c r="I20" s="0" t="s">
        <v>372</v>
      </c>
    </row>
    <row r="21" customFormat="false" ht="15" hidden="false" customHeight="false" outlineLevel="0" collapsed="false">
      <c r="A21" s="0" t="s">
        <v>373</v>
      </c>
      <c r="B21" s="0" t="s">
        <v>335</v>
      </c>
      <c r="C21" s="0" t="n">
        <v>88</v>
      </c>
      <c r="D21" s="0" t="n">
        <f aca="false">Inputs!$B$5</f>
        <v>0.15</v>
      </c>
      <c r="E21" s="0" t="n">
        <f aca="false">C21*D21</f>
        <v>13.2</v>
      </c>
      <c r="F21" s="0" t="n">
        <f aca="false">C21+E21</f>
        <v>101.2</v>
      </c>
      <c r="G21" s="0" t="s">
        <v>346</v>
      </c>
      <c r="H21" s="0" t="n">
        <f aca="false">ROUNDUP(F21/Inputs!$B$10,0)</f>
        <v>6</v>
      </c>
      <c r="I21" s="0" t="s">
        <v>374</v>
      </c>
    </row>
    <row r="22" customFormat="false" ht="15" hidden="false" customHeight="false" outlineLevel="0" collapsed="false">
      <c r="A22" s="0" t="s">
        <v>375</v>
      </c>
      <c r="B22" s="0" t="s">
        <v>335</v>
      </c>
      <c r="C22" s="0" t="n">
        <v>194.16</v>
      </c>
      <c r="D22" s="0" t="n">
        <f aca="false">Inputs!$B$5</f>
        <v>0.15</v>
      </c>
      <c r="E22" s="0" t="n">
        <f aca="false">C22*D22</f>
        <v>29.124</v>
      </c>
      <c r="F22" s="0" t="n">
        <f aca="false">C22+E22</f>
        <v>223.284</v>
      </c>
      <c r="G22" s="0" t="s">
        <v>376</v>
      </c>
      <c r="H22" s="0" t="n">
        <f aca="false">ROUNDUP(F22/Inputs!$B$27,0)</f>
        <v>19</v>
      </c>
      <c r="I22" s="0" t="s">
        <v>377</v>
      </c>
    </row>
    <row r="23" customFormat="false" ht="15" hidden="false" customHeight="false" outlineLevel="0" collapsed="false">
      <c r="A23" s="0" t="s">
        <v>378</v>
      </c>
      <c r="B23" s="0" t="s">
        <v>335</v>
      </c>
      <c r="C23" s="0" t="n">
        <v>457.96</v>
      </c>
      <c r="D23" s="0" t="n">
        <f aca="false">Inputs!$B$5</f>
        <v>0.15</v>
      </c>
      <c r="E23" s="0" t="n">
        <f aca="false">C23*D23</f>
        <v>68.694</v>
      </c>
      <c r="F23" s="0" t="n">
        <f aca="false">C23+E23</f>
        <v>526.654</v>
      </c>
      <c r="G23" s="0" t="s">
        <v>379</v>
      </c>
      <c r="H23" s="0" t="n">
        <f aca="false">ROUNDUP(F23/Inputs!$B$28,0)</f>
        <v>132</v>
      </c>
      <c r="I23" s="0" t="s">
        <v>377</v>
      </c>
    </row>
    <row r="24" customFormat="false" ht="15" hidden="false" customHeight="false" outlineLevel="0" collapsed="false">
      <c r="A24" s="0" t="s">
        <v>380</v>
      </c>
      <c r="B24" s="0" t="s">
        <v>335</v>
      </c>
      <c r="C24" s="0" t="n">
        <v>107.21</v>
      </c>
      <c r="D24" s="0" t="n">
        <f aca="false">Inputs!$B$5</f>
        <v>0.15</v>
      </c>
      <c r="E24" s="0" t="n">
        <f aca="false">C24*D24</f>
        <v>16.0815</v>
      </c>
      <c r="F24" s="0" t="n">
        <f aca="false">C24+E24</f>
        <v>123.2915</v>
      </c>
      <c r="G24" s="0" t="s">
        <v>381</v>
      </c>
      <c r="H24" s="0" t="n">
        <f aca="false">ROUNDUP(F24/Inputs!$B$29,0)</f>
        <v>11</v>
      </c>
      <c r="I24" s="0" t="s">
        <v>377</v>
      </c>
    </row>
    <row r="25" customFormat="false" ht="15" hidden="false" customHeight="false" outlineLevel="0" collapsed="false">
      <c r="A25" s="0" t="s">
        <v>382</v>
      </c>
      <c r="B25" s="0" t="s">
        <v>335</v>
      </c>
      <c r="C25" s="0" t="n">
        <v>107.21</v>
      </c>
      <c r="D25" s="0" t="n">
        <f aca="false">Inputs!$B$5</f>
        <v>0.15</v>
      </c>
      <c r="E25" s="0" t="n">
        <f aca="false">C25*D25</f>
        <v>16.0815</v>
      </c>
      <c r="F25" s="0" t="n">
        <f aca="false">C25+E25</f>
        <v>123.2915</v>
      </c>
      <c r="G25" s="0" t="s">
        <v>381</v>
      </c>
      <c r="H25" s="0" t="n">
        <f aca="false">ROUNDUP(F25/Inputs!$B$29,0)</f>
        <v>11</v>
      </c>
      <c r="I25" s="0" t="s">
        <v>377</v>
      </c>
    </row>
    <row r="26" customFormat="false" ht="15" hidden="false" customHeight="false" outlineLevel="0" collapsed="false">
      <c r="A26" s="0" t="s">
        <v>383</v>
      </c>
      <c r="B26" s="0" t="s">
        <v>384</v>
      </c>
      <c r="C26" s="0" t="n">
        <v>2522</v>
      </c>
      <c r="D26" s="0" t="n">
        <f aca="false">Inputs!$B$5</f>
        <v>0.15</v>
      </c>
      <c r="E26" s="0" t="n">
        <f aca="false">C26*D26</f>
        <v>378.3</v>
      </c>
      <c r="F26" s="0" t="n">
        <f aca="false">C26+E26</f>
        <v>2900.3</v>
      </c>
      <c r="G26" s="0" t="s">
        <v>385</v>
      </c>
      <c r="H26" s="0" t="n">
        <f aca="false">ROUNDUP(F26,0)</f>
        <v>2901</v>
      </c>
      <c r="I26" s="0" t="s">
        <v>386</v>
      </c>
    </row>
    <row r="27" customFormat="false" ht="15" hidden="false" customHeight="false" outlineLevel="0" collapsed="false">
      <c r="A27" s="0" t="s">
        <v>387</v>
      </c>
      <c r="B27" s="0" t="s">
        <v>384</v>
      </c>
      <c r="C27" s="0" t="n">
        <v>291</v>
      </c>
      <c r="D27" s="0" t="n">
        <f aca="false">Inputs!$B$5</f>
        <v>0.15</v>
      </c>
      <c r="E27" s="0" t="n">
        <f aca="false">C27*D27</f>
        <v>43.65</v>
      </c>
      <c r="F27" s="0" t="n">
        <f aca="false">C27+E27</f>
        <v>334.65</v>
      </c>
      <c r="G27" s="0" t="s">
        <v>385</v>
      </c>
      <c r="H27" s="0" t="n">
        <f aca="false">ROUNDUP(F27,0)</f>
        <v>335</v>
      </c>
      <c r="I27" s="0" t="s">
        <v>388</v>
      </c>
    </row>
    <row r="28" customFormat="false" ht="15" hidden="false" customHeight="false" outlineLevel="0" collapsed="false">
      <c r="A28" s="0" t="s">
        <v>389</v>
      </c>
      <c r="B28" s="0" t="s">
        <v>384</v>
      </c>
      <c r="C28" s="0" t="n">
        <v>10668</v>
      </c>
      <c r="D28" s="0" t="n">
        <f aca="false">Inputs!$B$5</f>
        <v>0.15</v>
      </c>
      <c r="E28" s="0" t="n">
        <f aca="false">C28*D28</f>
        <v>1600.2</v>
      </c>
      <c r="F28" s="0" t="n">
        <f aca="false">C28+E28</f>
        <v>12268.2</v>
      </c>
      <c r="G28" s="0" t="s">
        <v>385</v>
      </c>
      <c r="H28" s="0" t="n">
        <f aca="false">ROUNDUP(F28,0)</f>
        <v>12269</v>
      </c>
      <c r="I28" s="0" t="s">
        <v>390</v>
      </c>
    </row>
    <row r="29" customFormat="false" ht="15" hidden="false" customHeight="false" outlineLevel="0" collapsed="false">
      <c r="A29" s="0" t="s">
        <v>391</v>
      </c>
      <c r="B29" s="0" t="s">
        <v>335</v>
      </c>
      <c r="C29" s="0" t="n">
        <v>131.42</v>
      </c>
      <c r="D29" s="0" t="n">
        <f aca="false">Inputs!$B$5</f>
        <v>0.15</v>
      </c>
      <c r="E29" s="0" t="n">
        <f aca="false">C29*D29</f>
        <v>19.713</v>
      </c>
      <c r="F29" s="0" t="n">
        <f aca="false">C29+E29</f>
        <v>151.133</v>
      </c>
      <c r="G29" s="0" t="s">
        <v>33</v>
      </c>
      <c r="H29" s="0" t="n">
        <f aca="false">ROUNDUP(F29,0)</f>
        <v>152</v>
      </c>
      <c r="I29" s="0" t="s">
        <v>392</v>
      </c>
    </row>
    <row r="30" customFormat="false" ht="15" hidden="false" customHeight="false" outlineLevel="0" collapsed="false">
      <c r="A30" s="0" t="s">
        <v>393</v>
      </c>
      <c r="B30" s="0" t="s">
        <v>384</v>
      </c>
      <c r="C30" s="0" t="n">
        <v>282</v>
      </c>
      <c r="D30" s="0" t="n">
        <f aca="false">Inputs!$B$5</f>
        <v>0.15</v>
      </c>
      <c r="E30" s="0" t="n">
        <f aca="false">C30*D30</f>
        <v>42.3</v>
      </c>
      <c r="F30" s="0" t="n">
        <f aca="false">C30+E30</f>
        <v>324.3</v>
      </c>
      <c r="G30" s="0" t="s">
        <v>385</v>
      </c>
      <c r="H30" s="0" t="n">
        <f aca="false">ROUNDUP(F30,0)</f>
        <v>325</v>
      </c>
      <c r="I30" s="0" t="s">
        <v>394</v>
      </c>
    </row>
    <row r="31" customFormat="false" ht="15" hidden="false" customHeight="false" outlineLevel="0" collapsed="false">
      <c r="A31" s="0" t="s">
        <v>395</v>
      </c>
      <c r="B31" s="0" t="s">
        <v>368</v>
      </c>
      <c r="C31" s="0" t="n">
        <v>50.04</v>
      </c>
      <c r="D31" s="0" t="n">
        <f aca="false">Inputs!$B$6</f>
        <v>0.06</v>
      </c>
      <c r="E31" s="0" t="n">
        <f aca="false">C31*D31</f>
        <v>3.0024</v>
      </c>
      <c r="F31" s="0" t="n">
        <f aca="false">C31+E31</f>
        <v>53.0424</v>
      </c>
      <c r="G31" s="0" t="s">
        <v>369</v>
      </c>
      <c r="H31" s="0" t="n">
        <f aca="false">ROUNDUP(F31/Inputs!$B$9,0)</f>
        <v>2</v>
      </c>
      <c r="I31" s="0" t="s">
        <v>396</v>
      </c>
    </row>
    <row r="32" customFormat="false" ht="15" hidden="false" customHeight="false" outlineLevel="0" collapsed="false">
      <c r="A32" s="0" t="s">
        <v>397</v>
      </c>
      <c r="B32" s="0" t="s">
        <v>384</v>
      </c>
      <c r="C32" s="0" t="n">
        <v>2331</v>
      </c>
      <c r="D32" s="0" t="n">
        <f aca="false">Inputs!$B$5</f>
        <v>0.15</v>
      </c>
      <c r="E32" s="0" t="n">
        <f aca="false">C32*D32</f>
        <v>349.65</v>
      </c>
      <c r="F32" s="0" t="n">
        <f aca="false">C32+E32</f>
        <v>2680.65</v>
      </c>
      <c r="G32" s="0" t="s">
        <v>385</v>
      </c>
      <c r="H32" s="0" t="n">
        <f aca="false">ROUNDUP(F32,0)</f>
        <v>2681</v>
      </c>
      <c r="I32" s="0" t="s">
        <v>398</v>
      </c>
    </row>
    <row r="33" customFormat="false" ht="15" hidden="false" customHeight="false" outlineLevel="0" collapsed="false">
      <c r="A33" s="0" t="s">
        <v>399</v>
      </c>
      <c r="B33" s="0" t="s">
        <v>384</v>
      </c>
      <c r="C33" s="0" t="n">
        <v>1686</v>
      </c>
      <c r="D33" s="0" t="n">
        <f aca="false">Inputs!$B$5</f>
        <v>0.15</v>
      </c>
      <c r="E33" s="0" t="n">
        <f aca="false">C33*D33</f>
        <v>252.9</v>
      </c>
      <c r="F33" s="0" t="n">
        <f aca="false">C33+E33</f>
        <v>1938.9</v>
      </c>
      <c r="G33" s="0" t="s">
        <v>385</v>
      </c>
      <c r="H33" s="0" t="n">
        <f aca="false">ROUNDUP(F33,0)</f>
        <v>1939</v>
      </c>
      <c r="I33" s="0" t="s">
        <v>400</v>
      </c>
    </row>
    <row r="34" customFormat="false" ht="15" hidden="false" customHeight="false" outlineLevel="0" collapsed="false">
      <c r="A34" s="0" t="s">
        <v>401</v>
      </c>
      <c r="B34" s="0" t="s">
        <v>335</v>
      </c>
      <c r="C34" s="0" t="n">
        <v>479.85</v>
      </c>
      <c r="D34" s="0" t="n">
        <f aca="false">Inputs!$B$5</f>
        <v>0.15</v>
      </c>
      <c r="E34" s="0" t="n">
        <f aca="false">C34*D34</f>
        <v>71.9775</v>
      </c>
      <c r="F34" s="0" t="n">
        <f aca="false">C34+E34</f>
        <v>551.8275</v>
      </c>
      <c r="G34" s="0" t="s">
        <v>336</v>
      </c>
      <c r="H34" s="0" t="n">
        <f aca="false">ROUNDUP(F34/Inputs!$B$11,0)</f>
        <v>56</v>
      </c>
      <c r="I34" s="0" t="s">
        <v>402</v>
      </c>
    </row>
    <row r="35" customFormat="false" ht="15" hidden="false" customHeight="false" outlineLevel="0" collapsed="false">
      <c r="A35" s="0" t="s">
        <v>403</v>
      </c>
      <c r="B35" s="0" t="s">
        <v>335</v>
      </c>
      <c r="C35" s="0" t="n">
        <v>957.03</v>
      </c>
      <c r="D35" s="0" t="n">
        <f aca="false">Inputs!$B$5</f>
        <v>0.15</v>
      </c>
      <c r="E35" s="0" t="n">
        <f aca="false">C35*D35</f>
        <v>143.5545</v>
      </c>
      <c r="F35" s="0" t="n">
        <f aca="false">C35+E35</f>
        <v>1100.5845</v>
      </c>
      <c r="G35" s="0" t="s">
        <v>404</v>
      </c>
      <c r="H35" s="0" t="n">
        <f aca="false">ROUNDUP(F35/Inputs!$B$18,0)</f>
        <v>111</v>
      </c>
      <c r="I35" s="0" t="s">
        <v>405</v>
      </c>
    </row>
    <row r="36" customFormat="false" ht="15" hidden="false" customHeight="false" outlineLevel="0" collapsed="false">
      <c r="A36" s="0" t="s">
        <v>406</v>
      </c>
      <c r="B36" s="0" t="s">
        <v>368</v>
      </c>
      <c r="C36" s="0" t="n">
        <v>434.28</v>
      </c>
      <c r="D36" s="0" t="n">
        <f aca="false">Inputs!$B$6</f>
        <v>0.06</v>
      </c>
      <c r="E36" s="0" t="n">
        <f aca="false">C36*D36</f>
        <v>26.0568</v>
      </c>
      <c r="F36" s="0" t="n">
        <f aca="false">C36+E36</f>
        <v>460.3368</v>
      </c>
      <c r="G36" s="0" t="s">
        <v>369</v>
      </c>
      <c r="H36" s="0" t="n">
        <f aca="false">ROUNDUP(F36/Inputs!$B$9,0)</f>
        <v>10</v>
      </c>
      <c r="I36" s="0" t="s">
        <v>407</v>
      </c>
    </row>
    <row r="37" customFormat="false" ht="15" hidden="false" customHeight="false" outlineLevel="0" collapsed="false">
      <c r="A37" s="0" t="s">
        <v>408</v>
      </c>
      <c r="B37" s="0" t="s">
        <v>368</v>
      </c>
      <c r="C37" s="0" t="n">
        <v>2001.38</v>
      </c>
      <c r="D37" s="0" t="n">
        <f aca="false">Inputs!$B$6</f>
        <v>0.06</v>
      </c>
      <c r="E37" s="0" t="n">
        <f aca="false">C37*D37</f>
        <v>120.0828</v>
      </c>
      <c r="F37" s="0" t="n">
        <f aca="false">C37+E37</f>
        <v>2121.4628</v>
      </c>
      <c r="G37" s="0" t="s">
        <v>409</v>
      </c>
      <c r="H37" s="0" t="n">
        <f aca="false">ROUNDUP(F37/Inputs!$B$30,0)</f>
        <v>54</v>
      </c>
      <c r="I37" s="0" t="s">
        <v>410</v>
      </c>
    </row>
    <row r="38" customFormat="false" ht="15" hidden="false" customHeight="false" outlineLevel="0" collapsed="false">
      <c r="A38" s="0" t="s">
        <v>411</v>
      </c>
      <c r="B38" s="0" t="s">
        <v>335</v>
      </c>
      <c r="C38" s="0" t="n">
        <v>281.09</v>
      </c>
      <c r="D38" s="0" t="n">
        <f aca="false">Inputs!$B$5</f>
        <v>0.15</v>
      </c>
      <c r="E38" s="0" t="n">
        <f aca="false">C38*D38</f>
        <v>42.1635</v>
      </c>
      <c r="F38" s="0" t="n">
        <f aca="false">C38+E38</f>
        <v>323.2535</v>
      </c>
      <c r="G38" s="0" t="s">
        <v>336</v>
      </c>
      <c r="H38" s="0" t="n">
        <f aca="false">ROUNDUP(F38/Inputs!$B$11,0)</f>
        <v>33</v>
      </c>
      <c r="I38" s="0" t="s">
        <v>412</v>
      </c>
    </row>
    <row r="39" customFormat="false" ht="15" hidden="false" customHeight="false" outlineLevel="0" collapsed="false">
      <c r="A39" s="0" t="s">
        <v>413</v>
      </c>
      <c r="B39" s="0" t="s">
        <v>335</v>
      </c>
      <c r="C39" s="0" t="n">
        <v>144.06</v>
      </c>
      <c r="D39" s="0" t="n">
        <f aca="false">Inputs!$B$5</f>
        <v>0.15</v>
      </c>
      <c r="E39" s="0" t="n">
        <f aca="false">C39*D39</f>
        <v>21.609</v>
      </c>
      <c r="F39" s="0" t="n">
        <f aca="false">C39+E39</f>
        <v>165.669</v>
      </c>
      <c r="G39" s="0" t="s">
        <v>336</v>
      </c>
      <c r="H39" s="0" t="n">
        <f aca="false">ROUNDUP(F39/Inputs!$B$11,0)</f>
        <v>17</v>
      </c>
      <c r="I39" s="0" t="s">
        <v>414</v>
      </c>
    </row>
    <row r="40" customFormat="false" ht="15" hidden="false" customHeight="false" outlineLevel="0" collapsed="false">
      <c r="A40" s="0" t="s">
        <v>415</v>
      </c>
      <c r="B40" s="0" t="s">
        <v>335</v>
      </c>
      <c r="C40" s="0" t="n">
        <v>12.67</v>
      </c>
      <c r="D40" s="0" t="n">
        <f aca="false">Inputs!$B$5</f>
        <v>0.15</v>
      </c>
      <c r="E40" s="0" t="n">
        <f aca="false">C40*D40</f>
        <v>1.9005</v>
      </c>
      <c r="F40" s="0" t="n">
        <f aca="false">C40+E40</f>
        <v>14.5705</v>
      </c>
      <c r="G40" s="0" t="s">
        <v>336</v>
      </c>
      <c r="H40" s="0" t="n">
        <f aca="false">ROUNDUP(F40/Inputs!$B$11,0)</f>
        <v>2</v>
      </c>
      <c r="I40" s="0" t="s">
        <v>416</v>
      </c>
    </row>
    <row r="41" customFormat="false" ht="15" hidden="false" customHeight="false" outlineLevel="0" collapsed="false">
      <c r="A41" s="0" t="s">
        <v>417</v>
      </c>
      <c r="B41" s="0" t="s">
        <v>384</v>
      </c>
      <c r="C41" s="0" t="n">
        <v>775</v>
      </c>
      <c r="D41" s="0" t="n">
        <f aca="false">Inputs!$B$5</f>
        <v>0.15</v>
      </c>
      <c r="E41" s="0" t="n">
        <f aca="false">C41*D41</f>
        <v>116.25</v>
      </c>
      <c r="F41" s="0" t="n">
        <f aca="false">C41+E41</f>
        <v>891.25</v>
      </c>
      <c r="G41" s="0" t="s">
        <v>385</v>
      </c>
      <c r="H41" s="0" t="n">
        <f aca="false">ROUNDUP(F41,0)</f>
        <v>892</v>
      </c>
      <c r="I41" s="0" t="s">
        <v>418</v>
      </c>
    </row>
    <row r="42" customFormat="false" ht="15" hidden="false" customHeight="false" outlineLevel="0" collapsed="false">
      <c r="A42" s="0" t="s">
        <v>419</v>
      </c>
      <c r="B42" s="0" t="s">
        <v>384</v>
      </c>
      <c r="C42" s="0" t="n">
        <v>162</v>
      </c>
      <c r="D42" s="0" t="n">
        <f aca="false">Inputs!$B$5</f>
        <v>0.15</v>
      </c>
      <c r="E42" s="0" t="n">
        <f aca="false">C42*D42</f>
        <v>24.3</v>
      </c>
      <c r="F42" s="0" t="n">
        <f aca="false">C42+E42</f>
        <v>186.3</v>
      </c>
      <c r="G42" s="0" t="s">
        <v>385</v>
      </c>
      <c r="H42" s="0" t="n">
        <f aca="false">ROUNDUP(F42,0)</f>
        <v>187</v>
      </c>
      <c r="I42" s="0" t="s">
        <v>420</v>
      </c>
    </row>
    <row r="43" customFormat="false" ht="15" hidden="false" customHeight="false" outlineLevel="0" collapsed="false">
      <c r="A43" s="0" t="s">
        <v>421</v>
      </c>
      <c r="B43" s="0" t="s">
        <v>384</v>
      </c>
      <c r="C43" s="0" t="n">
        <v>324</v>
      </c>
      <c r="D43" s="0" t="n">
        <f aca="false">Inputs!$B$5</f>
        <v>0.15</v>
      </c>
      <c r="E43" s="0" t="n">
        <f aca="false">C43*D43</f>
        <v>48.6</v>
      </c>
      <c r="F43" s="0" t="n">
        <f aca="false">C43+E43</f>
        <v>372.6</v>
      </c>
      <c r="G43" s="0" t="s">
        <v>385</v>
      </c>
      <c r="H43" s="0" t="n">
        <f aca="false">ROUNDUP(F43,0)</f>
        <v>373</v>
      </c>
      <c r="I43" s="0" t="s">
        <v>422</v>
      </c>
    </row>
    <row r="44" customFormat="false" ht="15" hidden="false" customHeight="false" outlineLevel="0" collapsed="false">
      <c r="A44" s="0" t="s">
        <v>423</v>
      </c>
      <c r="B44" s="0" t="s">
        <v>384</v>
      </c>
      <c r="C44" s="0" t="n">
        <v>324</v>
      </c>
      <c r="D44" s="0" t="n">
        <f aca="false">Inputs!$B$5</f>
        <v>0.15</v>
      </c>
      <c r="E44" s="0" t="n">
        <f aca="false">C44*D44</f>
        <v>48.6</v>
      </c>
      <c r="F44" s="0" t="n">
        <f aca="false">C44+E44</f>
        <v>372.6</v>
      </c>
      <c r="G44" s="0" t="s">
        <v>385</v>
      </c>
      <c r="H44" s="0" t="n">
        <f aca="false">ROUNDUP(F44,0)</f>
        <v>373</v>
      </c>
      <c r="I44" s="0" t="s">
        <v>424</v>
      </c>
    </row>
    <row r="45" customFormat="false" ht="15" hidden="false" customHeight="false" outlineLevel="0" collapsed="false">
      <c r="A45" s="0" t="s">
        <v>425</v>
      </c>
      <c r="B45" s="0" t="s">
        <v>384</v>
      </c>
      <c r="C45" s="0" t="n">
        <v>72</v>
      </c>
      <c r="D45" s="0" t="n">
        <f aca="false">Inputs!$B$5</f>
        <v>0.15</v>
      </c>
      <c r="E45" s="0" t="n">
        <f aca="false">C45*D45</f>
        <v>10.8</v>
      </c>
      <c r="F45" s="0" t="n">
        <f aca="false">C45+E45</f>
        <v>82.8</v>
      </c>
      <c r="G45" s="0" t="s">
        <v>385</v>
      </c>
      <c r="H45" s="0" t="n">
        <f aca="false">ROUNDUP(F45,0)</f>
        <v>83</v>
      </c>
      <c r="I45" s="0" t="s">
        <v>426</v>
      </c>
    </row>
    <row r="46" customFormat="false" ht="15" hidden="false" customHeight="false" outlineLevel="0" collapsed="false">
      <c r="A46" s="0" t="s">
        <v>427</v>
      </c>
      <c r="B46" s="0" t="s">
        <v>384</v>
      </c>
      <c r="C46" s="0" t="n">
        <v>1</v>
      </c>
      <c r="D46" s="0" t="n">
        <v>0</v>
      </c>
      <c r="E46" s="0" t="n">
        <f aca="false">C46*D46</f>
        <v>0</v>
      </c>
      <c r="F46" s="0" t="n">
        <f aca="false">C46+E46</f>
        <v>1</v>
      </c>
      <c r="G46" s="0" t="s">
        <v>385</v>
      </c>
      <c r="H46" s="0" t="n">
        <f aca="false">ROUNDUP(F46,0)</f>
        <v>1</v>
      </c>
      <c r="I46" s="0" t="s">
        <v>428</v>
      </c>
    </row>
    <row r="47" customFormat="false" ht="15" hidden="false" customHeight="false" outlineLevel="0" collapsed="false">
      <c r="A47" s="0" t="s">
        <v>429</v>
      </c>
      <c r="B47" s="0" t="s">
        <v>335</v>
      </c>
      <c r="C47" s="0" t="n">
        <v>250</v>
      </c>
      <c r="D47" s="0" t="n">
        <f aca="false">Inputs!$B$5</f>
        <v>0.15</v>
      </c>
      <c r="E47" s="0" t="n">
        <f aca="false">C47*D47</f>
        <v>37.5</v>
      </c>
      <c r="F47" s="0" t="n">
        <f aca="false">C47+E47</f>
        <v>287.5</v>
      </c>
      <c r="G47" s="0" t="s">
        <v>404</v>
      </c>
      <c r="H47" s="0" t="n">
        <f aca="false">ROUNDUP(F47/Inputs!$B$18,0)</f>
        <v>29</v>
      </c>
      <c r="I47" s="0" t="s">
        <v>430</v>
      </c>
    </row>
    <row r="48" customFormat="false" ht="15" hidden="false" customHeight="false" outlineLevel="0" collapsed="false">
      <c r="A48" s="0" t="s">
        <v>431</v>
      </c>
      <c r="B48" s="0" t="s">
        <v>384</v>
      </c>
      <c r="C48" s="0" t="n">
        <v>512</v>
      </c>
      <c r="D48" s="0" t="n">
        <f aca="false">Inputs!$B$5</f>
        <v>0.15</v>
      </c>
      <c r="E48" s="0" t="n">
        <f aca="false">C48*D48</f>
        <v>76.8</v>
      </c>
      <c r="F48" s="0" t="n">
        <f aca="false">C48+E48</f>
        <v>588.8</v>
      </c>
      <c r="G48" s="0" t="s">
        <v>385</v>
      </c>
      <c r="H48" s="0" t="n">
        <f aca="false">ROUNDUP(F48,0)</f>
        <v>589</v>
      </c>
      <c r="I48" s="0" t="s">
        <v>432</v>
      </c>
    </row>
    <row r="49" customFormat="false" ht="15" hidden="false" customHeight="false" outlineLevel="0" collapsed="false">
      <c r="A49" s="0" t="s">
        <v>433</v>
      </c>
      <c r="B49" s="0" t="s">
        <v>335</v>
      </c>
      <c r="C49" s="0" t="n">
        <v>61.31</v>
      </c>
      <c r="D49" s="0" t="n">
        <f aca="false">Inputs!$B$5</f>
        <v>0.15</v>
      </c>
      <c r="E49" s="0" t="n">
        <f aca="false">C49*D49</f>
        <v>9.1965</v>
      </c>
      <c r="F49" s="0" t="n">
        <f aca="false">C49+E49</f>
        <v>70.5065</v>
      </c>
      <c r="G49" s="0" t="s">
        <v>346</v>
      </c>
      <c r="H49" s="0" t="n">
        <f aca="false">ROUNDUP(F49/Inputs!$B$10,0)</f>
        <v>4</v>
      </c>
      <c r="I49" s="0" t="s">
        <v>434</v>
      </c>
    </row>
    <row r="50" customFormat="false" ht="15" hidden="false" customHeight="false" outlineLevel="0" collapsed="false">
      <c r="A50" s="0" t="s">
        <v>435</v>
      </c>
      <c r="B50" s="0" t="s">
        <v>368</v>
      </c>
      <c r="C50" s="0" t="n">
        <v>2686.45</v>
      </c>
      <c r="D50" s="0" t="n">
        <f aca="false">Inputs!$B$6</f>
        <v>0.06</v>
      </c>
      <c r="E50" s="0" t="n">
        <f aca="false">C50*D50</f>
        <v>161.187</v>
      </c>
      <c r="F50" s="0" t="n">
        <f aca="false">C50+E50</f>
        <v>2847.637</v>
      </c>
      <c r="G50" s="0" t="s">
        <v>369</v>
      </c>
      <c r="H50" s="0" t="n">
        <f aca="false">ROUNDUP(F50/Inputs!$B$9,0)</f>
        <v>60</v>
      </c>
      <c r="I50" s="0" t="s">
        <v>436</v>
      </c>
    </row>
    <row r="51" customFormat="false" ht="15" hidden="false" customHeight="false" outlineLevel="0" collapsed="false">
      <c r="A51" s="0" t="s">
        <v>437</v>
      </c>
      <c r="B51" s="0" t="s">
        <v>368</v>
      </c>
      <c r="C51" s="0" t="n">
        <v>370.46</v>
      </c>
      <c r="D51" s="0" t="n">
        <f aca="false">Inputs!$B$6</f>
        <v>0.06</v>
      </c>
      <c r="E51" s="0" t="n">
        <f aca="false">C51*D51</f>
        <v>22.2276</v>
      </c>
      <c r="F51" s="0" t="n">
        <f aca="false">C51+E51</f>
        <v>392.6876</v>
      </c>
      <c r="G51" s="0" t="s">
        <v>369</v>
      </c>
      <c r="H51" s="0" t="n">
        <f aca="false">ROUNDUP(F51/Inputs!$B$9,0)</f>
        <v>9</v>
      </c>
      <c r="I51" s="0" t="s">
        <v>438</v>
      </c>
    </row>
    <row r="52" customFormat="false" ht="15" hidden="false" customHeight="false" outlineLevel="0" collapsed="false">
      <c r="A52" s="0" t="s">
        <v>439</v>
      </c>
      <c r="B52" s="0" t="s">
        <v>384</v>
      </c>
      <c r="C52" s="0" t="n">
        <v>109</v>
      </c>
      <c r="D52" s="0" t="n">
        <v>0</v>
      </c>
      <c r="E52" s="0" t="n">
        <f aca="false">C52*D52</f>
        <v>0</v>
      </c>
      <c r="F52" s="0" t="n">
        <f aca="false">C52+E52</f>
        <v>109</v>
      </c>
      <c r="G52" s="0" t="s">
        <v>440</v>
      </c>
      <c r="H52" s="0" t="n">
        <f aca="false">ROUNDUP(F52,0)</f>
        <v>109</v>
      </c>
      <c r="I52" s="0" t="s">
        <v>441</v>
      </c>
    </row>
    <row r="53" customFormat="false" ht="15" hidden="false" customHeight="false" outlineLevel="0" collapsed="false">
      <c r="A53" s="0" t="s">
        <v>442</v>
      </c>
      <c r="B53" s="0" t="s">
        <v>335</v>
      </c>
      <c r="C53" s="0" t="n">
        <v>83.32</v>
      </c>
      <c r="D53" s="0" t="n">
        <f aca="false">Inputs!$B$5</f>
        <v>0.15</v>
      </c>
      <c r="E53" s="0" t="n">
        <f aca="false">C53*D53</f>
        <v>12.498</v>
      </c>
      <c r="F53" s="0" t="n">
        <f aca="false">C53+E53</f>
        <v>95.818</v>
      </c>
      <c r="G53" s="0" t="s">
        <v>346</v>
      </c>
      <c r="H53" s="0" t="n">
        <f aca="false">ROUNDUP(F53/Inputs!$B$10,0)</f>
        <v>5</v>
      </c>
      <c r="I53" s="0" t="s">
        <v>443</v>
      </c>
    </row>
    <row r="54" customFormat="false" ht="15" hidden="false" customHeight="false" outlineLevel="0" collapsed="false">
      <c r="A54" s="0" t="s">
        <v>444</v>
      </c>
      <c r="B54" s="0" t="s">
        <v>384</v>
      </c>
      <c r="C54" s="0" t="n">
        <v>10</v>
      </c>
      <c r="D54" s="0" t="n">
        <v>0</v>
      </c>
      <c r="E54" s="0" t="n">
        <f aca="false">C54*D54</f>
        <v>0</v>
      </c>
      <c r="F54" s="0" t="n">
        <f aca="false">C54+E54</f>
        <v>10</v>
      </c>
      <c r="G54" s="0" t="s">
        <v>440</v>
      </c>
      <c r="H54" s="0" t="n">
        <f aca="false">ROUNDUP(F54,0)</f>
        <v>10</v>
      </c>
      <c r="I54" s="0" t="s">
        <v>445</v>
      </c>
    </row>
    <row r="55" customFormat="false" ht="15" hidden="false" customHeight="false" outlineLevel="0" collapsed="false">
      <c r="A55" s="0" t="s">
        <v>446</v>
      </c>
      <c r="B55" s="0" t="s">
        <v>335</v>
      </c>
      <c r="C55" s="0" t="n">
        <v>0</v>
      </c>
      <c r="D55" s="0" t="n">
        <f aca="false">Inputs!$B$5</f>
        <v>0.15</v>
      </c>
      <c r="E55" s="0" t="n">
        <f aca="false">C55*D55</f>
        <v>0</v>
      </c>
      <c r="F55" s="0" t="n">
        <f aca="false">C55+E55</f>
        <v>0</v>
      </c>
      <c r="G55" s="0" t="s">
        <v>346</v>
      </c>
      <c r="H55" s="0" t="n">
        <f aca="false">ROUNDUP(F55/Inputs!$B$10,0)</f>
        <v>0</v>
      </c>
      <c r="I55" s="0" t="s">
        <v>447</v>
      </c>
    </row>
    <row r="56" customFormat="false" ht="15" hidden="false" customHeight="false" outlineLevel="0" collapsed="false">
      <c r="A56" s="0" t="s">
        <v>448</v>
      </c>
      <c r="B56" s="0" t="s">
        <v>335</v>
      </c>
      <c r="C56" s="0" t="n">
        <v>0</v>
      </c>
      <c r="D56" s="0" t="n">
        <f aca="false">Inputs!$B$5</f>
        <v>0.15</v>
      </c>
      <c r="E56" s="0" t="n">
        <f aca="false">C56*D56</f>
        <v>0</v>
      </c>
      <c r="F56" s="0" t="n">
        <f aca="false">C56+E56</f>
        <v>0</v>
      </c>
      <c r="G56" s="0" t="s">
        <v>346</v>
      </c>
      <c r="H56" s="0" t="n">
        <f aca="false">ROUNDUP(F56/Inputs!$B$10,0)</f>
        <v>0</v>
      </c>
      <c r="I56" s="0" t="s">
        <v>449</v>
      </c>
    </row>
    <row r="57" customFormat="false" ht="15" hidden="false" customHeight="false" outlineLevel="0" collapsed="false">
      <c r="A57" s="0" t="s">
        <v>450</v>
      </c>
      <c r="B57" s="0" t="s">
        <v>368</v>
      </c>
      <c r="C57" s="0" t="n">
        <v>0</v>
      </c>
      <c r="D57" s="0" t="n">
        <f aca="false">Inputs!$B$6</f>
        <v>0.06</v>
      </c>
      <c r="E57" s="0" t="n">
        <f aca="false">C57*D57</f>
        <v>0</v>
      </c>
      <c r="F57" s="0" t="n">
        <f aca="false">C57+E57</f>
        <v>0</v>
      </c>
      <c r="G57" s="0" t="s">
        <v>369</v>
      </c>
      <c r="H57" s="0" t="n">
        <f aca="false">ROUNDUP(F57/Inputs!$B$9,0)</f>
        <v>0</v>
      </c>
      <c r="I57" s="0" t="s">
        <v>451</v>
      </c>
    </row>
    <row r="58" customFormat="false" ht="15" hidden="false" customHeight="false" outlineLevel="0" collapsed="false">
      <c r="A58" s="0" t="s">
        <v>452</v>
      </c>
      <c r="B58" s="0" t="s">
        <v>335</v>
      </c>
      <c r="C58" s="0" t="n">
        <v>887.62</v>
      </c>
      <c r="D58" s="0" t="n">
        <f aca="false">Inputs!$B$6</f>
        <v>0.06</v>
      </c>
      <c r="E58" s="0" t="n">
        <f aca="false">C58*D58</f>
        <v>53.2572</v>
      </c>
      <c r="F58" s="0" t="n">
        <f aca="false">C58+E58</f>
        <v>940.8772</v>
      </c>
      <c r="G58" s="0" t="s">
        <v>404</v>
      </c>
      <c r="H58" s="0" t="n">
        <f aca="false">ROUNDUP(F58/Inputs!$B$18,0)</f>
        <v>95</v>
      </c>
      <c r="I58" s="0" t="s">
        <v>453</v>
      </c>
    </row>
    <row r="59" customFormat="false" ht="15" hidden="false" customHeight="false" outlineLevel="0" collapsed="false">
      <c r="A59" s="0" t="s">
        <v>454</v>
      </c>
      <c r="B59" s="0" t="s">
        <v>384</v>
      </c>
      <c r="C59" s="0" t="n">
        <v>8</v>
      </c>
      <c r="D59" s="0" t="n">
        <v>0</v>
      </c>
      <c r="E59" s="0" t="n">
        <f aca="false">C59*D59</f>
        <v>0</v>
      </c>
      <c r="F59" s="0" t="n">
        <f aca="false">C59+E59</f>
        <v>8</v>
      </c>
      <c r="G59" s="0" t="s">
        <v>440</v>
      </c>
      <c r="H59" s="0" t="n">
        <f aca="false">ROUNDUP(F59,0)</f>
        <v>8</v>
      </c>
      <c r="I59" s="0" t="s">
        <v>455</v>
      </c>
    </row>
    <row r="60" customFormat="false" ht="15" hidden="false" customHeight="false" outlineLevel="0" collapsed="false">
      <c r="A60" s="0" t="s">
        <v>456</v>
      </c>
      <c r="B60" s="0" t="s">
        <v>384</v>
      </c>
      <c r="C60" s="0" t="n">
        <v>0</v>
      </c>
      <c r="D60" s="0" t="n">
        <v>0</v>
      </c>
      <c r="E60" s="0" t="n">
        <f aca="false">C60*D60</f>
        <v>0</v>
      </c>
      <c r="F60" s="0" t="n">
        <f aca="false">C60+E60</f>
        <v>0</v>
      </c>
      <c r="G60" s="0" t="s">
        <v>440</v>
      </c>
      <c r="H60" s="0" t="n">
        <f aca="false">ROUNDUP(F60,0)</f>
        <v>0</v>
      </c>
      <c r="I60" s="0" t="s">
        <v>457</v>
      </c>
    </row>
    <row r="61" customFormat="false" ht="15" hidden="false" customHeight="false" outlineLevel="0" collapsed="false">
      <c r="A61" s="0" t="s">
        <v>458</v>
      </c>
      <c r="B61" s="0" t="s">
        <v>384</v>
      </c>
      <c r="C61" s="0" t="n">
        <v>5103.23</v>
      </c>
      <c r="D61" s="0" t="n">
        <v>0</v>
      </c>
      <c r="E61" s="0" t="n">
        <f aca="false">C61*D61</f>
        <v>0</v>
      </c>
      <c r="F61" s="0" t="n">
        <f aca="false">C61+E61</f>
        <v>5103.23</v>
      </c>
      <c r="G61" s="0" t="s">
        <v>440</v>
      </c>
      <c r="H61" s="0" t="n">
        <f aca="false">ROUNDUP(F61,0)</f>
        <v>5104</v>
      </c>
      <c r="I61" s="0" t="s">
        <v>459</v>
      </c>
      <c r="J61" s="0" t="n">
        <f aca="false">Inputs!$B$20*4252.69</f>
        <v>5103.228</v>
      </c>
    </row>
    <row r="62" customFormat="false" ht="15" hidden="false" customHeight="false" outlineLevel="0" collapsed="false">
      <c r="A62" s="0" t="s">
        <v>460</v>
      </c>
      <c r="B62" s="0" t="s">
        <v>384</v>
      </c>
      <c r="C62" s="0" t="n">
        <v>1940</v>
      </c>
      <c r="D62" s="0" t="n">
        <v>0</v>
      </c>
      <c r="E62" s="0" t="n">
        <f aca="false">C62*D62</f>
        <v>0</v>
      </c>
      <c r="F62" s="0" t="n">
        <f aca="false">C62+E62</f>
        <v>1940</v>
      </c>
      <c r="G62" s="0" t="s">
        <v>440</v>
      </c>
      <c r="H62" s="0" t="n">
        <f aca="false">ROUNDUP(F62,0)</f>
        <v>1940</v>
      </c>
      <c r="I62" s="0" t="s">
        <v>461</v>
      </c>
      <c r="J62" s="0" t="n">
        <f aca="false">Inputs!$B$21*485</f>
        <v>1940</v>
      </c>
    </row>
    <row r="63" customFormat="false" ht="15" hidden="false" customHeight="false" outlineLevel="0" collapsed="false">
      <c r="A63" s="0" t="s">
        <v>462</v>
      </c>
      <c r="B63" s="0" t="s">
        <v>384</v>
      </c>
      <c r="C63" s="0" t="n">
        <v>388.72</v>
      </c>
      <c r="D63" s="0" t="n">
        <v>0</v>
      </c>
      <c r="E63" s="0" t="n">
        <f aca="false">C63*D63</f>
        <v>0</v>
      </c>
      <c r="F63" s="0" t="n">
        <f aca="false">C63+E63</f>
        <v>388.72</v>
      </c>
      <c r="G63" s="0" t="s">
        <v>440</v>
      </c>
      <c r="H63" s="0" t="n">
        <f aca="false">ROUNDUP(F63,0)</f>
        <v>389</v>
      </c>
      <c r="I63" s="0" t="s">
        <v>463</v>
      </c>
      <c r="J63" s="0" t="n">
        <f aca="false">518.29/Inputs!$B$22</f>
        <v>388.717597179399</v>
      </c>
    </row>
    <row r="64" customFormat="false" ht="15" hidden="false" customHeight="false" outlineLevel="0" collapsed="false">
      <c r="A64" s="0" t="s">
        <v>464</v>
      </c>
      <c r="B64" s="0" t="s">
        <v>384</v>
      </c>
      <c r="C64" s="0" t="n">
        <v>0</v>
      </c>
      <c r="D64" s="0" t="n">
        <v>0</v>
      </c>
      <c r="E64" s="0" t="n">
        <f aca="false">C64*D64</f>
        <v>0</v>
      </c>
      <c r="F64" s="0" t="n">
        <f aca="false">C64+E64</f>
        <v>0</v>
      </c>
      <c r="G64" s="0" t="s">
        <v>440</v>
      </c>
      <c r="H64" s="0" t="n">
        <f aca="false">ROUNDUP(F64,0)</f>
        <v>0</v>
      </c>
      <c r="I64" s="0" t="s">
        <v>465</v>
      </c>
      <c r="J64" s="0" t="n">
        <f aca="false">0*Inputs!$B$25</f>
        <v>0</v>
      </c>
    </row>
    <row r="65" customFormat="false" ht="15" hidden="false" customHeight="false" outlineLevel="0" collapsed="false">
      <c r="A65" s="0" t="s">
        <v>466</v>
      </c>
      <c r="B65" s="0" t="s">
        <v>467</v>
      </c>
      <c r="C65" s="0" t="n">
        <v>1105.89</v>
      </c>
      <c r="D65" s="0" t="n">
        <v>0</v>
      </c>
      <c r="E65" s="0" t="n">
        <f aca="false">C65*D65</f>
        <v>0</v>
      </c>
      <c r="F65" s="0" t="n">
        <f aca="false">C65+E65</f>
        <v>1105.89</v>
      </c>
      <c r="G65" s="0" t="s">
        <v>468</v>
      </c>
      <c r="H65" s="0" t="n">
        <f aca="false">ROUNDUP(F65,0)</f>
        <v>1106</v>
      </c>
      <c r="I65" s="0" t="s">
        <v>469</v>
      </c>
      <c r="J65" s="0" t="n">
        <f aca="false">Inputs!$B$23*15359.5</f>
        <v>1105.884</v>
      </c>
    </row>
    <row r="66" customFormat="false" ht="15" hidden="false" customHeight="false" outlineLevel="0" collapsed="false">
      <c r="A66" s="0" t="s">
        <v>470</v>
      </c>
      <c r="B66" s="0" t="s">
        <v>335</v>
      </c>
      <c r="C66" s="0" t="n">
        <v>5683.03</v>
      </c>
      <c r="D66" s="0" t="n">
        <v>0</v>
      </c>
      <c r="E66" s="0" t="n">
        <f aca="false">C66*D66</f>
        <v>0</v>
      </c>
      <c r="F66" s="0" t="n">
        <f aca="false">C66+E66</f>
        <v>5683.03</v>
      </c>
      <c r="G66" s="0" t="s">
        <v>335</v>
      </c>
      <c r="H66" s="0" t="n">
        <f aca="false">ROUNDUP(F66,0)</f>
        <v>5684</v>
      </c>
      <c r="I66" s="0" t="s">
        <v>471</v>
      </c>
      <c r="J66" s="0" t="n">
        <f aca="false">Inputs!$B$24*15359.5</f>
        <v>5683.015</v>
      </c>
    </row>
    <row r="67" customFormat="false" ht="15" hidden="false" customHeight="false" outlineLevel="0" collapsed="false">
      <c r="A67" s="0" t="s">
        <v>472</v>
      </c>
      <c r="B67" s="0" t="s">
        <v>368</v>
      </c>
      <c r="C67" s="0" t="n">
        <v>0</v>
      </c>
      <c r="D67" s="0" t="n">
        <f aca="false">Inputs!$B$6</f>
        <v>0.06</v>
      </c>
      <c r="E67" s="0" t="n">
        <f aca="false">C67*D67</f>
        <v>0</v>
      </c>
      <c r="F67" s="0" t="n">
        <f aca="false">C67+E67</f>
        <v>0</v>
      </c>
      <c r="G67" s="0" t="s">
        <v>368</v>
      </c>
      <c r="H67" s="0" t="n">
        <f aca="false">ROUNDUP(F67,0)</f>
        <v>0</v>
      </c>
      <c r="I67" s="0" t="s">
        <v>473</v>
      </c>
    </row>
    <row r="68" customFormat="false" ht="15" hidden="false" customHeight="false" outlineLevel="0" collapsed="false">
      <c r="A68" s="0" t="s">
        <v>474</v>
      </c>
      <c r="B68" s="0" t="s">
        <v>384</v>
      </c>
      <c r="C68" s="0" t="n">
        <v>0</v>
      </c>
      <c r="D68" s="0" t="n">
        <v>0</v>
      </c>
      <c r="E68" s="0" t="n">
        <f aca="false">C68*D68</f>
        <v>0</v>
      </c>
      <c r="F68" s="0" t="n">
        <f aca="false">C68+E68</f>
        <v>0</v>
      </c>
      <c r="G68" s="0" t="s">
        <v>440</v>
      </c>
      <c r="H68" s="0" t="n">
        <f aca="false">ROUNDUP(F68,0)</f>
        <v>0</v>
      </c>
      <c r="I68" s="0" t="s">
        <v>475</v>
      </c>
    </row>
    <row r="69" customFormat="false" ht="15" hidden="false" customHeight="false" outlineLevel="0" collapsed="false">
      <c r="A69" s="0" t="s">
        <v>476</v>
      </c>
      <c r="B69" s="0" t="s">
        <v>384</v>
      </c>
      <c r="C69" s="0" t="n">
        <v>1776</v>
      </c>
      <c r="D69" s="0" t="n">
        <v>0</v>
      </c>
      <c r="E69" s="0" t="n">
        <f aca="false">C69*D69</f>
        <v>0</v>
      </c>
      <c r="F69" s="0" t="n">
        <f aca="false">C69+E69</f>
        <v>1776</v>
      </c>
      <c r="G69" s="0" t="s">
        <v>440</v>
      </c>
      <c r="H69" s="0" t="n">
        <f aca="false">ROUNDUP(F69,0)</f>
        <v>1776</v>
      </c>
      <c r="I69" s="0" t="s">
        <v>477</v>
      </c>
    </row>
    <row r="70" customFormat="false" ht="15" hidden="false" customHeight="false" outlineLevel="0" collapsed="false">
      <c r="A70" s="0" t="s">
        <v>478</v>
      </c>
      <c r="B70" s="0" t="s">
        <v>384</v>
      </c>
      <c r="C70" s="0" t="n">
        <v>13328.22</v>
      </c>
      <c r="D70" s="0" t="n">
        <v>0</v>
      </c>
      <c r="E70" s="0" t="n">
        <f aca="false">C70*D70</f>
        <v>0</v>
      </c>
      <c r="F70" s="0" t="n">
        <f aca="false">C70+E70</f>
        <v>13328.22</v>
      </c>
      <c r="G70" s="0" t="s">
        <v>440</v>
      </c>
      <c r="H70" s="0" t="n">
        <f aca="false">ROUNDUP(F70,0)</f>
        <v>13329</v>
      </c>
      <c r="I70" s="0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480</v>
      </c>
      <c r="B1" s="2" t="s">
        <v>481</v>
      </c>
      <c r="C1" s="2" t="s">
        <v>482</v>
      </c>
    </row>
    <row r="2" customFormat="false" ht="15" hidden="false" customHeight="false" outlineLevel="0" collapsed="false">
      <c r="A2" s="0" t="s">
        <v>483</v>
      </c>
      <c r="B2" s="0" t="s">
        <v>484</v>
      </c>
      <c r="C2" s="0" t="s">
        <v>485</v>
      </c>
    </row>
    <row r="3" customFormat="false" ht="15" hidden="false" customHeight="false" outlineLevel="0" collapsed="false">
      <c r="A3" s="0" t="s">
        <v>486</v>
      </c>
      <c r="B3" s="0" t="s">
        <v>487</v>
      </c>
      <c r="C3" s="0" t="s">
        <v>488</v>
      </c>
    </row>
    <row r="4" customFormat="false" ht="15" hidden="false" customHeight="false" outlineLevel="0" collapsed="false">
      <c r="A4" s="0" t="s">
        <v>489</v>
      </c>
      <c r="B4" s="0" t="s">
        <v>490</v>
      </c>
      <c r="C4" s="0" t="s">
        <v>491</v>
      </c>
    </row>
    <row r="5" customFormat="false" ht="15" hidden="false" customHeight="false" outlineLevel="0" collapsed="false">
      <c r="A5" s="0" t="s">
        <v>492</v>
      </c>
      <c r="B5" s="0" t="s">
        <v>493</v>
      </c>
      <c r="C5" s="0" t="s">
        <v>494</v>
      </c>
    </row>
    <row r="6" customFormat="false" ht="15" hidden="false" customHeight="false" outlineLevel="0" collapsed="false">
      <c r="A6" s="0" t="s">
        <v>495</v>
      </c>
      <c r="B6" s="0" t="s">
        <v>496</v>
      </c>
      <c r="C6" s="0" t="s">
        <v>497</v>
      </c>
    </row>
    <row r="7" customFormat="false" ht="15" hidden="false" customHeight="false" outlineLevel="0" collapsed="false">
      <c r="A7" s="0" t="s">
        <v>498</v>
      </c>
      <c r="B7" s="0" t="s">
        <v>499</v>
      </c>
      <c r="C7" s="0" t="s">
        <v>500</v>
      </c>
    </row>
    <row r="8" customFormat="false" ht="15" hidden="false" customHeight="false" outlineLevel="0" collapsed="false">
      <c r="A8" s="0" t="s">
        <v>501</v>
      </c>
      <c r="B8" s="0" t="s">
        <v>502</v>
      </c>
      <c r="C8" s="0" t="s">
        <v>497</v>
      </c>
    </row>
    <row r="9" customFormat="false" ht="15" hidden="false" customHeight="false" outlineLevel="0" collapsed="false">
      <c r="A9" s="0" t="s">
        <v>503</v>
      </c>
      <c r="B9" s="0" t="s">
        <v>504</v>
      </c>
      <c r="C9" s="0" t="s">
        <v>505</v>
      </c>
    </row>
    <row r="10" customFormat="false" ht="15" hidden="false" customHeight="false" outlineLevel="0" collapsed="false">
      <c r="A10" s="0" t="s">
        <v>506</v>
      </c>
      <c r="B10" s="0" t="s">
        <v>507</v>
      </c>
      <c r="C10" s="0" t="s">
        <v>494</v>
      </c>
    </row>
    <row r="11" customFormat="false" ht="15" hidden="false" customHeight="false" outlineLevel="0" collapsed="false">
      <c r="A11" s="0" t="s">
        <v>508</v>
      </c>
      <c r="B11" s="0" t="s">
        <v>509</v>
      </c>
      <c r="C11" s="0" t="s">
        <v>510</v>
      </c>
    </row>
    <row r="12" customFormat="false" ht="15" hidden="false" customHeight="false" outlineLevel="0" collapsed="false">
      <c r="A12" s="0" t="s">
        <v>511</v>
      </c>
      <c r="B12" s="0" t="s">
        <v>512</v>
      </c>
      <c r="C12" s="0" t="s">
        <v>513</v>
      </c>
    </row>
    <row r="13" customFormat="false" ht="15" hidden="false" customHeight="false" outlineLevel="0" collapsed="false">
      <c r="A13" s="0" t="s">
        <v>514</v>
      </c>
      <c r="B13" s="0" t="s">
        <v>515</v>
      </c>
      <c r="C13" s="0" t="s">
        <v>494</v>
      </c>
    </row>
    <row r="14" customFormat="false" ht="15" hidden="false" customHeight="false" outlineLevel="0" collapsed="false">
      <c r="A14" s="0" t="s">
        <v>516</v>
      </c>
      <c r="B14" s="0" t="s">
        <v>517</v>
      </c>
      <c r="C14" s="0" t="s">
        <v>518</v>
      </c>
    </row>
    <row r="15" customFormat="false" ht="15" hidden="false" customHeight="false" outlineLevel="0" collapsed="false">
      <c r="A15" s="0" t="s">
        <v>519</v>
      </c>
      <c r="B15" s="0" t="s">
        <v>520</v>
      </c>
      <c r="C15" s="0" t="s">
        <v>521</v>
      </c>
    </row>
    <row r="16" customFormat="false" ht="15" hidden="false" customHeight="false" outlineLevel="0" collapsed="false">
      <c r="A16" s="0" t="s">
        <v>522</v>
      </c>
      <c r="B16" s="0" t="s">
        <v>523</v>
      </c>
      <c r="C16" s="0" t="s">
        <v>524</v>
      </c>
    </row>
    <row r="17" customFormat="false" ht="15" hidden="false" customHeight="false" outlineLevel="0" collapsed="false">
      <c r="A17" s="0" t="s">
        <v>525</v>
      </c>
      <c r="B17" s="0" t="s">
        <v>526</v>
      </c>
      <c r="C17" s="0" t="s">
        <v>527</v>
      </c>
    </row>
    <row r="18" customFormat="false" ht="15" hidden="false" customHeight="false" outlineLevel="0" collapsed="false">
      <c r="A18" s="0" t="s">
        <v>528</v>
      </c>
      <c r="B18" s="0" t="s">
        <v>529</v>
      </c>
      <c r="C18" s="0" t="s">
        <v>530</v>
      </c>
    </row>
    <row r="19" customFormat="false" ht="15" hidden="false" customHeight="false" outlineLevel="0" collapsed="false">
      <c r="A19" s="0" t="s">
        <v>531</v>
      </c>
      <c r="B19" s="0" t="s">
        <v>532</v>
      </c>
      <c r="C19" s="0" t="s">
        <v>533</v>
      </c>
    </row>
    <row r="20" customFormat="false" ht="15" hidden="false" customHeight="false" outlineLevel="0" collapsed="false">
      <c r="A20" s="0" t="s">
        <v>534</v>
      </c>
      <c r="B20" s="0" t="s">
        <v>535</v>
      </c>
      <c r="C20" s="0" t="s">
        <v>536</v>
      </c>
    </row>
    <row r="21" customFormat="false" ht="15" hidden="false" customHeight="false" outlineLevel="0" collapsed="false">
      <c r="A21" s="0" t="s">
        <v>537</v>
      </c>
      <c r="B21" s="0" t="s">
        <v>538</v>
      </c>
      <c r="C21" s="0" t="s">
        <v>539</v>
      </c>
    </row>
    <row r="22" customFormat="false" ht="15" hidden="false" customHeight="false" outlineLevel="0" collapsed="false">
      <c r="A22" s="0" t="s">
        <v>540</v>
      </c>
      <c r="B22" s="0" t="s">
        <v>541</v>
      </c>
      <c r="C22" s="0" t="s">
        <v>494</v>
      </c>
    </row>
    <row r="23" customFormat="false" ht="15" hidden="false" customHeight="false" outlineLevel="0" collapsed="false">
      <c r="A23" s="0" t="s">
        <v>542</v>
      </c>
      <c r="B23" s="0" t="s">
        <v>543</v>
      </c>
      <c r="C23" s="0" t="s">
        <v>544</v>
      </c>
    </row>
    <row r="24" customFormat="false" ht="15" hidden="false" customHeight="false" outlineLevel="0" collapsed="false">
      <c r="A24" s="0" t="s">
        <v>545</v>
      </c>
      <c r="B24" s="0" t="s">
        <v>546</v>
      </c>
      <c r="C24" s="0" t="s">
        <v>547</v>
      </c>
    </row>
    <row r="25" customFormat="false" ht="15" hidden="false" customHeight="false" outlineLevel="0" collapsed="false">
      <c r="A25" s="0" t="s">
        <v>548</v>
      </c>
      <c r="B25" s="0" t="s">
        <v>549</v>
      </c>
      <c r="C25" s="0" t="s">
        <v>550</v>
      </c>
    </row>
    <row r="26" customFormat="false" ht="15" hidden="false" customHeight="false" outlineLevel="0" collapsed="false">
      <c r="A26" s="0" t="s">
        <v>551</v>
      </c>
      <c r="B26" s="0" t="s">
        <v>552</v>
      </c>
      <c r="C26" s="0" t="s">
        <v>553</v>
      </c>
    </row>
    <row r="27" customFormat="false" ht="15" hidden="false" customHeight="false" outlineLevel="0" collapsed="false">
      <c r="A27" s="0" t="s">
        <v>554</v>
      </c>
      <c r="B27" s="0" t="s">
        <v>555</v>
      </c>
      <c r="C27" s="0" t="s">
        <v>556</v>
      </c>
    </row>
    <row r="28" customFormat="false" ht="15" hidden="false" customHeight="false" outlineLevel="0" collapsed="false">
      <c r="A28" s="0" t="s">
        <v>557</v>
      </c>
      <c r="B28" s="0" t="s">
        <v>558</v>
      </c>
      <c r="C28" s="0" t="s">
        <v>559</v>
      </c>
    </row>
    <row r="29" customFormat="false" ht="15" hidden="false" customHeight="false" outlineLevel="0" collapsed="false">
      <c r="A29" s="0" t="s">
        <v>560</v>
      </c>
      <c r="B29" s="0" t="s">
        <v>561</v>
      </c>
      <c r="C29" s="0" t="s">
        <v>494</v>
      </c>
    </row>
    <row r="30" customFormat="false" ht="15" hidden="false" customHeight="false" outlineLevel="0" collapsed="false">
      <c r="A30" s="0" t="s">
        <v>562</v>
      </c>
      <c r="B30" s="0" t="s">
        <v>563</v>
      </c>
      <c r="C30" s="0" t="s">
        <v>564</v>
      </c>
    </row>
    <row r="31" customFormat="false" ht="15" hidden="false" customHeight="false" outlineLevel="0" collapsed="false">
      <c r="A31" s="0" t="s">
        <v>565</v>
      </c>
      <c r="B31" s="0" t="s">
        <v>566</v>
      </c>
      <c r="C31" s="0" t="s">
        <v>567</v>
      </c>
    </row>
    <row r="32" customFormat="false" ht="15" hidden="false" customHeight="false" outlineLevel="0" collapsed="false">
      <c r="A32" s="0" t="s">
        <v>568</v>
      </c>
      <c r="B32" s="0" t="s">
        <v>569</v>
      </c>
      <c r="C32" s="0" t="s">
        <v>570</v>
      </c>
    </row>
    <row r="33" customFormat="false" ht="15" hidden="false" customHeight="false" outlineLevel="0" collapsed="false">
      <c r="A33" s="0" t="s">
        <v>571</v>
      </c>
      <c r="B33" s="0" t="s">
        <v>572</v>
      </c>
      <c r="C33" s="0" t="s">
        <v>573</v>
      </c>
    </row>
    <row r="34" customFormat="false" ht="15" hidden="false" customHeight="false" outlineLevel="0" collapsed="false">
      <c r="A34" s="0" t="s">
        <v>574</v>
      </c>
      <c r="B34" s="0" t="s">
        <v>575</v>
      </c>
      <c r="C34" s="0" t="s">
        <v>576</v>
      </c>
    </row>
    <row r="35" customFormat="false" ht="15" hidden="false" customHeight="false" outlineLevel="0" collapsed="false">
      <c r="A35" s="0" t="s">
        <v>577</v>
      </c>
      <c r="B35" s="0" t="s">
        <v>578</v>
      </c>
      <c r="C35" s="0" t="s">
        <v>579</v>
      </c>
    </row>
    <row r="36" customFormat="false" ht="15" hidden="false" customHeight="false" outlineLevel="0" collapsed="false">
      <c r="A36" s="0" t="s">
        <v>580</v>
      </c>
      <c r="B36" s="0" t="s">
        <v>581</v>
      </c>
      <c r="C36" s="0" t="s">
        <v>582</v>
      </c>
    </row>
    <row r="37" customFormat="false" ht="15" hidden="false" customHeight="false" outlineLevel="0" collapsed="false">
      <c r="A37" s="0" t="s">
        <v>583</v>
      </c>
      <c r="B37" s="0" t="s">
        <v>584</v>
      </c>
      <c r="C37" s="0" t="s">
        <v>585</v>
      </c>
    </row>
    <row r="38" customFormat="false" ht="15" hidden="false" customHeight="false" outlineLevel="0" collapsed="false">
      <c r="A38" s="0" t="s">
        <v>586</v>
      </c>
      <c r="B38" s="0" t="s">
        <v>587</v>
      </c>
      <c r="C38" s="0" t="s">
        <v>588</v>
      </c>
    </row>
    <row r="39" customFormat="false" ht="15" hidden="false" customHeight="false" outlineLevel="0" collapsed="false">
      <c r="A39" s="0" t="s">
        <v>589</v>
      </c>
      <c r="B39" s="0" t="s">
        <v>590</v>
      </c>
      <c r="C39" s="0" t="s">
        <v>591</v>
      </c>
    </row>
    <row r="40" customFormat="false" ht="15" hidden="false" customHeight="false" outlineLevel="0" collapsed="false">
      <c r="A40" s="0" t="s">
        <v>592</v>
      </c>
      <c r="B40" s="0" t="s">
        <v>593</v>
      </c>
      <c r="C40" s="0" t="s">
        <v>594</v>
      </c>
    </row>
    <row r="41" customFormat="false" ht="15" hidden="false" customHeight="false" outlineLevel="0" collapsed="false">
      <c r="A41" s="0" t="s">
        <v>595</v>
      </c>
      <c r="B41" s="0" t="s">
        <v>596</v>
      </c>
      <c r="C41" s="0" t="s">
        <v>597</v>
      </c>
    </row>
    <row r="42" customFormat="false" ht="15" hidden="false" customHeight="false" outlineLevel="0" collapsed="false">
      <c r="A42" s="0" t="s">
        <v>598</v>
      </c>
      <c r="B42" s="0" t="s">
        <v>599</v>
      </c>
      <c r="C42" s="0" t="s">
        <v>600</v>
      </c>
    </row>
    <row r="43" customFormat="false" ht="15" hidden="false" customHeight="false" outlineLevel="0" collapsed="false">
      <c r="A43" s="0" t="s">
        <v>601</v>
      </c>
      <c r="B43" s="0" t="s">
        <v>602</v>
      </c>
      <c r="C43" s="0" t="s">
        <v>603</v>
      </c>
    </row>
    <row r="44" customFormat="false" ht="15" hidden="false" customHeight="false" outlineLevel="0" collapsed="false">
      <c r="A44" s="0" t="s">
        <v>604</v>
      </c>
      <c r="B44" s="0" t="s">
        <v>605</v>
      </c>
      <c r="C44" s="0" t="s">
        <v>606</v>
      </c>
    </row>
    <row r="45" customFormat="false" ht="15" hidden="false" customHeight="false" outlineLevel="0" collapsed="false">
      <c r="A45" s="0" t="s">
        <v>607</v>
      </c>
      <c r="B45" s="0" t="s">
        <v>608</v>
      </c>
      <c r="C45" s="0" t="s">
        <v>609</v>
      </c>
    </row>
    <row r="46" customFormat="false" ht="15" hidden="false" customHeight="false" outlineLevel="0" collapsed="false">
      <c r="A46" s="0" t="s">
        <v>610</v>
      </c>
      <c r="B46" s="0" t="s">
        <v>611</v>
      </c>
      <c r="C46" s="0" t="s">
        <v>612</v>
      </c>
    </row>
    <row r="47" customFormat="false" ht="15" hidden="false" customHeight="false" outlineLevel="0" collapsed="false">
      <c r="A47" s="0" t="s">
        <v>613</v>
      </c>
      <c r="B47" s="0" t="s">
        <v>614</v>
      </c>
      <c r="C47" s="0" t="s">
        <v>615</v>
      </c>
    </row>
    <row r="48" customFormat="false" ht="15" hidden="false" customHeight="false" outlineLevel="0" collapsed="false">
      <c r="A48" s="0" t="s">
        <v>616</v>
      </c>
      <c r="B48" s="0" t="s">
        <v>617</v>
      </c>
      <c r="C48" s="0" t="s">
        <v>618</v>
      </c>
    </row>
    <row r="49" customFormat="false" ht="15" hidden="false" customHeight="false" outlineLevel="0" collapsed="false">
      <c r="A49" s="0" t="s">
        <v>619</v>
      </c>
      <c r="B49" s="0" t="s">
        <v>620</v>
      </c>
      <c r="C49" s="0" t="s">
        <v>621</v>
      </c>
    </row>
    <row r="50" customFormat="false" ht="15" hidden="false" customHeight="false" outlineLevel="0" collapsed="false">
      <c r="A50" s="0" t="s">
        <v>622</v>
      </c>
      <c r="B50" s="0" t="s">
        <v>623</v>
      </c>
      <c r="C50" s="0" t="s">
        <v>497</v>
      </c>
    </row>
    <row r="51" customFormat="false" ht="15" hidden="false" customHeight="false" outlineLevel="0" collapsed="false">
      <c r="A51" s="0" t="s">
        <v>624</v>
      </c>
      <c r="B51" s="0" t="s">
        <v>625</v>
      </c>
      <c r="C51" s="0" t="s">
        <v>626</v>
      </c>
    </row>
    <row r="52" customFormat="false" ht="15" hidden="false" customHeight="false" outlineLevel="0" collapsed="false">
      <c r="A52" s="0" t="s">
        <v>627</v>
      </c>
      <c r="B52" s="0" t="s">
        <v>628</v>
      </c>
      <c r="C52" s="0" t="s">
        <v>629</v>
      </c>
    </row>
    <row r="53" customFormat="false" ht="15" hidden="false" customHeight="false" outlineLevel="0" collapsed="false">
      <c r="A53" s="0" t="s">
        <v>630</v>
      </c>
      <c r="B53" s="0" t="s">
        <v>631</v>
      </c>
      <c r="C53" s="0" t="s">
        <v>632</v>
      </c>
    </row>
    <row r="54" customFormat="false" ht="15" hidden="false" customHeight="false" outlineLevel="0" collapsed="false">
      <c r="A54" s="0" t="s">
        <v>633</v>
      </c>
      <c r="B54" s="0" t="s">
        <v>634</v>
      </c>
      <c r="C54" s="0" t="s">
        <v>635</v>
      </c>
    </row>
    <row r="55" customFormat="false" ht="15" hidden="false" customHeight="false" outlineLevel="0" collapsed="false">
      <c r="A55" s="0" t="s">
        <v>636</v>
      </c>
      <c r="B55" s="0" t="s">
        <v>637</v>
      </c>
      <c r="C55" s="0" t="s">
        <v>638</v>
      </c>
    </row>
    <row r="56" customFormat="false" ht="15" hidden="false" customHeight="false" outlineLevel="0" collapsed="false">
      <c r="A56" s="0" t="s">
        <v>639</v>
      </c>
      <c r="B56" s="0" t="s">
        <v>640</v>
      </c>
      <c r="C56" s="0" t="s">
        <v>641</v>
      </c>
    </row>
    <row r="57" customFormat="false" ht="15" hidden="false" customHeight="false" outlineLevel="0" collapsed="false">
      <c r="A57" s="0" t="s">
        <v>642</v>
      </c>
      <c r="B57" s="0" t="s">
        <v>643</v>
      </c>
      <c r="C57" s="0" t="s">
        <v>644</v>
      </c>
    </row>
    <row r="58" customFormat="false" ht="15" hidden="false" customHeight="false" outlineLevel="0" collapsed="false">
      <c r="A58" s="0" t="s">
        <v>645</v>
      </c>
      <c r="B58" s="0" t="s">
        <v>646</v>
      </c>
      <c r="C58" s="0" t="s">
        <v>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</cols>
  <sheetData>
    <row r="1" customFormat="false" ht="15" hidden="false" customHeight="false" outlineLevel="0" collapsed="false">
      <c r="A1" s="0" t="s">
        <v>648</v>
      </c>
    </row>
    <row r="2" customFormat="false" ht="15" hidden="false" customHeight="false" outlineLevel="0" collapsed="false">
      <c r="A2" s="0" t="s">
        <v>649</v>
      </c>
      <c r="B2" s="0" t="s">
        <v>650</v>
      </c>
      <c r="C2" s="0" t="s">
        <v>651</v>
      </c>
      <c r="D2" s="0" t="s">
        <v>652</v>
      </c>
      <c r="E2" s="0" t="s">
        <v>653</v>
      </c>
      <c r="F2" s="0" t="s">
        <v>654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655</v>
      </c>
      <c r="B1" s="0" t="s">
        <v>656</v>
      </c>
      <c r="C1" s="0" t="s">
        <v>69</v>
      </c>
      <c r="D1" s="0" t="s">
        <v>657</v>
      </c>
    </row>
    <row r="2" customFormat="false" ht="15" hidden="false" customHeight="false" outlineLevel="0" collapsed="false">
      <c r="A2" s="0" t="s">
        <v>658</v>
      </c>
      <c r="B2" s="0" t="s">
        <v>659</v>
      </c>
      <c r="C2" s="0" t="s">
        <v>660</v>
      </c>
      <c r="D2" s="0" t="s">
        <v>661</v>
      </c>
    </row>
    <row r="3" customFormat="false" ht="15" hidden="false" customHeight="false" outlineLevel="0" collapsed="false">
      <c r="A3" s="0" t="s">
        <v>662</v>
      </c>
      <c r="B3" s="0" t="s">
        <v>663</v>
      </c>
      <c r="C3" s="0" t="s">
        <v>664</v>
      </c>
      <c r="D3" s="0" t="s">
        <v>665</v>
      </c>
    </row>
    <row r="4" customFormat="false" ht="15" hidden="false" customHeight="false" outlineLevel="0" collapsed="false">
      <c r="A4" s="0" t="s">
        <v>666</v>
      </c>
      <c r="B4" s="0" t="s">
        <v>667</v>
      </c>
      <c r="C4" s="0" t="s">
        <v>664</v>
      </c>
      <c r="D4" s="0" t="s">
        <v>668</v>
      </c>
    </row>
    <row r="5" customFormat="false" ht="15" hidden="false" customHeight="false" outlineLevel="0" collapsed="false">
      <c r="A5" s="0" t="s">
        <v>669</v>
      </c>
      <c r="B5" s="0" t="s">
        <v>670</v>
      </c>
      <c r="C5" s="0" t="s">
        <v>660</v>
      </c>
      <c r="D5" s="0" t="s">
        <v>671</v>
      </c>
    </row>
    <row r="6" customFormat="false" ht="15" hidden="false" customHeight="false" outlineLevel="0" collapsed="false">
      <c r="A6" s="0" t="s">
        <v>672</v>
      </c>
      <c r="B6" s="0" t="s">
        <v>673</v>
      </c>
      <c r="C6" s="0" t="s">
        <v>480</v>
      </c>
      <c r="D6" s="0" t="s">
        <v>674</v>
      </c>
    </row>
    <row r="7" customFormat="false" ht="15" hidden="false" customHeight="false" outlineLevel="0" collapsed="false">
      <c r="A7" s="0" t="s">
        <v>675</v>
      </c>
      <c r="B7" s="0" t="s">
        <v>676</v>
      </c>
      <c r="C7" s="0" t="s">
        <v>660</v>
      </c>
      <c r="D7" s="0" t="s">
        <v>677</v>
      </c>
    </row>
    <row r="8" customFormat="false" ht="15" hidden="false" customHeight="false" outlineLevel="0" collapsed="false">
      <c r="A8" s="0" t="s">
        <v>678</v>
      </c>
      <c r="B8" s="0" t="s">
        <v>679</v>
      </c>
      <c r="C8" s="0" t="s">
        <v>660</v>
      </c>
      <c r="D8" s="0" t="s">
        <v>680</v>
      </c>
    </row>
    <row r="9" customFormat="false" ht="15" hidden="false" customHeight="false" outlineLevel="0" collapsed="false">
      <c r="A9" s="0" t="s">
        <v>681</v>
      </c>
      <c r="B9" s="0" t="s">
        <v>682</v>
      </c>
      <c r="C9" s="0" t="s">
        <v>660</v>
      </c>
      <c r="D9" s="0" t="s">
        <v>683</v>
      </c>
    </row>
    <row r="10" customFormat="false" ht="15" hidden="false" customHeight="false" outlineLevel="0" collapsed="false">
      <c r="A10" s="0" t="s">
        <v>684</v>
      </c>
      <c r="B10" s="0" t="s">
        <v>685</v>
      </c>
      <c r="C10" s="0" t="s">
        <v>664</v>
      </c>
      <c r="D10" s="0" t="s">
        <v>686</v>
      </c>
    </row>
    <row r="11" customFormat="false" ht="15" hidden="false" customHeight="false" outlineLevel="0" collapsed="false">
      <c r="A11" s="0" t="s">
        <v>687</v>
      </c>
      <c r="B11" s="0" t="s">
        <v>688</v>
      </c>
      <c r="C11" s="0" t="s">
        <v>660</v>
      </c>
      <c r="D11" s="0" t="s">
        <v>689</v>
      </c>
    </row>
    <row r="12" customFormat="false" ht="15" hidden="false" customHeight="false" outlineLevel="0" collapsed="false">
      <c r="A12" s="0" t="s">
        <v>690</v>
      </c>
      <c r="B12" s="0" t="s">
        <v>691</v>
      </c>
      <c r="C12" s="0" t="s">
        <v>660</v>
      </c>
      <c r="D12" s="0" t="s">
        <v>692</v>
      </c>
    </row>
    <row r="13" customFormat="false" ht="15" hidden="false" customHeight="false" outlineLevel="0" collapsed="false">
      <c r="A13" s="0" t="s">
        <v>693</v>
      </c>
      <c r="B13" s="0" t="s">
        <v>694</v>
      </c>
      <c r="C13" s="0" t="s">
        <v>660</v>
      </c>
      <c r="D13" s="0" t="s">
        <v>695</v>
      </c>
    </row>
    <row r="14" customFormat="false" ht="15" hidden="false" customHeight="false" outlineLevel="0" collapsed="false">
      <c r="A14" s="0" t="s">
        <v>696</v>
      </c>
      <c r="B14" s="0" t="s">
        <v>697</v>
      </c>
      <c r="C14" s="0" t="s">
        <v>660</v>
      </c>
      <c r="D14" s="0" t="s">
        <v>698</v>
      </c>
    </row>
    <row r="15" customFormat="false" ht="15" hidden="false" customHeight="false" outlineLevel="0" collapsed="false">
      <c r="A15" s="0" t="s">
        <v>699</v>
      </c>
      <c r="B15" s="0" t="s">
        <v>700</v>
      </c>
      <c r="C15" s="0" t="s">
        <v>664</v>
      </c>
      <c r="D15" s="0" t="s">
        <v>701</v>
      </c>
    </row>
    <row r="16" customFormat="false" ht="15" hidden="false" customHeight="false" outlineLevel="0" collapsed="false">
      <c r="A16" s="0" t="s">
        <v>702</v>
      </c>
      <c r="B16" s="0" t="s">
        <v>703</v>
      </c>
      <c r="C16" s="0" t="s">
        <v>660</v>
      </c>
      <c r="D16" s="0" t="s">
        <v>704</v>
      </c>
    </row>
    <row r="17" customFormat="false" ht="15" hidden="false" customHeight="false" outlineLevel="0" collapsed="false">
      <c r="A17" s="0" t="s">
        <v>705</v>
      </c>
      <c r="B17" s="0" t="s">
        <v>706</v>
      </c>
      <c r="C17" s="0" t="s">
        <v>660</v>
      </c>
      <c r="D17" s="0" t="s">
        <v>707</v>
      </c>
    </row>
    <row r="18" customFormat="false" ht="15" hidden="false" customHeight="false" outlineLevel="0" collapsed="false">
      <c r="A18" s="0" t="s">
        <v>708</v>
      </c>
      <c r="B18" s="0" t="s">
        <v>709</v>
      </c>
      <c r="C18" s="0" t="s">
        <v>660</v>
      </c>
      <c r="D18" s="0" t="s">
        <v>710</v>
      </c>
    </row>
    <row r="19" customFormat="false" ht="15" hidden="false" customHeight="false" outlineLevel="0" collapsed="false">
      <c r="A19" s="0" t="s">
        <v>711</v>
      </c>
      <c r="B19" s="0" t="s">
        <v>712</v>
      </c>
      <c r="C19" s="0" t="s">
        <v>660</v>
      </c>
      <c r="D19" s="0" t="s">
        <v>713</v>
      </c>
    </row>
    <row r="20" customFormat="false" ht="15" hidden="false" customHeight="false" outlineLevel="0" collapsed="false">
      <c r="A20" s="0" t="s">
        <v>714</v>
      </c>
      <c r="B20" s="0" t="s">
        <v>715</v>
      </c>
      <c r="C20" s="0" t="s">
        <v>664</v>
      </c>
      <c r="D20" s="0" t="s">
        <v>716</v>
      </c>
    </row>
    <row r="21" customFormat="false" ht="15" hidden="false" customHeight="false" outlineLevel="0" collapsed="false">
      <c r="A21" s="0" t="s">
        <v>717</v>
      </c>
      <c r="B21" s="0" t="s">
        <v>718</v>
      </c>
      <c r="C21" s="0" t="s">
        <v>660</v>
      </c>
      <c r="D21" s="0" t="s">
        <v>719</v>
      </c>
    </row>
    <row r="22" customFormat="false" ht="15" hidden="false" customHeight="false" outlineLevel="0" collapsed="false">
      <c r="A22" s="0" t="s">
        <v>720</v>
      </c>
      <c r="B22" s="0" t="s">
        <v>721</v>
      </c>
      <c r="C22" s="0" t="s">
        <v>664</v>
      </c>
      <c r="D22" s="0" t="s">
        <v>722</v>
      </c>
    </row>
    <row r="23" customFormat="false" ht="15" hidden="false" customHeight="false" outlineLevel="0" collapsed="false">
      <c r="A23" s="0" t="s">
        <v>723</v>
      </c>
      <c r="B23" s="0" t="s">
        <v>724</v>
      </c>
      <c r="C23" s="0" t="s">
        <v>664</v>
      </c>
      <c r="D23" s="0" t="s">
        <v>725</v>
      </c>
    </row>
    <row r="24" customFormat="false" ht="15" hidden="false" customHeight="false" outlineLevel="0" collapsed="false">
      <c r="A24" s="0" t="s">
        <v>726</v>
      </c>
      <c r="B24" s="0" t="s">
        <v>727</v>
      </c>
      <c r="C24" s="0" t="s">
        <v>664</v>
      </c>
      <c r="D24" s="0" t="s">
        <v>728</v>
      </c>
    </row>
    <row r="25" customFormat="false" ht="15" hidden="false" customHeight="false" outlineLevel="0" collapsed="false">
      <c r="A25" s="0" t="s">
        <v>729</v>
      </c>
      <c r="B25" s="0" t="s">
        <v>730</v>
      </c>
      <c r="C25" s="0" t="s">
        <v>660</v>
      </c>
      <c r="D25" s="0" t="s">
        <v>731</v>
      </c>
    </row>
    <row r="26" customFormat="false" ht="15" hidden="false" customHeight="false" outlineLevel="0" collapsed="false">
      <c r="A26" s="0" t="s">
        <v>732</v>
      </c>
      <c r="B26" s="0" t="s">
        <v>733</v>
      </c>
      <c r="C26" s="0" t="s">
        <v>664</v>
      </c>
      <c r="D26" s="0" t="s">
        <v>734</v>
      </c>
    </row>
    <row r="27" customFormat="false" ht="15" hidden="false" customHeight="false" outlineLevel="0" collapsed="false">
      <c r="A27" s="0" t="s">
        <v>735</v>
      </c>
      <c r="B27" s="0" t="s">
        <v>736</v>
      </c>
      <c r="C27" s="0" t="s">
        <v>664</v>
      </c>
      <c r="D27" s="0" t="s">
        <v>737</v>
      </c>
    </row>
    <row r="28" customFormat="false" ht="15" hidden="false" customHeight="false" outlineLevel="0" collapsed="false">
      <c r="A28" s="0" t="s">
        <v>738</v>
      </c>
      <c r="B28" s="0" t="s">
        <v>739</v>
      </c>
      <c r="C28" s="0" t="s">
        <v>664</v>
      </c>
      <c r="D28" s="0" t="s">
        <v>740</v>
      </c>
    </row>
    <row r="29" customFormat="false" ht="15" hidden="false" customHeight="false" outlineLevel="0" collapsed="false">
      <c r="A29" s="0" t="s">
        <v>741</v>
      </c>
      <c r="B29" s="0" t="s">
        <v>742</v>
      </c>
      <c r="C29" s="0" t="s">
        <v>664</v>
      </c>
      <c r="D29" s="0" t="s">
        <v>743</v>
      </c>
    </row>
    <row r="30" customFormat="false" ht="15" hidden="false" customHeight="false" outlineLevel="0" collapsed="false">
      <c r="A30" s="0" t="s">
        <v>744</v>
      </c>
      <c r="B30" s="0" t="s">
        <v>745</v>
      </c>
      <c r="C30" s="0" t="s">
        <v>480</v>
      </c>
      <c r="D30" s="0" t="s">
        <v>746</v>
      </c>
    </row>
    <row r="31" customFormat="false" ht="15" hidden="false" customHeight="false" outlineLevel="0" collapsed="false">
      <c r="A31" s="0" t="s">
        <v>747</v>
      </c>
      <c r="B31" s="0" t="s">
        <v>748</v>
      </c>
      <c r="C31" s="0" t="s">
        <v>664</v>
      </c>
      <c r="D31" s="0" t="s">
        <v>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750</v>
      </c>
    </row>
    <row r="2" customFormat="false" ht="15" hidden="false" customHeight="false" outlineLevel="0" collapsed="false">
      <c r="A2" s="0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2026-10-28T22:22:51Z</dcterms:created>
  <dc:creator>openpyxl</dc:creator>
  <dc:description/>
  <dc:language>en-US</dc:language>
  <cp:lastModifiedBy/>
  <dcterms:modified xsi:type="dcterms:W3CDTF">2026-10-28T22:22:51Z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