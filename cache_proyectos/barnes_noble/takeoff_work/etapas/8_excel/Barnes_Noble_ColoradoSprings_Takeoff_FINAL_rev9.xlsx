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<sst xmlns="http://schemas.openxmlformats.org/spreadsheetml/2006/main" count="1063" uniqueCount="726">
  <si>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</si>
  <si>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</si>
  <si>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</si>
  <si>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</si>
  <si>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</si>
  <si>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</si>
  <si>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</si>
  <si>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</si>
  <si>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</si>
  <si>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</si>
  <si>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</si>
  <si>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</si>
  <si>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</si>
  <si>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</si>
  <si>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</si>
  <si>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</si>
  <si>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</si>
  <si>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</si>
  <si>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</si>
  <si>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</si>
  <si>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</si>
  <si>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</si>
  <si>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</si>
  <si>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</si>
  <si>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</si>
  <si>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</si>
  <si>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</si>
  <si>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</si>
  <si>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</si>
  <si>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</si>
  <si>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</si>
  <si>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</si>
  <si>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</si>
  <si>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</si>
  <si>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</si>
  <si>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</si>
  <si>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</si>
  <si>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</si>
  <si>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</si>
  <si>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</si>
  <si>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X-DNI 2 rows at 16" O.C. = 0.667 ft per pin (9/A-410 PAF @ 24" = alternative, RFI).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</si>
  <si>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</si>
  <si>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</si>
  <si>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</si>
  <si>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</si>
  <si>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</si>
  <si>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</si>
  <si>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</si>
  <si>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</si>
  <si>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</si>
  <si>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</si>
  <si>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</si>
  <si>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</si>
  <si>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</si>
  <si>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</si>
  <si>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</si>
  <si>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</si>
  <si>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</si>
  <si>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</si>
  <si>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</si>
  <si>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</si>
  <si>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</si>
  <si>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</si>
  <si>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</si>
  <si>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</si>
  <si>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</si>
  <si>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</si>
  <si>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</si>
  <si>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</si>
  <si>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</si>
  <si>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</si>
  <si>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</si>
  <si>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</si>
  <si>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</si>
  <si>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</si>
  <si>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</si>
  <si>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</si>
  <si>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</si>
  <si>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</si>
  <si>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</si>
  <si>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</si>
  <si>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</si>
  <si>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</si>
  <si>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</si>
  <si>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</si>
  <si>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</si>
  <si>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</si>
  <si>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</si>
  <si>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</si>
  <si>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</si>
  <si>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</si>
  <si>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</si>
  <si>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</si>
  <si>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</si>
  <si>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</si>
  <si>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</si>
  <si>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</si>
  <si>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</si>
  <si>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</si>
  <si>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</si>
  <si>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</si>
  <si>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</si>
  <si>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</si>
  <si>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</si>
  <si>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</si>
  <si>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</si>
  <si>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</si>
  <si>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</si>
  <si>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</si>
  <si>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</si>
  <si>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</si>
  <si>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</si>
  <si>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</si>
  <si>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</si>
  <si>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</si>
  <si>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</si>
  <si>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</si>
  <si>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</si>
  <si>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</si>
  <si>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</si>
  <si>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</si>
  <si>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</si>
  <si>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</si>
  <si>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</si>
  <si>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</si>
  <si>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</si>
  <si>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</si>
  <si>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</si>
  <si>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</si>
  <si>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</si>
  <si>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</si>
  <si>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</si>
  <si>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</si>
  <si>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</si>
  <si>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</si>
  <si>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</si>
  <si>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</si>
  <si>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</si>
  <si>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</si>
  <si>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</si>
  <si>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</si>
  <si>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</si>
  <si>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</si>
  <si>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</si>
  <si>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</si>
  <si>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</si>
  <si>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</si>
  <si>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</si>
  <si>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</si>
  <si>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</si>
  <si>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</si>
  <si>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</si>
  <si>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</si>
  <si>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</si>
  <si>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</si>
  <si>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</si>
  <si>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</si>
  <si>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</si>
  <si>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</si>
  <si>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</si>
  <si>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</si>
  <si>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</si>
  <si>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</si>
  <si>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</si>
  <si>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</si>
  <si>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</si>
  <si>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</si>
  <si>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</si>
  <si>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</si>
  <si>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</si>
  <si>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</si>
  <si>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</si>
  <si>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</si>
  <si>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</si>
  <si>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</si>
  <si>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</si>
  <si>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</si>
  <si>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</si>
  <si>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</si>
  <si>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</si>
  <si>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</si>
  <si>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</si>
  <si>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</si>
  <si>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</si>
  <si>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</si>
  <si>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</si>
  <si>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</si>
  <si>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</si>
  <si>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</si>
  <si>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</si>
  <si>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</si>
  <si>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</si>
  <si>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</si>
  <si>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</si>
  <si>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</si>
  <si>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</si>
  <si>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</si>
  <si>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</si>
  <si>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</si>
  <si>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</si>
  <si>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</si>
  <si>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</si>
  <si>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</si>
  <si>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</si>
  <si>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</si>
  <si>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</si>
  <si>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</si>
  <si>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</si>
  <si>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</si>
  <si>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</si>
  <si>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</si>
  <si>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</si>
  <si>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</si>
  <si>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</si>
  <si>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</si>
  <si>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</si>
  <si>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</si>
  <si>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</si>
  <si>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</si>
  <si>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</si>
  <si>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</si>
  <si>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</si>
  <si>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</si>
  <si>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</si>
  <si>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</si>
  <si>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</si>
  <si>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</si>
  <si>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</si>
  <si>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</si>
  <si>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</si>
  <si>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</si>
  <si>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</si>
  <si>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</si>
  <si>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</si>
  <si>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</si>
  <si>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</si>
  <si>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</si>
  <si>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</si>
  <si>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</si>
  <si>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</si>
  <si>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</si>
  <si>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</si>
  <si>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</si>
  <si>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</si>
  <si>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</si>
  <si>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</si>
  <si>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</si>
  <si>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</si>
  <si>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</si>
  <si>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</si>
  <si>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</si>
  <si>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</si>
  <si>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</si>
  <si>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</si>
  <si>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</si>
  <si>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</si>
  <si>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</si>
  <si>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</si>
  <si>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</si>
  <si>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</si>
  <si>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</si>
  <si>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</si>
  <si>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</si>
  <si>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</si>
  <si>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</si>
  <si>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</si>
  <si>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</si>
  <si>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</si>
  <si>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</si>
  <si>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</si>
  <si>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</si>
  <si>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</si>
  <si>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</si>
  <si>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</si>
  <si>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</si>
  <si>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</si>
  <si>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</si>
  <si>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</si>
  <si>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</si>
  <si>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</si>
  <si>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</si>
  <si>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</si>
  <si>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</si>
  <si>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</si>
  <si>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</si>
  <si>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</si>
  <si>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</si>
  <si>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</si>
  <si>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</si>
  <si>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</si>
  <si>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</si>
  <si>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</si>
  <si>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</si>
  <si>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</si>
  <si>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</si>
  <si>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</si>
  <si>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</si>
  <si>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</si>
  <si>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</si>
  <si>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</si>
  <si>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</si>
  <si>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</si>
  <si>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</si>
  <si>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</si>
  <si>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</si>
  <si>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</si>
  <si>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</si>
  <si>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</si>
  <si>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</si>
  <si>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</si>
  <si>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</si>
  <si>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</si>
  <si>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</si>
  <si>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</si>
  <si>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</si>
  <si>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</si>
  <si>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</si>
  <si>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</si>
  <si>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</si>
  <si>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</si>
  <si>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</si>
  <si>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</si>
  <si>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</si>
  <si>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</si>
  <si>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</si>
  <si>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</si>
  <si>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</si>
  <si>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</si>
  <si>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</si>
  <si>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</si>
  <si>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</si>
  <si>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</si>
  <si>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</si>
  <si>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</si>
  <si>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</si>
  <si>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</si>
  <si>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</si>
  <si>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</si>
  <si>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</si>
  <si>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</si>
  <si>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</si>
  <si>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</si>
  <si>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Ceiling perimeter track at GWB ceilings (size not printed, RFI)</t>
  </si>
  <si>
    <t xml:space="preserve">N/SHEET: 1/A-121, 5/A-121 | Breakdown [DERIVED]: Women's Restroom 109 32.33 + Men's Restroom 108 32.33 + Cafe 103 - 11'-6" GWB band 52.51 + Cafe 103 - 9'-0" GWB band 43.33 + Grab &amp; Go 20.49 = 180.99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</si>
  <si>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</si>
  <si>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</si>
  <si>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</si>
  <si>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</si>
  <si>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</si>
  <si>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</si>
  <si>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</si>
  <si>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</si>
  <si>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</si>
  <si>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</si>
  <si>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</si>
  <si>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2x lumber 8 ft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</si>
  <si>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</si>
  <si>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</si>
  <si>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</si>
  <si>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</si>
  <si>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</si>
  <si>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</si>
  <si>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</si>
  <si>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</si>
  <si>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</si>
  <si>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</si>
  <si>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 (manufacturer length)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</si>
  <si>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</si>
  <si>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</si>
  <si>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 (manufacturer length)</t>
  </si>
  <si>
    <t xml:space="preserve">USG channel molding DGCM27</t>
  </si>
  <si>
    <t xml:space="preserve">molding 12 ft (manufacturer length)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</si>
  <si>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</si>
  <si>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</si>
  <si>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</si>
  <si>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piece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</si>
  <si>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</si>
  <si>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</si>
  <si>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</si>
  <si>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</si>
  <si>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</si>
  <si>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</si>
  <si>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</si>
  <si>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</si>
  <si>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</si>
  <si>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</si>
  <si>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</si>
  <si>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</si>
  <si>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</si>
  <si>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</si>
  <si>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</si>
  <si>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</si>
  <si>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</si>
  <si>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</si>
  <si>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</si>
  <si>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</si>
  <si>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</si>
  <si>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</si>
  <si>
    <t xml:space="preserve">Track 3-5/8" at soffits, fire stop at ceiling line and nested columns</t>
  </si>
  <si>
    <t xml:space="preserve"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</si>
  <si>
    <t xml:space="preserve">Track 6" at soffits, fire stop at ceiling line and nested beam</t>
  </si>
  <si>
    <t xml:space="preserve">N/SHEET: 3/A-410, 3/A-221, 8/A-210 | Breakdown [DERIVED]: SS-GG 12.33 + VEST-BOX-BEAM-TRACK 25.33 + FIRESTOP-W5-01 5.7 + FIRESTOP-C-H1-N 29.98 + FIRESTOP-C-H1-W 12.17 + FIRESTOP-C-E2 29.3 + FIRESTOP-C-H3a 4.08 + FIRESTOP-C-H3b 6.17 + FIRESTOP-C-E1-S 19 = 144.06 LF</t>
  </si>
  <si>
    <t xml:space="preserve">8" ledger track (4/A-210)</t>
  </si>
  <si>
    <t xml:space="preserve">N/SHEET: 4/A-210 | Breakdown [DERIVED]: VEST-LEDGER 12.67 = 12.67 LF</t>
  </si>
  <si>
    <t xml:space="preserve">#8 screws at the top chord, cross members and track (8/A-410)</t>
  </si>
  <si>
    <t xml:space="preserve"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</si>
  <si>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</si>
  <si>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</si>
  <si>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</si>
  <si>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</si>
  <si>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</si>
  <si>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</si>
  <si>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</si>
  <si>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</si>
  <si>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</si>
  <si>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</si>
  <si>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</si>
  <si>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</si>
  <si>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</si>
  <si>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</si>
  <si>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(take-off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</si>
  <si>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</si>
  <si>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</si>
  <si>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</si>
  <si>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</si>
  <si>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</si>
  <si>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</si>
  <si>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</si>
  <si>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</si>
  <si>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</si>
  <si>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</si>
  <si>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</si>
  <si>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</si>
  <si>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</si>
  <si>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5095.03 SF of board</t>
  </si>
  <si>
    <t xml:space="preserve">Framing screws #8-18 x 1/2" pan head (25/20 ga studs)</t>
  </si>
  <si>
    <t xml:space="preserve">[DERIVED] N/SHEET: A-410 note 8.A | Inputs!B21 (Framing screws per stud piece = 4) x 485 stud pieces | Breakdown [DERIVED]: 4 x 485 stud pieces [partition walls (per-wall stud pieces) 673; CW-01 12; CW-02 12; CW-03 12; CW-04 12; CW-05 12; CW-06 12; CW-07 12; CW-08 12; CW-09 12; C-I-E1.6" 0; C-I-E2.6" 0 - 296 heavy-gauge pieces] = 1940</t>
  </si>
  <si>
    <t xml:space="preserve">Power-driven fasteners, slab pins for the bottom track</t>
  </si>
  <si>
    <t xml:space="preserve">[DERIVED] N/SHEET: 9/A-410 | 518.29 LF of interior bottom track on slab / Inputs!B22 (Power-driven pin spacing (ft) = 0.666667)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</si>
  <si>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</si>
  <si>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</si>
  <si>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</si>
  <si>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</si>
  <si>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</si>
  <si>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16201.9 SF of board</t>
  </si>
  <si>
    <t xml:space="preserve">Joint tape, paper</t>
  </si>
  <si>
    <t xml:space="preserve">[DERIVED] N/SHEET: A-001A Div 09 A.8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</si>
  <si>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</si>
  <si>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</si>
  <si>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</si>
  <si>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</si>
  <si>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</si>
  <si>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</si>
  <si>
    <t xml:space="preserve">Type S-12 drywall screws #6 x 1-1/4" (board on 18/16/14 ga studs)</t>
  </si>
  <si>
    <t xml:space="preserve"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</si>
  <si>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</si>
  <si>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</si>
  <si>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</si>
  <si>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</si>
  <si>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carried one pin every 8.0" (A-410 note 8.F X-DNI 2 rows @ 16" O.C. (printed, conservative); 9/A-410 0.177" PAF @ 24" = alternative); alternatives: one row @ 16" / one row @ 24"</t>
  </si>
  <si>
    <t xml:space="preserve">16in: -388.72 pcs; 24in: -518.29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</si>
  <si>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</si>
  <si>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</si>
  <si>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(take-off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</si>
  <si>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</si>
  <si>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(decided).(rev7):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</si>
  <si>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</si>
  <si>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</si>
  <si>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</si>
  <si>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</si>
  <si>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</si>
  <si>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24'-0".(rev7):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</si>
  <si>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</si>
  <si>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</si>
  <si>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deg.(rev7):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</si>
  <si>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</si>
  <si>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</si>
  <si>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</si>
  <si>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</si>
  <si>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</si>
  <si>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</si>
  <si>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</si>
  <si>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</si>
  <si>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</si>
  <si>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</si>
  <si>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</si>
  <si>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</si>
  <si>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</si>
  <si>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</si>
  <si>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</si>
  <si>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</si>
  <si>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</si>
  <si>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</si>
  <si>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</si>
  <si>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</si>
  <si>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</si>
  <si>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</si>
  <si>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</si>
  <si>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</si>
  <si>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</si>
  <si>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</si>
  <si>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</si>
  <si>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</si>
  <si>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</si>
  <si>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</si>
  <si>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</si>
  <si>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</si>
  <si>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</si>
  <si>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</si>
  <si>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</si>
  <si>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</si>
  <si>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</si>
  <si>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</si>
  <si>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</si>
  <si>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</si>
  <si>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</si>
  <si>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</si>
  <si>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</si>
  <si>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</si>
  <si>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</si>
  <si>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</si>
  <si>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</si>
  <si>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</si>
  <si>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</si>
  <si>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</si>
  <si>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</si>
  <si>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</si>
  <si>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</si>
  <si>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</si>
  <si>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</si>
  <si>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</si>
  <si>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</si>
  <si>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</si>
  <si>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</si>
  <si>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</si>
  <si>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</si>
  <si>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</si>
  <si>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</si>
  <si>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</si>
  <si>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</si>
  <si>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</si>
  <si>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</si>
  <si>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0); their bottom track is not on slab pins (3/A-410, 4/A-410 "3 5/8" X 20GA TRACK W/ (2)-1/4"ø X 1 5/8" HILTI KWIK HUSEZ CONCRETE SCREW AND MOMENT CLIP - SEE DETAIL").</t>
  </si>
  <si>
    <t xml:space="preserve">If one clip per stud: + 162 moment clips (type 3 = 40 studs, type 4 = 122 studs, per-wall stud count) + 324 Kwik HUS-EZ 1/4" x 1-5/8" (2 per clip) + 324 #10-16 screws (A/A-410 "(1) #10-16 SCREW @ EACH FLANGE": 162 clips x 2). Slab pins already exclude the 122.32 LF of type 3 / 4 track.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</si>
  <si>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</si>
  <si>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</si>
  <si>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</si>
  <si>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</si>
  <si>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</si>
  <si>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</si>
  <si>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</si>
  <si>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(take-off criterion (not printed);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</si>
  <si>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</si>
  <si>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</si>
  <si>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</si>
  <si>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</si>
  <si>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</si>
  <si>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</si>
  <si>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</si>
  <si>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</si>
  <si>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</si>
  <si>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</si>
  <si>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</si>
  <si>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(rev5-rev6 cited 8/A-410, which is the Typ. Connection Detail: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</si>
  <si>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</si>
  <si>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</si>
  <si>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</si>
  <si>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</si>
  <si>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</si>
  <si>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</si>
  <si>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</si>
  <si>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</si>
  <si>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</si>
  <si>
    <t xml:space="preserve">Carried: splay wires 743.29 LF (hanger wire row) + vertical 16 ga wire at each brace point 131.42 LF (16 ga wire row); the 1-5/8" x 16 ga metal joist framing @ 48" on 5/A-121 is the horizontal carrying member (no post). If not required: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</si>
  <si>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</si>
  <si>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</si>
  <si>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</si>
  <si>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</si>
  <si>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</si>
  <si>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</si>
  <si>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</si>
  <si>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</si>
  <si>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 #8 screws (8/A-410) carried in their own row (775 pcs) with joists at 5'-0": one screw per joist crossing on the walls perpendicular to the joists = 70; at 4'-0" spacing: + 15 pcs.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</si>
  <si>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</si>
  <si>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</si>
  <si>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</si>
  <si>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</si>
  <si>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</si>
  <si>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</si>
  <si>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</si>
  <si>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</si>
  <si>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</si>
  <si>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</si>
  <si>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</si>
  <si>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</si>
  <si>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</si>
  <si>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RI 7).(rev8): the same phrase is printed on the partition types 3 and 4 (3/A-410, 4/A-410): nested stud at the top of each wall.</t>
  </si>
  <si>
    <t xml:space="preserve">Carried 6.52 LF (F) + 122.32 LF (types 3 / 4) 3-5/8" stud; define member / elevation; if not required: minus both.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</si>
  <si>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</si>
  <si>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</si>
  <si>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</si>
  <si>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</si>
  <si>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</si>
  <si>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</si>
  <si>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</si>
  <si>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</si>
  <si>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</si>
  <si>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</si>
  <si>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</si>
  <si>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</si>
  <si>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RFI-52</t>
  </si>
  <si>
    <t xml:space="preserve">Vestibule GWB bands above B.O. ceiling 10'-6": top of the band 11'-3 1/2" V.I.F. (2/A-210, 3/A-210, "VESTIBULE ASSEMBLY TO MATCH EXISTING STOREFRONT SYSTEM V.I.F.").</t>
  </si>
  <si>
    <t xml:space="preserve">Carried 14.96 SF; each 1" of band height = 1.89 SF (front 12.67 + sides 2 x 8.42 ft / 12).</t>
  </si>
  <si>
    <t xml:space="preserve">RFI-53</t>
  </si>
  <si>
    <t xml:space="preserve">Light fixtures in the Cafe GWB bands (11'-6" and 9'-0", 1/A-121): fixture count in the bands not taken; 5/A-121 "PROVIDE ADDITIONAL WIRE SUPPORT AT ALL LIGHT FIXTURES".(rev8): E-301 Sec. 265119: "THIS CONTRACTOR SHALL PROVIDE AND INSTALL ALL NECESSARY SUPPORT MEDIA FOR ALL LIGHTING FIXTURES ... FIXTURES SHALL NOT BE SUPPORTED FROM ROOF DECK" - overlap with the 5/A-121 fixture wires carried.</t>
  </si>
  <si>
    <t xml:space="preserve">Each fixture in a band = + 1 hanger x 13.5 / 16.0 ft wire. If the fixture supports are by the electrical contractor (E-301 265119): - 401.0 LF hanger wire (29 hangers).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</si>
  <si>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</si>
  <si>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</si>
  <si>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 Framing screws count the stud pieces of the walls and column wraps (781) by gauge (A-410 note 8.A); the 8/A-410 #8 screws (top chord, cross members, track) have their own row; the other detail members (braces, bracing clips) are in the Tek screw row. 9/A-410 calls #8 screws stud to track while note 8.A calls #10-16 on 18/16 ga - carried per 8.A.(rev8):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- 640.61 pcs. 8/A-210 "(8) #10-16 TEKS 16"O.C., TYP." read as 8 per station at 16" O.C. (520 pcs carried); if 8 per member in total: - 464 pcs. 7/A-210 head attachment clips: 2 assumed (16 screws), count not printed.</t>
  </si>
  <si>
    <t xml:space="preserve">RFI-54</t>
  </si>
  <si>
    <t xml:space="preserve">Ceiling perimeter track at the suspended GWB ceilings (Women's 109, Men's 108, Cafe 103 bands 11'-6" and 9'-0", Grab &amp; Go 7'-1"): 5/A-121 draws the perimeter attachment but prints no track size; the stud size of the wall it attaches to varies.</t>
  </si>
  <si>
    <t xml:space="preserve">Carried 180.99 LF in its own row (size not printed). If the perimeter is the USG angle molding DGWM24 already carried: - 180.99 LF of track; if 3-5/8" track: no LF change (price only).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</si>
  <si>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</si>
  <si>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</si>
  <si>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</si>
  <si>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</si>
  <si>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</si>
  <si>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</si>
  <si>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</si>
  <si>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</si>
  <si>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</si>
  <si>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</si>
  <si>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</si>
  <si>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</si>
  <si>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</si>
  <si>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</si>
  <si>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</si>
  <si>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</si>
  <si>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</si>
  <si>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</si>
  <si>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</si>
  <si>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</si>
  <si>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</si>
  <si>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</si>
  <si>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</si>
  <si>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10.67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</si>
  <si>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</si>
  <si>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</si>
  <si>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</si>
  <si>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</si>
  <si>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</si>
  <si>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</si>
  <si>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</si>
  <si>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</si>
  <si>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</si>
  <si>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</si>
  <si>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</si>
  <si>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</si>
  <si>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</si>
  <si>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</si>
  <si>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</si>
  <si>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</si>
  <si>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</si>
  <si>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</si>
  <si>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</si>
  <si>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</si>
  <si>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</si>
  <si>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</si>
  <si>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</si>
  <si>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</si>
  <si>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</si>
  <si>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</si>
  <si>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</si>
  <si>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</si>
  <si>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</si>
  <si>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</si>
  <si>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</si>
  <si>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</si>
  <si>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</si>
  <si>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</si>
  <si>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</si>
  <si>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</si>
  <si>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</si>
  <si>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</si>
  <si>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</si>
  <si>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</si>
  <si>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</si>
  <si>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</si>
  <si>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</si>
  <si>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</si>
  <si>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</si>
  <si>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</si>
  <si>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</si>
  <si>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</si>
  <si>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</si>
  <si>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</si>
  <si>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</si>
  <si>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</si>
  <si>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</si>
  <si>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</si>
  <si>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</si>
  <si>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</si>
  <si>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</si>
  <si>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</si>
  <si>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</si>
  <si>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</si>
  <si>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</si>
  <si>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</si>
  <si>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</si>
  <si>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</si>
  <si>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</si>
  <si>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</si>
  <si>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</si>
  <si>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</si>
  <si>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</si>
  <si>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</si>
  <si>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</si>
  <si>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</si>
  <si>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</si>
  <si>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</si>
  <si>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</si>
  <si>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</si>
  <si>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</si>
  <si>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</si>
  <si>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</si>
  <si>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"3a857f2353c1cf566d9820315ad3dc5df331942160dbcb381fc69e009b95c6e6", "evidencias": "82f4ec13c901d7191f9772989e98854d158340ab19499f6cfbada96ca6cbd21e", "familias_out": "6cf45300148701901df2a2f0b9986058adbbd0e1749b3f37c23c01779106e52a", "reglas": "ba8bd6e1d9f05fc9d972b956fc70d6670e442c3778886e8c3bd2d878c81dab17",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</si>
</sst>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0.666667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99</v>
      </c>
      <c r="G19" s="0" t="n">
        <v>16</v>
      </c>
      <c r="H19" s="0" t="n">
        <v>58.72</v>
      </c>
      <c r="I19" s="0" t="s">
        <v>100</v>
      </c>
      <c r="J19" s="0" t="s">
        <v>101</v>
      </c>
      <c r="K19" s="0" t="s">
        <v>66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12</v>
      </c>
      <c r="D20" s="0" t="n">
        <v>8</v>
      </c>
      <c r="E20" s="0" t="n">
        <v>2</v>
      </c>
      <c r="F20" s="0" t="s">
        <v>99</v>
      </c>
      <c r="G20" s="0" t="n">
        <v>16</v>
      </c>
      <c r="H20" s="0" t="n">
        <v>192</v>
      </c>
      <c r="I20" s="0" t="s">
        <v>104</v>
      </c>
      <c r="J20" s="0" t="s">
        <v>101</v>
      </c>
      <c r="K20" s="0" t="s">
        <v>66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12</v>
      </c>
      <c r="D21" s="0" t="n">
        <v>8</v>
      </c>
      <c r="E21" s="0" t="n">
        <v>2</v>
      </c>
      <c r="F21" s="0" t="s">
        <v>99</v>
      </c>
      <c r="G21" s="0" t="n">
        <v>16</v>
      </c>
      <c r="H21" s="0" t="n">
        <v>192</v>
      </c>
      <c r="I21" s="0" t="s">
        <v>107</v>
      </c>
      <c r="J21" s="0" t="s">
        <v>101</v>
      </c>
      <c r="K21" s="0" t="s">
        <v>66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n">
        <v>3.67</v>
      </c>
      <c r="D22" s="0" t="n">
        <v>8</v>
      </c>
      <c r="E22" s="0" t="n">
        <v>2</v>
      </c>
      <c r="F22" s="0" t="s">
        <v>99</v>
      </c>
      <c r="G22" s="0" t="n">
        <v>16</v>
      </c>
      <c r="H22" s="0" t="n">
        <v>58.72</v>
      </c>
      <c r="I22" s="0" t="s">
        <v>110</v>
      </c>
      <c r="J22" s="0" t="s">
        <v>101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3.67</v>
      </c>
      <c r="D23" s="0" t="n">
        <v>8</v>
      </c>
      <c r="E23" s="0" t="n">
        <v>2</v>
      </c>
      <c r="F23" s="0" t="s">
        <v>99</v>
      </c>
      <c r="G23" s="0" t="n">
        <v>16</v>
      </c>
      <c r="H23" s="0" t="n">
        <v>58.72</v>
      </c>
      <c r="I23" s="0" t="s">
        <v>113</v>
      </c>
      <c r="J23" s="0" t="s">
        <v>101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3.67</v>
      </c>
      <c r="D24" s="0" t="n">
        <v>8</v>
      </c>
      <c r="E24" s="0" t="n">
        <v>2</v>
      </c>
      <c r="F24" s="0" t="s">
        <v>99</v>
      </c>
      <c r="G24" s="0" t="n">
        <v>16</v>
      </c>
      <c r="H24" s="0" t="n">
        <v>58.72</v>
      </c>
      <c r="I24" s="0" t="s">
        <v>116</v>
      </c>
      <c r="J24" s="0" t="s">
        <v>101</v>
      </c>
      <c r="K24" s="0" t="s">
        <v>66</v>
      </c>
    </row>
    <row r="25" customFormat="false" ht="15" hidden="false" customHeight="false" outlineLevel="0" collapsed="false">
      <c r="B25" s="6" t="s">
        <v>117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12.68</v>
      </c>
      <c r="D27" s="0" t="n">
        <v>7.5</v>
      </c>
      <c r="E27" s="0" t="n">
        <v>2</v>
      </c>
      <c r="F27" s="0" t="s">
        <v>99</v>
      </c>
      <c r="G27" s="0" t="n">
        <v>16</v>
      </c>
      <c r="H27" s="0" t="n">
        <v>190.2</v>
      </c>
      <c r="I27" s="0" t="s">
        <v>121</v>
      </c>
      <c r="J27" s="0" t="s">
        <v>122</v>
      </c>
      <c r="K27" s="0" t="s">
        <v>66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1.77</v>
      </c>
      <c r="D28" s="0" t="n">
        <v>7.5</v>
      </c>
      <c r="E28" s="0" t="n">
        <v>2</v>
      </c>
      <c r="F28" s="0" t="s">
        <v>99</v>
      </c>
      <c r="G28" s="0" t="n">
        <v>16</v>
      </c>
      <c r="H28" s="0" t="n">
        <v>26.56</v>
      </c>
      <c r="I28" s="0" t="s">
        <v>125</v>
      </c>
      <c r="J28" s="0" t="s">
        <v>122</v>
      </c>
      <c r="K28" s="0" t="s">
        <v>66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1.72</v>
      </c>
      <c r="D29" s="0" t="n">
        <v>7.5</v>
      </c>
      <c r="E29" s="0" t="n">
        <v>2</v>
      </c>
      <c r="F29" s="0" t="s">
        <v>99</v>
      </c>
      <c r="G29" s="0" t="n">
        <v>16</v>
      </c>
      <c r="H29" s="0" t="n">
        <v>25.8</v>
      </c>
      <c r="I29" s="0" t="s">
        <v>128</v>
      </c>
      <c r="J29" s="0" t="s">
        <v>122</v>
      </c>
      <c r="K29" s="0" t="s">
        <v>66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4.27</v>
      </c>
      <c r="D30" s="0" t="n">
        <v>7.5</v>
      </c>
      <c r="E30" s="0" t="n">
        <v>2</v>
      </c>
      <c r="F30" s="0" t="s">
        <v>99</v>
      </c>
      <c r="G30" s="0" t="n">
        <v>16</v>
      </c>
      <c r="H30" s="0" t="n">
        <v>64.04</v>
      </c>
      <c r="I30" s="0" t="s">
        <v>131</v>
      </c>
      <c r="J30" s="0" t="s">
        <v>122</v>
      </c>
      <c r="K30" s="0" t="s">
        <v>66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4.27</v>
      </c>
      <c r="D31" s="0" t="n">
        <v>7.5</v>
      </c>
      <c r="E31" s="0" t="n">
        <v>2</v>
      </c>
      <c r="F31" s="0" t="s">
        <v>99</v>
      </c>
      <c r="G31" s="0" t="n">
        <v>16</v>
      </c>
      <c r="H31" s="0" t="n">
        <v>64.04</v>
      </c>
      <c r="I31" s="0" t="s">
        <v>134</v>
      </c>
      <c r="J31" s="0" t="s">
        <v>122</v>
      </c>
      <c r="K31" s="0" t="s">
        <v>66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4.29</v>
      </c>
      <c r="D32" s="0" t="n">
        <v>7.5</v>
      </c>
      <c r="E32" s="0" t="n">
        <v>2</v>
      </c>
      <c r="F32" s="0" t="s">
        <v>99</v>
      </c>
      <c r="G32" s="0" t="n">
        <v>16</v>
      </c>
      <c r="H32" s="0" t="n">
        <v>64.34</v>
      </c>
      <c r="I32" s="0" t="s">
        <v>137</v>
      </c>
      <c r="J32" s="0" t="s">
        <v>122</v>
      </c>
      <c r="K32" s="0" t="s">
        <v>66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4.29</v>
      </c>
      <c r="D33" s="0" t="n">
        <v>7.5</v>
      </c>
      <c r="E33" s="0" t="n">
        <v>2</v>
      </c>
      <c r="F33" s="0" t="s">
        <v>99</v>
      </c>
      <c r="G33" s="0" t="n">
        <v>16</v>
      </c>
      <c r="H33" s="0" t="n">
        <v>64.34</v>
      </c>
      <c r="I33" s="0" t="s">
        <v>140</v>
      </c>
      <c r="J33" s="0" t="s">
        <v>122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4.27</v>
      </c>
      <c r="D34" s="0" t="n">
        <v>7.5</v>
      </c>
      <c r="E34" s="0" t="n">
        <v>2</v>
      </c>
      <c r="F34" s="0" t="s">
        <v>99</v>
      </c>
      <c r="G34" s="0" t="n">
        <v>16</v>
      </c>
      <c r="H34" s="0" t="n">
        <v>64.04</v>
      </c>
      <c r="I34" s="0" t="s">
        <v>143</v>
      </c>
      <c r="J34" s="0" t="s">
        <v>122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4.29</v>
      </c>
      <c r="D35" s="0" t="n">
        <v>7.5</v>
      </c>
      <c r="E35" s="0" t="n">
        <v>2</v>
      </c>
      <c r="F35" s="0" t="s">
        <v>99</v>
      </c>
      <c r="G35" s="0" t="n">
        <v>16</v>
      </c>
      <c r="H35" s="0" t="n">
        <v>64.34</v>
      </c>
      <c r="I35" s="0" t="s">
        <v>146</v>
      </c>
      <c r="J35" s="0" t="s">
        <v>122</v>
      </c>
      <c r="K35" s="0" t="s">
        <v>66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4.28</v>
      </c>
      <c r="D36" s="0" t="n">
        <v>7.5</v>
      </c>
      <c r="E36" s="0" t="n">
        <v>2</v>
      </c>
      <c r="F36" s="0" t="s">
        <v>99</v>
      </c>
      <c r="G36" s="0" t="n">
        <v>16</v>
      </c>
      <c r="H36" s="0" t="n">
        <v>64.2</v>
      </c>
      <c r="I36" s="0" t="s">
        <v>149</v>
      </c>
      <c r="J36" s="0" t="s">
        <v>122</v>
      </c>
      <c r="K36" s="0" t="s">
        <v>66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4.28</v>
      </c>
      <c r="D37" s="0" t="n">
        <v>7.5</v>
      </c>
      <c r="E37" s="0" t="n">
        <v>2</v>
      </c>
      <c r="F37" s="0" t="s">
        <v>99</v>
      </c>
      <c r="G37" s="0" t="n">
        <v>16</v>
      </c>
      <c r="H37" s="0" t="n">
        <v>64.2</v>
      </c>
      <c r="I37" s="0" t="s">
        <v>152</v>
      </c>
      <c r="J37" s="0" t="s">
        <v>122</v>
      </c>
      <c r="K37" s="0" t="s">
        <v>66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4.28</v>
      </c>
      <c r="D38" s="0" t="n">
        <v>7.5</v>
      </c>
      <c r="E38" s="0" t="n">
        <v>2</v>
      </c>
      <c r="F38" s="0" t="s">
        <v>99</v>
      </c>
      <c r="G38" s="0" t="n">
        <v>16</v>
      </c>
      <c r="H38" s="0" t="n">
        <v>64.2</v>
      </c>
      <c r="I38" s="0" t="s">
        <v>155</v>
      </c>
      <c r="J38" s="0" t="s">
        <v>122</v>
      </c>
      <c r="K38" s="0" t="s">
        <v>66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4.28</v>
      </c>
      <c r="D39" s="0" t="n">
        <v>7.5</v>
      </c>
      <c r="E39" s="0" t="n">
        <v>2</v>
      </c>
      <c r="F39" s="0" t="s">
        <v>99</v>
      </c>
      <c r="G39" s="0" t="n">
        <v>16</v>
      </c>
      <c r="H39" s="0" t="n">
        <v>64.2</v>
      </c>
      <c r="I39" s="0" t="s">
        <v>158</v>
      </c>
      <c r="J39" s="0" t="s">
        <v>122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4.28</v>
      </c>
      <c r="D40" s="0" t="n">
        <v>7.5</v>
      </c>
      <c r="E40" s="0" t="n">
        <v>2</v>
      </c>
      <c r="F40" s="0" t="s">
        <v>99</v>
      </c>
      <c r="G40" s="0" t="n">
        <v>16</v>
      </c>
      <c r="H40" s="0" t="n">
        <v>64.2</v>
      </c>
      <c r="I40" s="0" t="s">
        <v>161</v>
      </c>
      <c r="J40" s="0" t="s">
        <v>122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4.28</v>
      </c>
      <c r="D41" s="0" t="n">
        <v>7.5</v>
      </c>
      <c r="E41" s="0" t="n">
        <v>2</v>
      </c>
      <c r="F41" s="0" t="s">
        <v>99</v>
      </c>
      <c r="G41" s="0" t="n">
        <v>16</v>
      </c>
      <c r="H41" s="0" t="n">
        <v>64.2</v>
      </c>
      <c r="I41" s="0" t="s">
        <v>164</v>
      </c>
      <c r="J41" s="0" t="s">
        <v>122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12.68</v>
      </c>
      <c r="D42" s="0" t="n">
        <v>7.5</v>
      </c>
      <c r="E42" s="0" t="n">
        <v>2</v>
      </c>
      <c r="F42" s="0" t="s">
        <v>99</v>
      </c>
      <c r="G42" s="0" t="n">
        <v>16</v>
      </c>
      <c r="H42" s="0" t="n">
        <v>190.2</v>
      </c>
      <c r="I42" s="0" t="s">
        <v>167</v>
      </c>
      <c r="J42" s="0" t="s">
        <v>122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1.75</v>
      </c>
      <c r="D43" s="0" t="n">
        <v>7.5</v>
      </c>
      <c r="E43" s="0" t="n">
        <v>2</v>
      </c>
      <c r="F43" s="0" t="s">
        <v>99</v>
      </c>
      <c r="G43" s="0" t="n">
        <v>16</v>
      </c>
      <c r="H43" s="0" t="n">
        <v>26.24</v>
      </c>
      <c r="I43" s="0" t="s">
        <v>170</v>
      </c>
      <c r="J43" s="0" t="s">
        <v>122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1.68</v>
      </c>
      <c r="D44" s="0" t="n">
        <v>7.5</v>
      </c>
      <c r="E44" s="0" t="n">
        <v>2</v>
      </c>
      <c r="F44" s="0" t="s">
        <v>99</v>
      </c>
      <c r="G44" s="0" t="n">
        <v>16</v>
      </c>
      <c r="H44" s="0" t="n">
        <v>25.2</v>
      </c>
      <c r="I44" s="0" t="s">
        <v>173</v>
      </c>
      <c r="J44" s="0" t="s">
        <v>122</v>
      </c>
      <c r="K44" s="0" t="s">
        <v>66</v>
      </c>
    </row>
    <row r="45" customFormat="false" ht="15" hidden="false" customHeight="false" outlineLevel="0" collapsed="false">
      <c r="B45" s="6" t="s">
        <v>174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182</v>
      </c>
      <c r="J48" s="0" t="s">
        <v>179</v>
      </c>
      <c r="K48" s="0" t="s">
        <v>66</v>
      </c>
    </row>
    <row r="49" customFormat="false" ht="15" hidden="false" customHeight="false" outlineLevel="0" collapsed="false">
      <c r="B49" s="6" t="s">
        <v>183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184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187</v>
      </c>
      <c r="J51" s="0" t="s">
        <v>179</v>
      </c>
      <c r="K51" s="0" t="s">
        <v>66</v>
      </c>
    </row>
    <row r="52" customFormat="false" ht="15" hidden="false" customHeight="false" outlineLevel="0" collapsed="false">
      <c r="B52" s="6" t="s">
        <v>188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192</v>
      </c>
      <c r="J54" s="0" t="s">
        <v>179</v>
      </c>
      <c r="K54" s="0" t="s">
        <v>66</v>
      </c>
    </row>
    <row r="55" customFormat="false" ht="15" hidden="false" customHeight="false" outlineLevel="0" collapsed="false">
      <c r="B55" s="6" t="s">
        <v>193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194</v>
      </c>
    </row>
    <row r="57" customFormat="false" ht="15" hidden="false" customHeight="false" outlineLevel="0" collapsed="false">
      <c r="A57" s="0" t="s">
        <v>195</v>
      </c>
      <c r="B57" s="0" t="s">
        <v>196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197</v>
      </c>
      <c r="J57" s="0" t="s">
        <v>198</v>
      </c>
      <c r="K57" s="0" t="s">
        <v>66</v>
      </c>
    </row>
    <row r="58" customFormat="false" ht="15" hidden="false" customHeight="false" outlineLevel="0" collapsed="false">
      <c r="B58" s="6" t="s">
        <v>199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200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0" t="n">
        <v>6.17</v>
      </c>
      <c r="D60" s="0" t="n">
        <v>25</v>
      </c>
      <c r="E60" s="0" t="n">
        <v>2</v>
      </c>
      <c r="F60" s="0" t="s">
        <v>92</v>
      </c>
      <c r="G60" s="0" t="n">
        <v>16</v>
      </c>
      <c r="H60" s="0" t="n">
        <v>151.68</v>
      </c>
      <c r="I60" s="0" t="s">
        <v>203</v>
      </c>
      <c r="J60" s="0" t="s">
        <v>198</v>
      </c>
      <c r="K60" s="0" t="s">
        <v>66</v>
      </c>
    </row>
    <row r="61" customFormat="false" ht="15" hidden="false" customHeight="false" outlineLevel="0" collapsed="false">
      <c r="B61" s="6" t="s">
        <v>204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205</v>
      </c>
    </row>
    <row r="63" customFormat="false" ht="15" hidden="false" customHeight="false" outlineLevel="0" collapsed="false">
      <c r="A63" s="0" t="s">
        <v>206</v>
      </c>
      <c r="B63" s="0" t="s">
        <v>207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208</v>
      </c>
      <c r="J63" s="0" t="s">
        <v>209</v>
      </c>
      <c r="K63" s="0" t="s">
        <v>66</v>
      </c>
    </row>
    <row r="64" customFormat="false" ht="15" hidden="false" customHeight="false" outlineLevel="0" collapsed="false">
      <c r="B64" s="6" t="s">
        <v>210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211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214</v>
      </c>
      <c r="J66" s="0" t="s">
        <v>209</v>
      </c>
      <c r="K66" s="0" t="s">
        <v>66</v>
      </c>
    </row>
    <row r="67" customFormat="false" ht="15" hidden="false" customHeight="false" outlineLevel="0" collapsed="false">
      <c r="A67" s="0" t="s">
        <v>215</v>
      </c>
      <c r="B67" s="0" t="s">
        <v>216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217</v>
      </c>
      <c r="J67" s="0" t="s">
        <v>209</v>
      </c>
      <c r="K67" s="0" t="s">
        <v>66</v>
      </c>
    </row>
    <row r="68" customFormat="false" ht="15" hidden="false" customHeight="false" outlineLevel="0" collapsed="false">
      <c r="A68" s="0" t="s">
        <v>218</v>
      </c>
      <c r="B68" s="0" t="s">
        <v>219</v>
      </c>
      <c r="C68" s="0" t="n">
        <v>23.46</v>
      </c>
      <c r="D68" s="0" t="n">
        <v>25</v>
      </c>
      <c r="E68" s="0" t="n">
        <v>0.81</v>
      </c>
      <c r="F68" s="0" t="s">
        <v>92</v>
      </c>
      <c r="G68" s="0" t="n">
        <v>16</v>
      </c>
      <c r="H68" s="0" t="n">
        <v>475</v>
      </c>
      <c r="I68" s="0" t="s">
        <v>220</v>
      </c>
      <c r="J68" s="0" t="s">
        <v>209</v>
      </c>
      <c r="K68" s="0" t="s">
        <v>66</v>
      </c>
    </row>
    <row r="69" customFormat="false" ht="15" hidden="false" customHeight="false" outlineLevel="0" collapsed="false">
      <c r="B69" s="6" t="s">
        <v>221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222</v>
      </c>
    </row>
    <row r="71" customFormat="false" ht="15" hidden="false" customHeight="false" outlineLevel="0" collapsed="false">
      <c r="A71" s="0" t="s">
        <v>223</v>
      </c>
      <c r="B71" s="0" t="s">
        <v>224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225</v>
      </c>
      <c r="J71" s="0" t="s">
        <v>226</v>
      </c>
      <c r="K71" s="0" t="s">
        <v>66</v>
      </c>
    </row>
    <row r="72" customFormat="false" ht="15" hidden="false" customHeight="false" outlineLevel="0" collapsed="false">
      <c r="B72" s="6" t="s">
        <v>227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231</v>
      </c>
      <c r="J74" s="0" t="s">
        <v>232</v>
      </c>
      <c r="K74" s="0" t="s">
        <v>66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235</v>
      </c>
      <c r="J75" s="0" t="s">
        <v>232</v>
      </c>
      <c r="K75" s="0" t="s">
        <v>66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238</v>
      </c>
      <c r="J76" s="0" t="s">
        <v>232</v>
      </c>
      <c r="K76" s="0" t="s">
        <v>66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241</v>
      </c>
      <c r="J77" s="0" t="s">
        <v>232</v>
      </c>
      <c r="K77" s="0" t="s">
        <v>66</v>
      </c>
    </row>
    <row r="78" customFormat="false" ht="15" hidden="false" customHeight="false" outlineLevel="0" collapsed="false">
      <c r="B78" s="6" t="s">
        <v>242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9.89</v>
      </c>
      <c r="D80" s="0" t="n">
        <v>2.708</v>
      </c>
      <c r="E80" s="0" t="n">
        <v>2</v>
      </c>
      <c r="F80" s="0" t="s">
        <v>99</v>
      </c>
      <c r="G80" s="0" t="n">
        <v>16</v>
      </c>
      <c r="H80" s="0" t="n">
        <v>53.56</v>
      </c>
      <c r="I80" s="0" t="s">
        <v>246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4.14</v>
      </c>
      <c r="D81" s="0" t="n">
        <v>2.708</v>
      </c>
      <c r="E81" s="0" t="n">
        <v>2</v>
      </c>
      <c r="F81" s="0" t="s">
        <v>99</v>
      </c>
      <c r="G81" s="0" t="n">
        <v>16</v>
      </c>
      <c r="H81" s="0" t="n">
        <v>22.42</v>
      </c>
      <c r="I81" s="0" t="s">
        <v>250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6.24</v>
      </c>
      <c r="D82" s="0" t="n">
        <v>2.708</v>
      </c>
      <c r="E82" s="0" t="n">
        <v>2</v>
      </c>
      <c r="F82" s="0" t="s">
        <v>99</v>
      </c>
      <c r="G82" s="0" t="n">
        <v>16</v>
      </c>
      <c r="H82" s="0" t="n">
        <v>33.8</v>
      </c>
      <c r="I82" s="0" t="s">
        <v>253</v>
      </c>
      <c r="J82" s="0" t="s">
        <v>247</v>
      </c>
      <c r="K82" s="0" t="s">
        <v>66</v>
      </c>
    </row>
    <row r="83" customFormat="false" ht="15" hidden="false" customHeight="false" outlineLevel="0" collapsed="false">
      <c r="B83" s="6" t="s">
        <v>254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255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0" t="n">
        <v>3.17</v>
      </c>
      <c r="D85" s="0" t="n">
        <v>2.708</v>
      </c>
      <c r="E85" s="0" t="n">
        <v>2</v>
      </c>
      <c r="F85" s="0" t="s">
        <v>99</v>
      </c>
      <c r="G85" s="0" t="n">
        <v>16</v>
      </c>
      <c r="H85" s="0" t="n">
        <v>17.16</v>
      </c>
      <c r="I85" s="0" t="s">
        <v>258</v>
      </c>
      <c r="J85" s="0" t="s">
        <v>259</v>
      </c>
      <c r="K85" s="0" t="s">
        <v>66</v>
      </c>
    </row>
    <row r="86" customFormat="false" ht="15" hidden="false" customHeight="false" outlineLevel="0" collapsed="false">
      <c r="B86" s="6" t="s">
        <v>260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261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0" t="n">
        <v>5.14</v>
      </c>
      <c r="D88" s="0" t="n">
        <v>1</v>
      </c>
      <c r="E88" s="0" t="n">
        <v>2</v>
      </c>
      <c r="F88" s="0" t="s">
        <v>99</v>
      </c>
      <c r="G88" s="0" t="n">
        <v>16</v>
      </c>
      <c r="H88" s="0" t="n">
        <v>10.28</v>
      </c>
      <c r="I88" s="0" t="s">
        <v>264</v>
      </c>
      <c r="J88" s="0" t="s">
        <v>265</v>
      </c>
      <c r="K88" s="0" t="s">
        <v>66</v>
      </c>
    </row>
    <row r="89" customFormat="false" ht="15" hidden="false" customHeight="false" outlineLevel="0" collapsed="false">
      <c r="B89" s="6" t="s">
        <v>266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267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0" t="n">
        <v>3.17</v>
      </c>
      <c r="D91" s="0" t="n">
        <v>2.708</v>
      </c>
      <c r="E91" s="0" t="n">
        <v>2</v>
      </c>
      <c r="F91" s="0" t="s">
        <v>99</v>
      </c>
      <c r="G91" s="0" t="n">
        <v>16</v>
      </c>
      <c r="H91" s="0" t="n">
        <v>17.16</v>
      </c>
      <c r="I91" s="0" t="s">
        <v>270</v>
      </c>
      <c r="J91" s="0" t="s">
        <v>271</v>
      </c>
      <c r="K91" s="0" t="s">
        <v>66</v>
      </c>
    </row>
    <row r="92" customFormat="false" ht="15" hidden="false" customHeight="false" outlineLevel="0" collapsed="false">
      <c r="B92" s="6" t="s">
        <v>272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274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8</v>
      </c>
      <c r="D96" s="0" t="n">
        <v>8</v>
      </c>
      <c r="E96" s="0" t="n">
        <v>1</v>
      </c>
      <c r="F96" s="0" t="s">
        <v>99</v>
      </c>
      <c r="G96" s="0" t="n">
        <v>16</v>
      </c>
      <c r="H96" s="0" t="n">
        <v>64</v>
      </c>
      <c r="I96" s="0" t="s">
        <v>277</v>
      </c>
      <c r="J96" s="0" t="s">
        <v>278</v>
      </c>
      <c r="K96" s="0" t="s">
        <v>66</v>
      </c>
    </row>
    <row r="97" customFormat="false" ht="15" hidden="false" customHeight="false" outlineLevel="0" collapsed="false">
      <c r="A97" s="0" t="s">
        <v>279</v>
      </c>
      <c r="B97" s="0" t="s">
        <v>280</v>
      </c>
      <c r="C97" s="0" t="n">
        <v>8</v>
      </c>
      <c r="D97" s="0" t="n">
        <v>8</v>
      </c>
      <c r="E97" s="0" t="n">
        <v>1</v>
      </c>
      <c r="F97" s="0" t="s">
        <v>99</v>
      </c>
      <c r="G97" s="0" t="n">
        <v>16</v>
      </c>
      <c r="H97" s="0" t="n">
        <v>64</v>
      </c>
      <c r="I97" s="0" t="s">
        <v>277</v>
      </c>
      <c r="J97" s="0" t="s">
        <v>278</v>
      </c>
      <c r="K97" s="0" t="s">
        <v>66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8</v>
      </c>
      <c r="D98" s="0" t="n">
        <v>8</v>
      </c>
      <c r="E98" s="0" t="n">
        <v>1</v>
      </c>
      <c r="F98" s="0" t="s">
        <v>99</v>
      </c>
      <c r="G98" s="0" t="n">
        <v>16</v>
      </c>
      <c r="H98" s="0" t="n">
        <v>64</v>
      </c>
      <c r="I98" s="0" t="s">
        <v>277</v>
      </c>
      <c r="J98" s="0" t="s">
        <v>278</v>
      </c>
      <c r="K98" s="0" t="s">
        <v>66</v>
      </c>
    </row>
    <row r="99" customFormat="false" ht="15" hidden="false" customHeight="false" outlineLevel="0" collapsed="false">
      <c r="A99" s="0" t="s">
        <v>283</v>
      </c>
      <c r="B99" s="0" t="s">
        <v>284</v>
      </c>
      <c r="C99" s="0" t="n">
        <v>8</v>
      </c>
      <c r="D99" s="0" t="n">
        <v>8</v>
      </c>
      <c r="E99" s="0" t="n">
        <v>1</v>
      </c>
      <c r="F99" s="0" t="s">
        <v>99</v>
      </c>
      <c r="G99" s="0" t="n">
        <v>16</v>
      </c>
      <c r="H99" s="0" t="n">
        <v>64</v>
      </c>
      <c r="I99" s="0" t="s">
        <v>277</v>
      </c>
      <c r="J99" s="0" t="s">
        <v>278</v>
      </c>
      <c r="K99" s="0" t="s">
        <v>66</v>
      </c>
    </row>
    <row r="100" customFormat="false" ht="15" hidden="false" customHeight="false" outlineLevel="0" collapsed="false">
      <c r="A100" s="0" t="s">
        <v>285</v>
      </c>
      <c r="B100" s="0" t="s">
        <v>286</v>
      </c>
      <c r="C100" s="0" t="n">
        <v>8</v>
      </c>
      <c r="D100" s="0" t="n">
        <v>8</v>
      </c>
      <c r="E100" s="0" t="n">
        <v>1</v>
      </c>
      <c r="F100" s="0" t="s">
        <v>99</v>
      </c>
      <c r="G100" s="0" t="n">
        <v>16</v>
      </c>
      <c r="H100" s="0" t="n">
        <v>64</v>
      </c>
      <c r="I100" s="0" t="s">
        <v>277</v>
      </c>
      <c r="J100" s="0" t="s">
        <v>278</v>
      </c>
      <c r="K100" s="0" t="s">
        <v>66</v>
      </c>
    </row>
    <row r="101" customFormat="false" ht="15" hidden="false" customHeight="false" outlineLevel="0" collapsed="false">
      <c r="A101" s="0" t="s">
        <v>287</v>
      </c>
      <c r="B101" s="0" t="s">
        <v>288</v>
      </c>
      <c r="C101" s="0" t="n">
        <v>8</v>
      </c>
      <c r="D101" s="0" t="n">
        <v>8</v>
      </c>
      <c r="E101" s="0" t="n">
        <v>1</v>
      </c>
      <c r="F101" s="0" t="s">
        <v>99</v>
      </c>
      <c r="G101" s="0" t="n">
        <v>16</v>
      </c>
      <c r="H101" s="0" t="n">
        <v>64</v>
      </c>
      <c r="I101" s="0" t="s">
        <v>277</v>
      </c>
      <c r="J101" s="0" t="s">
        <v>278</v>
      </c>
      <c r="K101" s="0" t="s">
        <v>66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8</v>
      </c>
      <c r="D102" s="0" t="n">
        <v>8</v>
      </c>
      <c r="E102" s="0" t="n">
        <v>1</v>
      </c>
      <c r="F102" s="0" t="s">
        <v>99</v>
      </c>
      <c r="G102" s="0" t="n">
        <v>16</v>
      </c>
      <c r="H102" s="0" t="n">
        <v>64</v>
      </c>
      <c r="I102" s="0" t="s">
        <v>277</v>
      </c>
      <c r="J102" s="0" t="s">
        <v>278</v>
      </c>
      <c r="K102" s="0" t="s">
        <v>66</v>
      </c>
    </row>
    <row r="103" customFormat="false" ht="15" hidden="false" customHeight="false" outlineLevel="0" collapsed="false">
      <c r="A103" s="0" t="s">
        <v>291</v>
      </c>
      <c r="B103" s="0" t="s">
        <v>292</v>
      </c>
      <c r="C103" s="0" t="n">
        <v>8</v>
      </c>
      <c r="D103" s="0" t="n">
        <v>8</v>
      </c>
      <c r="E103" s="0" t="n">
        <v>1</v>
      </c>
      <c r="F103" s="0" t="s">
        <v>99</v>
      </c>
      <c r="G103" s="0" t="n">
        <v>16</v>
      </c>
      <c r="H103" s="0" t="n">
        <v>64</v>
      </c>
      <c r="I103" s="0" t="s">
        <v>277</v>
      </c>
      <c r="J103" s="0" t="s">
        <v>278</v>
      </c>
      <c r="K103" s="0" t="s">
        <v>66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n">
        <v>8</v>
      </c>
      <c r="D104" s="0" t="n">
        <v>8</v>
      </c>
      <c r="E104" s="0" t="n">
        <v>1</v>
      </c>
      <c r="F104" s="0" t="s">
        <v>99</v>
      </c>
      <c r="G104" s="0" t="n">
        <v>16</v>
      </c>
      <c r="H104" s="0" t="n">
        <v>64</v>
      </c>
      <c r="I104" s="0" t="s">
        <v>277</v>
      </c>
      <c r="J104" s="0" t="s">
        <v>278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22.77</v>
      </c>
      <c r="D105" s="0" t="n">
        <v>14</v>
      </c>
      <c r="E105" s="0" t="n">
        <v>1</v>
      </c>
      <c r="F105" s="0" t="s">
        <v>99</v>
      </c>
      <c r="G105" s="0" t="n">
        <v>16</v>
      </c>
      <c r="H105" s="0" t="n">
        <v>227.7</v>
      </c>
      <c r="I105" s="0" t="s">
        <v>297</v>
      </c>
      <c r="J105" s="0" t="s">
        <v>298</v>
      </c>
      <c r="K105" s="0" t="s">
        <v>66</v>
      </c>
    </row>
    <row r="106" customFormat="false" ht="15" hidden="false" customHeight="false" outlineLevel="0" collapsed="false">
      <c r="A106" s="0" t="s">
        <v>299</v>
      </c>
      <c r="B106" s="0" t="s">
        <v>300</v>
      </c>
      <c r="C106" s="0" t="n">
        <v>10.12</v>
      </c>
      <c r="D106" s="0" t="n">
        <v>14</v>
      </c>
      <c r="E106" s="0" t="n">
        <v>1</v>
      </c>
      <c r="F106" s="0" t="s">
        <v>99</v>
      </c>
      <c r="G106" s="0" t="n">
        <v>16</v>
      </c>
      <c r="H106" s="0" t="n">
        <v>101.2</v>
      </c>
      <c r="I106" s="0" t="s">
        <v>301</v>
      </c>
      <c r="J106" s="0" t="s">
        <v>298</v>
      </c>
      <c r="K106" s="0" t="s">
        <v>66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20</v>
      </c>
      <c r="D107" s="0" t="n">
        <v>13.5</v>
      </c>
      <c r="E107" s="0" t="n">
        <v>1</v>
      </c>
      <c r="F107" s="0" t="s">
        <v>99</v>
      </c>
      <c r="G107" s="0" t="n">
        <v>16</v>
      </c>
      <c r="H107" s="0" t="n">
        <v>10</v>
      </c>
      <c r="I107" s="0" t="s">
        <v>304</v>
      </c>
      <c r="J107" s="0" t="s">
        <v>298</v>
      </c>
      <c r="K107" s="0" t="s">
        <v>66</v>
      </c>
    </row>
    <row r="108" customFormat="false" ht="15" hidden="false" customHeight="false" outlineLevel="0" collapsed="false">
      <c r="A108" s="0" t="s">
        <v>305</v>
      </c>
      <c r="B108" s="0" t="s">
        <v>306</v>
      </c>
      <c r="C108" s="0" t="n">
        <v>6.25</v>
      </c>
      <c r="D108" s="0" t="n">
        <v>13.5</v>
      </c>
      <c r="E108" s="0" t="n">
        <v>1</v>
      </c>
      <c r="F108" s="0" t="s">
        <v>99</v>
      </c>
      <c r="G108" s="0" t="n">
        <v>16</v>
      </c>
      <c r="H108" s="0" t="n">
        <v>3.12</v>
      </c>
      <c r="I108" s="0" t="s">
        <v>307</v>
      </c>
      <c r="J108" s="0" t="s">
        <v>298</v>
      </c>
      <c r="K108" s="0" t="s">
        <v>66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6.167</v>
      </c>
      <c r="D109" s="0" t="n">
        <v>17.917</v>
      </c>
      <c r="E109" s="0" t="n">
        <v>1</v>
      </c>
      <c r="F109" s="0" t="s">
        <v>92</v>
      </c>
      <c r="G109" s="0" t="n">
        <v>16</v>
      </c>
      <c r="H109" s="0" t="n">
        <v>61.67</v>
      </c>
      <c r="I109" s="0" t="s">
        <v>310</v>
      </c>
      <c r="J109" s="0" t="s">
        <v>311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38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0" t="s">
        <v>313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316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</row>
    <row r="4" customFormat="false" ht="15" hidden="false" customHeight="false" outlineLevel="0" collapsed="false">
      <c r="A4" s="0" t="s">
        <v>324</v>
      </c>
      <c r="B4" s="0" t="s">
        <v>325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326</v>
      </c>
      <c r="H4" s="0" t="n">
        <f aca="false">ROUNDUP(F4/Inputs!$B$11,0)</f>
        <v>52</v>
      </c>
      <c r="I4" s="0" t="s">
        <v>327</v>
      </c>
    </row>
    <row r="5" customFormat="false" ht="15" hidden="false" customHeight="false" outlineLevel="0" collapsed="false">
      <c r="A5" s="0" t="s">
        <v>328</v>
      </c>
      <c r="B5" s="0" t="s">
        <v>325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326</v>
      </c>
      <c r="H5" s="0" t="n">
        <f aca="false">ROUNDUP(F5/Inputs!$B$11,0)</f>
        <v>14</v>
      </c>
      <c r="I5" s="0" t="s">
        <v>329</v>
      </c>
    </row>
    <row r="6" customFormat="false" ht="15" hidden="false" customHeight="false" outlineLevel="0" collapsed="false">
      <c r="A6" s="0" t="s">
        <v>330</v>
      </c>
      <c r="B6" s="0" t="s">
        <v>325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326</v>
      </c>
      <c r="H6" s="0" t="n">
        <f aca="false">ROUNDUP(F6/Inputs!$B$11,0)</f>
        <v>9</v>
      </c>
      <c r="I6" s="0" t="s">
        <v>331</v>
      </c>
    </row>
    <row r="7" customFormat="false" ht="15" hidden="false" customHeight="false" outlineLevel="0" collapsed="false">
      <c r="A7" s="0" t="s">
        <v>332</v>
      </c>
      <c r="B7" s="0" t="s">
        <v>325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326</v>
      </c>
      <c r="H7" s="0" t="n">
        <f aca="false">ROUNDUP(F7/Inputs!$B$11,0)</f>
        <v>52</v>
      </c>
      <c r="I7" s="0" t="s">
        <v>327</v>
      </c>
    </row>
    <row r="8" customFormat="false" ht="15" hidden="false" customHeight="false" outlineLevel="0" collapsed="false">
      <c r="A8" s="0" t="s">
        <v>333</v>
      </c>
      <c r="B8" s="0" t="s">
        <v>325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326</v>
      </c>
      <c r="H8" s="0" t="n">
        <f aca="false">ROUNDUP(F8/Inputs!$B$11,0)</f>
        <v>14</v>
      </c>
      <c r="I8" s="0" t="s">
        <v>329</v>
      </c>
    </row>
    <row r="9" customFormat="false" ht="15" hidden="false" customHeight="false" outlineLevel="0" collapsed="false">
      <c r="A9" s="0" t="s">
        <v>334</v>
      </c>
      <c r="B9" s="0" t="s">
        <v>325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326</v>
      </c>
      <c r="H9" s="0" t="n">
        <f aca="false">ROUNDUP(F9/Inputs!$B$11,0)</f>
        <v>9</v>
      </c>
      <c r="I9" s="0" t="s">
        <v>331</v>
      </c>
    </row>
    <row r="10" customFormat="false" ht="15" hidden="false" customHeight="false" outlineLevel="0" collapsed="false">
      <c r="A10" s="0" t="s">
        <v>335</v>
      </c>
      <c r="B10" s="0" t="s">
        <v>325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336</v>
      </c>
      <c r="H10" s="0" t="n">
        <f aca="false">ROUNDUP(F10/Inputs!$B$10,0)</f>
        <v>2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336</v>
      </c>
      <c r="H11" s="0" t="n">
        <f aca="false">ROUNDUP(F11/Inputs!$B$10,0)</f>
        <v>182</v>
      </c>
      <c r="I11" s="0" t="s">
        <v>339</v>
      </c>
    </row>
    <row r="12" customFormat="false" ht="15" hidden="false" customHeight="false" outlineLevel="0" collapsed="false">
      <c r="A12" s="0" t="s">
        <v>340</v>
      </c>
      <c r="B12" s="0" t="s">
        <v>325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336</v>
      </c>
      <c r="H12" s="0" t="n">
        <f aca="false">ROUNDUP(F12/Inputs!$B$10,0)</f>
        <v>668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325</v>
      </c>
      <c r="C13" s="0" t="n">
        <v>180.99</v>
      </c>
      <c r="D13" s="0" t="n">
        <f aca="false">Inputs!$B$5</f>
        <v>0.15</v>
      </c>
      <c r="E13" s="0" t="n">
        <f aca="false">C13*D13</f>
        <v>27.1485</v>
      </c>
      <c r="F13" s="0" t="n">
        <f aca="false">C13+E13</f>
        <v>208.1385</v>
      </c>
      <c r="G13" s="0" t="s">
        <v>326</v>
      </c>
      <c r="H13" s="0" t="n">
        <f aca="false">ROUNDUP(F13/Inputs!$B$11,0)</f>
        <v>21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325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345</v>
      </c>
      <c r="H14" s="0" t="n">
        <f aca="false">ROUNDUP(F14/Inputs!$B$16,0)</f>
        <v>208</v>
      </c>
      <c r="I14" s="0" t="s">
        <v>346</v>
      </c>
    </row>
    <row r="15" customFormat="false" ht="15" hidden="false" customHeight="false" outlineLevel="0" collapsed="false">
      <c r="A15" s="0" t="s">
        <v>347</v>
      </c>
      <c r="B15" s="0" t="s">
        <v>325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348</v>
      </c>
      <c r="H15" s="0" t="n">
        <f aca="false">ROUNDUP(F15/Inputs!$B$17,0)</f>
        <v>20</v>
      </c>
      <c r="I15" s="0" t="s">
        <v>349</v>
      </c>
    </row>
    <row r="16" customFormat="false" ht="15" hidden="false" customHeight="false" outlineLevel="0" collapsed="false">
      <c r="A16" s="0" t="s">
        <v>350</v>
      </c>
      <c r="B16" s="0" t="s">
        <v>325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345</v>
      </c>
      <c r="H16" s="0" t="n">
        <f aca="false">ROUNDUP(F16/Inputs!$B$16,0)</f>
        <v>12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353</v>
      </c>
    </row>
    <row r="18" customFormat="false" ht="15" hidden="false" customHeight="false" outlineLevel="0" collapsed="false">
      <c r="A18" s="0" t="s">
        <v>354</v>
      </c>
      <c r="B18" s="0" t="s">
        <v>325</v>
      </c>
      <c r="C18" s="0" t="n">
        <v>568.27</v>
      </c>
      <c r="D18" s="0" t="n">
        <f aca="false">Inputs!$B$5</f>
        <v>0.15</v>
      </c>
      <c r="E18" s="0" t="n">
        <f aca="false">C18*D18</f>
        <v>85.2405</v>
      </c>
      <c r="F18" s="0" t="n">
        <f aca="false">C18+E18</f>
        <v>653.5105</v>
      </c>
      <c r="G18" s="0" t="s">
        <v>355</v>
      </c>
      <c r="H18" s="0" t="n">
        <f aca="false">ROUNDUP(F18/8,0)</f>
        <v>82</v>
      </c>
      <c r="I18" s="0" t="s">
        <v>356</v>
      </c>
    </row>
    <row r="19" customFormat="false" ht="15" hidden="false" customHeight="false" outlineLevel="0" collapsed="false">
      <c r="A19" s="0" t="s">
        <v>357</v>
      </c>
      <c r="B19" s="0" t="s">
        <v>358</v>
      </c>
      <c r="C19" s="0" t="n">
        <v>15109.29</v>
      </c>
      <c r="D19" s="0" t="n">
        <f aca="false">Inputs!$B$6</f>
        <v>0.06</v>
      </c>
      <c r="E19" s="0" t="n">
        <f aca="false">C19*D19</f>
        <v>906.5574</v>
      </c>
      <c r="F19" s="0" t="n">
        <f aca="false">C19+E19</f>
        <v>16015.8474</v>
      </c>
      <c r="G19" s="0" t="s">
        <v>359</v>
      </c>
      <c r="H19" s="0" t="n">
        <f aca="false">ROUNDUP(F19/Inputs!$B$9,0)</f>
        <v>334</v>
      </c>
      <c r="I19" s="0" t="s">
        <v>360</v>
      </c>
    </row>
    <row r="20" customFormat="false" ht="15" hidden="false" customHeight="false" outlineLevel="0" collapsed="false">
      <c r="A20" s="0" t="s">
        <v>361</v>
      </c>
      <c r="B20" s="0" t="s">
        <v>358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359</v>
      </c>
      <c r="H20" s="0" t="n">
        <f aca="false">ROUNDUP(F20/Inputs!$B$9,0)</f>
        <v>25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336</v>
      </c>
      <c r="H21" s="0" t="n">
        <f aca="false">ROUNDUP(F21/Inputs!$B$10,0)</f>
        <v>6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366</v>
      </c>
      <c r="H22" s="0" t="n">
        <f aca="false">ROUNDUP(F22/12,0)</f>
        <v>19</v>
      </c>
      <c r="I22" s="0" t="s">
        <v>367</v>
      </c>
    </row>
    <row r="23" customFormat="false" ht="15" hidden="false" customHeight="false" outlineLevel="0" collapsed="false">
      <c r="A23" s="0" t="s">
        <v>368</v>
      </c>
      <c r="B23" s="0" t="s">
        <v>325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369</v>
      </c>
      <c r="H23" s="0" t="n">
        <f aca="false">ROUNDUP(F23/4,0)</f>
        <v>132</v>
      </c>
      <c r="I23" s="0" t="s">
        <v>367</v>
      </c>
    </row>
    <row r="24" customFormat="false" ht="15" hidden="false" customHeight="false" outlineLevel="0" collapsed="false">
      <c r="A24" s="0" t="s">
        <v>370</v>
      </c>
      <c r="B24" s="0" t="s">
        <v>325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371</v>
      </c>
      <c r="H24" s="0" t="n">
        <f aca="false">ROUNDUP(F24/12,0)</f>
        <v>11</v>
      </c>
      <c r="I24" s="0" t="s">
        <v>367</v>
      </c>
    </row>
    <row r="25" customFormat="false" ht="15" hidden="false" customHeight="false" outlineLevel="0" collapsed="false">
      <c r="A25" s="0" t="s">
        <v>372</v>
      </c>
      <c r="B25" s="0" t="s">
        <v>325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371</v>
      </c>
      <c r="H25" s="0" t="n">
        <f aca="false">ROUNDUP(F25/12,0)</f>
        <v>11</v>
      </c>
      <c r="I25" s="0" t="s">
        <v>367</v>
      </c>
    </row>
    <row r="26" customFormat="false" ht="15" hidden="false" customHeight="false" outlineLevel="0" collapsed="false">
      <c r="A26" s="0" t="s">
        <v>373</v>
      </c>
      <c r="B26" s="0" t="s">
        <v>374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375</v>
      </c>
      <c r="H26" s="0" t="n">
        <f aca="false">ROUNDUP(F26,0)</f>
        <v>2901</v>
      </c>
      <c r="I26" s="0" t="s">
        <v>376</v>
      </c>
    </row>
    <row r="27" customFormat="false" ht="15" hidden="false" customHeight="false" outlineLevel="0" collapsed="false">
      <c r="A27" s="0" t="s">
        <v>377</v>
      </c>
      <c r="B27" s="0" t="s">
        <v>374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375</v>
      </c>
      <c r="H27" s="0" t="n">
        <f aca="false">ROUNDUP(F27,0)</f>
        <v>335</v>
      </c>
      <c r="I27" s="0" t="s">
        <v>378</v>
      </c>
    </row>
    <row r="28" customFormat="false" ht="15" hidden="false" customHeight="false" outlineLevel="0" collapsed="false">
      <c r="A28" s="0" t="s">
        <v>379</v>
      </c>
      <c r="B28" s="0" t="s">
        <v>374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375</v>
      </c>
      <c r="H28" s="0" t="n">
        <f aca="false">ROUNDUP(F28,0)</f>
        <v>12269</v>
      </c>
      <c r="I28" s="0" t="s">
        <v>380</v>
      </c>
    </row>
    <row r="29" customFormat="false" ht="15" hidden="false" customHeight="false" outlineLevel="0" collapsed="false">
      <c r="A29" s="0" t="s">
        <v>381</v>
      </c>
      <c r="B29" s="0" t="s">
        <v>325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33</v>
      </c>
      <c r="H29" s="0" t="n">
        <f aca="false">ROUNDUP(F29,0)</f>
        <v>152</v>
      </c>
      <c r="I29" s="0" t="s">
        <v>382</v>
      </c>
    </row>
    <row r="30" customFormat="false" ht="15" hidden="false" customHeight="false" outlineLevel="0" collapsed="false">
      <c r="A30" s="0" t="s">
        <v>383</v>
      </c>
      <c r="B30" s="0" t="s">
        <v>374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375</v>
      </c>
      <c r="H30" s="0" t="n">
        <f aca="false">ROUNDUP(F30,0)</f>
        <v>325</v>
      </c>
      <c r="I30" s="0" t="s">
        <v>384</v>
      </c>
    </row>
    <row r="31" customFormat="false" ht="15" hidden="false" customHeight="false" outlineLevel="0" collapsed="false">
      <c r="A31" s="0" t="s">
        <v>385</v>
      </c>
      <c r="B31" s="0" t="s">
        <v>358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359</v>
      </c>
      <c r="H31" s="0" t="n">
        <f aca="false">ROUNDUP(F31/Inputs!$B$9,0)</f>
        <v>2</v>
      </c>
      <c r="I31" s="0" t="s">
        <v>386</v>
      </c>
    </row>
    <row r="32" customFormat="false" ht="15" hidden="false" customHeight="false" outlineLevel="0" collapsed="false">
      <c r="A32" s="0" t="s">
        <v>387</v>
      </c>
      <c r="B32" s="0" t="s">
        <v>374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375</v>
      </c>
      <c r="H32" s="0" t="n">
        <f aca="false">ROUNDUP(F32,0)</f>
        <v>2681</v>
      </c>
      <c r="I32" s="0" t="s">
        <v>388</v>
      </c>
    </row>
    <row r="33" customFormat="false" ht="15" hidden="false" customHeight="false" outlineLevel="0" collapsed="false">
      <c r="A33" s="0" t="s">
        <v>389</v>
      </c>
      <c r="B33" s="0" t="s">
        <v>374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375</v>
      </c>
      <c r="H33" s="0" t="n">
        <f aca="false">ROUNDUP(F33,0)</f>
        <v>1939</v>
      </c>
      <c r="I33" s="0" t="s">
        <v>390</v>
      </c>
    </row>
    <row r="34" customFormat="false" ht="15" hidden="false" customHeight="false" outlineLevel="0" collapsed="false">
      <c r="A34" s="0" t="s">
        <v>391</v>
      </c>
      <c r="B34" s="0" t="s">
        <v>325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326</v>
      </c>
      <c r="H34" s="0" t="n">
        <f aca="false">ROUNDUP(F34/Inputs!$B$11,0)</f>
        <v>56</v>
      </c>
      <c r="I34" s="0" t="s">
        <v>392</v>
      </c>
    </row>
    <row r="35" customFormat="false" ht="15" hidden="false" customHeight="false" outlineLevel="0" collapsed="false">
      <c r="A35" s="0" t="s">
        <v>393</v>
      </c>
      <c r="B35" s="0" t="s">
        <v>325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394</v>
      </c>
      <c r="H35" s="0" t="n">
        <f aca="false">ROUNDUP(F35/Inputs!$B$18,0)</f>
        <v>111</v>
      </c>
      <c r="I35" s="0" t="s">
        <v>395</v>
      </c>
    </row>
    <row r="36" customFormat="false" ht="15" hidden="false" customHeight="false" outlineLevel="0" collapsed="false">
      <c r="A36" s="0" t="s">
        <v>396</v>
      </c>
      <c r="B36" s="0" t="s">
        <v>358</v>
      </c>
      <c r="C36" s="0" t="n">
        <v>739.9</v>
      </c>
      <c r="D36" s="0" t="n">
        <f aca="false">Inputs!$B$6</f>
        <v>0.06</v>
      </c>
      <c r="E36" s="0" t="n">
        <f aca="false">C36*D36</f>
        <v>44.394</v>
      </c>
      <c r="F36" s="0" t="n">
        <f aca="false">C36+E36</f>
        <v>784.294</v>
      </c>
      <c r="G36" s="0" t="s">
        <v>359</v>
      </c>
      <c r="H36" s="0" t="n">
        <f aca="false">ROUNDUP(F36/Inputs!$B$9,0)</f>
        <v>17</v>
      </c>
      <c r="I36" s="0" t="s">
        <v>397</v>
      </c>
    </row>
    <row r="37" customFormat="false" ht="15" hidden="false" customHeight="false" outlineLevel="0" collapsed="false">
      <c r="A37" s="0" t="s">
        <v>398</v>
      </c>
      <c r="B37" s="0" t="s">
        <v>325</v>
      </c>
      <c r="C37" s="0" t="n">
        <v>281.09</v>
      </c>
      <c r="D37" s="0" t="n">
        <f aca="false">Inputs!$B$5</f>
        <v>0.15</v>
      </c>
      <c r="E37" s="0" t="n">
        <f aca="false">C37*D37</f>
        <v>42.1635</v>
      </c>
      <c r="F37" s="0" t="n">
        <f aca="false">C37+E37</f>
        <v>323.2535</v>
      </c>
      <c r="G37" s="0" t="s">
        <v>326</v>
      </c>
      <c r="H37" s="0" t="n">
        <f aca="false">ROUNDUP(F37/Inputs!$B$11,0)</f>
        <v>33</v>
      </c>
      <c r="I37" s="0" t="s">
        <v>399</v>
      </c>
    </row>
    <row r="38" customFormat="false" ht="15" hidden="false" customHeight="false" outlineLevel="0" collapsed="false">
      <c r="A38" s="0" t="s">
        <v>400</v>
      </c>
      <c r="B38" s="0" t="s">
        <v>325</v>
      </c>
      <c r="C38" s="0" t="n">
        <v>144.06</v>
      </c>
      <c r="D38" s="0" t="n">
        <f aca="false">Inputs!$B$5</f>
        <v>0.15</v>
      </c>
      <c r="E38" s="0" t="n">
        <f aca="false">C38*D38</f>
        <v>21.609</v>
      </c>
      <c r="F38" s="0" t="n">
        <f aca="false">C38+E38</f>
        <v>165.669</v>
      </c>
      <c r="G38" s="0" t="s">
        <v>326</v>
      </c>
      <c r="H38" s="0" t="n">
        <f aca="false">ROUNDUP(F38/Inputs!$B$11,0)</f>
        <v>17</v>
      </c>
      <c r="I38" s="0" t="s">
        <v>401</v>
      </c>
    </row>
    <row r="39" customFormat="false" ht="15" hidden="false" customHeight="false" outlineLevel="0" collapsed="false">
      <c r="A39" s="0" t="s">
        <v>402</v>
      </c>
      <c r="B39" s="0" t="s">
        <v>325</v>
      </c>
      <c r="C39" s="0" t="n">
        <v>12.67</v>
      </c>
      <c r="D39" s="0" t="n">
        <f aca="false">Inputs!$B$5</f>
        <v>0.15</v>
      </c>
      <c r="E39" s="0" t="n">
        <f aca="false">C39*D39</f>
        <v>1.9005</v>
      </c>
      <c r="F39" s="0" t="n">
        <f aca="false">C39+E39</f>
        <v>14.5705</v>
      </c>
      <c r="G39" s="0" t="s">
        <v>326</v>
      </c>
      <c r="H39" s="0" t="n">
        <f aca="false">ROUNDUP(F39/Inputs!$B$11,0)</f>
        <v>2</v>
      </c>
      <c r="I39" s="0" t="s">
        <v>403</v>
      </c>
    </row>
    <row r="40" customFormat="false" ht="15" hidden="false" customHeight="false" outlineLevel="0" collapsed="false">
      <c r="A40" s="0" t="s">
        <v>404</v>
      </c>
      <c r="B40" s="0" t="s">
        <v>374</v>
      </c>
      <c r="C40" s="0" t="n">
        <v>775</v>
      </c>
      <c r="D40" s="0" t="n">
        <f aca="false">Inputs!$B$5</f>
        <v>0.15</v>
      </c>
      <c r="E40" s="0" t="n">
        <f aca="false">C40*D40</f>
        <v>116.25</v>
      </c>
      <c r="F40" s="0" t="n">
        <f aca="false">C40+E40</f>
        <v>891.25</v>
      </c>
      <c r="G40" s="0" t="s">
        <v>375</v>
      </c>
      <c r="H40" s="0" t="n">
        <f aca="false">ROUNDUP(F40,0)</f>
        <v>892</v>
      </c>
      <c r="I40" s="0" t="s">
        <v>405</v>
      </c>
    </row>
    <row r="41" customFormat="false" ht="15" hidden="false" customHeight="false" outlineLevel="0" collapsed="false">
      <c r="A41" s="0" t="s">
        <v>406</v>
      </c>
      <c r="B41" s="0" t="s">
        <v>325</v>
      </c>
      <c r="C41" s="0" t="n">
        <v>61.31</v>
      </c>
      <c r="D41" s="0" t="n">
        <f aca="false">Inputs!$B$5</f>
        <v>0.15</v>
      </c>
      <c r="E41" s="0" t="n">
        <f aca="false">C41*D41</f>
        <v>9.1965</v>
      </c>
      <c r="F41" s="0" t="n">
        <f aca="false">C41+E41</f>
        <v>70.5065</v>
      </c>
      <c r="G41" s="0" t="s">
        <v>336</v>
      </c>
      <c r="H41" s="0" t="n">
        <f aca="false">ROUNDUP(F41/Inputs!$B$10,0)</f>
        <v>4</v>
      </c>
      <c r="I41" s="0" t="s">
        <v>407</v>
      </c>
    </row>
    <row r="42" customFormat="false" ht="15" hidden="false" customHeight="false" outlineLevel="0" collapsed="false">
      <c r="A42" s="0" t="s">
        <v>408</v>
      </c>
      <c r="B42" s="0" t="s">
        <v>325</v>
      </c>
      <c r="C42" s="0" t="n">
        <v>17</v>
      </c>
      <c r="D42" s="0" t="n">
        <f aca="false">Inputs!$B$5</f>
        <v>0.15</v>
      </c>
      <c r="E42" s="0" t="n">
        <f aca="false">C42*D42</f>
        <v>2.55</v>
      </c>
      <c r="F42" s="0" t="n">
        <f aca="false">C42+E42</f>
        <v>19.55</v>
      </c>
      <c r="G42" s="0" t="s">
        <v>355</v>
      </c>
      <c r="H42" s="0" t="n">
        <f aca="false">ROUNDUP(F42/8,0)</f>
        <v>3</v>
      </c>
      <c r="I42" s="0" t="s">
        <v>409</v>
      </c>
    </row>
    <row r="43" customFormat="false" ht="15" hidden="false" customHeight="false" outlineLevel="0" collapsed="false">
      <c r="A43" s="0" t="s">
        <v>410</v>
      </c>
      <c r="B43" s="0" t="s">
        <v>358</v>
      </c>
      <c r="C43" s="0" t="n">
        <v>1790.51</v>
      </c>
      <c r="D43" s="0" t="n">
        <f aca="false">Inputs!$B$6</f>
        <v>0.06</v>
      </c>
      <c r="E43" s="0" t="n">
        <f aca="false">C43*D43</f>
        <v>107.4306</v>
      </c>
      <c r="F43" s="0" t="n">
        <f aca="false">C43+E43</f>
        <v>1897.9406</v>
      </c>
      <c r="G43" s="0" t="s">
        <v>359</v>
      </c>
      <c r="H43" s="0" t="n">
        <f aca="false">ROUNDUP(F43/Inputs!$B$9,0)</f>
        <v>40</v>
      </c>
      <c r="I43" s="0" t="s">
        <v>411</v>
      </c>
    </row>
    <row r="44" customFormat="false" ht="15" hidden="false" customHeight="false" outlineLevel="0" collapsed="false">
      <c r="A44" s="0" t="s">
        <v>412</v>
      </c>
      <c r="B44" s="0" t="s">
        <v>358</v>
      </c>
      <c r="C44" s="0" t="n">
        <v>402.46</v>
      </c>
      <c r="D44" s="0" t="n">
        <f aca="false">Inputs!$B$6</f>
        <v>0.06</v>
      </c>
      <c r="E44" s="0" t="n">
        <f aca="false">C44*D44</f>
        <v>24.1476</v>
      </c>
      <c r="F44" s="0" t="n">
        <f aca="false">C44+E44</f>
        <v>426.6076</v>
      </c>
      <c r="G44" s="0" t="s">
        <v>359</v>
      </c>
      <c r="H44" s="0" t="n">
        <f aca="false">ROUNDUP(F44/Inputs!$B$9,0)</f>
        <v>9</v>
      </c>
      <c r="I44" s="0" t="s">
        <v>413</v>
      </c>
    </row>
    <row r="45" customFormat="false" ht="15" hidden="false" customHeight="false" outlineLevel="0" collapsed="false">
      <c r="A45" s="0" t="s">
        <v>414</v>
      </c>
      <c r="B45" s="0" t="s">
        <v>374</v>
      </c>
      <c r="C45" s="0" t="n">
        <v>109</v>
      </c>
      <c r="D45" s="0" t="n">
        <v>0</v>
      </c>
      <c r="E45" s="0" t="n">
        <f aca="false">C45*D45</f>
        <v>0</v>
      </c>
      <c r="F45" s="0" t="n">
        <f aca="false">C45+E45</f>
        <v>109</v>
      </c>
      <c r="H45" s="0" t="n">
        <f aca="false">ROUNDUP(F45,0)</f>
        <v>109</v>
      </c>
      <c r="I45" s="0" t="s">
        <v>415</v>
      </c>
    </row>
    <row r="46" customFormat="false" ht="15" hidden="false" customHeight="false" outlineLevel="0" collapsed="false">
      <c r="A46" s="0" t="s">
        <v>416</v>
      </c>
      <c r="B46" s="0" t="s">
        <v>325</v>
      </c>
      <c r="C46" s="0" t="n">
        <v>10.67</v>
      </c>
      <c r="D46" s="0" t="n">
        <f aca="false">Inputs!$B$5</f>
        <v>0.15</v>
      </c>
      <c r="E46" s="0" t="n">
        <f aca="false">C46*D46</f>
        <v>1.6005</v>
      </c>
      <c r="F46" s="0" t="n">
        <f aca="false">C46+E46</f>
        <v>12.2705</v>
      </c>
      <c r="G46" s="0" t="s">
        <v>326</v>
      </c>
      <c r="H46" s="0" t="n">
        <f aca="false">ROUNDUP(F46/Inputs!$B$11,0)</f>
        <v>2</v>
      </c>
      <c r="I46" s="0" t="s">
        <v>417</v>
      </c>
    </row>
    <row r="47" customFormat="false" ht="15" hidden="false" customHeight="false" outlineLevel="0" collapsed="false">
      <c r="A47" s="0" t="s">
        <v>418</v>
      </c>
      <c r="B47" s="0" t="s">
        <v>374</v>
      </c>
      <c r="C47" s="0" t="n">
        <v>0</v>
      </c>
      <c r="D47" s="0" t="n">
        <v>0</v>
      </c>
      <c r="E47" s="0" t="n">
        <f aca="false">C47*D47</f>
        <v>0</v>
      </c>
      <c r="F47" s="0" t="n">
        <f aca="false">C47+E47</f>
        <v>0</v>
      </c>
      <c r="G47" s="0" t="s">
        <v>419</v>
      </c>
      <c r="H47" s="0" t="n">
        <f aca="false">ROUNDUP(F47,0)</f>
        <v>0</v>
      </c>
      <c r="I47" s="0" t="s">
        <v>420</v>
      </c>
    </row>
    <row r="48" customFormat="false" ht="15" hidden="false" customHeight="false" outlineLevel="0" collapsed="false">
      <c r="A48" s="0" t="s">
        <v>421</v>
      </c>
      <c r="B48" s="0" t="s">
        <v>325</v>
      </c>
      <c r="C48" s="0" t="n">
        <v>0</v>
      </c>
      <c r="D48" s="0" t="n">
        <f aca="false">Inputs!$B$5</f>
        <v>0.15</v>
      </c>
      <c r="E48" s="0" t="n">
        <f aca="false">C48*D48</f>
        <v>0</v>
      </c>
      <c r="F48" s="0" t="n">
        <f aca="false">C48+E48</f>
        <v>0</v>
      </c>
      <c r="G48" s="0" t="s">
        <v>336</v>
      </c>
      <c r="H48" s="0" t="n">
        <f aca="false">ROUNDUP(F48/Inputs!$B$10,0)</f>
        <v>0</v>
      </c>
      <c r="I48" s="0" t="s">
        <v>422</v>
      </c>
    </row>
    <row r="49" customFormat="false" ht="15" hidden="false" customHeight="false" outlineLevel="0" collapsed="false">
      <c r="A49" s="0" t="s">
        <v>423</v>
      </c>
      <c r="B49" s="0" t="s">
        <v>325</v>
      </c>
      <c r="C49" s="0" t="n">
        <v>0</v>
      </c>
      <c r="D49" s="0" t="n">
        <f aca="false">Inputs!$B$5</f>
        <v>0.15</v>
      </c>
      <c r="E49" s="0" t="n">
        <f aca="false">C49*D49</f>
        <v>0</v>
      </c>
      <c r="F49" s="0" t="n">
        <f aca="false">C49+E49</f>
        <v>0</v>
      </c>
      <c r="G49" s="0" t="s">
        <v>336</v>
      </c>
      <c r="H49" s="0" t="n">
        <f aca="false">ROUNDUP(F49/Inputs!$B$10,0)</f>
        <v>0</v>
      </c>
      <c r="I49" s="0" t="s">
        <v>424</v>
      </c>
    </row>
    <row r="50" customFormat="false" ht="15" hidden="false" customHeight="false" outlineLevel="0" collapsed="false">
      <c r="A50" s="0" t="s">
        <v>425</v>
      </c>
      <c r="B50" s="0" t="s">
        <v>358</v>
      </c>
      <c r="C50" s="0" t="n">
        <v>0</v>
      </c>
      <c r="D50" s="0" t="n">
        <f aca="false">Inputs!$B$6</f>
        <v>0.06</v>
      </c>
      <c r="E50" s="0" t="n">
        <f aca="false">C50*D50</f>
        <v>0</v>
      </c>
      <c r="F50" s="0" t="n">
        <f aca="false">C50+E50</f>
        <v>0</v>
      </c>
      <c r="G50" s="0" t="s">
        <v>359</v>
      </c>
      <c r="H50" s="0" t="n">
        <f aca="false">ROUNDUP(F50/Inputs!$B$9,0)</f>
        <v>0</v>
      </c>
      <c r="I50" s="0" t="s">
        <v>426</v>
      </c>
    </row>
    <row r="51" customFormat="false" ht="15" hidden="false" customHeight="false" outlineLevel="0" collapsed="false">
      <c r="A51" s="0" t="s">
        <v>427</v>
      </c>
      <c r="B51" s="0" t="s">
        <v>325</v>
      </c>
      <c r="C51" s="0" t="n">
        <v>0</v>
      </c>
      <c r="D51" s="0" t="n">
        <f aca="false">Inputs!$B$6</f>
        <v>0.06</v>
      </c>
      <c r="E51" s="0" t="n">
        <f aca="false">C51*D51</f>
        <v>0</v>
      </c>
      <c r="F51" s="0" t="n">
        <f aca="false">C51+E51</f>
        <v>0</v>
      </c>
      <c r="G51" s="0" t="s">
        <v>394</v>
      </c>
      <c r="H51" s="0" t="n">
        <f aca="false">ROUNDUP(F51/Inputs!$B$18,0)</f>
        <v>0</v>
      </c>
      <c r="I51" s="0" t="s">
        <v>428</v>
      </c>
    </row>
    <row r="52" customFormat="false" ht="15" hidden="false" customHeight="false" outlineLevel="0" collapsed="false">
      <c r="A52" s="0" t="s">
        <v>429</v>
      </c>
      <c r="B52" s="0" t="s">
        <v>374</v>
      </c>
      <c r="C52" s="0" t="n">
        <v>0</v>
      </c>
      <c r="D52" s="0" t="n">
        <v>0</v>
      </c>
      <c r="E52" s="0" t="n">
        <f aca="false">C52*D52</f>
        <v>0</v>
      </c>
      <c r="F52" s="0" t="n">
        <f aca="false">C52+E52</f>
        <v>0</v>
      </c>
      <c r="G52" s="0" t="s">
        <v>419</v>
      </c>
      <c r="H52" s="0" t="n">
        <f aca="false">ROUNDUP(F52,0)</f>
        <v>0</v>
      </c>
      <c r="I52" s="0" t="s">
        <v>430</v>
      </c>
    </row>
    <row r="53" customFormat="false" ht="15" hidden="false" customHeight="false" outlineLevel="0" collapsed="false">
      <c r="A53" s="0" t="s">
        <v>431</v>
      </c>
      <c r="B53" s="0" t="s">
        <v>374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419</v>
      </c>
      <c r="H53" s="0" t="n">
        <f aca="false">ROUNDUP(F53,0)</f>
        <v>0</v>
      </c>
      <c r="I53" s="0" t="s">
        <v>432</v>
      </c>
    </row>
    <row r="54" customFormat="false" ht="15" hidden="false" customHeight="false" outlineLevel="0" collapsed="false">
      <c r="A54" s="0" t="s">
        <v>433</v>
      </c>
      <c r="B54" s="0" t="s">
        <v>374</v>
      </c>
      <c r="C54" s="0" t="n">
        <v>6114.04</v>
      </c>
      <c r="D54" s="0" t="n">
        <v>0</v>
      </c>
      <c r="E54" s="0" t="n">
        <f aca="false">C54*D54</f>
        <v>0</v>
      </c>
      <c r="F54" s="0" t="n">
        <f aca="false">C54+E54</f>
        <v>6114.04</v>
      </c>
      <c r="G54" s="0" t="s">
        <v>419</v>
      </c>
      <c r="H54" s="0" t="n">
        <f aca="false">ROUNDUP(F54,0)</f>
        <v>6115</v>
      </c>
      <c r="I54" s="0" t="s">
        <v>434</v>
      </c>
      <c r="J54" s="0" t="n">
        <f aca="false">Inputs!$B$20*5095.03</f>
        <v>6114.036</v>
      </c>
    </row>
    <row r="55" customFormat="false" ht="15" hidden="false" customHeight="false" outlineLevel="0" collapsed="false">
      <c r="A55" s="0" t="s">
        <v>435</v>
      </c>
      <c r="B55" s="0" t="s">
        <v>374</v>
      </c>
      <c r="C55" s="0" t="n">
        <v>1940</v>
      </c>
      <c r="D55" s="0" t="n">
        <v>0</v>
      </c>
      <c r="E55" s="0" t="n">
        <f aca="false">C55*D55</f>
        <v>0</v>
      </c>
      <c r="F55" s="0" t="n">
        <f aca="false">C55+E55</f>
        <v>1940</v>
      </c>
      <c r="G55" s="0" t="s">
        <v>419</v>
      </c>
      <c r="H55" s="0" t="n">
        <f aca="false">ROUNDUP(F55,0)</f>
        <v>1940</v>
      </c>
      <c r="I55" s="0" t="s">
        <v>436</v>
      </c>
      <c r="J55" s="0" t="n">
        <f aca="false">Inputs!$B$21*485</f>
        <v>1940</v>
      </c>
    </row>
    <row r="56" customFormat="false" ht="15" hidden="false" customHeight="false" outlineLevel="0" collapsed="false">
      <c r="A56" s="0" t="s">
        <v>437</v>
      </c>
      <c r="B56" s="0" t="s">
        <v>374</v>
      </c>
      <c r="C56" s="0" t="n">
        <v>777.43</v>
      </c>
      <c r="D56" s="0" t="n">
        <v>0</v>
      </c>
      <c r="E56" s="0" t="n">
        <f aca="false">C56*D56</f>
        <v>0</v>
      </c>
      <c r="F56" s="0" t="n">
        <f aca="false">C56+E56</f>
        <v>777.43</v>
      </c>
      <c r="G56" s="0" t="s">
        <v>419</v>
      </c>
      <c r="H56" s="0" t="n">
        <f aca="false">ROUNDUP(F56,0)</f>
        <v>778</v>
      </c>
      <c r="I56" s="0" t="s">
        <v>438</v>
      </c>
      <c r="J56" s="0" t="n">
        <f aca="false">518.29/Inputs!$B$22</f>
        <v>777.434611282694</v>
      </c>
    </row>
    <row r="57" customFormat="false" ht="15" hidden="false" customHeight="false" outlineLevel="0" collapsed="false">
      <c r="A57" s="0" t="s">
        <v>439</v>
      </c>
      <c r="B57" s="0" t="s">
        <v>374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419</v>
      </c>
      <c r="H57" s="0" t="n">
        <f aca="false">ROUNDUP(F57,0)</f>
        <v>0</v>
      </c>
      <c r="I57" s="0" t="s">
        <v>440</v>
      </c>
      <c r="J57" s="0" t="n">
        <f aca="false">0*Inputs!$B$25</f>
        <v>0</v>
      </c>
    </row>
    <row r="58" customFormat="false" ht="15" hidden="false" customHeight="false" outlineLevel="0" collapsed="false">
      <c r="A58" s="0" t="s">
        <v>441</v>
      </c>
      <c r="B58" s="0" t="s">
        <v>442</v>
      </c>
      <c r="C58" s="0" t="n">
        <v>1166.54</v>
      </c>
      <c r="D58" s="0" t="n">
        <v>0</v>
      </c>
      <c r="E58" s="0" t="n">
        <f aca="false">C58*D58</f>
        <v>0</v>
      </c>
      <c r="F58" s="0" t="n">
        <f aca="false">C58+E58</f>
        <v>1166.54</v>
      </c>
      <c r="G58" s="0" t="s">
        <v>443</v>
      </c>
      <c r="H58" s="0" t="n">
        <f aca="false">ROUNDUP(F58,0)</f>
        <v>1167</v>
      </c>
      <c r="I58" s="0" t="s">
        <v>444</v>
      </c>
      <c r="J58" s="0" t="n">
        <f aca="false">Inputs!$B$23*16201.9</f>
        <v>1166.5368</v>
      </c>
    </row>
    <row r="59" customFormat="false" ht="15" hidden="false" customHeight="false" outlineLevel="0" collapsed="false">
      <c r="A59" s="0" t="s">
        <v>445</v>
      </c>
      <c r="B59" s="0" t="s">
        <v>325</v>
      </c>
      <c r="C59" s="0" t="n">
        <v>5994.7</v>
      </c>
      <c r="D59" s="0" t="n">
        <v>0</v>
      </c>
      <c r="E59" s="0" t="n">
        <f aca="false">C59*D59</f>
        <v>0</v>
      </c>
      <c r="F59" s="0" t="n">
        <f aca="false">C59+E59</f>
        <v>5994.7</v>
      </c>
      <c r="G59" s="0" t="s">
        <v>325</v>
      </c>
      <c r="H59" s="0" t="n">
        <f aca="false">ROUNDUP(F59,0)</f>
        <v>5995</v>
      </c>
      <c r="I59" s="0" t="s">
        <v>446</v>
      </c>
      <c r="J59" s="0" t="n">
        <f aca="false">Inputs!$B$24*16201.9</f>
        <v>5994.703</v>
      </c>
    </row>
    <row r="60" customFormat="false" ht="15" hidden="false" customHeight="false" outlineLevel="0" collapsed="false">
      <c r="A60" s="0" t="s">
        <v>447</v>
      </c>
      <c r="B60" s="0" t="s">
        <v>358</v>
      </c>
      <c r="C60" s="0" t="n">
        <v>0</v>
      </c>
      <c r="D60" s="0" t="n">
        <f aca="false">Inputs!$B$6</f>
        <v>0.06</v>
      </c>
      <c r="E60" s="0" t="n">
        <f aca="false">C60*D60</f>
        <v>0</v>
      </c>
      <c r="F60" s="0" t="n">
        <f aca="false">C60+E60</f>
        <v>0</v>
      </c>
      <c r="G60" s="0" t="s">
        <v>358</v>
      </c>
      <c r="H60" s="0" t="n">
        <f aca="false">ROUNDUP(F60,0)</f>
        <v>0</v>
      </c>
      <c r="I60" s="0" t="s">
        <v>448</v>
      </c>
    </row>
    <row r="61" customFormat="false" ht="15" hidden="false" customHeight="false" outlineLevel="0" collapsed="false">
      <c r="A61" s="0" t="s">
        <v>449</v>
      </c>
      <c r="B61" s="0" t="s">
        <v>374</v>
      </c>
      <c r="C61" s="0" t="n">
        <v>0</v>
      </c>
      <c r="D61" s="0" t="n">
        <v>0</v>
      </c>
      <c r="E61" s="0" t="n">
        <f aca="false">C61*D61</f>
        <v>0</v>
      </c>
      <c r="F61" s="0" t="n">
        <f aca="false">C61+E61</f>
        <v>0</v>
      </c>
      <c r="G61" s="0" t="s">
        <v>419</v>
      </c>
      <c r="H61" s="0" t="n">
        <f aca="false">ROUNDUP(F61,0)</f>
        <v>0</v>
      </c>
      <c r="I61" s="0" t="s">
        <v>450</v>
      </c>
    </row>
    <row r="62" customFormat="false" ht="15" hidden="false" customHeight="false" outlineLevel="0" collapsed="false">
      <c r="A62" s="0" t="s">
        <v>451</v>
      </c>
      <c r="B62" s="0" t="s">
        <v>374</v>
      </c>
      <c r="C62" s="0" t="n">
        <v>1776</v>
      </c>
      <c r="D62" s="0" t="n">
        <v>0</v>
      </c>
      <c r="E62" s="0" t="n">
        <f aca="false">C62*D62</f>
        <v>0</v>
      </c>
      <c r="F62" s="0" t="n">
        <f aca="false">C62+E62</f>
        <v>1776</v>
      </c>
      <c r="G62" s="0" t="s">
        <v>419</v>
      </c>
      <c r="H62" s="0" t="n">
        <f aca="false">ROUNDUP(F62,0)</f>
        <v>1776</v>
      </c>
      <c r="I62" s="0" t="s">
        <v>452</v>
      </c>
    </row>
    <row r="63" customFormat="false" ht="15" hidden="false" customHeight="false" outlineLevel="0" collapsed="false">
      <c r="A63" s="0" t="s">
        <v>453</v>
      </c>
      <c r="B63" s="0" t="s">
        <v>374</v>
      </c>
      <c r="C63" s="0" t="n">
        <v>13328.22</v>
      </c>
      <c r="D63" s="0" t="n">
        <v>0</v>
      </c>
      <c r="E63" s="0" t="n">
        <f aca="false">C63*D63</f>
        <v>0</v>
      </c>
      <c r="F63" s="0" t="n">
        <f aca="false">C63+E63</f>
        <v>13328.22</v>
      </c>
      <c r="G63" s="0" t="s">
        <v>419</v>
      </c>
      <c r="H63" s="0" t="n">
        <f aca="false">ROUNDUP(F63,0)</f>
        <v>13329</v>
      </c>
      <c r="I63" s="0" t="s">
        <v>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455</v>
      </c>
      <c r="B1" s="2" t="s">
        <v>456</v>
      </c>
      <c r="C1" s="2" t="s">
        <v>457</v>
      </c>
    </row>
    <row r="2" customFormat="false" ht="15" hidden="false" customHeight="false" outlineLevel="0" collapsed="false">
      <c r="A2" s="0" t="s">
        <v>458</v>
      </c>
      <c r="B2" s="0" t="s">
        <v>459</v>
      </c>
      <c r="C2" s="0" t="s">
        <v>460</v>
      </c>
    </row>
    <row r="3" customFormat="false" ht="15" hidden="false" customHeight="false" outlineLevel="0" collapsed="false">
      <c r="A3" s="0" t="s">
        <v>461</v>
      </c>
      <c r="B3" s="0" t="s">
        <v>462</v>
      </c>
      <c r="C3" s="0" t="s">
        <v>463</v>
      </c>
    </row>
    <row r="4" customFormat="false" ht="15" hidden="false" customHeight="false" outlineLevel="0" collapsed="false">
      <c r="A4" s="0" t="s">
        <v>464</v>
      </c>
      <c r="B4" s="0" t="s">
        <v>465</v>
      </c>
      <c r="C4" s="0" t="s">
        <v>466</v>
      </c>
    </row>
    <row r="5" customFormat="false" ht="15" hidden="false" customHeight="false" outlineLevel="0" collapsed="false">
      <c r="A5" s="0" t="s">
        <v>467</v>
      </c>
      <c r="B5" s="0" t="s">
        <v>468</v>
      </c>
      <c r="C5" s="0" t="s">
        <v>469</v>
      </c>
    </row>
    <row r="6" customFormat="false" ht="15" hidden="false" customHeight="false" outlineLevel="0" collapsed="false">
      <c r="A6" s="0" t="s">
        <v>470</v>
      </c>
      <c r="B6" s="0" t="s">
        <v>471</v>
      </c>
      <c r="C6" s="0" t="s">
        <v>472</v>
      </c>
    </row>
    <row r="7" customFormat="false" ht="15" hidden="false" customHeight="false" outlineLevel="0" collapsed="false">
      <c r="A7" s="0" t="s">
        <v>473</v>
      </c>
      <c r="B7" s="0" t="s">
        <v>474</v>
      </c>
      <c r="C7" s="0" t="s">
        <v>475</v>
      </c>
    </row>
    <row r="8" customFormat="false" ht="15" hidden="false" customHeight="false" outlineLevel="0" collapsed="false">
      <c r="A8" s="0" t="s">
        <v>476</v>
      </c>
      <c r="B8" s="0" t="s">
        <v>477</v>
      </c>
      <c r="C8" s="0" t="s">
        <v>478</v>
      </c>
    </row>
    <row r="9" customFormat="false" ht="15" hidden="false" customHeight="false" outlineLevel="0" collapsed="false">
      <c r="A9" s="0" t="s">
        <v>479</v>
      </c>
      <c r="B9" s="0" t="s">
        <v>480</v>
      </c>
      <c r="C9" s="0" t="s">
        <v>481</v>
      </c>
    </row>
    <row r="10" customFormat="false" ht="15" hidden="false" customHeight="false" outlineLevel="0" collapsed="false">
      <c r="A10" s="0" t="s">
        <v>482</v>
      </c>
      <c r="B10" s="0" t="s">
        <v>483</v>
      </c>
      <c r="C10" s="0" t="s">
        <v>469</v>
      </c>
    </row>
    <row r="11" customFormat="false" ht="15" hidden="false" customHeight="false" outlineLevel="0" collapsed="false">
      <c r="A11" s="0" t="s">
        <v>484</v>
      </c>
      <c r="B11" s="0" t="s">
        <v>485</v>
      </c>
      <c r="C11" s="0" t="s">
        <v>486</v>
      </c>
    </row>
    <row r="12" customFormat="false" ht="15" hidden="false" customHeight="false" outlineLevel="0" collapsed="false">
      <c r="A12" s="0" t="s">
        <v>487</v>
      </c>
      <c r="B12" s="0" t="s">
        <v>488</v>
      </c>
      <c r="C12" s="0" t="s">
        <v>489</v>
      </c>
    </row>
    <row r="13" customFormat="false" ht="15" hidden="false" customHeight="false" outlineLevel="0" collapsed="false">
      <c r="A13" s="0" t="s">
        <v>490</v>
      </c>
      <c r="B13" s="0" t="s">
        <v>491</v>
      </c>
      <c r="C13" s="0" t="s">
        <v>469</v>
      </c>
    </row>
    <row r="14" customFormat="false" ht="15" hidden="false" customHeight="false" outlineLevel="0" collapsed="false">
      <c r="A14" s="0" t="s">
        <v>492</v>
      </c>
      <c r="B14" s="0" t="s">
        <v>493</v>
      </c>
      <c r="C14" s="0" t="s">
        <v>494</v>
      </c>
    </row>
    <row r="15" customFormat="false" ht="15" hidden="false" customHeight="false" outlineLevel="0" collapsed="false">
      <c r="A15" s="0" t="s">
        <v>495</v>
      </c>
      <c r="B15" s="0" t="s">
        <v>496</v>
      </c>
      <c r="C15" s="0" t="s">
        <v>497</v>
      </c>
    </row>
    <row r="16" customFormat="false" ht="15" hidden="false" customHeight="false" outlineLevel="0" collapsed="false">
      <c r="A16" s="0" t="s">
        <v>498</v>
      </c>
      <c r="B16" s="0" t="s">
        <v>499</v>
      </c>
      <c r="C16" s="0" t="s">
        <v>500</v>
      </c>
    </row>
    <row r="17" customFormat="false" ht="15" hidden="false" customHeight="false" outlineLevel="0" collapsed="false">
      <c r="A17" s="0" t="s">
        <v>501</v>
      </c>
      <c r="B17" s="0" t="s">
        <v>502</v>
      </c>
      <c r="C17" s="0" t="s">
        <v>503</v>
      </c>
    </row>
    <row r="18" customFormat="false" ht="15" hidden="false" customHeight="false" outlineLevel="0" collapsed="false">
      <c r="A18" s="0" t="s">
        <v>504</v>
      </c>
      <c r="B18" s="0" t="s">
        <v>505</v>
      </c>
      <c r="C18" s="0" t="s">
        <v>506</v>
      </c>
    </row>
    <row r="19" customFormat="false" ht="15" hidden="false" customHeight="false" outlineLevel="0" collapsed="false">
      <c r="A19" s="0" t="s">
        <v>507</v>
      </c>
      <c r="B19" s="0" t="s">
        <v>508</v>
      </c>
      <c r="C19" s="0" t="s">
        <v>509</v>
      </c>
    </row>
    <row r="20" customFormat="false" ht="15" hidden="false" customHeight="false" outlineLevel="0" collapsed="false">
      <c r="A20" s="0" t="s">
        <v>510</v>
      </c>
      <c r="B20" s="0" t="s">
        <v>511</v>
      </c>
      <c r="C20" s="0" t="s">
        <v>512</v>
      </c>
    </row>
    <row r="21" customFormat="false" ht="15" hidden="false" customHeight="false" outlineLevel="0" collapsed="false">
      <c r="A21" s="0" t="s">
        <v>513</v>
      </c>
      <c r="B21" s="0" t="s">
        <v>514</v>
      </c>
      <c r="C21" s="0" t="s">
        <v>515</v>
      </c>
    </row>
    <row r="22" customFormat="false" ht="15" hidden="false" customHeight="false" outlineLevel="0" collapsed="false">
      <c r="A22" s="0" t="s">
        <v>516</v>
      </c>
      <c r="B22" s="0" t="s">
        <v>517</v>
      </c>
      <c r="C22" s="0" t="s">
        <v>469</v>
      </c>
    </row>
    <row r="23" customFormat="false" ht="15" hidden="false" customHeight="false" outlineLevel="0" collapsed="false">
      <c r="A23" s="0" t="s">
        <v>518</v>
      </c>
      <c r="B23" s="0" t="s">
        <v>519</v>
      </c>
      <c r="C23" s="0" t="s">
        <v>520</v>
      </c>
    </row>
    <row r="24" customFormat="false" ht="15" hidden="false" customHeight="false" outlineLevel="0" collapsed="false">
      <c r="A24" s="0" t="s">
        <v>521</v>
      </c>
      <c r="B24" s="0" t="s">
        <v>522</v>
      </c>
      <c r="C24" s="0" t="s">
        <v>523</v>
      </c>
    </row>
    <row r="25" customFormat="false" ht="15" hidden="false" customHeight="false" outlineLevel="0" collapsed="false">
      <c r="A25" s="0" t="s">
        <v>524</v>
      </c>
      <c r="B25" s="0" t="s">
        <v>525</v>
      </c>
      <c r="C25" s="0" t="s">
        <v>526</v>
      </c>
    </row>
    <row r="26" customFormat="false" ht="15" hidden="false" customHeight="false" outlineLevel="0" collapsed="false">
      <c r="A26" s="0" t="s">
        <v>527</v>
      </c>
      <c r="B26" s="0" t="s">
        <v>528</v>
      </c>
      <c r="C26" s="0" t="s">
        <v>529</v>
      </c>
    </row>
    <row r="27" customFormat="false" ht="15" hidden="false" customHeight="false" outlineLevel="0" collapsed="false">
      <c r="A27" s="0" t="s">
        <v>530</v>
      </c>
      <c r="B27" s="0" t="s">
        <v>531</v>
      </c>
      <c r="C27" s="0" t="s">
        <v>532</v>
      </c>
    </row>
    <row r="28" customFormat="false" ht="15" hidden="false" customHeight="false" outlineLevel="0" collapsed="false">
      <c r="A28" s="0" t="s">
        <v>533</v>
      </c>
      <c r="B28" s="0" t="s">
        <v>534</v>
      </c>
      <c r="C28" s="0" t="s">
        <v>535</v>
      </c>
    </row>
    <row r="29" customFormat="false" ht="15" hidden="false" customHeight="false" outlineLevel="0" collapsed="false">
      <c r="A29" s="0" t="s">
        <v>536</v>
      </c>
      <c r="B29" s="0" t="s">
        <v>537</v>
      </c>
      <c r="C29" s="0" t="s">
        <v>469</v>
      </c>
    </row>
    <row r="30" customFormat="false" ht="15" hidden="false" customHeight="false" outlineLevel="0" collapsed="false">
      <c r="A30" s="0" t="s">
        <v>538</v>
      </c>
      <c r="B30" s="0" t="s">
        <v>539</v>
      </c>
      <c r="C30" s="0" t="s">
        <v>540</v>
      </c>
    </row>
    <row r="31" customFormat="false" ht="15" hidden="false" customHeight="false" outlineLevel="0" collapsed="false">
      <c r="A31" s="0" t="s">
        <v>541</v>
      </c>
      <c r="B31" s="0" t="s">
        <v>542</v>
      </c>
      <c r="C31" s="0" t="s">
        <v>543</v>
      </c>
    </row>
    <row r="32" customFormat="false" ht="15" hidden="false" customHeight="false" outlineLevel="0" collapsed="false">
      <c r="A32" s="0" t="s">
        <v>544</v>
      </c>
      <c r="B32" s="0" t="s">
        <v>545</v>
      </c>
      <c r="C32" s="0" t="s">
        <v>546</v>
      </c>
    </row>
    <row r="33" customFormat="false" ht="15" hidden="false" customHeight="false" outlineLevel="0" collapsed="false">
      <c r="A33" s="0" t="s">
        <v>547</v>
      </c>
      <c r="B33" s="0" t="s">
        <v>548</v>
      </c>
      <c r="C33" s="0" t="s">
        <v>549</v>
      </c>
    </row>
    <row r="34" customFormat="false" ht="15" hidden="false" customHeight="false" outlineLevel="0" collapsed="false">
      <c r="A34" s="0" t="s">
        <v>550</v>
      </c>
      <c r="B34" s="0" t="s">
        <v>551</v>
      </c>
      <c r="C34" s="0" t="s">
        <v>552</v>
      </c>
    </row>
    <row r="35" customFormat="false" ht="15" hidden="false" customHeight="false" outlineLevel="0" collapsed="false">
      <c r="A35" s="0" t="s">
        <v>553</v>
      </c>
      <c r="B35" s="0" t="s">
        <v>554</v>
      </c>
      <c r="C35" s="0" t="s">
        <v>555</v>
      </c>
    </row>
    <row r="36" customFormat="false" ht="15" hidden="false" customHeight="false" outlineLevel="0" collapsed="false">
      <c r="A36" s="0" t="s">
        <v>556</v>
      </c>
      <c r="B36" s="0" t="s">
        <v>557</v>
      </c>
      <c r="C36" s="0" t="s">
        <v>558</v>
      </c>
    </row>
    <row r="37" customFormat="false" ht="15" hidden="false" customHeight="false" outlineLevel="0" collapsed="false">
      <c r="A37" s="0" t="s">
        <v>559</v>
      </c>
      <c r="B37" s="0" t="s">
        <v>560</v>
      </c>
      <c r="C37" s="0" t="s">
        <v>561</v>
      </c>
    </row>
    <row r="38" customFormat="false" ht="15" hidden="false" customHeight="false" outlineLevel="0" collapsed="false">
      <c r="A38" s="0" t="s">
        <v>562</v>
      </c>
      <c r="B38" s="0" t="s">
        <v>563</v>
      </c>
      <c r="C38" s="0" t="s">
        <v>564</v>
      </c>
    </row>
    <row r="39" customFormat="false" ht="15" hidden="false" customHeight="false" outlineLevel="0" collapsed="false">
      <c r="A39" s="0" t="s">
        <v>565</v>
      </c>
      <c r="B39" s="0" t="s">
        <v>566</v>
      </c>
      <c r="C39" s="0" t="s">
        <v>567</v>
      </c>
    </row>
    <row r="40" customFormat="false" ht="15" hidden="false" customHeight="false" outlineLevel="0" collapsed="false">
      <c r="A40" s="0" t="s">
        <v>568</v>
      </c>
      <c r="B40" s="0" t="s">
        <v>569</v>
      </c>
      <c r="C40" s="0" t="s">
        <v>570</v>
      </c>
    </row>
    <row r="41" customFormat="false" ht="15" hidden="false" customHeight="false" outlineLevel="0" collapsed="false">
      <c r="A41" s="0" t="s">
        <v>571</v>
      </c>
      <c r="B41" s="0" t="s">
        <v>572</v>
      </c>
      <c r="C41" s="0" t="s">
        <v>573</v>
      </c>
    </row>
    <row r="42" customFormat="false" ht="15" hidden="false" customHeight="false" outlineLevel="0" collapsed="false">
      <c r="A42" s="0" t="s">
        <v>574</v>
      </c>
      <c r="B42" s="0" t="s">
        <v>575</v>
      </c>
      <c r="C42" s="0" t="s">
        <v>576</v>
      </c>
    </row>
    <row r="43" customFormat="false" ht="15" hidden="false" customHeight="false" outlineLevel="0" collapsed="false">
      <c r="A43" s="0" t="s">
        <v>577</v>
      </c>
      <c r="B43" s="0" t="s">
        <v>578</v>
      </c>
      <c r="C43" s="0" t="s">
        <v>579</v>
      </c>
    </row>
    <row r="44" customFormat="false" ht="15" hidden="false" customHeight="false" outlineLevel="0" collapsed="false">
      <c r="A44" s="0" t="s">
        <v>580</v>
      </c>
      <c r="B44" s="0" t="s">
        <v>581</v>
      </c>
      <c r="C44" s="0" t="s">
        <v>582</v>
      </c>
    </row>
    <row r="45" customFormat="false" ht="15" hidden="false" customHeight="false" outlineLevel="0" collapsed="false">
      <c r="A45" s="0" t="s">
        <v>583</v>
      </c>
      <c r="B45" s="0" t="s">
        <v>584</v>
      </c>
      <c r="C45" s="0" t="s">
        <v>585</v>
      </c>
    </row>
    <row r="46" customFormat="false" ht="15" hidden="false" customHeight="false" outlineLevel="0" collapsed="false">
      <c r="A46" s="0" t="s">
        <v>586</v>
      </c>
      <c r="B46" s="0" t="s">
        <v>587</v>
      </c>
      <c r="C46" s="0" t="s">
        <v>588</v>
      </c>
    </row>
    <row r="47" customFormat="false" ht="15" hidden="false" customHeight="false" outlineLevel="0" collapsed="false">
      <c r="A47" s="0" t="s">
        <v>589</v>
      </c>
      <c r="B47" s="0" t="s">
        <v>590</v>
      </c>
      <c r="C47" s="0" t="s">
        <v>591</v>
      </c>
    </row>
    <row r="48" customFormat="false" ht="15" hidden="false" customHeight="false" outlineLevel="0" collapsed="false">
      <c r="A48" s="0" t="s">
        <v>592</v>
      </c>
      <c r="B48" s="0" t="s">
        <v>593</v>
      </c>
      <c r="C48" s="0" t="s">
        <v>594</v>
      </c>
    </row>
    <row r="49" customFormat="false" ht="15" hidden="false" customHeight="false" outlineLevel="0" collapsed="false">
      <c r="A49" s="0" t="s">
        <v>595</v>
      </c>
      <c r="B49" s="0" t="s">
        <v>596</v>
      </c>
      <c r="C49" s="0" t="s">
        <v>597</v>
      </c>
    </row>
    <row r="50" customFormat="false" ht="15" hidden="false" customHeight="false" outlineLevel="0" collapsed="false">
      <c r="A50" s="0" t="s">
        <v>598</v>
      </c>
      <c r="B50" s="0" t="s">
        <v>599</v>
      </c>
      <c r="C50" s="0" t="s">
        <v>600</v>
      </c>
    </row>
    <row r="51" customFormat="false" ht="15" hidden="false" customHeight="false" outlineLevel="0" collapsed="false">
      <c r="A51" s="0" t="s">
        <v>601</v>
      </c>
      <c r="B51" s="0" t="s">
        <v>602</v>
      </c>
      <c r="C51" s="0" t="s">
        <v>603</v>
      </c>
    </row>
    <row r="52" customFormat="false" ht="15" hidden="false" customHeight="false" outlineLevel="0" collapsed="false">
      <c r="A52" s="0" t="s">
        <v>604</v>
      </c>
      <c r="B52" s="0" t="s">
        <v>605</v>
      </c>
      <c r="C52" s="0" t="s">
        <v>606</v>
      </c>
    </row>
    <row r="53" customFormat="false" ht="15" hidden="false" customHeight="false" outlineLevel="0" collapsed="false">
      <c r="A53" s="0" t="s">
        <v>607</v>
      </c>
      <c r="B53" s="0" t="s">
        <v>608</v>
      </c>
      <c r="C53" s="0" t="s">
        <v>609</v>
      </c>
    </row>
    <row r="54" customFormat="false" ht="15" hidden="false" customHeight="false" outlineLevel="0" collapsed="false">
      <c r="A54" s="0" t="s">
        <v>610</v>
      </c>
      <c r="B54" s="0" t="s">
        <v>611</v>
      </c>
      <c r="C54" s="0" t="s">
        <v>612</v>
      </c>
    </row>
    <row r="55" customFormat="false" ht="15" hidden="false" customHeight="false" outlineLevel="0" collapsed="false">
      <c r="A55" s="0" t="s">
        <v>613</v>
      </c>
      <c r="B55" s="0" t="s">
        <v>614</v>
      </c>
      <c r="C55" s="0" t="s">
        <v>615</v>
      </c>
    </row>
    <row r="56" customFormat="false" ht="15" hidden="false" customHeight="false" outlineLevel="0" collapsed="false">
      <c r="A56" s="0" t="s">
        <v>616</v>
      </c>
      <c r="B56" s="0" t="s">
        <v>617</v>
      </c>
      <c r="C56" s="0" t="s">
        <v>618</v>
      </c>
    </row>
    <row r="57" customFormat="false" ht="15" hidden="false" customHeight="false" outlineLevel="0" collapsed="false">
      <c r="A57" s="0" t="s">
        <v>619</v>
      </c>
      <c r="B57" s="0" t="s">
        <v>620</v>
      </c>
      <c r="C57" s="0" t="s">
        <v>621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622</v>
      </c>
    </row>
    <row r="2" customFormat="false" ht="15" hidden="false" customHeight="false" outlineLevel="0" collapsed="false">
      <c r="A2" s="0" t="s">
        <v>623</v>
      </c>
      <c r="B2" s="0" t="s">
        <v>624</v>
      </c>
      <c r="C2" s="0" t="s">
        <v>625</v>
      </c>
      <c r="D2" s="0" t="s">
        <v>626</v>
      </c>
      <c r="E2" s="0" t="s">
        <v>627</v>
      </c>
      <c r="F2" s="0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629</v>
      </c>
      <c r="B1" s="0" t="s">
        <v>630</v>
      </c>
      <c r="C1" s="0" t="s">
        <v>59</v>
      </c>
      <c r="D1" s="0" t="s">
        <v>631</v>
      </c>
    </row>
    <row r="2" customFormat="false" ht="15" hidden="false" customHeight="false" outlineLevel="0" collapsed="false">
      <c r="A2" s="0" t="s">
        <v>632</v>
      </c>
      <c r="B2" s="0" t="s">
        <v>633</v>
      </c>
      <c r="C2" s="0" t="s">
        <v>634</v>
      </c>
      <c r="D2" s="0" t="s">
        <v>635</v>
      </c>
    </row>
    <row r="3" customFormat="false" ht="15" hidden="false" customHeight="false" outlineLevel="0" collapsed="false">
      <c r="A3" s="0" t="s">
        <v>636</v>
      </c>
      <c r="B3" s="0" t="s">
        <v>637</v>
      </c>
      <c r="C3" s="0" t="s">
        <v>638</v>
      </c>
      <c r="D3" s="0" t="s">
        <v>639</v>
      </c>
    </row>
    <row r="4" customFormat="false" ht="15" hidden="false" customHeight="false" outlineLevel="0" collapsed="false">
      <c r="A4" s="0" t="s">
        <v>640</v>
      </c>
      <c r="B4" s="0" t="s">
        <v>641</v>
      </c>
      <c r="C4" s="0" t="s">
        <v>638</v>
      </c>
      <c r="D4" s="0" t="s">
        <v>642</v>
      </c>
    </row>
    <row r="5" customFormat="false" ht="15" hidden="false" customHeight="false" outlineLevel="0" collapsed="false">
      <c r="A5" s="0" t="s">
        <v>643</v>
      </c>
      <c r="B5" s="0" t="s">
        <v>644</v>
      </c>
      <c r="C5" s="0" t="s">
        <v>634</v>
      </c>
      <c r="D5" s="0" t="s">
        <v>645</v>
      </c>
    </row>
    <row r="6" customFormat="false" ht="15" hidden="false" customHeight="false" outlineLevel="0" collapsed="false">
      <c r="A6" s="0" t="s">
        <v>646</v>
      </c>
      <c r="B6" s="0" t="s">
        <v>647</v>
      </c>
      <c r="C6" s="0" t="s">
        <v>455</v>
      </c>
      <c r="D6" s="0" t="s">
        <v>648</v>
      </c>
    </row>
    <row r="7" customFormat="false" ht="15" hidden="false" customHeight="false" outlineLevel="0" collapsed="false">
      <c r="A7" s="0" t="s">
        <v>649</v>
      </c>
      <c r="B7" s="0" t="s">
        <v>650</v>
      </c>
      <c r="C7" s="0" t="s">
        <v>634</v>
      </c>
      <c r="D7" s="0" t="s">
        <v>651</v>
      </c>
    </row>
    <row r="8" customFormat="false" ht="15" hidden="false" customHeight="false" outlineLevel="0" collapsed="false">
      <c r="A8" s="0" t="s">
        <v>652</v>
      </c>
      <c r="B8" s="0" t="s">
        <v>653</v>
      </c>
      <c r="C8" s="0" t="s">
        <v>634</v>
      </c>
      <c r="D8" s="0" t="s">
        <v>654</v>
      </c>
    </row>
    <row r="9" customFormat="false" ht="15" hidden="false" customHeight="false" outlineLevel="0" collapsed="false">
      <c r="A9" s="0" t="s">
        <v>655</v>
      </c>
      <c r="B9" s="0" t="s">
        <v>656</v>
      </c>
      <c r="C9" s="0" t="s">
        <v>634</v>
      </c>
      <c r="D9" s="0" t="s">
        <v>657</v>
      </c>
    </row>
    <row r="10" customFormat="false" ht="15" hidden="false" customHeight="false" outlineLevel="0" collapsed="false">
      <c r="A10" s="0" t="s">
        <v>658</v>
      </c>
      <c r="B10" s="0" t="s">
        <v>659</v>
      </c>
      <c r="C10" s="0" t="s">
        <v>638</v>
      </c>
      <c r="D10" s="0" t="s">
        <v>660</v>
      </c>
    </row>
    <row r="11" customFormat="false" ht="15" hidden="false" customHeight="false" outlineLevel="0" collapsed="false">
      <c r="A11" s="0" t="s">
        <v>661</v>
      </c>
      <c r="B11" s="0" t="s">
        <v>662</v>
      </c>
      <c r="C11" s="0" t="s">
        <v>634</v>
      </c>
      <c r="D11" s="0" t="s">
        <v>663</v>
      </c>
    </row>
    <row r="12" customFormat="false" ht="15" hidden="false" customHeight="false" outlineLevel="0" collapsed="false">
      <c r="A12" s="0" t="s">
        <v>664</v>
      </c>
      <c r="B12" s="0" t="s">
        <v>665</v>
      </c>
      <c r="C12" s="0" t="s">
        <v>634</v>
      </c>
      <c r="D12" s="0" t="s">
        <v>666</v>
      </c>
    </row>
    <row r="13" customFormat="false" ht="15" hidden="false" customHeight="false" outlineLevel="0" collapsed="false">
      <c r="A13" s="0" t="s">
        <v>667</v>
      </c>
      <c r="B13" s="0" t="s">
        <v>668</v>
      </c>
      <c r="C13" s="0" t="s">
        <v>634</v>
      </c>
      <c r="D13" s="0" t="s">
        <v>669</v>
      </c>
    </row>
    <row r="14" customFormat="false" ht="15" hidden="false" customHeight="false" outlineLevel="0" collapsed="false">
      <c r="A14" s="0" t="s">
        <v>670</v>
      </c>
      <c r="B14" s="0" t="s">
        <v>671</v>
      </c>
      <c r="C14" s="0" t="s">
        <v>634</v>
      </c>
      <c r="D14" s="0" t="s">
        <v>672</v>
      </c>
    </row>
    <row r="15" customFormat="false" ht="15" hidden="false" customHeight="false" outlineLevel="0" collapsed="false">
      <c r="A15" s="0" t="s">
        <v>673</v>
      </c>
      <c r="B15" s="0" t="s">
        <v>674</v>
      </c>
      <c r="C15" s="0" t="s">
        <v>638</v>
      </c>
      <c r="D15" s="0" t="s">
        <v>675</v>
      </c>
    </row>
    <row r="16" customFormat="false" ht="15" hidden="false" customHeight="false" outlineLevel="0" collapsed="false">
      <c r="A16" s="0" t="s">
        <v>676</v>
      </c>
      <c r="B16" s="0" t="s">
        <v>677</v>
      </c>
      <c r="C16" s="0" t="s">
        <v>634</v>
      </c>
      <c r="D16" s="0" t="s">
        <v>678</v>
      </c>
    </row>
    <row r="17" customFormat="false" ht="15" hidden="false" customHeight="false" outlineLevel="0" collapsed="false">
      <c r="A17" s="0" t="s">
        <v>679</v>
      </c>
      <c r="B17" s="0" t="s">
        <v>680</v>
      </c>
      <c r="C17" s="0" t="s">
        <v>634</v>
      </c>
      <c r="D17" s="0" t="s">
        <v>681</v>
      </c>
    </row>
    <row r="18" customFormat="false" ht="15" hidden="false" customHeight="false" outlineLevel="0" collapsed="false">
      <c r="A18" s="0" t="s">
        <v>682</v>
      </c>
      <c r="B18" s="0" t="s">
        <v>683</v>
      </c>
      <c r="C18" s="0" t="s">
        <v>455</v>
      </c>
      <c r="D18" s="0" t="s">
        <v>684</v>
      </c>
    </row>
    <row r="19" customFormat="false" ht="15" hidden="false" customHeight="false" outlineLevel="0" collapsed="false">
      <c r="A19" s="0" t="s">
        <v>685</v>
      </c>
      <c r="B19" s="0" t="s">
        <v>686</v>
      </c>
      <c r="C19" s="0" t="s">
        <v>634</v>
      </c>
      <c r="D19" s="0" t="s">
        <v>687</v>
      </c>
    </row>
    <row r="20" customFormat="false" ht="15" hidden="false" customHeight="false" outlineLevel="0" collapsed="false">
      <c r="A20" s="0" t="s">
        <v>688</v>
      </c>
      <c r="B20" s="0" t="s">
        <v>689</v>
      </c>
      <c r="C20" s="0" t="s">
        <v>638</v>
      </c>
      <c r="D20" s="0" t="s">
        <v>690</v>
      </c>
    </row>
    <row r="21" customFormat="false" ht="15" hidden="false" customHeight="false" outlineLevel="0" collapsed="false">
      <c r="A21" s="0" t="s">
        <v>691</v>
      </c>
      <c r="B21" s="0" t="s">
        <v>692</v>
      </c>
      <c r="C21" s="0" t="s">
        <v>634</v>
      </c>
      <c r="D21" s="0" t="s">
        <v>693</v>
      </c>
    </row>
    <row r="22" customFormat="false" ht="15" hidden="false" customHeight="false" outlineLevel="0" collapsed="false">
      <c r="A22" s="0" t="s">
        <v>694</v>
      </c>
      <c r="B22" s="0" t="s">
        <v>695</v>
      </c>
      <c r="C22" s="0" t="s">
        <v>638</v>
      </c>
      <c r="D22" s="0" t="s">
        <v>696</v>
      </c>
    </row>
    <row r="23" customFormat="false" ht="15" hidden="false" customHeight="false" outlineLevel="0" collapsed="false">
      <c r="A23" s="0" t="s">
        <v>697</v>
      </c>
      <c r="B23" s="0" t="s">
        <v>698</v>
      </c>
      <c r="C23" s="0" t="s">
        <v>638</v>
      </c>
      <c r="D23" s="0" t="s">
        <v>699</v>
      </c>
    </row>
    <row r="24" customFormat="false" ht="15" hidden="false" customHeight="false" outlineLevel="0" collapsed="false">
      <c r="A24" s="0" t="s">
        <v>700</v>
      </c>
      <c r="B24" s="0" t="s">
        <v>701</v>
      </c>
      <c r="C24" s="0" t="s">
        <v>638</v>
      </c>
      <c r="D24" s="0" t="s">
        <v>702</v>
      </c>
    </row>
    <row r="25" customFormat="false" ht="15" hidden="false" customHeight="false" outlineLevel="0" collapsed="false">
      <c r="A25" s="0" t="s">
        <v>703</v>
      </c>
      <c r="B25" s="0" t="s">
        <v>704</v>
      </c>
      <c r="C25" s="0" t="s">
        <v>634</v>
      </c>
      <c r="D25" s="0" t="s">
        <v>705</v>
      </c>
    </row>
    <row r="26" customFormat="false" ht="15" hidden="false" customHeight="false" outlineLevel="0" collapsed="false">
      <c r="A26" s="0" t="s">
        <v>706</v>
      </c>
      <c r="B26" s="0" t="s">
        <v>707</v>
      </c>
      <c r="C26" s="0" t="s">
        <v>638</v>
      </c>
      <c r="D26" s="0" t="s">
        <v>708</v>
      </c>
    </row>
    <row r="27" customFormat="false" ht="15" hidden="false" customHeight="false" outlineLevel="0" collapsed="false">
      <c r="A27" s="0" t="s">
        <v>709</v>
      </c>
      <c r="B27" s="0" t="s">
        <v>710</v>
      </c>
      <c r="C27" s="0" t="s">
        <v>638</v>
      </c>
      <c r="D27" s="0" t="s">
        <v>711</v>
      </c>
    </row>
    <row r="28" customFormat="false" ht="15" hidden="false" customHeight="false" outlineLevel="0" collapsed="false">
      <c r="A28" s="0" t="s">
        <v>712</v>
      </c>
      <c r="B28" s="0" t="s">
        <v>713</v>
      </c>
      <c r="C28" s="0" t="s">
        <v>638</v>
      </c>
      <c r="D28" s="0" t="s">
        <v>714</v>
      </c>
    </row>
    <row r="29" customFormat="false" ht="15" hidden="false" customHeight="false" outlineLevel="0" collapsed="false">
      <c r="A29" s="0" t="s">
        <v>715</v>
      </c>
      <c r="B29" s="0" t="s">
        <v>716</v>
      </c>
      <c r="C29" s="0" t="s">
        <v>638</v>
      </c>
      <c r="D29" s="0" t="s">
        <v>717</v>
      </c>
    </row>
    <row r="30" customFormat="false" ht="15" hidden="false" customHeight="false" outlineLevel="0" collapsed="false">
      <c r="A30" s="0" t="s">
        <v>718</v>
      </c>
      <c r="B30" s="0" t="s">
        <v>719</v>
      </c>
      <c r="C30" s="0" t="s">
        <v>455</v>
      </c>
      <c r="D30" s="0" t="s">
        <v>720</v>
      </c>
    </row>
    <row r="31" customFormat="false" ht="15" hidden="false" customHeight="false" outlineLevel="0" collapsed="false">
      <c r="A31" s="0" t="s">
        <v>721</v>
      </c>
      <c r="B31" s="0" t="s">
        <v>722</v>
      </c>
      <c r="C31" s="0" t="s">
        <v>638</v>
      </c>
      <c r="D31" s="0" t="s">
        <v>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724</v>
      </c>
    </row>
    <row r="2" customFormat="false" ht="15" hidden="false" customHeight="false" outlineLevel="0" collapsed="false">
      <c r="A2" s="0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2026-10-27T07:20:46Z</dcterms:created>
  <dc:creator>openpyxl</dc:creator>
  <dc:description/>
  <dc:language>en-US</dc:language>
  <cp:lastModifiedBy/>
  <dcterms:modified xsi:type="dcterms:W3CDTF">2026-10-27T07:20:46Z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