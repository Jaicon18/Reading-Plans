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Partition Takeoff" sheetId="2" state="visible" r:id="rId4"/>
    <sheet name="Material Summary" sheetId="3" state="visible" r:id="rId5"/>
    <sheet name="Pending Items" sheetId="4" state="visible" r:id="rId6"/>
    <sheet name="Review Items" sheetId="5" state="visible" r:id="rId7"/>
    <sheet name="Scope Checklist" sheetId="6" state="visible" r:id="rId8"/>
    <sheet name="_reglas" sheetId="7" state="hidden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<sst xmlns="http://schemas.openxmlformats.org/spreadsheetml/2006/main" count="1060" uniqueCount="693">
  <si>
    <t xml:space="preserve">Barnes &amp; Noble - Colorado Springs, CO (3173 Cinema Point)   |   METAL FRAMING &amp; DRYWALL TAKEOFF</t>
  </si>
  <si>
    <t xml:space="preserve">Bid set: Barnes _ Noble - Colorado Springs, CO - COMBINED BID SET - 250918.pdf   ·   2026-10-24   ·   Edit ONLY the yellow cells.</t>
  </si>
  <si>
    <t xml:space="preserve">PARAMETER</t>
  </si>
  <si>
    <t xml:space="preserve">VALUE</t>
  </si>
  <si>
    <t xml:space="preserve">NOTE / SOURCE</t>
  </si>
  <si>
    <t xml:space="preserve">Waste - ALL METAL, any type</t>
  </si>
  <si>
    <t xml:space="preserve">Estimator standing rule: 15% on everything that is metal.</t>
  </si>
  <si>
    <t xml:space="preserve">Waste - EVERYTHING THAT IS NOT METAL</t>
  </si>
  <si>
    <t xml:space="preserve">Estimator standing rule: same figure as board.</t>
  </si>
  <si>
    <t xml:space="preserve">Board sheet width (ft)</t>
  </si>
  <si>
    <t xml:space="preserve">Sheet size is a parameter; buy the size that wastes least.</t>
  </si>
  <si>
    <t xml:space="preserve">Board sheet length (ft)</t>
  </si>
  <si>
    <t xml:space="preserve">Change it and every sheet count re-rounds.</t>
  </si>
  <si>
    <t xml:space="preserve">SF per board sheet</t>
  </si>
  <si>
    <t xml:space="preserve">Width x length.</t>
  </si>
  <si>
    <t xml:space="preserve">Stud stock length (ft)</t>
  </si>
  <si>
    <t xml:space="preserve">Stud, header, framed opening and stud blocking: sticks.</t>
  </si>
  <si>
    <t xml:space="preserve">Track stock length (ft)</t>
  </si>
  <si>
    <t xml:space="preserve">Track, sill track and purlin: runs.</t>
  </si>
  <si>
    <t xml:space="preserve">Floor plan scale (pt/ft)</t>
  </si>
  <si>
    <t xml:space="preserve">n/a</t>
  </si>
  <si>
    <t xml:space="preserve">Project value (canon constants).</t>
  </si>
  <si>
    <t xml:space="preserve">B.O. Deck (ft)</t>
  </si>
  <si>
    <t xml:space="preserve">T.O. Parapet (ft)</t>
  </si>
  <si>
    <t xml:space="preserve">Sealant coverage (LF per tube)</t>
  </si>
  <si>
    <t xml:space="preserve">Sealant yield per tube - set your supplier's figure.</t>
  </si>
  <si>
    <t xml:space="preserve">C.R. channel stock length (ft)</t>
  </si>
  <si>
    <t xml:space="preserve">1-1/2" cold-rolled channel (bracing, carrying channel).</t>
  </si>
  <si>
    <t xml:space="preserve">Hat / furring channel stock (ft)</t>
  </si>
  <si>
    <t xml:space="preserve">7/8" hat furring channel.</t>
  </si>
  <si>
    <t xml:space="preserve">Trim stick length (ft)</t>
  </si>
  <si>
    <t xml:space="preserve">Corner bead, casing bead, shadow molding, PVC trim.</t>
  </si>
  <si>
    <t xml:space="preserve">Hanger wire purchase</t>
  </si>
  <si>
    <t xml:space="preserve">continuous coil (LF)</t>
  </si>
  <si>
    <t xml:space="preserve">Bought by LF from a continuous coil; the hanger count goes on its own PCS row.</t>
  </si>
  <si>
    <t xml:space="preserve">Drywall screws per SF of board</t>
  </si>
  <si>
    <t xml:space="preserve">YIELD (GA-216 field / perimeter spacing).</t>
  </si>
  <si>
    <t xml:space="preserve">Framing screws per stud piece</t>
  </si>
  <si>
    <t xml:space="preserve">YIELD: 2 per stud-to-track connection, each end.</t>
  </si>
  <si>
    <t xml:space="preserve">Power-driven pin spacing (ft)</t>
  </si>
  <si>
    <t xml:space="preserve">YIELD: bottom track on slab, interior walls.</t>
  </si>
  <si>
    <t xml:space="preserve">Joint compound (lb per SF)</t>
  </si>
  <si>
    <t xml:space="preserve">YIELD: 72 lb per 1,000 SF, level 4 (estimator criterion).</t>
  </si>
  <si>
    <t xml:space="preserve">Joint tape (LF per SF)</t>
  </si>
  <si>
    <t xml:space="preserve">YIELD: 370 LF per 1,000 SF.</t>
  </si>
  <si>
    <t xml:space="preserve">Expansion anchor spacing (ft)</t>
  </si>
  <si>
    <t xml:space="preserve">YIELD: exterior bottom track on slab.</t>
  </si>
  <si>
    <t xml:space="preserve">ORGANIZED PARTITION TAKEOFF - Barnes &amp; Noble - Colorado Springs, CO (3173 Cinema Point)</t>
  </si>
  <si>
    <t xml:space="preserve">Grouped by partition type. Every row cites its DETAIL/SHEET and its status.</t>
  </si>
  <si>
    <t xml:space="preserve">Partition / Scope</t>
  </si>
  <si>
    <t xml:space="preserve">Wall #</t>
  </si>
  <si>
    <t xml:space="preserve">Length (LF)</t>
  </si>
  <si>
    <t xml:space="preserve">Height (FT)</t>
  </si>
  <si>
    <t xml:space="preserve">Layers</t>
  </si>
  <si>
    <t xml:space="preserve">Stud Size</t>
  </si>
  <si>
    <t xml:space="preserve">Stud O.C. (in)</t>
  </si>
  <si>
    <t xml:space="preserve">Board (SF)</t>
  </si>
  <si>
    <t xml:space="preserve">Location</t>
  </si>
  <si>
    <t xml:space="preserve">Source (DETAIL/SHEET)</t>
  </si>
  <si>
    <t xml:space="preserve">Status</t>
  </si>
  <si>
    <t xml:space="preserve">TYPE 1A</t>
  </si>
  <si>
    <t xml:space="preserve">1A  #EXT-01  -  North facade, west end (behind Trash / Stock Room)</t>
  </si>
  <si>
    <t xml:space="preserve">EXT-01</t>
  </si>
  <si>
    <t xml:space="preserve">3-5/8"</t>
  </si>
  <si>
    <t xml:space="preserve">North facade, west end (behind Trash / Stock Room)</t>
  </si>
  <si>
    <t xml:space="preserve">1A/A-410</t>
  </si>
  <si>
    <t xml:space="preserve">[DERIVED]</t>
  </si>
  <si>
    <t xml:space="preserve">1A  #EXT-03  -  West facade (Trash / Exterior side), opening inside wall per R70.3</t>
  </si>
  <si>
    <t xml:space="preserve">EXT-03</t>
  </si>
  <si>
    <t xml:space="preserve">West facade (Trash / Exterior side), opening inside wall per R70.3</t>
  </si>
  <si>
    <t xml:space="preserve">SUBTOTAL TYPE 1A</t>
  </si>
  <si>
    <t xml:space="preserve">TYPE 1</t>
  </si>
  <si>
    <t xml:space="preserve">1  #EXT-02  -  North facade, Sales Area + Storage 112 (Adjacent Tenant side)</t>
  </si>
  <si>
    <t xml:space="preserve">EXT-02</t>
  </si>
  <si>
    <t xml:space="preserve">North facade, Sales Area + Storage 112 (Adjacent Tenant side)</t>
  </si>
  <si>
    <t xml:space="preserve">1/A-410</t>
  </si>
  <si>
    <t xml:space="preserve">1  #EXT-07  -  South facade, Corridor 110 to Manager's Office 105 (corridor door inside wall)</t>
  </si>
  <si>
    <t xml:space="preserve">EXT-07</t>
  </si>
  <si>
    <t xml:space="preserve">South facade, Corridor 110 to Manager's Office 105 (corridor door inside wall)</t>
  </si>
  <si>
    <t xml:space="preserve">SUBTOTAL TYPE 1</t>
  </si>
  <si>
    <t xml:space="preserve">TYPE 1B</t>
  </si>
  <si>
    <t xml:space="preserve">1B  #EXT-04  -  West, angled wall at Loading Zone (overhead door 12 inside wall)</t>
  </si>
  <si>
    <t xml:space="preserve">EXT-04</t>
  </si>
  <si>
    <t xml:space="preserve">8"</t>
  </si>
  <si>
    <t xml:space="preserve">West, angled wall at Loading Zone (overhead door 12 inside wall)</t>
  </si>
  <si>
    <t xml:space="preserve">1B/A-410</t>
  </si>
  <si>
    <t xml:space="preserve">1B  #EXT-05  -  West, long angled wall at Loading Zone / Stock Room 111</t>
  </si>
  <si>
    <t xml:space="preserve">EXT-05</t>
  </si>
  <si>
    <t xml:space="preserve">West, long angled wall at Loading Zone / Stock Room 111</t>
  </si>
  <si>
    <t xml:space="preserve">1B  #EXT-06  -  South facade, Stock Room 111</t>
  </si>
  <si>
    <t xml:space="preserve">EXT-06</t>
  </si>
  <si>
    <t xml:space="preserve">South facade, Stock Room 111</t>
  </si>
  <si>
    <t xml:space="preserve">1B  #EXT-09  -  South facade, pier between storefronts (Cafe Seating 102)</t>
  </si>
  <si>
    <t xml:space="preserve">EXT-09</t>
  </si>
  <si>
    <t xml:space="preserve">South facade, pier between storefronts (Cafe Seating 102)</t>
  </si>
  <si>
    <t xml:space="preserve">1B  #EXT-10  -  South facade, SE corner pier</t>
  </si>
  <si>
    <t xml:space="preserve">EXT-10</t>
  </si>
  <si>
    <t xml:space="preserve">South facade, SE corner pier</t>
  </si>
  <si>
    <t xml:space="preserve">1B  #EXT-11  -  East facade, SE corner pier</t>
  </si>
  <si>
    <t xml:space="preserve">EXT-11</t>
  </si>
  <si>
    <t xml:space="preserve">East facade, SE corner pier</t>
  </si>
  <si>
    <t xml:space="preserve">1B  #EXT-12  -  East facade, pier south of Vestibule bump-out</t>
  </si>
  <si>
    <t xml:space="preserve">EXT-12</t>
  </si>
  <si>
    <t xml:space="preserve">East facade, pier south of Vestibule bump-out</t>
  </si>
  <si>
    <t xml:space="preserve">1B  #EXT-17  -  East facade, pier north of Vestibule bump-out</t>
  </si>
  <si>
    <t xml:space="preserve">EXT-17</t>
  </si>
  <si>
    <t xml:space="preserve">East facade, pier north of Vestibule bump-out</t>
  </si>
  <si>
    <t xml:space="preserve">1B  #EXT-18  -  East facade, NE corner pier (Storage 112)</t>
  </si>
  <si>
    <t xml:space="preserve">EXT-18</t>
  </si>
  <si>
    <t xml:space="preserve">East facade, NE corner pier (Storage 112)</t>
  </si>
  <si>
    <t xml:space="preserve">SUBTOTAL TYPE 1B</t>
  </si>
  <si>
    <t xml:space="preserve">TYPE 1C</t>
  </si>
  <si>
    <t xml:space="preserve">1C  #EXT-13  -  East facade, south return of Vestibule bump-out</t>
  </si>
  <si>
    <t xml:space="preserve">EXT-13</t>
  </si>
  <si>
    <t xml:space="preserve">East facade, south return of Vestibule bump-out</t>
  </si>
  <si>
    <t xml:space="preserve">1C/A-410</t>
  </si>
  <si>
    <t xml:space="preserve">1C  #EXT-14  -  East facade, bump-out face south of Vestibule storefront</t>
  </si>
  <si>
    <t xml:space="preserve">EXT-14</t>
  </si>
  <si>
    <t xml:space="preserve">East facade, bump-out face south of Vestibule storefront</t>
  </si>
  <si>
    <t xml:space="preserve">1C  #EXT-15  -  East facade, bump-out face north of Vestibule storefront</t>
  </si>
  <si>
    <t xml:space="preserve">EXT-15</t>
  </si>
  <si>
    <t xml:space="preserve">East facade, bump-out face north of Vestibule storefront</t>
  </si>
  <si>
    <t xml:space="preserve">1C  #EXT-16  -  East facade, north return of Vestibule bump-out</t>
  </si>
  <si>
    <t xml:space="preserve">EXT-16</t>
  </si>
  <si>
    <t xml:space="preserve">East facade, north return of Vestibule bump-out</t>
  </si>
  <si>
    <t xml:space="preserve">SUBTOTAL TYPE 1C</t>
  </si>
  <si>
    <t xml:space="preserve">TYPE 2</t>
  </si>
  <si>
    <t xml:space="preserve">2  #W2-01+W2-02  -  Storage 112 south wall (door 14, 3'-0" printed, inside wall) + Storage 112 west wall</t>
  </si>
  <si>
    <t xml:space="preserve">W2-01+W2-02</t>
  </si>
  <si>
    <t xml:space="preserve">Storage 112 south wall (door 14, 3'-0" printed, inside wall) + Storage 112 west wall</t>
  </si>
  <si>
    <t xml:space="preserve">2/A-410</t>
  </si>
  <si>
    <t xml:space="preserve">2  #W2-03  -  Stock Room 111 / Sales + Corridor 110 (door 11 inside wall)</t>
  </si>
  <si>
    <t xml:space="preserve">W2-03</t>
  </si>
  <si>
    <t xml:space="preserve">Stock Room 111 / Sales + Corridor 110 (door 11 inside wall)</t>
  </si>
  <si>
    <t xml:space="preserve">2  #W2-04  -  BOH north wall: Corridor 110 to Manager's Office 105 (Sales side)</t>
  </si>
  <si>
    <t xml:space="preserve">W2-04</t>
  </si>
  <si>
    <t xml:space="preserve">BOH north wall: Corridor 110 to Manager's Office 105 (Sales side)</t>
  </si>
  <si>
    <t xml:space="preserve">2  #W2-05  -  Corridor 110 east wall / Women's 109 (starts at the restroom front line)</t>
  </si>
  <si>
    <t xml:space="preserve">W2-05</t>
  </si>
  <si>
    <t xml:space="preserve">Corridor 110 east wall / Women's 109 (starts at the restroom front line)</t>
  </si>
  <si>
    <t xml:space="preserve">2  #W2-06.1+W2-06.2+W2-06.3+W2-06.4+W2-06.5  -  Restrooms 108/109 + Janitor 107 north run with chase jog (doors 9, 8, 7 inside)</t>
  </si>
  <si>
    <t xml:space="preserve">W2-06.1+W2-06.2+W2-06.3+W2-06.4+W2-06.5</t>
  </si>
  <si>
    <t xml:space="preserve">Restrooms 108/109 + Janitor 107 north run with chase jog (doors 9, 8, 7 inside)</t>
  </si>
  <si>
    <t xml:space="preserve">2  #W2-07  -  Men's 108 / Janitor 107</t>
  </si>
  <si>
    <t xml:space="preserve">W2-07</t>
  </si>
  <si>
    <t xml:space="preserve">Men's 108 / Janitor 107</t>
  </si>
  <si>
    <t xml:space="preserve">2  #W2-08  -  Janitor 107 / Break Room 106 (door 5 inside wall)</t>
  </si>
  <si>
    <t xml:space="preserve">W2-08</t>
  </si>
  <si>
    <t xml:space="preserve">Janitor 107 / Break Room 106 (door 5 inside wall)</t>
  </si>
  <si>
    <t xml:space="preserve">2  #W2-09  -  Break Room 106 / Manager's Office 105 (door 6 inside wall)</t>
  </si>
  <si>
    <t xml:space="preserve">W2-09</t>
  </si>
  <si>
    <t xml:space="preserve">Break Room 106 / Manager's Office 105 (door 6 inside wall)</t>
  </si>
  <si>
    <t xml:space="preserve">SUBTOTAL TYPE 2</t>
  </si>
  <si>
    <t xml:space="preserve">TYPE 5</t>
  </si>
  <si>
    <t xml:space="preserve">5  #W5-01  -  Plumbing wall between Women's 109 / Men's 108</t>
  </si>
  <si>
    <t xml:space="preserve">W5-01</t>
  </si>
  <si>
    <t xml:space="preserve">6"</t>
  </si>
  <si>
    <t xml:space="preserve">Plumbing wall between Women's 109 / Men's 108</t>
  </si>
  <si>
    <t xml:space="preserve">5/A-410</t>
  </si>
  <si>
    <t xml:space="preserve">SUBTOTAL TYPE 5</t>
  </si>
  <si>
    <t xml:space="preserve">TYPE 3</t>
  </si>
  <si>
    <t xml:space="preserve">3  #W3-01  -  Cafe Seating 102, west low wall - west end post</t>
  </si>
  <si>
    <t xml:space="preserve">W3-01</t>
  </si>
  <si>
    <t xml:space="preserve">Cafe Seating 102, west low wall - west end post</t>
  </si>
  <si>
    <t xml:space="preserve">3/A-410</t>
  </si>
  <si>
    <t xml:space="preserve">3  #W3-02  -  Cafe Seating 102, west low wall - run</t>
  </si>
  <si>
    <t xml:space="preserve">W3-02</t>
  </si>
  <si>
    <t xml:space="preserve">Cafe Seating 102, west low wall - run</t>
  </si>
  <si>
    <t xml:space="preserve">3  #W3-03  -  Cafe Seating 102, east low wall - run</t>
  </si>
  <si>
    <t xml:space="preserve">W3-03</t>
  </si>
  <si>
    <t xml:space="preserve">Cafe Seating 102, east low wall - run</t>
  </si>
  <si>
    <t xml:space="preserve">3  #W3-04  -  Cafe Seating 102, east low wall - east end post</t>
  </si>
  <si>
    <t xml:space="preserve">W3-04</t>
  </si>
  <si>
    <t xml:space="preserve">Cafe Seating 102, east low wall - east end post</t>
  </si>
  <si>
    <t xml:space="preserve">3  #W3-05  -  Cafe Seating 102, west low wall - east end post</t>
  </si>
  <si>
    <t xml:space="preserve">W3-05</t>
  </si>
  <si>
    <t xml:space="preserve">Cafe Seating 102, west low wall - east end post</t>
  </si>
  <si>
    <t xml:space="preserve">3  #W3-06  -  Cafe Seating 102, east low wall - west end post</t>
  </si>
  <si>
    <t xml:space="preserve">W3-06</t>
  </si>
  <si>
    <t xml:space="preserve">Cafe Seating 102, east low wall - west end post</t>
  </si>
  <si>
    <t xml:space="preserve">SUBTOTAL TYPE 3</t>
  </si>
  <si>
    <t xml:space="preserve">TYPE 4</t>
  </si>
  <si>
    <t xml:space="preserve">4  #W4-28a+W4-28b+W4-28c  -  Hourglass display feature, north end cap: bar + Hourglass display feature, north end cap: west end return + Hourglass display feature, north end cap: east end return</t>
  </si>
  <si>
    <t xml:space="preserve">W4-28a+W4-28b+W4-28c</t>
  </si>
  <si>
    <t xml:space="preserve">Hourglass display feature, north end cap: bar + Hourglass display feature, north end cap: west end return + Hourglass display feature, north end cap: east end return</t>
  </si>
  <si>
    <t xml:space="preserve">4/A-410</t>
  </si>
  <si>
    <t xml:space="preserve">4  #W4-28d  -  Hourglass display feature, north end cap: west angled leg from end return to curved wall</t>
  </si>
  <si>
    <t xml:space="preserve">W4-28d</t>
  </si>
  <si>
    <t xml:space="preserve">Hourglass display feature, north end cap: west angled leg from end return to curved wall</t>
  </si>
  <si>
    <t xml:space="preserve">4  #W4-28e  -  Hourglass display feature, north end cap: east angled leg from end return to curved wall</t>
  </si>
  <si>
    <t xml:space="preserve">W4-28e</t>
  </si>
  <si>
    <t xml:space="preserve">Hourglass display feature, north end cap: east angled leg from end return to curved wall</t>
  </si>
  <si>
    <t xml:space="preserve">4  #W4-29a  -  Hourglass display feature, west curved wall (R=32'-9"), chord 1/6 from north (tagged)</t>
  </si>
  <si>
    <t xml:space="preserve">W4-29a</t>
  </si>
  <si>
    <t xml:space="preserve">Hourglass display feature, west curved wall (R=32'-9"), chord 1/6 from north (tagged)</t>
  </si>
  <si>
    <t xml:space="preserve">4  #W4-29b  -  Hourglass display feature, west curved wall (R=32'-9"), chord 2/6 from north</t>
  </si>
  <si>
    <t xml:space="preserve">W4-29b</t>
  </si>
  <si>
    <t xml:space="preserve">Hourglass display feature, west curved wall (R=32'-9"), chord 2/6 from north</t>
  </si>
  <si>
    <t xml:space="preserve">4  #W4-29c  -  Hourglass display feature, west curved wall (R=32'-9"), chord 3/6 from north</t>
  </si>
  <si>
    <t xml:space="preserve">W4-29c</t>
  </si>
  <si>
    <t xml:space="preserve">Hourglass display feature, west curved wall (R=32'-9"), chord 3/6 from north</t>
  </si>
  <si>
    <t xml:space="preserve">4  #W4-29d  -  Hourglass display feature, west curved wall (R=32'-9"), chord 4/6 from north</t>
  </si>
  <si>
    <t xml:space="preserve">W4-29d</t>
  </si>
  <si>
    <t xml:space="preserve">Hourglass display feature, west curved wall (R=32'-9"), chord 4/6 from north</t>
  </si>
  <si>
    <t xml:space="preserve">4  #W4-29e  -  Hourglass display feature, west curved wall (R=32'-9"), chord 5/6 from north</t>
  </si>
  <si>
    <t xml:space="preserve">W4-29e</t>
  </si>
  <si>
    <t xml:space="preserve">Hourglass display feature, west curved wall (R=32'-9"), chord 5/6 from north</t>
  </si>
  <si>
    <t xml:space="preserve">4  #W4-29f  -  Hourglass display feature, west curved wall (R=32'-9"), chord 6/6 from north</t>
  </si>
  <si>
    <t xml:space="preserve">W4-29f</t>
  </si>
  <si>
    <t xml:space="preserve">Hourglass display feature, west curved wall (R=32'-9"), chord 6/6 from north</t>
  </si>
  <si>
    <t xml:space="preserve">4  #W4-30a  -  Hourglass display feature, east curved wall (R=32'-9"), chord 1/6 from north (tagged)</t>
  </si>
  <si>
    <t xml:space="preserve">W4-30a</t>
  </si>
  <si>
    <t xml:space="preserve">Hourglass display feature, east curved wall (R=32'-9"), chord 1/6 from north (tagged)</t>
  </si>
  <si>
    <t xml:space="preserve">4  #W4-30b  -  Hourglass display feature, east curved wall (R=32'-9"), chord 2/6 from north</t>
  </si>
  <si>
    <t xml:space="preserve">W4-30b</t>
  </si>
  <si>
    <t xml:space="preserve">Hourglass display feature, east curved wall (R=32'-9"), chord 2/6 from north</t>
  </si>
  <si>
    <t xml:space="preserve">4  #W4-30c  -  Hourglass display feature, east curved wall (R=32'-9"), chord 3/6 from north</t>
  </si>
  <si>
    <t xml:space="preserve">W4-30c</t>
  </si>
  <si>
    <t xml:space="preserve">Hourglass display feature, east curved wall (R=32'-9"), chord 3/6 from north</t>
  </si>
  <si>
    <t xml:space="preserve">4  #W4-30d  -  Hourglass display feature, east curved wall (R=32'-9"), chord 4/6 from north</t>
  </si>
  <si>
    <t xml:space="preserve">W4-30d</t>
  </si>
  <si>
    <t xml:space="preserve">Hourglass display feature, east curved wall (R=32'-9"), chord 4/6 from north</t>
  </si>
  <si>
    <t xml:space="preserve">4  #W4-30e  -  Hourglass display feature, east curved wall (R=32'-9"), chord 5/6 from north</t>
  </si>
  <si>
    <t xml:space="preserve">W4-30e</t>
  </si>
  <si>
    <t xml:space="preserve">Hourglass display feature, east curved wall (R=32'-9"), chord 5/6 from north</t>
  </si>
  <si>
    <t xml:space="preserve">4  #W4-30f  -  Hourglass display feature, east curved wall (R=32'-9"), chord 6/6 from north</t>
  </si>
  <si>
    <t xml:space="preserve">W4-30f</t>
  </si>
  <si>
    <t xml:space="preserve">Hourglass display feature, east curved wall (R=32'-9"), chord 6/6 from north</t>
  </si>
  <si>
    <t xml:space="preserve">4  #W4-31a+W4-31b+W4-31c  -  Hourglass display feature, south end cap: bar (untagged TYP. copy of the PT0037 north cap) + Hourglass display feature, south end cap: west end return (untagged TYP. copy of the PT0037 north cap) + Hourglass display feature, south end cap: east end return (untagged TYP. copy of the PT0037 north cap)</t>
  </si>
  <si>
    <t xml:space="preserve">W4-31a+W4-31b+W4-31c</t>
  </si>
  <si>
    <t xml:space="preserve">Hourglass display feature, south end cap: bar (untagged TYP. copy of the PT0037 north cap) + Hourglass display feature, south end cap: west end return (untagged TYP. copy of the PT0037 north cap) + Hourglass display feature, south end cap: east end return (untagged TYP. copy of the PT0037 north cap)</t>
  </si>
  <si>
    <t xml:space="preserve">4  #W4-31d  -  Hourglass display feature, south end cap: west angled leg from end return to curved wall (untagged TYP. copy of the PT0037 north cap)</t>
  </si>
  <si>
    <t xml:space="preserve">W4-31d</t>
  </si>
  <si>
    <t xml:space="preserve">Hourglass display feature, south end cap: west angled leg from end return to curved wall (untagged TYP. copy of the PT0037 north cap)</t>
  </si>
  <si>
    <t xml:space="preserve">4  #W4-31e  -  Hourglass display feature, south end cap: east angled leg from end return to curved wall (untagged TYP. copy of the PT0037 north cap)</t>
  </si>
  <si>
    <t xml:space="preserve">W4-31e</t>
  </si>
  <si>
    <t xml:space="preserve">Hourglass display feature, south end cap: east angled leg from end return to curved wall (untagged TYP. copy of the PT0037 north cap)</t>
  </si>
  <si>
    <t xml:space="preserve">SUBTOTAL TYPE 4</t>
  </si>
  <si>
    <t xml:space="preserve">TYPE H1</t>
  </si>
  <si>
    <t xml:space="preserve">H1  #C-H1-N  -  Cafe Workroom 104 north wall (to Sales / Grab &amp; Go)</t>
  </si>
  <si>
    <t xml:space="preserve">C-H1-N</t>
  </si>
  <si>
    <t xml:space="preserve">Cafe Workroom 104 north wall (to Sales / Grab &amp; Go)</t>
  </si>
  <si>
    <t xml:space="preserve">G/A-221</t>
  </si>
  <si>
    <t xml:space="preserve">H1  #C-H1-W  -  Cafe Workroom 104 west wall</t>
  </si>
  <si>
    <t xml:space="preserve">C-H1-W</t>
  </si>
  <si>
    <t xml:space="preserve">Cafe Workroom 104 west wall</t>
  </si>
  <si>
    <t xml:space="preserve">SUBTOTAL TYPE H1</t>
  </si>
  <si>
    <t xml:space="preserve">TYPE H2A</t>
  </si>
  <si>
    <t xml:space="preserve">H2A  #C-H2a  -  Cafe Workroom 104 / Cafe Sales (4'-0" door inside wall)</t>
  </si>
  <si>
    <t xml:space="preserve">C-H2a</t>
  </si>
  <si>
    <t xml:space="preserve">Cafe Workroom 104 / Cafe Sales (4'-0" door inside wall)</t>
  </si>
  <si>
    <t xml:space="preserve">SUBTOTAL TYPE H2A</t>
  </si>
  <si>
    <t xml:space="preserve">TYPE H2B</t>
  </si>
  <si>
    <t xml:space="preserve">H2B  #C-H2b  -  Cafe Workroom 104 stub wall</t>
  </si>
  <si>
    <t xml:space="preserve">C-H2b</t>
  </si>
  <si>
    <t xml:space="preserve">Cafe Workroom 104 stub wall</t>
  </si>
  <si>
    <t xml:space="preserve">SUBTOTAL TYPE H2B</t>
  </si>
  <si>
    <t xml:space="preserve">TYPE H3A</t>
  </si>
  <si>
    <t xml:space="preserve">H3A  #C-H3a  -  Grab &amp; Go north wall</t>
  </si>
  <si>
    <t xml:space="preserve">C-H3a</t>
  </si>
  <si>
    <t xml:space="preserve">Grab &amp; Go north wall</t>
  </si>
  <si>
    <t xml:space="preserve">H/A-221</t>
  </si>
  <si>
    <t xml:space="preserve">SUBTOTAL TYPE H3A</t>
  </si>
  <si>
    <t xml:space="preserve">TYPE H3B</t>
  </si>
  <si>
    <t xml:space="preserve">H3B  #C-H3b  -  Grab &amp; Go west wall</t>
  </si>
  <si>
    <t xml:space="preserve">C-H3b</t>
  </si>
  <si>
    <t xml:space="preserve">Grab &amp; Go west wall</t>
  </si>
  <si>
    <t xml:space="preserve">SUBTOTAL TYPE H3B</t>
  </si>
  <si>
    <t xml:space="preserve">TYPE E2</t>
  </si>
  <si>
    <t xml:space="preserve">E2  #C-E2  -  South wall, Cafe Workroom 104 (in front of demising / exterior wall)</t>
  </si>
  <si>
    <t xml:space="preserve">C-E2</t>
  </si>
  <si>
    <t xml:space="preserve">South wall, Cafe Workroom 104 (in front of demising / exterior wall)</t>
  </si>
  <si>
    <t xml:space="preserve">E/A-221</t>
  </si>
  <si>
    <t xml:space="preserve">SUBTOTAL TYPE E2</t>
  </si>
  <si>
    <t xml:space="preserve">TYPE E1</t>
  </si>
  <si>
    <t xml:space="preserve">E1  #C-E1-B  -  Box at SE corner of Cafe Sales - west side</t>
  </si>
  <si>
    <t xml:space="preserve">C-E1-B</t>
  </si>
  <si>
    <t xml:space="preserve">Box at SE corner of Cafe Sales - west side</t>
  </si>
  <si>
    <t xml:space="preserve">E1  #C-E1-P.2  -  Pier at Workroom door (1'-0" x 2'-8" HOLD printed)</t>
  </si>
  <si>
    <t xml:space="preserve">C-E1-P.2</t>
  </si>
  <si>
    <t xml:space="preserve">Pier at Workroom door (1'-0" x 2'-8" HOLD printed)</t>
  </si>
  <si>
    <t xml:space="preserve">E1  #C-E1-S  -  South wall, Cafe Sales 103 (in front of exterior wall)</t>
  </si>
  <si>
    <t xml:space="preserve">C-E1-S</t>
  </si>
  <si>
    <t xml:space="preserve">South wall, Cafe Sales 103 (in front of exterior wall)</t>
  </si>
  <si>
    <t xml:space="preserve">SUBTOTAL TYPE E1</t>
  </si>
  <si>
    <t xml:space="preserve">TYPE F</t>
  </si>
  <si>
    <t xml:space="preserve">F  #C-F  -  Box at SE corner of Cafe Sales - north side (3'-3" printed)</t>
  </si>
  <si>
    <t xml:space="preserve">C-F</t>
  </si>
  <si>
    <t xml:space="preserve">Box at SE corner of Cafe Sales - north side (3'-3" printed)</t>
  </si>
  <si>
    <t xml:space="preserve">F/A-221</t>
  </si>
  <si>
    <t xml:space="preserve">SUBTOTAL TYPE F</t>
  </si>
  <si>
    <t xml:space="preserve">TYPE I</t>
  </si>
  <si>
    <t xml:space="preserve">I  #C-E1-P.1  -  1'-0" return at the top of the Workroom door pier (I tag)</t>
  </si>
  <si>
    <t xml:space="preserve">C-E1-P.1</t>
  </si>
  <si>
    <t xml:space="preserve">1'-0" return at the top of the Workroom door pier (I tag)</t>
  </si>
  <si>
    <t xml:space="preserve">I/A-221</t>
  </si>
  <si>
    <t xml:space="preserve">I  #C-I  -  Box at SE corner of Cafe Sales - east side</t>
  </si>
  <si>
    <t xml:space="preserve">C-I</t>
  </si>
  <si>
    <t xml:space="preserve">Box at SE corner of Cafe Sales - east side</t>
  </si>
  <si>
    <t xml:space="preserve">SUBTOTAL TYPE I</t>
  </si>
  <si>
    <t xml:space="preserve">TYPE A</t>
  </si>
  <si>
    <t xml:space="preserve">A  #C-A-1  -  Front counter - straight run</t>
  </si>
  <si>
    <t xml:space="preserve">C-A-1</t>
  </si>
  <si>
    <t xml:space="preserve">Front counter - straight run</t>
  </si>
  <si>
    <t xml:space="preserve">A/A-221</t>
  </si>
  <si>
    <t xml:space="preserve">A  #C-A-2  -  Front counter - 45 deg segment</t>
  </si>
  <si>
    <t xml:space="preserve">C-A-2</t>
  </si>
  <si>
    <t xml:space="preserve">Front counter - 45 deg segment</t>
  </si>
  <si>
    <t xml:space="preserve">A  #C-A-3  -  Front counter - east run to box</t>
  </si>
  <si>
    <t xml:space="preserve">C-A-3</t>
  </si>
  <si>
    <t xml:space="preserve">Front counter - east run to box</t>
  </si>
  <si>
    <t xml:space="preserve">SUBTOTAL TYPE A</t>
  </si>
  <si>
    <t xml:space="preserve">TYPE B</t>
  </si>
  <si>
    <t xml:space="preserve">B  #C-B  -  Pastry counter - west leg</t>
  </si>
  <si>
    <t xml:space="preserve">C-B</t>
  </si>
  <si>
    <t xml:space="preserve">Pastry counter - west leg</t>
  </si>
  <si>
    <t xml:space="preserve">B/A-221</t>
  </si>
  <si>
    <t xml:space="preserve">SUBTOTAL TYPE B</t>
  </si>
  <si>
    <t xml:space="preserve">TYPE D</t>
  </si>
  <si>
    <t xml:space="preserve">D  #C-D  -  Pastry counter - south (between legs)</t>
  </si>
  <si>
    <t xml:space="preserve">C-D</t>
  </si>
  <si>
    <t xml:space="preserve">Pastry counter - south (between legs)</t>
  </si>
  <si>
    <t xml:space="preserve">D/A-221</t>
  </si>
  <si>
    <t xml:space="preserve">SUBTOTAL TYPE D</t>
  </si>
  <si>
    <t xml:space="preserve">TYPE C</t>
  </si>
  <si>
    <t xml:space="preserve">C  #C-C  -  Pastry counter - east leg</t>
  </si>
  <si>
    <t xml:space="preserve">C-C</t>
  </si>
  <si>
    <t xml:space="preserve">Pastry counter - east leg</t>
  </si>
  <si>
    <t xml:space="preserve">C/A-221</t>
  </si>
  <si>
    <t xml:space="preserve">SUBTOTAL TYPE C</t>
  </si>
  <si>
    <t xml:space="preserve">TOTAL - PARTITIONS (GRAND TOTAL)</t>
  </si>
  <si>
    <t xml:space="preserve">TYPE OTHER FRAMING (NOT A PARTITION)</t>
  </si>
  <si>
    <t xml:space="preserve">column_wrap  #CW-01  -  Sales Area 101 - existing column, new 24"x24" GWB surround (keynote C25)</t>
  </si>
  <si>
    <t xml:space="preserve">CW-01</t>
  </si>
  <si>
    <t xml:space="preserve">Sales Area 101 - existing column, new 24"x24" GWB surround (keynote C25)</t>
  </si>
  <si>
    <t xml:space="preserve">C25/A-101</t>
  </si>
  <si>
    <t xml:space="preserve">column_wrap  #CW-02  -  Sales Area 101 - existing column, new 24"x24" GWB surround (keynote C25)</t>
  </si>
  <si>
    <t xml:space="preserve">CW-02</t>
  </si>
  <si>
    <t xml:space="preserve">column_wrap  #CW-03  -  Sales Area 101 - existing column, new 24"x24" GWB surround (keynote C25)</t>
  </si>
  <si>
    <t xml:space="preserve">CW-03</t>
  </si>
  <si>
    <t xml:space="preserve">column_wrap  #CW-04  -  Sales Area 101 - existing column, new 24"x24" GWB surround (keynote C25)</t>
  </si>
  <si>
    <t xml:space="preserve">CW-04</t>
  </si>
  <si>
    <t xml:space="preserve">column_wrap  #CW-05  -  Sales Area 101 - existing column, new 24"x24" GWB surround (keynote C25)</t>
  </si>
  <si>
    <t xml:space="preserve">CW-05</t>
  </si>
  <si>
    <t xml:space="preserve">column_wrap  #CW-06  -  Sales Area 101 - existing column, new 24"x24" GWB surround (keynote C25)</t>
  </si>
  <si>
    <t xml:space="preserve">CW-06</t>
  </si>
  <si>
    <t xml:space="preserve">column_wrap  #CW-07  -  Sales Area 101 - existing column, new 24"x24" GWB surround (keynote C25)</t>
  </si>
  <si>
    <t xml:space="preserve">CW-07</t>
  </si>
  <si>
    <t xml:space="preserve">column_wrap  #CW-08  -  Sales Area 101 - existing column, new 24"x24" GWB surround (keynote C25)</t>
  </si>
  <si>
    <t xml:space="preserve">CW-08</t>
  </si>
  <si>
    <t xml:space="preserve">column_wrap  #CW-09  -  Sales Area 101 - existing column, new 24"x24" GWB surround (keynote C25)</t>
  </si>
  <si>
    <t xml:space="preserve">CW-09</t>
  </si>
  <si>
    <t xml:space="preserve">soffit_side  #SS-N  -  Cafe 11'-0" zone N open edge to Sales</t>
  </si>
  <si>
    <t xml:space="preserve">SS-N</t>
  </si>
  <si>
    <t xml:space="preserve">Cafe 11'-0" zone N open edge to Sales</t>
  </si>
  <si>
    <t xml:space="preserve">2/A-221</t>
  </si>
  <si>
    <t xml:space="preserve">soffit_side  #SS-E  -  Cafe 11'-0" zone E open edge to Sales</t>
  </si>
  <si>
    <t xml:space="preserve">SS-E</t>
  </si>
  <si>
    <t xml:space="preserve">Cafe 11'-0" zone E open edge to Sales</t>
  </si>
  <si>
    <t xml:space="preserve">soffit_side  #SS-IN-N  -  Cafe 11'-6" band N edge (6" step)</t>
  </si>
  <si>
    <t xml:space="preserve">SS-IN-N</t>
  </si>
  <si>
    <t xml:space="preserve">Cafe 11'-6" band N edge (6" step)</t>
  </si>
  <si>
    <t xml:space="preserve">soffit_side  #SS-IN-E  -  Cafe 11'-6" band E edge (6" step)</t>
  </si>
  <si>
    <t xml:space="preserve">SS-IN-E</t>
  </si>
  <si>
    <t xml:space="preserve">Cafe 11'-6" band E edge (6" step)</t>
  </si>
  <si>
    <t xml:space="preserve">MATERIAL SUMMARY - NET / WASTE / PURCHASE</t>
  </si>
  <si>
    <t xml:space="preserve">Waste lives HERE, in its own column, applied ONCE: Pieces = ROUNDUP(Net x (1 + waste) / stock). Every stock length, coverage and yield is an Inputs cell.</t>
  </si>
  <si>
    <t xml:space="preserve">Material</t>
  </si>
  <si>
    <t xml:space="preserve">Unit</t>
  </si>
  <si>
    <t xml:space="preserve">Net</t>
  </si>
  <si>
    <t xml:space="preserve">Waste %</t>
  </si>
  <si>
    <t xml:space="preserve">Waste</t>
  </si>
  <si>
    <t xml:space="preserve">Purchase</t>
  </si>
  <si>
    <t xml:space="preserve">Selling unit</t>
  </si>
  <si>
    <t xml:space="preserve">Pieces to buy</t>
  </si>
  <si>
    <t xml:space="preserve">Where it comes from</t>
  </si>
  <si>
    <t xml:space="preserve">Yield check (live formula)</t>
  </si>
  <si>
    <t xml:space="preserve">Bottom track 3-5/8"</t>
  </si>
  <si>
    <t xml:space="preserve">LF</t>
  </si>
  <si>
    <t xml:space="preserve">run 10 ft</t>
  </si>
  <si>
    <t xml:space="preserve">familias_out.json track_by_element 'bottom track (all)' (R73.3)</t>
  </si>
  <si>
    <t xml:space="preserve">Bottom track 8"</t>
  </si>
  <si>
    <t xml:space="preserve">Bottom track 6"</t>
  </si>
  <si>
    <t xml:space="preserve">Bottom track - other framing (not a partition type, see source)</t>
  </si>
  <si>
    <t xml:space="preserve">Top / deflection track 3-5/8"</t>
  </si>
  <si>
    <t xml:space="preserve">familias_out.json track_by_element 'top / deflection track (all)' (R73.3)</t>
  </si>
  <si>
    <t xml:space="preserve">Top / deflection track 8"</t>
  </si>
  <si>
    <t xml:space="preserve">Top / deflection track 6"</t>
  </si>
  <si>
    <t xml:space="preserve">Top / deflection track - other framing (not a partition type, see source)</t>
  </si>
  <si>
    <t xml:space="preserve">8" stud (all gauges)</t>
  </si>
  <si>
    <t xml:space="preserve">stick 20 ft</t>
  </si>
  <si>
    <t xml:space="preserve">familias_out.json '8" stud (all gauges)' (R80.4: canon family the run did not write)</t>
  </si>
  <si>
    <t xml:space="preserve">6" metal stud (LF of material)</t>
  </si>
  <si>
    <t xml:space="preserve">familias_out.json '6" stud (all gauges)' (R80.4: canon family the run did not write)</t>
  </si>
  <si>
    <t xml:space="preserve">3-5/8" metal stud (LF of material)</t>
  </si>
  <si>
    <t xml:space="preserve">familias_out.json '3-5/8" stud (all gauges)' (R80.4: canon family the run did not write)</t>
  </si>
  <si>
    <t xml:space="preserve">Track, ceilings / soffits / canopy</t>
  </si>
  <si>
    <t xml:space="preserve">familias_out.json 'ceiling / soffit track' (R80.4: canon family the run did not write)</t>
  </si>
  <si>
    <t xml:space="preserve">Bracing 1-1/2" C.R. channel @ 48" O.C.</t>
  </si>
  <si>
    <t xml:space="preserve">C.R. channel 16 ft</t>
  </si>
  <si>
    <t xml:space="preserve">familias_out.json 'bracing C.R. channel' (R80.4: canon family the run did not write)</t>
  </si>
  <si>
    <t xml:space="preserve">Furring channel (ceilings)</t>
  </si>
  <si>
    <t xml:space="preserve">hat channel 12 ft</t>
  </si>
  <si>
    <t xml:space="preserve">familias_out.json 'furring channel' (R80.4: canon family the run did not write)</t>
  </si>
  <si>
    <t xml:space="preserve">Carrying channel (ceilings)</t>
  </si>
  <si>
    <t xml:space="preserve">familias_out.json 'carrying channel' (R80.4: canon family the run did not write)</t>
  </si>
  <si>
    <t xml:space="preserve">Hanger wire</t>
  </si>
  <si>
    <t xml:space="preserve">familias_out.json 'hanger wire' (R80.4: canon family the run did not write)</t>
  </si>
  <si>
    <t xml:space="preserve">5/8" gypsum board, regular</t>
  </si>
  <si>
    <t xml:space="preserve">SF</t>
  </si>
  <si>
    <t xml:space="preserve">4x8 ft sheet</t>
  </si>
  <si>
    <t xml:space="preserve">familias_out.json '5/8" gyp board regular (walls + ceilings)' (R80.4: canon family the run did not write)</t>
  </si>
  <si>
    <t xml:space="preserve">1/2" EXTERIOR gypsum sheathing</t>
  </si>
  <si>
    <t xml:space="preserve">familias_out.json '1/2" EXTERIOR gyp sheathing' (R80.4: canon family the run did not write)</t>
  </si>
  <si>
    <t xml:space="preserve">METAL trim - corner bead, casing bead, shadow molding, gypsum edge trim</t>
  </si>
  <si>
    <t xml:space="preserve">trim stick 10 ft</t>
  </si>
  <si>
    <t xml:space="preserve">familias_out.json 'metal trim (corner bead, casing, shadow molding)' (R80.4: canon family the run did not write)</t>
  </si>
  <si>
    <t xml:space="preserve">Cement board (tile / FRP substrate)</t>
  </si>
  <si>
    <t xml:space="preserve">familias_out.json 'cement board' (R80.4: canon family the run did not write)</t>
  </si>
  <si>
    <t xml:space="preserve">3-5/8" stud, framed soffit 2/A-221 (LF)</t>
  </si>
  <si>
    <t xml:space="preserve">familias_out.json stud_by_element '3-5/8" stud (all gauges)' (v76)</t>
  </si>
  <si>
    <t xml:space="preserve">FRT plywood substrate (5/8 in.)</t>
  </si>
  <si>
    <t xml:space="preserve">4x12 ft sheet (Inputs)</t>
  </si>
  <si>
    <t xml:space="preserve">familias_out.json FRT plywood by material; canon rows</t>
  </si>
  <si>
    <t xml:space="preserve">FRT plywood substrate (3/4 in.)</t>
  </si>
  <si>
    <t xml:space="preserve">Hanger wire 12 ga - hanger count (one per hanger, height per room)</t>
  </si>
  <si>
    <t xml:space="preserve">PCS</t>
  </si>
  <si>
    <t xml:space="preserve">familias_out.json hanger_pcs.total_pcs; wire bought on the LF row</t>
  </si>
  <si>
    <t xml:space="preserve">Additional head track at openings over 4'-0" wide</t>
  </si>
  <si>
    <t xml:space="preserve">accesorios.py [CRITERION]: HEAD TRACK @ NON LOAD BRG: ADD FULL LENGTH ADDL HEAD TRACK @ OPNG &gt; 4'-0"; Estimator user decision #1: R.O. + 1'-4" (8" bearing each side)</t>
  </si>
  <si>
    <t xml:space="preserve">Stud reinforcement at MEP penetrations</t>
  </si>
  <si>
    <t xml:space="preserve">each</t>
  </si>
  <si>
    <t xml:space="preserve">accesorios.py [RFI]: -</t>
  </si>
  <si>
    <t xml:space="preserve">Extra framing - ATM recess (only what a detail prints at the recess; the wall stays in its type)</t>
  </si>
  <si>
    <t xml:space="preserve">accesorios.py [DERIVED]: -; A-101</t>
  </si>
  <si>
    <t xml:space="preserve">2-1/2" CFMF @ 16" O.C. at coiling grille head (detail per plans)</t>
  </si>
  <si>
    <t xml:space="preserve">accesorios.py [None]: accesorios.py</t>
  </si>
  <si>
    <t xml:space="preserve">Gypsum board jamb return at openings</t>
  </si>
  <si>
    <t xml:space="preserve">accesorios.py [DERIVED]: -; 1/A-500</t>
  </si>
  <si>
    <t xml:space="preserve">PVC trim - edge trim molding and inside corner molding at the FRP</t>
  </si>
  <si>
    <t xml:space="preserve">accesorios.py [DERIVED]: frp_none_reason</t>
  </si>
  <si>
    <t xml:space="preserve">Power-driven fasteners and duct sleeves</t>
  </si>
  <si>
    <t xml:space="preserve">accesorios.py [DERIVED]: -</t>
  </si>
  <si>
    <t xml:space="preserve">Access panel</t>
  </si>
  <si>
    <t xml:space="preserve">accesorios.py [DERIVED]: -; A-121</t>
  </si>
  <si>
    <t xml:space="preserve">Drywall screws 1-1/4" bugle head</t>
  </si>
  <si>
    <t xml:space="preserve">accesorios.py [DERIVED]: Inputs!B20 (Drywall screws per SF of board = 1.2) x 16562.8 SF of board</t>
  </si>
  <si>
    <t xml:space="preserve">Framing screws, pan head self-drilling</t>
  </si>
  <si>
    <t xml:space="preserve">accesorios.py [DERIVED]: Inputs!B21 (Framing screws per stud piece = 4) x 1139 stud pieces</t>
  </si>
  <si>
    <t xml:space="preserve">Power-driven fasteners, slab pins for the bottom track</t>
  </si>
  <si>
    <t xml:space="preserve">accesorios.py [DERIVED]: 1051.87 LF of interior bottom track on slab / Inputs!B22 (Power-driven pin spacing (ft) = 1)</t>
  </si>
  <si>
    <t xml:space="preserve">Expansion anchors Hilti 1/4" Kwik Bolt II, exterior bottom track @ 8" O.C.</t>
  </si>
  <si>
    <t xml:space="preserve">accesorios.py [DERIVED]: SILL TRACK ANCHORAGE exterior walls @ 8" O.C. (stud schedule)</t>
  </si>
  <si>
    <t xml:space="preserve">Joint compound, all purpose</t>
  </si>
  <si>
    <t xml:space="preserve">LB</t>
  </si>
  <si>
    <t xml:space="preserve">lb</t>
  </si>
  <si>
    <t xml:space="preserve">accesorios.py [DERIVED]: Inputs!B23 (Joint compound (lb per SF) = 0.072) x 16562.8 SF of board</t>
  </si>
  <si>
    <t xml:space="preserve">Joint tape, paper</t>
  </si>
  <si>
    <t xml:space="preserve">accesorios.py [DERIVED]: Inputs!B24 (Joint tape (LF per SF) = 0.37) x 16562.8 SF of board</t>
  </si>
  <si>
    <t xml:space="preserve">Level 5 finish</t>
  </si>
  <si>
    <t xml:space="preserve">accesorios.py [DERIVED]: -; A-510</t>
  </si>
  <si>
    <t xml:space="preserve">Deflection clips at non-load-bearing walls to structure</t>
  </si>
  <si>
    <t xml:space="preserve">accesorios.py [DERIVED]: 3/A-410</t>
  </si>
  <si>
    <t xml:space="preserve">RFI</t>
  </si>
  <si>
    <t xml:space="preserve">Question / condition</t>
  </si>
  <si>
    <t xml:space="preserve">Delta of each alternative</t>
  </si>
  <si>
    <t xml:space="preserve">RFI-ACC-slab-pins</t>
  </si>
  <si>
    <t xml:space="preserve">slab pins: pin spacing: 12" (interior anchorage) vs 16" (fastener schedule) vs 24" (type K box)</t>
  </si>
  <si>
    <t xml:space="preserve">16in: -262.97 pcs; 24in: -525.93 pcs</t>
  </si>
  <si>
    <t xml:space="preserve">RFI-ACC-stud-reinforcement-mep</t>
  </si>
  <si>
    <t xml:space="preserve">stud reinforcement MEP: MEP sweep not registrable: mep.registro M-102 (page 48) vs A-101 (page 6) gave 20 / 14 matching wall segments (&lt; 25 required); the HVAC sheet is not used for geometric crossings (mep.py rule). Ducts crossing the full-height type 2 / 5 / E walls must be counted from M-102 by the estimator.</t>
  </si>
  <si>
    <t xml:space="preserve">per duct crossing a stud wall: + MAX(1, ROUNDUP(duct width / 16")) stud reinforcement plates x stud rows (6/A-410 penetration details); plus 1 duct sleeve each</t>
  </si>
  <si>
    <t xml:space="preserve">RFI-01</t>
  </si>
  <si>
    <t xml:space="preserve">Exterior types 1 / 1A / 1B / 1C: 5/8" gyp bd "BY FUTURE TENANT" (1, 1A, 1B, 1C/A-410). Framing included, gyp bd EXCLUDED (estimator decision). Confirm. ALSO A-002 Responsibility Schedule (Div 05): "PERIMETER STUDS, INSULATION, VAPOR BARRIER F/I BY LL" - the perimeter framing of types 1 / 1A / 1B / 1C may be by the landlord. Carried today: framing INCLUDED (estimator decision). Confirm who furnishes / installs the perimeter studs.</t>
  </si>
  <si>
    <t xml:space="preserve">If gyp bd is in our scope: + 10358.5 SF 5/8" gyp bd (one face, 417.43 LF x wall height) + finishing; if perimeter studs are by LL: - 8,901 LF studs (1A 1,692 + 1 4,236 + 1B 2,333 + 1C 640, studs_out) with their bottom / top track, bracing and the 1B sheathing (2,469.22 SF)</t>
  </si>
  <si>
    <t xml:space="preserve">RFI-02</t>
  </si>
  <si>
    <t xml:space="preserve">Type boundaries along a facade are not dimensioned: north 1A / 1 change and south 1B / 1 change (A-101).</t>
  </si>
  <si>
    <t xml:space="preserve">North: 33.54 LF move from type 1 to 1A if the change is at the adjacent tenant edge (x=800.4 pt) instead of W2-03; south: 1.55 LF move 1 &lt;-&gt; 1B (door 10 jamb). Same 3-5/8" framing for 1 / 1A; 1B is 8" studs.</t>
  </si>
  <si>
    <t xml:space="preserve">RFI-03</t>
  </si>
  <si>
    <t xml:space="preserve">B.O. deck is V.I.F. and sloped: 24'-0" (2/A-400B) to 25'-7" (2/A-400A); walls to deck loaded at 25'-0" (1/A-400A, 1/A-400B), east facade 25'-7", west 24'-0".</t>
  </si>
  <si>
    <t xml:space="preserve">Each 1 ft of deck height = 683.46 LF of studs-to-deck walls x 1 ft (studs, board where to deck, bracing rows)</t>
  </si>
  <si>
    <t xml:space="preserve">RFI-04</t>
  </si>
  <si>
    <t xml:space="preserve">Type 2 height 25'-0" exceeds the 22'-0" limit of 3-5/8" 14 ga SJ @16" (A-410 metal stud schedule). Carried: 3-5/8" 14 ga SJ @16" + diagonal bracing @32" O.C. to structure above (3/A-410 Top Track Detail).</t>
  </si>
  <si>
    <t xml:space="preserve">Diagonal braces: 115 pcs (ROUNDUP(L x 12 / 32) + 1 per type 2 wall), brace member and length not printed - not priced. Alternative: 6" 20 ga SJ (26'-8") on 273.57 LF</t>
  </si>
  <si>
    <t xml:space="preserve">RFI-05</t>
  </si>
  <si>
    <t xml:space="preserve">Cafe south line: type 1 on A-101 and E1 / E2 (6" studs, void at existing wall) on 1/A-221. Counted ONCE as E1 / E2. E2 / E1 change point not drawn.</t>
  </si>
  <si>
    <t xml:space="preserve">If both furring and 6" wall exist: + 50.24 LF type 1 furring (3-5/8") x 25'-0". E2 / E1 split at the H2a faces: 0.20 LF moves.</t>
  </si>
  <si>
    <t xml:space="preserve">RFI-06</t>
  </si>
  <si>
    <t xml:space="preserve">Cafe wall heights H1, H2a, H2b, H3a, H3b, F not printed (sections break at the top; A-225 finish plan and A-226A elevations give finish tops 11'-0", 11'-6", 15'-0" only). Loaded to deck 25'-0" (rule 53.3).</t>
  </si>
  <si>
    <t xml:space="preserve">If studs stop at ~11'-6": - 69.78 LF x 13.5 ft of studs / board on these walls</t>
  </si>
  <si>
    <t xml:space="preserve">RFI-07</t>
  </si>
  <si>
    <t xml:space="preserve">Exterior furring 3-5/8" (types 1, 1A, 1C) at 24'-0" to 25'-7" exceeds 22'-0" (14 ga SJ); 1B 8" studs are not in the A-410 schedule. Gauge / bracing to CMU not shown.</t>
  </si>
  <si>
    <t xml:space="preserve">Alternative 6" studs on the 3-5/8" furring, or lateral bracing to the CMU at mid-height: price per LF of furring; audit F-16: A-410 stud schedule caps 3-5/8" at 22'-0" even at 14 ga - same applies to all 3-5/8" walls to 25 ft (types 1, 1A, 1C, 2): stop studs at nested bracing below deck or upsize</t>
  </si>
  <si>
    <t xml:space="preserve">RFI-08</t>
  </si>
  <si>
    <t xml:space="preserve">Type I: 5/8" FRT plywood to top of WD-1 and GWB above (I/A-221): top of WD-1 not printed. GWB loaded full height.</t>
  </si>
  <si>
    <t xml:space="preserve">Each 1 ft of WD-1 height moves 3.31 SF from GWB to FRT plywood</t>
  </si>
  <si>
    <t xml:space="preserve">RFI-09</t>
  </si>
  <si>
    <t xml:space="preserve">Door headers: no header schedule in the set and 1/A-500 shows no header; headers carried 0 LF.</t>
  </si>
  <si>
    <t xml:space="preserve">If a 2-piece track header is required at every door: + 130.96 LF ((R.O. + 1'-4") x 2)</t>
  </si>
  <si>
    <t xml:space="preserve">RFI-10</t>
  </si>
  <si>
    <t xml:space="preserve">Existing exterior doors 10, 12 (overhead), 13 are EXISTING V.I.F.: furring openings measured on the plan (3.49, 10.00, 6.33 ft); heads not printed.</t>
  </si>
  <si>
    <t xml:space="preserve">Furring header / head track at these openings sized in the field; additional head track carried 19.0 LF (doors 12, 13)</t>
  </si>
  <si>
    <t xml:space="preserve">RFI-11</t>
  </si>
  <si>
    <t xml:space="preserve">W.R. gyp bd in wet rooms (A-410 partition note 7 and 2/A-410 "restroom / cafe walls only") vs. the estimator rule (MR only behind toilet / lavatory, which here back onto the exterior EXT-07, gyp by tenant). Regular board carried.</t>
  </si>
  <si>
    <t xml:space="preserve">If W.R. on every restroom / janitor face: 935.4 SF change from regular to W.R. board; audit: Men's, Women's and Janitor faces about 1,326 SF + drinking fountain alcove + kitchenette wall (A-410 "*" note, note 7, 2/A-410, A-101 general note 8)</t>
  </si>
  <si>
    <t xml:space="preserve">RFI-12</t>
  </si>
  <si>
    <t xml:space="preserve">Ceramic cove tile base (Cafe 103, Men's 108, Women's 109) and restroom wall tile (A-200, TL-2): cement board backer not detailed on the partitions.</t>
  </si>
  <si>
    <t xml:space="preserve">If cement board is required behind the tile: + wall tile area of A-200 elevations (not dimensioned here); audit A-09: tile base 22/A-201 5/8" cement board 1'-2" x Men's + Women's perimeter (2 x 32.33 LF) = about 76 SF</t>
  </si>
  <si>
    <t xml:space="preserve">RFI-13</t>
  </si>
  <si>
    <t xml:space="preserve">FRP-1 (A-510: Cafe Work Room, Janitor, Cafe below counter): extent / height not printed for the partitions. Not quantified.</t>
  </si>
  <si>
    <t xml:space="preserve">FRP-1 SF = Cafe Workroom walls (~81 LF) x 10'-0" + Janitor walls x height - to be confirmed</t>
  </si>
  <si>
    <t xml:space="preserve">RFI-14</t>
  </si>
  <si>
    <t xml:space="preserve">Cafe 11'-0" framed soffit open faces (2/A-221): GWB vs WD-1 split not printed; GWB loaded full height to deck.</t>
  </si>
  <si>
    <t xml:space="preserve">Each 1 ft of WD-1 on the open faces = 32.89 SF less GWB</t>
  </si>
  <si>
    <t xml:space="preserve">RFI-15</t>
  </si>
  <si>
    <t xml:space="preserve">Suspended GWB ceilings: carrying channel direction not shown (E-W assumed); Cafe Seating cloud is drawn as USG drywall grid (4/A-121) but carried as the 5/A-121 hat channel system.</t>
  </si>
  <si>
    <t xml:space="preserve">N-S direction changes carrying / furring LF; USG grid = main tees + cross tees instead of hat / CRC channels (same area 573.69 SF)</t>
  </si>
  <si>
    <t xml:space="preserve">RFI-16</t>
  </si>
  <si>
    <t xml:space="preserve">Vestibule GWB ceiling box (4/A-210, 1/A-210): 8" joists @16", 8" box beam, posts, ledger, 3/4" plywood, 5/8" GWB 94.67 SF + 0.78 ft fascias - not priced by the package (no 8" joist family).</t>
  </si>
  <si>
    <t xml:space="preserve">Pending: 94.67 SF GWB ceiling + fascia ~23 SF + 8" framing per 4/A-210; audit A-04: vestibule GWB ceiling 10'-6" (A-121 key note 5) about 8'-5" x 12'-8" = 107 SF suspended GWB (5/A-121), perimeter about 42 LF</t>
  </si>
  <si>
    <t xml:space="preserve">RFI-17</t>
  </si>
  <si>
    <t xml:space="preserve">Column surrounds C25: stud spacing not printed (16" assumed); 9 columns counted on A-101 (reading B mentioned 10).</t>
  </si>
  <si>
    <t xml:space="preserve">Each additional column: + 8 LF track x 2, 8 studs x 8 ft, 64 SF board, 32 LF corner bead</t>
  </si>
  <si>
    <t xml:space="preserve">RFI-18</t>
  </si>
  <si>
    <t xml:space="preserve">Type 4 curved walls: printed 25'-1" (taken) vs average of the two vector faces 25.68 ft.</t>
  </si>
  <si>
    <t xml:space="preserve">+1.20 LF type 4 if the face average is used</t>
  </si>
  <si>
    <t xml:space="preserve">RFI-19</t>
  </si>
  <si>
    <t xml:space="preserve">Board height where a ceiling exists: 2/A-410 extends gyp to deck only where there is no ceiling (taken: ceiling + 6"); A-410 partition note 2 asks gyp on both sides for the full stud height.</t>
  </si>
  <si>
    <t xml:space="preserve">Full height everywhere: + 4342.6 SF 5/8" gyp bd</t>
  </si>
  <si>
    <t xml:space="preserve">RFI-20</t>
  </si>
  <si>
    <t xml:space="preserve">Grab &amp; Go header soffit (3/A-221, 6'-2" x ~7"): framing to deck and its faces not dimensioned - not priced.</t>
  </si>
  <si>
    <t xml:space="preserve">3.73 SF GWB soffit + two faces 6.17 LF x (deck - 7'-1"); audit A-05: Grab &amp; Go GWB ceiling 7'-1" (A-121) about 18 SF GWB + framing</t>
  </si>
  <si>
    <t xml:space="preserve">RFI-21</t>
  </si>
  <si>
    <t xml:space="preserve">Cafe Seating GWB cloud edge: 6" fascia (4/A-121, measured on the detail, not dimensioned) and edge molding DGCM27.</t>
  </si>
  <si>
    <t xml:space="preserve">107.21 LF edge x 0.5 ft = 53.6 SF GWB + 107.21 LF edge trim</t>
  </si>
  <si>
    <t xml:space="preserve">RFI-22</t>
  </si>
  <si>
    <t xml:space="preserve">Types 3 and 4: "F.R.P. over 5/8" plywood where shelving occurs" (3/A-410, 4/A-410) - fixture plan A-111 does not define the extent on the partial walls.</t>
  </si>
  <si>
    <t xml:space="preserve">5/8" plywood + FRP on 121.15 LF x height per face where shelving occurs</t>
  </si>
  <si>
    <t xml:space="preserve">RFI-23</t>
  </si>
  <si>
    <t xml:space="preserve">FRT wood blocking / backing is called but not dimensioned: A-101 key notes C12 (12/A-412), C16 (8/A-413), C20 (6/A-412) "PROVIDE F.R.T. BLOCKING AS NEEDED"; 3/A-412 and 4/A-412 "F.R.T. BLOCKING IN WALL BEHIND GWB" (office); 13/A-412, 14/A-412 FRT wood blocking at cabinets / counter; 8A/A-413 "CONTINUOUS 2x4 F.R.T. WOOD BLOCKING (TYP.)" at receiving table; 7/A-413 and 7A/A-413 stock room shelving fastened to FRT wood blocking (C14, C27); P-201 water heater (EWH-2, unnumbered detail) 2x4 metal stud backing + steel backing plates. Rows / heights / extents not dimensioned - not quantified. Confirm extent or accept allowance.</t>
  </si>
  <si>
    <t xml:space="preserve">Receiving table only: 17'-3" (8/A-413) x 3 rows read on 8A/A-413 = 51.75 LF 2x4 FRT [DERIVED, rows to verify]; office 3/A-412 + 4/A-412, breakroom 6/A-412, stock room shelving C14 / C27 (7/A-413) and water heater (P-201): + 1 row per shelf / counter line x elevation width - nothing carried today. Audit counts (approx.): toilet rooms 3/4" FRT plywood behind 6 grab bars, 2 lavatories, 2 baby changing stations (21/A-201, 26/A-201, A-200) + 2 framed openings for recessed waste receptacles; 6 recessed FE cabinets C11 (4/A-101); stock room shelving C14 / C27 about 43 units = about 387 LF FRT (7/A-413); receiving table 17'-3" x 4 rows = 69 LF (8A/A-413); Manager's Office about 86 LF (3, 4, 14/A-412); kitchenette about 10.7 LF (6/A-412); menu board about 57 SF FRT plywood (4/A-226A); janitor about 23 SF 3/4" plywood (11/A-200); cafe sign about 6 LF x 2 rows (1/A-226A); W-3 surface blocking 1/A-414, 7/A-414 by GC / fixture installer</t>
  </si>
  <si>
    <t xml:space="preserve">RFI-24</t>
  </si>
  <si>
    <t xml:space="preserve">Gypsum board control joints: none labeled or detailed on A-410, A-121, A-221 or A-510 ("CJ" only in the M-100 legend). ASTM C840 limits uninterrupted wall runs to 30 ft; type 2 walls W2-01 (48.77 LF), W2-03 (94.24 LF), W2-04 (56.76 LF) exceed it. Not carried - confirm.</t>
  </si>
  <si>
    <t xml:space="preserve">Type 2: floor(L / 30) = 1 + 3 + 1 = 5 joints x 25.0 ft x 2 faces = + 250.0 LF control joint; if RFI-01 brings exterior gyp bd into scope: EXT-02 5 x 25.0 + EXT-03 2 x 24.0 + EXT-07 1 x 25.0 = + 198.0 LF (one face)</t>
  </si>
  <si>
    <t xml:space="preserve">RFI-25</t>
  </si>
  <si>
    <t xml:space="preserve">A-101 key note C5: "DEMISING PARTITION TO BE PATCHED AND REPAIRED TO MAINTAIN EXISTING FIRE RATING. PREPARE WALLS FOR NEW FINISH. ADD GWB/FURRING AS REQUIRED." Extent of patching and of added GWB / furring on the existing demising walls is not defined. Not carried - confirm scope and extent.</t>
  </si>
  <si>
    <t xml:space="preserve">Allowance basis: demising wall LF x height x 1 face of 5/8" Type X gyp bd (+ furring if required) - LF of C5 walls to be confirmed on A-101; nothing carried today</t>
  </si>
  <si>
    <t xml:space="preserve">RFI-26</t>
  </si>
  <si>
    <t xml:space="preserve">Type 1B sheathing product: 1B/A-410 calls 1/2" EXTERIOR GYP SHEATHING; A-001A Div 09 A.3 calls a glass mat gypsum substrate for exterior sheathing. Carried: 1/2" exterior gyp sheathing 2,469.22 SF gross (1B walls, wall height) - door 12 (EXISTING overhead, 10'-0" wide, head not printed, RFI-10) not deducted.</t>
  </si>
  <si>
    <t xml:space="preserve">Same SF (2,469.22) as glass mat sheathing instead of exterior gyp; - 10.0 ft x door 12 head height if the opening is deducted</t>
  </si>
  <si>
    <t xml:space="preserve">RFI-27</t>
  </si>
  <si>
    <t xml:space="preserve">Board type: A-001A Div 09 A.2 and 4/A-121, 5/A-121 call 5/8" TYPE X gypsum board; A-410 partition types read "5/8" GYP BD". Carried as 5/8" regular.</t>
  </si>
  <si>
    <t xml:space="preserve">16,562.77 SF switch from 5/8" regular to 5/8" Type X (same SF, unit price change)</t>
  </si>
  <si>
    <t xml:space="preserve">RFI-28</t>
  </si>
  <si>
    <t xml:space="preserve">Types 3 and 4 base anchorage: 3/A-410, 4/A-410 and A/A-410 draw a moment clip at the stud base with Hilti Kwik HUS-EZ anchors; spacing not printed separately. Not carried (expansion anchors 0).</t>
  </si>
  <si>
    <t xml:space="preserve">If one clip per stud: + 162 moment clips (type 3 = 40 studs, type 4 = 122 studs, studs_out) + 324 Kwik HUS-EZ 1/4" x 1-5/8" (2 per clip)</t>
  </si>
  <si>
    <t xml:space="preserve">RFI-29</t>
  </si>
  <si>
    <t xml:space="preserve">Corner guards: A-101 key note C22 "STAINLESS STEEL CORNER GUARDS AT 48" A.F.F. FOR ALL OUTSIDE GYPSUM BOARD CORNERS AT STOCKROOM WALLS" vs A-001A "METAL CORNER GUARDS (2"X2"X72") AT ALL OUTSIDE CORNERS". Extent and installer (drywall vs Div 10) not defined. Not carried.</t>
  </si>
  <si>
    <t xml:space="preserve">C22: stock room outside corners only, about 4 to 6 corners x 4 ft; spec: every outside corner x 6 ft including 36 column surround corners (9 x 4)</t>
  </si>
  <si>
    <t xml:space="preserve">RFI-30</t>
  </si>
  <si>
    <t xml:space="preserve">Access panels: M-100 general note 30 and E general note 12 "THE GENERAL CONTRACTOR SHALL INSTALL ACCESS PANELS"; A-002 F/I tenant contractor; quantity not shown on any sheet. Not carried.</t>
  </si>
  <si>
    <t xml:space="preserve">Install only: allowance of 4 to 6 panels in the GWB ceilings (restrooms, Cafe bands / soffit, vestibule)</t>
  </si>
  <si>
    <t xml:space="preserve">14 questions in total, asked ONE at a time in this order: floor plan (partition types A-Z), then the details the floor plan calls, in order</t>
  </si>
  <si>
    <t xml:space="preserve">#</t>
  </si>
  <si>
    <t xml:space="preserve">Phase</t>
  </si>
  <si>
    <t xml:space="preserve">Type / order</t>
  </si>
  <si>
    <t xml:space="preserve">Item</t>
  </si>
  <si>
    <t xml:space="preserve">Sheet + detail</t>
  </si>
  <si>
    <t xml:space="preserve">Image</t>
  </si>
  <si>
    <t xml:space="preserve">1/14</t>
  </si>
  <si>
    <t xml:space="preserve">Floor plan</t>
  </si>
  <si>
    <t xml:space="preserve">1</t>
  </si>
  <si>
    <t xml:space="preserve">South facade 1B / 1 boundary and Cafe overlap (RFI-02, RFI-05)</t>
  </si>
  <si>
    <t xml:space="preserve">A-101</t>
  </si>
  <si>
    <t xml:space="preserve">see FINAL_FOR_REVIEW images</t>
  </si>
  <si>
    <t xml:space="preserve">2/14</t>
  </si>
  <si>
    <t xml:space="preserve">1A</t>
  </si>
  <si>
    <t xml:space="preserve">North facade 1A / 1 boundary: W2-03 vs adjacent tenant edge, 33.54 LF (RFI-02)</t>
  </si>
  <si>
    <t xml:space="preserve">3/14</t>
  </si>
  <si>
    <t xml:space="preserve">1B</t>
  </si>
  <si>
    <t xml:space="preserve">Storefront openings left out of the exterior LF (R70.7); reading B measured through them (+65.55 LF)</t>
  </si>
  <si>
    <t xml:space="preserve">4/14</t>
  </si>
  <si>
    <t xml:space="preserve">2</t>
  </si>
  <si>
    <t xml:space="preserve">Corridor wall W2-05 starts at the restroom front (7.92 LF, reading B) - image res_W205.png</t>
  </si>
  <si>
    <t xml:space="preserve">5/14</t>
  </si>
  <si>
    <t xml:space="preserve">4</t>
  </si>
  <si>
    <t xml:space="preserve">Center feature caps = open U + curved walls 25'-1" (RFI-18)</t>
  </si>
  <si>
    <t xml:space="preserve">6/14</t>
  </si>
  <si>
    <t xml:space="preserve">C25</t>
  </si>
  <si>
    <t xml:space="preserve">Column surrounds: 9 counted (B said 10) (RFI-17)</t>
  </si>
  <si>
    <t xml:space="preserve">7/14</t>
  </si>
  <si>
    <t xml:space="preserve">I</t>
  </si>
  <si>
    <t xml:space="preserve">Workroom door pier: 1'-0" return = type I (tag PT0050), E1 pier 2.11 LF</t>
  </si>
  <si>
    <t xml:space="preserve">1/A-221</t>
  </si>
  <si>
    <t xml:space="preserve">8/14</t>
  </si>
  <si>
    <t xml:space="preserve">Detail</t>
  </si>
  <si>
    <t xml:space="preserve">Board height ceiling + 6" vs full height (RFI-19)</t>
  </si>
  <si>
    <t xml:space="preserve">9/14</t>
  </si>
  <si>
    <t xml:space="preserve">Type 2 &gt; 22 ft: 14 ga SJ + diagonal bracing @32" (RFI-04)</t>
  </si>
  <si>
    <t xml:space="preserve">10/14</t>
  </si>
  <si>
    <t xml:space="preserve">Cafe heights not printed, loaded to deck (RFI-06)</t>
  </si>
  <si>
    <t xml:space="preserve">11/14</t>
  </si>
  <si>
    <t xml:space="preserve">Type I WD-1 top (RFI-08)</t>
  </si>
  <si>
    <t xml:space="preserve">12/14</t>
  </si>
  <si>
    <t xml:space="preserve">Cafe framed soffit faces (RFI-14)</t>
  </si>
  <si>
    <t xml:space="preserve">13/14</t>
  </si>
  <si>
    <t xml:space="preserve">Ceiling system / carrying direction / cloud grid (RFI-15)</t>
  </si>
  <si>
    <t xml:space="preserve">5/A-121</t>
  </si>
  <si>
    <t xml:space="preserve">14/14</t>
  </si>
  <si>
    <t xml:space="preserve">Vestibule ceiling box not priced (RFI-16)</t>
  </si>
  <si>
    <t xml:space="preserve">4/A-210</t>
  </si>
  <si>
    <t xml:space="preserve">Scope ID</t>
  </si>
  <si>
    <t xml:space="preserve">Scope</t>
  </si>
  <si>
    <t xml:space="preserve">Note (quantity, NOT APPLICABLE + sheet, or RFI)</t>
  </si>
  <si>
    <t xml:space="preserve">ALC-01</t>
  </si>
  <si>
    <t xml:space="preserve">Interior partition framing (studs + tracks)</t>
  </si>
  <si>
    <t xml:space="preserve">QUANTIFIED</t>
  </si>
  <si>
    <t xml:space="preserve">Partition types 1A,1,1B,1C,2,5,3,4,H1,H2a,H2b,H3a,H3b,E2,E1,F,I,A,B,D,C per schedule A-410 (1A/A-410..5/A-410) and A-221 Cafe types; plan A-101, A-221; 3-5/8", 6", 8" stud families in Material Summary</t>
  </si>
  <si>
    <t xml:space="preserve">ALC-02</t>
  </si>
  <si>
    <t xml:space="preserve">Exterior wall framing (CFMF)</t>
  </si>
  <si>
    <t xml:space="preserve">Exterior wall lining types 1, 1A, 1B, 1C (1/A-410, 1A/A-410, 1B/A-410, 1C/A-410) on A-101 quantified as framing; existing building shell, no new exterior CFMF structure; E-301 (p44) note is electrical conduit only</t>
  </si>
  <si>
    <t xml:space="preserve">ALC-03</t>
  </si>
  <si>
    <t xml:space="preserve">Parapet framing</t>
  </si>
  <si>
    <t xml:space="preserve">NOT APPLICABLE</t>
  </si>
  <si>
    <t xml:space="preserve">NOT APPLICABLE: no parapet framing in scope - partition schedule A-410 and sections A-400A, A-400B show no parapet type; M-301 (p50) mention is a mechanical roof-edge note</t>
  </si>
  <si>
    <t xml:space="preserve">ALC-04</t>
  </si>
  <si>
    <t xml:space="preserve">Top / deflection and bottom track</t>
  </si>
  <si>
    <t xml:space="preserve">Bottom track and top / deflection track = partition LF per type (A-101, A-221; 2/A-410, 3/A-410); M-302 (p51) mention is plumbing expansion fittings</t>
  </si>
  <si>
    <t xml:space="preserve">ALC-05</t>
  </si>
  <si>
    <t xml:space="preserve">Headers, sills and jambs at openings</t>
  </si>
  <si>
    <t xml:space="preserve">RFI-09 door headers: no header schedule in the set and 1/A-500 shows no header; jambs carried as studs; sill track not called (A-500 door schedule)</t>
  </si>
  <si>
    <t xml:space="preserve">ALC-06</t>
  </si>
  <si>
    <t xml:space="preserve">Bracing / bridging</t>
  </si>
  <si>
    <t xml:space="preserve">Bracing C.R. channel @ 4'-0" O.C. per A-410 partition note 4 and 2/A-410, 3/A-410, 4/A-410; diagonal bracing type 2 &gt; 22' per note 3/A-410 (RFI-04)</t>
  </si>
  <si>
    <t xml:space="preserve">ALC-07</t>
  </si>
  <si>
    <t xml:space="preserve">Gypsum board on walls (layers per type)</t>
  </si>
  <si>
    <t xml:space="preserve">5/8" gyp bd per type and face (A-410 schedule, A-101, A-221); types 1/1A/1B/1C gyp bd EXCLUDED - by future tenant (RFI-01)</t>
  </si>
  <si>
    <t xml:space="preserve">ALC-08</t>
  </si>
  <si>
    <t xml:space="preserve">Moisture / abuse / special board at wet zones</t>
  </si>
  <si>
    <t xml:space="preserve">RFI-11 W.R. gyp bd in wet rooms (A-410 partition note 7, 2/A-410) - extent not defined; not carried</t>
  </si>
  <si>
    <t xml:space="preserve">ALC-09</t>
  </si>
  <si>
    <t xml:space="preserve">Exterior gypsum / glass mat sheathing</t>
  </si>
  <si>
    <t xml:space="preserve">1/2" exterior gyp sheathing 1B/A-410 quantified 2,469.22 SF (type 1B walls x wall height, exterior face); product vs glass mat (A-001A) RFI-26. Earlier NOT APPLICABLE was wrong (audit F-01: 1B/A-410 calls the sheathing; M-301 (p50) mention was unrelated)</t>
  </si>
  <si>
    <t xml:space="preserve">ALC-10</t>
  </si>
  <si>
    <t xml:space="preserve">FRT plywood sheathing / substrate</t>
  </si>
  <si>
    <t xml:space="preserve">FRT plywood 5/8" substrate types I, 3, 4 (I/A-221, 3/A-410, 4/A-410) and 3/4" FRT plywood boards E-103 (p37 4'x8' FRT PLYWOOD) in Material Summary</t>
  </si>
  <si>
    <t xml:space="preserve">ALC-11</t>
  </si>
  <si>
    <t xml:space="preserve">Gypsum board ceilings</t>
  </si>
  <si>
    <t xml:space="preserve">Suspended GWB ceilings and soffits per A-121 RCP (5/A-121, 4/A-121) and A-221 / 2/A-221; in 5/8" gyp bd family</t>
  </si>
  <si>
    <t xml:space="preserve">ALC-12</t>
  </si>
  <si>
    <t xml:space="preserve">Ceiling suspension (furring / carrying channel / hanger wire / ceiling track)</t>
  </si>
  <si>
    <t xml:space="preserve">Furring channel @ 24", carrying channel @ 48", hanger wire 103 pcs, ceiling track per 5/A-121 on A-121; direction assumed E-W (RFI-15); M-100 (p46), M-101 (p47), M-102 (p48) hangers are MEP</t>
  </si>
  <si>
    <t xml:space="preserve">ALC-13</t>
  </si>
  <si>
    <t xml:space="preserve">Soffits and bulkheads (framing + board)</t>
  </si>
  <si>
    <t xml:space="preserve">Framed soffit 2/A-221, Grab &amp; Go header 3/A-221 (RFI-20), soffit sides on A-121; E-102 (p36) bulkhead is signage (by others)</t>
  </si>
  <si>
    <t xml:space="preserve">ALC-14</t>
  </si>
  <si>
    <t xml:space="preserve">Canopy / marquee framing and sheathing</t>
  </si>
  <si>
    <t xml:space="preserve">NOT APPLICABLE: E-102 (p36) 'MOUNT WITHIN CANOPY BULKHEAD' is an electrical sign note at the existing canopy; no canopy framing on A-101, A-121, A-210</t>
  </si>
  <si>
    <t xml:space="preserve">ALC-15</t>
  </si>
  <si>
    <t xml:space="preserve">Column furring / wraps</t>
  </si>
  <si>
    <t xml:space="preserve">Column wraps C25 x 9 on A-101 (stud spacing assumed 16", RFI-17) carried under OTHER FRAMING</t>
  </si>
  <si>
    <t xml:space="preserve">ALC-16</t>
  </si>
  <si>
    <t xml:space="preserve">Blocking (FRT wood / metal) for millwork and accessories</t>
  </si>
  <si>
    <t xml:space="preserve">RFI-23 backing / blocking: P-201 (p60) water heater metal stud backing and steel blocking; accessory blocking not drawn on A-sheets; not quantified</t>
  </si>
  <si>
    <t xml:space="preserve">ALC-17</t>
  </si>
  <si>
    <t xml:space="preserve">Framed openings (MEP, access panels, diffusers)</t>
  </si>
  <si>
    <t xml:space="preserve">RFI-30 access panels: M-100 general note 30 (p46) / E-201 (p40) 'GC SHALL INSTALL ACCESS PANELS', quantity not shown; no framed MEP opening drawn in GWB walls (A-121, M-102, P-101A). Earlier NOT APPLICABLE corrected (audit A-06)</t>
  </si>
  <si>
    <t xml:space="preserve">ALC-18</t>
  </si>
  <si>
    <t xml:space="preserve">Trim: corner bead, casing bead, control joints, reveals</t>
  </si>
  <si>
    <t xml:space="preserve">Metal trim (corner bead, casing / L-bead) per A-410 and A-121 details; M-100 (p46) CJ is a legend abbreviation; audit F-05 / F-06: column surround corner bead 288 LF + Cafe cloud corner bead / J-bead 107.21 LF each (4/A-121)</t>
  </si>
  <si>
    <t xml:space="preserve">ALC-19</t>
  </si>
  <si>
    <t xml:space="preserve">Acoustical sealant / sound attenuation (EXCLUDED: estimator standing order, all projects)</t>
  </si>
  <si>
    <t xml:space="preserve">EXCLUDED: EXCLUDED in all projects (estimator standing order): no acoustical sealant row and no quantity</t>
  </si>
  <si>
    <t xml:space="preserve">ALC-20</t>
  </si>
  <si>
    <t xml:space="preserve">FRP / cement board / tile backer</t>
  </si>
  <si>
    <t xml:space="preserve">Cement board at wet walls (A-510 tile finishes, RFI-12); FRP-1 extent RFI-13 / RFI-22 not carried</t>
  </si>
  <si>
    <t xml:space="preserve">ALC-21</t>
  </si>
  <si>
    <t xml:space="preserve">Shaft walls / area separation walls</t>
  </si>
  <si>
    <t xml:space="preserve">NOT APPLICABLE: no shaft wall / area separation wall in partition schedule A-410 or plan A-101</t>
  </si>
  <si>
    <t xml:space="preserve">ALC-22</t>
  </si>
  <si>
    <t xml:space="preserve">Rated assemblies (UL designs) and their board type</t>
  </si>
  <si>
    <t xml:space="preserve">NOT APPLICABLE: all partition types are Non-Rated per A-410 titles (2/A-410, 3/A-410, 4/A-410, 5/A-410); E-201 (p40), E-202 (p42), E-301 (p44), M-100 (p46) mentions are generic penetration notes</t>
  </si>
  <si>
    <t xml:space="preserve">ALC-23</t>
  </si>
  <si>
    <t xml:space="preserve">Special panels (ballistic, lead-lined, abuse)</t>
  </si>
  <si>
    <t xml:space="preserve">NOT APPLICABLE: no ballistic, lead-lined or abuse panels in A-410 schedule or A-510 finish schedule</t>
  </si>
  <si>
    <t xml:space="preserve">ALC-24</t>
  </si>
  <si>
    <t xml:space="preserve">Finish level (Level 4 / Level 5)</t>
  </si>
  <si>
    <t xml:space="preserve">NOT APPLICABLE: no finish level specified in A-510 finish schedule / notes (paint PT-1..PT-8 only); Level 4 assumed by default for joint compound and tape (listed in README_REVIEW)</t>
  </si>
  <si>
    <t xml:space="preserve">ALC-X25</t>
  </si>
  <si>
    <t xml:space="preserve">batt insulation</t>
  </si>
  <si>
    <t xml:space="preserve">EXCLUDED (estimator criterion: no insulation)</t>
  </si>
  <si>
    <t xml:space="preserve">reglas.py compuerta OK</t>
  </si>
  <si>
    <t xml:space="preserve">{"canon": "31363469904c0b54a095045981ef082b723f56ea481df632bfc2de9fb3607cad", "evidencias": "82f4ec13c901d7191f9772989e98854d158340ab19499f6cfbada96ca6cbd21e", "familias_out": "86d18442ed35f4bacf5162af818f54d03ba273bc3c4c03a470edf7dcd221e9a6", "reglas": "182268001317d55d6c346278737583948f157d485fbe7263cf3ae377f3670c1e", "version": "v73"}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</si>
</sst>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22"/>
    <col collapsed="false" customWidth="true" hidden="false" outlineLevel="0" max="3" min="3" style="0" width="6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2" t="s">
        <v>2</v>
      </c>
      <c r="B4" s="2" t="s">
        <v>3</v>
      </c>
      <c r="C4" s="2" t="s">
        <v>4</v>
      </c>
    </row>
    <row r="5" customFormat="false" ht="15" hidden="false" customHeight="false" outlineLevel="0" collapsed="false">
      <c r="A5" s="0" t="s">
        <v>5</v>
      </c>
      <c r="B5" s="3" t="n">
        <v>0.15</v>
      </c>
      <c r="C5" s="4" t="s">
        <v>6</v>
      </c>
    </row>
    <row r="6" customFormat="false" ht="15" hidden="false" customHeight="false" outlineLevel="0" collapsed="false">
      <c r="A6" s="0" t="s">
        <v>7</v>
      </c>
      <c r="B6" s="3" t="n">
        <v>0.06</v>
      </c>
      <c r="C6" s="4" t="s">
        <v>8</v>
      </c>
    </row>
    <row r="7" customFormat="false" ht="15" hidden="false" customHeight="false" outlineLevel="0" collapsed="false">
      <c r="A7" s="0" t="s">
        <v>9</v>
      </c>
      <c r="B7" s="3" t="n">
        <v>4</v>
      </c>
      <c r="C7" s="4" t="s">
        <v>10</v>
      </c>
    </row>
    <row r="8" customFormat="false" ht="15" hidden="false" customHeight="false" outlineLevel="0" collapsed="false">
      <c r="A8" s="0" t="s">
        <v>11</v>
      </c>
      <c r="B8" s="3" t="n">
        <v>12</v>
      </c>
      <c r="C8" s="4" t="s">
        <v>12</v>
      </c>
    </row>
    <row r="9" customFormat="false" ht="15" hidden="false" customHeight="false" outlineLevel="0" collapsed="false">
      <c r="A9" s="0" t="s">
        <v>13</v>
      </c>
      <c r="B9" s="0" t="n">
        <f aca="false">B7*B8</f>
        <v>48</v>
      </c>
      <c r="C9" s="0" t="s">
        <v>14</v>
      </c>
    </row>
    <row r="10" customFormat="false" ht="15" hidden="false" customHeight="false" outlineLevel="0" collapsed="false">
      <c r="A10" s="0" t="s">
        <v>15</v>
      </c>
      <c r="B10" s="3" t="n">
        <v>20</v>
      </c>
      <c r="C10" s="4" t="s">
        <v>16</v>
      </c>
    </row>
    <row r="11" customFormat="false" ht="15" hidden="false" customHeight="false" outlineLevel="0" collapsed="false">
      <c r="A11" s="0" t="s">
        <v>17</v>
      </c>
      <c r="B11" s="3" t="n">
        <v>10</v>
      </c>
      <c r="C11" s="4" t="s">
        <v>18</v>
      </c>
    </row>
    <row r="12" customFormat="false" ht="15" hidden="false" customHeight="false" outlineLevel="0" collapsed="false">
      <c r="A12" s="0" t="s">
        <v>19</v>
      </c>
      <c r="B12" s="0" t="s">
        <v>20</v>
      </c>
      <c r="C12" s="0" t="s">
        <v>21</v>
      </c>
    </row>
    <row r="13" customFormat="false" ht="15" hidden="false" customHeight="false" outlineLevel="0" collapsed="false">
      <c r="A13" s="0" t="s">
        <v>22</v>
      </c>
      <c r="B13" s="0" t="s">
        <v>20</v>
      </c>
      <c r="C13" s="0" t="s">
        <v>21</v>
      </c>
    </row>
    <row r="14" customFormat="false" ht="15" hidden="false" customHeight="false" outlineLevel="0" collapsed="false">
      <c r="A14" s="0" t="s">
        <v>23</v>
      </c>
      <c r="B14" s="0" t="s">
        <v>20</v>
      </c>
      <c r="C14" s="0" t="s">
        <v>21</v>
      </c>
    </row>
    <row r="15" customFormat="false" ht="15" hidden="false" customHeight="false" outlineLevel="0" collapsed="false">
      <c r="A15" s="0" t="s">
        <v>24</v>
      </c>
      <c r="B15" s="3" t="n">
        <v>25</v>
      </c>
      <c r="C15" s="4" t="s">
        <v>25</v>
      </c>
    </row>
    <row r="16" customFormat="false" ht="15" hidden="false" customHeight="false" outlineLevel="0" collapsed="false">
      <c r="A16" s="0" t="s">
        <v>26</v>
      </c>
      <c r="B16" s="3" t="n">
        <v>16</v>
      </c>
      <c r="C16" s="4" t="s">
        <v>27</v>
      </c>
    </row>
    <row r="17" customFormat="false" ht="15" hidden="false" customHeight="false" outlineLevel="0" collapsed="false">
      <c r="A17" s="0" t="s">
        <v>28</v>
      </c>
      <c r="B17" s="3" t="n">
        <v>12</v>
      </c>
      <c r="C17" s="4" t="s">
        <v>29</v>
      </c>
    </row>
    <row r="18" customFormat="false" ht="15" hidden="false" customHeight="false" outlineLevel="0" collapsed="false">
      <c r="A18" s="0" t="s">
        <v>30</v>
      </c>
      <c r="B18" s="3" t="n">
        <v>10</v>
      </c>
      <c r="C18" s="4" t="s">
        <v>31</v>
      </c>
    </row>
    <row r="19" customFormat="false" ht="15" hidden="false" customHeight="false" outlineLevel="0" collapsed="false">
      <c r="A19" s="0" t="s">
        <v>32</v>
      </c>
      <c r="B19" s="3" t="s">
        <v>33</v>
      </c>
      <c r="C19" s="4" t="s">
        <v>34</v>
      </c>
    </row>
    <row r="20" customFormat="false" ht="15" hidden="false" customHeight="false" outlineLevel="0" collapsed="false">
      <c r="A20" s="0" t="s">
        <v>35</v>
      </c>
      <c r="B20" s="3" t="n">
        <v>1.2</v>
      </c>
      <c r="C20" s="4" t="s">
        <v>36</v>
      </c>
    </row>
    <row r="21" customFormat="false" ht="15" hidden="false" customHeight="false" outlineLevel="0" collapsed="false">
      <c r="A21" s="0" t="s">
        <v>37</v>
      </c>
      <c r="B21" s="3" t="n">
        <v>4</v>
      </c>
      <c r="C21" s="4" t="s">
        <v>38</v>
      </c>
    </row>
    <row r="22" customFormat="false" ht="15" hidden="false" customHeight="false" outlineLevel="0" collapsed="false">
      <c r="A22" s="0" t="s">
        <v>39</v>
      </c>
      <c r="B22" s="3" t="n">
        <v>1</v>
      </c>
      <c r="C22" s="4" t="s">
        <v>40</v>
      </c>
    </row>
    <row r="23" customFormat="false" ht="15" hidden="false" customHeight="false" outlineLevel="0" collapsed="false">
      <c r="A23" s="0" t="s">
        <v>41</v>
      </c>
      <c r="B23" s="3" t="n">
        <v>0.072</v>
      </c>
      <c r="C23" s="4" t="s">
        <v>42</v>
      </c>
    </row>
    <row r="24" customFormat="false" ht="15" hidden="false" customHeight="false" outlineLevel="0" collapsed="false">
      <c r="A24" s="0" t="s">
        <v>43</v>
      </c>
      <c r="B24" s="3" t="n">
        <v>0.37</v>
      </c>
      <c r="C24" s="4" t="s">
        <v>44</v>
      </c>
    </row>
    <row r="25" customFormat="false" ht="15" hidden="false" customHeight="false" outlineLevel="0" collapsed="false">
      <c r="A25" s="0" t="s">
        <v>45</v>
      </c>
      <c r="B25" s="3" t="n">
        <v>0.666666666666667</v>
      </c>
      <c r="C25" s="4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41"/>
    <col collapsed="false" customWidth="true" hidden="false" outlineLevel="0" max="3" min="3" style="0" width="60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6"/>
    <col collapsed="false" customWidth="true" hidden="false" outlineLevel="0" max="9" min="8" style="0" width="60"/>
    <col collapsed="false" customWidth="true" hidden="false" outlineLevel="0" max="10" min="10" style="0" width="23"/>
    <col collapsed="false" customWidth="true" hidden="false" outlineLevel="0" max="11" min="11" style="0" width="11"/>
  </cols>
  <sheetData>
    <row r="1" customFormat="false" ht="16.15" hidden="false" customHeight="false" outlineLevel="0" collapsed="false">
      <c r="A1" s="1" t="s">
        <v>47</v>
      </c>
    </row>
    <row r="2" customFormat="false" ht="15" hidden="false" customHeight="false" outlineLevel="0" collapsed="false">
      <c r="A2" s="0" t="s">
        <v>48</v>
      </c>
    </row>
    <row r="4" customFormat="false" ht="15" hidden="false" customHeight="false" outlineLevel="0" collapsed="false">
      <c r="A4" s="2" t="s">
        <v>49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55</v>
      </c>
      <c r="H4" s="2" t="s">
        <v>56</v>
      </c>
      <c r="I4" s="2" t="s">
        <v>57</v>
      </c>
      <c r="J4" s="2" t="s">
        <v>58</v>
      </c>
      <c r="K4" s="2" t="s">
        <v>59</v>
      </c>
    </row>
    <row r="5" customFormat="false" ht="15" hidden="false" customHeight="false" outlineLevel="0" collapsed="false">
      <c r="A5" s="5" t="s">
        <v>60</v>
      </c>
    </row>
    <row r="6" customFormat="false" ht="15" hidden="false" customHeight="false" outlineLevel="0" collapsed="false">
      <c r="A6" s="0" t="s">
        <v>61</v>
      </c>
      <c r="B6" s="0" t="s">
        <v>62</v>
      </c>
      <c r="C6" s="0" t="n">
        <v>16.33</v>
      </c>
      <c r="D6" s="0" t="n">
        <v>25</v>
      </c>
      <c r="E6" s="0" t="n">
        <v>0</v>
      </c>
      <c r="F6" s="0" t="s">
        <v>63</v>
      </c>
      <c r="G6" s="0" t="n">
        <v>16</v>
      </c>
      <c r="H6" s="0" t="n">
        <v>0</v>
      </c>
      <c r="I6" s="0" t="s">
        <v>64</v>
      </c>
      <c r="J6" s="0" t="s">
        <v>65</v>
      </c>
      <c r="K6" s="0" t="s">
        <v>66</v>
      </c>
    </row>
    <row r="7" customFormat="false" ht="15" hidden="false" customHeight="false" outlineLevel="0" collapsed="false">
      <c r="A7" s="0" t="s">
        <v>67</v>
      </c>
      <c r="B7" s="0" t="s">
        <v>68</v>
      </c>
      <c r="C7" s="0" t="n">
        <v>64.78</v>
      </c>
      <c r="D7" s="0" t="n">
        <v>24</v>
      </c>
      <c r="E7" s="0" t="n">
        <v>0</v>
      </c>
      <c r="F7" s="0" t="s">
        <v>63</v>
      </c>
      <c r="G7" s="0" t="n">
        <v>16</v>
      </c>
      <c r="H7" s="0" t="n">
        <v>0</v>
      </c>
      <c r="I7" s="0" t="s">
        <v>69</v>
      </c>
      <c r="J7" s="0" t="s">
        <v>65</v>
      </c>
      <c r="K7" s="0" t="s">
        <v>66</v>
      </c>
    </row>
    <row r="8" customFormat="false" ht="15" hidden="false" customHeight="false" outlineLevel="0" collapsed="false">
      <c r="B8" s="6" t="s">
        <v>70</v>
      </c>
      <c r="C8" s="4" t="n">
        <f aca="false">SUM(C6:C7)</f>
        <v>81.11</v>
      </c>
      <c r="H8" s="4" t="n">
        <f aca="false">SUM(H6:H7)</f>
        <v>0</v>
      </c>
    </row>
    <row r="9" customFormat="false" ht="15" hidden="false" customHeight="false" outlineLevel="0" collapsed="false">
      <c r="A9" s="5" t="s">
        <v>71</v>
      </c>
    </row>
    <row r="10" customFormat="false" ht="15" hidden="false" customHeight="false" outlineLevel="0" collapsed="false">
      <c r="A10" s="0" t="s">
        <v>72</v>
      </c>
      <c r="B10" s="0" t="s">
        <v>73</v>
      </c>
      <c r="C10" s="0" t="n">
        <v>159.35</v>
      </c>
      <c r="D10" s="0" t="n">
        <v>25</v>
      </c>
      <c r="E10" s="0" t="n">
        <v>0</v>
      </c>
      <c r="F10" s="0" t="s">
        <v>63</v>
      </c>
      <c r="G10" s="0" t="n">
        <v>16</v>
      </c>
      <c r="H10" s="0" t="n">
        <v>0</v>
      </c>
      <c r="I10" s="0" t="s">
        <v>74</v>
      </c>
      <c r="J10" s="0" t="s">
        <v>75</v>
      </c>
      <c r="K10" s="0" t="s">
        <v>66</v>
      </c>
    </row>
    <row r="11" customFormat="false" ht="15" hidden="false" customHeight="false" outlineLevel="0" collapsed="false">
      <c r="A11" s="0" t="s">
        <v>76</v>
      </c>
      <c r="B11" s="0" t="s">
        <v>77</v>
      </c>
      <c r="C11" s="0" t="n">
        <v>56.97</v>
      </c>
      <c r="D11" s="0" t="n">
        <v>25</v>
      </c>
      <c r="E11" s="0" t="n">
        <v>0</v>
      </c>
      <c r="F11" s="0" t="s">
        <v>63</v>
      </c>
      <c r="G11" s="0" t="n">
        <v>16</v>
      </c>
      <c r="H11" s="0" t="n">
        <v>0</v>
      </c>
      <c r="I11" s="0" t="s">
        <v>78</v>
      </c>
      <c r="J11" s="0" t="s">
        <v>75</v>
      </c>
      <c r="K11" s="0" t="s">
        <v>66</v>
      </c>
    </row>
    <row r="12" customFormat="false" ht="15" hidden="false" customHeight="false" outlineLevel="0" collapsed="false">
      <c r="B12" s="6" t="s">
        <v>79</v>
      </c>
      <c r="C12" s="4" t="n">
        <f aca="false">SUM(C10:C11)</f>
        <v>216.32</v>
      </c>
      <c r="H12" s="4" t="n">
        <f aca="false">SUM(H10:H11)</f>
        <v>0</v>
      </c>
    </row>
    <row r="13" customFormat="false" ht="15" hidden="false" customHeight="false" outlineLevel="0" collapsed="false">
      <c r="A13" s="5" t="s">
        <v>80</v>
      </c>
    </row>
    <row r="14" customFormat="false" ht="15" hidden="false" customHeight="false" outlineLevel="0" collapsed="false">
      <c r="A14" s="0" t="s">
        <v>81</v>
      </c>
      <c r="B14" s="0" t="s">
        <v>82</v>
      </c>
      <c r="C14" s="0" t="n">
        <v>13.2</v>
      </c>
      <c r="D14" s="0" t="n">
        <v>24</v>
      </c>
      <c r="E14" s="0" t="n">
        <v>1</v>
      </c>
      <c r="F14" s="0" t="s">
        <v>83</v>
      </c>
      <c r="G14" s="0" t="n">
        <v>16</v>
      </c>
      <c r="H14" s="0" t="n">
        <v>316.8</v>
      </c>
      <c r="I14" s="0" t="s">
        <v>84</v>
      </c>
      <c r="J14" s="0" t="s">
        <v>85</v>
      </c>
      <c r="K14" s="0" t="s">
        <v>66</v>
      </c>
    </row>
    <row r="15" customFormat="false" ht="15" hidden="false" customHeight="false" outlineLevel="0" collapsed="false">
      <c r="A15" s="0" t="s">
        <v>86</v>
      </c>
      <c r="B15" s="0" t="s">
        <v>87</v>
      </c>
      <c r="C15" s="0" t="n">
        <v>23.67</v>
      </c>
      <c r="D15" s="0" t="n">
        <v>24</v>
      </c>
      <c r="E15" s="0" t="n">
        <v>1</v>
      </c>
      <c r="F15" s="0" t="s">
        <v>83</v>
      </c>
      <c r="G15" s="0" t="n">
        <v>16</v>
      </c>
      <c r="H15" s="0" t="n">
        <v>568.08</v>
      </c>
      <c r="I15" s="0" t="s">
        <v>88</v>
      </c>
      <c r="J15" s="0" t="s">
        <v>85</v>
      </c>
      <c r="K15" s="0" t="s">
        <v>66</v>
      </c>
    </row>
    <row r="16" customFormat="false" ht="15" hidden="false" customHeight="false" outlineLevel="0" collapsed="false">
      <c r="A16" s="0" t="s">
        <v>89</v>
      </c>
      <c r="B16" s="0" t="s">
        <v>90</v>
      </c>
      <c r="C16" s="0" t="n">
        <v>21.13</v>
      </c>
      <c r="D16" s="0" t="n">
        <v>25</v>
      </c>
      <c r="E16" s="0" t="n">
        <v>1</v>
      </c>
      <c r="F16" s="0" t="s">
        <v>83</v>
      </c>
      <c r="G16" s="0" t="n">
        <v>16</v>
      </c>
      <c r="H16" s="0" t="n">
        <v>528.25</v>
      </c>
      <c r="I16" s="0" t="s">
        <v>91</v>
      </c>
      <c r="J16" s="0" t="s">
        <v>85</v>
      </c>
      <c r="K16" s="0" t="s">
        <v>66</v>
      </c>
    </row>
    <row r="17" customFormat="false" ht="15" hidden="false" customHeight="false" outlineLevel="0" collapsed="false">
      <c r="A17" s="0" t="s">
        <v>92</v>
      </c>
      <c r="B17" s="0" t="s">
        <v>93</v>
      </c>
      <c r="C17" s="0" t="n">
        <v>7.33</v>
      </c>
      <c r="D17" s="0" t="n">
        <v>25</v>
      </c>
      <c r="E17" s="0" t="n">
        <v>1</v>
      </c>
      <c r="F17" s="0" t="s">
        <v>83</v>
      </c>
      <c r="G17" s="0" t="n">
        <v>16</v>
      </c>
      <c r="H17" s="0" t="n">
        <v>183.25</v>
      </c>
      <c r="I17" s="0" t="s">
        <v>94</v>
      </c>
      <c r="J17" s="0" t="s">
        <v>85</v>
      </c>
      <c r="K17" s="0" t="s">
        <v>66</v>
      </c>
    </row>
    <row r="18" customFormat="false" ht="15" hidden="false" customHeight="false" outlineLevel="0" collapsed="false">
      <c r="A18" s="0" t="s">
        <v>95</v>
      </c>
      <c r="B18" s="0" t="s">
        <v>96</v>
      </c>
      <c r="C18" s="0" t="n">
        <v>12.81</v>
      </c>
      <c r="D18" s="0" t="n">
        <v>25</v>
      </c>
      <c r="E18" s="0" t="n">
        <v>1</v>
      </c>
      <c r="F18" s="0" t="s">
        <v>83</v>
      </c>
      <c r="G18" s="0" t="n">
        <v>16</v>
      </c>
      <c r="H18" s="0" t="n">
        <v>320.25</v>
      </c>
      <c r="I18" s="0" t="s">
        <v>97</v>
      </c>
      <c r="J18" s="0" t="s">
        <v>85</v>
      </c>
      <c r="K18" s="0" t="s">
        <v>66</v>
      </c>
    </row>
    <row r="19" customFormat="false" ht="15" hidden="false" customHeight="false" outlineLevel="0" collapsed="false">
      <c r="A19" s="0" t="s">
        <v>98</v>
      </c>
      <c r="B19" s="0" t="s">
        <v>99</v>
      </c>
      <c r="C19" s="0" t="n">
        <v>4.36</v>
      </c>
      <c r="D19" s="0" t="n">
        <v>25.583</v>
      </c>
      <c r="E19" s="0" t="n">
        <v>1</v>
      </c>
      <c r="F19" s="0" t="s">
        <v>83</v>
      </c>
      <c r="G19" s="0" t="n">
        <v>16</v>
      </c>
      <c r="H19" s="0" t="n">
        <v>111.54</v>
      </c>
      <c r="I19" s="0" t="s">
        <v>100</v>
      </c>
      <c r="J19" s="0" t="s">
        <v>85</v>
      </c>
      <c r="K19" s="0" t="s">
        <v>66</v>
      </c>
    </row>
    <row r="20" customFormat="false" ht="15" hidden="false" customHeight="false" outlineLevel="0" collapsed="false">
      <c r="A20" s="0" t="s">
        <v>101</v>
      </c>
      <c r="B20" s="0" t="s">
        <v>102</v>
      </c>
      <c r="C20" s="0" t="n">
        <v>6.44</v>
      </c>
      <c r="D20" s="0" t="n">
        <v>25.583</v>
      </c>
      <c r="E20" s="0" t="n">
        <v>1</v>
      </c>
      <c r="F20" s="0" t="s">
        <v>83</v>
      </c>
      <c r="G20" s="0" t="n">
        <v>16</v>
      </c>
      <c r="H20" s="0" t="n">
        <v>164.75</v>
      </c>
      <c r="I20" s="0" t="s">
        <v>103</v>
      </c>
      <c r="J20" s="0" t="s">
        <v>85</v>
      </c>
      <c r="K20" s="0" t="s">
        <v>66</v>
      </c>
    </row>
    <row r="21" customFormat="false" ht="15" hidden="false" customHeight="false" outlineLevel="0" collapsed="false">
      <c r="A21" s="0" t="s">
        <v>104</v>
      </c>
      <c r="B21" s="0" t="s">
        <v>105</v>
      </c>
      <c r="C21" s="0" t="n">
        <v>6.44</v>
      </c>
      <c r="D21" s="0" t="n">
        <v>25.583</v>
      </c>
      <c r="E21" s="0" t="n">
        <v>1</v>
      </c>
      <c r="F21" s="0" t="s">
        <v>83</v>
      </c>
      <c r="G21" s="0" t="n">
        <v>16</v>
      </c>
      <c r="H21" s="0" t="n">
        <v>164.75</v>
      </c>
      <c r="I21" s="0" t="s">
        <v>106</v>
      </c>
      <c r="J21" s="0" t="s">
        <v>85</v>
      </c>
      <c r="K21" s="0" t="s">
        <v>66</v>
      </c>
    </row>
    <row r="22" customFormat="false" ht="15" hidden="false" customHeight="false" outlineLevel="0" collapsed="false">
      <c r="A22" s="0" t="s">
        <v>107</v>
      </c>
      <c r="B22" s="0" t="s">
        <v>108</v>
      </c>
      <c r="C22" s="0" t="n">
        <v>4.36</v>
      </c>
      <c r="D22" s="0" t="n">
        <v>25.583</v>
      </c>
      <c r="E22" s="0" t="n">
        <v>1</v>
      </c>
      <c r="F22" s="0" t="s">
        <v>83</v>
      </c>
      <c r="G22" s="0" t="n">
        <v>16</v>
      </c>
      <c r="H22" s="0" t="n">
        <v>111.54</v>
      </c>
      <c r="I22" s="0" t="s">
        <v>109</v>
      </c>
      <c r="J22" s="0" t="s">
        <v>85</v>
      </c>
      <c r="K22" s="0" t="s">
        <v>66</v>
      </c>
    </row>
    <row r="23" customFormat="false" ht="15" hidden="false" customHeight="false" outlineLevel="0" collapsed="false">
      <c r="B23" s="6" t="s">
        <v>110</v>
      </c>
      <c r="C23" s="4" t="n">
        <f aca="false">SUM(C14:C22)</f>
        <v>99.74</v>
      </c>
      <c r="H23" s="4" t="n">
        <f aca="false">SUM(H14:H22)</f>
        <v>2469.21</v>
      </c>
    </row>
    <row r="24" customFormat="false" ht="15" hidden="false" customHeight="false" outlineLevel="0" collapsed="false">
      <c r="A24" s="5" t="s">
        <v>111</v>
      </c>
    </row>
    <row r="25" customFormat="false" ht="15" hidden="false" customHeight="false" outlineLevel="0" collapsed="false">
      <c r="A25" s="0" t="s">
        <v>112</v>
      </c>
      <c r="B25" s="0" t="s">
        <v>113</v>
      </c>
      <c r="C25" s="0" t="n">
        <v>5.89</v>
      </c>
      <c r="D25" s="0" t="n">
        <v>25.583</v>
      </c>
      <c r="E25" s="0" t="n">
        <v>0</v>
      </c>
      <c r="F25" s="0" t="s">
        <v>63</v>
      </c>
      <c r="G25" s="0" t="n">
        <v>16</v>
      </c>
      <c r="H25" s="0" t="n">
        <v>0</v>
      </c>
      <c r="I25" s="0" t="s">
        <v>114</v>
      </c>
      <c r="J25" s="0" t="s">
        <v>115</v>
      </c>
      <c r="K25" s="0" t="s">
        <v>66</v>
      </c>
    </row>
    <row r="26" customFormat="false" ht="15" hidden="false" customHeight="false" outlineLevel="0" collapsed="false">
      <c r="A26" s="0" t="s">
        <v>116</v>
      </c>
      <c r="B26" s="0" t="s">
        <v>117</v>
      </c>
      <c r="C26" s="0" t="n">
        <v>4.24</v>
      </c>
      <c r="D26" s="0" t="n">
        <v>25.583</v>
      </c>
      <c r="E26" s="0" t="n">
        <v>0</v>
      </c>
      <c r="F26" s="0" t="s">
        <v>63</v>
      </c>
      <c r="G26" s="0" t="n">
        <v>16</v>
      </c>
      <c r="H26" s="0" t="n">
        <v>0</v>
      </c>
      <c r="I26" s="0" t="s">
        <v>118</v>
      </c>
      <c r="J26" s="0" t="s">
        <v>115</v>
      </c>
      <c r="K26" s="0" t="s">
        <v>66</v>
      </c>
    </row>
    <row r="27" customFormat="false" ht="15" hidden="false" customHeight="false" outlineLevel="0" collapsed="false">
      <c r="A27" s="0" t="s">
        <v>119</v>
      </c>
      <c r="B27" s="0" t="s">
        <v>120</v>
      </c>
      <c r="C27" s="0" t="n">
        <v>4.24</v>
      </c>
      <c r="D27" s="0" t="n">
        <v>25.583</v>
      </c>
      <c r="E27" s="0" t="n">
        <v>0</v>
      </c>
      <c r="F27" s="0" t="s">
        <v>63</v>
      </c>
      <c r="G27" s="0" t="n">
        <v>16</v>
      </c>
      <c r="H27" s="0" t="n">
        <v>0</v>
      </c>
      <c r="I27" s="0" t="s">
        <v>121</v>
      </c>
      <c r="J27" s="0" t="s">
        <v>115</v>
      </c>
      <c r="K27" s="0" t="s">
        <v>66</v>
      </c>
    </row>
    <row r="28" customFormat="false" ht="15" hidden="false" customHeight="false" outlineLevel="0" collapsed="false">
      <c r="A28" s="0" t="s">
        <v>122</v>
      </c>
      <c r="B28" s="0" t="s">
        <v>123</v>
      </c>
      <c r="C28" s="0" t="n">
        <v>5.89</v>
      </c>
      <c r="D28" s="0" t="n">
        <v>25.583</v>
      </c>
      <c r="E28" s="0" t="n">
        <v>0</v>
      </c>
      <c r="F28" s="0" t="s">
        <v>63</v>
      </c>
      <c r="G28" s="0" t="n">
        <v>16</v>
      </c>
      <c r="H28" s="0" t="n">
        <v>0</v>
      </c>
      <c r="I28" s="0" t="s">
        <v>124</v>
      </c>
      <c r="J28" s="0" t="s">
        <v>115</v>
      </c>
      <c r="K28" s="0" t="s">
        <v>66</v>
      </c>
    </row>
    <row r="29" customFormat="false" ht="15" hidden="false" customHeight="false" outlineLevel="0" collapsed="false">
      <c r="B29" s="6" t="s">
        <v>125</v>
      </c>
      <c r="C29" s="4" t="n">
        <f aca="false">SUM(C25:C28)</f>
        <v>20.26</v>
      </c>
      <c r="H29" s="4" t="n">
        <f aca="false">SUM(H25:H28)</f>
        <v>0</v>
      </c>
    </row>
    <row r="30" customFormat="false" ht="15" hidden="false" customHeight="false" outlineLevel="0" collapsed="false">
      <c r="A30" s="5" t="s">
        <v>126</v>
      </c>
    </row>
    <row r="31" customFormat="false" ht="15" hidden="false" customHeight="false" outlineLevel="0" collapsed="false">
      <c r="A31" s="0" t="s">
        <v>127</v>
      </c>
      <c r="B31" s="0" t="s">
        <v>128</v>
      </c>
      <c r="C31" s="0" t="n">
        <v>53.76</v>
      </c>
      <c r="D31" s="0" t="n">
        <v>25</v>
      </c>
      <c r="E31" s="0" t="n">
        <v>2</v>
      </c>
      <c r="F31" s="0" t="s">
        <v>63</v>
      </c>
      <c r="G31" s="0" t="n">
        <v>16</v>
      </c>
      <c r="H31" s="0" t="n">
        <v>2688</v>
      </c>
      <c r="I31" s="0" t="s">
        <v>129</v>
      </c>
      <c r="J31" s="0" t="s">
        <v>130</v>
      </c>
      <c r="K31" s="0" t="s">
        <v>66</v>
      </c>
    </row>
    <row r="32" customFormat="false" ht="15" hidden="false" customHeight="false" outlineLevel="0" collapsed="false">
      <c r="A32" s="0" t="s">
        <v>131</v>
      </c>
      <c r="B32" s="0" t="s">
        <v>132</v>
      </c>
      <c r="C32" s="0" t="n">
        <v>94.24</v>
      </c>
      <c r="D32" s="0" t="n">
        <v>25</v>
      </c>
      <c r="E32" s="0" t="n">
        <v>2</v>
      </c>
      <c r="F32" s="0" t="s">
        <v>63</v>
      </c>
      <c r="G32" s="0" t="n">
        <v>16</v>
      </c>
      <c r="H32" s="0" t="n">
        <v>4508.64</v>
      </c>
      <c r="I32" s="0" t="s">
        <v>133</v>
      </c>
      <c r="J32" s="0" t="s">
        <v>130</v>
      </c>
      <c r="K32" s="0" t="s">
        <v>66</v>
      </c>
    </row>
    <row r="33" customFormat="false" ht="15" hidden="false" customHeight="false" outlineLevel="0" collapsed="false">
      <c r="A33" s="0" t="s">
        <v>134</v>
      </c>
      <c r="B33" s="0" t="s">
        <v>135</v>
      </c>
      <c r="C33" s="0" t="n">
        <v>56.76</v>
      </c>
      <c r="D33" s="0" t="n">
        <v>25</v>
      </c>
      <c r="E33" s="0" t="n">
        <v>2</v>
      </c>
      <c r="F33" s="0" t="s">
        <v>63</v>
      </c>
      <c r="G33" s="0" t="n">
        <v>16</v>
      </c>
      <c r="H33" s="0" t="n">
        <v>1958.22</v>
      </c>
      <c r="I33" s="0" t="s">
        <v>136</v>
      </c>
      <c r="J33" s="0" t="s">
        <v>130</v>
      </c>
      <c r="K33" s="0" t="s">
        <v>66</v>
      </c>
    </row>
    <row r="34" customFormat="false" ht="15" hidden="false" customHeight="false" outlineLevel="0" collapsed="false">
      <c r="A34" s="0" t="s">
        <v>137</v>
      </c>
      <c r="B34" s="0" t="s">
        <v>138</v>
      </c>
      <c r="C34" s="0" t="n">
        <v>7.92</v>
      </c>
      <c r="D34" s="0" t="n">
        <v>25</v>
      </c>
      <c r="E34" s="0" t="n">
        <v>2</v>
      </c>
      <c r="F34" s="0" t="s">
        <v>63</v>
      </c>
      <c r="G34" s="0" t="n">
        <v>16</v>
      </c>
      <c r="H34" s="0" t="n">
        <v>146.52</v>
      </c>
      <c r="I34" s="0" t="s">
        <v>139</v>
      </c>
      <c r="J34" s="0" t="s">
        <v>130</v>
      </c>
      <c r="K34" s="0" t="s">
        <v>66</v>
      </c>
    </row>
    <row r="35" customFormat="false" ht="15" hidden="false" customHeight="false" outlineLevel="0" collapsed="false">
      <c r="A35" s="0" t="s">
        <v>140</v>
      </c>
      <c r="B35" s="0" t="s">
        <v>141</v>
      </c>
      <c r="C35" s="0" t="n">
        <v>27.54</v>
      </c>
      <c r="D35" s="0" t="n">
        <v>25</v>
      </c>
      <c r="E35" s="0" t="n">
        <v>2</v>
      </c>
      <c r="F35" s="0" t="s">
        <v>63</v>
      </c>
      <c r="G35" s="0" t="n">
        <v>16</v>
      </c>
      <c r="H35" s="0" t="n">
        <v>580.04</v>
      </c>
      <c r="I35" s="0" t="s">
        <v>142</v>
      </c>
      <c r="J35" s="0" t="s">
        <v>130</v>
      </c>
      <c r="K35" s="0" t="s">
        <v>66</v>
      </c>
    </row>
    <row r="36" customFormat="false" ht="15" hidden="false" customHeight="false" outlineLevel="0" collapsed="false">
      <c r="A36" s="0" t="s">
        <v>143</v>
      </c>
      <c r="B36" s="0" t="s">
        <v>144</v>
      </c>
      <c r="C36" s="0" t="n">
        <v>7.51</v>
      </c>
      <c r="D36" s="0" t="n">
        <v>25</v>
      </c>
      <c r="E36" s="0" t="n">
        <v>2</v>
      </c>
      <c r="F36" s="0" t="s">
        <v>63</v>
      </c>
      <c r="G36" s="0" t="n">
        <v>16</v>
      </c>
      <c r="H36" s="0" t="n">
        <v>255.34</v>
      </c>
      <c r="I36" s="0" t="s">
        <v>145</v>
      </c>
      <c r="J36" s="0" t="s">
        <v>130</v>
      </c>
      <c r="K36" s="0" t="s">
        <v>66</v>
      </c>
    </row>
    <row r="37" customFormat="false" ht="15" hidden="false" customHeight="false" outlineLevel="0" collapsed="false">
      <c r="A37" s="0" t="s">
        <v>146</v>
      </c>
      <c r="B37" s="0" t="s">
        <v>147</v>
      </c>
      <c r="C37" s="0" t="n">
        <v>12.92</v>
      </c>
      <c r="D37" s="0" t="n">
        <v>25</v>
      </c>
      <c r="E37" s="0" t="n">
        <v>2</v>
      </c>
      <c r="F37" s="0" t="s">
        <v>63</v>
      </c>
      <c r="G37" s="0" t="n">
        <v>16</v>
      </c>
      <c r="H37" s="0" t="n">
        <v>361.89</v>
      </c>
      <c r="I37" s="0" t="s">
        <v>148</v>
      </c>
      <c r="J37" s="0" t="s">
        <v>130</v>
      </c>
      <c r="K37" s="0" t="s">
        <v>66</v>
      </c>
    </row>
    <row r="38" customFormat="false" ht="15" hidden="false" customHeight="false" outlineLevel="0" collapsed="false">
      <c r="A38" s="0" t="s">
        <v>149</v>
      </c>
      <c r="B38" s="0" t="s">
        <v>150</v>
      </c>
      <c r="C38" s="0" t="n">
        <v>12.92</v>
      </c>
      <c r="D38" s="0" t="n">
        <v>25</v>
      </c>
      <c r="E38" s="0" t="n">
        <v>2</v>
      </c>
      <c r="F38" s="0" t="s">
        <v>63</v>
      </c>
      <c r="G38" s="0" t="n">
        <v>16</v>
      </c>
      <c r="H38" s="0" t="n">
        <v>245.48</v>
      </c>
      <c r="I38" s="0" t="s">
        <v>151</v>
      </c>
      <c r="J38" s="0" t="s">
        <v>130</v>
      </c>
      <c r="K38" s="0" t="s">
        <v>66</v>
      </c>
    </row>
    <row r="39" customFormat="false" ht="15" hidden="false" customHeight="false" outlineLevel="0" collapsed="false">
      <c r="B39" s="6" t="s">
        <v>152</v>
      </c>
      <c r="C39" s="4" t="n">
        <f aca="false">SUM(C31:C38)</f>
        <v>273.57</v>
      </c>
      <c r="H39" s="4" t="n">
        <f aca="false">SUM(H31:H38)</f>
        <v>10744.13</v>
      </c>
    </row>
    <row r="40" customFormat="false" ht="15" hidden="false" customHeight="false" outlineLevel="0" collapsed="false">
      <c r="A40" s="5" t="s">
        <v>153</v>
      </c>
    </row>
    <row r="41" customFormat="false" ht="15" hidden="false" customHeight="false" outlineLevel="0" collapsed="false">
      <c r="A41" s="0" t="s">
        <v>154</v>
      </c>
      <c r="B41" s="0" t="s">
        <v>155</v>
      </c>
      <c r="C41" s="0" t="n">
        <v>5.7</v>
      </c>
      <c r="D41" s="0" t="n">
        <v>25</v>
      </c>
      <c r="E41" s="0" t="n">
        <v>2</v>
      </c>
      <c r="F41" s="0" t="s">
        <v>156</v>
      </c>
      <c r="G41" s="0" t="n">
        <v>16</v>
      </c>
      <c r="H41" s="0" t="n">
        <v>102.6</v>
      </c>
      <c r="I41" s="0" t="s">
        <v>157</v>
      </c>
      <c r="J41" s="0" t="s">
        <v>158</v>
      </c>
      <c r="K41" s="0" t="s">
        <v>66</v>
      </c>
    </row>
    <row r="42" customFormat="false" ht="15" hidden="false" customHeight="false" outlineLevel="0" collapsed="false">
      <c r="B42" s="6" t="s">
        <v>159</v>
      </c>
      <c r="C42" s="4" t="n">
        <f aca="false">SUM(C41:C41)</f>
        <v>5.7</v>
      </c>
      <c r="H42" s="4" t="n">
        <f aca="false">SUM(H41:H41)</f>
        <v>102.6</v>
      </c>
    </row>
    <row r="43" customFormat="false" ht="15" hidden="false" customHeight="false" outlineLevel="0" collapsed="false">
      <c r="A43" s="5" t="s">
        <v>160</v>
      </c>
    </row>
    <row r="44" customFormat="false" ht="15" hidden="false" customHeight="false" outlineLevel="0" collapsed="false">
      <c r="A44" s="0" t="s">
        <v>161</v>
      </c>
      <c r="B44" s="0" t="s">
        <v>162</v>
      </c>
      <c r="C44" s="0" t="n">
        <v>3.67</v>
      </c>
      <c r="D44" s="0" t="n">
        <v>8</v>
      </c>
      <c r="E44" s="0" t="n">
        <v>2</v>
      </c>
      <c r="F44" s="0" t="s">
        <v>63</v>
      </c>
      <c r="G44" s="0" t="n">
        <v>16</v>
      </c>
      <c r="H44" s="0" t="n">
        <v>58.72</v>
      </c>
      <c r="I44" s="0" t="s">
        <v>163</v>
      </c>
      <c r="J44" s="0" t="s">
        <v>164</v>
      </c>
      <c r="K44" s="0" t="s">
        <v>66</v>
      </c>
    </row>
    <row r="45" customFormat="false" ht="15" hidden="false" customHeight="false" outlineLevel="0" collapsed="false">
      <c r="A45" s="0" t="s">
        <v>165</v>
      </c>
      <c r="B45" s="0" t="s">
        <v>166</v>
      </c>
      <c r="C45" s="0" t="n">
        <v>12</v>
      </c>
      <c r="D45" s="0" t="n">
        <v>8</v>
      </c>
      <c r="E45" s="0" t="n">
        <v>2</v>
      </c>
      <c r="F45" s="0" t="s">
        <v>63</v>
      </c>
      <c r="G45" s="0" t="n">
        <v>16</v>
      </c>
      <c r="H45" s="0" t="n">
        <v>192</v>
      </c>
      <c r="I45" s="0" t="s">
        <v>167</v>
      </c>
      <c r="J45" s="0" t="s">
        <v>164</v>
      </c>
      <c r="K45" s="0" t="s">
        <v>66</v>
      </c>
    </row>
    <row r="46" customFormat="false" ht="15" hidden="false" customHeight="false" outlineLevel="0" collapsed="false">
      <c r="A46" s="0" t="s">
        <v>168</v>
      </c>
      <c r="B46" s="0" t="s">
        <v>169</v>
      </c>
      <c r="C46" s="0" t="n">
        <v>12</v>
      </c>
      <c r="D46" s="0" t="n">
        <v>8</v>
      </c>
      <c r="E46" s="0" t="n">
        <v>2</v>
      </c>
      <c r="F46" s="0" t="s">
        <v>63</v>
      </c>
      <c r="G46" s="0" t="n">
        <v>16</v>
      </c>
      <c r="H46" s="0" t="n">
        <v>192</v>
      </c>
      <c r="I46" s="0" t="s">
        <v>170</v>
      </c>
      <c r="J46" s="0" t="s">
        <v>164</v>
      </c>
      <c r="K46" s="0" t="s">
        <v>66</v>
      </c>
    </row>
    <row r="47" customFormat="false" ht="15" hidden="false" customHeight="false" outlineLevel="0" collapsed="false">
      <c r="A47" s="0" t="s">
        <v>171</v>
      </c>
      <c r="B47" s="0" t="s">
        <v>172</v>
      </c>
      <c r="C47" s="0" t="n">
        <v>3.67</v>
      </c>
      <c r="D47" s="0" t="n">
        <v>8</v>
      </c>
      <c r="E47" s="0" t="n">
        <v>2</v>
      </c>
      <c r="F47" s="0" t="s">
        <v>63</v>
      </c>
      <c r="G47" s="0" t="n">
        <v>16</v>
      </c>
      <c r="H47" s="0" t="n">
        <v>58.72</v>
      </c>
      <c r="I47" s="0" t="s">
        <v>173</v>
      </c>
      <c r="J47" s="0" t="s">
        <v>164</v>
      </c>
      <c r="K47" s="0" t="s">
        <v>66</v>
      </c>
    </row>
    <row r="48" customFormat="false" ht="15" hidden="false" customHeight="false" outlineLevel="0" collapsed="false">
      <c r="A48" s="0" t="s">
        <v>174</v>
      </c>
      <c r="B48" s="0" t="s">
        <v>175</v>
      </c>
      <c r="C48" s="0" t="n">
        <v>3.67</v>
      </c>
      <c r="D48" s="0" t="n">
        <v>8</v>
      </c>
      <c r="E48" s="0" t="n">
        <v>2</v>
      </c>
      <c r="F48" s="0" t="s">
        <v>63</v>
      </c>
      <c r="G48" s="0" t="n">
        <v>16</v>
      </c>
      <c r="H48" s="0" t="n">
        <v>58.72</v>
      </c>
      <c r="I48" s="0" t="s">
        <v>176</v>
      </c>
      <c r="J48" s="0" t="s">
        <v>164</v>
      </c>
      <c r="K48" s="0" t="s">
        <v>66</v>
      </c>
    </row>
    <row r="49" customFormat="false" ht="15" hidden="false" customHeight="false" outlineLevel="0" collapsed="false">
      <c r="A49" s="0" t="s">
        <v>177</v>
      </c>
      <c r="B49" s="0" t="s">
        <v>178</v>
      </c>
      <c r="C49" s="0" t="n">
        <v>3.67</v>
      </c>
      <c r="D49" s="0" t="n">
        <v>8</v>
      </c>
      <c r="E49" s="0" t="n">
        <v>2</v>
      </c>
      <c r="F49" s="0" t="s">
        <v>63</v>
      </c>
      <c r="G49" s="0" t="n">
        <v>16</v>
      </c>
      <c r="H49" s="0" t="n">
        <v>58.72</v>
      </c>
      <c r="I49" s="0" t="s">
        <v>179</v>
      </c>
      <c r="J49" s="0" t="s">
        <v>164</v>
      </c>
      <c r="K49" s="0" t="s">
        <v>66</v>
      </c>
    </row>
    <row r="50" customFormat="false" ht="15" hidden="false" customHeight="false" outlineLevel="0" collapsed="false">
      <c r="B50" s="6" t="s">
        <v>180</v>
      </c>
      <c r="C50" s="4" t="n">
        <f aca="false">SUM(C44:C49)</f>
        <v>38.68</v>
      </c>
      <c r="H50" s="4" t="n">
        <f aca="false">SUM(H44:H49)</f>
        <v>618.88</v>
      </c>
    </row>
    <row r="51" customFormat="false" ht="15" hidden="false" customHeight="false" outlineLevel="0" collapsed="false">
      <c r="A51" s="5" t="s">
        <v>181</v>
      </c>
    </row>
    <row r="52" customFormat="false" ht="15" hidden="false" customHeight="false" outlineLevel="0" collapsed="false">
      <c r="A52" s="0" t="s">
        <v>182</v>
      </c>
      <c r="B52" s="0" t="s">
        <v>183</v>
      </c>
      <c r="C52" s="0" t="n">
        <v>12.68</v>
      </c>
      <c r="D52" s="0" t="n">
        <v>7.5</v>
      </c>
      <c r="E52" s="0" t="n">
        <v>2</v>
      </c>
      <c r="F52" s="0" t="s">
        <v>63</v>
      </c>
      <c r="G52" s="0" t="n">
        <v>16</v>
      </c>
      <c r="H52" s="0" t="n">
        <v>190.2</v>
      </c>
      <c r="I52" s="0" t="s">
        <v>184</v>
      </c>
      <c r="J52" s="0" t="s">
        <v>185</v>
      </c>
      <c r="K52" s="0" t="s">
        <v>66</v>
      </c>
    </row>
    <row r="53" customFormat="false" ht="15" hidden="false" customHeight="false" outlineLevel="0" collapsed="false">
      <c r="A53" s="0" t="s">
        <v>186</v>
      </c>
      <c r="B53" s="0" t="s">
        <v>187</v>
      </c>
      <c r="C53" s="0" t="n">
        <v>1.77</v>
      </c>
      <c r="D53" s="0" t="n">
        <v>7.5</v>
      </c>
      <c r="E53" s="0" t="n">
        <v>2</v>
      </c>
      <c r="F53" s="0" t="s">
        <v>63</v>
      </c>
      <c r="G53" s="0" t="n">
        <v>16</v>
      </c>
      <c r="H53" s="0" t="n">
        <v>26.56</v>
      </c>
      <c r="I53" s="0" t="s">
        <v>188</v>
      </c>
      <c r="J53" s="0" t="s">
        <v>185</v>
      </c>
      <c r="K53" s="0" t="s">
        <v>66</v>
      </c>
    </row>
    <row r="54" customFormat="false" ht="15" hidden="false" customHeight="false" outlineLevel="0" collapsed="false">
      <c r="A54" s="0" t="s">
        <v>189</v>
      </c>
      <c r="B54" s="0" t="s">
        <v>190</v>
      </c>
      <c r="C54" s="0" t="n">
        <v>1.72</v>
      </c>
      <c r="D54" s="0" t="n">
        <v>7.5</v>
      </c>
      <c r="E54" s="0" t="n">
        <v>2</v>
      </c>
      <c r="F54" s="0" t="s">
        <v>63</v>
      </c>
      <c r="G54" s="0" t="n">
        <v>16</v>
      </c>
      <c r="H54" s="0" t="n">
        <v>25.8</v>
      </c>
      <c r="I54" s="0" t="s">
        <v>191</v>
      </c>
      <c r="J54" s="0" t="s">
        <v>185</v>
      </c>
      <c r="K54" s="0" t="s">
        <v>66</v>
      </c>
    </row>
    <row r="55" customFormat="false" ht="15" hidden="false" customHeight="false" outlineLevel="0" collapsed="false">
      <c r="A55" s="0" t="s">
        <v>192</v>
      </c>
      <c r="B55" s="0" t="s">
        <v>193</v>
      </c>
      <c r="C55" s="0" t="n">
        <v>4.18</v>
      </c>
      <c r="D55" s="0" t="n">
        <v>7.5</v>
      </c>
      <c r="E55" s="0" t="n">
        <v>2</v>
      </c>
      <c r="F55" s="0" t="s">
        <v>63</v>
      </c>
      <c r="G55" s="0" t="n">
        <v>16</v>
      </c>
      <c r="H55" s="0" t="n">
        <v>62.7</v>
      </c>
      <c r="I55" s="0" t="s">
        <v>194</v>
      </c>
      <c r="J55" s="0" t="s">
        <v>185</v>
      </c>
      <c r="K55" s="0" t="s">
        <v>66</v>
      </c>
    </row>
    <row r="56" customFormat="false" ht="15" hidden="false" customHeight="false" outlineLevel="0" collapsed="false">
      <c r="A56" s="0" t="s">
        <v>195</v>
      </c>
      <c r="B56" s="0" t="s">
        <v>196</v>
      </c>
      <c r="C56" s="0" t="n">
        <v>4.18</v>
      </c>
      <c r="D56" s="0" t="n">
        <v>7.5</v>
      </c>
      <c r="E56" s="0" t="n">
        <v>2</v>
      </c>
      <c r="F56" s="0" t="s">
        <v>63</v>
      </c>
      <c r="G56" s="0" t="n">
        <v>16</v>
      </c>
      <c r="H56" s="0" t="n">
        <v>62.7</v>
      </c>
      <c r="I56" s="0" t="s">
        <v>197</v>
      </c>
      <c r="J56" s="0" t="s">
        <v>185</v>
      </c>
      <c r="K56" s="0" t="s">
        <v>66</v>
      </c>
    </row>
    <row r="57" customFormat="false" ht="15" hidden="false" customHeight="false" outlineLevel="0" collapsed="false">
      <c r="A57" s="0" t="s">
        <v>198</v>
      </c>
      <c r="B57" s="0" t="s">
        <v>199</v>
      </c>
      <c r="C57" s="0" t="n">
        <v>4.19</v>
      </c>
      <c r="D57" s="0" t="n">
        <v>7.5</v>
      </c>
      <c r="E57" s="0" t="n">
        <v>2</v>
      </c>
      <c r="F57" s="0" t="s">
        <v>63</v>
      </c>
      <c r="G57" s="0" t="n">
        <v>16</v>
      </c>
      <c r="H57" s="0" t="n">
        <v>62.86</v>
      </c>
      <c r="I57" s="0" t="s">
        <v>200</v>
      </c>
      <c r="J57" s="0" t="s">
        <v>185</v>
      </c>
      <c r="K57" s="0" t="s">
        <v>66</v>
      </c>
    </row>
    <row r="58" customFormat="false" ht="15" hidden="false" customHeight="false" outlineLevel="0" collapsed="false">
      <c r="A58" s="0" t="s">
        <v>201</v>
      </c>
      <c r="B58" s="0" t="s">
        <v>202</v>
      </c>
      <c r="C58" s="0" t="n">
        <v>4.19</v>
      </c>
      <c r="D58" s="0" t="n">
        <v>7.5</v>
      </c>
      <c r="E58" s="0" t="n">
        <v>2</v>
      </c>
      <c r="F58" s="0" t="s">
        <v>63</v>
      </c>
      <c r="G58" s="0" t="n">
        <v>16</v>
      </c>
      <c r="H58" s="0" t="n">
        <v>62.86</v>
      </c>
      <c r="I58" s="0" t="s">
        <v>203</v>
      </c>
      <c r="J58" s="0" t="s">
        <v>185</v>
      </c>
      <c r="K58" s="0" t="s">
        <v>66</v>
      </c>
    </row>
    <row r="59" customFormat="false" ht="15" hidden="false" customHeight="false" outlineLevel="0" collapsed="false">
      <c r="A59" s="0" t="s">
        <v>204</v>
      </c>
      <c r="B59" s="0" t="s">
        <v>205</v>
      </c>
      <c r="C59" s="0" t="n">
        <v>4.18</v>
      </c>
      <c r="D59" s="0" t="n">
        <v>7.5</v>
      </c>
      <c r="E59" s="0" t="n">
        <v>2</v>
      </c>
      <c r="F59" s="0" t="s">
        <v>63</v>
      </c>
      <c r="G59" s="0" t="n">
        <v>16</v>
      </c>
      <c r="H59" s="0" t="n">
        <v>62.7</v>
      </c>
      <c r="I59" s="0" t="s">
        <v>206</v>
      </c>
      <c r="J59" s="0" t="s">
        <v>185</v>
      </c>
      <c r="K59" s="0" t="s">
        <v>66</v>
      </c>
    </row>
    <row r="60" customFormat="false" ht="15" hidden="false" customHeight="false" outlineLevel="0" collapsed="false">
      <c r="A60" s="0" t="s">
        <v>207</v>
      </c>
      <c r="B60" s="0" t="s">
        <v>208</v>
      </c>
      <c r="C60" s="0" t="n">
        <v>4.19</v>
      </c>
      <c r="D60" s="0" t="n">
        <v>7.5</v>
      </c>
      <c r="E60" s="0" t="n">
        <v>2</v>
      </c>
      <c r="F60" s="0" t="s">
        <v>63</v>
      </c>
      <c r="G60" s="0" t="n">
        <v>16</v>
      </c>
      <c r="H60" s="0" t="n">
        <v>62.86</v>
      </c>
      <c r="I60" s="0" t="s">
        <v>209</v>
      </c>
      <c r="J60" s="0" t="s">
        <v>185</v>
      </c>
      <c r="K60" s="0" t="s">
        <v>66</v>
      </c>
    </row>
    <row r="61" customFormat="false" ht="15" hidden="false" customHeight="false" outlineLevel="0" collapsed="false">
      <c r="A61" s="0" t="s">
        <v>210</v>
      </c>
      <c r="B61" s="0" t="s">
        <v>211</v>
      </c>
      <c r="C61" s="0" t="n">
        <v>4.18</v>
      </c>
      <c r="D61" s="0" t="n">
        <v>7.5</v>
      </c>
      <c r="E61" s="0" t="n">
        <v>2</v>
      </c>
      <c r="F61" s="0" t="s">
        <v>63</v>
      </c>
      <c r="G61" s="0" t="n">
        <v>16</v>
      </c>
      <c r="H61" s="0" t="n">
        <v>62.7</v>
      </c>
      <c r="I61" s="0" t="s">
        <v>212</v>
      </c>
      <c r="J61" s="0" t="s">
        <v>185</v>
      </c>
      <c r="K61" s="0" t="s">
        <v>66</v>
      </c>
    </row>
    <row r="62" customFormat="false" ht="15" hidden="false" customHeight="false" outlineLevel="0" collapsed="false">
      <c r="A62" s="0" t="s">
        <v>213</v>
      </c>
      <c r="B62" s="0" t="s">
        <v>214</v>
      </c>
      <c r="C62" s="0" t="n">
        <v>4.18</v>
      </c>
      <c r="D62" s="0" t="n">
        <v>7.5</v>
      </c>
      <c r="E62" s="0" t="n">
        <v>2</v>
      </c>
      <c r="F62" s="0" t="s">
        <v>63</v>
      </c>
      <c r="G62" s="0" t="n">
        <v>16</v>
      </c>
      <c r="H62" s="0" t="n">
        <v>62.7</v>
      </c>
      <c r="I62" s="0" t="s">
        <v>215</v>
      </c>
      <c r="J62" s="0" t="s">
        <v>185</v>
      </c>
      <c r="K62" s="0" t="s">
        <v>66</v>
      </c>
    </row>
    <row r="63" customFormat="false" ht="15" hidden="false" customHeight="false" outlineLevel="0" collapsed="false">
      <c r="A63" s="0" t="s">
        <v>216</v>
      </c>
      <c r="B63" s="0" t="s">
        <v>217</v>
      </c>
      <c r="C63" s="0" t="n">
        <v>4.18</v>
      </c>
      <c r="D63" s="0" t="n">
        <v>7.5</v>
      </c>
      <c r="E63" s="0" t="n">
        <v>2</v>
      </c>
      <c r="F63" s="0" t="s">
        <v>63</v>
      </c>
      <c r="G63" s="0" t="n">
        <v>16</v>
      </c>
      <c r="H63" s="0" t="n">
        <v>62.7</v>
      </c>
      <c r="I63" s="0" t="s">
        <v>218</v>
      </c>
      <c r="J63" s="0" t="s">
        <v>185</v>
      </c>
      <c r="K63" s="0" t="s">
        <v>66</v>
      </c>
    </row>
    <row r="64" customFormat="false" ht="15" hidden="false" customHeight="false" outlineLevel="0" collapsed="false">
      <c r="A64" s="0" t="s">
        <v>219</v>
      </c>
      <c r="B64" s="0" t="s">
        <v>220</v>
      </c>
      <c r="C64" s="0" t="n">
        <v>4.18</v>
      </c>
      <c r="D64" s="0" t="n">
        <v>7.5</v>
      </c>
      <c r="E64" s="0" t="n">
        <v>2</v>
      </c>
      <c r="F64" s="0" t="s">
        <v>63</v>
      </c>
      <c r="G64" s="0" t="n">
        <v>16</v>
      </c>
      <c r="H64" s="0" t="n">
        <v>62.7</v>
      </c>
      <c r="I64" s="0" t="s">
        <v>221</v>
      </c>
      <c r="J64" s="0" t="s">
        <v>185</v>
      </c>
      <c r="K64" s="0" t="s">
        <v>66</v>
      </c>
    </row>
    <row r="65" customFormat="false" ht="15" hidden="false" customHeight="false" outlineLevel="0" collapsed="false">
      <c r="A65" s="0" t="s">
        <v>222</v>
      </c>
      <c r="B65" s="0" t="s">
        <v>223</v>
      </c>
      <c r="C65" s="0" t="n">
        <v>4.18</v>
      </c>
      <c r="D65" s="0" t="n">
        <v>7.5</v>
      </c>
      <c r="E65" s="0" t="n">
        <v>2</v>
      </c>
      <c r="F65" s="0" t="s">
        <v>63</v>
      </c>
      <c r="G65" s="0" t="n">
        <v>16</v>
      </c>
      <c r="H65" s="0" t="n">
        <v>62.7</v>
      </c>
      <c r="I65" s="0" t="s">
        <v>224</v>
      </c>
      <c r="J65" s="0" t="s">
        <v>185</v>
      </c>
      <c r="K65" s="0" t="s">
        <v>66</v>
      </c>
    </row>
    <row r="66" customFormat="false" ht="15" hidden="false" customHeight="false" outlineLevel="0" collapsed="false">
      <c r="A66" s="0" t="s">
        <v>225</v>
      </c>
      <c r="B66" s="0" t="s">
        <v>226</v>
      </c>
      <c r="C66" s="0" t="n">
        <v>4.18</v>
      </c>
      <c r="D66" s="0" t="n">
        <v>7.5</v>
      </c>
      <c r="E66" s="0" t="n">
        <v>2</v>
      </c>
      <c r="F66" s="0" t="s">
        <v>63</v>
      </c>
      <c r="G66" s="0" t="n">
        <v>16</v>
      </c>
      <c r="H66" s="0" t="n">
        <v>62.7</v>
      </c>
      <c r="I66" s="0" t="s">
        <v>227</v>
      </c>
      <c r="J66" s="0" t="s">
        <v>185</v>
      </c>
      <c r="K66" s="0" t="s">
        <v>66</v>
      </c>
    </row>
    <row r="67" customFormat="false" ht="15" hidden="false" customHeight="false" outlineLevel="0" collapsed="false">
      <c r="A67" s="0" t="s">
        <v>228</v>
      </c>
      <c r="B67" s="0" t="s">
        <v>229</v>
      </c>
      <c r="C67" s="0" t="n">
        <v>12.68</v>
      </c>
      <c r="D67" s="0" t="n">
        <v>7.5</v>
      </c>
      <c r="E67" s="0" t="n">
        <v>2</v>
      </c>
      <c r="F67" s="0" t="s">
        <v>63</v>
      </c>
      <c r="G67" s="0" t="n">
        <v>16</v>
      </c>
      <c r="H67" s="0" t="n">
        <v>190.2</v>
      </c>
      <c r="I67" s="0" t="s">
        <v>230</v>
      </c>
      <c r="J67" s="0" t="s">
        <v>185</v>
      </c>
      <c r="K67" s="0" t="s">
        <v>66</v>
      </c>
    </row>
    <row r="68" customFormat="false" ht="15" hidden="false" customHeight="false" outlineLevel="0" collapsed="false">
      <c r="A68" s="0" t="s">
        <v>231</v>
      </c>
      <c r="B68" s="0" t="s">
        <v>232</v>
      </c>
      <c r="C68" s="0" t="n">
        <v>1.75</v>
      </c>
      <c r="D68" s="0" t="n">
        <v>7.5</v>
      </c>
      <c r="E68" s="0" t="n">
        <v>2</v>
      </c>
      <c r="F68" s="0" t="s">
        <v>63</v>
      </c>
      <c r="G68" s="0" t="n">
        <v>16</v>
      </c>
      <c r="H68" s="0" t="n">
        <v>26.24</v>
      </c>
      <c r="I68" s="0" t="s">
        <v>233</v>
      </c>
      <c r="J68" s="0" t="s">
        <v>185</v>
      </c>
      <c r="K68" s="0" t="s">
        <v>66</v>
      </c>
    </row>
    <row r="69" customFormat="false" ht="15" hidden="false" customHeight="false" outlineLevel="0" collapsed="false">
      <c r="A69" s="0" t="s">
        <v>234</v>
      </c>
      <c r="B69" s="0" t="s">
        <v>235</v>
      </c>
      <c r="C69" s="0" t="n">
        <v>1.68</v>
      </c>
      <c r="D69" s="0" t="n">
        <v>7.5</v>
      </c>
      <c r="E69" s="0" t="n">
        <v>2</v>
      </c>
      <c r="F69" s="0" t="s">
        <v>63</v>
      </c>
      <c r="G69" s="0" t="n">
        <v>16</v>
      </c>
      <c r="H69" s="0" t="n">
        <v>25.2</v>
      </c>
      <c r="I69" s="0" t="s">
        <v>236</v>
      </c>
      <c r="J69" s="0" t="s">
        <v>185</v>
      </c>
      <c r="K69" s="0" t="s">
        <v>66</v>
      </c>
    </row>
    <row r="70" customFormat="false" ht="15" hidden="false" customHeight="false" outlineLevel="0" collapsed="false">
      <c r="B70" s="6" t="s">
        <v>237</v>
      </c>
      <c r="C70" s="4" t="n">
        <f aca="false">SUM(C52:C69)</f>
        <v>82.47</v>
      </c>
      <c r="H70" s="4" t="n">
        <f aca="false">SUM(H52:H69)</f>
        <v>1237.08</v>
      </c>
    </row>
    <row r="71" customFormat="false" ht="15" hidden="false" customHeight="false" outlineLevel="0" collapsed="false">
      <c r="A71" s="5" t="s">
        <v>238</v>
      </c>
    </row>
    <row r="72" customFormat="false" ht="15" hidden="false" customHeight="false" outlineLevel="0" collapsed="false">
      <c r="A72" s="0" t="s">
        <v>239</v>
      </c>
      <c r="B72" s="0" t="s">
        <v>240</v>
      </c>
      <c r="C72" s="0" t="n">
        <v>29.98</v>
      </c>
      <c r="D72" s="0" t="n">
        <v>25</v>
      </c>
      <c r="E72" s="0" t="n">
        <v>2</v>
      </c>
      <c r="F72" s="0" t="s">
        <v>156</v>
      </c>
      <c r="G72" s="0" t="n">
        <v>16</v>
      </c>
      <c r="H72" s="0" t="n">
        <v>993.23</v>
      </c>
      <c r="I72" s="0" t="s">
        <v>241</v>
      </c>
      <c r="J72" s="0" t="s">
        <v>242</v>
      </c>
      <c r="K72" s="0" t="s">
        <v>66</v>
      </c>
    </row>
    <row r="73" customFormat="false" ht="15" hidden="false" customHeight="false" outlineLevel="0" collapsed="false">
      <c r="A73" s="0" t="s">
        <v>243</v>
      </c>
      <c r="B73" s="0" t="s">
        <v>244</v>
      </c>
      <c r="C73" s="0" t="n">
        <v>12.17</v>
      </c>
      <c r="D73" s="0" t="n">
        <v>25</v>
      </c>
      <c r="E73" s="0" t="n">
        <v>2</v>
      </c>
      <c r="F73" s="0" t="s">
        <v>156</v>
      </c>
      <c r="G73" s="0" t="n">
        <v>16</v>
      </c>
      <c r="H73" s="0" t="n">
        <v>243.39</v>
      </c>
      <c r="I73" s="0" t="s">
        <v>245</v>
      </c>
      <c r="J73" s="0" t="s">
        <v>242</v>
      </c>
      <c r="K73" s="0" t="s">
        <v>66</v>
      </c>
    </row>
    <row r="74" customFormat="false" ht="15" hidden="false" customHeight="false" outlineLevel="0" collapsed="false">
      <c r="B74" s="6" t="s">
        <v>246</v>
      </c>
      <c r="C74" s="4" t="n">
        <f aca="false">SUM(C72:C73)</f>
        <v>42.15</v>
      </c>
      <c r="H74" s="4" t="n">
        <f aca="false">SUM(H72:H73)</f>
        <v>1236.62</v>
      </c>
    </row>
    <row r="75" customFormat="false" ht="15" hidden="false" customHeight="false" outlineLevel="0" collapsed="false">
      <c r="A75" s="5" t="s">
        <v>247</v>
      </c>
    </row>
    <row r="76" customFormat="false" ht="15" hidden="false" customHeight="false" outlineLevel="0" collapsed="false">
      <c r="A76" s="0" t="s">
        <v>248</v>
      </c>
      <c r="B76" s="0" t="s">
        <v>249</v>
      </c>
      <c r="C76" s="0" t="n">
        <v>12.17</v>
      </c>
      <c r="D76" s="0" t="n">
        <v>25</v>
      </c>
      <c r="E76" s="0" t="n">
        <v>2</v>
      </c>
      <c r="F76" s="0" t="s">
        <v>63</v>
      </c>
      <c r="G76" s="0" t="n">
        <v>16</v>
      </c>
      <c r="H76" s="0" t="n">
        <v>432.03</v>
      </c>
      <c r="I76" s="0" t="s">
        <v>250</v>
      </c>
      <c r="J76" s="0" t="s">
        <v>242</v>
      </c>
      <c r="K76" s="0" t="s">
        <v>66</v>
      </c>
    </row>
    <row r="77" customFormat="false" ht="15" hidden="false" customHeight="false" outlineLevel="0" collapsed="false">
      <c r="B77" s="6" t="s">
        <v>251</v>
      </c>
      <c r="C77" s="4" t="n">
        <f aca="false">SUM(C76:C76)</f>
        <v>12.17</v>
      </c>
      <c r="H77" s="4" t="n">
        <f aca="false">SUM(H76:H76)</f>
        <v>432.03</v>
      </c>
    </row>
    <row r="78" customFormat="false" ht="15" hidden="false" customHeight="false" outlineLevel="0" collapsed="false">
      <c r="A78" s="5" t="s">
        <v>252</v>
      </c>
    </row>
    <row r="79" customFormat="false" ht="15" hidden="false" customHeight="false" outlineLevel="0" collapsed="false">
      <c r="A79" s="0" t="s">
        <v>253</v>
      </c>
      <c r="B79" s="0" t="s">
        <v>254</v>
      </c>
      <c r="C79" s="0" t="n">
        <v>1.95</v>
      </c>
      <c r="D79" s="0" t="n">
        <v>25</v>
      </c>
      <c r="E79" s="0" t="n">
        <v>0</v>
      </c>
      <c r="F79" s="0" t="s">
        <v>63</v>
      </c>
      <c r="G79" s="0" t="n">
        <v>16</v>
      </c>
      <c r="H79" s="0" t="n">
        <v>0</v>
      </c>
      <c r="I79" s="0" t="s">
        <v>255</v>
      </c>
      <c r="J79" s="0" t="s">
        <v>242</v>
      </c>
      <c r="K79" s="0" t="s">
        <v>66</v>
      </c>
    </row>
    <row r="80" customFormat="false" ht="15" hidden="false" customHeight="false" outlineLevel="0" collapsed="false">
      <c r="B80" s="6" t="s">
        <v>256</v>
      </c>
      <c r="C80" s="4" t="n">
        <f aca="false">SUM(C79:C79)</f>
        <v>1.95</v>
      </c>
      <c r="H80" s="4" t="n">
        <f aca="false">SUM(H79:H79)</f>
        <v>0</v>
      </c>
    </row>
    <row r="81" customFormat="false" ht="15" hidden="false" customHeight="false" outlineLevel="0" collapsed="false">
      <c r="A81" s="5" t="s">
        <v>257</v>
      </c>
    </row>
    <row r="82" customFormat="false" ht="15" hidden="false" customHeight="false" outlineLevel="0" collapsed="false">
      <c r="A82" s="0" t="s">
        <v>258</v>
      </c>
      <c r="B82" s="0" t="s">
        <v>259</v>
      </c>
      <c r="C82" s="0" t="n">
        <v>4.08</v>
      </c>
      <c r="D82" s="0" t="n">
        <v>25</v>
      </c>
      <c r="E82" s="0" t="n">
        <v>1</v>
      </c>
      <c r="F82" s="0" t="s">
        <v>156</v>
      </c>
      <c r="G82" s="0" t="n">
        <v>16</v>
      </c>
      <c r="H82" s="0" t="n">
        <v>30.94</v>
      </c>
      <c r="I82" s="0" t="s">
        <v>260</v>
      </c>
      <c r="J82" s="0" t="s">
        <v>261</v>
      </c>
      <c r="K82" s="0" t="s">
        <v>66</v>
      </c>
    </row>
    <row r="83" customFormat="false" ht="15" hidden="false" customHeight="false" outlineLevel="0" collapsed="false">
      <c r="B83" s="6" t="s">
        <v>262</v>
      </c>
      <c r="C83" s="4" t="n">
        <f aca="false">SUM(C82:C82)</f>
        <v>4.08</v>
      </c>
      <c r="H83" s="4" t="n">
        <f aca="false">SUM(H82:H82)</f>
        <v>30.94</v>
      </c>
    </row>
    <row r="84" customFormat="false" ht="15" hidden="false" customHeight="false" outlineLevel="0" collapsed="false">
      <c r="A84" s="5" t="s">
        <v>263</v>
      </c>
    </row>
    <row r="85" customFormat="false" ht="15" hidden="false" customHeight="false" outlineLevel="0" collapsed="false">
      <c r="A85" s="0" t="s">
        <v>264</v>
      </c>
      <c r="B85" s="0" t="s">
        <v>265</v>
      </c>
      <c r="C85" s="0" t="n">
        <v>6.17</v>
      </c>
      <c r="D85" s="0" t="n">
        <v>25</v>
      </c>
      <c r="E85" s="0" t="n">
        <v>1</v>
      </c>
      <c r="F85" s="0" t="s">
        <v>156</v>
      </c>
      <c r="G85" s="0" t="n">
        <v>16</v>
      </c>
      <c r="H85" s="0" t="n">
        <v>46.79</v>
      </c>
      <c r="I85" s="0" t="s">
        <v>266</v>
      </c>
      <c r="J85" s="0" t="s">
        <v>261</v>
      </c>
      <c r="K85" s="0" t="s">
        <v>66</v>
      </c>
    </row>
    <row r="86" customFormat="false" ht="15" hidden="false" customHeight="false" outlineLevel="0" collapsed="false">
      <c r="B86" s="6" t="s">
        <v>267</v>
      </c>
      <c r="C86" s="4" t="n">
        <f aca="false">SUM(C85:C85)</f>
        <v>6.17</v>
      </c>
      <c r="H86" s="4" t="n">
        <f aca="false">SUM(H85:H85)</f>
        <v>46.79</v>
      </c>
    </row>
    <row r="87" customFormat="false" ht="15" hidden="false" customHeight="false" outlineLevel="0" collapsed="false">
      <c r="A87" s="5" t="s">
        <v>268</v>
      </c>
    </row>
    <row r="88" customFormat="false" ht="15" hidden="false" customHeight="false" outlineLevel="0" collapsed="false">
      <c r="A88" s="0" t="s">
        <v>269</v>
      </c>
      <c r="B88" s="0" t="s">
        <v>270</v>
      </c>
      <c r="C88" s="0" t="n">
        <v>29.3</v>
      </c>
      <c r="D88" s="0" t="n">
        <v>25</v>
      </c>
      <c r="E88" s="0" t="n">
        <v>0</v>
      </c>
      <c r="F88" s="0" t="s">
        <v>156</v>
      </c>
      <c r="G88" s="0" t="n">
        <v>16</v>
      </c>
      <c r="H88" s="0" t="n">
        <v>0</v>
      </c>
      <c r="I88" s="0" t="s">
        <v>271</v>
      </c>
      <c r="J88" s="0" t="s">
        <v>272</v>
      </c>
      <c r="K88" s="0" t="s">
        <v>66</v>
      </c>
    </row>
    <row r="89" customFormat="false" ht="15" hidden="false" customHeight="false" outlineLevel="0" collapsed="false">
      <c r="B89" s="6" t="s">
        <v>273</v>
      </c>
      <c r="C89" s="4" t="n">
        <f aca="false">SUM(C88:C88)</f>
        <v>29.3</v>
      </c>
      <c r="H89" s="4" t="n">
        <f aca="false">SUM(H88:H88)</f>
        <v>0</v>
      </c>
    </row>
    <row r="90" customFormat="false" ht="15" hidden="false" customHeight="false" outlineLevel="0" collapsed="false">
      <c r="A90" s="5" t="s">
        <v>274</v>
      </c>
    </row>
    <row r="91" customFormat="false" ht="15" hidden="false" customHeight="false" outlineLevel="0" collapsed="false">
      <c r="A91" s="0" t="s">
        <v>275</v>
      </c>
      <c r="B91" s="0" t="s">
        <v>276</v>
      </c>
      <c r="C91" s="0" t="n">
        <v>2.31</v>
      </c>
      <c r="D91" s="0" t="n">
        <v>25</v>
      </c>
      <c r="E91" s="0" t="n">
        <v>1</v>
      </c>
      <c r="F91" s="0" t="s">
        <v>156</v>
      </c>
      <c r="G91" s="0" t="n">
        <v>16</v>
      </c>
      <c r="H91" s="0" t="n">
        <v>57.75</v>
      </c>
      <c r="I91" s="0" t="s">
        <v>277</v>
      </c>
      <c r="J91" s="0" t="s">
        <v>272</v>
      </c>
      <c r="K91" s="0" t="s">
        <v>66</v>
      </c>
    </row>
    <row r="92" customFormat="false" ht="15" hidden="false" customHeight="false" outlineLevel="0" collapsed="false">
      <c r="A92" s="0" t="s">
        <v>278</v>
      </c>
      <c r="B92" s="0" t="s">
        <v>279</v>
      </c>
      <c r="C92" s="0" t="n">
        <v>2.11</v>
      </c>
      <c r="D92" s="0" t="n">
        <v>25</v>
      </c>
      <c r="E92" s="0" t="n">
        <v>1</v>
      </c>
      <c r="F92" s="0" t="s">
        <v>156</v>
      </c>
      <c r="G92" s="0" t="n">
        <v>16</v>
      </c>
      <c r="H92" s="0" t="n">
        <v>52.75</v>
      </c>
      <c r="I92" s="0" t="s">
        <v>280</v>
      </c>
      <c r="J92" s="0" t="s">
        <v>272</v>
      </c>
      <c r="K92" s="0" t="s">
        <v>66</v>
      </c>
    </row>
    <row r="93" customFormat="false" ht="15" hidden="false" customHeight="false" outlineLevel="0" collapsed="false">
      <c r="A93" s="0" t="s">
        <v>281</v>
      </c>
      <c r="B93" s="0" t="s">
        <v>282</v>
      </c>
      <c r="C93" s="0" t="n">
        <v>23.46</v>
      </c>
      <c r="D93" s="0" t="n">
        <v>25</v>
      </c>
      <c r="E93" s="0" t="n">
        <v>1</v>
      </c>
      <c r="F93" s="0" t="s">
        <v>156</v>
      </c>
      <c r="G93" s="0" t="n">
        <v>16</v>
      </c>
      <c r="H93" s="0" t="n">
        <v>586.5</v>
      </c>
      <c r="I93" s="0" t="s">
        <v>283</v>
      </c>
      <c r="J93" s="0" t="s">
        <v>272</v>
      </c>
      <c r="K93" s="0" t="s">
        <v>66</v>
      </c>
    </row>
    <row r="94" customFormat="false" ht="15" hidden="false" customHeight="false" outlineLevel="0" collapsed="false">
      <c r="B94" s="6" t="s">
        <v>284</v>
      </c>
      <c r="C94" s="4" t="n">
        <f aca="false">SUM(C91:C93)</f>
        <v>27.88</v>
      </c>
      <c r="H94" s="4" t="n">
        <f aca="false">SUM(H91:H93)</f>
        <v>697</v>
      </c>
    </row>
    <row r="95" customFormat="false" ht="15" hidden="false" customHeight="false" outlineLevel="0" collapsed="false">
      <c r="A95" s="5" t="s">
        <v>285</v>
      </c>
    </row>
    <row r="96" customFormat="false" ht="15" hidden="false" customHeight="false" outlineLevel="0" collapsed="false">
      <c r="A96" s="0" t="s">
        <v>286</v>
      </c>
      <c r="B96" s="0" t="s">
        <v>287</v>
      </c>
      <c r="C96" s="0" t="n">
        <v>3.26</v>
      </c>
      <c r="D96" s="0" t="n">
        <v>25</v>
      </c>
      <c r="E96" s="0" t="n">
        <v>0</v>
      </c>
      <c r="F96" s="0" t="s">
        <v>63</v>
      </c>
      <c r="G96" s="0" t="n">
        <v>16</v>
      </c>
      <c r="H96" s="0" t="n">
        <v>0</v>
      </c>
      <c r="I96" s="0" t="s">
        <v>288</v>
      </c>
      <c r="J96" s="0" t="s">
        <v>289</v>
      </c>
      <c r="K96" s="0" t="s">
        <v>66</v>
      </c>
    </row>
    <row r="97" customFormat="false" ht="15" hidden="false" customHeight="false" outlineLevel="0" collapsed="false">
      <c r="B97" s="6" t="s">
        <v>290</v>
      </c>
      <c r="C97" s="4" t="n">
        <f aca="false">SUM(C96:C96)</f>
        <v>3.26</v>
      </c>
      <c r="H97" s="4" t="n">
        <f aca="false">SUM(H96:H96)</f>
        <v>0</v>
      </c>
    </row>
    <row r="98" customFormat="false" ht="15" hidden="false" customHeight="false" outlineLevel="0" collapsed="false">
      <c r="A98" s="5" t="s">
        <v>291</v>
      </c>
    </row>
    <row r="99" customFormat="false" ht="15" hidden="false" customHeight="false" outlineLevel="0" collapsed="false">
      <c r="A99" s="0" t="s">
        <v>292</v>
      </c>
      <c r="B99" s="0" t="s">
        <v>293</v>
      </c>
      <c r="C99" s="0" t="n">
        <v>1</v>
      </c>
      <c r="D99" s="0" t="n">
        <v>25</v>
      </c>
      <c r="E99" s="0" t="n">
        <v>1</v>
      </c>
      <c r="F99" s="0" t="s">
        <v>156</v>
      </c>
      <c r="G99" s="0" t="n">
        <v>16</v>
      </c>
      <c r="H99" s="0" t="n">
        <v>25</v>
      </c>
      <c r="I99" s="0" t="s">
        <v>294</v>
      </c>
      <c r="J99" s="0" t="s">
        <v>295</v>
      </c>
      <c r="K99" s="0" t="s">
        <v>66</v>
      </c>
    </row>
    <row r="100" customFormat="false" ht="15" hidden="false" customHeight="false" outlineLevel="0" collapsed="false">
      <c r="A100" s="0" t="s">
        <v>296</v>
      </c>
      <c r="B100" s="0" t="s">
        <v>297</v>
      </c>
      <c r="C100" s="0" t="n">
        <v>2.31</v>
      </c>
      <c r="D100" s="0" t="n">
        <v>25</v>
      </c>
      <c r="E100" s="0" t="n">
        <v>1</v>
      </c>
      <c r="F100" s="0" t="s">
        <v>156</v>
      </c>
      <c r="G100" s="0" t="n">
        <v>16</v>
      </c>
      <c r="H100" s="0" t="n">
        <v>57.75</v>
      </c>
      <c r="I100" s="0" t="s">
        <v>298</v>
      </c>
      <c r="J100" s="0" t="s">
        <v>295</v>
      </c>
      <c r="K100" s="0" t="s">
        <v>66</v>
      </c>
    </row>
    <row r="101" customFormat="false" ht="15" hidden="false" customHeight="false" outlineLevel="0" collapsed="false">
      <c r="B101" s="6" t="s">
        <v>299</v>
      </c>
      <c r="C101" s="4" t="n">
        <f aca="false">SUM(C99:C100)</f>
        <v>3.31</v>
      </c>
      <c r="H101" s="4" t="n">
        <f aca="false">SUM(H99:H100)</f>
        <v>82.75</v>
      </c>
    </row>
    <row r="102" customFormat="false" ht="15" hidden="false" customHeight="false" outlineLevel="0" collapsed="false">
      <c r="A102" s="5" t="s">
        <v>300</v>
      </c>
    </row>
    <row r="103" customFormat="false" ht="15" hidden="false" customHeight="false" outlineLevel="0" collapsed="false">
      <c r="A103" s="0" t="s">
        <v>301</v>
      </c>
      <c r="B103" s="0" t="s">
        <v>302</v>
      </c>
      <c r="C103" s="0" t="n">
        <v>9.89</v>
      </c>
      <c r="D103" s="0" t="n">
        <v>2.708</v>
      </c>
      <c r="E103" s="0" t="n">
        <v>2</v>
      </c>
      <c r="F103" s="0" t="s">
        <v>63</v>
      </c>
      <c r="G103" s="0" t="n">
        <v>16</v>
      </c>
      <c r="H103" s="0" t="n">
        <v>53.56</v>
      </c>
      <c r="I103" s="0" t="s">
        <v>303</v>
      </c>
      <c r="J103" s="0" t="s">
        <v>304</v>
      </c>
      <c r="K103" s="0" t="s">
        <v>66</v>
      </c>
    </row>
    <row r="104" customFormat="false" ht="15" hidden="false" customHeight="false" outlineLevel="0" collapsed="false">
      <c r="A104" s="0" t="s">
        <v>305</v>
      </c>
      <c r="B104" s="0" t="s">
        <v>306</v>
      </c>
      <c r="C104" s="0" t="n">
        <v>4.14</v>
      </c>
      <c r="D104" s="0" t="n">
        <v>2.708</v>
      </c>
      <c r="E104" s="0" t="n">
        <v>2</v>
      </c>
      <c r="F104" s="0" t="s">
        <v>63</v>
      </c>
      <c r="G104" s="0" t="n">
        <v>16</v>
      </c>
      <c r="H104" s="0" t="n">
        <v>22.42</v>
      </c>
      <c r="I104" s="0" t="s">
        <v>307</v>
      </c>
      <c r="J104" s="0" t="s">
        <v>304</v>
      </c>
      <c r="K104" s="0" t="s">
        <v>66</v>
      </c>
    </row>
    <row r="105" customFormat="false" ht="15" hidden="false" customHeight="false" outlineLevel="0" collapsed="false">
      <c r="A105" s="0" t="s">
        <v>308</v>
      </c>
      <c r="B105" s="0" t="s">
        <v>309</v>
      </c>
      <c r="C105" s="0" t="n">
        <v>6.24</v>
      </c>
      <c r="D105" s="0" t="n">
        <v>2.708</v>
      </c>
      <c r="E105" s="0" t="n">
        <v>2</v>
      </c>
      <c r="F105" s="0" t="s">
        <v>63</v>
      </c>
      <c r="G105" s="0" t="n">
        <v>16</v>
      </c>
      <c r="H105" s="0" t="n">
        <v>33.8</v>
      </c>
      <c r="I105" s="0" t="s">
        <v>310</v>
      </c>
      <c r="J105" s="0" t="s">
        <v>304</v>
      </c>
      <c r="K105" s="0" t="s">
        <v>66</v>
      </c>
    </row>
    <row r="106" customFormat="false" ht="15" hidden="false" customHeight="false" outlineLevel="0" collapsed="false">
      <c r="B106" s="6" t="s">
        <v>311</v>
      </c>
      <c r="C106" s="4" t="n">
        <f aca="false">SUM(C103:C105)</f>
        <v>20.27</v>
      </c>
      <c r="H106" s="4" t="n">
        <f aca="false">SUM(H103:H105)</f>
        <v>109.78</v>
      </c>
    </row>
    <row r="107" customFormat="false" ht="15" hidden="false" customHeight="false" outlineLevel="0" collapsed="false">
      <c r="A107" s="5" t="s">
        <v>312</v>
      </c>
    </row>
    <row r="108" customFormat="false" ht="15" hidden="false" customHeight="false" outlineLevel="0" collapsed="false">
      <c r="A108" s="0" t="s">
        <v>313</v>
      </c>
      <c r="B108" s="0" t="s">
        <v>314</v>
      </c>
      <c r="C108" s="0" t="n">
        <v>3.17</v>
      </c>
      <c r="D108" s="0" t="n">
        <v>2.708</v>
      </c>
      <c r="E108" s="0" t="n">
        <v>2</v>
      </c>
      <c r="F108" s="0" t="s">
        <v>63</v>
      </c>
      <c r="G108" s="0" t="n">
        <v>16</v>
      </c>
      <c r="H108" s="0" t="n">
        <v>17.16</v>
      </c>
      <c r="I108" s="0" t="s">
        <v>315</v>
      </c>
      <c r="J108" s="0" t="s">
        <v>316</v>
      </c>
      <c r="K108" s="0" t="s">
        <v>66</v>
      </c>
    </row>
    <row r="109" customFormat="false" ht="15" hidden="false" customHeight="false" outlineLevel="0" collapsed="false">
      <c r="B109" s="6" t="s">
        <v>317</v>
      </c>
      <c r="C109" s="4" t="n">
        <f aca="false">SUM(C108:C108)</f>
        <v>3.17</v>
      </c>
      <c r="H109" s="4" t="n">
        <f aca="false">SUM(H108:H108)</f>
        <v>17.16</v>
      </c>
    </row>
    <row r="110" customFormat="false" ht="15" hidden="false" customHeight="false" outlineLevel="0" collapsed="false">
      <c r="A110" s="5" t="s">
        <v>318</v>
      </c>
    </row>
    <row r="111" customFormat="false" ht="15" hidden="false" customHeight="false" outlineLevel="0" collapsed="false">
      <c r="A111" s="0" t="s">
        <v>319</v>
      </c>
      <c r="B111" s="0" t="s">
        <v>320</v>
      </c>
      <c r="C111" s="0" t="n">
        <v>5.14</v>
      </c>
      <c r="D111" s="0" t="n">
        <v>1</v>
      </c>
      <c r="E111" s="0" t="n">
        <v>2</v>
      </c>
      <c r="F111" s="0" t="s">
        <v>63</v>
      </c>
      <c r="G111" s="0" t="n">
        <v>16</v>
      </c>
      <c r="H111" s="0" t="n">
        <v>10.28</v>
      </c>
      <c r="I111" s="0" t="s">
        <v>321</v>
      </c>
      <c r="J111" s="0" t="s">
        <v>322</v>
      </c>
      <c r="K111" s="0" t="s">
        <v>66</v>
      </c>
    </row>
    <row r="112" customFormat="false" ht="15" hidden="false" customHeight="false" outlineLevel="0" collapsed="false">
      <c r="B112" s="6" t="s">
        <v>323</v>
      </c>
      <c r="C112" s="4" t="n">
        <f aca="false">SUM(C111:C111)</f>
        <v>5.14</v>
      </c>
      <c r="H112" s="4" t="n">
        <f aca="false">SUM(H111:H111)</f>
        <v>10.28</v>
      </c>
    </row>
    <row r="113" customFormat="false" ht="15" hidden="false" customHeight="false" outlineLevel="0" collapsed="false">
      <c r="A113" s="5" t="s">
        <v>324</v>
      </c>
    </row>
    <row r="114" customFormat="false" ht="15" hidden="false" customHeight="false" outlineLevel="0" collapsed="false">
      <c r="A114" s="0" t="s">
        <v>325</v>
      </c>
      <c r="B114" s="0" t="s">
        <v>326</v>
      </c>
      <c r="C114" s="0" t="n">
        <v>3.17</v>
      </c>
      <c r="D114" s="0" t="n">
        <v>2.708</v>
      </c>
      <c r="E114" s="0" t="n">
        <v>2</v>
      </c>
      <c r="F114" s="0" t="s">
        <v>63</v>
      </c>
      <c r="G114" s="0" t="n">
        <v>16</v>
      </c>
      <c r="H114" s="0" t="n">
        <v>17.16</v>
      </c>
      <c r="I114" s="0" t="s">
        <v>327</v>
      </c>
      <c r="J114" s="0" t="s">
        <v>328</v>
      </c>
      <c r="K114" s="0" t="s">
        <v>66</v>
      </c>
    </row>
    <row r="115" customFormat="false" ht="15" hidden="false" customHeight="false" outlineLevel="0" collapsed="false">
      <c r="B115" s="6" t="s">
        <v>329</v>
      </c>
      <c r="C115" s="4" t="n">
        <f aca="false">SUM(C114:C114)</f>
        <v>3.17</v>
      </c>
      <c r="H115" s="4" t="n">
        <f aca="false">SUM(H114:H114)</f>
        <v>17.16</v>
      </c>
    </row>
    <row r="116" customFormat="false" ht="15" hidden="false" customHeight="false" outlineLevel="0" collapsed="false">
      <c r="B116" s="6" t="s">
        <v>330</v>
      </c>
      <c r="C116" s="4" t="n">
        <f aca="false">C8+C12+C23+C29+C39+C42+C50+C70+C74+C77+C80+C83+C86+C89+C94+C97+C101+C106+C109+C112+C115</f>
        <v>979.87</v>
      </c>
      <c r="H116" s="4" t="n">
        <f aca="false">H8+H12+H23+H29+H39+H42+H50+H70+H74+H77+H80+H83+H86+H89+H94+H97+H101+H106+H109+H112+H115</f>
        <v>17852.41</v>
      </c>
    </row>
    <row r="118" customFormat="false" ht="15" hidden="false" customHeight="false" outlineLevel="0" collapsed="false">
      <c r="A118" s="5" t="s">
        <v>331</v>
      </c>
    </row>
    <row r="119" customFormat="false" ht="15" hidden="false" customHeight="false" outlineLevel="0" collapsed="false">
      <c r="A119" s="0" t="s">
        <v>332</v>
      </c>
      <c r="B119" s="0" t="s">
        <v>333</v>
      </c>
      <c r="C119" s="0" t="n">
        <v>8</v>
      </c>
      <c r="D119" s="0" t="n">
        <v>8</v>
      </c>
      <c r="E119" s="0" t="n">
        <v>1</v>
      </c>
      <c r="F119" s="0" t="s">
        <v>63</v>
      </c>
      <c r="G119" s="0" t="n">
        <v>16</v>
      </c>
      <c r="H119" s="0" t="n">
        <v>64</v>
      </c>
      <c r="I119" s="0" t="s">
        <v>334</v>
      </c>
      <c r="J119" s="0" t="s">
        <v>335</v>
      </c>
      <c r="K119" s="0" t="s">
        <v>66</v>
      </c>
    </row>
    <row r="120" customFormat="false" ht="15" hidden="false" customHeight="false" outlineLevel="0" collapsed="false">
      <c r="A120" s="0" t="s">
        <v>336</v>
      </c>
      <c r="B120" s="0" t="s">
        <v>337</v>
      </c>
      <c r="C120" s="0" t="n">
        <v>8</v>
      </c>
      <c r="D120" s="0" t="n">
        <v>8</v>
      </c>
      <c r="E120" s="0" t="n">
        <v>1</v>
      </c>
      <c r="F120" s="0" t="s">
        <v>63</v>
      </c>
      <c r="G120" s="0" t="n">
        <v>16</v>
      </c>
      <c r="H120" s="0" t="n">
        <v>64</v>
      </c>
      <c r="I120" s="0" t="s">
        <v>334</v>
      </c>
      <c r="J120" s="0" t="s">
        <v>335</v>
      </c>
      <c r="K120" s="0" t="s">
        <v>66</v>
      </c>
    </row>
    <row r="121" customFormat="false" ht="15" hidden="false" customHeight="false" outlineLevel="0" collapsed="false">
      <c r="A121" s="0" t="s">
        <v>338</v>
      </c>
      <c r="B121" s="0" t="s">
        <v>339</v>
      </c>
      <c r="C121" s="0" t="n">
        <v>8</v>
      </c>
      <c r="D121" s="0" t="n">
        <v>8</v>
      </c>
      <c r="E121" s="0" t="n">
        <v>1</v>
      </c>
      <c r="F121" s="0" t="s">
        <v>63</v>
      </c>
      <c r="G121" s="0" t="n">
        <v>16</v>
      </c>
      <c r="H121" s="0" t="n">
        <v>64</v>
      </c>
      <c r="I121" s="0" t="s">
        <v>334</v>
      </c>
      <c r="J121" s="0" t="s">
        <v>335</v>
      </c>
      <c r="K121" s="0" t="s">
        <v>66</v>
      </c>
    </row>
    <row r="122" customFormat="false" ht="15" hidden="false" customHeight="false" outlineLevel="0" collapsed="false">
      <c r="A122" s="0" t="s">
        <v>340</v>
      </c>
      <c r="B122" s="0" t="s">
        <v>341</v>
      </c>
      <c r="C122" s="0" t="n">
        <v>8</v>
      </c>
      <c r="D122" s="0" t="n">
        <v>8</v>
      </c>
      <c r="E122" s="0" t="n">
        <v>1</v>
      </c>
      <c r="F122" s="0" t="s">
        <v>63</v>
      </c>
      <c r="G122" s="0" t="n">
        <v>16</v>
      </c>
      <c r="H122" s="0" t="n">
        <v>64</v>
      </c>
      <c r="I122" s="0" t="s">
        <v>334</v>
      </c>
      <c r="J122" s="0" t="s">
        <v>335</v>
      </c>
      <c r="K122" s="0" t="s">
        <v>66</v>
      </c>
    </row>
    <row r="123" customFormat="false" ht="15" hidden="false" customHeight="false" outlineLevel="0" collapsed="false">
      <c r="A123" s="0" t="s">
        <v>342</v>
      </c>
      <c r="B123" s="0" t="s">
        <v>343</v>
      </c>
      <c r="C123" s="0" t="n">
        <v>8</v>
      </c>
      <c r="D123" s="0" t="n">
        <v>8</v>
      </c>
      <c r="E123" s="0" t="n">
        <v>1</v>
      </c>
      <c r="F123" s="0" t="s">
        <v>63</v>
      </c>
      <c r="G123" s="0" t="n">
        <v>16</v>
      </c>
      <c r="H123" s="0" t="n">
        <v>64</v>
      </c>
      <c r="I123" s="0" t="s">
        <v>334</v>
      </c>
      <c r="J123" s="0" t="s">
        <v>335</v>
      </c>
      <c r="K123" s="0" t="s">
        <v>66</v>
      </c>
    </row>
    <row r="124" customFormat="false" ht="15" hidden="false" customHeight="false" outlineLevel="0" collapsed="false">
      <c r="A124" s="0" t="s">
        <v>344</v>
      </c>
      <c r="B124" s="0" t="s">
        <v>345</v>
      </c>
      <c r="C124" s="0" t="n">
        <v>8</v>
      </c>
      <c r="D124" s="0" t="n">
        <v>8</v>
      </c>
      <c r="E124" s="0" t="n">
        <v>1</v>
      </c>
      <c r="F124" s="0" t="s">
        <v>63</v>
      </c>
      <c r="G124" s="0" t="n">
        <v>16</v>
      </c>
      <c r="H124" s="0" t="n">
        <v>64</v>
      </c>
      <c r="I124" s="0" t="s">
        <v>334</v>
      </c>
      <c r="J124" s="0" t="s">
        <v>335</v>
      </c>
      <c r="K124" s="0" t="s">
        <v>66</v>
      </c>
    </row>
    <row r="125" customFormat="false" ht="15" hidden="false" customHeight="false" outlineLevel="0" collapsed="false">
      <c r="A125" s="0" t="s">
        <v>346</v>
      </c>
      <c r="B125" s="0" t="s">
        <v>347</v>
      </c>
      <c r="C125" s="0" t="n">
        <v>8</v>
      </c>
      <c r="D125" s="0" t="n">
        <v>8</v>
      </c>
      <c r="E125" s="0" t="n">
        <v>1</v>
      </c>
      <c r="F125" s="0" t="s">
        <v>63</v>
      </c>
      <c r="G125" s="0" t="n">
        <v>16</v>
      </c>
      <c r="H125" s="0" t="n">
        <v>64</v>
      </c>
      <c r="I125" s="0" t="s">
        <v>334</v>
      </c>
      <c r="J125" s="0" t="s">
        <v>335</v>
      </c>
      <c r="K125" s="0" t="s">
        <v>66</v>
      </c>
    </row>
    <row r="126" customFormat="false" ht="15" hidden="false" customHeight="false" outlineLevel="0" collapsed="false">
      <c r="A126" s="0" t="s">
        <v>348</v>
      </c>
      <c r="B126" s="0" t="s">
        <v>349</v>
      </c>
      <c r="C126" s="0" t="n">
        <v>8</v>
      </c>
      <c r="D126" s="0" t="n">
        <v>8</v>
      </c>
      <c r="E126" s="0" t="n">
        <v>1</v>
      </c>
      <c r="F126" s="0" t="s">
        <v>63</v>
      </c>
      <c r="G126" s="0" t="n">
        <v>16</v>
      </c>
      <c r="H126" s="0" t="n">
        <v>64</v>
      </c>
      <c r="I126" s="0" t="s">
        <v>334</v>
      </c>
      <c r="J126" s="0" t="s">
        <v>335</v>
      </c>
      <c r="K126" s="0" t="s">
        <v>66</v>
      </c>
    </row>
    <row r="127" customFormat="false" ht="15" hidden="false" customHeight="false" outlineLevel="0" collapsed="false">
      <c r="A127" s="0" t="s">
        <v>350</v>
      </c>
      <c r="B127" s="0" t="s">
        <v>351</v>
      </c>
      <c r="C127" s="0" t="n">
        <v>8</v>
      </c>
      <c r="D127" s="0" t="n">
        <v>8</v>
      </c>
      <c r="E127" s="0" t="n">
        <v>1</v>
      </c>
      <c r="F127" s="0" t="s">
        <v>63</v>
      </c>
      <c r="G127" s="0" t="n">
        <v>16</v>
      </c>
      <c r="H127" s="0" t="n">
        <v>64</v>
      </c>
      <c r="I127" s="0" t="s">
        <v>334</v>
      </c>
      <c r="J127" s="0" t="s">
        <v>335</v>
      </c>
      <c r="K127" s="0" t="s">
        <v>66</v>
      </c>
    </row>
    <row r="128" customFormat="false" ht="15" hidden="false" customHeight="false" outlineLevel="0" collapsed="false">
      <c r="A128" s="0" t="s">
        <v>352</v>
      </c>
      <c r="B128" s="0" t="s">
        <v>353</v>
      </c>
      <c r="C128" s="0" t="n">
        <v>22.77</v>
      </c>
      <c r="D128" s="0" t="n">
        <v>14</v>
      </c>
      <c r="E128" s="0" t="n">
        <v>1</v>
      </c>
      <c r="F128" s="0" t="s">
        <v>63</v>
      </c>
      <c r="G128" s="0" t="n">
        <v>16</v>
      </c>
      <c r="H128" s="0" t="n">
        <v>318.78</v>
      </c>
      <c r="I128" s="0" t="s">
        <v>354</v>
      </c>
      <c r="J128" s="0" t="s">
        <v>355</v>
      </c>
      <c r="K128" s="0" t="s">
        <v>66</v>
      </c>
    </row>
    <row r="129" customFormat="false" ht="15" hidden="false" customHeight="false" outlineLevel="0" collapsed="false">
      <c r="A129" s="0" t="s">
        <v>356</v>
      </c>
      <c r="B129" s="0" t="s">
        <v>357</v>
      </c>
      <c r="C129" s="0" t="n">
        <v>10.12</v>
      </c>
      <c r="D129" s="0" t="n">
        <v>14</v>
      </c>
      <c r="E129" s="0" t="n">
        <v>1</v>
      </c>
      <c r="F129" s="0" t="s">
        <v>63</v>
      </c>
      <c r="G129" s="0" t="n">
        <v>16</v>
      </c>
      <c r="H129" s="0" t="n">
        <v>141.68</v>
      </c>
      <c r="I129" s="0" t="s">
        <v>358</v>
      </c>
      <c r="J129" s="0" t="s">
        <v>355</v>
      </c>
      <c r="K129" s="0" t="s">
        <v>66</v>
      </c>
    </row>
    <row r="130" customFormat="false" ht="15" hidden="false" customHeight="false" outlineLevel="0" collapsed="false">
      <c r="A130" s="0" t="s">
        <v>359</v>
      </c>
      <c r="B130" s="0" t="s">
        <v>360</v>
      </c>
      <c r="C130" s="0" t="n">
        <v>20</v>
      </c>
      <c r="D130" s="0" t="n">
        <v>13.5</v>
      </c>
      <c r="E130" s="0" t="n">
        <v>1</v>
      </c>
      <c r="F130" s="0" t="s">
        <v>63</v>
      </c>
      <c r="G130" s="0" t="n">
        <v>16</v>
      </c>
      <c r="H130" s="0" t="n">
        <v>10</v>
      </c>
      <c r="I130" s="0" t="s">
        <v>361</v>
      </c>
      <c r="J130" s="0" t="s">
        <v>355</v>
      </c>
      <c r="K130" s="0" t="s">
        <v>66</v>
      </c>
    </row>
    <row r="131" customFormat="false" ht="15" hidden="false" customHeight="false" outlineLevel="0" collapsed="false">
      <c r="A131" s="0" t="s">
        <v>362</v>
      </c>
      <c r="B131" s="0" t="s">
        <v>363</v>
      </c>
      <c r="C131" s="0" t="n">
        <v>6.25</v>
      </c>
      <c r="D131" s="0" t="n">
        <v>13.5</v>
      </c>
      <c r="E131" s="0" t="n">
        <v>1</v>
      </c>
      <c r="F131" s="0" t="s">
        <v>63</v>
      </c>
      <c r="G131" s="0" t="n">
        <v>16</v>
      </c>
      <c r="H131" s="0" t="n">
        <v>3.12</v>
      </c>
      <c r="I131" s="0" t="s">
        <v>364</v>
      </c>
      <c r="J131" s="0" t="s">
        <v>355</v>
      </c>
      <c r="K131" s="0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7" min="7" style="0" width="24"/>
    <col collapsed="false" customWidth="true" hidden="false" outlineLevel="0" max="8" min="8" style="0" width="30"/>
    <col collapsed="false" customWidth="true" hidden="false" outlineLevel="0" max="9" min="9" style="0" width="60"/>
    <col collapsed="false" customWidth="true" hidden="false" outlineLevel="0" max="10" min="10" style="0" width="28"/>
  </cols>
  <sheetData>
    <row r="1" customFormat="false" ht="16.15" hidden="false" customHeight="false" outlineLevel="0" collapsed="false">
      <c r="A1" s="1" t="s">
        <v>365</v>
      </c>
    </row>
    <row r="2" customFormat="false" ht="15" hidden="false" customHeight="false" outlineLevel="0" collapsed="false">
      <c r="A2" s="0" t="s">
        <v>366</v>
      </c>
    </row>
    <row r="3" customFormat="false" ht="15" hidden="false" customHeight="false" outlineLevel="0" collapsed="false">
      <c r="A3" s="2" t="s">
        <v>367</v>
      </c>
      <c r="B3" s="2" t="s">
        <v>368</v>
      </c>
      <c r="C3" s="2" t="s">
        <v>369</v>
      </c>
      <c r="D3" s="2" t="s">
        <v>370</v>
      </c>
      <c r="E3" s="2" t="s">
        <v>371</v>
      </c>
      <c r="F3" s="2" t="s">
        <v>372</v>
      </c>
      <c r="G3" s="2" t="s">
        <v>373</v>
      </c>
      <c r="H3" s="2" t="s">
        <v>374</v>
      </c>
      <c r="I3" s="2" t="s">
        <v>375</v>
      </c>
      <c r="J3" s="2" t="s">
        <v>376</v>
      </c>
    </row>
    <row r="4" customFormat="false" ht="15" hidden="false" customHeight="false" outlineLevel="0" collapsed="false">
      <c r="A4" s="0" t="s">
        <v>377</v>
      </c>
      <c r="B4" s="0" t="s">
        <v>378</v>
      </c>
      <c r="C4" s="0" t="n">
        <v>761.54</v>
      </c>
      <c r="D4" s="0" t="n">
        <f aca="false">Inputs!$B$5</f>
        <v>0.15</v>
      </c>
      <c r="E4" s="0" t="n">
        <f aca="false">C4*D4</f>
        <v>114.231</v>
      </c>
      <c r="F4" s="0" t="n">
        <f aca="false">C4+E4</f>
        <v>875.771</v>
      </c>
      <c r="G4" s="0" t="s">
        <v>379</v>
      </c>
      <c r="H4" s="0" t="n">
        <f aca="false">ROUNDUP(F4/Inputs!$B$11,0)</f>
        <v>88</v>
      </c>
      <c r="I4" s="0" t="s">
        <v>380</v>
      </c>
    </row>
    <row r="5" customFormat="false" ht="15" hidden="false" customHeight="false" outlineLevel="0" collapsed="false">
      <c r="A5" s="0" t="s">
        <v>381</v>
      </c>
      <c r="B5" s="0" t="s">
        <v>378</v>
      </c>
      <c r="C5" s="0" t="n">
        <v>99.74</v>
      </c>
      <c r="D5" s="0" t="n">
        <f aca="false">Inputs!$B$5</f>
        <v>0.15</v>
      </c>
      <c r="E5" s="0" t="n">
        <f aca="false">C5*D5</f>
        <v>14.961</v>
      </c>
      <c r="F5" s="0" t="n">
        <f aca="false">C5+E5</f>
        <v>114.701</v>
      </c>
      <c r="G5" s="0" t="s">
        <v>379</v>
      </c>
      <c r="H5" s="0" t="n">
        <f aca="false">ROUNDUP(F5/Inputs!$B$11,0)</f>
        <v>12</v>
      </c>
      <c r="I5" s="0" t="s">
        <v>380</v>
      </c>
    </row>
    <row r="6" customFormat="false" ht="15" hidden="false" customHeight="false" outlineLevel="0" collapsed="false">
      <c r="A6" s="0" t="s">
        <v>382</v>
      </c>
      <c r="B6" s="0" t="s">
        <v>378</v>
      </c>
      <c r="C6" s="0" t="n">
        <v>118.59</v>
      </c>
      <c r="D6" s="0" t="n">
        <f aca="false">Inputs!$B$5</f>
        <v>0.15</v>
      </c>
      <c r="E6" s="0" t="n">
        <f aca="false">C6*D6</f>
        <v>17.7885</v>
      </c>
      <c r="F6" s="0" t="n">
        <f aca="false">C6+E6</f>
        <v>136.3785</v>
      </c>
      <c r="G6" s="0" t="s">
        <v>379</v>
      </c>
      <c r="H6" s="0" t="n">
        <f aca="false">ROUNDUP(F6/Inputs!$B$11,0)</f>
        <v>14</v>
      </c>
      <c r="I6" s="0" t="s">
        <v>380</v>
      </c>
    </row>
    <row r="7" customFormat="false" ht="15" hidden="false" customHeight="false" outlineLevel="0" collapsed="false">
      <c r="A7" s="0" t="s">
        <v>383</v>
      </c>
      <c r="B7" s="0" t="s">
        <v>378</v>
      </c>
      <c r="C7" s="0" t="n">
        <v>72</v>
      </c>
      <c r="D7" s="0" t="n">
        <f aca="false">Inputs!$B$5</f>
        <v>0.15</v>
      </c>
      <c r="E7" s="0" t="n">
        <f aca="false">C7*D7</f>
        <v>10.8</v>
      </c>
      <c r="F7" s="0" t="n">
        <f aca="false">C7+E7</f>
        <v>82.8</v>
      </c>
      <c r="G7" s="0" t="s">
        <v>379</v>
      </c>
      <c r="H7" s="0" t="n">
        <f aca="false">ROUNDUP(F7/Inputs!$B$11,0)</f>
        <v>9</v>
      </c>
      <c r="I7" s="0" t="s">
        <v>380</v>
      </c>
    </row>
    <row r="8" customFormat="false" ht="15" hidden="false" customHeight="false" outlineLevel="0" collapsed="false">
      <c r="A8" s="0" t="s">
        <v>384</v>
      </c>
      <c r="B8" s="0" t="s">
        <v>378</v>
      </c>
      <c r="C8" s="0" t="n">
        <v>761.54</v>
      </c>
      <c r="D8" s="0" t="n">
        <f aca="false">Inputs!$B$5</f>
        <v>0.15</v>
      </c>
      <c r="E8" s="0" t="n">
        <f aca="false">C8*D8</f>
        <v>114.231</v>
      </c>
      <c r="F8" s="0" t="n">
        <f aca="false">C8+E8</f>
        <v>875.771</v>
      </c>
      <c r="G8" s="0" t="s">
        <v>379</v>
      </c>
      <c r="H8" s="0" t="n">
        <f aca="false">ROUNDUP(F8/Inputs!$B$11,0)</f>
        <v>88</v>
      </c>
      <c r="I8" s="0" t="s">
        <v>385</v>
      </c>
    </row>
    <row r="9" customFormat="false" ht="15" hidden="false" customHeight="false" outlineLevel="0" collapsed="false">
      <c r="A9" s="0" t="s">
        <v>386</v>
      </c>
      <c r="B9" s="0" t="s">
        <v>378</v>
      </c>
      <c r="C9" s="0" t="n">
        <v>99.74</v>
      </c>
      <c r="D9" s="0" t="n">
        <f aca="false">Inputs!$B$5</f>
        <v>0.15</v>
      </c>
      <c r="E9" s="0" t="n">
        <f aca="false">C9*D9</f>
        <v>14.961</v>
      </c>
      <c r="F9" s="0" t="n">
        <f aca="false">C9+E9</f>
        <v>114.701</v>
      </c>
      <c r="G9" s="0" t="s">
        <v>379</v>
      </c>
      <c r="H9" s="0" t="n">
        <f aca="false">ROUNDUP(F9/Inputs!$B$11,0)</f>
        <v>12</v>
      </c>
      <c r="I9" s="0" t="s">
        <v>385</v>
      </c>
    </row>
    <row r="10" customFormat="false" ht="15" hidden="false" customHeight="false" outlineLevel="0" collapsed="false">
      <c r="A10" s="0" t="s">
        <v>387</v>
      </c>
      <c r="B10" s="0" t="s">
        <v>378</v>
      </c>
      <c r="C10" s="0" t="n">
        <v>118.59</v>
      </c>
      <c r="D10" s="0" t="n">
        <f aca="false">Inputs!$B$5</f>
        <v>0.15</v>
      </c>
      <c r="E10" s="0" t="n">
        <f aca="false">C10*D10</f>
        <v>17.7885</v>
      </c>
      <c r="F10" s="0" t="n">
        <f aca="false">C10+E10</f>
        <v>136.3785</v>
      </c>
      <c r="G10" s="0" t="s">
        <v>379</v>
      </c>
      <c r="H10" s="0" t="n">
        <f aca="false">ROUNDUP(F10/Inputs!$B$11,0)</f>
        <v>14</v>
      </c>
      <c r="I10" s="0" t="s">
        <v>385</v>
      </c>
    </row>
    <row r="11" customFormat="false" ht="15" hidden="false" customHeight="false" outlineLevel="0" collapsed="false">
      <c r="A11" s="0" t="s">
        <v>388</v>
      </c>
      <c r="B11" s="0" t="s">
        <v>378</v>
      </c>
      <c r="C11" s="0" t="n">
        <v>72</v>
      </c>
      <c r="D11" s="0" t="n">
        <f aca="false">Inputs!$B$5</f>
        <v>0.15</v>
      </c>
      <c r="E11" s="0" t="n">
        <f aca="false">C11*D11</f>
        <v>10.8</v>
      </c>
      <c r="F11" s="0" t="n">
        <f aca="false">C11+E11</f>
        <v>82.8</v>
      </c>
      <c r="G11" s="0" t="s">
        <v>379</v>
      </c>
      <c r="H11" s="0" t="n">
        <f aca="false">ROUNDUP(F11/Inputs!$B$11,0)</f>
        <v>9</v>
      </c>
      <c r="I11" s="0" t="s">
        <v>385</v>
      </c>
    </row>
    <row r="12" customFormat="false" ht="15" hidden="false" customHeight="false" outlineLevel="0" collapsed="false">
      <c r="A12" s="0" t="s">
        <v>389</v>
      </c>
      <c r="B12" s="0" t="s">
        <v>378</v>
      </c>
      <c r="C12" s="0" t="n">
        <v>2332.99</v>
      </c>
      <c r="D12" s="0" t="n">
        <f aca="false">Inputs!$B$5</f>
        <v>0.15</v>
      </c>
      <c r="E12" s="0" t="n">
        <f aca="false">C12*D12</f>
        <v>349.9485</v>
      </c>
      <c r="F12" s="0" t="n">
        <f aca="false">C12+E12</f>
        <v>2682.9385</v>
      </c>
      <c r="G12" s="0" t="s">
        <v>390</v>
      </c>
      <c r="H12" s="0" t="n">
        <f aca="false">ROUNDUP(F12/Inputs!$B$10,0)</f>
        <v>135</v>
      </c>
      <c r="I12" s="0" t="s">
        <v>391</v>
      </c>
    </row>
    <row r="13" customFormat="false" ht="15" hidden="false" customHeight="false" outlineLevel="0" collapsed="false">
      <c r="A13" s="0" t="s">
        <v>392</v>
      </c>
      <c r="B13" s="0" t="s">
        <v>378</v>
      </c>
      <c r="C13" s="0" t="n">
        <v>2925</v>
      </c>
      <c r="D13" s="0" t="n">
        <f aca="false">Inputs!$B$5</f>
        <v>0.15</v>
      </c>
      <c r="E13" s="0" t="n">
        <f aca="false">C13*D13</f>
        <v>438.75</v>
      </c>
      <c r="F13" s="0" t="n">
        <f aca="false">C13+E13</f>
        <v>3363.75</v>
      </c>
      <c r="G13" s="0" t="s">
        <v>390</v>
      </c>
      <c r="H13" s="0" t="n">
        <f aca="false">ROUNDUP(F13/Inputs!$B$10,0)</f>
        <v>169</v>
      </c>
      <c r="I13" s="0" t="s">
        <v>393</v>
      </c>
    </row>
    <row r="14" customFormat="false" ht="15" hidden="false" customHeight="false" outlineLevel="0" collapsed="false">
      <c r="A14" s="0" t="s">
        <v>394</v>
      </c>
      <c r="B14" s="0" t="s">
        <v>378</v>
      </c>
      <c r="C14" s="0" t="n">
        <v>16751.65</v>
      </c>
      <c r="D14" s="0" t="n">
        <f aca="false">Inputs!$B$5</f>
        <v>0.15</v>
      </c>
      <c r="E14" s="0" t="n">
        <f aca="false">C14*D14</f>
        <v>2512.7475</v>
      </c>
      <c r="F14" s="0" t="n">
        <f aca="false">C14+E14</f>
        <v>19264.3975</v>
      </c>
      <c r="G14" s="0" t="s">
        <v>390</v>
      </c>
      <c r="H14" s="0" t="n">
        <f aca="false">ROUNDUP(F14/Inputs!$B$10,0)</f>
        <v>964</v>
      </c>
      <c r="I14" s="0" t="s">
        <v>395</v>
      </c>
    </row>
    <row r="15" customFormat="false" ht="15" hidden="false" customHeight="false" outlineLevel="0" collapsed="false">
      <c r="A15" s="0" t="s">
        <v>396</v>
      </c>
      <c r="B15" s="0" t="s">
        <v>378</v>
      </c>
      <c r="C15" s="0" t="n">
        <v>385.99</v>
      </c>
      <c r="D15" s="0" t="n">
        <f aca="false">Inputs!$B$5</f>
        <v>0.15</v>
      </c>
      <c r="E15" s="0" t="n">
        <f aca="false">C15*D15</f>
        <v>57.8985</v>
      </c>
      <c r="F15" s="0" t="n">
        <f aca="false">C15+E15</f>
        <v>443.8885</v>
      </c>
      <c r="G15" s="0" t="s">
        <v>379</v>
      </c>
      <c r="H15" s="0" t="n">
        <f aca="false">ROUNDUP(F15/Inputs!$B$11,0)</f>
        <v>45</v>
      </c>
      <c r="I15" s="0" t="s">
        <v>397</v>
      </c>
    </row>
    <row r="16" customFormat="false" ht="15" hidden="false" customHeight="false" outlineLevel="0" collapsed="false">
      <c r="A16" s="0" t="s">
        <v>398</v>
      </c>
      <c r="B16" s="0" t="s">
        <v>378</v>
      </c>
      <c r="C16" s="0" t="n">
        <v>5230.74</v>
      </c>
      <c r="D16" s="0" t="n">
        <f aca="false">Inputs!$B$5</f>
        <v>0.15</v>
      </c>
      <c r="E16" s="0" t="n">
        <f aca="false">C16*D16</f>
        <v>784.611</v>
      </c>
      <c r="F16" s="0" t="n">
        <f aca="false">C16+E16</f>
        <v>6015.351</v>
      </c>
      <c r="G16" s="0" t="s">
        <v>399</v>
      </c>
      <c r="H16" s="0" t="n">
        <f aca="false">ROUNDUP(F16/Inputs!$B$16,0)</f>
        <v>376</v>
      </c>
      <c r="I16" s="0" t="s">
        <v>400</v>
      </c>
    </row>
    <row r="17" customFormat="false" ht="15" hidden="false" customHeight="false" outlineLevel="0" collapsed="false">
      <c r="A17" s="0" t="s">
        <v>401</v>
      </c>
      <c r="B17" s="0" t="s">
        <v>378</v>
      </c>
      <c r="C17" s="0" t="n">
        <v>493.02</v>
      </c>
      <c r="D17" s="0" t="n">
        <f aca="false">Inputs!$B$5</f>
        <v>0.15</v>
      </c>
      <c r="E17" s="0" t="n">
        <f aca="false">C17*D17</f>
        <v>73.953</v>
      </c>
      <c r="F17" s="0" t="n">
        <f aca="false">C17+E17</f>
        <v>566.973</v>
      </c>
      <c r="G17" s="0" t="s">
        <v>402</v>
      </c>
      <c r="H17" s="0" t="n">
        <f aca="false">ROUNDUP(F17/Inputs!$B$17,0)</f>
        <v>48</v>
      </c>
      <c r="I17" s="0" t="s">
        <v>403</v>
      </c>
    </row>
    <row r="18" customFormat="false" ht="15" hidden="false" customHeight="false" outlineLevel="0" collapsed="false">
      <c r="A18" s="0" t="s">
        <v>404</v>
      </c>
      <c r="B18" s="0" t="s">
        <v>378</v>
      </c>
      <c r="C18" s="0" t="n">
        <v>341.09</v>
      </c>
      <c r="D18" s="0" t="n">
        <f aca="false">Inputs!$B$5</f>
        <v>0.15</v>
      </c>
      <c r="E18" s="0" t="n">
        <f aca="false">C18*D18</f>
        <v>51.1635</v>
      </c>
      <c r="F18" s="0" t="n">
        <f aca="false">C18+E18</f>
        <v>392.2535</v>
      </c>
      <c r="G18" s="0" t="s">
        <v>399</v>
      </c>
      <c r="H18" s="0" t="n">
        <f aca="false">ROUNDUP(F18/Inputs!$B$16,0)</f>
        <v>25</v>
      </c>
      <c r="I18" s="0" t="s">
        <v>405</v>
      </c>
    </row>
    <row r="19" customFormat="false" ht="15" hidden="false" customHeight="false" outlineLevel="0" collapsed="false">
      <c r="A19" s="0" t="s">
        <v>406</v>
      </c>
      <c r="B19" s="0" t="s">
        <v>378</v>
      </c>
      <c r="C19" s="0" t="n">
        <v>1438</v>
      </c>
      <c r="D19" s="0" t="n">
        <f aca="false">Inputs!$B$5</f>
        <v>0.15</v>
      </c>
      <c r="E19" s="0" t="n">
        <f aca="false">C19*D19</f>
        <v>215.7</v>
      </c>
      <c r="F19" s="0" t="n">
        <f aca="false">C19+E19</f>
        <v>1653.7</v>
      </c>
      <c r="G19" s="0" t="s">
        <v>33</v>
      </c>
      <c r="H19" s="0" t="n">
        <f aca="false">ROUNDUP(F19,0)</f>
        <v>1654</v>
      </c>
      <c r="I19" s="0" t="s">
        <v>407</v>
      </c>
    </row>
    <row r="20" customFormat="false" ht="15" hidden="false" customHeight="false" outlineLevel="0" collapsed="false">
      <c r="A20" s="0" t="s">
        <v>408</v>
      </c>
      <c r="B20" s="0" t="s">
        <v>409</v>
      </c>
      <c r="C20" s="0" t="n">
        <v>16562.77</v>
      </c>
      <c r="D20" s="0" t="n">
        <f aca="false">Inputs!$B$6</f>
        <v>0.06</v>
      </c>
      <c r="E20" s="0" t="n">
        <f aca="false">C20*D20</f>
        <v>993.7662</v>
      </c>
      <c r="F20" s="0" t="n">
        <f aca="false">C20+E20</f>
        <v>17556.5362</v>
      </c>
      <c r="G20" s="0" t="s">
        <v>410</v>
      </c>
      <c r="H20" s="0" t="n">
        <f aca="false">ROUNDUP(F20/32,0)</f>
        <v>549</v>
      </c>
      <c r="I20" s="0" t="s">
        <v>411</v>
      </c>
    </row>
    <row r="21" customFormat="false" ht="15" hidden="false" customHeight="false" outlineLevel="0" collapsed="false">
      <c r="A21" s="0" t="s">
        <v>412</v>
      </c>
      <c r="B21" s="0" t="s">
        <v>409</v>
      </c>
      <c r="C21" s="0" t="n">
        <v>2469.22</v>
      </c>
      <c r="D21" s="0" t="n">
        <f aca="false">Inputs!$B$6</f>
        <v>0.06</v>
      </c>
      <c r="E21" s="0" t="n">
        <f aca="false">C21*D21</f>
        <v>148.1532</v>
      </c>
      <c r="F21" s="0" t="n">
        <f aca="false">C21+E21</f>
        <v>2617.3732</v>
      </c>
      <c r="G21" s="0" t="s">
        <v>410</v>
      </c>
      <c r="H21" s="0" t="n">
        <f aca="false">ROUNDUP(F21/32,0)</f>
        <v>82</v>
      </c>
      <c r="I21" s="0" t="s">
        <v>413</v>
      </c>
    </row>
    <row r="22" customFormat="false" ht="15" hidden="false" customHeight="false" outlineLevel="0" collapsed="false">
      <c r="A22" s="0" t="s">
        <v>414</v>
      </c>
      <c r="B22" s="0" t="s">
        <v>378</v>
      </c>
      <c r="C22" s="0" t="n">
        <v>891.72</v>
      </c>
      <c r="D22" s="0" t="n">
        <f aca="false">Inputs!$B$5</f>
        <v>0.15</v>
      </c>
      <c r="E22" s="0" t="n">
        <f aca="false">C22*D22</f>
        <v>133.758</v>
      </c>
      <c r="F22" s="0" t="n">
        <f aca="false">C22+E22</f>
        <v>1025.478</v>
      </c>
      <c r="G22" s="0" t="s">
        <v>415</v>
      </c>
      <c r="H22" s="0" t="n">
        <f aca="false">ROUNDUP(F22/Inputs!$B$18,0)</f>
        <v>103</v>
      </c>
      <c r="I22" s="0" t="s">
        <v>416</v>
      </c>
    </row>
    <row r="23" customFormat="false" ht="15" hidden="false" customHeight="false" outlineLevel="0" collapsed="false">
      <c r="A23" s="0" t="s">
        <v>417</v>
      </c>
      <c r="B23" s="0" t="s">
        <v>409</v>
      </c>
      <c r="C23" s="0" t="n">
        <v>851.4</v>
      </c>
      <c r="D23" s="0" t="n">
        <f aca="false">Inputs!$B$6</f>
        <v>0.06</v>
      </c>
      <c r="E23" s="0" t="n">
        <f aca="false">C23*D23</f>
        <v>51.084</v>
      </c>
      <c r="F23" s="0" t="n">
        <f aca="false">C23+E23</f>
        <v>902.484</v>
      </c>
      <c r="G23" s="0" t="s">
        <v>410</v>
      </c>
      <c r="H23" s="0" t="n">
        <f aca="false">ROUNDUP(F23/32,0)</f>
        <v>29</v>
      </c>
      <c r="I23" s="0" t="s">
        <v>418</v>
      </c>
    </row>
    <row r="24" customFormat="false" ht="15" hidden="false" customHeight="false" outlineLevel="0" collapsed="false">
      <c r="A24" s="0" t="s">
        <v>419</v>
      </c>
      <c r="B24" s="0" t="s">
        <v>378</v>
      </c>
      <c r="C24" s="0" t="n">
        <v>61.31</v>
      </c>
      <c r="D24" s="0" t="n">
        <f aca="false">Inputs!$B$5</f>
        <v>0.15</v>
      </c>
      <c r="E24" s="0" t="n">
        <f aca="false">C24*D24</f>
        <v>9.1965</v>
      </c>
      <c r="F24" s="0" t="n">
        <f aca="false">C24+E24</f>
        <v>70.5065</v>
      </c>
      <c r="G24" s="0" t="s">
        <v>390</v>
      </c>
      <c r="H24" s="0" t="n">
        <f aca="false">ROUNDUP(F24/Inputs!$B$10,0)</f>
        <v>4</v>
      </c>
      <c r="I24" s="0" t="s">
        <v>420</v>
      </c>
    </row>
    <row r="25" customFormat="false" ht="15" hidden="false" customHeight="false" outlineLevel="0" collapsed="false">
      <c r="A25" s="0" t="s">
        <v>421</v>
      </c>
      <c r="B25" s="0" t="s">
        <v>409</v>
      </c>
      <c r="C25" s="0" t="n">
        <v>2528.42</v>
      </c>
      <c r="D25" s="0" t="n">
        <f aca="false">Inputs!$B$6</f>
        <v>0.06</v>
      </c>
      <c r="E25" s="0" t="n">
        <f aca="false">C25*D25</f>
        <v>151.7052</v>
      </c>
      <c r="F25" s="0" t="n">
        <f aca="false">C25+E25</f>
        <v>2680.1252</v>
      </c>
      <c r="G25" s="0" t="s">
        <v>422</v>
      </c>
      <c r="H25" s="0" t="n">
        <f aca="false">ROUNDUP(F25/Inputs!$B$9,0)</f>
        <v>56</v>
      </c>
      <c r="I25" s="0" t="s">
        <v>423</v>
      </c>
    </row>
    <row r="26" customFormat="false" ht="15" hidden="false" customHeight="false" outlineLevel="0" collapsed="false">
      <c r="A26" s="0" t="s">
        <v>424</v>
      </c>
      <c r="B26" s="0" t="s">
        <v>409</v>
      </c>
      <c r="C26" s="0" t="n">
        <v>63.48</v>
      </c>
      <c r="D26" s="0" t="n">
        <f aca="false">Inputs!$B$6</f>
        <v>0.06</v>
      </c>
      <c r="E26" s="0" t="n">
        <f aca="false">C26*D26</f>
        <v>3.8088</v>
      </c>
      <c r="F26" s="0" t="n">
        <f aca="false">C26+E26</f>
        <v>67.2888</v>
      </c>
      <c r="G26" s="0" t="s">
        <v>422</v>
      </c>
      <c r="H26" s="0" t="n">
        <f aca="false">ROUNDUP(F26/Inputs!$B$9,0)</f>
        <v>2</v>
      </c>
      <c r="I26" s="0" t="s">
        <v>423</v>
      </c>
    </row>
    <row r="27" customFormat="false" ht="15" hidden="false" customHeight="false" outlineLevel="0" collapsed="false">
      <c r="A27" s="0" t="s">
        <v>425</v>
      </c>
      <c r="B27" s="0" t="s">
        <v>426</v>
      </c>
      <c r="C27" s="0" t="n">
        <v>103</v>
      </c>
      <c r="D27" s="0" t="n">
        <v>0</v>
      </c>
      <c r="E27" s="0" t="n">
        <f aca="false">C27*D27</f>
        <v>0</v>
      </c>
      <c r="F27" s="0" t="n">
        <f aca="false">C27+E27</f>
        <v>103</v>
      </c>
      <c r="H27" s="0" t="n">
        <f aca="false">ROUNDUP(F27,0)</f>
        <v>103</v>
      </c>
      <c r="I27" s="0" t="s">
        <v>427</v>
      </c>
    </row>
    <row r="28" customFormat="false" ht="15" hidden="false" customHeight="false" outlineLevel="0" collapsed="false">
      <c r="A28" s="0" t="s">
        <v>428</v>
      </c>
      <c r="B28" s="0" t="s">
        <v>378</v>
      </c>
      <c r="C28" s="0" t="n">
        <v>19</v>
      </c>
      <c r="D28" s="0" t="n">
        <f aca="false">Inputs!$B$5</f>
        <v>0.15</v>
      </c>
      <c r="E28" s="0" t="n">
        <f aca="false">C28*D28</f>
        <v>2.85</v>
      </c>
      <c r="F28" s="0" t="n">
        <f aca="false">C28+E28</f>
        <v>21.85</v>
      </c>
      <c r="G28" s="0" t="s">
        <v>379</v>
      </c>
      <c r="H28" s="0" t="n">
        <f aca="false">ROUNDUP(F28/Inputs!$B$11,0)</f>
        <v>3</v>
      </c>
      <c r="I28" s="0" t="s">
        <v>429</v>
      </c>
    </row>
    <row r="29" customFormat="false" ht="15" hidden="false" customHeight="false" outlineLevel="0" collapsed="false">
      <c r="A29" s="0" t="s">
        <v>430</v>
      </c>
      <c r="B29" s="0" t="s">
        <v>426</v>
      </c>
      <c r="C29" s="0" t="n">
        <v>0</v>
      </c>
      <c r="D29" s="0" t="n">
        <v>0</v>
      </c>
      <c r="E29" s="0" t="n">
        <f aca="false">C29*D29</f>
        <v>0</v>
      </c>
      <c r="F29" s="0" t="n">
        <f aca="false">C29+E29</f>
        <v>0</v>
      </c>
      <c r="G29" s="0" t="s">
        <v>431</v>
      </c>
      <c r="H29" s="0" t="n">
        <f aca="false">ROUNDUP(F29,0)</f>
        <v>0</v>
      </c>
      <c r="I29" s="0" t="s">
        <v>432</v>
      </c>
    </row>
    <row r="30" customFormat="false" ht="15" hidden="false" customHeight="false" outlineLevel="0" collapsed="false">
      <c r="A30" s="0" t="s">
        <v>433</v>
      </c>
      <c r="B30" s="0" t="s">
        <v>378</v>
      </c>
      <c r="C30" s="0" t="n">
        <v>0</v>
      </c>
      <c r="D30" s="0" t="n">
        <f aca="false">Inputs!$B$5</f>
        <v>0.15</v>
      </c>
      <c r="E30" s="0" t="n">
        <f aca="false">C30*D30</f>
        <v>0</v>
      </c>
      <c r="F30" s="0" t="n">
        <f aca="false">C30+E30</f>
        <v>0</v>
      </c>
      <c r="G30" s="0" t="s">
        <v>390</v>
      </c>
      <c r="H30" s="0" t="n">
        <f aca="false">ROUNDUP(F30/Inputs!$B$10,0)</f>
        <v>0</v>
      </c>
      <c r="I30" s="0" t="s">
        <v>434</v>
      </c>
    </row>
    <row r="31" customFormat="false" ht="15" hidden="false" customHeight="false" outlineLevel="0" collapsed="false">
      <c r="A31" s="0" t="s">
        <v>435</v>
      </c>
      <c r="B31" s="0" t="s">
        <v>378</v>
      </c>
      <c r="C31" s="0" t="n">
        <v>0</v>
      </c>
      <c r="D31" s="0" t="n">
        <f aca="false">Inputs!$B$5</f>
        <v>0.15</v>
      </c>
      <c r="E31" s="0" t="n">
        <f aca="false">C31*D31</f>
        <v>0</v>
      </c>
      <c r="F31" s="0" t="n">
        <f aca="false">C31+E31</f>
        <v>0</v>
      </c>
      <c r="G31" s="0" t="s">
        <v>390</v>
      </c>
      <c r="H31" s="0" t="n">
        <f aca="false">ROUNDUP(F31/Inputs!$B$10,0)</f>
        <v>0</v>
      </c>
      <c r="I31" s="0" t="s">
        <v>436</v>
      </c>
    </row>
    <row r="32" customFormat="false" ht="15" hidden="false" customHeight="false" outlineLevel="0" collapsed="false">
      <c r="A32" s="0" t="s">
        <v>437</v>
      </c>
      <c r="B32" s="0" t="s">
        <v>409</v>
      </c>
      <c r="C32" s="0" t="n">
        <v>0</v>
      </c>
      <c r="D32" s="0" t="n">
        <f aca="false">Inputs!$B$6</f>
        <v>0.06</v>
      </c>
      <c r="E32" s="0" t="n">
        <f aca="false">C32*D32</f>
        <v>0</v>
      </c>
      <c r="F32" s="0" t="n">
        <f aca="false">C32+E32</f>
        <v>0</v>
      </c>
      <c r="G32" s="0" t="s">
        <v>422</v>
      </c>
      <c r="H32" s="0" t="n">
        <f aca="false">ROUNDUP(F32/Inputs!$B$9,0)</f>
        <v>0</v>
      </c>
      <c r="I32" s="0" t="s">
        <v>438</v>
      </c>
    </row>
    <row r="33" customFormat="false" ht="15" hidden="false" customHeight="false" outlineLevel="0" collapsed="false">
      <c r="A33" s="0" t="s">
        <v>439</v>
      </c>
      <c r="B33" s="0" t="s">
        <v>378</v>
      </c>
      <c r="C33" s="0" t="n">
        <v>0</v>
      </c>
      <c r="D33" s="0" t="n">
        <f aca="false">Inputs!$B$6</f>
        <v>0.06</v>
      </c>
      <c r="E33" s="0" t="n">
        <f aca="false">C33*D33</f>
        <v>0</v>
      </c>
      <c r="F33" s="0" t="n">
        <f aca="false">C33+E33</f>
        <v>0</v>
      </c>
      <c r="G33" s="0" t="s">
        <v>415</v>
      </c>
      <c r="H33" s="0" t="n">
        <f aca="false">ROUNDUP(F33/Inputs!$B$18,0)</f>
        <v>0</v>
      </c>
      <c r="I33" s="0" t="s">
        <v>440</v>
      </c>
    </row>
    <row r="34" customFormat="false" ht="15" hidden="false" customHeight="false" outlineLevel="0" collapsed="false">
      <c r="A34" s="0" t="s">
        <v>441</v>
      </c>
      <c r="B34" s="0" t="s">
        <v>426</v>
      </c>
      <c r="C34" s="0" t="n">
        <v>0</v>
      </c>
      <c r="D34" s="0" t="n">
        <v>0</v>
      </c>
      <c r="E34" s="0" t="n">
        <f aca="false">C34*D34</f>
        <v>0</v>
      </c>
      <c r="F34" s="0" t="n">
        <f aca="false">C34+E34</f>
        <v>0</v>
      </c>
      <c r="G34" s="0" t="s">
        <v>431</v>
      </c>
      <c r="H34" s="0" t="n">
        <f aca="false">ROUNDUP(F34,0)</f>
        <v>0</v>
      </c>
      <c r="I34" s="0" t="s">
        <v>442</v>
      </c>
    </row>
    <row r="35" customFormat="false" ht="15" hidden="false" customHeight="false" outlineLevel="0" collapsed="false">
      <c r="A35" s="0" t="s">
        <v>443</v>
      </c>
      <c r="B35" s="0" t="s">
        <v>426</v>
      </c>
      <c r="C35" s="0" t="n">
        <v>0</v>
      </c>
      <c r="D35" s="0" t="n">
        <v>0</v>
      </c>
      <c r="E35" s="0" t="n">
        <f aca="false">C35*D35</f>
        <v>0</v>
      </c>
      <c r="F35" s="0" t="n">
        <f aca="false">C35+E35</f>
        <v>0</v>
      </c>
      <c r="G35" s="0" t="s">
        <v>431</v>
      </c>
      <c r="H35" s="0" t="n">
        <f aca="false">ROUNDUP(F35,0)</f>
        <v>0</v>
      </c>
      <c r="I35" s="0" t="s">
        <v>444</v>
      </c>
    </row>
    <row r="36" customFormat="false" ht="15" hidden="false" customHeight="false" outlineLevel="0" collapsed="false">
      <c r="A36" s="0" t="s">
        <v>445</v>
      </c>
      <c r="B36" s="0" t="s">
        <v>426</v>
      </c>
      <c r="C36" s="0" t="n">
        <v>19875.32</v>
      </c>
      <c r="D36" s="0" t="n">
        <v>0</v>
      </c>
      <c r="E36" s="0" t="n">
        <f aca="false">C36*D36</f>
        <v>0</v>
      </c>
      <c r="F36" s="0" t="n">
        <f aca="false">C36+E36</f>
        <v>19875.32</v>
      </c>
      <c r="G36" s="0" t="s">
        <v>431</v>
      </c>
      <c r="H36" s="0" t="n">
        <f aca="false">ROUNDUP(F36,0)</f>
        <v>19876</v>
      </c>
      <c r="I36" s="0" t="s">
        <v>446</v>
      </c>
      <c r="J36" s="0" t="n">
        <f aca="false">Inputs!$B$20*16562.8</f>
        <v>19875.36</v>
      </c>
    </row>
    <row r="37" customFormat="false" ht="15" hidden="false" customHeight="false" outlineLevel="0" collapsed="false">
      <c r="A37" s="0" t="s">
        <v>447</v>
      </c>
      <c r="B37" s="0" t="s">
        <v>426</v>
      </c>
      <c r="C37" s="0" t="n">
        <v>4556</v>
      </c>
      <c r="D37" s="0" t="n">
        <v>0</v>
      </c>
      <c r="E37" s="0" t="n">
        <f aca="false">C37*D37</f>
        <v>0</v>
      </c>
      <c r="F37" s="0" t="n">
        <f aca="false">C37+E37</f>
        <v>4556</v>
      </c>
      <c r="G37" s="0" t="s">
        <v>431</v>
      </c>
      <c r="H37" s="0" t="n">
        <f aca="false">ROUNDUP(F37,0)</f>
        <v>4556</v>
      </c>
      <c r="I37" s="0" t="s">
        <v>448</v>
      </c>
      <c r="J37" s="0" t="n">
        <f aca="false">Inputs!$B$21*1139</f>
        <v>4556</v>
      </c>
    </row>
    <row r="38" customFormat="false" ht="15" hidden="false" customHeight="false" outlineLevel="0" collapsed="false">
      <c r="A38" s="0" t="s">
        <v>449</v>
      </c>
      <c r="B38" s="0" t="s">
        <v>426</v>
      </c>
      <c r="C38" s="0" t="n">
        <v>1051.87</v>
      </c>
      <c r="D38" s="0" t="n">
        <v>0</v>
      </c>
      <c r="E38" s="0" t="n">
        <f aca="false">C38*D38</f>
        <v>0</v>
      </c>
      <c r="F38" s="0" t="n">
        <f aca="false">C38+E38</f>
        <v>1051.87</v>
      </c>
      <c r="G38" s="0" t="s">
        <v>431</v>
      </c>
      <c r="H38" s="0" t="n">
        <f aca="false">ROUNDUP(F38,0)</f>
        <v>1052</v>
      </c>
      <c r="I38" s="0" t="s">
        <v>450</v>
      </c>
      <c r="J38" s="0" t="n">
        <f aca="false">1051.87/Inputs!$B$22</f>
        <v>1051.87</v>
      </c>
    </row>
    <row r="39" customFormat="false" ht="15" hidden="false" customHeight="false" outlineLevel="0" collapsed="false">
      <c r="A39" s="0" t="s">
        <v>451</v>
      </c>
      <c r="B39" s="0" t="s">
        <v>426</v>
      </c>
      <c r="C39" s="0" t="n">
        <v>0</v>
      </c>
      <c r="D39" s="0" t="n">
        <v>0</v>
      </c>
      <c r="E39" s="0" t="n">
        <f aca="false">C39*D39</f>
        <v>0</v>
      </c>
      <c r="F39" s="0" t="n">
        <f aca="false">C39+E39</f>
        <v>0</v>
      </c>
      <c r="G39" s="0" t="s">
        <v>431</v>
      </c>
      <c r="H39" s="0" t="n">
        <f aca="false">ROUNDUP(F39,0)</f>
        <v>0</v>
      </c>
      <c r="I39" s="0" t="s">
        <v>452</v>
      </c>
      <c r="J39" s="0" t="n">
        <f aca="false">0*Inputs!$B$25</f>
        <v>0</v>
      </c>
    </row>
    <row r="40" customFormat="false" ht="15" hidden="false" customHeight="false" outlineLevel="0" collapsed="false">
      <c r="A40" s="0" t="s">
        <v>453</v>
      </c>
      <c r="B40" s="0" t="s">
        <v>454</v>
      </c>
      <c r="C40" s="0" t="n">
        <v>1192.52</v>
      </c>
      <c r="D40" s="0" t="n">
        <v>0</v>
      </c>
      <c r="E40" s="0" t="n">
        <f aca="false">C40*D40</f>
        <v>0</v>
      </c>
      <c r="F40" s="0" t="n">
        <f aca="false">C40+E40</f>
        <v>1192.52</v>
      </c>
      <c r="G40" s="0" t="s">
        <v>455</v>
      </c>
      <c r="H40" s="0" t="n">
        <f aca="false">ROUNDUP(F40,0)</f>
        <v>1193</v>
      </c>
      <c r="I40" s="0" t="s">
        <v>456</v>
      </c>
      <c r="J40" s="0" t="n">
        <f aca="false">Inputs!$B$23*16562.8</f>
        <v>1192.5216</v>
      </c>
    </row>
    <row r="41" customFormat="false" ht="15" hidden="false" customHeight="false" outlineLevel="0" collapsed="false">
      <c r="A41" s="0" t="s">
        <v>457</v>
      </c>
      <c r="B41" s="0" t="s">
        <v>378</v>
      </c>
      <c r="C41" s="0" t="n">
        <v>6128.22</v>
      </c>
      <c r="D41" s="0" t="n">
        <v>0</v>
      </c>
      <c r="E41" s="0" t="n">
        <f aca="false">C41*D41</f>
        <v>0</v>
      </c>
      <c r="F41" s="0" t="n">
        <f aca="false">C41+E41</f>
        <v>6128.22</v>
      </c>
      <c r="G41" s="0" t="s">
        <v>378</v>
      </c>
      <c r="H41" s="0" t="n">
        <f aca="false">ROUNDUP(F41,0)</f>
        <v>6129</v>
      </c>
      <c r="I41" s="0" t="s">
        <v>458</v>
      </c>
      <c r="J41" s="0" t="n">
        <f aca="false">Inputs!$B$24*16562.8</f>
        <v>6128.236</v>
      </c>
    </row>
    <row r="42" customFormat="false" ht="15" hidden="false" customHeight="false" outlineLevel="0" collapsed="false">
      <c r="A42" s="0" t="s">
        <v>459</v>
      </c>
      <c r="B42" s="0" t="s">
        <v>409</v>
      </c>
      <c r="C42" s="0" t="n">
        <v>0</v>
      </c>
      <c r="D42" s="0" t="n">
        <f aca="false">Inputs!$B$6</f>
        <v>0.06</v>
      </c>
      <c r="E42" s="0" t="n">
        <f aca="false">C42*D42</f>
        <v>0</v>
      </c>
      <c r="F42" s="0" t="n">
        <f aca="false">C42+E42</f>
        <v>0</v>
      </c>
      <c r="G42" s="0" t="s">
        <v>409</v>
      </c>
      <c r="H42" s="0" t="n">
        <f aca="false">ROUNDUP(F42,0)</f>
        <v>0</v>
      </c>
      <c r="I42" s="0" t="s">
        <v>460</v>
      </c>
    </row>
    <row r="43" customFormat="false" ht="15" hidden="false" customHeight="false" outlineLevel="0" collapsed="false">
      <c r="A43" s="0" t="s">
        <v>461</v>
      </c>
      <c r="B43" s="0" t="s">
        <v>426</v>
      </c>
      <c r="C43" s="0" t="n">
        <v>0</v>
      </c>
      <c r="D43" s="0" t="n">
        <v>0</v>
      </c>
      <c r="E43" s="0" t="n">
        <f aca="false">C43*D43</f>
        <v>0</v>
      </c>
      <c r="F43" s="0" t="n">
        <f aca="false">C43+E43</f>
        <v>0</v>
      </c>
      <c r="G43" s="0" t="s">
        <v>431</v>
      </c>
      <c r="H43" s="0" t="n">
        <f aca="false">ROUNDUP(F43,0)</f>
        <v>0</v>
      </c>
      <c r="I43" s="0" t="s">
        <v>462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60"/>
  </cols>
  <sheetData>
    <row r="1" customFormat="false" ht="15" hidden="false" customHeight="false" outlineLevel="0" collapsed="false">
      <c r="A1" s="2" t="s">
        <v>463</v>
      </c>
      <c r="B1" s="2" t="s">
        <v>464</v>
      </c>
      <c r="C1" s="2" t="s">
        <v>465</v>
      </c>
    </row>
    <row r="2" customFormat="false" ht="15" hidden="false" customHeight="false" outlineLevel="0" collapsed="false">
      <c r="A2" s="0" t="s">
        <v>466</v>
      </c>
      <c r="B2" s="0" t="s">
        <v>467</v>
      </c>
      <c r="C2" s="0" t="s">
        <v>468</v>
      </c>
    </row>
    <row r="3" customFormat="false" ht="15" hidden="false" customHeight="false" outlineLevel="0" collapsed="false">
      <c r="A3" s="0" t="s">
        <v>469</v>
      </c>
      <c r="B3" s="0" t="s">
        <v>470</v>
      </c>
      <c r="C3" s="0" t="s">
        <v>471</v>
      </c>
    </row>
    <row r="4" customFormat="false" ht="15" hidden="false" customHeight="false" outlineLevel="0" collapsed="false">
      <c r="A4" s="0" t="s">
        <v>472</v>
      </c>
      <c r="B4" s="0" t="s">
        <v>473</v>
      </c>
      <c r="C4" s="0" t="s">
        <v>474</v>
      </c>
    </row>
    <row r="5" customFormat="false" ht="15" hidden="false" customHeight="false" outlineLevel="0" collapsed="false">
      <c r="A5" s="0" t="s">
        <v>475</v>
      </c>
      <c r="B5" s="0" t="s">
        <v>476</v>
      </c>
      <c r="C5" s="0" t="s">
        <v>477</v>
      </c>
    </row>
    <row r="6" customFormat="false" ht="15" hidden="false" customHeight="false" outlineLevel="0" collapsed="false">
      <c r="A6" s="0" t="s">
        <v>478</v>
      </c>
      <c r="B6" s="0" t="s">
        <v>479</v>
      </c>
      <c r="C6" s="0" t="s">
        <v>480</v>
      </c>
    </row>
    <row r="7" customFormat="false" ht="15" hidden="false" customHeight="false" outlineLevel="0" collapsed="false">
      <c r="A7" s="0" t="s">
        <v>481</v>
      </c>
      <c r="B7" s="0" t="s">
        <v>482</v>
      </c>
      <c r="C7" s="0" t="s">
        <v>483</v>
      </c>
    </row>
    <row r="8" customFormat="false" ht="15" hidden="false" customHeight="false" outlineLevel="0" collapsed="false">
      <c r="A8" s="0" t="s">
        <v>484</v>
      </c>
      <c r="B8" s="0" t="s">
        <v>485</v>
      </c>
      <c r="C8" s="0" t="s">
        <v>486</v>
      </c>
    </row>
    <row r="9" customFormat="false" ht="15" hidden="false" customHeight="false" outlineLevel="0" collapsed="false">
      <c r="A9" s="0" t="s">
        <v>487</v>
      </c>
      <c r="B9" s="0" t="s">
        <v>488</v>
      </c>
      <c r="C9" s="0" t="s">
        <v>489</v>
      </c>
    </row>
    <row r="10" customFormat="false" ht="15" hidden="false" customHeight="false" outlineLevel="0" collapsed="false">
      <c r="A10" s="0" t="s">
        <v>490</v>
      </c>
      <c r="B10" s="0" t="s">
        <v>491</v>
      </c>
      <c r="C10" s="0" t="s">
        <v>492</v>
      </c>
    </row>
    <row r="11" customFormat="false" ht="15" hidden="false" customHeight="false" outlineLevel="0" collapsed="false">
      <c r="A11" s="0" t="s">
        <v>493</v>
      </c>
      <c r="B11" s="0" t="s">
        <v>494</v>
      </c>
      <c r="C11" s="0" t="s">
        <v>495</v>
      </c>
    </row>
    <row r="12" customFormat="false" ht="15" hidden="false" customHeight="false" outlineLevel="0" collapsed="false">
      <c r="A12" s="0" t="s">
        <v>496</v>
      </c>
      <c r="B12" s="0" t="s">
        <v>497</v>
      </c>
      <c r="C12" s="0" t="s">
        <v>498</v>
      </c>
    </row>
    <row r="13" customFormat="false" ht="15" hidden="false" customHeight="false" outlineLevel="0" collapsed="false">
      <c r="A13" s="0" t="s">
        <v>499</v>
      </c>
      <c r="B13" s="0" t="s">
        <v>500</v>
      </c>
      <c r="C13" s="0" t="s">
        <v>501</v>
      </c>
    </row>
    <row r="14" customFormat="false" ht="15" hidden="false" customHeight="false" outlineLevel="0" collapsed="false">
      <c r="A14" s="0" t="s">
        <v>502</v>
      </c>
      <c r="B14" s="0" t="s">
        <v>503</v>
      </c>
      <c r="C14" s="0" t="s">
        <v>504</v>
      </c>
    </row>
    <row r="15" customFormat="false" ht="15" hidden="false" customHeight="false" outlineLevel="0" collapsed="false">
      <c r="A15" s="0" t="s">
        <v>505</v>
      </c>
      <c r="B15" s="0" t="s">
        <v>506</v>
      </c>
      <c r="C15" s="0" t="s">
        <v>507</v>
      </c>
    </row>
    <row r="16" customFormat="false" ht="15" hidden="false" customHeight="false" outlineLevel="0" collapsed="false">
      <c r="A16" s="0" t="s">
        <v>508</v>
      </c>
      <c r="B16" s="0" t="s">
        <v>509</v>
      </c>
      <c r="C16" s="0" t="s">
        <v>510</v>
      </c>
    </row>
    <row r="17" customFormat="false" ht="15" hidden="false" customHeight="false" outlineLevel="0" collapsed="false">
      <c r="A17" s="0" t="s">
        <v>511</v>
      </c>
      <c r="B17" s="0" t="s">
        <v>512</v>
      </c>
      <c r="C17" s="0" t="s">
        <v>513</v>
      </c>
    </row>
    <row r="18" customFormat="false" ht="15" hidden="false" customHeight="false" outlineLevel="0" collapsed="false">
      <c r="A18" s="0" t="s">
        <v>514</v>
      </c>
      <c r="B18" s="0" t="s">
        <v>515</v>
      </c>
      <c r="C18" s="0" t="s">
        <v>516</v>
      </c>
    </row>
    <row r="19" customFormat="false" ht="15" hidden="false" customHeight="false" outlineLevel="0" collapsed="false">
      <c r="A19" s="0" t="s">
        <v>517</v>
      </c>
      <c r="B19" s="0" t="s">
        <v>518</v>
      </c>
      <c r="C19" s="0" t="s">
        <v>519</v>
      </c>
    </row>
    <row r="20" customFormat="false" ht="15" hidden="false" customHeight="false" outlineLevel="0" collapsed="false">
      <c r="A20" s="0" t="s">
        <v>520</v>
      </c>
      <c r="B20" s="0" t="s">
        <v>521</v>
      </c>
      <c r="C20" s="0" t="s">
        <v>522</v>
      </c>
    </row>
    <row r="21" customFormat="false" ht="15" hidden="false" customHeight="false" outlineLevel="0" collapsed="false">
      <c r="A21" s="0" t="s">
        <v>523</v>
      </c>
      <c r="B21" s="0" t="s">
        <v>524</v>
      </c>
      <c r="C21" s="0" t="s">
        <v>525</v>
      </c>
    </row>
    <row r="22" customFormat="false" ht="15" hidden="false" customHeight="false" outlineLevel="0" collapsed="false">
      <c r="A22" s="0" t="s">
        <v>526</v>
      </c>
      <c r="B22" s="0" t="s">
        <v>527</v>
      </c>
      <c r="C22" s="0" t="s">
        <v>528</v>
      </c>
    </row>
    <row r="23" customFormat="false" ht="15" hidden="false" customHeight="false" outlineLevel="0" collapsed="false">
      <c r="A23" s="0" t="s">
        <v>529</v>
      </c>
      <c r="B23" s="0" t="s">
        <v>530</v>
      </c>
      <c r="C23" s="0" t="s">
        <v>531</v>
      </c>
    </row>
    <row r="24" customFormat="false" ht="15" hidden="false" customHeight="false" outlineLevel="0" collapsed="false">
      <c r="A24" s="0" t="s">
        <v>532</v>
      </c>
      <c r="B24" s="0" t="s">
        <v>533</v>
      </c>
      <c r="C24" s="0" t="s">
        <v>534</v>
      </c>
    </row>
    <row r="25" customFormat="false" ht="15" hidden="false" customHeight="false" outlineLevel="0" collapsed="false">
      <c r="A25" s="0" t="s">
        <v>535</v>
      </c>
      <c r="B25" s="0" t="s">
        <v>536</v>
      </c>
      <c r="C25" s="0" t="s">
        <v>537</v>
      </c>
    </row>
    <row r="26" customFormat="false" ht="15" hidden="false" customHeight="false" outlineLevel="0" collapsed="false">
      <c r="A26" s="0" t="s">
        <v>538</v>
      </c>
      <c r="B26" s="0" t="s">
        <v>539</v>
      </c>
      <c r="C26" s="0" t="s">
        <v>540</v>
      </c>
    </row>
    <row r="27" customFormat="false" ht="15" hidden="false" customHeight="false" outlineLevel="0" collapsed="false">
      <c r="A27" s="0" t="s">
        <v>541</v>
      </c>
      <c r="B27" s="0" t="s">
        <v>542</v>
      </c>
      <c r="C27" s="0" t="s">
        <v>543</v>
      </c>
    </row>
    <row r="28" customFormat="false" ht="15" hidden="false" customHeight="false" outlineLevel="0" collapsed="false">
      <c r="A28" s="0" t="s">
        <v>544</v>
      </c>
      <c r="B28" s="0" t="s">
        <v>545</v>
      </c>
      <c r="C28" s="0" t="s">
        <v>546</v>
      </c>
    </row>
    <row r="29" customFormat="false" ht="15" hidden="false" customHeight="false" outlineLevel="0" collapsed="false">
      <c r="A29" s="0" t="s">
        <v>547</v>
      </c>
      <c r="B29" s="0" t="s">
        <v>548</v>
      </c>
      <c r="C29" s="0" t="s">
        <v>549</v>
      </c>
    </row>
    <row r="30" customFormat="false" ht="15" hidden="false" customHeight="false" outlineLevel="0" collapsed="false">
      <c r="A30" s="0" t="s">
        <v>550</v>
      </c>
      <c r="B30" s="0" t="s">
        <v>551</v>
      </c>
      <c r="C30" s="0" t="s">
        <v>552</v>
      </c>
    </row>
    <row r="31" customFormat="false" ht="15" hidden="false" customHeight="false" outlineLevel="0" collapsed="false">
      <c r="A31" s="0" t="s">
        <v>553</v>
      </c>
      <c r="B31" s="0" t="s">
        <v>554</v>
      </c>
      <c r="C31" s="0" t="s">
        <v>555</v>
      </c>
    </row>
    <row r="32" customFormat="false" ht="15" hidden="false" customHeight="false" outlineLevel="0" collapsed="false">
      <c r="A32" s="0" t="s">
        <v>556</v>
      </c>
      <c r="B32" s="0" t="s">
        <v>557</v>
      </c>
      <c r="C32" s="0" t="s">
        <v>558</v>
      </c>
    </row>
    <row r="33" customFormat="false" ht="15" hidden="false" customHeight="false" outlineLevel="0" collapsed="false">
      <c r="A33" s="0" t="s">
        <v>559</v>
      </c>
      <c r="B33" s="0" t="s">
        <v>560</v>
      </c>
      <c r="C33" s="0" t="s">
        <v>561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60"/>
    <col collapsed="false" customWidth="true" hidden="false" outlineLevel="0" max="5" min="5" style="0" width="16"/>
    <col collapsed="false" customWidth="true" hidden="false" outlineLevel="0" max="6" min="6" style="0" width="29"/>
  </cols>
  <sheetData>
    <row r="1" customFormat="false" ht="15" hidden="false" customHeight="false" outlineLevel="0" collapsed="false">
      <c r="A1" s="0" t="s">
        <v>562</v>
      </c>
    </row>
    <row r="2" customFormat="false" ht="15" hidden="false" customHeight="false" outlineLevel="0" collapsed="false">
      <c r="A2" s="0" t="s">
        <v>563</v>
      </c>
      <c r="B2" s="0" t="s">
        <v>564</v>
      </c>
      <c r="C2" s="0" t="s">
        <v>565</v>
      </c>
      <c r="D2" s="0" t="s">
        <v>566</v>
      </c>
      <c r="E2" s="0" t="s">
        <v>567</v>
      </c>
      <c r="F2" s="0" t="s">
        <v>568</v>
      </c>
    </row>
    <row r="3" customFormat="false" ht="15" hidden="false" customHeight="false" outlineLevel="0" collapsed="false">
      <c r="A3" s="0" t="s">
        <v>569</v>
      </c>
      <c r="B3" s="0" t="s">
        <v>570</v>
      </c>
      <c r="C3" s="0" t="s">
        <v>571</v>
      </c>
      <c r="D3" s="0" t="s">
        <v>572</v>
      </c>
      <c r="E3" s="0" t="s">
        <v>573</v>
      </c>
      <c r="F3" s="0" t="s">
        <v>574</v>
      </c>
    </row>
    <row r="4" customFormat="false" ht="15" hidden="false" customHeight="false" outlineLevel="0" collapsed="false">
      <c r="A4" s="0" t="s">
        <v>575</v>
      </c>
      <c r="B4" s="0" t="s">
        <v>570</v>
      </c>
      <c r="C4" s="0" t="s">
        <v>576</v>
      </c>
      <c r="D4" s="0" t="s">
        <v>577</v>
      </c>
      <c r="E4" s="0" t="s">
        <v>573</v>
      </c>
      <c r="F4" s="0" t="s">
        <v>574</v>
      </c>
    </row>
    <row r="5" customFormat="false" ht="15" hidden="false" customHeight="false" outlineLevel="0" collapsed="false">
      <c r="A5" s="0" t="s">
        <v>578</v>
      </c>
      <c r="B5" s="0" t="s">
        <v>570</v>
      </c>
      <c r="C5" s="0" t="s">
        <v>579</v>
      </c>
      <c r="D5" s="0" t="s">
        <v>580</v>
      </c>
      <c r="E5" s="0" t="s">
        <v>573</v>
      </c>
      <c r="F5" s="0" t="s">
        <v>574</v>
      </c>
    </row>
    <row r="6" customFormat="false" ht="15" hidden="false" customHeight="false" outlineLevel="0" collapsed="false">
      <c r="A6" s="0" t="s">
        <v>581</v>
      </c>
      <c r="B6" s="0" t="s">
        <v>570</v>
      </c>
      <c r="C6" s="0" t="s">
        <v>582</v>
      </c>
      <c r="D6" s="0" t="s">
        <v>583</v>
      </c>
      <c r="E6" s="0" t="s">
        <v>573</v>
      </c>
      <c r="F6" s="0" t="s">
        <v>574</v>
      </c>
    </row>
    <row r="7" customFormat="false" ht="15" hidden="false" customHeight="false" outlineLevel="0" collapsed="false">
      <c r="A7" s="0" t="s">
        <v>584</v>
      </c>
      <c r="B7" s="0" t="s">
        <v>570</v>
      </c>
      <c r="C7" s="0" t="s">
        <v>585</v>
      </c>
      <c r="D7" s="0" t="s">
        <v>586</v>
      </c>
      <c r="E7" s="0" t="s">
        <v>185</v>
      </c>
      <c r="F7" s="0" t="s">
        <v>574</v>
      </c>
    </row>
    <row r="8" customFormat="false" ht="15" hidden="false" customHeight="false" outlineLevel="0" collapsed="false">
      <c r="A8" s="0" t="s">
        <v>587</v>
      </c>
      <c r="B8" s="0" t="s">
        <v>570</v>
      </c>
      <c r="C8" s="0" t="s">
        <v>588</v>
      </c>
      <c r="D8" s="0" t="s">
        <v>589</v>
      </c>
      <c r="E8" s="0" t="s">
        <v>573</v>
      </c>
      <c r="F8" s="0" t="s">
        <v>574</v>
      </c>
    </row>
    <row r="9" customFormat="false" ht="15" hidden="false" customHeight="false" outlineLevel="0" collapsed="false">
      <c r="A9" s="0" t="s">
        <v>590</v>
      </c>
      <c r="B9" s="0" t="s">
        <v>570</v>
      </c>
      <c r="C9" s="0" t="s">
        <v>591</v>
      </c>
      <c r="D9" s="0" t="s">
        <v>592</v>
      </c>
      <c r="E9" s="0" t="s">
        <v>593</v>
      </c>
      <c r="F9" s="0" t="s">
        <v>574</v>
      </c>
    </row>
    <row r="10" customFormat="false" ht="15" hidden="false" customHeight="false" outlineLevel="0" collapsed="false">
      <c r="A10" s="0" t="s">
        <v>594</v>
      </c>
      <c r="B10" s="0" t="s">
        <v>595</v>
      </c>
      <c r="C10" s="0" t="n">
        <v>1</v>
      </c>
      <c r="D10" s="0" t="s">
        <v>596</v>
      </c>
      <c r="E10" s="0" t="s">
        <v>130</v>
      </c>
      <c r="F10" s="0" t="s">
        <v>574</v>
      </c>
    </row>
    <row r="11" customFormat="false" ht="15" hidden="false" customHeight="false" outlineLevel="0" collapsed="false">
      <c r="A11" s="0" t="s">
        <v>597</v>
      </c>
      <c r="B11" s="0" t="s">
        <v>595</v>
      </c>
      <c r="C11" s="0" t="n">
        <v>2</v>
      </c>
      <c r="D11" s="0" t="s">
        <v>598</v>
      </c>
      <c r="E11" s="0" t="s">
        <v>164</v>
      </c>
      <c r="F11" s="0" t="s">
        <v>574</v>
      </c>
    </row>
    <row r="12" customFormat="false" ht="15" hidden="false" customHeight="false" outlineLevel="0" collapsed="false">
      <c r="A12" s="0" t="s">
        <v>599</v>
      </c>
      <c r="B12" s="0" t="s">
        <v>595</v>
      </c>
      <c r="C12" s="0" t="n">
        <v>3</v>
      </c>
      <c r="D12" s="0" t="s">
        <v>600</v>
      </c>
      <c r="E12" s="0" t="s">
        <v>242</v>
      </c>
      <c r="F12" s="0" t="s">
        <v>574</v>
      </c>
    </row>
    <row r="13" customFormat="false" ht="15" hidden="false" customHeight="false" outlineLevel="0" collapsed="false">
      <c r="A13" s="0" t="s">
        <v>601</v>
      </c>
      <c r="B13" s="0" t="s">
        <v>595</v>
      </c>
      <c r="C13" s="0" t="n">
        <v>4</v>
      </c>
      <c r="D13" s="0" t="s">
        <v>602</v>
      </c>
      <c r="E13" s="0" t="s">
        <v>295</v>
      </c>
      <c r="F13" s="0" t="s">
        <v>574</v>
      </c>
    </row>
    <row r="14" customFormat="false" ht="15" hidden="false" customHeight="false" outlineLevel="0" collapsed="false">
      <c r="A14" s="0" t="s">
        <v>603</v>
      </c>
      <c r="B14" s="0" t="s">
        <v>595</v>
      </c>
      <c r="C14" s="0" t="n">
        <v>5</v>
      </c>
      <c r="D14" s="0" t="s">
        <v>604</v>
      </c>
      <c r="E14" s="0" t="s">
        <v>355</v>
      </c>
      <c r="F14" s="0" t="s">
        <v>574</v>
      </c>
    </row>
    <row r="15" customFormat="false" ht="15" hidden="false" customHeight="false" outlineLevel="0" collapsed="false">
      <c r="A15" s="0" t="s">
        <v>605</v>
      </c>
      <c r="B15" s="0" t="s">
        <v>595</v>
      </c>
      <c r="C15" s="0" t="n">
        <v>6</v>
      </c>
      <c r="D15" s="0" t="s">
        <v>606</v>
      </c>
      <c r="E15" s="0" t="s">
        <v>607</v>
      </c>
      <c r="F15" s="0" t="s">
        <v>574</v>
      </c>
    </row>
    <row r="16" customFormat="false" ht="15" hidden="false" customHeight="false" outlineLevel="0" collapsed="false">
      <c r="A16" s="0" t="s">
        <v>608</v>
      </c>
      <c r="B16" s="0" t="s">
        <v>595</v>
      </c>
      <c r="C16" s="0" t="n">
        <v>7</v>
      </c>
      <c r="D16" s="0" t="s">
        <v>609</v>
      </c>
      <c r="E16" s="0" t="s">
        <v>610</v>
      </c>
      <c r="F16" s="0" t="s">
        <v>574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0" t="s">
        <v>611</v>
      </c>
      <c r="B1" s="0" t="s">
        <v>612</v>
      </c>
      <c r="C1" s="0" t="s">
        <v>59</v>
      </c>
      <c r="D1" s="0" t="s">
        <v>613</v>
      </c>
    </row>
    <row r="2" customFormat="false" ht="15" hidden="false" customHeight="false" outlineLevel="0" collapsed="false">
      <c r="A2" s="0" t="s">
        <v>614</v>
      </c>
      <c r="B2" s="0" t="s">
        <v>615</v>
      </c>
      <c r="C2" s="0" t="s">
        <v>616</v>
      </c>
      <c r="D2" s="0" t="s">
        <v>617</v>
      </c>
    </row>
    <row r="3" customFormat="false" ht="15" hidden="false" customHeight="false" outlineLevel="0" collapsed="false">
      <c r="A3" s="0" t="s">
        <v>618</v>
      </c>
      <c r="B3" s="0" t="s">
        <v>619</v>
      </c>
      <c r="C3" s="0" t="s">
        <v>616</v>
      </c>
      <c r="D3" s="0" t="s">
        <v>620</v>
      </c>
    </row>
    <row r="4" customFormat="false" ht="15" hidden="false" customHeight="false" outlineLevel="0" collapsed="false">
      <c r="A4" s="0" t="s">
        <v>621</v>
      </c>
      <c r="B4" s="0" t="s">
        <v>622</v>
      </c>
      <c r="C4" s="0" t="s">
        <v>623</v>
      </c>
      <c r="D4" s="0" t="s">
        <v>624</v>
      </c>
    </row>
    <row r="5" customFormat="false" ht="15" hidden="false" customHeight="false" outlineLevel="0" collapsed="false">
      <c r="A5" s="0" t="s">
        <v>625</v>
      </c>
      <c r="B5" s="0" t="s">
        <v>626</v>
      </c>
      <c r="C5" s="0" t="s">
        <v>616</v>
      </c>
      <c r="D5" s="0" t="s">
        <v>627</v>
      </c>
    </row>
    <row r="6" customFormat="false" ht="15" hidden="false" customHeight="false" outlineLevel="0" collapsed="false">
      <c r="A6" s="0" t="s">
        <v>628</v>
      </c>
      <c r="B6" s="0" t="s">
        <v>629</v>
      </c>
      <c r="C6" s="0" t="s">
        <v>463</v>
      </c>
      <c r="D6" s="0" t="s">
        <v>630</v>
      </c>
    </row>
    <row r="7" customFormat="false" ht="15" hidden="false" customHeight="false" outlineLevel="0" collapsed="false">
      <c r="A7" s="0" t="s">
        <v>631</v>
      </c>
      <c r="B7" s="0" t="s">
        <v>632</v>
      </c>
      <c r="C7" s="0" t="s">
        <v>616</v>
      </c>
      <c r="D7" s="0" t="s">
        <v>633</v>
      </c>
    </row>
    <row r="8" customFormat="false" ht="15" hidden="false" customHeight="false" outlineLevel="0" collapsed="false">
      <c r="A8" s="0" t="s">
        <v>634</v>
      </c>
      <c r="B8" s="0" t="s">
        <v>635</v>
      </c>
      <c r="C8" s="0" t="s">
        <v>616</v>
      </c>
      <c r="D8" s="0" t="s">
        <v>636</v>
      </c>
    </row>
    <row r="9" customFormat="false" ht="15" hidden="false" customHeight="false" outlineLevel="0" collapsed="false">
      <c r="A9" s="0" t="s">
        <v>637</v>
      </c>
      <c r="B9" s="0" t="s">
        <v>638</v>
      </c>
      <c r="C9" s="0" t="s">
        <v>463</v>
      </c>
      <c r="D9" s="0" t="s">
        <v>639</v>
      </c>
    </row>
    <row r="10" customFormat="false" ht="15" hidden="false" customHeight="false" outlineLevel="0" collapsed="false">
      <c r="A10" s="0" t="s">
        <v>640</v>
      </c>
      <c r="B10" s="0" t="s">
        <v>641</v>
      </c>
      <c r="C10" s="0" t="s">
        <v>616</v>
      </c>
      <c r="D10" s="0" t="s">
        <v>642</v>
      </c>
    </row>
    <row r="11" customFormat="false" ht="15" hidden="false" customHeight="false" outlineLevel="0" collapsed="false">
      <c r="A11" s="0" t="s">
        <v>643</v>
      </c>
      <c r="B11" s="0" t="s">
        <v>644</v>
      </c>
      <c r="C11" s="0" t="s">
        <v>616</v>
      </c>
      <c r="D11" s="0" t="s">
        <v>645</v>
      </c>
    </row>
    <row r="12" customFormat="false" ht="15" hidden="false" customHeight="false" outlineLevel="0" collapsed="false">
      <c r="A12" s="0" t="s">
        <v>646</v>
      </c>
      <c r="B12" s="0" t="s">
        <v>647</v>
      </c>
      <c r="C12" s="0" t="s">
        <v>616</v>
      </c>
      <c r="D12" s="0" t="s">
        <v>648</v>
      </c>
    </row>
    <row r="13" customFormat="false" ht="15" hidden="false" customHeight="false" outlineLevel="0" collapsed="false">
      <c r="A13" s="0" t="s">
        <v>649</v>
      </c>
      <c r="B13" s="0" t="s">
        <v>650</v>
      </c>
      <c r="C13" s="0" t="s">
        <v>616</v>
      </c>
      <c r="D13" s="0" t="s">
        <v>651</v>
      </c>
    </row>
    <row r="14" customFormat="false" ht="15" hidden="false" customHeight="false" outlineLevel="0" collapsed="false">
      <c r="A14" s="0" t="s">
        <v>652</v>
      </c>
      <c r="B14" s="0" t="s">
        <v>653</v>
      </c>
      <c r="C14" s="0" t="s">
        <v>616</v>
      </c>
      <c r="D14" s="0" t="s">
        <v>654</v>
      </c>
    </row>
    <row r="15" customFormat="false" ht="15" hidden="false" customHeight="false" outlineLevel="0" collapsed="false">
      <c r="A15" s="0" t="s">
        <v>655</v>
      </c>
      <c r="B15" s="0" t="s">
        <v>656</v>
      </c>
      <c r="C15" s="0" t="s">
        <v>623</v>
      </c>
      <c r="D15" s="0" t="s">
        <v>657</v>
      </c>
    </row>
    <row r="16" customFormat="false" ht="15" hidden="false" customHeight="false" outlineLevel="0" collapsed="false">
      <c r="A16" s="0" t="s">
        <v>658</v>
      </c>
      <c r="B16" s="0" t="s">
        <v>659</v>
      </c>
      <c r="C16" s="0" t="s">
        <v>616</v>
      </c>
      <c r="D16" s="0" t="s">
        <v>660</v>
      </c>
    </row>
    <row r="17" customFormat="false" ht="15" hidden="false" customHeight="false" outlineLevel="0" collapsed="false">
      <c r="A17" s="0" t="s">
        <v>661</v>
      </c>
      <c r="B17" s="0" t="s">
        <v>662</v>
      </c>
      <c r="C17" s="0" t="s">
        <v>463</v>
      </c>
      <c r="D17" s="0" t="s">
        <v>663</v>
      </c>
    </row>
    <row r="18" customFormat="false" ht="15" hidden="false" customHeight="false" outlineLevel="0" collapsed="false">
      <c r="A18" s="0" t="s">
        <v>664</v>
      </c>
      <c r="B18" s="0" t="s">
        <v>665</v>
      </c>
      <c r="C18" s="0" t="s">
        <v>463</v>
      </c>
      <c r="D18" s="0" t="s">
        <v>666</v>
      </c>
    </row>
    <row r="19" customFormat="false" ht="15" hidden="false" customHeight="false" outlineLevel="0" collapsed="false">
      <c r="A19" s="0" t="s">
        <v>667</v>
      </c>
      <c r="B19" s="0" t="s">
        <v>668</v>
      </c>
      <c r="C19" s="0" t="s">
        <v>616</v>
      </c>
      <c r="D19" s="0" t="s">
        <v>669</v>
      </c>
    </row>
    <row r="20" customFormat="false" ht="15" hidden="false" customHeight="false" outlineLevel="0" collapsed="false">
      <c r="A20" s="0" t="s">
        <v>670</v>
      </c>
      <c r="B20" s="0" t="s">
        <v>671</v>
      </c>
      <c r="C20" s="0" t="s">
        <v>623</v>
      </c>
      <c r="D20" s="0" t="s">
        <v>672</v>
      </c>
    </row>
    <row r="21" customFormat="false" ht="15" hidden="false" customHeight="false" outlineLevel="0" collapsed="false">
      <c r="A21" s="0" t="s">
        <v>673</v>
      </c>
      <c r="B21" s="0" t="s">
        <v>674</v>
      </c>
      <c r="C21" s="0" t="s">
        <v>616</v>
      </c>
      <c r="D21" s="0" t="s">
        <v>675</v>
      </c>
    </row>
    <row r="22" customFormat="false" ht="15" hidden="false" customHeight="false" outlineLevel="0" collapsed="false">
      <c r="A22" s="0" t="s">
        <v>676</v>
      </c>
      <c r="B22" s="0" t="s">
        <v>677</v>
      </c>
      <c r="C22" s="0" t="s">
        <v>623</v>
      </c>
      <c r="D22" s="0" t="s">
        <v>678</v>
      </c>
    </row>
    <row r="23" customFormat="false" ht="15" hidden="false" customHeight="false" outlineLevel="0" collapsed="false">
      <c r="A23" s="0" t="s">
        <v>679</v>
      </c>
      <c r="B23" s="0" t="s">
        <v>680</v>
      </c>
      <c r="C23" s="0" t="s">
        <v>623</v>
      </c>
      <c r="D23" s="0" t="s">
        <v>681</v>
      </c>
    </row>
    <row r="24" customFormat="false" ht="15" hidden="false" customHeight="false" outlineLevel="0" collapsed="false">
      <c r="A24" s="0" t="s">
        <v>682</v>
      </c>
      <c r="B24" s="0" t="s">
        <v>683</v>
      </c>
      <c r="C24" s="0" t="s">
        <v>623</v>
      </c>
      <c r="D24" s="0" t="s">
        <v>684</v>
      </c>
    </row>
    <row r="25" customFormat="false" ht="15" hidden="false" customHeight="false" outlineLevel="0" collapsed="false">
      <c r="A25" s="0" t="s">
        <v>685</v>
      </c>
      <c r="B25" s="0" t="s">
        <v>686</v>
      </c>
      <c r="C25" s="0" t="s">
        <v>623</v>
      </c>
      <c r="D25" s="0" t="s">
        <v>687</v>
      </c>
    </row>
    <row r="26" customFormat="false" ht="15" hidden="false" customHeight="false" outlineLevel="0" collapsed="false">
      <c r="A26" s="0" t="s">
        <v>688</v>
      </c>
      <c r="B26" s="0" t="s">
        <v>689</v>
      </c>
      <c r="C26" s="0" t="s">
        <v>623</v>
      </c>
      <c r="D26" s="0" t="s">
        <v>690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691</v>
      </c>
    </row>
    <row r="2" customFormat="false" ht="15" hidden="false" customHeight="false" outlineLevel="0" collapsed="false">
      <c r="A2" s="0" t="s">
        <v>692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2026-10-24T07:50:07Z</dcterms:created>
  <dc:creator>openpyxl</dc:creator>
  <dc:description/>
  <dc:language>en-US</dc:language>
  <cp:lastModifiedBy/>
  <dcterms:modified xsi:type="dcterms:W3CDTF">2026-10-24T07:50:07Z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