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<sst xmlns="http://schemas.openxmlformats.org/spreadsheetml/2006/main" count="1102" uniqueCount="749">
  <si>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</si>
  <si>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</si>
  <si>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</si>
  <si>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</si>
  <si>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</si>
  <si>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</si>
  <si>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</si>
  <si>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</si>
  <si>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</si>
  <si>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</si>
  <si>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</si>
  <si>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</si>
  <si>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</si>
  <si>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</si>
  <si>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</si>
  <si>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</si>
  <si>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</si>
  <si>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</si>
  <si>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</si>
  <si>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</si>
  <si>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</si>
  <si>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</si>
  <si>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</si>
  <si>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</si>
  <si>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</si>
  <si>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</si>
  <si>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</si>
  <si>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</si>
  <si>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</si>
  <si>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</si>
  <si>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</si>
  <si>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</si>
  <si>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</si>
  <si>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</si>
  <si>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</si>
  <si>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</si>
  <si>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</si>
  <si>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</si>
  <si>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</si>
  <si>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</si>
  <si>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</si>
  <si>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</si>
  <si>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</si>
  <si>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</si>
  <si>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</si>
  <si>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</si>
  <si>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</si>
  <si>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</si>
  <si>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</si>
  <si>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</si>
  <si>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</si>
  <si>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</si>
  <si>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</si>
  <si>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</si>
  <si>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</si>
  <si>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</si>
  <si>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</si>
  <si>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</si>
  <si>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</si>
  <si>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</si>
  <si>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</si>
  <si>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</si>
  <si>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</si>
  <si>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</si>
  <si>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</si>
  <si>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</si>
  <si>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</si>
  <si>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</si>
  <si>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</si>
  <si>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</si>
  <si>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</si>
  <si>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</si>
  <si>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</si>
  <si>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</si>
  <si>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</si>
  <si>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</si>
  <si>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</si>
  <si>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</si>
  <si>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</si>
  <si>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</si>
  <si>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</si>
  <si>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</si>
  <si>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</si>
  <si>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</si>
  <si>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</si>
  <si>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</si>
  <si>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</si>
  <si>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</si>
  <si>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</si>
  <si>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</si>
  <si>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</si>
  <si>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</si>
  <si>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</si>
  <si>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</si>
  <si>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</si>
  <si>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</si>
  <si>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</si>
  <si>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</si>
  <si>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</si>
  <si>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</si>
  <si>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</si>
  <si>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</si>
  <si>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</si>
  <si>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</si>
  <si>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</si>
  <si>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</si>
  <si>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</si>
  <si>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</si>
  <si>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</si>
  <si>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</si>
  <si>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</si>
  <si>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</si>
  <si>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</si>
  <si>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</si>
  <si>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</si>
  <si>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</si>
  <si>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</si>
  <si>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</si>
  <si>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</si>
  <si>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</si>
  <si>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</si>
  <si>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</si>
  <si>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</si>
  <si>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</si>
  <si>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</si>
  <si>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</si>
  <si>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</si>
  <si>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</si>
  <si>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</si>
  <si>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</si>
  <si>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</si>
  <si>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</si>
  <si>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</si>
  <si>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</si>
  <si>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</si>
  <si>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</si>
  <si>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</si>
  <si>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</si>
  <si>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</si>
  <si>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</si>
  <si>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</si>
  <si>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</si>
  <si>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</si>
  <si>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</si>
  <si>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</si>
  <si>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</si>
  <si>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</si>
  <si>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</si>
  <si>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</si>
  <si>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</si>
  <si>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</si>
  <si>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</si>
  <si>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</si>
  <si>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</si>
  <si>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</si>
  <si>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</si>
  <si>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</si>
  <si>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</si>
  <si>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</si>
  <si>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</si>
  <si>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</si>
  <si>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</si>
  <si>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</si>
  <si>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</si>
  <si>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</si>
  <si>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</si>
  <si>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</si>
  <si>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</si>
  <si>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</si>
  <si>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</si>
  <si>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</si>
  <si>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</si>
  <si>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</si>
  <si>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</si>
  <si>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</si>
  <si>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</si>
  <si>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</si>
  <si>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</si>
  <si>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</si>
  <si>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</si>
  <si>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</si>
  <si>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</si>
  <si>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</si>
  <si>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</si>
  <si>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</si>
  <si>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</si>
  <si>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</si>
  <si>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</si>
  <si>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</si>
  <si>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</si>
  <si>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</si>
  <si>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</si>
  <si>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</si>
  <si>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</si>
  <si>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</si>
  <si>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</si>
  <si>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</si>
  <si>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</si>
  <si>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</si>
  <si>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</si>
  <si>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</si>
  <si>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</si>
  <si>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</si>
  <si>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</si>
  <si>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</si>
  <si>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</si>
  <si>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</si>
  <si>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X); A Sales Area 101 4.08 x 10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</si>
  <si>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</si>
  <si>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</si>
  <si>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</si>
  <si>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</si>
  <si>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</si>
  <si>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</si>
  <si>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</si>
  <si>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</si>
  <si>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</si>
  <si>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</si>
  <si>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</si>
  <si>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</si>
  <si>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</si>
  <si>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</si>
  <si>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</si>
  <si>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</si>
  <si>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 | Board by face: A Cafe 103 2.31 x 11.5 ft (1/2 cement board)</t>
  </si>
  <si>
    <t xml:space="preserve">E1  #C-E1-P.2  -  Pier at Workroom door (1'-0" x 2'-8" HOLD printed)</t>
  </si>
  <si>
    <t xml:space="preserve">C-E1-P.2</t>
  </si>
  <si>
    <t xml:space="preserve">Pier at Workroom door (1'-0" x 2'-8" HOLD printed) | Board by face: A Cafe 103 2.11 x 12 ft (1/2 cement board)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</si>
  <si>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</si>
  <si>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</si>
  <si>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12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</si>
  <si>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</si>
  <si>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</si>
  <si>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</si>
  <si>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</si>
  <si>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</si>
  <si>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</si>
  <si>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</si>
  <si>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</si>
  <si>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</si>
  <si>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</si>
  <si>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</si>
  <si>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</si>
  <si>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</si>
  <si>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</si>
  <si>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</si>
  <si>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</si>
  <si>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</si>
  <si>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</si>
  <si>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</si>
  <si>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</si>
  <si>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</si>
  <si>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</si>
  <si>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</si>
  <si>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</si>
  <si>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</si>
  <si>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</si>
  <si>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</si>
  <si>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</si>
  <si>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</si>
  <si>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</si>
  <si>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</si>
  <si>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</si>
  <si>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</si>
  <si>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</si>
  <si>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</si>
  <si>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</si>
  <si>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</si>
  <si>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</si>
  <si>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</si>
  <si>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</si>
  <si>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</si>
  <si>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</si>
  <si>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</si>
  <si>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</si>
  <si>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</si>
  <si>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</si>
  <si>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</si>
  <si>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</si>
  <si>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</si>
  <si>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</si>
  <si>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</si>
  <si>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</si>
  <si>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</si>
  <si>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</si>
  <si>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</si>
  <si>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</si>
  <si>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</si>
  <si>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</si>
  <si>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</si>
  <si>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</si>
  <si>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</si>
  <si>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</si>
  <si>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</si>
  <si>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</si>
  <si>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</si>
  <si>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</si>
  <si>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</si>
  <si>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</si>
  <si>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</si>
  <si>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</si>
  <si>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</si>
  <si>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</si>
  <si>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</si>
  <si>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</si>
  <si>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</si>
  <si>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</si>
  <si>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</si>
  <si>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</si>
  <si>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</si>
  <si>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</si>
  <si>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</si>
  <si>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</si>
  <si>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</si>
  <si>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</si>
  <si>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</si>
  <si>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</si>
  <si>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</si>
  <si>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</si>
  <si>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</si>
  <si>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</si>
  <si>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</si>
  <si>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</si>
  <si>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</si>
  <si>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</si>
  <si>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</si>
  <si>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</si>
  <si>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</si>
  <si>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</si>
  <si>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</si>
  <si>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</si>
  <si>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</si>
  <si>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</si>
  <si>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</si>
  <si>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</si>
  <si>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</si>
  <si>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</si>
  <si>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</si>
  <si>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</si>
  <si>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</si>
  <si>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</si>
  <si>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</si>
  <si>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</si>
  <si>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</si>
  <si>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</si>
  <si>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</si>
  <si>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</si>
  <si>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</si>
  <si>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</si>
  <si>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</si>
  <si>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</si>
  <si>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</si>
  <si>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Ceiling perimeter track at GWB ceilings (size not printed, RFI)</t>
  </si>
  <si>
    <t xml:space="preserve">N/SHEET: 1/A-121, 5/A-121 | Breakdown [DERIVED]: Women's Restroom 109 32.33 + Men's Restroom 108 32.33 + Cafe 103 - 11'-6" GWB band 52.51 + Cafe 103 - 9'-0" GWB band 43.33 + Grab &amp; Go 20.49 = 180.99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</si>
  <si>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</si>
  <si>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</si>
  <si>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</si>
  <si>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</si>
  <si>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</si>
  <si>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</si>
  <si>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</si>
  <si>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</si>
  <si>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</si>
  <si>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</si>
  <si>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</si>
  <si>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2x lumber 16 ft</t>
  </si>
  <si>
    <t xml:space="preserve">N/SHEET: 7/A-413, 8A/A-413, 4/A-412, 6/A-412, 4/A-101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</si>
  <si>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</si>
  <si>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</si>
  <si>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</si>
  <si>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29.36 + W3-02 96 + W3-05 29.36 + W3-03 96 + W3-06 29.36 + W3-04 29.36 + W4-28a 67.5 + W4-28b 13.8 + W4-28c 13.8 + W4-28d 13.28 + W4-28e 12.9 + W4-29a 32.02 + W4-29b 32.02 + W4-29c 32.17 + W4-29d 32.17 + W4-29e 32.02 + W4-29f 32.17 + W4-30a 32.1 + W4-30b 32.1 + W4-30c 32.1 + W4-30d 32.1 + W4-30e 32.1 + W4-30f 32.1 + W4-31a 67.5 + W4-31b 13.8 + W4-31c 13.8 + W4-31d 13.12 + W4-31e 12.6 + CW-01 64 + CW-02 64 + CW-03 64 + CW-04 64 + CW-05 64 + CW-06 64 + CW-07 64 + CW-08 64 + CW-09 64 + C-H1-N 678.44 + C-H1-W 115.61 + C-H2a 304.25 + C-H3a 71.74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+ CLOUD-FASCIA-GWB 53.6 = 14,266.92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</si>
  <si>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</si>
  <si>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</si>
  <si>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</si>
  <si>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</si>
  <si>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</si>
  <si>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</si>
  <si>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</si>
  <si>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</si>
  <si>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</si>
  <si>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</si>
  <si>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</si>
  <si>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</si>
  <si>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</si>
  <si>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</si>
  <si>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piece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</si>
  <si>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</si>
  <si>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</si>
  <si>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</si>
  <si>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</si>
  <si>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</si>
  <si>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</si>
  <si>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</si>
  <si>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</si>
  <si>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</si>
  <si>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</si>
  <si>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</si>
  <si>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</si>
  <si>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</si>
  <si>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</si>
  <si>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</si>
  <si>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</si>
  <si>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</si>
  <si>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</si>
  <si>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</si>
  <si>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</si>
  <si>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</si>
  <si>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103 228 + C-E1-P.2 Cafe 103 25.32 + C-E1-B Cafe 103 26.57 + C-A-1 Cafe 103 26.78 + C-A-1 Cafe 103 26.78 + C-A-2 Cafe 103 11.21 + C-A-2 Cafe 103 11.21 + C-A-3 Cafe 103 16.9 + C-A-3 Cafe 103 16.9 + C-B Cafe 103 8.58 + C-B Cafe 103 8.58 + C-D Cafe 103 5.14 + C-D Cafe 103 5.14 + C-C Cafe 103 8.58 + C-C Cafe 103 8.58 = 434.27 SF</t>
  </si>
  <si>
    <t xml:space="preserve">FRP panels</t>
  </si>
  <si>
    <t xml:space="preserve">FRP panel 40 SF (Inputs)</t>
  </si>
  <si>
    <t xml:space="preserve">N/SHEET: 3/A-410, 4/A-410, 1/A-226B, 2/A-226B, 3/A-226B, 4/A-226B, 9/A-200, 10/A-200, 11/A-200, 12/A-200 | Breakdown [DERIVED]: FRP-TYPES-3-4 936.74 + FRP-1-CAFE-WORKROOM 875.2 + FRP-1-JANITOR 155.44 = 1,967.38 SF | 3/A-410, 4/A-410 "F.R.P. OVER 5/8" PLYWOOD WHERE SHELVING OCCURS": one face, type 3 38.68 x 8.0 + type 4 83.64 x 7.5 = 936.74 SF (estimator decision 2026-10-27, RFI-22 B); Cafe Work Room 104 FRP-1 full height to the 10'-0" ceiling: 87.52 LF x 10.0 = 875.20 SF gross, doors not deducted (estimator decision 2026-10-27, RFI-13 B); Janitor 107 FRP-1 to 8'-0": 19.43 LF x 8.0 = 155.44 SF gross (estimator decision 2026-10-27, RFI-13 B)</t>
  </si>
  <si>
    <t xml:space="preserve">Track 3-5/8" (14 ga 157.81 LF + 16 ga 5.00 LF + 20 ga 118.28 LF) at soffits, fire stop at ceiling line and nested columns</t>
  </si>
  <si>
    <t xml:space="preserve"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</si>
  <si>
    <t xml:space="preserve">Track 6" (16 ga 25.33 LF + 20 ga 118.73 LF) at soffits, fire stop at ceiling line and nested beam</t>
  </si>
  <si>
    <t xml:space="preserve">N/SHEET: 3/A-410, 3/A-221, 8/A-210 | Breakdown [DERIVED]: SS-GG 12.33 + VEST-BOX-BEAM-TRACK 25.33 + FIRESTOP-W5-01 5.7 + FIRESTOP-C-H1-N 29.98 + FIRESTOP-C-H1-W 12.17 + FIRESTOP-C-E2 29.3 + FIRESTOP-C-H3a 4.08 + FIRESTOP-C-H3b 6.17 + FIRESTOP-C-E1-S 19 = 144.06 LF</t>
  </si>
  <si>
    <t xml:space="preserve">8" ledger track (gauge not printed, RFI-54) (4/A-210)</t>
  </si>
  <si>
    <t xml:space="preserve">N/SHEET: 4/A-210 | Breakdown [DERIVED]: VEST-LEDGER 12.67 = 12.67 LF</t>
  </si>
  <si>
    <t xml:space="preserve">#8 screws at the top chord, cross members and track (8/A-410)</t>
  </si>
  <si>
    <t xml:space="preserve"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</si>
  <si>
    <t xml:space="preserve">Moment clip ClarkDietrich MC series with stiffening plate (A/A-410), one per stud of types 3 / 4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</si>
  <si>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</si>
  <si>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</si>
  <si>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</si>
  <si>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</si>
  <si>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</si>
  <si>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</si>
  <si>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</si>
  <si>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</si>
  <si>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</si>
  <si>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</si>
  <si>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</si>
  <si>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</si>
  <si>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</si>
  <si>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</si>
  <si>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</si>
  <si>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FRT plywood substrate (5/8 in.)</t>
  </si>
  <si>
    <t xml:space="preserve">N/SHEET: G/A-221, H/A-221, E/A-221, F/A-221, I/A-221, 1/A-226A, 6/A-226A, 3/A-221, 3/A-410, 4/A-410, A-410 (ALL PLYWOOD NEEDS TO BE FRT) | Breakdown [DERIVED]: C-H1-N-B-FRT 314.79 + C-H1-W-B-FRT 127.78 + C-H2a-A-FRT 127.78 + C-H2b-A-FRT 20.47 + C-H2b-B-FRT 20.47 + C-H3a-A-FRT 61.2 + C-H3b-A-FRT 49.36 + C-E2-A-FRT 307.65 + C-F-A-FRT 81.5 + C-I-P.1-A-FRT 15 + C-I-A-FRT 34.65 + SS-N-WD1-FRT 318.78 + SS-E-WD1-FRT 141.68 + SS-GG-FRT 110.49 + C-I-E1-A-FRT 9.04 + C-I-E2-A-FRT 9.04 + TYPE-3-A-FRT 309.44 + TYPE-4-A-FRT 627.3 = 2,686.42 SF (strip length x height)</t>
  </si>
  <si>
    <t xml:space="preserve">FRT plywood substrate (3/4 in.)</t>
  </si>
  <si>
    <t xml:space="preserve">N/SHEET: A/A-221, B/A-221, 4/A-226A, 21/A-201, 5/A-210, 4/A-210, 11/A-200, A-410 (ALL PLYWOOD NEEDS TO BE FRT) | Breakdown [DERIVED]: C-A-1-A-FRT 26.78 + C-A-2-A-FRT 11.21 + C-A-3-A-FRT 16.9 + C-B-A-FRT 8.58 + MENU-BOARD-FRT 60.6 + RESTROOM-BACKING-FRT 17.77 + VEST-POSTS-PLYWOOD 105 + VEST-PLYWOOD 106.62 + JANITOR-FRT-11-A200 17 = 370.46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</si>
  <si>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</si>
  <si>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</si>
  <si>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</si>
  <si>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</si>
  <si>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14 (W2-01): (3.0 + 2 x 0.667) x 1 x 2 pieces = 8.67; Door 11 (W2-03): (4.0 + 2 x 0.667) x 1 x 2 pieces = 10.67; Door 4 (W2-04): (3.0 + 2 x 0.667) x 1 x 2 pieces = 8.67; Door 9 (W2-06.1): (3.33 + 2 x 0.667) x 1 x 2 pieces = 9.33; Door 8 (W2-06.5): (3.33 + 2 x 0.667) x 1 x 2 pieces = 9.33; Door 7 (W2-06.5): (3.0 + 2 x 0.667) x 1 x 2 pieces = 8.67; Door 5 (W2-08): (3.0 + 2 x 0.667) x 1 x 2 pieces = 8.67; Door 6 (W2-09): (3.0 + 2 x 0.667) x 1 x 2 pieces = 8.67; Door 3 (C-H2a): (4.0 + 2 x 0.667)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</si>
  <si>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</si>
  <si>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</si>
  <si>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</si>
  <si>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</si>
  <si>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</si>
  <si>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</si>
  <si>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</si>
  <si>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</si>
  <si>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</si>
  <si>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1/A-226B, 2/A-226B, 3/A-226B, 4/A-226B, 9/A-200, 10/A-200, 11/A-200, 12/A-200, 3/A-410, 4/A-410 | PVC-CAFE-WORKROOM: J-mold top + bottom 2 x 87.52 + inside corner molding 4 x 10.0 = 215.04 LF; PVC-JANITOR: J-mold top + bottom 2 x 19.43 + inside corner molding 4 x 8.0 = 70.86 LF; PVC-TYPES-3-4: J-mold top + bottom 2 x 122.32 = 244.64 LF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</si>
  <si>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</si>
  <si>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</si>
  <si>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</si>
  <si>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</si>
  <si>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</si>
  <si>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4252.69 SF of board</t>
  </si>
  <si>
    <t xml:space="preserve">Framing screws #8-18 x 1/2" pan head (25/20 ga studs)</t>
  </si>
  <si>
    <t xml:space="preserve">[DERIVED] N/SHEET: A-410 note 8.A | Inputs!B21 (Framing screws per stud piece = 4) x 485 stud pieces | Breakdown [DERIVED]: 4 x 485 stud pieces of the 25/20 ga walls and other framing [C-A-1 11 + C-A-2 6 + C-A-3 7 + C-B 6 + C-C 4 + C-D 6 + C-E1-B 5 + C-E1-P.2 3 + C-E1-S 21 + C-E2 23 + C-H1-N 26 + C-H1-W 12 + C-H3a 6 + C-H3b 7 + C-I 3 + C-I-P.1 3 + SS-E 9 + SS-GG 6 + SS-IN-E 6 + SS-IN-N 18 + SS-N 20 + W3-01 4 + W3-02 12 + W3-03 12 + W3-04 4 + W3-05 4 + W3-06 4 + W4-28a 10 + W4-28b 4 + W4-28c 4 + W4-28d 4 + W4-28e 4 + W4-29a 6 + W4-29b 6 + W4-29c 6 + W4-29d 6 + W4-29e 6 + W4-29f 6 + W4-30a 6 + W4-30b 6 + W4-30c 6 + W4-30d 6 + W4-30e 6 + W4-30f 6 + W4-31a 10 + W4-31b 4 + W4-31c 4 + W4-31d 3 + W4-31e 3 + W5-01 7 (walls 377); CW-01 12; CW-02 12; CW-03 12; CW-04 12; CW-05 12; CW-06 12; CW-07 12; CW-08 12; CW-09 12; C-I-E1.6" 0; C-I-E2.6" 0] = 1940</t>
  </si>
  <si>
    <t xml:space="preserve">Power-driven fasteners, slab pins for the bottom track</t>
  </si>
  <si>
    <t xml:space="preserve">[DERIVED] N/SHEET: A-410 note 8.F (9/A-410 = alternate) | 518.29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</si>
  <si>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</si>
  <si>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</si>
  <si>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</si>
  <si>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</si>
  <si>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</si>
  <si>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15359.5 SF of board</t>
  </si>
  <si>
    <t xml:space="preserve">Joint tape, paper</t>
  </si>
  <si>
    <t xml:space="preserve">[DERIVED] N/SHEET: A-001A Div 09 A.8 | Inputs!B24 (Joint tape (LF per SF) = 0.37) x 15359.5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</si>
  <si>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</si>
  <si>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</si>
  <si>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</si>
  <si>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</si>
  <si>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</si>
  <si>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</si>
  <si>
    <t xml:space="preserve">Type S-12 drywall screws #6 x 1-1/4" (board on 18/16/14 ga studs)</t>
  </si>
  <si>
    <t xml:space="preserve"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</si>
  <si>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</si>
  <si>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</si>
  <si>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</si>
  <si>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</si>
  <si>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</si>
  <si>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</si>
  <si>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</si>
  <si>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</si>
  <si>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 (rfi_mep_cruces/CRUCES.md).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</si>
  <si>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</si>
  <si>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</si>
  <si>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</si>
  <si>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</si>
  <si>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</si>
  <si>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</si>
  <si>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</si>
  <si>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</si>
  <si>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</si>
  <si>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</si>
  <si>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</si>
  <si>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</si>
  <si>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</si>
  <si>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</si>
  <si>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</si>
  <si>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</si>
  <si>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</si>
  <si>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</si>
  <si>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</si>
  <si>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</si>
  <si>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</si>
  <si>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</si>
  <si>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</si>
  <si>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</si>
  <si>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</si>
  <si>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</si>
  <si>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</si>
  <si>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</si>
  <si>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</si>
  <si>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</si>
  <si>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</si>
  <si>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</si>
  <si>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</si>
  <si>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</si>
  <si>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</si>
  <si>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</si>
  <si>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</si>
  <si>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</si>
  <si>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</si>
  <si>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</si>
  <si>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</si>
  <si>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</si>
  <si>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</si>
  <si>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</si>
  <si>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</si>
  <si>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</si>
  <si>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</si>
  <si>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</si>
  <si>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</si>
  <si>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</si>
  <si>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</si>
  <si>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</si>
  <si>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</si>
  <si>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</si>
  <si>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</si>
  <si>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</si>
  <si>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</si>
  <si>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</si>
  <si>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</si>
  <si>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</si>
  <si>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</si>
  <si>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</si>
  <si>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</si>
  <si>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</si>
  <si>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</si>
  <si>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</si>
  <si>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</si>
  <si>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</si>
  <si>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</si>
  <si>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</si>
  <si>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</si>
  <si>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</si>
  <si>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</si>
  <si>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</si>
  <si>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</si>
  <si>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</si>
  <si>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</si>
  <si>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</si>
  <si>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</si>
  <si>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</si>
  <si>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</si>
  <si>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 - rfi29_corner_guards/CONTEO.md.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</si>
  <si>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</si>
  <si>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</si>
  <si>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</si>
  <si>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</si>
  <si>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</si>
  <si>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</si>
  <si>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</si>
  <si>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</si>
  <si>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</si>
  <si>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</si>
  <si>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</si>
  <si>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</si>
  <si>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</si>
  <si>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</si>
  <si>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</si>
  <si>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</si>
  <si>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</si>
  <si>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</si>
  <si>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</si>
  <si>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</si>
  <si>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</si>
  <si>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</si>
  <si>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</si>
  <si>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</si>
  <si>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</si>
  <si>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</si>
  <si>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</si>
  <si>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</si>
  <si>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</si>
  <si>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</si>
  <si>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</si>
  <si>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</si>
  <si>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</si>
  <si>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</si>
  <si>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</si>
  <si>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</si>
  <si>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</si>
  <si>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</si>
  <si>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</si>
  <si>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</si>
  <si>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</si>
  <si>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 - rfi43_cement_board/.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</si>
  <si>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</si>
  <si>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</si>
  <si>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</si>
  <si>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</si>
  <si>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</si>
  <si>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</si>
  <si>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</si>
  <si>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</si>
  <si>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</si>
  <si>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</si>
  <si>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</si>
  <si>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</si>
  <si>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</si>
  <si>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</si>
  <si>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</si>
  <si>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</si>
  <si>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 (rfi49_cased_openings/).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</si>
  <si>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</si>
  <si>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</si>
  <si>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</si>
  <si>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</si>
  <si>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</si>
  <si>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</si>
  <si>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</si>
  <si>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</si>
  <si>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</si>
  <si>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</si>
  <si>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</si>
  <si>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</si>
  <si>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</si>
  <si>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</si>
  <si>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</si>
  <si>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</si>
  <si>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</si>
  <si>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</si>
  <si>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</si>
  <si>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</si>
  <si>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</si>
  <si>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</si>
  <si>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</si>
  <si>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</si>
  <si>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</si>
  <si>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</si>
  <si>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</si>
  <si>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</si>
  <si>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</si>
  <si>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</si>
  <si>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</si>
  <si>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</si>
  <si>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</si>
  <si>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</si>
  <si>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</si>
  <si>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</si>
  <si>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</si>
  <si>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</si>
  <si>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</si>
  <si>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</si>
  <si>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</si>
  <si>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</si>
  <si>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</si>
  <si>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</si>
  <si>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</si>
  <si>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</si>
  <si>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</si>
  <si>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</si>
  <si>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</si>
  <si>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</si>
  <si>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</si>
  <si>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</si>
  <si>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</si>
  <si>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</si>
  <si>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</si>
  <si>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</si>
  <si>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</si>
  <si>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</si>
  <si>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</si>
  <si>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</si>
  <si>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</si>
  <si>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</si>
  <si>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</si>
  <si>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</si>
  <si>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</si>
  <si>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</si>
  <si>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</si>
  <si>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</si>
  <si>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</si>
  <si>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</si>
  <si>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</si>
  <si>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</si>
  <si>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</si>
  <si>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</si>
  <si>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</si>
  <si>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</si>
  <si>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</si>
  <si>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</si>
  <si>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</si>
  <si>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</si>
  <si>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</si>
  <si>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</si>
  <si>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</si>
  <si>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</si>
  <si>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</si>
  <si>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</si>
  <si>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</si>
  <si>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</si>
  <si>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</si>
  <si>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</si>
  <si>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</si>
  <si>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</si>
  <si>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</si>
  <si>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</si>
  <si>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</si>
  <si>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</si>
  <si>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</si>
  <si>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</si>
  <si>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</si>
  <si>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</si>
  <si>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</si>
  <si>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</si>
  <si>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</si>
  <si>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</si>
  <si>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</si>
  <si>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</si>
  <si>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</si>
  <si>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</si>
  <si>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</si>
  <si>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</si>
  <si>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</si>
  <si>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</si>
  <si>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</si>
  <si>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</si>
  <si>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</si>
  <si>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</si>
  <si>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</si>
  <si>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</si>
  <si>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"54a2985ce868bef5f4c86f781a371493b3c8a301911697047c99b99bfdd32ea4", "evidencias": "82f4ec13c901d7191f9772989e98854d158340ab19499f6cfbada96ca6cbd21e", "familias_out": "7b57a39cc3c109040dd7d70891acabfb54c970e8bd928b5acae84020f0009372", "reglas": "ba8bd6e1d9f05fc9d972b956fc70d6670e442c3778886e8c3bd2d878c81dab17",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</si>
</sst>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53.76</v>
      </c>
      <c r="D6" s="0" t="n">
        <v>25</v>
      </c>
      <c r="E6" s="0" t="n">
        <v>2</v>
      </c>
      <c r="F6" s="0" t="s">
        <v>73</v>
      </c>
      <c r="G6" s="0" t="n">
        <v>16</v>
      </c>
      <c r="H6" s="0" t="n">
        <v>2688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94.24</v>
      </c>
      <c r="D7" s="0" t="n">
        <v>25</v>
      </c>
      <c r="E7" s="0" t="n">
        <v>2</v>
      </c>
      <c r="F7" s="0" t="s">
        <v>73</v>
      </c>
      <c r="G7" s="0" t="n">
        <v>16</v>
      </c>
      <c r="H7" s="0" t="n">
        <v>4508.64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56.76</v>
      </c>
      <c r="D8" s="0" t="n">
        <v>25</v>
      </c>
      <c r="E8" s="0" t="n">
        <v>2</v>
      </c>
      <c r="F8" s="0" t="s">
        <v>73</v>
      </c>
      <c r="G8" s="0" t="n">
        <v>16</v>
      </c>
      <c r="H8" s="0" t="n">
        <v>1958.22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12.92</v>
      </c>
      <c r="D9" s="0" t="n">
        <v>25</v>
      </c>
      <c r="E9" s="0" t="n">
        <v>2</v>
      </c>
      <c r="F9" s="0" t="s">
        <v>73</v>
      </c>
      <c r="G9" s="0" t="n">
        <v>16</v>
      </c>
      <c r="H9" s="0" t="n">
        <v>241.73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27.54</v>
      </c>
      <c r="D10" s="0" t="n">
        <v>25</v>
      </c>
      <c r="E10" s="0" t="n">
        <v>2</v>
      </c>
      <c r="F10" s="0" t="s">
        <v>73</v>
      </c>
      <c r="G10" s="0" t="n">
        <v>16</v>
      </c>
      <c r="H10" s="0" t="n">
        <v>580.04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7.51</v>
      </c>
      <c r="D11" s="0" t="n">
        <v>25</v>
      </c>
      <c r="E11" s="0" t="n">
        <v>2</v>
      </c>
      <c r="F11" s="0" t="s">
        <v>73</v>
      </c>
      <c r="G11" s="0" t="n">
        <v>16</v>
      </c>
      <c r="H11" s="0" t="n">
        <v>255.34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12.92</v>
      </c>
      <c r="D12" s="0" t="n">
        <v>25</v>
      </c>
      <c r="E12" s="0" t="n">
        <v>2</v>
      </c>
      <c r="F12" s="0" t="s">
        <v>73</v>
      </c>
      <c r="G12" s="0" t="n">
        <v>16</v>
      </c>
      <c r="H12" s="0" t="n">
        <v>361.89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12.92</v>
      </c>
      <c r="D13" s="0" t="n">
        <v>25</v>
      </c>
      <c r="E13" s="0" t="n">
        <v>2</v>
      </c>
      <c r="F13" s="0" t="s">
        <v>73</v>
      </c>
      <c r="G13" s="0" t="n">
        <v>16</v>
      </c>
      <c r="H13" s="0" t="n">
        <v>245.48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B14" s="6" t="s">
        <v>98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99</v>
      </c>
    </row>
    <row r="16" customFormat="false" ht="15" hidden="false" customHeight="false" outlineLevel="0" collapsed="false">
      <c r="A16" s="0" t="s">
        <v>100</v>
      </c>
      <c r="B16" s="0" t="s">
        <v>101</v>
      </c>
      <c r="C16" s="0" t="n">
        <v>5.7</v>
      </c>
      <c r="D16" s="0" t="n">
        <v>25</v>
      </c>
      <c r="E16" s="0" t="n">
        <v>2</v>
      </c>
      <c r="F16" s="0" t="s">
        <v>102</v>
      </c>
      <c r="G16" s="0" t="n">
        <v>16</v>
      </c>
      <c r="H16" s="0" t="n">
        <v>102.6</v>
      </c>
      <c r="I16" s="0" t="s">
        <v>103</v>
      </c>
      <c r="J16" s="0" t="s">
        <v>104</v>
      </c>
      <c r="K16" s="0" t="s">
        <v>76</v>
      </c>
    </row>
    <row r="17" customFormat="false" ht="15" hidden="false" customHeight="false" outlineLevel="0" collapsed="false">
      <c r="B17" s="6" t="s">
        <v>105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106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3.67</v>
      </c>
      <c r="D19" s="0" t="n">
        <v>8</v>
      </c>
      <c r="E19" s="0" t="n">
        <v>1</v>
      </c>
      <c r="F19" s="0" t="s">
        <v>109</v>
      </c>
      <c r="G19" s="0" t="n">
        <v>16</v>
      </c>
      <c r="H19" s="0" t="n">
        <v>29.36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12</v>
      </c>
      <c r="D20" s="0" t="n">
        <v>8</v>
      </c>
      <c r="E20" s="0" t="n">
        <v>1</v>
      </c>
      <c r="F20" s="0" t="s">
        <v>109</v>
      </c>
      <c r="G20" s="0" t="n">
        <v>16</v>
      </c>
      <c r="H20" s="0" t="n">
        <v>96</v>
      </c>
      <c r="I20" s="0" t="s">
        <v>114</v>
      </c>
      <c r="J20" s="0" t="s">
        <v>111</v>
      </c>
      <c r="K20" s="0" t="s">
        <v>76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12</v>
      </c>
      <c r="D21" s="0" t="n">
        <v>8</v>
      </c>
      <c r="E21" s="0" t="n">
        <v>1</v>
      </c>
      <c r="F21" s="0" t="s">
        <v>109</v>
      </c>
      <c r="G21" s="0" t="n">
        <v>16</v>
      </c>
      <c r="H21" s="0" t="n">
        <v>96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3.67</v>
      </c>
      <c r="D22" s="0" t="n">
        <v>8</v>
      </c>
      <c r="E22" s="0" t="n">
        <v>1</v>
      </c>
      <c r="F22" s="0" t="s">
        <v>109</v>
      </c>
      <c r="G22" s="0" t="n">
        <v>16</v>
      </c>
      <c r="H22" s="0" t="n">
        <v>29.36</v>
      </c>
      <c r="I22" s="0" t="s">
        <v>120</v>
      </c>
      <c r="J22" s="0" t="s">
        <v>111</v>
      </c>
      <c r="K22" s="0" t="s">
        <v>76</v>
      </c>
    </row>
    <row r="23" customFormat="false" ht="15" hidden="false" customHeight="false" outlineLevel="0" collapsed="false">
      <c r="A23" s="0" t="s">
        <v>121</v>
      </c>
      <c r="B23" s="0" t="s">
        <v>122</v>
      </c>
      <c r="C23" s="0" t="n">
        <v>3.67</v>
      </c>
      <c r="D23" s="0" t="n">
        <v>8</v>
      </c>
      <c r="E23" s="0" t="n">
        <v>1</v>
      </c>
      <c r="F23" s="0" t="s">
        <v>109</v>
      </c>
      <c r="G23" s="0" t="n">
        <v>16</v>
      </c>
      <c r="H23" s="0" t="n">
        <v>29.36</v>
      </c>
      <c r="I23" s="0" t="s">
        <v>123</v>
      </c>
      <c r="J23" s="0" t="s">
        <v>111</v>
      </c>
      <c r="K23" s="0" t="s">
        <v>76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n">
        <v>3.67</v>
      </c>
      <c r="D24" s="0" t="n">
        <v>8</v>
      </c>
      <c r="E24" s="0" t="n">
        <v>1</v>
      </c>
      <c r="F24" s="0" t="s">
        <v>109</v>
      </c>
      <c r="G24" s="0" t="n">
        <v>16</v>
      </c>
      <c r="H24" s="0" t="n">
        <v>29.36</v>
      </c>
      <c r="I24" s="0" t="s">
        <v>126</v>
      </c>
      <c r="J24" s="0" t="s">
        <v>111</v>
      </c>
      <c r="K24" s="0" t="s">
        <v>76</v>
      </c>
    </row>
    <row r="25" customFormat="false" ht="15" hidden="false" customHeight="false" outlineLevel="0" collapsed="false">
      <c r="B25" s="6" t="s">
        <v>127</v>
      </c>
      <c r="C25" s="4" t="n">
        <f aca="false">SUM(C19:C24)</f>
        <v>38.68</v>
      </c>
      <c r="H25" s="4" t="n">
        <f aca="false">SUM(H19:H24)</f>
        <v>309.44</v>
      </c>
    </row>
    <row r="26" customFormat="false" ht="15" hidden="false" customHeight="false" outlineLevel="0" collapsed="false">
      <c r="A26" s="5" t="s">
        <v>128</v>
      </c>
    </row>
    <row r="27" customFormat="false" ht="15" hidden="false" customHeight="false" outlineLevel="0" collapsed="false">
      <c r="A27" s="0" t="s">
        <v>129</v>
      </c>
      <c r="B27" s="0" t="s">
        <v>130</v>
      </c>
      <c r="C27" s="0" t="n">
        <v>12.68</v>
      </c>
      <c r="D27" s="0" t="n">
        <v>7.5</v>
      </c>
      <c r="E27" s="0" t="n">
        <v>1</v>
      </c>
      <c r="F27" s="0" t="s">
        <v>109</v>
      </c>
      <c r="G27" s="0" t="n">
        <v>16</v>
      </c>
      <c r="H27" s="0" t="n">
        <v>95.1</v>
      </c>
      <c r="I27" s="0" t="s">
        <v>131</v>
      </c>
      <c r="J27" s="0" t="s">
        <v>132</v>
      </c>
      <c r="K27" s="0" t="s">
        <v>76</v>
      </c>
    </row>
    <row r="28" customFormat="false" ht="15" hidden="false" customHeight="false" outlineLevel="0" collapsed="false">
      <c r="A28" s="0" t="s">
        <v>133</v>
      </c>
      <c r="B28" s="0" t="s">
        <v>134</v>
      </c>
      <c r="C28" s="0" t="n">
        <v>1.77</v>
      </c>
      <c r="D28" s="0" t="n">
        <v>7.5</v>
      </c>
      <c r="E28" s="0" t="n">
        <v>1</v>
      </c>
      <c r="F28" s="0" t="s">
        <v>109</v>
      </c>
      <c r="G28" s="0" t="n">
        <v>16</v>
      </c>
      <c r="H28" s="0" t="n">
        <v>13.28</v>
      </c>
      <c r="I28" s="0" t="s">
        <v>135</v>
      </c>
      <c r="J28" s="0" t="s">
        <v>132</v>
      </c>
      <c r="K28" s="0" t="s">
        <v>76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n">
        <v>1.72</v>
      </c>
      <c r="D29" s="0" t="n">
        <v>7.5</v>
      </c>
      <c r="E29" s="0" t="n">
        <v>1</v>
      </c>
      <c r="F29" s="0" t="s">
        <v>109</v>
      </c>
      <c r="G29" s="0" t="n">
        <v>16</v>
      </c>
      <c r="H29" s="0" t="n">
        <v>12.9</v>
      </c>
      <c r="I29" s="0" t="s">
        <v>138</v>
      </c>
      <c r="J29" s="0" t="s">
        <v>132</v>
      </c>
      <c r="K29" s="0" t="s">
        <v>76</v>
      </c>
    </row>
    <row r="30" customFormat="false" ht="15" hidden="false" customHeight="false" outlineLevel="0" collapsed="false">
      <c r="A30" s="0" t="s">
        <v>139</v>
      </c>
      <c r="B30" s="0" t="s">
        <v>140</v>
      </c>
      <c r="C30" s="0" t="n">
        <v>4.27</v>
      </c>
      <c r="D30" s="0" t="n">
        <v>7.5</v>
      </c>
      <c r="E30" s="0" t="n">
        <v>1</v>
      </c>
      <c r="F30" s="0" t="s">
        <v>109</v>
      </c>
      <c r="G30" s="0" t="n">
        <v>16</v>
      </c>
      <c r="H30" s="0" t="n">
        <v>32.02</v>
      </c>
      <c r="I30" s="0" t="s">
        <v>141</v>
      </c>
      <c r="J30" s="0" t="s">
        <v>132</v>
      </c>
      <c r="K30" s="0" t="s">
        <v>76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n">
        <v>4.27</v>
      </c>
      <c r="D31" s="0" t="n">
        <v>7.5</v>
      </c>
      <c r="E31" s="0" t="n">
        <v>1</v>
      </c>
      <c r="F31" s="0" t="s">
        <v>109</v>
      </c>
      <c r="G31" s="0" t="n">
        <v>16</v>
      </c>
      <c r="H31" s="0" t="n">
        <v>32.02</v>
      </c>
      <c r="I31" s="0" t="s">
        <v>144</v>
      </c>
      <c r="J31" s="0" t="s">
        <v>132</v>
      </c>
      <c r="K31" s="0" t="s">
        <v>76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0" t="n">
        <v>4.29</v>
      </c>
      <c r="D32" s="0" t="n">
        <v>7.5</v>
      </c>
      <c r="E32" s="0" t="n">
        <v>1</v>
      </c>
      <c r="F32" s="0" t="s">
        <v>109</v>
      </c>
      <c r="G32" s="0" t="n">
        <v>16</v>
      </c>
      <c r="H32" s="0" t="n">
        <v>32.17</v>
      </c>
      <c r="I32" s="0" t="s">
        <v>147</v>
      </c>
      <c r="J32" s="0" t="s">
        <v>132</v>
      </c>
      <c r="K32" s="0" t="s">
        <v>76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n">
        <v>4.29</v>
      </c>
      <c r="D33" s="0" t="n">
        <v>7.5</v>
      </c>
      <c r="E33" s="0" t="n">
        <v>1</v>
      </c>
      <c r="F33" s="0" t="s">
        <v>109</v>
      </c>
      <c r="G33" s="0" t="n">
        <v>16</v>
      </c>
      <c r="H33" s="0" t="n">
        <v>32.17</v>
      </c>
      <c r="I33" s="0" t="s">
        <v>150</v>
      </c>
      <c r="J33" s="0" t="s">
        <v>132</v>
      </c>
      <c r="K33" s="0" t="s">
        <v>76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0" t="n">
        <v>4.27</v>
      </c>
      <c r="D34" s="0" t="n">
        <v>7.5</v>
      </c>
      <c r="E34" s="0" t="n">
        <v>1</v>
      </c>
      <c r="F34" s="0" t="s">
        <v>109</v>
      </c>
      <c r="G34" s="0" t="n">
        <v>16</v>
      </c>
      <c r="H34" s="0" t="n">
        <v>32.02</v>
      </c>
      <c r="I34" s="0" t="s">
        <v>153</v>
      </c>
      <c r="J34" s="0" t="s">
        <v>132</v>
      </c>
      <c r="K34" s="0" t="s">
        <v>76</v>
      </c>
    </row>
    <row r="35" customFormat="false" ht="15" hidden="false" customHeight="false" outlineLevel="0" collapsed="false">
      <c r="A35" s="0" t="s">
        <v>154</v>
      </c>
      <c r="B35" s="0" t="s">
        <v>155</v>
      </c>
      <c r="C35" s="0" t="n">
        <v>4.29</v>
      </c>
      <c r="D35" s="0" t="n">
        <v>7.5</v>
      </c>
      <c r="E35" s="0" t="n">
        <v>1</v>
      </c>
      <c r="F35" s="0" t="s">
        <v>109</v>
      </c>
      <c r="G35" s="0" t="n">
        <v>16</v>
      </c>
      <c r="H35" s="0" t="n">
        <v>32.17</v>
      </c>
      <c r="I35" s="0" t="s">
        <v>156</v>
      </c>
      <c r="J35" s="0" t="s">
        <v>132</v>
      </c>
      <c r="K35" s="0" t="s">
        <v>76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0" t="n">
        <v>4.28</v>
      </c>
      <c r="D36" s="0" t="n">
        <v>7.5</v>
      </c>
      <c r="E36" s="0" t="n">
        <v>1</v>
      </c>
      <c r="F36" s="0" t="s">
        <v>109</v>
      </c>
      <c r="G36" s="0" t="n">
        <v>16</v>
      </c>
      <c r="H36" s="0" t="n">
        <v>32.1</v>
      </c>
      <c r="I36" s="0" t="s">
        <v>159</v>
      </c>
      <c r="J36" s="0" t="s">
        <v>132</v>
      </c>
      <c r="K36" s="0" t="s">
        <v>76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n">
        <v>4.28</v>
      </c>
      <c r="D37" s="0" t="n">
        <v>7.5</v>
      </c>
      <c r="E37" s="0" t="n">
        <v>1</v>
      </c>
      <c r="F37" s="0" t="s">
        <v>109</v>
      </c>
      <c r="G37" s="0" t="n">
        <v>16</v>
      </c>
      <c r="H37" s="0" t="n">
        <v>32.1</v>
      </c>
      <c r="I37" s="0" t="s">
        <v>162</v>
      </c>
      <c r="J37" s="0" t="s">
        <v>132</v>
      </c>
      <c r="K37" s="0" t="s">
        <v>76</v>
      </c>
    </row>
    <row r="38" customFormat="false" ht="15" hidden="false" customHeight="false" outlineLevel="0" collapsed="false">
      <c r="A38" s="0" t="s">
        <v>163</v>
      </c>
      <c r="B38" s="0" t="s">
        <v>164</v>
      </c>
      <c r="C38" s="0" t="n">
        <v>4.28</v>
      </c>
      <c r="D38" s="0" t="n">
        <v>7.5</v>
      </c>
      <c r="E38" s="0" t="n">
        <v>1</v>
      </c>
      <c r="F38" s="0" t="s">
        <v>109</v>
      </c>
      <c r="G38" s="0" t="n">
        <v>16</v>
      </c>
      <c r="H38" s="0" t="n">
        <v>32.1</v>
      </c>
      <c r="I38" s="0" t="s">
        <v>165</v>
      </c>
      <c r="J38" s="0" t="s">
        <v>132</v>
      </c>
      <c r="K38" s="0" t="s">
        <v>76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n">
        <v>4.28</v>
      </c>
      <c r="D39" s="0" t="n">
        <v>7.5</v>
      </c>
      <c r="E39" s="0" t="n">
        <v>1</v>
      </c>
      <c r="F39" s="0" t="s">
        <v>109</v>
      </c>
      <c r="G39" s="0" t="n">
        <v>16</v>
      </c>
      <c r="H39" s="0" t="n">
        <v>32.1</v>
      </c>
      <c r="I39" s="0" t="s">
        <v>168</v>
      </c>
      <c r="J39" s="0" t="s">
        <v>132</v>
      </c>
      <c r="K39" s="0" t="s">
        <v>76</v>
      </c>
    </row>
    <row r="40" customFormat="false" ht="15" hidden="false" customHeight="false" outlineLevel="0" collapsed="false">
      <c r="A40" s="0" t="s">
        <v>169</v>
      </c>
      <c r="B40" s="0" t="s">
        <v>170</v>
      </c>
      <c r="C40" s="0" t="n">
        <v>4.28</v>
      </c>
      <c r="D40" s="0" t="n">
        <v>7.5</v>
      </c>
      <c r="E40" s="0" t="n">
        <v>1</v>
      </c>
      <c r="F40" s="0" t="s">
        <v>109</v>
      </c>
      <c r="G40" s="0" t="n">
        <v>16</v>
      </c>
      <c r="H40" s="0" t="n">
        <v>32.1</v>
      </c>
      <c r="I40" s="0" t="s">
        <v>171</v>
      </c>
      <c r="J40" s="0" t="s">
        <v>132</v>
      </c>
      <c r="K40" s="0" t="s">
        <v>76</v>
      </c>
    </row>
    <row r="41" customFormat="false" ht="15" hidden="false" customHeight="false" outlineLevel="0" collapsed="false">
      <c r="A41" s="0" t="s">
        <v>172</v>
      </c>
      <c r="B41" s="0" t="s">
        <v>173</v>
      </c>
      <c r="C41" s="0" t="n">
        <v>4.28</v>
      </c>
      <c r="D41" s="0" t="n">
        <v>7.5</v>
      </c>
      <c r="E41" s="0" t="n">
        <v>1</v>
      </c>
      <c r="F41" s="0" t="s">
        <v>109</v>
      </c>
      <c r="G41" s="0" t="n">
        <v>16</v>
      </c>
      <c r="H41" s="0" t="n">
        <v>32.1</v>
      </c>
      <c r="I41" s="0" t="s">
        <v>174</v>
      </c>
      <c r="J41" s="0" t="s">
        <v>132</v>
      </c>
      <c r="K41" s="0" t="s">
        <v>76</v>
      </c>
    </row>
    <row r="42" customFormat="false" ht="15" hidden="false" customHeight="false" outlineLevel="0" collapsed="false">
      <c r="A42" s="0" t="s">
        <v>175</v>
      </c>
      <c r="B42" s="0" t="s">
        <v>176</v>
      </c>
      <c r="C42" s="0" t="n">
        <v>12.68</v>
      </c>
      <c r="D42" s="0" t="n">
        <v>7.5</v>
      </c>
      <c r="E42" s="0" t="n">
        <v>1</v>
      </c>
      <c r="F42" s="0" t="s">
        <v>109</v>
      </c>
      <c r="G42" s="0" t="n">
        <v>16</v>
      </c>
      <c r="H42" s="0" t="n">
        <v>95.1</v>
      </c>
      <c r="I42" s="0" t="s">
        <v>177</v>
      </c>
      <c r="J42" s="0" t="s">
        <v>132</v>
      </c>
      <c r="K42" s="0" t="s">
        <v>76</v>
      </c>
    </row>
    <row r="43" customFormat="false" ht="15" hidden="false" customHeight="false" outlineLevel="0" collapsed="false">
      <c r="A43" s="0" t="s">
        <v>178</v>
      </c>
      <c r="B43" s="0" t="s">
        <v>179</v>
      </c>
      <c r="C43" s="0" t="n">
        <v>1.75</v>
      </c>
      <c r="D43" s="0" t="n">
        <v>7.5</v>
      </c>
      <c r="E43" s="0" t="n">
        <v>1</v>
      </c>
      <c r="F43" s="0" t="s">
        <v>109</v>
      </c>
      <c r="G43" s="0" t="n">
        <v>16</v>
      </c>
      <c r="H43" s="0" t="n">
        <v>13.12</v>
      </c>
      <c r="I43" s="0" t="s">
        <v>180</v>
      </c>
      <c r="J43" s="0" t="s">
        <v>132</v>
      </c>
      <c r="K43" s="0" t="s">
        <v>76</v>
      </c>
    </row>
    <row r="44" customFormat="false" ht="15" hidden="false" customHeight="false" outlineLevel="0" collapsed="false">
      <c r="A44" s="0" t="s">
        <v>181</v>
      </c>
      <c r="B44" s="0" t="s">
        <v>182</v>
      </c>
      <c r="C44" s="0" t="n">
        <v>1.68</v>
      </c>
      <c r="D44" s="0" t="n">
        <v>7.5</v>
      </c>
      <c r="E44" s="0" t="n">
        <v>1</v>
      </c>
      <c r="F44" s="0" t="s">
        <v>109</v>
      </c>
      <c r="G44" s="0" t="n">
        <v>16</v>
      </c>
      <c r="H44" s="0" t="n">
        <v>12.6</v>
      </c>
      <c r="I44" s="0" t="s">
        <v>183</v>
      </c>
      <c r="J44" s="0" t="s">
        <v>132</v>
      </c>
      <c r="K44" s="0" t="s">
        <v>76</v>
      </c>
    </row>
    <row r="45" customFormat="false" ht="15" hidden="false" customHeight="false" outlineLevel="0" collapsed="false">
      <c r="B45" s="6" t="s">
        <v>184</v>
      </c>
      <c r="C45" s="4" t="n">
        <f aca="false">SUM(C27:C44)</f>
        <v>83.64</v>
      </c>
      <c r="H45" s="4" t="n">
        <f aca="false">SUM(H27:H44)</f>
        <v>627.27</v>
      </c>
    </row>
    <row r="46" customFormat="false" ht="15" hidden="false" customHeight="false" outlineLevel="0" collapsed="false">
      <c r="A46" s="5" t="s">
        <v>185</v>
      </c>
    </row>
    <row r="47" customFormat="false" ht="15" hidden="false" customHeight="false" outlineLevel="0" collapsed="false">
      <c r="A47" s="0" t="s">
        <v>186</v>
      </c>
      <c r="B47" s="0" t="s">
        <v>187</v>
      </c>
      <c r="C47" s="0" t="n">
        <v>29.98</v>
      </c>
      <c r="D47" s="0" t="n">
        <v>25</v>
      </c>
      <c r="E47" s="0" t="n">
        <v>1</v>
      </c>
      <c r="F47" s="0" t="s">
        <v>102</v>
      </c>
      <c r="G47" s="0" t="n">
        <v>16</v>
      </c>
      <c r="H47" s="0" t="n">
        <v>678.44</v>
      </c>
      <c r="I47" s="0" t="s">
        <v>188</v>
      </c>
      <c r="J47" s="0" t="s">
        <v>189</v>
      </c>
      <c r="K47" s="0" t="s">
        <v>76</v>
      </c>
    </row>
    <row r="48" customFormat="false" ht="15" hidden="false" customHeight="false" outlineLevel="0" collapsed="false">
      <c r="A48" s="0" t="s">
        <v>190</v>
      </c>
      <c r="B48" s="0" t="s">
        <v>191</v>
      </c>
      <c r="C48" s="0" t="n">
        <v>12.17</v>
      </c>
      <c r="D48" s="0" t="n">
        <v>25</v>
      </c>
      <c r="E48" s="0" t="n">
        <v>1</v>
      </c>
      <c r="F48" s="0" t="s">
        <v>102</v>
      </c>
      <c r="G48" s="0" t="n">
        <v>16</v>
      </c>
      <c r="H48" s="0" t="n">
        <v>115.61</v>
      </c>
      <c r="I48" s="0" t="s">
        <v>192</v>
      </c>
      <c r="J48" s="0" t="s">
        <v>189</v>
      </c>
      <c r="K48" s="0" t="s">
        <v>76</v>
      </c>
    </row>
    <row r="49" customFormat="false" ht="15" hidden="false" customHeight="false" outlineLevel="0" collapsed="false">
      <c r="B49" s="6" t="s">
        <v>193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194</v>
      </c>
    </row>
    <row r="51" customFormat="false" ht="15" hidden="false" customHeight="false" outlineLevel="0" collapsed="false">
      <c r="A51" s="0" t="s">
        <v>195</v>
      </c>
      <c r="B51" s="0" t="s">
        <v>196</v>
      </c>
      <c r="C51" s="0" t="n">
        <v>12.17</v>
      </c>
      <c r="D51" s="0" t="n">
        <v>25</v>
      </c>
      <c r="E51" s="0" t="n">
        <v>1</v>
      </c>
      <c r="F51" s="0" t="s">
        <v>73</v>
      </c>
      <c r="G51" s="0" t="n">
        <v>16</v>
      </c>
      <c r="H51" s="0" t="n">
        <v>304.25</v>
      </c>
      <c r="I51" s="0" t="s">
        <v>197</v>
      </c>
      <c r="J51" s="0" t="s">
        <v>189</v>
      </c>
      <c r="K51" s="0" t="s">
        <v>76</v>
      </c>
    </row>
    <row r="52" customFormat="false" ht="15" hidden="false" customHeight="false" outlineLevel="0" collapsed="false">
      <c r="B52" s="6" t="s">
        <v>198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199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n">
        <v>1.95</v>
      </c>
      <c r="D54" s="0" t="n">
        <v>25</v>
      </c>
      <c r="E54" s="0" t="n">
        <v>0</v>
      </c>
      <c r="F54" s="0" t="s">
        <v>73</v>
      </c>
      <c r="G54" s="0" t="n">
        <v>16</v>
      </c>
      <c r="H54" s="0" t="n">
        <v>0</v>
      </c>
      <c r="I54" s="0" t="s">
        <v>202</v>
      </c>
      <c r="J54" s="0" t="s">
        <v>189</v>
      </c>
      <c r="K54" s="0" t="s">
        <v>76</v>
      </c>
    </row>
    <row r="55" customFormat="false" ht="15" hidden="false" customHeight="false" outlineLevel="0" collapsed="false">
      <c r="B55" s="6" t="s">
        <v>203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204</v>
      </c>
    </row>
    <row r="57" customFormat="false" ht="15" hidden="false" customHeight="false" outlineLevel="0" collapsed="false">
      <c r="A57" s="0" t="s">
        <v>205</v>
      </c>
      <c r="B57" s="0" t="s">
        <v>206</v>
      </c>
      <c r="C57" s="0" t="n">
        <v>4.08</v>
      </c>
      <c r="D57" s="0" t="n">
        <v>25</v>
      </c>
      <c r="E57" s="0" t="n">
        <v>2</v>
      </c>
      <c r="F57" s="0" t="s">
        <v>102</v>
      </c>
      <c r="G57" s="0" t="n">
        <v>16</v>
      </c>
      <c r="H57" s="0" t="n">
        <v>71.74</v>
      </c>
      <c r="I57" s="0" t="s">
        <v>207</v>
      </c>
      <c r="J57" s="0" t="s">
        <v>208</v>
      </c>
      <c r="K57" s="0" t="s">
        <v>76</v>
      </c>
    </row>
    <row r="58" customFormat="false" ht="15" hidden="false" customHeight="false" outlineLevel="0" collapsed="false">
      <c r="B58" s="6" t="s">
        <v>209</v>
      </c>
      <c r="C58" s="4" t="n">
        <f aca="false">SUM(C57:C57)</f>
        <v>4.08</v>
      </c>
      <c r="H58" s="4" t="n">
        <f aca="false">SUM(H57:H57)</f>
        <v>71.74</v>
      </c>
    </row>
    <row r="59" customFormat="false" ht="15" hidden="false" customHeight="false" outlineLevel="0" collapsed="false">
      <c r="A59" s="5" t="s">
        <v>210</v>
      </c>
    </row>
    <row r="60" customFormat="false" ht="15" hidden="false" customHeight="false" outlineLevel="0" collapsed="false">
      <c r="A60" s="0" t="s">
        <v>211</v>
      </c>
      <c r="B60" s="0" t="s">
        <v>212</v>
      </c>
      <c r="C60" s="0" t="n">
        <v>6.17</v>
      </c>
      <c r="D60" s="0" t="n">
        <v>25</v>
      </c>
      <c r="E60" s="0" t="n">
        <v>2</v>
      </c>
      <c r="F60" s="0" t="s">
        <v>102</v>
      </c>
      <c r="G60" s="0" t="n">
        <v>16</v>
      </c>
      <c r="H60" s="0" t="n">
        <v>151.68</v>
      </c>
      <c r="I60" s="0" t="s">
        <v>213</v>
      </c>
      <c r="J60" s="0" t="s">
        <v>208</v>
      </c>
      <c r="K60" s="0" t="s">
        <v>76</v>
      </c>
    </row>
    <row r="61" customFormat="false" ht="15" hidden="false" customHeight="false" outlineLevel="0" collapsed="false">
      <c r="B61" s="6" t="s">
        <v>214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215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0" t="n">
        <v>29.3</v>
      </c>
      <c r="D63" s="0" t="n">
        <v>25</v>
      </c>
      <c r="E63" s="0" t="n">
        <v>0</v>
      </c>
      <c r="F63" s="0" t="s">
        <v>102</v>
      </c>
      <c r="G63" s="0" t="n">
        <v>16</v>
      </c>
      <c r="H63" s="0" t="n">
        <v>0</v>
      </c>
      <c r="I63" s="0" t="s">
        <v>218</v>
      </c>
      <c r="J63" s="0" t="s">
        <v>219</v>
      </c>
      <c r="K63" s="0" t="s">
        <v>76</v>
      </c>
    </row>
    <row r="64" customFormat="false" ht="15" hidden="false" customHeight="false" outlineLevel="0" collapsed="false">
      <c r="B64" s="6" t="s">
        <v>220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221</v>
      </c>
    </row>
    <row r="66" customFormat="false" ht="15" hidden="false" customHeight="false" outlineLevel="0" collapsed="false">
      <c r="A66" s="0" t="s">
        <v>222</v>
      </c>
      <c r="B66" s="0" t="s">
        <v>223</v>
      </c>
      <c r="C66" s="0" t="n">
        <v>2.31</v>
      </c>
      <c r="D66" s="0" t="n">
        <v>25</v>
      </c>
      <c r="E66" s="0" t="n">
        <v>1</v>
      </c>
      <c r="F66" s="0" t="s">
        <v>102</v>
      </c>
      <c r="G66" s="0" t="n">
        <v>16</v>
      </c>
      <c r="H66" s="0" t="n">
        <v>26.57</v>
      </c>
      <c r="I66" s="0" t="s">
        <v>224</v>
      </c>
      <c r="J66" s="0" t="s">
        <v>219</v>
      </c>
      <c r="K66" s="0" t="s">
        <v>76</v>
      </c>
    </row>
    <row r="67" customFormat="false" ht="15" hidden="false" customHeight="false" outlineLevel="0" collapsed="false">
      <c r="A67" s="0" t="s">
        <v>225</v>
      </c>
      <c r="B67" s="0" t="s">
        <v>226</v>
      </c>
      <c r="C67" s="0" t="n">
        <v>2.11</v>
      </c>
      <c r="D67" s="0" t="n">
        <v>25</v>
      </c>
      <c r="E67" s="0" t="n">
        <v>1</v>
      </c>
      <c r="F67" s="0" t="s">
        <v>102</v>
      </c>
      <c r="G67" s="0" t="n">
        <v>16</v>
      </c>
      <c r="H67" s="0" t="n">
        <v>25.32</v>
      </c>
      <c r="I67" s="0" t="s">
        <v>227</v>
      </c>
      <c r="J67" s="0" t="s">
        <v>219</v>
      </c>
      <c r="K67" s="0" t="s">
        <v>76</v>
      </c>
    </row>
    <row r="68" customFormat="false" ht="15" hidden="false" customHeight="false" outlineLevel="0" collapsed="false">
      <c r="A68" s="0" t="s">
        <v>228</v>
      </c>
      <c r="B68" s="0" t="s">
        <v>229</v>
      </c>
      <c r="C68" s="0" t="n">
        <v>23.46</v>
      </c>
      <c r="D68" s="0" t="n">
        <v>25</v>
      </c>
      <c r="E68" s="0" t="n">
        <v>0.81</v>
      </c>
      <c r="F68" s="0" t="s">
        <v>102</v>
      </c>
      <c r="G68" s="0" t="n">
        <v>16</v>
      </c>
      <c r="H68" s="0" t="n">
        <v>228</v>
      </c>
      <c r="I68" s="0" t="s">
        <v>230</v>
      </c>
      <c r="J68" s="0" t="s">
        <v>219</v>
      </c>
      <c r="K68" s="0" t="s">
        <v>76</v>
      </c>
    </row>
    <row r="69" customFormat="false" ht="15" hidden="false" customHeight="false" outlineLevel="0" collapsed="false">
      <c r="B69" s="6" t="s">
        <v>231</v>
      </c>
      <c r="C69" s="4" t="n">
        <f aca="false">SUM(C66:C68)</f>
        <v>27.88</v>
      </c>
      <c r="H69" s="4" t="n">
        <f aca="false">SUM(H66:H68)</f>
        <v>279.89</v>
      </c>
    </row>
    <row r="70" customFormat="false" ht="15" hidden="false" customHeight="false" outlineLevel="0" collapsed="false">
      <c r="A70" s="5" t="s">
        <v>232</v>
      </c>
    </row>
    <row r="71" customFormat="false" ht="15" hidden="false" customHeight="false" outlineLevel="0" collapsed="false">
      <c r="A71" s="0" t="s">
        <v>233</v>
      </c>
      <c r="B71" s="0" t="s">
        <v>234</v>
      </c>
      <c r="C71" s="0" t="n">
        <v>3.26</v>
      </c>
      <c r="D71" s="0" t="n">
        <v>25</v>
      </c>
      <c r="E71" s="0" t="n">
        <v>0</v>
      </c>
      <c r="F71" s="0" t="s">
        <v>73</v>
      </c>
      <c r="G71" s="0" t="n">
        <v>16</v>
      </c>
      <c r="H71" s="0" t="n">
        <v>0</v>
      </c>
      <c r="I71" s="0" t="s">
        <v>235</v>
      </c>
      <c r="J71" s="0" t="s">
        <v>236</v>
      </c>
      <c r="K71" s="0" t="s">
        <v>76</v>
      </c>
    </row>
    <row r="72" customFormat="false" ht="15" hidden="false" customHeight="false" outlineLevel="0" collapsed="false">
      <c r="B72" s="6" t="s">
        <v>237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238</v>
      </c>
    </row>
    <row r="74" customFormat="false" ht="15" hidden="false" customHeight="false" outlineLevel="0" collapsed="false">
      <c r="A74" s="0" t="s">
        <v>239</v>
      </c>
      <c r="B74" s="0" t="s">
        <v>240</v>
      </c>
      <c r="C74" s="0" t="n">
        <v>2.31</v>
      </c>
      <c r="D74" s="0" t="n">
        <v>25</v>
      </c>
      <c r="E74" s="0" t="n">
        <v>1</v>
      </c>
      <c r="F74" s="0" t="s">
        <v>102</v>
      </c>
      <c r="G74" s="0" t="n">
        <v>16</v>
      </c>
      <c r="H74" s="0" t="n">
        <v>23.1</v>
      </c>
      <c r="I74" s="0" t="s">
        <v>241</v>
      </c>
      <c r="J74" s="0" t="s">
        <v>242</v>
      </c>
      <c r="K74" s="0" t="s">
        <v>76</v>
      </c>
    </row>
    <row r="75" customFormat="false" ht="15" hidden="false" customHeight="false" outlineLevel="0" collapsed="false">
      <c r="A75" s="0" t="s">
        <v>243</v>
      </c>
      <c r="B75" s="0" t="s">
        <v>244</v>
      </c>
      <c r="C75" s="0" t="n">
        <v>0.603</v>
      </c>
      <c r="D75" s="0" t="n">
        <v>25</v>
      </c>
      <c r="E75" s="0" t="n">
        <v>1</v>
      </c>
      <c r="F75" s="0" t="s">
        <v>102</v>
      </c>
      <c r="G75" s="0" t="n">
        <v>16</v>
      </c>
      <c r="H75" s="0" t="n">
        <v>6.03</v>
      </c>
      <c r="I75" s="0" t="s">
        <v>245</v>
      </c>
      <c r="J75" s="0" t="s">
        <v>242</v>
      </c>
      <c r="K75" s="0" t="s">
        <v>76</v>
      </c>
    </row>
    <row r="76" customFormat="false" ht="15" hidden="false" customHeight="false" outlineLevel="0" collapsed="false">
      <c r="A76" s="0" t="s">
        <v>246</v>
      </c>
      <c r="B76" s="0" t="s">
        <v>247</v>
      </c>
      <c r="C76" s="0" t="n">
        <v>0.603</v>
      </c>
      <c r="D76" s="0" t="n">
        <v>25</v>
      </c>
      <c r="E76" s="0" t="n">
        <v>1</v>
      </c>
      <c r="F76" s="0" t="s">
        <v>102</v>
      </c>
      <c r="G76" s="0" t="n">
        <v>16</v>
      </c>
      <c r="H76" s="0" t="n">
        <v>6.03</v>
      </c>
      <c r="I76" s="0" t="s">
        <v>248</v>
      </c>
      <c r="J76" s="0" t="s">
        <v>242</v>
      </c>
      <c r="K76" s="0" t="s">
        <v>76</v>
      </c>
    </row>
    <row r="77" customFormat="false" ht="15" hidden="false" customHeight="false" outlineLevel="0" collapsed="false">
      <c r="A77" s="0" t="s">
        <v>249</v>
      </c>
      <c r="B77" s="0" t="s">
        <v>250</v>
      </c>
      <c r="C77" s="0" t="n">
        <v>1</v>
      </c>
      <c r="D77" s="0" t="n">
        <v>25</v>
      </c>
      <c r="E77" s="0" t="n">
        <v>1</v>
      </c>
      <c r="F77" s="0" t="s">
        <v>102</v>
      </c>
      <c r="G77" s="0" t="n">
        <v>16</v>
      </c>
      <c r="H77" s="0" t="n">
        <v>10</v>
      </c>
      <c r="I77" s="0" t="s">
        <v>251</v>
      </c>
      <c r="J77" s="0" t="s">
        <v>242</v>
      </c>
      <c r="K77" s="0" t="s">
        <v>76</v>
      </c>
    </row>
    <row r="78" customFormat="false" ht="15" hidden="false" customHeight="false" outlineLevel="0" collapsed="false">
      <c r="B78" s="6" t="s">
        <v>252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253</v>
      </c>
    </row>
    <row r="80" customFormat="false" ht="15" hidden="false" customHeight="false" outlineLevel="0" collapsed="false">
      <c r="A80" s="0" t="s">
        <v>254</v>
      </c>
      <c r="B80" s="0" t="s">
        <v>255</v>
      </c>
      <c r="C80" s="0" t="n">
        <v>9.89</v>
      </c>
      <c r="D80" s="0" t="n">
        <v>2.708</v>
      </c>
      <c r="E80" s="0" t="n">
        <v>2</v>
      </c>
      <c r="F80" s="0" t="s">
        <v>109</v>
      </c>
      <c r="G80" s="0" t="n">
        <v>16</v>
      </c>
      <c r="H80" s="0" t="n">
        <v>53.56</v>
      </c>
      <c r="I80" s="0" t="s">
        <v>256</v>
      </c>
      <c r="J80" s="0" t="s">
        <v>257</v>
      </c>
      <c r="K80" s="0" t="s">
        <v>76</v>
      </c>
    </row>
    <row r="81" customFormat="false" ht="15" hidden="false" customHeight="false" outlineLevel="0" collapsed="false">
      <c r="A81" s="0" t="s">
        <v>258</v>
      </c>
      <c r="B81" s="0" t="s">
        <v>259</v>
      </c>
      <c r="C81" s="0" t="n">
        <v>4.14</v>
      </c>
      <c r="D81" s="0" t="n">
        <v>2.708</v>
      </c>
      <c r="E81" s="0" t="n">
        <v>2</v>
      </c>
      <c r="F81" s="0" t="s">
        <v>109</v>
      </c>
      <c r="G81" s="0" t="n">
        <v>16</v>
      </c>
      <c r="H81" s="0" t="n">
        <v>22.42</v>
      </c>
      <c r="I81" s="0" t="s">
        <v>260</v>
      </c>
      <c r="J81" s="0" t="s">
        <v>257</v>
      </c>
      <c r="K81" s="0" t="s">
        <v>76</v>
      </c>
    </row>
    <row r="82" customFormat="false" ht="15" hidden="false" customHeight="false" outlineLevel="0" collapsed="false">
      <c r="A82" s="0" t="s">
        <v>261</v>
      </c>
      <c r="B82" s="0" t="s">
        <v>262</v>
      </c>
      <c r="C82" s="0" t="n">
        <v>6.24</v>
      </c>
      <c r="D82" s="0" t="n">
        <v>2.708</v>
      </c>
      <c r="E82" s="0" t="n">
        <v>2</v>
      </c>
      <c r="F82" s="0" t="s">
        <v>109</v>
      </c>
      <c r="G82" s="0" t="n">
        <v>16</v>
      </c>
      <c r="H82" s="0" t="n">
        <v>33.8</v>
      </c>
      <c r="I82" s="0" t="s">
        <v>263</v>
      </c>
      <c r="J82" s="0" t="s">
        <v>257</v>
      </c>
      <c r="K82" s="0" t="s">
        <v>76</v>
      </c>
    </row>
    <row r="83" customFormat="false" ht="15" hidden="false" customHeight="false" outlineLevel="0" collapsed="false">
      <c r="B83" s="6" t="s">
        <v>264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265</v>
      </c>
    </row>
    <row r="85" customFormat="false" ht="15" hidden="false" customHeight="false" outlineLevel="0" collapsed="false">
      <c r="A85" s="0" t="s">
        <v>266</v>
      </c>
      <c r="B85" s="0" t="s">
        <v>267</v>
      </c>
      <c r="C85" s="0" t="n">
        <v>3.17</v>
      </c>
      <c r="D85" s="0" t="n">
        <v>2.708</v>
      </c>
      <c r="E85" s="0" t="n">
        <v>2</v>
      </c>
      <c r="F85" s="0" t="s">
        <v>109</v>
      </c>
      <c r="G85" s="0" t="n">
        <v>16</v>
      </c>
      <c r="H85" s="0" t="n">
        <v>17.16</v>
      </c>
      <c r="I85" s="0" t="s">
        <v>268</v>
      </c>
      <c r="J85" s="0" t="s">
        <v>269</v>
      </c>
      <c r="K85" s="0" t="s">
        <v>76</v>
      </c>
    </row>
    <row r="86" customFormat="false" ht="15" hidden="false" customHeight="false" outlineLevel="0" collapsed="false">
      <c r="B86" s="6" t="s">
        <v>270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271</v>
      </c>
    </row>
    <row r="88" customFormat="false" ht="15" hidden="false" customHeight="false" outlineLevel="0" collapsed="false">
      <c r="A88" s="0" t="s">
        <v>272</v>
      </c>
      <c r="B88" s="0" t="s">
        <v>273</v>
      </c>
      <c r="C88" s="0" t="n">
        <v>5.14</v>
      </c>
      <c r="D88" s="0" t="n">
        <v>1</v>
      </c>
      <c r="E88" s="0" t="n">
        <v>2</v>
      </c>
      <c r="F88" s="0" t="s">
        <v>109</v>
      </c>
      <c r="G88" s="0" t="n">
        <v>16</v>
      </c>
      <c r="H88" s="0" t="n">
        <v>10.28</v>
      </c>
      <c r="I88" s="0" t="s">
        <v>274</v>
      </c>
      <c r="J88" s="0" t="s">
        <v>275</v>
      </c>
      <c r="K88" s="0" t="s">
        <v>76</v>
      </c>
    </row>
    <row r="89" customFormat="false" ht="15" hidden="false" customHeight="false" outlineLevel="0" collapsed="false">
      <c r="B89" s="6" t="s">
        <v>276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277</v>
      </c>
    </row>
    <row r="91" customFormat="false" ht="15" hidden="false" customHeight="false" outlineLevel="0" collapsed="false">
      <c r="A91" s="0" t="s">
        <v>278</v>
      </c>
      <c r="B91" s="0" t="s">
        <v>279</v>
      </c>
      <c r="C91" s="0" t="n">
        <v>3.17</v>
      </c>
      <c r="D91" s="0" t="n">
        <v>2.708</v>
      </c>
      <c r="E91" s="0" t="n">
        <v>2</v>
      </c>
      <c r="F91" s="0" t="s">
        <v>109</v>
      </c>
      <c r="G91" s="0" t="n">
        <v>16</v>
      </c>
      <c r="H91" s="0" t="n">
        <v>17.16</v>
      </c>
      <c r="I91" s="0" t="s">
        <v>280</v>
      </c>
      <c r="J91" s="0" t="s">
        <v>281</v>
      </c>
      <c r="K91" s="0" t="s">
        <v>76</v>
      </c>
    </row>
    <row r="92" customFormat="false" ht="15" hidden="false" customHeight="false" outlineLevel="0" collapsed="false">
      <c r="B92" s="6" t="s">
        <v>282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283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13679.8</v>
      </c>
    </row>
    <row r="95" customFormat="false" ht="15" hidden="false" customHeight="false" outlineLevel="0" collapsed="false">
      <c r="A95" s="5" t="s">
        <v>284</v>
      </c>
    </row>
    <row r="96" customFormat="false" ht="15" hidden="false" customHeight="false" outlineLevel="0" collapsed="false">
      <c r="A96" s="0" t="s">
        <v>285</v>
      </c>
      <c r="B96" s="0" t="s">
        <v>286</v>
      </c>
      <c r="C96" s="0" t="n">
        <v>8</v>
      </c>
      <c r="D96" s="0" t="n">
        <v>8</v>
      </c>
      <c r="E96" s="0" t="n">
        <v>1</v>
      </c>
      <c r="F96" s="0" t="s">
        <v>109</v>
      </c>
      <c r="G96" s="0" t="n">
        <v>16</v>
      </c>
      <c r="H96" s="0" t="n">
        <v>64</v>
      </c>
      <c r="I96" s="0" t="s">
        <v>287</v>
      </c>
      <c r="J96" s="0" t="s">
        <v>288</v>
      </c>
      <c r="K96" s="0" t="s">
        <v>76</v>
      </c>
    </row>
    <row r="97" customFormat="false" ht="15" hidden="false" customHeight="false" outlineLevel="0" collapsed="false">
      <c r="A97" s="0" t="s">
        <v>289</v>
      </c>
      <c r="B97" s="0" t="s">
        <v>290</v>
      </c>
      <c r="C97" s="0" t="n">
        <v>8</v>
      </c>
      <c r="D97" s="0" t="n">
        <v>8</v>
      </c>
      <c r="E97" s="0" t="n">
        <v>1</v>
      </c>
      <c r="F97" s="0" t="s">
        <v>109</v>
      </c>
      <c r="G97" s="0" t="n">
        <v>16</v>
      </c>
      <c r="H97" s="0" t="n">
        <v>64</v>
      </c>
      <c r="I97" s="0" t="s">
        <v>287</v>
      </c>
      <c r="J97" s="0" t="s">
        <v>288</v>
      </c>
      <c r="K97" s="0" t="s">
        <v>76</v>
      </c>
    </row>
    <row r="98" customFormat="false" ht="15" hidden="false" customHeight="false" outlineLevel="0" collapsed="false">
      <c r="A98" s="0" t="s">
        <v>291</v>
      </c>
      <c r="B98" s="0" t="s">
        <v>292</v>
      </c>
      <c r="C98" s="0" t="n">
        <v>8</v>
      </c>
      <c r="D98" s="0" t="n">
        <v>8</v>
      </c>
      <c r="E98" s="0" t="n">
        <v>1</v>
      </c>
      <c r="F98" s="0" t="s">
        <v>109</v>
      </c>
      <c r="G98" s="0" t="n">
        <v>16</v>
      </c>
      <c r="H98" s="0" t="n">
        <v>64</v>
      </c>
      <c r="I98" s="0" t="s">
        <v>287</v>
      </c>
      <c r="J98" s="0" t="s">
        <v>288</v>
      </c>
      <c r="K98" s="0" t="s">
        <v>76</v>
      </c>
    </row>
    <row r="99" customFormat="false" ht="15" hidden="false" customHeight="false" outlineLevel="0" collapsed="false">
      <c r="A99" s="0" t="s">
        <v>293</v>
      </c>
      <c r="B99" s="0" t="s">
        <v>294</v>
      </c>
      <c r="C99" s="0" t="n">
        <v>8</v>
      </c>
      <c r="D99" s="0" t="n">
        <v>8</v>
      </c>
      <c r="E99" s="0" t="n">
        <v>1</v>
      </c>
      <c r="F99" s="0" t="s">
        <v>109</v>
      </c>
      <c r="G99" s="0" t="n">
        <v>16</v>
      </c>
      <c r="H99" s="0" t="n">
        <v>64</v>
      </c>
      <c r="I99" s="0" t="s">
        <v>287</v>
      </c>
      <c r="J99" s="0" t="s">
        <v>288</v>
      </c>
      <c r="K99" s="0" t="s">
        <v>76</v>
      </c>
    </row>
    <row r="100" customFormat="false" ht="15" hidden="false" customHeight="false" outlineLevel="0" collapsed="false">
      <c r="A100" s="0" t="s">
        <v>295</v>
      </c>
      <c r="B100" s="0" t="s">
        <v>296</v>
      </c>
      <c r="C100" s="0" t="n">
        <v>8</v>
      </c>
      <c r="D100" s="0" t="n">
        <v>8</v>
      </c>
      <c r="E100" s="0" t="n">
        <v>1</v>
      </c>
      <c r="F100" s="0" t="s">
        <v>109</v>
      </c>
      <c r="G100" s="0" t="n">
        <v>16</v>
      </c>
      <c r="H100" s="0" t="n">
        <v>64</v>
      </c>
      <c r="I100" s="0" t="s">
        <v>287</v>
      </c>
      <c r="J100" s="0" t="s">
        <v>288</v>
      </c>
      <c r="K100" s="0" t="s">
        <v>76</v>
      </c>
    </row>
    <row r="101" customFormat="false" ht="15" hidden="false" customHeight="false" outlineLevel="0" collapsed="false">
      <c r="A101" s="0" t="s">
        <v>297</v>
      </c>
      <c r="B101" s="0" t="s">
        <v>298</v>
      </c>
      <c r="C101" s="0" t="n">
        <v>8</v>
      </c>
      <c r="D101" s="0" t="n">
        <v>8</v>
      </c>
      <c r="E101" s="0" t="n">
        <v>1</v>
      </c>
      <c r="F101" s="0" t="s">
        <v>109</v>
      </c>
      <c r="G101" s="0" t="n">
        <v>16</v>
      </c>
      <c r="H101" s="0" t="n">
        <v>64</v>
      </c>
      <c r="I101" s="0" t="s">
        <v>287</v>
      </c>
      <c r="J101" s="0" t="s">
        <v>288</v>
      </c>
      <c r="K101" s="0" t="s">
        <v>76</v>
      </c>
    </row>
    <row r="102" customFormat="false" ht="15" hidden="false" customHeight="false" outlineLevel="0" collapsed="false">
      <c r="A102" s="0" t="s">
        <v>299</v>
      </c>
      <c r="B102" s="0" t="s">
        <v>300</v>
      </c>
      <c r="C102" s="0" t="n">
        <v>8</v>
      </c>
      <c r="D102" s="0" t="n">
        <v>8</v>
      </c>
      <c r="E102" s="0" t="n">
        <v>1</v>
      </c>
      <c r="F102" s="0" t="s">
        <v>109</v>
      </c>
      <c r="G102" s="0" t="n">
        <v>16</v>
      </c>
      <c r="H102" s="0" t="n">
        <v>64</v>
      </c>
      <c r="I102" s="0" t="s">
        <v>287</v>
      </c>
      <c r="J102" s="0" t="s">
        <v>288</v>
      </c>
      <c r="K102" s="0" t="s">
        <v>76</v>
      </c>
    </row>
    <row r="103" customFormat="false" ht="15" hidden="false" customHeight="false" outlineLevel="0" collapsed="false">
      <c r="A103" s="0" t="s">
        <v>301</v>
      </c>
      <c r="B103" s="0" t="s">
        <v>302</v>
      </c>
      <c r="C103" s="0" t="n">
        <v>8</v>
      </c>
      <c r="D103" s="0" t="n">
        <v>8</v>
      </c>
      <c r="E103" s="0" t="n">
        <v>1</v>
      </c>
      <c r="F103" s="0" t="s">
        <v>109</v>
      </c>
      <c r="G103" s="0" t="n">
        <v>16</v>
      </c>
      <c r="H103" s="0" t="n">
        <v>64</v>
      </c>
      <c r="I103" s="0" t="s">
        <v>287</v>
      </c>
      <c r="J103" s="0" t="s">
        <v>288</v>
      </c>
      <c r="K103" s="0" t="s">
        <v>76</v>
      </c>
    </row>
    <row r="104" customFormat="false" ht="15" hidden="false" customHeight="false" outlineLevel="0" collapsed="false">
      <c r="A104" s="0" t="s">
        <v>303</v>
      </c>
      <c r="B104" s="0" t="s">
        <v>304</v>
      </c>
      <c r="C104" s="0" t="n">
        <v>8</v>
      </c>
      <c r="D104" s="0" t="n">
        <v>8</v>
      </c>
      <c r="E104" s="0" t="n">
        <v>1</v>
      </c>
      <c r="F104" s="0" t="s">
        <v>109</v>
      </c>
      <c r="G104" s="0" t="n">
        <v>16</v>
      </c>
      <c r="H104" s="0" t="n">
        <v>64</v>
      </c>
      <c r="I104" s="0" t="s">
        <v>287</v>
      </c>
      <c r="J104" s="0" t="s">
        <v>288</v>
      </c>
      <c r="K104" s="0" t="s">
        <v>76</v>
      </c>
    </row>
    <row r="105" customFormat="false" ht="15" hidden="false" customHeight="false" outlineLevel="0" collapsed="false">
      <c r="A105" s="0" t="s">
        <v>305</v>
      </c>
      <c r="B105" s="0" t="s">
        <v>306</v>
      </c>
      <c r="C105" s="0" t="n">
        <v>22.77</v>
      </c>
      <c r="D105" s="0" t="n">
        <v>14</v>
      </c>
      <c r="E105" s="0" t="n">
        <v>1</v>
      </c>
      <c r="F105" s="0" t="s">
        <v>109</v>
      </c>
      <c r="G105" s="0" t="n">
        <v>16</v>
      </c>
      <c r="H105" s="0" t="n">
        <v>227.7</v>
      </c>
      <c r="I105" s="0" t="s">
        <v>307</v>
      </c>
      <c r="J105" s="0" t="s">
        <v>308</v>
      </c>
      <c r="K105" s="0" t="s">
        <v>76</v>
      </c>
    </row>
    <row r="106" customFormat="false" ht="15" hidden="false" customHeight="false" outlineLevel="0" collapsed="false">
      <c r="A106" s="0" t="s">
        <v>309</v>
      </c>
      <c r="B106" s="0" t="s">
        <v>310</v>
      </c>
      <c r="C106" s="0" t="n">
        <v>10.12</v>
      </c>
      <c r="D106" s="0" t="n">
        <v>14</v>
      </c>
      <c r="E106" s="0" t="n">
        <v>1</v>
      </c>
      <c r="F106" s="0" t="s">
        <v>109</v>
      </c>
      <c r="G106" s="0" t="n">
        <v>16</v>
      </c>
      <c r="H106" s="0" t="n">
        <v>101.2</v>
      </c>
      <c r="I106" s="0" t="s">
        <v>311</v>
      </c>
      <c r="J106" s="0" t="s">
        <v>308</v>
      </c>
      <c r="K106" s="0" t="s">
        <v>76</v>
      </c>
    </row>
    <row r="107" customFormat="false" ht="15" hidden="false" customHeight="false" outlineLevel="0" collapsed="false">
      <c r="A107" s="0" t="s">
        <v>312</v>
      </c>
      <c r="B107" s="0" t="s">
        <v>313</v>
      </c>
      <c r="C107" s="0" t="n">
        <v>20</v>
      </c>
      <c r="D107" s="0" t="n">
        <v>13.5</v>
      </c>
      <c r="E107" s="0" t="n">
        <v>1</v>
      </c>
      <c r="F107" s="0" t="s">
        <v>109</v>
      </c>
      <c r="G107" s="0" t="n">
        <v>16</v>
      </c>
      <c r="H107" s="0" t="n">
        <v>10</v>
      </c>
      <c r="I107" s="0" t="s">
        <v>314</v>
      </c>
      <c r="J107" s="0" t="s">
        <v>308</v>
      </c>
      <c r="K107" s="0" t="s">
        <v>76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n">
        <v>6.25</v>
      </c>
      <c r="D108" s="0" t="n">
        <v>13.5</v>
      </c>
      <c r="E108" s="0" t="n">
        <v>1</v>
      </c>
      <c r="F108" s="0" t="s">
        <v>109</v>
      </c>
      <c r="G108" s="0" t="n">
        <v>16</v>
      </c>
      <c r="H108" s="0" t="n">
        <v>3.12</v>
      </c>
      <c r="I108" s="0" t="s">
        <v>317</v>
      </c>
      <c r="J108" s="0" t="s">
        <v>308</v>
      </c>
      <c r="K108" s="0" t="s">
        <v>76</v>
      </c>
    </row>
    <row r="109" customFormat="false" ht="15" hidden="false" customHeight="false" outlineLevel="0" collapsed="false">
      <c r="A109" s="0" t="s">
        <v>318</v>
      </c>
      <c r="B109" s="0" t="s">
        <v>319</v>
      </c>
      <c r="C109" s="0" t="n">
        <v>6.167</v>
      </c>
      <c r="D109" s="0" t="n">
        <v>17.917</v>
      </c>
      <c r="E109" s="0" t="n">
        <v>1</v>
      </c>
      <c r="F109" s="0" t="s">
        <v>102</v>
      </c>
      <c r="G109" s="0" t="n">
        <v>16</v>
      </c>
      <c r="H109" s="0" t="n">
        <v>61.67</v>
      </c>
      <c r="I109" s="0" t="s">
        <v>320</v>
      </c>
      <c r="J109" s="0" t="s">
        <v>321</v>
      </c>
      <c r="K109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0" t="s">
        <v>323</v>
      </c>
    </row>
    <row r="3" customFormat="false" ht="15" hidden="false" customHeight="false" outlineLevel="0" collapsed="false">
      <c r="A3" s="2" t="s">
        <v>324</v>
      </c>
      <c r="B3" s="2" t="s">
        <v>325</v>
      </c>
      <c r="C3" s="2" t="s">
        <v>326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</row>
    <row r="4" customFormat="false" ht="15" hidden="false" customHeight="false" outlineLevel="0" collapsed="false">
      <c r="A4" s="0" t="s">
        <v>334</v>
      </c>
      <c r="B4" s="0" t="s">
        <v>335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336</v>
      </c>
      <c r="H4" s="0" t="n">
        <f aca="false">ROUNDUP(F4/Inputs!$B$11,0)</f>
        <v>52</v>
      </c>
      <c r="I4" s="0" t="s">
        <v>337</v>
      </c>
    </row>
    <row r="5" customFormat="false" ht="15" hidden="false" customHeight="false" outlineLevel="0" collapsed="false">
      <c r="A5" s="0" t="s">
        <v>338</v>
      </c>
      <c r="B5" s="0" t="s">
        <v>335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336</v>
      </c>
      <c r="H5" s="0" t="n">
        <f aca="false">ROUNDUP(F5/Inputs!$B$11,0)</f>
        <v>14</v>
      </c>
      <c r="I5" s="0" t="s">
        <v>339</v>
      </c>
    </row>
    <row r="6" customFormat="false" ht="15" hidden="false" customHeight="false" outlineLevel="0" collapsed="false">
      <c r="A6" s="0" t="s">
        <v>340</v>
      </c>
      <c r="B6" s="0" t="s">
        <v>335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336</v>
      </c>
      <c r="H6" s="0" t="n">
        <f aca="false">ROUNDUP(F6/Inputs!$B$11,0)</f>
        <v>9</v>
      </c>
      <c r="I6" s="0" t="s">
        <v>341</v>
      </c>
    </row>
    <row r="7" customFormat="false" ht="15" hidden="false" customHeight="false" outlineLevel="0" collapsed="false">
      <c r="A7" s="0" t="s">
        <v>342</v>
      </c>
      <c r="B7" s="0" t="s">
        <v>335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336</v>
      </c>
      <c r="H7" s="0" t="n">
        <f aca="false">ROUNDUP(F7/Inputs!$B$11,0)</f>
        <v>52</v>
      </c>
      <c r="I7" s="0" t="s">
        <v>337</v>
      </c>
    </row>
    <row r="8" customFormat="false" ht="15" hidden="false" customHeight="false" outlineLevel="0" collapsed="false">
      <c r="A8" s="0" t="s">
        <v>343</v>
      </c>
      <c r="B8" s="0" t="s">
        <v>335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336</v>
      </c>
      <c r="H8" s="0" t="n">
        <f aca="false">ROUNDUP(F8/Inputs!$B$11,0)</f>
        <v>14</v>
      </c>
      <c r="I8" s="0" t="s">
        <v>339</v>
      </c>
    </row>
    <row r="9" customFormat="false" ht="15" hidden="false" customHeight="false" outlineLevel="0" collapsed="false">
      <c r="A9" s="0" t="s">
        <v>344</v>
      </c>
      <c r="B9" s="0" t="s">
        <v>335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336</v>
      </c>
      <c r="H9" s="0" t="n">
        <f aca="false">ROUNDUP(F9/Inputs!$B$11,0)</f>
        <v>9</v>
      </c>
      <c r="I9" s="0" t="s">
        <v>341</v>
      </c>
    </row>
    <row r="10" customFormat="false" ht="15" hidden="false" customHeight="false" outlineLevel="0" collapsed="false">
      <c r="A10" s="0" t="s">
        <v>345</v>
      </c>
      <c r="B10" s="0" t="s">
        <v>335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346</v>
      </c>
      <c r="H10" s="0" t="n">
        <f aca="false">ROUNDUP(F10/Inputs!$B$10,0)</f>
        <v>2</v>
      </c>
      <c r="I10" s="0" t="s">
        <v>347</v>
      </c>
    </row>
    <row r="11" customFormat="false" ht="15" hidden="false" customHeight="false" outlineLevel="0" collapsed="false">
      <c r="A11" s="0" t="s">
        <v>348</v>
      </c>
      <c r="B11" s="0" t="s">
        <v>335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346</v>
      </c>
      <c r="H11" s="0" t="n">
        <f aca="false">ROUNDUP(F11/Inputs!$B$10,0)</f>
        <v>182</v>
      </c>
      <c r="I11" s="0" t="s">
        <v>349</v>
      </c>
    </row>
    <row r="12" customFormat="false" ht="15" hidden="false" customHeight="false" outlineLevel="0" collapsed="false">
      <c r="A12" s="0" t="s">
        <v>350</v>
      </c>
      <c r="B12" s="0" t="s">
        <v>335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346</v>
      </c>
      <c r="H12" s="0" t="n">
        <f aca="false">ROUNDUP(F12/Inputs!$B$10,0)</f>
        <v>668</v>
      </c>
      <c r="I12" s="0" t="s">
        <v>351</v>
      </c>
    </row>
    <row r="13" customFormat="false" ht="15" hidden="false" customHeight="false" outlineLevel="0" collapsed="false">
      <c r="A13" s="0" t="s">
        <v>352</v>
      </c>
      <c r="B13" s="0" t="s">
        <v>335</v>
      </c>
      <c r="C13" s="0" t="n">
        <v>180.99</v>
      </c>
      <c r="D13" s="0" t="n">
        <f aca="false">Inputs!$B$5</f>
        <v>0.15</v>
      </c>
      <c r="E13" s="0" t="n">
        <f aca="false">C13*D13</f>
        <v>27.1485</v>
      </c>
      <c r="F13" s="0" t="n">
        <f aca="false">C13+E13</f>
        <v>208.1385</v>
      </c>
      <c r="G13" s="0" t="s">
        <v>336</v>
      </c>
      <c r="H13" s="0" t="n">
        <f aca="false">ROUNDUP(F13/Inputs!$B$11,0)</f>
        <v>21</v>
      </c>
      <c r="I13" s="0" t="s">
        <v>353</v>
      </c>
    </row>
    <row r="14" customFormat="false" ht="15" hidden="false" customHeight="false" outlineLevel="0" collapsed="false">
      <c r="A14" s="0" t="s">
        <v>354</v>
      </c>
      <c r="B14" s="0" t="s">
        <v>335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355</v>
      </c>
      <c r="H14" s="0" t="n">
        <f aca="false">ROUNDUP(F14/Inputs!$B$16,0)</f>
        <v>208</v>
      </c>
      <c r="I14" s="0" t="s">
        <v>356</v>
      </c>
    </row>
    <row r="15" customFormat="false" ht="15" hidden="false" customHeight="false" outlineLevel="0" collapsed="false">
      <c r="A15" s="0" t="s">
        <v>357</v>
      </c>
      <c r="B15" s="0" t="s">
        <v>335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358</v>
      </c>
      <c r="H15" s="0" t="n">
        <f aca="false">ROUNDUP(F15/Inputs!$B$17,0)</f>
        <v>20</v>
      </c>
      <c r="I15" s="0" t="s">
        <v>359</v>
      </c>
    </row>
    <row r="16" customFormat="false" ht="15" hidden="false" customHeight="false" outlineLevel="0" collapsed="false">
      <c r="A16" s="0" t="s">
        <v>360</v>
      </c>
      <c r="B16" s="0" t="s">
        <v>335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355</v>
      </c>
      <c r="H16" s="0" t="n">
        <f aca="false">ROUNDUP(F16/Inputs!$B$16,0)</f>
        <v>12</v>
      </c>
      <c r="I16" s="0" t="s">
        <v>361</v>
      </c>
    </row>
    <row r="17" customFormat="false" ht="15" hidden="false" customHeight="false" outlineLevel="0" collapsed="false">
      <c r="A17" s="0" t="s">
        <v>362</v>
      </c>
      <c r="B17" s="0" t="s">
        <v>335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363</v>
      </c>
    </row>
    <row r="18" customFormat="false" ht="15" hidden="false" customHeight="false" outlineLevel="0" collapsed="false">
      <c r="A18" s="0" t="s">
        <v>364</v>
      </c>
      <c r="B18" s="0" t="s">
        <v>335</v>
      </c>
      <c r="C18" s="0" t="n">
        <v>568.27</v>
      </c>
      <c r="D18" s="0" t="n">
        <f aca="false">Inputs!$B$6</f>
        <v>0.06</v>
      </c>
      <c r="E18" s="0" t="n">
        <f aca="false">C18*D18</f>
        <v>34.0962</v>
      </c>
      <c r="F18" s="0" t="n">
        <f aca="false">C18+E18</f>
        <v>602.3662</v>
      </c>
      <c r="G18" s="0" t="s">
        <v>365</v>
      </c>
      <c r="H18" s="0" t="n">
        <f aca="false">ROUNDUP(F18/Inputs!$B$26,0)</f>
        <v>38</v>
      </c>
      <c r="I18" s="0" t="s">
        <v>366</v>
      </c>
    </row>
    <row r="19" customFormat="false" ht="15" hidden="false" customHeight="false" outlineLevel="0" collapsed="false">
      <c r="A19" s="0" t="s">
        <v>367</v>
      </c>
      <c r="B19" s="0" t="s">
        <v>368</v>
      </c>
      <c r="C19" s="0" t="n">
        <v>14266.95</v>
      </c>
      <c r="D19" s="0" t="n">
        <f aca="false">Inputs!$B$6</f>
        <v>0.06</v>
      </c>
      <c r="E19" s="0" t="n">
        <f aca="false">C19*D19</f>
        <v>856.017</v>
      </c>
      <c r="F19" s="0" t="n">
        <f aca="false">C19+E19</f>
        <v>15122.967</v>
      </c>
      <c r="G19" s="0" t="s">
        <v>369</v>
      </c>
      <c r="H19" s="0" t="n">
        <f aca="false">ROUNDUP(F19/Inputs!$B$9,0)</f>
        <v>316</v>
      </c>
      <c r="I19" s="0" t="s">
        <v>370</v>
      </c>
    </row>
    <row r="20" customFormat="false" ht="15" hidden="false" customHeight="false" outlineLevel="0" collapsed="false">
      <c r="A20" s="0" t="s">
        <v>371</v>
      </c>
      <c r="B20" s="0" t="s">
        <v>368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369</v>
      </c>
      <c r="H20" s="0" t="n">
        <f aca="false">ROUNDUP(F20/Inputs!$B$9,0)</f>
        <v>25</v>
      </c>
      <c r="I20" s="0" t="s">
        <v>372</v>
      </c>
    </row>
    <row r="21" customFormat="false" ht="15" hidden="false" customHeight="false" outlineLevel="0" collapsed="false">
      <c r="A21" s="0" t="s">
        <v>373</v>
      </c>
      <c r="B21" s="0" t="s">
        <v>335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346</v>
      </c>
      <c r="H21" s="0" t="n">
        <f aca="false">ROUNDUP(F21/Inputs!$B$10,0)</f>
        <v>6</v>
      </c>
      <c r="I21" s="0" t="s">
        <v>374</v>
      </c>
    </row>
    <row r="22" customFormat="false" ht="15" hidden="false" customHeight="false" outlineLevel="0" collapsed="false">
      <c r="A22" s="0" t="s">
        <v>375</v>
      </c>
      <c r="B22" s="0" t="s">
        <v>335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376</v>
      </c>
      <c r="H22" s="0" t="n">
        <f aca="false">ROUNDUP(F22/Inputs!$B$27,0)</f>
        <v>19</v>
      </c>
      <c r="I22" s="0" t="s">
        <v>377</v>
      </c>
    </row>
    <row r="23" customFormat="false" ht="15" hidden="false" customHeight="false" outlineLevel="0" collapsed="false">
      <c r="A23" s="0" t="s">
        <v>378</v>
      </c>
      <c r="B23" s="0" t="s">
        <v>335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379</v>
      </c>
      <c r="H23" s="0" t="n">
        <f aca="false">ROUNDUP(F23/Inputs!$B$28,0)</f>
        <v>132</v>
      </c>
      <c r="I23" s="0" t="s">
        <v>377</v>
      </c>
    </row>
    <row r="24" customFormat="false" ht="15" hidden="false" customHeight="false" outlineLevel="0" collapsed="false">
      <c r="A24" s="0" t="s">
        <v>380</v>
      </c>
      <c r="B24" s="0" t="s">
        <v>335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381</v>
      </c>
      <c r="H24" s="0" t="n">
        <f aca="false">ROUNDUP(F24/Inputs!$B$29,0)</f>
        <v>11</v>
      </c>
      <c r="I24" s="0" t="s">
        <v>377</v>
      </c>
    </row>
    <row r="25" customFormat="false" ht="15" hidden="false" customHeight="false" outlineLevel="0" collapsed="false">
      <c r="A25" s="0" t="s">
        <v>382</v>
      </c>
      <c r="B25" s="0" t="s">
        <v>335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381</v>
      </c>
      <c r="H25" s="0" t="n">
        <f aca="false">ROUNDUP(F25/Inputs!$B$29,0)</f>
        <v>11</v>
      </c>
      <c r="I25" s="0" t="s">
        <v>377</v>
      </c>
    </row>
    <row r="26" customFormat="false" ht="15" hidden="false" customHeight="false" outlineLevel="0" collapsed="false">
      <c r="A26" s="0" t="s">
        <v>383</v>
      </c>
      <c r="B26" s="0" t="s">
        <v>384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385</v>
      </c>
      <c r="H26" s="0" t="n">
        <f aca="false">ROUNDUP(F26,0)</f>
        <v>2901</v>
      </c>
      <c r="I26" s="0" t="s">
        <v>386</v>
      </c>
    </row>
    <row r="27" customFormat="false" ht="15" hidden="false" customHeight="false" outlineLevel="0" collapsed="false">
      <c r="A27" s="0" t="s">
        <v>387</v>
      </c>
      <c r="B27" s="0" t="s">
        <v>384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385</v>
      </c>
      <c r="H27" s="0" t="n">
        <f aca="false">ROUNDUP(F27,0)</f>
        <v>335</v>
      </c>
      <c r="I27" s="0" t="s">
        <v>388</v>
      </c>
    </row>
    <row r="28" customFormat="false" ht="15" hidden="false" customHeight="false" outlineLevel="0" collapsed="false">
      <c r="A28" s="0" t="s">
        <v>389</v>
      </c>
      <c r="B28" s="0" t="s">
        <v>384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385</v>
      </c>
      <c r="H28" s="0" t="n">
        <f aca="false">ROUNDUP(F28,0)</f>
        <v>12269</v>
      </c>
      <c r="I28" s="0" t="s">
        <v>390</v>
      </c>
    </row>
    <row r="29" customFormat="false" ht="15" hidden="false" customHeight="false" outlineLevel="0" collapsed="false">
      <c r="A29" s="0" t="s">
        <v>391</v>
      </c>
      <c r="B29" s="0" t="s">
        <v>335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33</v>
      </c>
      <c r="H29" s="0" t="n">
        <f aca="false">ROUNDUP(F29,0)</f>
        <v>152</v>
      </c>
      <c r="I29" s="0" t="s">
        <v>392</v>
      </c>
    </row>
    <row r="30" customFormat="false" ht="15" hidden="false" customHeight="false" outlineLevel="0" collapsed="false">
      <c r="A30" s="0" t="s">
        <v>393</v>
      </c>
      <c r="B30" s="0" t="s">
        <v>384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385</v>
      </c>
      <c r="H30" s="0" t="n">
        <f aca="false">ROUNDUP(F30,0)</f>
        <v>325</v>
      </c>
      <c r="I30" s="0" t="s">
        <v>394</v>
      </c>
    </row>
    <row r="31" customFormat="false" ht="15" hidden="false" customHeight="false" outlineLevel="0" collapsed="false">
      <c r="A31" s="0" t="s">
        <v>395</v>
      </c>
      <c r="B31" s="0" t="s">
        <v>368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369</v>
      </c>
      <c r="H31" s="0" t="n">
        <f aca="false">ROUNDUP(F31/Inputs!$B$9,0)</f>
        <v>2</v>
      </c>
      <c r="I31" s="0" t="s">
        <v>396</v>
      </c>
    </row>
    <row r="32" customFormat="false" ht="15" hidden="false" customHeight="false" outlineLevel="0" collapsed="false">
      <c r="A32" s="0" t="s">
        <v>397</v>
      </c>
      <c r="B32" s="0" t="s">
        <v>384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385</v>
      </c>
      <c r="H32" s="0" t="n">
        <f aca="false">ROUNDUP(F32,0)</f>
        <v>2681</v>
      </c>
      <c r="I32" s="0" t="s">
        <v>398</v>
      </c>
    </row>
    <row r="33" customFormat="false" ht="15" hidden="false" customHeight="false" outlineLevel="0" collapsed="false">
      <c r="A33" s="0" t="s">
        <v>399</v>
      </c>
      <c r="B33" s="0" t="s">
        <v>384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385</v>
      </c>
      <c r="H33" s="0" t="n">
        <f aca="false">ROUNDUP(F33,0)</f>
        <v>1939</v>
      </c>
      <c r="I33" s="0" t="s">
        <v>400</v>
      </c>
    </row>
    <row r="34" customFormat="false" ht="15" hidden="false" customHeight="false" outlineLevel="0" collapsed="false">
      <c r="A34" s="0" t="s">
        <v>401</v>
      </c>
      <c r="B34" s="0" t="s">
        <v>335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336</v>
      </c>
      <c r="H34" s="0" t="n">
        <f aca="false">ROUNDUP(F34/Inputs!$B$11,0)</f>
        <v>56</v>
      </c>
      <c r="I34" s="0" t="s">
        <v>402</v>
      </c>
    </row>
    <row r="35" customFormat="false" ht="15" hidden="false" customHeight="false" outlineLevel="0" collapsed="false">
      <c r="A35" s="0" t="s">
        <v>403</v>
      </c>
      <c r="B35" s="0" t="s">
        <v>335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404</v>
      </c>
      <c r="H35" s="0" t="n">
        <f aca="false">ROUNDUP(F35/Inputs!$B$18,0)</f>
        <v>111</v>
      </c>
      <c r="I35" s="0" t="s">
        <v>405</v>
      </c>
    </row>
    <row r="36" customFormat="false" ht="15" hidden="false" customHeight="false" outlineLevel="0" collapsed="false">
      <c r="A36" s="0" t="s">
        <v>406</v>
      </c>
      <c r="B36" s="0" t="s">
        <v>368</v>
      </c>
      <c r="C36" s="0" t="n">
        <v>434.28</v>
      </c>
      <c r="D36" s="0" t="n">
        <f aca="false">Inputs!$B$6</f>
        <v>0.06</v>
      </c>
      <c r="E36" s="0" t="n">
        <f aca="false">C36*D36</f>
        <v>26.0568</v>
      </c>
      <c r="F36" s="0" t="n">
        <f aca="false">C36+E36</f>
        <v>460.3368</v>
      </c>
      <c r="G36" s="0" t="s">
        <v>369</v>
      </c>
      <c r="H36" s="0" t="n">
        <f aca="false">ROUNDUP(F36/Inputs!$B$9,0)</f>
        <v>10</v>
      </c>
      <c r="I36" s="0" t="s">
        <v>407</v>
      </c>
    </row>
    <row r="37" customFormat="false" ht="15" hidden="false" customHeight="false" outlineLevel="0" collapsed="false">
      <c r="A37" s="0" t="s">
        <v>408</v>
      </c>
      <c r="B37" s="0" t="s">
        <v>368</v>
      </c>
      <c r="C37" s="0" t="n">
        <v>1967.38</v>
      </c>
      <c r="D37" s="0" t="n">
        <f aca="false">Inputs!$B$6</f>
        <v>0.06</v>
      </c>
      <c r="E37" s="0" t="n">
        <f aca="false">C37*D37</f>
        <v>118.0428</v>
      </c>
      <c r="F37" s="0" t="n">
        <f aca="false">C37+E37</f>
        <v>2085.4228</v>
      </c>
      <c r="G37" s="0" t="s">
        <v>409</v>
      </c>
      <c r="H37" s="0" t="n">
        <f aca="false">ROUNDUP(F37/Inputs!$B$30,0)</f>
        <v>53</v>
      </c>
      <c r="I37" s="0" t="s">
        <v>410</v>
      </c>
    </row>
    <row r="38" customFormat="false" ht="15" hidden="false" customHeight="false" outlineLevel="0" collapsed="false">
      <c r="A38" s="0" t="s">
        <v>411</v>
      </c>
      <c r="B38" s="0" t="s">
        <v>335</v>
      </c>
      <c r="C38" s="0" t="n">
        <v>281.09</v>
      </c>
      <c r="D38" s="0" t="n">
        <f aca="false">Inputs!$B$5</f>
        <v>0.15</v>
      </c>
      <c r="E38" s="0" t="n">
        <f aca="false">C38*D38</f>
        <v>42.1635</v>
      </c>
      <c r="F38" s="0" t="n">
        <f aca="false">C38+E38</f>
        <v>323.2535</v>
      </c>
      <c r="G38" s="0" t="s">
        <v>336</v>
      </c>
      <c r="H38" s="0" t="n">
        <f aca="false">ROUNDUP(F38/Inputs!$B$11,0)</f>
        <v>33</v>
      </c>
      <c r="I38" s="0" t="s">
        <v>412</v>
      </c>
    </row>
    <row r="39" customFormat="false" ht="15" hidden="false" customHeight="false" outlineLevel="0" collapsed="false">
      <c r="A39" s="0" t="s">
        <v>413</v>
      </c>
      <c r="B39" s="0" t="s">
        <v>335</v>
      </c>
      <c r="C39" s="0" t="n">
        <v>144.06</v>
      </c>
      <c r="D39" s="0" t="n">
        <f aca="false">Inputs!$B$5</f>
        <v>0.15</v>
      </c>
      <c r="E39" s="0" t="n">
        <f aca="false">C39*D39</f>
        <v>21.609</v>
      </c>
      <c r="F39" s="0" t="n">
        <f aca="false">C39+E39</f>
        <v>165.669</v>
      </c>
      <c r="G39" s="0" t="s">
        <v>336</v>
      </c>
      <c r="H39" s="0" t="n">
        <f aca="false">ROUNDUP(F39/Inputs!$B$11,0)</f>
        <v>17</v>
      </c>
      <c r="I39" s="0" t="s">
        <v>414</v>
      </c>
    </row>
    <row r="40" customFormat="false" ht="15" hidden="false" customHeight="false" outlineLevel="0" collapsed="false">
      <c r="A40" s="0" t="s">
        <v>415</v>
      </c>
      <c r="B40" s="0" t="s">
        <v>335</v>
      </c>
      <c r="C40" s="0" t="n">
        <v>12.67</v>
      </c>
      <c r="D40" s="0" t="n">
        <f aca="false">Inputs!$B$5</f>
        <v>0.15</v>
      </c>
      <c r="E40" s="0" t="n">
        <f aca="false">C40*D40</f>
        <v>1.9005</v>
      </c>
      <c r="F40" s="0" t="n">
        <f aca="false">C40+E40</f>
        <v>14.5705</v>
      </c>
      <c r="G40" s="0" t="s">
        <v>336</v>
      </c>
      <c r="H40" s="0" t="n">
        <f aca="false">ROUNDUP(F40/Inputs!$B$11,0)</f>
        <v>2</v>
      </c>
      <c r="I40" s="0" t="s">
        <v>416</v>
      </c>
    </row>
    <row r="41" customFormat="false" ht="15" hidden="false" customHeight="false" outlineLevel="0" collapsed="false">
      <c r="A41" s="0" t="s">
        <v>417</v>
      </c>
      <c r="B41" s="0" t="s">
        <v>384</v>
      </c>
      <c r="C41" s="0" t="n">
        <v>775</v>
      </c>
      <c r="D41" s="0" t="n">
        <f aca="false">Inputs!$B$5</f>
        <v>0.15</v>
      </c>
      <c r="E41" s="0" t="n">
        <f aca="false">C41*D41</f>
        <v>116.25</v>
      </c>
      <c r="F41" s="0" t="n">
        <f aca="false">C41+E41</f>
        <v>891.25</v>
      </c>
      <c r="G41" s="0" t="s">
        <v>385</v>
      </c>
      <c r="H41" s="0" t="n">
        <f aca="false">ROUNDUP(F41,0)</f>
        <v>892</v>
      </c>
      <c r="I41" s="0" t="s">
        <v>418</v>
      </c>
    </row>
    <row r="42" customFormat="false" ht="15" hidden="false" customHeight="false" outlineLevel="0" collapsed="false">
      <c r="A42" s="0" t="s">
        <v>419</v>
      </c>
      <c r="B42" s="0" t="s">
        <v>384</v>
      </c>
      <c r="C42" s="0" t="n">
        <v>162</v>
      </c>
      <c r="D42" s="0" t="n">
        <f aca="false">Inputs!$B$5</f>
        <v>0.15</v>
      </c>
      <c r="E42" s="0" t="n">
        <f aca="false">C42*D42</f>
        <v>24.3</v>
      </c>
      <c r="F42" s="0" t="n">
        <f aca="false">C42+E42</f>
        <v>186.3</v>
      </c>
      <c r="G42" s="0" t="s">
        <v>385</v>
      </c>
      <c r="H42" s="0" t="n">
        <f aca="false">ROUNDUP(F42,0)</f>
        <v>187</v>
      </c>
      <c r="I42" s="0" t="s">
        <v>420</v>
      </c>
    </row>
    <row r="43" customFormat="false" ht="15" hidden="false" customHeight="false" outlineLevel="0" collapsed="false">
      <c r="A43" s="0" t="s">
        <v>421</v>
      </c>
      <c r="B43" s="0" t="s">
        <v>384</v>
      </c>
      <c r="C43" s="0" t="n">
        <v>324</v>
      </c>
      <c r="D43" s="0" t="n">
        <f aca="false">Inputs!$B$5</f>
        <v>0.15</v>
      </c>
      <c r="E43" s="0" t="n">
        <f aca="false">C43*D43</f>
        <v>48.6</v>
      </c>
      <c r="F43" s="0" t="n">
        <f aca="false">C43+E43</f>
        <v>372.6</v>
      </c>
      <c r="G43" s="0" t="s">
        <v>385</v>
      </c>
      <c r="H43" s="0" t="n">
        <f aca="false">ROUNDUP(F43,0)</f>
        <v>373</v>
      </c>
      <c r="I43" s="0" t="s">
        <v>422</v>
      </c>
    </row>
    <row r="44" customFormat="false" ht="15" hidden="false" customHeight="false" outlineLevel="0" collapsed="false">
      <c r="A44" s="0" t="s">
        <v>423</v>
      </c>
      <c r="B44" s="0" t="s">
        <v>384</v>
      </c>
      <c r="C44" s="0" t="n">
        <v>324</v>
      </c>
      <c r="D44" s="0" t="n">
        <f aca="false">Inputs!$B$5</f>
        <v>0.15</v>
      </c>
      <c r="E44" s="0" t="n">
        <f aca="false">C44*D44</f>
        <v>48.6</v>
      </c>
      <c r="F44" s="0" t="n">
        <f aca="false">C44+E44</f>
        <v>372.6</v>
      </c>
      <c r="G44" s="0" t="s">
        <v>385</v>
      </c>
      <c r="H44" s="0" t="n">
        <f aca="false">ROUNDUP(F44,0)</f>
        <v>373</v>
      </c>
      <c r="I44" s="0" t="s">
        <v>424</v>
      </c>
    </row>
    <row r="45" customFormat="false" ht="15" hidden="false" customHeight="false" outlineLevel="0" collapsed="false">
      <c r="A45" s="0" t="s">
        <v>425</v>
      </c>
      <c r="B45" s="0" t="s">
        <v>384</v>
      </c>
      <c r="C45" s="0" t="n">
        <v>72</v>
      </c>
      <c r="D45" s="0" t="n">
        <f aca="false">Inputs!$B$5</f>
        <v>0.15</v>
      </c>
      <c r="E45" s="0" t="n">
        <f aca="false">C45*D45</f>
        <v>10.8</v>
      </c>
      <c r="F45" s="0" t="n">
        <f aca="false">C45+E45</f>
        <v>82.8</v>
      </c>
      <c r="G45" s="0" t="s">
        <v>385</v>
      </c>
      <c r="H45" s="0" t="n">
        <f aca="false">ROUNDUP(F45,0)</f>
        <v>83</v>
      </c>
      <c r="I45" s="0" t="s">
        <v>426</v>
      </c>
    </row>
    <row r="46" customFormat="false" ht="15" hidden="false" customHeight="false" outlineLevel="0" collapsed="false">
      <c r="A46" s="0" t="s">
        <v>427</v>
      </c>
      <c r="B46" s="0" t="s">
        <v>384</v>
      </c>
      <c r="C46" s="0" t="n">
        <v>1</v>
      </c>
      <c r="D46" s="0" t="n">
        <v>0</v>
      </c>
      <c r="E46" s="0" t="n">
        <f aca="false">C46*D46</f>
        <v>0</v>
      </c>
      <c r="F46" s="0" t="n">
        <f aca="false">C46+E46</f>
        <v>1</v>
      </c>
      <c r="G46" s="0" t="s">
        <v>385</v>
      </c>
      <c r="H46" s="0" t="n">
        <f aca="false">ROUNDUP(F46,0)</f>
        <v>1</v>
      </c>
      <c r="I46" s="0" t="s">
        <v>428</v>
      </c>
    </row>
    <row r="47" customFormat="false" ht="15" hidden="false" customHeight="false" outlineLevel="0" collapsed="false">
      <c r="A47" s="0" t="s">
        <v>429</v>
      </c>
      <c r="B47" s="0" t="s">
        <v>335</v>
      </c>
      <c r="C47" s="0" t="n">
        <v>250</v>
      </c>
      <c r="D47" s="0" t="n">
        <f aca="false">Inputs!$B$5</f>
        <v>0.15</v>
      </c>
      <c r="E47" s="0" t="n">
        <f aca="false">C47*D47</f>
        <v>37.5</v>
      </c>
      <c r="F47" s="0" t="n">
        <f aca="false">C47+E47</f>
        <v>287.5</v>
      </c>
      <c r="G47" s="0" t="s">
        <v>404</v>
      </c>
      <c r="H47" s="0" t="n">
        <f aca="false">ROUNDUP(F47/Inputs!$B$18,0)</f>
        <v>29</v>
      </c>
      <c r="I47" s="0" t="s">
        <v>430</v>
      </c>
    </row>
    <row r="48" customFormat="false" ht="15" hidden="false" customHeight="false" outlineLevel="0" collapsed="false">
      <c r="A48" s="0" t="s">
        <v>431</v>
      </c>
      <c r="B48" s="0" t="s">
        <v>384</v>
      </c>
      <c r="C48" s="0" t="n">
        <v>512</v>
      </c>
      <c r="D48" s="0" t="n">
        <f aca="false">Inputs!$B$5</f>
        <v>0.15</v>
      </c>
      <c r="E48" s="0" t="n">
        <f aca="false">C48*D48</f>
        <v>76.8</v>
      </c>
      <c r="F48" s="0" t="n">
        <f aca="false">C48+E48</f>
        <v>588.8</v>
      </c>
      <c r="G48" s="0" t="s">
        <v>385</v>
      </c>
      <c r="H48" s="0" t="n">
        <f aca="false">ROUNDUP(F48,0)</f>
        <v>589</v>
      </c>
      <c r="I48" s="0" t="s">
        <v>432</v>
      </c>
    </row>
    <row r="49" customFormat="false" ht="15" hidden="false" customHeight="false" outlineLevel="0" collapsed="false">
      <c r="A49" s="0" t="s">
        <v>433</v>
      </c>
      <c r="B49" s="0" t="s">
        <v>335</v>
      </c>
      <c r="C49" s="0" t="n">
        <v>61.31</v>
      </c>
      <c r="D49" s="0" t="n">
        <f aca="false">Inputs!$B$5</f>
        <v>0.15</v>
      </c>
      <c r="E49" s="0" t="n">
        <f aca="false">C49*D49</f>
        <v>9.1965</v>
      </c>
      <c r="F49" s="0" t="n">
        <f aca="false">C49+E49</f>
        <v>70.5065</v>
      </c>
      <c r="G49" s="0" t="s">
        <v>346</v>
      </c>
      <c r="H49" s="0" t="n">
        <f aca="false">ROUNDUP(F49/Inputs!$B$10,0)</f>
        <v>4</v>
      </c>
      <c r="I49" s="0" t="s">
        <v>434</v>
      </c>
    </row>
    <row r="50" customFormat="false" ht="15" hidden="false" customHeight="false" outlineLevel="0" collapsed="false">
      <c r="A50" s="0" t="s">
        <v>435</v>
      </c>
      <c r="B50" s="0" t="s">
        <v>368</v>
      </c>
      <c r="C50" s="0" t="n">
        <v>2686.45</v>
      </c>
      <c r="D50" s="0" t="n">
        <f aca="false">Inputs!$B$6</f>
        <v>0.06</v>
      </c>
      <c r="E50" s="0" t="n">
        <f aca="false">C50*D50</f>
        <v>161.187</v>
      </c>
      <c r="F50" s="0" t="n">
        <f aca="false">C50+E50</f>
        <v>2847.637</v>
      </c>
      <c r="G50" s="0" t="s">
        <v>369</v>
      </c>
      <c r="H50" s="0" t="n">
        <f aca="false">ROUNDUP(F50/Inputs!$B$9,0)</f>
        <v>60</v>
      </c>
      <c r="I50" s="0" t="s">
        <v>436</v>
      </c>
    </row>
    <row r="51" customFormat="false" ht="15" hidden="false" customHeight="false" outlineLevel="0" collapsed="false">
      <c r="A51" s="0" t="s">
        <v>437</v>
      </c>
      <c r="B51" s="0" t="s">
        <v>368</v>
      </c>
      <c r="C51" s="0" t="n">
        <v>370.46</v>
      </c>
      <c r="D51" s="0" t="n">
        <f aca="false">Inputs!$B$6</f>
        <v>0.06</v>
      </c>
      <c r="E51" s="0" t="n">
        <f aca="false">C51*D51</f>
        <v>22.2276</v>
      </c>
      <c r="F51" s="0" t="n">
        <f aca="false">C51+E51</f>
        <v>392.6876</v>
      </c>
      <c r="G51" s="0" t="s">
        <v>369</v>
      </c>
      <c r="H51" s="0" t="n">
        <f aca="false">ROUNDUP(F51/Inputs!$B$9,0)</f>
        <v>9</v>
      </c>
      <c r="I51" s="0" t="s">
        <v>438</v>
      </c>
    </row>
    <row r="52" customFormat="false" ht="15" hidden="false" customHeight="false" outlineLevel="0" collapsed="false">
      <c r="A52" s="0" t="s">
        <v>439</v>
      </c>
      <c r="B52" s="0" t="s">
        <v>384</v>
      </c>
      <c r="C52" s="0" t="n">
        <v>109</v>
      </c>
      <c r="D52" s="0" t="n">
        <v>0</v>
      </c>
      <c r="E52" s="0" t="n">
        <f aca="false">C52*D52</f>
        <v>0</v>
      </c>
      <c r="F52" s="0" t="n">
        <f aca="false">C52+E52</f>
        <v>109</v>
      </c>
      <c r="G52" s="0" t="s">
        <v>440</v>
      </c>
      <c r="H52" s="0" t="n">
        <f aca="false">ROUNDUP(F52,0)</f>
        <v>109</v>
      </c>
      <c r="I52" s="0" t="s">
        <v>441</v>
      </c>
    </row>
    <row r="53" customFormat="false" ht="15" hidden="false" customHeight="false" outlineLevel="0" collapsed="false">
      <c r="A53" s="0" t="s">
        <v>442</v>
      </c>
      <c r="B53" s="0" t="s">
        <v>335</v>
      </c>
      <c r="C53" s="0" t="n">
        <v>83.32</v>
      </c>
      <c r="D53" s="0" t="n">
        <f aca="false">Inputs!$B$5</f>
        <v>0.15</v>
      </c>
      <c r="E53" s="0" t="n">
        <f aca="false">C53*D53</f>
        <v>12.498</v>
      </c>
      <c r="F53" s="0" t="n">
        <f aca="false">C53+E53</f>
        <v>95.818</v>
      </c>
      <c r="G53" s="0" t="s">
        <v>346</v>
      </c>
      <c r="H53" s="0" t="n">
        <f aca="false">ROUNDUP(F53/Inputs!$B$10,0)</f>
        <v>5</v>
      </c>
      <c r="I53" s="0" t="s">
        <v>443</v>
      </c>
    </row>
    <row r="54" customFormat="false" ht="15" hidden="false" customHeight="false" outlineLevel="0" collapsed="false">
      <c r="A54" s="0" t="s">
        <v>444</v>
      </c>
      <c r="B54" s="0" t="s">
        <v>384</v>
      </c>
      <c r="C54" s="0" t="n">
        <v>10</v>
      </c>
      <c r="D54" s="0" t="n">
        <v>0</v>
      </c>
      <c r="E54" s="0" t="n">
        <f aca="false">C54*D54</f>
        <v>0</v>
      </c>
      <c r="F54" s="0" t="n">
        <f aca="false">C54+E54</f>
        <v>10</v>
      </c>
      <c r="G54" s="0" t="s">
        <v>440</v>
      </c>
      <c r="H54" s="0" t="n">
        <f aca="false">ROUNDUP(F54,0)</f>
        <v>10</v>
      </c>
      <c r="I54" s="0" t="s">
        <v>445</v>
      </c>
    </row>
    <row r="55" customFormat="false" ht="15" hidden="false" customHeight="false" outlineLevel="0" collapsed="false">
      <c r="A55" s="0" t="s">
        <v>446</v>
      </c>
      <c r="B55" s="0" t="s">
        <v>335</v>
      </c>
      <c r="C55" s="0" t="n">
        <v>0</v>
      </c>
      <c r="D55" s="0" t="n">
        <f aca="false">Inputs!$B$5</f>
        <v>0.15</v>
      </c>
      <c r="E55" s="0" t="n">
        <f aca="false">C55*D55</f>
        <v>0</v>
      </c>
      <c r="F55" s="0" t="n">
        <f aca="false">C55+E55</f>
        <v>0</v>
      </c>
      <c r="G55" s="0" t="s">
        <v>346</v>
      </c>
      <c r="H55" s="0" t="n">
        <f aca="false">ROUNDUP(F55/Inputs!$B$10,0)</f>
        <v>0</v>
      </c>
      <c r="I55" s="0" t="s">
        <v>447</v>
      </c>
    </row>
    <row r="56" customFormat="false" ht="15" hidden="false" customHeight="false" outlineLevel="0" collapsed="false">
      <c r="A56" s="0" t="s">
        <v>448</v>
      </c>
      <c r="B56" s="0" t="s">
        <v>335</v>
      </c>
      <c r="C56" s="0" t="n">
        <v>0</v>
      </c>
      <c r="D56" s="0" t="n">
        <f aca="false">Inputs!$B$5</f>
        <v>0.15</v>
      </c>
      <c r="E56" s="0" t="n">
        <f aca="false">C56*D56</f>
        <v>0</v>
      </c>
      <c r="F56" s="0" t="n">
        <f aca="false">C56+E56</f>
        <v>0</v>
      </c>
      <c r="G56" s="0" t="s">
        <v>346</v>
      </c>
      <c r="H56" s="0" t="n">
        <f aca="false">ROUNDUP(F56/Inputs!$B$10,0)</f>
        <v>0</v>
      </c>
      <c r="I56" s="0" t="s">
        <v>449</v>
      </c>
    </row>
    <row r="57" customFormat="false" ht="15" hidden="false" customHeight="false" outlineLevel="0" collapsed="false">
      <c r="A57" s="0" t="s">
        <v>450</v>
      </c>
      <c r="B57" s="0" t="s">
        <v>368</v>
      </c>
      <c r="C57" s="0" t="n">
        <v>0</v>
      </c>
      <c r="D57" s="0" t="n">
        <f aca="false">Inputs!$B$6</f>
        <v>0.06</v>
      </c>
      <c r="E57" s="0" t="n">
        <f aca="false">C57*D57</f>
        <v>0</v>
      </c>
      <c r="F57" s="0" t="n">
        <f aca="false">C57+E57</f>
        <v>0</v>
      </c>
      <c r="G57" s="0" t="s">
        <v>369</v>
      </c>
      <c r="H57" s="0" t="n">
        <f aca="false">ROUNDUP(F57/Inputs!$B$9,0)</f>
        <v>0</v>
      </c>
      <c r="I57" s="0" t="s">
        <v>451</v>
      </c>
    </row>
    <row r="58" customFormat="false" ht="15" hidden="false" customHeight="false" outlineLevel="0" collapsed="false">
      <c r="A58" s="0" t="s">
        <v>452</v>
      </c>
      <c r="B58" s="0" t="s">
        <v>335</v>
      </c>
      <c r="C58" s="0" t="n">
        <v>530.54</v>
      </c>
      <c r="D58" s="0" t="n">
        <f aca="false">Inputs!$B$6</f>
        <v>0.06</v>
      </c>
      <c r="E58" s="0" t="n">
        <f aca="false">C58*D58</f>
        <v>31.8324</v>
      </c>
      <c r="F58" s="0" t="n">
        <f aca="false">C58+E58</f>
        <v>562.3724</v>
      </c>
      <c r="G58" s="0" t="s">
        <v>404</v>
      </c>
      <c r="H58" s="0" t="n">
        <f aca="false">ROUNDUP(F58/Inputs!$B$18,0)</f>
        <v>57</v>
      </c>
      <c r="I58" s="0" t="s">
        <v>453</v>
      </c>
    </row>
    <row r="59" customFormat="false" ht="15" hidden="false" customHeight="false" outlineLevel="0" collapsed="false">
      <c r="A59" s="0" t="s">
        <v>454</v>
      </c>
      <c r="B59" s="0" t="s">
        <v>384</v>
      </c>
      <c r="C59" s="0" t="n">
        <v>8</v>
      </c>
      <c r="D59" s="0" t="n">
        <v>0</v>
      </c>
      <c r="E59" s="0" t="n">
        <f aca="false">C59*D59</f>
        <v>0</v>
      </c>
      <c r="F59" s="0" t="n">
        <f aca="false">C59+E59</f>
        <v>8</v>
      </c>
      <c r="G59" s="0" t="s">
        <v>440</v>
      </c>
      <c r="H59" s="0" t="n">
        <f aca="false">ROUNDUP(F59,0)</f>
        <v>8</v>
      </c>
      <c r="I59" s="0" t="s">
        <v>455</v>
      </c>
    </row>
    <row r="60" customFormat="false" ht="15" hidden="false" customHeight="false" outlineLevel="0" collapsed="false">
      <c r="A60" s="0" t="s">
        <v>456</v>
      </c>
      <c r="B60" s="0" t="s">
        <v>384</v>
      </c>
      <c r="C60" s="0" t="n">
        <v>0</v>
      </c>
      <c r="D60" s="0" t="n">
        <v>0</v>
      </c>
      <c r="E60" s="0" t="n">
        <f aca="false">C60*D60</f>
        <v>0</v>
      </c>
      <c r="F60" s="0" t="n">
        <f aca="false">C60+E60</f>
        <v>0</v>
      </c>
      <c r="G60" s="0" t="s">
        <v>440</v>
      </c>
      <c r="H60" s="0" t="n">
        <f aca="false">ROUNDUP(F60,0)</f>
        <v>0</v>
      </c>
      <c r="I60" s="0" t="s">
        <v>457</v>
      </c>
    </row>
    <row r="61" customFormat="false" ht="15" hidden="false" customHeight="false" outlineLevel="0" collapsed="false">
      <c r="A61" s="0" t="s">
        <v>458</v>
      </c>
      <c r="B61" s="0" t="s">
        <v>384</v>
      </c>
      <c r="C61" s="0" t="n">
        <v>5103.23</v>
      </c>
      <c r="D61" s="0" t="n">
        <v>0</v>
      </c>
      <c r="E61" s="0" t="n">
        <f aca="false">C61*D61</f>
        <v>0</v>
      </c>
      <c r="F61" s="0" t="n">
        <f aca="false">C61+E61</f>
        <v>5103.23</v>
      </c>
      <c r="G61" s="0" t="s">
        <v>440</v>
      </c>
      <c r="H61" s="0" t="n">
        <f aca="false">ROUNDUP(F61,0)</f>
        <v>5104</v>
      </c>
      <c r="I61" s="0" t="s">
        <v>459</v>
      </c>
      <c r="J61" s="0" t="n">
        <f aca="false">Inputs!$B$20*4252.69</f>
        <v>5103.228</v>
      </c>
    </row>
    <row r="62" customFormat="false" ht="15" hidden="false" customHeight="false" outlineLevel="0" collapsed="false">
      <c r="A62" s="0" t="s">
        <v>460</v>
      </c>
      <c r="B62" s="0" t="s">
        <v>384</v>
      </c>
      <c r="C62" s="0" t="n">
        <v>1940</v>
      </c>
      <c r="D62" s="0" t="n">
        <v>0</v>
      </c>
      <c r="E62" s="0" t="n">
        <f aca="false">C62*D62</f>
        <v>0</v>
      </c>
      <c r="F62" s="0" t="n">
        <f aca="false">C62+E62</f>
        <v>1940</v>
      </c>
      <c r="G62" s="0" t="s">
        <v>440</v>
      </c>
      <c r="H62" s="0" t="n">
        <f aca="false">ROUNDUP(F62,0)</f>
        <v>1940</v>
      </c>
      <c r="I62" s="0" t="s">
        <v>461</v>
      </c>
      <c r="J62" s="0" t="n">
        <f aca="false">Inputs!$B$21*485</f>
        <v>1940</v>
      </c>
    </row>
    <row r="63" customFormat="false" ht="15" hidden="false" customHeight="false" outlineLevel="0" collapsed="false">
      <c r="A63" s="0" t="s">
        <v>462</v>
      </c>
      <c r="B63" s="0" t="s">
        <v>384</v>
      </c>
      <c r="C63" s="0" t="n">
        <v>388.72</v>
      </c>
      <c r="D63" s="0" t="n">
        <v>0</v>
      </c>
      <c r="E63" s="0" t="n">
        <f aca="false">C63*D63</f>
        <v>0</v>
      </c>
      <c r="F63" s="0" t="n">
        <f aca="false">C63+E63</f>
        <v>388.72</v>
      </c>
      <c r="G63" s="0" t="s">
        <v>440</v>
      </c>
      <c r="H63" s="0" t="n">
        <f aca="false">ROUNDUP(F63,0)</f>
        <v>389</v>
      </c>
      <c r="I63" s="0" t="s">
        <v>463</v>
      </c>
      <c r="J63" s="0" t="n">
        <f aca="false">518.29/Inputs!$B$22</f>
        <v>388.717597179399</v>
      </c>
    </row>
    <row r="64" customFormat="false" ht="15" hidden="false" customHeight="false" outlineLevel="0" collapsed="false">
      <c r="A64" s="0" t="s">
        <v>464</v>
      </c>
      <c r="B64" s="0" t="s">
        <v>384</v>
      </c>
      <c r="C64" s="0" t="n">
        <v>0</v>
      </c>
      <c r="D64" s="0" t="n">
        <v>0</v>
      </c>
      <c r="E64" s="0" t="n">
        <f aca="false">C64*D64</f>
        <v>0</v>
      </c>
      <c r="F64" s="0" t="n">
        <f aca="false">C64+E64</f>
        <v>0</v>
      </c>
      <c r="G64" s="0" t="s">
        <v>440</v>
      </c>
      <c r="H64" s="0" t="n">
        <f aca="false">ROUNDUP(F64,0)</f>
        <v>0</v>
      </c>
      <c r="I64" s="0" t="s">
        <v>465</v>
      </c>
      <c r="J64" s="0" t="n">
        <f aca="false">0*Inputs!$B$25</f>
        <v>0</v>
      </c>
    </row>
    <row r="65" customFormat="false" ht="15" hidden="false" customHeight="false" outlineLevel="0" collapsed="false">
      <c r="A65" s="0" t="s">
        <v>466</v>
      </c>
      <c r="B65" s="0" t="s">
        <v>467</v>
      </c>
      <c r="C65" s="0" t="n">
        <v>1105.89</v>
      </c>
      <c r="D65" s="0" t="n">
        <v>0</v>
      </c>
      <c r="E65" s="0" t="n">
        <f aca="false">C65*D65</f>
        <v>0</v>
      </c>
      <c r="F65" s="0" t="n">
        <f aca="false">C65+E65</f>
        <v>1105.89</v>
      </c>
      <c r="G65" s="0" t="s">
        <v>468</v>
      </c>
      <c r="H65" s="0" t="n">
        <f aca="false">ROUNDUP(F65,0)</f>
        <v>1106</v>
      </c>
      <c r="I65" s="0" t="s">
        <v>469</v>
      </c>
      <c r="J65" s="0" t="n">
        <f aca="false">Inputs!$B$23*15359.5</f>
        <v>1105.884</v>
      </c>
    </row>
    <row r="66" customFormat="false" ht="15" hidden="false" customHeight="false" outlineLevel="0" collapsed="false">
      <c r="A66" s="0" t="s">
        <v>470</v>
      </c>
      <c r="B66" s="0" t="s">
        <v>335</v>
      </c>
      <c r="C66" s="0" t="n">
        <v>5683.03</v>
      </c>
      <c r="D66" s="0" t="n">
        <v>0</v>
      </c>
      <c r="E66" s="0" t="n">
        <f aca="false">C66*D66</f>
        <v>0</v>
      </c>
      <c r="F66" s="0" t="n">
        <f aca="false">C66+E66</f>
        <v>5683.03</v>
      </c>
      <c r="G66" s="0" t="s">
        <v>335</v>
      </c>
      <c r="H66" s="0" t="n">
        <f aca="false">ROUNDUP(F66,0)</f>
        <v>5684</v>
      </c>
      <c r="I66" s="0" t="s">
        <v>471</v>
      </c>
      <c r="J66" s="0" t="n">
        <f aca="false">Inputs!$B$24*15359.5</f>
        <v>5683.015</v>
      </c>
    </row>
    <row r="67" customFormat="false" ht="15" hidden="false" customHeight="false" outlineLevel="0" collapsed="false">
      <c r="A67" s="0" t="s">
        <v>472</v>
      </c>
      <c r="B67" s="0" t="s">
        <v>368</v>
      </c>
      <c r="C67" s="0" t="n">
        <v>0</v>
      </c>
      <c r="D67" s="0" t="n">
        <f aca="false">Inputs!$B$6</f>
        <v>0.06</v>
      </c>
      <c r="E67" s="0" t="n">
        <f aca="false">C67*D67</f>
        <v>0</v>
      </c>
      <c r="F67" s="0" t="n">
        <f aca="false">C67+E67</f>
        <v>0</v>
      </c>
      <c r="G67" s="0" t="s">
        <v>368</v>
      </c>
      <c r="H67" s="0" t="n">
        <f aca="false">ROUNDUP(F67,0)</f>
        <v>0</v>
      </c>
      <c r="I67" s="0" t="s">
        <v>473</v>
      </c>
    </row>
    <row r="68" customFormat="false" ht="15" hidden="false" customHeight="false" outlineLevel="0" collapsed="false">
      <c r="A68" s="0" t="s">
        <v>474</v>
      </c>
      <c r="B68" s="0" t="s">
        <v>384</v>
      </c>
      <c r="C68" s="0" t="n">
        <v>0</v>
      </c>
      <c r="D68" s="0" t="n">
        <v>0</v>
      </c>
      <c r="E68" s="0" t="n">
        <f aca="false">C68*D68</f>
        <v>0</v>
      </c>
      <c r="F68" s="0" t="n">
        <f aca="false">C68+E68</f>
        <v>0</v>
      </c>
      <c r="G68" s="0" t="s">
        <v>440</v>
      </c>
      <c r="H68" s="0" t="n">
        <f aca="false">ROUNDUP(F68,0)</f>
        <v>0</v>
      </c>
      <c r="I68" s="0" t="s">
        <v>475</v>
      </c>
    </row>
    <row r="69" customFormat="false" ht="15" hidden="false" customHeight="false" outlineLevel="0" collapsed="false">
      <c r="A69" s="0" t="s">
        <v>476</v>
      </c>
      <c r="B69" s="0" t="s">
        <v>384</v>
      </c>
      <c r="C69" s="0" t="n">
        <v>1776</v>
      </c>
      <c r="D69" s="0" t="n">
        <v>0</v>
      </c>
      <c r="E69" s="0" t="n">
        <f aca="false">C69*D69</f>
        <v>0</v>
      </c>
      <c r="F69" s="0" t="n">
        <f aca="false">C69+E69</f>
        <v>1776</v>
      </c>
      <c r="G69" s="0" t="s">
        <v>440</v>
      </c>
      <c r="H69" s="0" t="n">
        <f aca="false">ROUNDUP(F69,0)</f>
        <v>1776</v>
      </c>
      <c r="I69" s="0" t="s">
        <v>477</v>
      </c>
    </row>
    <row r="70" customFormat="false" ht="15" hidden="false" customHeight="false" outlineLevel="0" collapsed="false">
      <c r="A70" s="0" t="s">
        <v>478</v>
      </c>
      <c r="B70" s="0" t="s">
        <v>384</v>
      </c>
      <c r="C70" s="0" t="n">
        <v>13328.22</v>
      </c>
      <c r="D70" s="0" t="n">
        <v>0</v>
      </c>
      <c r="E70" s="0" t="n">
        <f aca="false">C70*D70</f>
        <v>0</v>
      </c>
      <c r="F70" s="0" t="n">
        <f aca="false">C70+E70</f>
        <v>13328.22</v>
      </c>
      <c r="G70" s="0" t="s">
        <v>440</v>
      </c>
      <c r="H70" s="0" t="n">
        <f aca="false">ROUNDUP(F70,0)</f>
        <v>13329</v>
      </c>
      <c r="I70" s="0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480</v>
      </c>
      <c r="B1" s="2" t="s">
        <v>481</v>
      </c>
      <c r="C1" s="2" t="s">
        <v>482</v>
      </c>
    </row>
    <row r="2" customFormat="false" ht="15" hidden="false" customHeight="false" outlineLevel="0" collapsed="false">
      <c r="A2" s="0" t="s">
        <v>483</v>
      </c>
      <c r="B2" s="0" t="s">
        <v>484</v>
      </c>
      <c r="C2" s="0" t="s">
        <v>485</v>
      </c>
    </row>
    <row r="3" customFormat="false" ht="15" hidden="false" customHeight="false" outlineLevel="0" collapsed="false">
      <c r="A3" s="0" t="s">
        <v>486</v>
      </c>
      <c r="B3" s="0" t="s">
        <v>487</v>
      </c>
      <c r="C3" s="0" t="s">
        <v>488</v>
      </c>
    </row>
    <row r="4" customFormat="false" ht="15" hidden="false" customHeight="false" outlineLevel="0" collapsed="false">
      <c r="A4" s="0" t="s">
        <v>489</v>
      </c>
      <c r="B4" s="0" t="s">
        <v>490</v>
      </c>
      <c r="C4" s="0" t="s">
        <v>491</v>
      </c>
    </row>
    <row r="5" customFormat="false" ht="15" hidden="false" customHeight="false" outlineLevel="0" collapsed="false">
      <c r="A5" s="0" t="s">
        <v>492</v>
      </c>
      <c r="B5" s="0" t="s">
        <v>493</v>
      </c>
      <c r="C5" s="0" t="s">
        <v>494</v>
      </c>
    </row>
    <row r="6" customFormat="false" ht="15" hidden="false" customHeight="false" outlineLevel="0" collapsed="false">
      <c r="A6" s="0" t="s">
        <v>495</v>
      </c>
      <c r="B6" s="0" t="s">
        <v>496</v>
      </c>
      <c r="C6" s="0" t="s">
        <v>497</v>
      </c>
    </row>
    <row r="7" customFormat="false" ht="15" hidden="false" customHeight="false" outlineLevel="0" collapsed="false">
      <c r="A7" s="0" t="s">
        <v>498</v>
      </c>
      <c r="B7" s="0" t="s">
        <v>499</v>
      </c>
      <c r="C7" s="0" t="s">
        <v>500</v>
      </c>
    </row>
    <row r="8" customFormat="false" ht="15" hidden="false" customHeight="false" outlineLevel="0" collapsed="false">
      <c r="A8" s="0" t="s">
        <v>501</v>
      </c>
      <c r="B8" s="0" t="s">
        <v>502</v>
      </c>
      <c r="C8" s="0" t="s">
        <v>497</v>
      </c>
    </row>
    <row r="9" customFormat="false" ht="15" hidden="false" customHeight="false" outlineLevel="0" collapsed="false">
      <c r="A9" s="0" t="s">
        <v>503</v>
      </c>
      <c r="B9" s="0" t="s">
        <v>504</v>
      </c>
      <c r="C9" s="0" t="s">
        <v>505</v>
      </c>
    </row>
    <row r="10" customFormat="false" ht="15" hidden="false" customHeight="false" outlineLevel="0" collapsed="false">
      <c r="A10" s="0" t="s">
        <v>506</v>
      </c>
      <c r="B10" s="0" t="s">
        <v>507</v>
      </c>
      <c r="C10" s="0" t="s">
        <v>494</v>
      </c>
    </row>
    <row r="11" customFormat="false" ht="15" hidden="false" customHeight="false" outlineLevel="0" collapsed="false">
      <c r="A11" s="0" t="s">
        <v>508</v>
      </c>
      <c r="B11" s="0" t="s">
        <v>509</v>
      </c>
      <c r="C11" s="0" t="s">
        <v>510</v>
      </c>
    </row>
    <row r="12" customFormat="false" ht="15" hidden="false" customHeight="false" outlineLevel="0" collapsed="false">
      <c r="A12" s="0" t="s">
        <v>511</v>
      </c>
      <c r="B12" s="0" t="s">
        <v>512</v>
      </c>
      <c r="C12" s="0" t="s">
        <v>513</v>
      </c>
    </row>
    <row r="13" customFormat="false" ht="15" hidden="false" customHeight="false" outlineLevel="0" collapsed="false">
      <c r="A13" s="0" t="s">
        <v>514</v>
      </c>
      <c r="B13" s="0" t="s">
        <v>515</v>
      </c>
      <c r="C13" s="0" t="s">
        <v>494</v>
      </c>
    </row>
    <row r="14" customFormat="false" ht="15" hidden="false" customHeight="false" outlineLevel="0" collapsed="false">
      <c r="A14" s="0" t="s">
        <v>516</v>
      </c>
      <c r="B14" s="0" t="s">
        <v>517</v>
      </c>
      <c r="C14" s="0" t="s">
        <v>518</v>
      </c>
    </row>
    <row r="15" customFormat="false" ht="15" hidden="false" customHeight="false" outlineLevel="0" collapsed="false">
      <c r="A15" s="0" t="s">
        <v>519</v>
      </c>
      <c r="B15" s="0" t="s">
        <v>520</v>
      </c>
      <c r="C15" s="0" t="s">
        <v>521</v>
      </c>
    </row>
    <row r="16" customFormat="false" ht="15" hidden="false" customHeight="false" outlineLevel="0" collapsed="false">
      <c r="A16" s="0" t="s">
        <v>522</v>
      </c>
      <c r="B16" s="0" t="s">
        <v>523</v>
      </c>
      <c r="C16" s="0" t="s">
        <v>524</v>
      </c>
    </row>
    <row r="17" customFormat="false" ht="15" hidden="false" customHeight="false" outlineLevel="0" collapsed="false">
      <c r="A17" s="0" t="s">
        <v>525</v>
      </c>
      <c r="B17" s="0" t="s">
        <v>526</v>
      </c>
      <c r="C17" s="0" t="s">
        <v>527</v>
      </c>
    </row>
    <row r="18" customFormat="false" ht="15" hidden="false" customHeight="false" outlineLevel="0" collapsed="false">
      <c r="A18" s="0" t="s">
        <v>528</v>
      </c>
      <c r="B18" s="0" t="s">
        <v>529</v>
      </c>
      <c r="C18" s="0" t="s">
        <v>530</v>
      </c>
    </row>
    <row r="19" customFormat="false" ht="15" hidden="false" customHeight="false" outlineLevel="0" collapsed="false">
      <c r="A19" s="0" t="s">
        <v>531</v>
      </c>
      <c r="B19" s="0" t="s">
        <v>532</v>
      </c>
      <c r="C19" s="0" t="s">
        <v>533</v>
      </c>
    </row>
    <row r="20" customFormat="false" ht="15" hidden="false" customHeight="false" outlineLevel="0" collapsed="false">
      <c r="A20" s="0" t="s">
        <v>534</v>
      </c>
      <c r="B20" s="0" t="s">
        <v>535</v>
      </c>
      <c r="C20" s="0" t="s">
        <v>536</v>
      </c>
    </row>
    <row r="21" customFormat="false" ht="15" hidden="false" customHeight="false" outlineLevel="0" collapsed="false">
      <c r="A21" s="0" t="s">
        <v>537</v>
      </c>
      <c r="B21" s="0" t="s">
        <v>538</v>
      </c>
      <c r="C21" s="0" t="s">
        <v>539</v>
      </c>
    </row>
    <row r="22" customFormat="false" ht="15" hidden="false" customHeight="false" outlineLevel="0" collapsed="false">
      <c r="A22" s="0" t="s">
        <v>540</v>
      </c>
      <c r="B22" s="0" t="s">
        <v>541</v>
      </c>
      <c r="C22" s="0" t="s">
        <v>494</v>
      </c>
    </row>
    <row r="23" customFormat="false" ht="15" hidden="false" customHeight="false" outlineLevel="0" collapsed="false">
      <c r="A23" s="0" t="s">
        <v>542</v>
      </c>
      <c r="B23" s="0" t="s">
        <v>543</v>
      </c>
      <c r="C23" s="0" t="s">
        <v>544</v>
      </c>
    </row>
    <row r="24" customFormat="false" ht="15" hidden="false" customHeight="false" outlineLevel="0" collapsed="false">
      <c r="A24" s="0" t="s">
        <v>545</v>
      </c>
      <c r="B24" s="0" t="s">
        <v>546</v>
      </c>
      <c r="C24" s="0" t="s">
        <v>547</v>
      </c>
    </row>
    <row r="25" customFormat="false" ht="15" hidden="false" customHeight="false" outlineLevel="0" collapsed="false">
      <c r="A25" s="0" t="s">
        <v>548</v>
      </c>
      <c r="B25" s="0" t="s">
        <v>549</v>
      </c>
      <c r="C25" s="0" t="s">
        <v>550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553</v>
      </c>
    </row>
    <row r="27" customFormat="false" ht="15" hidden="false" customHeight="false" outlineLevel="0" collapsed="false">
      <c r="A27" s="0" t="s">
        <v>554</v>
      </c>
      <c r="B27" s="0" t="s">
        <v>555</v>
      </c>
      <c r="C27" s="0" t="s">
        <v>556</v>
      </c>
    </row>
    <row r="28" customFormat="false" ht="15" hidden="false" customHeight="false" outlineLevel="0" collapsed="false">
      <c r="A28" s="0" t="s">
        <v>557</v>
      </c>
      <c r="B28" s="0" t="s">
        <v>558</v>
      </c>
      <c r="C28" s="0" t="s">
        <v>559</v>
      </c>
    </row>
    <row r="29" customFormat="false" ht="15" hidden="false" customHeight="false" outlineLevel="0" collapsed="false">
      <c r="A29" s="0" t="s">
        <v>560</v>
      </c>
      <c r="B29" s="0" t="s">
        <v>561</v>
      </c>
      <c r="C29" s="0" t="s">
        <v>494</v>
      </c>
    </row>
    <row r="30" customFormat="false" ht="15" hidden="false" customHeight="false" outlineLevel="0" collapsed="false">
      <c r="A30" s="0" t="s">
        <v>562</v>
      </c>
      <c r="B30" s="0" t="s">
        <v>563</v>
      </c>
      <c r="C30" s="0" t="s">
        <v>564</v>
      </c>
    </row>
    <row r="31" customFormat="false" ht="15" hidden="false" customHeight="false" outlineLevel="0" collapsed="false">
      <c r="A31" s="0" t="s">
        <v>565</v>
      </c>
      <c r="B31" s="0" t="s">
        <v>566</v>
      </c>
      <c r="C31" s="0" t="s">
        <v>567</v>
      </c>
    </row>
    <row r="32" customFormat="false" ht="15" hidden="false" customHeight="false" outlineLevel="0" collapsed="false">
      <c r="A32" s="0" t="s">
        <v>568</v>
      </c>
      <c r="B32" s="0" t="s">
        <v>569</v>
      </c>
      <c r="C32" s="0" t="s">
        <v>570</v>
      </c>
    </row>
    <row r="33" customFormat="false" ht="15" hidden="false" customHeight="false" outlineLevel="0" collapsed="false">
      <c r="A33" s="0" t="s">
        <v>571</v>
      </c>
      <c r="B33" s="0" t="s">
        <v>572</v>
      </c>
      <c r="C33" s="0" t="s">
        <v>573</v>
      </c>
    </row>
    <row r="34" customFormat="false" ht="15" hidden="false" customHeight="false" outlineLevel="0" collapsed="false">
      <c r="A34" s="0" t="s">
        <v>574</v>
      </c>
      <c r="B34" s="0" t="s">
        <v>575</v>
      </c>
      <c r="C34" s="0" t="s">
        <v>576</v>
      </c>
    </row>
    <row r="35" customFormat="false" ht="15" hidden="false" customHeight="false" outlineLevel="0" collapsed="false">
      <c r="A35" s="0" t="s">
        <v>577</v>
      </c>
      <c r="B35" s="0" t="s">
        <v>578</v>
      </c>
      <c r="C35" s="0" t="s">
        <v>579</v>
      </c>
    </row>
    <row r="36" customFormat="false" ht="15" hidden="false" customHeight="false" outlineLevel="0" collapsed="false">
      <c r="A36" s="0" t="s">
        <v>580</v>
      </c>
      <c r="B36" s="0" t="s">
        <v>581</v>
      </c>
      <c r="C36" s="0" t="s">
        <v>582</v>
      </c>
    </row>
    <row r="37" customFormat="false" ht="15" hidden="false" customHeight="false" outlineLevel="0" collapsed="false">
      <c r="A37" s="0" t="s">
        <v>583</v>
      </c>
      <c r="B37" s="0" t="s">
        <v>584</v>
      </c>
      <c r="C37" s="0" t="s">
        <v>585</v>
      </c>
    </row>
    <row r="38" customFormat="false" ht="15" hidden="false" customHeight="false" outlineLevel="0" collapsed="false">
      <c r="A38" s="0" t="s">
        <v>586</v>
      </c>
      <c r="B38" s="0" t="s">
        <v>587</v>
      </c>
      <c r="C38" s="0" t="s">
        <v>588</v>
      </c>
    </row>
    <row r="39" customFormat="false" ht="15" hidden="false" customHeight="false" outlineLevel="0" collapsed="false">
      <c r="A39" s="0" t="s">
        <v>589</v>
      </c>
      <c r="B39" s="0" t="s">
        <v>590</v>
      </c>
      <c r="C39" s="0" t="s">
        <v>591</v>
      </c>
    </row>
    <row r="40" customFormat="false" ht="15" hidden="false" customHeight="false" outlineLevel="0" collapsed="false">
      <c r="A40" s="0" t="s">
        <v>592</v>
      </c>
      <c r="B40" s="0" t="s">
        <v>593</v>
      </c>
      <c r="C40" s="0" t="s">
        <v>594</v>
      </c>
    </row>
    <row r="41" customFormat="false" ht="15" hidden="false" customHeight="false" outlineLevel="0" collapsed="false">
      <c r="A41" s="0" t="s">
        <v>595</v>
      </c>
      <c r="B41" s="0" t="s">
        <v>596</v>
      </c>
      <c r="C41" s="0" t="s">
        <v>597</v>
      </c>
    </row>
    <row r="42" customFormat="false" ht="15" hidden="false" customHeight="false" outlineLevel="0" collapsed="false">
      <c r="A42" s="0" t="s">
        <v>598</v>
      </c>
      <c r="B42" s="0" t="s">
        <v>599</v>
      </c>
      <c r="C42" s="0" t="s">
        <v>600</v>
      </c>
    </row>
    <row r="43" customFormat="false" ht="15" hidden="false" customHeight="false" outlineLevel="0" collapsed="false">
      <c r="A43" s="0" t="s">
        <v>601</v>
      </c>
      <c r="B43" s="0" t="s">
        <v>602</v>
      </c>
      <c r="C43" s="0" t="s">
        <v>603</v>
      </c>
    </row>
    <row r="44" customFormat="false" ht="15" hidden="false" customHeight="false" outlineLevel="0" collapsed="false">
      <c r="A44" s="0" t="s">
        <v>604</v>
      </c>
      <c r="B44" s="0" t="s">
        <v>605</v>
      </c>
      <c r="C44" s="0" t="s">
        <v>606</v>
      </c>
    </row>
    <row r="45" customFormat="false" ht="15" hidden="false" customHeight="false" outlineLevel="0" collapsed="false">
      <c r="A45" s="0" t="s">
        <v>607</v>
      </c>
      <c r="B45" s="0" t="s">
        <v>608</v>
      </c>
      <c r="C45" s="0" t="s">
        <v>609</v>
      </c>
    </row>
    <row r="46" customFormat="false" ht="15" hidden="false" customHeight="false" outlineLevel="0" collapsed="false">
      <c r="A46" s="0" t="s">
        <v>610</v>
      </c>
      <c r="B46" s="0" t="s">
        <v>611</v>
      </c>
      <c r="C46" s="0" t="s">
        <v>612</v>
      </c>
    </row>
    <row r="47" customFormat="false" ht="15" hidden="false" customHeight="false" outlineLevel="0" collapsed="false">
      <c r="A47" s="0" t="s">
        <v>613</v>
      </c>
      <c r="B47" s="0" t="s">
        <v>614</v>
      </c>
      <c r="C47" s="0" t="s">
        <v>615</v>
      </c>
    </row>
    <row r="48" customFormat="false" ht="15" hidden="false" customHeight="false" outlineLevel="0" collapsed="false">
      <c r="A48" s="0" t="s">
        <v>616</v>
      </c>
      <c r="B48" s="0" t="s">
        <v>617</v>
      </c>
      <c r="C48" s="0" t="s">
        <v>618</v>
      </c>
    </row>
    <row r="49" customFormat="false" ht="15" hidden="false" customHeight="false" outlineLevel="0" collapsed="false">
      <c r="A49" s="0" t="s">
        <v>619</v>
      </c>
      <c r="B49" s="0" t="s">
        <v>620</v>
      </c>
      <c r="C49" s="0" t="s">
        <v>621</v>
      </c>
    </row>
    <row r="50" customFormat="false" ht="15" hidden="false" customHeight="false" outlineLevel="0" collapsed="false">
      <c r="A50" s="0" t="s">
        <v>622</v>
      </c>
      <c r="B50" s="0" t="s">
        <v>623</v>
      </c>
      <c r="C50" s="0" t="s">
        <v>497</v>
      </c>
    </row>
    <row r="51" customFormat="false" ht="15" hidden="false" customHeight="false" outlineLevel="0" collapsed="false">
      <c r="A51" s="0" t="s">
        <v>624</v>
      </c>
      <c r="B51" s="0" t="s">
        <v>625</v>
      </c>
      <c r="C51" s="0" t="s">
        <v>626</v>
      </c>
    </row>
    <row r="52" customFormat="false" ht="15" hidden="false" customHeight="false" outlineLevel="0" collapsed="false">
      <c r="A52" s="0" t="s">
        <v>627</v>
      </c>
      <c r="B52" s="0" t="s">
        <v>628</v>
      </c>
      <c r="C52" s="0" t="s">
        <v>629</v>
      </c>
    </row>
    <row r="53" customFormat="false" ht="15" hidden="false" customHeight="false" outlineLevel="0" collapsed="false">
      <c r="A53" s="0" t="s">
        <v>630</v>
      </c>
      <c r="B53" s="0" t="s">
        <v>631</v>
      </c>
      <c r="C53" s="0" t="s">
        <v>632</v>
      </c>
    </row>
    <row r="54" customFormat="false" ht="15" hidden="false" customHeight="false" outlineLevel="0" collapsed="false">
      <c r="A54" s="0" t="s">
        <v>633</v>
      </c>
      <c r="B54" s="0" t="s">
        <v>634</v>
      </c>
      <c r="C54" s="0" t="s">
        <v>635</v>
      </c>
    </row>
    <row r="55" customFormat="false" ht="15" hidden="false" customHeight="false" outlineLevel="0" collapsed="false">
      <c r="A55" s="0" t="s">
        <v>636</v>
      </c>
      <c r="B55" s="0" t="s">
        <v>637</v>
      </c>
      <c r="C55" s="0" t="s">
        <v>638</v>
      </c>
    </row>
    <row r="56" customFormat="false" ht="15" hidden="false" customHeight="false" outlineLevel="0" collapsed="false">
      <c r="A56" s="0" t="s">
        <v>639</v>
      </c>
      <c r="B56" s="0" t="s">
        <v>640</v>
      </c>
      <c r="C56" s="0" t="s">
        <v>641</v>
      </c>
    </row>
    <row r="57" customFormat="false" ht="15" hidden="false" customHeight="false" outlineLevel="0" collapsed="false">
      <c r="A57" s="0" t="s">
        <v>642</v>
      </c>
      <c r="B57" s="0" t="s">
        <v>643</v>
      </c>
      <c r="C57" s="0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645</v>
      </c>
    </row>
    <row r="2" customFormat="false" ht="15" hidden="false" customHeight="false" outlineLevel="0" collapsed="false">
      <c r="A2" s="0" t="s">
        <v>646</v>
      </c>
      <c r="B2" s="0" t="s">
        <v>647</v>
      </c>
      <c r="C2" s="0" t="s">
        <v>648</v>
      </c>
      <c r="D2" s="0" t="s">
        <v>649</v>
      </c>
      <c r="E2" s="0" t="s">
        <v>650</v>
      </c>
      <c r="F2" s="0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652</v>
      </c>
      <c r="B1" s="0" t="s">
        <v>653</v>
      </c>
      <c r="C1" s="0" t="s">
        <v>69</v>
      </c>
      <c r="D1" s="0" t="s">
        <v>654</v>
      </c>
    </row>
    <row r="2" customFormat="false" ht="15" hidden="false" customHeight="false" outlineLevel="0" collapsed="false">
      <c r="A2" s="0" t="s">
        <v>655</v>
      </c>
      <c r="B2" s="0" t="s">
        <v>656</v>
      </c>
      <c r="C2" s="0" t="s">
        <v>657</v>
      </c>
      <c r="D2" s="0" t="s">
        <v>658</v>
      </c>
    </row>
    <row r="3" customFormat="false" ht="15" hidden="false" customHeight="false" outlineLevel="0" collapsed="false">
      <c r="A3" s="0" t="s">
        <v>659</v>
      </c>
      <c r="B3" s="0" t="s">
        <v>660</v>
      </c>
      <c r="C3" s="0" t="s">
        <v>661</v>
      </c>
      <c r="D3" s="0" t="s">
        <v>662</v>
      </c>
    </row>
    <row r="4" customFormat="false" ht="15" hidden="false" customHeight="false" outlineLevel="0" collapsed="false">
      <c r="A4" s="0" t="s">
        <v>663</v>
      </c>
      <c r="B4" s="0" t="s">
        <v>664</v>
      </c>
      <c r="C4" s="0" t="s">
        <v>661</v>
      </c>
      <c r="D4" s="0" t="s">
        <v>665</v>
      </c>
    </row>
    <row r="5" customFormat="false" ht="15" hidden="false" customHeight="false" outlineLevel="0" collapsed="false">
      <c r="A5" s="0" t="s">
        <v>666</v>
      </c>
      <c r="B5" s="0" t="s">
        <v>667</v>
      </c>
      <c r="C5" s="0" t="s">
        <v>657</v>
      </c>
      <c r="D5" s="0" t="s">
        <v>668</v>
      </c>
    </row>
    <row r="6" customFormat="false" ht="15" hidden="false" customHeight="false" outlineLevel="0" collapsed="false">
      <c r="A6" s="0" t="s">
        <v>669</v>
      </c>
      <c r="B6" s="0" t="s">
        <v>670</v>
      </c>
      <c r="C6" s="0" t="s">
        <v>480</v>
      </c>
      <c r="D6" s="0" t="s">
        <v>671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657</v>
      </c>
      <c r="D7" s="0" t="s">
        <v>674</v>
      </c>
    </row>
    <row r="8" customFormat="false" ht="15" hidden="false" customHeight="false" outlineLevel="0" collapsed="false">
      <c r="A8" s="0" t="s">
        <v>675</v>
      </c>
      <c r="B8" s="0" t="s">
        <v>676</v>
      </c>
      <c r="C8" s="0" t="s">
        <v>657</v>
      </c>
      <c r="D8" s="0" t="s">
        <v>677</v>
      </c>
    </row>
    <row r="9" customFormat="false" ht="15" hidden="false" customHeight="false" outlineLevel="0" collapsed="false">
      <c r="A9" s="0" t="s">
        <v>678</v>
      </c>
      <c r="B9" s="0" t="s">
        <v>679</v>
      </c>
      <c r="C9" s="0" t="s">
        <v>657</v>
      </c>
      <c r="D9" s="0" t="s">
        <v>680</v>
      </c>
    </row>
    <row r="10" customFormat="false" ht="15" hidden="false" customHeight="false" outlineLevel="0" collapsed="false">
      <c r="A10" s="0" t="s">
        <v>681</v>
      </c>
      <c r="B10" s="0" t="s">
        <v>682</v>
      </c>
      <c r="C10" s="0" t="s">
        <v>661</v>
      </c>
      <c r="D10" s="0" t="s">
        <v>683</v>
      </c>
    </row>
    <row r="11" customFormat="false" ht="15" hidden="false" customHeight="false" outlineLevel="0" collapsed="false">
      <c r="A11" s="0" t="s">
        <v>684</v>
      </c>
      <c r="B11" s="0" t="s">
        <v>685</v>
      </c>
      <c r="C11" s="0" t="s">
        <v>657</v>
      </c>
      <c r="D11" s="0" t="s">
        <v>686</v>
      </c>
    </row>
    <row r="12" customFormat="false" ht="15" hidden="false" customHeight="false" outlineLevel="0" collapsed="false">
      <c r="A12" s="0" t="s">
        <v>687</v>
      </c>
      <c r="B12" s="0" t="s">
        <v>688</v>
      </c>
      <c r="C12" s="0" t="s">
        <v>657</v>
      </c>
      <c r="D12" s="0" t="s">
        <v>689</v>
      </c>
    </row>
    <row r="13" customFormat="false" ht="15" hidden="false" customHeight="false" outlineLevel="0" collapsed="false">
      <c r="A13" s="0" t="s">
        <v>690</v>
      </c>
      <c r="B13" s="0" t="s">
        <v>691</v>
      </c>
      <c r="C13" s="0" t="s">
        <v>657</v>
      </c>
      <c r="D13" s="0" t="s">
        <v>692</v>
      </c>
    </row>
    <row r="14" customFormat="false" ht="15" hidden="false" customHeight="false" outlineLevel="0" collapsed="false">
      <c r="A14" s="0" t="s">
        <v>693</v>
      </c>
      <c r="B14" s="0" t="s">
        <v>694</v>
      </c>
      <c r="C14" s="0" t="s">
        <v>657</v>
      </c>
      <c r="D14" s="0" t="s">
        <v>695</v>
      </c>
    </row>
    <row r="15" customFormat="false" ht="15" hidden="false" customHeight="false" outlineLevel="0" collapsed="false">
      <c r="A15" s="0" t="s">
        <v>696</v>
      </c>
      <c r="B15" s="0" t="s">
        <v>697</v>
      </c>
      <c r="C15" s="0" t="s">
        <v>661</v>
      </c>
      <c r="D15" s="0" t="s">
        <v>698</v>
      </c>
    </row>
    <row r="16" customFormat="false" ht="15" hidden="false" customHeight="false" outlineLevel="0" collapsed="false">
      <c r="A16" s="0" t="s">
        <v>699</v>
      </c>
      <c r="B16" s="0" t="s">
        <v>700</v>
      </c>
      <c r="C16" s="0" t="s">
        <v>657</v>
      </c>
      <c r="D16" s="0" t="s">
        <v>701</v>
      </c>
    </row>
    <row r="17" customFormat="false" ht="15" hidden="false" customHeight="false" outlineLevel="0" collapsed="false">
      <c r="A17" s="0" t="s">
        <v>702</v>
      </c>
      <c r="B17" s="0" t="s">
        <v>703</v>
      </c>
      <c r="C17" s="0" t="s">
        <v>657</v>
      </c>
      <c r="D17" s="0" t="s">
        <v>704</v>
      </c>
    </row>
    <row r="18" customFormat="false" ht="15" hidden="false" customHeight="false" outlineLevel="0" collapsed="false">
      <c r="A18" s="0" t="s">
        <v>705</v>
      </c>
      <c r="B18" s="0" t="s">
        <v>706</v>
      </c>
      <c r="C18" s="0" t="s">
        <v>657</v>
      </c>
      <c r="D18" s="0" t="s">
        <v>707</v>
      </c>
    </row>
    <row r="19" customFormat="false" ht="15" hidden="false" customHeight="false" outlineLevel="0" collapsed="false">
      <c r="A19" s="0" t="s">
        <v>708</v>
      </c>
      <c r="B19" s="0" t="s">
        <v>709</v>
      </c>
      <c r="C19" s="0" t="s">
        <v>657</v>
      </c>
      <c r="D19" s="0" t="s">
        <v>710</v>
      </c>
    </row>
    <row r="20" customFormat="false" ht="15" hidden="false" customHeight="false" outlineLevel="0" collapsed="false">
      <c r="A20" s="0" t="s">
        <v>711</v>
      </c>
      <c r="B20" s="0" t="s">
        <v>712</v>
      </c>
      <c r="C20" s="0" t="s">
        <v>661</v>
      </c>
      <c r="D20" s="0" t="s">
        <v>713</v>
      </c>
    </row>
    <row r="21" customFormat="false" ht="15" hidden="false" customHeight="false" outlineLevel="0" collapsed="false">
      <c r="A21" s="0" t="s">
        <v>714</v>
      </c>
      <c r="B21" s="0" t="s">
        <v>715</v>
      </c>
      <c r="C21" s="0" t="s">
        <v>657</v>
      </c>
      <c r="D21" s="0" t="s">
        <v>716</v>
      </c>
    </row>
    <row r="22" customFormat="false" ht="15" hidden="false" customHeight="false" outlineLevel="0" collapsed="false">
      <c r="A22" s="0" t="s">
        <v>717</v>
      </c>
      <c r="B22" s="0" t="s">
        <v>718</v>
      </c>
      <c r="C22" s="0" t="s">
        <v>661</v>
      </c>
      <c r="D22" s="0" t="s">
        <v>719</v>
      </c>
    </row>
    <row r="23" customFormat="false" ht="15" hidden="false" customHeight="false" outlineLevel="0" collapsed="false">
      <c r="A23" s="0" t="s">
        <v>720</v>
      </c>
      <c r="B23" s="0" t="s">
        <v>721</v>
      </c>
      <c r="C23" s="0" t="s">
        <v>661</v>
      </c>
      <c r="D23" s="0" t="s">
        <v>722</v>
      </c>
    </row>
    <row r="24" customFormat="false" ht="15" hidden="false" customHeight="false" outlineLevel="0" collapsed="false">
      <c r="A24" s="0" t="s">
        <v>723</v>
      </c>
      <c r="B24" s="0" t="s">
        <v>724</v>
      </c>
      <c r="C24" s="0" t="s">
        <v>661</v>
      </c>
      <c r="D24" s="0" t="s">
        <v>725</v>
      </c>
    </row>
    <row r="25" customFormat="false" ht="15" hidden="false" customHeight="false" outlineLevel="0" collapsed="false">
      <c r="A25" s="0" t="s">
        <v>726</v>
      </c>
      <c r="B25" s="0" t="s">
        <v>727</v>
      </c>
      <c r="C25" s="0" t="s">
        <v>657</v>
      </c>
      <c r="D25" s="0" t="s">
        <v>728</v>
      </c>
    </row>
    <row r="26" customFormat="false" ht="15" hidden="false" customHeight="false" outlineLevel="0" collapsed="false">
      <c r="A26" s="0" t="s">
        <v>729</v>
      </c>
      <c r="B26" s="0" t="s">
        <v>730</v>
      </c>
      <c r="C26" s="0" t="s">
        <v>661</v>
      </c>
      <c r="D26" s="0" t="s">
        <v>731</v>
      </c>
    </row>
    <row r="27" customFormat="false" ht="15" hidden="false" customHeight="false" outlineLevel="0" collapsed="false">
      <c r="A27" s="0" t="s">
        <v>732</v>
      </c>
      <c r="B27" s="0" t="s">
        <v>733</v>
      </c>
      <c r="C27" s="0" t="s">
        <v>661</v>
      </c>
      <c r="D27" s="0" t="s">
        <v>734</v>
      </c>
    </row>
    <row r="28" customFormat="false" ht="15" hidden="false" customHeight="false" outlineLevel="0" collapsed="false">
      <c r="A28" s="0" t="s">
        <v>735</v>
      </c>
      <c r="B28" s="0" t="s">
        <v>736</v>
      </c>
      <c r="C28" s="0" t="s">
        <v>661</v>
      </c>
      <c r="D28" s="0" t="s">
        <v>737</v>
      </c>
    </row>
    <row r="29" customFormat="false" ht="15" hidden="false" customHeight="false" outlineLevel="0" collapsed="false">
      <c r="A29" s="0" t="s">
        <v>738</v>
      </c>
      <c r="B29" s="0" t="s">
        <v>739</v>
      </c>
      <c r="C29" s="0" t="s">
        <v>661</v>
      </c>
      <c r="D29" s="0" t="s">
        <v>740</v>
      </c>
    </row>
    <row r="30" customFormat="false" ht="15" hidden="false" customHeight="false" outlineLevel="0" collapsed="false">
      <c r="A30" s="0" t="s">
        <v>741</v>
      </c>
      <c r="B30" s="0" t="s">
        <v>742</v>
      </c>
      <c r="C30" s="0" t="s">
        <v>480</v>
      </c>
      <c r="D30" s="0" t="s">
        <v>743</v>
      </c>
    </row>
    <row r="31" customFormat="false" ht="15" hidden="false" customHeight="false" outlineLevel="0" collapsed="false">
      <c r="A31" s="0" t="s">
        <v>744</v>
      </c>
      <c r="B31" s="0" t="s">
        <v>745</v>
      </c>
      <c r="C31" s="0" t="s">
        <v>661</v>
      </c>
      <c r="D31" s="0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747</v>
      </c>
    </row>
    <row r="2" customFormat="false" ht="15" hidden="false" customHeight="false" outlineLevel="0" collapsed="false">
      <c r="A2" s="0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2026-10-28T01:10:36Z</dcterms:created>
  <dc:creator>openpyxl</dc:creator>
  <dc:description/>
  <dc:language>en-US</dc:language>
  <cp:lastModifiedBy/>
  <dcterms:modified xsi:type="dcterms:W3CDTF">2026-10-28T01:10:36Z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