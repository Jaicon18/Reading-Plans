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  <sheet name="_regl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<sst xmlns="http://schemas.openxmlformats.org/spreadsheetml/2006/main" count="933" uniqueCount="620">
  <si>
    <t xml:space="preserve">Barnes &amp; Noble - Colorado Springs, CO (3173 Cinema Point)   |   METAL FRAMING &amp; DRYWALL TAKEOFF</t>
  </si>
  <si>
    <t xml:space="preserve">Bid set: Barnes _ Noble - Colorado Springs, CO - COMBINED BID SET - 250918.pdf   ·   2026-10-24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</si>
  <si>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</si>
  <si>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</si>
  <si>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</si>
  <si>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</si>
  <si>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</si>
  <si>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</si>
  <si>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</si>
  <si>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</si>
  <si>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</si>
  <si>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</si>
  <si>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</si>
  <si>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</si>
  <si>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</si>
  <si>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</si>
  <si>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</si>
  <si>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</si>
  <si>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</si>
  <si>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</si>
  <si>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n/a</t>
  </si>
  <si>
    <t xml:space="preserve">Project value (canon constants).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</si>
  <si>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</si>
  <si>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</si>
  <si>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</si>
  <si>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</si>
  <si>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</si>
  <si>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</si>
  <si>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</si>
  <si>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</si>
  <si>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</si>
  <si>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</si>
  <si>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</si>
  <si>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</si>
  <si>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</si>
  <si>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</si>
  <si>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 (GA-216 field / perimeter spacing).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</si>
  <si>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</si>
  <si>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</si>
  <si>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</si>
  <si>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bottom track on slab, interior walls.</t>
  </si>
  <si>
    <t xml:space="preserve">Joint compound (lb per SF)</t>
  </si>
  <si>
    <t xml:space="preserve">YIELD: 72 lb per 1,000 SF, level 4 (estimator criterion).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</si>
  <si>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</si>
  <si>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</si>
  <si>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</si>
  <si>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</si>
  <si>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ORGANIZED PARTITION TAKEOFF - Barnes &amp; Noble - Colorado Springs, CO (3173 Cinema Point)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</si>
  <si>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</si>
  <si>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</si>
  <si>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</si>
  <si>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</si>
  <si>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</si>
  <si>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</si>
  <si>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</si>
  <si>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</si>
  <si>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</si>
  <si>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</si>
  <si>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</si>
  <si>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</si>
  <si>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2</t>
  </si>
  <si>
    <t xml:space="preserve">2  #W2-01+W2-02  -  Storage 112 south wall (door 14, 3'-0" printed, inside wall) + Storage 112 west wall</t>
  </si>
  <si>
    <t xml:space="preserve">W2-01+W2-02</t>
  </si>
  <si>
    <t xml:space="preserve">3-5/8"</t>
  </si>
  <si>
    <t xml:space="preserve">Storage 112 south wall (door 14, 3'-0" printed, inside wall) + Storage 112 west wall</t>
  </si>
  <si>
    <t xml:space="preserve">2/A-410</t>
  </si>
  <si>
    <t xml:space="preserve">[DERIVED]</t>
  </si>
  <si>
    <t xml:space="preserve">2  #W2-03  -  Stock Room 111 / Sales + Corridor 110 (door 11 inside wall)</t>
  </si>
  <si>
    <t xml:space="preserve">W2-03</t>
  </si>
  <si>
    <t xml:space="preserve">Stock Room 111 / Sales + Corridor 110 (door 11 inside wall)</t>
  </si>
  <si>
    <t xml:space="preserve">2  #W2-04  -  BOH north wall: Corridor 110 to Manager's Office 105 (Sales side)</t>
  </si>
  <si>
    <t xml:space="preserve">W2-04</t>
  </si>
  <si>
    <t xml:space="preserve">BOH north wall: Corridor 110 to Manager's Office 105 (Sales side)</t>
  </si>
  <si>
    <t xml:space="preserve">2  #W2-05  -  Corridor 110 east wall / Women's 109 (starts at the restroom front line)</t>
  </si>
  <si>
    <t xml:space="preserve">W2-05</t>
  </si>
  <si>
    <t xml:space="preserve">Corridor 110 east wall / Women's 109 (starts at the restroom front line)</t>
  </si>
  <si>
    <t xml:space="preserve">2  #W2-06.1+W2-06.2+W2-06.3+W2-06.4+W2-06.5  -  Restrooms 108/109 + Janitor 107 north run with chase jog (doors 9, 8, 7 inside)</t>
  </si>
  <si>
    <t xml:space="preserve">W2-06.1+W2-06.2+W2-06.3+W2-06.4+W2-06.5</t>
  </si>
  <si>
    <t xml:space="preserve">Restrooms 108/109 + Janitor 107 north run with chase jog (doors 9, 8, 7 inside)</t>
  </si>
  <si>
    <t xml:space="preserve">2  #W2-07  -  Men's 108 / Janitor 107</t>
  </si>
  <si>
    <t xml:space="preserve">W2-07</t>
  </si>
  <si>
    <t xml:space="preserve">Men's 108 / Janitor 107</t>
  </si>
  <si>
    <t xml:space="preserve">2  #W2-08  -  Janitor 107 / Break Room 106 (door 5 inside wall)</t>
  </si>
  <si>
    <t xml:space="preserve">W2-08</t>
  </si>
  <si>
    <t xml:space="preserve">Janitor 107 / Break Room 106 (door 5 inside wall)</t>
  </si>
  <si>
    <t xml:space="preserve">2  #W2-09  -  Break Room 106 / Manager's Office 105 (door 6 inside wall)</t>
  </si>
  <si>
    <t xml:space="preserve">W2-09</t>
  </si>
  <si>
    <t xml:space="preserve">Break Room 106 / Manager's Office 105 (door 6 inside wall)</t>
  </si>
  <si>
    <t xml:space="preserve">SUBTOTAL TYPE 2</t>
  </si>
  <si>
    <t xml:space="preserve">TYPE 5</t>
  </si>
  <si>
    <t xml:space="preserve">5  #W5-01  -  Plumbing wall between Women's 109 / Men's 108</t>
  </si>
  <si>
    <t xml:space="preserve">W5-01</t>
  </si>
  <si>
    <t xml:space="preserve">6"</t>
  </si>
  <si>
    <t xml:space="preserve">Plumbing wall between Women's 109 / Men's 108</t>
  </si>
  <si>
    <t xml:space="preserve">5/A-410</t>
  </si>
  <si>
    <t xml:space="preserve">SUBTOTAL TYPE 5</t>
  </si>
  <si>
    <t xml:space="preserve">TYPE 3</t>
  </si>
  <si>
    <t xml:space="preserve">3  #W3-01  -  Cafe Seating 102, west low wall - west end post</t>
  </si>
  <si>
    <t xml:space="preserve">W3-01</t>
  </si>
  <si>
    <t xml:space="preserve">Cafe Seating 102, west low wall - west end post</t>
  </si>
  <si>
    <t xml:space="preserve">3/A-410</t>
  </si>
  <si>
    <t xml:space="preserve">3  #W3-02  -  Cafe Seating 102, west low wall - run</t>
  </si>
  <si>
    <t xml:space="preserve">W3-02</t>
  </si>
  <si>
    <t xml:space="preserve">Cafe Seating 102, west low wall - run</t>
  </si>
  <si>
    <t xml:space="preserve">3  #W3-03  -  Cafe Seating 102, east low wall - run</t>
  </si>
  <si>
    <t xml:space="preserve">W3-03</t>
  </si>
  <si>
    <t xml:space="preserve">Cafe Seating 102, east low wall - run</t>
  </si>
  <si>
    <t xml:space="preserve">3  #W3-04  -  Cafe Seating 102, east low wall - east end post</t>
  </si>
  <si>
    <t xml:space="preserve">W3-04</t>
  </si>
  <si>
    <t xml:space="preserve">Cafe Seating 102, east low wall - east end post</t>
  </si>
  <si>
    <t xml:space="preserve">3  #W3-05  -  Cafe Seating 102, west low wall - east end post</t>
  </si>
  <si>
    <t xml:space="preserve">W3-05</t>
  </si>
  <si>
    <t xml:space="preserve">Cafe Seating 102, west low wall - east end post</t>
  </si>
  <si>
    <t xml:space="preserve">3  #W3-06  -  Cafe Seating 102, east low wall - west end post</t>
  </si>
  <si>
    <t xml:space="preserve">W3-06</t>
  </si>
  <si>
    <t xml:space="preserve">Cafe Seating 102, east low wall - west end post</t>
  </si>
  <si>
    <t xml:space="preserve">SUBTOTAL TYPE 3</t>
  </si>
  <si>
    <t xml:space="preserve">TYPE 4</t>
  </si>
  <si>
    <t xml:space="preserve">4  #W4-28a+W4-28b+W4-28c  -  Hourglass display feature, north end cap: bar + Hourglass display feature, north end cap: west end return + Hourglass display feature, north end cap: east end return</t>
  </si>
  <si>
    <t xml:space="preserve">W4-28a+W4-28b+W4-28c</t>
  </si>
  <si>
    <t xml:space="preserve">Hourglass display feature, north end cap: bar + Hourglass display feature, north end cap: west end return + Hourglass display feature, north end cap: east end return</t>
  </si>
  <si>
    <t xml:space="preserve">4/A-410</t>
  </si>
  <si>
    <t xml:space="preserve">4  #W4-28d  -  Hourglass display feature, north end cap: west angled leg from end return to curved wall</t>
  </si>
  <si>
    <t xml:space="preserve">W4-28d</t>
  </si>
  <si>
    <t xml:space="preserve">Hourglass display feature, north end cap: west angled leg from end return to curved wall</t>
  </si>
  <si>
    <t xml:space="preserve">4  #W4-28e  -  Hourglass display feature, north end cap: east angled leg from end return to curved wall</t>
  </si>
  <si>
    <t xml:space="preserve">W4-28e</t>
  </si>
  <si>
    <t xml:space="preserve">Hourglass display feature, north end cap: east angled leg from end return to curved wall</t>
  </si>
  <si>
    <t xml:space="preserve">4  #W4-29a  -  Hourglass display feature, west curved wall (R=32'-9"), chord 1/6 from north (tagged)</t>
  </si>
  <si>
    <t xml:space="preserve">W4-29a</t>
  </si>
  <si>
    <t xml:space="preserve">Hourglass display feature, west curved wall (R=32'-9"), chord 1/6 from north (tagged)</t>
  </si>
  <si>
    <t xml:space="preserve">4  #W4-29b  -  Hourglass display feature, west curved wall (R=32'-9"), chord 2/6 from north</t>
  </si>
  <si>
    <t xml:space="preserve">W4-29b</t>
  </si>
  <si>
    <t xml:space="preserve">Hourglass display feature, west curved wall (R=32'-9"), chord 2/6 from north</t>
  </si>
  <si>
    <t xml:space="preserve">4  #W4-29c  -  Hourglass display feature, west curved wall (R=32'-9"), chord 3/6 from north</t>
  </si>
  <si>
    <t xml:space="preserve">W4-29c</t>
  </si>
  <si>
    <t xml:space="preserve">Hourglass display feature, west curved wall (R=32'-9"), chord 3/6 from north</t>
  </si>
  <si>
    <t xml:space="preserve">4  #W4-29d  -  Hourglass display feature, west curved wall (R=32'-9"), chord 4/6 from north</t>
  </si>
  <si>
    <t xml:space="preserve">W4-29d</t>
  </si>
  <si>
    <t xml:space="preserve">Hourglass display feature, west curved wall (R=32'-9"), chord 4/6 from north</t>
  </si>
  <si>
    <t xml:space="preserve">4  #W4-29e  -  Hourglass display feature, west curved wall (R=32'-9"), chord 5/6 from north</t>
  </si>
  <si>
    <t xml:space="preserve">W4-29e</t>
  </si>
  <si>
    <t xml:space="preserve">Hourglass display feature, west curved wall (R=32'-9"), chord 5/6 from north</t>
  </si>
  <si>
    <t xml:space="preserve">4  #W4-29f  -  Hourglass display feature, west curved wall (R=32'-9"), chord 6/6 from north</t>
  </si>
  <si>
    <t xml:space="preserve">W4-29f</t>
  </si>
  <si>
    <t xml:space="preserve">Hourglass display feature, west curved wall (R=32'-9"), chord 6/6 from north</t>
  </si>
  <si>
    <t xml:space="preserve">4  #W4-30a  -  Hourglass display feature, east curved wall (R=32'-9"), chord 1/6 from north (tagged)</t>
  </si>
  <si>
    <t xml:space="preserve">W4-30a</t>
  </si>
  <si>
    <t xml:space="preserve">Hourglass display feature, east curved wall (R=32'-9"), chord 1/6 from north (tagged)</t>
  </si>
  <si>
    <t xml:space="preserve">4  #W4-30b  -  Hourglass display feature, east curved wall (R=32'-9"), chord 2/6 from north</t>
  </si>
  <si>
    <t xml:space="preserve">W4-30b</t>
  </si>
  <si>
    <t xml:space="preserve">Hourglass display feature, east curved wall (R=32'-9"), chord 2/6 from north</t>
  </si>
  <si>
    <t xml:space="preserve">4  #W4-30c  -  Hourglass display feature, east curved wall (R=32'-9"), chord 3/6 from north</t>
  </si>
  <si>
    <t xml:space="preserve">W4-30c</t>
  </si>
  <si>
    <t xml:space="preserve">Hourglass display feature, east curved wall (R=32'-9"), chord 3/6 from north</t>
  </si>
  <si>
    <t xml:space="preserve">4  #W4-30d  -  Hourglass display feature, east curved wall (R=32'-9"), chord 4/6 from north</t>
  </si>
  <si>
    <t xml:space="preserve">W4-30d</t>
  </si>
  <si>
    <t xml:space="preserve">Hourglass display feature, east curved wall (R=32'-9"), chord 4/6 from north</t>
  </si>
  <si>
    <t xml:space="preserve">4  #W4-30e  -  Hourglass display feature, east curved wall (R=32'-9"), chord 5/6 from north</t>
  </si>
  <si>
    <t xml:space="preserve">W4-30e</t>
  </si>
  <si>
    <t xml:space="preserve">Hourglass display feature, east curved wall (R=32'-9"), chord 5/6 from north</t>
  </si>
  <si>
    <t xml:space="preserve">4  #W4-30f  -  Hourglass display feature, east curved wall (R=32'-9"), chord 6/6 from north</t>
  </si>
  <si>
    <t xml:space="preserve">W4-30f</t>
  </si>
  <si>
    <t xml:space="preserve">Hourglass display feature, east curved wall (R=32'-9"), chord 6/6 from north</t>
  </si>
  <si>
    <t xml:space="preserve">4  #W4-31a+W4-31b+W4-31c  -  Hourglass display feature, south end cap: bar (untagged TYP. copy of the PT0037 north cap) + Hourglass display feature, south end cap: west end return (untagged TYP. copy of the PT0037 north cap) + Hourglass display feature, south end cap: east end return (untagged TYP. copy of the PT0037 north cap)</t>
  </si>
  <si>
    <t xml:space="preserve">W4-31a+W4-31b+W4-31c</t>
  </si>
  <si>
    <t xml:space="preserve">Hourglass display feature, south end cap: bar (untagged TYP. copy of the PT0037 north cap) + Hourglass display feature, south end cap: west end return (untagged TYP. copy of the PT0037 north cap) + Hourglass display feature, south end cap: east end return (untagged TYP. copy of the PT0037 north cap)</t>
  </si>
  <si>
    <t xml:space="preserve">4  #W4-31d  -  Hourglass display feature, south end cap: west angled leg from end return to curved wall (untagged TYP. copy of the PT0037 north cap)</t>
  </si>
  <si>
    <t xml:space="preserve">W4-31d</t>
  </si>
  <si>
    <t xml:space="preserve">Hourglass display feature, south end cap: west angled leg from end return to curved wall (untagged TYP. copy of the PT0037 north cap)</t>
  </si>
  <si>
    <t xml:space="preserve">4  #W4-31e  -  Hourglass display feature, south end cap: east angled leg from end return to curved wall (untagged TYP. copy of the PT0037 north cap)</t>
  </si>
  <si>
    <t xml:space="preserve">W4-31e</t>
  </si>
  <si>
    <t xml:space="preserve">Hourglass display feature, south end cap: east angled leg from end return to curved wall (untagged TYP. copy of the PT0037 north cap)</t>
  </si>
  <si>
    <t xml:space="preserve">SUBTOTAL TYPE 4</t>
  </si>
  <si>
    <t xml:space="preserve">TYPE H1</t>
  </si>
  <si>
    <t xml:space="preserve">H1  #C-H1-N  -  Cafe Workroom 104 north wall (to Sales / Grab &amp; Go)</t>
  </si>
  <si>
    <t xml:space="preserve">C-H1-N</t>
  </si>
  <si>
    <t xml:space="preserve">Cafe Workroom 104 north wall (to Sales / Grab &amp; Go)</t>
  </si>
  <si>
    <t xml:space="preserve">G/A-221</t>
  </si>
  <si>
    <t xml:space="preserve">H1  #C-H1-W  -  Cafe Workroom 104 west wall</t>
  </si>
  <si>
    <t xml:space="preserve">C-H1-W</t>
  </si>
  <si>
    <t xml:space="preserve">Cafe Workroom 104 west wall</t>
  </si>
  <si>
    <t xml:space="preserve">SUBTOTAL TYPE H1</t>
  </si>
  <si>
    <t xml:space="preserve">TYPE H2A</t>
  </si>
  <si>
    <t xml:space="preserve">H2A  #C-H2a  -  Cafe Workroom 104 / Cafe Sales (4'-0" door inside wall)</t>
  </si>
  <si>
    <t xml:space="preserve">C-H2a</t>
  </si>
  <si>
    <t xml:space="preserve">Cafe Workroom 104 / Cafe Sales (4'-0" door inside wall)</t>
  </si>
  <si>
    <t xml:space="preserve">SUBTOTAL TYPE H2A</t>
  </si>
  <si>
    <t xml:space="preserve">TYPE H2B</t>
  </si>
  <si>
    <t xml:space="preserve">H2B  #C-H2b  -  Cafe Workroom 104 stub wall</t>
  </si>
  <si>
    <t xml:space="preserve">C-H2b</t>
  </si>
  <si>
    <t xml:space="preserve">Cafe Workroom 104 stub wall</t>
  </si>
  <si>
    <t xml:space="preserve">SUBTOTAL TYPE H2B</t>
  </si>
  <si>
    <t xml:space="preserve">TYPE H3A</t>
  </si>
  <si>
    <t xml:space="preserve">H3A  #C-H3a  -  Grab &amp; Go north wall</t>
  </si>
  <si>
    <t xml:space="preserve">C-H3a</t>
  </si>
  <si>
    <t xml:space="preserve">Grab &amp; Go north wall</t>
  </si>
  <si>
    <t xml:space="preserve">H/A-221</t>
  </si>
  <si>
    <t xml:space="preserve">SUBTOTAL TYPE H3A</t>
  </si>
  <si>
    <t xml:space="preserve">TYPE H3B</t>
  </si>
  <si>
    <t xml:space="preserve">H3B  #C-H3b  -  Grab &amp; Go west wall</t>
  </si>
  <si>
    <t xml:space="preserve">C-H3b</t>
  </si>
  <si>
    <t xml:space="preserve">Grab &amp; Go west wall</t>
  </si>
  <si>
    <t xml:space="preserve">SUBTOTAL TYPE H3B</t>
  </si>
  <si>
    <t xml:space="preserve">TYPE E2</t>
  </si>
  <si>
    <t xml:space="preserve">E2  #C-E2  -  South wall, Cafe Workroom 104 (in front of demising / exterior wall)</t>
  </si>
  <si>
    <t xml:space="preserve">C-E2</t>
  </si>
  <si>
    <t xml:space="preserve">South wall, Cafe Workroom 104 (in front of demising / exterior wall)</t>
  </si>
  <si>
    <t xml:space="preserve">E/A-221</t>
  </si>
  <si>
    <t xml:space="preserve">SUBTOTAL TYPE E2</t>
  </si>
  <si>
    <t xml:space="preserve">TYPE E1</t>
  </si>
  <si>
    <t xml:space="preserve">E1  #C-E1-B  -  Box at SE corner of Cafe Sales - west side</t>
  </si>
  <si>
    <t xml:space="preserve">C-E1-B</t>
  </si>
  <si>
    <t xml:space="preserve">Box at SE corner of Cafe Sales - west side</t>
  </si>
  <si>
    <t xml:space="preserve">E1  #C-E1-P.2  -  Pier at Workroom door (1'-0" x 2'-8" HOLD printed)</t>
  </si>
  <si>
    <t xml:space="preserve">C-E1-P.2</t>
  </si>
  <si>
    <t xml:space="preserve">Pier at Workroom door (1'-0" x 2'-8" HOLD printed)</t>
  </si>
  <si>
    <t xml:space="preserve">E1  #C-E1-S  -  South wall, Cafe Sales 103 (in front of exterior wall)</t>
  </si>
  <si>
    <t xml:space="preserve">C-E1-S</t>
  </si>
  <si>
    <t xml:space="preserve">South wall, Cafe Sales 103 (in front of exterior wall)</t>
  </si>
  <si>
    <t xml:space="preserve">SUBTOTAL TYPE E1</t>
  </si>
  <si>
    <t xml:space="preserve">TYPE F</t>
  </si>
  <si>
    <t xml:space="preserve">F  #C-F  -  Box at SE corner of Cafe Sales - north side (3'-3" printed)</t>
  </si>
  <si>
    <t xml:space="preserve">C-F</t>
  </si>
  <si>
    <t xml:space="preserve">Box at SE corner of Cafe Sales - north side (3'-3" printed)</t>
  </si>
  <si>
    <t xml:space="preserve">F/A-221</t>
  </si>
  <si>
    <t xml:space="preserve">SUBTOTAL TYPE F</t>
  </si>
  <si>
    <t xml:space="preserve">TYPE I</t>
  </si>
  <si>
    <t xml:space="preserve">I  #C-E1-P.1  -  1'-0" return at the top of the Workroom door pier (I tag)</t>
  </si>
  <si>
    <t xml:space="preserve">C-E1-P.1</t>
  </si>
  <si>
    <t xml:space="preserve">1'-0" return at the top of the Workroom door pier (I tag)</t>
  </si>
  <si>
    <t xml:space="preserve">I/A-221</t>
  </si>
  <si>
    <t xml:space="preserve">I  #C-I  -  Box at SE corner of Cafe Sales - east side</t>
  </si>
  <si>
    <t xml:space="preserve">C-I</t>
  </si>
  <si>
    <t xml:space="preserve">Box at SE corner of Cafe Sales - east side</t>
  </si>
  <si>
    <t xml:space="preserve">SUBTOTAL TYPE I</t>
  </si>
  <si>
    <t xml:space="preserve">TYPE A</t>
  </si>
  <si>
    <t xml:space="preserve">A  #C-A-1  -  Front counter - straight run</t>
  </si>
  <si>
    <t xml:space="preserve">C-A-1</t>
  </si>
  <si>
    <t xml:space="preserve">Front counter - straight run</t>
  </si>
  <si>
    <t xml:space="preserve">A/A-221</t>
  </si>
  <si>
    <t xml:space="preserve">A  #C-A-2  -  Front counter - 45 deg segment</t>
  </si>
  <si>
    <t xml:space="preserve">C-A-2</t>
  </si>
  <si>
    <t xml:space="preserve">Front counter - 45 deg segment</t>
  </si>
  <si>
    <t xml:space="preserve">A  #C-A-3  -  Front counter - east run to box</t>
  </si>
  <si>
    <t xml:space="preserve">C-A-3</t>
  </si>
  <si>
    <t xml:space="preserve">Front counter - east run to box</t>
  </si>
  <si>
    <t xml:space="preserve">SUBTOTAL TYPE A</t>
  </si>
  <si>
    <t xml:space="preserve">TYPE B</t>
  </si>
  <si>
    <t xml:space="preserve">B  #C-B  -  Pastry counter - west leg</t>
  </si>
  <si>
    <t xml:space="preserve">C-B</t>
  </si>
  <si>
    <t xml:space="preserve">Pastry counter - west leg</t>
  </si>
  <si>
    <t xml:space="preserve">B/A-221</t>
  </si>
  <si>
    <t xml:space="preserve">SUBTOTAL TYPE B</t>
  </si>
  <si>
    <t xml:space="preserve">TYPE D</t>
  </si>
  <si>
    <t xml:space="preserve">D  #C-D  -  Pastry counter - south (between legs)</t>
  </si>
  <si>
    <t xml:space="preserve">C-D</t>
  </si>
  <si>
    <t xml:space="preserve">Pastry counter - south (between legs)</t>
  </si>
  <si>
    <t xml:space="preserve">D/A-221</t>
  </si>
  <si>
    <t xml:space="preserve">SUBTOTAL TYPE D</t>
  </si>
  <si>
    <t xml:space="preserve">TYPE C</t>
  </si>
  <si>
    <t xml:space="preserve">C  #C-C  -  Pastry counter - east leg</t>
  </si>
  <si>
    <t xml:space="preserve">C-C</t>
  </si>
  <si>
    <t xml:space="preserve">Pastry counter - east leg</t>
  </si>
  <si>
    <t xml:space="preserve">C/A-221</t>
  </si>
  <si>
    <t xml:space="preserve">SUBTOTAL TYPE C</t>
  </si>
  <si>
    <t xml:space="preserve">TOTAL - PARTITIONS (GRAND TOTAL)</t>
  </si>
  <si>
    <t xml:space="preserve">TYPE OTHER FRAMING (NOT A PARTITION)</t>
  </si>
  <si>
    <t xml:space="preserve">column_wrap  #CW-01  -  Sales Area 101 - existing column, new 24"x24" GWB surround (keynote C25)</t>
  </si>
  <si>
    <t xml:space="preserve">CW-01</t>
  </si>
  <si>
    <t xml:space="preserve">Sales Area 101 - existing column, new 24"x24" GWB surround (keynote C25)</t>
  </si>
  <si>
    <t xml:space="preserve">C25/A-101</t>
  </si>
  <si>
    <t xml:space="preserve">column_wrap  #CW-02  -  Sales Area 101 - existing column, new 24"x24" GWB surround (keynote C25)</t>
  </si>
  <si>
    <t xml:space="preserve">CW-02</t>
  </si>
  <si>
    <t xml:space="preserve">column_wrap  #CW-03  -  Sales Area 101 - existing column, new 24"x24" GWB surround (keynote C25)</t>
  </si>
  <si>
    <t xml:space="preserve">CW-03</t>
  </si>
  <si>
    <t xml:space="preserve">column_wrap  #CW-04  -  Sales Area 101 - existing column, new 24"x24" GWB surround (keynote C25)</t>
  </si>
  <si>
    <t xml:space="preserve">CW-04</t>
  </si>
  <si>
    <t xml:space="preserve">column_wrap  #CW-05  -  Sales Area 101 - existing column, new 24"x24" GWB surround (keynote C25)</t>
  </si>
  <si>
    <t xml:space="preserve">CW-05</t>
  </si>
  <si>
    <t xml:space="preserve">column_wrap  #CW-06  -  Sales Area 101 - existing column, new 24"x24" GWB surround (keynote C25)</t>
  </si>
  <si>
    <t xml:space="preserve">CW-06</t>
  </si>
  <si>
    <t xml:space="preserve">column_wrap  #CW-07  -  Sales Area 101 - existing column, new 24"x24" GWB surround (keynote C25)</t>
  </si>
  <si>
    <t xml:space="preserve">CW-07</t>
  </si>
  <si>
    <t xml:space="preserve">column_wrap  #CW-08  -  Sales Area 101 - existing column, new 24"x24" GWB surround (keynote C25)</t>
  </si>
  <si>
    <t xml:space="preserve">CW-08</t>
  </si>
  <si>
    <t xml:space="preserve">column_wrap  #CW-09  -  Sales Area 101 - existing column, new 24"x24" GWB surround (keynote C25)</t>
  </si>
  <si>
    <t xml:space="preserve">CW-09</t>
  </si>
  <si>
    <t xml:space="preserve">soffit_side  #SS-N  -  Cafe 11'-0" zone N open edge to Sales</t>
  </si>
  <si>
    <t xml:space="preserve">SS-N</t>
  </si>
  <si>
    <t xml:space="preserve">Cafe 11'-0" zone N open edge to Sales</t>
  </si>
  <si>
    <t xml:space="preserve">2/A-221</t>
  </si>
  <si>
    <t xml:space="preserve">soffit_side  #SS-E  -  Cafe 11'-0" zone E open edge to Sales</t>
  </si>
  <si>
    <t xml:space="preserve">SS-E</t>
  </si>
  <si>
    <t xml:space="preserve">Cafe 11'-0" zone E open edge to Sales</t>
  </si>
  <si>
    <t xml:space="preserve">soffit_side  #SS-IN-N  -  Cafe 11'-6" band N edge (6" step)</t>
  </si>
  <si>
    <t xml:space="preserve">SS-IN-N</t>
  </si>
  <si>
    <t xml:space="preserve">Cafe 11'-6" band N edge (6" step)</t>
  </si>
  <si>
    <t xml:space="preserve">soffit_side  #SS-IN-E  -  Cafe 11'-6" band E edge (6" step)</t>
  </si>
  <si>
    <t xml:space="preserve">SS-IN-E</t>
  </si>
  <si>
    <t xml:space="preserve">Cafe 11'-6" band E edge (6" step)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</si>
  <si>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</si>
  <si>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</si>
  <si>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</si>
  <si>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</si>
  <si>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</si>
  <si>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</si>
  <si>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</si>
  <si>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</si>
  <si>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</si>
  <si>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</si>
  <si>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</si>
  <si>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</si>
  <si>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Bottom track 3-5/8"</t>
  </si>
  <si>
    <t xml:space="preserve">LF</t>
  </si>
  <si>
    <t xml:space="preserve">run 10 ft</t>
  </si>
  <si>
    <t xml:space="preserve">familias_out.json track_by_element 'bottom track (all)' (R73.3)</t>
  </si>
  <si>
    <t xml:space="preserve">Bottom track 6"</t>
  </si>
  <si>
    <t xml:space="preserve">Bottom track - other framing (not a partition type, see source)</t>
  </si>
  <si>
    <t xml:space="preserve">Top / deflection track 3-5/8"</t>
  </si>
  <si>
    <t xml:space="preserve">familias_out.json track_by_element 'top / deflection track (all)' (R73.3)</t>
  </si>
  <si>
    <t xml:space="preserve">Top / deflection track 6"</t>
  </si>
  <si>
    <t xml:space="preserve">Top / deflection track - other framing (not a partition type, see source)</t>
  </si>
  <si>
    <t xml:space="preserve">6" metal stud (LF of material)</t>
  </si>
  <si>
    <t xml:space="preserve">stick 20 ft</t>
  </si>
  <si>
    <t xml:space="preserve">familias_out.json '6" stud (all gauges)' (R80.4: canon family the run did not write)</t>
  </si>
  <si>
    <t xml:space="preserve">3-5/8" metal stud (LF of material)</t>
  </si>
  <si>
    <t xml:space="preserve">familias_out.json '3-5/8" stud (all gauges)' (R80.4: canon family the run did not write)</t>
  </si>
  <si>
    <t xml:space="preserve">Track, ceilings / soffits / canopy</t>
  </si>
  <si>
    <t xml:space="preserve">familias_out.json 'ceiling / soffit track' (R80.4: canon family the run did not write)</t>
  </si>
  <si>
    <t xml:space="preserve">Bracing 1-1/2" C.R. channel @ 48" O.C.</t>
  </si>
  <si>
    <t xml:space="preserve">C.R. channel 16 ft</t>
  </si>
  <si>
    <t xml:space="preserve">familias_out.json 'bracing C.R. channel' (R80.4: canon family the run did not write)</t>
  </si>
  <si>
    <t xml:space="preserve">Furring channel (ceilings)</t>
  </si>
  <si>
    <t xml:space="preserve">hat channel 12 ft</t>
  </si>
  <si>
    <t xml:space="preserve">familias_out.json 'furring channel' (R80.4: canon family the run did not write)</t>
  </si>
  <si>
    <t xml:space="preserve">Carrying channel (ceilings)</t>
  </si>
  <si>
    <t xml:space="preserve">familias_out.json 'carrying channel' (R80.4: canon family the run did not write)</t>
  </si>
  <si>
    <t xml:space="preserve">Hanger wire</t>
  </si>
  <si>
    <t xml:space="preserve">familias_out.json 'hanger wire' (R80.4: canon family the run did not write)</t>
  </si>
  <si>
    <t xml:space="preserve">5/8" gypsum board, regular</t>
  </si>
  <si>
    <t xml:space="preserve">SF</t>
  </si>
  <si>
    <t xml:space="preserve">4x12 ft sheet (Inputs)</t>
  </si>
  <si>
    <t xml:space="preserve">familias_out.json '5/8" gyp board regular (walls + ceilings)' (R80.4: canon family the run did not write)</t>
  </si>
  <si>
    <t xml:space="preserve">Blocking FRT / 2X FRT wood</t>
  </si>
  <si>
    <t xml:space="preserve">piece</t>
  </si>
  <si>
    <t xml:space="preserve">familias_out.json 'FRT blocking' (R80.4: canon family the run did not write)</t>
  </si>
  <si>
    <t xml:space="preserve">5/8" gypsum board, Type X</t>
  </si>
  <si>
    <t xml:space="preserve">familias_out.json '5/8" gyp board Type X' (R80.4: canon family the run did not write)</t>
  </si>
  <si>
    <t xml:space="preserve">5/8" gypsum board, Type X W.R. (water resistant)</t>
  </si>
  <si>
    <t xml:space="preserve">familias_out.json '5/8" gyp Type X W.R.' (R80.4: canon family the run did not write)</t>
  </si>
  <si>
    <t xml:space="preserve">METAL trim - corner bead, casing bead, shadow molding, gypsum edge trim</t>
  </si>
  <si>
    <t xml:space="preserve">trim stick 10 ft</t>
  </si>
  <si>
    <t xml:space="preserve">familias_out.json 'metal trim (corner bead, casing, shadow molding)' (R80.4: canon family the run did not write)</t>
  </si>
  <si>
    <t xml:space="preserve">Cement board (tile / FRP substrate)</t>
  </si>
  <si>
    <t xml:space="preserve">familias_out.json 'cement board' (R80.4: canon family the run did not write)</t>
  </si>
  <si>
    <t xml:space="preserve">3-5/8" stud, framed soffit 2/A-221 (LF)</t>
  </si>
  <si>
    <t xml:space="preserve">familias_out.json stud_by_element '3-5/8" stud (all gauges)' (v76)</t>
  </si>
  <si>
    <t xml:space="preserve">FRT plywood substrate (5/8 in.)</t>
  </si>
  <si>
    <t xml:space="preserve">familias_out.json FRT plywood by material; canon rows</t>
  </si>
  <si>
    <t xml:space="preserve">FRT plywood substrate (3/4 in.)</t>
  </si>
  <si>
    <t xml:space="preserve">Hanger wire 12 ga - hanger count (one per hanger, height per room)</t>
  </si>
  <si>
    <t xml:space="preserve">PCS</t>
  </si>
  <si>
    <t xml:space="preserve">familias_out.json hanger_pcs.total_pcs; wire bought on the LF row</t>
  </si>
  <si>
    <t xml:space="preserve">Additional head track at openings over 4'-0" wide</t>
  </si>
  <si>
    <t xml:space="preserve">accesorios.py [DERIVED]: HEAD TRACK @ NON LOAD BRG: ADD FULL LENGTH ADDL HEAD TRACK @ OPNG &gt; 4'-0"</t>
  </si>
  <si>
    <t xml:space="preserve">Stud reinforcement at MEP penetrations</t>
  </si>
  <si>
    <t xml:space="preserve">each</t>
  </si>
  <si>
    <t xml:space="preserve">accesorios.py [RFI]: -</t>
  </si>
  <si>
    <t xml:space="preserve">Extra framing - ATM recess (only what a detail prints at the recess; the wall stays in its type)</t>
  </si>
  <si>
    <t xml:space="preserve">accesorios.py [DERIVED]: -; A-101</t>
  </si>
  <si>
    <t xml:space="preserve">2-1/2" CFMF @ 16" O.C. at coiling grille head (detail per plans)</t>
  </si>
  <si>
    <t xml:space="preserve">accesorios.py [None]: accesorios.py</t>
  </si>
  <si>
    <t xml:space="preserve">Gypsum board jamb return at openings</t>
  </si>
  <si>
    <t xml:space="preserve">accesorios.py [DERIVED]: -; 1/A-500</t>
  </si>
  <si>
    <t xml:space="preserve">PVC trim - edge trim molding and inside corner molding at the FRP</t>
  </si>
  <si>
    <t xml:space="preserve">accesorios.py [DERIVED]: frp_none_reason</t>
  </si>
  <si>
    <t xml:space="preserve">Power-driven fasteners and duct sleeves</t>
  </si>
  <si>
    <t xml:space="preserve">accesorios.py [DERIVED]: -</t>
  </si>
  <si>
    <t xml:space="preserve">Access panel</t>
  </si>
  <si>
    <t xml:space="preserve">accesorios.py [DERIVED]: -; A-121</t>
  </si>
  <si>
    <t xml:space="preserve">Drywall screws 1-1/4" bugle head</t>
  </si>
  <si>
    <t xml:space="preserve">accesorios.py [DERIVED]: Inputs!B20 (Drywall screws per SF of board = 1.2) x 16562.8 SF of board</t>
  </si>
  <si>
    <t xml:space="preserve">Framing screws, pan head self-drilling</t>
  </si>
  <si>
    <t xml:space="preserve">accesorios.py [DERIVED]: Inputs!B21 (Framing screws per stud piece = 4) x 770 stud pieces</t>
  </si>
  <si>
    <t xml:space="preserve">Power-driven fasteners, slab pins for the bottom track</t>
  </si>
  <si>
    <t xml:space="preserve">accesorios.py [DERIVED]: 634.44 LF of interior bottom track on slab / Inputs!B22 (Power-driven pin spacing (ft) = 1)</t>
  </si>
  <si>
    <t xml:space="preserve">Expansion anchors Hilti 1/4" Kwik Bolt II, exterior bottom track @ 8" O.C.</t>
  </si>
  <si>
    <t xml:space="preserve">accesorios.py [DERIVED]: SILL TRACK ANCHORAGE exterior walls @ 8" O.C. (stud schedule)</t>
  </si>
  <si>
    <t xml:space="preserve">Joint compound, all purpose</t>
  </si>
  <si>
    <t xml:space="preserve">LB</t>
  </si>
  <si>
    <t xml:space="preserve">lb</t>
  </si>
  <si>
    <t xml:space="preserve">accesorios.py [DERIVED]: Inputs!B23 (Joint compound (lb per SF) = 0.072) x 16562.8 SF of board</t>
  </si>
  <si>
    <t xml:space="preserve">Joint tape, paper</t>
  </si>
  <si>
    <t xml:space="preserve">accesorios.py [DERIVED]: Inputs!B24 (Joint tape (LF per SF) = 0.37) x 16562.8 SF of board</t>
  </si>
  <si>
    <t xml:space="preserve">Level 5 finish</t>
  </si>
  <si>
    <t xml:space="preserve">accesorios.py [DERIVED]: -; A-510</t>
  </si>
  <si>
    <t xml:space="preserve">Deflection clips at non-load-bearing walls to structure</t>
  </si>
  <si>
    <t xml:space="preserve">accesorios.py [DERIVED]: 3/A-410</t>
  </si>
  <si>
    <t xml:space="preserve">RFI</t>
  </si>
  <si>
    <t xml:space="preserve">Question / condition</t>
  </si>
  <si>
    <t xml:space="preserve">Delta of each alternative</t>
  </si>
  <si>
    <t xml:space="preserve">RFI-ACC-slab-pins</t>
  </si>
  <si>
    <t xml:space="preserve">slab pins: pin spacing: 12" (interior anchorage) vs 16" (fastener schedule) vs 24" (type K box)</t>
  </si>
  <si>
    <t xml:space="preserve">16in: -158.61 pcs; 24in: -317.22 pcs</t>
  </si>
  <si>
    <t xml:space="preserve">RFI-ACC-stud-reinforcement-mep</t>
  </si>
  <si>
    <t xml:space="preserve">stud reinforcement MEP: MEP sweep not registrable: mep.registro M-102 (page 48) vs A-101 (page 6) gave 20 / 14 matching wall segments (&lt; 25 required); the HVAC sheet is not used for geometric crossings (mep.py rule). Ducts crossing the full-height type 2 / 5 / E walls must be counted from M-102 by the estimator.</t>
  </si>
  <si>
    <t xml:space="preserve">per duct crossing a stud wall: + MAX(1, ROUNDUP(duct width / 16")) stud reinforcement plates x stud rows (6/A-410 penetration details); plus 1 duct sleeve each</t>
  </si>
  <si>
    <t xml:space="preserve">RFI-01</t>
  </si>
  <si>
    <t xml:space="preserve">CLOSED - estimator decision 2026-10-24 (rev1): perimeter walls types 1 / 1A / 1B / 1C are EXISTING (1/DM-101 legend solid = to remain + key note 3 "EXTERIOR WALL PATCH AND REPAIR AS REQUIRED TO MAINTAIN EXISTING FIRE RATING"; A-101 Construction Legend "EXISTING EXTERIOR WALL" / "EXISTING PARTITION"; A-002 "PERIMETER STUDS, INSULATION, VAPOR BARRIER F/I BY LL"). Perimeter framing (studs, track, bracing, 1B sheathing) EXCLUDED. Interior face patch &amp; repair (1/DM-101 key note 3, A-101 C5) = ALLOWANCE, amount: $ ________ (blank, estimator to fill).</t>
  </si>
  <si>
    <t xml:space="preserve">Applied: - 417.43 LF of perimeter walls (17 walls); 3-5/8" stud 16,812.96 -&gt; 10,120.39 LF; 8" stud 2,332.99 -&gt; 0; 1/2" exterior sheathing 2,469.22 -&gt; 0 SF; bottom / top track 1,051.87 -&gt; 634.44 LF each; bracing 5,230.74 -&gt; 2,827.81 LF. Allowance: blank.</t>
  </si>
  <si>
    <t xml:space="preserve">RFI-02</t>
  </si>
  <si>
    <t xml:space="preserve">N/A after RFI-01 (perimeter walls existing, rev1): the north 1A / 1 boundary no longer affects the take-off (both types are existing, excluded).</t>
  </si>
  <si>
    <t xml:space="preserve">none</t>
  </si>
  <si>
    <t xml:space="preserve">RFI-03</t>
  </si>
  <si>
    <t xml:space="preserve">B.O. deck is V.I.F. and sloped: 24'-0" (2/A-400B) to 25'-7" (2/A-400A); walls to deck loaded at 25'-0" (1/A-400A, 1/A-400B), east facade 25'-7", west 24'-0".</t>
  </si>
  <si>
    <t xml:space="preserve">Each 1 ft of deck height = 409.54 LF of studs-to-deck walls x 1 ft (studs, board where to deck, bracing rows)</t>
  </si>
  <si>
    <t xml:space="preserve">RFI-04</t>
  </si>
  <si>
    <t xml:space="preserve">Type 2 height 25'-0" exceeds the 22'-0" limit of 3-5/8" 14 ga SJ @16" (A-410 metal stud schedule). Carried: 3-5/8" 14 ga SJ @16" + diagonal bracing @32" O.C. to structure above (3/A-410 Top Track Detail).</t>
  </si>
  <si>
    <t xml:space="preserve">Diagonal braces: 115 pcs (ROUNDUP(L x 12 / 32) + 1 per type 2 wall), brace member and length not printed - not priced. Alternative: 6" 20 ga SJ (26'-8") on 273.57 LF</t>
  </si>
  <si>
    <t xml:space="preserve">RFI-05</t>
  </si>
  <si>
    <t xml:space="preserve">Cafe south line: type 1 on A-101 and E1 / E2 (6" studs, void at existing wall) on 1/A-221. Counted ONCE as E1 / E2. E2 / E1 change point not drawn.</t>
  </si>
  <si>
    <t xml:space="preserve">If both furring and 6" wall exist: + 50.24 LF type 1 furring (3-5/8") x 25'-0". E2 / E1 split at the H2a faces: 0.20 LF moves.</t>
  </si>
  <si>
    <t xml:space="preserve">RFI-06</t>
  </si>
  <si>
    <t xml:space="preserve">Cafe wall heights H1, H2a, H2b, H3a, H3b, F not printed (sections break at the top; A-225 finish plan and A-226A elevations give finish tops 11'-0", 11'-6", 15'-0" only). Loaded to deck 25'-0" (rule 53.3).</t>
  </si>
  <si>
    <t xml:space="preserve">If studs stop at ~11'-6": - 69.78 LF x 13.5 ft of studs / board on these walls</t>
  </si>
  <si>
    <t xml:space="preserve">RFI-07</t>
  </si>
  <si>
    <t xml:space="preserve">N/A after RFI-01 (perimeter walls existing, rev1): exterior furring 3-5/8" over 22'-0" (types 1, 1A, 1C) is existing, excluded.</t>
  </si>
  <si>
    <t xml:space="preserve">RFI-08</t>
  </si>
  <si>
    <t xml:space="preserve">Type I: 5/8" FRT plywood to top of WD-1 and GWB above (I/A-221): top of WD-1 not printed. GWB loaded full height.</t>
  </si>
  <si>
    <t xml:space="preserve">Each 1 ft of WD-1 height moves 3.31 SF from GWB to FRT plywood</t>
  </si>
  <si>
    <t xml:space="preserve">RFI-09</t>
  </si>
  <si>
    <t xml:space="preserve">Door headers: no header schedule in the set and 1/A-500 shows no header; headers carried 0 LF.</t>
  </si>
  <si>
    <t xml:space="preserve">If a 2-piece track header is required at every door: + 83.32 LF ((R.O. + 1'-4") x 2)</t>
  </si>
  <si>
    <t xml:space="preserve">RFI-10</t>
  </si>
  <si>
    <t xml:space="preserve">N/A after RFI-01 (perimeter walls existing, rev1): doors 10, 12, 13 are existing doors in existing perimeter walls (A-500 EXISTING V.I.F.); no framing in our scope.</t>
  </si>
  <si>
    <t xml:space="preserve">RFI-11</t>
  </si>
  <si>
    <t xml:space="preserve">CLOSED - estimator decision 2026-10-24 (rev1): W.R. gyp bd on ALL faces of Women's 109, Men's 108, Janitor 107 and the drinking fountain alcove corridor faces (W2-06.2 / .3 / .4) - A-410 "*" note "PROVIDE 5/8" WATER RESISTANT GYP. BD AT JANITOR'S CLOSET, DRINKING FOUNTAIN, KITCHEN AND ALL TOILET LOCATIONS", A-410 partition note 7, 2/A-410, A-101 general note 8 (plan governs over skill rule D1). New walls only: EXT-07 faces and the break room kitchenette wall (south wall = EXT-07, 7/A-412) are existing -&gt; patch &amp; repair allowance.</t>
  </si>
  <si>
    <t xml:space="preserve">Applied: 5/8" Type X W.R. = 1,024.02 SF face by face (Women's 226.62 + Men's 223.02 + Janitor 485.75 + alcove corridor 88.63). Reconciles the rev0 figures: 935.4 SF (rev0 delta, restroom/janitor faces only) and ~1,326 SF (audit, included EXT-07 faces now existing).</t>
  </si>
  <si>
    <t xml:space="preserve">RFI-12</t>
  </si>
  <si>
    <t xml:space="preserve">Ceramic cove tile base (Cafe 103, Men's 108, Women's 109) and restroom wall tile (A-200, TL-2): cement board backer not detailed on the partitions.</t>
  </si>
  <si>
    <t xml:space="preserve">If cement board is required behind the tile: + wall tile area of A-200 elevations (not dimensioned here); audit A-09: tile base 22/A-201 5/8" cement board 1'-2" x Men's + Women's perimeter (2 x 32.33 LF) = about 76 SF</t>
  </si>
  <si>
    <t xml:space="preserve">RFI-13</t>
  </si>
  <si>
    <t xml:space="preserve">FRP-1 (A-510: Cafe Work Room, Janitor, Cafe below counter): extent / height not printed for the partitions. Not quantified.</t>
  </si>
  <si>
    <t xml:space="preserve">FRP-1 SF = Cafe Workroom walls (~81 LF) x 10'-0" + Janitor walls x height - to be confirmed</t>
  </si>
  <si>
    <t xml:space="preserve">RFI-14</t>
  </si>
  <si>
    <t xml:space="preserve">Cafe 11'-0" framed soffit open faces (2/A-221): GWB vs WD-1 split not printed; GWB loaded full height to deck.</t>
  </si>
  <si>
    <t xml:space="preserve">Each 1 ft of WD-1 on the open faces = 32.89 SF less GWB</t>
  </si>
  <si>
    <t xml:space="preserve">RFI-15</t>
  </si>
  <si>
    <t xml:space="preserve">Suspended GWB ceilings: carrying channel direction not shown (E-W assumed); Cafe Seating cloud is drawn as USG drywall grid (4/A-121) but carried as the 5/A-121 hat channel system.</t>
  </si>
  <si>
    <t xml:space="preserve">N-S direction changes carrying / furring LF; USG grid = main tees + cross tees instead of hat / CRC channels (same area 573.69 SF)</t>
  </si>
  <si>
    <t xml:space="preserve">RFI-16</t>
  </si>
  <si>
    <t xml:space="preserve">Vestibule GWB ceiling box (4/A-210, 1/A-210): 8" joists @16", 8" box beam, posts, ledger, 3/4" plywood, 5/8" GWB 94.67 SF + 0.78 ft fascias - not priced by the package (no 8" joist family).</t>
  </si>
  <si>
    <t xml:space="preserve">Pending: 94.67 SF GWB ceiling + fascia ~23 SF + 8" framing per 4/A-210; audit A-04: vestibule GWB ceiling 10'-6" (A-121 key note 5) about 8'-5" x 12'-8" = 107 SF suspended GWB (5/A-121), perimeter about 42 LF</t>
  </si>
  <si>
    <t xml:space="preserve">RFI-17</t>
  </si>
  <si>
    <t xml:space="preserve">Column surrounds C25: stud spacing not printed (16" assumed); 9 columns counted on A-101 (reading B mentioned 10).</t>
  </si>
  <si>
    <t xml:space="preserve">Each additional column: + 8 LF track x 2, 8 studs x 8 ft, 64 SF board, 32 LF corner bead</t>
  </si>
  <si>
    <t xml:space="preserve">RFI-18</t>
  </si>
  <si>
    <t xml:space="preserve">Type 4 curved walls: printed 25'-1" (taken) vs average of the two vector faces 25.68 ft.</t>
  </si>
  <si>
    <t xml:space="preserve">+1.20 LF type 4 if the face average is used</t>
  </si>
  <si>
    <t xml:space="preserve">RFI-19</t>
  </si>
  <si>
    <t xml:space="preserve">Board height where a ceiling exists: 2/A-410 extends gyp to deck only where there is no ceiling (taken: ceiling + 6"); A-410 partition note 2 asks gyp on both sides for the full stud height.</t>
  </si>
  <si>
    <t xml:space="preserve">Full height everywhere: + 4342.6 SF 5/8" gyp bd</t>
  </si>
  <si>
    <t xml:space="preserve">RFI-20</t>
  </si>
  <si>
    <t xml:space="preserve">Grab &amp; Go header soffit (3/A-221, 6'-2" x ~7"): framing to deck and its faces not dimensioned - not priced.</t>
  </si>
  <si>
    <t xml:space="preserve">3.73 SF GWB soffit + two faces 6.17 LF x (deck - 7'-1"); audit A-05: Grab &amp; Go GWB ceiling 7'-1" (A-121) about 18 SF GWB + framing</t>
  </si>
  <si>
    <t xml:space="preserve">RFI-21</t>
  </si>
  <si>
    <t xml:space="preserve">Cafe Seating GWB cloud edge: 6" fascia (4/A-121, measured on the detail, not dimensioned) and edge molding DGCM27.</t>
  </si>
  <si>
    <t xml:space="preserve">107.21 LF edge x 0.5 ft = 53.6 SF GWB + 107.21 LF edge trim</t>
  </si>
  <si>
    <t xml:space="preserve">RFI-22</t>
  </si>
  <si>
    <t xml:space="preserve">Types 3 and 4: "F.R.P. over 5/8" plywood where shelving occurs" (3/A-410, 4/A-410) - fixture plan A-111 does not define the extent on the partial walls.</t>
  </si>
  <si>
    <t xml:space="preserve">5/8" plywood + FRP on 121.15 LF x height per face where shelving occurs</t>
  </si>
  <si>
    <t xml:space="preserve">RFI-23</t>
  </si>
  <si>
    <t xml:space="preserve">CLOSED - estimator decision 2026-10-24 (rev1): FRT blocking taken off with the counts and rows per detail: stock room shelving 7/A-413 (3 rows), receiving table 8A/A-413 (4 rows), Manager's Office 3, 4/A-412 (4 rows), break room cabinets 6/A-412 (2 rows); restroom backing 21, 26/A-201 (10 pcs 3/4" FRT plywood); Cafe menu boards 4/A-226A continuous 3/4" FRT plywood 31" high x C-E1-S.</t>
  </si>
  <si>
    <t xml:space="preserve">Applied: FRT blocking 552.27 LF (387.0 + 69.0 + 85.6 + 10.67); 3/4" FRT plywood + 60.61 SF menu boards (23.46 x 31/12) + 13.33 SF restroom backing (10 pcs x 16" bay x 12" height ASSUMED - Review Item). Water heater backing (P-201) and W-3 surface blocking (1/A-414, by GC / fixture installer) not carried.</t>
  </si>
  <si>
    <t xml:space="preserve">RFI-24</t>
  </si>
  <si>
    <t xml:space="preserve">Gypsum board control joints: none labeled or detailed on A-410, A-121, A-221 or A-510 ("CJ" only in the M-100 legend). ASTM C840 limits uninterrupted wall runs to 30 ft; type 2 walls W2-01 (48.77 LF), W2-03 (94.24 LF), W2-04 (56.76 LF) exceed it. Not carried - confirm.</t>
  </si>
  <si>
    <t xml:space="preserve">Type 2: floor(L / 30) = 1 + 3 + 1 = 5 joints x 25.0 ft x 2 faces = + 250.0 LF control joint; if RFI-01 brings exterior gyp bd into scope: EXT-02 5 x 25.0 + EXT-03 2 x 24.0 + EXT-07 1 x 25.0 = + 198.0 LF (one face)</t>
  </si>
  <si>
    <t xml:space="preserve">RFI-25</t>
  </si>
  <si>
    <t xml:space="preserve">Merged into RFI-01 allowance (rev1): demising / perimeter wall patch &amp; repair (A-101 C5, 1/DM-101 key note 3) = ALLOWANCE, amount blank.</t>
  </si>
  <si>
    <t xml:space="preserve">Allowance: $ ________ (blank)</t>
  </si>
  <si>
    <t xml:space="preserve">RFI-26</t>
  </si>
  <si>
    <t xml:space="preserve">N/A after RFI-01 (perimeter walls existing, rev1): type 1B (and its 1/2" exterior gyp sheathing) is existing, excluded.</t>
  </si>
  <si>
    <t xml:space="preserve">RFI-27</t>
  </si>
  <si>
    <t xml:space="preserve">CLOSED - estimator decision 2026-10-24 (rev1): all 5/8" gyp bd on NEW walls = Type X (A-001A Div 09 A.2); W.R. faces = 5/8" Type X W.R. GWB ceilings stay 5/8" regular (decision covers walls; 4/A-121, 5/A-121 call Type X - confirm ceilings).</t>
  </si>
  <si>
    <t xml:space="preserve">Applied: 5/8" Type X 14,557.36 SF + Type X W.R. 1,024.02 SF; regular remains 981.38 SF (GWB ceilings). If ceilings are Type X too: + that SF moves to Type X.</t>
  </si>
  <si>
    <t xml:space="preserve">RFI-28</t>
  </si>
  <si>
    <t xml:space="preserve">Types 3 and 4 base anchorage: 3/A-410, 4/A-410 and A/A-410 draw a moment clip at the stud base with Hilti Kwik HUS-EZ anchors; spacing not printed separately. Not carried (expansion anchors 0).</t>
  </si>
  <si>
    <t xml:space="preserve">If one clip per stud: + 162 moment clips (type 3 = 40 studs, type 4 = 122 studs, studs_out) + 324 Kwik HUS-EZ 1/4" x 1-5/8" (2 per clip)</t>
  </si>
  <si>
    <t xml:space="preserve">RFI-29</t>
  </si>
  <si>
    <t xml:space="preserve">Corner guards: A-101 key note C22 "STAINLESS STEEL CORNER GUARDS AT 48" A.F.F. FOR ALL OUTSIDE GYPSUM BOARD CORNERS AT STOCKROOM WALLS" vs A-001A "METAL CORNER GUARDS (2"X2"X72") AT ALL OUTSIDE CORNERS". Extent and installer (drywall vs Div 10) not defined. Not carried.</t>
  </si>
  <si>
    <t xml:space="preserve">C22: stock room outside corners only, about 4 to 6 corners x 4 ft; spec: every outside corner x 6 ft including 36 column surround corners (9 x 4)</t>
  </si>
  <si>
    <t xml:space="preserve">RFI-30</t>
  </si>
  <si>
    <t xml:space="preserve">Access panels: M-100 general note 30 and E general note 12 "THE GENERAL CONTRACTOR SHALL INSTALL ACCESS PANELS"; A-002 F/I tenant contractor; quantity not shown on any sheet. Not carried.</t>
  </si>
  <si>
    <t xml:space="preserve">Install only: allowance of 4 to 6 panels in the GWB ceilings (restrooms, Cafe bands / soffit, vestibule)</t>
  </si>
  <si>
    <t xml:space="preserve">12 questions in total, asked ONE at a time in this order: floor plan (partition types A-Z), then the details the floor plan calls, in order</t>
  </si>
  <si>
    <t xml:space="preserve">#</t>
  </si>
  <si>
    <t xml:space="preserve">Phase</t>
  </si>
  <si>
    <t xml:space="preserve">Type / order</t>
  </si>
  <si>
    <t xml:space="preserve">Item</t>
  </si>
  <si>
    <t xml:space="preserve">Sheet + detail</t>
  </si>
  <si>
    <t xml:space="preserve">Image</t>
  </si>
  <si>
    <t xml:space="preserve">1/12</t>
  </si>
  <si>
    <t xml:space="preserve">Floor plan</t>
  </si>
  <si>
    <t xml:space="preserve">2</t>
  </si>
  <si>
    <t xml:space="preserve">Corridor wall W2-05 starts at the restroom front (7.92 LF, reading B) - image res_W205.png</t>
  </si>
  <si>
    <t xml:space="preserve">A-101</t>
  </si>
  <si>
    <t xml:space="preserve">see FINAL_FOR_REVIEW images</t>
  </si>
  <si>
    <t xml:space="preserve">2/12</t>
  </si>
  <si>
    <t xml:space="preserve">4</t>
  </si>
  <si>
    <t xml:space="preserve">Center feature caps = open U + curved walls 25'-1" (RFI-18)</t>
  </si>
  <si>
    <t xml:space="preserve">3/12</t>
  </si>
  <si>
    <t xml:space="preserve">C25</t>
  </si>
  <si>
    <t xml:space="preserve">Column surrounds: 9 counted (B said 10) (RFI-17)</t>
  </si>
  <si>
    <t xml:space="preserve">4/12</t>
  </si>
  <si>
    <t xml:space="preserve">I</t>
  </si>
  <si>
    <t xml:space="preserve">Workroom door pier: 1'-0" return = type I (tag PT0050), E1 pier 2.11 LF</t>
  </si>
  <si>
    <t xml:space="preserve">1/A-221</t>
  </si>
  <si>
    <t xml:space="preserve">5/12</t>
  </si>
  <si>
    <t xml:space="preserve">Detail</t>
  </si>
  <si>
    <t xml:space="preserve">Board height ceiling + 6" vs full height (RFI-19)</t>
  </si>
  <si>
    <t xml:space="preserve">6/12</t>
  </si>
  <si>
    <t xml:space="preserve">Type 2 &gt; 22 ft: 14 ga SJ + diagonal bracing @32" (RFI-04)</t>
  </si>
  <si>
    <t xml:space="preserve">7/12</t>
  </si>
  <si>
    <t xml:space="preserve">Cafe heights not printed, loaded to deck (RFI-06)</t>
  </si>
  <si>
    <t xml:space="preserve">8/12</t>
  </si>
  <si>
    <t xml:space="preserve">Type I WD-1 top (RFI-08)</t>
  </si>
  <si>
    <t xml:space="preserve">9/12</t>
  </si>
  <si>
    <t xml:space="preserve">Cafe framed soffit faces (RFI-14)</t>
  </si>
  <si>
    <t xml:space="preserve">10/12</t>
  </si>
  <si>
    <t xml:space="preserve">Ceiling system / carrying direction / cloud grid (RFI-15)</t>
  </si>
  <si>
    <t xml:space="preserve">5/A-121</t>
  </si>
  <si>
    <t xml:space="preserve">11/12</t>
  </si>
  <si>
    <t xml:space="preserve">Vestibule ceiling box not priced (RFI-16)</t>
  </si>
  <si>
    <t xml:space="preserve">4/A-210</t>
  </si>
  <si>
    <t xml:space="preserve">12/12</t>
  </si>
  <si>
    <t xml:space="preserve">Restroom FRT plywood backing: 10 pcs at 16" stud bay, height NOT printed - 12" assumed (13.33 SF); confirm grab bar / lavatory / baby changing backing size (RFI-23)</t>
  </si>
  <si>
    <t xml:space="preserve">21/A-201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</si>
  <si>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</si>
  <si>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</si>
  <si>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</si>
  <si>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</si>
  <si>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</si>
  <si>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</si>
  <si>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Quantified (rev1): partition types 2, 5, 3, 4 (A-410) and Cafe types H1, H2a, H2b, H3a, H3b, E2, E1, F, I, A, B, D, C (A-221) on A-101 / A-221; 3-5/8" and 6" stud families in Material Summary. Perimeter types 1 / 1A / 1B / 1C EXISTING - EXCLUDED (RFI-01).</t>
  </si>
  <si>
    <t xml:space="preserve">ALC-02</t>
  </si>
  <si>
    <t xml:space="preserve">Exterior wall framing (CFMF)</t>
  </si>
  <si>
    <t xml:space="preserve">NOT APPLICABLE</t>
  </si>
  <si>
    <t xml:space="preserve">NOT APPLICABLE (rev1, estimator decision RFI-01): perimeter walls types 1/1A/1B/1C are EXISTING - EXCLUDED: 1/DM-101 legend + key note 3, A-101 Construction Legend, A-002 'PERIMETER STUDS ... F/I BY LL'; M-303 (p52) mention is a plumbing note. Interior face patch &amp; repair = allowance (blank).</t>
  </si>
  <si>
    <t xml:space="preserve">ALC-03</t>
  </si>
  <si>
    <t xml:space="preserve">Parapet framing</t>
  </si>
  <si>
    <t xml:space="preserve">NOT APPLICABLE: no parapet framing in scope - partition schedule A-410 and sections A-400A, A-400B show no parapet type; M-301 (p50) mention is a mechanical roof-edge note</t>
  </si>
  <si>
    <t xml:space="preserve">ALC-04</t>
  </si>
  <si>
    <t xml:space="preserve">Top / deflection and bottom track</t>
  </si>
  <si>
    <t xml:space="preserve">Bottom track and top / deflection track = partition LF per type (A-101, A-221; 2/A-410, 3/A-410); M-302 (p51) mention is plumbing expansion fittings</t>
  </si>
  <si>
    <t xml:space="preserve">ALC-05</t>
  </si>
  <si>
    <t xml:space="preserve">Headers, sills and jambs at openings</t>
  </si>
  <si>
    <t xml:space="preserve">RFI-09 door headers: no header schedule in the set and 1/A-500 shows no header; jambs carried as studs; sill track not called (A-500 door schedule)</t>
  </si>
  <si>
    <t xml:space="preserve">ALC-06</t>
  </si>
  <si>
    <t xml:space="preserve">Bracing / bridging</t>
  </si>
  <si>
    <t xml:space="preserve">Bracing C.R. channel @ 4'-0" O.C. per A-410 partition note 4 and 2/A-410, 3/A-410, 4/A-410; diagonal bracing type 2 &gt; 22' per note 3/A-410 (RFI-04)</t>
  </si>
  <si>
    <t xml:space="preserve">ALC-07</t>
  </si>
  <si>
    <t xml:space="preserve">Gypsum board on walls (layers per type)</t>
  </si>
  <si>
    <t xml:space="preserve">Quantified (rev1): 5/8" Type X 14,557.36 SF + Type X W.R. 1,024.02 SF on new walls (A-410, A-001A, RFI-27); GWB ceilings 5/8" regular 981.38 SF (A-121). Perimeter walls existing (RFI-01).</t>
  </si>
  <si>
    <t xml:space="preserve">ALC-08</t>
  </si>
  <si>
    <t xml:space="preserve">Moisture / abuse / special board at wet zones</t>
  </si>
  <si>
    <t xml:space="preserve">Quantified (rev1, estimator decision RFI-11): 5/8 in Type X W.R. 1,024.02 SF on all faces of Women's 109, Men's 108, Janitor 107 + drinking fountain alcove corridor faces (A-410 '*' note, note 7, 2/A-410, A-101 general note 8); existing EXT-07 faces = patch allowance.</t>
  </si>
  <si>
    <t xml:space="preserve">ALC-09</t>
  </si>
  <si>
    <t xml:space="preserve">Exterior gypsum / glass mat sheathing</t>
  </si>
  <si>
    <t xml:space="preserve">NOT APPLICABLE (rev1): the only sheathing in the set is 1/2 in exterior gyp sheathing of type 1B (1B/A-410), an EXISTING perimeter wall - EXCLUDED (RFI-01, 1/DM-101, A-002); M-301 (p50) 'plastic sheathing' is temporary protection.</t>
  </si>
  <si>
    <t xml:space="preserve">ALC-10</t>
  </si>
  <si>
    <t xml:space="preserve">FRT plywood sheathing / substrate</t>
  </si>
  <si>
    <t xml:space="preserve">FRT plywood 5/8" substrate types I, 3, 4 (I/A-221, 3/A-410, 4/A-410) and 3/4" FRT plywood boards E-103 (p37 4'x8' FRT PLYWOOD) in Material Summary</t>
  </si>
  <si>
    <t xml:space="preserve">ALC-11</t>
  </si>
  <si>
    <t xml:space="preserve">Gypsum board ceilings</t>
  </si>
  <si>
    <t xml:space="preserve">Suspended GWB ceilings and soffits per A-121 RCP (5/A-121, 4/A-121) and A-221 / 2/A-221; in 5/8" gyp bd family</t>
  </si>
  <si>
    <t xml:space="preserve">ALC-12</t>
  </si>
  <si>
    <t xml:space="preserve">Ceiling suspension (furring / carrying channel / hanger wire / ceiling track)</t>
  </si>
  <si>
    <t xml:space="preserve">Furring channel @ 24", carrying channel @ 48", hanger wire 103 pcs, ceiling track per 5/A-121 on A-121; direction assumed E-W (RFI-15); M-100 (p46), M-101 (p47), M-102 (p48) hangers are MEP</t>
  </si>
  <si>
    <t xml:space="preserve">ALC-13</t>
  </si>
  <si>
    <t xml:space="preserve">Soffits and bulkheads (framing + board)</t>
  </si>
  <si>
    <t xml:space="preserve">Framed soffit 2/A-221, Grab &amp; Go header 3/A-221 (RFI-20), soffit sides on A-121; E-102 (p36) bulkhead is signage (by others)</t>
  </si>
  <si>
    <t xml:space="preserve">ALC-14</t>
  </si>
  <si>
    <t xml:space="preserve">Canopy / marquee framing and sheathing</t>
  </si>
  <si>
    <t xml:space="preserve">NOT APPLICABLE: E-102 (p36) 'MOUNT WITHIN CANOPY BULKHEAD' is an electrical sign note at the existing canopy; no canopy framing on A-101, A-121, A-210</t>
  </si>
  <si>
    <t xml:space="preserve">ALC-15</t>
  </si>
  <si>
    <t xml:space="preserve">Column furring / wraps</t>
  </si>
  <si>
    <t xml:space="preserve">Column wraps C25 x 9 on A-101 (stud spacing assumed 16", RFI-17) carried under OTHER FRAMING</t>
  </si>
  <si>
    <t xml:space="preserve">ALC-16</t>
  </si>
  <si>
    <t xml:space="preserve">Blocking (FRT wood / metal) for millwork and accessories</t>
  </si>
  <si>
    <t xml:space="preserve">Quantified (rev1, estimator decision RFI-23): FRT blocking 552.27 LF (7/A-413 387.0, 8A/A-413 69.0, 3-4/A-412 85.6, 6/A-412 10.67) + 3/4 in FRT plywood menu boards 60.61 SF (4/A-226A) + restroom backing 13.33 SF (21/A-201, height assumed - Review Item). Water heater backing P-201 (p60) not carried.</t>
  </si>
  <si>
    <t xml:space="preserve">ALC-17</t>
  </si>
  <si>
    <t xml:space="preserve">Framed openings (MEP, access panels, diffusers)</t>
  </si>
  <si>
    <t xml:space="preserve">RFI-30 access panels: M-100 general note 30 (p46) / E-201 (p40) 'GC SHALL INSTALL ACCESS PANELS', quantity not shown; no framed MEP opening drawn in GWB walls (A-121, M-102, P-101A). Earlier NOT APPLICABLE corrected (audit A-06)</t>
  </si>
  <si>
    <t xml:space="preserve">ALC-18</t>
  </si>
  <si>
    <t xml:space="preserve">Trim: corner bead, casing bead, control joints, reveals</t>
  </si>
  <si>
    <t xml:space="preserve">Metal trim (corner bead, casing / L-bead) per A-410 and A-121 details; M-100 (p46) CJ is a legend abbreviation; audit F-05 / F-06: column surround corner bead 288 LF + Cafe cloud corner bead / J-bead 107.21 LF each (4/A-121)</t>
  </si>
  <si>
    <t xml:space="preserve">ALC-19</t>
  </si>
  <si>
    <t xml:space="preserve">Acoustical sealant / sound attenuation (EXCLUDED: estimator standing order, all projects)</t>
  </si>
  <si>
    <t xml:space="preserve">EXCLUDED: EXCLUDED in all projects (estimator standing order): no acoustical sealant row and no quantity</t>
  </si>
  <si>
    <t xml:space="preserve">ALC-20</t>
  </si>
  <si>
    <t xml:space="preserve">FRP / cement board / tile backer</t>
  </si>
  <si>
    <t xml:space="preserve">Cement board at wet walls (A-510 tile finishes, RFI-12); FRP-1 extent RFI-13 / RFI-22 not carried</t>
  </si>
  <si>
    <t xml:space="preserve">ALC-21</t>
  </si>
  <si>
    <t xml:space="preserve">Shaft walls / area separation walls</t>
  </si>
  <si>
    <t xml:space="preserve">NOT APPLICABLE: no shaft wall / area separation wall in partition schedule A-410 or plan A-101</t>
  </si>
  <si>
    <t xml:space="preserve">ALC-22</t>
  </si>
  <si>
    <t xml:space="preserve">Rated assemblies (UL designs) and their board type</t>
  </si>
  <si>
    <t xml:space="preserve">NOT APPLICABLE: all partition types are Non-Rated per A-410 titles (2/A-410, 3/A-410, 4/A-410, 5/A-410); E-201 (p40), E-202 (p42), E-301 (p44), M-100 (p46) mentions are generic penetration notes</t>
  </si>
  <si>
    <t xml:space="preserve">ALC-23</t>
  </si>
  <si>
    <t xml:space="preserve">Special panels (ballistic, lead-lined, abuse)</t>
  </si>
  <si>
    <t xml:space="preserve">NOT APPLICABLE: no ballistic, lead-lined or abuse panels in A-410 schedule or A-510 finish schedule</t>
  </si>
  <si>
    <t xml:space="preserve">ALC-24</t>
  </si>
  <si>
    <t xml:space="preserve">Finish level (Level 4 / Level 5)</t>
  </si>
  <si>
    <t xml:space="preserve">NOT APPLICABLE: no finish level specified in A-510 finish schedule / notes (paint PT-1..PT-8 only); Level 4 assumed by default for joint compound and tape (listed in README_REVIEW)</t>
  </si>
  <si>
    <t xml:space="preserve">ALC-X25</t>
  </si>
  <si>
    <t xml:space="preserve">batt insulation</t>
  </si>
  <si>
    <t xml:space="preserve">EXCLUDED (estimator criterion: no insulation)</t>
  </si>
  <si>
    <t xml:space="preserve">reglas.py compuerta OK</t>
  </si>
  <si>
    <t xml:space="preserve">{"canon": "eee731b6e84d1bb3a59642b4637b14ad222632a4def8af76630787b2e2bc055b", "evidencias": "82f4ec13c901d7191f9772989e98854d158340ab19499f6cfbada96ca6cbd21e", "familias_out": "ab68ce8bc871060c9ab7fa580e3059e6dc3e94d0e40d4cd171e76e2c6733ef7f", "reglas": "182268001317d55d6c346278737583948f157d485fbe7263cf3ae377f3670c1e", "version": "v73"}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</si>
</sst>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s">
        <v>20</v>
      </c>
      <c r="C13" s="0" t="s">
        <v>21</v>
      </c>
    </row>
    <row r="14" customFormat="false" ht="15" hidden="false" customHeight="false" outlineLevel="0" collapsed="false">
      <c r="A14" s="0" t="s">
        <v>23</v>
      </c>
      <c r="B14" s="0" t="s">
        <v>20</v>
      </c>
      <c r="C14" s="0" t="s">
        <v>21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1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0.666666666666667</v>
      </c>
      <c r="C25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41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9" min="8" style="0" width="60"/>
    <col collapsed="false" customWidth="true" hidden="false" outlineLevel="0" max="10" min="10" style="0" width="23"/>
    <col collapsed="false" customWidth="true" hidden="false" outlineLevel="0" max="11" min="11" style="0" width="11"/>
  </cols>
  <sheetData>
    <row r="1" customFormat="false" ht="16.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0" t="s">
        <v>48</v>
      </c>
    </row>
    <row r="4" customFormat="false" ht="15" hidden="false" customHeight="false" outlineLevel="0" collapsed="false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57</v>
      </c>
      <c r="J4" s="2" t="s">
        <v>58</v>
      </c>
      <c r="K4" s="2" t="s">
        <v>59</v>
      </c>
    </row>
    <row r="5" customFormat="false" ht="15" hidden="false" customHeight="false" outlineLevel="0" collapsed="false">
      <c r="A5" s="5" t="s">
        <v>60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n">
        <v>53.76</v>
      </c>
      <c r="D6" s="0" t="n">
        <v>25</v>
      </c>
      <c r="E6" s="0" t="n">
        <v>2</v>
      </c>
      <c r="F6" s="0" t="s">
        <v>63</v>
      </c>
      <c r="G6" s="0" t="n">
        <v>16</v>
      </c>
      <c r="H6" s="0" t="n">
        <v>2688</v>
      </c>
      <c r="I6" s="0" t="s">
        <v>64</v>
      </c>
      <c r="J6" s="0" t="s">
        <v>65</v>
      </c>
      <c r="K6" s="0" t="s">
        <v>66</v>
      </c>
    </row>
    <row r="7" customFormat="false" ht="15" hidden="false" customHeight="false" outlineLevel="0" collapsed="false">
      <c r="A7" s="0" t="s">
        <v>67</v>
      </c>
      <c r="B7" s="0" t="s">
        <v>68</v>
      </c>
      <c r="C7" s="0" t="n">
        <v>94.24</v>
      </c>
      <c r="D7" s="0" t="n">
        <v>25</v>
      </c>
      <c r="E7" s="0" t="n">
        <v>2</v>
      </c>
      <c r="F7" s="0" t="s">
        <v>63</v>
      </c>
      <c r="G7" s="0" t="n">
        <v>16</v>
      </c>
      <c r="H7" s="0" t="n">
        <v>4508.64</v>
      </c>
      <c r="I7" s="0" t="s">
        <v>69</v>
      </c>
      <c r="J7" s="0" t="s">
        <v>65</v>
      </c>
      <c r="K7" s="0" t="s">
        <v>66</v>
      </c>
    </row>
    <row r="8" customFormat="false" ht="15" hidden="false" customHeight="false" outlineLevel="0" collapsed="false">
      <c r="A8" s="0" t="s">
        <v>70</v>
      </c>
      <c r="B8" s="0" t="s">
        <v>71</v>
      </c>
      <c r="C8" s="0" t="n">
        <v>56.76</v>
      </c>
      <c r="D8" s="0" t="n">
        <v>25</v>
      </c>
      <c r="E8" s="0" t="n">
        <v>2</v>
      </c>
      <c r="F8" s="0" t="s">
        <v>63</v>
      </c>
      <c r="G8" s="0" t="n">
        <v>16</v>
      </c>
      <c r="H8" s="0" t="n">
        <v>1958.22</v>
      </c>
      <c r="I8" s="0" t="s">
        <v>72</v>
      </c>
      <c r="J8" s="0" t="s">
        <v>65</v>
      </c>
      <c r="K8" s="0" t="s">
        <v>66</v>
      </c>
    </row>
    <row r="9" customFormat="false" ht="15" hidden="false" customHeight="false" outlineLevel="0" collapsed="false">
      <c r="A9" s="0" t="s">
        <v>73</v>
      </c>
      <c r="B9" s="0" t="s">
        <v>74</v>
      </c>
      <c r="C9" s="0" t="n">
        <v>7.92</v>
      </c>
      <c r="D9" s="0" t="n">
        <v>25</v>
      </c>
      <c r="E9" s="0" t="n">
        <v>2</v>
      </c>
      <c r="F9" s="0" t="s">
        <v>63</v>
      </c>
      <c r="G9" s="0" t="n">
        <v>16</v>
      </c>
      <c r="H9" s="0" t="n">
        <v>146.52</v>
      </c>
      <c r="I9" s="0" t="s">
        <v>75</v>
      </c>
      <c r="J9" s="0" t="s">
        <v>65</v>
      </c>
      <c r="K9" s="0" t="s">
        <v>66</v>
      </c>
    </row>
    <row r="10" customFormat="false" ht="15" hidden="false" customHeight="false" outlineLevel="0" collapsed="false">
      <c r="A10" s="0" t="s">
        <v>76</v>
      </c>
      <c r="B10" s="0" t="s">
        <v>77</v>
      </c>
      <c r="C10" s="0" t="n">
        <v>27.54</v>
      </c>
      <c r="D10" s="0" t="n">
        <v>25</v>
      </c>
      <c r="E10" s="0" t="n">
        <v>2</v>
      </c>
      <c r="F10" s="0" t="s">
        <v>63</v>
      </c>
      <c r="G10" s="0" t="n">
        <v>16</v>
      </c>
      <c r="H10" s="0" t="n">
        <v>580.04</v>
      </c>
      <c r="I10" s="0" t="s">
        <v>78</v>
      </c>
      <c r="J10" s="0" t="s">
        <v>65</v>
      </c>
      <c r="K10" s="0" t="s">
        <v>66</v>
      </c>
    </row>
    <row r="11" customFormat="false" ht="15" hidden="false" customHeight="false" outlineLevel="0" collapsed="false">
      <c r="A11" s="0" t="s">
        <v>79</v>
      </c>
      <c r="B11" s="0" t="s">
        <v>80</v>
      </c>
      <c r="C11" s="0" t="n">
        <v>7.51</v>
      </c>
      <c r="D11" s="0" t="n">
        <v>25</v>
      </c>
      <c r="E11" s="0" t="n">
        <v>2</v>
      </c>
      <c r="F11" s="0" t="s">
        <v>63</v>
      </c>
      <c r="G11" s="0" t="n">
        <v>16</v>
      </c>
      <c r="H11" s="0" t="n">
        <v>255.34</v>
      </c>
      <c r="I11" s="0" t="s">
        <v>81</v>
      </c>
      <c r="J11" s="0" t="s">
        <v>65</v>
      </c>
      <c r="K11" s="0" t="s">
        <v>66</v>
      </c>
    </row>
    <row r="12" customFormat="false" ht="15" hidden="false" customHeight="false" outlineLevel="0" collapsed="false">
      <c r="A12" s="0" t="s">
        <v>82</v>
      </c>
      <c r="B12" s="0" t="s">
        <v>83</v>
      </c>
      <c r="C12" s="0" t="n">
        <v>12.92</v>
      </c>
      <c r="D12" s="0" t="n">
        <v>25</v>
      </c>
      <c r="E12" s="0" t="n">
        <v>2</v>
      </c>
      <c r="F12" s="0" t="s">
        <v>63</v>
      </c>
      <c r="G12" s="0" t="n">
        <v>16</v>
      </c>
      <c r="H12" s="0" t="n">
        <v>361.89</v>
      </c>
      <c r="I12" s="0" t="s">
        <v>84</v>
      </c>
      <c r="J12" s="0" t="s">
        <v>65</v>
      </c>
      <c r="K12" s="0" t="s">
        <v>66</v>
      </c>
    </row>
    <row r="13" customFormat="false" ht="15" hidden="false" customHeight="false" outlineLevel="0" collapsed="false">
      <c r="A13" s="0" t="s">
        <v>85</v>
      </c>
      <c r="B13" s="0" t="s">
        <v>86</v>
      </c>
      <c r="C13" s="0" t="n">
        <v>12.92</v>
      </c>
      <c r="D13" s="0" t="n">
        <v>25</v>
      </c>
      <c r="E13" s="0" t="n">
        <v>2</v>
      </c>
      <c r="F13" s="0" t="s">
        <v>63</v>
      </c>
      <c r="G13" s="0" t="n">
        <v>16</v>
      </c>
      <c r="H13" s="0" t="n">
        <v>245.48</v>
      </c>
      <c r="I13" s="0" t="s">
        <v>87</v>
      </c>
      <c r="J13" s="0" t="s">
        <v>65</v>
      </c>
      <c r="K13" s="0" t="s">
        <v>66</v>
      </c>
    </row>
    <row r="14" customFormat="false" ht="15" hidden="false" customHeight="false" outlineLevel="0" collapsed="false">
      <c r="B14" s="6" t="s">
        <v>88</v>
      </c>
      <c r="C14" s="4" t="n">
        <f aca="false">SUM(C6:C13)</f>
        <v>273.57</v>
      </c>
      <c r="H14" s="4" t="n">
        <f aca="false">SUM(H6:H13)</f>
        <v>10744.13</v>
      </c>
    </row>
    <row r="15" customFormat="false" ht="15" hidden="false" customHeight="false" outlineLevel="0" collapsed="false">
      <c r="A15" s="5" t="s">
        <v>89</v>
      </c>
    </row>
    <row r="16" customFormat="false" ht="15" hidden="false" customHeight="false" outlineLevel="0" collapsed="false">
      <c r="A16" s="0" t="s">
        <v>90</v>
      </c>
      <c r="B16" s="0" t="s">
        <v>91</v>
      </c>
      <c r="C16" s="0" t="n">
        <v>5.7</v>
      </c>
      <c r="D16" s="0" t="n">
        <v>25</v>
      </c>
      <c r="E16" s="0" t="n">
        <v>2</v>
      </c>
      <c r="F16" s="0" t="s">
        <v>92</v>
      </c>
      <c r="G16" s="0" t="n">
        <v>16</v>
      </c>
      <c r="H16" s="0" t="n">
        <v>102.6</v>
      </c>
      <c r="I16" s="0" t="s">
        <v>93</v>
      </c>
      <c r="J16" s="0" t="s">
        <v>94</v>
      </c>
      <c r="K16" s="0" t="s">
        <v>66</v>
      </c>
    </row>
    <row r="17" customFormat="false" ht="15" hidden="false" customHeight="false" outlineLevel="0" collapsed="false">
      <c r="B17" s="6" t="s">
        <v>95</v>
      </c>
      <c r="C17" s="4" t="n">
        <f aca="false">SUM(C16:C16)</f>
        <v>5.7</v>
      </c>
      <c r="H17" s="4" t="n">
        <f aca="false">SUM(H16:H16)</f>
        <v>102.6</v>
      </c>
    </row>
    <row r="18" customFormat="false" ht="15" hidden="false" customHeight="false" outlineLevel="0" collapsed="false">
      <c r="A18" s="5" t="s">
        <v>96</v>
      </c>
    </row>
    <row r="19" customFormat="false" ht="15" hidden="false" customHeight="false" outlineLevel="0" collapsed="false">
      <c r="A19" s="0" t="s">
        <v>97</v>
      </c>
      <c r="B19" s="0" t="s">
        <v>98</v>
      </c>
      <c r="C19" s="0" t="n">
        <v>3.67</v>
      </c>
      <c r="D19" s="0" t="n">
        <v>8</v>
      </c>
      <c r="E19" s="0" t="n">
        <v>2</v>
      </c>
      <c r="F19" s="0" t="s">
        <v>63</v>
      </c>
      <c r="G19" s="0" t="n">
        <v>16</v>
      </c>
      <c r="H19" s="0" t="n">
        <v>58.72</v>
      </c>
      <c r="I19" s="0" t="s">
        <v>99</v>
      </c>
      <c r="J19" s="0" t="s">
        <v>100</v>
      </c>
      <c r="K19" s="0" t="s">
        <v>66</v>
      </c>
    </row>
    <row r="20" customFormat="false" ht="15" hidden="false" customHeight="false" outlineLevel="0" collapsed="false">
      <c r="A20" s="0" t="s">
        <v>101</v>
      </c>
      <c r="B20" s="0" t="s">
        <v>102</v>
      </c>
      <c r="C20" s="0" t="n">
        <v>12</v>
      </c>
      <c r="D20" s="0" t="n">
        <v>8</v>
      </c>
      <c r="E20" s="0" t="n">
        <v>2</v>
      </c>
      <c r="F20" s="0" t="s">
        <v>63</v>
      </c>
      <c r="G20" s="0" t="n">
        <v>16</v>
      </c>
      <c r="H20" s="0" t="n">
        <v>192</v>
      </c>
      <c r="I20" s="0" t="s">
        <v>103</v>
      </c>
      <c r="J20" s="0" t="s">
        <v>100</v>
      </c>
      <c r="K20" s="0" t="s">
        <v>66</v>
      </c>
    </row>
    <row r="21" customFormat="false" ht="15" hidden="false" customHeight="false" outlineLevel="0" collapsed="false">
      <c r="A21" s="0" t="s">
        <v>104</v>
      </c>
      <c r="B21" s="0" t="s">
        <v>105</v>
      </c>
      <c r="C21" s="0" t="n">
        <v>12</v>
      </c>
      <c r="D21" s="0" t="n">
        <v>8</v>
      </c>
      <c r="E21" s="0" t="n">
        <v>2</v>
      </c>
      <c r="F21" s="0" t="s">
        <v>63</v>
      </c>
      <c r="G21" s="0" t="n">
        <v>16</v>
      </c>
      <c r="H21" s="0" t="n">
        <v>192</v>
      </c>
      <c r="I21" s="0" t="s">
        <v>106</v>
      </c>
      <c r="J21" s="0" t="s">
        <v>100</v>
      </c>
      <c r="K21" s="0" t="s">
        <v>66</v>
      </c>
    </row>
    <row r="22" customFormat="false" ht="15" hidden="false" customHeight="false" outlineLevel="0" collapsed="false">
      <c r="A22" s="0" t="s">
        <v>107</v>
      </c>
      <c r="B22" s="0" t="s">
        <v>108</v>
      </c>
      <c r="C22" s="0" t="n">
        <v>3.67</v>
      </c>
      <c r="D22" s="0" t="n">
        <v>8</v>
      </c>
      <c r="E22" s="0" t="n">
        <v>2</v>
      </c>
      <c r="F22" s="0" t="s">
        <v>63</v>
      </c>
      <c r="G22" s="0" t="n">
        <v>16</v>
      </c>
      <c r="H22" s="0" t="n">
        <v>58.72</v>
      </c>
      <c r="I22" s="0" t="s">
        <v>109</v>
      </c>
      <c r="J22" s="0" t="s">
        <v>100</v>
      </c>
      <c r="K22" s="0" t="s">
        <v>66</v>
      </c>
    </row>
    <row r="23" customFormat="false" ht="15" hidden="false" customHeight="false" outlineLevel="0" collapsed="false">
      <c r="A23" s="0" t="s">
        <v>110</v>
      </c>
      <c r="B23" s="0" t="s">
        <v>111</v>
      </c>
      <c r="C23" s="0" t="n">
        <v>3.67</v>
      </c>
      <c r="D23" s="0" t="n">
        <v>8</v>
      </c>
      <c r="E23" s="0" t="n">
        <v>2</v>
      </c>
      <c r="F23" s="0" t="s">
        <v>63</v>
      </c>
      <c r="G23" s="0" t="n">
        <v>16</v>
      </c>
      <c r="H23" s="0" t="n">
        <v>58.72</v>
      </c>
      <c r="I23" s="0" t="s">
        <v>112</v>
      </c>
      <c r="J23" s="0" t="s">
        <v>100</v>
      </c>
      <c r="K23" s="0" t="s">
        <v>66</v>
      </c>
    </row>
    <row r="24" customFormat="false" ht="15" hidden="false" customHeight="false" outlineLevel="0" collapsed="false">
      <c r="A24" s="0" t="s">
        <v>113</v>
      </c>
      <c r="B24" s="0" t="s">
        <v>114</v>
      </c>
      <c r="C24" s="0" t="n">
        <v>3.67</v>
      </c>
      <c r="D24" s="0" t="n">
        <v>8</v>
      </c>
      <c r="E24" s="0" t="n">
        <v>2</v>
      </c>
      <c r="F24" s="0" t="s">
        <v>63</v>
      </c>
      <c r="G24" s="0" t="n">
        <v>16</v>
      </c>
      <c r="H24" s="0" t="n">
        <v>58.72</v>
      </c>
      <c r="I24" s="0" t="s">
        <v>115</v>
      </c>
      <c r="J24" s="0" t="s">
        <v>100</v>
      </c>
      <c r="K24" s="0" t="s">
        <v>66</v>
      </c>
    </row>
    <row r="25" customFormat="false" ht="15" hidden="false" customHeight="false" outlineLevel="0" collapsed="false">
      <c r="B25" s="6" t="s">
        <v>116</v>
      </c>
      <c r="C25" s="4" t="n">
        <f aca="false">SUM(C19:C24)</f>
        <v>38.68</v>
      </c>
      <c r="H25" s="4" t="n">
        <f aca="false">SUM(H19:H24)</f>
        <v>618.88</v>
      </c>
    </row>
    <row r="26" customFormat="false" ht="15" hidden="false" customHeight="false" outlineLevel="0" collapsed="false">
      <c r="A26" s="5" t="s">
        <v>117</v>
      </c>
    </row>
    <row r="27" customFormat="false" ht="15" hidden="false" customHeight="false" outlineLevel="0" collapsed="false">
      <c r="A27" s="0" t="s">
        <v>118</v>
      </c>
      <c r="B27" s="0" t="s">
        <v>119</v>
      </c>
      <c r="C27" s="0" t="n">
        <v>12.68</v>
      </c>
      <c r="D27" s="0" t="n">
        <v>7.5</v>
      </c>
      <c r="E27" s="0" t="n">
        <v>2</v>
      </c>
      <c r="F27" s="0" t="s">
        <v>63</v>
      </c>
      <c r="G27" s="0" t="n">
        <v>16</v>
      </c>
      <c r="H27" s="0" t="n">
        <v>190.2</v>
      </c>
      <c r="I27" s="0" t="s">
        <v>120</v>
      </c>
      <c r="J27" s="0" t="s">
        <v>121</v>
      </c>
      <c r="K27" s="0" t="s">
        <v>66</v>
      </c>
    </row>
    <row r="28" customFormat="false" ht="15" hidden="false" customHeight="false" outlineLevel="0" collapsed="false">
      <c r="A28" s="0" t="s">
        <v>122</v>
      </c>
      <c r="B28" s="0" t="s">
        <v>123</v>
      </c>
      <c r="C28" s="0" t="n">
        <v>1.77</v>
      </c>
      <c r="D28" s="0" t="n">
        <v>7.5</v>
      </c>
      <c r="E28" s="0" t="n">
        <v>2</v>
      </c>
      <c r="F28" s="0" t="s">
        <v>63</v>
      </c>
      <c r="G28" s="0" t="n">
        <v>16</v>
      </c>
      <c r="H28" s="0" t="n">
        <v>26.56</v>
      </c>
      <c r="I28" s="0" t="s">
        <v>124</v>
      </c>
      <c r="J28" s="0" t="s">
        <v>121</v>
      </c>
      <c r="K28" s="0" t="s">
        <v>66</v>
      </c>
    </row>
    <row r="29" customFormat="false" ht="15" hidden="false" customHeight="false" outlineLevel="0" collapsed="false">
      <c r="A29" s="0" t="s">
        <v>125</v>
      </c>
      <c r="B29" s="0" t="s">
        <v>126</v>
      </c>
      <c r="C29" s="0" t="n">
        <v>1.72</v>
      </c>
      <c r="D29" s="0" t="n">
        <v>7.5</v>
      </c>
      <c r="E29" s="0" t="n">
        <v>2</v>
      </c>
      <c r="F29" s="0" t="s">
        <v>63</v>
      </c>
      <c r="G29" s="0" t="n">
        <v>16</v>
      </c>
      <c r="H29" s="0" t="n">
        <v>25.8</v>
      </c>
      <c r="I29" s="0" t="s">
        <v>127</v>
      </c>
      <c r="J29" s="0" t="s">
        <v>121</v>
      </c>
      <c r="K29" s="0" t="s">
        <v>66</v>
      </c>
    </row>
    <row r="30" customFormat="false" ht="15" hidden="false" customHeight="false" outlineLevel="0" collapsed="false">
      <c r="A30" s="0" t="s">
        <v>128</v>
      </c>
      <c r="B30" s="0" t="s">
        <v>129</v>
      </c>
      <c r="C30" s="0" t="n">
        <v>4.18</v>
      </c>
      <c r="D30" s="0" t="n">
        <v>7.5</v>
      </c>
      <c r="E30" s="0" t="n">
        <v>2</v>
      </c>
      <c r="F30" s="0" t="s">
        <v>63</v>
      </c>
      <c r="G30" s="0" t="n">
        <v>16</v>
      </c>
      <c r="H30" s="0" t="n">
        <v>62.7</v>
      </c>
      <c r="I30" s="0" t="s">
        <v>130</v>
      </c>
      <c r="J30" s="0" t="s">
        <v>121</v>
      </c>
      <c r="K30" s="0" t="s">
        <v>66</v>
      </c>
    </row>
    <row r="31" customFormat="false" ht="15" hidden="false" customHeight="false" outlineLevel="0" collapsed="false">
      <c r="A31" s="0" t="s">
        <v>131</v>
      </c>
      <c r="B31" s="0" t="s">
        <v>132</v>
      </c>
      <c r="C31" s="0" t="n">
        <v>4.18</v>
      </c>
      <c r="D31" s="0" t="n">
        <v>7.5</v>
      </c>
      <c r="E31" s="0" t="n">
        <v>2</v>
      </c>
      <c r="F31" s="0" t="s">
        <v>63</v>
      </c>
      <c r="G31" s="0" t="n">
        <v>16</v>
      </c>
      <c r="H31" s="0" t="n">
        <v>62.7</v>
      </c>
      <c r="I31" s="0" t="s">
        <v>133</v>
      </c>
      <c r="J31" s="0" t="s">
        <v>121</v>
      </c>
      <c r="K31" s="0" t="s">
        <v>66</v>
      </c>
    </row>
    <row r="32" customFormat="false" ht="15" hidden="false" customHeight="false" outlineLevel="0" collapsed="false">
      <c r="A32" s="0" t="s">
        <v>134</v>
      </c>
      <c r="B32" s="0" t="s">
        <v>135</v>
      </c>
      <c r="C32" s="0" t="n">
        <v>4.19</v>
      </c>
      <c r="D32" s="0" t="n">
        <v>7.5</v>
      </c>
      <c r="E32" s="0" t="n">
        <v>2</v>
      </c>
      <c r="F32" s="0" t="s">
        <v>63</v>
      </c>
      <c r="G32" s="0" t="n">
        <v>16</v>
      </c>
      <c r="H32" s="0" t="n">
        <v>62.86</v>
      </c>
      <c r="I32" s="0" t="s">
        <v>136</v>
      </c>
      <c r="J32" s="0" t="s">
        <v>121</v>
      </c>
      <c r="K32" s="0" t="s">
        <v>66</v>
      </c>
    </row>
    <row r="33" customFormat="false" ht="15" hidden="false" customHeight="false" outlineLevel="0" collapsed="false">
      <c r="A33" s="0" t="s">
        <v>137</v>
      </c>
      <c r="B33" s="0" t="s">
        <v>138</v>
      </c>
      <c r="C33" s="0" t="n">
        <v>4.19</v>
      </c>
      <c r="D33" s="0" t="n">
        <v>7.5</v>
      </c>
      <c r="E33" s="0" t="n">
        <v>2</v>
      </c>
      <c r="F33" s="0" t="s">
        <v>63</v>
      </c>
      <c r="G33" s="0" t="n">
        <v>16</v>
      </c>
      <c r="H33" s="0" t="n">
        <v>62.86</v>
      </c>
      <c r="I33" s="0" t="s">
        <v>139</v>
      </c>
      <c r="J33" s="0" t="s">
        <v>121</v>
      </c>
      <c r="K33" s="0" t="s">
        <v>66</v>
      </c>
    </row>
    <row r="34" customFormat="false" ht="15" hidden="false" customHeight="false" outlineLevel="0" collapsed="false">
      <c r="A34" s="0" t="s">
        <v>140</v>
      </c>
      <c r="B34" s="0" t="s">
        <v>141</v>
      </c>
      <c r="C34" s="0" t="n">
        <v>4.18</v>
      </c>
      <c r="D34" s="0" t="n">
        <v>7.5</v>
      </c>
      <c r="E34" s="0" t="n">
        <v>2</v>
      </c>
      <c r="F34" s="0" t="s">
        <v>63</v>
      </c>
      <c r="G34" s="0" t="n">
        <v>16</v>
      </c>
      <c r="H34" s="0" t="n">
        <v>62.7</v>
      </c>
      <c r="I34" s="0" t="s">
        <v>142</v>
      </c>
      <c r="J34" s="0" t="s">
        <v>121</v>
      </c>
      <c r="K34" s="0" t="s">
        <v>66</v>
      </c>
    </row>
    <row r="35" customFormat="false" ht="15" hidden="false" customHeight="false" outlineLevel="0" collapsed="false">
      <c r="A35" s="0" t="s">
        <v>143</v>
      </c>
      <c r="B35" s="0" t="s">
        <v>144</v>
      </c>
      <c r="C35" s="0" t="n">
        <v>4.19</v>
      </c>
      <c r="D35" s="0" t="n">
        <v>7.5</v>
      </c>
      <c r="E35" s="0" t="n">
        <v>2</v>
      </c>
      <c r="F35" s="0" t="s">
        <v>63</v>
      </c>
      <c r="G35" s="0" t="n">
        <v>16</v>
      </c>
      <c r="H35" s="0" t="n">
        <v>62.86</v>
      </c>
      <c r="I35" s="0" t="s">
        <v>145</v>
      </c>
      <c r="J35" s="0" t="s">
        <v>121</v>
      </c>
      <c r="K35" s="0" t="s">
        <v>66</v>
      </c>
    </row>
    <row r="36" customFormat="false" ht="15" hidden="false" customHeight="false" outlineLevel="0" collapsed="false">
      <c r="A36" s="0" t="s">
        <v>146</v>
      </c>
      <c r="B36" s="0" t="s">
        <v>147</v>
      </c>
      <c r="C36" s="0" t="n">
        <v>4.18</v>
      </c>
      <c r="D36" s="0" t="n">
        <v>7.5</v>
      </c>
      <c r="E36" s="0" t="n">
        <v>2</v>
      </c>
      <c r="F36" s="0" t="s">
        <v>63</v>
      </c>
      <c r="G36" s="0" t="n">
        <v>16</v>
      </c>
      <c r="H36" s="0" t="n">
        <v>62.7</v>
      </c>
      <c r="I36" s="0" t="s">
        <v>148</v>
      </c>
      <c r="J36" s="0" t="s">
        <v>121</v>
      </c>
      <c r="K36" s="0" t="s">
        <v>66</v>
      </c>
    </row>
    <row r="37" customFormat="false" ht="15" hidden="false" customHeight="false" outlineLevel="0" collapsed="false">
      <c r="A37" s="0" t="s">
        <v>149</v>
      </c>
      <c r="B37" s="0" t="s">
        <v>150</v>
      </c>
      <c r="C37" s="0" t="n">
        <v>4.18</v>
      </c>
      <c r="D37" s="0" t="n">
        <v>7.5</v>
      </c>
      <c r="E37" s="0" t="n">
        <v>2</v>
      </c>
      <c r="F37" s="0" t="s">
        <v>63</v>
      </c>
      <c r="G37" s="0" t="n">
        <v>16</v>
      </c>
      <c r="H37" s="0" t="n">
        <v>62.7</v>
      </c>
      <c r="I37" s="0" t="s">
        <v>151</v>
      </c>
      <c r="J37" s="0" t="s">
        <v>121</v>
      </c>
      <c r="K37" s="0" t="s">
        <v>66</v>
      </c>
    </row>
    <row r="38" customFormat="false" ht="15" hidden="false" customHeight="false" outlineLevel="0" collapsed="false">
      <c r="A38" s="0" t="s">
        <v>152</v>
      </c>
      <c r="B38" s="0" t="s">
        <v>153</v>
      </c>
      <c r="C38" s="0" t="n">
        <v>4.18</v>
      </c>
      <c r="D38" s="0" t="n">
        <v>7.5</v>
      </c>
      <c r="E38" s="0" t="n">
        <v>2</v>
      </c>
      <c r="F38" s="0" t="s">
        <v>63</v>
      </c>
      <c r="G38" s="0" t="n">
        <v>16</v>
      </c>
      <c r="H38" s="0" t="n">
        <v>62.7</v>
      </c>
      <c r="I38" s="0" t="s">
        <v>154</v>
      </c>
      <c r="J38" s="0" t="s">
        <v>121</v>
      </c>
      <c r="K38" s="0" t="s">
        <v>66</v>
      </c>
    </row>
    <row r="39" customFormat="false" ht="15" hidden="false" customHeight="false" outlineLevel="0" collapsed="false">
      <c r="A39" s="0" t="s">
        <v>155</v>
      </c>
      <c r="B39" s="0" t="s">
        <v>156</v>
      </c>
      <c r="C39" s="0" t="n">
        <v>4.18</v>
      </c>
      <c r="D39" s="0" t="n">
        <v>7.5</v>
      </c>
      <c r="E39" s="0" t="n">
        <v>2</v>
      </c>
      <c r="F39" s="0" t="s">
        <v>63</v>
      </c>
      <c r="G39" s="0" t="n">
        <v>16</v>
      </c>
      <c r="H39" s="0" t="n">
        <v>62.7</v>
      </c>
      <c r="I39" s="0" t="s">
        <v>157</v>
      </c>
      <c r="J39" s="0" t="s">
        <v>121</v>
      </c>
      <c r="K39" s="0" t="s">
        <v>66</v>
      </c>
    </row>
    <row r="40" customFormat="false" ht="15" hidden="false" customHeight="false" outlineLevel="0" collapsed="false">
      <c r="A40" s="0" t="s">
        <v>158</v>
      </c>
      <c r="B40" s="0" t="s">
        <v>159</v>
      </c>
      <c r="C40" s="0" t="n">
        <v>4.18</v>
      </c>
      <c r="D40" s="0" t="n">
        <v>7.5</v>
      </c>
      <c r="E40" s="0" t="n">
        <v>2</v>
      </c>
      <c r="F40" s="0" t="s">
        <v>63</v>
      </c>
      <c r="G40" s="0" t="n">
        <v>16</v>
      </c>
      <c r="H40" s="0" t="n">
        <v>62.7</v>
      </c>
      <c r="I40" s="0" t="s">
        <v>160</v>
      </c>
      <c r="J40" s="0" t="s">
        <v>121</v>
      </c>
      <c r="K40" s="0" t="s">
        <v>66</v>
      </c>
    </row>
    <row r="41" customFormat="false" ht="15" hidden="false" customHeight="false" outlineLevel="0" collapsed="false">
      <c r="A41" s="0" t="s">
        <v>161</v>
      </c>
      <c r="B41" s="0" t="s">
        <v>162</v>
      </c>
      <c r="C41" s="0" t="n">
        <v>4.18</v>
      </c>
      <c r="D41" s="0" t="n">
        <v>7.5</v>
      </c>
      <c r="E41" s="0" t="n">
        <v>2</v>
      </c>
      <c r="F41" s="0" t="s">
        <v>63</v>
      </c>
      <c r="G41" s="0" t="n">
        <v>16</v>
      </c>
      <c r="H41" s="0" t="n">
        <v>62.7</v>
      </c>
      <c r="I41" s="0" t="s">
        <v>163</v>
      </c>
      <c r="J41" s="0" t="s">
        <v>121</v>
      </c>
      <c r="K41" s="0" t="s">
        <v>66</v>
      </c>
    </row>
    <row r="42" customFormat="false" ht="15" hidden="false" customHeight="false" outlineLevel="0" collapsed="false">
      <c r="A42" s="0" t="s">
        <v>164</v>
      </c>
      <c r="B42" s="0" t="s">
        <v>165</v>
      </c>
      <c r="C42" s="0" t="n">
        <v>12.68</v>
      </c>
      <c r="D42" s="0" t="n">
        <v>7.5</v>
      </c>
      <c r="E42" s="0" t="n">
        <v>2</v>
      </c>
      <c r="F42" s="0" t="s">
        <v>63</v>
      </c>
      <c r="G42" s="0" t="n">
        <v>16</v>
      </c>
      <c r="H42" s="0" t="n">
        <v>190.2</v>
      </c>
      <c r="I42" s="0" t="s">
        <v>166</v>
      </c>
      <c r="J42" s="0" t="s">
        <v>121</v>
      </c>
      <c r="K42" s="0" t="s">
        <v>66</v>
      </c>
    </row>
    <row r="43" customFormat="false" ht="15" hidden="false" customHeight="false" outlineLevel="0" collapsed="false">
      <c r="A43" s="0" t="s">
        <v>167</v>
      </c>
      <c r="B43" s="0" t="s">
        <v>168</v>
      </c>
      <c r="C43" s="0" t="n">
        <v>1.75</v>
      </c>
      <c r="D43" s="0" t="n">
        <v>7.5</v>
      </c>
      <c r="E43" s="0" t="n">
        <v>2</v>
      </c>
      <c r="F43" s="0" t="s">
        <v>63</v>
      </c>
      <c r="G43" s="0" t="n">
        <v>16</v>
      </c>
      <c r="H43" s="0" t="n">
        <v>26.24</v>
      </c>
      <c r="I43" s="0" t="s">
        <v>169</v>
      </c>
      <c r="J43" s="0" t="s">
        <v>121</v>
      </c>
      <c r="K43" s="0" t="s">
        <v>66</v>
      </c>
    </row>
    <row r="44" customFormat="false" ht="15" hidden="false" customHeight="false" outlineLevel="0" collapsed="false">
      <c r="A44" s="0" t="s">
        <v>170</v>
      </c>
      <c r="B44" s="0" t="s">
        <v>171</v>
      </c>
      <c r="C44" s="0" t="n">
        <v>1.68</v>
      </c>
      <c r="D44" s="0" t="n">
        <v>7.5</v>
      </c>
      <c r="E44" s="0" t="n">
        <v>2</v>
      </c>
      <c r="F44" s="0" t="s">
        <v>63</v>
      </c>
      <c r="G44" s="0" t="n">
        <v>16</v>
      </c>
      <c r="H44" s="0" t="n">
        <v>25.2</v>
      </c>
      <c r="I44" s="0" t="s">
        <v>172</v>
      </c>
      <c r="J44" s="0" t="s">
        <v>121</v>
      </c>
      <c r="K44" s="0" t="s">
        <v>66</v>
      </c>
    </row>
    <row r="45" customFormat="false" ht="15" hidden="false" customHeight="false" outlineLevel="0" collapsed="false">
      <c r="B45" s="6" t="s">
        <v>173</v>
      </c>
      <c r="C45" s="4" t="n">
        <f aca="false">SUM(C27:C44)</f>
        <v>82.47</v>
      </c>
      <c r="H45" s="4" t="n">
        <f aca="false">SUM(H27:H44)</f>
        <v>1237.08</v>
      </c>
    </row>
    <row r="46" customFormat="false" ht="15" hidden="false" customHeight="false" outlineLevel="0" collapsed="false">
      <c r="A46" s="5" t="s">
        <v>174</v>
      </c>
    </row>
    <row r="47" customFormat="false" ht="15" hidden="false" customHeight="false" outlineLevel="0" collapsed="false">
      <c r="A47" s="0" t="s">
        <v>175</v>
      </c>
      <c r="B47" s="0" t="s">
        <v>176</v>
      </c>
      <c r="C47" s="0" t="n">
        <v>29.98</v>
      </c>
      <c r="D47" s="0" t="n">
        <v>25</v>
      </c>
      <c r="E47" s="0" t="n">
        <v>2</v>
      </c>
      <c r="F47" s="0" t="s">
        <v>92</v>
      </c>
      <c r="G47" s="0" t="n">
        <v>16</v>
      </c>
      <c r="H47" s="0" t="n">
        <v>993.23</v>
      </c>
      <c r="I47" s="0" t="s">
        <v>177</v>
      </c>
      <c r="J47" s="0" t="s">
        <v>178</v>
      </c>
      <c r="K47" s="0" t="s">
        <v>66</v>
      </c>
    </row>
    <row r="48" customFormat="false" ht="15" hidden="false" customHeight="false" outlineLevel="0" collapsed="false">
      <c r="A48" s="0" t="s">
        <v>179</v>
      </c>
      <c r="B48" s="0" t="s">
        <v>180</v>
      </c>
      <c r="C48" s="0" t="n">
        <v>12.17</v>
      </c>
      <c r="D48" s="0" t="n">
        <v>25</v>
      </c>
      <c r="E48" s="0" t="n">
        <v>2</v>
      </c>
      <c r="F48" s="0" t="s">
        <v>92</v>
      </c>
      <c r="G48" s="0" t="n">
        <v>16</v>
      </c>
      <c r="H48" s="0" t="n">
        <v>243.39</v>
      </c>
      <c r="I48" s="0" t="s">
        <v>181</v>
      </c>
      <c r="J48" s="0" t="s">
        <v>178</v>
      </c>
      <c r="K48" s="0" t="s">
        <v>66</v>
      </c>
    </row>
    <row r="49" customFormat="false" ht="15" hidden="false" customHeight="false" outlineLevel="0" collapsed="false">
      <c r="B49" s="6" t="s">
        <v>182</v>
      </c>
      <c r="C49" s="4" t="n">
        <f aca="false">SUM(C47:C48)</f>
        <v>42.15</v>
      </c>
      <c r="H49" s="4" t="n">
        <f aca="false">SUM(H47:H48)</f>
        <v>1236.62</v>
      </c>
    </row>
    <row r="50" customFormat="false" ht="15" hidden="false" customHeight="false" outlineLevel="0" collapsed="false">
      <c r="A50" s="5" t="s">
        <v>183</v>
      </c>
    </row>
    <row r="51" customFormat="false" ht="15" hidden="false" customHeight="false" outlineLevel="0" collapsed="false">
      <c r="A51" s="0" t="s">
        <v>184</v>
      </c>
      <c r="B51" s="0" t="s">
        <v>185</v>
      </c>
      <c r="C51" s="0" t="n">
        <v>12.17</v>
      </c>
      <c r="D51" s="0" t="n">
        <v>25</v>
      </c>
      <c r="E51" s="0" t="n">
        <v>2</v>
      </c>
      <c r="F51" s="0" t="s">
        <v>63</v>
      </c>
      <c r="G51" s="0" t="n">
        <v>16</v>
      </c>
      <c r="H51" s="0" t="n">
        <v>432.03</v>
      </c>
      <c r="I51" s="0" t="s">
        <v>186</v>
      </c>
      <c r="J51" s="0" t="s">
        <v>178</v>
      </c>
      <c r="K51" s="0" t="s">
        <v>66</v>
      </c>
    </row>
    <row r="52" customFormat="false" ht="15" hidden="false" customHeight="false" outlineLevel="0" collapsed="false">
      <c r="B52" s="6" t="s">
        <v>187</v>
      </c>
      <c r="C52" s="4" t="n">
        <f aca="false">SUM(C51:C51)</f>
        <v>12.17</v>
      </c>
      <c r="H52" s="4" t="n">
        <f aca="false">SUM(H51:H51)</f>
        <v>432.03</v>
      </c>
    </row>
    <row r="53" customFormat="false" ht="15" hidden="false" customHeight="false" outlineLevel="0" collapsed="false">
      <c r="A53" s="5" t="s">
        <v>188</v>
      </c>
    </row>
    <row r="54" customFormat="false" ht="15" hidden="false" customHeight="false" outlineLevel="0" collapsed="false">
      <c r="A54" s="0" t="s">
        <v>189</v>
      </c>
      <c r="B54" s="0" t="s">
        <v>190</v>
      </c>
      <c r="C54" s="0" t="n">
        <v>1.95</v>
      </c>
      <c r="D54" s="0" t="n">
        <v>25</v>
      </c>
      <c r="E54" s="0" t="n">
        <v>0</v>
      </c>
      <c r="F54" s="0" t="s">
        <v>63</v>
      </c>
      <c r="G54" s="0" t="n">
        <v>16</v>
      </c>
      <c r="H54" s="0" t="n">
        <v>0</v>
      </c>
      <c r="I54" s="0" t="s">
        <v>191</v>
      </c>
      <c r="J54" s="0" t="s">
        <v>178</v>
      </c>
      <c r="K54" s="0" t="s">
        <v>66</v>
      </c>
    </row>
    <row r="55" customFormat="false" ht="15" hidden="false" customHeight="false" outlineLevel="0" collapsed="false">
      <c r="B55" s="6" t="s">
        <v>192</v>
      </c>
      <c r="C55" s="4" t="n">
        <f aca="false">SUM(C54:C54)</f>
        <v>1.95</v>
      </c>
      <c r="H55" s="4" t="n">
        <f aca="false">SUM(H54:H54)</f>
        <v>0</v>
      </c>
    </row>
    <row r="56" customFormat="false" ht="15" hidden="false" customHeight="false" outlineLevel="0" collapsed="false">
      <c r="A56" s="5" t="s">
        <v>193</v>
      </c>
    </row>
    <row r="57" customFormat="false" ht="15" hidden="false" customHeight="false" outlineLevel="0" collapsed="false">
      <c r="A57" s="0" t="s">
        <v>194</v>
      </c>
      <c r="B57" s="0" t="s">
        <v>195</v>
      </c>
      <c r="C57" s="0" t="n">
        <v>4.08</v>
      </c>
      <c r="D57" s="0" t="n">
        <v>25</v>
      </c>
      <c r="E57" s="0" t="n">
        <v>1</v>
      </c>
      <c r="F57" s="0" t="s">
        <v>92</v>
      </c>
      <c r="G57" s="0" t="n">
        <v>16</v>
      </c>
      <c r="H57" s="0" t="n">
        <v>30.94</v>
      </c>
      <c r="I57" s="0" t="s">
        <v>196</v>
      </c>
      <c r="J57" s="0" t="s">
        <v>197</v>
      </c>
      <c r="K57" s="0" t="s">
        <v>66</v>
      </c>
    </row>
    <row r="58" customFormat="false" ht="15" hidden="false" customHeight="false" outlineLevel="0" collapsed="false">
      <c r="B58" s="6" t="s">
        <v>198</v>
      </c>
      <c r="C58" s="4" t="n">
        <f aca="false">SUM(C57:C57)</f>
        <v>4.08</v>
      </c>
      <c r="H58" s="4" t="n">
        <f aca="false">SUM(H57:H57)</f>
        <v>30.94</v>
      </c>
    </row>
    <row r="59" customFormat="false" ht="15" hidden="false" customHeight="false" outlineLevel="0" collapsed="false">
      <c r="A59" s="5" t="s">
        <v>199</v>
      </c>
    </row>
    <row r="60" customFormat="false" ht="15" hidden="false" customHeight="false" outlineLevel="0" collapsed="false">
      <c r="A60" s="0" t="s">
        <v>200</v>
      </c>
      <c r="B60" s="0" t="s">
        <v>201</v>
      </c>
      <c r="C60" s="0" t="n">
        <v>6.17</v>
      </c>
      <c r="D60" s="0" t="n">
        <v>25</v>
      </c>
      <c r="E60" s="0" t="n">
        <v>1</v>
      </c>
      <c r="F60" s="0" t="s">
        <v>92</v>
      </c>
      <c r="G60" s="0" t="n">
        <v>16</v>
      </c>
      <c r="H60" s="0" t="n">
        <v>46.79</v>
      </c>
      <c r="I60" s="0" t="s">
        <v>202</v>
      </c>
      <c r="J60" s="0" t="s">
        <v>197</v>
      </c>
      <c r="K60" s="0" t="s">
        <v>66</v>
      </c>
    </row>
    <row r="61" customFormat="false" ht="15" hidden="false" customHeight="false" outlineLevel="0" collapsed="false">
      <c r="B61" s="6" t="s">
        <v>203</v>
      </c>
      <c r="C61" s="4" t="n">
        <f aca="false">SUM(C60:C60)</f>
        <v>6.17</v>
      </c>
      <c r="H61" s="4" t="n">
        <f aca="false">SUM(H60:H60)</f>
        <v>46.79</v>
      </c>
    </row>
    <row r="62" customFormat="false" ht="15" hidden="false" customHeight="false" outlineLevel="0" collapsed="false">
      <c r="A62" s="5" t="s">
        <v>204</v>
      </c>
    </row>
    <row r="63" customFormat="false" ht="15" hidden="false" customHeight="false" outlineLevel="0" collapsed="false">
      <c r="A63" s="0" t="s">
        <v>205</v>
      </c>
      <c r="B63" s="0" t="s">
        <v>206</v>
      </c>
      <c r="C63" s="0" t="n">
        <v>29.3</v>
      </c>
      <c r="D63" s="0" t="n">
        <v>25</v>
      </c>
      <c r="E63" s="0" t="n">
        <v>0</v>
      </c>
      <c r="F63" s="0" t="s">
        <v>92</v>
      </c>
      <c r="G63" s="0" t="n">
        <v>16</v>
      </c>
      <c r="H63" s="0" t="n">
        <v>0</v>
      </c>
      <c r="I63" s="0" t="s">
        <v>207</v>
      </c>
      <c r="J63" s="0" t="s">
        <v>208</v>
      </c>
      <c r="K63" s="0" t="s">
        <v>66</v>
      </c>
    </row>
    <row r="64" customFormat="false" ht="15" hidden="false" customHeight="false" outlineLevel="0" collapsed="false">
      <c r="B64" s="6" t="s">
        <v>209</v>
      </c>
      <c r="C64" s="4" t="n">
        <f aca="false">SUM(C63:C63)</f>
        <v>29.3</v>
      </c>
      <c r="H64" s="4" t="n">
        <f aca="false">SUM(H63:H63)</f>
        <v>0</v>
      </c>
    </row>
    <row r="65" customFormat="false" ht="15" hidden="false" customHeight="false" outlineLevel="0" collapsed="false">
      <c r="A65" s="5" t="s">
        <v>210</v>
      </c>
    </row>
    <row r="66" customFormat="false" ht="15" hidden="false" customHeight="false" outlineLevel="0" collapsed="false">
      <c r="A66" s="0" t="s">
        <v>211</v>
      </c>
      <c r="B66" s="0" t="s">
        <v>212</v>
      </c>
      <c r="C66" s="0" t="n">
        <v>2.31</v>
      </c>
      <c r="D66" s="0" t="n">
        <v>25</v>
      </c>
      <c r="E66" s="0" t="n">
        <v>1</v>
      </c>
      <c r="F66" s="0" t="s">
        <v>92</v>
      </c>
      <c r="G66" s="0" t="n">
        <v>16</v>
      </c>
      <c r="H66" s="0" t="n">
        <v>57.75</v>
      </c>
      <c r="I66" s="0" t="s">
        <v>213</v>
      </c>
      <c r="J66" s="0" t="s">
        <v>208</v>
      </c>
      <c r="K66" s="0" t="s">
        <v>66</v>
      </c>
    </row>
    <row r="67" customFormat="false" ht="15" hidden="false" customHeight="false" outlineLevel="0" collapsed="false">
      <c r="A67" s="0" t="s">
        <v>214</v>
      </c>
      <c r="B67" s="0" t="s">
        <v>215</v>
      </c>
      <c r="C67" s="0" t="n">
        <v>2.11</v>
      </c>
      <c r="D67" s="0" t="n">
        <v>25</v>
      </c>
      <c r="E67" s="0" t="n">
        <v>1</v>
      </c>
      <c r="F67" s="0" t="s">
        <v>92</v>
      </c>
      <c r="G67" s="0" t="n">
        <v>16</v>
      </c>
      <c r="H67" s="0" t="n">
        <v>52.75</v>
      </c>
      <c r="I67" s="0" t="s">
        <v>216</v>
      </c>
      <c r="J67" s="0" t="s">
        <v>208</v>
      </c>
      <c r="K67" s="0" t="s">
        <v>66</v>
      </c>
    </row>
    <row r="68" customFormat="false" ht="15" hidden="false" customHeight="false" outlineLevel="0" collapsed="false">
      <c r="A68" s="0" t="s">
        <v>217</v>
      </c>
      <c r="B68" s="0" t="s">
        <v>218</v>
      </c>
      <c r="C68" s="0" t="n">
        <v>23.46</v>
      </c>
      <c r="D68" s="0" t="n">
        <v>25</v>
      </c>
      <c r="E68" s="0" t="n">
        <v>1</v>
      </c>
      <c r="F68" s="0" t="s">
        <v>92</v>
      </c>
      <c r="G68" s="0" t="n">
        <v>16</v>
      </c>
      <c r="H68" s="0" t="n">
        <v>586.5</v>
      </c>
      <c r="I68" s="0" t="s">
        <v>219</v>
      </c>
      <c r="J68" s="0" t="s">
        <v>208</v>
      </c>
      <c r="K68" s="0" t="s">
        <v>66</v>
      </c>
    </row>
    <row r="69" customFormat="false" ht="15" hidden="false" customHeight="false" outlineLevel="0" collapsed="false">
      <c r="B69" s="6" t="s">
        <v>220</v>
      </c>
      <c r="C69" s="4" t="n">
        <f aca="false">SUM(C66:C68)</f>
        <v>27.88</v>
      </c>
      <c r="H69" s="4" t="n">
        <f aca="false">SUM(H66:H68)</f>
        <v>697</v>
      </c>
    </row>
    <row r="70" customFormat="false" ht="15" hidden="false" customHeight="false" outlineLevel="0" collapsed="false">
      <c r="A70" s="5" t="s">
        <v>221</v>
      </c>
    </row>
    <row r="71" customFormat="false" ht="15" hidden="false" customHeight="false" outlineLevel="0" collapsed="false">
      <c r="A71" s="0" t="s">
        <v>222</v>
      </c>
      <c r="B71" s="0" t="s">
        <v>223</v>
      </c>
      <c r="C71" s="0" t="n">
        <v>3.26</v>
      </c>
      <c r="D71" s="0" t="n">
        <v>25</v>
      </c>
      <c r="E71" s="0" t="n">
        <v>0</v>
      </c>
      <c r="F71" s="0" t="s">
        <v>63</v>
      </c>
      <c r="G71" s="0" t="n">
        <v>16</v>
      </c>
      <c r="H71" s="0" t="n">
        <v>0</v>
      </c>
      <c r="I71" s="0" t="s">
        <v>224</v>
      </c>
      <c r="J71" s="0" t="s">
        <v>225</v>
      </c>
      <c r="K71" s="0" t="s">
        <v>66</v>
      </c>
    </row>
    <row r="72" customFormat="false" ht="15" hidden="false" customHeight="false" outlineLevel="0" collapsed="false">
      <c r="B72" s="6" t="s">
        <v>226</v>
      </c>
      <c r="C72" s="4" t="n">
        <f aca="false">SUM(C71:C71)</f>
        <v>3.26</v>
      </c>
      <c r="H72" s="4" t="n">
        <f aca="false">SUM(H71:H71)</f>
        <v>0</v>
      </c>
    </row>
    <row r="73" customFormat="false" ht="15" hidden="false" customHeight="false" outlineLevel="0" collapsed="false">
      <c r="A73" s="5" t="s">
        <v>227</v>
      </c>
    </row>
    <row r="74" customFormat="false" ht="15" hidden="false" customHeight="false" outlineLevel="0" collapsed="false">
      <c r="A74" s="0" t="s">
        <v>228</v>
      </c>
      <c r="B74" s="0" t="s">
        <v>229</v>
      </c>
      <c r="C74" s="0" t="n">
        <v>1</v>
      </c>
      <c r="D74" s="0" t="n">
        <v>25</v>
      </c>
      <c r="E74" s="0" t="n">
        <v>1</v>
      </c>
      <c r="F74" s="0" t="s">
        <v>92</v>
      </c>
      <c r="G74" s="0" t="n">
        <v>16</v>
      </c>
      <c r="H74" s="0" t="n">
        <v>25</v>
      </c>
      <c r="I74" s="0" t="s">
        <v>230</v>
      </c>
      <c r="J74" s="0" t="s">
        <v>231</v>
      </c>
      <c r="K74" s="0" t="s">
        <v>66</v>
      </c>
    </row>
    <row r="75" customFormat="false" ht="15" hidden="false" customHeight="false" outlineLevel="0" collapsed="false">
      <c r="A75" s="0" t="s">
        <v>232</v>
      </c>
      <c r="B75" s="0" t="s">
        <v>233</v>
      </c>
      <c r="C75" s="0" t="n">
        <v>2.31</v>
      </c>
      <c r="D75" s="0" t="n">
        <v>25</v>
      </c>
      <c r="E75" s="0" t="n">
        <v>1</v>
      </c>
      <c r="F75" s="0" t="s">
        <v>92</v>
      </c>
      <c r="G75" s="0" t="n">
        <v>16</v>
      </c>
      <c r="H75" s="0" t="n">
        <v>57.75</v>
      </c>
      <c r="I75" s="0" t="s">
        <v>234</v>
      </c>
      <c r="J75" s="0" t="s">
        <v>231</v>
      </c>
      <c r="K75" s="0" t="s">
        <v>66</v>
      </c>
    </row>
    <row r="76" customFormat="false" ht="15" hidden="false" customHeight="false" outlineLevel="0" collapsed="false">
      <c r="B76" s="6" t="s">
        <v>235</v>
      </c>
      <c r="C76" s="4" t="n">
        <f aca="false">SUM(C74:C75)</f>
        <v>3.31</v>
      </c>
      <c r="H76" s="4" t="n">
        <f aca="false">SUM(H74:H75)</f>
        <v>82.75</v>
      </c>
    </row>
    <row r="77" customFormat="false" ht="15" hidden="false" customHeight="false" outlineLevel="0" collapsed="false">
      <c r="A77" s="5" t="s">
        <v>236</v>
      </c>
    </row>
    <row r="78" customFormat="false" ht="15" hidden="false" customHeight="false" outlineLevel="0" collapsed="false">
      <c r="A78" s="0" t="s">
        <v>237</v>
      </c>
      <c r="B78" s="0" t="s">
        <v>238</v>
      </c>
      <c r="C78" s="0" t="n">
        <v>9.89</v>
      </c>
      <c r="D78" s="0" t="n">
        <v>2.708</v>
      </c>
      <c r="E78" s="0" t="n">
        <v>2</v>
      </c>
      <c r="F78" s="0" t="s">
        <v>63</v>
      </c>
      <c r="G78" s="0" t="n">
        <v>16</v>
      </c>
      <c r="H78" s="0" t="n">
        <v>53.56</v>
      </c>
      <c r="I78" s="0" t="s">
        <v>239</v>
      </c>
      <c r="J78" s="0" t="s">
        <v>240</v>
      </c>
      <c r="K78" s="0" t="s">
        <v>66</v>
      </c>
    </row>
    <row r="79" customFormat="false" ht="15" hidden="false" customHeight="false" outlineLevel="0" collapsed="false">
      <c r="A79" s="0" t="s">
        <v>241</v>
      </c>
      <c r="B79" s="0" t="s">
        <v>242</v>
      </c>
      <c r="C79" s="0" t="n">
        <v>4.14</v>
      </c>
      <c r="D79" s="0" t="n">
        <v>2.708</v>
      </c>
      <c r="E79" s="0" t="n">
        <v>2</v>
      </c>
      <c r="F79" s="0" t="s">
        <v>63</v>
      </c>
      <c r="G79" s="0" t="n">
        <v>16</v>
      </c>
      <c r="H79" s="0" t="n">
        <v>22.42</v>
      </c>
      <c r="I79" s="0" t="s">
        <v>243</v>
      </c>
      <c r="J79" s="0" t="s">
        <v>240</v>
      </c>
      <c r="K79" s="0" t="s">
        <v>66</v>
      </c>
    </row>
    <row r="80" customFormat="false" ht="15" hidden="false" customHeight="false" outlineLevel="0" collapsed="false">
      <c r="A80" s="0" t="s">
        <v>244</v>
      </c>
      <c r="B80" s="0" t="s">
        <v>245</v>
      </c>
      <c r="C80" s="0" t="n">
        <v>6.24</v>
      </c>
      <c r="D80" s="0" t="n">
        <v>2.708</v>
      </c>
      <c r="E80" s="0" t="n">
        <v>2</v>
      </c>
      <c r="F80" s="0" t="s">
        <v>63</v>
      </c>
      <c r="G80" s="0" t="n">
        <v>16</v>
      </c>
      <c r="H80" s="0" t="n">
        <v>33.8</v>
      </c>
      <c r="I80" s="0" t="s">
        <v>246</v>
      </c>
      <c r="J80" s="0" t="s">
        <v>240</v>
      </c>
      <c r="K80" s="0" t="s">
        <v>66</v>
      </c>
    </row>
    <row r="81" customFormat="false" ht="15" hidden="false" customHeight="false" outlineLevel="0" collapsed="false">
      <c r="B81" s="6" t="s">
        <v>247</v>
      </c>
      <c r="C81" s="4" t="n">
        <f aca="false">SUM(C78:C80)</f>
        <v>20.27</v>
      </c>
      <c r="H81" s="4" t="n">
        <f aca="false">SUM(H78:H80)</f>
        <v>109.78</v>
      </c>
    </row>
    <row r="82" customFormat="false" ht="15" hidden="false" customHeight="false" outlineLevel="0" collapsed="false">
      <c r="A82" s="5" t="s">
        <v>248</v>
      </c>
    </row>
    <row r="83" customFormat="false" ht="15" hidden="false" customHeight="false" outlineLevel="0" collapsed="false">
      <c r="A83" s="0" t="s">
        <v>249</v>
      </c>
      <c r="B83" s="0" t="s">
        <v>250</v>
      </c>
      <c r="C83" s="0" t="n">
        <v>3.17</v>
      </c>
      <c r="D83" s="0" t="n">
        <v>2.708</v>
      </c>
      <c r="E83" s="0" t="n">
        <v>2</v>
      </c>
      <c r="F83" s="0" t="s">
        <v>63</v>
      </c>
      <c r="G83" s="0" t="n">
        <v>16</v>
      </c>
      <c r="H83" s="0" t="n">
        <v>17.16</v>
      </c>
      <c r="I83" s="0" t="s">
        <v>251</v>
      </c>
      <c r="J83" s="0" t="s">
        <v>252</v>
      </c>
      <c r="K83" s="0" t="s">
        <v>66</v>
      </c>
    </row>
    <row r="84" customFormat="false" ht="15" hidden="false" customHeight="false" outlineLevel="0" collapsed="false">
      <c r="B84" s="6" t="s">
        <v>253</v>
      </c>
      <c r="C84" s="4" t="n">
        <f aca="false">SUM(C83:C83)</f>
        <v>3.17</v>
      </c>
      <c r="H84" s="4" t="n">
        <f aca="false">SUM(H83:H83)</f>
        <v>17.16</v>
      </c>
    </row>
    <row r="85" customFormat="false" ht="15" hidden="false" customHeight="false" outlineLevel="0" collapsed="false">
      <c r="A85" s="5" t="s">
        <v>254</v>
      </c>
    </row>
    <row r="86" customFormat="false" ht="15" hidden="false" customHeight="false" outlineLevel="0" collapsed="false">
      <c r="A86" s="0" t="s">
        <v>255</v>
      </c>
      <c r="B86" s="0" t="s">
        <v>256</v>
      </c>
      <c r="C86" s="0" t="n">
        <v>5.14</v>
      </c>
      <c r="D86" s="0" t="n">
        <v>1</v>
      </c>
      <c r="E86" s="0" t="n">
        <v>2</v>
      </c>
      <c r="F86" s="0" t="s">
        <v>63</v>
      </c>
      <c r="G86" s="0" t="n">
        <v>16</v>
      </c>
      <c r="H86" s="0" t="n">
        <v>10.28</v>
      </c>
      <c r="I86" s="0" t="s">
        <v>257</v>
      </c>
      <c r="J86" s="0" t="s">
        <v>258</v>
      </c>
      <c r="K86" s="0" t="s">
        <v>66</v>
      </c>
    </row>
    <row r="87" customFormat="false" ht="15" hidden="false" customHeight="false" outlineLevel="0" collapsed="false">
      <c r="B87" s="6" t="s">
        <v>259</v>
      </c>
      <c r="C87" s="4" t="n">
        <f aca="false">SUM(C86:C86)</f>
        <v>5.14</v>
      </c>
      <c r="H87" s="4" t="n">
        <f aca="false">SUM(H86:H86)</f>
        <v>10.28</v>
      </c>
    </row>
    <row r="88" customFormat="false" ht="15" hidden="false" customHeight="false" outlineLevel="0" collapsed="false">
      <c r="A88" s="5" t="s">
        <v>260</v>
      </c>
    </row>
    <row r="89" customFormat="false" ht="15" hidden="false" customHeight="false" outlineLevel="0" collapsed="false">
      <c r="A89" s="0" t="s">
        <v>261</v>
      </c>
      <c r="B89" s="0" t="s">
        <v>262</v>
      </c>
      <c r="C89" s="0" t="n">
        <v>3.17</v>
      </c>
      <c r="D89" s="0" t="n">
        <v>2.708</v>
      </c>
      <c r="E89" s="0" t="n">
        <v>2</v>
      </c>
      <c r="F89" s="0" t="s">
        <v>63</v>
      </c>
      <c r="G89" s="0" t="n">
        <v>16</v>
      </c>
      <c r="H89" s="0" t="n">
        <v>17.16</v>
      </c>
      <c r="I89" s="0" t="s">
        <v>263</v>
      </c>
      <c r="J89" s="0" t="s">
        <v>264</v>
      </c>
      <c r="K89" s="0" t="s">
        <v>66</v>
      </c>
    </row>
    <row r="90" customFormat="false" ht="15" hidden="false" customHeight="false" outlineLevel="0" collapsed="false">
      <c r="B90" s="6" t="s">
        <v>265</v>
      </c>
      <c r="C90" s="4" t="n">
        <f aca="false">SUM(C89:C89)</f>
        <v>3.17</v>
      </c>
      <c r="H90" s="4" t="n">
        <f aca="false">SUM(H89:H89)</f>
        <v>17.16</v>
      </c>
    </row>
    <row r="91" customFormat="false" ht="15" hidden="false" customHeight="false" outlineLevel="0" collapsed="false">
      <c r="B91" s="6" t="s">
        <v>266</v>
      </c>
      <c r="C91" s="4" t="n">
        <f aca="false">C14+C17+C25+C45+C49+C52+C55+C58+C61+C64+C69+C72+C76+C81+C84+C87+C90</f>
        <v>562.44</v>
      </c>
      <c r="H91" s="4" t="n">
        <f aca="false">H14+H17+H25+H45+H49+H52+H55+H58+H61+H64+H69+H72+H76+H81+H84+H87+H90</f>
        <v>15383.2</v>
      </c>
    </row>
    <row r="93" customFormat="false" ht="15" hidden="false" customHeight="false" outlineLevel="0" collapsed="false">
      <c r="A93" s="5" t="s">
        <v>267</v>
      </c>
    </row>
    <row r="94" customFormat="false" ht="15" hidden="false" customHeight="false" outlineLevel="0" collapsed="false">
      <c r="A94" s="0" t="s">
        <v>268</v>
      </c>
      <c r="B94" s="0" t="s">
        <v>269</v>
      </c>
      <c r="C94" s="0" t="n">
        <v>8</v>
      </c>
      <c r="D94" s="0" t="n">
        <v>8</v>
      </c>
      <c r="E94" s="0" t="n">
        <v>1</v>
      </c>
      <c r="F94" s="0" t="s">
        <v>63</v>
      </c>
      <c r="G94" s="0" t="n">
        <v>16</v>
      </c>
      <c r="H94" s="0" t="n">
        <v>64</v>
      </c>
      <c r="I94" s="0" t="s">
        <v>270</v>
      </c>
      <c r="J94" s="0" t="s">
        <v>271</v>
      </c>
      <c r="K94" s="0" t="s">
        <v>66</v>
      </c>
    </row>
    <row r="95" customFormat="false" ht="15" hidden="false" customHeight="false" outlineLevel="0" collapsed="false">
      <c r="A95" s="0" t="s">
        <v>272</v>
      </c>
      <c r="B95" s="0" t="s">
        <v>273</v>
      </c>
      <c r="C95" s="0" t="n">
        <v>8</v>
      </c>
      <c r="D95" s="0" t="n">
        <v>8</v>
      </c>
      <c r="E95" s="0" t="n">
        <v>1</v>
      </c>
      <c r="F95" s="0" t="s">
        <v>63</v>
      </c>
      <c r="G95" s="0" t="n">
        <v>16</v>
      </c>
      <c r="H95" s="0" t="n">
        <v>64</v>
      </c>
      <c r="I95" s="0" t="s">
        <v>270</v>
      </c>
      <c r="J95" s="0" t="s">
        <v>271</v>
      </c>
      <c r="K95" s="0" t="s">
        <v>66</v>
      </c>
    </row>
    <row r="96" customFormat="false" ht="15" hidden="false" customHeight="false" outlineLevel="0" collapsed="false">
      <c r="A96" s="0" t="s">
        <v>274</v>
      </c>
      <c r="B96" s="0" t="s">
        <v>275</v>
      </c>
      <c r="C96" s="0" t="n">
        <v>8</v>
      </c>
      <c r="D96" s="0" t="n">
        <v>8</v>
      </c>
      <c r="E96" s="0" t="n">
        <v>1</v>
      </c>
      <c r="F96" s="0" t="s">
        <v>63</v>
      </c>
      <c r="G96" s="0" t="n">
        <v>16</v>
      </c>
      <c r="H96" s="0" t="n">
        <v>64</v>
      </c>
      <c r="I96" s="0" t="s">
        <v>270</v>
      </c>
      <c r="J96" s="0" t="s">
        <v>271</v>
      </c>
      <c r="K96" s="0" t="s">
        <v>66</v>
      </c>
    </row>
    <row r="97" customFormat="false" ht="15" hidden="false" customHeight="false" outlineLevel="0" collapsed="false">
      <c r="A97" s="0" t="s">
        <v>276</v>
      </c>
      <c r="B97" s="0" t="s">
        <v>277</v>
      </c>
      <c r="C97" s="0" t="n">
        <v>8</v>
      </c>
      <c r="D97" s="0" t="n">
        <v>8</v>
      </c>
      <c r="E97" s="0" t="n">
        <v>1</v>
      </c>
      <c r="F97" s="0" t="s">
        <v>63</v>
      </c>
      <c r="G97" s="0" t="n">
        <v>16</v>
      </c>
      <c r="H97" s="0" t="n">
        <v>64</v>
      </c>
      <c r="I97" s="0" t="s">
        <v>270</v>
      </c>
      <c r="J97" s="0" t="s">
        <v>271</v>
      </c>
      <c r="K97" s="0" t="s">
        <v>66</v>
      </c>
    </row>
    <row r="98" customFormat="false" ht="15" hidden="false" customHeight="false" outlineLevel="0" collapsed="false">
      <c r="A98" s="0" t="s">
        <v>278</v>
      </c>
      <c r="B98" s="0" t="s">
        <v>279</v>
      </c>
      <c r="C98" s="0" t="n">
        <v>8</v>
      </c>
      <c r="D98" s="0" t="n">
        <v>8</v>
      </c>
      <c r="E98" s="0" t="n">
        <v>1</v>
      </c>
      <c r="F98" s="0" t="s">
        <v>63</v>
      </c>
      <c r="G98" s="0" t="n">
        <v>16</v>
      </c>
      <c r="H98" s="0" t="n">
        <v>64</v>
      </c>
      <c r="I98" s="0" t="s">
        <v>270</v>
      </c>
      <c r="J98" s="0" t="s">
        <v>271</v>
      </c>
      <c r="K98" s="0" t="s">
        <v>66</v>
      </c>
    </row>
    <row r="99" customFormat="false" ht="15" hidden="false" customHeight="false" outlineLevel="0" collapsed="false">
      <c r="A99" s="0" t="s">
        <v>280</v>
      </c>
      <c r="B99" s="0" t="s">
        <v>281</v>
      </c>
      <c r="C99" s="0" t="n">
        <v>8</v>
      </c>
      <c r="D99" s="0" t="n">
        <v>8</v>
      </c>
      <c r="E99" s="0" t="n">
        <v>1</v>
      </c>
      <c r="F99" s="0" t="s">
        <v>63</v>
      </c>
      <c r="G99" s="0" t="n">
        <v>16</v>
      </c>
      <c r="H99" s="0" t="n">
        <v>64</v>
      </c>
      <c r="I99" s="0" t="s">
        <v>270</v>
      </c>
      <c r="J99" s="0" t="s">
        <v>271</v>
      </c>
      <c r="K99" s="0" t="s">
        <v>66</v>
      </c>
    </row>
    <row r="100" customFormat="false" ht="15" hidden="false" customHeight="false" outlineLevel="0" collapsed="false">
      <c r="A100" s="0" t="s">
        <v>282</v>
      </c>
      <c r="B100" s="0" t="s">
        <v>283</v>
      </c>
      <c r="C100" s="0" t="n">
        <v>8</v>
      </c>
      <c r="D100" s="0" t="n">
        <v>8</v>
      </c>
      <c r="E100" s="0" t="n">
        <v>1</v>
      </c>
      <c r="F100" s="0" t="s">
        <v>63</v>
      </c>
      <c r="G100" s="0" t="n">
        <v>16</v>
      </c>
      <c r="H100" s="0" t="n">
        <v>64</v>
      </c>
      <c r="I100" s="0" t="s">
        <v>270</v>
      </c>
      <c r="J100" s="0" t="s">
        <v>271</v>
      </c>
      <c r="K100" s="0" t="s">
        <v>66</v>
      </c>
    </row>
    <row r="101" customFormat="false" ht="15" hidden="false" customHeight="false" outlineLevel="0" collapsed="false">
      <c r="A101" s="0" t="s">
        <v>284</v>
      </c>
      <c r="B101" s="0" t="s">
        <v>285</v>
      </c>
      <c r="C101" s="0" t="n">
        <v>8</v>
      </c>
      <c r="D101" s="0" t="n">
        <v>8</v>
      </c>
      <c r="E101" s="0" t="n">
        <v>1</v>
      </c>
      <c r="F101" s="0" t="s">
        <v>63</v>
      </c>
      <c r="G101" s="0" t="n">
        <v>16</v>
      </c>
      <c r="H101" s="0" t="n">
        <v>64</v>
      </c>
      <c r="I101" s="0" t="s">
        <v>270</v>
      </c>
      <c r="J101" s="0" t="s">
        <v>271</v>
      </c>
      <c r="K101" s="0" t="s">
        <v>66</v>
      </c>
    </row>
    <row r="102" customFormat="false" ht="15" hidden="false" customHeight="false" outlineLevel="0" collapsed="false">
      <c r="A102" s="0" t="s">
        <v>286</v>
      </c>
      <c r="B102" s="0" t="s">
        <v>287</v>
      </c>
      <c r="C102" s="0" t="n">
        <v>8</v>
      </c>
      <c r="D102" s="0" t="n">
        <v>8</v>
      </c>
      <c r="E102" s="0" t="n">
        <v>1</v>
      </c>
      <c r="F102" s="0" t="s">
        <v>63</v>
      </c>
      <c r="G102" s="0" t="n">
        <v>16</v>
      </c>
      <c r="H102" s="0" t="n">
        <v>64</v>
      </c>
      <c r="I102" s="0" t="s">
        <v>270</v>
      </c>
      <c r="J102" s="0" t="s">
        <v>271</v>
      </c>
      <c r="K102" s="0" t="s">
        <v>66</v>
      </c>
    </row>
    <row r="103" customFormat="false" ht="15" hidden="false" customHeight="false" outlineLevel="0" collapsed="false">
      <c r="A103" s="0" t="s">
        <v>288</v>
      </c>
      <c r="B103" s="0" t="s">
        <v>289</v>
      </c>
      <c r="C103" s="0" t="n">
        <v>22.77</v>
      </c>
      <c r="D103" s="0" t="n">
        <v>14</v>
      </c>
      <c r="E103" s="0" t="n">
        <v>1</v>
      </c>
      <c r="F103" s="0" t="s">
        <v>63</v>
      </c>
      <c r="G103" s="0" t="n">
        <v>16</v>
      </c>
      <c r="H103" s="0" t="n">
        <v>318.78</v>
      </c>
      <c r="I103" s="0" t="s">
        <v>290</v>
      </c>
      <c r="J103" s="0" t="s">
        <v>291</v>
      </c>
      <c r="K103" s="0" t="s">
        <v>66</v>
      </c>
    </row>
    <row r="104" customFormat="false" ht="15" hidden="false" customHeight="false" outlineLevel="0" collapsed="false">
      <c r="A104" s="0" t="s">
        <v>292</v>
      </c>
      <c r="B104" s="0" t="s">
        <v>293</v>
      </c>
      <c r="C104" s="0" t="n">
        <v>10.12</v>
      </c>
      <c r="D104" s="0" t="n">
        <v>14</v>
      </c>
      <c r="E104" s="0" t="n">
        <v>1</v>
      </c>
      <c r="F104" s="0" t="s">
        <v>63</v>
      </c>
      <c r="G104" s="0" t="n">
        <v>16</v>
      </c>
      <c r="H104" s="0" t="n">
        <v>141.68</v>
      </c>
      <c r="I104" s="0" t="s">
        <v>294</v>
      </c>
      <c r="J104" s="0" t="s">
        <v>291</v>
      </c>
      <c r="K104" s="0" t="s">
        <v>66</v>
      </c>
    </row>
    <row r="105" customFormat="false" ht="15" hidden="false" customHeight="false" outlineLevel="0" collapsed="false">
      <c r="A105" s="0" t="s">
        <v>295</v>
      </c>
      <c r="B105" s="0" t="s">
        <v>296</v>
      </c>
      <c r="C105" s="0" t="n">
        <v>20</v>
      </c>
      <c r="D105" s="0" t="n">
        <v>13.5</v>
      </c>
      <c r="E105" s="0" t="n">
        <v>1</v>
      </c>
      <c r="F105" s="0" t="s">
        <v>63</v>
      </c>
      <c r="G105" s="0" t="n">
        <v>16</v>
      </c>
      <c r="H105" s="0" t="n">
        <v>10</v>
      </c>
      <c r="I105" s="0" t="s">
        <v>297</v>
      </c>
      <c r="J105" s="0" t="s">
        <v>291</v>
      </c>
      <c r="K105" s="0" t="s">
        <v>66</v>
      </c>
    </row>
    <row r="106" customFormat="false" ht="15" hidden="false" customHeight="false" outlineLevel="0" collapsed="false">
      <c r="A106" s="0" t="s">
        <v>298</v>
      </c>
      <c r="B106" s="0" t="s">
        <v>299</v>
      </c>
      <c r="C106" s="0" t="n">
        <v>6.25</v>
      </c>
      <c r="D106" s="0" t="n">
        <v>13.5</v>
      </c>
      <c r="E106" s="0" t="n">
        <v>1</v>
      </c>
      <c r="F106" s="0" t="s">
        <v>63</v>
      </c>
      <c r="G106" s="0" t="n">
        <v>16</v>
      </c>
      <c r="H106" s="0" t="n">
        <v>3.12</v>
      </c>
      <c r="I106" s="0" t="s">
        <v>300</v>
      </c>
      <c r="J106" s="0" t="s">
        <v>291</v>
      </c>
      <c r="K106" s="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301</v>
      </c>
    </row>
    <row r="2" customFormat="false" ht="15" hidden="false" customHeight="false" outlineLevel="0" collapsed="false">
      <c r="A2" s="0" t="s">
        <v>302</v>
      </c>
    </row>
    <row r="3" customFormat="false" ht="15" hidden="false" customHeight="false" outlineLevel="0" collapsed="false">
      <c r="A3" s="2" t="s">
        <v>303</v>
      </c>
      <c r="B3" s="2" t="s">
        <v>304</v>
      </c>
      <c r="C3" s="2" t="s">
        <v>305</v>
      </c>
      <c r="D3" s="2" t="s">
        <v>306</v>
      </c>
      <c r="E3" s="2" t="s">
        <v>307</v>
      </c>
      <c r="F3" s="2" t="s">
        <v>308</v>
      </c>
      <c r="G3" s="2" t="s">
        <v>309</v>
      </c>
      <c r="H3" s="2" t="s">
        <v>310</v>
      </c>
      <c r="I3" s="2" t="s">
        <v>311</v>
      </c>
      <c r="J3" s="2" t="s">
        <v>312</v>
      </c>
    </row>
    <row r="4" customFormat="false" ht="15" hidden="false" customHeight="false" outlineLevel="0" collapsed="false">
      <c r="A4" s="0" t="s">
        <v>313</v>
      </c>
      <c r="B4" s="0" t="s">
        <v>314</v>
      </c>
      <c r="C4" s="0" t="n">
        <v>443.85</v>
      </c>
      <c r="D4" s="0" t="n">
        <f aca="false">Inputs!$B$5</f>
        <v>0.15</v>
      </c>
      <c r="E4" s="0" t="n">
        <f aca="false">C4*D4</f>
        <v>66.5775</v>
      </c>
      <c r="F4" s="0" t="n">
        <f aca="false">C4+E4</f>
        <v>510.4275</v>
      </c>
      <c r="G4" s="0" t="s">
        <v>315</v>
      </c>
      <c r="H4" s="0" t="n">
        <f aca="false">ROUNDUP(F4/Inputs!$B$11,0)</f>
        <v>52</v>
      </c>
      <c r="I4" s="0" t="s">
        <v>316</v>
      </c>
    </row>
    <row r="5" customFormat="false" ht="15" hidden="false" customHeight="false" outlineLevel="0" collapsed="false">
      <c r="A5" s="0" t="s">
        <v>317</v>
      </c>
      <c r="B5" s="0" t="s">
        <v>314</v>
      </c>
      <c r="C5" s="0" t="n">
        <v>118.59</v>
      </c>
      <c r="D5" s="0" t="n">
        <f aca="false">Inputs!$B$5</f>
        <v>0.15</v>
      </c>
      <c r="E5" s="0" t="n">
        <f aca="false">C5*D5</f>
        <v>17.7885</v>
      </c>
      <c r="F5" s="0" t="n">
        <f aca="false">C5+E5</f>
        <v>136.3785</v>
      </c>
      <c r="G5" s="0" t="s">
        <v>315</v>
      </c>
      <c r="H5" s="0" t="n">
        <f aca="false">ROUNDUP(F5/Inputs!$B$11,0)</f>
        <v>14</v>
      </c>
      <c r="I5" s="0" t="s">
        <v>316</v>
      </c>
    </row>
    <row r="6" customFormat="false" ht="15" hidden="false" customHeight="false" outlineLevel="0" collapsed="false">
      <c r="A6" s="0" t="s">
        <v>318</v>
      </c>
      <c r="B6" s="0" t="s">
        <v>314</v>
      </c>
      <c r="C6" s="0" t="n">
        <v>72</v>
      </c>
      <c r="D6" s="0" t="n">
        <f aca="false">Inputs!$B$5</f>
        <v>0.15</v>
      </c>
      <c r="E6" s="0" t="n">
        <f aca="false">C6*D6</f>
        <v>10.8</v>
      </c>
      <c r="F6" s="0" t="n">
        <f aca="false">C6+E6</f>
        <v>82.8</v>
      </c>
      <c r="G6" s="0" t="s">
        <v>315</v>
      </c>
      <c r="H6" s="0" t="n">
        <f aca="false">ROUNDUP(F6/Inputs!$B$11,0)</f>
        <v>9</v>
      </c>
      <c r="I6" s="0" t="s">
        <v>316</v>
      </c>
    </row>
    <row r="7" customFormat="false" ht="15" hidden="false" customHeight="false" outlineLevel="0" collapsed="false">
      <c r="A7" s="0" t="s">
        <v>319</v>
      </c>
      <c r="B7" s="0" t="s">
        <v>314</v>
      </c>
      <c r="C7" s="0" t="n">
        <v>443.85</v>
      </c>
      <c r="D7" s="0" t="n">
        <f aca="false">Inputs!$B$5</f>
        <v>0.15</v>
      </c>
      <c r="E7" s="0" t="n">
        <f aca="false">C7*D7</f>
        <v>66.5775</v>
      </c>
      <c r="F7" s="0" t="n">
        <f aca="false">C7+E7</f>
        <v>510.4275</v>
      </c>
      <c r="G7" s="0" t="s">
        <v>315</v>
      </c>
      <c r="H7" s="0" t="n">
        <f aca="false">ROUNDUP(F7/Inputs!$B$11,0)</f>
        <v>52</v>
      </c>
      <c r="I7" s="0" t="s">
        <v>320</v>
      </c>
    </row>
    <row r="8" customFormat="false" ht="15" hidden="false" customHeight="false" outlineLevel="0" collapsed="false">
      <c r="A8" s="0" t="s">
        <v>321</v>
      </c>
      <c r="B8" s="0" t="s">
        <v>314</v>
      </c>
      <c r="C8" s="0" t="n">
        <v>118.59</v>
      </c>
      <c r="D8" s="0" t="n">
        <f aca="false">Inputs!$B$5</f>
        <v>0.15</v>
      </c>
      <c r="E8" s="0" t="n">
        <f aca="false">C8*D8</f>
        <v>17.7885</v>
      </c>
      <c r="F8" s="0" t="n">
        <f aca="false">C8+E8</f>
        <v>136.3785</v>
      </c>
      <c r="G8" s="0" t="s">
        <v>315</v>
      </c>
      <c r="H8" s="0" t="n">
        <f aca="false">ROUNDUP(F8/Inputs!$B$11,0)</f>
        <v>14</v>
      </c>
      <c r="I8" s="0" t="s">
        <v>320</v>
      </c>
    </row>
    <row r="9" customFormat="false" ht="15" hidden="false" customHeight="false" outlineLevel="0" collapsed="false">
      <c r="A9" s="0" t="s">
        <v>322</v>
      </c>
      <c r="B9" s="0" t="s">
        <v>314</v>
      </c>
      <c r="C9" s="0" t="n">
        <v>72</v>
      </c>
      <c r="D9" s="0" t="n">
        <f aca="false">Inputs!$B$5</f>
        <v>0.15</v>
      </c>
      <c r="E9" s="0" t="n">
        <f aca="false">C9*D9</f>
        <v>10.8</v>
      </c>
      <c r="F9" s="0" t="n">
        <f aca="false">C9+E9</f>
        <v>82.8</v>
      </c>
      <c r="G9" s="0" t="s">
        <v>315</v>
      </c>
      <c r="H9" s="0" t="n">
        <f aca="false">ROUNDUP(F9/Inputs!$B$11,0)</f>
        <v>9</v>
      </c>
      <c r="I9" s="0" t="s">
        <v>320</v>
      </c>
    </row>
    <row r="10" customFormat="false" ht="15" hidden="false" customHeight="false" outlineLevel="0" collapsed="false">
      <c r="A10" s="0" t="s">
        <v>323</v>
      </c>
      <c r="B10" s="0" t="s">
        <v>314</v>
      </c>
      <c r="C10" s="0" t="n">
        <v>2900</v>
      </c>
      <c r="D10" s="0" t="n">
        <f aca="false">Inputs!$B$5</f>
        <v>0.15</v>
      </c>
      <c r="E10" s="0" t="n">
        <f aca="false">C10*D10</f>
        <v>435</v>
      </c>
      <c r="F10" s="0" t="n">
        <f aca="false">C10+E10</f>
        <v>3335</v>
      </c>
      <c r="G10" s="0" t="s">
        <v>324</v>
      </c>
      <c r="H10" s="0" t="n">
        <f aca="false">ROUNDUP(F10/Inputs!$B$10,0)</f>
        <v>167</v>
      </c>
      <c r="I10" s="0" t="s">
        <v>325</v>
      </c>
    </row>
    <row r="11" customFormat="false" ht="15" hidden="false" customHeight="false" outlineLevel="0" collapsed="false">
      <c r="A11" s="0" t="s">
        <v>326</v>
      </c>
      <c r="B11" s="0" t="s">
        <v>314</v>
      </c>
      <c r="C11" s="0" t="n">
        <v>10059.08</v>
      </c>
      <c r="D11" s="0" t="n">
        <f aca="false">Inputs!$B$5</f>
        <v>0.15</v>
      </c>
      <c r="E11" s="0" t="n">
        <f aca="false">C11*D11</f>
        <v>1508.862</v>
      </c>
      <c r="F11" s="0" t="n">
        <f aca="false">C11+E11</f>
        <v>11567.942</v>
      </c>
      <c r="G11" s="0" t="s">
        <v>324</v>
      </c>
      <c r="H11" s="0" t="n">
        <f aca="false">ROUNDUP(F11/Inputs!$B$10,0)</f>
        <v>579</v>
      </c>
      <c r="I11" s="0" t="s">
        <v>327</v>
      </c>
    </row>
    <row r="12" customFormat="false" ht="15" hidden="false" customHeight="false" outlineLevel="0" collapsed="false">
      <c r="A12" s="0" t="s">
        <v>328</v>
      </c>
      <c r="B12" s="0" t="s">
        <v>314</v>
      </c>
      <c r="C12" s="0" t="n">
        <v>385.99</v>
      </c>
      <c r="D12" s="0" t="n">
        <f aca="false">Inputs!$B$5</f>
        <v>0.15</v>
      </c>
      <c r="E12" s="0" t="n">
        <f aca="false">C12*D12</f>
        <v>57.8985</v>
      </c>
      <c r="F12" s="0" t="n">
        <f aca="false">C12+E12</f>
        <v>443.8885</v>
      </c>
      <c r="G12" s="0" t="s">
        <v>315</v>
      </c>
      <c r="H12" s="0" t="n">
        <f aca="false">ROUNDUP(F12/Inputs!$B$11,0)</f>
        <v>45</v>
      </c>
      <c r="I12" s="0" t="s">
        <v>329</v>
      </c>
    </row>
    <row r="13" customFormat="false" ht="15" hidden="false" customHeight="false" outlineLevel="0" collapsed="false">
      <c r="A13" s="0" t="s">
        <v>330</v>
      </c>
      <c r="B13" s="0" t="s">
        <v>314</v>
      </c>
      <c r="C13" s="0" t="n">
        <v>2827.81</v>
      </c>
      <c r="D13" s="0" t="n">
        <f aca="false">Inputs!$B$5</f>
        <v>0.15</v>
      </c>
      <c r="E13" s="0" t="n">
        <f aca="false">C13*D13</f>
        <v>424.1715</v>
      </c>
      <c r="F13" s="0" t="n">
        <f aca="false">C13+E13</f>
        <v>3251.9815</v>
      </c>
      <c r="G13" s="0" t="s">
        <v>331</v>
      </c>
      <c r="H13" s="0" t="n">
        <f aca="false">ROUNDUP(F13/Inputs!$B$16,0)</f>
        <v>204</v>
      </c>
      <c r="I13" s="0" t="s">
        <v>332</v>
      </c>
    </row>
    <row r="14" customFormat="false" ht="15" hidden="false" customHeight="false" outlineLevel="0" collapsed="false">
      <c r="A14" s="0" t="s">
        <v>333</v>
      </c>
      <c r="B14" s="0" t="s">
        <v>314</v>
      </c>
      <c r="C14" s="0" t="n">
        <v>493.02</v>
      </c>
      <c r="D14" s="0" t="n">
        <f aca="false">Inputs!$B$5</f>
        <v>0.15</v>
      </c>
      <c r="E14" s="0" t="n">
        <f aca="false">C14*D14</f>
        <v>73.953</v>
      </c>
      <c r="F14" s="0" t="n">
        <f aca="false">C14+E14</f>
        <v>566.973</v>
      </c>
      <c r="G14" s="0" t="s">
        <v>334</v>
      </c>
      <c r="H14" s="0" t="n">
        <f aca="false">ROUNDUP(F14/Inputs!$B$17,0)</f>
        <v>48</v>
      </c>
      <c r="I14" s="0" t="s">
        <v>335</v>
      </c>
    </row>
    <row r="15" customFormat="false" ht="15" hidden="false" customHeight="false" outlineLevel="0" collapsed="false">
      <c r="A15" s="0" t="s">
        <v>336</v>
      </c>
      <c r="B15" s="0" t="s">
        <v>314</v>
      </c>
      <c r="C15" s="0" t="n">
        <v>341.09</v>
      </c>
      <c r="D15" s="0" t="n">
        <f aca="false">Inputs!$B$5</f>
        <v>0.15</v>
      </c>
      <c r="E15" s="0" t="n">
        <f aca="false">C15*D15</f>
        <v>51.1635</v>
      </c>
      <c r="F15" s="0" t="n">
        <f aca="false">C15+E15</f>
        <v>392.2535</v>
      </c>
      <c r="G15" s="0" t="s">
        <v>331</v>
      </c>
      <c r="H15" s="0" t="n">
        <f aca="false">ROUNDUP(F15/Inputs!$B$16,0)</f>
        <v>25</v>
      </c>
      <c r="I15" s="0" t="s">
        <v>337</v>
      </c>
    </row>
    <row r="16" customFormat="false" ht="15" hidden="false" customHeight="false" outlineLevel="0" collapsed="false">
      <c r="A16" s="0" t="s">
        <v>338</v>
      </c>
      <c r="B16" s="0" t="s">
        <v>314</v>
      </c>
      <c r="C16" s="0" t="n">
        <v>1438</v>
      </c>
      <c r="D16" s="0" t="n">
        <f aca="false">Inputs!$B$5</f>
        <v>0.15</v>
      </c>
      <c r="E16" s="0" t="n">
        <f aca="false">C16*D16</f>
        <v>215.7</v>
      </c>
      <c r="F16" s="0" t="n">
        <f aca="false">C16+E16</f>
        <v>1653.7</v>
      </c>
      <c r="G16" s="0" t="s">
        <v>33</v>
      </c>
      <c r="H16" s="0" t="n">
        <f aca="false">ROUNDUP(F16,0)</f>
        <v>1654</v>
      </c>
      <c r="I16" s="0" t="s">
        <v>339</v>
      </c>
    </row>
    <row r="17" customFormat="false" ht="15" hidden="false" customHeight="false" outlineLevel="0" collapsed="false">
      <c r="A17" s="0" t="s">
        <v>340</v>
      </c>
      <c r="B17" s="0" t="s">
        <v>341</v>
      </c>
      <c r="C17" s="0" t="n">
        <v>981.38</v>
      </c>
      <c r="D17" s="0" t="n">
        <f aca="false">Inputs!$B$6</f>
        <v>0.06</v>
      </c>
      <c r="E17" s="0" t="n">
        <f aca="false">C17*D17</f>
        <v>58.8828</v>
      </c>
      <c r="F17" s="0" t="n">
        <f aca="false">C17+E17</f>
        <v>1040.2628</v>
      </c>
      <c r="G17" s="0" t="s">
        <v>342</v>
      </c>
      <c r="H17" s="0" t="n">
        <f aca="false">ROUNDUP(F17/Inputs!$B$9,0)</f>
        <v>22</v>
      </c>
      <c r="I17" s="0" t="s">
        <v>343</v>
      </c>
    </row>
    <row r="18" customFormat="false" ht="15" hidden="false" customHeight="false" outlineLevel="0" collapsed="false">
      <c r="A18" s="0" t="s">
        <v>344</v>
      </c>
      <c r="B18" s="0" t="s">
        <v>314</v>
      </c>
      <c r="C18" s="0" t="n">
        <v>552.27</v>
      </c>
      <c r="D18" s="0" t="n">
        <f aca="false">Inputs!$B$5</f>
        <v>0.15</v>
      </c>
      <c r="E18" s="0" t="n">
        <f aca="false">C18*D18</f>
        <v>82.8405</v>
      </c>
      <c r="F18" s="0" t="n">
        <f aca="false">C18+E18</f>
        <v>635.1105</v>
      </c>
      <c r="G18" s="0" t="s">
        <v>345</v>
      </c>
      <c r="H18" s="0" t="n">
        <f aca="false">ROUNDUP(F18,0)</f>
        <v>636</v>
      </c>
      <c r="I18" s="0" t="s">
        <v>346</v>
      </c>
    </row>
    <row r="19" customFormat="false" ht="15" hidden="false" customHeight="false" outlineLevel="0" collapsed="false">
      <c r="A19" s="0" t="s">
        <v>347</v>
      </c>
      <c r="B19" s="0" t="s">
        <v>341</v>
      </c>
      <c r="C19" s="0" t="n">
        <v>14557.36</v>
      </c>
      <c r="D19" s="0" t="n">
        <f aca="false">Inputs!$B$6</f>
        <v>0.06</v>
      </c>
      <c r="E19" s="0" t="n">
        <f aca="false">C19*D19</f>
        <v>873.4416</v>
      </c>
      <c r="F19" s="0" t="n">
        <f aca="false">C19+E19</f>
        <v>15430.8016</v>
      </c>
      <c r="G19" s="0" t="s">
        <v>342</v>
      </c>
      <c r="H19" s="0" t="n">
        <f aca="false">ROUNDUP(F19/Inputs!$B$9,0)</f>
        <v>322</v>
      </c>
      <c r="I19" s="0" t="s">
        <v>348</v>
      </c>
    </row>
    <row r="20" customFormat="false" ht="15" hidden="false" customHeight="false" outlineLevel="0" collapsed="false">
      <c r="A20" s="0" t="s">
        <v>349</v>
      </c>
      <c r="B20" s="0" t="s">
        <v>341</v>
      </c>
      <c r="C20" s="0" t="n">
        <v>1024.02</v>
      </c>
      <c r="D20" s="0" t="n">
        <f aca="false">Inputs!$B$6</f>
        <v>0.06</v>
      </c>
      <c r="E20" s="0" t="n">
        <f aca="false">C20*D20</f>
        <v>61.4412</v>
      </c>
      <c r="F20" s="0" t="n">
        <f aca="false">C20+E20</f>
        <v>1085.4612</v>
      </c>
      <c r="G20" s="0" t="s">
        <v>342</v>
      </c>
      <c r="H20" s="0" t="n">
        <f aca="false">ROUNDUP(F20/Inputs!$B$9,0)</f>
        <v>23</v>
      </c>
      <c r="I20" s="0" t="s">
        <v>350</v>
      </c>
    </row>
    <row r="21" customFormat="false" ht="15" hidden="false" customHeight="false" outlineLevel="0" collapsed="false">
      <c r="A21" s="0" t="s">
        <v>351</v>
      </c>
      <c r="B21" s="0" t="s">
        <v>314</v>
      </c>
      <c r="C21" s="0" t="n">
        <v>891.72</v>
      </c>
      <c r="D21" s="0" t="n">
        <f aca="false">Inputs!$B$5</f>
        <v>0.15</v>
      </c>
      <c r="E21" s="0" t="n">
        <f aca="false">C21*D21</f>
        <v>133.758</v>
      </c>
      <c r="F21" s="0" t="n">
        <f aca="false">C21+E21</f>
        <v>1025.478</v>
      </c>
      <c r="G21" s="0" t="s">
        <v>352</v>
      </c>
      <c r="H21" s="0" t="n">
        <f aca="false">ROUNDUP(F21/Inputs!$B$18,0)</f>
        <v>103</v>
      </c>
      <c r="I21" s="0" t="s">
        <v>353</v>
      </c>
    </row>
    <row r="22" customFormat="false" ht="15" hidden="false" customHeight="false" outlineLevel="0" collapsed="false">
      <c r="A22" s="0" t="s">
        <v>354</v>
      </c>
      <c r="B22" s="0" t="s">
        <v>341</v>
      </c>
      <c r="C22" s="0" t="n">
        <v>851.4</v>
      </c>
      <c r="D22" s="0" t="n">
        <f aca="false">Inputs!$B$6</f>
        <v>0.06</v>
      </c>
      <c r="E22" s="0" t="n">
        <f aca="false">C22*D22</f>
        <v>51.084</v>
      </c>
      <c r="F22" s="0" t="n">
        <f aca="false">C22+E22</f>
        <v>902.484</v>
      </c>
      <c r="G22" s="0" t="s">
        <v>342</v>
      </c>
      <c r="H22" s="0" t="n">
        <f aca="false">ROUNDUP(F22/Inputs!$B$9,0)</f>
        <v>19</v>
      </c>
      <c r="I22" s="0" t="s">
        <v>355</v>
      </c>
    </row>
    <row r="23" customFormat="false" ht="15" hidden="false" customHeight="false" outlineLevel="0" collapsed="false">
      <c r="A23" s="0" t="s">
        <v>356</v>
      </c>
      <c r="B23" s="0" t="s">
        <v>314</v>
      </c>
      <c r="C23" s="0" t="n">
        <v>61.31</v>
      </c>
      <c r="D23" s="0" t="n">
        <f aca="false">Inputs!$B$5</f>
        <v>0.15</v>
      </c>
      <c r="E23" s="0" t="n">
        <f aca="false">C23*D23</f>
        <v>9.1965</v>
      </c>
      <c r="F23" s="0" t="n">
        <f aca="false">C23+E23</f>
        <v>70.5065</v>
      </c>
      <c r="G23" s="0" t="s">
        <v>324</v>
      </c>
      <c r="H23" s="0" t="n">
        <f aca="false">ROUNDUP(F23/Inputs!$B$10,0)</f>
        <v>4</v>
      </c>
      <c r="I23" s="0" t="s">
        <v>357</v>
      </c>
    </row>
    <row r="24" customFormat="false" ht="15" hidden="false" customHeight="false" outlineLevel="0" collapsed="false">
      <c r="A24" s="0" t="s">
        <v>358</v>
      </c>
      <c r="B24" s="0" t="s">
        <v>341</v>
      </c>
      <c r="C24" s="0" t="n">
        <v>2528.42</v>
      </c>
      <c r="D24" s="0" t="n">
        <f aca="false">Inputs!$B$6</f>
        <v>0.06</v>
      </c>
      <c r="E24" s="0" t="n">
        <f aca="false">C24*D24</f>
        <v>151.7052</v>
      </c>
      <c r="F24" s="0" t="n">
        <f aca="false">C24+E24</f>
        <v>2680.1252</v>
      </c>
      <c r="G24" s="0" t="s">
        <v>342</v>
      </c>
      <c r="H24" s="0" t="n">
        <f aca="false">ROUNDUP(F24/Inputs!$B$9,0)</f>
        <v>56</v>
      </c>
      <c r="I24" s="0" t="s">
        <v>359</v>
      </c>
    </row>
    <row r="25" customFormat="false" ht="15" hidden="false" customHeight="false" outlineLevel="0" collapsed="false">
      <c r="A25" s="0" t="s">
        <v>360</v>
      </c>
      <c r="B25" s="0" t="s">
        <v>341</v>
      </c>
      <c r="C25" s="0" t="n">
        <v>137.4</v>
      </c>
      <c r="D25" s="0" t="n">
        <f aca="false">Inputs!$B$6</f>
        <v>0.06</v>
      </c>
      <c r="E25" s="0" t="n">
        <f aca="false">C25*D25</f>
        <v>8.244</v>
      </c>
      <c r="F25" s="0" t="n">
        <f aca="false">C25+E25</f>
        <v>145.644</v>
      </c>
      <c r="G25" s="0" t="s">
        <v>342</v>
      </c>
      <c r="H25" s="0" t="n">
        <f aca="false">ROUNDUP(F25/Inputs!$B$9,0)</f>
        <v>4</v>
      </c>
      <c r="I25" s="0" t="s">
        <v>359</v>
      </c>
    </row>
    <row r="26" customFormat="false" ht="15" hidden="false" customHeight="false" outlineLevel="0" collapsed="false">
      <c r="A26" s="0" t="s">
        <v>361</v>
      </c>
      <c r="B26" s="0" t="s">
        <v>362</v>
      </c>
      <c r="C26" s="0" t="n">
        <v>103</v>
      </c>
      <c r="D26" s="0" t="n">
        <v>0</v>
      </c>
      <c r="E26" s="0" t="n">
        <f aca="false">C26*D26</f>
        <v>0</v>
      </c>
      <c r="F26" s="0" t="n">
        <f aca="false">C26+E26</f>
        <v>103</v>
      </c>
      <c r="H26" s="0" t="n">
        <f aca="false">ROUNDUP(F26,0)</f>
        <v>103</v>
      </c>
      <c r="I26" s="0" t="s">
        <v>363</v>
      </c>
    </row>
    <row r="27" customFormat="false" ht="15" hidden="false" customHeight="false" outlineLevel="0" collapsed="false">
      <c r="A27" s="0" t="s">
        <v>364</v>
      </c>
      <c r="B27" s="0" t="s">
        <v>314</v>
      </c>
      <c r="C27" s="0" t="n">
        <v>0</v>
      </c>
      <c r="D27" s="0" t="n">
        <f aca="false">Inputs!$B$5</f>
        <v>0.15</v>
      </c>
      <c r="E27" s="0" t="n">
        <f aca="false">C27*D27</f>
        <v>0</v>
      </c>
      <c r="F27" s="0" t="n">
        <f aca="false">C27+E27</f>
        <v>0</v>
      </c>
      <c r="G27" s="0" t="s">
        <v>315</v>
      </c>
      <c r="H27" s="0" t="n">
        <f aca="false">ROUNDUP(F27/Inputs!$B$11,0)</f>
        <v>0</v>
      </c>
      <c r="I27" s="0" t="s">
        <v>365</v>
      </c>
    </row>
    <row r="28" customFormat="false" ht="15" hidden="false" customHeight="false" outlineLevel="0" collapsed="false">
      <c r="A28" s="0" t="s">
        <v>366</v>
      </c>
      <c r="B28" s="0" t="s">
        <v>362</v>
      </c>
      <c r="C28" s="0" t="n">
        <v>0</v>
      </c>
      <c r="D28" s="0" t="n">
        <v>0</v>
      </c>
      <c r="E28" s="0" t="n">
        <f aca="false">C28*D28</f>
        <v>0</v>
      </c>
      <c r="F28" s="0" t="n">
        <f aca="false">C28+E28</f>
        <v>0</v>
      </c>
      <c r="G28" s="0" t="s">
        <v>367</v>
      </c>
      <c r="H28" s="0" t="n">
        <f aca="false">ROUNDUP(F28,0)</f>
        <v>0</v>
      </c>
      <c r="I28" s="0" t="s">
        <v>368</v>
      </c>
    </row>
    <row r="29" customFormat="false" ht="15" hidden="false" customHeight="false" outlineLevel="0" collapsed="false">
      <c r="A29" s="0" t="s">
        <v>369</v>
      </c>
      <c r="B29" s="0" t="s">
        <v>314</v>
      </c>
      <c r="C29" s="0" t="n">
        <v>0</v>
      </c>
      <c r="D29" s="0" t="n">
        <f aca="false">Inputs!$B$5</f>
        <v>0.15</v>
      </c>
      <c r="E29" s="0" t="n">
        <f aca="false">C29*D29</f>
        <v>0</v>
      </c>
      <c r="F29" s="0" t="n">
        <f aca="false">C29+E29</f>
        <v>0</v>
      </c>
      <c r="G29" s="0" t="s">
        <v>324</v>
      </c>
      <c r="H29" s="0" t="n">
        <f aca="false">ROUNDUP(F29/Inputs!$B$10,0)</f>
        <v>0</v>
      </c>
      <c r="I29" s="0" t="s">
        <v>370</v>
      </c>
    </row>
    <row r="30" customFormat="false" ht="15" hidden="false" customHeight="false" outlineLevel="0" collapsed="false">
      <c r="A30" s="0" t="s">
        <v>371</v>
      </c>
      <c r="B30" s="0" t="s">
        <v>314</v>
      </c>
      <c r="C30" s="0" t="n">
        <v>0</v>
      </c>
      <c r="D30" s="0" t="n">
        <f aca="false">Inputs!$B$5</f>
        <v>0.15</v>
      </c>
      <c r="E30" s="0" t="n">
        <f aca="false">C30*D30</f>
        <v>0</v>
      </c>
      <c r="F30" s="0" t="n">
        <f aca="false">C30+E30</f>
        <v>0</v>
      </c>
      <c r="G30" s="0" t="s">
        <v>324</v>
      </c>
      <c r="H30" s="0" t="n">
        <f aca="false">ROUNDUP(F30/Inputs!$B$10,0)</f>
        <v>0</v>
      </c>
      <c r="I30" s="0" t="s">
        <v>372</v>
      </c>
    </row>
    <row r="31" customFormat="false" ht="15" hidden="false" customHeight="false" outlineLevel="0" collapsed="false">
      <c r="A31" s="0" t="s">
        <v>373</v>
      </c>
      <c r="B31" s="0" t="s">
        <v>341</v>
      </c>
      <c r="C31" s="0" t="n">
        <v>0</v>
      </c>
      <c r="D31" s="0" t="n">
        <f aca="false">Inputs!$B$6</f>
        <v>0.06</v>
      </c>
      <c r="E31" s="0" t="n">
        <f aca="false">C31*D31</f>
        <v>0</v>
      </c>
      <c r="F31" s="0" t="n">
        <f aca="false">C31+E31</f>
        <v>0</v>
      </c>
      <c r="G31" s="0" t="s">
        <v>342</v>
      </c>
      <c r="H31" s="0" t="n">
        <f aca="false">ROUNDUP(F31/Inputs!$B$9,0)</f>
        <v>0</v>
      </c>
      <c r="I31" s="0" t="s">
        <v>374</v>
      </c>
    </row>
    <row r="32" customFormat="false" ht="15" hidden="false" customHeight="false" outlineLevel="0" collapsed="false">
      <c r="A32" s="0" t="s">
        <v>375</v>
      </c>
      <c r="B32" s="0" t="s">
        <v>314</v>
      </c>
      <c r="C32" s="0" t="n">
        <v>0</v>
      </c>
      <c r="D32" s="0" t="n">
        <f aca="false">Inputs!$B$6</f>
        <v>0.06</v>
      </c>
      <c r="E32" s="0" t="n">
        <f aca="false">C32*D32</f>
        <v>0</v>
      </c>
      <c r="F32" s="0" t="n">
        <f aca="false">C32+E32</f>
        <v>0</v>
      </c>
      <c r="G32" s="0" t="s">
        <v>352</v>
      </c>
      <c r="H32" s="0" t="n">
        <f aca="false">ROUNDUP(F32/Inputs!$B$18,0)</f>
        <v>0</v>
      </c>
      <c r="I32" s="0" t="s">
        <v>376</v>
      </c>
    </row>
    <row r="33" customFormat="false" ht="15" hidden="false" customHeight="false" outlineLevel="0" collapsed="false">
      <c r="A33" s="0" t="s">
        <v>377</v>
      </c>
      <c r="B33" s="0" t="s">
        <v>362</v>
      </c>
      <c r="C33" s="0" t="n">
        <v>0</v>
      </c>
      <c r="D33" s="0" t="n">
        <v>0</v>
      </c>
      <c r="E33" s="0" t="n">
        <f aca="false">C33*D33</f>
        <v>0</v>
      </c>
      <c r="F33" s="0" t="n">
        <f aca="false">C33+E33</f>
        <v>0</v>
      </c>
      <c r="G33" s="0" t="s">
        <v>367</v>
      </c>
      <c r="H33" s="0" t="n">
        <f aca="false">ROUNDUP(F33,0)</f>
        <v>0</v>
      </c>
      <c r="I33" s="0" t="s">
        <v>378</v>
      </c>
    </row>
    <row r="34" customFormat="false" ht="15" hidden="false" customHeight="false" outlineLevel="0" collapsed="false">
      <c r="A34" s="0" t="s">
        <v>379</v>
      </c>
      <c r="B34" s="0" t="s">
        <v>362</v>
      </c>
      <c r="C34" s="0" t="n">
        <v>0</v>
      </c>
      <c r="D34" s="0" t="n">
        <v>0</v>
      </c>
      <c r="E34" s="0" t="n">
        <f aca="false">C34*D34</f>
        <v>0</v>
      </c>
      <c r="F34" s="0" t="n">
        <f aca="false">C34+E34</f>
        <v>0</v>
      </c>
      <c r="G34" s="0" t="s">
        <v>367</v>
      </c>
      <c r="H34" s="0" t="n">
        <f aca="false">ROUNDUP(F34,0)</f>
        <v>0</v>
      </c>
      <c r="I34" s="0" t="s">
        <v>380</v>
      </c>
    </row>
    <row r="35" customFormat="false" ht="15" hidden="false" customHeight="false" outlineLevel="0" collapsed="false">
      <c r="A35" s="0" t="s">
        <v>381</v>
      </c>
      <c r="B35" s="0" t="s">
        <v>362</v>
      </c>
      <c r="C35" s="0" t="n">
        <v>19875.31</v>
      </c>
      <c r="D35" s="0" t="n">
        <v>0</v>
      </c>
      <c r="E35" s="0" t="n">
        <f aca="false">C35*D35</f>
        <v>0</v>
      </c>
      <c r="F35" s="0" t="n">
        <f aca="false">C35+E35</f>
        <v>19875.31</v>
      </c>
      <c r="G35" s="0" t="s">
        <v>367</v>
      </c>
      <c r="H35" s="0" t="n">
        <f aca="false">ROUNDUP(F35,0)</f>
        <v>19876</v>
      </c>
      <c r="I35" s="0" t="s">
        <v>382</v>
      </c>
      <c r="J35" s="0" t="n">
        <f aca="false">Inputs!$B$20*16562.8</f>
        <v>19875.36</v>
      </c>
    </row>
    <row r="36" customFormat="false" ht="15" hidden="false" customHeight="false" outlineLevel="0" collapsed="false">
      <c r="A36" s="0" t="s">
        <v>383</v>
      </c>
      <c r="B36" s="0" t="s">
        <v>362</v>
      </c>
      <c r="C36" s="0" t="n">
        <v>3080</v>
      </c>
      <c r="D36" s="0" t="n">
        <v>0</v>
      </c>
      <c r="E36" s="0" t="n">
        <f aca="false">C36*D36</f>
        <v>0</v>
      </c>
      <c r="F36" s="0" t="n">
        <f aca="false">C36+E36</f>
        <v>3080</v>
      </c>
      <c r="G36" s="0" t="s">
        <v>367</v>
      </c>
      <c r="H36" s="0" t="n">
        <f aca="false">ROUNDUP(F36,0)</f>
        <v>3080</v>
      </c>
      <c r="I36" s="0" t="s">
        <v>384</v>
      </c>
      <c r="J36" s="0" t="n">
        <f aca="false">Inputs!$B$21*770</f>
        <v>3080</v>
      </c>
    </row>
    <row r="37" customFormat="false" ht="15" hidden="false" customHeight="false" outlineLevel="0" collapsed="false">
      <c r="A37" s="0" t="s">
        <v>385</v>
      </c>
      <c r="B37" s="0" t="s">
        <v>362</v>
      </c>
      <c r="C37" s="0" t="n">
        <v>634.44</v>
      </c>
      <c r="D37" s="0" t="n">
        <v>0</v>
      </c>
      <c r="E37" s="0" t="n">
        <f aca="false">C37*D37</f>
        <v>0</v>
      </c>
      <c r="F37" s="0" t="n">
        <f aca="false">C37+E37</f>
        <v>634.44</v>
      </c>
      <c r="G37" s="0" t="s">
        <v>367</v>
      </c>
      <c r="H37" s="0" t="n">
        <f aca="false">ROUNDUP(F37,0)</f>
        <v>635</v>
      </c>
      <c r="I37" s="0" t="s">
        <v>386</v>
      </c>
      <c r="J37" s="0" t="n">
        <f aca="false">634.44/Inputs!$B$22</f>
        <v>634.44</v>
      </c>
    </row>
    <row r="38" customFormat="false" ht="15" hidden="false" customHeight="false" outlineLevel="0" collapsed="false">
      <c r="A38" s="0" t="s">
        <v>387</v>
      </c>
      <c r="B38" s="0" t="s">
        <v>362</v>
      </c>
      <c r="C38" s="0" t="n">
        <v>0</v>
      </c>
      <c r="D38" s="0" t="n">
        <v>0</v>
      </c>
      <c r="E38" s="0" t="n">
        <f aca="false">C38*D38</f>
        <v>0</v>
      </c>
      <c r="F38" s="0" t="n">
        <f aca="false">C38+E38</f>
        <v>0</v>
      </c>
      <c r="G38" s="0" t="s">
        <v>367</v>
      </c>
      <c r="H38" s="0" t="n">
        <f aca="false">ROUNDUP(F38,0)</f>
        <v>0</v>
      </c>
      <c r="I38" s="0" t="s">
        <v>388</v>
      </c>
      <c r="J38" s="0" t="n">
        <f aca="false">0*Inputs!$B$25</f>
        <v>0</v>
      </c>
    </row>
    <row r="39" customFormat="false" ht="15" hidden="false" customHeight="false" outlineLevel="0" collapsed="false">
      <c r="A39" s="0" t="s">
        <v>389</v>
      </c>
      <c r="B39" s="0" t="s">
        <v>390</v>
      </c>
      <c r="C39" s="0" t="n">
        <v>1192.52</v>
      </c>
      <c r="D39" s="0" t="n">
        <v>0</v>
      </c>
      <c r="E39" s="0" t="n">
        <f aca="false">C39*D39</f>
        <v>0</v>
      </c>
      <c r="F39" s="0" t="n">
        <f aca="false">C39+E39</f>
        <v>1192.52</v>
      </c>
      <c r="G39" s="0" t="s">
        <v>391</v>
      </c>
      <c r="H39" s="0" t="n">
        <f aca="false">ROUNDUP(F39,0)</f>
        <v>1193</v>
      </c>
      <c r="I39" s="0" t="s">
        <v>392</v>
      </c>
      <c r="J39" s="0" t="n">
        <f aca="false">Inputs!$B$23*16562.8</f>
        <v>1192.5216</v>
      </c>
    </row>
    <row r="40" customFormat="false" ht="15" hidden="false" customHeight="false" outlineLevel="0" collapsed="false">
      <c r="A40" s="0" t="s">
        <v>393</v>
      </c>
      <c r="B40" s="0" t="s">
        <v>314</v>
      </c>
      <c r="C40" s="0" t="n">
        <v>6128.22</v>
      </c>
      <c r="D40" s="0" t="n">
        <v>0</v>
      </c>
      <c r="E40" s="0" t="n">
        <f aca="false">C40*D40</f>
        <v>0</v>
      </c>
      <c r="F40" s="0" t="n">
        <f aca="false">C40+E40</f>
        <v>6128.22</v>
      </c>
      <c r="G40" s="0" t="s">
        <v>314</v>
      </c>
      <c r="H40" s="0" t="n">
        <f aca="false">ROUNDUP(F40,0)</f>
        <v>6129</v>
      </c>
      <c r="I40" s="0" t="s">
        <v>394</v>
      </c>
      <c r="J40" s="0" t="n">
        <f aca="false">Inputs!$B$24*16562.8</f>
        <v>6128.236</v>
      </c>
    </row>
    <row r="41" customFormat="false" ht="15" hidden="false" customHeight="false" outlineLevel="0" collapsed="false">
      <c r="A41" s="0" t="s">
        <v>395</v>
      </c>
      <c r="B41" s="0" t="s">
        <v>341</v>
      </c>
      <c r="C41" s="0" t="n">
        <v>0</v>
      </c>
      <c r="D41" s="0" t="n">
        <f aca="false">Inputs!$B$6</f>
        <v>0.06</v>
      </c>
      <c r="E41" s="0" t="n">
        <f aca="false">C41*D41</f>
        <v>0</v>
      </c>
      <c r="F41" s="0" t="n">
        <f aca="false">C41+E41</f>
        <v>0</v>
      </c>
      <c r="G41" s="0" t="s">
        <v>341</v>
      </c>
      <c r="H41" s="0" t="n">
        <f aca="false">ROUNDUP(F41,0)</f>
        <v>0</v>
      </c>
      <c r="I41" s="0" t="s">
        <v>396</v>
      </c>
    </row>
    <row r="42" customFormat="false" ht="15" hidden="false" customHeight="false" outlineLevel="0" collapsed="false">
      <c r="A42" s="0" t="s">
        <v>397</v>
      </c>
      <c r="B42" s="0" t="s">
        <v>362</v>
      </c>
      <c r="C42" s="0" t="n">
        <v>0</v>
      </c>
      <c r="D42" s="0" t="n">
        <v>0</v>
      </c>
      <c r="E42" s="0" t="n">
        <f aca="false">C42*D42</f>
        <v>0</v>
      </c>
      <c r="F42" s="0" t="n">
        <f aca="false">C42+E42</f>
        <v>0</v>
      </c>
      <c r="G42" s="0" t="s">
        <v>367</v>
      </c>
      <c r="H42" s="0" t="n">
        <f aca="false">ROUNDUP(F42,0)</f>
        <v>0</v>
      </c>
      <c r="I42" s="0" t="s">
        <v>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399</v>
      </c>
      <c r="B1" s="2" t="s">
        <v>400</v>
      </c>
      <c r="C1" s="2" t="s">
        <v>401</v>
      </c>
    </row>
    <row r="2" customFormat="false" ht="15" hidden="false" customHeight="false" outlineLevel="0" collapsed="false">
      <c r="A2" s="0" t="s">
        <v>402</v>
      </c>
      <c r="B2" s="0" t="s">
        <v>403</v>
      </c>
      <c r="C2" s="0" t="s">
        <v>404</v>
      </c>
    </row>
    <row r="3" customFormat="false" ht="15" hidden="false" customHeight="false" outlineLevel="0" collapsed="false">
      <c r="A3" s="0" t="s">
        <v>405</v>
      </c>
      <c r="B3" s="0" t="s">
        <v>406</v>
      </c>
      <c r="C3" s="0" t="s">
        <v>407</v>
      </c>
    </row>
    <row r="4" customFormat="false" ht="15" hidden="false" customHeight="false" outlineLevel="0" collapsed="false">
      <c r="A4" s="0" t="s">
        <v>408</v>
      </c>
      <c r="B4" s="0" t="s">
        <v>409</v>
      </c>
      <c r="C4" s="0" t="s">
        <v>410</v>
      </c>
    </row>
    <row r="5" customFormat="false" ht="15" hidden="false" customHeight="false" outlineLevel="0" collapsed="false">
      <c r="A5" s="0" t="s">
        <v>411</v>
      </c>
      <c r="B5" s="0" t="s">
        <v>412</v>
      </c>
      <c r="C5" s="0" t="s">
        <v>413</v>
      </c>
    </row>
    <row r="6" customFormat="false" ht="15" hidden="false" customHeight="false" outlineLevel="0" collapsed="false">
      <c r="A6" s="0" t="s">
        <v>414</v>
      </c>
      <c r="B6" s="0" t="s">
        <v>415</v>
      </c>
      <c r="C6" s="0" t="s">
        <v>416</v>
      </c>
    </row>
    <row r="7" customFormat="false" ht="15" hidden="false" customHeight="false" outlineLevel="0" collapsed="false">
      <c r="A7" s="0" t="s">
        <v>417</v>
      </c>
      <c r="B7" s="0" t="s">
        <v>418</v>
      </c>
      <c r="C7" s="0" t="s">
        <v>419</v>
      </c>
    </row>
    <row r="8" customFormat="false" ht="15" hidden="false" customHeight="false" outlineLevel="0" collapsed="false">
      <c r="A8" s="0" t="s">
        <v>420</v>
      </c>
      <c r="B8" s="0" t="s">
        <v>421</v>
      </c>
      <c r="C8" s="0" t="s">
        <v>422</v>
      </c>
    </row>
    <row r="9" customFormat="false" ht="15" hidden="false" customHeight="false" outlineLevel="0" collapsed="false">
      <c r="A9" s="0" t="s">
        <v>423</v>
      </c>
      <c r="B9" s="0" t="s">
        <v>424</v>
      </c>
      <c r="C9" s="0" t="s">
        <v>425</v>
      </c>
    </row>
    <row r="10" customFormat="false" ht="15" hidden="false" customHeight="false" outlineLevel="0" collapsed="false">
      <c r="A10" s="0" t="s">
        <v>426</v>
      </c>
      <c r="B10" s="0" t="s">
        <v>427</v>
      </c>
      <c r="C10" s="0" t="s">
        <v>413</v>
      </c>
    </row>
    <row r="11" customFormat="false" ht="15" hidden="false" customHeight="false" outlineLevel="0" collapsed="false">
      <c r="A11" s="0" t="s">
        <v>428</v>
      </c>
      <c r="B11" s="0" t="s">
        <v>429</v>
      </c>
      <c r="C11" s="0" t="s">
        <v>430</v>
      </c>
    </row>
    <row r="12" customFormat="false" ht="15" hidden="false" customHeight="false" outlineLevel="0" collapsed="false">
      <c r="A12" s="0" t="s">
        <v>431</v>
      </c>
      <c r="B12" s="0" t="s">
        <v>432</v>
      </c>
      <c r="C12" s="0" t="s">
        <v>433</v>
      </c>
    </row>
    <row r="13" customFormat="false" ht="15" hidden="false" customHeight="false" outlineLevel="0" collapsed="false">
      <c r="A13" s="0" t="s">
        <v>434</v>
      </c>
      <c r="B13" s="0" t="s">
        <v>435</v>
      </c>
      <c r="C13" s="0" t="s">
        <v>413</v>
      </c>
    </row>
    <row r="14" customFormat="false" ht="15" hidden="false" customHeight="false" outlineLevel="0" collapsed="false">
      <c r="A14" s="0" t="s">
        <v>436</v>
      </c>
      <c r="B14" s="0" t="s">
        <v>437</v>
      </c>
      <c r="C14" s="0" t="s">
        <v>438</v>
      </c>
    </row>
    <row r="15" customFormat="false" ht="15" hidden="false" customHeight="false" outlineLevel="0" collapsed="false">
      <c r="A15" s="0" t="s">
        <v>439</v>
      </c>
      <c r="B15" s="0" t="s">
        <v>440</v>
      </c>
      <c r="C15" s="0" t="s">
        <v>441</v>
      </c>
    </row>
    <row r="16" customFormat="false" ht="15" hidden="false" customHeight="false" outlineLevel="0" collapsed="false">
      <c r="A16" s="0" t="s">
        <v>442</v>
      </c>
      <c r="B16" s="0" t="s">
        <v>443</v>
      </c>
      <c r="C16" s="0" t="s">
        <v>444</v>
      </c>
    </row>
    <row r="17" customFormat="false" ht="15" hidden="false" customHeight="false" outlineLevel="0" collapsed="false">
      <c r="A17" s="0" t="s">
        <v>445</v>
      </c>
      <c r="B17" s="0" t="s">
        <v>446</v>
      </c>
      <c r="C17" s="0" t="s">
        <v>447</v>
      </c>
    </row>
    <row r="18" customFormat="false" ht="15" hidden="false" customHeight="false" outlineLevel="0" collapsed="false">
      <c r="A18" s="0" t="s">
        <v>448</v>
      </c>
      <c r="B18" s="0" t="s">
        <v>449</v>
      </c>
      <c r="C18" s="0" t="s">
        <v>450</v>
      </c>
    </row>
    <row r="19" customFormat="false" ht="15" hidden="false" customHeight="false" outlineLevel="0" collapsed="false">
      <c r="A19" s="0" t="s">
        <v>451</v>
      </c>
      <c r="B19" s="0" t="s">
        <v>452</v>
      </c>
      <c r="C19" s="0" t="s">
        <v>453</v>
      </c>
    </row>
    <row r="20" customFormat="false" ht="15" hidden="false" customHeight="false" outlineLevel="0" collapsed="false">
      <c r="A20" s="0" t="s">
        <v>454</v>
      </c>
      <c r="B20" s="0" t="s">
        <v>455</v>
      </c>
      <c r="C20" s="0" t="s">
        <v>456</v>
      </c>
    </row>
    <row r="21" customFormat="false" ht="15" hidden="false" customHeight="false" outlineLevel="0" collapsed="false">
      <c r="A21" s="0" t="s">
        <v>457</v>
      </c>
      <c r="B21" s="0" t="s">
        <v>458</v>
      </c>
      <c r="C21" s="0" t="s">
        <v>459</v>
      </c>
    </row>
    <row r="22" customFormat="false" ht="15" hidden="false" customHeight="false" outlineLevel="0" collapsed="false">
      <c r="A22" s="0" t="s">
        <v>460</v>
      </c>
      <c r="B22" s="0" t="s">
        <v>461</v>
      </c>
      <c r="C22" s="0" t="s">
        <v>462</v>
      </c>
    </row>
    <row r="23" customFormat="false" ht="15" hidden="false" customHeight="false" outlineLevel="0" collapsed="false">
      <c r="A23" s="0" t="s">
        <v>463</v>
      </c>
      <c r="B23" s="0" t="s">
        <v>464</v>
      </c>
      <c r="C23" s="0" t="s">
        <v>465</v>
      </c>
    </row>
    <row r="24" customFormat="false" ht="15" hidden="false" customHeight="false" outlineLevel="0" collapsed="false">
      <c r="A24" s="0" t="s">
        <v>466</v>
      </c>
      <c r="B24" s="0" t="s">
        <v>467</v>
      </c>
      <c r="C24" s="0" t="s">
        <v>468</v>
      </c>
    </row>
    <row r="25" customFormat="false" ht="15" hidden="false" customHeight="false" outlineLevel="0" collapsed="false">
      <c r="A25" s="0" t="s">
        <v>469</v>
      </c>
      <c r="B25" s="0" t="s">
        <v>470</v>
      </c>
      <c r="C25" s="0" t="s">
        <v>471</v>
      </c>
    </row>
    <row r="26" customFormat="false" ht="15" hidden="false" customHeight="false" outlineLevel="0" collapsed="false">
      <c r="A26" s="0" t="s">
        <v>472</v>
      </c>
      <c r="B26" s="0" t="s">
        <v>473</v>
      </c>
      <c r="C26" s="0" t="s">
        <v>474</v>
      </c>
    </row>
    <row r="27" customFormat="false" ht="15" hidden="false" customHeight="false" outlineLevel="0" collapsed="false">
      <c r="A27" s="0" t="s">
        <v>475</v>
      </c>
      <c r="B27" s="0" t="s">
        <v>476</v>
      </c>
      <c r="C27" s="0" t="s">
        <v>477</v>
      </c>
    </row>
    <row r="28" customFormat="false" ht="15" hidden="false" customHeight="false" outlineLevel="0" collapsed="false">
      <c r="A28" s="0" t="s">
        <v>478</v>
      </c>
      <c r="B28" s="0" t="s">
        <v>479</v>
      </c>
      <c r="C28" s="0" t="s">
        <v>480</v>
      </c>
    </row>
    <row r="29" customFormat="false" ht="15" hidden="false" customHeight="false" outlineLevel="0" collapsed="false">
      <c r="A29" s="0" t="s">
        <v>481</v>
      </c>
      <c r="B29" s="0" t="s">
        <v>482</v>
      </c>
      <c r="C29" s="0" t="s">
        <v>413</v>
      </c>
    </row>
    <row r="30" customFormat="false" ht="15" hidden="false" customHeight="false" outlineLevel="0" collapsed="false">
      <c r="A30" s="0" t="s">
        <v>483</v>
      </c>
      <c r="B30" s="0" t="s">
        <v>484</v>
      </c>
      <c r="C30" s="0" t="s">
        <v>485</v>
      </c>
    </row>
    <row r="31" customFormat="false" ht="15" hidden="false" customHeight="false" outlineLevel="0" collapsed="false">
      <c r="A31" s="0" t="s">
        <v>486</v>
      </c>
      <c r="B31" s="0" t="s">
        <v>487</v>
      </c>
      <c r="C31" s="0" t="s">
        <v>488</v>
      </c>
    </row>
    <row r="32" customFormat="false" ht="15" hidden="false" customHeight="false" outlineLevel="0" collapsed="false">
      <c r="A32" s="0" t="s">
        <v>489</v>
      </c>
      <c r="B32" s="0" t="s">
        <v>490</v>
      </c>
      <c r="C32" s="0" t="s">
        <v>491</v>
      </c>
    </row>
    <row r="33" customFormat="false" ht="15" hidden="false" customHeight="false" outlineLevel="0" collapsed="false">
      <c r="A33" s="0" t="s">
        <v>492</v>
      </c>
      <c r="B33" s="0" t="s">
        <v>493</v>
      </c>
      <c r="C33" s="0" t="s">
        <v>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60"/>
    <col collapsed="false" customWidth="true" hidden="false" outlineLevel="0" max="5" min="5" style="0" width="16"/>
    <col collapsed="false" customWidth="true" hidden="false" outlineLevel="0" max="6" min="6" style="0" width="29"/>
  </cols>
  <sheetData>
    <row r="1" customFormat="false" ht="15" hidden="false" customHeight="false" outlineLevel="0" collapsed="false">
      <c r="A1" s="0" t="s">
        <v>495</v>
      </c>
    </row>
    <row r="2" customFormat="false" ht="15" hidden="false" customHeight="false" outlineLevel="0" collapsed="false">
      <c r="A2" s="0" t="s">
        <v>496</v>
      </c>
      <c r="B2" s="0" t="s">
        <v>497</v>
      </c>
      <c r="C2" s="0" t="s">
        <v>498</v>
      </c>
      <c r="D2" s="0" t="s">
        <v>499</v>
      </c>
      <c r="E2" s="0" t="s">
        <v>500</v>
      </c>
      <c r="F2" s="0" t="s">
        <v>501</v>
      </c>
    </row>
    <row r="3" customFormat="false" ht="15" hidden="false" customHeight="false" outlineLevel="0" collapsed="false">
      <c r="A3" s="0" t="s">
        <v>502</v>
      </c>
      <c r="B3" s="0" t="s">
        <v>503</v>
      </c>
      <c r="C3" s="0" t="s">
        <v>504</v>
      </c>
      <c r="D3" s="0" t="s">
        <v>505</v>
      </c>
      <c r="E3" s="0" t="s">
        <v>506</v>
      </c>
      <c r="F3" s="0" t="s">
        <v>507</v>
      </c>
    </row>
    <row r="4" customFormat="false" ht="15" hidden="false" customHeight="false" outlineLevel="0" collapsed="false">
      <c r="A4" s="0" t="s">
        <v>508</v>
      </c>
      <c r="B4" s="0" t="s">
        <v>503</v>
      </c>
      <c r="C4" s="0" t="s">
        <v>509</v>
      </c>
      <c r="D4" s="0" t="s">
        <v>510</v>
      </c>
      <c r="E4" s="0" t="s">
        <v>121</v>
      </c>
      <c r="F4" s="0" t="s">
        <v>507</v>
      </c>
    </row>
    <row r="5" customFormat="false" ht="15" hidden="false" customHeight="false" outlineLevel="0" collapsed="false">
      <c r="A5" s="0" t="s">
        <v>511</v>
      </c>
      <c r="B5" s="0" t="s">
        <v>503</v>
      </c>
      <c r="C5" s="0" t="s">
        <v>512</v>
      </c>
      <c r="D5" s="0" t="s">
        <v>513</v>
      </c>
      <c r="E5" s="0" t="s">
        <v>506</v>
      </c>
      <c r="F5" s="0" t="s">
        <v>507</v>
      </c>
    </row>
    <row r="6" customFormat="false" ht="15" hidden="false" customHeight="false" outlineLevel="0" collapsed="false">
      <c r="A6" s="0" t="s">
        <v>514</v>
      </c>
      <c r="B6" s="0" t="s">
        <v>503</v>
      </c>
      <c r="C6" s="0" t="s">
        <v>515</v>
      </c>
      <c r="D6" s="0" t="s">
        <v>516</v>
      </c>
      <c r="E6" s="0" t="s">
        <v>517</v>
      </c>
      <c r="F6" s="0" t="s">
        <v>507</v>
      </c>
    </row>
    <row r="7" customFormat="false" ht="15" hidden="false" customHeight="false" outlineLevel="0" collapsed="false">
      <c r="A7" s="0" t="s">
        <v>518</v>
      </c>
      <c r="B7" s="0" t="s">
        <v>519</v>
      </c>
      <c r="C7" s="0" t="n">
        <v>1</v>
      </c>
      <c r="D7" s="0" t="s">
        <v>520</v>
      </c>
      <c r="E7" s="0" t="s">
        <v>65</v>
      </c>
      <c r="F7" s="0" t="s">
        <v>507</v>
      </c>
    </row>
    <row r="8" customFormat="false" ht="15" hidden="false" customHeight="false" outlineLevel="0" collapsed="false">
      <c r="A8" s="0" t="s">
        <v>521</v>
      </c>
      <c r="B8" s="0" t="s">
        <v>519</v>
      </c>
      <c r="C8" s="0" t="n">
        <v>2</v>
      </c>
      <c r="D8" s="0" t="s">
        <v>522</v>
      </c>
      <c r="E8" s="0" t="s">
        <v>100</v>
      </c>
      <c r="F8" s="0" t="s">
        <v>507</v>
      </c>
    </row>
    <row r="9" customFormat="false" ht="15" hidden="false" customHeight="false" outlineLevel="0" collapsed="false">
      <c r="A9" s="0" t="s">
        <v>523</v>
      </c>
      <c r="B9" s="0" t="s">
        <v>519</v>
      </c>
      <c r="C9" s="0" t="n">
        <v>3</v>
      </c>
      <c r="D9" s="0" t="s">
        <v>524</v>
      </c>
      <c r="E9" s="0" t="s">
        <v>178</v>
      </c>
      <c r="F9" s="0" t="s">
        <v>507</v>
      </c>
    </row>
    <row r="10" customFormat="false" ht="15" hidden="false" customHeight="false" outlineLevel="0" collapsed="false">
      <c r="A10" s="0" t="s">
        <v>525</v>
      </c>
      <c r="B10" s="0" t="s">
        <v>519</v>
      </c>
      <c r="C10" s="0" t="n">
        <v>4</v>
      </c>
      <c r="D10" s="0" t="s">
        <v>526</v>
      </c>
      <c r="E10" s="0" t="s">
        <v>231</v>
      </c>
      <c r="F10" s="0" t="s">
        <v>507</v>
      </c>
    </row>
    <row r="11" customFormat="false" ht="15" hidden="false" customHeight="false" outlineLevel="0" collapsed="false">
      <c r="A11" s="0" t="s">
        <v>527</v>
      </c>
      <c r="B11" s="0" t="s">
        <v>519</v>
      </c>
      <c r="C11" s="0" t="n">
        <v>5</v>
      </c>
      <c r="D11" s="0" t="s">
        <v>528</v>
      </c>
      <c r="E11" s="0" t="s">
        <v>291</v>
      </c>
      <c r="F11" s="0" t="s">
        <v>507</v>
      </c>
    </row>
    <row r="12" customFormat="false" ht="15" hidden="false" customHeight="false" outlineLevel="0" collapsed="false">
      <c r="A12" s="0" t="s">
        <v>529</v>
      </c>
      <c r="B12" s="0" t="s">
        <v>519</v>
      </c>
      <c r="C12" s="0" t="n">
        <v>6</v>
      </c>
      <c r="D12" s="0" t="s">
        <v>530</v>
      </c>
      <c r="E12" s="0" t="s">
        <v>531</v>
      </c>
      <c r="F12" s="0" t="s">
        <v>507</v>
      </c>
    </row>
    <row r="13" customFormat="false" ht="15" hidden="false" customHeight="false" outlineLevel="0" collapsed="false">
      <c r="A13" s="0" t="s">
        <v>532</v>
      </c>
      <c r="B13" s="0" t="s">
        <v>519</v>
      </c>
      <c r="C13" s="0" t="n">
        <v>7</v>
      </c>
      <c r="D13" s="0" t="s">
        <v>533</v>
      </c>
      <c r="E13" s="0" t="s">
        <v>534</v>
      </c>
      <c r="F13" s="0" t="s">
        <v>507</v>
      </c>
    </row>
    <row r="14" customFormat="false" ht="15" hidden="false" customHeight="false" outlineLevel="0" collapsed="false">
      <c r="A14" s="0" t="s">
        <v>535</v>
      </c>
      <c r="B14" s="0" t="s">
        <v>519</v>
      </c>
      <c r="C14" s="0" t="n">
        <v>8</v>
      </c>
      <c r="D14" s="0" t="s">
        <v>536</v>
      </c>
      <c r="E14" s="0" t="s">
        <v>537</v>
      </c>
      <c r="F14" s="0" t="s">
        <v>507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538</v>
      </c>
      <c r="B1" s="0" t="s">
        <v>539</v>
      </c>
      <c r="C1" s="0" t="s">
        <v>59</v>
      </c>
      <c r="D1" s="0" t="s">
        <v>540</v>
      </c>
    </row>
    <row r="2" customFormat="false" ht="15" hidden="false" customHeight="false" outlineLevel="0" collapsed="false">
      <c r="A2" s="0" t="s">
        <v>541</v>
      </c>
      <c r="B2" s="0" t="s">
        <v>542</v>
      </c>
      <c r="C2" s="0" t="s">
        <v>543</v>
      </c>
      <c r="D2" s="0" t="s">
        <v>544</v>
      </c>
    </row>
    <row r="3" customFormat="false" ht="15" hidden="false" customHeight="false" outlineLevel="0" collapsed="false">
      <c r="A3" s="0" t="s">
        <v>545</v>
      </c>
      <c r="B3" s="0" t="s">
        <v>546</v>
      </c>
      <c r="C3" s="0" t="s">
        <v>547</v>
      </c>
      <c r="D3" s="0" t="s">
        <v>548</v>
      </c>
    </row>
    <row r="4" customFormat="false" ht="15" hidden="false" customHeight="false" outlineLevel="0" collapsed="false">
      <c r="A4" s="0" t="s">
        <v>549</v>
      </c>
      <c r="B4" s="0" t="s">
        <v>550</v>
      </c>
      <c r="C4" s="0" t="s">
        <v>547</v>
      </c>
      <c r="D4" s="0" t="s">
        <v>551</v>
      </c>
    </row>
    <row r="5" customFormat="false" ht="15" hidden="false" customHeight="false" outlineLevel="0" collapsed="false">
      <c r="A5" s="0" t="s">
        <v>552</v>
      </c>
      <c r="B5" s="0" t="s">
        <v>553</v>
      </c>
      <c r="C5" s="0" t="s">
        <v>543</v>
      </c>
      <c r="D5" s="0" t="s">
        <v>554</v>
      </c>
    </row>
    <row r="6" customFormat="false" ht="15" hidden="false" customHeight="false" outlineLevel="0" collapsed="false">
      <c r="A6" s="0" t="s">
        <v>555</v>
      </c>
      <c r="B6" s="0" t="s">
        <v>556</v>
      </c>
      <c r="C6" s="0" t="s">
        <v>399</v>
      </c>
      <c r="D6" s="0" t="s">
        <v>557</v>
      </c>
    </row>
    <row r="7" customFormat="false" ht="15" hidden="false" customHeight="false" outlineLevel="0" collapsed="false">
      <c r="A7" s="0" t="s">
        <v>558</v>
      </c>
      <c r="B7" s="0" t="s">
        <v>559</v>
      </c>
      <c r="C7" s="0" t="s">
        <v>543</v>
      </c>
      <c r="D7" s="0" t="s">
        <v>560</v>
      </c>
    </row>
    <row r="8" customFormat="false" ht="15" hidden="false" customHeight="false" outlineLevel="0" collapsed="false">
      <c r="A8" s="0" t="s">
        <v>561</v>
      </c>
      <c r="B8" s="0" t="s">
        <v>562</v>
      </c>
      <c r="C8" s="0" t="s">
        <v>543</v>
      </c>
      <c r="D8" s="0" t="s">
        <v>563</v>
      </c>
    </row>
    <row r="9" customFormat="false" ht="15" hidden="false" customHeight="false" outlineLevel="0" collapsed="false">
      <c r="A9" s="0" t="s">
        <v>564</v>
      </c>
      <c r="B9" s="0" t="s">
        <v>565</v>
      </c>
      <c r="C9" s="0" t="s">
        <v>543</v>
      </c>
      <c r="D9" s="0" t="s">
        <v>566</v>
      </c>
    </row>
    <row r="10" customFormat="false" ht="15" hidden="false" customHeight="false" outlineLevel="0" collapsed="false">
      <c r="A10" s="0" t="s">
        <v>567</v>
      </c>
      <c r="B10" s="0" t="s">
        <v>568</v>
      </c>
      <c r="C10" s="0" t="s">
        <v>547</v>
      </c>
      <c r="D10" s="0" t="s">
        <v>569</v>
      </c>
    </row>
    <row r="11" customFormat="false" ht="15" hidden="false" customHeight="false" outlineLevel="0" collapsed="false">
      <c r="A11" s="0" t="s">
        <v>570</v>
      </c>
      <c r="B11" s="0" t="s">
        <v>571</v>
      </c>
      <c r="C11" s="0" t="s">
        <v>543</v>
      </c>
      <c r="D11" s="0" t="s">
        <v>572</v>
      </c>
    </row>
    <row r="12" customFormat="false" ht="15" hidden="false" customHeight="false" outlineLevel="0" collapsed="false">
      <c r="A12" s="0" t="s">
        <v>573</v>
      </c>
      <c r="B12" s="0" t="s">
        <v>574</v>
      </c>
      <c r="C12" s="0" t="s">
        <v>543</v>
      </c>
      <c r="D12" s="0" t="s">
        <v>575</v>
      </c>
    </row>
    <row r="13" customFormat="false" ht="15" hidden="false" customHeight="false" outlineLevel="0" collapsed="false">
      <c r="A13" s="0" t="s">
        <v>576</v>
      </c>
      <c r="B13" s="0" t="s">
        <v>577</v>
      </c>
      <c r="C13" s="0" t="s">
        <v>543</v>
      </c>
      <c r="D13" s="0" t="s">
        <v>578</v>
      </c>
    </row>
    <row r="14" customFormat="false" ht="15" hidden="false" customHeight="false" outlineLevel="0" collapsed="false">
      <c r="A14" s="0" t="s">
        <v>579</v>
      </c>
      <c r="B14" s="0" t="s">
        <v>580</v>
      </c>
      <c r="C14" s="0" t="s">
        <v>543</v>
      </c>
      <c r="D14" s="0" t="s">
        <v>581</v>
      </c>
    </row>
    <row r="15" customFormat="false" ht="15" hidden="false" customHeight="false" outlineLevel="0" collapsed="false">
      <c r="A15" s="0" t="s">
        <v>582</v>
      </c>
      <c r="B15" s="0" t="s">
        <v>583</v>
      </c>
      <c r="C15" s="0" t="s">
        <v>547</v>
      </c>
      <c r="D15" s="0" t="s">
        <v>584</v>
      </c>
    </row>
    <row r="16" customFormat="false" ht="15" hidden="false" customHeight="false" outlineLevel="0" collapsed="false">
      <c r="A16" s="0" t="s">
        <v>585</v>
      </c>
      <c r="B16" s="0" t="s">
        <v>586</v>
      </c>
      <c r="C16" s="0" t="s">
        <v>543</v>
      </c>
      <c r="D16" s="0" t="s">
        <v>587</v>
      </c>
    </row>
    <row r="17" customFormat="false" ht="15" hidden="false" customHeight="false" outlineLevel="0" collapsed="false">
      <c r="A17" s="0" t="s">
        <v>588</v>
      </c>
      <c r="B17" s="0" t="s">
        <v>589</v>
      </c>
      <c r="C17" s="0" t="s">
        <v>543</v>
      </c>
      <c r="D17" s="0" t="s">
        <v>590</v>
      </c>
    </row>
    <row r="18" customFormat="false" ht="15" hidden="false" customHeight="false" outlineLevel="0" collapsed="false">
      <c r="A18" s="0" t="s">
        <v>591</v>
      </c>
      <c r="B18" s="0" t="s">
        <v>592</v>
      </c>
      <c r="C18" s="0" t="s">
        <v>399</v>
      </c>
      <c r="D18" s="0" t="s">
        <v>593</v>
      </c>
    </row>
    <row r="19" customFormat="false" ht="15" hidden="false" customHeight="false" outlineLevel="0" collapsed="false">
      <c r="A19" s="0" t="s">
        <v>594</v>
      </c>
      <c r="B19" s="0" t="s">
        <v>595</v>
      </c>
      <c r="C19" s="0" t="s">
        <v>543</v>
      </c>
      <c r="D19" s="0" t="s">
        <v>596</v>
      </c>
    </row>
    <row r="20" customFormat="false" ht="15" hidden="false" customHeight="false" outlineLevel="0" collapsed="false">
      <c r="A20" s="0" t="s">
        <v>597</v>
      </c>
      <c r="B20" s="0" t="s">
        <v>598</v>
      </c>
      <c r="C20" s="0" t="s">
        <v>547</v>
      </c>
      <c r="D20" s="0" t="s">
        <v>599</v>
      </c>
    </row>
    <row r="21" customFormat="false" ht="15" hidden="false" customHeight="false" outlineLevel="0" collapsed="false">
      <c r="A21" s="0" t="s">
        <v>600</v>
      </c>
      <c r="B21" s="0" t="s">
        <v>601</v>
      </c>
      <c r="C21" s="0" t="s">
        <v>543</v>
      </c>
      <c r="D21" s="0" t="s">
        <v>602</v>
      </c>
    </row>
    <row r="22" customFormat="false" ht="15" hidden="false" customHeight="false" outlineLevel="0" collapsed="false">
      <c r="A22" s="0" t="s">
        <v>603</v>
      </c>
      <c r="B22" s="0" t="s">
        <v>604</v>
      </c>
      <c r="C22" s="0" t="s">
        <v>547</v>
      </c>
      <c r="D22" s="0" t="s">
        <v>605</v>
      </c>
    </row>
    <row r="23" customFormat="false" ht="15" hidden="false" customHeight="false" outlineLevel="0" collapsed="false">
      <c r="A23" s="0" t="s">
        <v>606</v>
      </c>
      <c r="B23" s="0" t="s">
        <v>607</v>
      </c>
      <c r="C23" s="0" t="s">
        <v>547</v>
      </c>
      <c r="D23" s="0" t="s">
        <v>608</v>
      </c>
    </row>
    <row r="24" customFormat="false" ht="15" hidden="false" customHeight="false" outlineLevel="0" collapsed="false">
      <c r="A24" s="0" t="s">
        <v>609</v>
      </c>
      <c r="B24" s="0" t="s">
        <v>610</v>
      </c>
      <c r="C24" s="0" t="s">
        <v>547</v>
      </c>
      <c r="D24" s="0" t="s">
        <v>611</v>
      </c>
    </row>
    <row r="25" customFormat="false" ht="15" hidden="false" customHeight="false" outlineLevel="0" collapsed="false">
      <c r="A25" s="0" t="s">
        <v>612</v>
      </c>
      <c r="B25" s="0" t="s">
        <v>613</v>
      </c>
      <c r="C25" s="0" t="s">
        <v>547</v>
      </c>
      <c r="D25" s="0" t="s">
        <v>614</v>
      </c>
    </row>
    <row r="26" customFormat="false" ht="15" hidden="false" customHeight="false" outlineLevel="0" collapsed="false">
      <c r="A26" s="0" t="s">
        <v>615</v>
      </c>
      <c r="B26" s="0" t="s">
        <v>616</v>
      </c>
      <c r="C26" s="0" t="s">
        <v>547</v>
      </c>
      <c r="D26" s="0" t="s">
        <v>617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618</v>
      </c>
    </row>
    <row r="2" customFormat="false" ht="15" hidden="false" customHeight="false" outlineLevel="0" collapsed="false">
      <c r="A2" s="0" t="s">
        <v>619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2026-10-24T22:18:06Z</dcterms:created>
  <dc:creator>openpyxl</dc:creator>
  <dc:description/>
  <dc:language>en-US</dc:language>
  <cp:lastModifiedBy/>
  <dcterms:modified xsi:type="dcterms:W3CDTF">2026-10-24T22:18:06Z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