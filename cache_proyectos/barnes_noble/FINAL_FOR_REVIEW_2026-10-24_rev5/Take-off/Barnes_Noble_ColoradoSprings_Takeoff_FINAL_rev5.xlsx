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<sst xmlns="http://schemas.openxmlformats.org/spreadsheetml/2006/main" count="925" uniqueCount="620">
  <si>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</si>
  <si>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</si>
  <si>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</si>
  <si>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</si>
  <si>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</si>
  <si>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</si>
  <si>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</si>
  <si>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</si>
  <si>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</si>
  <si>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</si>
  <si>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</si>
  <si>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</si>
  <si>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</si>
  <si>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</si>
  <si>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</si>
  <si>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</si>
  <si>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</si>
  <si>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</si>
  <si>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</si>
  <si>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</si>
  <si>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</si>
  <si>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</si>
  <si>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</si>
  <si>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</si>
  <si>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</si>
  <si>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</si>
  <si>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</si>
  <si>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</si>
  <si>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</si>
  <si>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</si>
  <si>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</si>
  <si>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</si>
  <si>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</si>
  <si>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</si>
  <si>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</si>
  <si>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</si>
  <si>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</si>
  <si>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</si>
  <si>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</si>
  <si>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</si>
  <si>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</si>
  <si>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</si>
  <si>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</si>
  <si>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</si>
  <si>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</si>
  <si>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</si>
  <si>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</si>
  <si>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</si>
  <si>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</si>
  <si>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</si>
  <si>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</si>
  <si>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</si>
  <si>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</si>
  <si>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</si>
  <si>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</si>
  <si>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</si>
  <si>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</si>
  <si>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</si>
  <si>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</si>
  <si>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</si>
  <si>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</si>
  <si>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</si>
  <si>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</si>
  <si>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</si>
  <si>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</si>
  <si>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</si>
  <si>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</si>
  <si>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</si>
  <si>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</si>
  <si>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</si>
  <si>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</t>
  </si>
  <si>
    <t xml:space="preserve">W2-04</t>
  </si>
  <si>
    <t xml:space="preserve">BOH north wall: Corridor 110 to Manager's Office 105 (Sales side)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</si>
  <si>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 (door 4 inside wall)</t>
  </si>
  <si>
    <t xml:space="preserve">W2-05</t>
  </si>
  <si>
    <t xml:space="preserve">Corridor 110 / Women's 109 (door 4 inside wall)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</si>
  <si>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</si>
  <si>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</si>
  <si>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</si>
  <si>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</si>
  <si>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</si>
  <si>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</si>
  <si>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</si>
  <si>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</si>
  <si>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</si>
  <si>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</si>
  <si>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</si>
  <si>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</si>
  <si>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</si>
  <si>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</si>
  <si>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</si>
  <si>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</si>
  <si>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</si>
  <si>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</si>
  <si>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</si>
  <si>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</si>
  <si>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</si>
  <si>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</si>
  <si>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</si>
  <si>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</si>
  <si>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</si>
  <si>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</si>
  <si>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</si>
  <si>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</si>
  <si>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</si>
  <si>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</si>
  <si>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</si>
  <si>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</si>
  <si>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</si>
  <si>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</si>
  <si>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</si>
  <si>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</si>
  <si>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</si>
  <si>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</si>
  <si>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</si>
  <si>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</si>
  <si>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</si>
  <si>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</si>
  <si>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</si>
  <si>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</si>
  <si>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</si>
  <si>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</si>
  <si>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</si>
  <si>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</si>
  <si>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</si>
  <si>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</si>
  <si>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</si>
  <si>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</si>
  <si>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</si>
  <si>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</si>
  <si>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</si>
  <si>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</si>
  <si>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</si>
  <si>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</si>
  <si>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</si>
  <si>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</si>
  <si>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</si>
  <si>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</si>
  <si>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</si>
  <si>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</si>
  <si>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</si>
  <si>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</si>
  <si>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</si>
  <si>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</si>
  <si>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</si>
  <si>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</si>
  <si>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</si>
  <si>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</si>
  <si>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</si>
  <si>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</si>
  <si>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</si>
  <si>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</si>
  <si>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</si>
  <si>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</si>
  <si>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</si>
  <si>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</si>
  <si>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</si>
  <si>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</si>
  <si>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</si>
  <si>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</si>
  <si>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</si>
  <si>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</si>
  <si>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</si>
  <si>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</si>
  <si>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</si>
  <si>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</si>
  <si>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</si>
  <si>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</si>
  <si>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</si>
  <si>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</si>
  <si>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</si>
  <si>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</si>
  <si>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</si>
  <si>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</si>
  <si>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</si>
  <si>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</si>
  <si>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</si>
  <si>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X); B Cafe Workroom 104 29.98 x 10.5 ft (5/8 type X WR)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</si>
  <si>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</si>
  <si>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</si>
  <si>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</si>
  <si>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X); B Cafe Workroom 104 12.17 x 10.5 ft (5/8 type X WR)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</si>
  <si>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</si>
  <si>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</si>
  <si>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</si>
  <si>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</si>
  <si>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A Cafe Workroom 104 12.17 x 10.5 ft (5/8 type X WR);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</si>
  <si>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</si>
  <si>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</si>
  <si>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</si>
  <si>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</si>
  <si>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</si>
  <si>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</si>
  <si>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</si>
  <si>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</si>
  <si>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</si>
  <si>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</si>
  <si>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</si>
  <si>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</si>
  <si>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</si>
  <si>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</si>
  <si>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</si>
  <si>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</si>
  <si>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</si>
  <si>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</si>
  <si>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</si>
  <si>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</si>
  <si>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</si>
  <si>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</si>
  <si>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</si>
  <si>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</si>
  <si>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</si>
  <si>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</si>
  <si>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</si>
  <si>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</si>
  <si>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</si>
  <si>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</si>
  <si>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</si>
  <si>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</si>
  <si>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</si>
  <si>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</si>
  <si>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</si>
  <si>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</si>
  <si>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</si>
  <si>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</si>
  <si>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</si>
  <si>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</si>
  <si>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</si>
  <si>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</si>
  <si>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</si>
  <si>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</si>
  <si>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</si>
  <si>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</si>
  <si>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</si>
  <si>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</si>
  <si>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</si>
  <si>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</si>
  <si>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</si>
  <si>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</si>
  <si>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</si>
  <si>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</si>
  <si>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</si>
  <si>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</si>
  <si>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</si>
  <si>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</si>
  <si>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</si>
  <si>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</si>
  <si>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</si>
  <si>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</si>
  <si>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</si>
  <si>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</si>
  <si>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</si>
  <si>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</si>
  <si>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</si>
  <si>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</si>
  <si>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</si>
  <si>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</si>
  <si>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</si>
  <si>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</si>
  <si>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</si>
  <si>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</si>
  <si>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</si>
  <si>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</si>
  <si>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</si>
  <si>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</si>
  <si>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</si>
  <si>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</si>
  <si>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</si>
  <si>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</si>
  <si>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</si>
  <si>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</si>
  <si>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</si>
  <si>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</si>
  <si>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</si>
  <si>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</si>
  <si>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</si>
  <si>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</si>
  <si>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</si>
  <si>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</si>
  <si>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</si>
  <si>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</si>
  <si>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</si>
  <si>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</si>
  <si>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</si>
  <si>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</si>
  <si>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</si>
  <si>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</si>
  <si>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</si>
  <si>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</si>
  <si>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</si>
  <si>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</si>
  <si>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</si>
  <si>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</si>
  <si>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</si>
  <si>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</si>
  <si>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</si>
  <si>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</si>
  <si>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</si>
  <si>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</si>
  <si>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</si>
  <si>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</si>
  <si>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</si>
  <si>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</si>
  <si>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</si>
  <si>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</si>
  <si>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</si>
  <si>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</si>
  <si>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</si>
  <si>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</si>
  <si>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</si>
  <si>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</si>
  <si>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</si>
  <si>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</si>
  <si>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</si>
  <si>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</si>
  <si>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</si>
  <si>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</si>
  <si>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</si>
  <si>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</si>
  <si>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</si>
  <si>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</si>
  <si>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</si>
  <si>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</si>
  <si>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</si>
  <si>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</si>
  <si>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</si>
  <si>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</si>
  <si>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</si>
  <si>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</si>
  <si>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</si>
  <si>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</si>
  <si>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</si>
  <si>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</si>
  <si>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</si>
  <si>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</si>
  <si>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</si>
  <si>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6/A-210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</si>
  <si>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</si>
  <si>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 | Breakdown [DERIVED]: W5-01 175 + C-H1-N 650 + C-H1-W 300 + C-H3a 150 + C-H3b 175 + C-E2 575 + C-E1-S 525 + C-I-P.1 75 + C-E1-P.2 75 + C-E1-B 125 + C-I 75 + SS-GG 107.5 = 3,007.5 LF (per wall: field + jambs + nodes + cripples x height; plus listed elements)</t>
  </si>
  <si>
    <t xml:space="preserve">3-5/8" metal stud (LF of material)</t>
  </si>
  <si>
    <t xml:space="preserve">N/SHEET: 2/A-410, 3/A-410, 4/A-410, G/A-221, F/A-221, A/A-221, B/A-221, D/A-221, C/A-221, 2/A-221, C25/A-101, 8/A-410, 6/A-210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= 10,788.75 LF (per wall: field + jambs + nodes + cripples x height; plus listed elements)</t>
  </si>
  <si>
    <t xml:space="preserve">Track, ceilings / soffits / canopy</t>
  </si>
  <si>
    <t xml:space="preserve">N/SHEET: 2/A-221, 3/A-221, 6/A-210, 4/A-210, 8/A-410, 5/A-121 | Breakdown [DERIVED]: SS-N 45.54 + SS-E 20.24 + SS-IN-N 40 + SS-IN-E 12.5 + SS-GG 12.33 + Women's Restroom 109 32.33 + Men's Restroom 108 32.33 + Cafe 103 - 11'-6" GWB band 52.51 + Cafe 103 - 9'-0" GWB band 43.33 + VEST-BOX-BEAM-TRACK 25.33 + VEST-LEDGER 12.67 + VEST-POSTS-TRACK 5 + FIRESTOP-TRACK-3 157.81 + FIRESTOP-TRACK-6 106.4 = 598.32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</si>
  <si>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</si>
  <si>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</si>
  <si>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</si>
  <si>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</si>
  <si>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</si>
  <si>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= 182.79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</si>
  <si>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</si>
  <si>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= 146.92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</si>
  <si>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</si>
  <si>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= 1,438 LF (hangers @ 48" O.C. x drop to deck per room)</t>
  </si>
  <si>
    <t xml:space="preserve">Blocking FRT / 2X FRT wood</t>
  </si>
  <si>
    <t xml:space="preserve">piece</t>
  </si>
  <si>
    <t xml:space="preserve">N/SHEET: 7/A-413, 8A/A-413, 4/A-412, 6/A-412 | Breakdown [DERIVED]: BLK-STOCK 387 + BLK-RECEIVING 69 + BLK-OFFICE 85.6 + BLK-BREAK 10.67 = 552.27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</si>
  <si>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</si>
  <si>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</si>
  <si>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</si>
  <si>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5/A-121, 4/A-121, 4/A-210, 3/A-221,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46.79 + C-I-P.1 10 + C-I 23.1 + SS-N 227.7 + SS-E 101.2 + SS-IN-N 10 + SS-IN-E 3.12 + C-I-E1 6.03 + C-I-E2 6.03 + ceiling Cafe 103 - 11'-6" GWB band 125.07 + ceiling Cafe 103 - 9'-0" GWB band 50.67 + ceiling Cafe Seating Area 102 - GWB cloud 573.69 + ceiling Cafe 103 - 11'-0" GWB zone 109.65 + VEST-GWB 105.5 + SS-GG-BOTTOM-GWB 3.73 = 14,902.55 SF (faces: length x face height x layers - openings; ceilings: RCP area)</t>
  </si>
  <si>
    <t xml:space="preserve">5/8" gypsum board, Type X W.R. (water resistant)</t>
  </si>
  <si>
    <t xml:space="preserve">N/SHEET: 2/A-410, 5/A-410, G/A-221, 5/A-121, A-001A | Breakdown [DERIVED]: W2-05 67.59 + W2-06.1 62.28 + W2-06.2 41.25 + W2-06.3 90.1 + W2-06.4 41.25 + W2-06.5 172.17 + W2-07 255.34 + W2-08 187.75 + W5-01 102.6 + C-H1-N 314.79 + C-H1-W 127.78 + C-H2a 127.78 + ceiling Women's Restroom 109 61.19 + ceiling Men's Restroom 108 61.11 = 1,712.98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</si>
  <si>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</si>
  <si>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</si>
  <si>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</si>
  <si>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</si>
  <si>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</si>
  <si>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USG channel molding DGCM27</t>
  </si>
  <si>
    <t xml:space="preserve">USG angle molding DGWM24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</si>
  <si>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</si>
  <si>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</si>
  <si>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891.72 LF</t>
  </si>
  <si>
    <t xml:space="preserve">Cement board (tile / FRP substrate)</t>
  </si>
  <si>
    <t xml:space="preserve">N/SHEET: E/A-221, A/A-221, B/A-221, D/A-221, C/A-221 | Breakdown [DERIVED]: C-E1-S Cafe 103 586.5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851.38 SF</t>
  </si>
  <si>
    <t xml:space="preserve">3-5/8" stud, framed soffit 2/A-221 (LF)</t>
  </si>
  <si>
    <t xml:space="preserve">N/SHEET: 2/A-221 | framed soffit drop studs (2/A-221 "3 5/8" @ 16" O.C. METAL STUD UP TO DECK") carried in its own row</t>
  </si>
  <si>
    <t xml:space="preserve">FRT plywood substrate (5/8 in.)</t>
  </si>
  <si>
    <t xml:space="preserve">N/SHEET: G/A-221, H/A-221, E/A-221, F/A-221, I/A-221, 1/A-226A, 6/A-226A, 3/A-221, A-410 (ALL PLYWOOD NEEDS TO BE FRT) | Breakdown [DERIVED]: C-H1-N-A-FRT 647.5 + C-H1-N-B-FRT 314.79 + C-H1-W-B-FRT 127.78 + C-H2a-A-FRT 127.78 + C-H2a-B-FRT 304.25 + C-H2b-A-FRT 20.47 + C-H2b-B-FRT 20.47 + C-H3a-A-FRT 102 + C-H3b-A-FRT 49.36 + C-E2-A-FRT 732.5 + C-F-A-FRT 81.5 + C-I-P.1-A-FRT 15 + C-I-A-FRT 34.65 + SS-N-WD1-FRT 91.08 + SS-E-WD1-FRT 40.48 + SS-GG-FRT 110.49 + C-I-E1-A-FRT 9.04 + C-I-E2-A-FRT 9.04 = 2,838.18 SF (strip length x height)</t>
  </si>
  <si>
    <t xml:space="preserve">FRT plywood substrate (3/4 in.)</t>
  </si>
  <si>
    <t xml:space="preserve">N/SHEET: A/A-221, B/A-221, 4/A-226A, 21/A-201, 5/A-210, 4/A-210, 11/A-200, A-410 (ALL PLYWOOD NEEDS TO BE FRT) | Breakdown [DERIVED]: C-A-1-A-FRT 26.78 + C-A-2-A-FRT 11.21 + C-A-3-A-FRT 16.9 + C-B-A-FRT 8.58 + MENU-BOARD-FRT 60.6 + RESTROOM-BACKING-FRT 17.77 + VEST-POSTS-PLYWOOD 105 + VEST-PLYWOOD 106.62 + JANITOR-FRT-11-A200 17 = 370.46 SF (strip length x height)</t>
  </si>
  <si>
    <t xml:space="preserve">Hanger wire 12 ga - hanger count (one per hanger, height per room)</t>
  </si>
  <si>
    <t xml:space="preserve">PCS</t>
  </si>
  <si>
    <t xml:space="preserve">N/SHEET: 5/A-121, 1/A-121 | Breakdown [DERIVED]: Women's Restroom 109 9 + Men's Restroom 108 9 + Cafe 103 - 11'-6" GWB band 18 + Cafe 103 - 9'-0" GWB band 12 + Cafe Seating Area 102 - GWB cloud 55 = 103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</si>
  <si>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</si>
  <si>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</si>
  <si>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</si>
  <si>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each</t>
  </si>
  <si>
    <t xml:space="preserve">[RFI] N/SHEET: 6/A-410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(6/A-410 penetration details);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</si>
  <si>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</si>
  <si>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</si>
  <si>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</si>
  <si>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</si>
  <si>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</si>
  <si>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</si>
  <si>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</si>
  <si>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A-510, A-225 | none: FRP-1 (A-510: Cafe Work Room 104 walls, Janitor 107 walls, Cafe 103 below countertop) - no FRP height / extent printed for partitions (A-225 finish plan dashed FRP-1 zones only) - not quantified, RFI-13 with delta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</si>
  <si>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</si>
  <si>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</si>
  <si>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</si>
  <si>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</si>
  <si>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1-1/4" bugle head</t>
  </si>
  <si>
    <t xml:space="preserve">[DERIVED] N/SHEET: GA-216 | Inputs!B20 (Drywall screws per SF of board = 1.2) x 16615.6 SF of board</t>
  </si>
  <si>
    <t xml:space="preserve">Framing screws, pan head self-drilling</t>
  </si>
  <si>
    <t xml:space="preserve">[DERIVED] N/SHEET: driver = the board / stud / bottom track rows of this sheet | Inputs!B21 (Framing screws per stud piece = 4) x 781 stud pieces</t>
  </si>
  <si>
    <t xml:space="preserve">Power-driven fasteners, slab pins for the bottom track</t>
  </si>
  <si>
    <t xml:space="preserve">[DERIVED] N/SHEET: driver = the board / stud / bottom track rows of this sheet | 640.61 LF of interior bottom track on slab / Inputs!B22 (Power-driven pin spacing (ft) = 1)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</si>
  <si>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</si>
  <si>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</si>
  <si>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</si>
  <si>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</si>
  <si>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</si>
  <si>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16615.6 SF of board</t>
  </si>
  <si>
    <t xml:space="preserve">Joint tape, paper</t>
  </si>
  <si>
    <t xml:space="preserve">[DERIVED] N/SHEET: driver = the board / stud / bottom track rows of this sheet | Inputs!B24 (Joint tape (LF per SF) = 0.37) x 16615.6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</si>
  <si>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</si>
  <si>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</si>
  <si>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</si>
  <si>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8/A-410 | none: Deflection by deep leg track / slotted deflection at the top of full height walls (8/A-410 Top Track Detail, 2/A-410 "SLOTTED DEFLECTION", A-410 partition note 7 "PROVIDE DEFLECTION TRACK AS REQUIRED"); no deflection clips called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</si>
  <si>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</si>
  <si>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</si>
  <si>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</si>
  <si>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</si>
  <si>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</si>
  <si>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-160.15 pcs; 24in: -320.31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</si>
  <si>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</si>
  <si>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</si>
  <si>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(6/A-410 penetration details);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</si>
  <si>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</si>
  <si>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</si>
  <si>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</si>
  <si>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</si>
  <si>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</si>
  <si>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</si>
  <si>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</si>
  <si>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</si>
  <si>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</si>
  <si>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</si>
  <si>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(8/A-410 "PROVIDE DIAGONAL BRACING AT 32" O.C. TO STRUCTURE (TYP.)"); brace member / length not printed - estimator choice 3-5/8" 20 ga stud x 4 ft at 45 deg.</t>
  </si>
  <si>
    <t xml:space="preserve">Applied: 117 braces (115 in rev2 + 2 from W2-05 +5.00 LF) x 4.0 ft = 468.0 LF 3-5/8" 20 ga stud (DERIVED, member and length = estimator choice; note kept). Citation corrected: diagonal bracing is on 8/A-410 Top Track Detail (rev0-rev2 said 3/A-410).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</si>
  <si>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</si>
  <si>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</si>
  <si>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</si>
  <si>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</si>
  <si>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</si>
  <si>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evidence ri07_rcp/).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</si>
  <si>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</si>
  <si>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</si>
  <si>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</si>
  <si>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</si>
  <si>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</si>
  <si>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</si>
  <si>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</si>
  <si>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</si>
  <si>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</si>
  <si>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</si>
  <si>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</si>
  <si>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2026-10-24 (rev1): W.R. gyp bd on ALL faces of Women's 109, Men's 108, Janitor 107 and the drinking fountain alcove corridor faces (W2-06.2 / .3 / .4) - A-410 "*" note "PROVIDE 5/8" WATER RESISTANT GYP. BD AT JANITOR'S CLOSET, DRINKING FOUNTAIN, KITCHEN AND ALL TOILET LOCATIONS", A-410 partition note 7, 2/A-410, A-101 general note 8 (plan governs over skill rule D1). New walls only: EXT-07 faces and the break room kitchenette wall (south wall = EXT-07, 7/A-412) are existing -&gt; patch &amp; repair allowance. rev5 (audit rev4 (AUDITORIA_rev4/COMPARATIVA_AUDITORIA.xlsx row 3 / 9), rev5): + restroom GWB ceilings (A-410 Partition Notes 2 "W.R. ... FOR WALL AND CEILING CONSTRUCTION") and Cafe Work Room 104 GWB faces (A-410 "*" note KITCHEN, 2/A-410 RESTROOM/CAFE WALLS).</t>
  </si>
  <si>
    <t xml:space="preserve">Applied (rev5): 5/8" Type X W.R. = 1,713.00 SF = walls (Women's 222.93 + Men's 223.02 + Janitor 485.75 + alcove corridor 88.63 + Cafe Work Room 104 570.36) + restroom ceilings 122.30 (Women's 61.19 + Men's 61.11, 1/A-121). Auditor figures: ceilings 120.2 SF (chase notch deducted; take-off keeps the RCP area, +2.10 SF), Work Room up to 570 SF.</t>
  </si>
  <si>
    <t xml:space="preserve">RFI-12</t>
  </si>
  <si>
    <t xml:space="preserve">Ceramic cove tile base (Cafe 103, Men's 108, Women's 109) and restroom wall tile (A-200, TL-2): cement board backer not detailed on the partitions. rev5 (audit rev4 (AUDITORIA_rev4/COMPARATIVA_AUDITORIA.xlsx row 10), rev5): A-510 also lists ceramic / porcelain WALL TILE at Corridor 110 - backer not detailed.</t>
  </si>
  <si>
    <t xml:space="preserve">If cement board is required behind the tile: + wall tile area of A-200 elevations (not dimensioned here); audit A-09: tile base 22/A-201 5/8" cement board 1'-2" x Men's + Women's perimeter (2 x 32.33 LF) = about 76 SF; Corridor 110 wall tile: 93.44 LF of corridor faces x tile height (not printed) of 1/2" cement board instead of 5/8" Type X (each 1 ft of tile height = 93.44 SF)</t>
  </si>
  <si>
    <t xml:space="preserve">RFI-13</t>
  </si>
  <si>
    <t xml:space="preserve">FRP-1 (A-510 Room Finish Schedule: Cafe Work Room 104 FRP-1 all walls, Janitor 107 FRP, Cafe 103 below countertop): installer (A-002) and height not printed for the partitions. Not quantified - audit rev4 (AUDITORIA_rev4/COMPARATIVA_AUDITORIA.xlsx row 10), rev5: kept open.</t>
  </si>
  <si>
    <t xml:space="preserve">FRP-1 SF = Cafe Work Room 104 faces 54.32 LF x FRP height + Janitor 107 faces 19.43 LF x FRP height (A-510); + PVC trim at FRP edges and inside corners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</si>
  <si>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</si>
  <si>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</si>
  <si>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</si>
  <si>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</si>
  <si>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</si>
  <si>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</si>
  <si>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</si>
  <si>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</si>
  <si>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</si>
  <si>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</si>
  <si>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</si>
  <si>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</si>
  <si>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</si>
  <si>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</si>
  <si>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</si>
  <si>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</si>
  <si>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</si>
  <si>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</si>
  <si>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(AUDITORIA_rev4/COMPARATIVA_AUDITORIA.xlsx row 6), rev5: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</si>
  <si>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</si>
  <si>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</si>
  <si>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</si>
  <si>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</si>
  <si>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</si>
  <si>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</si>
  <si>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</si>
  <si>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</si>
  <si>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</si>
  <si>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552.27 LF (387.0 + 69.0 + 85.6 + 10.67);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</si>
  <si>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</si>
  <si>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</si>
  <si>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</si>
  <si>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</si>
  <si>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</si>
  <si>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</si>
  <si>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</si>
  <si>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</si>
  <si>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</si>
  <si>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</si>
  <si>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(rev5): 5/8" Type X 14,902.61 SF = walls 13,934.30 + GWB ceilings 859.08 (restroom ceilings moved to W.R., RFI-11) + vestibule box 105.5 + Grab &amp; Go soffit bottom 3.73; Type X W.R. 1,713.00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</si>
  <si>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</si>
  <si>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</si>
  <si>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</si>
  <si>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</si>
  <si>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</si>
  <si>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</si>
  <si>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</si>
  <si>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</si>
  <si>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</si>
  <si>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</si>
  <si>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(skill default criterion; citation corrected, audit rev4 (AUDITORIA_rev4/COMPARATIVA_AUDITORIA.xlsx row 8), rev5).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</si>
  <si>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</si>
  <si>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</si>
  <si>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(AUDITORIA_rev4/COMPARATIVA_AUDITORIA.xlsx row 5), rev5: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</si>
  <si>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</si>
  <si>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</si>
  <si>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(AUDITORIA_rev4/COMPARATIVA_AUDITORIA.xlsx row 4), rev5: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</si>
  <si>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</si>
  <si>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</si>
  <si>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Grab &amp; Go header soffit (3/A-221): "T.O. WD-1 SEE ELEVATION" - top of WD-1 on the soffit east face not printed on A-226A / A-226B. Carried conservatively: 5/8" FRT plywood on the full east face (no GWB above WD-1).</t>
  </si>
  <si>
    <t xml:space="preserve">3/A-221 draws the 5/8" FRT plywood substrate full height and 5/8" GWB over it above T.O. WD-1: each 1 ft of face above T.O. WD-1 adds 6.17 SF of 5/8" Type X GWB (plywood 110.49 SF stays; GWB above WD-1 not carried until T.O. WD-1 is known).</t>
  </si>
  <si>
    <t xml:space="preserve">RFI-35</t>
  </si>
  <si>
    <t xml:space="preserve">8/A-410 "METAL STUD/TRACK FIRE STOP AT CEILING LINE, TYP.": applied to every full-height wall with a ceiling on at least one face (1/A-121). audit rev4 (AUDITORIA_rev4/COMPARATIVA_AUDITORIA.xlsx row 7), rev5: carried; confirm with the GC that it is required at all of them.</t>
  </si>
  <si>
    <t xml:space="preserve">Carried 264.21 LF track (3-5/8" 157.81 + 6" 106.40); if not required: - 264.21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</si>
  <si>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</si>
  <si>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(AUDITORIA_rev4/COMPARATIVA_AUDITORIA.xlsx row 11), rev5.</t>
  </si>
  <si>
    <t xml:space="preserve">If by the drywall contractor: + one 3/4" FRT plywood strip per W-3 unit (size per 1/A-414, 7/A-414) x W-3 count from A-111 - PENDING count.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</si>
  <si>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</si>
  <si>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</si>
  <si>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</si>
  <si>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</si>
  <si>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</si>
  <si>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</si>
  <si>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</si>
  <si>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</si>
  <si>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</si>
  <si>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</si>
  <si>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</si>
  <si>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</si>
  <si>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</si>
  <si>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</si>
  <si>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</si>
  <si>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</si>
  <si>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</si>
  <si>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1/1A/1B/1C are EXISTING - EXCLUDED: 1/DM-101 legend + key note 3, A-101 Construction Legend, A-002 'PERIMETER STUDS ... F/I BY LL'; M-303 (p52) mention is a plumbing note. Interior face patch &amp; repair = allowance (blank).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</si>
  <si>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</si>
  <si>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</si>
  <si>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</si>
  <si>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</si>
  <si>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</si>
  <si>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264.21 LF (8/A-410, RFI-35) and additional head track 10.67 LF (RFI-31); M-302 (p51) mention is plumbing expansion fittings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</si>
  <si>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</si>
  <si>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</si>
  <si>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</si>
  <si>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</si>
  <si>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</si>
  <si>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8/A-410 Top Track Detail (RFI-04 CLOSED rev3: 117 braces = 468.0 LF)</t>
  </si>
  <si>
    <t xml:space="preserve">ALC-07</t>
  </si>
  <si>
    <t xml:space="preserve">Gypsum board on walls (layers per type)</t>
  </si>
  <si>
    <t xml:space="preserve">Quantified (rev5): 5/8" Type X 14,902.61 SF + 5/8" Type X W.R. 1,713.00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</si>
  <si>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</si>
  <si>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</si>
  <si>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(rev5): 5/8" Type X W.R. 1,713.00 SF = all faces of Women's 109, Men's 108, Janitor 107, drinking fountain alcove corridor faces and Cafe Work Room 104 faces (A-410 '*' note, note 7, 2/A-410) + restroom GWB ceilings 122.30 SF (A-410 Partition Notes 2);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</si>
  <si>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</si>
  <si>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</si>
  <si>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</si>
  <si>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</si>
  <si>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</si>
  <si>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2,838.21 SF (Cafe types G, H, E2, F, I and Grab &amp; Go soffit 3/A-221; soffit faces 2/A-221) + 3/4" 370.46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</si>
  <si>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</si>
  <si>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</si>
  <si>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(rev5): suspended GWB ceilings and soffits per A-121 (5/A-121, 4/A-121) and 2/A-221 = 981.38 SF: 5/8" Type X 859.08 SF + restroom ceilings 5/8" Type X W.R. 122.30 SF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</si>
  <si>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</si>
  <si>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</si>
  <si>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carrying direction E-W (RFI-15 CLOSED rev3: joists N-S on 1/A-400A, 2/A-400A); Cafe Seating cloud = USG drywall suspension grid 4/A-121; M-100 (p46), M-101 (p47), M-102 (p48) hangers are MEP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</si>
  <si>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</si>
  <si>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</si>
  <si>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</si>
  <si>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</si>
  <si>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</si>
  <si>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</si>
  <si>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</si>
  <si>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</si>
  <si>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</si>
  <si>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</si>
  <si>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</si>
  <si>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552.27 LF (7/A-413 387.0, 8A/A-413 69.0, 3-4/A-412 85.6, 6/A-412 10.67)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</si>
  <si>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</si>
  <si>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</si>
  <si>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RFI-30 access panels: M-100 general note 30 (p46) / E-201 (p40) 'GC SHALL INSTALL ACCESS PANELS', quantity not shown; no framed MEP opening drawn in GWB walls (A-121, M-102, P-101A). Earlier NOT APPLICABLE corrected (audit A-06)</t>
  </si>
  <si>
    <t xml:space="preserve">ALC-18</t>
  </si>
  <si>
    <t xml:space="preserve">Trim: corner bead, casing bead, control joints, reveals</t>
  </si>
  <si>
    <t xml:space="preserve">Metal trim (corner bead, casing / L-bead) per A-410 and A-121 details; M-100 (p46) CJ is a legend abbreviation; audit F-05 / F-06: column surround corner bead 288 LF + Cafe cloud corner bead / J-bead 107.21 LF each (4/A-121)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</si>
  <si>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</si>
  <si>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</si>
  <si>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</si>
  <si>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</si>
  <si>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</si>
  <si>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</si>
  <si>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</si>
  <si>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</si>
  <si>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</si>
  <si>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</si>
  <si>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</si>
  <si>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</si>
  <si>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</si>
  <si>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</si>
  <si>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</si>
  <si>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</si>
  <si>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</si>
  <si>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NOT APPLICABLE: no finish level specified in A-510 finish schedule / notes (paint PT-1..PT-8 only); Level 4 assumed by default for joint compound and tape (listed in README_REVIEW)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</si>
  <si>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</si>
  <si>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</si>
  <si>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</si>
  <si>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</si>
  <si>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"daf95f92f470366cdce6f0acd1308b9bdb979b98e210e51b6fc2d13da1177060", "evidencias": "82f4ec13c901d7191f9772989e98854d158340ab19499f6cfbada96ca6cbd21e", "familias_out": "876c39f2b252dd9003a84ea948ff0fee24c64c693064a34fa3fecfe1836c2fac", "reglas": "e6de403e47b5aff83e6ca5064f657f448b59ec1e6bbfaf2c2faf6ce87f8729ce",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</si>
</sst>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63</v>
      </c>
      <c r="G19" s="0" t="n">
        <v>16</v>
      </c>
      <c r="H19" s="0" t="n">
        <v>58.72</v>
      </c>
      <c r="I19" s="0" t="s">
        <v>99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12</v>
      </c>
      <c r="D20" s="0" t="n">
        <v>8</v>
      </c>
      <c r="E20" s="0" t="n">
        <v>2</v>
      </c>
      <c r="F20" s="0" t="s">
        <v>63</v>
      </c>
      <c r="G20" s="0" t="n">
        <v>16</v>
      </c>
      <c r="H20" s="0" t="n">
        <v>192</v>
      </c>
      <c r="I20" s="0" t="s">
        <v>103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12</v>
      </c>
      <c r="D21" s="0" t="n">
        <v>8</v>
      </c>
      <c r="E21" s="0" t="n">
        <v>2</v>
      </c>
      <c r="F21" s="0" t="s">
        <v>63</v>
      </c>
      <c r="G21" s="0" t="n">
        <v>16</v>
      </c>
      <c r="H21" s="0" t="n">
        <v>192</v>
      </c>
      <c r="I21" s="0" t="s">
        <v>106</v>
      </c>
      <c r="J21" s="0" t="s">
        <v>100</v>
      </c>
      <c r="K21" s="0" t="s">
        <v>66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3.67</v>
      </c>
      <c r="D22" s="0" t="n">
        <v>8</v>
      </c>
      <c r="E22" s="0" t="n">
        <v>2</v>
      </c>
      <c r="F22" s="0" t="s">
        <v>63</v>
      </c>
      <c r="G22" s="0" t="n">
        <v>16</v>
      </c>
      <c r="H22" s="0" t="n">
        <v>58.72</v>
      </c>
      <c r="I22" s="0" t="s">
        <v>109</v>
      </c>
      <c r="J22" s="0" t="s">
        <v>100</v>
      </c>
      <c r="K22" s="0" t="s">
        <v>66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n">
        <v>3.67</v>
      </c>
      <c r="D23" s="0" t="n">
        <v>8</v>
      </c>
      <c r="E23" s="0" t="n">
        <v>2</v>
      </c>
      <c r="F23" s="0" t="s">
        <v>63</v>
      </c>
      <c r="G23" s="0" t="n">
        <v>16</v>
      </c>
      <c r="H23" s="0" t="n">
        <v>58.72</v>
      </c>
      <c r="I23" s="0" t="s">
        <v>112</v>
      </c>
      <c r="J23" s="0" t="s">
        <v>100</v>
      </c>
      <c r="K23" s="0" t="s">
        <v>66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n">
        <v>3.67</v>
      </c>
      <c r="D24" s="0" t="n">
        <v>8</v>
      </c>
      <c r="E24" s="0" t="n">
        <v>2</v>
      </c>
      <c r="F24" s="0" t="s">
        <v>63</v>
      </c>
      <c r="G24" s="0" t="n">
        <v>16</v>
      </c>
      <c r="H24" s="0" t="n">
        <v>58.72</v>
      </c>
      <c r="I24" s="0" t="s">
        <v>115</v>
      </c>
      <c r="J24" s="0" t="s">
        <v>100</v>
      </c>
      <c r="K24" s="0" t="s">
        <v>66</v>
      </c>
    </row>
    <row r="25" customFormat="false" ht="15" hidden="false" customHeight="false" outlineLevel="0" collapsed="false">
      <c r="B25" s="6" t="s">
        <v>116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117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n">
        <v>12.68</v>
      </c>
      <c r="D27" s="0" t="n">
        <v>7.5</v>
      </c>
      <c r="E27" s="0" t="n">
        <v>2</v>
      </c>
      <c r="F27" s="0" t="s">
        <v>63</v>
      </c>
      <c r="G27" s="0" t="n">
        <v>16</v>
      </c>
      <c r="H27" s="0" t="n">
        <v>190.2</v>
      </c>
      <c r="I27" s="0" t="s">
        <v>120</v>
      </c>
      <c r="J27" s="0" t="s">
        <v>121</v>
      </c>
      <c r="K27" s="0" t="s">
        <v>66</v>
      </c>
    </row>
    <row r="28" customFormat="false" ht="15" hidden="false" customHeight="false" outlineLevel="0" collapsed="false">
      <c r="A28" s="0" t="s">
        <v>122</v>
      </c>
      <c r="B28" s="0" t="s">
        <v>123</v>
      </c>
      <c r="C28" s="0" t="n">
        <v>1.77</v>
      </c>
      <c r="D28" s="0" t="n">
        <v>7.5</v>
      </c>
      <c r="E28" s="0" t="n">
        <v>2</v>
      </c>
      <c r="F28" s="0" t="s">
        <v>63</v>
      </c>
      <c r="G28" s="0" t="n">
        <v>16</v>
      </c>
      <c r="H28" s="0" t="n">
        <v>26.56</v>
      </c>
      <c r="I28" s="0" t="s">
        <v>124</v>
      </c>
      <c r="J28" s="0" t="s">
        <v>121</v>
      </c>
      <c r="K28" s="0" t="s">
        <v>66</v>
      </c>
    </row>
    <row r="29" customFormat="false" ht="15" hidden="false" customHeight="false" outlineLevel="0" collapsed="false">
      <c r="A29" s="0" t="s">
        <v>125</v>
      </c>
      <c r="B29" s="0" t="s">
        <v>126</v>
      </c>
      <c r="C29" s="0" t="n">
        <v>1.72</v>
      </c>
      <c r="D29" s="0" t="n">
        <v>7.5</v>
      </c>
      <c r="E29" s="0" t="n">
        <v>2</v>
      </c>
      <c r="F29" s="0" t="s">
        <v>63</v>
      </c>
      <c r="G29" s="0" t="n">
        <v>16</v>
      </c>
      <c r="H29" s="0" t="n">
        <v>25.8</v>
      </c>
      <c r="I29" s="0" t="s">
        <v>127</v>
      </c>
      <c r="J29" s="0" t="s">
        <v>121</v>
      </c>
      <c r="K29" s="0" t="s">
        <v>66</v>
      </c>
    </row>
    <row r="30" customFormat="false" ht="15" hidden="false" customHeight="false" outlineLevel="0" collapsed="false">
      <c r="A30" s="0" t="s">
        <v>128</v>
      </c>
      <c r="B30" s="0" t="s">
        <v>129</v>
      </c>
      <c r="C30" s="0" t="n">
        <v>4.27</v>
      </c>
      <c r="D30" s="0" t="n">
        <v>7.5</v>
      </c>
      <c r="E30" s="0" t="n">
        <v>2</v>
      </c>
      <c r="F30" s="0" t="s">
        <v>63</v>
      </c>
      <c r="G30" s="0" t="n">
        <v>16</v>
      </c>
      <c r="H30" s="0" t="n">
        <v>64.04</v>
      </c>
      <c r="I30" s="0" t="s">
        <v>130</v>
      </c>
      <c r="J30" s="0" t="s">
        <v>121</v>
      </c>
      <c r="K30" s="0" t="s">
        <v>66</v>
      </c>
    </row>
    <row r="31" customFormat="false" ht="15" hidden="false" customHeight="false" outlineLevel="0" collapsed="false">
      <c r="A31" s="0" t="s">
        <v>131</v>
      </c>
      <c r="B31" s="0" t="s">
        <v>132</v>
      </c>
      <c r="C31" s="0" t="n">
        <v>4.27</v>
      </c>
      <c r="D31" s="0" t="n">
        <v>7.5</v>
      </c>
      <c r="E31" s="0" t="n">
        <v>2</v>
      </c>
      <c r="F31" s="0" t="s">
        <v>63</v>
      </c>
      <c r="G31" s="0" t="n">
        <v>16</v>
      </c>
      <c r="H31" s="0" t="n">
        <v>64.04</v>
      </c>
      <c r="I31" s="0" t="s">
        <v>133</v>
      </c>
      <c r="J31" s="0" t="s">
        <v>121</v>
      </c>
      <c r="K31" s="0" t="s">
        <v>66</v>
      </c>
    </row>
    <row r="32" customFormat="false" ht="15" hidden="false" customHeight="false" outlineLevel="0" collapsed="false">
      <c r="A32" s="0" t="s">
        <v>134</v>
      </c>
      <c r="B32" s="0" t="s">
        <v>135</v>
      </c>
      <c r="C32" s="0" t="n">
        <v>4.29</v>
      </c>
      <c r="D32" s="0" t="n">
        <v>7.5</v>
      </c>
      <c r="E32" s="0" t="n">
        <v>2</v>
      </c>
      <c r="F32" s="0" t="s">
        <v>63</v>
      </c>
      <c r="G32" s="0" t="n">
        <v>16</v>
      </c>
      <c r="H32" s="0" t="n">
        <v>64.34</v>
      </c>
      <c r="I32" s="0" t="s">
        <v>136</v>
      </c>
      <c r="J32" s="0" t="s">
        <v>121</v>
      </c>
      <c r="K32" s="0" t="s">
        <v>66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n">
        <v>4.29</v>
      </c>
      <c r="D33" s="0" t="n">
        <v>7.5</v>
      </c>
      <c r="E33" s="0" t="n">
        <v>2</v>
      </c>
      <c r="F33" s="0" t="s">
        <v>63</v>
      </c>
      <c r="G33" s="0" t="n">
        <v>16</v>
      </c>
      <c r="H33" s="0" t="n">
        <v>64.34</v>
      </c>
      <c r="I33" s="0" t="s">
        <v>139</v>
      </c>
      <c r="J33" s="0" t="s">
        <v>121</v>
      </c>
      <c r="K33" s="0" t="s">
        <v>66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n">
        <v>4.27</v>
      </c>
      <c r="D34" s="0" t="n">
        <v>7.5</v>
      </c>
      <c r="E34" s="0" t="n">
        <v>2</v>
      </c>
      <c r="F34" s="0" t="s">
        <v>63</v>
      </c>
      <c r="G34" s="0" t="n">
        <v>16</v>
      </c>
      <c r="H34" s="0" t="n">
        <v>64.04</v>
      </c>
      <c r="I34" s="0" t="s">
        <v>142</v>
      </c>
      <c r="J34" s="0" t="s">
        <v>121</v>
      </c>
      <c r="K34" s="0" t="s">
        <v>66</v>
      </c>
    </row>
    <row r="35" customFormat="false" ht="15" hidden="false" customHeight="false" outlineLevel="0" collapsed="false">
      <c r="A35" s="0" t="s">
        <v>143</v>
      </c>
      <c r="B35" s="0" t="s">
        <v>144</v>
      </c>
      <c r="C35" s="0" t="n">
        <v>4.29</v>
      </c>
      <c r="D35" s="0" t="n">
        <v>7.5</v>
      </c>
      <c r="E35" s="0" t="n">
        <v>2</v>
      </c>
      <c r="F35" s="0" t="s">
        <v>63</v>
      </c>
      <c r="G35" s="0" t="n">
        <v>16</v>
      </c>
      <c r="H35" s="0" t="n">
        <v>64.34</v>
      </c>
      <c r="I35" s="0" t="s">
        <v>145</v>
      </c>
      <c r="J35" s="0" t="s">
        <v>121</v>
      </c>
      <c r="K35" s="0" t="s">
        <v>66</v>
      </c>
    </row>
    <row r="36" customFormat="false" ht="15" hidden="false" customHeight="false" outlineLevel="0" collapsed="false">
      <c r="A36" s="0" t="s">
        <v>146</v>
      </c>
      <c r="B36" s="0" t="s">
        <v>147</v>
      </c>
      <c r="C36" s="0" t="n">
        <v>4.28</v>
      </c>
      <c r="D36" s="0" t="n">
        <v>7.5</v>
      </c>
      <c r="E36" s="0" t="n">
        <v>2</v>
      </c>
      <c r="F36" s="0" t="s">
        <v>63</v>
      </c>
      <c r="G36" s="0" t="n">
        <v>16</v>
      </c>
      <c r="H36" s="0" t="n">
        <v>64.2</v>
      </c>
      <c r="I36" s="0" t="s">
        <v>148</v>
      </c>
      <c r="J36" s="0" t="s">
        <v>121</v>
      </c>
      <c r="K36" s="0" t="s">
        <v>66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n">
        <v>4.28</v>
      </c>
      <c r="D37" s="0" t="n">
        <v>7.5</v>
      </c>
      <c r="E37" s="0" t="n">
        <v>2</v>
      </c>
      <c r="F37" s="0" t="s">
        <v>63</v>
      </c>
      <c r="G37" s="0" t="n">
        <v>16</v>
      </c>
      <c r="H37" s="0" t="n">
        <v>64.2</v>
      </c>
      <c r="I37" s="0" t="s">
        <v>151</v>
      </c>
      <c r="J37" s="0" t="s">
        <v>121</v>
      </c>
      <c r="K37" s="0" t="s">
        <v>66</v>
      </c>
    </row>
    <row r="38" customFormat="false" ht="15" hidden="false" customHeight="false" outlineLevel="0" collapsed="false">
      <c r="A38" s="0" t="s">
        <v>152</v>
      </c>
      <c r="B38" s="0" t="s">
        <v>153</v>
      </c>
      <c r="C38" s="0" t="n">
        <v>4.28</v>
      </c>
      <c r="D38" s="0" t="n">
        <v>7.5</v>
      </c>
      <c r="E38" s="0" t="n">
        <v>2</v>
      </c>
      <c r="F38" s="0" t="s">
        <v>63</v>
      </c>
      <c r="G38" s="0" t="n">
        <v>16</v>
      </c>
      <c r="H38" s="0" t="n">
        <v>64.2</v>
      </c>
      <c r="I38" s="0" t="s">
        <v>154</v>
      </c>
      <c r="J38" s="0" t="s">
        <v>121</v>
      </c>
      <c r="K38" s="0" t="s">
        <v>66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4.28</v>
      </c>
      <c r="D39" s="0" t="n">
        <v>7.5</v>
      </c>
      <c r="E39" s="0" t="n">
        <v>2</v>
      </c>
      <c r="F39" s="0" t="s">
        <v>63</v>
      </c>
      <c r="G39" s="0" t="n">
        <v>16</v>
      </c>
      <c r="H39" s="0" t="n">
        <v>64.2</v>
      </c>
      <c r="I39" s="0" t="s">
        <v>157</v>
      </c>
      <c r="J39" s="0" t="s">
        <v>121</v>
      </c>
      <c r="K39" s="0" t="s">
        <v>66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0" t="n">
        <v>4.28</v>
      </c>
      <c r="D40" s="0" t="n">
        <v>7.5</v>
      </c>
      <c r="E40" s="0" t="n">
        <v>2</v>
      </c>
      <c r="F40" s="0" t="s">
        <v>63</v>
      </c>
      <c r="G40" s="0" t="n">
        <v>16</v>
      </c>
      <c r="H40" s="0" t="n">
        <v>64.2</v>
      </c>
      <c r="I40" s="0" t="s">
        <v>160</v>
      </c>
      <c r="J40" s="0" t="s">
        <v>121</v>
      </c>
      <c r="K40" s="0" t="s">
        <v>66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n">
        <v>4.28</v>
      </c>
      <c r="D41" s="0" t="n">
        <v>7.5</v>
      </c>
      <c r="E41" s="0" t="n">
        <v>2</v>
      </c>
      <c r="F41" s="0" t="s">
        <v>63</v>
      </c>
      <c r="G41" s="0" t="n">
        <v>16</v>
      </c>
      <c r="H41" s="0" t="n">
        <v>64.2</v>
      </c>
      <c r="I41" s="0" t="s">
        <v>163</v>
      </c>
      <c r="J41" s="0" t="s">
        <v>121</v>
      </c>
      <c r="K41" s="0" t="s">
        <v>66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12.68</v>
      </c>
      <c r="D42" s="0" t="n">
        <v>7.5</v>
      </c>
      <c r="E42" s="0" t="n">
        <v>2</v>
      </c>
      <c r="F42" s="0" t="s">
        <v>63</v>
      </c>
      <c r="G42" s="0" t="n">
        <v>16</v>
      </c>
      <c r="H42" s="0" t="n">
        <v>190.2</v>
      </c>
      <c r="I42" s="0" t="s">
        <v>166</v>
      </c>
      <c r="J42" s="0" t="s">
        <v>121</v>
      </c>
      <c r="K42" s="0" t="s">
        <v>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n">
        <v>1.75</v>
      </c>
      <c r="D43" s="0" t="n">
        <v>7.5</v>
      </c>
      <c r="E43" s="0" t="n">
        <v>2</v>
      </c>
      <c r="F43" s="0" t="s">
        <v>63</v>
      </c>
      <c r="G43" s="0" t="n">
        <v>16</v>
      </c>
      <c r="H43" s="0" t="n">
        <v>26.24</v>
      </c>
      <c r="I43" s="0" t="s">
        <v>169</v>
      </c>
      <c r="J43" s="0" t="s">
        <v>121</v>
      </c>
      <c r="K43" s="0" t="s">
        <v>66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1.68</v>
      </c>
      <c r="D44" s="0" t="n">
        <v>7.5</v>
      </c>
      <c r="E44" s="0" t="n">
        <v>2</v>
      </c>
      <c r="F44" s="0" t="s">
        <v>63</v>
      </c>
      <c r="G44" s="0" t="n">
        <v>16</v>
      </c>
      <c r="H44" s="0" t="n">
        <v>25.2</v>
      </c>
      <c r="I44" s="0" t="s">
        <v>172</v>
      </c>
      <c r="J44" s="0" t="s">
        <v>121</v>
      </c>
      <c r="K44" s="0" t="s">
        <v>66</v>
      </c>
    </row>
    <row r="45" customFormat="false" ht="15" hidden="false" customHeight="false" outlineLevel="0" collapsed="false">
      <c r="B45" s="6" t="s">
        <v>173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174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n">
        <v>29.98</v>
      </c>
      <c r="D47" s="0" t="n">
        <v>25</v>
      </c>
      <c r="E47" s="0" t="n">
        <v>2</v>
      </c>
      <c r="F47" s="0" t="s">
        <v>92</v>
      </c>
      <c r="G47" s="0" t="n">
        <v>16</v>
      </c>
      <c r="H47" s="0" t="n">
        <v>993.23</v>
      </c>
      <c r="I47" s="0" t="s">
        <v>177</v>
      </c>
      <c r="J47" s="0" t="s">
        <v>178</v>
      </c>
      <c r="K47" s="0" t="s">
        <v>66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12.17</v>
      </c>
      <c r="D48" s="0" t="n">
        <v>25</v>
      </c>
      <c r="E48" s="0" t="n">
        <v>2</v>
      </c>
      <c r="F48" s="0" t="s">
        <v>92</v>
      </c>
      <c r="G48" s="0" t="n">
        <v>16</v>
      </c>
      <c r="H48" s="0" t="n">
        <v>243.39</v>
      </c>
      <c r="I48" s="0" t="s">
        <v>181</v>
      </c>
      <c r="J48" s="0" t="s">
        <v>178</v>
      </c>
      <c r="K48" s="0" t="s">
        <v>66</v>
      </c>
    </row>
    <row r="49" customFormat="false" ht="15" hidden="false" customHeight="false" outlineLevel="0" collapsed="false">
      <c r="B49" s="6" t="s">
        <v>182</v>
      </c>
      <c r="C49" s="4" t="n">
        <f aca="false">SUM(C47:C48)</f>
        <v>42.15</v>
      </c>
      <c r="H49" s="4" t="n">
        <f aca="false">SUM(H47:H48)</f>
        <v>1236.62</v>
      </c>
    </row>
    <row r="50" customFormat="false" ht="15" hidden="false" customHeight="false" outlineLevel="0" collapsed="false">
      <c r="A50" s="5" t="s">
        <v>183</v>
      </c>
    </row>
    <row r="51" customFormat="false" ht="15" hidden="false" customHeight="false" outlineLevel="0" collapsed="false">
      <c r="A51" s="0" t="s">
        <v>184</v>
      </c>
      <c r="B51" s="0" t="s">
        <v>185</v>
      </c>
      <c r="C51" s="0" t="n">
        <v>12.17</v>
      </c>
      <c r="D51" s="0" t="n">
        <v>25</v>
      </c>
      <c r="E51" s="0" t="n">
        <v>2</v>
      </c>
      <c r="F51" s="0" t="s">
        <v>63</v>
      </c>
      <c r="G51" s="0" t="n">
        <v>16</v>
      </c>
      <c r="H51" s="0" t="n">
        <v>432.03</v>
      </c>
      <c r="I51" s="0" t="s">
        <v>186</v>
      </c>
      <c r="J51" s="0" t="s">
        <v>178</v>
      </c>
      <c r="K51" s="0" t="s">
        <v>66</v>
      </c>
    </row>
    <row r="52" customFormat="false" ht="15" hidden="false" customHeight="false" outlineLevel="0" collapsed="false">
      <c r="B52" s="6" t="s">
        <v>187</v>
      </c>
      <c r="C52" s="4" t="n">
        <f aca="false">SUM(C51:C51)</f>
        <v>12.17</v>
      </c>
      <c r="H52" s="4" t="n">
        <f aca="false">SUM(H51:H51)</f>
        <v>432.03</v>
      </c>
    </row>
    <row r="53" customFormat="false" ht="15" hidden="false" customHeight="false" outlineLevel="0" collapsed="false">
      <c r="A53" s="5" t="s">
        <v>188</v>
      </c>
    </row>
    <row r="54" customFormat="false" ht="15" hidden="false" customHeight="false" outlineLevel="0" collapsed="false">
      <c r="A54" s="0" t="s">
        <v>189</v>
      </c>
      <c r="B54" s="0" t="s">
        <v>190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191</v>
      </c>
      <c r="J54" s="0" t="s">
        <v>178</v>
      </c>
      <c r="K54" s="0" t="s">
        <v>66</v>
      </c>
    </row>
    <row r="55" customFormat="false" ht="15" hidden="false" customHeight="false" outlineLevel="0" collapsed="false">
      <c r="B55" s="6" t="s">
        <v>192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193</v>
      </c>
    </row>
    <row r="57" customFormat="false" ht="15" hidden="false" customHeight="false" outlineLevel="0" collapsed="false">
      <c r="A57" s="0" t="s">
        <v>194</v>
      </c>
      <c r="B57" s="0" t="s">
        <v>195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196</v>
      </c>
      <c r="J57" s="0" t="s">
        <v>197</v>
      </c>
      <c r="K57" s="0" t="s">
        <v>66</v>
      </c>
    </row>
    <row r="58" customFormat="false" ht="15" hidden="false" customHeight="false" outlineLevel="0" collapsed="false">
      <c r="B58" s="6" t="s">
        <v>198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199</v>
      </c>
    </row>
    <row r="60" customFormat="false" ht="15" hidden="false" customHeight="false" outlineLevel="0" collapsed="false">
      <c r="A60" s="0" t="s">
        <v>200</v>
      </c>
      <c r="B60" s="0" t="s">
        <v>201</v>
      </c>
      <c r="C60" s="0" t="n">
        <v>6.17</v>
      </c>
      <c r="D60" s="0" t="n">
        <v>25</v>
      </c>
      <c r="E60" s="0" t="n">
        <v>1</v>
      </c>
      <c r="F60" s="0" t="s">
        <v>92</v>
      </c>
      <c r="G60" s="0" t="n">
        <v>16</v>
      </c>
      <c r="H60" s="0" t="n">
        <v>46.79</v>
      </c>
      <c r="I60" s="0" t="s">
        <v>202</v>
      </c>
      <c r="J60" s="0" t="s">
        <v>197</v>
      </c>
      <c r="K60" s="0" t="s">
        <v>66</v>
      </c>
    </row>
    <row r="61" customFormat="false" ht="15" hidden="false" customHeight="false" outlineLevel="0" collapsed="false">
      <c r="B61" s="6" t="s">
        <v>203</v>
      </c>
      <c r="C61" s="4" t="n">
        <f aca="false">SUM(C60:C60)</f>
        <v>6.17</v>
      </c>
      <c r="H61" s="4" t="n">
        <f aca="false">SUM(H60:H60)</f>
        <v>46.79</v>
      </c>
    </row>
    <row r="62" customFormat="false" ht="15" hidden="false" customHeight="false" outlineLevel="0" collapsed="false">
      <c r="A62" s="5" t="s">
        <v>204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207</v>
      </c>
      <c r="J63" s="0" t="s">
        <v>208</v>
      </c>
      <c r="K63" s="0" t="s">
        <v>66</v>
      </c>
    </row>
    <row r="64" customFormat="false" ht="15" hidden="false" customHeight="false" outlineLevel="0" collapsed="false">
      <c r="B64" s="6" t="s">
        <v>209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210</v>
      </c>
    </row>
    <row r="66" customFormat="false" ht="15" hidden="false" customHeight="false" outlineLevel="0" collapsed="false">
      <c r="A66" s="0" t="s">
        <v>211</v>
      </c>
      <c r="B66" s="0" t="s">
        <v>212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213</v>
      </c>
      <c r="J66" s="0" t="s">
        <v>208</v>
      </c>
      <c r="K66" s="0" t="s">
        <v>66</v>
      </c>
    </row>
    <row r="67" customFormat="false" ht="15" hidden="false" customHeight="false" outlineLevel="0" collapsed="false">
      <c r="A67" s="0" t="s">
        <v>214</v>
      </c>
      <c r="B67" s="0" t="s">
        <v>215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216</v>
      </c>
      <c r="J67" s="0" t="s">
        <v>208</v>
      </c>
      <c r="K67" s="0" t="s">
        <v>66</v>
      </c>
    </row>
    <row r="68" customFormat="false" ht="15" hidden="false" customHeight="false" outlineLevel="0" collapsed="false">
      <c r="A68" s="0" t="s">
        <v>217</v>
      </c>
      <c r="B68" s="0" t="s">
        <v>218</v>
      </c>
      <c r="C68" s="0" t="n">
        <v>23.46</v>
      </c>
      <c r="D68" s="0" t="n">
        <v>25</v>
      </c>
      <c r="E68" s="0" t="n">
        <v>1</v>
      </c>
      <c r="F68" s="0" t="s">
        <v>92</v>
      </c>
      <c r="G68" s="0" t="n">
        <v>16</v>
      </c>
      <c r="H68" s="0" t="n">
        <v>586.5</v>
      </c>
      <c r="I68" s="0" t="s">
        <v>219</v>
      </c>
      <c r="J68" s="0" t="s">
        <v>208</v>
      </c>
      <c r="K68" s="0" t="s">
        <v>66</v>
      </c>
    </row>
    <row r="69" customFormat="false" ht="15" hidden="false" customHeight="false" outlineLevel="0" collapsed="false">
      <c r="B69" s="6" t="s">
        <v>220</v>
      </c>
      <c r="C69" s="4" t="n">
        <f aca="false">SUM(C66:C68)</f>
        <v>27.88</v>
      </c>
      <c r="H69" s="4" t="n">
        <f aca="false">SUM(H66:H68)</f>
        <v>697</v>
      </c>
    </row>
    <row r="70" customFormat="false" ht="15" hidden="false" customHeight="false" outlineLevel="0" collapsed="false">
      <c r="A70" s="5" t="s">
        <v>221</v>
      </c>
    </row>
    <row r="71" customFormat="false" ht="15" hidden="false" customHeight="false" outlineLevel="0" collapsed="false">
      <c r="A71" s="0" t="s">
        <v>222</v>
      </c>
      <c r="B71" s="0" t="s">
        <v>223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224</v>
      </c>
      <c r="J71" s="0" t="s">
        <v>225</v>
      </c>
      <c r="K71" s="0" t="s">
        <v>66</v>
      </c>
    </row>
    <row r="72" customFormat="false" ht="15" hidden="false" customHeight="false" outlineLevel="0" collapsed="false">
      <c r="B72" s="6" t="s">
        <v>226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227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n">
        <v>2.31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23.1</v>
      </c>
      <c r="I74" s="0" t="s">
        <v>230</v>
      </c>
      <c r="J74" s="0" t="s">
        <v>231</v>
      </c>
      <c r="K74" s="0" t="s">
        <v>66</v>
      </c>
    </row>
    <row r="75" customFormat="false" ht="15" hidden="false" customHeight="false" outlineLevel="0" collapsed="false">
      <c r="A75" s="0" t="s">
        <v>232</v>
      </c>
      <c r="B75" s="0" t="s">
        <v>233</v>
      </c>
      <c r="C75" s="0" t="n">
        <v>0.603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6.03</v>
      </c>
      <c r="I75" s="0" t="s">
        <v>234</v>
      </c>
      <c r="J75" s="0" t="s">
        <v>231</v>
      </c>
      <c r="K75" s="0" t="s">
        <v>66</v>
      </c>
    </row>
    <row r="76" customFormat="false" ht="15" hidden="false" customHeight="false" outlineLevel="0" collapsed="false">
      <c r="A76" s="0" t="s">
        <v>235</v>
      </c>
      <c r="B76" s="0" t="s">
        <v>236</v>
      </c>
      <c r="C76" s="0" t="n">
        <v>0.603</v>
      </c>
      <c r="D76" s="0" t="n">
        <v>25</v>
      </c>
      <c r="E76" s="0" t="n">
        <v>1</v>
      </c>
      <c r="F76" s="0" t="s">
        <v>92</v>
      </c>
      <c r="G76" s="0" t="n">
        <v>16</v>
      </c>
      <c r="H76" s="0" t="n">
        <v>6.03</v>
      </c>
      <c r="I76" s="0" t="s">
        <v>237</v>
      </c>
      <c r="J76" s="0" t="s">
        <v>231</v>
      </c>
      <c r="K76" s="0" t="s">
        <v>66</v>
      </c>
    </row>
    <row r="77" customFormat="false" ht="15" hidden="false" customHeight="false" outlineLevel="0" collapsed="false">
      <c r="A77" s="0" t="s">
        <v>238</v>
      </c>
      <c r="B77" s="0" t="s">
        <v>239</v>
      </c>
      <c r="C77" s="0" t="n">
        <v>1</v>
      </c>
      <c r="D77" s="0" t="n">
        <v>25</v>
      </c>
      <c r="E77" s="0" t="n">
        <v>1</v>
      </c>
      <c r="F77" s="0" t="s">
        <v>92</v>
      </c>
      <c r="G77" s="0" t="n">
        <v>16</v>
      </c>
      <c r="H77" s="0" t="n">
        <v>10</v>
      </c>
      <c r="I77" s="0" t="s">
        <v>240</v>
      </c>
      <c r="J77" s="0" t="s">
        <v>231</v>
      </c>
      <c r="K77" s="0" t="s">
        <v>66</v>
      </c>
    </row>
    <row r="78" customFormat="false" ht="15" hidden="false" customHeight="false" outlineLevel="0" collapsed="false">
      <c r="B78" s="6" t="s">
        <v>241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242</v>
      </c>
    </row>
    <row r="80" customFormat="false" ht="15" hidden="false" customHeight="false" outlineLevel="0" collapsed="false">
      <c r="A80" s="0" t="s">
        <v>243</v>
      </c>
      <c r="B80" s="0" t="s">
        <v>244</v>
      </c>
      <c r="C80" s="0" t="n">
        <v>9.89</v>
      </c>
      <c r="D80" s="0" t="n">
        <v>2.708</v>
      </c>
      <c r="E80" s="0" t="n">
        <v>2</v>
      </c>
      <c r="F80" s="0" t="s">
        <v>63</v>
      </c>
      <c r="G80" s="0" t="n">
        <v>16</v>
      </c>
      <c r="H80" s="0" t="n">
        <v>53.56</v>
      </c>
      <c r="I80" s="0" t="s">
        <v>245</v>
      </c>
      <c r="J80" s="0" t="s">
        <v>246</v>
      </c>
      <c r="K80" s="0" t="s">
        <v>66</v>
      </c>
    </row>
    <row r="81" customFormat="false" ht="15" hidden="false" customHeight="false" outlineLevel="0" collapsed="false">
      <c r="A81" s="0" t="s">
        <v>247</v>
      </c>
      <c r="B81" s="0" t="s">
        <v>248</v>
      </c>
      <c r="C81" s="0" t="n">
        <v>4.14</v>
      </c>
      <c r="D81" s="0" t="n">
        <v>2.708</v>
      </c>
      <c r="E81" s="0" t="n">
        <v>2</v>
      </c>
      <c r="F81" s="0" t="s">
        <v>63</v>
      </c>
      <c r="G81" s="0" t="n">
        <v>16</v>
      </c>
      <c r="H81" s="0" t="n">
        <v>22.42</v>
      </c>
      <c r="I81" s="0" t="s">
        <v>249</v>
      </c>
      <c r="J81" s="0" t="s">
        <v>246</v>
      </c>
      <c r="K81" s="0" t="s">
        <v>66</v>
      </c>
    </row>
    <row r="82" customFormat="false" ht="15" hidden="false" customHeight="false" outlineLevel="0" collapsed="false">
      <c r="A82" s="0" t="s">
        <v>250</v>
      </c>
      <c r="B82" s="0" t="s">
        <v>251</v>
      </c>
      <c r="C82" s="0" t="n">
        <v>6.24</v>
      </c>
      <c r="D82" s="0" t="n">
        <v>2.708</v>
      </c>
      <c r="E82" s="0" t="n">
        <v>2</v>
      </c>
      <c r="F82" s="0" t="s">
        <v>63</v>
      </c>
      <c r="G82" s="0" t="n">
        <v>16</v>
      </c>
      <c r="H82" s="0" t="n">
        <v>33.8</v>
      </c>
      <c r="I82" s="0" t="s">
        <v>252</v>
      </c>
      <c r="J82" s="0" t="s">
        <v>246</v>
      </c>
      <c r="K82" s="0" t="s">
        <v>66</v>
      </c>
    </row>
    <row r="83" customFormat="false" ht="15" hidden="false" customHeight="false" outlineLevel="0" collapsed="false">
      <c r="B83" s="6" t="s">
        <v>253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254</v>
      </c>
    </row>
    <row r="85" customFormat="false" ht="15" hidden="false" customHeight="false" outlineLevel="0" collapsed="false">
      <c r="A85" s="0" t="s">
        <v>255</v>
      </c>
      <c r="B85" s="0" t="s">
        <v>256</v>
      </c>
      <c r="C85" s="0" t="n">
        <v>3.17</v>
      </c>
      <c r="D85" s="0" t="n">
        <v>2.708</v>
      </c>
      <c r="E85" s="0" t="n">
        <v>2</v>
      </c>
      <c r="F85" s="0" t="s">
        <v>63</v>
      </c>
      <c r="G85" s="0" t="n">
        <v>16</v>
      </c>
      <c r="H85" s="0" t="n">
        <v>17.16</v>
      </c>
      <c r="I85" s="0" t="s">
        <v>257</v>
      </c>
      <c r="J85" s="0" t="s">
        <v>258</v>
      </c>
      <c r="K85" s="0" t="s">
        <v>66</v>
      </c>
    </row>
    <row r="86" customFormat="false" ht="15" hidden="false" customHeight="false" outlineLevel="0" collapsed="false">
      <c r="B86" s="6" t="s">
        <v>259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260</v>
      </c>
    </row>
    <row r="88" customFormat="false" ht="15" hidden="false" customHeight="false" outlineLevel="0" collapsed="false">
      <c r="A88" s="0" t="s">
        <v>261</v>
      </c>
      <c r="B88" s="0" t="s">
        <v>262</v>
      </c>
      <c r="C88" s="0" t="n">
        <v>5.14</v>
      </c>
      <c r="D88" s="0" t="n">
        <v>1</v>
      </c>
      <c r="E88" s="0" t="n">
        <v>2</v>
      </c>
      <c r="F88" s="0" t="s">
        <v>63</v>
      </c>
      <c r="G88" s="0" t="n">
        <v>16</v>
      </c>
      <c r="H88" s="0" t="n">
        <v>10.28</v>
      </c>
      <c r="I88" s="0" t="s">
        <v>263</v>
      </c>
      <c r="J88" s="0" t="s">
        <v>264</v>
      </c>
      <c r="K88" s="0" t="s">
        <v>66</v>
      </c>
    </row>
    <row r="89" customFormat="false" ht="15" hidden="false" customHeight="false" outlineLevel="0" collapsed="false">
      <c r="B89" s="6" t="s">
        <v>265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266</v>
      </c>
    </row>
    <row r="91" customFormat="false" ht="15" hidden="false" customHeight="false" outlineLevel="0" collapsed="false">
      <c r="A91" s="0" t="s">
        <v>267</v>
      </c>
      <c r="B91" s="0" t="s">
        <v>268</v>
      </c>
      <c r="C91" s="0" t="n">
        <v>3.17</v>
      </c>
      <c r="D91" s="0" t="n">
        <v>2.708</v>
      </c>
      <c r="E91" s="0" t="n">
        <v>2</v>
      </c>
      <c r="F91" s="0" t="s">
        <v>63</v>
      </c>
      <c r="G91" s="0" t="n">
        <v>16</v>
      </c>
      <c r="H91" s="0" t="n">
        <v>17.16</v>
      </c>
      <c r="I91" s="0" t="s">
        <v>269</v>
      </c>
      <c r="J91" s="0" t="s">
        <v>270</v>
      </c>
      <c r="K91" s="0" t="s">
        <v>66</v>
      </c>
    </row>
    <row r="92" customFormat="false" ht="15" hidden="false" customHeight="false" outlineLevel="0" collapsed="false">
      <c r="B92" s="6" t="s">
        <v>271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272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15458.28</v>
      </c>
    </row>
    <row r="95" customFormat="false" ht="15" hidden="false" customHeight="false" outlineLevel="0" collapsed="false">
      <c r="A95" s="5" t="s">
        <v>273</v>
      </c>
    </row>
    <row r="96" customFormat="false" ht="15" hidden="false" customHeight="false" outlineLevel="0" collapsed="false">
      <c r="A96" s="0" t="s">
        <v>274</v>
      </c>
      <c r="B96" s="0" t="s">
        <v>275</v>
      </c>
      <c r="C96" s="0" t="n">
        <v>8</v>
      </c>
      <c r="D96" s="0" t="n">
        <v>8</v>
      </c>
      <c r="E96" s="0" t="n">
        <v>1</v>
      </c>
      <c r="F96" s="0" t="s">
        <v>63</v>
      </c>
      <c r="G96" s="0" t="n">
        <v>16</v>
      </c>
      <c r="H96" s="0" t="n">
        <v>64</v>
      </c>
      <c r="I96" s="0" t="s">
        <v>276</v>
      </c>
      <c r="J96" s="0" t="s">
        <v>277</v>
      </c>
      <c r="K96" s="0" t="s">
        <v>66</v>
      </c>
    </row>
    <row r="97" customFormat="false" ht="15" hidden="false" customHeight="false" outlineLevel="0" collapsed="false">
      <c r="A97" s="0" t="s">
        <v>278</v>
      </c>
      <c r="B97" s="0" t="s">
        <v>279</v>
      </c>
      <c r="C97" s="0" t="n">
        <v>8</v>
      </c>
      <c r="D97" s="0" t="n">
        <v>8</v>
      </c>
      <c r="E97" s="0" t="n">
        <v>1</v>
      </c>
      <c r="F97" s="0" t="s">
        <v>63</v>
      </c>
      <c r="G97" s="0" t="n">
        <v>16</v>
      </c>
      <c r="H97" s="0" t="n">
        <v>64</v>
      </c>
      <c r="I97" s="0" t="s">
        <v>276</v>
      </c>
      <c r="J97" s="0" t="s">
        <v>277</v>
      </c>
      <c r="K97" s="0" t="s">
        <v>66</v>
      </c>
    </row>
    <row r="98" customFormat="false" ht="15" hidden="false" customHeight="false" outlineLevel="0" collapsed="false">
      <c r="A98" s="0" t="s">
        <v>280</v>
      </c>
      <c r="B98" s="0" t="s">
        <v>281</v>
      </c>
      <c r="C98" s="0" t="n">
        <v>8</v>
      </c>
      <c r="D98" s="0" t="n">
        <v>8</v>
      </c>
      <c r="E98" s="0" t="n">
        <v>1</v>
      </c>
      <c r="F98" s="0" t="s">
        <v>63</v>
      </c>
      <c r="G98" s="0" t="n">
        <v>16</v>
      </c>
      <c r="H98" s="0" t="n">
        <v>64</v>
      </c>
      <c r="I98" s="0" t="s">
        <v>276</v>
      </c>
      <c r="J98" s="0" t="s">
        <v>277</v>
      </c>
      <c r="K98" s="0" t="s">
        <v>66</v>
      </c>
    </row>
    <row r="99" customFormat="false" ht="15" hidden="false" customHeight="false" outlineLevel="0" collapsed="false">
      <c r="A99" s="0" t="s">
        <v>282</v>
      </c>
      <c r="B99" s="0" t="s">
        <v>283</v>
      </c>
      <c r="C99" s="0" t="n">
        <v>8</v>
      </c>
      <c r="D99" s="0" t="n">
        <v>8</v>
      </c>
      <c r="E99" s="0" t="n">
        <v>1</v>
      </c>
      <c r="F99" s="0" t="s">
        <v>63</v>
      </c>
      <c r="G99" s="0" t="n">
        <v>16</v>
      </c>
      <c r="H99" s="0" t="n">
        <v>64</v>
      </c>
      <c r="I99" s="0" t="s">
        <v>276</v>
      </c>
      <c r="J99" s="0" t="s">
        <v>277</v>
      </c>
      <c r="K99" s="0" t="s">
        <v>66</v>
      </c>
    </row>
    <row r="100" customFormat="false" ht="15" hidden="false" customHeight="false" outlineLevel="0" collapsed="false">
      <c r="A100" s="0" t="s">
        <v>284</v>
      </c>
      <c r="B100" s="0" t="s">
        <v>285</v>
      </c>
      <c r="C100" s="0" t="n">
        <v>8</v>
      </c>
      <c r="D100" s="0" t="n">
        <v>8</v>
      </c>
      <c r="E100" s="0" t="n">
        <v>1</v>
      </c>
      <c r="F100" s="0" t="s">
        <v>63</v>
      </c>
      <c r="G100" s="0" t="n">
        <v>16</v>
      </c>
      <c r="H100" s="0" t="n">
        <v>64</v>
      </c>
      <c r="I100" s="0" t="s">
        <v>276</v>
      </c>
      <c r="J100" s="0" t="s">
        <v>277</v>
      </c>
      <c r="K100" s="0" t="s">
        <v>66</v>
      </c>
    </row>
    <row r="101" customFormat="false" ht="15" hidden="false" customHeight="false" outlineLevel="0" collapsed="false">
      <c r="A101" s="0" t="s">
        <v>286</v>
      </c>
      <c r="B101" s="0" t="s">
        <v>287</v>
      </c>
      <c r="C101" s="0" t="n">
        <v>8</v>
      </c>
      <c r="D101" s="0" t="n">
        <v>8</v>
      </c>
      <c r="E101" s="0" t="n">
        <v>1</v>
      </c>
      <c r="F101" s="0" t="s">
        <v>63</v>
      </c>
      <c r="G101" s="0" t="n">
        <v>16</v>
      </c>
      <c r="H101" s="0" t="n">
        <v>64</v>
      </c>
      <c r="I101" s="0" t="s">
        <v>276</v>
      </c>
      <c r="J101" s="0" t="s">
        <v>277</v>
      </c>
      <c r="K101" s="0" t="s">
        <v>66</v>
      </c>
    </row>
    <row r="102" customFormat="false" ht="15" hidden="false" customHeight="false" outlineLevel="0" collapsed="false">
      <c r="A102" s="0" t="s">
        <v>288</v>
      </c>
      <c r="B102" s="0" t="s">
        <v>289</v>
      </c>
      <c r="C102" s="0" t="n">
        <v>8</v>
      </c>
      <c r="D102" s="0" t="n">
        <v>8</v>
      </c>
      <c r="E102" s="0" t="n">
        <v>1</v>
      </c>
      <c r="F102" s="0" t="s">
        <v>63</v>
      </c>
      <c r="G102" s="0" t="n">
        <v>16</v>
      </c>
      <c r="H102" s="0" t="n">
        <v>64</v>
      </c>
      <c r="I102" s="0" t="s">
        <v>276</v>
      </c>
      <c r="J102" s="0" t="s">
        <v>277</v>
      </c>
      <c r="K102" s="0" t="s">
        <v>66</v>
      </c>
    </row>
    <row r="103" customFormat="false" ht="15" hidden="false" customHeight="false" outlineLevel="0" collapsed="false">
      <c r="A103" s="0" t="s">
        <v>290</v>
      </c>
      <c r="B103" s="0" t="s">
        <v>291</v>
      </c>
      <c r="C103" s="0" t="n">
        <v>8</v>
      </c>
      <c r="D103" s="0" t="n">
        <v>8</v>
      </c>
      <c r="E103" s="0" t="n">
        <v>1</v>
      </c>
      <c r="F103" s="0" t="s">
        <v>63</v>
      </c>
      <c r="G103" s="0" t="n">
        <v>16</v>
      </c>
      <c r="H103" s="0" t="n">
        <v>64</v>
      </c>
      <c r="I103" s="0" t="s">
        <v>276</v>
      </c>
      <c r="J103" s="0" t="s">
        <v>277</v>
      </c>
      <c r="K103" s="0" t="s">
        <v>66</v>
      </c>
    </row>
    <row r="104" customFormat="false" ht="15" hidden="false" customHeight="false" outlineLevel="0" collapsed="false">
      <c r="A104" s="0" t="s">
        <v>292</v>
      </c>
      <c r="B104" s="0" t="s">
        <v>293</v>
      </c>
      <c r="C104" s="0" t="n">
        <v>8</v>
      </c>
      <c r="D104" s="0" t="n">
        <v>8</v>
      </c>
      <c r="E104" s="0" t="n">
        <v>1</v>
      </c>
      <c r="F104" s="0" t="s">
        <v>63</v>
      </c>
      <c r="G104" s="0" t="n">
        <v>16</v>
      </c>
      <c r="H104" s="0" t="n">
        <v>64</v>
      </c>
      <c r="I104" s="0" t="s">
        <v>276</v>
      </c>
      <c r="J104" s="0" t="s">
        <v>277</v>
      </c>
      <c r="K104" s="0" t="s">
        <v>66</v>
      </c>
    </row>
    <row r="105" customFormat="false" ht="15" hidden="false" customHeight="false" outlineLevel="0" collapsed="false">
      <c r="A105" s="0" t="s">
        <v>294</v>
      </c>
      <c r="B105" s="0" t="s">
        <v>295</v>
      </c>
      <c r="C105" s="0" t="n">
        <v>22.77</v>
      </c>
      <c r="D105" s="0" t="n">
        <v>14</v>
      </c>
      <c r="E105" s="0" t="n">
        <v>1</v>
      </c>
      <c r="F105" s="0" t="s">
        <v>63</v>
      </c>
      <c r="G105" s="0" t="n">
        <v>16</v>
      </c>
      <c r="H105" s="0" t="n">
        <v>227.7</v>
      </c>
      <c r="I105" s="0" t="s">
        <v>296</v>
      </c>
      <c r="J105" s="0" t="s">
        <v>297</v>
      </c>
      <c r="K105" s="0" t="s">
        <v>66</v>
      </c>
    </row>
    <row r="106" customFormat="false" ht="15" hidden="false" customHeight="false" outlineLevel="0" collapsed="false">
      <c r="A106" s="0" t="s">
        <v>298</v>
      </c>
      <c r="B106" s="0" t="s">
        <v>299</v>
      </c>
      <c r="C106" s="0" t="n">
        <v>10.12</v>
      </c>
      <c r="D106" s="0" t="n">
        <v>14</v>
      </c>
      <c r="E106" s="0" t="n">
        <v>1</v>
      </c>
      <c r="F106" s="0" t="s">
        <v>63</v>
      </c>
      <c r="G106" s="0" t="n">
        <v>16</v>
      </c>
      <c r="H106" s="0" t="n">
        <v>101.2</v>
      </c>
      <c r="I106" s="0" t="s">
        <v>300</v>
      </c>
      <c r="J106" s="0" t="s">
        <v>297</v>
      </c>
      <c r="K106" s="0" t="s">
        <v>66</v>
      </c>
    </row>
    <row r="107" customFormat="false" ht="15" hidden="false" customHeight="false" outlineLevel="0" collapsed="false">
      <c r="A107" s="0" t="s">
        <v>301</v>
      </c>
      <c r="B107" s="0" t="s">
        <v>302</v>
      </c>
      <c r="C107" s="0" t="n">
        <v>20</v>
      </c>
      <c r="D107" s="0" t="n">
        <v>13.5</v>
      </c>
      <c r="E107" s="0" t="n">
        <v>1</v>
      </c>
      <c r="F107" s="0" t="s">
        <v>63</v>
      </c>
      <c r="G107" s="0" t="n">
        <v>16</v>
      </c>
      <c r="H107" s="0" t="n">
        <v>10</v>
      </c>
      <c r="I107" s="0" t="s">
        <v>303</v>
      </c>
      <c r="J107" s="0" t="s">
        <v>297</v>
      </c>
      <c r="K107" s="0" t="s">
        <v>66</v>
      </c>
    </row>
    <row r="108" customFormat="false" ht="15" hidden="false" customHeight="false" outlineLevel="0" collapsed="false">
      <c r="A108" s="0" t="s">
        <v>304</v>
      </c>
      <c r="B108" s="0" t="s">
        <v>305</v>
      </c>
      <c r="C108" s="0" t="n">
        <v>6.25</v>
      </c>
      <c r="D108" s="0" t="n">
        <v>13.5</v>
      </c>
      <c r="E108" s="0" t="n">
        <v>1</v>
      </c>
      <c r="F108" s="0" t="s">
        <v>63</v>
      </c>
      <c r="G108" s="0" t="n">
        <v>16</v>
      </c>
      <c r="H108" s="0" t="n">
        <v>3.12</v>
      </c>
      <c r="I108" s="0" t="s">
        <v>306</v>
      </c>
      <c r="J108" s="0" t="s">
        <v>297</v>
      </c>
      <c r="K108" s="0" t="s">
        <v>66</v>
      </c>
    </row>
    <row r="109" customFormat="false" ht="15" hidden="false" customHeight="false" outlineLevel="0" collapsed="false">
      <c r="A109" s="0" t="s">
        <v>307</v>
      </c>
      <c r="B109" s="0" t="s">
        <v>308</v>
      </c>
      <c r="C109" s="0" t="n">
        <v>6.167</v>
      </c>
      <c r="D109" s="0" t="n">
        <v>17.917</v>
      </c>
      <c r="E109" s="0" t="n">
        <v>0</v>
      </c>
      <c r="F109" s="0" t="s">
        <v>92</v>
      </c>
      <c r="G109" s="0" t="n">
        <v>16</v>
      </c>
      <c r="H109" s="0" t="n">
        <v>0</v>
      </c>
      <c r="I109" s="0" t="s">
        <v>309</v>
      </c>
      <c r="J109" s="0" t="s">
        <v>310</v>
      </c>
      <c r="K10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0" t="s">
        <v>312</v>
      </c>
    </row>
    <row r="3" customFormat="false" ht="15" hidden="false" customHeight="false" outlineLevel="0" collapsed="false">
      <c r="A3" s="2" t="s">
        <v>313</v>
      </c>
      <c r="B3" s="2" t="s">
        <v>314</v>
      </c>
      <c r="C3" s="2" t="s">
        <v>315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322</v>
      </c>
    </row>
    <row r="4" customFormat="false" ht="15" hidden="false" customHeight="false" outlineLevel="0" collapsed="false">
      <c r="A4" s="0" t="s">
        <v>323</v>
      </c>
      <c r="B4" s="0" t="s">
        <v>324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325</v>
      </c>
      <c r="H4" s="0" t="n">
        <f aca="false">ROUNDUP(F4/Inputs!$B$11,0)</f>
        <v>52</v>
      </c>
      <c r="I4" s="0" t="s">
        <v>326</v>
      </c>
    </row>
    <row r="5" customFormat="false" ht="15" hidden="false" customHeight="false" outlineLevel="0" collapsed="false">
      <c r="A5" s="0" t="s">
        <v>327</v>
      </c>
      <c r="B5" s="0" t="s">
        <v>324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325</v>
      </c>
      <c r="H5" s="0" t="n">
        <f aca="false">ROUNDUP(F5/Inputs!$B$11,0)</f>
        <v>14</v>
      </c>
      <c r="I5" s="0" t="s">
        <v>328</v>
      </c>
    </row>
    <row r="6" customFormat="false" ht="15" hidden="false" customHeight="false" outlineLevel="0" collapsed="false">
      <c r="A6" s="0" t="s">
        <v>329</v>
      </c>
      <c r="B6" s="0" t="s">
        <v>324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325</v>
      </c>
      <c r="H6" s="0" t="n">
        <f aca="false">ROUNDUP(F6/Inputs!$B$11,0)</f>
        <v>9</v>
      </c>
      <c r="I6" s="0" t="s">
        <v>330</v>
      </c>
    </row>
    <row r="7" customFormat="false" ht="15" hidden="false" customHeight="false" outlineLevel="0" collapsed="false">
      <c r="A7" s="0" t="s">
        <v>331</v>
      </c>
      <c r="B7" s="0" t="s">
        <v>324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325</v>
      </c>
      <c r="H7" s="0" t="n">
        <f aca="false">ROUNDUP(F7/Inputs!$B$11,0)</f>
        <v>52</v>
      </c>
      <c r="I7" s="0" t="s">
        <v>326</v>
      </c>
    </row>
    <row r="8" customFormat="false" ht="15" hidden="false" customHeight="false" outlineLevel="0" collapsed="false">
      <c r="A8" s="0" t="s">
        <v>332</v>
      </c>
      <c r="B8" s="0" t="s">
        <v>324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325</v>
      </c>
      <c r="H8" s="0" t="n">
        <f aca="false">ROUNDUP(F8/Inputs!$B$11,0)</f>
        <v>14</v>
      </c>
      <c r="I8" s="0" t="s">
        <v>328</v>
      </c>
    </row>
    <row r="9" customFormat="false" ht="15" hidden="false" customHeight="false" outlineLevel="0" collapsed="false">
      <c r="A9" s="0" t="s">
        <v>333</v>
      </c>
      <c r="B9" s="0" t="s">
        <v>324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325</v>
      </c>
      <c r="H9" s="0" t="n">
        <f aca="false">ROUNDUP(F9/Inputs!$B$11,0)</f>
        <v>9</v>
      </c>
      <c r="I9" s="0" t="s">
        <v>330</v>
      </c>
    </row>
    <row r="10" customFormat="false" ht="15" hidden="false" customHeight="false" outlineLevel="0" collapsed="false">
      <c r="A10" s="0" t="s">
        <v>334</v>
      </c>
      <c r="B10" s="0" t="s">
        <v>324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335</v>
      </c>
      <c r="H10" s="0" t="n">
        <f aca="false">ROUNDUP(F10/Inputs!$B$10,0)</f>
        <v>2</v>
      </c>
      <c r="I10" s="0" t="s">
        <v>336</v>
      </c>
    </row>
    <row r="11" customFormat="false" ht="15" hidden="false" customHeight="false" outlineLevel="0" collapsed="false">
      <c r="A11" s="0" t="s">
        <v>337</v>
      </c>
      <c r="B11" s="0" t="s">
        <v>324</v>
      </c>
      <c r="C11" s="0" t="n">
        <v>3007.5</v>
      </c>
      <c r="D11" s="0" t="n">
        <f aca="false">Inputs!$B$5</f>
        <v>0.15</v>
      </c>
      <c r="E11" s="0" t="n">
        <f aca="false">C11*D11</f>
        <v>451.125</v>
      </c>
      <c r="F11" s="0" t="n">
        <f aca="false">C11+E11</f>
        <v>3458.625</v>
      </c>
      <c r="G11" s="0" t="s">
        <v>335</v>
      </c>
      <c r="H11" s="0" t="n">
        <f aca="false">ROUNDUP(F11/Inputs!$B$10,0)</f>
        <v>173</v>
      </c>
      <c r="I11" s="0" t="s">
        <v>338</v>
      </c>
    </row>
    <row r="12" customFormat="false" ht="15" hidden="false" customHeight="false" outlineLevel="0" collapsed="false">
      <c r="A12" s="0" t="s">
        <v>339</v>
      </c>
      <c r="B12" s="0" t="s">
        <v>324</v>
      </c>
      <c r="C12" s="0" t="n">
        <v>10788.75</v>
      </c>
      <c r="D12" s="0" t="n">
        <f aca="false">Inputs!$B$5</f>
        <v>0.15</v>
      </c>
      <c r="E12" s="0" t="n">
        <f aca="false">C12*D12</f>
        <v>1618.3125</v>
      </c>
      <c r="F12" s="0" t="n">
        <f aca="false">C12+E12</f>
        <v>12407.0625</v>
      </c>
      <c r="G12" s="0" t="s">
        <v>335</v>
      </c>
      <c r="H12" s="0" t="n">
        <f aca="false">ROUNDUP(F12/Inputs!$B$10,0)</f>
        <v>621</v>
      </c>
      <c r="I12" s="0" t="s">
        <v>340</v>
      </c>
    </row>
    <row r="13" customFormat="false" ht="15" hidden="false" customHeight="false" outlineLevel="0" collapsed="false">
      <c r="A13" s="0" t="s">
        <v>341</v>
      </c>
      <c r="B13" s="0" t="s">
        <v>324</v>
      </c>
      <c r="C13" s="0" t="n">
        <v>598.32</v>
      </c>
      <c r="D13" s="0" t="n">
        <f aca="false">Inputs!$B$5</f>
        <v>0.15</v>
      </c>
      <c r="E13" s="0" t="n">
        <f aca="false">C13*D13</f>
        <v>89.748</v>
      </c>
      <c r="F13" s="0" t="n">
        <f aca="false">C13+E13</f>
        <v>688.068</v>
      </c>
      <c r="G13" s="0" t="s">
        <v>325</v>
      </c>
      <c r="H13" s="0" t="n">
        <f aca="false">ROUNDUP(F13/Inputs!$B$11,0)</f>
        <v>69</v>
      </c>
      <c r="I13" s="0" t="s">
        <v>342</v>
      </c>
    </row>
    <row r="14" customFormat="false" ht="15" hidden="false" customHeight="false" outlineLevel="0" collapsed="false">
      <c r="A14" s="0" t="s">
        <v>343</v>
      </c>
      <c r="B14" s="0" t="s">
        <v>324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344</v>
      </c>
      <c r="H14" s="0" t="n">
        <f aca="false">ROUNDUP(F14/Inputs!$B$16,0)</f>
        <v>208</v>
      </c>
      <c r="I14" s="0" t="s">
        <v>345</v>
      </c>
    </row>
    <row r="15" customFormat="false" ht="15" hidden="false" customHeight="false" outlineLevel="0" collapsed="false">
      <c r="A15" s="0" t="s">
        <v>346</v>
      </c>
      <c r="B15" s="0" t="s">
        <v>324</v>
      </c>
      <c r="C15" s="0" t="n">
        <v>182.79</v>
      </c>
      <c r="D15" s="0" t="n">
        <f aca="false">Inputs!$B$5</f>
        <v>0.15</v>
      </c>
      <c r="E15" s="0" t="n">
        <f aca="false">C15*D15</f>
        <v>27.4185</v>
      </c>
      <c r="F15" s="0" t="n">
        <f aca="false">C15+E15</f>
        <v>210.2085</v>
      </c>
      <c r="G15" s="0" t="s">
        <v>347</v>
      </c>
      <c r="H15" s="0" t="n">
        <f aca="false">ROUNDUP(F15/Inputs!$B$17,0)</f>
        <v>18</v>
      </c>
      <c r="I15" s="0" t="s">
        <v>348</v>
      </c>
    </row>
    <row r="16" customFormat="false" ht="15" hidden="false" customHeight="false" outlineLevel="0" collapsed="false">
      <c r="A16" s="0" t="s">
        <v>349</v>
      </c>
      <c r="B16" s="0" t="s">
        <v>324</v>
      </c>
      <c r="C16" s="0" t="n">
        <v>146.92</v>
      </c>
      <c r="D16" s="0" t="n">
        <f aca="false">Inputs!$B$5</f>
        <v>0.15</v>
      </c>
      <c r="E16" s="0" t="n">
        <f aca="false">C16*D16</f>
        <v>22.038</v>
      </c>
      <c r="F16" s="0" t="n">
        <f aca="false">C16+E16</f>
        <v>168.958</v>
      </c>
      <c r="G16" s="0" t="s">
        <v>344</v>
      </c>
      <c r="H16" s="0" t="n">
        <f aca="false">ROUNDUP(F16/Inputs!$B$16,0)</f>
        <v>11</v>
      </c>
      <c r="I16" s="0" t="s">
        <v>350</v>
      </c>
    </row>
    <row r="17" customFormat="false" ht="15" hidden="false" customHeight="false" outlineLevel="0" collapsed="false">
      <c r="A17" s="0" t="s">
        <v>351</v>
      </c>
      <c r="B17" s="0" t="s">
        <v>324</v>
      </c>
      <c r="C17" s="0" t="n">
        <v>1438</v>
      </c>
      <c r="D17" s="0" t="n">
        <f aca="false">Inputs!$B$5</f>
        <v>0.15</v>
      </c>
      <c r="E17" s="0" t="n">
        <f aca="false">C17*D17</f>
        <v>215.7</v>
      </c>
      <c r="F17" s="0" t="n">
        <f aca="false">C17+E17</f>
        <v>1653.7</v>
      </c>
      <c r="G17" s="0" t="s">
        <v>33</v>
      </c>
      <c r="H17" s="0" t="n">
        <f aca="false">ROUNDUP(F17,0)</f>
        <v>1654</v>
      </c>
      <c r="I17" s="0" t="s">
        <v>352</v>
      </c>
    </row>
    <row r="18" customFormat="false" ht="15" hidden="false" customHeight="false" outlineLevel="0" collapsed="false">
      <c r="A18" s="0" t="s">
        <v>353</v>
      </c>
      <c r="B18" s="0" t="s">
        <v>324</v>
      </c>
      <c r="C18" s="0" t="n">
        <v>552.27</v>
      </c>
      <c r="D18" s="0" t="n">
        <f aca="false">Inputs!$B$5</f>
        <v>0.15</v>
      </c>
      <c r="E18" s="0" t="n">
        <f aca="false">C18*D18</f>
        <v>82.8405</v>
      </c>
      <c r="F18" s="0" t="n">
        <f aca="false">C18+E18</f>
        <v>635.1105</v>
      </c>
      <c r="G18" s="0" t="s">
        <v>354</v>
      </c>
      <c r="H18" s="0" t="n">
        <f aca="false">ROUNDUP(F18,0)</f>
        <v>636</v>
      </c>
      <c r="I18" s="0" t="s">
        <v>355</v>
      </c>
    </row>
    <row r="19" customFormat="false" ht="15" hidden="false" customHeight="false" outlineLevel="0" collapsed="false">
      <c r="A19" s="0" t="s">
        <v>356</v>
      </c>
      <c r="B19" s="0" t="s">
        <v>357</v>
      </c>
      <c r="C19" s="0" t="n">
        <v>14902.61</v>
      </c>
      <c r="D19" s="0" t="n">
        <f aca="false">Inputs!$B$6</f>
        <v>0.06</v>
      </c>
      <c r="E19" s="0" t="n">
        <f aca="false">C19*D19</f>
        <v>894.1566</v>
      </c>
      <c r="F19" s="0" t="n">
        <f aca="false">C19+E19</f>
        <v>15796.7666</v>
      </c>
      <c r="G19" s="0" t="s">
        <v>358</v>
      </c>
      <c r="H19" s="0" t="n">
        <f aca="false">ROUNDUP(F19/Inputs!$B$9,0)</f>
        <v>330</v>
      </c>
      <c r="I19" s="0" t="s">
        <v>359</v>
      </c>
    </row>
    <row r="20" customFormat="false" ht="15" hidden="false" customHeight="false" outlineLevel="0" collapsed="false">
      <c r="A20" s="0" t="s">
        <v>360</v>
      </c>
      <c r="B20" s="0" t="s">
        <v>357</v>
      </c>
      <c r="C20" s="0" t="n">
        <v>1713</v>
      </c>
      <c r="D20" s="0" t="n">
        <f aca="false">Inputs!$B$6</f>
        <v>0.06</v>
      </c>
      <c r="E20" s="0" t="n">
        <f aca="false">C20*D20</f>
        <v>102.78</v>
      </c>
      <c r="F20" s="0" t="n">
        <f aca="false">C20+E20</f>
        <v>1815.78</v>
      </c>
      <c r="G20" s="0" t="s">
        <v>358</v>
      </c>
      <c r="H20" s="0" t="n">
        <f aca="false">ROUNDUP(F20/Inputs!$B$9,0)</f>
        <v>38</v>
      </c>
      <c r="I20" s="0" t="s">
        <v>361</v>
      </c>
    </row>
    <row r="21" customFormat="false" ht="15" hidden="false" customHeight="false" outlineLevel="0" collapsed="false">
      <c r="A21" s="0" t="s">
        <v>362</v>
      </c>
      <c r="B21" s="0" t="s">
        <v>324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335</v>
      </c>
      <c r="H21" s="0" t="n">
        <f aca="false">ROUNDUP(F21/Inputs!$B$10,0)</f>
        <v>6</v>
      </c>
      <c r="I21" s="0" t="s">
        <v>363</v>
      </c>
    </row>
    <row r="22" customFormat="false" ht="15" hidden="false" customHeight="false" outlineLevel="0" collapsed="false">
      <c r="A22" s="0" t="s">
        <v>364</v>
      </c>
      <c r="B22" s="0" t="s">
        <v>324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354</v>
      </c>
      <c r="H22" s="0" t="n">
        <f aca="false">ROUNDUP(F22,0)</f>
        <v>224</v>
      </c>
      <c r="I22" s="0" t="s">
        <v>365</v>
      </c>
    </row>
    <row r="23" customFormat="false" ht="15" hidden="false" customHeight="false" outlineLevel="0" collapsed="false">
      <c r="A23" s="0" t="s">
        <v>366</v>
      </c>
      <c r="B23" s="0" t="s">
        <v>324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354</v>
      </c>
      <c r="H23" s="0" t="n">
        <f aca="false">ROUNDUP(F23,0)</f>
        <v>527</v>
      </c>
      <c r="I23" s="0" t="s">
        <v>365</v>
      </c>
    </row>
    <row r="24" customFormat="false" ht="15" hidden="false" customHeight="false" outlineLevel="0" collapsed="false">
      <c r="A24" s="0" t="s">
        <v>367</v>
      </c>
      <c r="B24" s="0" t="s">
        <v>324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354</v>
      </c>
      <c r="H24" s="0" t="n">
        <f aca="false">ROUNDUP(F24,0)</f>
        <v>124</v>
      </c>
      <c r="I24" s="0" t="s">
        <v>365</v>
      </c>
    </row>
    <row r="25" customFormat="false" ht="15" hidden="false" customHeight="false" outlineLevel="0" collapsed="false">
      <c r="A25" s="0" t="s">
        <v>368</v>
      </c>
      <c r="B25" s="0" t="s">
        <v>324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354</v>
      </c>
      <c r="H25" s="0" t="n">
        <f aca="false">ROUNDUP(F25,0)</f>
        <v>124</v>
      </c>
      <c r="I25" s="0" t="s">
        <v>365</v>
      </c>
    </row>
    <row r="26" customFormat="false" ht="15" hidden="false" customHeight="false" outlineLevel="0" collapsed="false">
      <c r="A26" s="0" t="s">
        <v>369</v>
      </c>
      <c r="B26" s="0" t="s">
        <v>324</v>
      </c>
      <c r="C26" s="0" t="n">
        <v>891.72</v>
      </c>
      <c r="D26" s="0" t="n">
        <f aca="false">Inputs!$B$5</f>
        <v>0.15</v>
      </c>
      <c r="E26" s="0" t="n">
        <f aca="false">C26*D26</f>
        <v>133.758</v>
      </c>
      <c r="F26" s="0" t="n">
        <f aca="false">C26+E26</f>
        <v>1025.478</v>
      </c>
      <c r="G26" s="0" t="s">
        <v>370</v>
      </c>
      <c r="H26" s="0" t="n">
        <f aca="false">ROUNDUP(F26/Inputs!$B$18,0)</f>
        <v>103</v>
      </c>
      <c r="I26" s="0" t="s">
        <v>371</v>
      </c>
    </row>
    <row r="27" customFormat="false" ht="15" hidden="false" customHeight="false" outlineLevel="0" collapsed="false">
      <c r="A27" s="0" t="s">
        <v>372</v>
      </c>
      <c r="B27" s="0" t="s">
        <v>357</v>
      </c>
      <c r="C27" s="0" t="n">
        <v>851.4</v>
      </c>
      <c r="D27" s="0" t="n">
        <f aca="false">Inputs!$B$6</f>
        <v>0.06</v>
      </c>
      <c r="E27" s="0" t="n">
        <f aca="false">C27*D27</f>
        <v>51.084</v>
      </c>
      <c r="F27" s="0" t="n">
        <f aca="false">C27+E27</f>
        <v>902.484</v>
      </c>
      <c r="G27" s="0" t="s">
        <v>358</v>
      </c>
      <c r="H27" s="0" t="n">
        <f aca="false">ROUNDUP(F27/Inputs!$B$9,0)</f>
        <v>19</v>
      </c>
      <c r="I27" s="0" t="s">
        <v>373</v>
      </c>
    </row>
    <row r="28" customFormat="false" ht="15" hidden="false" customHeight="false" outlineLevel="0" collapsed="false">
      <c r="A28" s="0" t="s">
        <v>374</v>
      </c>
      <c r="B28" s="0" t="s">
        <v>324</v>
      </c>
      <c r="C28" s="0" t="n">
        <v>61.31</v>
      </c>
      <c r="D28" s="0" t="n">
        <f aca="false">Inputs!$B$5</f>
        <v>0.15</v>
      </c>
      <c r="E28" s="0" t="n">
        <f aca="false">C28*D28</f>
        <v>9.1965</v>
      </c>
      <c r="F28" s="0" t="n">
        <f aca="false">C28+E28</f>
        <v>70.5065</v>
      </c>
      <c r="G28" s="0" t="s">
        <v>335</v>
      </c>
      <c r="H28" s="0" t="n">
        <f aca="false">ROUNDUP(F28/Inputs!$B$10,0)</f>
        <v>4</v>
      </c>
      <c r="I28" s="0" t="s">
        <v>375</v>
      </c>
    </row>
    <row r="29" customFormat="false" ht="15" hidden="false" customHeight="false" outlineLevel="0" collapsed="false">
      <c r="A29" s="0" t="s">
        <v>376</v>
      </c>
      <c r="B29" s="0" t="s">
        <v>357</v>
      </c>
      <c r="C29" s="0" t="n">
        <v>2838.21</v>
      </c>
      <c r="D29" s="0" t="n">
        <f aca="false">Inputs!$B$6</f>
        <v>0.06</v>
      </c>
      <c r="E29" s="0" t="n">
        <f aca="false">C29*D29</f>
        <v>170.2926</v>
      </c>
      <c r="F29" s="0" t="n">
        <f aca="false">C29+E29</f>
        <v>3008.5026</v>
      </c>
      <c r="G29" s="0" t="s">
        <v>358</v>
      </c>
      <c r="H29" s="0" t="n">
        <f aca="false">ROUNDUP(F29/Inputs!$B$9,0)</f>
        <v>63</v>
      </c>
      <c r="I29" s="0" t="s">
        <v>377</v>
      </c>
    </row>
    <row r="30" customFormat="false" ht="15" hidden="false" customHeight="false" outlineLevel="0" collapsed="false">
      <c r="A30" s="0" t="s">
        <v>378</v>
      </c>
      <c r="B30" s="0" t="s">
        <v>357</v>
      </c>
      <c r="C30" s="0" t="n">
        <v>370.46</v>
      </c>
      <c r="D30" s="0" t="n">
        <f aca="false">Inputs!$B$6</f>
        <v>0.06</v>
      </c>
      <c r="E30" s="0" t="n">
        <f aca="false">C30*D30</f>
        <v>22.2276</v>
      </c>
      <c r="F30" s="0" t="n">
        <f aca="false">C30+E30</f>
        <v>392.6876</v>
      </c>
      <c r="G30" s="0" t="s">
        <v>358</v>
      </c>
      <c r="H30" s="0" t="n">
        <f aca="false">ROUNDUP(F30/Inputs!$B$9,0)</f>
        <v>9</v>
      </c>
      <c r="I30" s="0" t="s">
        <v>379</v>
      </c>
    </row>
    <row r="31" customFormat="false" ht="15" hidden="false" customHeight="false" outlineLevel="0" collapsed="false">
      <c r="A31" s="0" t="s">
        <v>380</v>
      </c>
      <c r="B31" s="0" t="s">
        <v>381</v>
      </c>
      <c r="C31" s="0" t="n">
        <v>103</v>
      </c>
      <c r="D31" s="0" t="n">
        <v>0</v>
      </c>
      <c r="E31" s="0" t="n">
        <f aca="false">C31*D31</f>
        <v>0</v>
      </c>
      <c r="F31" s="0" t="n">
        <f aca="false">C31+E31</f>
        <v>103</v>
      </c>
      <c r="H31" s="0" t="n">
        <f aca="false">ROUNDUP(F31,0)</f>
        <v>103</v>
      </c>
      <c r="I31" s="0" t="s">
        <v>382</v>
      </c>
    </row>
    <row r="32" customFormat="false" ht="15" hidden="false" customHeight="false" outlineLevel="0" collapsed="false">
      <c r="A32" s="0" t="s">
        <v>383</v>
      </c>
      <c r="B32" s="0" t="s">
        <v>324</v>
      </c>
      <c r="C32" s="0" t="n">
        <v>10.67</v>
      </c>
      <c r="D32" s="0" t="n">
        <f aca="false">Inputs!$B$5</f>
        <v>0.15</v>
      </c>
      <c r="E32" s="0" t="n">
        <f aca="false">C32*D32</f>
        <v>1.6005</v>
      </c>
      <c r="F32" s="0" t="n">
        <f aca="false">C32+E32</f>
        <v>12.2705</v>
      </c>
      <c r="G32" s="0" t="s">
        <v>325</v>
      </c>
      <c r="H32" s="0" t="n">
        <f aca="false">ROUNDUP(F32/Inputs!$B$11,0)</f>
        <v>2</v>
      </c>
      <c r="I32" s="0" t="s">
        <v>384</v>
      </c>
    </row>
    <row r="33" customFormat="false" ht="15" hidden="false" customHeight="false" outlineLevel="0" collapsed="false">
      <c r="A33" s="0" t="s">
        <v>385</v>
      </c>
      <c r="B33" s="0" t="s">
        <v>381</v>
      </c>
      <c r="C33" s="0" t="n">
        <v>0</v>
      </c>
      <c r="D33" s="0" t="n">
        <v>0</v>
      </c>
      <c r="E33" s="0" t="n">
        <f aca="false">C33*D33</f>
        <v>0</v>
      </c>
      <c r="F33" s="0" t="n">
        <f aca="false">C33+E33</f>
        <v>0</v>
      </c>
      <c r="G33" s="0" t="s">
        <v>386</v>
      </c>
      <c r="H33" s="0" t="n">
        <f aca="false">ROUNDUP(F33,0)</f>
        <v>0</v>
      </c>
      <c r="I33" s="0" t="s">
        <v>387</v>
      </c>
    </row>
    <row r="34" customFormat="false" ht="15" hidden="false" customHeight="false" outlineLevel="0" collapsed="false">
      <c r="A34" s="0" t="s">
        <v>388</v>
      </c>
      <c r="B34" s="0" t="s">
        <v>324</v>
      </c>
      <c r="C34" s="0" t="n">
        <v>0</v>
      </c>
      <c r="D34" s="0" t="n">
        <f aca="false">Inputs!$B$5</f>
        <v>0.15</v>
      </c>
      <c r="E34" s="0" t="n">
        <f aca="false">C34*D34</f>
        <v>0</v>
      </c>
      <c r="F34" s="0" t="n">
        <f aca="false">C34+E34</f>
        <v>0</v>
      </c>
      <c r="G34" s="0" t="s">
        <v>335</v>
      </c>
      <c r="H34" s="0" t="n">
        <f aca="false">ROUNDUP(F34/Inputs!$B$10,0)</f>
        <v>0</v>
      </c>
      <c r="I34" s="0" t="s">
        <v>389</v>
      </c>
    </row>
    <row r="35" customFormat="false" ht="15" hidden="false" customHeight="false" outlineLevel="0" collapsed="false">
      <c r="A35" s="0" t="s">
        <v>390</v>
      </c>
      <c r="B35" s="0" t="s">
        <v>324</v>
      </c>
      <c r="C35" s="0" t="n">
        <v>0</v>
      </c>
      <c r="D35" s="0" t="n">
        <f aca="false">Inputs!$B$5</f>
        <v>0.15</v>
      </c>
      <c r="E35" s="0" t="n">
        <f aca="false">C35*D35</f>
        <v>0</v>
      </c>
      <c r="F35" s="0" t="n">
        <f aca="false">C35+E35</f>
        <v>0</v>
      </c>
      <c r="G35" s="0" t="s">
        <v>335</v>
      </c>
      <c r="H35" s="0" t="n">
        <f aca="false">ROUNDUP(F35/Inputs!$B$10,0)</f>
        <v>0</v>
      </c>
      <c r="I35" s="0" t="s">
        <v>391</v>
      </c>
    </row>
    <row r="36" customFormat="false" ht="15" hidden="false" customHeight="false" outlineLevel="0" collapsed="false">
      <c r="A36" s="0" t="s">
        <v>392</v>
      </c>
      <c r="B36" s="0" t="s">
        <v>357</v>
      </c>
      <c r="C36" s="0" t="n">
        <v>0</v>
      </c>
      <c r="D36" s="0" t="n">
        <f aca="false">Inputs!$B$6</f>
        <v>0.06</v>
      </c>
      <c r="E36" s="0" t="n">
        <f aca="false">C36*D36</f>
        <v>0</v>
      </c>
      <c r="F36" s="0" t="n">
        <f aca="false">C36+E36</f>
        <v>0</v>
      </c>
      <c r="G36" s="0" t="s">
        <v>358</v>
      </c>
      <c r="H36" s="0" t="n">
        <f aca="false">ROUNDUP(F36/Inputs!$B$9,0)</f>
        <v>0</v>
      </c>
      <c r="I36" s="0" t="s">
        <v>393</v>
      </c>
    </row>
    <row r="37" customFormat="false" ht="15" hidden="false" customHeight="false" outlineLevel="0" collapsed="false">
      <c r="A37" s="0" t="s">
        <v>394</v>
      </c>
      <c r="B37" s="0" t="s">
        <v>324</v>
      </c>
      <c r="C37" s="0" t="n">
        <v>0</v>
      </c>
      <c r="D37" s="0" t="n">
        <f aca="false">Inputs!$B$6</f>
        <v>0.06</v>
      </c>
      <c r="E37" s="0" t="n">
        <f aca="false">C37*D37</f>
        <v>0</v>
      </c>
      <c r="F37" s="0" t="n">
        <f aca="false">C37+E37</f>
        <v>0</v>
      </c>
      <c r="G37" s="0" t="s">
        <v>370</v>
      </c>
      <c r="H37" s="0" t="n">
        <f aca="false">ROUNDUP(F37/Inputs!$B$18,0)</f>
        <v>0</v>
      </c>
      <c r="I37" s="0" t="s">
        <v>395</v>
      </c>
    </row>
    <row r="38" customFormat="false" ht="15" hidden="false" customHeight="false" outlineLevel="0" collapsed="false">
      <c r="A38" s="0" t="s">
        <v>396</v>
      </c>
      <c r="B38" s="0" t="s">
        <v>381</v>
      </c>
      <c r="C38" s="0" t="n">
        <v>0</v>
      </c>
      <c r="D38" s="0" t="n">
        <v>0</v>
      </c>
      <c r="E38" s="0" t="n">
        <f aca="false">C38*D38</f>
        <v>0</v>
      </c>
      <c r="F38" s="0" t="n">
        <f aca="false">C38+E38</f>
        <v>0</v>
      </c>
      <c r="G38" s="0" t="s">
        <v>386</v>
      </c>
      <c r="H38" s="0" t="n">
        <f aca="false">ROUNDUP(F38,0)</f>
        <v>0</v>
      </c>
      <c r="I38" s="0" t="s">
        <v>397</v>
      </c>
    </row>
    <row r="39" customFormat="false" ht="15" hidden="false" customHeight="false" outlineLevel="0" collapsed="false">
      <c r="A39" s="0" t="s">
        <v>398</v>
      </c>
      <c r="B39" s="0" t="s">
        <v>381</v>
      </c>
      <c r="C39" s="0" t="n">
        <v>0</v>
      </c>
      <c r="D39" s="0" t="n">
        <v>0</v>
      </c>
      <c r="E39" s="0" t="n">
        <f aca="false">C39*D39</f>
        <v>0</v>
      </c>
      <c r="F39" s="0" t="n">
        <f aca="false">C39+E39</f>
        <v>0</v>
      </c>
      <c r="G39" s="0" t="s">
        <v>386</v>
      </c>
      <c r="H39" s="0" t="n">
        <f aca="false">ROUNDUP(F39,0)</f>
        <v>0</v>
      </c>
      <c r="I39" s="0" t="s">
        <v>399</v>
      </c>
    </row>
    <row r="40" customFormat="false" ht="15" hidden="false" customHeight="false" outlineLevel="0" collapsed="false">
      <c r="A40" s="0" t="s">
        <v>400</v>
      </c>
      <c r="B40" s="0" t="s">
        <v>381</v>
      </c>
      <c r="C40" s="0" t="n">
        <v>19938.73</v>
      </c>
      <c r="D40" s="0" t="n">
        <v>0</v>
      </c>
      <c r="E40" s="0" t="n">
        <f aca="false">C40*D40</f>
        <v>0</v>
      </c>
      <c r="F40" s="0" t="n">
        <f aca="false">C40+E40</f>
        <v>19938.73</v>
      </c>
      <c r="G40" s="0" t="s">
        <v>386</v>
      </c>
      <c r="H40" s="0" t="n">
        <f aca="false">ROUNDUP(F40,0)</f>
        <v>19939</v>
      </c>
      <c r="I40" s="0" t="s">
        <v>401</v>
      </c>
      <c r="J40" s="0" t="n">
        <f aca="false">Inputs!$B$20*16615.6</f>
        <v>19938.72</v>
      </c>
    </row>
    <row r="41" customFormat="false" ht="15" hidden="false" customHeight="false" outlineLevel="0" collapsed="false">
      <c r="A41" s="0" t="s">
        <v>402</v>
      </c>
      <c r="B41" s="0" t="s">
        <v>381</v>
      </c>
      <c r="C41" s="0" t="n">
        <v>3124</v>
      </c>
      <c r="D41" s="0" t="n">
        <v>0</v>
      </c>
      <c r="E41" s="0" t="n">
        <f aca="false">C41*D41</f>
        <v>0</v>
      </c>
      <c r="F41" s="0" t="n">
        <f aca="false">C41+E41</f>
        <v>3124</v>
      </c>
      <c r="G41" s="0" t="s">
        <v>386</v>
      </c>
      <c r="H41" s="0" t="n">
        <f aca="false">ROUNDUP(F41,0)</f>
        <v>3124</v>
      </c>
      <c r="I41" s="0" t="s">
        <v>403</v>
      </c>
      <c r="J41" s="0" t="n">
        <f aca="false">Inputs!$B$21*781</f>
        <v>3124</v>
      </c>
    </row>
    <row r="42" customFormat="false" ht="15" hidden="false" customHeight="false" outlineLevel="0" collapsed="false">
      <c r="A42" s="0" t="s">
        <v>404</v>
      </c>
      <c r="B42" s="0" t="s">
        <v>381</v>
      </c>
      <c r="C42" s="0" t="n">
        <v>640.61</v>
      </c>
      <c r="D42" s="0" t="n">
        <v>0</v>
      </c>
      <c r="E42" s="0" t="n">
        <f aca="false">C42*D42</f>
        <v>0</v>
      </c>
      <c r="F42" s="0" t="n">
        <f aca="false">C42+E42</f>
        <v>640.61</v>
      </c>
      <c r="G42" s="0" t="s">
        <v>386</v>
      </c>
      <c r="H42" s="0" t="n">
        <f aca="false">ROUNDUP(F42,0)</f>
        <v>641</v>
      </c>
      <c r="I42" s="0" t="s">
        <v>405</v>
      </c>
      <c r="J42" s="0" t="n">
        <f aca="false">640.61/Inputs!$B$22</f>
        <v>640.61</v>
      </c>
    </row>
    <row r="43" customFormat="false" ht="15" hidden="false" customHeight="false" outlineLevel="0" collapsed="false">
      <c r="A43" s="0" t="s">
        <v>406</v>
      </c>
      <c r="B43" s="0" t="s">
        <v>381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386</v>
      </c>
      <c r="H43" s="0" t="n">
        <f aca="false">ROUNDUP(F43,0)</f>
        <v>0</v>
      </c>
      <c r="I43" s="0" t="s">
        <v>407</v>
      </c>
      <c r="J43" s="0" t="n">
        <f aca="false">0*Inputs!$B$25</f>
        <v>0</v>
      </c>
    </row>
    <row r="44" customFormat="false" ht="15" hidden="false" customHeight="false" outlineLevel="0" collapsed="false">
      <c r="A44" s="0" t="s">
        <v>408</v>
      </c>
      <c r="B44" s="0" t="s">
        <v>409</v>
      </c>
      <c r="C44" s="0" t="n">
        <v>1196.32</v>
      </c>
      <c r="D44" s="0" t="n">
        <v>0</v>
      </c>
      <c r="E44" s="0" t="n">
        <f aca="false">C44*D44</f>
        <v>0</v>
      </c>
      <c r="F44" s="0" t="n">
        <f aca="false">C44+E44</f>
        <v>1196.32</v>
      </c>
      <c r="G44" s="0" t="s">
        <v>410</v>
      </c>
      <c r="H44" s="0" t="n">
        <f aca="false">ROUNDUP(F44,0)</f>
        <v>1197</v>
      </c>
      <c r="I44" s="0" t="s">
        <v>411</v>
      </c>
      <c r="J44" s="0" t="n">
        <f aca="false">Inputs!$B$23*16615.6</f>
        <v>1196.3232</v>
      </c>
    </row>
    <row r="45" customFormat="false" ht="15" hidden="false" customHeight="false" outlineLevel="0" collapsed="false">
      <c r="A45" s="0" t="s">
        <v>412</v>
      </c>
      <c r="B45" s="0" t="s">
        <v>324</v>
      </c>
      <c r="C45" s="0" t="n">
        <v>6147.78</v>
      </c>
      <c r="D45" s="0" t="n">
        <v>0</v>
      </c>
      <c r="E45" s="0" t="n">
        <f aca="false">C45*D45</f>
        <v>0</v>
      </c>
      <c r="F45" s="0" t="n">
        <f aca="false">C45+E45</f>
        <v>6147.78</v>
      </c>
      <c r="G45" s="0" t="s">
        <v>324</v>
      </c>
      <c r="H45" s="0" t="n">
        <f aca="false">ROUNDUP(F45,0)</f>
        <v>6148</v>
      </c>
      <c r="I45" s="0" t="s">
        <v>413</v>
      </c>
      <c r="J45" s="0" t="n">
        <f aca="false">Inputs!$B$24*16615.6</f>
        <v>6147.772</v>
      </c>
    </row>
    <row r="46" customFormat="false" ht="15" hidden="false" customHeight="false" outlineLevel="0" collapsed="false">
      <c r="A46" s="0" t="s">
        <v>414</v>
      </c>
      <c r="B46" s="0" t="s">
        <v>357</v>
      </c>
      <c r="C46" s="0" t="n">
        <v>0</v>
      </c>
      <c r="D46" s="0" t="n">
        <f aca="false">Inputs!$B$6</f>
        <v>0.06</v>
      </c>
      <c r="E46" s="0" t="n">
        <f aca="false">C46*D46</f>
        <v>0</v>
      </c>
      <c r="F46" s="0" t="n">
        <f aca="false">C46+E46</f>
        <v>0</v>
      </c>
      <c r="G46" s="0" t="s">
        <v>357</v>
      </c>
      <c r="H46" s="0" t="n">
        <f aca="false">ROUNDUP(F46,0)</f>
        <v>0</v>
      </c>
      <c r="I46" s="0" t="s">
        <v>415</v>
      </c>
    </row>
    <row r="47" customFormat="false" ht="15" hidden="false" customHeight="false" outlineLevel="0" collapsed="false">
      <c r="A47" s="0" t="s">
        <v>416</v>
      </c>
      <c r="B47" s="0" t="s">
        <v>381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386</v>
      </c>
      <c r="H47" s="0" t="n">
        <f aca="false">ROUNDUP(F47,0)</f>
        <v>0</v>
      </c>
      <c r="I47" s="0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418</v>
      </c>
      <c r="B1" s="2" t="s">
        <v>419</v>
      </c>
      <c r="C1" s="2" t="s">
        <v>420</v>
      </c>
    </row>
    <row r="2" customFormat="false" ht="15" hidden="false" customHeight="false" outlineLevel="0" collapsed="false">
      <c r="A2" s="0" t="s">
        <v>421</v>
      </c>
      <c r="B2" s="0" t="s">
        <v>422</v>
      </c>
      <c r="C2" s="0" t="s">
        <v>423</v>
      </c>
    </row>
    <row r="3" customFormat="false" ht="15" hidden="false" customHeight="false" outlineLevel="0" collapsed="false">
      <c r="A3" s="0" t="s">
        <v>424</v>
      </c>
      <c r="B3" s="0" t="s">
        <v>425</v>
      </c>
      <c r="C3" s="0" t="s">
        <v>426</v>
      </c>
    </row>
    <row r="4" customFormat="false" ht="15" hidden="false" customHeight="false" outlineLevel="0" collapsed="false">
      <c r="A4" s="0" t="s">
        <v>427</v>
      </c>
      <c r="B4" s="0" t="s">
        <v>428</v>
      </c>
      <c r="C4" s="0" t="s">
        <v>429</v>
      </c>
    </row>
    <row r="5" customFormat="false" ht="15" hidden="false" customHeight="false" outlineLevel="0" collapsed="false">
      <c r="A5" s="0" t="s">
        <v>430</v>
      </c>
      <c r="B5" s="0" t="s">
        <v>431</v>
      </c>
      <c r="C5" s="0" t="s">
        <v>432</v>
      </c>
    </row>
    <row r="6" customFormat="false" ht="15" hidden="false" customHeight="false" outlineLevel="0" collapsed="false">
      <c r="A6" s="0" t="s">
        <v>433</v>
      </c>
      <c r="B6" s="0" t="s">
        <v>434</v>
      </c>
      <c r="C6" s="0" t="s">
        <v>435</v>
      </c>
    </row>
    <row r="7" customFormat="false" ht="15" hidden="false" customHeight="false" outlineLevel="0" collapsed="false">
      <c r="A7" s="0" t="s">
        <v>436</v>
      </c>
      <c r="B7" s="0" t="s">
        <v>437</v>
      </c>
      <c r="C7" s="0" t="s">
        <v>438</v>
      </c>
    </row>
    <row r="8" customFormat="false" ht="15" hidden="false" customHeight="false" outlineLevel="0" collapsed="false">
      <c r="A8" s="0" t="s">
        <v>439</v>
      </c>
      <c r="B8" s="0" t="s">
        <v>440</v>
      </c>
      <c r="C8" s="0" t="s">
        <v>441</v>
      </c>
    </row>
    <row r="9" customFormat="false" ht="15" hidden="false" customHeight="false" outlineLevel="0" collapsed="false">
      <c r="A9" s="0" t="s">
        <v>442</v>
      </c>
      <c r="B9" s="0" t="s">
        <v>443</v>
      </c>
      <c r="C9" s="0" t="s">
        <v>444</v>
      </c>
    </row>
    <row r="10" customFormat="false" ht="15" hidden="false" customHeight="false" outlineLevel="0" collapsed="false">
      <c r="A10" s="0" t="s">
        <v>445</v>
      </c>
      <c r="B10" s="0" t="s">
        <v>446</v>
      </c>
      <c r="C10" s="0" t="s">
        <v>432</v>
      </c>
    </row>
    <row r="11" customFormat="false" ht="15" hidden="false" customHeight="false" outlineLevel="0" collapsed="false">
      <c r="A11" s="0" t="s">
        <v>447</v>
      </c>
      <c r="B11" s="0" t="s">
        <v>448</v>
      </c>
      <c r="C11" s="0" t="s">
        <v>449</v>
      </c>
    </row>
    <row r="12" customFormat="false" ht="15" hidden="false" customHeight="false" outlineLevel="0" collapsed="false">
      <c r="A12" s="0" t="s">
        <v>450</v>
      </c>
      <c r="B12" s="0" t="s">
        <v>451</v>
      </c>
      <c r="C12" s="0" t="s">
        <v>452</v>
      </c>
    </row>
    <row r="13" customFormat="false" ht="15" hidden="false" customHeight="false" outlineLevel="0" collapsed="false">
      <c r="A13" s="0" t="s">
        <v>453</v>
      </c>
      <c r="B13" s="0" t="s">
        <v>454</v>
      </c>
      <c r="C13" s="0" t="s">
        <v>432</v>
      </c>
    </row>
    <row r="14" customFormat="false" ht="15" hidden="false" customHeight="false" outlineLevel="0" collapsed="false">
      <c r="A14" s="0" t="s">
        <v>455</v>
      </c>
      <c r="B14" s="0" t="s">
        <v>456</v>
      </c>
      <c r="C14" s="0" t="s">
        <v>457</v>
      </c>
    </row>
    <row r="15" customFormat="false" ht="15" hidden="false" customHeight="false" outlineLevel="0" collapsed="false">
      <c r="A15" s="0" t="s">
        <v>458</v>
      </c>
      <c r="B15" s="0" t="s">
        <v>459</v>
      </c>
      <c r="C15" s="0" t="s">
        <v>460</v>
      </c>
    </row>
    <row r="16" customFormat="false" ht="15" hidden="false" customHeight="false" outlineLevel="0" collapsed="false">
      <c r="A16" s="0" t="s">
        <v>461</v>
      </c>
      <c r="B16" s="0" t="s">
        <v>462</v>
      </c>
      <c r="C16" s="0" t="s">
        <v>463</v>
      </c>
    </row>
    <row r="17" customFormat="false" ht="15" hidden="false" customHeight="false" outlineLevel="0" collapsed="false">
      <c r="A17" s="0" t="s">
        <v>464</v>
      </c>
      <c r="B17" s="0" t="s">
        <v>465</v>
      </c>
      <c r="C17" s="0" t="s">
        <v>466</v>
      </c>
    </row>
    <row r="18" customFormat="false" ht="15" hidden="false" customHeight="false" outlineLevel="0" collapsed="false">
      <c r="A18" s="0" t="s">
        <v>467</v>
      </c>
      <c r="B18" s="0" t="s">
        <v>468</v>
      </c>
      <c r="C18" s="0" t="s">
        <v>469</v>
      </c>
    </row>
    <row r="19" customFormat="false" ht="15" hidden="false" customHeight="false" outlineLevel="0" collapsed="false">
      <c r="A19" s="0" t="s">
        <v>470</v>
      </c>
      <c r="B19" s="0" t="s">
        <v>471</v>
      </c>
      <c r="C19" s="0" t="s">
        <v>472</v>
      </c>
    </row>
    <row r="20" customFormat="false" ht="15" hidden="false" customHeight="false" outlineLevel="0" collapsed="false">
      <c r="A20" s="0" t="s">
        <v>473</v>
      </c>
      <c r="B20" s="0" t="s">
        <v>474</v>
      </c>
      <c r="C20" s="0" t="s">
        <v>475</v>
      </c>
    </row>
    <row r="21" customFormat="false" ht="15" hidden="false" customHeight="false" outlineLevel="0" collapsed="false">
      <c r="A21" s="0" t="s">
        <v>476</v>
      </c>
      <c r="B21" s="0" t="s">
        <v>477</v>
      </c>
      <c r="C21" s="0" t="s">
        <v>478</v>
      </c>
    </row>
    <row r="22" customFormat="false" ht="15" hidden="false" customHeight="false" outlineLevel="0" collapsed="false">
      <c r="A22" s="0" t="s">
        <v>479</v>
      </c>
      <c r="B22" s="0" t="s">
        <v>480</v>
      </c>
      <c r="C22" s="0" t="s">
        <v>432</v>
      </c>
    </row>
    <row r="23" customFormat="false" ht="15" hidden="false" customHeight="false" outlineLevel="0" collapsed="false">
      <c r="A23" s="0" t="s">
        <v>481</v>
      </c>
      <c r="B23" s="0" t="s">
        <v>482</v>
      </c>
      <c r="C23" s="0" t="s">
        <v>483</v>
      </c>
    </row>
    <row r="24" customFormat="false" ht="15" hidden="false" customHeight="false" outlineLevel="0" collapsed="false">
      <c r="A24" s="0" t="s">
        <v>484</v>
      </c>
      <c r="B24" s="0" t="s">
        <v>485</v>
      </c>
      <c r="C24" s="0" t="s">
        <v>486</v>
      </c>
    </row>
    <row r="25" customFormat="false" ht="15" hidden="false" customHeight="false" outlineLevel="0" collapsed="false">
      <c r="A25" s="0" t="s">
        <v>487</v>
      </c>
      <c r="B25" s="0" t="s">
        <v>488</v>
      </c>
      <c r="C25" s="0" t="s">
        <v>489</v>
      </c>
    </row>
    <row r="26" customFormat="false" ht="15" hidden="false" customHeight="false" outlineLevel="0" collapsed="false">
      <c r="A26" s="0" t="s">
        <v>490</v>
      </c>
      <c r="B26" s="0" t="s">
        <v>491</v>
      </c>
      <c r="C26" s="0" t="s">
        <v>492</v>
      </c>
    </row>
    <row r="27" customFormat="false" ht="15" hidden="false" customHeight="false" outlineLevel="0" collapsed="false">
      <c r="A27" s="0" t="s">
        <v>493</v>
      </c>
      <c r="B27" s="0" t="s">
        <v>494</v>
      </c>
      <c r="C27" s="0" t="s">
        <v>495</v>
      </c>
    </row>
    <row r="28" customFormat="false" ht="15" hidden="false" customHeight="false" outlineLevel="0" collapsed="false">
      <c r="A28" s="0" t="s">
        <v>496</v>
      </c>
      <c r="B28" s="0" t="s">
        <v>497</v>
      </c>
      <c r="C28" s="0" t="s">
        <v>498</v>
      </c>
    </row>
    <row r="29" customFormat="false" ht="15" hidden="false" customHeight="false" outlineLevel="0" collapsed="false">
      <c r="A29" s="0" t="s">
        <v>499</v>
      </c>
      <c r="B29" s="0" t="s">
        <v>500</v>
      </c>
      <c r="C29" s="0" t="s">
        <v>432</v>
      </c>
    </row>
    <row r="30" customFormat="false" ht="15" hidden="false" customHeight="false" outlineLevel="0" collapsed="false">
      <c r="A30" s="0" t="s">
        <v>501</v>
      </c>
      <c r="B30" s="0" t="s">
        <v>502</v>
      </c>
      <c r="C30" s="0" t="s">
        <v>503</v>
      </c>
    </row>
    <row r="31" customFormat="false" ht="15" hidden="false" customHeight="false" outlineLevel="0" collapsed="false">
      <c r="A31" s="0" t="s">
        <v>504</v>
      </c>
      <c r="B31" s="0" t="s">
        <v>505</v>
      </c>
      <c r="C31" s="0" t="s">
        <v>506</v>
      </c>
    </row>
    <row r="32" customFormat="false" ht="15" hidden="false" customHeight="false" outlineLevel="0" collapsed="false">
      <c r="A32" s="0" t="s">
        <v>507</v>
      </c>
      <c r="B32" s="0" t="s">
        <v>508</v>
      </c>
      <c r="C32" s="0" t="s">
        <v>509</v>
      </c>
    </row>
    <row r="33" customFormat="false" ht="15" hidden="false" customHeight="false" outlineLevel="0" collapsed="false">
      <c r="A33" s="0" t="s">
        <v>510</v>
      </c>
      <c r="B33" s="0" t="s">
        <v>511</v>
      </c>
      <c r="C33" s="0" t="s">
        <v>512</v>
      </c>
    </row>
    <row r="34" customFormat="false" ht="15" hidden="false" customHeight="false" outlineLevel="0" collapsed="false">
      <c r="A34" s="0" t="s">
        <v>513</v>
      </c>
      <c r="B34" s="0" t="s">
        <v>514</v>
      </c>
      <c r="C34" s="0" t="s">
        <v>515</v>
      </c>
    </row>
    <row r="35" customFormat="false" ht="15" hidden="false" customHeight="false" outlineLevel="0" collapsed="false">
      <c r="A35" s="0" t="s">
        <v>516</v>
      </c>
      <c r="B35" s="0" t="s">
        <v>517</v>
      </c>
      <c r="C35" s="0" t="s">
        <v>518</v>
      </c>
    </row>
    <row r="36" customFormat="false" ht="15" hidden="false" customHeight="false" outlineLevel="0" collapsed="false">
      <c r="A36" s="0" t="s">
        <v>519</v>
      </c>
      <c r="B36" s="0" t="s">
        <v>520</v>
      </c>
      <c r="C36" s="0" t="s">
        <v>521</v>
      </c>
    </row>
    <row r="37" customFormat="false" ht="15" hidden="false" customHeight="false" outlineLevel="0" collapsed="false">
      <c r="A37" s="0" t="s">
        <v>522</v>
      </c>
      <c r="B37" s="0" t="s">
        <v>523</v>
      </c>
      <c r="C37" s="0" t="s">
        <v>524</v>
      </c>
    </row>
    <row r="38" customFormat="false" ht="15" hidden="false" customHeight="false" outlineLevel="0" collapsed="false">
      <c r="A38" s="0" t="s">
        <v>525</v>
      </c>
      <c r="B38" s="0" t="s">
        <v>526</v>
      </c>
      <c r="C38" s="0" t="s">
        <v>527</v>
      </c>
    </row>
    <row r="39" customFormat="false" ht="15" hidden="false" customHeight="false" outlineLevel="0" collapsed="false">
      <c r="A39" s="0" t="s">
        <v>528</v>
      </c>
      <c r="B39" s="0" t="s">
        <v>529</v>
      </c>
      <c r="C39" s="0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531</v>
      </c>
    </row>
    <row r="2" customFormat="false" ht="15" hidden="false" customHeight="false" outlineLevel="0" collapsed="false">
      <c r="A2" s="0" t="s">
        <v>532</v>
      </c>
      <c r="B2" s="0" t="s">
        <v>533</v>
      </c>
      <c r="C2" s="0" t="s">
        <v>534</v>
      </c>
      <c r="D2" s="0" t="s">
        <v>535</v>
      </c>
      <c r="E2" s="0" t="s">
        <v>536</v>
      </c>
      <c r="F2" s="0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538</v>
      </c>
      <c r="B1" s="0" t="s">
        <v>539</v>
      </c>
      <c r="C1" s="0" t="s">
        <v>59</v>
      </c>
      <c r="D1" s="0" t="s">
        <v>540</v>
      </c>
    </row>
    <row r="2" customFormat="false" ht="15" hidden="false" customHeight="false" outlineLevel="0" collapsed="false">
      <c r="A2" s="0" t="s">
        <v>541</v>
      </c>
      <c r="B2" s="0" t="s">
        <v>542</v>
      </c>
      <c r="C2" s="0" t="s">
        <v>543</v>
      </c>
      <c r="D2" s="0" t="s">
        <v>544</v>
      </c>
    </row>
    <row r="3" customFormat="false" ht="15" hidden="false" customHeight="false" outlineLevel="0" collapsed="false">
      <c r="A3" s="0" t="s">
        <v>545</v>
      </c>
      <c r="B3" s="0" t="s">
        <v>546</v>
      </c>
      <c r="C3" s="0" t="s">
        <v>547</v>
      </c>
      <c r="D3" s="0" t="s">
        <v>548</v>
      </c>
    </row>
    <row r="4" customFormat="false" ht="15" hidden="false" customHeight="false" outlineLevel="0" collapsed="false">
      <c r="A4" s="0" t="s">
        <v>549</v>
      </c>
      <c r="B4" s="0" t="s">
        <v>550</v>
      </c>
      <c r="C4" s="0" t="s">
        <v>547</v>
      </c>
      <c r="D4" s="0" t="s">
        <v>551</v>
      </c>
    </row>
    <row r="5" customFormat="false" ht="15" hidden="false" customHeight="false" outlineLevel="0" collapsed="false">
      <c r="A5" s="0" t="s">
        <v>552</v>
      </c>
      <c r="B5" s="0" t="s">
        <v>553</v>
      </c>
      <c r="C5" s="0" t="s">
        <v>543</v>
      </c>
      <c r="D5" s="0" t="s">
        <v>554</v>
      </c>
    </row>
    <row r="6" customFormat="false" ht="15" hidden="false" customHeight="false" outlineLevel="0" collapsed="false">
      <c r="A6" s="0" t="s">
        <v>555</v>
      </c>
      <c r="B6" s="0" t="s">
        <v>556</v>
      </c>
      <c r="C6" s="0" t="s">
        <v>418</v>
      </c>
      <c r="D6" s="0" t="s">
        <v>557</v>
      </c>
    </row>
    <row r="7" customFormat="false" ht="15" hidden="false" customHeight="false" outlineLevel="0" collapsed="false">
      <c r="A7" s="0" t="s">
        <v>558</v>
      </c>
      <c r="B7" s="0" t="s">
        <v>559</v>
      </c>
      <c r="C7" s="0" t="s">
        <v>543</v>
      </c>
      <c r="D7" s="0" t="s">
        <v>560</v>
      </c>
    </row>
    <row r="8" customFormat="false" ht="15" hidden="false" customHeight="false" outlineLevel="0" collapsed="false">
      <c r="A8" s="0" t="s">
        <v>561</v>
      </c>
      <c r="B8" s="0" t="s">
        <v>562</v>
      </c>
      <c r="C8" s="0" t="s">
        <v>543</v>
      </c>
      <c r="D8" s="0" t="s">
        <v>563</v>
      </c>
    </row>
    <row r="9" customFormat="false" ht="15" hidden="false" customHeight="false" outlineLevel="0" collapsed="false">
      <c r="A9" s="0" t="s">
        <v>564</v>
      </c>
      <c r="B9" s="0" t="s">
        <v>565</v>
      </c>
      <c r="C9" s="0" t="s">
        <v>543</v>
      </c>
      <c r="D9" s="0" t="s">
        <v>566</v>
      </c>
    </row>
    <row r="10" customFormat="false" ht="15" hidden="false" customHeight="false" outlineLevel="0" collapsed="false">
      <c r="A10" s="0" t="s">
        <v>567</v>
      </c>
      <c r="B10" s="0" t="s">
        <v>568</v>
      </c>
      <c r="C10" s="0" t="s">
        <v>547</v>
      </c>
      <c r="D10" s="0" t="s">
        <v>569</v>
      </c>
    </row>
    <row r="11" customFormat="false" ht="15" hidden="false" customHeight="false" outlineLevel="0" collapsed="false">
      <c r="A11" s="0" t="s">
        <v>570</v>
      </c>
      <c r="B11" s="0" t="s">
        <v>571</v>
      </c>
      <c r="C11" s="0" t="s">
        <v>543</v>
      </c>
      <c r="D11" s="0" t="s">
        <v>572</v>
      </c>
    </row>
    <row r="12" customFormat="false" ht="15" hidden="false" customHeight="false" outlineLevel="0" collapsed="false">
      <c r="A12" s="0" t="s">
        <v>573</v>
      </c>
      <c r="B12" s="0" t="s">
        <v>574</v>
      </c>
      <c r="C12" s="0" t="s">
        <v>543</v>
      </c>
      <c r="D12" s="0" t="s">
        <v>575</v>
      </c>
    </row>
    <row r="13" customFormat="false" ht="15" hidden="false" customHeight="false" outlineLevel="0" collapsed="false">
      <c r="A13" s="0" t="s">
        <v>576</v>
      </c>
      <c r="B13" s="0" t="s">
        <v>577</v>
      </c>
      <c r="C13" s="0" t="s">
        <v>543</v>
      </c>
      <c r="D13" s="0" t="s">
        <v>578</v>
      </c>
    </row>
    <row r="14" customFormat="false" ht="15" hidden="false" customHeight="false" outlineLevel="0" collapsed="false">
      <c r="A14" s="0" t="s">
        <v>579</v>
      </c>
      <c r="B14" s="0" t="s">
        <v>580</v>
      </c>
      <c r="C14" s="0" t="s">
        <v>543</v>
      </c>
      <c r="D14" s="0" t="s">
        <v>581</v>
      </c>
    </row>
    <row r="15" customFormat="false" ht="15" hidden="false" customHeight="false" outlineLevel="0" collapsed="false">
      <c r="A15" s="0" t="s">
        <v>582</v>
      </c>
      <c r="B15" s="0" t="s">
        <v>583</v>
      </c>
      <c r="C15" s="0" t="s">
        <v>547</v>
      </c>
      <c r="D15" s="0" t="s">
        <v>584</v>
      </c>
    </row>
    <row r="16" customFormat="false" ht="15" hidden="false" customHeight="false" outlineLevel="0" collapsed="false">
      <c r="A16" s="0" t="s">
        <v>585</v>
      </c>
      <c r="B16" s="0" t="s">
        <v>586</v>
      </c>
      <c r="C16" s="0" t="s">
        <v>543</v>
      </c>
      <c r="D16" s="0" t="s">
        <v>587</v>
      </c>
    </row>
    <row r="17" customFormat="false" ht="15" hidden="false" customHeight="false" outlineLevel="0" collapsed="false">
      <c r="A17" s="0" t="s">
        <v>588</v>
      </c>
      <c r="B17" s="0" t="s">
        <v>589</v>
      </c>
      <c r="C17" s="0" t="s">
        <v>543</v>
      </c>
      <c r="D17" s="0" t="s">
        <v>590</v>
      </c>
    </row>
    <row r="18" customFormat="false" ht="15" hidden="false" customHeight="false" outlineLevel="0" collapsed="false">
      <c r="A18" s="0" t="s">
        <v>591</v>
      </c>
      <c r="B18" s="0" t="s">
        <v>592</v>
      </c>
      <c r="C18" s="0" t="s">
        <v>418</v>
      </c>
      <c r="D18" s="0" t="s">
        <v>593</v>
      </c>
    </row>
    <row r="19" customFormat="false" ht="15" hidden="false" customHeight="false" outlineLevel="0" collapsed="false">
      <c r="A19" s="0" t="s">
        <v>594</v>
      </c>
      <c r="B19" s="0" t="s">
        <v>595</v>
      </c>
      <c r="C19" s="0" t="s">
        <v>543</v>
      </c>
      <c r="D19" s="0" t="s">
        <v>596</v>
      </c>
    </row>
    <row r="20" customFormat="false" ht="15" hidden="false" customHeight="false" outlineLevel="0" collapsed="false">
      <c r="A20" s="0" t="s">
        <v>597</v>
      </c>
      <c r="B20" s="0" t="s">
        <v>598</v>
      </c>
      <c r="C20" s="0" t="s">
        <v>547</v>
      </c>
      <c r="D20" s="0" t="s">
        <v>599</v>
      </c>
    </row>
    <row r="21" customFormat="false" ht="15" hidden="false" customHeight="false" outlineLevel="0" collapsed="false">
      <c r="A21" s="0" t="s">
        <v>600</v>
      </c>
      <c r="B21" s="0" t="s">
        <v>601</v>
      </c>
      <c r="C21" s="0" t="s">
        <v>543</v>
      </c>
      <c r="D21" s="0" t="s">
        <v>602</v>
      </c>
    </row>
    <row r="22" customFormat="false" ht="15" hidden="false" customHeight="false" outlineLevel="0" collapsed="false">
      <c r="A22" s="0" t="s">
        <v>603</v>
      </c>
      <c r="B22" s="0" t="s">
        <v>604</v>
      </c>
      <c r="C22" s="0" t="s">
        <v>547</v>
      </c>
      <c r="D22" s="0" t="s">
        <v>605</v>
      </c>
    </row>
    <row r="23" customFormat="false" ht="15" hidden="false" customHeight="false" outlineLevel="0" collapsed="false">
      <c r="A23" s="0" t="s">
        <v>606</v>
      </c>
      <c r="B23" s="0" t="s">
        <v>607</v>
      </c>
      <c r="C23" s="0" t="s">
        <v>547</v>
      </c>
      <c r="D23" s="0" t="s">
        <v>608</v>
      </c>
    </row>
    <row r="24" customFormat="false" ht="15" hidden="false" customHeight="false" outlineLevel="0" collapsed="false">
      <c r="A24" s="0" t="s">
        <v>609</v>
      </c>
      <c r="B24" s="0" t="s">
        <v>610</v>
      </c>
      <c r="C24" s="0" t="s">
        <v>547</v>
      </c>
      <c r="D24" s="0" t="s">
        <v>611</v>
      </c>
    </row>
    <row r="25" customFormat="false" ht="15" hidden="false" customHeight="false" outlineLevel="0" collapsed="false">
      <c r="A25" s="0" t="s">
        <v>612</v>
      </c>
      <c r="B25" s="0" t="s">
        <v>613</v>
      </c>
      <c r="C25" s="0" t="s">
        <v>547</v>
      </c>
      <c r="D25" s="0" t="s">
        <v>614</v>
      </c>
    </row>
    <row r="26" customFormat="false" ht="15" hidden="false" customHeight="false" outlineLevel="0" collapsed="false">
      <c r="A26" s="0" t="s">
        <v>615</v>
      </c>
      <c r="B26" s="0" t="s">
        <v>616</v>
      </c>
      <c r="C26" s="0" t="s">
        <v>547</v>
      </c>
      <c r="D26" s="0" t="s">
        <v>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618</v>
      </c>
    </row>
    <row r="2" customFormat="false" ht="15" hidden="false" customHeight="false" outlineLevel="0" collapsed="false">
      <c r="A2" s="0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2026-10-27T02:25:27Z</dcterms:created>
  <dc:creator>openpyxl</dc:creator>
  <dc:description/>
  <dc:language>en-US</dc:language>
  <cp:lastModifiedBy/>
  <dcterms:modified xsi:type="dcterms:W3CDTF">2026-10-27T02:25:27Z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