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artition Takeoff" sheetId="2" state="visible" r:id="rId2"/>
    <sheet xmlns:r="http://schemas.openxmlformats.org/officeDocument/2006/relationships" name="Material Summary" sheetId="3" state="visible" r:id="rId3"/>
    <sheet xmlns:r="http://schemas.openxmlformats.org/officeDocument/2006/relationships" name="Pending Items" sheetId="4" state="visible" r:id="rId4"/>
    <sheet xmlns:r="http://schemas.openxmlformats.org/officeDocument/2006/relationships" name="Review Items" sheetId="5" state="visible" r:id="rId5"/>
    <sheet xmlns:r="http://schemas.openxmlformats.org/officeDocument/2006/relationships" name="Scope Checklist" sheetId="6" state="visible" r:id="rId6"/>
    <sheet xmlns:r="http://schemas.openxmlformats.org/officeDocument/2006/relationships" name="_reglas" sheetId="7" state="hidden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3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0" customWidth="1" style="7" min="1" max="1"/>
    <col width="22" customWidth="1" style="7" min="2" max="2"/>
    <col width="60" customWidth="1" style="7" min="3" max="3"/>
  </cols>
  <sheetData>
    <row r="1" ht="16.15" customHeight="1" s="8">
      <c r="A1" s="9" t="inlineStr">
        <is>
          <t>Barnes &amp; Noble - Colorado Springs, CO (3173 Cinema Point)   |   METAL FRAMING &amp; DRYWALL TAKEOFF</t>
        </is>
      </c>
    </row>
    <row r="2" ht="15" customHeight="1" s="8">
      <c r="A2" s="7" t="inlineStr">
        <is>
          <t>Bid set: Barnes _ Noble - Colorado Springs, CO - COMBINED BID SET - 250918.pdf   ·   2026-10-24   ·   Edit ONLY the yellow cells.</t>
        </is>
      </c>
    </row>
    <row r="4" ht="15" customHeight="1" s="8">
      <c r="A4" s="10" t="inlineStr">
        <is>
          <t>PARAMETER</t>
        </is>
      </c>
      <c r="B4" s="10" t="inlineStr">
        <is>
          <t>VALUE</t>
        </is>
      </c>
      <c r="C4" s="10" t="inlineStr">
        <is>
          <t>NOTE / SOURCE</t>
        </is>
      </c>
    </row>
    <row r="5" ht="15" customHeight="1" s="8">
      <c r="A5" s="7" t="inlineStr">
        <is>
          <t>Waste - ALL METAL, any type</t>
        </is>
      </c>
      <c r="B5" s="11" t="n">
        <v>0.15</v>
      </c>
      <c r="C5" s="7" t="inlineStr">
        <is>
          <t>Estimator standing rule: 15% on everything that is metal.</t>
        </is>
      </c>
    </row>
    <row r="6" ht="15" customHeight="1" s="8">
      <c r="A6" s="7" t="inlineStr">
        <is>
          <t>Waste - EVERYTHING THAT IS NOT METAL</t>
        </is>
      </c>
      <c r="B6" s="11" t="n">
        <v>0.06</v>
      </c>
      <c r="C6" s="7" t="inlineStr">
        <is>
          <t>Estimator standing rule: same figure as board.</t>
        </is>
      </c>
    </row>
    <row r="7" ht="15" customHeight="1" s="8">
      <c r="A7" s="7" t="inlineStr">
        <is>
          <t>Board sheet width (ft)</t>
        </is>
      </c>
      <c r="B7" s="11" t="n">
        <v>4</v>
      </c>
      <c r="C7" s="7" t="inlineStr">
        <is>
          <t>Sheet size is a parameter; buy the size that wastes least.</t>
        </is>
      </c>
    </row>
    <row r="8" ht="15" customHeight="1" s="8">
      <c r="A8" s="7" t="inlineStr">
        <is>
          <t>Board sheet length (ft)</t>
        </is>
      </c>
      <c r="B8" s="11" t="n">
        <v>12</v>
      </c>
      <c r="C8" s="7" t="inlineStr">
        <is>
          <t>Change it and every sheet count re-rounds.</t>
        </is>
      </c>
    </row>
    <row r="9" ht="15" customHeight="1" s="8">
      <c r="A9" s="7" t="inlineStr">
        <is>
          <t>SF per board sheet</t>
        </is>
      </c>
      <c r="B9" s="7">
        <f>B7*B8</f>
        <v/>
      </c>
      <c r="C9" s="7" t="inlineStr">
        <is>
          <t>Width x length.</t>
        </is>
      </c>
    </row>
    <row r="10" ht="15" customHeight="1" s="8">
      <c r="A10" s="7" t="inlineStr">
        <is>
          <t>Stud stock length (ft)</t>
        </is>
      </c>
      <c r="B10" s="11" t="n">
        <v>20</v>
      </c>
      <c r="C10" s="7" t="inlineStr">
        <is>
          <t>Stud, header, framed opening and stud blocking: sticks.</t>
        </is>
      </c>
    </row>
    <row r="11" ht="15" customHeight="1" s="8">
      <c r="A11" s="7" t="inlineStr">
        <is>
          <t>Track stock length (ft)</t>
        </is>
      </c>
      <c r="B11" s="11" t="n">
        <v>10</v>
      </c>
      <c r="C11" s="7" t="inlineStr">
        <is>
          <t>Track, sill track and purlin: runs.</t>
        </is>
      </c>
    </row>
    <row r="12" ht="15" customHeight="1" s="8">
      <c r="A12" s="7" t="inlineStr">
        <is>
          <t>Floor plan scale (pt/ft)</t>
        </is>
      </c>
      <c r="B12" s="7" t="inlineStr">
        <is>
          <t>n/a</t>
        </is>
      </c>
      <c r="C12" s="7" t="inlineStr">
        <is>
          <t>Project value (not used in this take-off: heights are per wall in the Partition Takeoff).</t>
        </is>
      </c>
    </row>
    <row r="13" ht="15" customHeight="1" s="8">
      <c r="A13" s="7" t="inlineStr">
        <is>
          <t>B.O. Deck (ft)</t>
        </is>
      </c>
      <c r="B13" s="7" t="inlineStr">
        <is>
          <t>n/a</t>
        </is>
      </c>
      <c r="C13" s="7" t="inlineStr">
        <is>
          <t>Project value (not used in this take-off: heights are per wall in the Partition Takeoff).</t>
        </is>
      </c>
    </row>
    <row r="14" ht="15" customHeight="1" s="8">
      <c r="A14" s="7" t="inlineStr">
        <is>
          <t>T.O. Parapet (ft)</t>
        </is>
      </c>
      <c r="B14" s="7" t="inlineStr">
        <is>
          <t>n/a</t>
        </is>
      </c>
      <c r="C14" s="7" t="inlineStr">
        <is>
          <t>Project value (not used in this take-off: heights are per wall in the Partition Takeoff).</t>
        </is>
      </c>
    </row>
    <row r="15" ht="15" customHeight="1" s="8">
      <c r="A15" s="7" t="inlineStr">
        <is>
          <t>Sealant coverage (LF per tube)</t>
        </is>
      </c>
      <c r="B15" s="11" t="n">
        <v>25</v>
      </c>
      <c r="C15" s="7" t="inlineStr">
        <is>
          <t>Sealant yield per tube - set your supplier's figure.</t>
        </is>
      </c>
    </row>
    <row r="16" ht="15" customHeight="1" s="8">
      <c r="A16" s="7" t="inlineStr">
        <is>
          <t>C.R. channel stock length (ft)</t>
        </is>
      </c>
      <c r="B16" s="11" t="n">
        <v>16</v>
      </c>
      <c r="C16" s="7" t="inlineStr">
        <is>
          <t>1-1/2" cold-rolled channel (bracing, carrying channel).</t>
        </is>
      </c>
    </row>
    <row r="17" ht="15" customHeight="1" s="8">
      <c r="A17" s="7" t="inlineStr">
        <is>
          <t>Hat / furring channel stock (ft)</t>
        </is>
      </c>
      <c r="B17" s="11" t="n">
        <v>12</v>
      </c>
      <c r="C17" s="7" t="inlineStr">
        <is>
          <t>7/8" hat furring channel.</t>
        </is>
      </c>
    </row>
    <row r="18" ht="15" customHeight="1" s="8">
      <c r="A18" s="7" t="inlineStr">
        <is>
          <t>Trim stick length (ft)</t>
        </is>
      </c>
      <c r="B18" s="11" t="n">
        <v>10</v>
      </c>
      <c r="C18" s="7" t="inlineStr">
        <is>
          <t>Corner bead, casing bead, shadow molding, PVC trim.</t>
        </is>
      </c>
    </row>
    <row r="19" ht="15" customHeight="1" s="8">
      <c r="A19" s="7" t="inlineStr">
        <is>
          <t>Hanger wire purchase</t>
        </is>
      </c>
      <c r="B19" s="11" t="inlineStr">
        <is>
          <t>continuous coil (LF)</t>
        </is>
      </c>
      <c r="C19" s="7" t="inlineStr">
        <is>
          <t>Bought by LF from a continuous coil; the hanger count goes on its own PCS row.</t>
        </is>
      </c>
    </row>
    <row r="20" ht="15" customHeight="1" s="8">
      <c r="A20" s="7" t="inlineStr">
        <is>
          <t>Drywall screws per SF of board</t>
        </is>
      </c>
      <c r="B20" s="11" t="n">
        <v>1.2</v>
      </c>
      <c r="C20" s="7" t="inlineStr">
        <is>
          <t>YIELD: estimator 1.2 / SF; products per A-410 note 8.E (Type S 25/20 ga, Type S-12 18/16/14 ga) and A-001A Div 09 A.5.</t>
        </is>
      </c>
    </row>
    <row r="21" ht="15" customHeight="1" s="8">
      <c r="A21" s="7" t="inlineStr">
        <is>
          <t>Framing screws per stud piece</t>
        </is>
      </c>
      <c r="B21" s="11" t="n">
        <v>4</v>
      </c>
      <c r="C21" s="7" t="inlineStr">
        <is>
          <t>YIELD: 2 per stud-to-track connection, each end.</t>
        </is>
      </c>
    </row>
    <row r="22" ht="15" customHeight="1" s="8">
      <c r="A22" s="7" t="inlineStr">
        <is>
          <t>Power-driven pin spacing (ft)</t>
        </is>
      </c>
      <c r="B22" s="11" t="n">
        <v>0.666667</v>
      </c>
      <c r="C22" s="7" t="inlineStr">
        <is>
          <t>YIELD: A-410 note 8.F X-DNI 2 rows at 16" O.C. = 0.667 ft per pin (9/A-410 PAF @ 24" = alternative, RFI).</t>
        </is>
      </c>
    </row>
    <row r="23" ht="15" customHeight="1" s="8">
      <c r="A23" s="7" t="inlineStr">
        <is>
          <t>Joint compound (lb per SF)</t>
        </is>
      </c>
      <c r="B23" s="11" t="n">
        <v>0.07199999999999999</v>
      </c>
      <c r="C23" s="7" t="inlineStr">
        <is>
          <t>YIELD: 72 lb per 1,000 SF; Level 4 finish printed on A-001A Div 09 A.8 "PROVIDE AT A MINIMUM A LEVEL 4 FINISH".</t>
        </is>
      </c>
    </row>
    <row r="24" ht="15" customHeight="1" s="8">
      <c r="A24" s="7" t="inlineStr">
        <is>
          <t>Joint tape (LF per SF)</t>
        </is>
      </c>
      <c r="B24" s="11" t="n">
        <v>0.37</v>
      </c>
      <c r="C24" s="7" t="inlineStr">
        <is>
          <t>YIELD: 370 LF per 1,000 SF.</t>
        </is>
      </c>
    </row>
    <row r="25" ht="15" customHeight="1" s="8">
      <c r="A25" s="7" t="inlineStr">
        <is>
          <t>Expansion anchor spacing (ft)</t>
        </is>
      </c>
      <c r="B25" s="11" t="n">
        <v>0.666666666666667</v>
      </c>
      <c r="C25" s="7" t="inlineStr">
        <is>
          <t>YIELD: exterior bottom track on slab.</t>
        </is>
      </c>
    </row>
    <row r="26" ht="15" customHeight="1" s="8">
      <c r="A26" s="7" t="inlineStr">
        <is>
          <t>2x lumber stock length (ft)</t>
        </is>
      </c>
      <c r="B26" s="11" t="n">
        <v>16</v>
      </c>
      <c r="C26" s="7" t="inlineStr">
        <is>
          <t>2x wood / FRT blocking: 16 ft sticks (estimator decision 2026-10-27).</t>
        </is>
      </c>
    </row>
    <row r="27" ht="15" customHeight="1" s="8">
      <c r="A27" s="7" t="inlineStr">
        <is>
          <t>Drywall grid main tee length (ft)</t>
        </is>
      </c>
      <c r="B27" s="11" t="n">
        <v>12</v>
      </c>
      <c r="C27" s="7" t="inlineStr">
        <is>
          <t>USG DGLW26 main tee (manufacturer length).</t>
        </is>
      </c>
    </row>
    <row r="28" ht="15" customHeight="1" s="8">
      <c r="A28" s="7" t="inlineStr">
        <is>
          <t>Drywall grid cross tee length (ft)</t>
        </is>
      </c>
      <c r="B28" s="11" t="n">
        <v>4</v>
      </c>
      <c r="C28" s="7" t="inlineStr">
        <is>
          <t>USG DGLW424 cross tee (manufacturer length).</t>
        </is>
      </c>
    </row>
    <row r="29" ht="15" customHeight="1" s="8">
      <c r="A29" s="7" t="inlineStr">
        <is>
          <t>Grid channel / angle molding length (ft)</t>
        </is>
      </c>
      <c r="B29" s="11" t="n">
        <v>12</v>
      </c>
      <c r="C29" s="7" t="inlineStr">
        <is>
          <t>USG DGCM27 / DGWM24 molding (manufacturer length).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0" customWidth="1" style="7" min="1" max="1"/>
    <col width="41" customWidth="1" style="7" min="2" max="2"/>
    <col width="60" customWidth="1" style="7" min="3" max="3"/>
    <col width="13" customWidth="1" style="7" min="4" max="4"/>
    <col width="10" customWidth="1" style="7" min="5" max="5"/>
    <col width="17" customWidth="1" style="7" min="6" max="6"/>
    <col width="16" customWidth="1" style="7" min="7" max="7"/>
    <col width="60" customWidth="1" style="7" min="8" max="9"/>
    <col width="23" customWidth="1" style="7" min="10" max="10"/>
    <col width="11" customWidth="1" style="7" min="11" max="11"/>
  </cols>
  <sheetData>
    <row r="1" ht="16.15" customHeight="1" s="8">
      <c r="A1" s="9" t="inlineStr">
        <is>
          <t>ORGANIZED PARTITION TAKEOFF - Barnes &amp; Noble - Colorado Springs, CO (3173 Cinema Point)</t>
        </is>
      </c>
    </row>
    <row r="2" ht="15" customHeight="1" s="8">
      <c r="A2" s="7" t="inlineStr">
        <is>
          <t>Grouped by partition type. Every row cites its DETAIL/SHEET and its status.</t>
        </is>
      </c>
    </row>
    <row r="4" ht="15" customHeight="1" s="8">
      <c r="A4" s="10" t="inlineStr">
        <is>
          <t>Partition / Scope</t>
        </is>
      </c>
      <c r="B4" s="10" t="inlineStr">
        <is>
          <t>Wall #</t>
        </is>
      </c>
      <c r="C4" s="10" t="inlineStr">
        <is>
          <t>Length (LF)</t>
        </is>
      </c>
      <c r="D4" s="10" t="inlineStr">
        <is>
          <t>Height (FT)</t>
        </is>
      </c>
      <c r="E4" s="10" t="inlineStr">
        <is>
          <t>Layers</t>
        </is>
      </c>
      <c r="F4" s="10" t="inlineStr">
        <is>
          <t>Stud Size</t>
        </is>
      </c>
      <c r="G4" s="10" t="inlineStr">
        <is>
          <t>Stud O.C. (in)</t>
        </is>
      </c>
      <c r="H4" s="10" t="inlineStr">
        <is>
          <t>Board (SF)</t>
        </is>
      </c>
      <c r="I4" s="10" t="inlineStr">
        <is>
          <t>Location</t>
        </is>
      </c>
      <c r="J4" s="10" t="inlineStr">
        <is>
          <t>Source (DETAIL/SHEET)</t>
        </is>
      </c>
      <c r="K4" s="10" t="inlineStr">
        <is>
          <t>Status</t>
        </is>
      </c>
    </row>
    <row r="5" ht="15" customHeight="1" s="8">
      <c r="A5" s="12" t="inlineStr">
        <is>
          <t>TYPE 2</t>
        </is>
      </c>
    </row>
    <row r="6" ht="15" customHeight="1" s="8">
      <c r="A6" s="7" t="inlineStr">
        <is>
          <t>2  #W2-01+W2-02  -  Storage 112 south wall (door 14, 3'-0" printed, inside wall) + Storage 112 west wall</t>
        </is>
      </c>
      <c r="B6" s="7" t="inlineStr">
        <is>
          <t>W2-01+W2-02</t>
        </is>
      </c>
      <c r="C6" s="7" t="n">
        <v>53.76</v>
      </c>
      <c r="D6" s="7" t="n">
        <v>25</v>
      </c>
      <c r="E6" s="7" t="n">
        <v>2</v>
      </c>
      <c r="F6" s="7" t="inlineStr">
        <is>
          <t>3-5/8" 14 ga SJ</t>
        </is>
      </c>
      <c r="G6" s="7" t="n">
        <v>16</v>
      </c>
      <c r="H6" s="7" t="n">
        <v>2688</v>
      </c>
      <c r="I6" s="7" t="inlineStr">
        <is>
          <t>Storage 112 south wall (door 14, 3'-0" printed, inside wall) + Storage 112 west wall</t>
        </is>
      </c>
      <c r="J6" s="7" t="inlineStr">
        <is>
          <t>2/A-410</t>
        </is>
      </c>
      <c r="K6" s="7" t="inlineStr">
        <is>
          <t>[DERIVED]</t>
        </is>
      </c>
    </row>
    <row r="7" ht="15" customHeight="1" s="8">
      <c r="A7" s="7" t="inlineStr">
        <is>
          <t>2  #W2-03  -  Stock Room 111 / Sales + Corridor 110 (door 11 inside wall)</t>
        </is>
      </c>
      <c r="B7" s="7" t="inlineStr">
        <is>
          <t>W2-03</t>
        </is>
      </c>
      <c r="C7" s="7" t="n">
        <v>94.23999999999999</v>
      </c>
      <c r="D7" s="7" t="n">
        <v>25</v>
      </c>
      <c r="E7" s="7" t="n">
        <v>2</v>
      </c>
      <c r="F7" s="7" t="inlineStr">
        <is>
          <t>3-5/8" 14 ga SJ</t>
        </is>
      </c>
      <c r="G7" s="7" t="n">
        <v>16</v>
      </c>
      <c r="H7" s="7" t="n">
        <v>4508.64</v>
      </c>
      <c r="I7" s="7" t="inlineStr">
        <is>
          <t>Stock Room 111 / Sales + Corridor 110 (door 11 inside wall) | Board by face: A Stock Room 111 94.24 x 25 ft (5/8 type X); B Sales Area 101 81.12 x 25 ft (5/8 type X); B Corridor 110 13.12 x 9.5 ft (5/8 type X)</t>
        </is>
      </c>
      <c r="J7" s="7" t="inlineStr">
        <is>
          <t>2/A-410</t>
        </is>
      </c>
      <c r="K7" s="7" t="inlineStr">
        <is>
          <t>[DERIVED]</t>
        </is>
      </c>
    </row>
    <row r="8" ht="15" customHeight="1" s="8">
      <c r="A8" s="7" t="inlineStr">
        <is>
          <t>2  #W2-04  -  BOH north wall: Corridor 110 to Manager's Office 105 (Sales side) (door 4 inside wall)</t>
        </is>
      </c>
      <c r="B8" s="7" t="inlineStr">
        <is>
          <t>W2-04</t>
        </is>
      </c>
      <c r="C8" s="7" t="n">
        <v>56.76</v>
      </c>
      <c r="D8" s="7" t="n">
        <v>25</v>
      </c>
      <c r="E8" s="7" t="n">
        <v>2</v>
      </c>
      <c r="F8" s="7" t="inlineStr">
        <is>
          <t>3-5/8" 14 ga SJ</t>
        </is>
      </c>
      <c r="G8" s="7" t="n">
        <v>16</v>
      </c>
      <c r="H8" s="7" t="n">
        <v>1958.22</v>
      </c>
      <c r="I8" s="7" t="inlineStr">
        <is>
          <t>BOH north wall: Corridor 110 to Manager's Office 105 (Sales side) (door 4 inside wall) | Board by face: A Sales Area 101 56.76 x 25 ft (5/8 type X); B Corridor 110 29.04 x 9.5 ft (5/8 type X); B Break Room 106 19.03 x 9.5 ft (5/8 type X); B Manager's Office 105 8.69 x 9.5 ft (5/8 type X)</t>
        </is>
      </c>
      <c r="J8" s="7" t="inlineStr">
        <is>
          <t>2/A-410</t>
        </is>
      </c>
      <c r="K8" s="7" t="inlineStr">
        <is>
          <t>[DERIVED]</t>
        </is>
      </c>
    </row>
    <row r="9" ht="15" customHeight="1" s="8">
      <c r="A9" s="7" t="inlineStr">
        <is>
          <t>2  #W2-05  -  Corridor 110 / Women's 109</t>
        </is>
      </c>
      <c r="B9" s="7" t="inlineStr">
        <is>
          <t>W2-05</t>
        </is>
      </c>
      <c r="C9" s="7" t="n">
        <v>12.92</v>
      </c>
      <c r="D9" s="7" t="n">
        <v>25</v>
      </c>
      <c r="E9" s="7" t="n">
        <v>2</v>
      </c>
      <c r="F9" s="7" t="inlineStr">
        <is>
          <t>3-5/8" 14 ga SJ</t>
        </is>
      </c>
      <c r="G9" s="7" t="n">
        <v>16</v>
      </c>
      <c r="H9" s="7" t="n">
        <v>241.73</v>
      </c>
      <c r="I9" s="7" t="inlineStr">
        <is>
          <t>Corridor 110 / Women's 109 | Board by face: A Corridor 110 12.92 x 9.5 ft (5/8 type X); B Corridor 110 5.41 x 9.5 ft (5/8 type X); B Women's Restroom 109 7.51 x 9 ft (5/8 type X WR)</t>
        </is>
      </c>
      <c r="J9" s="7" t="inlineStr">
        <is>
          <t>2/A-410</t>
        </is>
      </c>
      <c r="K9" s="7" t="inlineStr">
        <is>
          <t>[DERIVED]</t>
        </is>
      </c>
    </row>
    <row r="10" ht="15" customHeight="1" s="8">
      <c r="A10" s="7" t="inlineStr">
        <is>
          <t>2  #W2-06.1+W2-06.2+W2-06.3+W2-06.4+W2-06.5  -  Restrooms 108/109 + Janitor 107 north run with chase jog (doors 9, 8, 7 inside)</t>
        </is>
      </c>
      <c r="B10" s="7" t="inlineStr">
        <is>
          <t>W2-06.1+W2-06.2+W2-06.3+W2-06.4+W2-06.5</t>
        </is>
      </c>
      <c r="C10" s="7" t="n">
        <v>27.54</v>
      </c>
      <c r="D10" s="7" t="n">
        <v>25</v>
      </c>
      <c r="E10" s="7" t="n">
        <v>2</v>
      </c>
      <c r="F10" s="7" t="inlineStr">
        <is>
          <t>3-5/8" 14 ga SJ</t>
        </is>
      </c>
      <c r="G10" s="7" t="n">
        <v>16</v>
      </c>
      <c r="H10" s="7" t="n">
        <v>580.04</v>
      </c>
      <c r="I10" s="7" t="inlineStr">
        <is>
          <t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      </is>
      </c>
      <c r="J10" s="7" t="inlineStr">
        <is>
          <t>2/A-410</t>
        </is>
      </c>
      <c r="K10" s="7" t="inlineStr">
        <is>
          <t>[DERIVED]</t>
        </is>
      </c>
    </row>
    <row r="11" ht="15" customHeight="1" s="8">
      <c r="A11" s="7" t="inlineStr">
        <is>
          <t>2  #W2-07  -  Men's 108 / Janitor 107</t>
        </is>
      </c>
      <c r="B11" s="7" t="inlineStr">
        <is>
          <t>W2-07</t>
        </is>
      </c>
      <c r="C11" s="7" t="n">
        <v>7.51</v>
      </c>
      <c r="D11" s="7" t="n">
        <v>25</v>
      </c>
      <c r="E11" s="7" t="n">
        <v>2</v>
      </c>
      <c r="F11" s="7" t="inlineStr">
        <is>
          <t>3-5/8" 14 ga SJ</t>
        </is>
      </c>
      <c r="G11" s="7" t="n">
        <v>16</v>
      </c>
      <c r="H11" s="7" t="n">
        <v>255.34</v>
      </c>
      <c r="I11" s="7" t="inlineStr">
        <is>
          <t>Men's 108 / Janitor 107 | Board by face: A Men's Restroom 108 7.51 x 9 ft (5/8 type X WR); B Janitor Closet 107 7.51 x 25 ft (5/8 type X WR)</t>
        </is>
      </c>
      <c r="J11" s="7" t="inlineStr">
        <is>
          <t>2/A-410</t>
        </is>
      </c>
      <c r="K11" s="7" t="inlineStr">
        <is>
          <t>[DERIVED]</t>
        </is>
      </c>
    </row>
    <row r="12" ht="15" customHeight="1" s="8">
      <c r="A12" s="7" t="inlineStr">
        <is>
          <t>2  #W2-08  -  Janitor 107 / Break Room 106 (door 5 inside wall)</t>
        </is>
      </c>
      <c r="B12" s="7" t="inlineStr">
        <is>
          <t>W2-08</t>
        </is>
      </c>
      <c r="C12" s="7" t="n">
        <v>12.92</v>
      </c>
      <c r="D12" s="7" t="n">
        <v>25</v>
      </c>
      <c r="E12" s="7" t="n">
        <v>2</v>
      </c>
      <c r="F12" s="7" t="inlineStr">
        <is>
          <t>3-5/8" 14 ga SJ</t>
        </is>
      </c>
      <c r="G12" s="7" t="n">
        <v>16</v>
      </c>
      <c r="H12" s="7" t="n">
        <v>361.89</v>
      </c>
      <c r="I12" s="7" t="inlineStr">
        <is>
          <t>Janitor 107 / Break Room 106 (door 5 inside wall) | Board by face: A Corridor 110 5.41 x 9.5 ft (5/8 type X); A Janitor Closet 107 7.51 x 25 ft (5/8 type X WR); B Break Room 106 12.92 x 9.5 ft (5/8 type X)</t>
        </is>
      </c>
      <c r="J12" s="7" t="inlineStr">
        <is>
          <t>2/A-410</t>
        </is>
      </c>
      <c r="K12" s="7" t="inlineStr">
        <is>
          <t>[DERIVED]</t>
        </is>
      </c>
    </row>
    <row r="13" ht="15" customHeight="1" s="8">
      <c r="A13" s="7" t="inlineStr">
        <is>
          <t>2  #W2-09  -  Break Room 106 / Manager's Office 105 (door 6 inside wall)</t>
        </is>
      </c>
      <c r="B13" s="7" t="inlineStr">
        <is>
          <t>W2-09</t>
        </is>
      </c>
      <c r="C13" s="7" t="n">
        <v>12.92</v>
      </c>
      <c r="D13" s="7" t="n">
        <v>25</v>
      </c>
      <c r="E13" s="7" t="n">
        <v>2</v>
      </c>
      <c r="F13" s="7" t="inlineStr">
        <is>
          <t>3-5/8" 14 ga SJ</t>
        </is>
      </c>
      <c r="G13" s="7" t="n">
        <v>16</v>
      </c>
      <c r="H13" s="7" t="n">
        <v>245.48</v>
      </c>
      <c r="I13" s="7" t="inlineStr">
        <is>
          <t>Break Room 106 / Manager's Office 105 (door 6 inside wall) | Board by face: A Break Room 106 12.92 x 9.5 ft (5/8 type X); B Manager's Office 105 12.92 x 9.5 ft (5/8 type X)</t>
        </is>
      </c>
      <c r="J13" s="7" t="inlineStr">
        <is>
          <t>2/A-410</t>
        </is>
      </c>
      <c r="K13" s="7" t="inlineStr">
        <is>
          <t>[DERIVED]</t>
        </is>
      </c>
    </row>
    <row r="14" ht="15" customHeight="1" s="8">
      <c r="B14" s="13" t="inlineStr">
        <is>
          <t>SUBTOTAL TYPE 2</t>
        </is>
      </c>
      <c r="C14" s="7">
        <f>SUM(C6:C13)</f>
        <v/>
      </c>
      <c r="H14" s="7">
        <f>SUM(H6:H13)</f>
        <v/>
      </c>
    </row>
    <row r="15" ht="15" customHeight="1" s="8">
      <c r="A15" s="12" t="inlineStr">
        <is>
          <t>TYPE 5</t>
        </is>
      </c>
    </row>
    <row r="16" ht="15" customHeight="1" s="8">
      <c r="A16" s="7" t="inlineStr">
        <is>
          <t>5  #W5-01  -  Plumbing wall between Women's 109 / Men's 108</t>
        </is>
      </c>
      <c r="B16" s="7" t="inlineStr">
        <is>
          <t>W5-01</t>
        </is>
      </c>
      <c r="C16" s="7" t="n">
        <v>5.7</v>
      </c>
      <c r="D16" s="7" t="n">
        <v>25</v>
      </c>
      <c r="E16" s="7" t="n">
        <v>2</v>
      </c>
      <c r="F16" s="7" t="inlineStr">
        <is>
          <t>6" 20 ga SJ</t>
        </is>
      </c>
      <c r="G16" s="7" t="n">
        <v>16</v>
      </c>
      <c r="H16" s="7" t="n">
        <v>102.6</v>
      </c>
      <c r="I16" s="7" t="inlineStr">
        <is>
          <t>Plumbing wall between Women's 109 / Men's 108 | Board by face: A Women's Restroom 109 5.7 x 9 ft (5/8 type X WR); B Men's Restroom 108 5.7 x 9 ft (5/8 type X WR)</t>
        </is>
      </c>
      <c r="J16" s="7" t="inlineStr">
        <is>
          <t>5/A-410</t>
        </is>
      </c>
      <c r="K16" s="7" t="inlineStr">
        <is>
          <t>[DERIVED]</t>
        </is>
      </c>
    </row>
    <row r="17" ht="15" customHeight="1" s="8">
      <c r="B17" s="13" t="inlineStr">
        <is>
          <t>SUBTOTAL TYPE 5</t>
        </is>
      </c>
      <c r="C17" s="7">
        <f>SUM(C16:C16)</f>
        <v/>
      </c>
      <c r="H17" s="7">
        <f>SUM(H16:H16)</f>
        <v/>
      </c>
    </row>
    <row r="18" ht="15" customHeight="1" s="8">
      <c r="A18" s="12" t="inlineStr">
        <is>
          <t>TYPE 3</t>
        </is>
      </c>
    </row>
    <row r="19" ht="15" customHeight="1" s="8">
      <c r="A19" s="7" t="inlineStr">
        <is>
          <t>3  #W3-01  -  Cafe Seating 102, west low wall - west end post</t>
        </is>
      </c>
      <c r="B19" s="7" t="inlineStr">
        <is>
          <t>W3-01</t>
        </is>
      </c>
      <c r="C19" s="7" t="n">
        <v>3.67</v>
      </c>
      <c r="D19" s="7" t="n">
        <v>8</v>
      </c>
      <c r="E19" s="7" t="n">
        <v>2</v>
      </c>
      <c r="F19" s="7" t="inlineStr">
        <is>
          <t>3-5/8" 20 ga</t>
        </is>
      </c>
      <c r="G19" s="7" t="n">
        <v>16</v>
      </c>
      <c r="H19" s="7" t="n">
        <v>58.72</v>
      </c>
      <c r="I19" s="7" t="inlineStr">
        <is>
          <t>Cafe Seating 102, west low wall - west end post</t>
        </is>
      </c>
      <c r="J19" s="7" t="inlineStr">
        <is>
          <t>3/A-410</t>
        </is>
      </c>
      <c r="K19" s="7" t="inlineStr">
        <is>
          <t>[DERIVED]</t>
        </is>
      </c>
    </row>
    <row r="20" ht="15" customHeight="1" s="8">
      <c r="A20" s="7" t="inlineStr">
        <is>
          <t>3  #W3-02  -  Cafe Seating 102, west low wall - run</t>
        </is>
      </c>
      <c r="B20" s="7" t="inlineStr">
        <is>
          <t>W3-02</t>
        </is>
      </c>
      <c r="C20" s="7" t="n">
        <v>12</v>
      </c>
      <c r="D20" s="7" t="n">
        <v>8</v>
      </c>
      <c r="E20" s="7" t="n">
        <v>2</v>
      </c>
      <c r="F20" s="7" t="inlineStr">
        <is>
          <t>3-5/8" 20 ga</t>
        </is>
      </c>
      <c r="G20" s="7" t="n">
        <v>16</v>
      </c>
      <c r="H20" s="7" t="n">
        <v>192</v>
      </c>
      <c r="I20" s="7" t="inlineStr">
        <is>
          <t>Cafe Seating 102, west low wall - run</t>
        </is>
      </c>
      <c r="J20" s="7" t="inlineStr">
        <is>
          <t>3/A-410</t>
        </is>
      </c>
      <c r="K20" s="7" t="inlineStr">
        <is>
          <t>[DERIVED]</t>
        </is>
      </c>
    </row>
    <row r="21" ht="15" customHeight="1" s="8">
      <c r="A21" s="7" t="inlineStr">
        <is>
          <t>3  #W3-03  -  Cafe Seating 102, east low wall - run</t>
        </is>
      </c>
      <c r="B21" s="7" t="inlineStr">
        <is>
          <t>W3-03</t>
        </is>
      </c>
      <c r="C21" s="7" t="n">
        <v>12</v>
      </c>
      <c r="D21" s="7" t="n">
        <v>8</v>
      </c>
      <c r="E21" s="7" t="n">
        <v>2</v>
      </c>
      <c r="F21" s="7" t="inlineStr">
        <is>
          <t>3-5/8" 20 ga</t>
        </is>
      </c>
      <c r="G21" s="7" t="n">
        <v>16</v>
      </c>
      <c r="H21" s="7" t="n">
        <v>192</v>
      </c>
      <c r="I21" s="7" t="inlineStr">
        <is>
          <t>Cafe Seating 102, east low wall - run</t>
        </is>
      </c>
      <c r="J21" s="7" t="inlineStr">
        <is>
          <t>3/A-410</t>
        </is>
      </c>
      <c r="K21" s="7" t="inlineStr">
        <is>
          <t>[DERIVED]</t>
        </is>
      </c>
    </row>
    <row r="22" ht="15" customHeight="1" s="8">
      <c r="A22" s="7" t="inlineStr">
        <is>
          <t>3  #W3-04  -  Cafe Seating 102, east low wall - east end post</t>
        </is>
      </c>
      <c r="B22" s="7" t="inlineStr">
        <is>
          <t>W3-04</t>
        </is>
      </c>
      <c r="C22" s="7" t="n">
        <v>3.67</v>
      </c>
      <c r="D22" s="7" t="n">
        <v>8</v>
      </c>
      <c r="E22" s="7" t="n">
        <v>2</v>
      </c>
      <c r="F22" s="7" t="inlineStr">
        <is>
          <t>3-5/8" 20 ga</t>
        </is>
      </c>
      <c r="G22" s="7" t="n">
        <v>16</v>
      </c>
      <c r="H22" s="7" t="n">
        <v>58.72</v>
      </c>
      <c r="I22" s="7" t="inlineStr">
        <is>
          <t>Cafe Seating 102, east low wall - east end post</t>
        </is>
      </c>
      <c r="J22" s="7" t="inlineStr">
        <is>
          <t>3/A-410</t>
        </is>
      </c>
      <c r="K22" s="7" t="inlineStr">
        <is>
          <t>[DERIVED]</t>
        </is>
      </c>
    </row>
    <row r="23" ht="15" customHeight="1" s="8">
      <c r="A23" s="7" t="inlineStr">
        <is>
          <t>3  #W3-05  -  Cafe Seating 102, west low wall - east end post</t>
        </is>
      </c>
      <c r="B23" s="7" t="inlineStr">
        <is>
          <t>W3-05</t>
        </is>
      </c>
      <c r="C23" s="7" t="n">
        <v>3.67</v>
      </c>
      <c r="D23" s="7" t="n">
        <v>8</v>
      </c>
      <c r="E23" s="7" t="n">
        <v>2</v>
      </c>
      <c r="F23" s="7" t="inlineStr">
        <is>
          <t>3-5/8" 20 ga</t>
        </is>
      </c>
      <c r="G23" s="7" t="n">
        <v>16</v>
      </c>
      <c r="H23" s="7" t="n">
        <v>58.72</v>
      </c>
      <c r="I23" s="7" t="inlineStr">
        <is>
          <t>Cafe Seating 102, west low wall - east end post</t>
        </is>
      </c>
      <c r="J23" s="7" t="inlineStr">
        <is>
          <t>3/A-410</t>
        </is>
      </c>
      <c r="K23" s="7" t="inlineStr">
        <is>
          <t>[DERIVED]</t>
        </is>
      </c>
    </row>
    <row r="24" ht="15" customHeight="1" s="8">
      <c r="A24" s="7" t="inlineStr">
        <is>
          <t>3  #W3-06  -  Cafe Seating 102, east low wall - west end post</t>
        </is>
      </c>
      <c r="B24" s="7" t="inlineStr">
        <is>
          <t>W3-06</t>
        </is>
      </c>
      <c r="C24" s="7" t="n">
        <v>3.67</v>
      </c>
      <c r="D24" s="7" t="n">
        <v>8</v>
      </c>
      <c r="E24" s="7" t="n">
        <v>2</v>
      </c>
      <c r="F24" s="7" t="inlineStr">
        <is>
          <t>3-5/8" 20 ga</t>
        </is>
      </c>
      <c r="G24" s="7" t="n">
        <v>16</v>
      </c>
      <c r="H24" s="7" t="n">
        <v>58.72</v>
      </c>
      <c r="I24" s="7" t="inlineStr">
        <is>
          <t>Cafe Seating 102, east low wall - west end post</t>
        </is>
      </c>
      <c r="J24" s="7" t="inlineStr">
        <is>
          <t>3/A-410</t>
        </is>
      </c>
      <c r="K24" s="7" t="inlineStr">
        <is>
          <t>[DERIVED]</t>
        </is>
      </c>
    </row>
    <row r="25" ht="15" customHeight="1" s="8">
      <c r="B25" s="13" t="inlineStr">
        <is>
          <t>SUBTOTAL TYPE 3</t>
        </is>
      </c>
      <c r="C25" s="7">
        <f>SUM(C19:C24)</f>
        <v/>
      </c>
      <c r="H25" s="7">
        <f>SUM(H19:H24)</f>
        <v/>
      </c>
    </row>
    <row r="26" ht="15" customHeight="1" s="8">
      <c r="A26" s="12" t="inlineStr">
        <is>
          <t>TYPE 4</t>
        </is>
      </c>
    </row>
    <row r="27" ht="15" customHeight="1" s="8">
      <c r="A27" s="7" t="inlineStr">
        <is>
          <t>4  #W4-28a+W4-28b+W4-28c  -  Hourglass display feature, north end cap: bar + Hourglass display feature, north end cap: west end return + Hourglass display feature, north end cap: east end return</t>
        </is>
      </c>
      <c r="B27" s="7" t="inlineStr">
        <is>
          <t>W4-28a+W4-28b+W4-28c</t>
        </is>
      </c>
      <c r="C27" s="7" t="n">
        <v>12.68</v>
      </c>
      <c r="D27" s="7" t="n">
        <v>7.5</v>
      </c>
      <c r="E27" s="7" t="n">
        <v>2</v>
      </c>
      <c r="F27" s="7" t="inlineStr">
        <is>
          <t>3-5/8" 20 ga</t>
        </is>
      </c>
      <c r="G27" s="7" t="n">
        <v>16</v>
      </c>
      <c r="H27" s="7" t="n">
        <v>190.2</v>
      </c>
      <c r="I27" s="7" t="inlineStr">
        <is>
          <t>Hourglass display feature, north end cap: bar + Hourglass display feature, north end cap: west end return + Hourglass display feature, north end cap: east end return</t>
        </is>
      </c>
      <c r="J27" s="7" t="inlineStr">
        <is>
          <t>4/A-410</t>
        </is>
      </c>
      <c r="K27" s="7" t="inlineStr">
        <is>
          <t>[DERIVED]</t>
        </is>
      </c>
    </row>
    <row r="28" ht="15" customHeight="1" s="8">
      <c r="A28" s="7" t="inlineStr">
        <is>
          <t>4  #W4-28d  -  Hourglass display feature, north end cap: west angled leg from end return to curved wall</t>
        </is>
      </c>
      <c r="B28" s="7" t="inlineStr">
        <is>
          <t>W4-28d</t>
        </is>
      </c>
      <c r="C28" s="7" t="n">
        <v>1.77</v>
      </c>
      <c r="D28" s="7" t="n">
        <v>7.5</v>
      </c>
      <c r="E28" s="7" t="n">
        <v>2</v>
      </c>
      <c r="F28" s="7" t="inlineStr">
        <is>
          <t>3-5/8" 20 ga</t>
        </is>
      </c>
      <c r="G28" s="7" t="n">
        <v>16</v>
      </c>
      <c r="H28" s="7" t="n">
        <v>26.56</v>
      </c>
      <c r="I28" s="7" t="inlineStr">
        <is>
          <t>Hourglass display feature, north end cap: west angled leg from end return to curved wall</t>
        </is>
      </c>
      <c r="J28" s="7" t="inlineStr">
        <is>
          <t>4/A-410</t>
        </is>
      </c>
      <c r="K28" s="7" t="inlineStr">
        <is>
          <t>[DERIVED]</t>
        </is>
      </c>
    </row>
    <row r="29" ht="15" customHeight="1" s="8">
      <c r="A29" s="7" t="inlineStr">
        <is>
          <t>4  #W4-28e  -  Hourglass display feature, north end cap: east angled leg from end return to curved wall</t>
        </is>
      </c>
      <c r="B29" s="7" t="inlineStr">
        <is>
          <t>W4-28e</t>
        </is>
      </c>
      <c r="C29" s="7" t="n">
        <v>1.72</v>
      </c>
      <c r="D29" s="7" t="n">
        <v>7.5</v>
      </c>
      <c r="E29" s="7" t="n">
        <v>2</v>
      </c>
      <c r="F29" s="7" t="inlineStr">
        <is>
          <t>3-5/8" 20 ga</t>
        </is>
      </c>
      <c r="G29" s="7" t="n">
        <v>16</v>
      </c>
      <c r="H29" s="7" t="n">
        <v>25.8</v>
      </c>
      <c r="I29" s="7" t="inlineStr">
        <is>
          <t>Hourglass display feature, north end cap: east angled leg from end return to curved wall</t>
        </is>
      </c>
      <c r="J29" s="7" t="inlineStr">
        <is>
          <t>4/A-410</t>
        </is>
      </c>
      <c r="K29" s="7" t="inlineStr">
        <is>
          <t>[DERIVED]</t>
        </is>
      </c>
    </row>
    <row r="30" ht="15" customHeight="1" s="8">
      <c r="A30" s="7" t="inlineStr">
        <is>
          <t>4  #W4-29a  -  Hourglass display feature, west curved wall (R=32'-9"), chord 1/6 from north (tagged)</t>
        </is>
      </c>
      <c r="B30" s="7" t="inlineStr">
        <is>
          <t>W4-29a</t>
        </is>
      </c>
      <c r="C30" s="7" t="n">
        <v>4.27</v>
      </c>
      <c r="D30" s="7" t="n">
        <v>7.5</v>
      </c>
      <c r="E30" s="7" t="n">
        <v>2</v>
      </c>
      <c r="F30" s="7" t="inlineStr">
        <is>
          <t>3-5/8" 20 ga</t>
        </is>
      </c>
      <c r="G30" s="7" t="n">
        <v>16</v>
      </c>
      <c r="H30" s="7" t="n">
        <v>64.04000000000001</v>
      </c>
      <c r="I30" s="7" t="inlineStr">
        <is>
          <t>Hourglass display feature, west curved wall (R=32'-9"), chord 1/6 from north (tagged)</t>
        </is>
      </c>
      <c r="J30" s="7" t="inlineStr">
        <is>
          <t>4/A-410</t>
        </is>
      </c>
      <c r="K30" s="7" t="inlineStr">
        <is>
          <t>[DERIVED]</t>
        </is>
      </c>
    </row>
    <row r="31" ht="15" customHeight="1" s="8">
      <c r="A31" s="7" t="inlineStr">
        <is>
          <t>4  #W4-29b  -  Hourglass display feature, west curved wall (R=32'-9"), chord 2/6 from north</t>
        </is>
      </c>
      <c r="B31" s="7" t="inlineStr">
        <is>
          <t>W4-29b</t>
        </is>
      </c>
      <c r="C31" s="7" t="n">
        <v>4.27</v>
      </c>
      <c r="D31" s="7" t="n">
        <v>7.5</v>
      </c>
      <c r="E31" s="7" t="n">
        <v>2</v>
      </c>
      <c r="F31" s="7" t="inlineStr">
        <is>
          <t>3-5/8" 20 ga</t>
        </is>
      </c>
      <c r="G31" s="7" t="n">
        <v>16</v>
      </c>
      <c r="H31" s="7" t="n">
        <v>64.04000000000001</v>
      </c>
      <c r="I31" s="7" t="inlineStr">
        <is>
          <t>Hourglass display feature, west curved wall (R=32'-9"), chord 2/6 from north</t>
        </is>
      </c>
      <c r="J31" s="7" t="inlineStr">
        <is>
          <t>4/A-410</t>
        </is>
      </c>
      <c r="K31" s="7" t="inlineStr">
        <is>
          <t>[DERIVED]</t>
        </is>
      </c>
    </row>
    <row r="32" ht="15" customHeight="1" s="8">
      <c r="A32" s="7" t="inlineStr">
        <is>
          <t>4  #W4-29c  -  Hourglass display feature, west curved wall (R=32'-9"), chord 3/6 from north</t>
        </is>
      </c>
      <c r="B32" s="7" t="inlineStr">
        <is>
          <t>W4-29c</t>
        </is>
      </c>
      <c r="C32" s="7" t="n">
        <v>4.29</v>
      </c>
      <c r="D32" s="7" t="n">
        <v>7.5</v>
      </c>
      <c r="E32" s="7" t="n">
        <v>2</v>
      </c>
      <c r="F32" s="7" t="inlineStr">
        <is>
          <t>3-5/8" 20 ga</t>
        </is>
      </c>
      <c r="G32" s="7" t="n">
        <v>16</v>
      </c>
      <c r="H32" s="7" t="n">
        <v>64.34</v>
      </c>
      <c r="I32" s="7" t="inlineStr">
        <is>
          <t>Hourglass display feature, west curved wall (R=32'-9"), chord 3/6 from north</t>
        </is>
      </c>
      <c r="J32" s="7" t="inlineStr">
        <is>
          <t>4/A-410</t>
        </is>
      </c>
      <c r="K32" s="7" t="inlineStr">
        <is>
          <t>[DERIVED]</t>
        </is>
      </c>
    </row>
    <row r="33" ht="15" customHeight="1" s="8">
      <c r="A33" s="7" t="inlineStr">
        <is>
          <t>4  #W4-29d  -  Hourglass display feature, west curved wall (R=32'-9"), chord 4/6 from north</t>
        </is>
      </c>
      <c r="B33" s="7" t="inlineStr">
        <is>
          <t>W4-29d</t>
        </is>
      </c>
      <c r="C33" s="7" t="n">
        <v>4.29</v>
      </c>
      <c r="D33" s="7" t="n">
        <v>7.5</v>
      </c>
      <c r="E33" s="7" t="n">
        <v>2</v>
      </c>
      <c r="F33" s="7" t="inlineStr">
        <is>
          <t>3-5/8" 20 ga</t>
        </is>
      </c>
      <c r="G33" s="7" t="n">
        <v>16</v>
      </c>
      <c r="H33" s="7" t="n">
        <v>64.34</v>
      </c>
      <c r="I33" s="7" t="inlineStr">
        <is>
          <t>Hourglass display feature, west curved wall (R=32'-9"), chord 4/6 from north</t>
        </is>
      </c>
      <c r="J33" s="7" t="inlineStr">
        <is>
          <t>4/A-410</t>
        </is>
      </c>
      <c r="K33" s="7" t="inlineStr">
        <is>
          <t>[DERIVED]</t>
        </is>
      </c>
    </row>
    <row r="34" ht="15" customHeight="1" s="8">
      <c r="A34" s="7" t="inlineStr">
        <is>
          <t>4  #W4-29e  -  Hourglass display feature, west curved wall (R=32'-9"), chord 5/6 from north</t>
        </is>
      </c>
      <c r="B34" s="7" t="inlineStr">
        <is>
          <t>W4-29e</t>
        </is>
      </c>
      <c r="C34" s="7" t="n">
        <v>4.27</v>
      </c>
      <c r="D34" s="7" t="n">
        <v>7.5</v>
      </c>
      <c r="E34" s="7" t="n">
        <v>2</v>
      </c>
      <c r="F34" s="7" t="inlineStr">
        <is>
          <t>3-5/8" 20 ga</t>
        </is>
      </c>
      <c r="G34" s="7" t="n">
        <v>16</v>
      </c>
      <c r="H34" s="7" t="n">
        <v>64.04000000000001</v>
      </c>
      <c r="I34" s="7" t="inlineStr">
        <is>
          <t>Hourglass display feature, west curved wall (R=32'-9"), chord 5/6 from north</t>
        </is>
      </c>
      <c r="J34" s="7" t="inlineStr">
        <is>
          <t>4/A-410</t>
        </is>
      </c>
      <c r="K34" s="7" t="inlineStr">
        <is>
          <t>[DERIVED]</t>
        </is>
      </c>
    </row>
    <row r="35" ht="15" customHeight="1" s="8">
      <c r="A35" s="7" t="inlineStr">
        <is>
          <t>4  #W4-29f  -  Hourglass display feature, west curved wall (R=32'-9"), chord 6/6 from north</t>
        </is>
      </c>
      <c r="B35" s="7" t="inlineStr">
        <is>
          <t>W4-29f</t>
        </is>
      </c>
      <c r="C35" s="7" t="n">
        <v>4.29</v>
      </c>
      <c r="D35" s="7" t="n">
        <v>7.5</v>
      </c>
      <c r="E35" s="7" t="n">
        <v>2</v>
      </c>
      <c r="F35" s="7" t="inlineStr">
        <is>
          <t>3-5/8" 20 ga</t>
        </is>
      </c>
      <c r="G35" s="7" t="n">
        <v>16</v>
      </c>
      <c r="H35" s="7" t="n">
        <v>64.34</v>
      </c>
      <c r="I35" s="7" t="inlineStr">
        <is>
          <t>Hourglass display feature, west curved wall (R=32'-9"), chord 6/6 from north</t>
        </is>
      </c>
      <c r="J35" s="7" t="inlineStr">
        <is>
          <t>4/A-410</t>
        </is>
      </c>
      <c r="K35" s="7" t="inlineStr">
        <is>
          <t>[DERIVED]</t>
        </is>
      </c>
    </row>
    <row r="36" ht="15" customHeight="1" s="8">
      <c r="A36" s="7" t="inlineStr">
        <is>
          <t>4  #W4-30a  -  Hourglass display feature, east curved wall (R=32'-9"), chord 1/6 from north (tagged)</t>
        </is>
      </c>
      <c r="B36" s="7" t="inlineStr">
        <is>
          <t>W4-30a</t>
        </is>
      </c>
      <c r="C36" s="7" t="n">
        <v>4.28</v>
      </c>
      <c r="D36" s="7" t="n">
        <v>7.5</v>
      </c>
      <c r="E36" s="7" t="n">
        <v>2</v>
      </c>
      <c r="F36" s="7" t="inlineStr">
        <is>
          <t>3-5/8" 20 ga</t>
        </is>
      </c>
      <c r="G36" s="7" t="n">
        <v>16</v>
      </c>
      <c r="H36" s="7" t="n">
        <v>64.2</v>
      </c>
      <c r="I36" s="7" t="inlineStr">
        <is>
          <t>Hourglass display feature, east curved wall (R=32'-9"), chord 1/6 from north (tagged)</t>
        </is>
      </c>
      <c r="J36" s="7" t="inlineStr">
        <is>
          <t>4/A-410</t>
        </is>
      </c>
      <c r="K36" s="7" t="inlineStr">
        <is>
          <t>[DERIVED]</t>
        </is>
      </c>
    </row>
    <row r="37" ht="15" customHeight="1" s="8">
      <c r="A37" s="7" t="inlineStr">
        <is>
          <t>4  #W4-30b  -  Hourglass display feature, east curved wall (R=32'-9"), chord 2/6 from north</t>
        </is>
      </c>
      <c r="B37" s="7" t="inlineStr">
        <is>
          <t>W4-30b</t>
        </is>
      </c>
      <c r="C37" s="7" t="n">
        <v>4.28</v>
      </c>
      <c r="D37" s="7" t="n">
        <v>7.5</v>
      </c>
      <c r="E37" s="7" t="n">
        <v>2</v>
      </c>
      <c r="F37" s="7" t="inlineStr">
        <is>
          <t>3-5/8" 20 ga</t>
        </is>
      </c>
      <c r="G37" s="7" t="n">
        <v>16</v>
      </c>
      <c r="H37" s="7" t="n">
        <v>64.2</v>
      </c>
      <c r="I37" s="7" t="inlineStr">
        <is>
          <t>Hourglass display feature, east curved wall (R=32'-9"), chord 2/6 from north</t>
        </is>
      </c>
      <c r="J37" s="7" t="inlineStr">
        <is>
          <t>4/A-410</t>
        </is>
      </c>
      <c r="K37" s="7" t="inlineStr">
        <is>
          <t>[DERIVED]</t>
        </is>
      </c>
    </row>
    <row r="38" ht="15" customHeight="1" s="8">
      <c r="A38" s="7" t="inlineStr">
        <is>
          <t>4  #W4-30c  -  Hourglass display feature, east curved wall (R=32'-9"), chord 3/6 from north</t>
        </is>
      </c>
      <c r="B38" s="7" t="inlineStr">
        <is>
          <t>W4-30c</t>
        </is>
      </c>
      <c r="C38" s="7" t="n">
        <v>4.28</v>
      </c>
      <c r="D38" s="7" t="n">
        <v>7.5</v>
      </c>
      <c r="E38" s="7" t="n">
        <v>2</v>
      </c>
      <c r="F38" s="7" t="inlineStr">
        <is>
          <t>3-5/8" 20 ga</t>
        </is>
      </c>
      <c r="G38" s="7" t="n">
        <v>16</v>
      </c>
      <c r="H38" s="7" t="n">
        <v>64.2</v>
      </c>
      <c r="I38" s="7" t="inlineStr">
        <is>
          <t>Hourglass display feature, east curved wall (R=32'-9"), chord 3/6 from north</t>
        </is>
      </c>
      <c r="J38" s="7" t="inlineStr">
        <is>
          <t>4/A-410</t>
        </is>
      </c>
      <c r="K38" s="7" t="inlineStr">
        <is>
          <t>[DERIVED]</t>
        </is>
      </c>
    </row>
    <row r="39" ht="15" customHeight="1" s="8">
      <c r="A39" s="7" t="inlineStr">
        <is>
          <t>4  #W4-30d  -  Hourglass display feature, east curved wall (R=32'-9"), chord 4/6 from north</t>
        </is>
      </c>
      <c r="B39" s="7" t="inlineStr">
        <is>
          <t>W4-30d</t>
        </is>
      </c>
      <c r="C39" s="7" t="n">
        <v>4.28</v>
      </c>
      <c r="D39" s="7" t="n">
        <v>7.5</v>
      </c>
      <c r="E39" s="7" t="n">
        <v>2</v>
      </c>
      <c r="F39" s="7" t="inlineStr">
        <is>
          <t>3-5/8" 20 ga</t>
        </is>
      </c>
      <c r="G39" s="7" t="n">
        <v>16</v>
      </c>
      <c r="H39" s="7" t="n">
        <v>64.2</v>
      </c>
      <c r="I39" s="7" t="inlineStr">
        <is>
          <t>Hourglass display feature, east curved wall (R=32'-9"), chord 4/6 from north</t>
        </is>
      </c>
      <c r="J39" s="7" t="inlineStr">
        <is>
          <t>4/A-410</t>
        </is>
      </c>
      <c r="K39" s="7" t="inlineStr">
        <is>
          <t>[DERIVED]</t>
        </is>
      </c>
    </row>
    <row r="40" ht="15" customHeight="1" s="8">
      <c r="A40" s="7" t="inlineStr">
        <is>
          <t>4  #W4-30e  -  Hourglass display feature, east curved wall (R=32'-9"), chord 5/6 from north</t>
        </is>
      </c>
      <c r="B40" s="7" t="inlineStr">
        <is>
          <t>W4-30e</t>
        </is>
      </c>
      <c r="C40" s="7" t="n">
        <v>4.28</v>
      </c>
      <c r="D40" s="7" t="n">
        <v>7.5</v>
      </c>
      <c r="E40" s="7" t="n">
        <v>2</v>
      </c>
      <c r="F40" s="7" t="inlineStr">
        <is>
          <t>3-5/8" 20 ga</t>
        </is>
      </c>
      <c r="G40" s="7" t="n">
        <v>16</v>
      </c>
      <c r="H40" s="7" t="n">
        <v>64.2</v>
      </c>
      <c r="I40" s="7" t="inlineStr">
        <is>
          <t>Hourglass display feature, east curved wall (R=32'-9"), chord 5/6 from north</t>
        </is>
      </c>
      <c r="J40" s="7" t="inlineStr">
        <is>
          <t>4/A-410</t>
        </is>
      </c>
      <c r="K40" s="7" t="inlineStr">
        <is>
          <t>[DERIVED]</t>
        </is>
      </c>
    </row>
    <row r="41" ht="15" customHeight="1" s="8">
      <c r="A41" s="7" t="inlineStr">
        <is>
          <t>4  #W4-30f  -  Hourglass display feature, east curved wall (R=32'-9"), chord 6/6 from north</t>
        </is>
      </c>
      <c r="B41" s="7" t="inlineStr">
        <is>
          <t>W4-30f</t>
        </is>
      </c>
      <c r="C41" s="7" t="n">
        <v>4.28</v>
      </c>
      <c r="D41" s="7" t="n">
        <v>7.5</v>
      </c>
      <c r="E41" s="7" t="n">
        <v>2</v>
      </c>
      <c r="F41" s="7" t="inlineStr">
        <is>
          <t>3-5/8" 20 ga</t>
        </is>
      </c>
      <c r="G41" s="7" t="n">
        <v>16</v>
      </c>
      <c r="H41" s="7" t="n">
        <v>64.2</v>
      </c>
      <c r="I41" s="7" t="inlineStr">
        <is>
          <t>Hourglass display feature, east curved wall (R=32'-9"), chord 6/6 from north</t>
        </is>
      </c>
      <c r="J41" s="7" t="inlineStr">
        <is>
          <t>4/A-410</t>
        </is>
      </c>
      <c r="K41" s="7" t="inlineStr">
        <is>
          <t>[DERIVED]</t>
        </is>
      </c>
    </row>
    <row r="42" ht="15" customHeight="1" s="8">
      <c r="A42" s="7" t="inlineStr">
        <is>
          <t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      </is>
      </c>
      <c r="B42" s="7" t="inlineStr">
        <is>
          <t>W4-31a+W4-31b+W4-31c</t>
        </is>
      </c>
      <c r="C42" s="7" t="n">
        <v>12.68</v>
      </c>
      <c r="D42" s="7" t="n">
        <v>7.5</v>
      </c>
      <c r="E42" s="7" t="n">
        <v>2</v>
      </c>
      <c r="F42" s="7" t="inlineStr">
        <is>
          <t>3-5/8" 20 ga</t>
        </is>
      </c>
      <c r="G42" s="7" t="n">
        <v>16</v>
      </c>
      <c r="H42" s="7" t="n">
        <v>190.2</v>
      </c>
      <c r="I42" s="7" t="inlineStr">
        <is>
          <t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      </is>
      </c>
      <c r="J42" s="7" t="inlineStr">
        <is>
          <t>4/A-410</t>
        </is>
      </c>
      <c r="K42" s="7" t="inlineStr">
        <is>
          <t>[DERIVED]</t>
        </is>
      </c>
    </row>
    <row r="43" ht="15" customHeight="1" s="8">
      <c r="A43" s="7" t="inlineStr">
        <is>
          <t>4  #W4-31d  -  Hourglass display feature, south end cap: west angled leg from end return to curved wall (untagged TYP. copy of the PT0037 north cap)</t>
        </is>
      </c>
      <c r="B43" s="7" t="inlineStr">
        <is>
          <t>W4-31d</t>
        </is>
      </c>
      <c r="C43" s="7" t="n">
        <v>1.75</v>
      </c>
      <c r="D43" s="7" t="n">
        <v>7.5</v>
      </c>
      <c r="E43" s="7" t="n">
        <v>2</v>
      </c>
      <c r="F43" s="7" t="inlineStr">
        <is>
          <t>3-5/8" 20 ga</t>
        </is>
      </c>
      <c r="G43" s="7" t="n">
        <v>16</v>
      </c>
      <c r="H43" s="7" t="n">
        <v>26.24</v>
      </c>
      <c r="I43" s="7" t="inlineStr">
        <is>
          <t>Hourglass display feature, south end cap: west angled leg from end return to curved wall (untagged TYP. copy of the PT0037 north cap)</t>
        </is>
      </c>
      <c r="J43" s="7" t="inlineStr">
        <is>
          <t>4/A-410</t>
        </is>
      </c>
      <c r="K43" s="7" t="inlineStr">
        <is>
          <t>[DERIVED]</t>
        </is>
      </c>
    </row>
    <row r="44" ht="15" customHeight="1" s="8">
      <c r="A44" s="7" t="inlineStr">
        <is>
          <t>4  #W4-31e  -  Hourglass display feature, south end cap: east angled leg from end return to curved wall (untagged TYP. copy of the PT0037 north cap)</t>
        </is>
      </c>
      <c r="B44" s="7" t="inlineStr">
        <is>
          <t>W4-31e</t>
        </is>
      </c>
      <c r="C44" s="7" t="n">
        <v>1.68</v>
      </c>
      <c r="D44" s="7" t="n">
        <v>7.5</v>
      </c>
      <c r="E44" s="7" t="n">
        <v>2</v>
      </c>
      <c r="F44" s="7" t="inlineStr">
        <is>
          <t>3-5/8" 20 ga</t>
        </is>
      </c>
      <c r="G44" s="7" t="n">
        <v>16</v>
      </c>
      <c r="H44" s="7" t="n">
        <v>25.2</v>
      </c>
      <c r="I44" s="7" t="inlineStr">
        <is>
          <t>Hourglass display feature, south end cap: east angled leg from end return to curved wall (untagged TYP. copy of the PT0037 north cap)</t>
        </is>
      </c>
      <c r="J44" s="7" t="inlineStr">
        <is>
          <t>4/A-410</t>
        </is>
      </c>
      <c r="K44" s="7" t="inlineStr">
        <is>
          <t>[DERIVED]</t>
        </is>
      </c>
    </row>
    <row r="45" ht="15" customHeight="1" s="8">
      <c r="B45" s="13" t="inlineStr">
        <is>
          <t>SUBTOTAL TYPE 4</t>
        </is>
      </c>
      <c r="C45" s="7">
        <f>SUM(C27:C44)</f>
        <v/>
      </c>
      <c r="H45" s="7">
        <f>SUM(H27:H44)</f>
        <v/>
      </c>
    </row>
    <row r="46" ht="15" customHeight="1" s="8">
      <c r="A46" s="12" t="inlineStr">
        <is>
          <t>TYPE H1</t>
        </is>
      </c>
    </row>
    <row r="47" ht="15" customHeight="1" s="8">
      <c r="A47" s="7" t="inlineStr">
        <is>
          <t>H1  #C-H1-N  -  Cafe Workroom 104 north wall (to Sales / Grab &amp; Go)</t>
        </is>
      </c>
      <c r="B47" s="7" t="inlineStr">
        <is>
          <t>C-H1-N</t>
        </is>
      </c>
      <c r="C47" s="7" t="n">
        <v>29.98</v>
      </c>
      <c r="D47" s="7" t="n">
        <v>25</v>
      </c>
      <c r="E47" s="7" t="n">
        <v>1</v>
      </c>
      <c r="F47" s="7" t="inlineStr">
        <is>
          <t>6" 20 ga SJ</t>
        </is>
      </c>
      <c r="G47" s="7" t="n">
        <v>16</v>
      </c>
      <c r="H47" s="7" t="n">
        <v>678.4400000000001</v>
      </c>
      <c r="I47" s="7" t="inlineStr">
        <is>
          <t>Cafe Workroom 104 north wall (to Sales / Grab &amp; Go) | Board by face: A Sales Area 101 25.9 x 25 ft (5/8 type X); A Grab &amp; Go 4.08 x 7.58 ft (5/8 type X)</t>
        </is>
      </c>
      <c r="J47" s="7" t="inlineStr">
        <is>
          <t>G/A-221</t>
        </is>
      </c>
      <c r="K47" s="7" t="inlineStr">
        <is>
          <t>[DERIVED]</t>
        </is>
      </c>
    </row>
    <row r="48" ht="15" customHeight="1" s="8">
      <c r="A48" s="7" t="inlineStr">
        <is>
          <t>H1  #C-H1-W  -  Cafe Workroom 104 west wall</t>
        </is>
      </c>
      <c r="B48" s="7" t="inlineStr">
        <is>
          <t>C-H1-W</t>
        </is>
      </c>
      <c r="C48" s="7" t="n">
        <v>12.17</v>
      </c>
      <c r="D48" s="7" t="n">
        <v>25</v>
      </c>
      <c r="E48" s="7" t="n">
        <v>1</v>
      </c>
      <c r="F48" s="7" t="inlineStr">
        <is>
          <t>6" 20 ga SJ</t>
        </is>
      </c>
      <c r="G48" s="7" t="n">
        <v>16</v>
      </c>
      <c r="H48" s="7" t="n">
        <v>115.61</v>
      </c>
      <c r="I48" s="7" t="inlineStr">
        <is>
          <t>Cafe Workroom 104 west wall | Board by face: A Manager's Office 105 12.17 x 9.5 ft (5/8 type X)</t>
        </is>
      </c>
      <c r="J48" s="7" t="inlineStr">
        <is>
          <t>G/A-221</t>
        </is>
      </c>
      <c r="K48" s="7" t="inlineStr">
        <is>
          <t>[DERIVED]</t>
        </is>
      </c>
    </row>
    <row r="49" ht="15" customHeight="1" s="8">
      <c r="B49" s="13" t="inlineStr">
        <is>
          <t>SUBTOTAL TYPE H1</t>
        </is>
      </c>
      <c r="C49" s="7">
        <f>SUM(C47:C48)</f>
        <v/>
      </c>
      <c r="H49" s="7">
        <f>SUM(H47:H48)</f>
        <v/>
      </c>
    </row>
    <row r="50" ht="15" customHeight="1" s="8">
      <c r="A50" s="12" t="inlineStr">
        <is>
          <t>TYPE H2A</t>
        </is>
      </c>
    </row>
    <row r="51" ht="15" customHeight="1" s="8">
      <c r="A51" s="7" t="inlineStr">
        <is>
          <t>H2A  #C-H2a  -  Cafe Workroom 104 / Cafe Sales (4'-0" door inside wall)</t>
        </is>
      </c>
      <c r="B51" s="7" t="inlineStr">
        <is>
          <t>C-H2a</t>
        </is>
      </c>
      <c r="C51" s="7" t="n">
        <v>12.17</v>
      </c>
      <c r="D51" s="7" t="n">
        <v>25</v>
      </c>
      <c r="E51" s="7" t="n">
        <v>1</v>
      </c>
      <c r="F51" s="7" t="inlineStr">
        <is>
          <t>3-5/8" 14 ga SJ</t>
        </is>
      </c>
      <c r="G51" s="7" t="n">
        <v>16</v>
      </c>
      <c r="H51" s="7" t="n">
        <v>304.25</v>
      </c>
      <c r="I51" s="7" t="inlineStr">
        <is>
          <t>Cafe Workroom 104 / Cafe Sales (4'-0" door inside wall) | Board by face: B Cafe 103 12.17 x 25 ft (5/8 type X)</t>
        </is>
      </c>
      <c r="J51" s="7" t="inlineStr">
        <is>
          <t>G/A-221</t>
        </is>
      </c>
      <c r="K51" s="7" t="inlineStr">
        <is>
          <t>[DERIVED]</t>
        </is>
      </c>
    </row>
    <row r="52" ht="15" customHeight="1" s="8">
      <c r="B52" s="13" t="inlineStr">
        <is>
          <t>SUBTOTAL TYPE H2A</t>
        </is>
      </c>
      <c r="C52" s="7">
        <f>SUM(C51:C51)</f>
        <v/>
      </c>
      <c r="H52" s="7">
        <f>SUM(H51:H51)</f>
        <v/>
      </c>
    </row>
    <row r="53" ht="15" customHeight="1" s="8">
      <c r="A53" s="12" t="inlineStr">
        <is>
          <t>TYPE H2B</t>
        </is>
      </c>
    </row>
    <row r="54" ht="15" customHeight="1" s="8">
      <c r="A54" s="7" t="inlineStr">
        <is>
          <t>H2B  #C-H2b  -  Cafe Workroom 104 stub wall</t>
        </is>
      </c>
      <c r="B54" s="7" t="inlineStr">
        <is>
          <t>C-H2b</t>
        </is>
      </c>
      <c r="C54" s="7" t="n">
        <v>1.95</v>
      </c>
      <c r="D54" s="7" t="n">
        <v>25</v>
      </c>
      <c r="E54" s="7" t="n">
        <v>0</v>
      </c>
      <c r="F54" s="7" t="inlineStr">
        <is>
          <t>3-5/8" 14 ga SJ</t>
        </is>
      </c>
      <c r="G54" s="7" t="n">
        <v>16</v>
      </c>
      <c r="H54" s="7" t="n">
        <v>0</v>
      </c>
      <c r="I54" s="7" t="inlineStr">
        <is>
          <t>Cafe Workroom 104 stub wall</t>
        </is>
      </c>
      <c r="J54" s="7" t="inlineStr">
        <is>
          <t>G/A-221</t>
        </is>
      </c>
      <c r="K54" s="7" t="inlineStr">
        <is>
          <t>[DERIVED]</t>
        </is>
      </c>
    </row>
    <row r="55" ht="15" customHeight="1" s="8">
      <c r="B55" s="13" t="inlineStr">
        <is>
          <t>SUBTOTAL TYPE H2B</t>
        </is>
      </c>
      <c r="C55" s="7">
        <f>SUM(C54:C54)</f>
        <v/>
      </c>
      <c r="H55" s="7">
        <f>SUM(H54:H54)</f>
        <v/>
      </c>
    </row>
    <row r="56" ht="15" customHeight="1" s="8">
      <c r="A56" s="12" t="inlineStr">
        <is>
          <t>TYPE H3A</t>
        </is>
      </c>
    </row>
    <row r="57" ht="15" customHeight="1" s="8">
      <c r="A57" s="7" t="inlineStr">
        <is>
          <t>H3A  #C-H3a  -  Grab &amp; Go north wall</t>
        </is>
      </c>
      <c r="B57" s="7" t="inlineStr">
        <is>
          <t>C-H3a</t>
        </is>
      </c>
      <c r="C57" s="7" t="n">
        <v>4.08</v>
      </c>
      <c r="D57" s="7" t="n">
        <v>25</v>
      </c>
      <c r="E57" s="7" t="n">
        <v>1</v>
      </c>
      <c r="F57" s="7" t="inlineStr">
        <is>
          <t>6" 20 ga SJ</t>
        </is>
      </c>
      <c r="G57" s="7" t="n">
        <v>16</v>
      </c>
      <c r="H57" s="7" t="n">
        <v>30.94</v>
      </c>
      <c r="I57" s="7" t="inlineStr">
        <is>
          <t>Grab &amp; Go north wall | Board by face: B Grab &amp; Go 4.08 x 7.58 ft (5/8 type X)</t>
        </is>
      </c>
      <c r="J57" s="7" t="inlineStr">
        <is>
          <t>H/A-221</t>
        </is>
      </c>
      <c r="K57" s="7" t="inlineStr">
        <is>
          <t>[DERIVED]</t>
        </is>
      </c>
    </row>
    <row r="58" ht="15" customHeight="1" s="8">
      <c r="B58" s="13" t="inlineStr">
        <is>
          <t>SUBTOTAL TYPE H3A</t>
        </is>
      </c>
      <c r="C58" s="7">
        <f>SUM(C57:C57)</f>
        <v/>
      </c>
      <c r="H58" s="7">
        <f>SUM(H57:H57)</f>
        <v/>
      </c>
    </row>
    <row r="59" ht="15" customHeight="1" s="8">
      <c r="A59" s="12" t="inlineStr">
        <is>
          <t>TYPE H3B</t>
        </is>
      </c>
    </row>
    <row r="60" ht="15" customHeight="1" s="8">
      <c r="A60" s="7" t="inlineStr">
        <is>
          <t>H3B  #C-H3b  -  Grab &amp; Go west wall</t>
        </is>
      </c>
      <c r="B60" s="7" t="inlineStr">
        <is>
          <t>C-H3b</t>
        </is>
      </c>
      <c r="C60" s="7" t="n">
        <v>6.17</v>
      </c>
      <c r="D60" s="7" t="n">
        <v>25</v>
      </c>
      <c r="E60" s="7" t="n">
        <v>2</v>
      </c>
      <c r="F60" s="7" t="inlineStr">
        <is>
          <t>6" 20 ga SJ</t>
        </is>
      </c>
      <c r="G60" s="7" t="n">
        <v>16</v>
      </c>
      <c r="H60" s="7" t="n">
        <v>151.68</v>
      </c>
      <c r="I60" s="7" t="inlineStr">
        <is>
          <t>Grab &amp; Go west wall | Board by face: B Grab &amp; Go 6.17 x 7.58 ft (5/8 type X); A Sales Area 101 6.17 x 17 ft (5/8 type X)</t>
        </is>
      </c>
      <c r="J60" s="7" t="inlineStr">
        <is>
          <t>H/A-221</t>
        </is>
      </c>
      <c r="K60" s="7" t="inlineStr">
        <is>
          <t>[DERIVED]</t>
        </is>
      </c>
    </row>
    <row r="61" ht="15" customHeight="1" s="8">
      <c r="B61" s="13" t="inlineStr">
        <is>
          <t>SUBTOTAL TYPE H3B</t>
        </is>
      </c>
      <c r="C61" s="7">
        <f>SUM(C60:C60)</f>
        <v/>
      </c>
      <c r="H61" s="7">
        <f>SUM(H60:H60)</f>
        <v/>
      </c>
    </row>
    <row r="62" ht="15" customHeight="1" s="8">
      <c r="A62" s="12" t="inlineStr">
        <is>
          <t>TYPE E2</t>
        </is>
      </c>
    </row>
    <row r="63" ht="15" customHeight="1" s="8">
      <c r="A63" s="7" t="inlineStr">
        <is>
          <t>E2  #C-E2  -  South wall, Cafe Workroom 104 (in front of demising / exterior wall)</t>
        </is>
      </c>
      <c r="B63" s="7" t="inlineStr">
        <is>
          <t>C-E2</t>
        </is>
      </c>
      <c r="C63" s="7" t="n">
        <v>29.3</v>
      </c>
      <c r="D63" s="7" t="n">
        <v>25</v>
      </c>
      <c r="E63" s="7" t="n">
        <v>0</v>
      </c>
      <c r="F63" s="7" t="inlineStr">
        <is>
          <t>6" 20 ga SJ</t>
        </is>
      </c>
      <c r="G63" s="7" t="n">
        <v>16</v>
      </c>
      <c r="H63" s="7" t="n">
        <v>0</v>
      </c>
      <c r="I63" s="7" t="inlineStr">
        <is>
          <t>South wall, Cafe Workroom 104 (in front of demising / exterior wall)</t>
        </is>
      </c>
      <c r="J63" s="7" t="inlineStr">
        <is>
          <t>E/A-221</t>
        </is>
      </c>
      <c r="K63" s="7" t="inlineStr">
        <is>
          <t>[DERIVED]</t>
        </is>
      </c>
    </row>
    <row r="64" ht="15" customHeight="1" s="8">
      <c r="B64" s="13" t="inlineStr">
        <is>
          <t>SUBTOTAL TYPE E2</t>
        </is>
      </c>
      <c r="C64" s="7">
        <f>SUM(C63:C63)</f>
        <v/>
      </c>
      <c r="H64" s="7">
        <f>SUM(H63:H63)</f>
        <v/>
      </c>
    </row>
    <row r="65" ht="15" customHeight="1" s="8">
      <c r="A65" s="12" t="inlineStr">
        <is>
          <t>TYPE E1</t>
        </is>
      </c>
    </row>
    <row r="66" ht="15" customHeight="1" s="8">
      <c r="A66" s="7" t="inlineStr">
        <is>
          <t>E1  #C-E1-B  -  Box at SE corner of Cafe Sales - west side</t>
        </is>
      </c>
      <c r="B66" s="7" t="inlineStr">
        <is>
          <t>C-E1-B</t>
        </is>
      </c>
      <c r="C66" s="7" t="n">
        <v>2.31</v>
      </c>
      <c r="D66" s="7" t="n">
        <v>25</v>
      </c>
      <c r="E66" s="7" t="n">
        <v>1</v>
      </c>
      <c r="F66" s="7" t="inlineStr">
        <is>
          <t>6" 20 ga SJ</t>
        </is>
      </c>
      <c r="G66" s="7" t="n">
        <v>16</v>
      </c>
      <c r="H66" s="7" t="n">
        <v>57.75</v>
      </c>
      <c r="I66" s="7" t="inlineStr">
        <is>
          <t>Box at SE corner of Cafe Sales - west side</t>
        </is>
      </c>
      <c r="J66" s="7" t="inlineStr">
        <is>
          <t>E/A-221</t>
        </is>
      </c>
      <c r="K66" s="7" t="inlineStr">
        <is>
          <t>[DERIVED]</t>
        </is>
      </c>
    </row>
    <row r="67" ht="15" customHeight="1" s="8">
      <c r="A67" s="7" t="inlineStr">
        <is>
          <t>E1  #C-E1-P.2  -  Pier at Workroom door (1'-0" x 2'-8" HOLD printed)</t>
        </is>
      </c>
      <c r="B67" s="7" t="inlineStr">
        <is>
          <t>C-E1-P.2</t>
        </is>
      </c>
      <c r="C67" s="7" t="n">
        <v>2.11</v>
      </c>
      <c r="D67" s="7" t="n">
        <v>25</v>
      </c>
      <c r="E67" s="7" t="n">
        <v>1</v>
      </c>
      <c r="F67" s="7" t="inlineStr">
        <is>
          <t>6" 20 ga SJ</t>
        </is>
      </c>
      <c r="G67" s="7" t="n">
        <v>16</v>
      </c>
      <c r="H67" s="7" t="n">
        <v>52.75</v>
      </c>
      <c r="I67" s="7" t="inlineStr">
        <is>
          <t>Pier at Workroom door (1'-0" x 2'-8" HOLD printed)</t>
        </is>
      </c>
      <c r="J67" s="7" t="inlineStr">
        <is>
          <t>E/A-221</t>
        </is>
      </c>
      <c r="K67" s="7" t="inlineStr">
        <is>
          <t>[DERIVED]</t>
        </is>
      </c>
    </row>
    <row r="68" ht="15" customHeight="1" s="8">
      <c r="A68" s="7" t="inlineStr">
        <is>
          <t>E1  #C-E1-S  -  South wall, Cafe Sales 103 (in front of exterior wall)</t>
        </is>
      </c>
      <c r="B68" s="7" t="inlineStr">
        <is>
          <t>C-E1-S</t>
        </is>
      </c>
      <c r="C68" s="7" t="n">
        <v>23.46</v>
      </c>
      <c r="D68" s="7" t="n">
        <v>25</v>
      </c>
      <c r="E68" s="7" t="n">
        <v>0.8100000000000001</v>
      </c>
      <c r="F68" s="7" t="inlineStr">
        <is>
          <t>6" 20 ga SJ</t>
        </is>
      </c>
      <c r="G68" s="7" t="n">
        <v>16</v>
      </c>
      <c r="H68" s="7" t="n">
        <v>475</v>
      </c>
      <c r="I68" s="7" t="inlineStr">
        <is>
          <t>South wall, Cafe Sales 103 (in front of exterior wall) | Board by face: A Cafe 103 19 x 25 ft (1/2 cement board); A concealed: behind the Workroom door pier and inside the SE box (no cement board) 4.46 x 0 ft (1/2 cement board)</t>
        </is>
      </c>
      <c r="J68" s="7" t="inlineStr">
        <is>
          <t>E/A-221</t>
        </is>
      </c>
      <c r="K68" s="7" t="inlineStr">
        <is>
          <t>[DERIVED]</t>
        </is>
      </c>
    </row>
    <row r="69" ht="15" customHeight="1" s="8">
      <c r="B69" s="13" t="inlineStr">
        <is>
          <t>SUBTOTAL TYPE E1</t>
        </is>
      </c>
      <c r="C69" s="7">
        <f>SUM(C66:C68)</f>
        <v/>
      </c>
      <c r="H69" s="7">
        <f>SUM(H66:H68)</f>
        <v/>
      </c>
    </row>
    <row r="70" ht="15" customHeight="1" s="8">
      <c r="A70" s="12" t="inlineStr">
        <is>
          <t>TYPE F</t>
        </is>
      </c>
    </row>
    <row r="71" ht="15" customHeight="1" s="8">
      <c r="A71" s="7" t="inlineStr">
        <is>
          <t>F  #C-F  -  Box at SE corner of Cafe Sales - north side (3'-3" printed)</t>
        </is>
      </c>
      <c r="B71" s="7" t="inlineStr">
        <is>
          <t>C-F</t>
        </is>
      </c>
      <c r="C71" s="7" t="n">
        <v>3.26</v>
      </c>
      <c r="D71" s="7" t="n">
        <v>25</v>
      </c>
      <c r="E71" s="7" t="n">
        <v>0</v>
      </c>
      <c r="F71" s="7" t="inlineStr">
        <is>
          <t>3-5/8" 14 ga SJ</t>
        </is>
      </c>
      <c r="G71" s="7" t="n">
        <v>16</v>
      </c>
      <c r="H71" s="7" t="n">
        <v>0</v>
      </c>
      <c r="I71" s="7" t="inlineStr">
        <is>
          <t>Box at SE corner of Cafe Sales - north side (3'-3" printed)</t>
        </is>
      </c>
      <c r="J71" s="7" t="inlineStr">
        <is>
          <t>F/A-221</t>
        </is>
      </c>
      <c r="K71" s="7" t="inlineStr">
        <is>
          <t>[DERIVED]</t>
        </is>
      </c>
    </row>
    <row r="72" ht="15" customHeight="1" s="8">
      <c r="B72" s="13" t="inlineStr">
        <is>
          <t>SUBTOTAL TYPE F</t>
        </is>
      </c>
      <c r="C72" s="7">
        <f>SUM(C71:C71)</f>
        <v/>
      </c>
      <c r="H72" s="7">
        <f>SUM(H71:H71)</f>
        <v/>
      </c>
    </row>
    <row r="73" ht="15" customHeight="1" s="8">
      <c r="A73" s="12" t="inlineStr">
        <is>
          <t>TYPE I</t>
        </is>
      </c>
    </row>
    <row r="74" ht="15" customHeight="1" s="8">
      <c r="A74" s="7" t="inlineStr">
        <is>
          <t>I  #C-I  -  Box at SE corner of Cafe Sales - east side</t>
        </is>
      </c>
      <c r="B74" s="7" t="inlineStr">
        <is>
          <t>C-I</t>
        </is>
      </c>
      <c r="C74" s="7" t="n">
        <v>2.31</v>
      </c>
      <c r="D74" s="7" t="n">
        <v>25</v>
      </c>
      <c r="E74" s="7" t="n">
        <v>1</v>
      </c>
      <c r="F74" s="7" t="inlineStr">
        <is>
          <t>6" 20 ga SJ</t>
        </is>
      </c>
      <c r="G74" s="7" t="n">
        <v>16</v>
      </c>
      <c r="H74" s="7" t="n">
        <v>23.1</v>
      </c>
      <c r="I74" s="7" t="inlineStr">
        <is>
          <t>Box at SE corner of Cafe Sales - east side | Board by face: A Cafe 103 2.31 x 10 ft (5/8 type X)</t>
        </is>
      </c>
      <c r="J74" s="7" t="inlineStr">
        <is>
          <t>I/A-221</t>
        </is>
      </c>
      <c r="K74" s="7" t="inlineStr">
        <is>
          <t>[DERIVED]</t>
        </is>
      </c>
    </row>
    <row r="75" ht="15" customHeight="1" s="8">
      <c r="A75" s="7" t="inlineStr">
        <is>
          <t>I  #C-I-E1  -  Type I end face (I SIM.) at the east end of C-H3a, Sales side</t>
        </is>
      </c>
      <c r="B75" s="7" t="inlineStr">
        <is>
          <t>C-I-E1</t>
        </is>
      </c>
      <c r="C75" s="7" t="n">
        <v>0.603</v>
      </c>
      <c r="D75" s="7" t="n">
        <v>25</v>
      </c>
      <c r="E75" s="7" t="n">
        <v>1</v>
      </c>
      <c r="F75" s="7" t="inlineStr">
        <is>
          <t>6" 20 ga SJ</t>
        </is>
      </c>
      <c r="G75" s="7" t="n">
        <v>16</v>
      </c>
      <c r="H75" s="7" t="n">
        <v>6.03</v>
      </c>
      <c r="I75" s="7" t="inlineStr">
        <is>
          <t>Type I end face (I SIM.) at the east end of C-H3a, Sales side | Board by face: A Sales Area 101 0.6 x 10 ft (5/8 type X)</t>
        </is>
      </c>
      <c r="J75" s="7" t="inlineStr">
        <is>
          <t>I/A-221</t>
        </is>
      </c>
      <c r="K75" s="7" t="inlineStr">
        <is>
          <t>[DERIVED]</t>
        </is>
      </c>
    </row>
    <row r="76" ht="15" customHeight="1" s="8">
      <c r="A76" s="7" t="inlineStr">
        <is>
          <t>I  #C-I-E2  -  Type I end face (I SIM.) at the east end of C-H1-N, Sales side</t>
        </is>
      </c>
      <c r="B76" s="7" t="inlineStr">
        <is>
          <t>C-I-E2</t>
        </is>
      </c>
      <c r="C76" s="7" t="n">
        <v>0.603</v>
      </c>
      <c r="D76" s="7" t="n">
        <v>25</v>
      </c>
      <c r="E76" s="7" t="n">
        <v>1</v>
      </c>
      <c r="F76" s="7" t="inlineStr">
        <is>
          <t>6" 20 ga SJ</t>
        </is>
      </c>
      <c r="G76" s="7" t="n">
        <v>16</v>
      </c>
      <c r="H76" s="7" t="n">
        <v>6.03</v>
      </c>
      <c r="I76" s="7" t="inlineStr">
        <is>
          <t>Type I end face (I SIM.) at the east end of C-H1-N, Sales side | Board by face: A Sales Area 101 0.6 x 10 ft (5/8 type X)</t>
        </is>
      </c>
      <c r="J76" s="7" t="inlineStr">
        <is>
          <t>I/A-221</t>
        </is>
      </c>
      <c r="K76" s="7" t="inlineStr">
        <is>
          <t>[DERIVED]</t>
        </is>
      </c>
    </row>
    <row r="77" ht="15" customHeight="1" s="8">
      <c r="A77" s="7" t="inlineStr">
        <is>
          <t>I  #C-I-P.1  -  1'-0" return at the top of the Workroom door pier (I tag)</t>
        </is>
      </c>
      <c r="B77" s="7" t="inlineStr">
        <is>
          <t>C-I-P.1</t>
        </is>
      </c>
      <c r="C77" s="7" t="n">
        <v>1</v>
      </c>
      <c r="D77" s="7" t="n">
        <v>25</v>
      </c>
      <c r="E77" s="7" t="n">
        <v>1</v>
      </c>
      <c r="F77" s="7" t="inlineStr">
        <is>
          <t>6" 20 ga SJ</t>
        </is>
      </c>
      <c r="G77" s="7" t="n">
        <v>16</v>
      </c>
      <c r="H77" s="7" t="n">
        <v>10</v>
      </c>
      <c r="I77" s="7" t="inlineStr">
        <is>
          <t>1'-0" return at the top of the Workroom door pier (I tag) | Board by face: A Cafe 103 1 x 10 ft (5/8 type X)</t>
        </is>
      </c>
      <c r="J77" s="7" t="inlineStr">
        <is>
          <t>I/A-221</t>
        </is>
      </c>
      <c r="K77" s="7" t="inlineStr">
        <is>
          <t>[DERIVED]</t>
        </is>
      </c>
    </row>
    <row r="78" ht="15" customHeight="1" s="8">
      <c r="B78" s="13" t="inlineStr">
        <is>
          <t>SUBTOTAL TYPE I</t>
        </is>
      </c>
      <c r="C78" s="7">
        <f>SUM(C74:C77)</f>
        <v/>
      </c>
      <c r="H78" s="7">
        <f>SUM(H74:H77)</f>
        <v/>
      </c>
    </row>
    <row r="79" ht="15" customHeight="1" s="8">
      <c r="A79" s="12" t="inlineStr">
        <is>
          <t>TYPE A</t>
        </is>
      </c>
    </row>
    <row r="80" ht="15" customHeight="1" s="8">
      <c r="A80" s="7" t="inlineStr">
        <is>
          <t>A  #C-A-1  -  Front counter - straight run</t>
        </is>
      </c>
      <c r="B80" s="7" t="inlineStr">
        <is>
          <t>C-A-1</t>
        </is>
      </c>
      <c r="C80" s="7" t="n">
        <v>9.890000000000001</v>
      </c>
      <c r="D80" s="7" t="n">
        <v>2.708</v>
      </c>
      <c r="E80" s="7" t="n">
        <v>2</v>
      </c>
      <c r="F80" s="7" t="inlineStr">
        <is>
          <t>3-5/8" 20 ga</t>
        </is>
      </c>
      <c r="G80" s="7" t="n">
        <v>16</v>
      </c>
      <c r="H80" s="7" t="n">
        <v>53.56</v>
      </c>
      <c r="I80" s="7" t="inlineStr">
        <is>
          <t>Front counter - straight run</t>
        </is>
      </c>
      <c r="J80" s="7" t="inlineStr">
        <is>
          <t>A/A-221</t>
        </is>
      </c>
      <c r="K80" s="7" t="inlineStr">
        <is>
          <t>[DERIVED]</t>
        </is>
      </c>
    </row>
    <row r="81" ht="15" customHeight="1" s="8">
      <c r="A81" s="7" t="inlineStr">
        <is>
          <t>A  #C-A-2  -  Front counter - 45 deg segment</t>
        </is>
      </c>
      <c r="B81" s="7" t="inlineStr">
        <is>
          <t>C-A-2</t>
        </is>
      </c>
      <c r="C81" s="7" t="n">
        <v>4.14</v>
      </c>
      <c r="D81" s="7" t="n">
        <v>2.708</v>
      </c>
      <c r="E81" s="7" t="n">
        <v>2</v>
      </c>
      <c r="F81" s="7" t="inlineStr">
        <is>
          <t>3-5/8" 20 ga</t>
        </is>
      </c>
      <c r="G81" s="7" t="n">
        <v>16</v>
      </c>
      <c r="H81" s="7" t="n">
        <v>22.42</v>
      </c>
      <c r="I81" s="7" t="inlineStr">
        <is>
          <t>Front counter - 45 deg segment</t>
        </is>
      </c>
      <c r="J81" s="7" t="inlineStr">
        <is>
          <t>A/A-221</t>
        </is>
      </c>
      <c r="K81" s="7" t="inlineStr">
        <is>
          <t>[DERIVED]</t>
        </is>
      </c>
    </row>
    <row r="82" ht="15" customHeight="1" s="8">
      <c r="A82" s="7" t="inlineStr">
        <is>
          <t>A  #C-A-3  -  Front counter - east run to box</t>
        </is>
      </c>
      <c r="B82" s="7" t="inlineStr">
        <is>
          <t>C-A-3</t>
        </is>
      </c>
      <c r="C82" s="7" t="n">
        <v>6.24</v>
      </c>
      <c r="D82" s="7" t="n">
        <v>2.708</v>
      </c>
      <c r="E82" s="7" t="n">
        <v>2</v>
      </c>
      <c r="F82" s="7" t="inlineStr">
        <is>
          <t>3-5/8" 20 ga</t>
        </is>
      </c>
      <c r="G82" s="7" t="n">
        <v>16</v>
      </c>
      <c r="H82" s="7" t="n">
        <v>33.8</v>
      </c>
      <c r="I82" s="7" t="inlineStr">
        <is>
          <t>Front counter - east run to box</t>
        </is>
      </c>
      <c r="J82" s="7" t="inlineStr">
        <is>
          <t>A/A-221</t>
        </is>
      </c>
      <c r="K82" s="7" t="inlineStr">
        <is>
          <t>[DERIVED]</t>
        </is>
      </c>
    </row>
    <row r="83" ht="15" customHeight="1" s="8">
      <c r="B83" s="13" t="inlineStr">
        <is>
          <t>SUBTOTAL TYPE A</t>
        </is>
      </c>
      <c r="C83" s="7">
        <f>SUM(C80:C82)</f>
        <v/>
      </c>
      <c r="H83" s="7">
        <f>SUM(H80:H82)</f>
        <v/>
      </c>
    </row>
    <row r="84" ht="15" customHeight="1" s="8">
      <c r="A84" s="12" t="inlineStr">
        <is>
          <t>TYPE B</t>
        </is>
      </c>
    </row>
    <row r="85" ht="15" customHeight="1" s="8">
      <c r="A85" s="7" t="inlineStr">
        <is>
          <t>B  #C-B  -  Pastry counter - west leg</t>
        </is>
      </c>
      <c r="B85" s="7" t="inlineStr">
        <is>
          <t>C-B</t>
        </is>
      </c>
      <c r="C85" s="7" t="n">
        <v>3.17</v>
      </c>
      <c r="D85" s="7" t="n">
        <v>2.708</v>
      </c>
      <c r="E85" s="7" t="n">
        <v>2</v>
      </c>
      <c r="F85" s="7" t="inlineStr">
        <is>
          <t>3-5/8" 20 ga</t>
        </is>
      </c>
      <c r="G85" s="7" t="n">
        <v>16</v>
      </c>
      <c r="H85" s="7" t="n">
        <v>17.16</v>
      </c>
      <c r="I85" s="7" t="inlineStr">
        <is>
          <t>Pastry counter - west leg</t>
        </is>
      </c>
      <c r="J85" s="7" t="inlineStr">
        <is>
          <t>B/A-221</t>
        </is>
      </c>
      <c r="K85" s="7" t="inlineStr">
        <is>
          <t>[DERIVED]</t>
        </is>
      </c>
    </row>
    <row r="86" ht="15" customHeight="1" s="8">
      <c r="B86" s="13" t="inlineStr">
        <is>
          <t>SUBTOTAL TYPE B</t>
        </is>
      </c>
      <c r="C86" s="7">
        <f>SUM(C85:C85)</f>
        <v/>
      </c>
      <c r="H86" s="7">
        <f>SUM(H85:H85)</f>
        <v/>
      </c>
    </row>
    <row r="87" ht="15" customHeight="1" s="8">
      <c r="A87" s="12" t="inlineStr">
        <is>
          <t>TYPE D</t>
        </is>
      </c>
    </row>
    <row r="88" ht="15" customHeight="1" s="8">
      <c r="A88" s="7" t="inlineStr">
        <is>
          <t>D  #C-D  -  Pastry counter - south (between legs)</t>
        </is>
      </c>
      <c r="B88" s="7" t="inlineStr">
        <is>
          <t>C-D</t>
        </is>
      </c>
      <c r="C88" s="7" t="n">
        <v>5.14</v>
      </c>
      <c r="D88" s="7" t="n">
        <v>1</v>
      </c>
      <c r="E88" s="7" t="n">
        <v>2</v>
      </c>
      <c r="F88" s="7" t="inlineStr">
        <is>
          <t>3-5/8" 20 ga</t>
        </is>
      </c>
      <c r="G88" s="7" t="n">
        <v>16</v>
      </c>
      <c r="H88" s="7" t="n">
        <v>10.28</v>
      </c>
      <c r="I88" s="7" t="inlineStr">
        <is>
          <t>Pastry counter - south (between legs)</t>
        </is>
      </c>
      <c r="J88" s="7" t="inlineStr">
        <is>
          <t>D/A-221</t>
        </is>
      </c>
      <c r="K88" s="7" t="inlineStr">
        <is>
          <t>[DERIVED]</t>
        </is>
      </c>
    </row>
    <row r="89" ht="15" customHeight="1" s="8">
      <c r="B89" s="13" t="inlineStr">
        <is>
          <t>SUBTOTAL TYPE D</t>
        </is>
      </c>
      <c r="C89" s="7">
        <f>SUM(C88:C88)</f>
        <v/>
      </c>
      <c r="H89" s="7">
        <f>SUM(H88:H88)</f>
        <v/>
      </c>
    </row>
    <row r="90" ht="15" customHeight="1" s="8">
      <c r="A90" s="12" t="inlineStr">
        <is>
          <t>TYPE C</t>
        </is>
      </c>
    </row>
    <row r="91" ht="15" customHeight="1" s="8">
      <c r="A91" s="7" t="inlineStr">
        <is>
          <t>C  #C-C  -  Pastry counter - east leg</t>
        </is>
      </c>
      <c r="B91" s="7" t="inlineStr">
        <is>
          <t>C-C</t>
        </is>
      </c>
      <c r="C91" s="7" t="n">
        <v>3.17</v>
      </c>
      <c r="D91" s="7" t="n">
        <v>2.708</v>
      </c>
      <c r="E91" s="7" t="n">
        <v>2</v>
      </c>
      <c r="F91" s="7" t="inlineStr">
        <is>
          <t>3-5/8" 20 ga</t>
        </is>
      </c>
      <c r="G91" s="7" t="n">
        <v>16</v>
      </c>
      <c r="H91" s="7" t="n">
        <v>17.16</v>
      </c>
      <c r="I91" s="7" t="inlineStr">
        <is>
          <t>Pastry counter - east leg</t>
        </is>
      </c>
      <c r="J91" s="7" t="inlineStr">
        <is>
          <t>C/A-221</t>
        </is>
      </c>
      <c r="K91" s="7" t="inlineStr">
        <is>
          <t>[DERIVED]</t>
        </is>
      </c>
    </row>
    <row r="92" ht="15" customHeight="1" s="8">
      <c r="B92" s="13" t="inlineStr">
        <is>
          <t>SUBTOTAL TYPE C</t>
        </is>
      </c>
      <c r="C92" s="7">
        <f>SUM(C91:C91)</f>
        <v/>
      </c>
      <c r="H92" s="7">
        <f>SUM(H91:H91)</f>
        <v/>
      </c>
    </row>
    <row r="93" ht="15" customHeight="1" s="8">
      <c r="B93" s="13" t="inlineStr">
        <is>
          <t>TOTAL - PARTITIONS (GRAND TOTAL)</t>
        </is>
      </c>
      <c r="C93" s="7">
        <f>C14+C17+C25+C45+C49+C52+C55+C58+C61+C64+C69+C72+C78+C83+C86+C89+C92</f>
        <v/>
      </c>
      <c r="H93" s="7">
        <f>H14+H17+H25+H45+H49+H52+H55+H58+H61+H64+H69+H72+H78+H83+H86+H89+H92</f>
        <v/>
      </c>
    </row>
    <row r="95" ht="15" customHeight="1" s="8">
      <c r="A95" s="12" t="inlineStr">
        <is>
          <t>TYPE OTHER FRAMING (NOT A PARTITION)</t>
        </is>
      </c>
    </row>
    <row r="96" ht="15" customHeight="1" s="8">
      <c r="A96" s="7" t="inlineStr">
        <is>
          <t>column_wrap  #CW-01  -  Sales Area 101 - existing column, new 24"x24" GWB surround (keynote C25)</t>
        </is>
      </c>
      <c r="B96" s="7" t="inlineStr">
        <is>
          <t>CW-01</t>
        </is>
      </c>
      <c r="C96" s="7" t="n">
        <v>8</v>
      </c>
      <c r="D96" s="7" t="n">
        <v>8</v>
      </c>
      <c r="E96" s="7" t="n">
        <v>1</v>
      </c>
      <c r="F96" s="7" t="inlineStr">
        <is>
          <t>3-5/8" 20 ga</t>
        </is>
      </c>
      <c r="G96" s="7" t="n">
        <v>16</v>
      </c>
      <c r="H96" s="7" t="n">
        <v>64</v>
      </c>
      <c r="I96" s="7" t="inlineStr">
        <is>
          <t>Sales Area 101 - existing column, new 24"x24" GWB surround (keynote C25)</t>
        </is>
      </c>
      <c r="J96" s="7" t="inlineStr">
        <is>
          <t>C25/A-101</t>
        </is>
      </c>
      <c r="K96" s="7" t="inlineStr">
        <is>
          <t>[DERIVED]</t>
        </is>
      </c>
    </row>
    <row r="97" ht="15" customHeight="1" s="8">
      <c r="A97" s="7" t="inlineStr">
        <is>
          <t>column_wrap  #CW-02  -  Sales Area 101 - existing column, new 24"x24" GWB surround (keynote C25)</t>
        </is>
      </c>
      <c r="B97" s="7" t="inlineStr">
        <is>
          <t>CW-02</t>
        </is>
      </c>
      <c r="C97" s="7" t="n">
        <v>8</v>
      </c>
      <c r="D97" s="7" t="n">
        <v>8</v>
      </c>
      <c r="E97" s="7" t="n">
        <v>1</v>
      </c>
      <c r="F97" s="7" t="inlineStr">
        <is>
          <t>3-5/8" 20 ga</t>
        </is>
      </c>
      <c r="G97" s="7" t="n">
        <v>16</v>
      </c>
      <c r="H97" s="7" t="n">
        <v>64</v>
      </c>
      <c r="I97" s="7" t="inlineStr">
        <is>
          <t>Sales Area 101 - existing column, new 24"x24" GWB surround (keynote C25)</t>
        </is>
      </c>
      <c r="J97" s="7" t="inlineStr">
        <is>
          <t>C25/A-101</t>
        </is>
      </c>
      <c r="K97" s="7" t="inlineStr">
        <is>
          <t>[DERIVED]</t>
        </is>
      </c>
    </row>
    <row r="98" ht="15" customHeight="1" s="8">
      <c r="A98" s="7" t="inlineStr">
        <is>
          <t>column_wrap  #CW-03  -  Sales Area 101 - existing column, new 24"x24" GWB surround (keynote C25)</t>
        </is>
      </c>
      <c r="B98" s="7" t="inlineStr">
        <is>
          <t>CW-03</t>
        </is>
      </c>
      <c r="C98" s="7" t="n">
        <v>8</v>
      </c>
      <c r="D98" s="7" t="n">
        <v>8</v>
      </c>
      <c r="E98" s="7" t="n">
        <v>1</v>
      </c>
      <c r="F98" s="7" t="inlineStr">
        <is>
          <t>3-5/8" 20 ga</t>
        </is>
      </c>
      <c r="G98" s="7" t="n">
        <v>16</v>
      </c>
      <c r="H98" s="7" t="n">
        <v>64</v>
      </c>
      <c r="I98" s="7" t="inlineStr">
        <is>
          <t>Sales Area 101 - existing column, new 24"x24" GWB surround (keynote C25)</t>
        </is>
      </c>
      <c r="J98" s="7" t="inlineStr">
        <is>
          <t>C25/A-101</t>
        </is>
      </c>
      <c r="K98" s="7" t="inlineStr">
        <is>
          <t>[DERIVED]</t>
        </is>
      </c>
    </row>
    <row r="99" ht="15" customHeight="1" s="8">
      <c r="A99" s="7" t="inlineStr">
        <is>
          <t>column_wrap  #CW-04  -  Sales Area 101 - existing column, new 24"x24" GWB surround (keynote C25)</t>
        </is>
      </c>
      <c r="B99" s="7" t="inlineStr">
        <is>
          <t>CW-04</t>
        </is>
      </c>
      <c r="C99" s="7" t="n">
        <v>8</v>
      </c>
      <c r="D99" s="7" t="n">
        <v>8</v>
      </c>
      <c r="E99" s="7" t="n">
        <v>1</v>
      </c>
      <c r="F99" s="7" t="inlineStr">
        <is>
          <t>3-5/8" 20 ga</t>
        </is>
      </c>
      <c r="G99" s="7" t="n">
        <v>16</v>
      </c>
      <c r="H99" s="7" t="n">
        <v>64</v>
      </c>
      <c r="I99" s="7" t="inlineStr">
        <is>
          <t>Sales Area 101 - existing column, new 24"x24" GWB surround (keynote C25)</t>
        </is>
      </c>
      <c r="J99" s="7" t="inlineStr">
        <is>
          <t>C25/A-101</t>
        </is>
      </c>
      <c r="K99" s="7" t="inlineStr">
        <is>
          <t>[DERIVED]</t>
        </is>
      </c>
    </row>
    <row r="100" ht="15" customHeight="1" s="8">
      <c r="A100" s="7" t="inlineStr">
        <is>
          <t>column_wrap  #CW-05  -  Sales Area 101 - existing column, new 24"x24" GWB surround (keynote C25)</t>
        </is>
      </c>
      <c r="B100" s="7" t="inlineStr">
        <is>
          <t>CW-05</t>
        </is>
      </c>
      <c r="C100" s="7" t="n">
        <v>8</v>
      </c>
      <c r="D100" s="7" t="n">
        <v>8</v>
      </c>
      <c r="E100" s="7" t="n">
        <v>1</v>
      </c>
      <c r="F100" s="7" t="inlineStr">
        <is>
          <t>3-5/8" 20 ga</t>
        </is>
      </c>
      <c r="G100" s="7" t="n">
        <v>16</v>
      </c>
      <c r="H100" s="7" t="n">
        <v>64</v>
      </c>
      <c r="I100" s="7" t="inlineStr">
        <is>
          <t>Sales Area 101 - existing column, new 24"x24" GWB surround (keynote C25)</t>
        </is>
      </c>
      <c r="J100" s="7" t="inlineStr">
        <is>
          <t>C25/A-101</t>
        </is>
      </c>
      <c r="K100" s="7" t="inlineStr">
        <is>
          <t>[DERIVED]</t>
        </is>
      </c>
    </row>
    <row r="101" ht="15" customHeight="1" s="8">
      <c r="A101" s="7" t="inlineStr">
        <is>
          <t>column_wrap  #CW-06  -  Sales Area 101 - existing column, new 24"x24" GWB surround (keynote C25)</t>
        </is>
      </c>
      <c r="B101" s="7" t="inlineStr">
        <is>
          <t>CW-06</t>
        </is>
      </c>
      <c r="C101" s="7" t="n">
        <v>8</v>
      </c>
      <c r="D101" s="7" t="n">
        <v>8</v>
      </c>
      <c r="E101" s="7" t="n">
        <v>1</v>
      </c>
      <c r="F101" s="7" t="inlineStr">
        <is>
          <t>3-5/8" 20 ga</t>
        </is>
      </c>
      <c r="G101" s="7" t="n">
        <v>16</v>
      </c>
      <c r="H101" s="7" t="n">
        <v>64</v>
      </c>
      <c r="I101" s="7" t="inlineStr">
        <is>
          <t>Sales Area 101 - existing column, new 24"x24" GWB surround (keynote C25)</t>
        </is>
      </c>
      <c r="J101" s="7" t="inlineStr">
        <is>
          <t>C25/A-101</t>
        </is>
      </c>
      <c r="K101" s="7" t="inlineStr">
        <is>
          <t>[DERIVED]</t>
        </is>
      </c>
    </row>
    <row r="102" ht="15" customHeight="1" s="8">
      <c r="A102" s="7" t="inlineStr">
        <is>
          <t>column_wrap  #CW-07  -  Sales Area 101 - existing column, new 24"x24" GWB surround (keynote C25)</t>
        </is>
      </c>
      <c r="B102" s="7" t="inlineStr">
        <is>
          <t>CW-07</t>
        </is>
      </c>
      <c r="C102" s="7" t="n">
        <v>8</v>
      </c>
      <c r="D102" s="7" t="n">
        <v>8</v>
      </c>
      <c r="E102" s="7" t="n">
        <v>1</v>
      </c>
      <c r="F102" s="7" t="inlineStr">
        <is>
          <t>3-5/8" 20 ga</t>
        </is>
      </c>
      <c r="G102" s="7" t="n">
        <v>16</v>
      </c>
      <c r="H102" s="7" t="n">
        <v>64</v>
      </c>
      <c r="I102" s="7" t="inlineStr">
        <is>
          <t>Sales Area 101 - existing column, new 24"x24" GWB surround (keynote C25)</t>
        </is>
      </c>
      <c r="J102" s="7" t="inlineStr">
        <is>
          <t>C25/A-101</t>
        </is>
      </c>
      <c r="K102" s="7" t="inlineStr">
        <is>
          <t>[DERIVED]</t>
        </is>
      </c>
    </row>
    <row r="103" ht="15" customHeight="1" s="8">
      <c r="A103" s="7" t="inlineStr">
        <is>
          <t>column_wrap  #CW-08  -  Sales Area 101 - existing column, new 24"x24" GWB surround (keynote C25)</t>
        </is>
      </c>
      <c r="B103" s="7" t="inlineStr">
        <is>
          <t>CW-08</t>
        </is>
      </c>
      <c r="C103" s="7" t="n">
        <v>8</v>
      </c>
      <c r="D103" s="7" t="n">
        <v>8</v>
      </c>
      <c r="E103" s="7" t="n">
        <v>1</v>
      </c>
      <c r="F103" s="7" t="inlineStr">
        <is>
          <t>3-5/8" 20 ga</t>
        </is>
      </c>
      <c r="G103" s="7" t="n">
        <v>16</v>
      </c>
      <c r="H103" s="7" t="n">
        <v>64</v>
      </c>
      <c r="I103" s="7" t="inlineStr">
        <is>
          <t>Sales Area 101 - existing column, new 24"x24" GWB surround (keynote C25)</t>
        </is>
      </c>
      <c r="J103" s="7" t="inlineStr">
        <is>
          <t>C25/A-101</t>
        </is>
      </c>
      <c r="K103" s="7" t="inlineStr">
        <is>
          <t>[DERIVED]</t>
        </is>
      </c>
    </row>
    <row r="104" ht="15" customHeight="1" s="8">
      <c r="A104" s="7" t="inlineStr">
        <is>
          <t>column_wrap  #CW-09  -  Sales Area 101 - existing column, new 24"x24" GWB surround (keynote C25)</t>
        </is>
      </c>
      <c r="B104" s="7" t="inlineStr">
        <is>
          <t>CW-09</t>
        </is>
      </c>
      <c r="C104" s="7" t="n">
        <v>8</v>
      </c>
      <c r="D104" s="7" t="n">
        <v>8</v>
      </c>
      <c r="E104" s="7" t="n">
        <v>1</v>
      </c>
      <c r="F104" s="7" t="inlineStr">
        <is>
          <t>3-5/8" 20 ga</t>
        </is>
      </c>
      <c r="G104" s="7" t="n">
        <v>16</v>
      </c>
      <c r="H104" s="7" t="n">
        <v>64</v>
      </c>
      <c r="I104" s="7" t="inlineStr">
        <is>
          <t>Sales Area 101 - existing column, new 24"x24" GWB surround (keynote C25)</t>
        </is>
      </c>
      <c r="J104" s="7" t="inlineStr">
        <is>
          <t>C25/A-101</t>
        </is>
      </c>
      <c r="K104" s="7" t="inlineStr">
        <is>
          <t>[DERIVED]</t>
        </is>
      </c>
    </row>
    <row r="105" ht="15" customHeight="1" s="8">
      <c r="A105" s="7" t="inlineStr">
        <is>
          <t>soffit_side  #SS-N  -  Cafe 11'-0" zone N open edge to Sales</t>
        </is>
      </c>
      <c r="B105" s="7" t="inlineStr">
        <is>
          <t>SS-N</t>
        </is>
      </c>
      <c r="C105" s="7" t="n">
        <v>22.77</v>
      </c>
      <c r="D105" s="7" t="n">
        <v>14</v>
      </c>
      <c r="E105" s="7" t="n">
        <v>1</v>
      </c>
      <c r="F105" s="7" t="inlineStr">
        <is>
          <t>3-5/8" 20 ga</t>
        </is>
      </c>
      <c r="G105" s="7" t="n">
        <v>16</v>
      </c>
      <c r="H105" s="7" t="n">
        <v>227.7</v>
      </c>
      <c r="I105" s="7" t="inlineStr">
        <is>
          <t>Cafe 11'-0" zone N open edge to Sales | Board by face: A Cafe 103 22.77 x 10 ft (5/8 type X)</t>
        </is>
      </c>
      <c r="J105" s="7" t="inlineStr">
        <is>
          <t>2/A-221</t>
        </is>
      </c>
      <c r="K105" s="7" t="inlineStr">
        <is>
          <t>[DERIVED]</t>
        </is>
      </c>
    </row>
    <row r="106" ht="15" customHeight="1" s="8">
      <c r="A106" s="7" t="inlineStr">
        <is>
          <t>soffit_side  #SS-E  -  Cafe 11'-0" zone E open edge to Sales</t>
        </is>
      </c>
      <c r="B106" s="7" t="inlineStr">
        <is>
          <t>SS-E</t>
        </is>
      </c>
      <c r="C106" s="7" t="n">
        <v>10.12</v>
      </c>
      <c r="D106" s="7" t="n">
        <v>14</v>
      </c>
      <c r="E106" s="7" t="n">
        <v>1</v>
      </c>
      <c r="F106" s="7" t="inlineStr">
        <is>
          <t>3-5/8" 20 ga</t>
        </is>
      </c>
      <c r="G106" s="7" t="n">
        <v>16</v>
      </c>
      <c r="H106" s="7" t="n">
        <v>101.2</v>
      </c>
      <c r="I106" s="7" t="inlineStr">
        <is>
          <t>Cafe 11'-0" zone E open edge to Sales | Board by face: A Cafe 103 10.12 x 10 ft (5/8 type X)</t>
        </is>
      </c>
      <c r="J106" s="7" t="inlineStr">
        <is>
          <t>2/A-221</t>
        </is>
      </c>
      <c r="K106" s="7" t="inlineStr">
        <is>
          <t>[DERIVED]</t>
        </is>
      </c>
    </row>
    <row r="107" ht="15" customHeight="1" s="8">
      <c r="A107" s="7" t="inlineStr">
        <is>
          <t>soffit_side  #SS-IN-N  -  Cafe 11'-6" band N edge (6" step)</t>
        </is>
      </c>
      <c r="B107" s="7" t="inlineStr">
        <is>
          <t>SS-IN-N</t>
        </is>
      </c>
      <c r="C107" s="7" t="n">
        <v>20</v>
      </c>
      <c r="D107" s="7" t="n">
        <v>13.5</v>
      </c>
      <c r="E107" s="7" t="n">
        <v>1</v>
      </c>
      <c r="F107" s="7" t="inlineStr">
        <is>
          <t>3-5/8" 20 ga</t>
        </is>
      </c>
      <c r="G107" s="7" t="n">
        <v>16</v>
      </c>
      <c r="H107" s="7" t="n">
        <v>10</v>
      </c>
      <c r="I107" s="7" t="inlineStr">
        <is>
          <t>Cafe 11'-6" band N edge (6" step) | Board by face: A Cafe 103 20 x 0.5 ft (5/8 type X)</t>
        </is>
      </c>
      <c r="J107" s="7" t="inlineStr">
        <is>
          <t>2/A-221</t>
        </is>
      </c>
      <c r="K107" s="7" t="inlineStr">
        <is>
          <t>[DERIVED]</t>
        </is>
      </c>
    </row>
    <row r="108" ht="15" customHeight="1" s="8">
      <c r="A108" s="7" t="inlineStr">
        <is>
          <t>soffit_side  #SS-IN-E  -  Cafe 11'-6" band E edge (6" step)</t>
        </is>
      </c>
      <c r="B108" s="7" t="inlineStr">
        <is>
          <t>SS-IN-E</t>
        </is>
      </c>
      <c r="C108" s="7" t="n">
        <v>6.25</v>
      </c>
      <c r="D108" s="7" t="n">
        <v>13.5</v>
      </c>
      <c r="E108" s="7" t="n">
        <v>1</v>
      </c>
      <c r="F108" s="7" t="inlineStr">
        <is>
          <t>3-5/8" 20 ga</t>
        </is>
      </c>
      <c r="G108" s="7" t="n">
        <v>16</v>
      </c>
      <c r="H108" s="7" t="n">
        <v>3.12</v>
      </c>
      <c r="I108" s="7" t="inlineStr">
        <is>
          <t>Cafe 11'-6" band E edge (6" step) | Board by face: A Cafe 103 6.25 x 0.5 ft (5/8 type X)</t>
        </is>
      </c>
      <c r="J108" s="7" t="inlineStr">
        <is>
          <t>2/A-221</t>
        </is>
      </c>
      <c r="K108" s="7" t="inlineStr">
        <is>
          <t>[DERIVED]</t>
        </is>
      </c>
    </row>
    <row r="109" ht="15" customHeight="1" s="8">
      <c r="A109" s="7" t="inlineStr">
        <is>
          <t>soffit_side  #SS-GG  -  Grab &amp; Go header soffit over the open east side (6'-2" HOLD)</t>
        </is>
      </c>
      <c r="B109" s="7" t="inlineStr">
        <is>
          <t>SS-GG</t>
        </is>
      </c>
      <c r="C109" s="7" t="n">
        <v>6.167</v>
      </c>
      <c r="D109" s="7" t="n">
        <v>17.917</v>
      </c>
      <c r="E109" s="7" t="n">
        <v>1</v>
      </c>
      <c r="F109" s="7" t="inlineStr">
        <is>
          <t>6" 20 ga SJ</t>
        </is>
      </c>
      <c r="G109" s="7" t="n">
        <v>16</v>
      </c>
      <c r="H109" s="7" t="n">
        <v>61.67</v>
      </c>
      <c r="I109" s="7" t="inlineStr">
        <is>
          <t>Grab &amp; Go header soffit over the open east side (6'-2" HOLD) | Board by face: A Sales Area 101 6.17 x 10 ft (5/8 type X)</t>
        </is>
      </c>
      <c r="J109" s="7" t="inlineStr">
        <is>
          <t>3/A-221</t>
        </is>
      </c>
      <c r="K109" s="7" t="inlineStr">
        <is>
          <t>[DERIVED]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0" customWidth="1" style="7" min="1" max="1"/>
    <col width="10" customWidth="1" style="7" min="2" max="3"/>
    <col width="14" customWidth="1" style="7" min="4" max="4"/>
    <col width="10" customWidth="1" style="7" min="5" max="6"/>
    <col width="24" customWidth="1" style="7" min="7" max="7"/>
    <col width="30" customWidth="1" style="7" min="8" max="8"/>
    <col width="60" customWidth="1" style="7" min="9" max="9"/>
    <col width="28" customWidth="1" style="7" min="10" max="10"/>
  </cols>
  <sheetData>
    <row r="1" ht="16.15" customHeight="1" s="8">
      <c r="A1" s="9" t="inlineStr">
        <is>
          <t>MATERIAL SUMMARY - NET / WASTE / PURCHASE</t>
        </is>
      </c>
    </row>
    <row r="2" ht="15" customHeight="1" s="8">
      <c r="A2" s="7" t="inlineStr">
        <is>
          <t>Waste lives HERE, in its own column, applied ONCE: Pieces = ROUNDUP(Net x (1 + waste) / stock). Every stock length, coverage and yield is an Inputs cell.</t>
        </is>
      </c>
    </row>
    <row r="3" ht="15" customHeight="1" s="8">
      <c r="A3" s="10" t="inlineStr">
        <is>
          <t>Material</t>
        </is>
      </c>
      <c r="B3" s="10" t="inlineStr">
        <is>
          <t>Unit</t>
        </is>
      </c>
      <c r="C3" s="10" t="inlineStr">
        <is>
          <t>Net</t>
        </is>
      </c>
      <c r="D3" s="10" t="inlineStr">
        <is>
          <t>Waste %</t>
        </is>
      </c>
      <c r="E3" s="10" t="inlineStr">
        <is>
          <t>Waste</t>
        </is>
      </c>
      <c r="F3" s="10" t="inlineStr">
        <is>
          <t>Purchase</t>
        </is>
      </c>
      <c r="G3" s="10" t="inlineStr">
        <is>
          <t>Selling unit</t>
        </is>
      </c>
      <c r="H3" s="10" t="inlineStr">
        <is>
          <t>Pieces to buy</t>
        </is>
      </c>
      <c r="I3" s="10" t="inlineStr">
        <is>
          <t>Where it comes from</t>
        </is>
      </c>
      <c r="J3" s="10" t="inlineStr">
        <is>
          <t>Yield check (live formula)</t>
        </is>
      </c>
    </row>
    <row r="4" ht="15" customHeight="1" s="8">
      <c r="A4" s="7" t="inlineStr">
        <is>
          <t>Bottom track 3-5/8"</t>
        </is>
      </c>
      <c r="B4" s="7" t="inlineStr">
        <is>
          <t>LF</t>
        </is>
      </c>
      <c r="C4" s="7" t="n">
        <v>450.02</v>
      </c>
      <c r="D4" s="7">
        <f>Inputs!$B$5</f>
        <v/>
      </c>
      <c r="E4" s="7">
        <f>C4*D4</f>
        <v/>
      </c>
      <c r="F4" s="7">
        <f>C4+E4</f>
        <v/>
      </c>
      <c r="G4" s="7" t="inlineStr">
        <is>
          <t>run 10 ft</t>
        </is>
      </c>
      <c r="H4" s="7">
        <f>ROUNDUP(F4/Inputs!$B$11,0)</f>
        <v/>
      </c>
      <c r="I4" s="7" t="inlineStr">
        <is>
          <t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 | Track gauge = stud gauge (A-410 schedule note 2): 14 ga SJ 295.95 LF; 20 ga 154.07 LF</t>
        </is>
      </c>
    </row>
    <row r="5" ht="15" customHeight="1" s="8">
      <c r="A5" s="7" t="inlineStr">
        <is>
          <t>Bottom track 6"</t>
        </is>
      </c>
      <c r="B5" s="7" t="inlineStr">
        <is>
          <t>LF</t>
        </is>
      </c>
      <c r="C5" s="7" t="n">
        <v>118.59</v>
      </c>
      <c r="D5" s="7">
        <f>Inputs!$B$5</f>
        <v/>
      </c>
      <c r="E5" s="7">
        <f>C5*D5</f>
        <v/>
      </c>
      <c r="F5" s="7">
        <f>C5+E5</f>
        <v/>
      </c>
      <c r="G5" s="7" t="inlineStr">
        <is>
          <t>run 10 ft</t>
        </is>
      </c>
      <c r="H5" s="7">
        <f>ROUNDUP(F5/Inputs!$B$11,0)</f>
        <v/>
      </c>
      <c r="I5" s="7" t="inlineStr">
        <is>
          <t>N/SHEET: 5/A-410, G/A-221, H/A-221, E/A-221, I/A-221 | Breakdown [DERIVED]: W5-01 5.7 + C-H1-N 29.98 + C-H1-W 12.17 + C-H3a 4.08 + C-H3b 6.17 + C-E2 29.3 + C-E1-S 23.46 + C-I-P.1 1 + C-E1-P.2 2.11 + C-E1-B 2.31 + C-I 2.31 = 118.59 LF (wall length x rows) | Track gauge = stud gauge (A-410 schedule note 2): 20 ga SJ 118.59 LF</t>
        </is>
      </c>
    </row>
    <row r="6" ht="15" customHeight="1" s="8">
      <c r="A6" s="7" t="inlineStr">
        <is>
          <t>Bottom track - other framing (not a partition type, see source)</t>
        </is>
      </c>
      <c r="B6" s="7" t="inlineStr">
        <is>
          <t>LF</t>
        </is>
      </c>
      <c r="C6" s="7" t="n">
        <v>72</v>
      </c>
      <c r="D6" s="7">
        <f>Inputs!$B$5</f>
        <v/>
      </c>
      <c r="E6" s="7">
        <f>C6*D6</f>
        <v/>
      </c>
      <c r="F6" s="7">
        <f>C6+E6</f>
        <v/>
      </c>
      <c r="G6" s="7" t="inlineStr">
        <is>
          <t>run 10 ft</t>
        </is>
      </c>
      <c r="H6" s="7">
        <f>ROUNDUP(F6/Inputs!$B$11,0)</f>
        <v/>
      </c>
      <c r="I6" s="7" t="inlineStr">
        <is>
          <t>N/SHEET: C25/A-101 | Breakdown [DERIVED]: CW-01 8 + CW-02 8 + CW-03 8 + CW-04 8 + CW-05 8 + CW-06 8 + CW-07 8 + CW-08 8 + CW-09 8 = 72 LF (wall length x rows) | Track gauge = stud gauge (A-410 schedule note 2): 20 ga 72 LF</t>
        </is>
      </c>
    </row>
    <row r="7" ht="15" customHeight="1" s="8">
      <c r="A7" s="7" t="inlineStr">
        <is>
          <t>Top / deflection track 3-5/8"</t>
        </is>
      </c>
      <c r="B7" s="7" t="inlineStr">
        <is>
          <t>LF</t>
        </is>
      </c>
      <c r="C7" s="7" t="n">
        <v>450.02</v>
      </c>
      <c r="D7" s="7">
        <f>Inputs!$B$5</f>
        <v/>
      </c>
      <c r="E7" s="7">
        <f>C7*D7</f>
        <v/>
      </c>
      <c r="F7" s="7">
        <f>C7+E7</f>
        <v/>
      </c>
      <c r="G7" s="7" t="inlineStr">
        <is>
          <t>run 10 ft</t>
        </is>
      </c>
      <c r="H7" s="7">
        <f>ROUNDUP(F7/Inputs!$B$11,0)</f>
        <v/>
      </c>
      <c r="I7" s="7" t="inlineStr">
        <is>
          <t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 | Track gauge = stud gauge (A-410 schedule note 2): 14 ga SJ 295.95 LF; 20 ga 154.07 LF</t>
        </is>
      </c>
    </row>
    <row r="8" ht="15" customHeight="1" s="8">
      <c r="A8" s="7" t="inlineStr">
        <is>
          <t>Top / deflection track 6"</t>
        </is>
      </c>
      <c r="B8" s="7" t="inlineStr">
        <is>
          <t>LF</t>
        </is>
      </c>
      <c r="C8" s="7" t="n">
        <v>118.59</v>
      </c>
      <c r="D8" s="7">
        <f>Inputs!$B$5</f>
        <v/>
      </c>
      <c r="E8" s="7">
        <f>C8*D8</f>
        <v/>
      </c>
      <c r="F8" s="7">
        <f>C8+E8</f>
        <v/>
      </c>
      <c r="G8" s="7" t="inlineStr">
        <is>
          <t>run 10 ft</t>
        </is>
      </c>
      <c r="H8" s="7">
        <f>ROUNDUP(F8/Inputs!$B$11,0)</f>
        <v/>
      </c>
      <c r="I8" s="7" t="inlineStr">
        <is>
          <t>N/SHEET: 5/A-410, G/A-221, H/A-221, E/A-221, I/A-221 | Breakdown [DERIVED]: W5-01 5.7 + C-H1-N 29.98 + C-H1-W 12.17 + C-H3a 4.08 + C-H3b 6.17 + C-E2 29.3 + C-E1-S 23.46 + C-I-P.1 1 + C-E1-P.2 2.11 + C-E1-B 2.31 + C-I 2.31 = 118.59 LF (wall length x rows) | Track gauge = stud gauge (A-410 schedule note 2): 20 ga SJ 118.59 LF</t>
        </is>
      </c>
    </row>
    <row r="9" ht="15" customHeight="1" s="8">
      <c r="A9" s="7" t="inlineStr">
        <is>
          <t>Top / deflection track - other framing (not a partition type, see source)</t>
        </is>
      </c>
      <c r="B9" s="7" t="inlineStr">
        <is>
          <t>LF</t>
        </is>
      </c>
      <c r="C9" s="7" t="n">
        <v>72</v>
      </c>
      <c r="D9" s="7">
        <f>Inputs!$B$5</f>
        <v/>
      </c>
      <c r="E9" s="7">
        <f>C9*D9</f>
        <v/>
      </c>
      <c r="F9" s="7">
        <f>C9+E9</f>
        <v/>
      </c>
      <c r="G9" s="7" t="inlineStr">
        <is>
          <t>run 10 ft</t>
        </is>
      </c>
      <c r="H9" s="7">
        <f>ROUNDUP(F9/Inputs!$B$11,0)</f>
        <v/>
      </c>
      <c r="I9" s="7" t="inlineStr">
        <is>
          <t>N/SHEET: C25/A-101 | Breakdown [DERIVED]: CW-01 8 + CW-02 8 + CW-03 8 + CW-04 8 + CW-05 8 + CW-06 8 + CW-07 8 + CW-08 8 + CW-09 8 = 72 LF (wall length x rows) | Track gauge = stud gauge (A-410 schedule note 2): 20 ga 72 LF</t>
        </is>
      </c>
    </row>
    <row r="10" ht="15" customHeight="1" s="8">
      <c r="A10" s="7" t="inlineStr">
        <is>
          <t>8" stud (all gauges)</t>
        </is>
      </c>
      <c r="B10" s="7" t="inlineStr">
        <is>
          <t>LF</t>
        </is>
      </c>
      <c r="C10" s="7" t="n">
        <v>25.33</v>
      </c>
      <c r="D10" s="7">
        <f>Inputs!$B$5</f>
        <v/>
      </c>
      <c r="E10" s="7">
        <f>C10*D10</f>
        <v/>
      </c>
      <c r="F10" s="7">
        <f>C10+E10</f>
        <v/>
      </c>
      <c r="G10" s="7" t="inlineStr">
        <is>
          <t>stick 20 ft</t>
        </is>
      </c>
      <c r="H10" s="7">
        <f>ROUNDUP(F10/Inputs!$B$10,0)</f>
        <v/>
      </c>
      <c r="I10" s="7" t="inlineStr">
        <is>
          <t>N/SHEET: 8/A-210 | Breakdown [DERIVED]: VEST-BOX-BEAM-STUD 25.33 = 25.33 LF (per wall: field + jambs + nodes + cripples x height; plus listed elements)</t>
        </is>
      </c>
    </row>
    <row r="11" ht="15" customHeight="1" s="8">
      <c r="A11" s="7" t="inlineStr">
        <is>
          <t>6" metal stud (LF of material)</t>
        </is>
      </c>
      <c r="B11" s="7" t="inlineStr">
        <is>
          <t>LF</t>
        </is>
      </c>
      <c r="C11" s="7" t="n">
        <v>3162.5</v>
      </c>
      <c r="D11" s="7">
        <f>Inputs!$B$5</f>
        <v/>
      </c>
      <c r="E11" s="7">
        <f>C11*D11</f>
        <v/>
      </c>
      <c r="F11" s="7">
        <f>C11+E11</f>
        <v/>
      </c>
      <c r="G11" s="7" t="inlineStr">
        <is>
          <t>stick 20 ft</t>
        </is>
      </c>
      <c r="H11" s="7">
        <f>ROUNDUP(F11/Inputs!$B$10,0)</f>
        <v/>
      </c>
      <c r="I11" s="7" t="inlineStr">
        <is>
          <t>N/SHEET: 5/A-410, G/A-221, H/A-221, E/A-221, I/A-221, 3/A-221, 8/A-410 | Breakdown [DERIVED]: W5-01 175 + C-H1-N 650 + C-H1-W 300 + C-H3a 150 + C-H3b 175 + C-E2 575 + C-E1-S 525 + C-I-P.1 75 + C-E1-P.2 75 + C-E1-B 125 + C-I 75 + SS-GG 107.5 + CROSS-MEMBERS-8-A410-6 155 = 3,162.5 LF (per wall: field + jambs + nodes + cripples x height; plus listed elements) | By gauge (A-410 Metal Stud Schedule): 20 ga SJ 3,007.5 LF; elements (gauge in their operation) 155 LF</t>
        </is>
      </c>
    </row>
    <row r="12" ht="15" customHeight="1" s="8">
      <c r="A12" s="7" t="inlineStr">
        <is>
          <t>3-5/8" metal stud (LF of material)</t>
        </is>
      </c>
      <c r="B12" s="7" t="inlineStr">
        <is>
          <t>LF</t>
        </is>
      </c>
      <c r="C12" s="7" t="n">
        <v>11601.59</v>
      </c>
      <c r="D12" s="7">
        <f>Inputs!$B$5</f>
        <v/>
      </c>
      <c r="E12" s="7">
        <f>C12*D12</f>
        <v/>
      </c>
      <c r="F12" s="7">
        <f>C12+E12</f>
        <v/>
      </c>
      <c r="G12" s="7" t="inlineStr">
        <is>
          <t>stick 20 ft</t>
        </is>
      </c>
      <c r="H12" s="7">
        <f>ROUNDUP(F12/Inputs!$B$10,0)</f>
        <v/>
      </c>
      <c r="I12" s="7" t="inlineStr">
        <is>
          <t>N/SHEET: 2/A-410, 3/A-410, 4/A-410, G/A-221, F/A-221, A/A-221, B/A-221, D/A-221, C/A-221, 2/A-221, C25/A-101, 7/A-210, 8/A-410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+ DIAG-BRACES-CAFE 44 + CROSS-MEMBERS-8-A410-3 550 + SOFFIT-CROSS-BRACING-2-A221 90 + F-NESTED-BRACING 6.52 + NESTED-BRACING-T3-T4 122.32 = 11,601.59 LF (per wall: field + jambs + nodes + cripples x height; plus listed elements) | By gauge (A-410 Metal Stud Schedule): 14 ga SJ 7,257 LF; 20 ga 2,927.08 LF; elements (gauge in their operation) 1,417.51 LF</t>
        </is>
      </c>
    </row>
    <row r="13" ht="15" customHeight="1" s="8">
      <c r="A13" s="7" t="inlineStr">
        <is>
          <t>Ceiling perimeter track at GWB ceilings (size not printed, RFI)</t>
        </is>
      </c>
      <c r="B13" s="7" t="inlineStr">
        <is>
          <t>LF</t>
        </is>
      </c>
      <c r="C13" s="7" t="n">
        <v>180.99</v>
      </c>
      <c r="D13" s="7">
        <f>Inputs!$B$5</f>
        <v/>
      </c>
      <c r="E13" s="7">
        <f>C13*D13</f>
        <v/>
      </c>
      <c r="F13" s="7">
        <f>C13+E13</f>
        <v/>
      </c>
      <c r="G13" s="7" t="inlineStr">
        <is>
          <t>run 10 ft</t>
        </is>
      </c>
      <c r="H13" s="7">
        <f>ROUNDUP(F13/Inputs!$B$11,0)</f>
        <v/>
      </c>
      <c r="I13" s="7" t="inlineStr">
        <is>
          <t>N/SHEET: 1/A-121, 5/A-121 | Breakdown [DERIVED]: Women's Restroom 109 32.33 + Men's Restroom 108 32.33 + Cafe 103 - 11'-6" GWB band 52.51 + Cafe 103 - 9'-0" GWB band 43.33 + Grab &amp; Go 20.49 = 180.99 LF</t>
        </is>
      </c>
    </row>
    <row r="14" ht="15" customHeight="1" s="8">
      <c r="A14" s="7" t="inlineStr">
        <is>
          <t>Bracing 1-1/2" C.R. channel @ 48" O.C.</t>
        </is>
      </c>
      <c r="B14" s="7" t="inlineStr">
        <is>
          <t>LF</t>
        </is>
      </c>
      <c r="C14" s="7" t="n">
        <v>2883.65</v>
      </c>
      <c r="D14" s="7">
        <f>Inputs!$B$5</f>
        <v/>
      </c>
      <c r="E14" s="7">
        <f>C14*D14</f>
        <v/>
      </c>
      <c r="F14" s="7">
        <f>C14+E14</f>
        <v/>
      </c>
      <c r="G14" s="7" t="inlineStr">
        <is>
          <t>C.R. channel 16 ft</t>
        </is>
      </c>
      <c r="H14" s="7">
        <f>ROUNDUP(F14/Inputs!$B$16,0)</f>
        <v/>
      </c>
      <c r="I14" s="7" t="inlineStr">
        <is>
          <t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      </is>
      </c>
    </row>
    <row r="15" ht="15" customHeight="1" s="8">
      <c r="A15" s="7" t="inlineStr">
        <is>
          <t>Furring channel (ceilings)</t>
        </is>
      </c>
      <c r="B15" s="7" t="inlineStr">
        <is>
          <t>LF</t>
        </is>
      </c>
      <c r="C15" s="7" t="n">
        <v>207.45</v>
      </c>
      <c r="D15" s="7">
        <f>Inputs!$B$5</f>
        <v/>
      </c>
      <c r="E15" s="7">
        <f>C15*D15</f>
        <v/>
      </c>
      <c r="F15" s="7">
        <f>C15+E15</f>
        <v/>
      </c>
      <c r="G15" s="7" t="inlineStr">
        <is>
          <t>hat channel 12 ft</t>
        </is>
      </c>
      <c r="H15" s="7">
        <f>ROUNDUP(F15/Inputs!$B$17,0)</f>
        <v/>
      </c>
      <c r="I15" s="7" t="inlineStr">
        <is>
          <t>N/SHEET: 5/A-121, 1/A-121 | Breakdown [DERIVED]: Women's Restroom 109 42.36 + Men's Restroom 108 42.31 + Cafe 103 - 11'-6" GWB band 68.78 + Cafe 103 - 9'-0" GWB band 29.34 + Grab &amp; Go 24.67 = 207.46 LF</t>
        </is>
      </c>
    </row>
    <row r="16" ht="15" customHeight="1" s="8">
      <c r="A16" s="7" t="inlineStr">
        <is>
          <t>Carrying channel (ceilings)</t>
        </is>
      </c>
      <c r="B16" s="7" t="inlineStr">
        <is>
          <t>LF</t>
        </is>
      </c>
      <c r="C16" s="7" t="n">
        <v>159.16</v>
      </c>
      <c r="D16" s="7">
        <f>Inputs!$B$5</f>
        <v/>
      </c>
      <c r="E16" s="7">
        <f>C16*D16</f>
        <v/>
      </c>
      <c r="F16" s="7">
        <f>C16+E16</f>
        <v/>
      </c>
      <c r="G16" s="7" t="inlineStr">
        <is>
          <t>C.R. channel 16 ft</t>
        </is>
      </c>
      <c r="H16" s="7">
        <f>ROUNDUP(F16/Inputs!$B$16,0)</f>
        <v/>
      </c>
      <c r="I16" s="7" t="inlineStr">
        <is>
          <t>N/SHEET: 5/A-121, 1/A-121 | Breakdown [DERIVED]: Women's Restroom 109 24.48 + Men's Restroom 108 24.44 + Cafe 103 - 11'-6" GWB band 60 + Cafe 103 - 9'-0" GWB band 38 + Grab &amp; Go 12.24 = 159.16 LF</t>
        </is>
      </c>
    </row>
    <row r="17" ht="15" customHeight="1" s="8">
      <c r="A17" s="7" t="inlineStr">
        <is>
          <t>Hanger wire</t>
        </is>
      </c>
      <c r="B17" s="7" t="inlineStr">
        <is>
          <t>LF</t>
        </is>
      </c>
      <c r="C17" s="7" t="n">
        <v>2689.79</v>
      </c>
      <c r="D17" s="7">
        <f>Inputs!$B$5</f>
        <v/>
      </c>
      <c r="E17" s="7">
        <f>C17*D17</f>
        <v/>
      </c>
      <c r="F17" s="7">
        <f>C17+E17</f>
        <v/>
      </c>
      <c r="G17" s="7" t="inlineStr">
        <is>
          <t>continuous coil (LF)</t>
        </is>
      </c>
      <c r="H17" s="7">
        <f>ROUNDUP(F17,0)</f>
        <v/>
      </c>
      <c r="I17" s="7" t="inlineStr">
        <is>
          <t>N/SHEET: 5/A-121, 1/A-121 | Breakdown [DERIVED]: Women's Restroom 109 144 + Men's Restroom 108 144 + Cafe 103 - 11'-6" GWB band 243 + Cafe 103 - 9'-0" GWB band 192 + Cafe Seating Area 102 - GWB cloud 715 + Grab &amp; Go 107.5 + HANGERS-FIXTURES-5-A121 401 + SPLAY-WIRES-5-A121 743.29 = 2,689.79 LF (hangers @ 48" O.C. x drop to deck per room)</t>
        </is>
      </c>
    </row>
    <row r="18" ht="15" customHeight="1" s="8">
      <c r="A18" s="7" t="inlineStr">
        <is>
          <t>Blocking FRT / 2X FRT wood</t>
        </is>
      </c>
      <c r="B18" s="7" t="inlineStr">
        <is>
          <t>LF</t>
        </is>
      </c>
      <c r="C18" s="7" t="n">
        <v>568.27</v>
      </c>
      <c r="D18" s="7">
        <f>Inputs!$B$6</f>
        <v/>
      </c>
      <c r="E18" s="7">
        <f>C18*D18</f>
        <v/>
      </c>
      <c r="F18" s="7">
        <f>C18+E18</f>
        <v/>
      </c>
      <c r="G18" s="7" t="inlineStr">
        <is>
          <t>2x lumber 8 ft</t>
        </is>
      </c>
      <c r="H18" s="7">
        <f>ROUNDUP(F18/Inputs!$B$26,0)</f>
        <v/>
      </c>
      <c r="I18" s="7" t="inlineStr">
        <is>
          <t>N/SHEET: 7/A-413, 8A/A-413, 4/A-412, 6/A-412, 4/A-101, 2/A-500 | Breakdown [DERIVED]: BLK-STOCK 387 + BLK-RECEIVING 69 + BLK-OFFICE 85.6 + BLK-BREAK 10.67 + BLK-FE-CABINETS 16 = 568.27 LF | Estimator decision 2026-10-27: wood blocking takes the NON-METAL waste (Inputs B6, same as board, 6%), not the metal 15%; 2x bought in 16 ft sticks (Inputs B26).</t>
        </is>
      </c>
    </row>
    <row r="19" ht="15" customHeight="1" s="8">
      <c r="A19" s="7" t="inlineStr">
        <is>
          <t>5/8" gypsum board, Type X</t>
        </is>
      </c>
      <c r="B19" s="7" t="inlineStr">
        <is>
          <t>SF</t>
        </is>
      </c>
      <c r="C19" s="7" t="n">
        <v>15109.29</v>
      </c>
      <c r="D19" s="7">
        <f>Inputs!$B$6</f>
        <v/>
      </c>
      <c r="E19" s="7">
        <f>C19*D19</f>
        <v/>
      </c>
      <c r="F19" s="7">
        <f>C19+E19</f>
        <v/>
      </c>
      <c r="G19" s="7" t="inlineStr">
        <is>
          <t>4x12 ft sheet (Inputs)</t>
        </is>
      </c>
      <c r="H19" s="7">
        <f>ROUNDUP(F19/Inputs!$B$9,0)</f>
        <v/>
      </c>
      <c r="I19" s="7" t="inlineStr">
        <is>
          <t>N/SHEET: 2/A-410, 3/A-410, 4/A-410, C25/A-101, G/A-221, H/A-221, I/A-221, 2/A-221, 3/A-221, 5/A-121, 4/A-121, 4/A-210, 2/A-210, A-001A | Breakdown [DERIVED]: W2-01 2,438.5 + W2-02 249.5 + W2-03 4,508.64 + W2-04 1,958.22 + W2-05 174.14 + W2-06.1 65.74 + W2-06.5 107.25 + W2-08 174.14 + W2-09 245.48 + W3-01 58.72 + W3-02 192 + W3-05 58.72 + W3-03 192 + W3-06 58.72 + W3-04 58.72 + W4-28a 135 + W4-28b 27.6 + W4-28c 27.6 + W4-28d 26.56 + W4-28e 25.8 + W4-29a 64.04 + W4-29b 64.04 + W4-29c 64.34 + W4-29d 64.34 + W4-29e 64.04 + W4-29f 64.34 + W4-30a 64.2 + W4-30b 64.2 + W4-30c 64.2 + W4-30d 64.2 + W4-30e 64.2 + W4-30f 64.2 + W4-31a 135 + W4-31b 27.6 + W4-31c 27.6 + W4-31d 26.24 + W4-31e 25.2 + CW-01 64 + CW-02 64 + CW-03 64 + CW-04 64 + CW-05 64 + CW-06 64 + CW-07 64 + CW-08 64 + CW-09 64 + C-H1-N 678.44 + C-H1-W 115.61 + C-H2a 304.25 + C-H3a 30.94 + C-H3b 151.68 + C-I-P.1 10 + C-I 23.1 + SS-N 227.7 + SS-E 101.2 + SS-IN-N 10 + SS-IN-E 3.12 + SS-GG 61.67 + C-I-E1 6.03 + C-I-E2 6.03 + ceiling Cafe 103 - 11'-6" GWB band 125.07 + ceiling Cafe 103 - 9'-0" GWB band 50.67 + ceiling Cafe Seating Area 102 - GWB cloud 573.69 + ceiling Cafe 103 - 11'-0" GWB zone 109.65 + ceiling Grab &amp; Go 25.16 + VEST-GWB 105.5 + SS-GG-BOTTOM-GWB 3.73 + VEST-GWB-BANDS 14.96 = 15,109.23 SF (faces: length x face height x layers - openings; ceilings: RCP area)</t>
        </is>
      </c>
    </row>
    <row r="20" ht="15" customHeight="1" s="8">
      <c r="A20" s="7" t="inlineStr">
        <is>
          <t>5/8" gypsum board, Type X W.R. (water resistant)</t>
        </is>
      </c>
      <c r="B20" s="7" t="inlineStr">
        <is>
          <t>SF</t>
        </is>
      </c>
      <c r="C20" s="7" t="n">
        <v>1092.59</v>
      </c>
      <c r="D20" s="7">
        <f>Inputs!$B$6</f>
        <v/>
      </c>
      <c r="E20" s="7">
        <f>C20*D20</f>
        <v/>
      </c>
      <c r="F20" s="7">
        <f>C20+E20</f>
        <v/>
      </c>
      <c r="G20" s="7" t="inlineStr">
        <is>
          <t>4x12 ft sheet (Inputs)</t>
        </is>
      </c>
      <c r="H20" s="7">
        <f>ROUNDUP(F20/Inputs!$B$9,0)</f>
        <v/>
      </c>
      <c r="I20" s="7" t="inlineStr">
        <is>
          <t>N/SHEET: 2/A-410, 5/A-410, 5/A-121, 22/A-201, A-001A | Breakdown [DERIVED]: W2-05 67.59 + W2-06.1 62.28 + W2-06.2 41.25 + W2-06.3 90.1 + W2-06.4 41.25 + W2-06.5 172.17 + W2-07 255.34 + W2-08 187.75 + W5-01 102.6 + ceiling Women's Restroom 109 61.19 + ceiling Men's Restroom 108 61.11 + RESTROOM-BASE-WR-DEDUCT -50.04 = 1,092.59 SF (faces: length x face height x layers - openings; ceilings: RCP area)</t>
        </is>
      </c>
    </row>
    <row r="21" ht="15" customHeight="1" s="8">
      <c r="A21" s="7" t="inlineStr">
        <is>
          <t>8" metal joist (ceiling box)</t>
        </is>
      </c>
      <c r="B21" s="7" t="inlineStr">
        <is>
          <t>LF</t>
        </is>
      </c>
      <c r="C21" s="7" t="n">
        <v>88</v>
      </c>
      <c r="D21" s="7">
        <f>Inputs!$B$5</f>
        <v/>
      </c>
      <c r="E21" s="7">
        <f>C21*D21</f>
        <v/>
      </c>
      <c r="F21" s="7">
        <f>C21+E21</f>
        <v/>
      </c>
      <c r="G21" s="7" t="inlineStr">
        <is>
          <t>stick 20 ft</t>
        </is>
      </c>
      <c r="H21" s="7">
        <f>ROUNDUP(F21/Inputs!$B$10,0)</f>
        <v/>
      </c>
      <c r="I21" s="7" t="inlineStr">
        <is>
          <t>N/SHEET: 4/A-210 | 8" JOISTS @ 16" O.C.: ROUNDUP(152/16)+1 = 11 x (7'-8" + 2" + 2" = 8.0 ft) = 88.0 LF (1/A-210 12'-8" N-S)</t>
        </is>
      </c>
    </row>
    <row r="22" ht="15" customHeight="1" s="8">
      <c r="A22" s="7" t="inlineStr">
        <is>
          <t>USG drywall suspension main tee DGLW26</t>
        </is>
      </c>
      <c r="B22" s="7" t="inlineStr">
        <is>
          <t>LF</t>
        </is>
      </c>
      <c r="C22" s="7" t="n">
        <v>194.16</v>
      </c>
      <c r="D22" s="7">
        <f>Inputs!$B$5</f>
        <v/>
      </c>
      <c r="E22" s="7">
        <f>C22*D22</f>
        <v/>
      </c>
      <c r="F22" s="7">
        <f>C22+E22</f>
        <v/>
      </c>
      <c r="G22" s="7" t="inlineStr">
        <is>
          <t>main tee 12 ft</t>
        </is>
      </c>
      <c r="H22" s="7">
        <f>ROUNDUP(F22/Inputs!$B$27,0)</f>
        <v/>
      </c>
      <c r="I22" s="7" t="inlineStr">
        <is>
          <t>N/SHEET: 4/A-121, 1/A-121 | USG drywall suspension grid: main tee ROUNDUP(14.773/4.0)+1 = 5 x 38.833 = 194.16; cross tee ROUNDUP(38.833/1.333)+1 = 31 x 14.773 = 457.96; channel + angle molding 107.21 each</t>
        </is>
      </c>
    </row>
    <row r="23" ht="15" customHeight="1" s="8">
      <c r="A23" s="7" t="inlineStr">
        <is>
          <t>USG drywall suspension cross tee DGLW424</t>
        </is>
      </c>
      <c r="B23" s="7" t="inlineStr">
        <is>
          <t>LF</t>
        </is>
      </c>
      <c r="C23" s="7" t="n">
        <v>457.96</v>
      </c>
      <c r="D23" s="7">
        <f>Inputs!$B$5</f>
        <v/>
      </c>
      <c r="E23" s="7">
        <f>C23*D23</f>
        <v/>
      </c>
      <c r="F23" s="7">
        <f>C23+E23</f>
        <v/>
      </c>
      <c r="G23" s="7" t="inlineStr">
        <is>
          <t>cross tee 4 ft</t>
        </is>
      </c>
      <c r="H23" s="7">
        <f>ROUNDUP(F23/Inputs!$B$28,0)</f>
        <v/>
      </c>
      <c r="I23" s="7" t="inlineStr">
        <is>
          <t>N/SHEET: 4/A-121, 1/A-121 | USG drywall suspension grid: main tee ROUNDUP(14.773/4.0)+1 = 5 x 38.833 = 194.16; cross tee ROUNDUP(38.833/1.333)+1 = 31 x 14.773 = 457.96; channel + angle molding 107.21 each</t>
        </is>
      </c>
    </row>
    <row r="24" ht="15" customHeight="1" s="8">
      <c r="A24" s="7" t="inlineStr">
        <is>
          <t>USG channel molding DGCM27</t>
        </is>
      </c>
      <c r="B24" s="7" t="inlineStr">
        <is>
          <t>LF</t>
        </is>
      </c>
      <c r="C24" s="7" t="n">
        <v>107.21</v>
      </c>
      <c r="D24" s="7">
        <f>Inputs!$B$5</f>
        <v/>
      </c>
      <c r="E24" s="7">
        <f>C24*D24</f>
        <v/>
      </c>
      <c r="F24" s="7">
        <f>C24+E24</f>
        <v/>
      </c>
      <c r="G24" s="7" t="inlineStr">
        <is>
          <t>molding 12 ft</t>
        </is>
      </c>
      <c r="H24" s="7">
        <f>ROUNDUP(F24/Inputs!$B$29,0)</f>
        <v/>
      </c>
      <c r="I24" s="7" t="inlineStr">
        <is>
          <t>N/SHEET: 4/A-121, 1/A-121 | USG drywall suspension grid: main tee ROUNDUP(14.773/4.0)+1 = 5 x 38.833 = 194.16; cross tee ROUNDUP(38.833/1.333)+1 = 31 x 14.773 = 457.96; channel + angle molding 107.21 each</t>
        </is>
      </c>
    </row>
    <row r="25" ht="15" customHeight="1" s="8">
      <c r="A25" s="7" t="inlineStr">
        <is>
          <t>USG angle molding DGWM24</t>
        </is>
      </c>
      <c r="B25" s="7" t="inlineStr">
        <is>
          <t>LF</t>
        </is>
      </c>
      <c r="C25" s="7" t="n">
        <v>107.21</v>
      </c>
      <c r="D25" s="7">
        <f>Inputs!$B$5</f>
        <v/>
      </c>
      <c r="E25" s="7">
        <f>C25*D25</f>
        <v/>
      </c>
      <c r="F25" s="7">
        <f>C25+E25</f>
        <v/>
      </c>
      <c r="G25" s="7" t="inlineStr">
        <is>
          <t>molding 12 ft</t>
        </is>
      </c>
      <c r="H25" s="7">
        <f>ROUNDUP(F25/Inputs!$B$29,0)</f>
        <v/>
      </c>
      <c r="I25" s="7" t="inlineStr">
        <is>
          <t>N/SHEET: 4/A-121, 1/A-121 | USG drywall suspension grid: main tee ROUNDUP(14.773/4.0)+1 = 5 x 38.833 = 194.16; cross tee ROUNDUP(38.833/1.333)+1 = 31 x 14.773 = 457.96; channel + angle molding 107.21 each</t>
        </is>
      </c>
    </row>
    <row r="26" ht="15" customHeight="1" s="8">
      <c r="A26" s="7" t="inlineStr">
        <is>
          <t>Clip angle 16 ga (5/A-410 bracing clips + 7/A-210 nested header clips)</t>
        </is>
      </c>
      <c r="B26" s="7" t="inlineStr">
        <is>
          <t>PCS</t>
        </is>
      </c>
      <c r="C26" s="7" t="n">
        <v>2522</v>
      </c>
      <c r="D26" s="7">
        <f>Inputs!$B$5</f>
        <v/>
      </c>
      <c r="E26" s="7">
        <f>C26*D26</f>
        <v/>
      </c>
      <c r="F26" s="7">
        <f>C26+E26</f>
        <v/>
      </c>
      <c r="G26" s="7" t="inlineStr">
        <is>
          <t>piece</t>
        </is>
      </c>
      <c r="H26" s="7">
        <f>ROUNDUP(F26,0)</f>
        <v/>
      </c>
      <c r="I26" s="7" t="inlineStr">
        <is>
          <t>N/SHEET: 5/A-410, 7/A-210 | Breakdown [DERIVED]: CLIP-ANGLES-5-A410 2,518 + CLIP-ANGLES-7-A210 4 = 2,522 PCS | 2" x 2" 16 GA. CLIP ANGLE at each stud per bracing row, (4) TEK SCREWS (5/A-410): rows x studs = W2-01 6x38 + W2-02 6x5 + W2-03 6x72 + W2-04 6x44 + W2-05 6x11 + W2-06.1 6x7 + W2-06.2 6x3 + W2-06.3 6x5 + W2-06.4 6x3 + W2-06.5 6x10 + W2-07 6x7 + W2-08 6x11 + W2-09 6x11 + W5-01 6x6 + W3-01 1x4 + W3-02 1x10 + W3-05 1x4 + W3-03 1x10 + W3-06 1x4 + W3-04 1x4 + W4-28a 1x8 + W4-28b 1x3 + W4-28c 1x3 + W4-28d 1x3 + W4-28e 1x3 + W4-29a 1x5 + W4-29b 1x5 + W4-29c 1x5 + W4-29d 1x5 + W4-29e 1x5 + W4-29f 1x5 + W4-30a 1x5 + W4-30b 1x5 + W4-30c 1x5 + W4-30d 1x5 + W4-30e 1x5 + W4-30f 1x5 + W4-31a 1x8 + W4-31b 1x3 + W4-31c 1x3 + W4-31d 1x3 + W4-31e 1x3 + CW-01 1x12 + CW-02 1x12 + CW-03 1x12 + CW-04 1x12 + CW-05 1x12 + CW-06 1x12 + CW-07 1x12 + CW-08 1x12 + CW-09 1x12 + C-H1-N 6x24 + C-H1-W 6x11 + C-H2a 6x11 + C-H2b 6x3 + C-H3a 6x5 + C-H3b 6x6 + C-E2 6x23 + C-E1-S 6x19 + C-I-P.1 6x2 + C-E1-P.2 6x3 + C-E1-B 6x3 + C-F 6x4 + C-I 6x3 + SS-N 3x19 + SS-E 3x9 + SS-IN-N 3x16 + SS-IN-E 3x6 + SS-GG 4x6 = 2518 pcs; 3"x3"x16 GA. CLIP ANGLES at the nested header to jamb connection (7/A-210): 2 header ends x 2 (front / back) = 4 pcs (conservative; count not printed - RFI-51)</t>
        </is>
      </c>
    </row>
    <row r="27" ht="15" customHeight="1" s="8">
      <c r="A27" s="7" t="inlineStr">
        <is>
          <t>#8 pan head self-tapping screws, relief channel to structure (8/A-410)</t>
        </is>
      </c>
      <c r="B27" s="7" t="inlineStr">
        <is>
          <t>PCS</t>
        </is>
      </c>
      <c r="C27" s="7" t="n">
        <v>291</v>
      </c>
      <c r="D27" s="7">
        <f>Inputs!$B$5</f>
        <v/>
      </c>
      <c r="E27" s="7">
        <f>C27*D27</f>
        <v/>
      </c>
      <c r="F27" s="7">
        <f>C27+E27</f>
        <v/>
      </c>
      <c r="G27" s="7" t="inlineStr">
        <is>
          <t>piece</t>
        </is>
      </c>
      <c r="H27" s="7">
        <f>ROUNDUP(F27,0)</f>
        <v/>
      </c>
      <c r="I27" s="7" t="inlineStr">
        <is>
          <t>N/SHEET: 8/A-410 | Breakdown [DERIVED]: PAN-HEAD-8-A410 291 = 291 PCS | 8/A-410 "CONTINUOUS 20 GA. X 2" MIN DEEP RELIEF CHANNEL - ANCHOR TO STEEL PLATE WITH #8 PAN HEAD SELF TAPPING SCREWS AT 24" O.C. AND 6" FROM ENDS": sum(ROUNDUP(L / 2) + 1) over 32 runs to structure (479.85 LF) = 291 pcs; note 8.C X-EDNI = alternative in RFI-51)</t>
        </is>
      </c>
    </row>
    <row r="28" ht="15" customHeight="1" s="8">
      <c r="A28" s="7" t="inlineStr">
        <is>
          <t>#10-16 x 3/4" Tek screws, pan head, at 16 ga clip angles and nested header / column / beam (5/A-410; 7/A-210; 8/A-210; A-410 note 8.A)</t>
        </is>
      </c>
      <c r="B28" s="7" t="inlineStr">
        <is>
          <t>PCS</t>
        </is>
      </c>
      <c r="C28" s="7" t="n">
        <v>10668</v>
      </c>
      <c r="D28" s="7">
        <f>Inputs!$B$5</f>
        <v/>
      </c>
      <c r="E28" s="7">
        <f>C28*D28</f>
        <v/>
      </c>
      <c r="F28" s="7">
        <f>C28+E28</f>
        <v/>
      </c>
      <c r="G28" s="7" t="inlineStr">
        <is>
          <t>piece</t>
        </is>
      </c>
      <c r="H28" s="7">
        <f>ROUNDUP(F28,0)</f>
        <v/>
      </c>
      <c r="I28" s="7" t="inlineStr">
        <is>
          <t>N/SHEET: 5/A-410, 7/A-210, 8/A-210, 1/A-210 | Breakdown [DERIVED]: TEK-SCREWS-CLIPS 10,668 = 10,668 PCS | 5/A-410 "2" x 2" 16 GA. CLIP ANGLE ... (4) TEK SCREWS": 2518 clips x 4 = 10072 + 7/A-210 "(4) #10-16 SCREWS": 4 clips x 4 = 16 + 7/A-210 "RUNNER TRACK ATTACHED TO HEADER SUING (2) TEK SCREWS AT 16" O.C" top and bottom runner: 2 runners x 2 x (ROUNDUP(12.667 / 1.333) + 1) = 44 + 8/A-210 "(8) #10-16 TEKS 16"O.C., TYP.": nested beam (ROUNDUP(12.667 / 1.333) + 1) x 8 = 88 + nested columns 6 x (ROUNDUP(10.5 / 1.333) + 1) x 8 = 432 + 7/A-210 head attachment "#10-16 TEK SCREWS (TYP.)": 2 clips x 8 = 16; total 10668 pcs. Header 12'-8" = 1/A-210 front dimension chain (152"). Size: 5/A-410 prints none; the clip is 16 ga, so A-410 note 8.A "18/16 GAUGE - #10 - 16 X 3/4" TEKS" applies (7/A-210 and 8/A-210 print #10-16)</t>
        </is>
      </c>
    </row>
    <row r="29" ht="15" customHeight="1" s="8">
      <c r="A29" s="7" t="inlineStr">
        <is>
          <t>16 ga wire at seismic brace points (5/A-121)</t>
        </is>
      </c>
      <c r="B29" s="7" t="inlineStr">
        <is>
          <t>LF</t>
        </is>
      </c>
      <c r="C29" s="7" t="n">
        <v>131.42</v>
      </c>
      <c r="D29" s="7">
        <f>Inputs!$B$5</f>
        <v/>
      </c>
      <c r="E29" s="7">
        <f>C29*D29</f>
        <v/>
      </c>
      <c r="F29" s="7">
        <f>C29+E29</f>
        <v/>
      </c>
      <c r="G29" s="7" t="inlineStr">
        <is>
          <t>continuous coil (LF)</t>
        </is>
      </c>
      <c r="H29" s="7">
        <f>ROUNDUP(F29,0)</f>
        <v/>
      </c>
      <c r="I29" s="7" t="inlineStr">
        <is>
          <t>N/SHEET: 5/A-121 | Breakdown [DERIVED]: SEISMIC-VERTICAL-WIRE-5-A121 131.42 = 131.42 LF | 5/A-121 "16 GA. WIRE 12'-0\" O.C. EACH WAY AND WITHIN 6'-0\" OF EACH WALL" vertical wire at each brace point: groups Women's 1 x drop 16.0; Men's 1 x drop 16.0; Cafe 11'-6" band 1 x drop 13.5; Cafe 9'-0" band 1 x drop 16.0; Cafe cloud 4 x drop 13.0; Grab &amp; Go 1 x drop 17.917 -&gt; sum(groups x drop) = 131.42 LF (conservative - RFI-38) the 1-5/8" x 16 ga metal joist framing @ 48" O.C. on 5/A-121 is the horizontal carrying member (no post drawn)</t>
        </is>
      </c>
    </row>
    <row r="30" ht="15" customHeight="1" s="8">
      <c r="A30" s="7" t="inlineStr">
        <is>
          <t>P.A.F. 3/16" x 3/8" at cross member ends (8/A-410)</t>
        </is>
      </c>
      <c r="B30" s="7" t="inlineStr">
        <is>
          <t>PCS</t>
        </is>
      </c>
      <c r="C30" s="7" t="n">
        <v>282</v>
      </c>
      <c r="D30" s="7">
        <f>Inputs!$B$5</f>
        <v/>
      </c>
      <c r="E30" s="7">
        <f>C30*D30</f>
        <v/>
      </c>
      <c r="F30" s="7">
        <f>C30+E30</f>
        <v/>
      </c>
      <c r="G30" s="7" t="inlineStr">
        <is>
          <t>piece</t>
        </is>
      </c>
      <c r="H30" s="7">
        <f>ROUNDUP(F30,0)</f>
        <v/>
      </c>
      <c r="I30" s="7" t="inlineStr">
        <is>
          <t>N/SHEET: 8/A-410 | Breakdown [DERIVED]: PAF-CROSS-MEMBERS-8-A410 282 = 282 PCS | 8/A-410 PARALLEL TO STRUCTURE "METAL STUD PER SCHEDULE W/ (1) 3/16" 3/8" P.A.F. AT EACH END": 141 cross members x 2 = 282 pcs (RFI-41)</t>
        </is>
      </c>
    </row>
    <row r="31" ht="15" customHeight="1" s="8">
      <c r="A31" s="7" t="inlineStr">
        <is>
          <t>5/8" cement board (tile base)</t>
        </is>
      </c>
      <c r="B31" s="7" t="inlineStr">
        <is>
          <t>SF</t>
        </is>
      </c>
      <c r="C31" s="7" t="n">
        <v>50.04</v>
      </c>
      <c r="D31" s="7">
        <f>Inputs!$B$6</f>
        <v/>
      </c>
      <c r="E31" s="7">
        <f>C31*D31</f>
        <v/>
      </c>
      <c r="F31" s="7">
        <f>C31+E31</f>
        <v/>
      </c>
      <c r="G31" s="7" t="inlineStr">
        <is>
          <t>4x12 ft sheet (Inputs)</t>
        </is>
      </c>
      <c r="H31" s="7">
        <f>ROUNDUP(F31/Inputs!$B$9,0)</f>
        <v/>
      </c>
      <c r="I31" s="7" t="inlineStr">
        <is>
          <t>N/SHEET: 22/A-201 | Breakdown [DERIVED]: RESTROOM-BASE-CEMENT 50.04 = 50.04 SF | 5/8" CEMENT BOARD BASE 1'-2" (22/A-201; A-001A Div 09 J.2): W2-05 7.51 + W2-06.1 6.92 + W2-06.2 2.23 + W2-06.3 2.41 + W2-06.3 2.46 + W2-06.4 2.23 + W2-06.5 6.88 + W2-07 7.51 + W5-01 5.7 + W5-01 5.7 = 49.55 LF - doors 8, 9 (6.66) = 42.89 LF x 1'-2" = 50.04 SF</t>
        </is>
      </c>
    </row>
    <row r="32" ht="15" customHeight="1" s="8">
      <c r="A32" s="7" t="inlineStr">
        <is>
          <t>Plywood screws #10-24 x 1-1/4" Teks/3 (A-410 note 8.D)</t>
        </is>
      </c>
      <c r="B32" s="7" t="inlineStr">
        <is>
          <t>PCS</t>
        </is>
      </c>
      <c r="C32" s="7" t="n">
        <v>2331</v>
      </c>
      <c r="D32" s="7">
        <f>Inputs!$B$5</f>
        <v/>
      </c>
      <c r="E32" s="7">
        <f>C32*D32</f>
        <v/>
      </c>
      <c r="F32" s="7">
        <f>C32+E32</f>
        <v/>
      </c>
      <c r="G32" s="7" t="inlineStr">
        <is>
          <t>piece</t>
        </is>
      </c>
      <c r="H32" s="7">
        <f>ROUNDUP(F32,0)</f>
        <v/>
      </c>
      <c r="I32" s="7" t="inlineStr">
        <is>
          <t>N/SHEET: A-410 | Breakdown [DERIVED]: PLYWOOD-SCREWS-8D 2,331 = 2,331 PCS | A-410 Partition Notes 8.D "#10-24 X 1-1/4\" TEKS/3 ... 24\" O.C. FIELD, 12\" O.C. PERIMETER": 4x8 sheet on studs @ 16" = 24 perimeter + 10 field = 34 screws / 32 SF; 2192.98 SF FRT plywood x 34/32 = 2331 pcs</t>
        </is>
      </c>
    </row>
    <row r="33" ht="15" customHeight="1" s="8">
      <c r="A33" s="7" t="inlineStr">
        <is>
          <t>Cement board screws 1-1/4" (manufacturer spacing)</t>
        </is>
      </c>
      <c r="B33" s="7" t="inlineStr">
        <is>
          <t>PCS</t>
        </is>
      </c>
      <c r="C33" s="7" t="n">
        <v>1686</v>
      </c>
      <c r="D33" s="7">
        <f>Inputs!$B$5</f>
        <v/>
      </c>
      <c r="E33" s="7">
        <f>C33*D33</f>
        <v/>
      </c>
      <c r="F33" s="7">
        <f>C33+E33</f>
        <v/>
      </c>
      <c r="G33" s="7" t="inlineStr">
        <is>
          <t>piece</t>
        </is>
      </c>
      <c r="H33" s="7">
        <f>ROUNDUP(F33,0)</f>
        <v/>
      </c>
      <c r="I33" s="7" t="inlineStr">
        <is>
          <t>N/SHEET: E/A-221, A/A-221, B/A-221, C/A-221, D/A-221, 22/A-201 | Breakdown [DERIVED]: CEMENT-BOARD-SCREWS 1,686 = 1,686 PCS | cement board screws @ 8" O.C. on studs @ 16" (manufacturer standard, spacing not printed - RFI-51): 3x5 board = 4 studs x 8 = 32 screws / 15 SF; 789.94 SF x 32/15 = 1686 pcs</t>
        </is>
      </c>
    </row>
    <row r="34" ht="15" customHeight="1" s="8">
      <c r="A34" s="7" t="inlineStr">
        <is>
          <t>Nested inner runner at the deflection head (3/A-410)</t>
        </is>
      </c>
      <c r="B34" s="7" t="inlineStr">
        <is>
          <t>LF</t>
        </is>
      </c>
      <c r="C34" s="7" t="n">
        <v>479.85</v>
      </c>
      <c r="D34" s="7">
        <f>Inputs!$B$5</f>
        <v/>
      </c>
      <c r="E34" s="7">
        <f>C34*D34</f>
        <v/>
      </c>
      <c r="F34" s="7">
        <f>C34+E34</f>
        <v/>
      </c>
      <c r="G34" s="7" t="inlineStr">
        <is>
          <t>run 10 ft</t>
        </is>
      </c>
      <c r="H34" s="7">
        <f>ROUNDUP(F34/Inputs!$B$11,0)</f>
        <v/>
      </c>
      <c r="I34" s="7" t="inlineStr">
        <is>
          <t>N/SHEET: 3/A-410 | Breakdown [DERIVED]: NESTED-RUNNER-3-A410 479.85 = 479.85 LF | 3/A-410 "METAL RUNNER AT STUDS - SECURE GWB TO METAL RUNNER" + "DO NOT SECURE METAL STUDS OR GWB TO DEEP LEG TRACK": inner runner = length of every wall / soffit side to deck = W2-01 48.77 + W2-02 4.99 + W2-03 94.24 + W2-04 56.76 + W2-05 12.92 + W2-06.1 6.92 + W2-06.2 2.23 + W2-06.3 4.87 + W2-06.4 2.23 + W2-06.5 11.29 + W2-07 7.51 + W2-08 12.92 + W2-09 12.92 + W5-01 5.7 + C-H1-N 29.98 + C-H1-W 12.17 + C-H2a 12.17 + C-H2b 1.95 + C-H3a 4.08 + C-H3b 6.17 + C-E2 29.3 + C-E1-S 23.46 + C-I-P.1 1.0 + C-E1-P.2 2.11 + C-E1-B 2.31 + C-F 3.26 + C-I 2.31 + SS-N 22.77 + SS-E 10.12 + SS-IN-N 20.0 + SS-IN-E 6.25 + SS-GG 6.167 = 479.85 LF (RFI-40 confirms the reading)</t>
        </is>
      </c>
    </row>
    <row r="35" ht="15" customHeight="1" s="8">
      <c r="A35" s="7" t="inlineStr">
        <is>
          <t>METAL trim - corner bead, casing bead, shadow molding, gypsum edge trim</t>
        </is>
      </c>
      <c r="B35" s="7" t="inlineStr">
        <is>
          <t>LF</t>
        </is>
      </c>
      <c r="C35" s="7" t="n">
        <v>957.03</v>
      </c>
      <c r="D35" s="7">
        <f>Inputs!$B$5</f>
        <v/>
      </c>
      <c r="E35" s="7">
        <f>C35*D35</f>
        <v/>
      </c>
      <c r="F35" s="7">
        <f>C35+E35</f>
        <v/>
      </c>
      <c r="G35" s="7" t="inlineStr">
        <is>
          <t>trim stick 10 ft</t>
        </is>
      </c>
      <c r="H35" s="7">
        <f>ROUNDUP(F35/Inputs!$B$18,0)</f>
        <v/>
      </c>
      <c r="I35" s="7" t="inlineStr">
        <is>
          <t>N/SHEET: 3/A-410, 4/A-410, 4/A-121 | Breakdown [DERIVED]: CORNER-BEAD-SOFFITS 65.31 +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957.03 LF</t>
        </is>
      </c>
    </row>
    <row r="36" ht="15" customHeight="1" s="8">
      <c r="A36" s="7" t="inlineStr">
        <is>
          <t>1/2" cement board / cementitious backer</t>
        </is>
      </c>
      <c r="B36" s="7" t="inlineStr">
        <is>
          <t>SF</t>
        </is>
      </c>
      <c r="C36" s="7" t="n">
        <v>739.9</v>
      </c>
      <c r="D36" s="7">
        <f>Inputs!$B$6</f>
        <v/>
      </c>
      <c r="E36" s="7">
        <f>C36*D36</f>
        <v/>
      </c>
      <c r="F36" s="7">
        <f>C36+E36</f>
        <v/>
      </c>
      <c r="G36" s="7" t="inlineStr">
        <is>
          <t>4x12 ft sheet (Inputs)</t>
        </is>
      </c>
      <c r="H36" s="7">
        <f>ROUNDUP(F36/Inputs!$B$9,0)</f>
        <v/>
      </c>
      <c r="I36" s="7" t="inlineStr">
        <is>
          <t>N/SHEET: E/A-221, A/A-221, B/A-221, D/A-221, C/A-221 | Breakdown [DERIVED]: C-E1-S Cafe 103 475 + C-E1-P.2 Cafe 103 52.75 + C-E1-B Cafe 103 57.75 + C-A-1 Cafe 103 26.78 + C-A-1 Cafe 103 26.78 + C-A-2 Cafe 103 11.21 + C-A-2 Cafe 103 11.21 + C-A-3 Cafe 103 16.9 + C-A-3 Cafe 103 16.9 + C-B Cafe 103 8.58 + C-B Cafe 103 8.58 + C-D Cafe 103 5.14 + C-D Cafe 103 5.14 + C-C Cafe 103 8.58 + C-C Cafe 103 8.58 = 739.88 SF</t>
        </is>
      </c>
    </row>
    <row r="37" ht="15" customHeight="1" s="8">
      <c r="A37" s="7" t="inlineStr">
        <is>
          <t>Track 3-5/8" (14 ga 157.81 LF + 16 ga 5.00 LF + 20 ga 118.28 LF) at soffits, fire stop at ceiling line and nested columns</t>
        </is>
      </c>
      <c r="B37" s="7" t="inlineStr">
        <is>
          <t>LF</t>
        </is>
      </c>
      <c r="C37" s="7" t="n">
        <v>281.09</v>
      </c>
      <c r="D37" s="7">
        <f>Inputs!$B$5</f>
        <v/>
      </c>
      <c r="E37" s="7">
        <f>C37*D37</f>
        <v/>
      </c>
      <c r="F37" s="7">
        <f>C37+E37</f>
        <v/>
      </c>
      <c r="G37" s="7" t="inlineStr">
        <is>
          <t>run 10 ft</t>
        </is>
      </c>
      <c r="H37" s="7">
        <f>ROUNDUP(F37/Inputs!$B$11,0)</f>
        <v/>
      </c>
      <c r="I37" s="7" t="inlineStr">
        <is>
          <t>N/SHEET: 3/A-410, 2/A-221, 8/A-210 | Breakdown [DERIVED]: SS-N 45.54 + SS-E 20.24 + SS-IN-N 40 + SS-IN-E 12.5 + VEST-POSTS-TRACK 5 + FIRESTOP-W2-04 56.76 + FIRESTOP-W2-05 12.92 + FIRESTOP-W2-06.1 6.92 + FIRESTOP-W2-06.2 2.23 + FIRESTOP-W2-06.3 4.87 + FIRESTOP-W2-06.4 2.23 + FIRESTOP-W2-06.5 11.29 + FIRESTOP-W2-07 7.51 + FIRESTOP-W2-08 12.92 + FIRESTOP-W2-09 12.92 + FIRESTOP-C-H2a 12.17 + FIRESTOP-W2-03 13.12 + FIRESTOP-C-H2b 1.95 = 281.09 LF</t>
        </is>
      </c>
    </row>
    <row r="38" ht="15" customHeight="1" s="8">
      <c r="A38" s="7" t="inlineStr">
        <is>
          <t>Track 6" (16 ga 25.33 LF + 20 ga 118.73 LF) at soffits, fire stop at ceiling line and nested beam</t>
        </is>
      </c>
      <c r="B38" s="7" t="inlineStr">
        <is>
          <t>LF</t>
        </is>
      </c>
      <c r="C38" s="7" t="n">
        <v>144.06</v>
      </c>
      <c r="D38" s="7">
        <f>Inputs!$B$5</f>
        <v/>
      </c>
      <c r="E38" s="7">
        <f>C38*D38</f>
        <v/>
      </c>
      <c r="F38" s="7">
        <f>C38+E38</f>
        <v/>
      </c>
      <c r="G38" s="7" t="inlineStr">
        <is>
          <t>run 10 ft</t>
        </is>
      </c>
      <c r="H38" s="7">
        <f>ROUNDUP(F38/Inputs!$B$11,0)</f>
        <v/>
      </c>
      <c r="I38" s="7" t="inlineStr">
        <is>
          <t>N/SHEET: 3/A-410, 3/A-221, 8/A-210 | Breakdown [DERIVED]: SS-GG 12.33 + VEST-BOX-BEAM-TRACK 25.33 + FIRESTOP-W5-01 5.7 + FIRESTOP-C-H1-N 29.98 + FIRESTOP-C-H1-W 12.17 + FIRESTOP-C-E2 29.3 + FIRESTOP-C-H3a 4.08 + FIRESTOP-C-H3b 6.17 + FIRESTOP-C-E1-S 19 = 144.06 LF</t>
        </is>
      </c>
    </row>
    <row r="39" ht="15" customHeight="1" s="8">
      <c r="A39" s="7" t="inlineStr">
        <is>
          <t>8" ledger track (gauge not printed, RFI-54) (4/A-210)</t>
        </is>
      </c>
      <c r="B39" s="7" t="inlineStr">
        <is>
          <t>LF</t>
        </is>
      </c>
      <c r="C39" s="7" t="n">
        <v>12.67</v>
      </c>
      <c r="D39" s="7">
        <f>Inputs!$B$5</f>
        <v/>
      </c>
      <c r="E39" s="7">
        <f>C39*D39</f>
        <v/>
      </c>
      <c r="F39" s="7">
        <f>C39+E39</f>
        <v/>
      </c>
      <c r="G39" s="7" t="inlineStr">
        <is>
          <t>run 10 ft</t>
        </is>
      </c>
      <c r="H39" s="7">
        <f>ROUNDUP(F39/Inputs!$B$11,0)</f>
        <v/>
      </c>
      <c r="I39" s="7" t="inlineStr">
        <is>
          <t>N/SHEET: 4/A-210 | Breakdown [DERIVED]: VEST-LEDGER 12.67 = 12.67 LF</t>
        </is>
      </c>
    </row>
    <row r="40" ht="15" customHeight="1" s="8">
      <c r="A40" s="7" t="inlineStr">
        <is>
          <t>#8 screws at the top chord, cross members and track (8/A-410)</t>
        </is>
      </c>
      <c r="B40" s="7" t="inlineStr">
        <is>
          <t>PCS</t>
        </is>
      </c>
      <c r="C40" s="7" t="n">
        <v>775</v>
      </c>
      <c r="D40" s="7">
        <f>Inputs!$B$5</f>
        <v/>
      </c>
      <c r="E40" s="7">
        <f>C40*D40</f>
        <v/>
      </c>
      <c r="F40" s="7">
        <f>C40+E40</f>
        <v/>
      </c>
      <c r="G40" s="7" t="inlineStr">
        <is>
          <t>piece</t>
        </is>
      </c>
      <c r="H40" s="7">
        <f>ROUNDUP(F40,0)</f>
        <v/>
      </c>
      <c r="I40" s="7" t="inlineStr">
        <is>
          <t>N/SHEET: 8/A-410 | Breakdown [DERIVED]: SCREWS-8-A410 775 = 775 PCS | 8/A-410 PARALLEL TO STRUCTURE: "(2) #8 SCREW AT EACH STUD" 141 cross members x 2 = 282 + "ATTACH TO TRACK W/ #8 SCREWS AT 24" O.C." sum(ROUNDUP(L / 2) + 1) over the walls parallel to the joists = 141 + "ATTACH TO TOP CORD OF EXIST'G STRUCTURE #8 SCREWS" 141 cross members x 2 ends = 282; PERPENDICULAR TO STRUCTURE: "ATTACH TO TOP CORD OF EXIST'G STRUCTURE W/ #8 SCREWS" one per joist crossing, sum(ROUNDUP(L / 5.0) + 1) over 262.46 LF = 70 (joist spacing 5'-0" not printed, same assumption as the cross members - RFI-41); total 775 pcs</t>
        </is>
      </c>
    </row>
    <row r="41" ht="15" customHeight="1" s="8">
      <c r="A41" s="7" t="inlineStr">
        <is>
          <t>3-5/8" stud, framed soffit 2/A-221 (LF)</t>
        </is>
      </c>
      <c r="B41" s="7" t="inlineStr">
        <is>
          <t>LF</t>
        </is>
      </c>
      <c r="C41" s="7" t="n">
        <v>61.31</v>
      </c>
      <c r="D41" s="7">
        <f>Inputs!$B$5</f>
        <v/>
      </c>
      <c r="E41" s="7">
        <f>C41*D41</f>
        <v/>
      </c>
      <c r="F41" s="7">
        <f>C41+E41</f>
        <v/>
      </c>
      <c r="G41" s="7" t="inlineStr">
        <is>
          <t>stick 20 ft</t>
        </is>
      </c>
      <c r="H41" s="7">
        <f>ROUNDUP(F41/Inputs!$B$10,0)</f>
        <v/>
      </c>
      <c r="I41" s="7" t="inlineStr">
        <is>
          <t>N/SHEET: 2/A-221, 1/A-121 | Breakdown [DERIVED]: Cafe 103 - 11'-0" GWB zone: framed_soffit: ROUNDUP(23.25/2)+1 = 13 joists x 4.716 = 61.31 LF 3-5/8" joists = 61.31 LF (framed soffit joists, 2/A-221)</t>
        </is>
      </c>
    </row>
    <row r="42" ht="15" customHeight="1" s="8">
      <c r="A42" s="7" t="inlineStr">
        <is>
          <t>Blocking 2X wood (not labeled FRT)</t>
        </is>
      </c>
      <c r="B42" s="7" t="inlineStr">
        <is>
          <t>LF</t>
        </is>
      </c>
      <c r="C42" s="7" t="n">
        <v>17</v>
      </c>
      <c r="D42" s="7">
        <f>Inputs!$B$6</f>
        <v/>
      </c>
      <c r="E42" s="7">
        <f>C42*D42</f>
        <v/>
      </c>
      <c r="F42" s="7">
        <f>C42+E42</f>
        <v/>
      </c>
      <c r="G42" s="7" t="inlineStr">
        <is>
          <t>2x lumber 8 ft</t>
        </is>
      </c>
      <c r="H42" s="7">
        <f>ROUNDUP(F42/Inputs!$B$26,0)</f>
        <v/>
      </c>
      <c r="I42" s="7" t="inlineStr">
        <is>
          <t>N/SHEET: 7/A-413, 8A/A-413, 4/A-412, 6/A-412, 4/A-101, 2/A-500 | Breakdown [DERIVED]: BLK-CASED-OPENING 17 = 17 LF | Estimator decision 2026-10-27: wood blocking takes the NON-METAL waste (Inputs B6, same as board, 6%), not the metal 15%; 2x bought in 16 ft sticks (Inputs B26).</t>
        </is>
      </c>
    </row>
    <row r="43" ht="15" customHeight="1" s="8">
      <c r="A43" s="7" t="inlineStr">
        <is>
          <t>FRT plywood substrate (5/8 in.)</t>
        </is>
      </c>
      <c r="B43" s="7" t="inlineStr">
        <is>
          <t>SF</t>
        </is>
      </c>
      <c r="C43" s="7" t="n">
        <v>1790.51</v>
      </c>
      <c r="D43" s="7">
        <f>Inputs!$B$6</f>
        <v/>
      </c>
      <c r="E43" s="7">
        <f>C43*D43</f>
        <v/>
      </c>
      <c r="F43" s="7">
        <f>C43+E43</f>
        <v/>
      </c>
      <c r="G43" s="7" t="inlineStr">
        <is>
          <t>4x12 ft sheet (Inputs)</t>
        </is>
      </c>
      <c r="H43" s="7">
        <f>ROUNDUP(F43/Inputs!$B$9,0)</f>
        <v/>
      </c>
      <c r="I43" s="7" t="inlineStr">
        <is>
          <t>N/SHEET: G/A-221, H/A-221, E/A-221, F/A-221, I/A-221, 1/A-226A, 6/A-226A, 3/A-221, A-410 (ALL PLYWOOD NEEDS TO BE FRT) | Breakdown [DERIVED]: C-H1-N-B-FRT 314.79 + C-H1-W-B-FRT 127.78 + C-H2a-A-FRT 127.78 + C-H2b-A-FRT 20.47 + C-H2b-B-FRT 20.47 + C-H3a-A-FRT 102 + C-H3b-A-FRT 49.36 + C-E2-A-FRT 307.65 + C-F-A-FRT 81.5 + C-I-P.1-A-FRT 15 + C-I-A-FRT 34.65 + SS-N-WD1-FRT 318.78 + SS-E-WD1-FRT 141.68 + SS-GG-FRT 110.49 + C-I-E1-A-FRT 9.04 + C-I-E2-A-FRT 9.04 = 1,790.48 SF (strip length x height)</t>
        </is>
      </c>
    </row>
    <row r="44" ht="15" customHeight="1" s="8">
      <c r="A44" s="7" t="inlineStr">
        <is>
          <t>FRT plywood substrate (3/4 in.)</t>
        </is>
      </c>
      <c r="B44" s="7" t="inlineStr">
        <is>
          <t>SF</t>
        </is>
      </c>
      <c r="C44" s="7" t="n">
        <v>402.46</v>
      </c>
      <c r="D44" s="7">
        <f>Inputs!$B$6</f>
        <v/>
      </c>
      <c r="E44" s="7">
        <f>C44*D44</f>
        <v/>
      </c>
      <c r="F44" s="7">
        <f>C44+E44</f>
        <v/>
      </c>
      <c r="G44" s="7" t="inlineStr">
        <is>
          <t>4x12 ft sheet (Inputs)</t>
        </is>
      </c>
      <c r="H44" s="7">
        <f>ROUNDUP(F44/Inputs!$B$9,0)</f>
        <v/>
      </c>
      <c r="I44" s="7" t="inlineStr">
        <is>
          <t>N/SHEET: A/A-221, B/A-221, 4/A-226A, 21/A-201, 5/A-210, 4/A-210, 11/A-200, 2/E-103, A-410 (ALL PLYWOOD NEEDS TO BE FRT) | Breakdown [DERIVED]: C-A-1-A-FRT 26.78 + C-A-2-A-FRT 11.21 + C-A-3-A-FRT 16.9 + C-B-A-FRT 8.58 + MENU-BOARD-FRT 60.6 + RESTROOM-BACKING-FRT 17.77 + VEST-POSTS-PLYWOOD 105 + VEST-PLYWOOD 106.62 + JANITOR-FRT-11-A200 17 + SERVER-ROOM-BACKBOARD 32 = 402.46 SF (strip length x height)</t>
        </is>
      </c>
    </row>
    <row r="45" ht="15" customHeight="1" s="8">
      <c r="A45" s="7" t="inlineStr">
        <is>
          <t>Hanger wire 12 ga - hanger count (one per hanger, height per room)</t>
        </is>
      </c>
      <c r="B45" s="7" t="inlineStr">
        <is>
          <t>PCS</t>
        </is>
      </c>
      <c r="C45" s="7" t="n">
        <v>109</v>
      </c>
      <c r="D45" s="7" t="n">
        <v>0</v>
      </c>
      <c r="E45" s="7">
        <f>C45*D45</f>
        <v/>
      </c>
      <c r="F45" s="7">
        <f>C45+E45</f>
        <v/>
      </c>
      <c r="G45" s="7" t="inlineStr">
        <is>
          <t>each</t>
        </is>
      </c>
      <c r="H45" s="7">
        <f>ROUNDUP(F45,0)</f>
        <v/>
      </c>
      <c r="I45" s="7" t="inlineStr">
        <is>
          <t>N/SHEET: 5/A-121, 1/A-121 | Breakdown [DERIVED]: Women's Restroom 109 9 + Men's Restroom 108 9 + Cafe 103 - 11'-6" GWB band 18 + Cafe 103 - 9'-0" GWB band 12 + Cafe Seating Area 102 - GWB cloud 55 + Grab &amp; Go 6 = 109 PCS (one per hanger)</t>
        </is>
      </c>
    </row>
    <row r="46" ht="15" customHeight="1" s="8">
      <c r="A46" s="7" t="inlineStr">
        <is>
          <t>Additional head track at openings over 4'-0" wide</t>
        </is>
      </c>
      <c r="B46" s="7" t="inlineStr">
        <is>
          <t>LF</t>
        </is>
      </c>
      <c r="C46" s="7" t="n">
        <v>10.67</v>
      </c>
      <c r="D46" s="7">
        <f>Inputs!$B$5</f>
        <v/>
      </c>
      <c r="E46" s="7">
        <f>C46*D46</f>
        <v/>
      </c>
      <c r="F46" s="7">
        <f>C46+E46</f>
        <v/>
      </c>
      <c r="G46" s="7" t="inlineStr">
        <is>
          <t>run 10 ft</t>
        </is>
      </c>
      <c r="H46" s="7">
        <f>ROUNDUP(F46/Inputs!$B$11,0)</f>
        <v/>
      </c>
      <c r="I46" s="7" t="inlineStr">
        <is>
          <t>N/SHEET: A-500 | Door 11 (W2-03): (4.0 + 2 x 0.667) x 1 = 5.33; Door 3 (C-H2a): (4.0 + 2 x 0.667) x 1 = 5.33</t>
        </is>
      </c>
    </row>
    <row r="47" ht="15" customHeight="1" s="8">
      <c r="A47" s="7" t="inlineStr">
        <is>
          <t>Stud reinforcement at MEP penetrations</t>
        </is>
      </c>
      <c r="B47" s="7" t="inlineStr">
        <is>
          <t>PCS</t>
        </is>
      </c>
      <c r="C47" s="7" t="n">
        <v>0</v>
      </c>
      <c r="D47" s="7" t="n">
        <v>0</v>
      </c>
      <c r="E47" s="7">
        <f>C47*D47</f>
        <v/>
      </c>
      <c r="F47" s="7">
        <f>C47+E47</f>
        <v/>
      </c>
      <c r="G47" s="7" t="inlineStr">
        <is>
          <t>each</t>
        </is>
      </c>
      <c r="H47" s="7">
        <f>ROUNDUP(F47,0)</f>
        <v/>
      </c>
      <c r="I47" s="7" t="inlineStr">
        <is>
          <t>[RFI] N/SHEET: 6/A-410, 7/A-410 | RFI: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 Delta: per duct crossing a stud wall: + MAX(1, ROUNDUP(duct width / 16")) stud reinforcement plates x stud rows (take-off default, not printed: 6/A-410 and 7/A-410 are pipe firestopping only); plus 1 duct sleeve each</t>
        </is>
      </c>
    </row>
    <row r="48" ht="15" customHeight="1" s="8">
      <c r="A48" s="7" t="inlineStr">
        <is>
          <t>Extra framing - ATM recess (only what a detail prints at the recess; the wall stays in its type)</t>
        </is>
      </c>
      <c r="B48" s="7" t="inlineStr">
        <is>
          <t>LF</t>
        </is>
      </c>
      <c r="C48" s="7" t="n">
        <v>0</v>
      </c>
      <c r="D48" s="7">
        <f>Inputs!$B$5</f>
        <v/>
      </c>
      <c r="E48" s="7">
        <f>C48*D48</f>
        <v/>
      </c>
      <c r="F48" s="7">
        <f>C48+E48</f>
        <v/>
      </c>
      <c r="G48" s="7" t="inlineStr">
        <is>
          <t>stick 20 ft</t>
        </is>
      </c>
      <c r="H48" s="7">
        <f>ROUNDUP(F48/Inputs!$B$10,0)</f>
        <v/>
      </c>
      <c r="I48" s="7" t="inlineStr">
        <is>
          <t>[DERIVED] N/SHEET: A-101 | none: No ATM / equipment recess in the set (A-101, A-500, A-221 reviewed) (A-101)</t>
        </is>
      </c>
    </row>
    <row r="49" ht="15" customHeight="1" s="8">
      <c r="A49" s="7" t="inlineStr">
        <is>
          <t>2-1/2" CFMF @ 16" O.C. at coiling grille head (detail per plans)</t>
        </is>
      </c>
      <c r="B49" s="7" t="inlineStr">
        <is>
          <t>LF</t>
        </is>
      </c>
      <c r="C49" s="7" t="n">
        <v>0</v>
      </c>
      <c r="D49" s="7">
        <f>Inputs!$B$5</f>
        <v/>
      </c>
      <c r="E49" s="7">
        <f>C49*D49</f>
        <v/>
      </c>
      <c r="F49" s="7">
        <f>C49+E49</f>
        <v/>
      </c>
      <c r="G49" s="7" t="inlineStr">
        <is>
          <t>stick 20 ft</t>
        </is>
      </c>
      <c r="H49" s="7">
        <f>ROUNDUP(F49/Inputs!$B$10,0)</f>
        <v/>
      </c>
      <c r="I49" s="7" t="inlineStr">
        <is>
          <t>N/SHEET: A-000, A-101, A-410, A-500 | none: no parapet infill, coiling grille or duct sleeve detail in the set (A-000 index; A-101, A-410, A-500)</t>
        </is>
      </c>
    </row>
    <row r="50" ht="15" customHeight="1" s="8">
      <c r="A50" s="7" t="inlineStr">
        <is>
          <t>Gypsum board jamb return at openings</t>
        </is>
      </c>
      <c r="B50" s="7" t="inlineStr">
        <is>
          <t>SF</t>
        </is>
      </c>
      <c r="C50" s="7" t="n">
        <v>0</v>
      </c>
      <c r="D50" s="7">
        <f>Inputs!$B$6</f>
        <v/>
      </c>
      <c r="E50" s="7">
        <f>C50*D50</f>
        <v/>
      </c>
      <c r="F50" s="7">
        <f>C50+E50</f>
        <v/>
      </c>
      <c r="G50" s="7" t="inlineStr">
        <is>
          <t>4x12 ft sheet (Inputs)</t>
        </is>
      </c>
      <c r="H50" s="7">
        <f>ROUNDUP(F50/Inputs!$B$9,0)</f>
        <v/>
      </c>
      <c r="I50" s="7" t="inlineStr">
        <is>
          <t>[DERIVED] N/SHEET: 1/A-500 | none: No opening with a gypsum board return: doors in hollow metal frames (1/A-500); cased opening 2/A-500 is wood jamb + B-1 trim; storefronts are Div 08 (1/A-500)</t>
        </is>
      </c>
    </row>
    <row r="51" ht="15" customHeight="1" s="8">
      <c r="A51" s="7" t="inlineStr">
        <is>
          <t>PVC trim - edge trim molding and inside corner molding at the FRP</t>
        </is>
      </c>
      <c r="B51" s="7" t="inlineStr">
        <is>
          <t>LF</t>
        </is>
      </c>
      <c r="C51" s="7" t="n">
        <v>0</v>
      </c>
      <c r="D51" s="7">
        <f>Inputs!$B$6</f>
        <v/>
      </c>
      <c r="E51" s="7">
        <f>C51*D51</f>
        <v/>
      </c>
      <c r="F51" s="7">
        <f>C51+E51</f>
        <v/>
      </c>
      <c r="G51" s="7" t="inlineStr">
        <is>
          <t>trim stick 10 ft</t>
        </is>
      </c>
      <c r="H51" s="7">
        <f>ROUNDUP(F51/Inputs!$B$18,0)</f>
        <v/>
      </c>
      <c r="I51" s="7" t="inlineStr">
        <is>
          <t>[DERIVED] N/SHEET: 4/A-226B, 12/A-200 | none: FRP-1 (A-510): Cafe Work Room 104 FRP-1 full height to the 10'-0" ceiling (1-4/A-226B); Janitor 107 FRP-1 to 96" A.F.F. (A-131) / 8'-0" (9-12/A-200); Cafe 103 below countertop. Installer not defined (A-002) - not carried, RFI-13 with delta (1,030.64 SF) - PVC trim with it.</t>
        </is>
      </c>
    </row>
    <row r="52" ht="15" customHeight="1" s="8">
      <c r="A52" s="7" t="inlineStr">
        <is>
          <t>Power-driven fasteners and duct sleeves</t>
        </is>
      </c>
      <c r="B52" s="7" t="inlineStr">
        <is>
          <t>PCS</t>
        </is>
      </c>
      <c r="C52" s="7" t="n">
        <v>0</v>
      </c>
      <c r="D52" s="7" t="n">
        <v>0</v>
      </c>
      <c r="E52" s="7">
        <f>C52*D52</f>
        <v/>
      </c>
      <c r="F52" s="7">
        <f>C52+E52</f>
        <v/>
      </c>
      <c r="G52" s="7" t="inlineStr">
        <is>
          <t>each</t>
        </is>
      </c>
      <c r="H52" s="7">
        <f>ROUNDUP(F52,0)</f>
        <v/>
      </c>
      <c r="I52" s="7" t="inlineStr">
        <is>
          <t>[DERIVED] N/SHEET: A-000, A-101, A-410, A-500 | none: no parapet infill, coiling grille or duct sleeve detail in the set (A-000 index; A-101, A-410, A-500)</t>
        </is>
      </c>
    </row>
    <row r="53" ht="15" customHeight="1" s="8">
      <c r="A53" s="7" t="inlineStr">
        <is>
          <t>Access panel</t>
        </is>
      </c>
      <c r="B53" s="7" t="inlineStr">
        <is>
          <t>PCS</t>
        </is>
      </c>
      <c r="C53" s="7" t="n">
        <v>0</v>
      </c>
      <c r="D53" s="7" t="n">
        <v>0</v>
      </c>
      <c r="E53" s="7">
        <f>C53*D53</f>
        <v/>
      </c>
      <c r="F53" s="7">
        <f>C53+E53</f>
        <v/>
      </c>
      <c r="G53" s="7" t="inlineStr">
        <is>
          <t>each</t>
        </is>
      </c>
      <c r="H53" s="7">
        <f>ROUNDUP(F53,0)</f>
        <v/>
      </c>
      <c r="I53" s="7" t="inlineStr">
        <is>
          <t>[DERIVED] N/SHEET: A-121 | none: No access panel shown in GWB ceilings or walls (A-121 ceiling key notes 1-11, M-102 and P sheets reviewed) (A-121)</t>
        </is>
      </c>
    </row>
    <row r="54" ht="15" customHeight="1" s="8">
      <c r="A54" s="7" t="inlineStr">
        <is>
          <t>Drywall screws #7 x 1-1/4" Type S bugle head (board on 25/20 ga studs)</t>
        </is>
      </c>
      <c r="B54" s="7" t="inlineStr">
        <is>
          <t>PCS</t>
        </is>
      </c>
      <c r="C54" s="7" t="n">
        <v>6114.04</v>
      </c>
      <c r="D54" s="7" t="n">
        <v>0</v>
      </c>
      <c r="E54" s="7">
        <f>C54*D54</f>
        <v/>
      </c>
      <c r="F54" s="7">
        <f>C54+E54</f>
        <v/>
      </c>
      <c r="G54" s="7" t="inlineStr">
        <is>
          <t>each</t>
        </is>
      </c>
      <c r="H54" s="7">
        <f>ROUNDUP(F54,0)</f>
        <v/>
      </c>
      <c r="I54" s="7" t="inlineStr">
        <is>
          <t>[DERIVED] N/SHEET: A-410, A-001A | Inputs!B20 (Drywall screws per SF of board = 1.2) x 5095.03 SF of board</t>
        </is>
      </c>
      <c r="J54" s="7">
        <f>Inputs!$B$20*5095.03</f>
        <v/>
      </c>
    </row>
    <row r="55" ht="15" customHeight="1" s="8">
      <c r="A55" s="7" t="inlineStr">
        <is>
          <t>Framing screws #8-18 x 1/2" pan head (25/20 ga studs)</t>
        </is>
      </c>
      <c r="B55" s="7" t="inlineStr">
        <is>
          <t>PCS</t>
        </is>
      </c>
      <c r="C55" s="7" t="n">
        <v>1940</v>
      </c>
      <c r="D55" s="7" t="n">
        <v>0</v>
      </c>
      <c r="E55" s="7">
        <f>C55*D55</f>
        <v/>
      </c>
      <c r="F55" s="7">
        <f>C55+E55</f>
        <v/>
      </c>
      <c r="G55" s="7" t="inlineStr">
        <is>
          <t>each</t>
        </is>
      </c>
      <c r="H55" s="7">
        <f>ROUNDUP(F55,0)</f>
        <v/>
      </c>
      <c r="I55" s="7" t="inlineStr">
        <is>
          <t>[DERIVED] N/SHEET: A-410 note 8.A | Inputs!B21 (Framing screws per stud piece = 4) x 485 stud pieces | Breakdown [DERIVED]: 4 x 485 stud pieces of the 25/20 ga walls and other framing [C-A-1 11 + C-A-2 6 + C-A-3 7 + C-B 6 + C-C 4 + C-D 6 + C-E1-B 5 + C-E1-P.2 3 + C-E1-S 21 + C-E2 23 + C-H1-N 26 + C-H1-W 12 + C-H3a 6 + C-H3b 7 + C-I 3 + C-I-P.1 3 + SS-E 9 + SS-GG 6 + SS-IN-E 6 + SS-IN-N 18 + SS-N 20 + W3-01 4 + W3-02 12 + W3-03 12 + W3-04 4 + W3-05 4 + W3-06 4 + W4-28a 10 + W4-28b 4 + W4-28c 4 + W4-28d 4 + W4-28e 4 + W4-29a 6 + W4-29b 6 + W4-29c 6 + W4-29d 6 + W4-29e 6 + W4-29f 6 + W4-30a 6 + W4-30b 6 + W4-30c 6 + W4-30d 6 + W4-30e 6 + W4-30f 6 + W4-31a 10 + W4-31b 4 + W4-31c 4 + W4-31d 3 + W4-31e 3 + W5-01 7 (walls 377); CW-01 12; CW-02 12; CW-03 12; CW-04 12; CW-05 12; CW-06 12; CW-07 12; CW-08 12; CW-09 12; C-I-E1.6" 0; C-I-E2.6" 0] = 1940</t>
        </is>
      </c>
      <c r="J55" s="7">
        <f>Inputs!$B$21*485</f>
        <v/>
      </c>
    </row>
    <row r="56" ht="15" customHeight="1" s="8">
      <c r="A56" s="7" t="inlineStr">
        <is>
          <t>Power-driven fasteners, slab pins for the bottom track</t>
        </is>
      </c>
      <c r="B56" s="7" t="inlineStr">
        <is>
          <t>PCS</t>
        </is>
      </c>
      <c r="C56" s="7" t="n">
        <v>777.4299999999999</v>
      </c>
      <c r="D56" s="7" t="n">
        <v>0</v>
      </c>
      <c r="E56" s="7">
        <f>C56*D56</f>
        <v/>
      </c>
      <c r="F56" s="7">
        <f>C56+E56</f>
        <v/>
      </c>
      <c r="G56" s="7" t="inlineStr">
        <is>
          <t>each</t>
        </is>
      </c>
      <c r="H56" s="7">
        <f>ROUNDUP(F56,0)</f>
        <v/>
      </c>
      <c r="I56" s="7" t="inlineStr">
        <is>
          <t>[DERIVED] N/SHEET: A-410 note 8.F (9/A-410 = alternate) | 518.29 LF of interior bottom track on slab / Inputs!B22 (Power-driven pin spacing (ft) = 0.666667)</t>
        </is>
      </c>
      <c r="J56" s="7">
        <f>518.29/Inputs!$B$22</f>
        <v/>
      </c>
    </row>
    <row r="57" ht="15" customHeight="1" s="8">
      <c r="A57" s="7" t="inlineStr">
        <is>
          <t>Expansion anchors Hilti 1/4" Kwik Bolt II, exterior bottom track @ 8" O.C.</t>
        </is>
      </c>
      <c r="B57" s="7" t="inlineStr">
        <is>
          <t>PCS</t>
        </is>
      </c>
      <c r="C57" s="7" t="n">
        <v>0</v>
      </c>
      <c r="D57" s="7" t="n">
        <v>0</v>
      </c>
      <c r="E57" s="7">
        <f>C57*D57</f>
        <v/>
      </c>
      <c r="F57" s="7">
        <f>C57+E57</f>
        <v/>
      </c>
      <c r="G57" s="7" t="inlineStr">
        <is>
          <t>each</t>
        </is>
      </c>
      <c r="H57" s="7">
        <f>ROUNDUP(F57,0)</f>
        <v/>
      </c>
      <c r="I57" s="7" t="inlineStr">
        <is>
          <t>[DERIVED] N/SHEET: 1/DM-101 | none: no new exterior wall on slab - perimeter walls 1 / 1A / 1B / 1C are EXISTING (RFI-01; 1/DM-101, A-101)</t>
        </is>
      </c>
      <c r="J57" s="7">
        <f>0*Inputs!$B$25</f>
        <v/>
      </c>
    </row>
    <row r="58" ht="15" customHeight="1" s="8">
      <c r="A58" s="7" t="inlineStr">
        <is>
          <t>Joint compound, all purpose</t>
        </is>
      </c>
      <c r="B58" s="7" t="inlineStr">
        <is>
          <t>LB</t>
        </is>
      </c>
      <c r="C58" s="7" t="n">
        <v>1166.54</v>
      </c>
      <c r="D58" s="7" t="n">
        <v>0</v>
      </c>
      <c r="E58" s="7">
        <f>C58*D58</f>
        <v/>
      </c>
      <c r="F58" s="7">
        <f>C58+E58</f>
        <v/>
      </c>
      <c r="G58" s="7" t="inlineStr">
        <is>
          <t>lb</t>
        </is>
      </c>
      <c r="H58" s="7">
        <f>ROUNDUP(F58,0)</f>
        <v/>
      </c>
      <c r="I58" s="7" t="inlineStr">
        <is>
          <t>[DERIVED] N/SHEET: A-001A Div 09 A.8 | Inputs!B23 (Joint compound (lb per SF) = 0.072) x 16201.9 SF of board</t>
        </is>
      </c>
      <c r="J58" s="7">
        <f>Inputs!$B$23*16201.9</f>
        <v/>
      </c>
    </row>
    <row r="59" ht="15" customHeight="1" s="8">
      <c r="A59" s="7" t="inlineStr">
        <is>
          <t>Joint tape, paper</t>
        </is>
      </c>
      <c r="B59" s="7" t="inlineStr">
        <is>
          <t>LF</t>
        </is>
      </c>
      <c r="C59" s="7" t="n">
        <v>5994.7</v>
      </c>
      <c r="D59" s="7" t="n">
        <v>0</v>
      </c>
      <c r="E59" s="7">
        <f>C59*D59</f>
        <v/>
      </c>
      <c r="F59" s="7">
        <f>C59+E59</f>
        <v/>
      </c>
      <c r="G59" s="7" t="inlineStr">
        <is>
          <t>LF</t>
        </is>
      </c>
      <c r="H59" s="7">
        <f>ROUNDUP(F59,0)</f>
        <v/>
      </c>
      <c r="I59" s="7" t="inlineStr">
        <is>
          <t>[DERIVED] N/SHEET: A-001A Div 09 A.8 | Inputs!B24 (Joint tape (LF per SF) = 0.37) x 16201.9 SF of board</t>
        </is>
      </c>
      <c r="J59" s="7">
        <f>Inputs!$B$24*16201.9</f>
        <v/>
      </c>
    </row>
    <row r="60" ht="15" customHeight="1" s="8">
      <c r="A60" s="7" t="inlineStr">
        <is>
          <t>Level 5 finish</t>
        </is>
      </c>
      <c r="B60" s="7" t="inlineStr">
        <is>
          <t>SF</t>
        </is>
      </c>
      <c r="C60" s="7" t="n">
        <v>0</v>
      </c>
      <c r="D60" s="7">
        <f>Inputs!$B$6</f>
        <v/>
      </c>
      <c r="E60" s="7">
        <f>C60*D60</f>
        <v/>
      </c>
      <c r="F60" s="7">
        <f>C60+E60</f>
        <v/>
      </c>
      <c r="G60" s="7" t="inlineStr">
        <is>
          <t>SF</t>
        </is>
      </c>
      <c r="H60" s="7">
        <f>ROUNDUP(F60,0)</f>
        <v/>
      </c>
      <c r="I60" s="7" t="inlineStr">
        <is>
          <t>[DERIVED] N/SHEET: A-510 | none: No LEVEL 5 finish in A-510 room finish schedule / finish notes (paint finishes PT-1..PT-8 only) (A-510)</t>
        </is>
      </c>
    </row>
    <row r="61" ht="15" customHeight="1" s="8">
      <c r="A61" s="7" t="inlineStr">
        <is>
          <t>Deflection clips at non-load-bearing walls to structure</t>
        </is>
      </c>
      <c r="B61" s="7" t="inlineStr">
        <is>
          <t>PCS</t>
        </is>
      </c>
      <c r="C61" s="7" t="n">
        <v>0</v>
      </c>
      <c r="D61" s="7" t="n">
        <v>0</v>
      </c>
      <c r="E61" s="7">
        <f>C61*D61</f>
        <v/>
      </c>
      <c r="F61" s="7">
        <f>C61+E61</f>
        <v/>
      </c>
      <c r="G61" s="7" t="inlineStr">
        <is>
          <t>each</t>
        </is>
      </c>
      <c r="H61" s="7">
        <f>ROUNDUP(F61,0)</f>
        <v/>
      </c>
      <c r="I61" s="7" t="inlineStr">
        <is>
          <t>[DERIVED] N/SHEET: 3/A-410 | none: Deflection by deep leg track / slotted deflection at the top of full height walls (3/A-410 Top Track Detail, 2/A-410 "SLOTTED DEFLECTION", A-410 partition note 7 "PROVIDE DEFLECTION TRACK AS REQUIRED"); no deflection clips called</t>
        </is>
      </c>
    </row>
    <row r="62" ht="15" customHeight="1" s="8">
      <c r="A62" s="7" t="inlineStr">
        <is>
          <t>Heavy-gauge framing screws #10-16 x 3/4" pan head (18/16/14 ga studs)</t>
        </is>
      </c>
      <c r="B62" s="7" t="inlineStr">
        <is>
          <t>PCS</t>
        </is>
      </c>
      <c r="C62" s="7" t="n">
        <v>1776</v>
      </c>
      <c r="D62" s="7" t="n">
        <v>0</v>
      </c>
      <c r="E62" s="7">
        <f>C62*D62</f>
        <v/>
      </c>
      <c r="F62" s="7">
        <f>C62+E62</f>
        <v/>
      </c>
      <c r="G62" s="7" t="inlineStr">
        <is>
          <t>each</t>
        </is>
      </c>
      <c r="H62" s="7">
        <f>ROUNDUP(F62,0)</f>
        <v/>
      </c>
      <c r="I62" s="7" t="inlineStr">
        <is>
          <t>[DERIVED] N/SHEET: A-410 | 6 (3 per connection x 2 ends) x 296 stud pieces of the 18/16/14 ga walls (C-F 5 + C-H2a 16 + C-H2b 4 + W2-01 43 + W2-02 5 + W2-03 76 + W2-04 49 + W2-05 12 + W2-06.1 13 + W2-06.2 4 + W2-06.3 6 + W2-06.4 4 + W2-06.5 19 + W2-07 8 + W2-08 16 + W2-09 16 = 296) = 1776</t>
        </is>
      </c>
    </row>
    <row r="63" ht="15" customHeight="1" s="8">
      <c r="A63" s="7" t="inlineStr">
        <is>
          <t>Type S-12 drywall screws #6 x 1-1/4" (board on 18/16/14 ga studs)</t>
        </is>
      </c>
      <c r="B63" s="7" t="inlineStr">
        <is>
          <t>PCS</t>
        </is>
      </c>
      <c r="C63" s="7" t="n">
        <v>13328.22</v>
      </c>
      <c r="D63" s="7" t="n">
        <v>0</v>
      </c>
      <c r="E63" s="7">
        <f>C63*D63</f>
        <v/>
      </c>
      <c r="F63" s="7">
        <f>C63+E63</f>
        <v/>
      </c>
      <c r="G63" s="7" t="inlineStr">
        <is>
          <t>each</t>
        </is>
      </c>
      <c r="H63" s="7">
        <f>ROUNDUP(F63,0)</f>
        <v/>
      </c>
      <c r="I63" s="7" t="inlineStr">
        <is>
          <t>[DERIVED] N/SHEET: A-410 | 1.2 x (11143.59 SF of board on the 18/16/14 ga walls (C-F, C-H2a, C-H2b, W2-01, W2-02, W2-03, W2-04, W2-05, W2-06.1, W2-06.2, W2-06.3, W2-06.4, W2-06.5, W2-07, W2-08, W2-09) - 36.74 SF cement board base on those walls (22/A-201) = 11106.85 SF) = 13328.22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7" min="1" max="1"/>
    <col width="60" customWidth="1" style="7" min="2" max="3"/>
  </cols>
  <sheetData>
    <row r="1" ht="15" customHeight="1" s="8">
      <c r="A1" s="10" t="inlineStr">
        <is>
          <t>RFI</t>
        </is>
      </c>
      <c r="B1" s="10" t="inlineStr">
        <is>
          <t>Question / condition</t>
        </is>
      </c>
      <c r="C1" s="10" t="inlineStr">
        <is>
          <t>Delta of each alternative</t>
        </is>
      </c>
    </row>
    <row r="2" ht="15" customHeight="1" s="8">
      <c r="A2" s="7" t="inlineStr">
        <is>
          <t>RFI-ACC-slab-pins</t>
        </is>
      </c>
      <c r="B2" s="7" t="inlineStr">
        <is>
          <t>slab pins: pin spacing: carried one pin every 8.0" (A-410 note 8.F X-DNI 2 rows @ 16" O.C. (printed, conservative); 9/A-410 0.177" PAF @ 24" = alternative); alternatives: one row @ 16" / one row @ 24"</t>
        </is>
      </c>
      <c r="C2" s="7" t="inlineStr">
        <is>
          <t>16in: -388.72 pcs; 24in: -518.29 pcs</t>
        </is>
      </c>
    </row>
    <row r="3" ht="15" customHeight="1" s="8">
      <c r="A3" s="7" t="inlineStr">
        <is>
          <t>RFI-ACC-stud-reinforcement-mep</t>
        </is>
      </c>
      <c r="B3" s="7" t="inlineStr">
        <is>
          <t>stud reinforcement MEP: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</t>
        </is>
      </c>
      <c r="C3" s="7" t="inlineStr">
        <is>
          <t>per duct crossing a stud wall: + MAX(1, ROUNDUP(duct width / 16")) stud reinforcement plates x stud rows (take-off default, not printed: 6/A-410 and 7/A-410 are pipe firestopping only); plus 1 duct sleeve each</t>
        </is>
      </c>
    </row>
    <row r="4" ht="15" customHeight="1" s="8">
      <c r="A4" s="7" t="inlineStr">
        <is>
          <t>RFI-01</t>
        </is>
      </c>
      <c r="B4" s="7" t="inlineStr">
        <is>
          <t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      </is>
      </c>
      <c r="C4" s="7" t="inlineStr">
        <is>
          <t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      </is>
      </c>
    </row>
    <row r="5" ht="15" customHeight="1" s="8">
      <c r="A5" s="7" t="inlineStr">
        <is>
          <t>RFI-02</t>
        </is>
      </c>
      <c r="B5" s="7" t="inlineStr">
        <is>
          <t>N/A after RFI-01 (perimeter walls existing, rev1): the north 1A / 1 boundary no longer affects the take-off (both types are existing, excluded).</t>
        </is>
      </c>
      <c r="C5" s="7" t="inlineStr">
        <is>
          <t>none</t>
        </is>
      </c>
    </row>
    <row r="6" ht="15" customHeight="1" s="8">
      <c r="A6" s="7" t="inlineStr">
        <is>
          <t>RFI-03</t>
        </is>
      </c>
      <c r="B6" s="7" t="inlineStr">
        <is>
          <t>B.O. deck is V.I.F. and sloped: 24'-0" (2/A-400B) to 25'-7" (2/A-400A); walls to deck loaded at 25'-0" (1/A-400A, 1/A-400B), east facade 25'-7", west 24'-0". the elevations also print 21'-9" V.I.F. at the right end of 2/A-400A and 23'-8" V.I.F. on A-400B (joists sloping): the B.O. deck range is wider than 24'-0" to 25'-7".</t>
        </is>
      </c>
      <c r="C6" s="7" t="inlineStr">
        <is>
          <t>Each 1 ft of deck height = 414.54 LF of studs-to-deck walls x 1 ft (studs, board where to deck, bracing rows)</t>
        </is>
      </c>
    </row>
    <row r="7" ht="15" customHeight="1" s="8">
      <c r="A7" s="7" t="inlineStr">
        <is>
          <t>RFI-04</t>
        </is>
      </c>
      <c r="B7" s="7" t="inlineStr">
        <is>
          <t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same precedent applied to the Cafe 3-5/8" walls to deck (C-H2a, C-H2b, C-F): 14 ga SJ + 11 diagonal braces = 44.0 LF.</t>
        </is>
      </c>
      <c r="C7" s="7" t="inlineStr">
        <is>
          <t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3/A-410.</t>
        </is>
      </c>
    </row>
    <row r="8" ht="15" customHeight="1" s="8">
      <c r="A8" s="7" t="inlineStr">
        <is>
          <t>RFI-05</t>
        </is>
      </c>
      <c r="B8" s="7" t="inlineStr">
        <is>
          <t>Cafe south line: type 1 on A-101 and E1 / E2 (6" studs, void at existing wall) on 1/A-221. Counted ONCE as E1 / E2. E2 / E1 change point not drawn.</t>
        </is>
      </c>
      <c r="C8" s="7" t="inlineStr">
        <is>
          <t>If both furring and 6" wall exist: + 50.24 LF type 1 furring (3-5/8") x 25'-0". E2 / E1 split at the H2a faces: 0.20 LF moves.</t>
        </is>
      </c>
    </row>
    <row r="9" ht="15" customHeight="1" s="8">
      <c r="A9" s="7" t="inlineStr">
        <is>
          <t>RFI-06</t>
        </is>
      </c>
      <c r="B9" s="7" t="inlineStr">
        <is>
          <t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      </is>
      </c>
      <c r="C9" s="7" t="inlineStr">
        <is>
          <t>Applied (faces already at these heights in rev2; RCP evidence on 1/A-121).</t>
        </is>
      </c>
    </row>
    <row r="10" ht="15" customHeight="1" s="8">
      <c r="A10" s="7" t="inlineStr">
        <is>
          <t>RFI-07</t>
        </is>
      </c>
      <c r="B10" s="7" t="inlineStr">
        <is>
          <t>N/A after RFI-01 (perimeter walls existing, rev1): exterior furring 3-5/8" over 22'-0" (types 1, 1A, 1C) is existing, excluded.</t>
        </is>
      </c>
      <c r="C10" s="7" t="inlineStr">
        <is>
          <t>none</t>
        </is>
      </c>
    </row>
    <row r="11" ht="15" customHeight="1" s="8">
      <c r="A11" s="7" t="inlineStr">
        <is>
          <t>RFI-08</t>
        </is>
      </c>
      <c r="B11" s="7" t="inlineStr">
        <is>
          <t>CLOSED - Review Item rev3 (estimator decision 2026-10-26): type I WD-1 top = 15'-0" A.F.F. (6/A-226A; elevation bubble on 1/A-221 looks west at the type I face, verified).</t>
        </is>
      </c>
      <c r="C11" s="7" t="inlineStr">
        <is>
          <t>Applied (rev3 + rev5): type I 5/8" FRT plywood floor to 15'-0" (6/A-226A) = (C-I 2.31 + C-I-P.1 1.00 + end faces C-I-E1 / C-I-E2 1.21) 4.52 LF x 15.0 = 67.74 SF; GWB 15'-0" to deck 4.52 x 10.0 = 45.16 SF.</t>
        </is>
      </c>
    </row>
    <row r="12" ht="15" customHeight="1" s="8">
      <c r="A12" s="7" t="inlineStr">
        <is>
          <t>RFI-09</t>
        </is>
      </c>
      <c r="B12" s="7" t="inlineStr">
        <is>
          <t>Door headers: no header schedule in the set and 1/A-500 shows no header; headers carried 0 LF.</t>
        </is>
      </c>
      <c r="C12" s="7" t="inlineStr">
        <is>
          <t>If a 2-piece track header is required at every door: + 83.32 LF ((R.O. + 1'-4") x 2)</t>
        </is>
      </c>
    </row>
    <row r="13" ht="15" customHeight="1" s="8">
      <c r="A13" s="7" t="inlineStr">
        <is>
          <t>RFI-10</t>
        </is>
      </c>
      <c r="B13" s="7" t="inlineStr">
        <is>
          <t>N/A after RFI-01 (perimeter walls existing, rev1): doors 10, 12, 13 are existing doors in existing perimeter walls (A-500 EXISTING V.I.F.); no framing in our scope.</t>
        </is>
      </c>
      <c r="C13" s="7" t="inlineStr">
        <is>
          <t>none</t>
        </is>
      </c>
    </row>
    <row r="14" ht="15" customHeight="1" s="8">
      <c r="A14" s="7" t="inlineStr">
        <is>
          <t>RFI-11</t>
        </is>
      </c>
      <c r="B14" s="7" t="inlineStr">
        <is>
          <t>CLOSED - estimator decision RFI-11 (rev1) +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      </is>
      </c>
      <c r="C14" s="7" t="inlineStr">
        <is>
          <t>Applied (rev7): 5/8" Type X W.R. = 1,092.59 SF = walls (Women's 222.93 + Men's 223.02 + Janitor 485.75 + alcove corridor 88.63) + restroom ceilings 122.30 - 1'-2" cement board base 50.04 (22/A-201).</t>
        </is>
      </c>
    </row>
    <row r="15" ht="15" customHeight="1" s="8">
      <c r="A15" s="7" t="inlineStr">
        <is>
          <t>RFI-12</t>
        </is>
      </c>
      <c r="B15" s="7" t="inlineStr">
        <is>
          <t>CLOSED (base) / OPEN (installer of tile)(rev7): 22/A-201 Tile Base Detail prints "5/8" CEMENT BOARD" with "1'-2" CEMENT BOARD BASE" and 5/8" W.R. GYP. BD. above (A-001A Div 09 J.2). Corridor 110 wall tile (A-510) backer: not detailed.</t>
        </is>
      </c>
      <c r="C15" s="7" t="inlineStr">
        <is>
          <t>Applied: + 50.04 SF cement board base on the restroom faces of new walls and the same SF out of W.R. Open: Corridor 110 wall tile backer - each 1 ft of tile height = 93.44 SF cement board instead of Type X.</t>
        </is>
      </c>
    </row>
    <row r="16" ht="15" customHeight="1" s="8">
      <c r="A16" s="7" t="inlineStr">
        <is>
          <t>RFI-13</t>
        </is>
      </c>
      <c r="B16" s="7" t="inlineStr">
        <is>
          <t>FRP-1 (A-510): Cafe Work Room 104 FRP-1 full height to the 10'-0" ceiling (1-4/A-226B); Janitor 107 FRP-1 to 96" A.F.F. (A-131) / 8'-0" (9-12/A-200). Who furnishes / installs the FRP is not defined (A-002). Substrate: E/A-221 and G/A-221 call 5/8" FRT plywood on the Work Room faces; 3/A-225 draws a dotted (board) fill - conflict. Not carried(rev7): heights corrected.</t>
        </is>
      </c>
      <c r="C16" s="7" t="inlineStr">
        <is>
          <t>If FRP is in our scope: Cafe Work Room 87.52 LF x 10.0 = 875.20 SF + Janitor 19.43 LF x 8.0 = 155.44 SF = 1,030.64 SF FRP-1 gross (doors not deducted) + PVC trim (J-mold, inside corners).</t>
        </is>
      </c>
    </row>
    <row r="17" ht="15" customHeight="1" s="8">
      <c r="A17" s="7" t="inlineStr">
        <is>
          <t>RFI-14</t>
        </is>
      </c>
      <c r="B17" s="7" t="inlineStr">
        <is>
          <t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      </is>
      </c>
      <c r="C17" s="7" t="inlineStr">
        <is>
          <t>Applied: SS-N FRT 22.77 x 4.0 = 91.08 SF (rev3 45.54 at 9'-0"/11'-0"); SS-N GWB 14 -&gt; 10 ft; SS-E unchanged (FRT 40.48 SF, GWB 10 ft).</t>
        </is>
      </c>
    </row>
    <row r="18" ht="15" customHeight="1" s="8">
      <c r="A18" s="7" t="inlineStr">
        <is>
          <t>RFI-15</t>
        </is>
      </c>
      <c r="B18" s="7" t="inlineStr">
        <is>
          <t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      </is>
      </c>
      <c r="C18" s="7" t="inlineStr">
        <is>
          <t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      </is>
      </c>
    </row>
    <row r="19" ht="15" customHeight="1" s="8">
      <c r="A19" s="7" t="inlineStr">
        <is>
          <t>RFI-16</t>
        </is>
      </c>
      <c r="B19" s="7" t="inlineStr">
        <is>
          <t>CLOSED - estimator answer (rev4): vestibule post sheathing = 3/4" FRT plywood, 4 faces, full height (5/A-210 "5/8 GYP. BOARD SHEATHING AS REQUIRED" -&gt; estimator: plywood).</t>
        </is>
      </c>
      <c r="C19" s="7" t="inlineStr">
        <is>
          <t>Applied: 6 posts x 4 faces x 5" x 10.5 ft = 105.0 SF 3/4" FRT plywood (6 posts per 1/A-210).</t>
        </is>
      </c>
    </row>
    <row r="20" ht="15" customHeight="1" s="8">
      <c r="A20" s="7" t="inlineStr">
        <is>
          <t>RFI-17</t>
        </is>
      </c>
      <c r="B20" s="7" t="inlineStr">
        <is>
          <t>CLOSED - estimator answer (rev4): column surrounds C25 stud spacing = 16" O.C. (as carried); count 9.</t>
        </is>
      </c>
      <c r="C20" s="7" t="inlineStr">
        <is>
          <t>none (as carried)</t>
        </is>
      </c>
    </row>
    <row r="21" ht="15" customHeight="1" s="8">
      <c r="A21" s="7" t="inlineStr">
        <is>
          <t>RFI-18</t>
        </is>
      </c>
      <c r="B21" s="7" t="inlineStr">
        <is>
          <t>CLOSED - Review Item rev3 (estimator decision 2026-10-26): type 4 curved walls = face-average arc 25.68 LF each (estimator choice vs printed 25'-1").</t>
        </is>
      </c>
      <c r="C21" s="7" t="inlineStr">
        <is>
          <t>Applied: + 1.17 LF type 4 (83.64 LF).</t>
        </is>
      </c>
    </row>
    <row r="22" ht="15" customHeight="1" s="8">
      <c r="A22" s="7" t="inlineStr">
        <is>
          <t>RFI-19</t>
        </is>
      </c>
      <c r="B22" s="7" t="inlineStr">
        <is>
          <t>CLOSED - Review Item rev3 (estimator decision 2026-10-26): board height where a ceiling exists = ceiling + 6" (2/A-410, A-410 partition note 3). Kept.</t>
        </is>
      </c>
      <c r="C22" s="7" t="inlineStr">
        <is>
          <t>none</t>
        </is>
      </c>
    </row>
    <row r="23" ht="15" customHeight="1" s="8">
      <c r="A23" s="7" t="inlineStr">
        <is>
          <t>RFI-20</t>
        </is>
      </c>
      <c r="B23" s="7" t="inlineStr">
        <is>
          <t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      </is>
      </c>
      <c r="C23" s="7" t="inlineStr">
        <is>
          <t>Applied: SS-GG 6" studs 6 x 17.917 = 107.5 LF; ceiling / soffit track 6.167 x 2 = 12.33 LF; bracing 4 rows x 6.167 = 24.67 LF (5/A-410); 5/8" FRT plywood 6.167 x 17.917 = 110.49 SF; bottom GWB 3.73 SF.</t>
        </is>
      </c>
    </row>
    <row r="24" ht="15" customHeight="1" s="8">
      <c r="A24" s="7" t="inlineStr">
        <is>
          <t>RFI-21</t>
        </is>
      </c>
      <c r="B24" s="7" t="inlineStr">
        <is>
          <t>Cafe Seating GWB cloud edge: 6" fascia (4/A-121, measured on the detail, not dimensioned) and edge molding DGCM27.</t>
        </is>
      </c>
      <c r="C24" s="7" t="inlineStr">
        <is>
          <t>107.21 LF edge x 0.5 ft = 53.6 SF GWB + 107.21 LF edge trim</t>
        </is>
      </c>
    </row>
    <row r="25" ht="15" customHeight="1" s="8">
      <c r="A25" s="7" t="inlineStr">
        <is>
          <t>RFI-22</t>
        </is>
      </c>
      <c r="B25" s="7" t="inlineStr">
        <is>
          <t>Types 3 and 4: "F.R.P. over 5/8" plywood where shelving occurs" (3/A-410, 4/A-410) - fixture plan A-111 does not define the extent on the partial walls.</t>
        </is>
      </c>
      <c r="C25" s="7" t="inlineStr">
        <is>
          <t>5/8" plywood + FRP on 122.32 LF x height per face where shelving occurs</t>
        </is>
      </c>
    </row>
    <row r="26" ht="15" customHeight="1" s="8">
      <c r="A26" s="7" t="inlineStr">
        <is>
          <t>RFI-23</t>
        </is>
      </c>
      <c r="B26" s="7" t="inlineStr">
        <is>
          <t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      </is>
      </c>
      <c r="C26" s="7" t="inlineStr">
        <is>
          <t>Applied: FRT blocking 568.27 LF FRT + 2X wood 17.00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      </is>
      </c>
    </row>
    <row r="27" ht="15" customHeight="1" s="8">
      <c r="A27" s="7" t="inlineStr">
        <is>
          <t>RFI-24</t>
        </is>
      </c>
      <c r="B27" s="7" t="inlineStr">
        <is>
          <t>Gypsum board control joints: none labeled or detailed on A-410, A-121, A-221 or A-510 ("CJ" only in the M-100 legend). ASTM C840 limits uninterrupted wall runs to 30 ft; type 2 walls W2-01 (48.77 LF), W2-03 (94.24 LF), W2-04 (56.76 LF) exceed it. Not carried - confirm.</t>
        </is>
      </c>
      <c r="C27" s="7" t="inlineStr">
        <is>
          <t>Type 2: floor(L / 30) = 1 + 3 + 1 = 5 joints x 25.0 ft x 2 faces = + 250.0 LF control joint; if RFI-01 brings exterior gyp bd into scope: EXT-02 5 x 25.0 + EXT-03 2 x 24.0 + EXT-07 1 x 25.0 = + 198.0 LF (one face)</t>
        </is>
      </c>
    </row>
    <row r="28" ht="15" customHeight="1" s="8">
      <c r="A28" s="7" t="inlineStr">
        <is>
          <t>RFI-25</t>
        </is>
      </c>
      <c r="B28" s="7" t="inlineStr">
        <is>
          <t>Merged into RFI-01 allowance (rev1): demising / perimeter wall patch &amp; repair (A-101 C5, 1/DM-101 key note 3) = ALLOWANCE, amount blank.</t>
        </is>
      </c>
      <c r="C28" s="7" t="inlineStr">
        <is>
          <t>Allowance: $ ________ (blank)</t>
        </is>
      </c>
    </row>
    <row r="29" ht="15" customHeight="1" s="8">
      <c r="A29" s="7" t="inlineStr">
        <is>
          <t>RFI-26</t>
        </is>
      </c>
      <c r="B29" s="7" t="inlineStr">
        <is>
          <t>N/A after RFI-01 (perimeter walls existing, rev1): type 1B (and its 1/2" exterior gyp sheathing) is existing, excluded.</t>
        </is>
      </c>
      <c r="C29" s="7" t="inlineStr">
        <is>
          <t>none</t>
        </is>
      </c>
    </row>
    <row r="30" ht="15" customHeight="1" s="8">
      <c r="A30" s="7" t="inlineStr">
        <is>
          <t>RFI-27</t>
        </is>
      </c>
      <c r="B30" s="7" t="inlineStr">
        <is>
          <t>CLOSED - estimator decision 2026-10-24 (rev1): all 5/8" gyp bd on new walls AND GWB ceilings = Type X (A-001A Div 09 A.2; 4/A-121, 5/A-121 - rev2 (estimator decision 2026-10-25): ceilings to Type X); W.R. faces = 5/8" Type X W.R. No 5/8" regular remains.</t>
        </is>
      </c>
      <c r="C30" s="7" t="inlineStr">
        <is>
          <t>Applied (rev7): 5/8" Type X 15,109.29 SF = walls 14,100.86 + GWB ceilings 884.24 (Cafe 103 - 11'-6" GWB band 125.07, Cafe 103 - 9'-0" GWB band 50.67, Cafe Seating Area 102 - GWB cloud 573.69, Cafe 103 - 11'-0" GWB zone 109.65, Grab &amp; Go 25.16) + VEST-GWB 105.5 + SS-GG-BOTTOM-GWB 3.73 + VEST-GWB-BANDS 14.96; Type X W.R. 1,092.59 SF; 5/8" regular 0.</t>
        </is>
      </c>
    </row>
    <row r="31" ht="15" customHeight="1" s="8">
      <c r="A31" s="7" t="inlineStr">
        <is>
          <t>RFI-28</t>
        </is>
      </c>
      <c r="B31" s="7" t="inlineStr">
        <is>
          <t>Types 3 and 4 base anchorage: 3/A-410, 4/A-410 and A/A-410 draw a moment clip at the stud base with Hilti Kwik HUS-EZ anchors; spacing not printed separately. Not carried (expansion anchors 0); their bottom track is not on slab pins (3/A-410, 4/A-410 "3 5/8" X 20GA TRACK W/ (2)-1/4"ø X 1 5/8" HILTI KWIK HUSEZ CONCRETE SCREW AND MOMENT CLIP - SEE DETAIL").</t>
        </is>
      </c>
      <c r="C31" s="7" t="inlineStr">
        <is>
          <t>If one clip per stud: + 162 moment clips (type 3 = 40 studs, type 4 = 122 studs, per-wall stud count) + 324 Kwik HUS-EZ 1/4" x 1-5/8" (2 per clip) + 324 #10-16 screws (A/A-410 "(1) #10-16 SCREW @ EACH FLANGE": 162 clips x 2). Slab pins already exclude the 122.32 LF of type 3 / 4 track.</t>
        </is>
      </c>
    </row>
    <row r="32" ht="15" customHeight="1" s="8">
      <c r="A32" s="7" t="inlineStr">
        <is>
          <t>RFI-29</t>
        </is>
      </c>
      <c r="B32" s="7" t="inlineStr">
        <is>
          <t>Corner guards: A-101 key note C22 "STAINLESS STEEL CORNER GUARDS AT 48" A.F.F. FOR ALL OUTSIDE GYPSUM BOARD CORNERS AT STOCKROOM WALLS" vs A-001A "METAL CORNER GUARDS (2"X2"X72") AT ALL OUTSIDE CORNERS". Extent and installer (drywall vs Div 10) not defined. Not carried.</t>
        </is>
      </c>
      <c r="C32" s="7" t="inlineStr">
        <is>
          <t>C22: stock room outside corners only, about 4 to 6 corners x 4 ft; spec: every outside corner x 6 ft including 36 column surround corners (9 x 4)</t>
        </is>
      </c>
    </row>
    <row r="33" ht="15" customHeight="1" s="8">
      <c r="A33" s="7" t="inlineStr">
        <is>
          <t>RFI-30</t>
        </is>
      </c>
      <c r="B33" s="7" t="inlineStr">
        <is>
          <t>Access panels: M-100 general note 30 and E general note 12 "THE GENERAL CONTRACTOR SHALL INSTALL ACCESS PANELS"; A-002 F/I tenant contractor; quantity not shown on any sheet. Not carried.</t>
        </is>
      </c>
      <c r="C33" s="7" t="inlineStr">
        <is>
          <t>Install only: allowance of 4 to 6 panels in the GWB ceilings (restrooms, Cafe bands / soffit, vestibule)</t>
        </is>
      </c>
    </row>
    <row r="34" ht="15" customHeight="1" s="8">
      <c r="A34" s="7" t="inlineStr">
        <is>
          <t>RFI-31</t>
        </is>
      </c>
      <c r="B34" s="7" t="inlineStr">
        <is>
          <t>Additional head track at openings: the note "ADD FULL LENGTH ADDL HEAD TRACK @ OPNG &gt; 4'-0"" quoted in rev0-rev4 is NOT on A-410 / A-500 (take-off criterion (not printed); citation corrected, audit rev4 row 8 (rev5)). Carried conservatively at the two 4'-0" doors: door 3 (C-H2a, 4'-0" x 8'-0") and door 11 (W2-03, 4'-0" x 7'-0"), A-500 door schedule.</t>
        </is>
      </c>
      <c r="C34" s="7" t="inlineStr">
        <is>
          <t>Carried 10.67 LF = 2 x (R.O. 4.00 ft measured jamb gap + 2 x 8" bearing); if not required: - 10.67 LF. Auditor 11.17 LF assumed R.O. 4'-3" (frame not printed): + 0.50 LF if the R.O. is 4'-3".</t>
        </is>
      </c>
    </row>
    <row r="35" ht="15" customHeight="1" s="8">
      <c r="A35" s="7" t="inlineStr">
        <is>
          <t>RFI-32</t>
        </is>
      </c>
      <c r="B35" s="7" t="inlineStr">
        <is>
          <t>P-201 WATER HEATER DETAIL ("FOR RESTROOMS AND BREAKROOM"): 2x4 metal stud backing + steel blocking between studs at the anchor locations; member sizes and lengths not printed (Janitor 107, 11/A-200). audit rev4 row 5 (rev5): carried conservatively.</t>
        </is>
      </c>
      <c r="C35" s="7" t="inlineStr">
        <is>
          <t>Carried: 3-5/8" stud backing 2 x 4.0 ft = 8.0 LF + steel blocking 2 rows x 1.33 ft = 2.67 LF (3-5/8" stud pieces); if by the plumber: - 10.67 LF 3-5/8" stud.</t>
        </is>
      </c>
    </row>
    <row r="36" ht="15" customHeight="1" s="8">
      <c r="A36" s="7" t="inlineStr">
        <is>
          <t>RFI-33</t>
        </is>
      </c>
      <c r="B36" s="7" t="inlineStr">
        <is>
          <t>11/A-200 Janitor 107: "AREA OF 3/4" FIRE RESISTANT PLYWOOD BLOCKING (TYP)" - extent not dimensioned. audit rev4 row 4 (rev5): carried at the conservative upper bound (width measured on 11/A-200 x 8'-0" HOLD).</t>
        </is>
      </c>
      <c r="C36" s="7" t="inlineStr">
        <is>
          <t>Carried 2.125 x 8.0 = 17.0 SF 3/4" FRT plywood; confirm extent (delta down to 0 SF).</t>
        </is>
      </c>
    </row>
    <row r="37" ht="15" customHeight="1" s="8">
      <c r="A37" s="7" t="inlineStr">
        <is>
          <t>RFI-34</t>
        </is>
      </c>
      <c r="B37" s="7" t="inlineStr">
        <is>
          <t>CLOSED(rev7): T.O. WD-1 at the Grab &amp; Go header = 15'-0" (5/A-226A 11'-0" + 4'-0" WD-1; 6/A-226A 15'-0"). 3/A-221: 5/8" FRT plywood full face, 5/8" GWB over it above T.O. WD-1.</t>
        </is>
      </c>
      <c r="C37" s="7" t="inlineStr">
        <is>
          <t>Applied: + 6.167 x 10.0 = 61.67 SF 5/8" Type X (15'-0" to deck); FRT plywood unchanged (110.49 SF).</t>
        </is>
      </c>
    </row>
    <row r="38" ht="15" customHeight="1" s="8">
      <c r="A38" s="7" t="inlineStr">
        <is>
          <t>RFI-35</t>
        </is>
      </c>
      <c r="B38" s="7" t="inlineStr">
        <is>
          <t>3/A-410 Top Track Detail "METAL STUD/TRACK FIRE STOP AT CEILING LINE, TYP." (rev5-rev6 cited 8/A-410, which is the Typ. Connection Detail: applied to every full-height wall with a ceiling on at least one face (1/A-121); carried; confirm with the GC.</t>
        </is>
      </c>
      <c r="C38" s="7" t="inlineStr">
        <is>
          <t>Carried per wall (Material Summary breakdown) = 264.21 LF; if not required: minus that LF.</t>
        </is>
      </c>
    </row>
    <row r="39" ht="15" customHeight="1" s="8">
      <c r="A39" s="7" t="inlineStr">
        <is>
          <t>RFI-36</t>
        </is>
      </c>
      <c r="B39" s="7" t="inlineStr">
        <is>
          <t>Surface-mounted 3/4" FRT plywood blocking at the W-3 wall fixtures "BY GC/FIXTURE INSTALLER" (1/A-414, 7/A-414): who furnishes / installs is ambiguous and the W-3 count on A-111 is not taken. Not carried - audit rev4 row 11 (rev5).</t>
        </is>
      </c>
      <c r="C39" s="7" t="inlineStr">
        <is>
          <t>If by the drywall contractor: + one 3/4" FRT plywood strip per W-3 unit (size per 1/A-414, 7/A-414) x W-3 count from A-111 - PENDING count.</t>
        </is>
      </c>
    </row>
    <row r="40" ht="15" customHeight="1" s="8">
      <c r="A40" s="7" t="inlineStr">
        <is>
          <t>RFI-37</t>
        </is>
      </c>
      <c r="B40" s="7" t="inlineStr">
        <is>
          <t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      </is>
      </c>
      <c r="C40" s="7" t="inlineStr">
        <is>
          <t>Applied: - 951.75 SF 5/8" FRT plywood (C-H1-N A 25.90 x 25.0 = 647.50 + C-H2a B 12.17 x 25.0 = 304.25), carried since rev0; GWB on those faces unchanged.</t>
        </is>
      </c>
    </row>
    <row r="41" ht="15" customHeight="1" s="8">
      <c r="A41" s="7" t="inlineStr">
        <is>
          <t>RFI-38</t>
        </is>
      </c>
      <c r="B41" s="7" t="inlineStr">
        <is>
          <t>Ceiling seismic bracing: A-121 Ceiling Notes 1 "SEE A-420 DRAWINGS REGARDING CEILING BRACING" - A-420 is not in the set; 5/A-121 draws splay wires and a 16 ga wire @ 12'-0" O.C. each way at each brace point (the 1-5/8" x 16 ga metal joist framing @ 48" is the horizontal carrying member); A-002 Div 10 "SEISMIC BRACING" F/I by the tenant contractor. Carried conservatively on the GWB suspended ceilings.</t>
        </is>
      </c>
      <c r="C41" s="7" t="inlineStr">
        <is>
          <t>Carried: splay wires 743.29 LF (hanger wire row) + vertical 16 ga wire at each brace point 131.42 LF (16 ga wire row); the 1-5/8" x 16 ga metal joist framing @ 48" on 5/A-121 is the horizontal carrying member (no post). If not required: minus both.</t>
        </is>
      </c>
    </row>
    <row r="42" ht="15" customHeight="1" s="8">
      <c r="A42" s="7" t="inlineStr">
        <is>
          <t>RFI-39</t>
        </is>
      </c>
      <c r="B42" s="7" t="inlineStr">
        <is>
          <t>Recessed fire extinguisher cabinets (A-101 C11, A-111 KN 9, 4/A-101 "F.R.T. WOOD STUD HEADER ABOVE AND BASE BELOW CABINET"): 4 in new walls (W2-01, W2-03 x 2, Cafe Workroom); cabinet width / rough opening not printed (Cosmopolitan fully recessed, Ambassador 1017F10).</t>
        </is>
      </c>
      <c r="C42" s="7" t="inlineStr">
        <is>
          <t>Carried 16.0 LF FRT 2x (4 x (2.0 + 2.0 ft)); each +1 ft of cabinet width = +8.0 LF FRT; jamb studs inside the field studs.</t>
        </is>
      </c>
    </row>
    <row r="43" ht="15" customHeight="1" s="8">
      <c r="A43" s="7" t="inlineStr">
        <is>
          <t>RFI-40</t>
        </is>
      </c>
      <c r="B43" s="7" t="inlineStr">
        <is>
          <t>3/A-410 Top Track Detail: "METAL RUNNER AT STUDS - SECURE GWB TO METAL RUNNER" with "DO NOT SECURE METAL STUDS OR GWB TO DEEP LEG TRACK" read as a nested inner runner at every deflection head. Carried; confirm.</t>
        </is>
      </c>
      <c r="C43" s="7" t="inlineStr">
        <is>
          <t>Carried 479.85 LF nested inner runner; if a single deep leg track is accepted: minus that LF.</t>
        </is>
      </c>
    </row>
    <row r="44" ht="15" customHeight="1" s="8">
      <c r="A44" s="7" t="inlineStr">
        <is>
          <t>RFI-41</t>
        </is>
      </c>
      <c r="B44" s="7" t="inlineStr">
        <is>
          <t>8/A-410 Typ. Connection Detail (PARALLEL TO STRUCTURE): full-height walls parallel to the joists (N-S) hang from metal studs spanning joist to joist; joist spacing not printed (A-400A / A-400B).</t>
        </is>
      </c>
      <c r="C44" s="7" t="inlineStr">
        <is>
          <t>Carried 705.0 LF (members @ 24" O.C. along the wall x 5.0 ft assumed joist spacing); each 1 ft of joist spacing = 141.0 LF. #8 screws (8/A-410) carried in their own row (775 pcs) with joists at 5'-0": one screw per joist crossing on the walls perpendicular to the joists = 70; at 4'-0" spacing: + 15 pcs. "(2) #8 SCREW AT EACH STUD" is read as 2 per cross member (drawn at the cross member / track connection) = 282; if it means 2 per wall stud @ 16" on the walls parallel to the joists: 380 (+ 98 pcs).</t>
        </is>
      </c>
    </row>
    <row r="45" ht="15" customHeight="1" s="8">
      <c r="A45" s="7" t="inlineStr">
        <is>
          <t>RFI-42</t>
        </is>
      </c>
      <c r="B45" s="7" t="inlineStr">
        <is>
          <t>2/A-221 framed soffit drop "CROSS BRACING AS REQ'D": member / spacing not printed.</t>
        </is>
      </c>
      <c r="C45" s="7" t="inlineStr">
        <is>
          <t>Carried 90.0 LF 3-5/8" stud (pairs @ 4'-0" x 5.0 ft); if not required: minus that LF.</t>
        </is>
      </c>
    </row>
    <row r="46" ht="15" customHeight="1" s="8">
      <c r="A46" s="7" t="inlineStr">
        <is>
          <t>RFI-43</t>
        </is>
      </c>
      <c r="B46" s="7" t="inlineStr">
        <is>
          <t>E/A-221 type E1 (Cafe south wall C-E1-S, C-E1-P.2, C-E1-B): 1/2" cement board height not printed; carried to deck 25'-0" (studs to deck). The Cafe 9'-0" GWB band runs along C-E1-S (1/A-121).</t>
        </is>
      </c>
      <c r="C46" s="7" t="inlineStr">
        <is>
          <t>If the cement board stops at 9'-0" + 6" (A-410 Partition Notes 3): C-E1-S 19.0 x 15.5 = - 294.5 SF, C-E1-P.2 2.11 x 15.5 = - 32.7 SF, C-E1-B 2.31 x 15.5 = - 35.8 SF.</t>
        </is>
      </c>
    </row>
    <row r="47" ht="15" customHeight="1" s="8">
      <c r="A47" s="7" t="inlineStr">
        <is>
          <t>RFI-44</t>
        </is>
      </c>
      <c r="B47" s="7" t="inlineStr">
        <is>
          <t>H/A-221 "H3a = PLYWOOD TO TOP OF WD-1": T.O. WD-1 on the H3a Sales face not printed (A-225, A-226A). Carried: FRT plywood to deck (25'-0"), no GWB.</t>
        </is>
      </c>
      <c r="C47" s="7" t="inlineStr">
        <is>
          <t>If T.O. WD-1 = 15'-0" as on the Grab &amp; Go header (6/A-226A): FRT plywood - 40.8 SF (4.08 x 10.0) and 5/8" Type X + 40.8 SF.</t>
        </is>
      </c>
    </row>
    <row r="48" ht="15" customHeight="1" s="8">
      <c r="A48" s="7" t="inlineStr">
        <is>
          <t>RFI-45</t>
        </is>
      </c>
      <c r="B48" s="7" t="inlineStr">
        <is>
          <t>1/A-221 Workroom door pier (1'-0" x 2'-8" HOLD) against H2a with an internal void: the C-H2a Cafe face may be concealed along the pier.</t>
        </is>
      </c>
      <c r="C48" s="7" t="inlineStr">
        <is>
          <t>If concealed: - 2.67 x 25.0 = - 66.7 SF 5/8" Type X on C-H2a (pier faces carried as C-E1-P.2 / C-I-P.1).</t>
        </is>
      </c>
    </row>
    <row r="49" ht="15" customHeight="1" s="8">
      <c r="A49" s="7" t="inlineStr">
        <is>
          <t>RFI-46</t>
        </is>
      </c>
      <c r="B49" s="7" t="inlineStr">
        <is>
          <t>F/A-221 "3 5/8" METAL STUDS @ 16" O.C. TO BOTTOM OF NESTED STUD BRACING": the nested stud bracing member is not drawn; studs carried to deck (estimator decision 2026-10-26). the same phrase is printed on the partition types 3 and 4 (3/A-410, 4/A-410): nested stud at the top of each wall.</t>
        </is>
      </c>
      <c r="C49" s="7" t="inlineStr">
        <is>
          <t>Carried 6.52 LF (F) + 122.32 LF (types 3 / 4) 3-5/8" stud; define member / elevation; if not required: minus both.</t>
        </is>
      </c>
    </row>
    <row r="50" ht="15" customHeight="1" s="8">
      <c r="A50" s="7" t="inlineStr">
        <is>
          <t>RFI-47</t>
        </is>
      </c>
      <c r="B50" s="7" t="inlineStr">
        <is>
          <t>Plywood material / thickness conflicts on A-225: 5/A-225 die wall "3/4" THICK MARINE GRADE PLYWOOD" vs A/A-221, B/A-221 "3/4" FRT PLYWOOD SUBSTRATE" and A-410 "ALL PLYWOOD NEEDS TO BE FRT"; 10/A-225 "1/2" F.R.T. PLYWOOD SUBSTRATE" vs I/A-221, G/A-221, H/A-221 5/8" FRT plywood. Carried as FRT, thickness per the A-221 sections.</t>
        </is>
      </c>
      <c r="C50" s="7" t="inlineStr">
        <is>
          <t>Same SF; material / thickness change only: die wall 63.47 SF marine vs FRT; type I end faces 18.08 SF 1/2" instead of 5/8".</t>
        </is>
      </c>
    </row>
    <row r="51" ht="15" customHeight="1" s="8">
      <c r="A51" s="7" t="inlineStr">
        <is>
          <t>RFI-48</t>
        </is>
      </c>
      <c r="B51" s="7" t="inlineStr">
        <is>
          <t>Stock room shelving blocking: 7/A-413 "FRT WOOD BLOCKING IN PARTITION" vs 7A/A-413 "SURFACE MOUNT WOOD BLOCKING" (no FRT). Carried in-partition FRT 2x, 3 rows (387 LF).</t>
        </is>
      </c>
      <c r="C51" s="7" t="inlineStr">
        <is>
          <t>Quantity unchanged; if surface-mounted: material / installation method change only (not FRT, no board cut-outs).</t>
        </is>
      </c>
    </row>
    <row r="52" ht="15" customHeight="1" s="8">
      <c r="A52" s="7" t="inlineStr">
        <is>
          <t>RFI-49</t>
        </is>
      </c>
      <c r="B52" s="7" t="inlineStr">
        <is>
          <t>2/A-500 Cased Opening Detail: "WOOD BLOCKING" across the stud return; the number / location of cased openings is not marked on A-101.</t>
        </is>
      </c>
      <c r="C52" s="7" t="inlineStr">
        <is>
          <t>Carried 1 opening x 17.0 LF wood blocking (not labeled FRT); each additional opening + 17.0 LF.</t>
        </is>
      </c>
    </row>
    <row r="53" ht="15" customHeight="1" s="8">
      <c r="A53" s="7" t="inlineStr">
        <is>
          <t>RFI-50</t>
        </is>
      </c>
      <c r="B53" s="7" t="inlineStr">
        <is>
          <t>2/E-103 Server Room: "4'x8' FRT PLYWOOD SHEET AND POWER BY GC - ALL OTHER WORK BY OTHERS" (E-301 "fire-rated plywood terminal board"). Carried in the drywall scope (FRT plywood substrate); confirm the trade.</t>
        </is>
      </c>
      <c r="C53" s="7" t="inlineStr">
        <is>
          <t>Carried 32.0 SF 3/4" FRT plywood; if by the electrical contractor: - 32.0 SF.</t>
        </is>
      </c>
    </row>
    <row r="54" ht="15" customHeight="1" s="8">
      <c r="A54" s="7" t="inlineStr">
        <is>
          <t>RFI-52</t>
        </is>
      </c>
      <c r="B54" s="7" t="inlineStr">
        <is>
          <t>Vestibule GWB bands above B.O. ceiling 10'-6": top of the band 11'-3 1/2" V.I.F. (2/A-210, 3/A-210, "VESTIBULE ASSEMBLY TO MATCH EXISTING STOREFRONT SYSTEM V.I.F.").</t>
        </is>
      </c>
      <c r="C54" s="7" t="inlineStr">
        <is>
          <t>Carried 14.96 SF; each 1" of band height = 1.89 SF (front 12.67 + sides 2 x 8.42 ft / 12).</t>
        </is>
      </c>
    </row>
    <row r="55" ht="15" customHeight="1" s="8">
      <c r="A55" s="7" t="inlineStr">
        <is>
          <t>RFI-53</t>
        </is>
      </c>
      <c r="B55" s="7" t="inlineStr">
        <is>
          <t>Light fixtures in the Cafe GWB bands (11'-6" and 9'-0", 1/A-121): fixture count in the bands not taken; 5/A-121 "PROVIDE ADDITIONAL WIRE SUPPORT AT ALL LIGHT FIXTURES". E-301 Sec. 265119: "THIS CONTRACTOR SHALL PROVIDE AND INSTALL ALL NECESSARY SUPPORT MEDIA FOR ALL LIGHTING FIXTURES ... FIXTURES SHALL NOT BE SUPPORTED FROM ROOF DECK" - overlap with the 5/A-121 fixture wires carried.</t>
        </is>
      </c>
      <c r="C55" s="7" t="inlineStr">
        <is>
          <t>Each fixture in a band = + 1 hanger x 13.5 / 16.0 ft wire. If the fixture supports are by the electrical contractor (E-301 265119): - 401.0 LF hanger wire (29 hangers).</t>
        </is>
      </c>
    </row>
    <row r="56" ht="15" customHeight="1" s="8">
      <c r="A56" s="7" t="inlineStr">
        <is>
          <t>RFI-51</t>
        </is>
      </c>
      <c r="B56" s="7" t="inlineStr">
        <is>
          <t>Fastener counts not printed: 7/A-210 3"x3"x16 ga clip angles (count per header end); cement board screw spacing (manufacturer standard 8" O.C. used); plywood screws per A-410 note 8.D (24" field / 12" perimeter on 4x8 sheets).</t>
        </is>
      </c>
      <c r="C56" s="7" t="inlineStr">
        <is>
          <t>Carried: clip angles 7/A-210 4 pcs; cement board screws 1686 pcs; plywood screws 2331 pcs - adjust to the estimator yields. Framing screws count the stud pieces of the walls and column wraps (781) by gauge (A-410 note 8.A); the 8/A-410 #8 screws (top chord, cross members, track) have their own row; 5/A-410 bracing clips are in the Tek screw row; diagonal brace end screws (3/A-410) are not printed and not carried (if 2 per end: + 512 #8). 9/A-410 calls #8 screws stud to track while note 8.A calls #10-16 on 18/16 ga - carried per 8.A. relief channel to structure carried with 8/A-410 #8 pan head screws (291 pcs) + P.A.F. at cross members (282 pcs); note 8.C X-EDNI (2 rows @ 16" = 720 pcs) is the alternative if the track bears directly on structural steel. Slab pins carried per note 8.F (2 rows @ 16" X-DNI); 9/A-410 alternative 0.177" PAF @ 24" = - 518.29 pcs (518.29 LF of interior bottom track on slab). 8/A-210 "(8) #10-16 TEKS 16"O.C., TYP." read as 8 per station at 16" O.C. (520 pcs carried); if 8 per member in total: - 464 pcs. 7/A-210 head attachment clips: 2 assumed (16 screws), count not printed.</t>
        </is>
      </c>
    </row>
    <row r="57" ht="15" customHeight="1" s="8">
      <c r="A57" s="7" t="inlineStr">
        <is>
          <t>RFI-54</t>
        </is>
      </c>
      <c r="B57" s="7" t="inlineStr">
        <is>
          <t>Ceiling perimeter track at the suspended GWB ceilings (Women's 109, Men's 108, Cafe 103 bands 11'-6" and 9'-0", Grab &amp; Go 7'-1"): 5/A-121 draws the perimeter attachment but prints no track size; the stud size of the wall it attaches to varies.</t>
        </is>
      </c>
      <c r="C57" s="7" t="inlineStr">
        <is>
          <t>Carried 180.99 LF in its own row (size not printed). If the perimeter is the USG angle molding DGWM24 already carried: - 180.99 LF of track; if 3-5/8" track: no LF change (price only). 8" ledger (4/A-210 "8" LEDGER"): gauge not printed; carried 12.67 LF of 8" track - if 16 ga as the 8/A-210 nested members, no LF change (price only).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0" customWidth="1" style="7" min="1" max="1"/>
    <col width="10" customWidth="1" style="7" min="2" max="2"/>
    <col width="14" customWidth="1" style="7" min="3" max="3"/>
    <col width="10" customWidth="1" style="7" min="4" max="4"/>
    <col width="16" customWidth="1" style="7" min="5" max="5"/>
    <col width="10" customWidth="1" style="7" min="6" max="6"/>
  </cols>
  <sheetData>
    <row r="1" ht="15" customHeight="1" s="8">
      <c r="A1" s="7" t="inlineStr">
        <is>
          <t>0 questions in total, asked ONE at a time in this order: floor plan (partition types A-Z), then the details the floor plan calls, in order</t>
        </is>
      </c>
    </row>
    <row r="2" ht="15" customHeight="1" s="8">
      <c r="A2" s="7" t="inlineStr">
        <is>
          <t>#</t>
        </is>
      </c>
      <c r="B2" s="7" t="inlineStr">
        <is>
          <t>Phase</t>
        </is>
      </c>
      <c r="C2" s="7" t="inlineStr">
        <is>
          <t>Type / order</t>
        </is>
      </c>
      <c r="D2" s="7" t="inlineStr">
        <is>
          <t>Item</t>
        </is>
      </c>
      <c r="E2" s="7" t="inlineStr">
        <is>
          <t>Sheet + detail</t>
        </is>
      </c>
      <c r="F2" s="7" t="inlineStr">
        <is>
          <t>Image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7" min="1" max="1"/>
    <col width="60" customWidth="1" style="7" min="2" max="2"/>
    <col width="16" customWidth="1" style="7" min="3" max="3"/>
    <col width="60" customWidth="1" style="7" min="4" max="4"/>
  </cols>
  <sheetData>
    <row r="1" ht="15" customHeight="1" s="8">
      <c r="A1" s="7" t="inlineStr">
        <is>
          <t>Scope ID</t>
        </is>
      </c>
      <c r="B1" s="7" t="inlineStr">
        <is>
          <t>Scope</t>
        </is>
      </c>
      <c r="C1" s="7" t="inlineStr">
        <is>
          <t>Status</t>
        </is>
      </c>
      <c r="D1" s="7" t="inlineStr">
        <is>
          <t>Note (quantity, NOT APPLICABLE + sheet, or RFI)</t>
        </is>
      </c>
    </row>
    <row r="2" ht="15" customHeight="1" s="8">
      <c r="A2" s="7" t="inlineStr">
        <is>
          <t>ALC-01</t>
        </is>
      </c>
      <c r="B2" s="7" t="inlineStr">
        <is>
          <t>Interior partition framing (studs + tracks)</t>
        </is>
      </c>
      <c r="C2" s="7" t="inlineStr">
        <is>
          <t>QUANTIFIED</t>
        </is>
      </c>
      <c r="D2" s="7" t="inlineStr">
        <is>
          <t>Quantified (rev1): partition types 2, 5, 3, 4 (A-410) and Cafe types H1, H2a, H2b, H3a, H3b, E2, E1, F, I, A, B, D, C (A-221) on A-101 / A-221; 3-5/8" and 6" stud families in Material Summary. Perimeter types 1 / 1A / 1B / 1C EXISTING - EXCLUDED (RFI-01).</t>
        </is>
      </c>
    </row>
    <row r="3" ht="15" customHeight="1" s="8">
      <c r="A3" s="7" t="inlineStr">
        <is>
          <t>ALC-02</t>
        </is>
      </c>
      <c r="B3" s="7" t="inlineStr">
        <is>
          <t>Exterior wall framing (CFMF)</t>
        </is>
      </c>
      <c r="C3" s="7" t="inlineStr">
        <is>
          <t>NOT APPLICABLE</t>
        </is>
      </c>
      <c r="D3" s="7" t="inlineStr">
        <is>
          <t>NOT APPLICABLE (rev1, estimator decision RFI-01): perimeter walls types 1 / 1A / 1B / 1C are existing; their interior board is labeled "5/8" GYP BD BY FUTURE TENANT" on 1, 1A, 1B, 1C/A-410 - EXCLUDED with that citation.</t>
        </is>
      </c>
    </row>
    <row r="4" ht="15" customHeight="1" s="8">
      <c r="A4" s="7" t="inlineStr">
        <is>
          <t>ALC-03</t>
        </is>
      </c>
      <c r="B4" s="7" t="inlineStr">
        <is>
          <t>Parapet framing</t>
        </is>
      </c>
      <c r="C4" s="7" t="inlineStr">
        <is>
          <t>NOT APPLICABLE</t>
        </is>
      </c>
      <c r="D4" s="7" t="inlineStr">
        <is>
          <t>NOT APPLICABLE: no parapet framing in scope - partition schedule A-410 and sections A-400A, A-400B show no parapet type; M-301 (p50) mention is a mechanical roof-edge note</t>
        </is>
      </c>
    </row>
    <row r="5" ht="15" customHeight="1" s="8">
      <c r="A5" s="7" t="inlineStr">
        <is>
          <t>ALC-04</t>
        </is>
      </c>
      <c r="B5" s="7" t="inlineStr">
        <is>
          <t>Top / deflection and bottom track</t>
        </is>
      </c>
      <c r="C5" s="7" t="inlineStr">
        <is>
          <t>QUANTIFIED</t>
        </is>
      </c>
      <c r="D5" s="7" t="inlineStr">
        <is>
          <t>Bottom track and top / deflection track = partition LF per type (A-101, A-221; 2/A-410, 3/A-410); + fire stop track at ceiling line (own rows by size, 3/A-410) (3/A-410, RFI-35) and additional head track 10.67 LF (RFI-31); M-302 (p51) mention is plumbing expansion fittings; nested inner runner at deflection heads (3/A-410, RFI-40); 8/A-410 #8 pan head screws + P.A.F. + #8 screws (own rows); X-EDNI 8.C = alternative in RFI-51; cross members at walls parallel to joists (8/A-410 Typ. Connection, RFI-41).</t>
        </is>
      </c>
    </row>
    <row r="6" ht="15" customHeight="1" s="8">
      <c r="A6" s="7" t="inlineStr">
        <is>
          <t>ALC-05</t>
        </is>
      </c>
      <c r="B6" s="7" t="inlineStr">
        <is>
          <t>Headers, sills and jambs at openings</t>
        </is>
      </c>
      <c r="C6" s="7" t="inlineStr">
        <is>
          <t>RFI</t>
        </is>
      </c>
      <c r="D6" s="7" t="inlineStr">
        <is>
          <t>RFI-09 door headers: no header schedule in the set and 1/A-500 shows no header; jambs carried as studs; sill track not called (A-500 door schedule)</t>
        </is>
      </c>
    </row>
    <row r="7" ht="15" customHeight="1" s="8">
      <c r="A7" s="7" t="inlineStr">
        <is>
          <t>ALC-06</t>
        </is>
      </c>
      <c r="B7" s="7" t="inlineStr">
        <is>
          <t>Bracing / bridging</t>
        </is>
      </c>
      <c r="C7" s="7" t="inlineStr">
        <is>
          <t>QUANTIFIED</t>
        </is>
      </c>
      <c r="D7" s="7" t="inlineStr">
        <is>
          <t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      </is>
      </c>
    </row>
    <row r="8" ht="15" customHeight="1" s="8">
      <c r="A8" s="7" t="inlineStr">
        <is>
          <t>ALC-07</t>
        </is>
      </c>
      <c r="B8" s="7" t="inlineStr">
        <is>
          <t>Gypsum board on walls (layers per type)</t>
        </is>
      </c>
      <c r="C8" s="7" t="inlineStr">
        <is>
          <t>QUANTIFIED</t>
        </is>
      </c>
      <c r="D8" s="7" t="inlineStr">
        <is>
          <t>Quantified (rev6): 5/8" Type X 15,109.29 SF + 5/8" Type X W.R. 1,092.59 SF (A-410, A-001A, RFI-27, RFI-11); no 5/8" regular. Perimeter walls existing (RFI-01).</t>
        </is>
      </c>
    </row>
    <row r="9" ht="15" customHeight="1" s="8">
      <c r="A9" s="7" t="inlineStr">
        <is>
          <t>ALC-08</t>
        </is>
      </c>
      <c r="B9" s="7" t="inlineStr">
        <is>
          <t>Moisture / abuse / special board at wet zones</t>
        </is>
      </c>
      <c r="C9" s="7" t="inlineStr">
        <is>
          <t>QUANTIFIED</t>
        </is>
      </c>
      <c r="D9" s="7" t="inlineStr">
        <is>
          <t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      </is>
      </c>
    </row>
    <row r="10" ht="15" customHeight="1" s="8">
      <c r="A10" s="7" t="inlineStr">
        <is>
          <t>ALC-09</t>
        </is>
      </c>
      <c r="B10" s="7" t="inlineStr">
        <is>
          <t>Exterior gypsum / glass mat sheathing</t>
        </is>
      </c>
      <c r="C10" s="7" t="inlineStr">
        <is>
          <t>NOT APPLICABLE</t>
        </is>
      </c>
      <c r="D10" s="7" t="inlineStr">
        <is>
          <t>NOT APPLICABLE (rev1): the only sheathing in the set is 1/2 in exterior gyp sheathing of type 1B (1B/A-410), an EXISTING perimeter wall - EXCLUDED (RFI-01, 1/DM-101, A-002); M-301 (p50) 'plastic sheathing' is temporary protection.</t>
        </is>
      </c>
    </row>
    <row r="11" ht="15" customHeight="1" s="8">
      <c r="A11" s="7" t="inlineStr">
        <is>
          <t>ALC-10</t>
        </is>
      </c>
      <c r="B11" s="7" t="inlineStr">
        <is>
          <t>FRT plywood sheathing / substrate</t>
        </is>
      </c>
      <c r="C11" s="7" t="inlineStr">
        <is>
          <t>QUANTIFIED</t>
        </is>
      </c>
      <c r="D11" s="7" t="inlineStr">
        <is>
          <t>FRT plywood 5/8" 1,790.51 SF (Cafe types G, H, E2, F, I and Grab &amp; Go soffit 3/A-221; soffit faces 2/A-221) + 3/4" 402.46 SF (counters A/B, menu boards 4/A-226A, restroom backing 21/A-201, vestibule 4/A-210, 5/A-210, janitor 11/A-200) - breakdown in Material Summary</t>
        </is>
      </c>
    </row>
    <row r="12" ht="15" customHeight="1" s="8">
      <c r="A12" s="7" t="inlineStr">
        <is>
          <t>ALC-11</t>
        </is>
      </c>
      <c r="B12" s="7" t="inlineStr">
        <is>
          <t>Gypsum board ceilings</t>
        </is>
      </c>
      <c r="C12" s="7" t="inlineStr">
        <is>
          <t>QUANTIFIED</t>
        </is>
      </c>
      <c r="D12" s="7" t="inlineStr">
        <is>
          <t>Quantified (rev7): suspended GWB ceilings and soffits per A-121 (5/A-121, 4/A-121) and 2/A-221 = 1,006.54 SF (incl. Grab &amp; Go 7'-1" 25.16 SF): 5/8" Type X + restroom ceilings 5/8" Type X W.R. (A-410 Partition Notes 2).</t>
        </is>
      </c>
    </row>
    <row r="13" ht="15" customHeight="1" s="8">
      <c r="A13" s="7" t="inlineStr">
        <is>
          <t>ALC-12</t>
        </is>
      </c>
      <c r="B13" s="7" t="inlineStr">
        <is>
          <t>Ceiling suspension (furring / carrying channel / hanger wire / ceiling track)</t>
        </is>
      </c>
      <c r="C13" s="7" t="inlineStr">
        <is>
          <t>QUANTIFIED</t>
        </is>
      </c>
      <c r="D13" s="7" t="inlineStr">
        <is>
          <t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      </is>
      </c>
    </row>
    <row r="14" ht="15" customHeight="1" s="8">
      <c r="A14" s="7" t="inlineStr">
        <is>
          <t>ALC-13</t>
        </is>
      </c>
      <c r="B14" s="7" t="inlineStr">
        <is>
          <t>Soffits and bulkheads (framing + board)</t>
        </is>
      </c>
      <c r="C14" s="7" t="inlineStr">
        <is>
          <t>QUANTIFIED</t>
        </is>
      </c>
      <c r="D14" s="7" t="inlineStr">
        <is>
          <t>Quantified: framed soffit 2/A-221 (SS-N, SS-E, SS-IN-N, SS-IN-E) and Grab &amp; Go header soffit 3/A-221 (SS-GG, RFI-20 CLOSED rev5; T.O. WD-1 RFI-34); E-102 (p36) bulkhead is signage (by others)</t>
        </is>
      </c>
    </row>
    <row r="15" ht="15" customHeight="1" s="8">
      <c r="A15" s="7" t="inlineStr">
        <is>
          <t>ALC-14</t>
        </is>
      </c>
      <c r="B15" s="7" t="inlineStr">
        <is>
          <t>Canopy / marquee framing and sheathing</t>
        </is>
      </c>
      <c r="C15" s="7" t="inlineStr">
        <is>
          <t>NOT APPLICABLE</t>
        </is>
      </c>
      <c r="D15" s="7" t="inlineStr">
        <is>
          <t>NOT APPLICABLE: E-102 (p36) 'MOUNT WITHIN CANOPY BULKHEAD' is an electrical sign note at the existing canopy; no canopy framing on A-101, A-121, A-210</t>
        </is>
      </c>
    </row>
    <row r="16" ht="15" customHeight="1" s="8">
      <c r="A16" s="7" t="inlineStr">
        <is>
          <t>ALC-15</t>
        </is>
      </c>
      <c r="B16" s="7" t="inlineStr">
        <is>
          <t>Column furring / wraps</t>
        </is>
      </c>
      <c r="C16" s="7" t="inlineStr">
        <is>
          <t>QUANTIFIED</t>
        </is>
      </c>
      <c r="D16" s="7" t="inlineStr">
        <is>
          <t>Column wraps C25 x 9 on A-101, studs @ 16" O.C. (RFI-17 CLOSED rev4), carried under OTHER FRAMING</t>
        </is>
      </c>
    </row>
    <row r="17" ht="15" customHeight="1" s="8">
      <c r="A17" s="7" t="inlineStr">
        <is>
          <t>ALC-16</t>
        </is>
      </c>
      <c r="B17" s="7" t="inlineStr">
        <is>
          <t>Blocking (FRT wood / metal) for millwork and accessories</t>
        </is>
      </c>
      <c r="C17" s="7" t="inlineStr">
        <is>
          <t>QUANTIFIED</t>
        </is>
      </c>
      <c r="D17" s="7" t="inlineStr">
        <is>
          <t>Quantified (rev1, RFI-23): FRT blocking 568.27 LF (7/A-413 387.0, 8A/A-413 69.0, 3-4/A-412 85.6, 6/A-412 10.67, 4/A-101 FE cabinets 16.0) + 2X wood 17.0 LF (2/A-500) + 3/4" FRT plywood menu boards 60.61 SF (4/A-226A) + restroom backing 17.78 SF (21/A-201) + janitor 17.0 SF (11/A-200, RFI-33); water heater backing P-201 10.67 LF 3-5/8" stud (RFI-32); W-3 surface blocking 1/A-414 RFI-36.</t>
        </is>
      </c>
    </row>
    <row r="18" ht="15" customHeight="1" s="8">
      <c r="A18" s="7" t="inlineStr">
        <is>
          <t>ALC-17</t>
        </is>
      </c>
      <c r="B18" s="7" t="inlineStr">
        <is>
          <t>Framed openings (MEP, access panels, diffusers)</t>
        </is>
      </c>
      <c r="C18" s="7" t="inlineStr">
        <is>
          <t>RFI</t>
        </is>
      </c>
      <c r="D18" s="7" t="inlineStr">
        <is>
          <t>RFI: access panels RFI-30; recessed FE cabinets framed per 4/A-101 (FRT header + base, RFI-39); no framed MEP opening drawn in GWB walls (A-121, M-102, P-101A).</t>
        </is>
      </c>
    </row>
    <row r="19" ht="15" customHeight="1" s="8">
      <c r="A19" s="7" t="inlineStr">
        <is>
          <t>ALC-18</t>
        </is>
      </c>
      <c r="B19" s="7" t="inlineStr">
        <is>
          <t>Trim: corner bead, casing bead, control joints, reveals</t>
        </is>
      </c>
      <c r="C19" s="7" t="inlineStr">
        <is>
          <t>QUANTIFIED</t>
        </is>
      </c>
      <c r="D19" s="7" t="inlineStr">
        <is>
          <t>Metal trim (corner bead, J-bead) per A-410, A-121, A-510 Finish Notes 8 (incl. soffit bottom edges 65.31 LF); no control joint printed (RFI-24).</t>
        </is>
      </c>
    </row>
    <row r="20" ht="15" customHeight="1" s="8">
      <c r="A20" s="7" t="inlineStr">
        <is>
          <t>ALC-19</t>
        </is>
      </c>
      <c r="B20" s="7" t="inlineStr">
        <is>
          <t>Acoustical sealant / sound attenuation (EXCLUDED: estimator standing order, all projects)</t>
        </is>
      </c>
      <c r="C20" s="7" t="inlineStr">
        <is>
          <t>NOT APPLICABLE</t>
        </is>
      </c>
      <c r="D20" s="7" t="inlineStr">
        <is>
          <t>EXCLUDED: EXCLUDED in all projects (estimator standing order): no acoustical sealant row and no quantity</t>
        </is>
      </c>
    </row>
    <row r="21" ht="15" customHeight="1" s="8">
      <c r="A21" s="7" t="inlineStr">
        <is>
          <t>ALC-20</t>
        </is>
      </c>
      <c r="B21" s="7" t="inlineStr">
        <is>
          <t>FRP / cement board / tile backer</t>
        </is>
      </c>
      <c r="C21" s="7" t="inlineStr">
        <is>
          <t>QUANTIFIED</t>
        </is>
      </c>
      <c r="D21" s="7" t="inlineStr">
        <is>
          <t>Cement board at wet walls (A-510 tile finishes, RFI-12 incl. Corridor 110 wall tile); FRP-1 extent RFI-13 / RFI-22 not carried</t>
        </is>
      </c>
    </row>
    <row r="22" ht="15" customHeight="1" s="8">
      <c r="A22" s="7" t="inlineStr">
        <is>
          <t>ALC-21</t>
        </is>
      </c>
      <c r="B22" s="7" t="inlineStr">
        <is>
          <t>Shaft walls / area separation walls</t>
        </is>
      </c>
      <c r="C22" s="7" t="inlineStr">
        <is>
          <t>NOT APPLICABLE</t>
        </is>
      </c>
      <c r="D22" s="7" t="inlineStr">
        <is>
          <t>NOT APPLICABLE: no shaft wall / area separation wall in partition schedule A-410 or plan A-101</t>
        </is>
      </c>
    </row>
    <row r="23" ht="15" customHeight="1" s="8">
      <c r="A23" s="7" t="inlineStr">
        <is>
          <t>ALC-22</t>
        </is>
      </c>
      <c r="B23" s="7" t="inlineStr">
        <is>
          <t>Rated assemblies (UL designs) and their board type</t>
        </is>
      </c>
      <c r="C23" s="7" t="inlineStr">
        <is>
          <t>NOT APPLICABLE</t>
        </is>
      </c>
      <c r="D23" s="7" t="inlineStr">
        <is>
          <t>NOT APPLICABLE: all partition types are Non-Rated per A-410 titles (2/A-410, 3/A-410, 4/A-410, 5/A-410); E-201 (p40), E-202 (p42), E-301 (p44), M-100 (p46) mentions are generic penetration notes</t>
        </is>
      </c>
    </row>
    <row r="24" ht="15" customHeight="1" s="8">
      <c r="A24" s="7" t="inlineStr">
        <is>
          <t>ALC-23</t>
        </is>
      </c>
      <c r="B24" s="7" t="inlineStr">
        <is>
          <t>Special panels (ballistic, lead-lined, abuse)</t>
        </is>
      </c>
      <c r="C24" s="7" t="inlineStr">
        <is>
          <t>NOT APPLICABLE</t>
        </is>
      </c>
      <c r="D24" s="7" t="inlineStr">
        <is>
          <t>NOT APPLICABLE: no ballistic, lead-lined or abuse panels in A-410 schedule or A-510 finish schedule</t>
        </is>
      </c>
    </row>
    <row r="25" ht="15" customHeight="1" s="8">
      <c r="A25" s="7" t="inlineStr">
        <is>
          <t>ALC-24</t>
        </is>
      </c>
      <c r="B25" s="7" t="inlineStr">
        <is>
          <t>Finish level (Level 4 / Level 5)</t>
        </is>
      </c>
      <c r="C25" s="7" t="inlineStr">
        <is>
          <t>QUANTIFIED</t>
        </is>
      </c>
      <c r="D25" s="7" t="inlineStr">
        <is>
          <t>QUANTIFIED: Level 4 finish printed - A-001A Div 09 A.8 "PROVIDE AT A MINIMUM A LEVEL 4 FINISH" (joint compound / tape yields per Inputs); no Level 5 (A-510).</t>
        </is>
      </c>
    </row>
    <row r="26" ht="15" customHeight="1" s="8">
      <c r="A26" s="7" t="inlineStr">
        <is>
          <t>ALC-X40</t>
        </is>
      </c>
      <c r="B26" s="7" t="inlineStr">
        <is>
          <t>Acoustical lay-in ceilings ACT-1 / ACT-3 (tile + Prelude XL grid + wires)</t>
        </is>
      </c>
      <c r="C26" s="7" t="inlineStr">
        <is>
          <t>NOT APPLICABLE</t>
        </is>
      </c>
      <c r="D26" s="7" t="inlineStr">
        <is>
          <t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      </is>
      </c>
    </row>
    <row r="27" ht="15" customHeight="1" s="8">
      <c r="A27" s="7" t="inlineStr">
        <is>
          <t>ALC-X41</t>
        </is>
      </c>
      <c r="B27" s="7" t="inlineStr">
        <is>
          <t>Unistrut space frame / strut channel</t>
        </is>
      </c>
      <c r="C27" s="7" t="inlineStr">
        <is>
          <t>NOT APPLICABLE</t>
        </is>
      </c>
      <c r="D27" s="7" t="inlineStr">
        <is>
          <t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      </is>
      </c>
    </row>
    <row r="28" ht="15" customHeight="1" s="8">
      <c r="A28" s="7" t="inlineStr">
        <is>
          <t>ALC-X42</t>
        </is>
      </c>
      <c r="B28" s="7" t="inlineStr">
        <is>
          <t>Caulk at the base of wet-area walls</t>
        </is>
      </c>
      <c r="C28" s="7" t="inlineStr">
        <is>
          <t>NOT APPLICABLE</t>
        </is>
      </c>
      <c r="D28" s="7" t="inlineStr">
        <is>
          <t>EXCLUDED: A-101 general note 8 "BOTTOM OF THE WALL CAULKED AT FLOOR LEVEL" = joint sealant (Div 07), excluded like all sealants (estimator standing order).</t>
        </is>
      </c>
    </row>
    <row r="29" ht="15" customHeight="1" s="8">
      <c r="A29" s="7" t="inlineStr">
        <is>
          <t>ALC-X43</t>
        </is>
      </c>
      <c r="B29" s="7" t="inlineStr">
        <is>
          <t>Partition seismic bracing (A-002 Div 10)</t>
        </is>
      </c>
      <c r="C29" s="7" t="inlineStr">
        <is>
          <t>NOT APPLICABLE</t>
        </is>
      </c>
      <c r="D29" s="7" t="inlineStr">
        <is>
          <t>EXCLUDED as a separate item: A-002 Div 10 "SEISMIC BRACING" is listed with the specialties; partition lateral bracing is carried per 5/A-410 and 3/A-410; ceiling bracing per 5/A-121 carried under RFI-38.</t>
        </is>
      </c>
    </row>
    <row r="30" ht="15" customHeight="1" s="8">
      <c r="A30" s="7" t="inlineStr">
        <is>
          <t>ALC-X44</t>
        </is>
      </c>
      <c r="B30" s="7" t="inlineStr">
        <is>
          <t>Remove &amp; replace existing GWB for shelving blocking (7/A-413)</t>
        </is>
      </c>
      <c r="C30" s="7" t="inlineStr">
        <is>
          <t>RFI</t>
        </is>
      </c>
      <c r="D30" s="7" t="inlineStr">
        <is>
          <t>Inside the RFI-01 patch &amp; repair allowance (existing perimeter walls): A-413 general note "G.C. IS TO REMOVE AND REPLACE GYP. BOARD AS REQUIRED FOR INSTALLATION OF WOOD BLOCKING".</t>
        </is>
      </c>
    </row>
    <row r="31" ht="15" customHeight="1" s="8">
      <c r="A31" s="7" t="inlineStr">
        <is>
          <t>ALC-X30</t>
        </is>
      </c>
      <c r="B31" s="7" t="inlineStr">
        <is>
          <t>batt insulation</t>
        </is>
      </c>
      <c r="C31" s="7" t="inlineStr">
        <is>
          <t>NOT APPLICABLE</t>
        </is>
      </c>
      <c r="D31" s="7" t="inlineStr">
        <is>
          <t>EXCLUDED (estimator criterion: no insulation)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8">
      <c r="A1" s="7" t="inlineStr">
        <is>
          <t>reglas.py compuerta OK</t>
        </is>
      </c>
    </row>
    <row r="2" ht="15" customHeight="1" s="8">
      <c r="A2" s="7" t="inlineStr">
        <is>
          <t>{"canon": "f57c866aa19291d9ab50251a5a62c3b4fd8494f2fc5018328ff6ea7aa0c88d53", "evidencias": "82f4ec13c901d7191f9772989e98854d158340ab19499f6cfbada96ca6cbd21e", "familias_out": "1aafad57f097613038fcdaec2e28a2c202aed028b37f51cda714990dc647b4d7", "reglas": "ba8bd6e1d9f05fc9d972b956fc70d6670e442c3778886e8c3bd2d878c81dab17", "version": "v73"}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2026-10-27T07:46:24Z</dcterms:created>
  <dcterms:modified xmlns:dcterms="http://purl.org/dc/terms/" xmlns:xsi="http://www.w3.org/2001/XMLSchema-instance" xsi:type="dcterms:W3CDTF">2026-10-27T22:11:55Z</dcterms:modified>
  <cp:revision>0</cp:revision>
</cp:coreProperties>
</file>