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<sst xmlns="http://schemas.openxmlformats.org/spreadsheetml/2006/main" count="889" uniqueCount="593">
  <si>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</si>
  <si>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</si>
  <si>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</si>
  <si>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</si>
  <si>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</si>
  <si>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</si>
  <si>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</si>
  <si>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</si>
  <si>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</si>
  <si>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</si>
  <si>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</si>
  <si>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</si>
  <si>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</si>
  <si>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</si>
  <si>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</si>
  <si>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</si>
  <si>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</si>
  <si>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</si>
  <si>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</si>
  <si>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</si>
  <si>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</si>
  <si>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</si>
  <si>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</si>
  <si>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</si>
  <si>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</si>
  <si>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</si>
  <si>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</si>
  <si>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</si>
  <si>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</si>
  <si>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</si>
  <si>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</si>
  <si>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</si>
  <si>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</si>
  <si>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</si>
  <si>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</si>
  <si>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</si>
  <si>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</si>
  <si>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</si>
  <si>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</si>
  <si>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</si>
  <si>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</si>
  <si>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</si>
  <si>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</si>
  <si>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</si>
  <si>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</si>
  <si>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</si>
  <si>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</si>
  <si>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</si>
  <si>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</si>
  <si>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</si>
  <si>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</si>
  <si>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</si>
  <si>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</si>
  <si>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</si>
  <si>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</si>
  <si>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</si>
  <si>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</si>
  <si>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</si>
  <si>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</si>
  <si>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</si>
  <si>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</si>
  <si>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</si>
  <si>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</si>
  <si>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</si>
  <si>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</si>
  <si>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</si>
  <si>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</si>
  <si>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</si>
  <si>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</si>
  <si>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</si>
  <si>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</si>
  <si>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</si>
  <si>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</t>
  </si>
  <si>
    <t xml:space="preserve">2  #W2-05  -  Corridor 110 / Women's 109 (door 4 inside wall)</t>
  </si>
  <si>
    <t xml:space="preserve">W2-05</t>
  </si>
  <si>
    <t xml:space="preserve">Corridor 110 / Women's 109 (door 4 inside wall)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</si>
  <si>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</si>
  <si>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</si>
  <si>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</t>
  </si>
  <si>
    <t xml:space="preserve">2  #W2-07  -  Men's 108 / Janitor 107</t>
  </si>
  <si>
    <t xml:space="preserve">W2-07</t>
  </si>
  <si>
    <t xml:space="preserve">Men's 108 / Janitor 107</t>
  </si>
  <si>
    <t xml:space="preserve">2  #W2-08  -  Janitor 107 / Break Room 106 (door 5 inside wall)</t>
  </si>
  <si>
    <t xml:space="preserve">W2-08</t>
  </si>
  <si>
    <t xml:space="preserve">Janitor 107 / Break Room 106 (door 5 inside wall)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</si>
  <si>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</si>
  <si>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</si>
  <si>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</si>
  <si>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</si>
  <si>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</si>
  <si>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</si>
  <si>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</si>
  <si>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</si>
  <si>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</si>
  <si>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</si>
  <si>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</si>
  <si>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</si>
  <si>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</si>
  <si>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</si>
  <si>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</si>
  <si>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</si>
  <si>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</si>
  <si>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</si>
  <si>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</si>
  <si>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</si>
  <si>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</si>
  <si>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</si>
  <si>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</si>
  <si>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</si>
  <si>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</si>
  <si>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</si>
  <si>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</si>
  <si>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</si>
  <si>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</si>
  <si>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</si>
  <si>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</si>
  <si>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</si>
  <si>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</si>
  <si>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</si>
  <si>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</si>
  <si>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</si>
  <si>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</si>
  <si>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</si>
  <si>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</si>
  <si>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</si>
  <si>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</si>
  <si>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</si>
  <si>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</si>
  <si>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</si>
  <si>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</si>
  <si>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</si>
  <si>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</si>
  <si>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</si>
  <si>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</si>
  <si>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</si>
  <si>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</si>
  <si>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</si>
  <si>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</si>
  <si>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</si>
  <si>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</si>
  <si>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</si>
  <si>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</si>
  <si>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</si>
  <si>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</si>
  <si>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</si>
  <si>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</si>
  <si>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</si>
  <si>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</si>
  <si>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</si>
  <si>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</si>
  <si>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</si>
  <si>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</si>
  <si>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</si>
  <si>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</si>
  <si>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</si>
  <si>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</si>
  <si>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</si>
  <si>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</si>
  <si>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</si>
  <si>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</si>
  <si>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</si>
  <si>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</si>
  <si>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</si>
  <si>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</si>
  <si>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</si>
  <si>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</si>
  <si>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</si>
  <si>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</si>
  <si>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</si>
  <si>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</si>
  <si>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</si>
  <si>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</si>
  <si>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</si>
  <si>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</si>
  <si>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</si>
  <si>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</si>
  <si>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</si>
  <si>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</t>
  </si>
  <si>
    <t xml:space="preserve">G/A-221</t>
  </si>
  <si>
    <t xml:space="preserve">H1  #C-H1-W  -  Cafe Workroom 104 west wall</t>
  </si>
  <si>
    <t xml:space="preserve">C-H1-W</t>
  </si>
  <si>
    <t xml:space="preserve">Cafe Workroom 104 west wall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</si>
  <si>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</si>
  <si>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</si>
  <si>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</si>
  <si>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</si>
  <si>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</si>
  <si>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</si>
  <si>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</si>
  <si>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</si>
  <si>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</si>
  <si>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</si>
  <si>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</si>
  <si>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</si>
  <si>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</si>
  <si>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</si>
  <si>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</si>
  <si>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</si>
  <si>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</si>
  <si>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</si>
  <si>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</si>
  <si>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</si>
  <si>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</si>
  <si>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</si>
  <si>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</si>
  <si>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</si>
  <si>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</si>
  <si>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</si>
  <si>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</si>
  <si>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</si>
  <si>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</si>
  <si>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</si>
  <si>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</si>
  <si>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</si>
  <si>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</si>
  <si>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</si>
  <si>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</si>
  <si>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</si>
  <si>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</si>
  <si>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</si>
  <si>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</si>
  <si>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</si>
  <si>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</si>
  <si>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</si>
  <si>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</si>
  <si>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</si>
  <si>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</si>
  <si>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</si>
  <si>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#C-E1-P.1  -  1'-0" return at the top of the Workroom door pier (I tag)</t>
  </si>
  <si>
    <t xml:space="preserve">C-E1-P.1</t>
  </si>
  <si>
    <t xml:space="preserve">1'-0" return at the top of the Workroom door pier (I tag)</t>
  </si>
  <si>
    <t xml:space="preserve">I/A-221</t>
  </si>
  <si>
    <t xml:space="preserve">I  #C-I  -  Box at SE corner of Cafe Sales - east side</t>
  </si>
  <si>
    <t xml:space="preserve">C-I</t>
  </si>
  <si>
    <t xml:space="preserve">Box at SE corner of Cafe Sales - east side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</si>
  <si>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</si>
  <si>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</si>
  <si>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</si>
  <si>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</si>
  <si>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</si>
  <si>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</si>
  <si>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</si>
  <si>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</si>
  <si>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</si>
  <si>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</si>
  <si>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</si>
  <si>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</si>
  <si>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</si>
  <si>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</si>
  <si>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</si>
  <si>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</si>
  <si>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</si>
  <si>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</si>
  <si>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</si>
  <si>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</si>
  <si>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</si>
  <si>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</si>
  <si>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</si>
  <si>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</si>
  <si>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</si>
  <si>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</si>
  <si>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</si>
  <si>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</si>
  <si>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</si>
  <si>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</si>
  <si>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</si>
  <si>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</si>
  <si>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</si>
  <si>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</si>
  <si>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</si>
  <si>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</si>
  <si>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</si>
  <si>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</si>
  <si>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</si>
  <si>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</si>
  <si>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</si>
  <si>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</si>
  <si>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</si>
  <si>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</si>
  <si>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</si>
  <si>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</si>
  <si>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</si>
  <si>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</si>
  <si>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</si>
  <si>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</si>
  <si>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</si>
  <si>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</si>
  <si>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</si>
  <si>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</si>
  <si>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</si>
  <si>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</si>
  <si>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</si>
  <si>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</si>
  <si>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</si>
  <si>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</t>
  </si>
  <si>
    <t xml:space="preserve">soffit_side  #SS-IN-N  -  Cafe 11'-6" band N edge (6" step)</t>
  </si>
  <si>
    <t xml:space="preserve">SS-IN-N</t>
  </si>
  <si>
    <t xml:space="preserve">Cafe 11'-6" band N edge (6" step)</t>
  </si>
  <si>
    <t xml:space="preserve">soffit_side  #SS-IN-E  -  Cafe 11'-6" band E edge (6" step)</t>
  </si>
  <si>
    <t xml:space="preserve">SS-IN-E</t>
  </si>
  <si>
    <t xml:space="preserve">Cafe 11'-6" band E edge (6" step)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</si>
  <si>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</si>
  <si>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</si>
  <si>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</si>
  <si>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</si>
  <si>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</si>
  <si>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</si>
  <si>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</si>
  <si>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</si>
  <si>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</si>
  <si>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</si>
  <si>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</si>
  <si>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</si>
  <si>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</si>
  <si>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</si>
  <si>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</si>
  <si>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familias_out.json track_by_element 'bottom track (all)' (R73.3)</t>
  </si>
  <si>
    <t xml:space="preserve">Bottom track 6"</t>
  </si>
  <si>
    <t xml:space="preserve">Bottom track - other framing (not a partition type, see source)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</si>
  <si>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</si>
  <si>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</si>
  <si>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</si>
  <si>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</si>
  <si>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</si>
  <si>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</si>
  <si>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familias_out.json '8" stud (all gauges)' (R80.4: canon family the run did not write)</t>
  </si>
  <si>
    <t xml:space="preserve">6" metal stud (LF of material)</t>
  </si>
  <si>
    <t xml:space="preserve">familias_out.json '6" stud (all gauges)' (R80.4: canon family the run did not write)</t>
  </si>
  <si>
    <t xml:space="preserve">3-5/8" metal stud (LF of material)</t>
  </si>
  <si>
    <t xml:space="preserve">familias_out.json '3-5/8" stud (all gauges)' (R80.4: canon family the run did not write)</t>
  </si>
  <si>
    <t xml:space="preserve">Track, ceilings / soffits / canopy</t>
  </si>
  <si>
    <t xml:space="preserve">familias_out.json 'ceiling / soffit track' (R80.4: canon family the run did not write)</t>
  </si>
  <si>
    <t xml:space="preserve">Bracing 1-1/2" C.R. channel @ 48" O.C.</t>
  </si>
  <si>
    <t xml:space="preserve">C.R. channel 16 ft</t>
  </si>
  <si>
    <t xml:space="preserve">familias_out.json 'bracing C.R. channel' (R80.4: canon family the run did not write)</t>
  </si>
  <si>
    <t xml:space="preserve">Furring channel (ceilings)</t>
  </si>
  <si>
    <t xml:space="preserve">hat channel 12 ft</t>
  </si>
  <si>
    <t xml:space="preserve">familias_out.json 'furring channel' (R80.4: canon family the run did not write)</t>
  </si>
  <si>
    <t xml:space="preserve">Carrying channel (ceilings)</t>
  </si>
  <si>
    <t xml:space="preserve">familias_out.json 'carrying channel' (R80.4: canon family the run did not write)</t>
  </si>
  <si>
    <t xml:space="preserve">Hanger wire</t>
  </si>
  <si>
    <t xml:space="preserve">familias_out.json 'hanger wire' (R80.4: canon family the run did not write)</t>
  </si>
  <si>
    <t xml:space="preserve">Blocking FRT / 2X FRT wood</t>
  </si>
  <si>
    <t xml:space="preserve">piece</t>
  </si>
  <si>
    <t xml:space="preserve">familias_out.json 'FRT blocking' (R80.4: canon family the run did not write)</t>
  </si>
  <si>
    <t xml:space="preserve">5/8" gypsum board, Type X</t>
  </si>
  <si>
    <t xml:space="preserve">SF</t>
  </si>
  <si>
    <t xml:space="preserve">4x12 ft sheet (Inputs)</t>
  </si>
  <si>
    <t xml:space="preserve">familias_out.json '5/8" gyp board Type X' (R80.4: canon family the run did not write)</t>
  </si>
  <si>
    <t xml:space="preserve">5/8" gypsum board, Type X W.R. (water resistant)</t>
  </si>
  <si>
    <t xml:space="preserve">familias_out.json '5/8" gyp Type X W.R.' (R80.4: canon family the run did not write)</t>
  </si>
  <si>
    <t xml:space="preserve">8" metal joist (ceiling box)</t>
  </si>
  <si>
    <t xml:space="preserve">familias_out.json '8" joist' (R80.4: canon family the run did not write)</t>
  </si>
  <si>
    <t xml:space="preserve">USG drywall suspension main tee DGLW26</t>
  </si>
  <si>
    <t xml:space="preserve">familias_out.json 'USG drywall main tee (DGLW26)' (R80.4: canon family the run did not write)</t>
  </si>
  <si>
    <t xml:space="preserve">USG drywall suspension cross tee DGLW424</t>
  </si>
  <si>
    <t xml:space="preserve">familias_out.json 'USG drywall cross tee (DGLW424)' (R80.4: canon family the run did not write)</t>
  </si>
  <si>
    <t xml:space="preserve">USG channel molding DGCM27</t>
  </si>
  <si>
    <t xml:space="preserve">familias_out.json 'USG channel molding (DGCM27)' (R80.4: canon family the run did not write)</t>
  </si>
  <si>
    <t xml:space="preserve">USG angle molding DGWM24</t>
  </si>
  <si>
    <t xml:space="preserve">familias_out.json 'USG angle molding (DGWM24)' (R80.4: canon family the run did not write)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</si>
  <si>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</si>
  <si>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</si>
  <si>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(R80.4: canon family the run did not write)</t>
  </si>
  <si>
    <t xml:space="preserve">Cement board (tile / FRP substrate)</t>
  </si>
  <si>
    <t xml:space="preserve">familias_out.json 'cement board' (R80.4: canon family the run did not write)</t>
  </si>
  <si>
    <t xml:space="preserve">3-5/8" stud, framed soffit 2/A-221 (LF)</t>
  </si>
  <si>
    <t xml:space="preserve">familias_out.json stud_by_element '3-5/8" stud (all gauges)' (v76)</t>
  </si>
  <si>
    <t xml:space="preserve">FRT plywood substrate (5/8 in.)</t>
  </si>
  <si>
    <t xml:space="preserve">familias_out.json FRT plywood by material; canon rows</t>
  </si>
  <si>
    <t xml:space="preserve">FRT plywood substrate (3/4 in.)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</si>
  <si>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</si>
  <si>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</si>
  <si>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</si>
  <si>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</si>
  <si>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[DERIVED]: HEAD TRACK @ NON LOAD BRG: ADD FULL LENGTH ADDL HEAD TRACK @ OPNG &gt; 4'-0"</t>
  </si>
  <si>
    <t xml:space="preserve">Stud reinforcement at MEP penetrations</t>
  </si>
  <si>
    <t xml:space="preserve">each</t>
  </si>
  <si>
    <t xml:space="preserve">accesorios.py [RFI]: -</t>
  </si>
  <si>
    <t xml:space="preserve">Extra framing - ATM recess (only what a detail prints at the recess; the wall stays in its type)</t>
  </si>
  <si>
    <t xml:space="preserve">accesorios.py [DERIVED]: -; A-101</t>
  </si>
  <si>
    <t xml:space="preserve">2-1/2" CFMF @ 16" O.C. at coiling grille head (detail per plans)</t>
  </si>
  <si>
    <t xml:space="preserve">accesorios.py [None]: accesorios.py</t>
  </si>
  <si>
    <t xml:space="preserve">Gypsum board jamb return at openings</t>
  </si>
  <si>
    <t xml:space="preserve">accesorios.py [DERIVED]: -; 1/A-500</t>
  </si>
  <si>
    <t xml:space="preserve">PVC trim - edge trim molding and inside corner molding at the FRP</t>
  </si>
  <si>
    <t xml:space="preserve">accesorios.py [DERIVED]: frp_none_reason</t>
  </si>
  <si>
    <t xml:space="preserve">Power-driven fasteners and duct sleeves</t>
  </si>
  <si>
    <t xml:space="preserve">accesorios.py [DERIVED]: -</t>
  </si>
  <si>
    <t xml:space="preserve">Access panel</t>
  </si>
  <si>
    <t xml:space="preserve">accesorios.py [DERIVED]: -; A-121</t>
  </si>
  <si>
    <t xml:space="preserve">Drywall screws 1-1/4" bugle head</t>
  </si>
  <si>
    <t xml:space="preserve">accesorios.py [DERIVED]: Inputs!B20 (Drywall screws per SF of board = 1.2) x 16690.9 SF of board</t>
  </si>
  <si>
    <t xml:space="preserve">Framing screws, pan head self-drilling</t>
  </si>
  <si>
    <t xml:space="preserve">accesorios.py [DERIVED]: Inputs!B21 (Framing screws per stud piece = 4) x 775 stud pieces</t>
  </si>
  <si>
    <t xml:space="preserve">Power-driven fasteners, slab pins for the bottom track</t>
  </si>
  <si>
    <t xml:space="preserve">accesorios.py [DERIVED]: 640.61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</si>
  <si>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</si>
  <si>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SILL TRACK ANCHORAGE exterior walls @ 8" O.C. (stud schedule)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</si>
  <si>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</si>
  <si>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</si>
  <si>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</si>
  <si>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16690.9 SF of board</t>
  </si>
  <si>
    <t xml:space="preserve">Joint tape, paper</t>
  </si>
  <si>
    <t xml:space="preserve">accesorios.py [DERIVED]: Inputs!B24 (Joint tape (LF per SF) = 0.37) x 16690.9 SF of board</t>
  </si>
  <si>
    <t xml:space="preserve">Level 5 finish</t>
  </si>
  <si>
    <t xml:space="preserve">accesorios.py [DERIVED]: -; A-510</t>
  </si>
  <si>
    <t xml:space="preserve">Deflection clips at non-load-bearing walls to structure</t>
  </si>
  <si>
    <t xml:space="preserve">accesorios.py [DERIVED]: 8/A-410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</si>
  <si>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</si>
  <si>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</si>
  <si>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</si>
  <si>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</si>
  <si>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</si>
  <si>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</si>
  <si>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</si>
  <si>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mep.registro M-102 (page 48) vs A-101 (page 6) gave 20 / 14 matching wall segments (&lt; 25 required); the HVAC sheet is not used for geometric crossings (mep.py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</si>
  <si>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</si>
  <si>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</si>
  <si>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</si>
  <si>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</si>
  <si>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</si>
  <si>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</si>
  <si>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</si>
  <si>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</si>
  <si>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</si>
  <si>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</si>
  <si>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</si>
  <si>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(8/A-410 "PROVIDE DIAGONAL BRACING AT 32" O.C. TO STRUCTURE (TYP.)"); brace member / length not printed - estimator choice 3-5/8" 20 ga stud x 4 ft at 45 deg.</t>
  </si>
  <si>
    <t xml:space="preserve">Applied: 117 braces (115 in rev2 + 2 from W2-05 +5.00 LF) x 4.0 ft = 468.0 LF 3-5/8" 20 ga stud (DERIVED, member and length = estimator choice; note kept). Citation corrected: diagonal bracing is on 8/A-410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</si>
  <si>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</si>
  <si>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</si>
  <si>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</si>
  <si>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</si>
  <si>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</si>
  <si>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evidence ri07_rcp/).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</si>
  <si>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</si>
  <si>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</si>
  <si>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</si>
  <si>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</si>
  <si>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Applied: 5/8" FRT plywood floor to 15'-0" = 3.31 LF x 15.0 = 49.65 SF; GWB 15'-0" to deck = 3.31 x 10.0 = 33.1 SF (2/A-221 studs UP TO DECK).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</si>
  <si>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</si>
  <si>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</si>
  <si>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</si>
  <si>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</si>
  <si>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</si>
  <si>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</si>
  <si>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2026-10-24 (rev1): W.R. gyp bd on ALL faces of Women's 109, Men's 108, Janitor 107 and the drinking fountain alcove corridor faces (W2-06.2 / .3 / .4) - A-410 "*" note "PROVIDE 5/8" WATER RESISTANT GYP. BD AT JANITOR'S CLOSET, DRINKING FOUNTAIN, KITCHEN AND ALL TOILET LOCATIONS", A-410 partition note 7, 2/A-410, A-101 general note 8 (plan governs over skill rule D1). New walls only: EXT-07 faces and the break room kitchenette wall (south wall = EXT-07, 7/A-412) are existing -&gt; patch &amp; repair allowance.</t>
  </si>
  <si>
    <t xml:space="preserve">Applied (rev3): 5/8" Type X W.R. = 1,020.33 SF face by face (Women's 222.93 + Men's 223.02 + Janitor 485.75 + alcove corridor 88.63); W2-05 Women's face = 7.51 LF per A-101 (rev3 RI 1).</t>
  </si>
  <si>
    <t xml:space="preserve">RFI-12</t>
  </si>
  <si>
    <t xml:space="preserve">Ceramic cove tile base (Cafe 103, Men's 108, Women's 109) and restroom wall tile (A-200, TL-2): cement board backer not detailed on the partitions.</t>
  </si>
  <si>
    <t xml:space="preserve">If cement board is required behind the tile: + wall tile area of A-200 elevations (not dimensioned here); audit A-09: tile base 22/A-201 5/8" cement board 1'-2" x Men's + Women's perimeter (2 x 32.33 LF) = about 76 SF</t>
  </si>
  <si>
    <t xml:space="preserve">RFI-13</t>
  </si>
  <si>
    <t xml:space="preserve">FRP-1 (A-510: Cafe Work Room, Janitor, Cafe below counter): extent / height not printed for the partitions. Not quantified.</t>
  </si>
  <si>
    <t xml:space="preserve">FRP-1 SF = Cafe Workroom walls (~81 LF) x 10'-0" + Janitor walls x height - to be confirmed</t>
  </si>
  <si>
    <t xml:space="preserve">RFI-14</t>
  </si>
  <si>
    <t xml:space="preserve">PARTLY CLOSED rev3: 2/A-221 "3 5/8" @ 16" O.C. METAL STUD UP TO DECK", 5/8" FRT plywood behind WD-1, 5/8" GWB above WD-1 and at soffit bottom, "T.O. WD-1 SEE ELEVATION". East face (6/A-226A, bubble verified): WD-1 11'-0" to 15'-0" -&gt; FRT 4.0 ft; GWB 15'-0" to deck. North face (1/A-226A, bubble verified): WD-1 9'-0" to 11'-0" -&gt; FRT 2.0 ft. OPEN: (1) top of the "BN CAFE" sign panel WD-1 on the north face is not printed - carried as GWB; (2) soffit underside 9'-0" (1/A-226A) vs 11'-0" (A-121) - framing carried at 11'-0".</t>
  </si>
  <si>
    <t xml:space="preserve">Applied: FRT SS-E 10.12 x 4.0 = 40.48 SF, SS-N 22.77 x 2.0 = 45.54 SF; SS-E GWB 14 -&gt; 10 ft. Open deltas: each 1 ft of sign-panel WD-1 = 22.77 SF GWB -&gt; 5/8" FRT plywood; if soffit is at 9'-0": + 2 ft of studs on SS-N (about 19 studs x 2 = 38 LF) and + 2 ft board.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</si>
  <si>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</si>
  <si>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</si>
  <si>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</si>
  <si>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</si>
  <si>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rev3 except post sheathing: vestibule GWB ceiling box per 4/A-210, 6/A-210, 1/A-210 quantified (8" joists, nested box beam, 8" ledger, nested posts, 3/4" FRT plywood, 5/8" GWB). OPEN: 5/A-210 "5/8 GYP. BOARD SHEATHING AS REQUIRED" at the posts - extent not printed; 2 east corner posts may be existing storefront.</t>
  </si>
  <si>
    <t xml:space="preserve">Applied: 8" joist 88.0 LF; 8" 18 ga stud 25.33 LF; ceiling / box track 43.0 LF (6" 25.33 + 8" ledger 12.67 + 3-5/8" 5.0); 3-5/8" stud 126.0 LF; 3/4" FRT plywood 106.6 SF; 5/8" Type X 105.5 SF. Open delta: post sheathing up to 6 posts x 3 faces x 5"/12 x 10.5 = 78.75 SF; if only 4 posts: - 42.0 LF 3-5/8" stud.</t>
  </si>
  <si>
    <t xml:space="preserve">RFI-17</t>
  </si>
  <si>
    <t xml:space="preserve">PARTLY CLOSED rev3: column surrounds C25 = 9 (CW-01..CW-09, A-101). OPEN: stud spacing not printed (16" assumed).</t>
  </si>
  <si>
    <t xml:space="preserve">If 24" O.C.: fewer studs per surround (about - 1 stud per face).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</si>
  <si>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</si>
  <si>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</si>
  <si>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</si>
  <si>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</si>
  <si>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</si>
  <si>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</si>
  <si>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Grab &amp; Go header soffit (3/A-221, 6'-2" x ~7"): framing to deck and its faces not dimensioned - not priced.</t>
  </si>
  <si>
    <t xml:space="preserve">3.73 SF GWB soffit + two faces 6.17 LF x (deck - 7'-1"); audit A-05: Grab &amp; Go GWB ceiling 7'-1" (A-121) about 18 SF GWB + framing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</si>
  <si>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</si>
  <si>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</si>
  <si>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</si>
  <si>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</si>
  <si>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</si>
  <si>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</si>
  <si>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</si>
  <si>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</si>
  <si>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Water heater backing (P-201) and W-3 surface blocking (1/A-414, by GC / fixture installer) not carried.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</si>
  <si>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</si>
  <si>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</si>
  <si>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</si>
  <si>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</si>
  <si>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</si>
  <si>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</si>
  <si>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</si>
  <si>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</si>
  <si>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</si>
  <si>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</si>
  <si>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(rev3): 5/8" Type X 15,670.56 SF = walls 14,583.68 + GWB ceilings 981.38 + vestibule box 105.5; Type X W.R. 1,020.33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</si>
  <si>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</si>
  <si>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</si>
  <si>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</si>
  <si>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</si>
  <si>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</si>
  <si>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</si>
  <si>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</si>
  <si>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</si>
  <si>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</si>
  <si>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</si>
  <si>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</si>
  <si>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</si>
  <si>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</si>
  <si>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</si>
  <si>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</si>
  <si>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</si>
  <si>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</si>
  <si>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</si>
  <si>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</si>
  <si>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</si>
  <si>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</si>
  <si>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</si>
  <si>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</si>
  <si>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</si>
  <si>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</si>
  <si>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</si>
  <si>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</si>
  <si>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</si>
  <si>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</si>
  <si>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</si>
  <si>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</si>
  <si>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</si>
  <si>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</si>
  <si>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</si>
  <si>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</si>
  <si>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</si>
  <si>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</si>
  <si>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</si>
  <si>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2/A-410, 3/A-410, 4/A-410; diagonal bracing type 2 &gt; 22' per note 3/A-410 (RFI-04)</t>
  </si>
  <si>
    <t xml:space="preserve">ALC-07</t>
  </si>
  <si>
    <t xml:space="preserve">Gypsum board on walls (layers per type)</t>
  </si>
  <si>
    <t xml:space="preserve">Quantified (rev2): 5/8" Type X 15,538.74 SF (walls 14,557.36 + ceilings 981.38) + Type X W.R. 1,024.02 SF (A-410, A-001A, RFI-27); no 5/8" regular. Perimeter walls existing (RFI-01).</t>
  </si>
  <si>
    <t xml:space="preserve">ALC-08</t>
  </si>
  <si>
    <t xml:space="preserve">Moisture / abuse / special board at wet zones</t>
  </si>
  <si>
    <t xml:space="preserve">Quantified (rev1, estimator decision RFI-11): 5/8 in Type X W.R. 1,024.02 SF on all faces of Women's 109, Men's 108, Janitor 107 + drinking fountain alcove corridor faces (A-410 '*' note, note 7, 2/A-410, A-101 general note 8);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</si>
  <si>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</si>
  <si>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</si>
  <si>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</si>
  <si>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</si>
  <si>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</si>
  <si>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substrate types I, 3, 4 (I/A-221, 3/A-410, 4/A-410) and 3/4" FRT plywood boards E-103 (p37 4'x8' FRT PLYWOOD) in Material Summary</t>
  </si>
  <si>
    <t xml:space="preserve">ALC-11</t>
  </si>
  <si>
    <t xml:space="preserve">Gypsum board ceilings</t>
  </si>
  <si>
    <t xml:space="preserve">Quantified (rev2): suspended GWB ceilings and soffits per A-121 (5/A-121, 4/A-121) and 2/A-221 = 981.38 SF, now 5/8" Type X (estimator decision 2026-10-25).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</si>
  <si>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</si>
  <si>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</si>
  <si>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direction assumed E-W (RFI-15); M-100 (p46), M-101 (p47), M-102 (p48) hangers are MEP</t>
  </si>
  <si>
    <t xml:space="preserve">ALC-13</t>
  </si>
  <si>
    <t xml:space="preserve">Soffits and bulkheads (framing + board)</t>
  </si>
  <si>
    <t xml:space="preserve">Framed soffit 2/A-221, Grab &amp; Go header 3/A-221 (RFI-20), soffit sides on A-121;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</si>
  <si>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</si>
  <si>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</si>
  <si>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</si>
  <si>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</si>
  <si>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</si>
  <si>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 (stud spacing assumed 16", RFI-17) carried under OTHER FRAMING</t>
  </si>
  <si>
    <t xml:space="preserve">ALC-16</t>
  </si>
  <si>
    <t xml:space="preserve">Blocking (FRT wood / metal) for millwork and accessories</t>
  </si>
  <si>
    <t xml:space="preserve">Quantified (rev1, estimator decision RFI-23): FRT blocking 552.27 LF (7/A-413 387.0, 8A/A-413 69.0, 3-4/A-412 85.6, 6/A-412 10.67) + 3/4 in FRT plywood menu boards 60.61 SF (4/A-226A) + restroom backing 17.78 SF (21/A-201, 16 in high - rev2). Water heater backing P-201 (p60) not carried.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</si>
  <si>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</si>
  <si>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</si>
  <si>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</si>
  <si>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</si>
  <si>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</si>
  <si>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</si>
  <si>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</si>
  <si>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</si>
  <si>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</si>
  <si>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</si>
  <si>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</si>
  <si>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</si>
  <si>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</si>
  <si>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</si>
  <si>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</si>
  <si>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</si>
  <si>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</si>
  <si>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</si>
  <si>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</si>
  <si>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</si>
  <si>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</si>
  <si>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</si>
  <si>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</si>
  <si>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</si>
  <si>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</si>
  <si>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</si>
  <si>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</si>
  <si>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</si>
  <si>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"9a8df394a25397781f561d5ce51f42c77d5e0819fef16404e7ef2d223dd43ab5", "evidencias": "82f4ec13c901d7191f9772989e98854d158340ab19499f6cfbada96ca6cbd21e", "familias_out": "b9dc6ae7203a5592817f0b49703d8c50f9389ab03222820611c141a96dc98e32", "reglas": "182268001317d55d6c346278737583948f157d485fbe7263cf3ae377f3670c1e",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</si>
</sst>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4.27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64.04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4.27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64.04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4.29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64.34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4.29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64.34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4.27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64.04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4.29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64.34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4.28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64.2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4.28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64.2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4.28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64.2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4.28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64.2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4.28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64.2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4.28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64.2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2</v>
      </c>
      <c r="F47" s="0" t="s">
        <v>92</v>
      </c>
      <c r="G47" s="0" t="n">
        <v>16</v>
      </c>
      <c r="H47" s="0" t="n">
        <v>993.23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2</v>
      </c>
      <c r="F48" s="0" t="s">
        <v>92</v>
      </c>
      <c r="G48" s="0" t="n">
        <v>16</v>
      </c>
      <c r="H48" s="0" t="n">
        <v>243.39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1236.62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2</v>
      </c>
      <c r="F51" s="0" t="s">
        <v>63</v>
      </c>
      <c r="G51" s="0" t="n">
        <v>16</v>
      </c>
      <c r="H51" s="0" t="n">
        <v>432.03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432.03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10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2.31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23.1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B76" s="6" t="s">
        <v>235</v>
      </c>
      <c r="C76" s="4" t="n">
        <f aca="false">SUM(C74:C75)</f>
        <v>3.31</v>
      </c>
      <c r="H76" s="4" t="n">
        <f aca="false">SUM(H74:H75)</f>
        <v>33.1</v>
      </c>
    </row>
    <row r="77" customFormat="false" ht="15" hidden="false" customHeight="false" outlineLevel="0" collapsed="false">
      <c r="A77" s="5" t="s">
        <v>236</v>
      </c>
    </row>
    <row r="78" customFormat="false" ht="15" hidden="false" customHeight="false" outlineLevel="0" collapsed="false">
      <c r="A78" s="0" t="s">
        <v>237</v>
      </c>
      <c r="B78" s="0" t="s">
        <v>238</v>
      </c>
      <c r="C78" s="0" t="n">
        <v>9.89</v>
      </c>
      <c r="D78" s="0" t="n">
        <v>2.708</v>
      </c>
      <c r="E78" s="0" t="n">
        <v>2</v>
      </c>
      <c r="F78" s="0" t="s">
        <v>63</v>
      </c>
      <c r="G78" s="0" t="n">
        <v>16</v>
      </c>
      <c r="H78" s="0" t="n">
        <v>53.56</v>
      </c>
      <c r="I78" s="0" t="s">
        <v>239</v>
      </c>
      <c r="J78" s="0" t="s">
        <v>240</v>
      </c>
      <c r="K78" s="0" t="s">
        <v>66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4.14</v>
      </c>
      <c r="D79" s="0" t="n">
        <v>2.708</v>
      </c>
      <c r="E79" s="0" t="n">
        <v>2</v>
      </c>
      <c r="F79" s="0" t="s">
        <v>63</v>
      </c>
      <c r="G79" s="0" t="n">
        <v>16</v>
      </c>
      <c r="H79" s="0" t="n">
        <v>22.42</v>
      </c>
      <c r="I79" s="0" t="s">
        <v>243</v>
      </c>
      <c r="J79" s="0" t="s">
        <v>240</v>
      </c>
      <c r="K79" s="0" t="s">
        <v>66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6.24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33.8</v>
      </c>
      <c r="I80" s="0" t="s">
        <v>246</v>
      </c>
      <c r="J80" s="0" t="s">
        <v>240</v>
      </c>
      <c r="K80" s="0" t="s">
        <v>66</v>
      </c>
    </row>
    <row r="81" customFormat="false" ht="15" hidden="false" customHeight="false" outlineLevel="0" collapsed="false">
      <c r="B81" s="6" t="s">
        <v>247</v>
      </c>
      <c r="C81" s="4" t="n">
        <f aca="false">SUM(C78:C80)</f>
        <v>20.27</v>
      </c>
      <c r="H81" s="4" t="n">
        <f aca="false">SUM(H78:H80)</f>
        <v>109.78</v>
      </c>
    </row>
    <row r="82" customFormat="false" ht="15" hidden="false" customHeight="false" outlineLevel="0" collapsed="false">
      <c r="A82" s="5" t="s">
        <v>248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3.17</v>
      </c>
      <c r="D83" s="0" t="n">
        <v>2.708</v>
      </c>
      <c r="E83" s="0" t="n">
        <v>2</v>
      </c>
      <c r="F83" s="0" t="s">
        <v>63</v>
      </c>
      <c r="G83" s="0" t="n">
        <v>16</v>
      </c>
      <c r="H83" s="0" t="n">
        <v>17.16</v>
      </c>
      <c r="I83" s="0" t="s">
        <v>251</v>
      </c>
      <c r="J83" s="0" t="s">
        <v>252</v>
      </c>
      <c r="K83" s="0" t="s">
        <v>66</v>
      </c>
    </row>
    <row r="84" customFormat="false" ht="15" hidden="false" customHeight="false" outlineLevel="0" collapsed="false">
      <c r="B84" s="6" t="s">
        <v>253</v>
      </c>
      <c r="C84" s="4" t="n">
        <f aca="false">SUM(C83:C83)</f>
        <v>3.17</v>
      </c>
      <c r="H84" s="4" t="n">
        <f aca="false">SUM(H83:H83)</f>
        <v>17.16</v>
      </c>
    </row>
    <row r="85" customFormat="false" ht="15" hidden="false" customHeight="false" outlineLevel="0" collapsed="false">
      <c r="A85" s="5" t="s">
        <v>254</v>
      </c>
    </row>
    <row r="86" customFormat="false" ht="15" hidden="false" customHeight="false" outlineLevel="0" collapsed="false">
      <c r="A86" s="0" t="s">
        <v>255</v>
      </c>
      <c r="B86" s="0" t="s">
        <v>256</v>
      </c>
      <c r="C86" s="0" t="n">
        <v>5.14</v>
      </c>
      <c r="D86" s="0" t="n">
        <v>1</v>
      </c>
      <c r="E86" s="0" t="n">
        <v>2</v>
      </c>
      <c r="F86" s="0" t="s">
        <v>63</v>
      </c>
      <c r="G86" s="0" t="n">
        <v>16</v>
      </c>
      <c r="H86" s="0" t="n">
        <v>10.28</v>
      </c>
      <c r="I86" s="0" t="s">
        <v>257</v>
      </c>
      <c r="J86" s="0" t="s">
        <v>258</v>
      </c>
      <c r="K86" s="0" t="s">
        <v>66</v>
      </c>
    </row>
    <row r="87" customFormat="false" ht="15" hidden="false" customHeight="false" outlineLevel="0" collapsed="false">
      <c r="B87" s="6" t="s">
        <v>259</v>
      </c>
      <c r="C87" s="4" t="n">
        <f aca="false">SUM(C86:C86)</f>
        <v>5.14</v>
      </c>
      <c r="H87" s="4" t="n">
        <f aca="false">SUM(H86:H86)</f>
        <v>10.28</v>
      </c>
    </row>
    <row r="88" customFormat="false" ht="15" hidden="false" customHeight="false" outlineLevel="0" collapsed="false">
      <c r="A88" s="5" t="s">
        <v>260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n">
        <v>3.17</v>
      </c>
      <c r="D89" s="0" t="n">
        <v>2.708</v>
      </c>
      <c r="E89" s="0" t="n">
        <v>2</v>
      </c>
      <c r="F89" s="0" t="s">
        <v>63</v>
      </c>
      <c r="G89" s="0" t="n">
        <v>16</v>
      </c>
      <c r="H89" s="0" t="n">
        <v>17.16</v>
      </c>
      <c r="I89" s="0" t="s">
        <v>263</v>
      </c>
      <c r="J89" s="0" t="s">
        <v>264</v>
      </c>
      <c r="K89" s="0" t="s">
        <v>66</v>
      </c>
    </row>
    <row r="90" customFormat="false" ht="15" hidden="false" customHeight="false" outlineLevel="0" collapsed="false">
      <c r="B90" s="6" t="s">
        <v>265</v>
      </c>
      <c r="C90" s="4" t="n">
        <f aca="false">SUM(C89:C89)</f>
        <v>3.17</v>
      </c>
      <c r="H90" s="4" t="n">
        <f aca="false">SUM(H89:H89)</f>
        <v>17.16</v>
      </c>
    </row>
    <row r="91" customFormat="false" ht="15" hidden="false" customHeight="false" outlineLevel="0" collapsed="false">
      <c r="B91" s="6" t="s">
        <v>266</v>
      </c>
      <c r="C91" s="4" t="n">
        <f aca="false">C14+C17+C25+C45+C49+C52+C55+C58+C61+C64+C69+C72+C76+C81+C84+C87+C90</f>
        <v>568.61</v>
      </c>
      <c r="H91" s="4" t="n">
        <f aca="false">H14+H17+H25+H45+H49+H52+H55+H58+H61+H64+H69+H72+H76+H81+H84+H87+H90</f>
        <v>15446.22</v>
      </c>
    </row>
    <row r="93" customFormat="false" ht="15" hidden="false" customHeight="false" outlineLevel="0" collapsed="false">
      <c r="A93" s="5" t="s">
        <v>267</v>
      </c>
    </row>
    <row r="94" customFormat="false" ht="15" hidden="false" customHeight="false" outlineLevel="0" collapsed="false">
      <c r="A94" s="0" t="s">
        <v>268</v>
      </c>
      <c r="B94" s="0" t="s">
        <v>269</v>
      </c>
      <c r="C94" s="0" t="n">
        <v>8</v>
      </c>
      <c r="D94" s="0" t="n">
        <v>8</v>
      </c>
      <c r="E94" s="0" t="n">
        <v>1</v>
      </c>
      <c r="F94" s="0" t="s">
        <v>63</v>
      </c>
      <c r="G94" s="0" t="n">
        <v>16</v>
      </c>
      <c r="H94" s="0" t="n">
        <v>64</v>
      </c>
      <c r="I94" s="0" t="s">
        <v>270</v>
      </c>
      <c r="J94" s="0" t="s">
        <v>271</v>
      </c>
      <c r="K94" s="0" t="s">
        <v>66</v>
      </c>
    </row>
    <row r="95" customFormat="false" ht="15" hidden="false" customHeight="false" outlineLevel="0" collapsed="false">
      <c r="A95" s="0" t="s">
        <v>272</v>
      </c>
      <c r="B95" s="0" t="s">
        <v>273</v>
      </c>
      <c r="C95" s="0" t="n">
        <v>8</v>
      </c>
      <c r="D95" s="0" t="n">
        <v>8</v>
      </c>
      <c r="E95" s="0" t="n">
        <v>1</v>
      </c>
      <c r="F95" s="0" t="s">
        <v>63</v>
      </c>
      <c r="G95" s="0" t="n">
        <v>16</v>
      </c>
      <c r="H95" s="0" t="n">
        <v>64</v>
      </c>
      <c r="I95" s="0" t="s">
        <v>270</v>
      </c>
      <c r="J95" s="0" t="s">
        <v>271</v>
      </c>
      <c r="K95" s="0" t="s">
        <v>66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270</v>
      </c>
      <c r="J96" s="0" t="s">
        <v>271</v>
      </c>
      <c r="K96" s="0" t="s">
        <v>66</v>
      </c>
    </row>
    <row r="97" customFormat="false" ht="15" hidden="false" customHeight="false" outlineLevel="0" collapsed="false">
      <c r="A97" s="0" t="s">
        <v>276</v>
      </c>
      <c r="B97" s="0" t="s">
        <v>277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270</v>
      </c>
      <c r="J97" s="0" t="s">
        <v>271</v>
      </c>
      <c r="K97" s="0" t="s">
        <v>66</v>
      </c>
    </row>
    <row r="98" customFormat="false" ht="15" hidden="false" customHeight="false" outlineLevel="0" collapsed="false">
      <c r="A98" s="0" t="s">
        <v>278</v>
      </c>
      <c r="B98" s="0" t="s">
        <v>279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270</v>
      </c>
      <c r="J98" s="0" t="s">
        <v>271</v>
      </c>
      <c r="K98" s="0" t="s">
        <v>66</v>
      </c>
    </row>
    <row r="99" customFormat="false" ht="15" hidden="false" customHeight="false" outlineLevel="0" collapsed="false">
      <c r="A99" s="0" t="s">
        <v>280</v>
      </c>
      <c r="B99" s="0" t="s">
        <v>281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270</v>
      </c>
      <c r="J99" s="0" t="s">
        <v>271</v>
      </c>
      <c r="K99" s="0" t="s">
        <v>66</v>
      </c>
    </row>
    <row r="100" customFormat="false" ht="15" hidden="false" customHeight="false" outlineLevel="0" collapsed="false">
      <c r="A100" s="0" t="s">
        <v>282</v>
      </c>
      <c r="B100" s="0" t="s">
        <v>283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270</v>
      </c>
      <c r="J100" s="0" t="s">
        <v>271</v>
      </c>
      <c r="K100" s="0" t="s">
        <v>66</v>
      </c>
    </row>
    <row r="101" customFormat="false" ht="15" hidden="false" customHeight="false" outlineLevel="0" collapsed="false">
      <c r="A101" s="0" t="s">
        <v>284</v>
      </c>
      <c r="B101" s="0" t="s">
        <v>285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270</v>
      </c>
      <c r="J101" s="0" t="s">
        <v>271</v>
      </c>
      <c r="K101" s="0" t="s">
        <v>66</v>
      </c>
    </row>
    <row r="102" customFormat="false" ht="15" hidden="false" customHeight="false" outlineLevel="0" collapsed="false">
      <c r="A102" s="0" t="s">
        <v>286</v>
      </c>
      <c r="B102" s="0" t="s">
        <v>287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270</v>
      </c>
      <c r="J102" s="0" t="s">
        <v>271</v>
      </c>
      <c r="K102" s="0" t="s">
        <v>66</v>
      </c>
    </row>
    <row r="103" customFormat="false" ht="15" hidden="false" customHeight="false" outlineLevel="0" collapsed="false">
      <c r="A103" s="0" t="s">
        <v>288</v>
      </c>
      <c r="B103" s="0" t="s">
        <v>289</v>
      </c>
      <c r="C103" s="0" t="n">
        <v>22.77</v>
      </c>
      <c r="D103" s="0" t="n">
        <v>14</v>
      </c>
      <c r="E103" s="0" t="n">
        <v>1</v>
      </c>
      <c r="F103" s="0" t="s">
        <v>63</v>
      </c>
      <c r="G103" s="0" t="n">
        <v>16</v>
      </c>
      <c r="H103" s="0" t="n">
        <v>318.78</v>
      </c>
      <c r="I103" s="0" t="s">
        <v>290</v>
      </c>
      <c r="J103" s="0" t="s">
        <v>291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10.12</v>
      </c>
      <c r="D104" s="0" t="n">
        <v>14</v>
      </c>
      <c r="E104" s="0" t="n">
        <v>1</v>
      </c>
      <c r="F104" s="0" t="s">
        <v>63</v>
      </c>
      <c r="G104" s="0" t="n">
        <v>16</v>
      </c>
      <c r="H104" s="0" t="n">
        <v>101.2</v>
      </c>
      <c r="I104" s="0" t="s">
        <v>294</v>
      </c>
      <c r="J104" s="0" t="s">
        <v>291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20</v>
      </c>
      <c r="D105" s="0" t="n">
        <v>13.5</v>
      </c>
      <c r="E105" s="0" t="n">
        <v>1</v>
      </c>
      <c r="F105" s="0" t="s">
        <v>63</v>
      </c>
      <c r="G105" s="0" t="n">
        <v>16</v>
      </c>
      <c r="H105" s="0" t="n">
        <v>10</v>
      </c>
      <c r="I105" s="0" t="s">
        <v>297</v>
      </c>
      <c r="J105" s="0" t="s">
        <v>291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6.25</v>
      </c>
      <c r="D106" s="0" t="n">
        <v>13.5</v>
      </c>
      <c r="E106" s="0" t="n">
        <v>1</v>
      </c>
      <c r="F106" s="0" t="s">
        <v>63</v>
      </c>
      <c r="G106" s="0" t="n">
        <v>16</v>
      </c>
      <c r="H106" s="0" t="n">
        <v>3.12</v>
      </c>
      <c r="I106" s="0" t="s">
        <v>300</v>
      </c>
      <c r="J106" s="0" t="s">
        <v>291</v>
      </c>
      <c r="K10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0" t="s">
        <v>302</v>
      </c>
    </row>
    <row r="3" customFormat="false" ht="15" hidden="false" customHeight="false" outlineLevel="0" collapsed="false">
      <c r="A3" s="2" t="s">
        <v>303</v>
      </c>
      <c r="B3" s="2" t="s">
        <v>304</v>
      </c>
      <c r="C3" s="2" t="s">
        <v>305</v>
      </c>
      <c r="D3" s="2" t="s">
        <v>306</v>
      </c>
      <c r="E3" s="2" t="s">
        <v>307</v>
      </c>
      <c r="F3" s="2" t="s">
        <v>308</v>
      </c>
      <c r="G3" s="2" t="s">
        <v>309</v>
      </c>
      <c r="H3" s="2" t="s">
        <v>310</v>
      </c>
      <c r="I3" s="2" t="s">
        <v>311</v>
      </c>
      <c r="J3" s="2" t="s">
        <v>312</v>
      </c>
    </row>
    <row r="4" customFormat="false" ht="15" hidden="false" customHeight="false" outlineLevel="0" collapsed="false">
      <c r="A4" s="0" t="s">
        <v>313</v>
      </c>
      <c r="B4" s="0" t="s">
        <v>314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315</v>
      </c>
      <c r="H4" s="0" t="n">
        <f aca="false">ROUNDUP(F4/Inputs!$B$11,0)</f>
        <v>52</v>
      </c>
      <c r="I4" s="0" t="s">
        <v>316</v>
      </c>
    </row>
    <row r="5" customFormat="false" ht="15" hidden="false" customHeight="false" outlineLevel="0" collapsed="false">
      <c r="A5" s="0" t="s">
        <v>317</v>
      </c>
      <c r="B5" s="0" t="s">
        <v>314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315</v>
      </c>
      <c r="H5" s="0" t="n">
        <f aca="false">ROUNDUP(F5/Inputs!$B$11,0)</f>
        <v>14</v>
      </c>
      <c r="I5" s="0" t="s">
        <v>316</v>
      </c>
    </row>
    <row r="6" customFormat="false" ht="15" hidden="false" customHeight="false" outlineLevel="0" collapsed="false">
      <c r="A6" s="0" t="s">
        <v>318</v>
      </c>
      <c r="B6" s="0" t="s">
        <v>314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315</v>
      </c>
      <c r="H6" s="0" t="n">
        <f aca="false">ROUNDUP(F6/Inputs!$B$11,0)</f>
        <v>9</v>
      </c>
      <c r="I6" s="0" t="s">
        <v>316</v>
      </c>
    </row>
    <row r="7" customFormat="false" ht="15" hidden="false" customHeight="false" outlineLevel="0" collapsed="false">
      <c r="A7" s="0" t="s">
        <v>319</v>
      </c>
      <c r="B7" s="0" t="s">
        <v>314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315</v>
      </c>
      <c r="H7" s="0" t="n">
        <f aca="false">ROUNDUP(F7/Inputs!$B$11,0)</f>
        <v>52</v>
      </c>
      <c r="I7" s="0" t="s">
        <v>320</v>
      </c>
    </row>
    <row r="8" customFormat="false" ht="15" hidden="false" customHeight="false" outlineLevel="0" collapsed="false">
      <c r="A8" s="0" t="s">
        <v>321</v>
      </c>
      <c r="B8" s="0" t="s">
        <v>314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315</v>
      </c>
      <c r="H8" s="0" t="n">
        <f aca="false">ROUNDUP(F8/Inputs!$B$11,0)</f>
        <v>14</v>
      </c>
      <c r="I8" s="0" t="s">
        <v>320</v>
      </c>
    </row>
    <row r="9" customFormat="false" ht="15" hidden="false" customHeight="false" outlineLevel="0" collapsed="false">
      <c r="A9" s="0" t="s">
        <v>322</v>
      </c>
      <c r="B9" s="0" t="s">
        <v>314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315</v>
      </c>
      <c r="H9" s="0" t="n">
        <f aca="false">ROUNDUP(F9/Inputs!$B$11,0)</f>
        <v>9</v>
      </c>
      <c r="I9" s="0" t="s">
        <v>320</v>
      </c>
    </row>
    <row r="10" customFormat="false" ht="15" hidden="false" customHeight="false" outlineLevel="0" collapsed="false">
      <c r="A10" s="0" t="s">
        <v>323</v>
      </c>
      <c r="B10" s="0" t="s">
        <v>314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324</v>
      </c>
      <c r="H10" s="0" t="n">
        <f aca="false">ROUNDUP(F10/Inputs!$B$10,0)</f>
        <v>2</v>
      </c>
      <c r="I10" s="0" t="s">
        <v>325</v>
      </c>
    </row>
    <row r="11" customFormat="false" ht="15" hidden="false" customHeight="false" outlineLevel="0" collapsed="false">
      <c r="A11" s="0" t="s">
        <v>326</v>
      </c>
      <c r="B11" s="0" t="s">
        <v>314</v>
      </c>
      <c r="C11" s="0" t="n">
        <v>2900</v>
      </c>
      <c r="D11" s="0" t="n">
        <f aca="false">Inputs!$B$5</f>
        <v>0.15</v>
      </c>
      <c r="E11" s="0" t="n">
        <f aca="false">C11*D11</f>
        <v>435</v>
      </c>
      <c r="F11" s="0" t="n">
        <f aca="false">C11+E11</f>
        <v>3335</v>
      </c>
      <c r="G11" s="0" t="s">
        <v>324</v>
      </c>
      <c r="H11" s="0" t="n">
        <f aca="false">ROUNDUP(F11/Inputs!$B$10,0)</f>
        <v>167</v>
      </c>
      <c r="I11" s="0" t="s">
        <v>327</v>
      </c>
    </row>
    <row r="12" customFormat="false" ht="15" hidden="false" customHeight="false" outlineLevel="0" collapsed="false">
      <c r="A12" s="0" t="s">
        <v>328</v>
      </c>
      <c r="B12" s="0" t="s">
        <v>314</v>
      </c>
      <c r="C12" s="0" t="n">
        <v>10778.08</v>
      </c>
      <c r="D12" s="0" t="n">
        <f aca="false">Inputs!$B$5</f>
        <v>0.15</v>
      </c>
      <c r="E12" s="0" t="n">
        <f aca="false">C12*D12</f>
        <v>1616.712</v>
      </c>
      <c r="F12" s="0" t="n">
        <f aca="false">C12+E12</f>
        <v>12394.792</v>
      </c>
      <c r="G12" s="0" t="s">
        <v>324</v>
      </c>
      <c r="H12" s="0" t="n">
        <f aca="false">ROUNDUP(F12/Inputs!$B$10,0)</f>
        <v>620</v>
      </c>
      <c r="I12" s="0" t="s">
        <v>329</v>
      </c>
    </row>
    <row r="13" customFormat="false" ht="15" hidden="false" customHeight="false" outlineLevel="0" collapsed="false">
      <c r="A13" s="0" t="s">
        <v>330</v>
      </c>
      <c r="B13" s="0" t="s">
        <v>314</v>
      </c>
      <c r="C13" s="0" t="n">
        <v>321.78</v>
      </c>
      <c r="D13" s="0" t="n">
        <f aca="false">Inputs!$B$5</f>
        <v>0.15</v>
      </c>
      <c r="E13" s="0" t="n">
        <f aca="false">C13*D13</f>
        <v>48.267</v>
      </c>
      <c r="F13" s="0" t="n">
        <f aca="false">C13+E13</f>
        <v>370.047</v>
      </c>
      <c r="G13" s="0" t="s">
        <v>315</v>
      </c>
      <c r="H13" s="0" t="n">
        <f aca="false">ROUNDUP(F13/Inputs!$B$11,0)</f>
        <v>38</v>
      </c>
      <c r="I13" s="0" t="s">
        <v>331</v>
      </c>
    </row>
    <row r="14" customFormat="false" ht="15" hidden="false" customHeight="false" outlineLevel="0" collapsed="false">
      <c r="A14" s="0" t="s">
        <v>332</v>
      </c>
      <c r="B14" s="0" t="s">
        <v>314</v>
      </c>
      <c r="C14" s="0" t="n">
        <v>2858.98</v>
      </c>
      <c r="D14" s="0" t="n">
        <f aca="false">Inputs!$B$5</f>
        <v>0.15</v>
      </c>
      <c r="E14" s="0" t="n">
        <f aca="false">C14*D14</f>
        <v>428.847</v>
      </c>
      <c r="F14" s="0" t="n">
        <f aca="false">C14+E14</f>
        <v>3287.827</v>
      </c>
      <c r="G14" s="0" t="s">
        <v>333</v>
      </c>
      <c r="H14" s="0" t="n">
        <f aca="false">ROUNDUP(F14/Inputs!$B$16,0)</f>
        <v>206</v>
      </c>
      <c r="I14" s="0" t="s">
        <v>334</v>
      </c>
    </row>
    <row r="15" customFormat="false" ht="15" hidden="false" customHeight="false" outlineLevel="0" collapsed="false">
      <c r="A15" s="0" t="s">
        <v>335</v>
      </c>
      <c r="B15" s="0" t="s">
        <v>314</v>
      </c>
      <c r="C15" s="0" t="n">
        <v>182.79</v>
      </c>
      <c r="D15" s="0" t="n">
        <f aca="false">Inputs!$B$5</f>
        <v>0.15</v>
      </c>
      <c r="E15" s="0" t="n">
        <f aca="false">C15*D15</f>
        <v>27.4185</v>
      </c>
      <c r="F15" s="0" t="n">
        <f aca="false">C15+E15</f>
        <v>210.2085</v>
      </c>
      <c r="G15" s="0" t="s">
        <v>336</v>
      </c>
      <c r="H15" s="0" t="n">
        <f aca="false">ROUNDUP(F15/Inputs!$B$17,0)</f>
        <v>18</v>
      </c>
      <c r="I15" s="0" t="s">
        <v>337</v>
      </c>
    </row>
    <row r="16" customFormat="false" ht="15" hidden="false" customHeight="false" outlineLevel="0" collapsed="false">
      <c r="A16" s="0" t="s">
        <v>338</v>
      </c>
      <c r="B16" s="0" t="s">
        <v>314</v>
      </c>
      <c r="C16" s="0" t="n">
        <v>146.92</v>
      </c>
      <c r="D16" s="0" t="n">
        <f aca="false">Inputs!$B$5</f>
        <v>0.15</v>
      </c>
      <c r="E16" s="0" t="n">
        <f aca="false">C16*D16</f>
        <v>22.038</v>
      </c>
      <c r="F16" s="0" t="n">
        <f aca="false">C16+E16</f>
        <v>168.958</v>
      </c>
      <c r="G16" s="0" t="s">
        <v>333</v>
      </c>
      <c r="H16" s="0" t="n">
        <f aca="false">ROUNDUP(F16/Inputs!$B$16,0)</f>
        <v>11</v>
      </c>
      <c r="I16" s="0" t="s">
        <v>339</v>
      </c>
    </row>
    <row r="17" customFormat="false" ht="15" hidden="false" customHeight="false" outlineLevel="0" collapsed="false">
      <c r="A17" s="0" t="s">
        <v>340</v>
      </c>
      <c r="B17" s="0" t="s">
        <v>314</v>
      </c>
      <c r="C17" s="0" t="n">
        <v>1438</v>
      </c>
      <c r="D17" s="0" t="n">
        <f aca="false">Inputs!$B$5</f>
        <v>0.15</v>
      </c>
      <c r="E17" s="0" t="n">
        <f aca="false">C17*D17</f>
        <v>215.7</v>
      </c>
      <c r="F17" s="0" t="n">
        <f aca="false">C17+E17</f>
        <v>1653.7</v>
      </c>
      <c r="G17" s="0" t="s">
        <v>33</v>
      </c>
      <c r="H17" s="0" t="n">
        <f aca="false">ROUNDUP(F17,0)</f>
        <v>1654</v>
      </c>
      <c r="I17" s="0" t="s">
        <v>341</v>
      </c>
    </row>
    <row r="18" customFormat="false" ht="15" hidden="false" customHeight="false" outlineLevel="0" collapsed="false">
      <c r="A18" s="0" t="s">
        <v>342</v>
      </c>
      <c r="B18" s="0" t="s">
        <v>314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343</v>
      </c>
      <c r="H18" s="0" t="n">
        <f aca="false">ROUNDUP(F18,0)</f>
        <v>636</v>
      </c>
      <c r="I18" s="0" t="s">
        <v>344</v>
      </c>
    </row>
    <row r="19" customFormat="false" ht="15" hidden="false" customHeight="false" outlineLevel="0" collapsed="false">
      <c r="A19" s="0" t="s">
        <v>345</v>
      </c>
      <c r="B19" s="0" t="s">
        <v>346</v>
      </c>
      <c r="C19" s="0" t="n">
        <v>15670.56</v>
      </c>
      <c r="D19" s="0" t="n">
        <f aca="false">Inputs!$B$6</f>
        <v>0.06</v>
      </c>
      <c r="E19" s="0" t="n">
        <f aca="false">C19*D19</f>
        <v>940.2336</v>
      </c>
      <c r="F19" s="0" t="n">
        <f aca="false">C19+E19</f>
        <v>16610.7936</v>
      </c>
      <c r="G19" s="0" t="s">
        <v>347</v>
      </c>
      <c r="H19" s="0" t="n">
        <f aca="false">ROUNDUP(F19/Inputs!$B$9,0)</f>
        <v>347</v>
      </c>
      <c r="I19" s="0" t="s">
        <v>348</v>
      </c>
    </row>
    <row r="20" customFormat="false" ht="15" hidden="false" customHeight="false" outlineLevel="0" collapsed="false">
      <c r="A20" s="0" t="s">
        <v>349</v>
      </c>
      <c r="B20" s="0" t="s">
        <v>346</v>
      </c>
      <c r="C20" s="0" t="n">
        <v>1020.33</v>
      </c>
      <c r="D20" s="0" t="n">
        <f aca="false">Inputs!$B$6</f>
        <v>0.06</v>
      </c>
      <c r="E20" s="0" t="n">
        <f aca="false">C20*D20</f>
        <v>61.2198</v>
      </c>
      <c r="F20" s="0" t="n">
        <f aca="false">C20+E20</f>
        <v>1081.5498</v>
      </c>
      <c r="G20" s="0" t="s">
        <v>347</v>
      </c>
      <c r="H20" s="0" t="n">
        <f aca="false">ROUNDUP(F20/Inputs!$B$9,0)</f>
        <v>23</v>
      </c>
      <c r="I20" s="0" t="s">
        <v>350</v>
      </c>
    </row>
    <row r="21" customFormat="false" ht="15" hidden="false" customHeight="false" outlineLevel="0" collapsed="false">
      <c r="A21" s="0" t="s">
        <v>351</v>
      </c>
      <c r="B21" s="0" t="s">
        <v>314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324</v>
      </c>
      <c r="H21" s="0" t="n">
        <f aca="false">ROUNDUP(F21/Inputs!$B$10,0)</f>
        <v>6</v>
      </c>
      <c r="I21" s="0" t="s">
        <v>352</v>
      </c>
    </row>
    <row r="22" customFormat="false" ht="15" hidden="false" customHeight="false" outlineLevel="0" collapsed="false">
      <c r="A22" s="0" t="s">
        <v>353</v>
      </c>
      <c r="B22" s="0" t="s">
        <v>314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343</v>
      </c>
      <c r="H22" s="0" t="n">
        <f aca="false">ROUNDUP(F22,0)</f>
        <v>224</v>
      </c>
      <c r="I22" s="0" t="s">
        <v>354</v>
      </c>
    </row>
    <row r="23" customFormat="false" ht="15" hidden="false" customHeight="false" outlineLevel="0" collapsed="false">
      <c r="A23" s="0" t="s">
        <v>355</v>
      </c>
      <c r="B23" s="0" t="s">
        <v>314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343</v>
      </c>
      <c r="H23" s="0" t="n">
        <f aca="false">ROUNDUP(F23,0)</f>
        <v>527</v>
      </c>
      <c r="I23" s="0" t="s">
        <v>356</v>
      </c>
    </row>
    <row r="24" customFormat="false" ht="15" hidden="false" customHeight="false" outlineLevel="0" collapsed="false">
      <c r="A24" s="0" t="s">
        <v>357</v>
      </c>
      <c r="B24" s="0" t="s">
        <v>314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343</v>
      </c>
      <c r="H24" s="0" t="n">
        <f aca="false">ROUNDUP(F24,0)</f>
        <v>124</v>
      </c>
      <c r="I24" s="0" t="s">
        <v>358</v>
      </c>
    </row>
    <row r="25" customFormat="false" ht="15" hidden="false" customHeight="false" outlineLevel="0" collapsed="false">
      <c r="A25" s="0" t="s">
        <v>359</v>
      </c>
      <c r="B25" s="0" t="s">
        <v>314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343</v>
      </c>
      <c r="H25" s="0" t="n">
        <f aca="false">ROUNDUP(F25,0)</f>
        <v>124</v>
      </c>
      <c r="I25" s="0" t="s">
        <v>360</v>
      </c>
    </row>
    <row r="26" customFormat="false" ht="15" hidden="false" customHeight="false" outlineLevel="0" collapsed="false">
      <c r="A26" s="0" t="s">
        <v>361</v>
      </c>
      <c r="B26" s="0" t="s">
        <v>314</v>
      </c>
      <c r="C26" s="0" t="n">
        <v>891.72</v>
      </c>
      <c r="D26" s="0" t="n">
        <f aca="false">Inputs!$B$5</f>
        <v>0.15</v>
      </c>
      <c r="E26" s="0" t="n">
        <f aca="false">C26*D26</f>
        <v>133.758</v>
      </c>
      <c r="F26" s="0" t="n">
        <f aca="false">C26+E26</f>
        <v>1025.478</v>
      </c>
      <c r="G26" s="0" t="s">
        <v>362</v>
      </c>
      <c r="H26" s="0" t="n">
        <f aca="false">ROUNDUP(F26/Inputs!$B$18,0)</f>
        <v>103</v>
      </c>
      <c r="I26" s="0" t="s">
        <v>363</v>
      </c>
    </row>
    <row r="27" customFormat="false" ht="15" hidden="false" customHeight="false" outlineLevel="0" collapsed="false">
      <c r="A27" s="0" t="s">
        <v>364</v>
      </c>
      <c r="B27" s="0" t="s">
        <v>346</v>
      </c>
      <c r="C27" s="0" t="n">
        <v>851.4</v>
      </c>
      <c r="D27" s="0" t="n">
        <f aca="false">Inputs!$B$6</f>
        <v>0.06</v>
      </c>
      <c r="E27" s="0" t="n">
        <f aca="false">C27*D27</f>
        <v>51.084</v>
      </c>
      <c r="F27" s="0" t="n">
        <f aca="false">C27+E27</f>
        <v>902.484</v>
      </c>
      <c r="G27" s="0" t="s">
        <v>347</v>
      </c>
      <c r="H27" s="0" t="n">
        <f aca="false">ROUNDUP(F27/Inputs!$B$9,0)</f>
        <v>19</v>
      </c>
      <c r="I27" s="0" t="s">
        <v>365</v>
      </c>
    </row>
    <row r="28" customFormat="false" ht="15" hidden="false" customHeight="false" outlineLevel="0" collapsed="false">
      <c r="A28" s="0" t="s">
        <v>366</v>
      </c>
      <c r="B28" s="0" t="s">
        <v>314</v>
      </c>
      <c r="C28" s="0" t="n">
        <v>61.31</v>
      </c>
      <c r="D28" s="0" t="n">
        <f aca="false">Inputs!$B$5</f>
        <v>0.15</v>
      </c>
      <c r="E28" s="0" t="n">
        <f aca="false">C28*D28</f>
        <v>9.1965</v>
      </c>
      <c r="F28" s="0" t="n">
        <f aca="false">C28+E28</f>
        <v>70.5065</v>
      </c>
      <c r="G28" s="0" t="s">
        <v>324</v>
      </c>
      <c r="H28" s="0" t="n">
        <f aca="false">ROUNDUP(F28/Inputs!$B$10,0)</f>
        <v>4</v>
      </c>
      <c r="I28" s="0" t="s">
        <v>367</v>
      </c>
    </row>
    <row r="29" customFormat="false" ht="15" hidden="false" customHeight="false" outlineLevel="0" collapsed="false">
      <c r="A29" s="0" t="s">
        <v>368</v>
      </c>
      <c r="B29" s="0" t="s">
        <v>346</v>
      </c>
      <c r="C29" s="0" t="n">
        <v>2664.09</v>
      </c>
      <c r="D29" s="0" t="n">
        <f aca="false">Inputs!$B$6</f>
        <v>0.06</v>
      </c>
      <c r="E29" s="0" t="n">
        <f aca="false">C29*D29</f>
        <v>159.8454</v>
      </c>
      <c r="F29" s="0" t="n">
        <f aca="false">C29+E29</f>
        <v>2823.9354</v>
      </c>
      <c r="G29" s="0" t="s">
        <v>347</v>
      </c>
      <c r="H29" s="0" t="n">
        <f aca="false">ROUNDUP(F29/Inputs!$B$9,0)</f>
        <v>59</v>
      </c>
      <c r="I29" s="0" t="s">
        <v>369</v>
      </c>
    </row>
    <row r="30" customFormat="false" ht="15" hidden="false" customHeight="false" outlineLevel="0" collapsed="false">
      <c r="A30" s="0" t="s">
        <v>370</v>
      </c>
      <c r="B30" s="0" t="s">
        <v>346</v>
      </c>
      <c r="C30" s="0" t="n">
        <v>248.46</v>
      </c>
      <c r="D30" s="0" t="n">
        <f aca="false">Inputs!$B$6</f>
        <v>0.06</v>
      </c>
      <c r="E30" s="0" t="n">
        <f aca="false">C30*D30</f>
        <v>14.9076</v>
      </c>
      <c r="F30" s="0" t="n">
        <f aca="false">C30+E30</f>
        <v>263.3676</v>
      </c>
      <c r="G30" s="0" t="s">
        <v>347</v>
      </c>
      <c r="H30" s="0" t="n">
        <f aca="false">ROUNDUP(F30/Inputs!$B$9,0)</f>
        <v>6</v>
      </c>
      <c r="I30" s="0" t="s">
        <v>369</v>
      </c>
    </row>
    <row r="31" customFormat="false" ht="15" hidden="false" customHeight="false" outlineLevel="0" collapsed="false">
      <c r="A31" s="0" t="s">
        <v>371</v>
      </c>
      <c r="B31" s="0" t="s">
        <v>372</v>
      </c>
      <c r="C31" s="0" t="n">
        <v>103</v>
      </c>
      <c r="D31" s="0" t="n">
        <v>0</v>
      </c>
      <c r="E31" s="0" t="n">
        <f aca="false">C31*D31</f>
        <v>0</v>
      </c>
      <c r="F31" s="0" t="n">
        <f aca="false">C31+E31</f>
        <v>103</v>
      </c>
      <c r="H31" s="0" t="n">
        <f aca="false">ROUNDUP(F31,0)</f>
        <v>103</v>
      </c>
      <c r="I31" s="0" t="s">
        <v>373</v>
      </c>
    </row>
    <row r="32" customFormat="false" ht="15" hidden="false" customHeight="false" outlineLevel="0" collapsed="false">
      <c r="A32" s="0" t="s">
        <v>374</v>
      </c>
      <c r="B32" s="0" t="s">
        <v>314</v>
      </c>
      <c r="C32" s="0" t="n">
        <v>0</v>
      </c>
      <c r="D32" s="0" t="n">
        <f aca="false">Inputs!$B$5</f>
        <v>0.15</v>
      </c>
      <c r="E32" s="0" t="n">
        <f aca="false">C32*D32</f>
        <v>0</v>
      </c>
      <c r="F32" s="0" t="n">
        <f aca="false">C32+E32</f>
        <v>0</v>
      </c>
      <c r="G32" s="0" t="s">
        <v>315</v>
      </c>
      <c r="H32" s="0" t="n">
        <f aca="false">ROUNDUP(F32/Inputs!$B$11,0)</f>
        <v>0</v>
      </c>
      <c r="I32" s="0" t="s">
        <v>375</v>
      </c>
    </row>
    <row r="33" customFormat="false" ht="15" hidden="false" customHeight="false" outlineLevel="0" collapsed="false">
      <c r="A33" s="0" t="s">
        <v>376</v>
      </c>
      <c r="B33" s="0" t="s">
        <v>372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377</v>
      </c>
      <c r="H33" s="0" t="n">
        <f aca="false">ROUNDUP(F33,0)</f>
        <v>0</v>
      </c>
      <c r="I33" s="0" t="s">
        <v>378</v>
      </c>
    </row>
    <row r="34" customFormat="false" ht="15" hidden="false" customHeight="false" outlineLevel="0" collapsed="false">
      <c r="A34" s="0" t="s">
        <v>379</v>
      </c>
      <c r="B34" s="0" t="s">
        <v>314</v>
      </c>
      <c r="C34" s="0" t="n">
        <v>0</v>
      </c>
      <c r="D34" s="0" t="n">
        <f aca="false">Inputs!$B$5</f>
        <v>0.15</v>
      </c>
      <c r="E34" s="0" t="n">
        <f aca="false">C34*D34</f>
        <v>0</v>
      </c>
      <c r="F34" s="0" t="n">
        <f aca="false">C34+E34</f>
        <v>0</v>
      </c>
      <c r="G34" s="0" t="s">
        <v>324</v>
      </c>
      <c r="H34" s="0" t="n">
        <f aca="false">ROUNDUP(F34/Inputs!$B$10,0)</f>
        <v>0</v>
      </c>
      <c r="I34" s="0" t="s">
        <v>380</v>
      </c>
    </row>
    <row r="35" customFormat="false" ht="15" hidden="false" customHeight="false" outlineLevel="0" collapsed="false">
      <c r="A35" s="0" t="s">
        <v>381</v>
      </c>
      <c r="B35" s="0" t="s">
        <v>314</v>
      </c>
      <c r="C35" s="0" t="n">
        <v>0</v>
      </c>
      <c r="D35" s="0" t="n">
        <f aca="false">Inputs!$B$5</f>
        <v>0.15</v>
      </c>
      <c r="E35" s="0" t="n">
        <f aca="false">C35*D35</f>
        <v>0</v>
      </c>
      <c r="F35" s="0" t="n">
        <f aca="false">C35+E35</f>
        <v>0</v>
      </c>
      <c r="G35" s="0" t="s">
        <v>324</v>
      </c>
      <c r="H35" s="0" t="n">
        <f aca="false">ROUNDUP(F35/Inputs!$B$10,0)</f>
        <v>0</v>
      </c>
      <c r="I35" s="0" t="s">
        <v>382</v>
      </c>
    </row>
    <row r="36" customFormat="false" ht="15" hidden="false" customHeight="false" outlineLevel="0" collapsed="false">
      <c r="A36" s="0" t="s">
        <v>383</v>
      </c>
      <c r="B36" s="0" t="s">
        <v>346</v>
      </c>
      <c r="C36" s="0" t="n">
        <v>0</v>
      </c>
      <c r="D36" s="0" t="n">
        <f aca="false">Inputs!$B$6</f>
        <v>0.06</v>
      </c>
      <c r="E36" s="0" t="n">
        <f aca="false">C36*D36</f>
        <v>0</v>
      </c>
      <c r="F36" s="0" t="n">
        <f aca="false">C36+E36</f>
        <v>0</v>
      </c>
      <c r="G36" s="0" t="s">
        <v>347</v>
      </c>
      <c r="H36" s="0" t="n">
        <f aca="false">ROUNDUP(F36/Inputs!$B$9,0)</f>
        <v>0</v>
      </c>
      <c r="I36" s="0" t="s">
        <v>384</v>
      </c>
    </row>
    <row r="37" customFormat="false" ht="15" hidden="false" customHeight="false" outlineLevel="0" collapsed="false">
      <c r="A37" s="0" t="s">
        <v>385</v>
      </c>
      <c r="B37" s="0" t="s">
        <v>314</v>
      </c>
      <c r="C37" s="0" t="n">
        <v>0</v>
      </c>
      <c r="D37" s="0" t="n">
        <f aca="false">Inputs!$B$6</f>
        <v>0.06</v>
      </c>
      <c r="E37" s="0" t="n">
        <f aca="false">C37*D37</f>
        <v>0</v>
      </c>
      <c r="F37" s="0" t="n">
        <f aca="false">C37+E37</f>
        <v>0</v>
      </c>
      <c r="G37" s="0" t="s">
        <v>362</v>
      </c>
      <c r="H37" s="0" t="n">
        <f aca="false">ROUNDUP(F37/Inputs!$B$18,0)</f>
        <v>0</v>
      </c>
      <c r="I37" s="0" t="s">
        <v>386</v>
      </c>
    </row>
    <row r="38" customFormat="false" ht="15" hidden="false" customHeight="false" outlineLevel="0" collapsed="false">
      <c r="A38" s="0" t="s">
        <v>387</v>
      </c>
      <c r="B38" s="0" t="s">
        <v>372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377</v>
      </c>
      <c r="H38" s="0" t="n">
        <f aca="false">ROUNDUP(F38,0)</f>
        <v>0</v>
      </c>
      <c r="I38" s="0" t="s">
        <v>388</v>
      </c>
    </row>
    <row r="39" customFormat="false" ht="15" hidden="false" customHeight="false" outlineLevel="0" collapsed="false">
      <c r="A39" s="0" t="s">
        <v>389</v>
      </c>
      <c r="B39" s="0" t="s">
        <v>372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377</v>
      </c>
      <c r="H39" s="0" t="n">
        <f aca="false">ROUNDUP(F39,0)</f>
        <v>0</v>
      </c>
      <c r="I39" s="0" t="s">
        <v>390</v>
      </c>
    </row>
    <row r="40" customFormat="false" ht="15" hidden="false" customHeight="false" outlineLevel="0" collapsed="false">
      <c r="A40" s="0" t="s">
        <v>391</v>
      </c>
      <c r="B40" s="0" t="s">
        <v>372</v>
      </c>
      <c r="C40" s="0" t="n">
        <v>20029.07</v>
      </c>
      <c r="D40" s="0" t="n">
        <v>0</v>
      </c>
      <c r="E40" s="0" t="n">
        <f aca="false">C40*D40</f>
        <v>0</v>
      </c>
      <c r="F40" s="0" t="n">
        <f aca="false">C40+E40</f>
        <v>20029.07</v>
      </c>
      <c r="G40" s="0" t="s">
        <v>377</v>
      </c>
      <c r="H40" s="0" t="n">
        <f aca="false">ROUNDUP(F40,0)</f>
        <v>20030</v>
      </c>
      <c r="I40" s="0" t="s">
        <v>392</v>
      </c>
      <c r="J40" s="0" t="n">
        <f aca="false">Inputs!$B$20*16690.9</f>
        <v>20029.08</v>
      </c>
    </row>
    <row r="41" customFormat="false" ht="15" hidden="false" customHeight="false" outlineLevel="0" collapsed="false">
      <c r="A41" s="0" t="s">
        <v>393</v>
      </c>
      <c r="B41" s="0" t="s">
        <v>372</v>
      </c>
      <c r="C41" s="0" t="n">
        <v>3100</v>
      </c>
      <c r="D41" s="0" t="n">
        <v>0</v>
      </c>
      <c r="E41" s="0" t="n">
        <f aca="false">C41*D41</f>
        <v>0</v>
      </c>
      <c r="F41" s="0" t="n">
        <f aca="false">C41+E41</f>
        <v>3100</v>
      </c>
      <c r="G41" s="0" t="s">
        <v>377</v>
      </c>
      <c r="H41" s="0" t="n">
        <f aca="false">ROUNDUP(F41,0)</f>
        <v>3100</v>
      </c>
      <c r="I41" s="0" t="s">
        <v>394</v>
      </c>
      <c r="J41" s="0" t="n">
        <f aca="false">Inputs!$B$21*775</f>
        <v>3100</v>
      </c>
    </row>
    <row r="42" customFormat="false" ht="15" hidden="false" customHeight="false" outlineLevel="0" collapsed="false">
      <c r="A42" s="0" t="s">
        <v>395</v>
      </c>
      <c r="B42" s="0" t="s">
        <v>372</v>
      </c>
      <c r="C42" s="0" t="n">
        <v>640.61</v>
      </c>
      <c r="D42" s="0" t="n">
        <v>0</v>
      </c>
      <c r="E42" s="0" t="n">
        <f aca="false">C42*D42</f>
        <v>0</v>
      </c>
      <c r="F42" s="0" t="n">
        <f aca="false">C42+E42</f>
        <v>640.61</v>
      </c>
      <c r="G42" s="0" t="s">
        <v>377</v>
      </c>
      <c r="H42" s="0" t="n">
        <f aca="false">ROUNDUP(F42,0)</f>
        <v>641</v>
      </c>
      <c r="I42" s="0" t="s">
        <v>396</v>
      </c>
      <c r="J42" s="0" t="n">
        <f aca="false">640.61/Inputs!$B$22</f>
        <v>640.61</v>
      </c>
    </row>
    <row r="43" customFormat="false" ht="15" hidden="false" customHeight="false" outlineLevel="0" collapsed="false">
      <c r="A43" s="0" t="s">
        <v>397</v>
      </c>
      <c r="B43" s="0" t="s">
        <v>372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377</v>
      </c>
      <c r="H43" s="0" t="n">
        <f aca="false">ROUNDUP(F43,0)</f>
        <v>0</v>
      </c>
      <c r="I43" s="0" t="s">
        <v>398</v>
      </c>
      <c r="J43" s="0" t="n">
        <f aca="false">0*Inputs!$B$25</f>
        <v>0</v>
      </c>
    </row>
    <row r="44" customFormat="false" ht="15" hidden="false" customHeight="false" outlineLevel="0" collapsed="false">
      <c r="A44" s="0" t="s">
        <v>399</v>
      </c>
      <c r="B44" s="0" t="s">
        <v>400</v>
      </c>
      <c r="C44" s="0" t="n">
        <v>1201.74</v>
      </c>
      <c r="D44" s="0" t="n">
        <v>0</v>
      </c>
      <c r="E44" s="0" t="n">
        <f aca="false">C44*D44</f>
        <v>0</v>
      </c>
      <c r="F44" s="0" t="n">
        <f aca="false">C44+E44</f>
        <v>1201.74</v>
      </c>
      <c r="G44" s="0" t="s">
        <v>401</v>
      </c>
      <c r="H44" s="0" t="n">
        <f aca="false">ROUNDUP(F44,0)</f>
        <v>1202</v>
      </c>
      <c r="I44" s="0" t="s">
        <v>402</v>
      </c>
      <c r="J44" s="0" t="n">
        <f aca="false">Inputs!$B$23*16690.9</f>
        <v>1201.7448</v>
      </c>
    </row>
    <row r="45" customFormat="false" ht="15" hidden="false" customHeight="false" outlineLevel="0" collapsed="false">
      <c r="A45" s="0" t="s">
        <v>403</v>
      </c>
      <c r="B45" s="0" t="s">
        <v>314</v>
      </c>
      <c r="C45" s="0" t="n">
        <v>6175.63</v>
      </c>
      <c r="D45" s="0" t="n">
        <v>0</v>
      </c>
      <c r="E45" s="0" t="n">
        <f aca="false">C45*D45</f>
        <v>0</v>
      </c>
      <c r="F45" s="0" t="n">
        <f aca="false">C45+E45</f>
        <v>6175.63</v>
      </c>
      <c r="G45" s="0" t="s">
        <v>314</v>
      </c>
      <c r="H45" s="0" t="n">
        <f aca="false">ROUNDUP(F45,0)</f>
        <v>6176</v>
      </c>
      <c r="I45" s="0" t="s">
        <v>404</v>
      </c>
      <c r="J45" s="0" t="n">
        <f aca="false">Inputs!$B$24*16690.9</f>
        <v>6175.633</v>
      </c>
    </row>
    <row r="46" customFormat="false" ht="15" hidden="false" customHeight="false" outlineLevel="0" collapsed="false">
      <c r="A46" s="0" t="s">
        <v>405</v>
      </c>
      <c r="B46" s="0" t="s">
        <v>346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346</v>
      </c>
      <c r="H46" s="0" t="n">
        <f aca="false">ROUNDUP(F46,0)</f>
        <v>0</v>
      </c>
      <c r="I46" s="0" t="s">
        <v>406</v>
      </c>
    </row>
    <row r="47" customFormat="false" ht="15" hidden="false" customHeight="false" outlineLevel="0" collapsed="false">
      <c r="A47" s="0" t="s">
        <v>407</v>
      </c>
      <c r="B47" s="0" t="s">
        <v>372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377</v>
      </c>
      <c r="H47" s="0" t="n">
        <f aca="false">ROUNDUP(F47,0)</f>
        <v>0</v>
      </c>
      <c r="I47" s="0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409</v>
      </c>
      <c r="B1" s="2" t="s">
        <v>410</v>
      </c>
      <c r="C1" s="2" t="s">
        <v>411</v>
      </c>
    </row>
    <row r="2" customFormat="false" ht="15" hidden="false" customHeight="false" outlineLevel="0" collapsed="false">
      <c r="A2" s="0" t="s">
        <v>412</v>
      </c>
      <c r="B2" s="0" t="s">
        <v>413</v>
      </c>
      <c r="C2" s="0" t="s">
        <v>414</v>
      </c>
    </row>
    <row r="3" customFormat="false" ht="15" hidden="false" customHeight="false" outlineLevel="0" collapsed="false">
      <c r="A3" s="0" t="s">
        <v>415</v>
      </c>
      <c r="B3" s="0" t="s">
        <v>416</v>
      </c>
      <c r="C3" s="0" t="s">
        <v>417</v>
      </c>
    </row>
    <row r="4" customFormat="false" ht="15" hidden="false" customHeight="false" outlineLevel="0" collapsed="false">
      <c r="A4" s="0" t="s">
        <v>418</v>
      </c>
      <c r="B4" s="0" t="s">
        <v>419</v>
      </c>
      <c r="C4" s="0" t="s">
        <v>420</v>
      </c>
    </row>
    <row r="5" customFormat="false" ht="15" hidden="false" customHeight="false" outlineLevel="0" collapsed="false">
      <c r="A5" s="0" t="s">
        <v>421</v>
      </c>
      <c r="B5" s="0" t="s">
        <v>422</v>
      </c>
      <c r="C5" s="0" t="s">
        <v>423</v>
      </c>
    </row>
    <row r="6" customFormat="false" ht="15" hidden="false" customHeight="false" outlineLevel="0" collapsed="false">
      <c r="A6" s="0" t="s">
        <v>424</v>
      </c>
      <c r="B6" s="0" t="s">
        <v>425</v>
      </c>
      <c r="C6" s="0" t="s">
        <v>426</v>
      </c>
    </row>
    <row r="7" customFormat="false" ht="15" hidden="false" customHeight="false" outlineLevel="0" collapsed="false">
      <c r="A7" s="0" t="s">
        <v>427</v>
      </c>
      <c r="B7" s="0" t="s">
        <v>428</v>
      </c>
      <c r="C7" s="0" t="s">
        <v>429</v>
      </c>
    </row>
    <row r="8" customFormat="false" ht="15" hidden="false" customHeight="false" outlineLevel="0" collapsed="false">
      <c r="A8" s="0" t="s">
        <v>430</v>
      </c>
      <c r="B8" s="0" t="s">
        <v>431</v>
      </c>
      <c r="C8" s="0" t="s">
        <v>432</v>
      </c>
    </row>
    <row r="9" customFormat="false" ht="15" hidden="false" customHeight="false" outlineLevel="0" collapsed="false">
      <c r="A9" s="0" t="s">
        <v>433</v>
      </c>
      <c r="B9" s="0" t="s">
        <v>434</v>
      </c>
      <c r="C9" s="0" t="s">
        <v>435</v>
      </c>
    </row>
    <row r="10" customFormat="false" ht="15" hidden="false" customHeight="false" outlineLevel="0" collapsed="false">
      <c r="A10" s="0" t="s">
        <v>436</v>
      </c>
      <c r="B10" s="0" t="s">
        <v>437</v>
      </c>
      <c r="C10" s="0" t="s">
        <v>423</v>
      </c>
    </row>
    <row r="11" customFormat="false" ht="15" hidden="false" customHeight="false" outlineLevel="0" collapsed="false">
      <c r="A11" s="0" t="s">
        <v>438</v>
      </c>
      <c r="B11" s="0" t="s">
        <v>439</v>
      </c>
      <c r="C11" s="0" t="s">
        <v>440</v>
      </c>
    </row>
    <row r="12" customFormat="false" ht="15" hidden="false" customHeight="false" outlineLevel="0" collapsed="false">
      <c r="A12" s="0" t="s">
        <v>441</v>
      </c>
      <c r="B12" s="0" t="s">
        <v>442</v>
      </c>
      <c r="C12" s="0" t="s">
        <v>443</v>
      </c>
    </row>
    <row r="13" customFormat="false" ht="15" hidden="false" customHeight="false" outlineLevel="0" collapsed="false">
      <c r="A13" s="0" t="s">
        <v>444</v>
      </c>
      <c r="B13" s="0" t="s">
        <v>445</v>
      </c>
      <c r="C13" s="0" t="s">
        <v>423</v>
      </c>
    </row>
    <row r="14" customFormat="false" ht="15" hidden="false" customHeight="false" outlineLevel="0" collapsed="false">
      <c r="A14" s="0" t="s">
        <v>446</v>
      </c>
      <c r="B14" s="0" t="s">
        <v>447</v>
      </c>
      <c r="C14" s="0" t="s">
        <v>448</v>
      </c>
    </row>
    <row r="15" customFormat="false" ht="15" hidden="false" customHeight="false" outlineLevel="0" collapsed="false">
      <c r="A15" s="0" t="s">
        <v>449</v>
      </c>
      <c r="B15" s="0" t="s">
        <v>450</v>
      </c>
      <c r="C15" s="0" t="s">
        <v>451</v>
      </c>
    </row>
    <row r="16" customFormat="false" ht="15" hidden="false" customHeight="false" outlineLevel="0" collapsed="false">
      <c r="A16" s="0" t="s">
        <v>452</v>
      </c>
      <c r="B16" s="0" t="s">
        <v>453</v>
      </c>
      <c r="C16" s="0" t="s">
        <v>454</v>
      </c>
    </row>
    <row r="17" customFormat="false" ht="15" hidden="false" customHeight="false" outlineLevel="0" collapsed="false">
      <c r="A17" s="0" t="s">
        <v>455</v>
      </c>
      <c r="B17" s="0" t="s">
        <v>456</v>
      </c>
      <c r="C17" s="0" t="s">
        <v>457</v>
      </c>
    </row>
    <row r="18" customFormat="false" ht="15" hidden="false" customHeight="false" outlineLevel="0" collapsed="false">
      <c r="A18" s="0" t="s">
        <v>458</v>
      </c>
      <c r="B18" s="0" t="s">
        <v>459</v>
      </c>
      <c r="C18" s="0" t="s">
        <v>460</v>
      </c>
    </row>
    <row r="19" customFormat="false" ht="15" hidden="false" customHeight="false" outlineLevel="0" collapsed="false">
      <c r="A19" s="0" t="s">
        <v>461</v>
      </c>
      <c r="B19" s="0" t="s">
        <v>462</v>
      </c>
      <c r="C19" s="0" t="s">
        <v>463</v>
      </c>
    </row>
    <row r="20" customFormat="false" ht="15" hidden="false" customHeight="false" outlineLevel="0" collapsed="false">
      <c r="A20" s="0" t="s">
        <v>464</v>
      </c>
      <c r="B20" s="0" t="s">
        <v>465</v>
      </c>
      <c r="C20" s="0" t="s">
        <v>466</v>
      </c>
    </row>
    <row r="21" customFormat="false" ht="15" hidden="false" customHeight="false" outlineLevel="0" collapsed="false">
      <c r="A21" s="0" t="s">
        <v>467</v>
      </c>
      <c r="B21" s="0" t="s">
        <v>468</v>
      </c>
      <c r="C21" s="0" t="s">
        <v>469</v>
      </c>
    </row>
    <row r="22" customFormat="false" ht="15" hidden="false" customHeight="false" outlineLevel="0" collapsed="false">
      <c r="A22" s="0" t="s">
        <v>470</v>
      </c>
      <c r="B22" s="0" t="s">
        <v>471</v>
      </c>
      <c r="C22" s="0" t="s">
        <v>423</v>
      </c>
    </row>
    <row r="23" customFormat="false" ht="15" hidden="false" customHeight="false" outlineLevel="0" collapsed="false">
      <c r="A23" s="0" t="s">
        <v>472</v>
      </c>
      <c r="B23" s="0" t="s">
        <v>473</v>
      </c>
      <c r="C23" s="0" t="s">
        <v>474</v>
      </c>
    </row>
    <row r="24" customFormat="false" ht="15" hidden="false" customHeight="false" outlineLevel="0" collapsed="false">
      <c r="A24" s="0" t="s">
        <v>475</v>
      </c>
      <c r="B24" s="0" t="s">
        <v>476</v>
      </c>
      <c r="C24" s="0" t="s">
        <v>477</v>
      </c>
    </row>
    <row r="25" customFormat="false" ht="15" hidden="false" customHeight="false" outlineLevel="0" collapsed="false">
      <c r="A25" s="0" t="s">
        <v>478</v>
      </c>
      <c r="B25" s="0" t="s">
        <v>479</v>
      </c>
      <c r="C25" s="0" t="s">
        <v>480</v>
      </c>
    </row>
    <row r="26" customFormat="false" ht="15" hidden="false" customHeight="false" outlineLevel="0" collapsed="false">
      <c r="A26" s="0" t="s">
        <v>481</v>
      </c>
      <c r="B26" s="0" t="s">
        <v>482</v>
      </c>
      <c r="C26" s="0" t="s">
        <v>483</v>
      </c>
    </row>
    <row r="27" customFormat="false" ht="15" hidden="false" customHeight="false" outlineLevel="0" collapsed="false">
      <c r="A27" s="0" t="s">
        <v>484</v>
      </c>
      <c r="B27" s="0" t="s">
        <v>485</v>
      </c>
      <c r="C27" s="0" t="s">
        <v>486</v>
      </c>
    </row>
    <row r="28" customFormat="false" ht="15" hidden="false" customHeight="false" outlineLevel="0" collapsed="false">
      <c r="A28" s="0" t="s">
        <v>487</v>
      </c>
      <c r="B28" s="0" t="s">
        <v>488</v>
      </c>
      <c r="C28" s="0" t="s">
        <v>489</v>
      </c>
    </row>
    <row r="29" customFormat="false" ht="15" hidden="false" customHeight="false" outlineLevel="0" collapsed="false">
      <c r="A29" s="0" t="s">
        <v>490</v>
      </c>
      <c r="B29" s="0" t="s">
        <v>491</v>
      </c>
      <c r="C29" s="0" t="s">
        <v>423</v>
      </c>
    </row>
    <row r="30" customFormat="false" ht="15" hidden="false" customHeight="false" outlineLevel="0" collapsed="false">
      <c r="A30" s="0" t="s">
        <v>492</v>
      </c>
      <c r="B30" s="0" t="s">
        <v>493</v>
      </c>
      <c r="C30" s="0" t="s">
        <v>494</v>
      </c>
    </row>
    <row r="31" customFormat="false" ht="15" hidden="false" customHeight="false" outlineLevel="0" collapsed="false">
      <c r="A31" s="0" t="s">
        <v>495</v>
      </c>
      <c r="B31" s="0" t="s">
        <v>496</v>
      </c>
      <c r="C31" s="0" t="s">
        <v>497</v>
      </c>
    </row>
    <row r="32" customFormat="false" ht="15" hidden="false" customHeight="false" outlineLevel="0" collapsed="false">
      <c r="A32" s="0" t="s">
        <v>498</v>
      </c>
      <c r="B32" s="0" t="s">
        <v>499</v>
      </c>
      <c r="C32" s="0" t="s">
        <v>500</v>
      </c>
    </row>
    <row r="33" customFormat="false" ht="15" hidden="false" customHeight="false" outlineLevel="0" collapsed="false">
      <c r="A33" s="0" t="s">
        <v>501</v>
      </c>
      <c r="B33" s="0" t="s">
        <v>502</v>
      </c>
      <c r="C33" s="0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504</v>
      </c>
    </row>
    <row r="2" customFormat="false" ht="15" hidden="false" customHeight="false" outlineLevel="0" collapsed="false">
      <c r="A2" s="0" t="s">
        <v>505</v>
      </c>
      <c r="B2" s="0" t="s">
        <v>506</v>
      </c>
      <c r="C2" s="0" t="s">
        <v>507</v>
      </c>
      <c r="D2" s="0" t="s">
        <v>508</v>
      </c>
      <c r="E2" s="0" t="s">
        <v>509</v>
      </c>
      <c r="F2" s="0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511</v>
      </c>
      <c r="B1" s="0" t="s">
        <v>512</v>
      </c>
      <c r="C1" s="0" t="s">
        <v>59</v>
      </c>
      <c r="D1" s="0" t="s">
        <v>513</v>
      </c>
    </row>
    <row r="2" customFormat="false" ht="15" hidden="false" customHeight="false" outlineLevel="0" collapsed="false">
      <c r="A2" s="0" t="s">
        <v>514</v>
      </c>
      <c r="B2" s="0" t="s">
        <v>515</v>
      </c>
      <c r="C2" s="0" t="s">
        <v>516</v>
      </c>
      <c r="D2" s="0" t="s">
        <v>517</v>
      </c>
    </row>
    <row r="3" customFormat="false" ht="15" hidden="false" customHeight="false" outlineLevel="0" collapsed="false">
      <c r="A3" s="0" t="s">
        <v>518</v>
      </c>
      <c r="B3" s="0" t="s">
        <v>519</v>
      </c>
      <c r="C3" s="0" t="s">
        <v>520</v>
      </c>
      <c r="D3" s="0" t="s">
        <v>521</v>
      </c>
    </row>
    <row r="4" customFormat="false" ht="15" hidden="false" customHeight="false" outlineLevel="0" collapsed="false">
      <c r="A4" s="0" t="s">
        <v>522</v>
      </c>
      <c r="B4" s="0" t="s">
        <v>523</v>
      </c>
      <c r="C4" s="0" t="s">
        <v>520</v>
      </c>
      <c r="D4" s="0" t="s">
        <v>524</v>
      </c>
    </row>
    <row r="5" customFormat="false" ht="15" hidden="false" customHeight="false" outlineLevel="0" collapsed="false">
      <c r="A5" s="0" t="s">
        <v>525</v>
      </c>
      <c r="B5" s="0" t="s">
        <v>526</v>
      </c>
      <c r="C5" s="0" t="s">
        <v>516</v>
      </c>
      <c r="D5" s="0" t="s">
        <v>527</v>
      </c>
    </row>
    <row r="6" customFormat="false" ht="15" hidden="false" customHeight="false" outlineLevel="0" collapsed="false">
      <c r="A6" s="0" t="s">
        <v>528</v>
      </c>
      <c r="B6" s="0" t="s">
        <v>529</v>
      </c>
      <c r="C6" s="0" t="s">
        <v>409</v>
      </c>
      <c r="D6" s="0" t="s">
        <v>530</v>
      </c>
    </row>
    <row r="7" customFormat="false" ht="15" hidden="false" customHeight="false" outlineLevel="0" collapsed="false">
      <c r="A7" s="0" t="s">
        <v>531</v>
      </c>
      <c r="B7" s="0" t="s">
        <v>532</v>
      </c>
      <c r="C7" s="0" t="s">
        <v>516</v>
      </c>
      <c r="D7" s="0" t="s">
        <v>533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516</v>
      </c>
      <c r="D8" s="0" t="s">
        <v>536</v>
      </c>
    </row>
    <row r="9" customFormat="false" ht="15" hidden="false" customHeight="false" outlineLevel="0" collapsed="false">
      <c r="A9" s="0" t="s">
        <v>537</v>
      </c>
      <c r="B9" s="0" t="s">
        <v>538</v>
      </c>
      <c r="C9" s="0" t="s">
        <v>516</v>
      </c>
      <c r="D9" s="0" t="s">
        <v>539</v>
      </c>
    </row>
    <row r="10" customFormat="false" ht="15" hidden="false" customHeight="false" outlineLevel="0" collapsed="false">
      <c r="A10" s="0" t="s">
        <v>540</v>
      </c>
      <c r="B10" s="0" t="s">
        <v>541</v>
      </c>
      <c r="C10" s="0" t="s">
        <v>520</v>
      </c>
      <c r="D10" s="0" t="s">
        <v>542</v>
      </c>
    </row>
    <row r="11" customFormat="false" ht="15" hidden="false" customHeight="false" outlineLevel="0" collapsed="false">
      <c r="A11" s="0" t="s">
        <v>543</v>
      </c>
      <c r="B11" s="0" t="s">
        <v>544</v>
      </c>
      <c r="C11" s="0" t="s">
        <v>516</v>
      </c>
      <c r="D11" s="0" t="s">
        <v>545</v>
      </c>
    </row>
    <row r="12" customFormat="false" ht="15" hidden="false" customHeight="false" outlineLevel="0" collapsed="false">
      <c r="A12" s="0" t="s">
        <v>546</v>
      </c>
      <c r="B12" s="0" t="s">
        <v>547</v>
      </c>
      <c r="C12" s="0" t="s">
        <v>516</v>
      </c>
      <c r="D12" s="0" t="s">
        <v>548</v>
      </c>
    </row>
    <row r="13" customFormat="false" ht="15" hidden="false" customHeight="false" outlineLevel="0" collapsed="false">
      <c r="A13" s="0" t="s">
        <v>549</v>
      </c>
      <c r="B13" s="0" t="s">
        <v>550</v>
      </c>
      <c r="C13" s="0" t="s">
        <v>516</v>
      </c>
      <c r="D13" s="0" t="s">
        <v>551</v>
      </c>
    </row>
    <row r="14" customFormat="false" ht="15" hidden="false" customHeight="false" outlineLevel="0" collapsed="false">
      <c r="A14" s="0" t="s">
        <v>552</v>
      </c>
      <c r="B14" s="0" t="s">
        <v>553</v>
      </c>
      <c r="C14" s="0" t="s">
        <v>516</v>
      </c>
      <c r="D14" s="0" t="s">
        <v>554</v>
      </c>
    </row>
    <row r="15" customFormat="false" ht="15" hidden="false" customHeight="false" outlineLevel="0" collapsed="false">
      <c r="A15" s="0" t="s">
        <v>555</v>
      </c>
      <c r="B15" s="0" t="s">
        <v>556</v>
      </c>
      <c r="C15" s="0" t="s">
        <v>520</v>
      </c>
      <c r="D15" s="0" t="s">
        <v>557</v>
      </c>
    </row>
    <row r="16" customFormat="false" ht="15" hidden="false" customHeight="false" outlineLevel="0" collapsed="false">
      <c r="A16" s="0" t="s">
        <v>558</v>
      </c>
      <c r="B16" s="0" t="s">
        <v>559</v>
      </c>
      <c r="C16" s="0" t="s">
        <v>516</v>
      </c>
      <c r="D16" s="0" t="s">
        <v>560</v>
      </c>
    </row>
    <row r="17" customFormat="false" ht="15" hidden="false" customHeight="false" outlineLevel="0" collapsed="false">
      <c r="A17" s="0" t="s">
        <v>561</v>
      </c>
      <c r="B17" s="0" t="s">
        <v>562</v>
      </c>
      <c r="C17" s="0" t="s">
        <v>516</v>
      </c>
      <c r="D17" s="0" t="s">
        <v>563</v>
      </c>
    </row>
    <row r="18" customFormat="false" ht="15" hidden="false" customHeight="false" outlineLevel="0" collapsed="false">
      <c r="A18" s="0" t="s">
        <v>564</v>
      </c>
      <c r="B18" s="0" t="s">
        <v>565</v>
      </c>
      <c r="C18" s="0" t="s">
        <v>409</v>
      </c>
      <c r="D18" s="0" t="s">
        <v>566</v>
      </c>
    </row>
    <row r="19" customFormat="false" ht="15" hidden="false" customHeight="false" outlineLevel="0" collapsed="false">
      <c r="A19" s="0" t="s">
        <v>567</v>
      </c>
      <c r="B19" s="0" t="s">
        <v>568</v>
      </c>
      <c r="C19" s="0" t="s">
        <v>516</v>
      </c>
      <c r="D19" s="0" t="s">
        <v>569</v>
      </c>
    </row>
    <row r="20" customFormat="false" ht="15" hidden="false" customHeight="false" outlineLevel="0" collapsed="false">
      <c r="A20" s="0" t="s">
        <v>570</v>
      </c>
      <c r="B20" s="0" t="s">
        <v>571</v>
      </c>
      <c r="C20" s="0" t="s">
        <v>520</v>
      </c>
      <c r="D20" s="0" t="s">
        <v>572</v>
      </c>
    </row>
    <row r="21" customFormat="false" ht="15" hidden="false" customHeight="false" outlineLevel="0" collapsed="false">
      <c r="A21" s="0" t="s">
        <v>573</v>
      </c>
      <c r="B21" s="0" t="s">
        <v>574</v>
      </c>
      <c r="C21" s="0" t="s">
        <v>516</v>
      </c>
      <c r="D21" s="0" t="s">
        <v>575</v>
      </c>
    </row>
    <row r="22" customFormat="false" ht="15" hidden="false" customHeight="false" outlineLevel="0" collapsed="false">
      <c r="A22" s="0" t="s">
        <v>576</v>
      </c>
      <c r="B22" s="0" t="s">
        <v>577</v>
      </c>
      <c r="C22" s="0" t="s">
        <v>520</v>
      </c>
      <c r="D22" s="0" t="s">
        <v>578</v>
      </c>
    </row>
    <row r="23" customFormat="false" ht="15" hidden="false" customHeight="false" outlineLevel="0" collapsed="false">
      <c r="A23" s="0" t="s">
        <v>579</v>
      </c>
      <c r="B23" s="0" t="s">
        <v>580</v>
      </c>
      <c r="C23" s="0" t="s">
        <v>520</v>
      </c>
      <c r="D23" s="0" t="s">
        <v>581</v>
      </c>
    </row>
    <row r="24" customFormat="false" ht="15" hidden="false" customHeight="false" outlineLevel="0" collapsed="false">
      <c r="A24" s="0" t="s">
        <v>582</v>
      </c>
      <c r="B24" s="0" t="s">
        <v>583</v>
      </c>
      <c r="C24" s="0" t="s">
        <v>520</v>
      </c>
      <c r="D24" s="0" t="s">
        <v>584</v>
      </c>
    </row>
    <row r="25" customFormat="false" ht="15" hidden="false" customHeight="false" outlineLevel="0" collapsed="false">
      <c r="A25" s="0" t="s">
        <v>585</v>
      </c>
      <c r="B25" s="0" t="s">
        <v>586</v>
      </c>
      <c r="C25" s="0" t="s">
        <v>520</v>
      </c>
      <c r="D25" s="0" t="s">
        <v>587</v>
      </c>
    </row>
    <row r="26" customFormat="false" ht="15" hidden="false" customHeight="false" outlineLevel="0" collapsed="false">
      <c r="A26" s="0" t="s">
        <v>588</v>
      </c>
      <c r="B26" s="0" t="s">
        <v>589</v>
      </c>
      <c r="C26" s="0" t="s">
        <v>520</v>
      </c>
      <c r="D26" s="0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591</v>
      </c>
    </row>
    <row r="2" customFormat="false" ht="15" hidden="false" customHeight="false" outlineLevel="0" collapsed="false">
      <c r="A2" s="0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2026-10-27T00:16:23Z</dcterms:created>
  <dc:creator>openpyxl</dc:creator>
  <dc:description/>
  <dc:language>en-US</dc:language>
  <cp:lastModifiedBy/>
  <dcterms:modified xsi:type="dcterms:W3CDTF">2026-10-27T00:16:23Z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