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 Matrix" sheetId="1" state="visible" r:id="rId1"/>
    <sheet xmlns:r="http://schemas.openxmlformats.org/officeDocument/2006/relationships" name="Summary" sheetId="2" state="visible" r:id="rId2"/>
    <sheet xmlns:r="http://schemas.openxmlformats.org/officeDocument/2006/relationships" name="CORREGIR" sheetId="3" state="visible" r:id="rId3"/>
    <sheet xmlns:r="http://schemas.openxmlformats.org/officeDocument/2006/relationships" name="Error Library" sheetId="4" state="visible" r:id="rId4"/>
    <sheet xmlns:r="http://schemas.openxmlformats.org/officeDocument/2006/relationships" name="Proportions" sheetId="5" state="visible" r:id="rId5"/>
    <sheet xmlns:r="http://schemas.openxmlformats.org/officeDocument/2006/relationships" name="Bluebeam vs Excel" sheetId="6" state="visible" r:id="rId6"/>
  </sheets>
  <definedNames>
    <definedName name="_xlnm._FilterDatabase" localSheetId="0" hidden="1">'Coverage Matrix'!$A$1:$K$472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D7F0D7"/>
      </patternFill>
    </fill>
    <fill>
      <patternFill patternType="solid">
        <fgColor rgb="00E6E6E6"/>
      </patternFill>
    </fill>
    <fill>
      <patternFill patternType="solid">
        <fgColor rgb="00D9E7FB"/>
      </patternFill>
    </fill>
    <fill>
      <patternFill patternType="solid">
        <fgColor rgb="00FCE4A8"/>
      </patternFill>
    </fill>
    <fill>
      <patternFill patternType="solid">
        <fgColor rgb="00F4B6B6"/>
      </patternFill>
    </fill>
    <fill>
      <patternFill patternType="solid">
        <fgColor rgb="00305496"/>
      </patternFill>
    </fill>
  </fills>
  <borders count="1">
    <border>
      <left/>
      <right/>
      <top/>
      <bottom/>
      <diagonal/>
    </border>
  </borders>
  <cellStyleXfs count="1">
    <xf numFmtId="0" fontId="0" fillId="0" borderId="0"/>
  </cellStyleXfs>
  <cellXfs count="9">
    <xf numFmtId="0" fontId="0" fillId="0" borderId="0" pivotButton="0" quotePrefix="0" xfId="0"/>
    <xf numFmtId="0" fontId="1" fillId="7"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2"/>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6" customWidth="1" min="3" max="3"/>
    <col width="60" customWidth="1" min="4" max="4"/>
    <col width="22" customWidth="1" min="5" max="5"/>
    <col width="45" customWidth="1" min="6" max="6"/>
    <col width="11" customWidth="1" min="7" max="7"/>
    <col width="22" customWidth="1" min="8" max="8"/>
    <col width="70" customWidth="1" min="9" max="9"/>
    <col width="34" customWidth="1" min="10" max="10"/>
    <col width="6" customWidth="1" min="11" max="11"/>
  </cols>
  <sheetData>
    <row r="1">
      <c r="A1" s="1" t="inlineStr">
        <is>
          <t>#</t>
        </is>
      </c>
      <c r="B1" s="1" t="inlineStr">
        <is>
          <t>Sheet</t>
        </is>
      </c>
      <c r="C1" s="1" t="inlineStr">
        <is>
          <t>Item type</t>
        </is>
      </c>
      <c r="D1" s="1" t="inlineStr">
        <is>
          <t>Text</t>
        </is>
      </c>
      <c r="E1" s="1" t="inlineStr">
        <is>
          <t>Destination</t>
        </is>
      </c>
      <c r="F1" s="1" t="inlineStr">
        <is>
          <t>Excel row / Exclusion reason / RFI</t>
        </is>
      </c>
      <c r="G1" s="1" t="inlineStr">
        <is>
          <t>Status</t>
        </is>
      </c>
      <c r="H1" s="1" t="inlineStr">
        <is>
          <t>Ref</t>
        </is>
      </c>
      <c r="I1" s="1" t="inlineStr">
        <is>
          <t>Reason / correct value / proposed destination</t>
        </is>
      </c>
      <c r="J1" s="1" t="inlineStr">
        <is>
          <t>Evidence (img/)</t>
        </is>
      </c>
      <c r="K1" s="1" t="inlineStr">
        <is>
          <t>Page</t>
        </is>
      </c>
    </row>
    <row r="2">
      <c r="A2" s="2" t="n">
        <v>1</v>
      </c>
      <c r="B2" s="2" t="inlineStr">
        <is>
          <t>A-000</t>
        </is>
      </c>
      <c r="C2" s="2" t="inlineStr">
        <is>
          <t>General note</t>
        </is>
      </c>
      <c r="D2" s="2" t="inlineStr">
        <is>
          <t>Cover sheet: BARNES &amp; NOBLE, 3173 CINEMA POINT, COLORADO SPRINGS, CO 80922; DRAWING INDEX with revision columns (rev 1 / rev 2 clouds).</t>
        </is>
      </c>
      <c r="E2" s="2" t="inlineStr">
        <is>
          <t>Excel row</t>
        </is>
      </c>
      <c r="F2" s="2" t="inlineStr">
        <is>
          <t>n/a - Sheet reviewed - no Div 05/09 content</t>
        </is>
      </c>
      <c r="G2" s="3" t="inlineStr">
        <is>
          <t>COVERED</t>
        </is>
      </c>
      <c r="H2" s="2" t="inlineStr">
        <is>
          <t>Sheet reviewed</t>
        </is>
      </c>
      <c r="I2" s="2" t="inlineStr">
        <is>
          <t>Cover sheet and drawing index only (sheet titles + revision marks). No framing / drywall content. Index lists A-410, A-121, A-221 etc. used by the Excel sources.</t>
        </is>
      </c>
      <c r="J2" s="2" t="inlineStr"/>
      <c r="K2" s="2" t="n">
        <v>1</v>
      </c>
    </row>
    <row r="3">
      <c r="A3" s="2" t="n">
        <v>2</v>
      </c>
      <c r="B3" s="2" t="inlineStr">
        <is>
          <t>A-001A</t>
        </is>
      </c>
      <c r="C3" s="2" t="inlineStr">
        <is>
          <t>Spec line</t>
        </is>
      </c>
      <c r="D3" s="2" t="inlineStr">
        <is>
          <t>LIGHT GAUGE METAL FRAMING: a. ALL STUD FRAMING MEMBERS, RUNNER TRACKS, BRIDGING AND NON-LOAD BEARING STUDS SHALL BE OF TYPE AND SIZE INDICATED ON DRAWINGS. b. PROVIDE ALL FASTENERS, SCREWS, BOLTS, CLIPS, ANCHORS, ANGLES, BRIDGES, BRACKETS, SLEEVES, ETC. AS REQUIRED. c. MATERIALS AND INSTALLATION SHALL BE IN STRICT CONFORMANCE WITH MANUFACTURER'S RECOMMENDATIONS.</t>
        </is>
      </c>
      <c r="E3" s="2" t="inlineStr">
        <is>
          <t>Excel row</t>
        </is>
      </c>
      <c r="F3" s="2" t="inlineStr">
        <is>
          <t>Scope Checklist ALC-01, ALC-04, ALC-06; Material Summary!R4-R14, R41, R42</t>
        </is>
      </c>
      <c r="G3" s="3" t="inlineStr">
        <is>
          <t>COVERED</t>
        </is>
      </c>
      <c r="H3" s="2" t="inlineStr">
        <is>
          <t>Div 05 A.1.a-c</t>
        </is>
      </c>
      <c r="I3" s="2" t="inlineStr">
        <is>
          <t>Studs/track/bridging by type and size per A-410 / A-221 are carried; fasteners as yield rows (framing screws R41, slab pins R42).</t>
        </is>
      </c>
      <c r="J3" s="2" t="inlineStr">
        <is>
          <t>A-001A_div05.png</t>
        </is>
      </c>
      <c r="K3" s="2" t="n">
        <v>2</v>
      </c>
    </row>
    <row r="4">
      <c r="A4" s="2" t="n">
        <v>3</v>
      </c>
      <c r="B4" s="2" t="inlineStr">
        <is>
          <t>A-001A</t>
        </is>
      </c>
      <c r="C4" s="2" t="inlineStr">
        <is>
          <t>Spec line</t>
        </is>
      </c>
      <c r="D4" s="2" t="inlineStr">
        <is>
          <t>STRUCTURAL STEEL, AND/OR HEAVY GAUGE METAL FRAMING: a. ALL STRUCTURAL STEEL/ HEAVY GAUGE METAL FRAMING SHALL BE OF TYPE AND SIZE INDICATED ON DRAWINGS. b. INSTALL FRAMING, CONNECTION PLATES, SCREWS, BOLTS, ETC. AS SHOWN IN PLANS AND DETAILS.</t>
        </is>
      </c>
      <c r="E4" s="2" t="inlineStr">
        <is>
          <t>EXCLUDED</t>
        </is>
      </c>
      <c r="F4" s="2" t="inlineStr">
        <is>
          <t>Scope Checklist ALC-02 (perimeter existing, RFI-01)</t>
        </is>
      </c>
      <c r="G4" s="4" t="inlineStr">
        <is>
          <t>EXCLUDED</t>
        </is>
      </c>
      <c r="H4" s="2" t="inlineStr">
        <is>
          <t>Div 05 A.2.a-c</t>
        </is>
      </c>
      <c r="I4" s="2" t="inlineStr">
        <is>
          <t>Structural steel is EXISTING per A-002 Div 05 'STRUCTURAL STEEL' (Existing column X). Heavy gauge members that are drawn (vestibule 8" joists / box beam, 4/A-210, 6/A-210) are already carried in Material Summary!R10, R21.</t>
        </is>
      </c>
      <c r="J4" s="2" t="inlineStr">
        <is>
          <t>A-001A_div05.png</t>
        </is>
      </c>
      <c r="K4" s="2" t="n">
        <v>2</v>
      </c>
    </row>
    <row r="5">
      <c r="A5" s="2" t="n">
        <v>4</v>
      </c>
      <c r="B5" s="2" t="inlineStr">
        <is>
          <t>A-001A</t>
        </is>
      </c>
      <c r="C5" s="2" t="inlineStr">
        <is>
          <t>Spec line</t>
        </is>
      </c>
      <c r="D5" s="2" t="inlineStr">
        <is>
          <t>GALVANIZED INSULATION: a. INSTALL GALVANIC INSULATION BETWEEN DISSIMILAR METALS.</t>
        </is>
      </c>
      <c r="E5" s="2" t="inlineStr">
        <is>
          <t>EXCLUDED</t>
        </is>
      </c>
      <c r="F5" s="2" t="inlineStr">
        <is>
          <t>n/a</t>
        </is>
      </c>
      <c r="G5" s="4" t="inlineStr">
        <is>
          <t>EXCLUDED</t>
        </is>
      </c>
      <c r="H5" s="2" t="inlineStr">
        <is>
          <t>Div 05 A.3.a</t>
        </is>
      </c>
      <c r="I5" s="2" t="inlineStr">
        <is>
          <t>No dissimilar-metal contact detailed in the framing scope (all galvanized steel studs/track); generic spec line, no quantity.</t>
        </is>
      </c>
      <c r="J5" s="2" t="inlineStr">
        <is>
          <t>A-001A_div05.png</t>
        </is>
      </c>
      <c r="K5" s="2" t="n">
        <v>2</v>
      </c>
    </row>
    <row r="6">
      <c r="A6" s="2" t="n">
        <v>5</v>
      </c>
      <c r="B6" s="2" t="inlineStr">
        <is>
          <t>A-001A</t>
        </is>
      </c>
      <c r="C6" s="2" t="inlineStr">
        <is>
          <t>Spec line</t>
        </is>
      </c>
      <c r="D6" s="2" t="inlineStr">
        <is>
          <t>PROTECTIVE CORNER GUARDS 1. INSTALL METAL CORNER GUARDS (2"X2"X72") AT ALL OUTSIDE CORNERS OR AS SPECIFIED IN THE PLANS. SPACKLE AND SAND SMOOTH.</t>
        </is>
      </c>
      <c r="E6" s="2" t="inlineStr">
        <is>
          <t>RFI</t>
        </is>
      </c>
      <c r="F6" s="2" t="inlineStr">
        <is>
          <t>Pending Items RFI-29</t>
        </is>
      </c>
      <c r="G6" s="5" t="inlineStr">
        <is>
          <t>RFI</t>
        </is>
      </c>
      <c r="H6" s="2" t="inlineStr">
        <is>
          <t>Div 05 B.1</t>
        </is>
      </c>
      <c r="I6" s="2" t="inlineStr">
        <is>
          <t>RFI-29 already quotes this line vs A-101 C22 (stainless 48" at stock room corners); extent and installer open.</t>
        </is>
      </c>
      <c r="J6" s="2" t="inlineStr">
        <is>
          <t>A-001A_div05.png</t>
        </is>
      </c>
      <c r="K6" s="2" t="n">
        <v>2</v>
      </c>
    </row>
    <row r="7">
      <c r="A7" s="2" t="n">
        <v>6</v>
      </c>
      <c r="B7" s="2" t="inlineStr">
        <is>
          <t>A-001A</t>
        </is>
      </c>
      <c r="C7" s="2" t="inlineStr">
        <is>
          <t>Spec line</t>
        </is>
      </c>
      <c r="D7" s="2" t="inlineStr">
        <is>
          <t>REVEALS 1. INSTALL METAL REVEALS; SIZE AND LENGTH AS INDICATED ON PLANS. PROVIDE BLOCKING OR BACKING AS REQUIRED TO SECURE IN PLACE. 2. PAINT OR FINISH PER PLANS.</t>
        </is>
      </c>
      <c r="E7" s="2" t="inlineStr">
        <is>
          <t>EXCLUDED</t>
        </is>
      </c>
      <c r="F7" s="2" t="inlineStr">
        <is>
          <t>Scope Checklist ALC-18 (no reveals carried)</t>
        </is>
      </c>
      <c r="G7" s="4" t="inlineStr">
        <is>
          <t>EXCLUDED</t>
        </is>
      </c>
      <c r="H7" s="2" t="inlineStr">
        <is>
          <t>Div 05 C.1-2</t>
        </is>
      </c>
      <c r="I7" s="2" t="inlineStr">
        <is>
          <t>A-002 Div 09 'REVEALS' is marked Not Applicable; no reveal drawn on the plans. Nothing to carry.</t>
        </is>
      </c>
      <c r="J7" s="2" t="inlineStr">
        <is>
          <t>A-001A_div05.png</t>
        </is>
      </c>
      <c r="K7" s="2" t="n">
        <v>2</v>
      </c>
    </row>
    <row r="8">
      <c r="A8" s="2" t="n">
        <v>7</v>
      </c>
      <c r="B8" s="2" t="inlineStr">
        <is>
          <t>A-001A</t>
        </is>
      </c>
      <c r="C8" s="2" t="inlineStr">
        <is>
          <t>Spec line</t>
        </is>
      </c>
      <c r="D8" s="2" t="inlineStr">
        <is>
          <t>D. SUSPENSION SYSTEM 1. PROVIDE AND INSTALL UNISTRUT SPACE FRAME GRID SYSTEM PER MANUFACTURERS SPECIFICATIONS AS REQUIRED FOR LIGHTING, CEILING ACCESSORIES OR MECHANICAL SYSTEMS SUSPENSION. 2. SUPPORT FROM STRUCTURE WITH THREADED RODS AND NUTS AS REQUIRED OR DETAILED. 3. CONTACT UNISTRUT CORPORATION 800-468-9510.</t>
        </is>
      </c>
      <c r="E8" s="2" t="inlineStr">
        <is>
          <t>NO DESTINATION (GAP) - proposed</t>
        </is>
      </c>
      <c r="F8" s="2" t="inlineStr">
        <is>
          <t>none (no Unistrut / strut channel row, exclusion or RFI)</t>
        </is>
      </c>
      <c r="G8" s="6" t="inlineStr">
        <is>
          <t>GAP</t>
        </is>
      </c>
      <c r="H8" s="2" t="inlineStr">
        <is>
          <t>Div 05 D.1-3 (Suspension system)</t>
        </is>
      </c>
      <c r="I8" s="2" t="inlineStr">
        <is>
          <t>Spec calls a Unistrut space frame grid 'as required' for lighting, ceiling accessories or mechanical suspension; A-002 Div 10 'CAFE SIGNAGE - ILLUMINATED' also says 'GC TO PROVIDE POWER, BLOCKING, AND STRUT CHANNEL'. The Excel has no row, exclusion or RFI for strut channel. Proposal: new Pending RFI 'Unistrut / strut channel (A-001A Div 05 D, A-002 Cafe signage) - no location or extent drawn; by electrical/MEP or drywall?' delta = strut LF x locations (PENDING); or Scope Checklist exclusion 'Unistrut suspension for lights/MEP/signage by others'.</t>
        </is>
      </c>
      <c r="J8" s="2" t="inlineStr">
        <is>
          <t>A-001A_div05-D-unistrut.png</t>
        </is>
      </c>
      <c r="K8" s="2" t="n">
        <v>2</v>
      </c>
    </row>
    <row r="9">
      <c r="A9" s="2" t="n">
        <v>8</v>
      </c>
      <c r="B9" s="2" t="inlineStr">
        <is>
          <t>A-001A</t>
        </is>
      </c>
      <c r="C9" s="2" t="inlineStr">
        <is>
          <t>Spec line</t>
        </is>
      </c>
      <c r="D9" s="2" t="inlineStr">
        <is>
          <t>CARPENTRY &amp; BLOCKING: 1. BEFORE USING WOOD FRAMING OR BLOCKING OF ANY TYPE, CONFIRM CODE RESTRICTIONS... b. ...INSTALL BLOCKING, NAILERS, FURRING AND OTHER ROUGH AND FINISHED MATERIALS AS REQUIRED... c. FURNISH AND INSTALL ROUGH AND FINISHED PLYWOOD, FURRING SUPPORTS, ETC... d. ALL EXISTING OR NEW WOOD SHALL BE FIRE RETARDANT AND MUST BE IDENTIFIED WITH A UL LABEL CERTIFYING THIS CLASSIFICATION.</t>
        </is>
      </c>
      <c r="E9" s="2" t="inlineStr">
        <is>
          <t>Excel row</t>
        </is>
      </c>
      <c r="F9" s="2" t="inlineStr">
        <is>
          <t>Material Summary!R18 (FRT blocking), R29 (5/8" FRT plywood), R30 (3/4" FRT plywood); Scope Checklist ALC-10, ALC-16</t>
        </is>
      </c>
      <c r="G9" s="3" t="inlineStr">
        <is>
          <t>COVERED</t>
        </is>
      </c>
      <c r="H9" s="2" t="inlineStr">
        <is>
          <t>Div 06 A.1.a-e</t>
        </is>
      </c>
      <c r="I9" s="2" t="inlineStr">
        <is>
          <t>All wood blocking / plywood in the Excel is FRT, consistent with A.1.d.</t>
        </is>
      </c>
      <c r="J9" s="2" t="inlineStr"/>
      <c r="K9" s="2" t="n">
        <v>2</v>
      </c>
    </row>
    <row r="10">
      <c r="A10" s="2" t="n">
        <v>9</v>
      </c>
      <c r="B10" s="2" t="inlineStr">
        <is>
          <t>A-001A</t>
        </is>
      </c>
      <c r="C10" s="2" t="inlineStr">
        <is>
          <t>Spec line</t>
        </is>
      </c>
      <c r="D10" s="2" t="inlineStr">
        <is>
          <t>CONFIRM BLOCKING REQUIREMENTS WITH VENDORS PRIOR TO CLOSING UP ALL ASSEMBLIES.</t>
        </is>
      </c>
      <c r="E10" s="2" t="inlineStr">
        <is>
          <t>Excel row</t>
        </is>
      </c>
      <c r="F10" s="2" t="inlineStr">
        <is>
          <t>Scope Checklist ALC-16; Pending Items RFI-23 (closed), RFI-36</t>
        </is>
      </c>
      <c r="G10" s="3" t="inlineStr">
        <is>
          <t>COVERED</t>
        </is>
      </c>
      <c r="H10" s="2" t="inlineStr">
        <is>
          <t>Div 06 B.4</t>
        </is>
      </c>
      <c r="I10" s="2" t="inlineStr">
        <is>
          <t>Blocking carried per detail counts (RFI-23); vendor-driven W-3 surface blocking left open in RFI-36.</t>
        </is>
      </c>
      <c r="J10" s="2" t="inlineStr"/>
      <c r="K10" s="2" t="n">
        <v>2</v>
      </c>
    </row>
    <row r="11">
      <c r="A11" s="2" t="n">
        <v>10</v>
      </c>
      <c r="B11" s="2" t="inlineStr">
        <is>
          <t>A-001A</t>
        </is>
      </c>
      <c r="C11" s="2" t="inlineStr">
        <is>
          <t>Spec line</t>
        </is>
      </c>
      <c r="D11" s="2" t="inlineStr">
        <is>
          <t>PROVIDE AND INSTALL 6 MIL. POLYETHYLENE BELOW ALL REQUIRED PATCH AREAS AT SLAB ON GRADE CONDITIONS AND 4 MIL. POLYETHYLENE AT WALLS THAT RECEIVE BATT INSULATION.</t>
        </is>
      </c>
      <c r="E11" s="2" t="inlineStr">
        <is>
          <t>EXCLUDED</t>
        </is>
      </c>
      <c r="F11" s="2" t="inlineStr">
        <is>
          <t>Scope Checklist ALC-X25 (no insulation); RFI-01</t>
        </is>
      </c>
      <c r="G11" s="4" t="inlineStr">
        <is>
          <t>EXCLUDED</t>
        </is>
      </c>
      <c r="H11" s="2" t="inlineStr">
        <is>
          <t>Div 07 A.1 (vapor barrier at walls)</t>
        </is>
      </c>
      <c r="I11" s="2" t="inlineStr">
        <is>
          <t>No new wall receives batt insulation in the Excel (estimator criterion); A-002 'PERIMETER STUDS, INSULATION, VAPOR BARRIER F/I BY LL'.</t>
        </is>
      </c>
      <c r="J11" s="2" t="inlineStr"/>
      <c r="K11" s="2" t="n">
        <v>2</v>
      </c>
    </row>
    <row r="12">
      <c r="A12" s="2" t="n">
        <v>11</v>
      </c>
      <c r="B12" s="2" t="inlineStr">
        <is>
          <t>A-001A</t>
        </is>
      </c>
      <c r="C12" s="2" t="inlineStr">
        <is>
          <t>Spec line</t>
        </is>
      </c>
      <c r="D12" s="2" t="inlineStr">
        <is>
          <t>C. BATT INSULATION: 1. PROVIDE AND INSTALL MINIMUM R-13 FRICTION FIT, FULL BATT INSULATION AS MANUFACTURED BY OWENS-CORNING FIBERGLASS OR EQUAL WHERE INDICATED IN THE DRAWINGS. D. ACOUSTICAL INSULATION: 1. PROVIDE AND INSTALL ASTM C665, UNFACED, 0.32 K-VALUE, WIDTHS TO COORDINATE WITH FRAMING FOR FRICTION FILL, THICKNESS SHOWN OR IF NOT SHOWN, FILL CAVITY.</t>
        </is>
      </c>
      <c r="E12" s="2" t="inlineStr">
        <is>
          <t>EXCLUDED</t>
        </is>
      </c>
      <c r="F12" s="2" t="inlineStr">
        <is>
          <t>Scope Checklist ALC-X25 (EXCLUDED, estimator criterion: no insulation)</t>
        </is>
      </c>
      <c r="G12" s="4" t="inlineStr">
        <is>
          <t>EXCLUDED</t>
        </is>
      </c>
      <c r="H12" s="2" t="inlineStr">
        <is>
          <t>Div 07 C.1 / D.1 (batt + acoustical insulation)</t>
        </is>
      </c>
      <c r="I12" s="2" t="inlineStr">
        <is>
          <t>Estimator standing criterion. Note for the proposal: A-002 marks 'SOUND BATTING' F/I by Tenant Contractor, so the exclusion must be stated explicitly in the bid.</t>
        </is>
      </c>
      <c r="J12" s="2" t="inlineStr"/>
      <c r="K12" s="2" t="n">
        <v>2</v>
      </c>
    </row>
    <row r="13">
      <c r="A13" s="2" t="n">
        <v>12</v>
      </c>
      <c r="B13" s="2" t="inlineStr">
        <is>
          <t>A-001A</t>
        </is>
      </c>
      <c r="C13" s="2" t="inlineStr">
        <is>
          <t>Spec line</t>
        </is>
      </c>
      <c r="D13" s="2" t="inlineStr">
        <is>
          <t>F. SEALANTS: 1. PROVIDE AND INSTALL THE SEALANTS REQUIRED IN CONJUNCTION WITH ROOFING, WATERPROOFING, FIREPROOFING, FIRESTOPPING, DOOR FRAMES, &amp; CARPENTRY, ETC. G. FIRESTOPPING: 1. PROVIDE AND INSTALL UL TESTED FIRESTOPPING ASSEMBLIES AS ARE APPLICABLE FOR EACH CONDITION ENCOUNTERED... H. FIRE CAULKING: 1. ALL SLEEVES, OPENINGS, ETC. THROUGH FIRE RATED WALLS AND FLOORS SHALL BE FIRE SEALED...</t>
        </is>
      </c>
      <c r="E13" s="2" t="inlineStr">
        <is>
          <t>EXCLUDED</t>
        </is>
      </c>
      <c r="F13" s="2" t="inlineStr">
        <is>
          <t>Scope Checklist ALC-19 (acoustical sealant excluded), ALC-22 (non-rated partitions)</t>
        </is>
      </c>
      <c r="G13" s="4" t="inlineStr">
        <is>
          <t>EXCLUDED</t>
        </is>
      </c>
      <c r="H13" s="2" t="inlineStr">
        <is>
          <t>Div 07 F / G / H (sealants, firestopping, fire caulking)</t>
        </is>
      </c>
      <c r="I13" s="2" t="inlineStr">
        <is>
          <t>All new partitions are non-rated (A-410), so no fire-rated wall penetrations in our scope; A-002 'FIRE PROOFING / STOPPING' = Existing; sealants with roofing/doors/carpentry are other trades.</t>
        </is>
      </c>
      <c r="J13" s="2" t="inlineStr"/>
      <c r="K13" s="2" t="n">
        <v>2</v>
      </c>
    </row>
    <row r="14">
      <c r="A14" s="2" t="n">
        <v>13</v>
      </c>
      <c r="B14" s="2" t="inlineStr">
        <is>
          <t>A-001A</t>
        </is>
      </c>
      <c r="C14" s="2" t="inlineStr">
        <is>
          <t>Spec line</t>
        </is>
      </c>
      <c r="D14" s="2" t="inlineStr">
        <is>
          <t>ACCESS DOORS: 1. PROVIDE FLUSH TYPE METAL DOORS MIN 16" X 20", OR AS SPECIFIED ON THE DRAWINGS, MANUFACTURED FROM #14 GA. STEEL, COMPLETE WITH FLUSH FLANGE TYPE FRAMES MANUFACTURED FROM #16 GA. STEEL, WITH ANCHORS. 2. INSTALL ACCESS DOORS WHERE NECESSARY TO PROVIDE ACCESS TO CONCEALED VALVES, AND OTHER EQUIPMENT... 3. ACCESS DOORS SHALL BE SUITABLE FOR INSTALLATION IN THE SPECIFIED WALL AND CEILING MATERIALS. 5. FINISH TO MATCH ADJACENT SURFACES. 6. PROVIDE KEYED LOCK AT ALL PANELS IN COMMON AREAS.</t>
        </is>
      </c>
      <c r="E14" s="2" t="inlineStr">
        <is>
          <t>RFI</t>
        </is>
      </c>
      <c r="F14" s="2" t="inlineStr">
        <is>
          <t>Pending Items RFI-30; Material Summary!R39 (0 pcs); Scope Checklist ALC-17</t>
        </is>
      </c>
      <c r="G14" s="5" t="inlineStr">
        <is>
          <t>RFI</t>
        </is>
      </c>
      <c r="H14" s="2" t="inlineStr">
        <is>
          <t>Div 08 C.1-6 (access doors)</t>
        </is>
      </c>
      <c r="I14" s="2" t="inlineStr">
        <is>
          <t>Quantity not shown on any sheet (RFI-30). Suggest adding this spec size (min 16" x 20", 14 ga door / 16 ga frame) to RFI-30 so the allowance is priced on that panel.</t>
        </is>
      </c>
      <c r="J14" s="2" t="inlineStr"/>
      <c r="K14" s="2" t="n">
        <v>2</v>
      </c>
    </row>
    <row r="15">
      <c r="A15" s="2" t="n">
        <v>14</v>
      </c>
      <c r="B15" s="2" t="inlineStr">
        <is>
          <t>A-001A</t>
        </is>
      </c>
      <c r="C15" s="2" t="inlineStr">
        <is>
          <t>Spec line</t>
        </is>
      </c>
      <c r="D15" s="2" t="inlineStr">
        <is>
          <t>GYPSUM DRYWALL: 1. INSTALL ALL GYPSUM DRYWALL SYSTEMS COMPLETE WITH PARTITION FRAMING, CEILING SUSPENSION SYSTEMS, AND RELATED ACCESSORIES, PARTS, MATERIALS, ETC. AS SHOWN ON DRAWINGS AND AS SPECIFIED.</t>
        </is>
      </c>
      <c r="E15" s="2" t="inlineStr">
        <is>
          <t>Excel row</t>
        </is>
      </c>
      <c r="F15" s="2" t="inlineStr">
        <is>
          <t>Scope Checklist ALC-01, ALC-07, ALC-11, ALC-12</t>
        </is>
      </c>
      <c r="G15" s="3" t="inlineStr">
        <is>
          <t>COVERED</t>
        </is>
      </c>
      <c r="H15" s="2" t="inlineStr">
        <is>
          <t>Div 09 A.1</t>
        </is>
      </c>
      <c r="I15" s="2" t="inlineStr">
        <is>
          <t>Framing, board, ceiling suspension and accessories carried.</t>
        </is>
      </c>
      <c r="J15" s="2" t="inlineStr"/>
      <c r="K15" s="2" t="n">
        <v>2</v>
      </c>
    </row>
    <row r="16">
      <c r="A16" s="2" t="n">
        <v>15</v>
      </c>
      <c r="B16" s="2" t="inlineStr">
        <is>
          <t>A-001A</t>
        </is>
      </c>
      <c r="C16" s="2" t="inlineStr">
        <is>
          <t>Spec line</t>
        </is>
      </c>
      <c r="D16" s="2" t="inlineStr">
        <is>
          <t>GYPSUM DRYWALL: U.S. GYPSUM 5/8" THICK FIRE CODE SHEETROCK (TYPE "X") PANELS OF STANDARD QUALITY OR EQUAL OR AS OTHERWISE SPECIFIED IN THE DRAWINGS.</t>
        </is>
      </c>
      <c r="E16" s="2" t="inlineStr">
        <is>
          <t>Excel row</t>
        </is>
      </c>
      <c r="F16" s="2" t="inlineStr">
        <is>
          <t>Material Summary!R19 (5/8" Type X 14,902.61 SF); Pending Items RFI-27 (closed)</t>
        </is>
      </c>
      <c r="G16" s="3" t="inlineStr">
        <is>
          <t>COVERED</t>
        </is>
      </c>
      <c r="H16" s="2" t="inlineStr">
        <is>
          <t>Div 09 A.2</t>
        </is>
      </c>
      <c r="I16" s="2" t="inlineStr">
        <is>
          <t>All 5/8" board = Type X per estimator decision RFI-27; no 5/8" regular remains.</t>
        </is>
      </c>
      <c r="J16" s="2" t="inlineStr"/>
      <c r="K16" s="2" t="n">
        <v>2</v>
      </c>
    </row>
    <row r="17">
      <c r="A17" s="2" t="n">
        <v>16</v>
      </c>
      <c r="B17" s="2" t="inlineStr">
        <is>
          <t>A-001A</t>
        </is>
      </c>
      <c r="C17" s="2" t="inlineStr">
        <is>
          <t>Spec line</t>
        </is>
      </c>
      <c r="D17" s="2" t="inlineStr">
        <is>
          <t>EXTERIOR APPLICATIONS: PROVIDE A GLASS MAT GYPSUM SUBSTRATE FOR USE AS SHEATHING.</t>
        </is>
      </c>
      <c r="E17" s="2" t="inlineStr">
        <is>
          <t>EXCLUDED</t>
        </is>
      </c>
      <c r="F17" s="2" t="inlineStr">
        <is>
          <t>Scope Checklist ALC-09 (NOT APPLICABLE)</t>
        </is>
      </c>
      <c r="G17" s="4" t="inlineStr">
        <is>
          <t>EXCLUDED</t>
        </is>
      </c>
      <c r="H17" s="2" t="inlineStr">
        <is>
          <t>Div 09 A.3</t>
        </is>
      </c>
      <c r="I17" s="2" t="inlineStr">
        <is>
          <t>No exterior work (A-001 code analysis 'NO EXTERIOR WORK'); perimeter existing (RFI-01).</t>
        </is>
      </c>
      <c r="J17" s="2" t="inlineStr"/>
      <c r="K17" s="2" t="n">
        <v>2</v>
      </c>
    </row>
    <row r="18">
      <c r="A18" s="2" t="n">
        <v>17</v>
      </c>
      <c r="B18" s="2" t="inlineStr">
        <is>
          <t>A-001A</t>
        </is>
      </c>
      <c r="C18" s="2" t="inlineStr">
        <is>
          <t>Spec line</t>
        </is>
      </c>
      <c r="D18" s="2" t="inlineStr">
        <is>
          <t>WET LOCATIONS: PROVIDE A WATER-RESISTANT GYPSUM BACKING BOARD OR GLASS MAT WATER-RESISTANT GYPSUM BACKING BOARD.</t>
        </is>
      </c>
      <c r="E18" s="2" t="inlineStr">
        <is>
          <t>Excel row</t>
        </is>
      </c>
      <c r="F18" s="2" t="inlineStr">
        <is>
          <t>Material Summary!R20 (5/8" Type X W.R. 1,142.63 SF); Pending Items RFI-11 (closed); Scope Checklist ALC-08</t>
        </is>
      </c>
      <c r="G18" s="3" t="inlineStr">
        <is>
          <t>COVERED</t>
        </is>
      </c>
      <c r="H18" s="2" t="inlineStr">
        <is>
          <t>Div 09 A.4</t>
        </is>
      </c>
      <c r="I18" s="2" t="inlineStr">
        <is>
          <t>Wet rooms (Women's 109, Men's 108, Janitor 107, alcove, restroom ceilings) carried as Type X W.R.</t>
        </is>
      </c>
      <c r="J18" s="2" t="inlineStr"/>
      <c r="K18" s="2" t="n">
        <v>2</v>
      </c>
    </row>
    <row r="19">
      <c r="A19" s="2" t="n">
        <v>18</v>
      </c>
      <c r="B19" s="2" t="inlineStr">
        <is>
          <t>A-001A</t>
        </is>
      </c>
      <c r="C19" s="2" t="inlineStr">
        <is>
          <t>Spec line</t>
        </is>
      </c>
      <c r="D19" s="2" t="inlineStr">
        <is>
          <t>FASTENERS: DRYWALL SCREWS OF PROPER SIZE AND TYPE INSTALLED PER GA-216.</t>
        </is>
      </c>
      <c r="E19" s="2" t="inlineStr">
        <is>
          <t>Excel row</t>
        </is>
      </c>
      <c r="F19" s="2" t="inlineStr">
        <is>
          <t>Material Summary!R40 (drywall screws, GA-216 yield)</t>
        </is>
      </c>
      <c r="G19" s="3" t="inlineStr">
        <is>
          <t>COVERED</t>
        </is>
      </c>
      <c r="H19" s="2" t="inlineStr">
        <is>
          <t>Div 09 A.5</t>
        </is>
      </c>
      <c r="I19" s="2" t="inlineStr">
        <is>
          <t>Yield row driven by board SF.</t>
        </is>
      </c>
      <c r="J19" s="2" t="inlineStr"/>
      <c r="K19" s="2" t="n">
        <v>2</v>
      </c>
    </row>
    <row r="20">
      <c r="A20" s="2" t="n">
        <v>19</v>
      </c>
      <c r="B20" s="2" t="inlineStr">
        <is>
          <t>A-001A</t>
        </is>
      </c>
      <c r="C20" s="2" t="inlineStr">
        <is>
          <t>Spec line</t>
        </is>
      </c>
      <c r="D20" s="2" t="inlineStr">
        <is>
          <t>ACCESSORIES AND TRIM: U.S. GYPSUM BOARD OR GOLD BOND SYSTEM OF COMPONENTS AND PERFORATED TAPE. ALL METAL TRIM SHALL BE PERFORATED FLANGE TYPE FOR COMPOUND FINISH. WHERE A VAPOR RETARDER IS REQUIRED PROVIDE A FOIL BACKED GYPSUM BOARD, VAPOR RETARDER FACED MINERAL OR GLASS FIBER INSULATION BLANKETS.</t>
        </is>
      </c>
      <c r="E20" s="2" t="inlineStr">
        <is>
          <t>Excel row</t>
        </is>
      </c>
      <c r="F20" s="2" t="inlineStr">
        <is>
          <t>Material Summary!R26 (metal trim), R45 (joint tape); vapor retarder part -&gt; Scope Checklist ALC-X25 / ALC-02</t>
        </is>
      </c>
      <c r="G20" s="3" t="inlineStr">
        <is>
          <t>COVERED</t>
        </is>
      </c>
      <c r="H20" s="2" t="inlineStr">
        <is>
          <t>Div 09 A.6</t>
        </is>
      </c>
      <c r="I20" s="2" t="inlineStr">
        <is>
          <t>Metal trim and tape carried. Note: spec says 'PERFORATED TAPE' while R45 is 'Joint tape, paper' - same product family (perforated paper tape), no change. Vapor retarder/foil-backed board N/A (no exterior/insulated wall in scope).</t>
        </is>
      </c>
      <c r="J20" s="2" t="inlineStr"/>
      <c r="K20" s="2" t="n">
        <v>2</v>
      </c>
    </row>
    <row r="21">
      <c r="A21" s="2" t="n">
        <v>20</v>
      </c>
      <c r="B21" s="2" t="inlineStr">
        <is>
          <t>A-001A</t>
        </is>
      </c>
      <c r="C21" s="2" t="inlineStr">
        <is>
          <t>Spec line</t>
        </is>
      </c>
      <c r="D21" s="2" t="inlineStr">
        <is>
          <t>PROVIDE AT A MINIMUM A LEVEL 4 FINISH PRIOR TO THE APPLICATION OF THE FINAL FINISHES. REFER TO THE GYPSUM ASSOCIATION GUIDELINES FOR A DESCRIPTION OF THE DESIRED LEVEL.</t>
        </is>
      </c>
      <c r="E21" s="2" t="inlineStr">
        <is>
          <t>Excel row - CORRECT</t>
        </is>
      </c>
      <c r="F21" s="2" t="inlineStr">
        <is>
          <t>Scope Checklist ALC-24 (currently NOT APPLICABLE: 'no finish level specified in A-510 ... Level 4 assumed by default'); Inputs!R23</t>
        </is>
      </c>
      <c r="G21" s="7" t="inlineStr">
        <is>
          <t>CORREGIR</t>
        </is>
      </c>
      <c r="H21" s="2" t="inlineStr">
        <is>
          <t>Div 09 A.8 (finish level)</t>
        </is>
      </c>
      <c r="I21" s="2" t="inlineStr">
        <is>
          <t>The plan DOES specify the finish level: A-001A Div 09 A.8 literal 'LEVEL 4 FINISH' [CONFIRMED A-001A]. Correct ALC-24 status NOT APPLICABLE -&gt; QUANTIFIED, note: 'Level 4 minimum per A-001A Div 09 A.8 (not an assumption)'; Inputs!R23 note 'level 4 (estimator criterion)' -&gt; 'level 4 per A-001A Div 09 A.8'. No quantity change (joint compound / tape already at Level 4 yield); Level 5 row R46 stays 0.</t>
        </is>
      </c>
      <c r="J21" s="2" t="inlineStr">
        <is>
          <t>A-001A_div09-A8-level4.png</t>
        </is>
      </c>
      <c r="K21" s="2" t="n">
        <v>2</v>
      </c>
    </row>
    <row r="22">
      <c r="A22" s="2" t="n">
        <v>21</v>
      </c>
      <c r="B22" s="2" t="inlineStr">
        <is>
          <t>A-001A</t>
        </is>
      </c>
      <c r="C22" s="2" t="inlineStr">
        <is>
          <t>Spec line</t>
        </is>
      </c>
      <c r="D22" s="2" t="inlineStr">
        <is>
          <t>CEILING SYSTEMS: 1. REFER TO THE REFLECTED CEILING PLAN FOR SCOPE AND SPECIFIED MATERIALS. 2. FURNISH AND INSTALL CEILING SYSTEMS COMPLETE WITH SUSPENSION SYSTEM AND RELATED ACCESSORIES AS INDICATED ON DRAWINGS. 3. ALL LIGHT GAUGE METAL FRAMING AND CEILING SUSPENSION COMPONENTS FOR SOFFITS, GYPSUM BOARD AND LAY-IN CEILINGS SHALL BE ANCHORED TO THE STRUCTURAL JOISTS AND BEAMS ONLY. PROVIDE AND INSTALL ANY ADDITIONAL FRAMING REQUIRED. 4. SUSPENSION SYSTEMS SHALL BE ADEQUATE TO SUPPORT LIGHTING FIXTURES, CEILING GRILLES, DIFFUSERS, AND OTHER TYPICAL CEILING ACCESSORIES. 5. PROVIDE SYSTEM COMPONENTS FROM SINGLE MANUFACTURER. 6. INSTALL CEILING AND SUSPENSION SYSTEMS IN STRICT ACCORDANCE WITH MANUFACTURER'S RECOMMENDATIONS...</t>
        </is>
      </c>
      <c r="E22" s="2" t="inlineStr">
        <is>
          <t>Excel row</t>
        </is>
      </c>
      <c r="F22" s="2" t="inlineStr">
        <is>
          <t>Scope Checklist ALC-11, ALC-12, ALC-13; Material Summary!R13, R15-R17, R22-R25, R31</t>
        </is>
      </c>
      <c r="G22" s="3" t="inlineStr">
        <is>
          <t>COVERED</t>
        </is>
      </c>
      <c r="H22" s="2" t="inlineStr">
        <is>
          <t>Div 09 B.1-6 (ceiling systems)</t>
        </is>
      </c>
      <c r="I22" s="2" t="inlineStr">
        <is>
          <t>GWB ceilings / soffits and their suspension carried (hangers to structure, RFI-15 closed). Lay-in (ACT) ceilings are not in the Excel - see A-002 'ACOUSTICAL CEILING SYSTEM' GAP.</t>
        </is>
      </c>
      <c r="J22" s="2" t="inlineStr">
        <is>
          <t>A-001A_div09-B-ceiling-systems.png</t>
        </is>
      </c>
      <c r="K22" s="2" t="n">
        <v>2</v>
      </c>
    </row>
    <row r="23">
      <c r="A23" s="2" t="n">
        <v>22</v>
      </c>
      <c r="B23" s="2" t="inlineStr">
        <is>
          <t>A-001A</t>
        </is>
      </c>
      <c r="C23" s="2" t="inlineStr">
        <is>
          <t>Spec line</t>
        </is>
      </c>
      <c r="D23" s="2" t="inlineStr">
        <is>
          <t>7. LEAVE ONE CASE OF CEILING TILES FOR LATER REPLACEMENT. 8. CEILING, WHERE NOTED ON DRAWINGS, SHALL BE 1 HOUR RATED AND SHALL CONSIST OF CLASS "A" SUSPENSION GRID, HARDWARE, CLIPS, ETC. NECESSARY TO ACHIEVE RATING.</t>
        </is>
      </c>
      <c r="E23" s="2" t="inlineStr">
        <is>
          <t>EXCLUDED</t>
        </is>
      </c>
      <c r="F23" s="2" t="inlineStr">
        <is>
          <t>Scope Checklist ALC-22 (no rated assemblies)</t>
        </is>
      </c>
      <c r="G23" s="4" t="inlineStr">
        <is>
          <t>EXCLUDED</t>
        </is>
      </c>
      <c r="H23" s="2" t="inlineStr">
        <is>
          <t>Div 09 B.7-8</t>
        </is>
      </c>
      <c r="I23" s="2" t="inlineStr">
        <is>
          <t>No rated ceiling noted on A-121 (per ALC-22). Ceiling tiles = ACT scope (see A-002 ACT GAP).</t>
        </is>
      </c>
      <c r="J23" s="2" t="inlineStr">
        <is>
          <t>A-001A_div09-B-ceiling-systems.png</t>
        </is>
      </c>
      <c r="K23" s="2" t="n">
        <v>2</v>
      </c>
    </row>
    <row r="24">
      <c r="A24" s="2" t="n">
        <v>23</v>
      </c>
      <c r="B24" s="2" t="inlineStr">
        <is>
          <t>A-001A</t>
        </is>
      </c>
      <c r="C24" s="2" t="inlineStr">
        <is>
          <t>Spec line</t>
        </is>
      </c>
      <c r="D24" s="2" t="inlineStr">
        <is>
          <t>a. PAINTED DRYWALL TO RECEIVE ONE COAT LATEX PRIMER AND TWO COATS OF SPECIFIED PAINT... b. SEAL ALL DRYWALL SURFACES BEHIND MIRRORS AND BUILT-IN COMPONENTS.</t>
        </is>
      </c>
      <c r="E24" s="2" t="inlineStr">
        <is>
          <t>EXCLUDED</t>
        </is>
      </c>
      <c r="F24" s="2" t="inlineStr">
        <is>
          <t>n/a (painting trade)</t>
        </is>
      </c>
      <c r="G24" s="4" t="inlineStr">
        <is>
          <t>EXCLUDED</t>
        </is>
      </c>
      <c r="H24" s="2" t="inlineStr">
        <is>
          <t>Div 09 C.3.a-b (painting)</t>
        </is>
      </c>
      <c r="I24" s="2" t="inlineStr">
        <is>
          <t>Painting is Div 09 painting by Tenant Contractor (A-002 'PAINT/PAINTING &amp; ACCESSORIES'), not drywall.</t>
        </is>
      </c>
      <c r="J24" s="2" t="inlineStr"/>
      <c r="K24" s="2" t="n">
        <v>2</v>
      </c>
    </row>
    <row r="25">
      <c r="A25" s="2" t="n">
        <v>24</v>
      </c>
      <c r="B25" s="2" t="inlineStr">
        <is>
          <t>A-001A</t>
        </is>
      </c>
      <c r="C25" s="2" t="inlineStr">
        <is>
          <t>Spec line</t>
        </is>
      </c>
      <c r="D25" s="2" t="inlineStr">
        <is>
          <t>FIBERGLASS REINFORCED PANELS 1/8": 1. REFER TO RESPONSIBILITY SCHEDULE AND FINISH SCHEDULE. 2. INSTALL PER MANUFACTURER'S INSTRUCTIONS. 3. INSTALL USING APPROVED MASTIC ADHESIVE... 6. REMOVE ANY/ALL PREEXISTING WALL COVERINGS... POROUS SUBSTRATE MUST BE PAINTED OR SEALED USING LATEX PRIMER BEFORE APPLYING ADHESIVE.</t>
        </is>
      </c>
      <c r="E25" s="2" t="inlineStr">
        <is>
          <t>RFI</t>
        </is>
      </c>
      <c r="F25" s="2" t="inlineStr">
        <is>
          <t>Pending Items RFI-13, RFI-22; Material Summary!R37 (PVC trim 0)</t>
        </is>
      </c>
      <c r="G25" s="5" t="inlineStr">
        <is>
          <t>RFI</t>
        </is>
      </c>
      <c r="H25" s="2" t="inlineStr">
        <is>
          <t>Div 09 E.1-7 (FRP)</t>
        </is>
      </c>
      <c r="I25" s="2" t="inlineStr">
        <is>
          <t>FRP-1 extent/height and installer not defined; A-002 has no FRP row, so the responsibility schedule referenced by E.1 does not assign it.</t>
        </is>
      </c>
      <c r="J25" s="2" t="inlineStr"/>
      <c r="K25" s="2" t="n">
        <v>2</v>
      </c>
    </row>
    <row r="26">
      <c r="A26" s="2" t="n">
        <v>25</v>
      </c>
      <c r="B26" s="2" t="inlineStr">
        <is>
          <t>A-001A</t>
        </is>
      </c>
      <c r="C26" s="2" t="inlineStr">
        <is>
          <t>Spec line</t>
        </is>
      </c>
      <c r="D26" s="2" t="inlineStr">
        <is>
          <t>OVER CEMENTITIOUS BACK UNITS ON STUDS, INSTALL IN ACCORDANCE WITH TCA HANDBOOK METHOD W243, THIN-SET WITH DRY-SET OR LATEX-PORTLAND CEMENT BOND COAT.</t>
        </is>
      </c>
      <c r="E26" s="2" t="inlineStr">
        <is>
          <t>RFI</t>
        </is>
      </c>
      <c r="F26" s="2" t="inlineStr">
        <is>
          <t>Pending Items RFI-12; Scope Checklist ALC-20</t>
        </is>
      </c>
      <c r="G26" s="5" t="inlineStr">
        <is>
          <t>RFI</t>
        </is>
      </c>
      <c r="H26" s="2" t="inlineStr">
        <is>
          <t>Div 09 J.2 (wall tile substrate)</t>
        </is>
      </c>
      <c r="I26" s="2" t="inlineStr">
        <is>
          <t>RFI-12 says the cement board backer 'not detailed'; this spec line states the wall-tile substrate literally ('CEMENTITIOUS BACK UNITS ON STUDS'). Add the citation to RFI-12: backer type is answered by A-001A J.2, only the tile extent/height (A-200, A-510) stays open. Delta per RFI-12.</t>
        </is>
      </c>
      <c r="J26" s="2" t="inlineStr">
        <is>
          <t>A-001A_div09-J2-wall-tile.png</t>
        </is>
      </c>
      <c r="K26" s="2" t="n">
        <v>2</v>
      </c>
    </row>
    <row r="27">
      <c r="A27" s="2" t="n">
        <v>26</v>
      </c>
      <c r="B27" s="2" t="inlineStr">
        <is>
          <t>A-001A</t>
        </is>
      </c>
      <c r="C27" s="2" t="inlineStr">
        <is>
          <t>Spec line</t>
        </is>
      </c>
      <c r="D27" s="2" t="inlineStr">
        <is>
          <t>LAVATORY ACCESSORIES: 1. REFER TO THE ARCHITECTURAL DRAWINGS. 2. INSTALL IN-WALL BLOCKING AS REQUIRED TO PROVIDE ADEQUATE SUPPORT. 3. INSTALL ACCESSORIES OVER FINISHED WALL SURFACE.</t>
        </is>
      </c>
      <c r="E27" s="2" t="inlineStr">
        <is>
          <t>Excel row</t>
        </is>
      </c>
      <c r="F27" s="2" t="inlineStr">
        <is>
          <t>Material Summary!R30 (RESTROOM-BACKING-FRT 17.77 SF); Pending Items RFI-23 (closed)</t>
        </is>
      </c>
      <c r="G27" s="3" t="inlineStr">
        <is>
          <t>COVERED</t>
        </is>
      </c>
      <c r="H27" s="2" t="inlineStr">
        <is>
          <t>Div 10 B.2 (lavatory accessories blocking)</t>
        </is>
      </c>
      <c r="I27" s="2" t="inlineStr">
        <is>
          <t>Restroom backing 21/A-201, 10 pcs 3/4" FRT plywood x 16".</t>
        </is>
      </c>
      <c r="J27" s="2" t="inlineStr"/>
      <c r="K27" s="2" t="n">
        <v>2</v>
      </c>
    </row>
    <row r="28">
      <c r="A28" s="2" t="n">
        <v>27</v>
      </c>
      <c r="B28" s="2" t="inlineStr">
        <is>
          <t>A-001A</t>
        </is>
      </c>
      <c r="C28" s="2" t="inlineStr">
        <is>
          <t>Spec line</t>
        </is>
      </c>
      <c r="D28" s="2" t="inlineStr">
        <is>
          <t>MAINTAIN AND/OR REPAIR ALL FIRE RATED ASSEMBLIES AND SEPARATIONS (PARTITION, FLOOR, CEILING, OR BETWEEN ADJACENT SPACES ETC.) REQUIRED BY CODE OR REGULATION.</t>
        </is>
      </c>
      <c r="E28" s="2" t="inlineStr">
        <is>
          <t>Excel row</t>
        </is>
      </c>
      <c r="F28" s="2" t="inlineStr">
        <is>
          <t>Pending Items RFI-01 / RFI-25 (patch &amp; repair allowance, amount blank)</t>
        </is>
      </c>
      <c r="G28" s="3" t="inlineStr">
        <is>
          <t>COVERED</t>
        </is>
      </c>
      <c r="H28" s="2" t="inlineStr">
        <is>
          <t>Div 02 A.8</t>
        </is>
      </c>
      <c r="I28" s="2" t="inlineStr">
        <is>
          <t>Existing demising/perimeter rated walls handled by the patch &amp; repair allowance (DM-101 key note 3).</t>
        </is>
      </c>
      <c r="J28" s="2" t="inlineStr"/>
      <c r="K28" s="2" t="n">
        <v>2</v>
      </c>
    </row>
    <row r="29">
      <c r="A29" s="2" t="n">
        <v>28</v>
      </c>
      <c r="B29" s="2" t="inlineStr">
        <is>
          <t>A-001</t>
        </is>
      </c>
      <c r="C29" s="2" t="inlineStr">
        <is>
          <t>General note</t>
        </is>
      </c>
      <c r="D29" s="2" t="inlineStr">
        <is>
          <t>ALL METAL STUD PARTITIONS SHALL BE CONSTRUCTED OF METAL STUDS AT 16" O.C. MAXIMUM. SEE PLANS FOR EXCEPTIONS.</t>
        </is>
      </c>
      <c r="E29" s="2" t="inlineStr">
        <is>
          <t>Excel row</t>
        </is>
      </c>
      <c r="F29" s="2" t="inlineStr">
        <is>
          <t>Partition Takeoff (Stud O.C. column = 16 on every row); Pending Items RFI-17</t>
        </is>
      </c>
      <c r="G29" s="3" t="inlineStr">
        <is>
          <t>COVERED</t>
        </is>
      </c>
      <c r="H29" s="2" t="inlineStr">
        <is>
          <t>General note 2</t>
        </is>
      </c>
      <c r="I29" s="2" t="inlineStr">
        <is>
          <t>All partitions and other framing carried at 16" O.C.</t>
        </is>
      </c>
      <c r="J29" s="2" t="inlineStr">
        <is>
          <t>A-001_general-notes.png</t>
        </is>
      </c>
      <c r="K29" s="2" t="n">
        <v>3</v>
      </c>
    </row>
    <row r="30">
      <c r="A30" s="2" t="n">
        <v>29</v>
      </c>
      <c r="B30" s="2" t="inlineStr">
        <is>
          <t>A-001</t>
        </is>
      </c>
      <c r="C30" s="2" t="inlineStr">
        <is>
          <t>General note</t>
        </is>
      </c>
      <c r="D30" s="2" t="inlineStr">
        <is>
          <t>CONTRACTOR SHALL PROVIDE CONCEALED BLOCKING AS REQUIRED TO SUPPORT/SECURE WALL-HUNG FIXTURES, WALL STANDARDS, BATH ACCESSORIES, ARCHITECTURAL AND MILLWORK ITEMS, ETC.</t>
        </is>
      </c>
      <c r="E30" s="2" t="inlineStr">
        <is>
          <t>Excel row</t>
        </is>
      </c>
      <c r="F30" s="2" t="inlineStr">
        <is>
          <t>Material Summary!R18, R30; Scope Checklist ALC-16; Pending Items RFI-23, RFI-36</t>
        </is>
      </c>
      <c r="G30" s="3" t="inlineStr">
        <is>
          <t>COVERED</t>
        </is>
      </c>
      <c r="H30" s="2" t="inlineStr">
        <is>
          <t>General note 6</t>
        </is>
      </c>
      <c r="I30" s="2" t="inlineStr">
        <is>
          <t>Blocking per detail counts; W-3 wall standard surface blocking open in RFI-36.</t>
        </is>
      </c>
      <c r="J30" s="2" t="inlineStr">
        <is>
          <t>A-001_general-notes.png</t>
        </is>
      </c>
      <c r="K30" s="2" t="n">
        <v>3</v>
      </c>
    </row>
    <row r="31">
      <c r="A31" s="2" t="n">
        <v>30</v>
      </c>
      <c r="B31" s="2" t="inlineStr">
        <is>
          <t>A-001</t>
        </is>
      </c>
      <c r="C31" s="2" t="inlineStr">
        <is>
          <t>General note</t>
        </is>
      </c>
      <c r="D31" s="2" t="inlineStr">
        <is>
          <t>CONTRACTOR SHALL PROVIDE ACCESS PANELS AS REQUIRED BY PLUMBING, AIR CONDITIONING AND OTHER TRADES, AND AS REQUIRED BY CODES. LOCATIONS TO BE APPROVED BY ARCHITECT.</t>
        </is>
      </c>
      <c r="E31" s="2" t="inlineStr">
        <is>
          <t>RFI</t>
        </is>
      </c>
      <c r="F31" s="2" t="inlineStr">
        <is>
          <t>Pending Items RFI-30; Material Summary!R39</t>
        </is>
      </c>
      <c r="G31" s="5" t="inlineStr">
        <is>
          <t>RFI</t>
        </is>
      </c>
      <c r="H31" s="2" t="inlineStr">
        <is>
          <t>General note 8</t>
        </is>
      </c>
      <c r="I31" s="2" t="inlineStr">
        <is>
          <t>Quantity not shown. Note: RFI-30 cites M-100 / E notes 'INSTALL' only; this note says PROVIDE (furnish + install) - add the citation to RFI-30.</t>
        </is>
      </c>
      <c r="J31" s="2" t="inlineStr">
        <is>
          <t>A-001_general-notes.png</t>
        </is>
      </c>
      <c r="K31" s="2" t="n">
        <v>3</v>
      </c>
    </row>
    <row r="32">
      <c r="A32" s="2" t="n">
        <v>31</v>
      </c>
      <c r="B32" s="2" t="inlineStr">
        <is>
          <t>A-001</t>
        </is>
      </c>
      <c r="C32" s="2" t="inlineStr">
        <is>
          <t>General note</t>
        </is>
      </c>
      <c r="D32" s="2" t="inlineStr">
        <is>
          <t>ALL WOOD BLOCKING, SHEATHING, GROUNDS, SHIMS, ETC. TO BE FIRE-RETARDANT TREATED WOOD. (TYPICAL UNLESS OTHERWISE NOTED)</t>
        </is>
      </c>
      <c r="E32" s="2" t="inlineStr">
        <is>
          <t>Excel row</t>
        </is>
      </c>
      <c r="F32" s="2" t="inlineStr">
        <is>
          <t>Material Summary!R18, R29, R30</t>
        </is>
      </c>
      <c r="G32" s="3" t="inlineStr">
        <is>
          <t>COVERED</t>
        </is>
      </c>
      <c r="H32" s="2" t="inlineStr">
        <is>
          <t>General note 20</t>
        </is>
      </c>
      <c r="I32" s="2" t="inlineStr">
        <is>
          <t>All wood carried as FRT.</t>
        </is>
      </c>
      <c r="J32" s="2" t="inlineStr">
        <is>
          <t>A-001_general-notes.png</t>
        </is>
      </c>
      <c r="K32" s="2" t="n">
        <v>3</v>
      </c>
    </row>
    <row r="33">
      <c r="A33" s="2" t="n">
        <v>32</v>
      </c>
      <c r="B33" s="2" t="inlineStr">
        <is>
          <t>A-001</t>
        </is>
      </c>
      <c r="C33" s="2" t="inlineStr">
        <is>
          <t>General note</t>
        </is>
      </c>
      <c r="D33" s="2" t="inlineStr">
        <is>
          <t>ALL SURFACES TO BE PAINTED OR TO RECEIVE WALL COVERING SHALL PRESENT A TRUE, SMOOTH, LEVEL FINISH ... SHALL BE PROPERLY CUT OUT, SPACKLED AND BROUGHT TO A SMOOTH EVEN FINISH AND GIVEN A PRIME COAT AS SPECIFIED FOR THE AFFECTED WORK.</t>
        </is>
      </c>
      <c r="E33" s="2" t="inlineStr">
        <is>
          <t>Excel row</t>
        </is>
      </c>
      <c r="F33" s="2" t="inlineStr">
        <is>
          <t>Material Summary!R44, R45 (Level 4 joint compound / tape); Scope Checklist ALC-24</t>
        </is>
      </c>
      <c r="G33" s="3" t="inlineStr">
        <is>
          <t>COVERED</t>
        </is>
      </c>
      <c r="H33" s="2" t="inlineStr">
        <is>
          <t>General note 25</t>
        </is>
      </c>
      <c r="I33" s="2" t="inlineStr">
        <is>
          <t>Finish carried at Level 4 (see A-001A Div 09 A.8 CORREGIR on the ALC-24 citation). Prime coat = painting trade.</t>
        </is>
      </c>
      <c r="J33" s="2" t="inlineStr"/>
      <c r="K33" s="2" t="n">
        <v>3</v>
      </c>
    </row>
    <row r="34">
      <c r="A34" s="2" t="n">
        <v>33</v>
      </c>
      <c r="B34" s="2" t="inlineStr">
        <is>
          <t>A-001</t>
        </is>
      </c>
      <c r="C34" s="2" t="inlineStr">
        <is>
          <t>General note</t>
        </is>
      </c>
      <c r="D34" s="2" t="inlineStr">
        <is>
          <t>... - EXTERIOR COLD ROLLED METAL STUDS &amp; FRAMING ...</t>
        </is>
      </c>
      <c r="E34" s="2" t="inlineStr">
        <is>
          <t>EXCLUDED</t>
        </is>
      </c>
      <c r="F34" s="2" t="inlineStr">
        <is>
          <t>Scope Checklist ALC-02 (NOT APPLICABLE, RFI-01)</t>
        </is>
      </c>
      <c r="G34" s="4" t="inlineStr">
        <is>
          <t>EXCLUDED</t>
        </is>
      </c>
      <c r="H34" s="2" t="inlineStr">
        <is>
          <t>General note 28 (shop drawings list)</t>
        </is>
      </c>
      <c r="I34" s="2" t="inlineStr">
        <is>
          <t>Generic submittal list; no exterior framing in scope (code analysis 'NO EXTERIOR WORK', perimeter existing).</t>
        </is>
      </c>
      <c r="J34" s="2" t="inlineStr"/>
      <c r="K34" s="2" t="n">
        <v>3</v>
      </c>
    </row>
    <row r="35">
      <c r="A35" s="2" t="n">
        <v>34</v>
      </c>
      <c r="B35" s="2" t="inlineStr">
        <is>
          <t>A-001</t>
        </is>
      </c>
      <c r="C35" s="2" t="inlineStr">
        <is>
          <t>General note</t>
        </is>
      </c>
      <c r="D35" s="2" t="inlineStr">
        <is>
          <t>FIRE DAMPERS ARE REQUIRED IF DUCTS PENETRATE THE CEILING OF A FIRE-RESISTIVE FLOOR-CEILING ASSEMBLY, OR PENETRATE FIRE-RATED CORRIDOR WALLS. PROVIDE AS REQUIRED.</t>
        </is>
      </c>
      <c r="E35" s="2" t="inlineStr">
        <is>
          <t>EXCLUDED</t>
        </is>
      </c>
      <c r="F35" s="2" t="inlineStr">
        <is>
          <t>Scope Checklist ALC-22</t>
        </is>
      </c>
      <c r="G35" s="4" t="inlineStr">
        <is>
          <t>EXCLUDED</t>
        </is>
      </c>
      <c r="H35" s="2" t="inlineStr">
        <is>
          <t>General note 9</t>
        </is>
      </c>
      <c r="I35" s="2" t="inlineStr">
        <is>
          <t>Mechanical trade; no rated assemblies in the new scope (A-002 'FIRE DAMPERS' Not Applicable).</t>
        </is>
      </c>
      <c r="J35" s="2" t="inlineStr"/>
      <c r="K35" s="2" t="n">
        <v>3</v>
      </c>
    </row>
    <row r="36">
      <c r="A36" s="2" t="n">
        <v>35</v>
      </c>
      <c r="B36" s="2" t="inlineStr">
        <is>
          <t>A-001</t>
        </is>
      </c>
      <c r="C36" s="2" t="inlineStr">
        <is>
          <t>General note</t>
        </is>
      </c>
      <c r="D36" s="2" t="inlineStr">
        <is>
          <t>INTERIOR TENANT FIT-OUT WITHIN AN EXISTING SPACE IN AN EXISTING BUILDING. NO CHANGE TO USE OR OCCUPANCY. NO EXTERIOR WORK. / CONSTRUCTION CLASSIFICATION TYPE 2B</t>
        </is>
      </c>
      <c r="E36" s="2" t="inlineStr">
        <is>
          <t>EXCLUDED</t>
        </is>
      </c>
      <c r="F36" s="2" t="inlineStr">
        <is>
          <t>Scope Checklist ALC-02, ALC-03, ALC-09, ALC-14</t>
        </is>
      </c>
      <c r="G36" s="4" t="inlineStr">
        <is>
          <t>EXCLUDED</t>
        </is>
      </c>
      <c r="H36" s="2" t="inlineStr">
        <is>
          <t>Building code analysis - Architectural description</t>
        </is>
      </c>
      <c r="I36" s="2" t="inlineStr">
        <is>
          <t>Supports the exclusion of exterior framing / sheathing / parapet / canopy. Suggest adding this citation to ALC-02.</t>
        </is>
      </c>
      <c r="J36" s="2" t="inlineStr">
        <is>
          <t>A-001_code-analysis-no-exterior-work.png</t>
        </is>
      </c>
      <c r="K36" s="2" t="n">
        <v>3</v>
      </c>
    </row>
    <row r="37">
      <c r="A37" s="2" t="n">
        <v>36</v>
      </c>
      <c r="B37" s="2" t="inlineStr">
        <is>
          <t>A-001</t>
        </is>
      </c>
      <c r="C37" s="2" t="inlineStr">
        <is>
          <t>Legend</t>
        </is>
      </c>
      <c r="D37" s="2" t="inlineStr">
        <is>
          <t>C.J. CONTROL JOINT; BLK'G BLOCKING; F.R. FIRE RETARDANT; PLY'D PLYWOOD; SUSP. CLG. SUSPENDED CEILING</t>
        </is>
      </c>
      <c r="E37" s="2" t="inlineStr">
        <is>
          <t>RFI</t>
        </is>
      </c>
      <c r="F37" s="2" t="inlineStr">
        <is>
          <t>Pending Items RFI-24 (control joints)</t>
        </is>
      </c>
      <c r="G37" s="5" t="inlineStr">
        <is>
          <t>RFI</t>
        </is>
      </c>
      <c r="H37" s="2" t="inlineStr">
        <is>
          <t>Abbreviations (C.J., BLK'G, F.R., SUSP. CLG.)</t>
        </is>
      </c>
      <c r="I37" s="2" t="inlineStr">
        <is>
          <t>Abbreviation list only; 'C.J.' defined but no control joint is drawn - consistent with RFI-24.</t>
        </is>
      </c>
      <c r="J37" s="2" t="inlineStr"/>
      <c r="K37" s="2" t="n">
        <v>3</v>
      </c>
    </row>
    <row r="38">
      <c r="A38" s="2" t="n">
        <v>37</v>
      </c>
      <c r="B38" s="2" t="inlineStr">
        <is>
          <t>A-002</t>
        </is>
      </c>
      <c r="C38" s="2" t="inlineStr">
        <is>
          <t>General note</t>
        </is>
      </c>
      <c r="D38" s="2" t="inlineStr">
        <is>
          <t>ITEMS NOT LISTED ABOVE, BUT INCLUDED IN THE CONSTRUCTION DRAWINGS AND/OR SPECIFICATIONS DO NOT RELIEVE THE GENERAL CONTRACTOR FROM RESPONSIBILITY FOR THE SUPPLY AND INSTALLATION OF THOSE ITEMS.</t>
        </is>
      </c>
      <c r="E38" s="2" t="inlineStr">
        <is>
          <t>Excel row</t>
        </is>
      </c>
      <c r="F38" s="2" t="inlineStr">
        <is>
          <t>Scope Checklist (all rows)</t>
        </is>
      </c>
      <c r="G38" s="3" t="inlineStr">
        <is>
          <t>COVERED</t>
        </is>
      </c>
      <c r="H38" s="2" t="inlineStr">
        <is>
          <t>Responsibility schedule note 2</t>
        </is>
      </c>
      <c r="I38" s="2" t="inlineStr">
        <is>
          <t>General: items drawn/specified are in scope even if not in the schedule (e.g. FRP, Unistrut).</t>
        </is>
      </c>
      <c r="J38" s="2" t="inlineStr">
        <is>
          <t>A-002_notes.png</t>
        </is>
      </c>
      <c r="K38" s="2" t="n">
        <v>4</v>
      </c>
    </row>
    <row r="39">
      <c r="A39" s="2" t="n">
        <v>38</v>
      </c>
      <c r="B39" s="2" t="inlineStr">
        <is>
          <t>A-002</t>
        </is>
      </c>
      <c r="C39" s="2" t="inlineStr">
        <is>
          <t>Schedule note</t>
        </is>
      </c>
      <c r="D39" s="2" t="inlineStr">
        <is>
          <t>STRUCTURAL &amp; LIGHT GAUGE METAL FRAMING - Furnish: Landlord X, Tenant Contractor X; Install: Tenant Contractor X - PERIMETER STUDS, INSULATION, VAPOR BARRIER F/I BY LL</t>
        </is>
      </c>
      <c r="E39" s="2" t="inlineStr">
        <is>
          <t>Excel row</t>
        </is>
      </c>
      <c r="F39" s="2" t="inlineStr">
        <is>
          <t>Scope Checklist ALC-01 (interior framing) + ALC-02 / Pending Items RFI-01 (perimeter excluded)</t>
        </is>
      </c>
      <c r="G39" s="3" t="inlineStr">
        <is>
          <t>COVERED</t>
        </is>
      </c>
      <c r="H39" s="2" t="inlineStr">
        <is>
          <t>Div 05 STRUCTURAL &amp; LIGHT GAUGE METAL FRAMING (REV 1)</t>
        </is>
      </c>
      <c r="I39" s="2" t="inlineStr">
        <is>
          <t>Interior framing F/I TC carried; perimeter studs F/I by LL excluded (estimator decision RFI-01).</t>
        </is>
      </c>
      <c r="J39" s="2" t="inlineStr">
        <is>
          <t>A-002_resp-div05-09.png</t>
        </is>
      </c>
      <c r="K39" s="2" t="n">
        <v>4</v>
      </c>
    </row>
    <row r="40">
      <c r="A40" s="2" t="n">
        <v>39</v>
      </c>
      <c r="B40" s="2" t="inlineStr">
        <is>
          <t>A-002</t>
        </is>
      </c>
      <c r="C40" s="2" t="inlineStr">
        <is>
          <t>Schedule note</t>
        </is>
      </c>
      <c r="D40" s="2" t="inlineStr">
        <is>
          <t>DEMISING WALL STUDS - Existing X, Landlord X - CMU EXTERIOR WALL ADJACENT TO ULTA BUILDING</t>
        </is>
      </c>
      <c r="E40" s="2" t="inlineStr">
        <is>
          <t>EXCLUDED</t>
        </is>
      </c>
      <c r="F40" s="2" t="inlineStr">
        <is>
          <t>Scope Checklist ALC-02; Pending Items RFI-01</t>
        </is>
      </c>
      <c r="G40" s="4" t="inlineStr">
        <is>
          <t>EXCLUDED</t>
        </is>
      </c>
      <c r="H40" s="2" t="inlineStr">
        <is>
          <t>Div 05 DEMISING WALL STUDS (REV 1)</t>
        </is>
      </c>
      <c r="I40" s="2" t="inlineStr">
        <is>
          <t>Existing / landlord; demising wall to the adjacent tenant is CMU. Suggest adding this REV1 remark to the RFI-01 citation (currently quotes only the PERIMETER STUDS remark).</t>
        </is>
      </c>
      <c r="J40" s="2" t="inlineStr">
        <is>
          <t>A-002_resp-div05-09.png</t>
        </is>
      </c>
      <c r="K40" s="2" t="n">
        <v>4</v>
      </c>
    </row>
    <row r="41">
      <c r="A41" s="2" t="n">
        <v>40</v>
      </c>
      <c r="B41" s="2" t="inlineStr">
        <is>
          <t>A-002</t>
        </is>
      </c>
      <c r="C41" s="2" t="inlineStr">
        <is>
          <t>Schedule note</t>
        </is>
      </c>
      <c r="D41" s="2" t="inlineStr">
        <is>
          <t>STRUCTURAL STEEL - Existing X</t>
        </is>
      </c>
      <c r="E41" s="2" t="inlineStr">
        <is>
          <t>EXCLUDED</t>
        </is>
      </c>
      <c r="F41" s="2" t="inlineStr">
        <is>
          <t>n/a (existing)</t>
        </is>
      </c>
      <c r="G41" s="4" t="inlineStr">
        <is>
          <t>EXCLUDED</t>
        </is>
      </c>
      <c r="H41" s="2" t="inlineStr">
        <is>
          <t>Div 05 STRUCTURAL STEEL</t>
        </is>
      </c>
      <c r="I41" s="2" t="inlineStr">
        <is>
          <t>Existing structure.</t>
        </is>
      </c>
      <c r="J41" s="2" t="inlineStr">
        <is>
          <t>A-002_resp-div05-09.png</t>
        </is>
      </c>
      <c r="K41" s="2" t="n">
        <v>4</v>
      </c>
    </row>
    <row r="42">
      <c r="A42" s="2" t="n">
        <v>41</v>
      </c>
      <c r="B42" s="2" t="inlineStr">
        <is>
          <t>A-002</t>
        </is>
      </c>
      <c r="C42" s="2" t="inlineStr">
        <is>
          <t>Schedule note</t>
        </is>
      </c>
      <c r="D42" s="2" t="inlineStr">
        <is>
          <t>ROUGH FRAMING, BLOCKING AND FURRING - Furnish: Tenant Contractor X; Install: Tenant Contractor X</t>
        </is>
      </c>
      <c r="E42" s="2" t="inlineStr">
        <is>
          <t>Excel row</t>
        </is>
      </c>
      <c r="F42" s="2" t="inlineStr">
        <is>
          <t>Material Summary!R18, R29, R30; Scope Checklist ALC-16</t>
        </is>
      </c>
      <c r="G42" s="3" t="inlineStr">
        <is>
          <t>COVERED</t>
        </is>
      </c>
      <c r="H42" s="2" t="inlineStr">
        <is>
          <t>Div 06 ROUGH FRAMING, BLOCKING AND FURRING</t>
        </is>
      </c>
      <c r="I42" s="2" t="inlineStr">
        <is>
          <t>F/I by tenant contractor = in our scope; carried.</t>
        </is>
      </c>
      <c r="J42" s="2" t="inlineStr">
        <is>
          <t>A-002_resp-div06-08-09.png</t>
        </is>
      </c>
      <c r="K42" s="2" t="n">
        <v>4</v>
      </c>
    </row>
    <row r="43">
      <c r="A43" s="2" t="n">
        <v>42</v>
      </c>
      <c r="B43" s="2" t="inlineStr">
        <is>
          <t>A-002</t>
        </is>
      </c>
      <c r="C43" s="2" t="inlineStr">
        <is>
          <t>Schedule note</t>
        </is>
      </c>
      <c r="D43" s="2" t="inlineStr">
        <is>
          <t>BATT INSULATION - Existing X / SOUND BATTING - Furnish: Tenant Contractor X; Install: Tenant Contractor X</t>
        </is>
      </c>
      <c r="E43" s="2" t="inlineStr">
        <is>
          <t>EXCLUDED</t>
        </is>
      </c>
      <c r="F43" s="2" t="inlineStr">
        <is>
          <t>Scope Checklist ALC-X25 (estimator criterion: no insulation)</t>
        </is>
      </c>
      <c r="G43" s="4" t="inlineStr">
        <is>
          <t>EXCLUDED</t>
        </is>
      </c>
      <c r="H43" s="2" t="inlineStr">
        <is>
          <t>Div 07 BATT INSULATION / SOUND BATTING</t>
        </is>
      </c>
      <c r="I43" s="2" t="inlineStr">
        <is>
          <t>Batt insulation existing. Sound batting is F/I TC on this schedule but excluded by the estimator's standing criterion; must be listed as an explicit exclusion in the proposal.</t>
        </is>
      </c>
      <c r="J43" s="2" t="inlineStr">
        <is>
          <t>A-002_resp-div06-08-09.png</t>
        </is>
      </c>
      <c r="K43" s="2" t="n">
        <v>4</v>
      </c>
    </row>
    <row r="44">
      <c r="A44" s="2" t="n">
        <v>43</v>
      </c>
      <c r="B44" s="2" t="inlineStr">
        <is>
          <t>A-002</t>
        </is>
      </c>
      <c r="C44" s="2" t="inlineStr">
        <is>
          <t>Schedule note</t>
        </is>
      </c>
      <c r="D44" s="2" t="inlineStr">
        <is>
          <t>FIRE PROOFING / STOPPING - Existing X / SEALANTS &amp; CAULKING - Furnish TC X, Install TC X</t>
        </is>
      </c>
      <c r="E44" s="2" t="inlineStr">
        <is>
          <t>EXCLUDED</t>
        </is>
      </c>
      <c r="F44" s="2" t="inlineStr">
        <is>
          <t>Scope Checklist ALC-19, ALC-22</t>
        </is>
      </c>
      <c r="G44" s="4" t="inlineStr">
        <is>
          <t>EXCLUDED</t>
        </is>
      </c>
      <c r="H44" s="2" t="inlineStr">
        <is>
          <t>Div 07 FIRE PROOFING / STOPPING; SEALANTS &amp; CAULKING</t>
        </is>
      </c>
      <c r="I44" s="2" t="inlineStr">
        <is>
          <t>Fire proofing/stopping existing; general sealants are other trades; acoustical sealant excluded by standing order.</t>
        </is>
      </c>
      <c r="J44" s="2" t="inlineStr">
        <is>
          <t>A-002_resp-div05-09.png</t>
        </is>
      </c>
      <c r="K44" s="2" t="n">
        <v>4</v>
      </c>
    </row>
    <row r="45">
      <c r="A45" s="2" t="n">
        <v>44</v>
      </c>
      <c r="B45" s="2" t="inlineStr">
        <is>
          <t>A-002</t>
        </is>
      </c>
      <c r="C45" s="2" t="inlineStr">
        <is>
          <t>Schedule note</t>
        </is>
      </c>
      <c r="D45" s="2" t="inlineStr">
        <is>
          <t>ACCESS PANELS - Furnish: Tenant Contractor X; Install: Tenant Contractor X</t>
        </is>
      </c>
      <c r="E45" s="2" t="inlineStr">
        <is>
          <t>RFI</t>
        </is>
      </c>
      <c r="F45" s="2" t="inlineStr">
        <is>
          <t>Pending Items RFI-30; Material Summary!R39</t>
        </is>
      </c>
      <c r="G45" s="5" t="inlineStr">
        <is>
          <t>RFI</t>
        </is>
      </c>
      <c r="H45" s="2" t="inlineStr">
        <is>
          <t>Div 08 ACCESS PANELS</t>
        </is>
      </c>
      <c r="I45" s="2" t="inlineStr">
        <is>
          <t>Already cited in RFI-30 (F/I tenant contractor, quantity not shown).</t>
        </is>
      </c>
      <c r="J45" s="2" t="inlineStr">
        <is>
          <t>A-002_resp-div06-08-09.png</t>
        </is>
      </c>
      <c r="K45" s="2" t="n">
        <v>4</v>
      </c>
    </row>
    <row r="46">
      <c r="A46" s="2" t="n">
        <v>45</v>
      </c>
      <c r="B46" s="2" t="inlineStr">
        <is>
          <t>A-002</t>
        </is>
      </c>
      <c r="C46" s="2" t="inlineStr">
        <is>
          <t>Schedule note</t>
        </is>
      </c>
      <c r="D46" s="2" t="inlineStr">
        <is>
          <t>VESTIBULE - Furnish: Tenant Contractor X; Install: Tenant Contractor X</t>
        </is>
      </c>
      <c r="E46" s="2" t="inlineStr">
        <is>
          <t>Excel row</t>
        </is>
      </c>
      <c r="F46" s="2" t="inlineStr">
        <is>
          <t>Material Summary!R10, R21, R13, R30 (vestibule box per 4/A-210, 5/A-210, 6/A-210); Pending Items RFI-16</t>
        </is>
      </c>
      <c r="G46" s="3" t="inlineStr">
        <is>
          <t>COVERED</t>
        </is>
      </c>
      <c r="H46" s="2" t="inlineStr">
        <is>
          <t>Div 08 VESTIBULE</t>
        </is>
      </c>
      <c r="I46" s="2" t="inlineStr">
        <is>
          <t>Vestibule box framing, FRT plywood and GWB carried.</t>
        </is>
      </c>
      <c r="J46" s="2" t="inlineStr">
        <is>
          <t>A-002_resp-div05-09.png</t>
        </is>
      </c>
      <c r="K46" s="2" t="n">
        <v>4</v>
      </c>
    </row>
    <row r="47">
      <c r="A47" s="2" t="n">
        <v>46</v>
      </c>
      <c r="B47" s="2" t="inlineStr">
        <is>
          <t>A-002</t>
        </is>
      </c>
      <c r="C47" s="2" t="inlineStr">
        <is>
          <t>Schedule note</t>
        </is>
      </c>
      <c r="D47" s="2" t="inlineStr">
        <is>
          <t>GYPSUM BOARD, DEMISING PARTITIONS - Existing X, Furnish TC X, Install TC X - PATCH/ REPAIR AS REQUIRED</t>
        </is>
      </c>
      <c r="E47" s="2" t="inlineStr">
        <is>
          <t>Excel row</t>
        </is>
      </c>
      <c r="F47" s="2" t="inlineStr">
        <is>
          <t>Pending Items RFI-01 / RFI-25 (patch &amp; repair ALLOWANCE, amount blank)</t>
        </is>
      </c>
      <c r="G47" s="3" t="inlineStr">
        <is>
          <t>COVERED</t>
        </is>
      </c>
      <c r="H47" s="2" t="inlineStr">
        <is>
          <t>Div 09 GYPSUM BOARD, DEMISING PARTITIONS</t>
        </is>
      </c>
      <c r="I47" s="2" t="inlineStr">
        <is>
          <t>Existing demising board, patch/repair carried as allowance (estimator decision).</t>
        </is>
      </c>
      <c r="J47" s="2" t="inlineStr">
        <is>
          <t>A-002_resp-div05-09.png</t>
        </is>
      </c>
      <c r="K47" s="2" t="n">
        <v>4</v>
      </c>
    </row>
    <row r="48">
      <c r="A48" s="2" t="n">
        <v>47</v>
      </c>
      <c r="B48" s="2" t="inlineStr">
        <is>
          <t>A-002</t>
        </is>
      </c>
      <c r="C48" s="2" t="inlineStr">
        <is>
          <t>Schedule note</t>
        </is>
      </c>
      <c r="D48" s="2" t="inlineStr">
        <is>
          <t>GYPSUM BOARD - Furnish: Tenant Contractor X; Install: Tenant Contractor X</t>
        </is>
      </c>
      <c r="E48" s="2" t="inlineStr">
        <is>
          <t>Excel row</t>
        </is>
      </c>
      <c r="F48" s="2" t="inlineStr">
        <is>
          <t>Material Summary!R19, R20; Scope Checklist ALC-07, ALC-08, ALC-11</t>
        </is>
      </c>
      <c r="G48" s="3" t="inlineStr">
        <is>
          <t>COVERED</t>
        </is>
      </c>
      <c r="H48" s="2" t="inlineStr">
        <is>
          <t>Div 09 GYPSUM BOARD</t>
        </is>
      </c>
      <c r="I48" s="2" t="inlineStr">
        <is>
          <t>Carried.</t>
        </is>
      </c>
      <c r="J48" s="2" t="inlineStr">
        <is>
          <t>A-002_resp-div06-08-09.png</t>
        </is>
      </c>
      <c r="K48" s="2" t="n">
        <v>4</v>
      </c>
    </row>
    <row r="49">
      <c r="A49" s="2" t="n">
        <v>48</v>
      </c>
      <c r="B49" s="2" t="inlineStr">
        <is>
          <t>A-002</t>
        </is>
      </c>
      <c r="C49" s="2" t="inlineStr">
        <is>
          <t>Schedule note</t>
        </is>
      </c>
      <c r="D49" s="2" t="inlineStr">
        <is>
          <t>ACOUSTICAL CEILING SYSTEM - Furnish: Tenant Contractor X; Install: Tenant Contractor X</t>
        </is>
      </c>
      <c r="E49" s="2" t="inlineStr">
        <is>
          <t>NO DESTINATION (GAP) - proposed</t>
        </is>
      </c>
      <c r="F49" s="2" t="inlineStr">
        <is>
          <t>none (no ACT row, no exclusion, no RFI; ACT-1 only mentioned as a ceiling height in RFI-06)</t>
        </is>
      </c>
      <c r="G49" s="6" t="inlineStr">
        <is>
          <t>GAP</t>
        </is>
      </c>
      <c r="H49" s="2" t="inlineStr">
        <is>
          <t>Div 09 ACOUSTICAL CEILING SYSTEM</t>
        </is>
      </c>
      <c r="I49" s="2" t="inlineStr">
        <is>
          <t>ACT ceilings (ACT-1 on A-121, e.g. Cafe Workroom 104, BOH rooms) are F/I by the tenant contractor and are Div 09 ceilings, but the Excel neither quantifies them nor excludes them. Proposal: add Scope Checklist row 'Acoustical ceiling system (ACT grid + tile, A-121 ACT-1) - EXCLUDED, by ceiling contractor (A-002 F/I TC)' or, if the estimator carries ACT, add grid/tile rows from A-121 areas (delta = ACT SF from A-121, PENDING).</t>
        </is>
      </c>
      <c r="J49" s="2" t="inlineStr">
        <is>
          <t>A-002_resp-ACT.png</t>
        </is>
      </c>
      <c r="K49" s="2" t="n">
        <v>4</v>
      </c>
    </row>
    <row r="50">
      <c r="A50" s="2" t="n">
        <v>49</v>
      </c>
      <c r="B50" s="2" t="inlineStr">
        <is>
          <t>A-002</t>
        </is>
      </c>
      <c r="C50" s="2" t="inlineStr">
        <is>
          <t>Schedule note</t>
        </is>
      </c>
      <c r="D50" s="2" t="inlineStr">
        <is>
          <t>REVEALS - Not Applicable X</t>
        </is>
      </c>
      <c r="E50" s="2" t="inlineStr">
        <is>
          <t>EXCLUDED</t>
        </is>
      </c>
      <c r="F50" s="2" t="inlineStr">
        <is>
          <t>Scope Checklist ALC-18</t>
        </is>
      </c>
      <c r="G50" s="4" t="inlineStr">
        <is>
          <t>EXCLUDED</t>
        </is>
      </c>
      <c r="H50" s="2" t="inlineStr">
        <is>
          <t>Div 09 REVEALS</t>
        </is>
      </c>
      <c r="I50" s="2" t="inlineStr">
        <is>
          <t>No reveals in scope.</t>
        </is>
      </c>
      <c r="J50" s="2" t="inlineStr">
        <is>
          <t>A-002_resp-div05-09.png</t>
        </is>
      </c>
      <c r="K50" s="2" t="n">
        <v>4</v>
      </c>
    </row>
    <row r="51">
      <c r="A51" s="2" t="n">
        <v>50</v>
      </c>
      <c r="B51" s="2" t="inlineStr">
        <is>
          <t>A-002</t>
        </is>
      </c>
      <c r="C51" s="2" t="inlineStr">
        <is>
          <t>Schedule note</t>
        </is>
      </c>
      <c r="D51" s="2" t="inlineStr">
        <is>
          <t>WALL TILE - Furnish: Tenant X; Install: Tenant Contractor X / PAINT/PAINTING &amp; ACCESSORIES - F/I TC - 1 PRIMER, 2 COATS FINISH MIN.</t>
        </is>
      </c>
      <c r="E51" s="2" t="inlineStr">
        <is>
          <t>RFI</t>
        </is>
      </c>
      <c r="F51" s="2" t="inlineStr">
        <is>
          <t>Pending Items RFI-12 (cement board backer); painting = other trade</t>
        </is>
      </c>
      <c r="G51" s="5" t="inlineStr">
        <is>
          <t>RFI</t>
        </is>
      </c>
      <c r="H51" s="2" t="inlineStr">
        <is>
          <t>Div 09 WALL TILE / PAINT</t>
        </is>
      </c>
      <c r="I51" s="2" t="inlineStr">
        <is>
          <t>Tile backer open in RFI-12 (backer type stated by A-001A Div 09 J.2); paint not drywall.</t>
        </is>
      </c>
      <c r="J51" s="2" t="inlineStr"/>
      <c r="K51" s="2" t="n">
        <v>4</v>
      </c>
    </row>
    <row r="52">
      <c r="A52" s="2" t="n">
        <v>51</v>
      </c>
      <c r="B52" s="2" t="inlineStr">
        <is>
          <t>A-002</t>
        </is>
      </c>
      <c r="C52" s="2" t="inlineStr">
        <is>
          <t>Schedule note</t>
        </is>
      </c>
      <c r="D52" s="2" t="inlineStr">
        <is>
          <t>CAFE SIGNAGE - ILLUMINATED - Furnish: Tenant X; Install: Tenant X - GC TO PROVIDE POWER, BLOCKING, AND STRUT CHANNEL</t>
        </is>
      </c>
      <c r="E52" s="2" t="inlineStr">
        <is>
          <t>NO DESTINATION (GAP) - proposed</t>
        </is>
      </c>
      <c r="F52" s="2" t="inlineStr">
        <is>
          <t>Blocking: Material Summary!R30 MENU-BOARD-FRT 60.6 SF (4/A-226A). Strut channel: none</t>
        </is>
      </c>
      <c r="G52" s="6" t="inlineStr">
        <is>
          <t>GAP</t>
        </is>
      </c>
      <c r="H52" s="2" t="inlineStr">
        <is>
          <t>Div 10 CAFE SIGNAGE - ILLUMINATED</t>
        </is>
      </c>
      <c r="I52" s="2" t="inlineStr">
        <is>
          <t>Blocking for the cafe menu boards is carried (RFI-23). The STRUT CHANNEL the GC must provide has no row, exclusion or RFI. Proposal: same new RFI as A-001A Div 05 D (Unistrut): strut channel at cafe signage - length/location not drawn (A-226A); delta = strut LF (PENDING); or exclude as electrical.</t>
        </is>
      </c>
      <c r="J52" s="2" t="inlineStr">
        <is>
          <t>A-002_resp-div10-div12.png</t>
        </is>
      </c>
      <c r="K52" s="2" t="n">
        <v>4</v>
      </c>
    </row>
    <row r="53">
      <c r="A53" s="2" t="n">
        <v>52</v>
      </c>
      <c r="B53" s="2" t="inlineStr">
        <is>
          <t>A-002</t>
        </is>
      </c>
      <c r="C53" s="2" t="inlineStr">
        <is>
          <t>Schedule note</t>
        </is>
      </c>
      <c r="D53" s="2" t="inlineStr">
        <is>
          <t>BLOCKING/POWER FOR SIGNAGE - Furnish TC X, Install TC X / TOILET ROOM MIRRORS - F/I TC / TOILET ROOM ACCESSORIES - Furnish Tenant, Install TC - GC TO COOR. WITH B&amp;N VENDOR</t>
        </is>
      </c>
      <c r="E53" s="2" t="inlineStr">
        <is>
          <t>Excel row</t>
        </is>
      </c>
      <c r="F53" s="2" t="inlineStr">
        <is>
          <t>Material Summary!R30 (MENU-BOARD-FRT, RESTROOM-BACKING-FRT); Pending Items RFI-23, RFI-36</t>
        </is>
      </c>
      <c r="G53" s="3" t="inlineStr">
        <is>
          <t>COVERED</t>
        </is>
      </c>
      <c r="H53" s="2" t="inlineStr">
        <is>
          <t>Div 10 BLOCKING/POWER FOR SIGNAGE; TOILET ROOM MIRRORS; TOILET ROOM ACCESSORIES</t>
        </is>
      </c>
      <c r="I53" s="2" t="inlineStr">
        <is>
          <t>Signage blocking carried at the cafe menu boards; restroom accessory/mirror backing carried (21, 26/A-201). Other signage locations not drawn.</t>
        </is>
      </c>
      <c r="J53" s="2" t="inlineStr">
        <is>
          <t>A-002_resp-div10-div12.png</t>
        </is>
      </c>
      <c r="K53" s="2" t="n">
        <v>4</v>
      </c>
    </row>
    <row r="54">
      <c r="A54" s="2" t="n">
        <v>53</v>
      </c>
      <c r="B54" s="2" t="inlineStr">
        <is>
          <t>A-002</t>
        </is>
      </c>
      <c r="C54" s="2" t="inlineStr">
        <is>
          <t>Schedule note</t>
        </is>
      </c>
      <c r="D54" s="2" t="inlineStr">
        <is>
          <t>SEISMIC BRACING - Furnish: Tenant Contractor X; Install: Tenant Contractor X</t>
        </is>
      </c>
      <c r="E54" s="2" t="inlineStr">
        <is>
          <t>NO DESTINATION (GAP) - proposed</t>
        </is>
      </c>
      <c r="F54" s="2" t="inlineStr">
        <is>
          <t>none</t>
        </is>
      </c>
      <c r="G54" s="6" t="inlineStr">
        <is>
          <t>GAP</t>
        </is>
      </c>
      <c r="H54" s="2" t="inlineStr">
        <is>
          <t>Div 10 SEISMIC BRACING</t>
        </is>
      </c>
      <c r="I54" s="2" t="inlineStr">
        <is>
          <t>Seismic bracing is F/I by the tenant contractor, but the Excel has no seismic bracing for ceilings/soffits/partitions (no row, exclusion or RFI). No seismic detail found on A-410/A-121 per the Excel sources. Proposal: Pending RFI 'Seismic bracing (A-002 Div 10): which elements (GWB ceilings, Cafe cloud, soffits, partial-height walls types 3/4)? not detailed' - delta PENDING (e.g. splay wires + compression post per hanger grid of R31: 103 hangers).</t>
        </is>
      </c>
      <c r="J54" s="2" t="inlineStr">
        <is>
          <t>A-002_resp-div10-div12.png</t>
        </is>
      </c>
      <c r="K54" s="2" t="n">
        <v>4</v>
      </c>
    </row>
    <row r="55">
      <c r="A55" s="2" t="n">
        <v>54</v>
      </c>
      <c r="B55" s="2" t="inlineStr">
        <is>
          <t>A-002</t>
        </is>
      </c>
      <c r="C55" s="2" t="inlineStr">
        <is>
          <t>Schedule note</t>
        </is>
      </c>
      <c r="D55" s="2" t="inlineStr">
        <is>
          <t>FIRE EXTINGUISHER(S) AND CABINETS - Furnish: Tenant Contractor X; Install: Tenant Contractor X - COORDINATE WITH A.H.J. ON LOCATIONS</t>
        </is>
      </c>
      <c r="E55" s="2" t="inlineStr">
        <is>
          <t>NO DESTINATION (GAP) - proposed</t>
        </is>
      </c>
      <c r="F55" s="2" t="inlineStr">
        <is>
          <t>none (Material Summary!R34 'Extra framing - recess' = 0, covers ATM only)</t>
        </is>
      </c>
      <c r="G55" s="6" t="inlineStr">
        <is>
          <t>GAP</t>
        </is>
      </c>
      <c r="H55" s="2" t="inlineStr">
        <is>
          <t>Div 10 FIRE EXTINGUISHER(S) AND CABINETS</t>
        </is>
      </c>
      <c r="I55" s="2" t="inlineStr">
        <is>
          <t>If the cabinets are recessed/semi-recessed in new stud walls, a framed opening (head + sill track, jamb studs) and backing are needed; locations by AHJ (A-001 GN 5), not drawn. Proposal: add to an RFI 'FEC cabinets recessed or surface? count/locations' - delta per recessed cabinet ~ 2 jamb studs + 2 track pieces (PENDING), or note as excluded/surface-mounted.</t>
        </is>
      </c>
      <c r="J55" s="2" t="inlineStr">
        <is>
          <t>A-002_resp-div10-div12.png</t>
        </is>
      </c>
      <c r="K55" s="2" t="n">
        <v>4</v>
      </c>
    </row>
    <row r="56">
      <c r="A56" s="2" t="n">
        <v>55</v>
      </c>
      <c r="B56" s="2" t="inlineStr">
        <is>
          <t>A-002</t>
        </is>
      </c>
      <c r="C56" s="2" t="inlineStr">
        <is>
          <t>Schedule note</t>
        </is>
      </c>
      <c r="D56" s="2" t="inlineStr">
        <is>
          <t>RECEIVING TABLE WALL SHELVING - Furnish Tenant, Install TC / JANITOR'S CLOSET SHELVING AND HARDWARE - F/I TC / BREAKROOM CABINETS - NICEWOOD FURNISHES. GC INSTALLS / OFFICE SHELVING AND COUNTERTOP - NICEWOOD FURNISHES. GC INSTALLS</t>
        </is>
      </c>
      <c r="E56" s="2" t="inlineStr">
        <is>
          <t>Excel row</t>
        </is>
      </c>
      <c r="F56" s="2" t="inlineStr">
        <is>
          <t>Material Summary!R18 (BLK-RECEIVING 69, BLK-BREAK 10.67, BLK-OFFICE 85.6), R30 (JANITOR-FRT-11-A200 17 SF); Pending Items RFI-23, RFI-33</t>
        </is>
      </c>
      <c r="G56" s="3" t="inlineStr">
        <is>
          <t>COVERED</t>
        </is>
      </c>
      <c r="H56" s="2" t="inlineStr">
        <is>
          <t>Div 12 RECEIVING TABLE WALL SHELVING / JANITOR'S CLOSET SHELVING / BREAKROOM CABINETS / OFFICE SHELVING AND COUNTERTOP</t>
        </is>
      </c>
      <c r="I56" s="2" t="inlineStr">
        <is>
          <t>Backing for each item carried per detail.</t>
        </is>
      </c>
      <c r="J56" s="2" t="inlineStr">
        <is>
          <t>A-002_resp-div10-div12.png</t>
        </is>
      </c>
      <c r="K56" s="2" t="n">
        <v>4</v>
      </c>
    </row>
    <row r="57">
      <c r="A57" s="2" t="n">
        <v>56</v>
      </c>
      <c r="B57" s="2" t="inlineStr">
        <is>
          <t>A-002</t>
        </is>
      </c>
      <c r="C57" s="2" t="inlineStr">
        <is>
          <t>Schedule note</t>
        </is>
      </c>
      <c r="D57" s="2" t="inlineStr">
        <is>
          <t>SALES PERIMETER WALL SYSTEM - Furnish: Tenant X; Install: Tenant X - BN MILLWORKER INSTALLS</t>
        </is>
      </c>
      <c r="E57" s="2" t="inlineStr">
        <is>
          <t>RFI</t>
        </is>
      </c>
      <c r="F57" s="2" t="inlineStr">
        <is>
          <t>Pending Items RFI-36 (W-3 surface blocking 'BY GC/FIXTURE INSTALLER')</t>
        </is>
      </c>
      <c r="G57" s="5" t="inlineStr">
        <is>
          <t>RFI</t>
        </is>
      </c>
      <c r="H57" s="2" t="inlineStr">
        <is>
          <t>Div 12 SALES PERIMETER WALL SYSTEM</t>
        </is>
      </c>
      <c r="I57" s="2" t="inlineStr">
        <is>
          <t>Wall system installed by B&amp;N millworker; any blocking behind it is the open RFI-36 question.</t>
        </is>
      </c>
      <c r="J57" s="2" t="inlineStr"/>
      <c r="K57" s="2" t="n">
        <v>4</v>
      </c>
    </row>
    <row r="58">
      <c r="A58" s="2" t="n">
        <v>57</v>
      </c>
      <c r="B58" s="2" t="inlineStr">
        <is>
          <t>A-002</t>
        </is>
      </c>
      <c r="C58" s="2" t="inlineStr">
        <is>
          <t>Schedule note</t>
        </is>
      </c>
      <c r="D58" s="2" t="inlineStr">
        <is>
          <t>Nicewood - Sales Floor Fixtures / Cafe Wood Paneling</t>
        </is>
      </c>
      <c r="E58" s="2" t="inlineStr">
        <is>
          <t>Excel row</t>
        </is>
      </c>
      <c r="F58" s="2" t="inlineStr">
        <is>
          <t>Material Summary!R29 (5/8" FRT plywood substrate behind WD-1)</t>
        </is>
      </c>
      <c r="G58" s="3" t="inlineStr">
        <is>
          <t>COVERED</t>
        </is>
      </c>
      <c r="H58" s="2" t="inlineStr">
        <is>
          <t>Vendor list - Nicewood</t>
        </is>
      </c>
      <c r="I58" s="2" t="inlineStr">
        <is>
          <t>Cafe wood paneling (WD-1) by vendor; our scope = FRT plywood substrate, carried.</t>
        </is>
      </c>
      <c r="J58" s="2" t="inlineStr"/>
      <c r="K58" s="2" t="n">
        <v>4</v>
      </c>
    </row>
    <row r="59">
      <c r="A59" s="2" t="n">
        <v>58</v>
      </c>
      <c r="B59" s="2" t="inlineStr">
        <is>
          <t>A-003</t>
        </is>
      </c>
      <c r="C59" s="2" t="inlineStr">
        <is>
          <t>General note</t>
        </is>
      </c>
      <c r="D59" s="2" t="inlineStr">
        <is>
          <t>Egress Plan 1/A-003 (exit paths, travel distances, occupant load boxes, EM1/EM2/X1/X2 emergency light symbols); NOTE: SEE BUILDING CODE ANALYSIS, PROPOSED OCCUPANCY LOAD AND EGRESS ANALYSIS ON A-001</t>
        </is>
      </c>
      <c r="E59" s="2" t="inlineStr">
        <is>
          <t>Excel row</t>
        </is>
      </c>
      <c r="F59" s="2" t="inlineStr">
        <is>
          <t>n/a - Sheet reviewed - no Div 05/09 content</t>
        </is>
      </c>
      <c r="G59" s="3" t="inlineStr">
        <is>
          <t>COVERED</t>
        </is>
      </c>
      <c r="H59" s="2" t="inlineStr">
        <is>
          <t>Sheet reviewed</t>
        </is>
      </c>
      <c r="I59" s="2" t="inlineStr">
        <is>
          <t>Life-safety egress plan only; partitions shown as background, no partition tags, details or framing/drywall notes.</t>
        </is>
      </c>
      <c r="J59" s="2" t="inlineStr"/>
      <c r="K59" s="2" t="n">
        <v>5</v>
      </c>
    </row>
    <row r="60">
      <c r="A60" s="2" t="n">
        <v>59</v>
      </c>
      <c r="B60" s="2" t="inlineStr">
        <is>
          <t>A-101</t>
        </is>
      </c>
      <c r="C60" s="2" t="inlineStr">
        <is>
          <t>General note</t>
        </is>
      </c>
      <c r="D60" s="2" t="inlineStr">
        <is>
          <t>1. G.C. TO UTILIZE LANDLORD'S ROOFING CONTRACTOR ... 2. G.C. TO CHOP, TRENCH, OR CORE ... 3. ALL ITEMS TO BE SUPPLIED AND INSTALLED BY GENERAL CONTRACTOR UNLESS SPECIFICALLY LISTED "BY OTHERS", "BY LANDLORD", OR "BY SHELL CONTRACTOR". 4./5. definitions of G.C. / LANDLORD. 6. permits and fees. 7. ALL MECHANICAL, PLUMBING, AND ELECTRICAL EQUIPMENTS BE PROPERLY SUPPORTED FROM STEEL STRUCTURE, NOT ROOF DECK.</t>
        </is>
      </c>
      <c r="E60" s="2" t="inlineStr">
        <is>
          <t>EXCLUDED</t>
        </is>
      </c>
      <c r="F60" s="2" t="inlineStr">
        <is>
          <t>n/a</t>
        </is>
      </c>
      <c r="G60" s="4" t="inlineStr">
        <is>
          <t>EXCLUDED</t>
        </is>
      </c>
      <c r="H60" s="2" t="inlineStr">
        <is>
          <t>General notes 1-7</t>
        </is>
      </c>
      <c r="I60" s="2" t="inlineStr">
        <is>
          <t>Roofing, slab cutting, definitions, permits and MEP support: no Div 05 light gauge / Div 09 drywall content. Note 3 (G.C. furnishes and installs unless listed by others) is consistent with the Excel scope basis.</t>
        </is>
      </c>
      <c r="J60" s="2" t="inlineStr">
        <is>
          <t>A-101_general-note-8.png</t>
        </is>
      </c>
      <c r="K60" s="2" t="n">
        <v>6</v>
      </c>
    </row>
    <row r="61">
      <c r="A61" s="2" t="n">
        <v>60</v>
      </c>
      <c r="B61" s="2" t="inlineStr">
        <is>
          <t>A-101</t>
        </is>
      </c>
      <c r="C61" s="2" t="inlineStr">
        <is>
          <t>General note</t>
        </is>
      </c>
      <c r="D61" s="2" t="inlineStr">
        <is>
          <t>AS PER LANDLORD SPECIFICATIONS ALL WALLS IN WET AREAS AND/ OR BEHIND PLUMBING FIXTURES SHALL BE CONSTRUCTED OF MOISTURE RESISTANT DRYWALL OR CEMENT BOAR WITH THE BOTTOM OF THE WALL CAULKED AT FLOOR LEVEL TO PREVENT MOISTURE INFILTRATION INTO BASE BUILDING ELEMENTS. WATERPROOFING TO BE PROVIDED BELLOW NEW TILE IN WET AREAS</t>
        </is>
      </c>
      <c r="E61" s="2" t="inlineStr">
        <is>
          <t>Excel row</t>
        </is>
      </c>
      <c r="F61" s="2" t="inlineStr">
        <is>
          <t>Material Summary!R20 (5/8" Type X W.R. 1,142.63 SF) + Pending Items!R14 (RFI-11 CLOSED) + Scope Checklist!R9 (ALC-08); cement board Material Summary!R27 + Pending RFI-12</t>
        </is>
      </c>
      <c r="G61" s="3" t="inlineStr">
        <is>
          <t>COVERED</t>
        </is>
      </c>
      <c r="H61" s="2" t="inlineStr">
        <is>
          <t>General note 8 (W.R. drywall / cement board)</t>
        </is>
      </c>
      <c r="I61" s="2" t="inlineStr">
        <is>
          <t>W.R. board on all faces of Women's 109, Men's 108, Janitor 107 and drinking fountain alcove carried (RFI-11, decision cites A-101 general note 8). Kitchenette wall behind sink (existing EXT-07) inside patch &amp; repair allowance per estimator decision (Pending RFI-01 rev2). Waterproofing below tile = tile trade, not Div 05/09. The 'bottom of the wall caulked at floor level' clause is a separate item, see next row.</t>
        </is>
      </c>
      <c r="J61" s="2" t="inlineStr">
        <is>
          <t>A-101_general-note-8.png</t>
        </is>
      </c>
      <c r="K61" s="2" t="n">
        <v>6</v>
      </c>
    </row>
    <row r="62">
      <c r="A62" s="2" t="n">
        <v>61</v>
      </c>
      <c r="B62" s="2" t="inlineStr">
        <is>
          <t>A-101</t>
        </is>
      </c>
      <c r="C62" s="2" t="inlineStr">
        <is>
          <t>General note</t>
        </is>
      </c>
      <c r="D62" s="2" t="inlineStr">
        <is>
          <t>... WITH THE BOTTOM OF THE WALL CAULKED AT FLOOR LEVEL TO PREVENT MOISTURE INFILTRATION INTO BASE BUILDING ELEMENTS.</t>
        </is>
      </c>
      <c r="E62" s="2" t="inlineStr">
        <is>
          <t>NO DESTINATION (GAP) - proposed</t>
        </is>
      </c>
      <c r="F62" s="2" t="inlineStr">
        <is>
          <t>Proposed: Scope Checklist clarification (or sealant row) - 'base caulk at wet-room walls per A-101 general note 8'</t>
        </is>
      </c>
      <c r="G62" s="6" t="inlineStr">
        <is>
          <t>GAP</t>
        </is>
      </c>
      <c r="H62" s="2" t="inlineStr">
        <is>
          <t>General note 8 (caulk at bottom of wet walls)</t>
        </is>
      </c>
      <c r="I62" s="2" t="inlineStr">
        <is>
          <t>No row, exclusion or RFI covers the floor-level caulk of the wet-room walls. It is a moisture sealant, not the acoustical sealant excluded by standing order (Scope Checklist!R20 ALC-19), so ALC-19 does not clearly cover it. Proposal: either add a clarification 'by tile/flooring installer' or carry it: [DERIVED] Women's 109 32.33 LF + Men's 108 32.33 LF (room perimeters, Material Summary!R13 ceiling track breakdown) = 64.66 LF + Janitor 107 perimeter [PENDING] (+ wall faces both sides where the wall is shared), / 25 LF per tube (Inputs!R15) = about 3 tubes + Janitor.</t>
        </is>
      </c>
      <c r="J62" s="2" t="inlineStr">
        <is>
          <t>A-101_general-note-8.png</t>
        </is>
      </c>
      <c r="K62" s="2" t="n">
        <v>6</v>
      </c>
    </row>
    <row r="63">
      <c r="A63" s="2" t="n">
        <v>62</v>
      </c>
      <c r="B63" s="2" t="inlineStr">
        <is>
          <t>A-101</t>
        </is>
      </c>
      <c r="C63" s="2" t="inlineStr">
        <is>
          <t>Schedule note</t>
        </is>
      </c>
      <c r="D63" s="2" t="inlineStr">
        <is>
          <t>PROVIDE 3-1/2" SOUND ATTENUATION BLANKETS WITHIN THE ENCLOSING WALLS AND CEILINGS OF THE FOLLOWING ROOMS: 103 - CAFE, 104 - CAFE WORKROOM, 105 - MANAGER'S OFFICE, 106 - BREAK ROOM, 107 - JANITOR CLOSET, 108 - MEN'S RESTROOM, 109 - WOMEN'S RESTROOM, 110 - CORRIDOR, 111 - STOCK ROOM, 112 - STORAGE (WALLS column marked for all 10 rooms; CEILING column blank)</t>
        </is>
      </c>
      <c r="E63" s="2" t="inlineStr">
        <is>
          <t>EXCLUDED</t>
        </is>
      </c>
      <c r="F63" s="2" t="inlineStr">
        <is>
          <t>Scope Checklist!R26 (ALC-X25 batt insulation - EXCLUDED, estimator criterion: no insulation)</t>
        </is>
      </c>
      <c r="G63" s="4" t="inlineStr">
        <is>
          <t>EXCLUDED</t>
        </is>
      </c>
      <c r="H63" s="2" t="inlineStr">
        <is>
          <t>Sound attenuation table</t>
        </is>
      </c>
      <c r="I63" s="2" t="inlineStr">
        <is>
          <t>Plan requires 3-1/2" sound batts in the walls of 10 rooms (ceilings not marked). Excluded by estimator criterion (ALC-X25). Suggest the exclusion note cite this A-101 table explicitly so the bid clarification is traceable.</t>
        </is>
      </c>
      <c r="J63" s="2" t="inlineStr">
        <is>
          <t>A-101_sound-attenuation-and-legend.png</t>
        </is>
      </c>
      <c r="K63" s="2" t="n">
        <v>6</v>
      </c>
    </row>
    <row r="64">
      <c r="A64" s="2" t="n">
        <v>63</v>
      </c>
      <c r="B64" s="2" t="inlineStr">
        <is>
          <t>A-101</t>
        </is>
      </c>
      <c r="C64" s="2" t="inlineStr">
        <is>
          <t>Legend</t>
        </is>
      </c>
      <c r="D64" s="2" t="inlineStr">
        <is>
          <t>EXISTING EXTERIOR WALL / EXISTING PARTITION / NEW NON-BEARING PARTITION / PARTIAL HEIGHT GYP. BD. PARTITION</t>
        </is>
      </c>
      <c r="E64" s="2" t="inlineStr">
        <is>
          <t>Excel row</t>
        </is>
      </c>
      <c r="F64" s="2" t="inlineStr">
        <is>
          <t>Existing: Pending Items!R4 (RFI-01) + Scope Checklist!R3 (ALC-02); new non-bearing: Scope Checklist!R2 (ALC-01), Partition Takeoff types 2/5; partial height: Partition Takeoff!R18-R45 (types 3, 4)</t>
        </is>
      </c>
      <c r="G64" s="3" t="inlineStr">
        <is>
          <t>COVERED</t>
        </is>
      </c>
      <c r="H64" s="2" t="inlineStr">
        <is>
          <t>Construction Legend</t>
        </is>
      </c>
      <c r="I64" s="2" t="inlineStr">
        <is>
          <t>Legend basis of RFI-01 (perimeter existing) and of the new / partial-height partition split; all consistent with the Excel.</t>
        </is>
      </c>
      <c r="J64" s="2" t="inlineStr">
        <is>
          <t>A-101_sound-attenuation-and-legend.png</t>
        </is>
      </c>
      <c r="K64" s="2" t="n">
        <v>6</v>
      </c>
    </row>
    <row r="65">
      <c r="A65" s="2" t="n">
        <v>64</v>
      </c>
      <c r="B65" s="2" t="inlineStr">
        <is>
          <t>A-101</t>
        </is>
      </c>
      <c r="C65" s="2" t="inlineStr">
        <is>
          <t>Key note</t>
        </is>
      </c>
      <c r="D65" s="2" t="inlineStr">
        <is>
          <t>STOREFRONT SYSTEM, ENTRANCE DOORS TO BE REMAIN. PROTECT DURING ALL PHASES OF CONSTRUCTION.</t>
        </is>
      </c>
      <c r="E65" s="2" t="inlineStr">
        <is>
          <t>EXCLUDED</t>
        </is>
      </c>
      <c r="F65" s="2" t="inlineStr">
        <is>
          <t>n/a</t>
        </is>
      </c>
      <c r="G65" s="4" t="inlineStr">
        <is>
          <t>EXCLUDED</t>
        </is>
      </c>
      <c r="H65" s="2" t="inlineStr">
        <is>
          <t>C1</t>
        </is>
      </c>
      <c r="I65" s="2" t="inlineStr">
        <is>
          <t>Storefront (Div 08), existing to remain.</t>
        </is>
      </c>
      <c r="J65" s="2" t="inlineStr">
        <is>
          <t>A-101_key-notes-C1-C13.png</t>
        </is>
      </c>
      <c r="K65" s="2" t="n">
        <v>6</v>
      </c>
    </row>
    <row r="66">
      <c r="A66" s="2" t="n">
        <v>65</v>
      </c>
      <c r="B66" s="2" t="inlineStr">
        <is>
          <t>A-101</t>
        </is>
      </c>
      <c r="C66" s="2" t="inlineStr">
        <is>
          <t>Key note</t>
        </is>
      </c>
      <c r="D66" s="2" t="inlineStr">
        <is>
          <t>STOREFRONT DOORS SEE DOOR SCHEDULE FOR MORE INFORMATION.</t>
        </is>
      </c>
      <c r="E66" s="2" t="inlineStr">
        <is>
          <t>EXCLUDED</t>
        </is>
      </c>
      <c r="F66" s="2" t="inlineStr">
        <is>
          <t>n/a</t>
        </is>
      </c>
      <c r="G66" s="4" t="inlineStr">
        <is>
          <t>EXCLUDED</t>
        </is>
      </c>
      <c r="H66" s="2" t="inlineStr">
        <is>
          <t>C2</t>
        </is>
      </c>
      <c r="I66" s="2" t="inlineStr">
        <is>
          <t>Div 08 doors.</t>
        </is>
      </c>
      <c r="J66" s="2" t="inlineStr">
        <is>
          <t>A-101_key-notes-C1-C13.png</t>
        </is>
      </c>
      <c r="K66" s="2" t="n">
        <v>6</v>
      </c>
    </row>
    <row r="67">
      <c r="A67" s="2" t="n">
        <v>66</v>
      </c>
      <c r="B67" s="2" t="inlineStr">
        <is>
          <t>A-101</t>
        </is>
      </c>
      <c r="C67" s="2" t="inlineStr">
        <is>
          <t>Key note</t>
        </is>
      </c>
      <c r="D67" s="2" t="inlineStr">
        <is>
          <t>NEW VESTIBULE</t>
        </is>
      </c>
      <c r="E67" s="2" t="inlineStr">
        <is>
          <t>Excel row</t>
        </is>
      </c>
      <c r="F67" s="2" t="inlineStr">
        <is>
          <t>Material Summary!R10, R13, R19, R21, R30 (VEST-* elements) + Pending RFI-16; detail bubble 1/A-210</t>
        </is>
      </c>
      <c r="G67" s="3" t="inlineStr">
        <is>
          <t>COVERED</t>
        </is>
      </c>
      <c r="H67" s="2" t="inlineStr">
        <is>
          <t>C3</t>
        </is>
      </c>
      <c r="I67" s="2" t="inlineStr">
        <is>
          <t>Vestibule box, posts, ledger, plywood and GWB carried per 1, 4, 5, 6/A-210.</t>
        </is>
      </c>
      <c r="J67" s="2" t="inlineStr">
        <is>
          <t>A-101_key-notes-C1-C13.png</t>
        </is>
      </c>
      <c r="K67" s="2" t="n">
        <v>6</v>
      </c>
    </row>
    <row r="68">
      <c r="A68" s="2" t="n">
        <v>67</v>
      </c>
      <c r="B68" s="2" t="inlineStr">
        <is>
          <t>A-101</t>
        </is>
      </c>
      <c r="C68" s="2" t="inlineStr">
        <is>
          <t>Key note</t>
        </is>
      </c>
      <c r="D68" s="2" t="inlineStr">
        <is>
          <t>3/4" THICK FILLER PANEL, HEIGHT TO MATCH SHELVING UNITS</t>
        </is>
      </c>
      <c r="E68" s="2" t="inlineStr">
        <is>
          <t>EXCLUDED</t>
        </is>
      </c>
      <c r="F68" s="2" t="inlineStr">
        <is>
          <t>n/a</t>
        </is>
      </c>
      <c r="G68" s="4" t="inlineStr">
        <is>
          <t>EXCLUDED</t>
        </is>
      </c>
      <c r="H68" s="2" t="inlineStr">
        <is>
          <t>C4</t>
        </is>
      </c>
      <c r="I68" s="2" t="inlineStr">
        <is>
          <t>Fixture / millwork filler panel (by fixture vendor), not drywall.</t>
        </is>
      </c>
      <c r="J68" s="2" t="inlineStr">
        <is>
          <t>A-101_key-notes-C1-C13.png</t>
        </is>
      </c>
      <c r="K68" s="2" t="n">
        <v>6</v>
      </c>
    </row>
    <row r="69">
      <c r="A69" s="2" t="n">
        <v>68</v>
      </c>
      <c r="B69" s="2" t="inlineStr">
        <is>
          <t>A-101</t>
        </is>
      </c>
      <c r="C69" s="2" t="inlineStr">
        <is>
          <t>Key note</t>
        </is>
      </c>
      <c r="D69" s="2" t="inlineStr">
        <is>
          <t>DEMISING PARTITION TO BE PATCHED AND REPAIRED TO MAINTAIN EXISTING FIRE RATING. PREPARE WALLS FOR NEW FINISH. ADD GWB/FURRING AS REQUIRED.</t>
        </is>
      </c>
      <c r="E69" s="2" t="inlineStr">
        <is>
          <t>Excel row</t>
        </is>
      </c>
      <c r="F69" s="2" t="inlineStr">
        <is>
          <t>Pending Items!R4 (RFI-01 allowance, blank) + Pending Items!R28 (RFI-25 merged into RFI-01)</t>
        </is>
      </c>
      <c r="G69" s="3" t="inlineStr">
        <is>
          <t>COVERED</t>
        </is>
      </c>
      <c r="H69" s="2" t="inlineStr">
        <is>
          <t>C5</t>
        </is>
      </c>
      <c r="I69" s="2" t="inlineStr">
        <is>
          <t>Patch &amp; repair / add GWB-furring as required = ALLOWANCE, amount blank by estimator decision.</t>
        </is>
      </c>
      <c r="J69" s="2" t="inlineStr">
        <is>
          <t>A-101_key-notes-C1-C13.png</t>
        </is>
      </c>
      <c r="K69" s="2" t="n">
        <v>6</v>
      </c>
    </row>
    <row r="70">
      <c r="A70" s="2" t="n">
        <v>69</v>
      </c>
      <c r="B70" s="2" t="inlineStr">
        <is>
          <t>A-101</t>
        </is>
      </c>
      <c r="C70" s="2" t="inlineStr">
        <is>
          <t>Key note</t>
        </is>
      </c>
      <c r="D70" s="2" t="inlineStr">
        <is>
          <t>ILLUMINATED CAFE PEDESTAL SIGN</t>
        </is>
      </c>
      <c r="E70" s="2" t="inlineStr">
        <is>
          <t>EXCLUDED</t>
        </is>
      </c>
      <c r="F70" s="2" t="inlineStr">
        <is>
          <t>n/a</t>
        </is>
      </c>
      <c r="G70" s="4" t="inlineStr">
        <is>
          <t>EXCLUDED</t>
        </is>
      </c>
      <c r="H70" s="2" t="inlineStr">
        <is>
          <t>C6</t>
        </is>
      </c>
      <c r="I70" s="2" t="inlineStr">
        <is>
          <t>Signage, not Div 05/09.</t>
        </is>
      </c>
      <c r="J70" s="2" t="inlineStr">
        <is>
          <t>A-101_key-notes-C1-C13.png</t>
        </is>
      </c>
      <c r="K70" s="2" t="n">
        <v>6</v>
      </c>
    </row>
    <row r="71">
      <c r="A71" s="2" t="n">
        <v>70</v>
      </c>
      <c r="B71" s="2" t="inlineStr">
        <is>
          <t>A-101</t>
        </is>
      </c>
      <c r="C71" s="2" t="inlineStr">
        <is>
          <t>Key note</t>
        </is>
      </c>
      <c r="D71" s="2" t="inlineStr">
        <is>
          <t>ELECTRICAL PANEL BOARDS. SEE ELECTRICAL PLANS FOR FURTHER INFORMATION.</t>
        </is>
      </c>
      <c r="E71" s="2" t="inlineStr">
        <is>
          <t>EXCLUDED</t>
        </is>
      </c>
      <c r="F71" s="2" t="inlineStr">
        <is>
          <t>n/a</t>
        </is>
      </c>
      <c r="G71" s="4" t="inlineStr">
        <is>
          <t>EXCLUDED</t>
        </is>
      </c>
      <c r="H71" s="2" t="inlineStr">
        <is>
          <t>C7</t>
        </is>
      </c>
      <c r="I71" s="2" t="inlineStr">
        <is>
          <t>Electrical; panels on existing perimeter wall (stock room). No backboard called on A-101.</t>
        </is>
      </c>
      <c r="J71" s="2" t="inlineStr">
        <is>
          <t>A-101_key-notes-C1-C13.png</t>
        </is>
      </c>
      <c r="K71" s="2" t="n">
        <v>6</v>
      </c>
    </row>
    <row r="72">
      <c r="A72" s="2" t="n">
        <v>71</v>
      </c>
      <c r="B72" s="2" t="inlineStr">
        <is>
          <t>A-101</t>
        </is>
      </c>
      <c r="C72" s="2" t="inlineStr">
        <is>
          <t>Key note</t>
        </is>
      </c>
      <c r="D72" s="2" t="inlineStr">
        <is>
          <t>CASHWRAP FIXTURE, POWER AND DATA CONDUIT STUBBED UP INTO FIXTURE BASE. DO FINAL CONNECTION TO DEVICES - SEE POWER PLAN FOR FURTHER INFORMATION</t>
        </is>
      </c>
      <c r="E72" s="2" t="inlineStr">
        <is>
          <t>EXCLUDED</t>
        </is>
      </c>
      <c r="F72" s="2" t="inlineStr">
        <is>
          <t>n/a</t>
        </is>
      </c>
      <c r="G72" s="4" t="inlineStr">
        <is>
          <t>EXCLUDED</t>
        </is>
      </c>
      <c r="H72" s="2" t="inlineStr">
        <is>
          <t>C8</t>
        </is>
      </c>
      <c r="I72" s="2" t="inlineStr">
        <is>
          <t>Fixture + electrical (cashwrap 1/A-413).</t>
        </is>
      </c>
      <c r="J72" s="2" t="inlineStr">
        <is>
          <t>A-101_key-notes-C1-C13.png</t>
        </is>
      </c>
      <c r="K72" s="2" t="n">
        <v>6</v>
      </c>
    </row>
    <row r="73">
      <c r="A73" s="2" t="n">
        <v>72</v>
      </c>
      <c r="B73" s="2" t="inlineStr">
        <is>
          <t>A-101</t>
        </is>
      </c>
      <c r="C73" s="2" t="inlineStr">
        <is>
          <t>Key note</t>
        </is>
      </c>
      <c r="D73" s="2" t="inlineStr">
        <is>
          <t>DISPLAY SHELVING UNITS. SEE FIXTURE PLAN FOR FURTHER INFORMATION</t>
        </is>
      </c>
      <c r="E73" s="2" t="inlineStr">
        <is>
          <t>EXCLUDED</t>
        </is>
      </c>
      <c r="F73" s="2" t="inlineStr">
        <is>
          <t>n/a</t>
        </is>
      </c>
      <c r="G73" s="4" t="inlineStr">
        <is>
          <t>EXCLUDED</t>
        </is>
      </c>
      <c r="H73" s="2" t="inlineStr">
        <is>
          <t>C9</t>
        </is>
      </c>
      <c r="I73" s="2" t="inlineStr">
        <is>
          <t>Free-standing fixtures (by vendor).</t>
        </is>
      </c>
      <c r="J73" s="2" t="inlineStr">
        <is>
          <t>A-101_key-notes-C1-C13.png</t>
        </is>
      </c>
      <c r="K73" s="2" t="n">
        <v>6</v>
      </c>
    </row>
    <row r="74">
      <c r="A74" s="2" t="n">
        <v>73</v>
      </c>
      <c r="B74" s="2" t="inlineStr">
        <is>
          <t>A-101</t>
        </is>
      </c>
      <c r="C74" s="2" t="inlineStr">
        <is>
          <t>Key note</t>
        </is>
      </c>
      <c r="D74" s="2" t="inlineStr">
        <is>
          <t>"AS BUILT" PLAN TUBE HOLDER IN STOCK ROOM. SEE DETAIL #5/A-413</t>
        </is>
      </c>
      <c r="E74" s="2" t="inlineStr">
        <is>
          <t>EXCLUDED</t>
        </is>
      </c>
      <c r="F74" s="2" t="inlineStr">
        <is>
          <t>n/a</t>
        </is>
      </c>
      <c r="G74" s="4" t="inlineStr">
        <is>
          <t>EXCLUDED</t>
        </is>
      </c>
      <c r="H74" s="2" t="inlineStr">
        <is>
          <t>C10</t>
        </is>
      </c>
      <c r="I74" s="2" t="inlineStr">
        <is>
          <t>Owner accessory; any blocking would be printed on 5/A-413 (reviewed by the A-413 sheet group), nothing on A-101 asks for blocking.</t>
        </is>
      </c>
      <c r="J74" s="2" t="inlineStr">
        <is>
          <t>A-101_key-notes-C1-C13.png</t>
        </is>
      </c>
      <c r="K74" s="2" t="n">
        <v>6</v>
      </c>
    </row>
    <row r="75">
      <c r="A75" s="2" t="n">
        <v>74</v>
      </c>
      <c r="B75" s="2" t="inlineStr">
        <is>
          <t>A-101</t>
        </is>
      </c>
      <c r="C75" s="2" t="inlineStr">
        <is>
          <t>Key note</t>
        </is>
      </c>
      <c r="D75" s="2" t="inlineStr">
        <is>
          <t>FIRE EXTINGUISHER AND CABINET. ... AT SALES AREA, PROVIDE COSMOPOLITAN SERIES, FULLY RECESSED FULL GLASS DOOR. ... AT WORK ROOM, PROVIDE AMBASSADOR SERIES 1017F10 IN STEEL WITH WHITE EPOXY FINISH. ... PROVIDE FIRE RATED CABINETS FOR LOCATIONS IN RATED WALLS (TYP).</t>
        </is>
      </c>
      <c r="E75" s="2" t="inlineStr">
        <is>
          <t>NO DESTINATION (GAP) - proposed</t>
        </is>
      </c>
      <c r="F75" s="2" t="inlineStr">
        <is>
          <t>Proposed: new RFI (framing at recessed FE cabinets) + row under blocking / framed openings (Scope Checklist!R18 ALC-17)</t>
        </is>
      </c>
      <c r="G75" s="6" t="inlineStr">
        <is>
          <t>GAP</t>
        </is>
      </c>
      <c r="H75" s="2" t="inlineStr">
        <is>
          <t>C11</t>
        </is>
      </c>
      <c r="I75" s="2" t="inlineStr">
        <is>
          <t>Cabinets are Div 10, but 4/A-101 Fire Extinguisher Detail draws the cabinet RECESSED between metal studs with 'F.R.T. WOOD STUD HEADER ABOVE AND BASE BELOW CABINET' - framing work in our walls. Excel has no row/RFI for it (ALC-17 only mentions MEP / access panels). C11 FE symbols on A-101: 6 [CONFIRMED count on plan]: Storage 112 at door 14 (W2-01), W2-03 at door 11, Corridor 110 at door 10 (W2-03 corridor portion), Cafe Workroom at door 3 (C-H2a area), Stock Room at door 13 (existing 1A wall), Sales at vestibule (existing 1C wall). New walls = 4 [DERIVED from symbol positions]. Delta per recessed cabinet in a new wall: 2 pcs FRT 2x wood (header + base) x cabinet width (not printed, about 2 ft) = about 4 LF FRT 2x + 2 extra jamb studs x wall height; total about 16 LF FRT wood [PENDING cabinet size / which are recessed].</t>
        </is>
      </c>
      <c r="J75" s="2" t="inlineStr">
        <is>
          <t>A-101_4-fire-extinguisher-detail.png</t>
        </is>
      </c>
      <c r="K75" s="2" t="n">
        <v>6</v>
      </c>
    </row>
    <row r="76">
      <c r="A76" s="2" t="n">
        <v>75</v>
      </c>
      <c r="B76" s="2" t="inlineStr">
        <is>
          <t>A-101</t>
        </is>
      </c>
      <c r="C76" s="2" t="inlineStr">
        <is>
          <t>Key note</t>
        </is>
      </c>
      <c r="D76" s="2" t="inlineStr">
        <is>
          <t>WALL SHELVING AND COUNTER TOP AT OFFICE. SEE TYPICAL DETAIL #12/A-412. PROVIDE F.R.T BLOCKING AS NEEDED</t>
        </is>
      </c>
      <c r="E76" s="2" t="inlineStr">
        <is>
          <t>Excel row</t>
        </is>
      </c>
      <c r="F76" s="2" t="inlineStr">
        <is>
          <t>Material Summary!R18 (BLK-OFFICE 85.6 LF) + Pending RFI-23</t>
        </is>
      </c>
      <c r="G76" s="3" t="inlineStr">
        <is>
          <t>COVERED</t>
        </is>
      </c>
      <c r="H76" s="2" t="inlineStr">
        <is>
          <t>C12</t>
        </is>
      </c>
      <c r="I76" s="2" t="inlineStr">
        <is>
          <t>Office FRT blocking carried (3, 4/A-412, 4 rows). Note: the key note points to 12/A-412, which is not in the R18 source list (7/A-413, 8A/A-413, 4/A-412, 6/A-412); add 12/A-412 to the citation after checking it does not add rows.</t>
        </is>
      </c>
      <c r="J76" s="2" t="inlineStr">
        <is>
          <t>A-101_key-notes-C1-C13.png</t>
        </is>
      </c>
      <c r="K76" s="2" t="n">
        <v>6</v>
      </c>
    </row>
    <row r="77">
      <c r="A77" s="2" t="n">
        <v>76</v>
      </c>
      <c r="B77" s="2" t="inlineStr">
        <is>
          <t>A-101</t>
        </is>
      </c>
      <c r="C77" s="2" t="inlineStr">
        <is>
          <t>Key note</t>
        </is>
      </c>
      <c r="D77" s="2" t="inlineStr">
        <is>
          <t>ELECTRICAL CONDUIT STUBBED UP THROUGH SLAB FROM NEAREST WALL. SEE POWER PLANS FOR FURTHER INFORMATION.</t>
        </is>
      </c>
      <c r="E77" s="2" t="inlineStr">
        <is>
          <t>EXCLUDED</t>
        </is>
      </c>
      <c r="F77" s="2" t="inlineStr">
        <is>
          <t>n/a</t>
        </is>
      </c>
      <c r="G77" s="4" t="inlineStr">
        <is>
          <t>EXCLUDED</t>
        </is>
      </c>
      <c r="H77" s="2" t="inlineStr">
        <is>
          <t>C13</t>
        </is>
      </c>
      <c r="I77" s="2" t="inlineStr">
        <is>
          <t>Electrical.</t>
        </is>
      </c>
      <c r="J77" s="2" t="inlineStr">
        <is>
          <t>A-101_key-notes-C1-C13.png</t>
        </is>
      </c>
      <c r="K77" s="2" t="n">
        <v>6</v>
      </c>
    </row>
    <row r="78">
      <c r="A78" s="2" t="n">
        <v>77</v>
      </c>
      <c r="B78" s="2" t="inlineStr">
        <is>
          <t>A-101</t>
        </is>
      </c>
      <c r="C78" s="2" t="inlineStr">
        <is>
          <t>Key note</t>
        </is>
      </c>
      <c r="D78" s="2" t="inlineStr">
        <is>
          <t>1'-6" DEEP X 3'-0" WIDE X 8'-0" HIGH STEEL SHELVING UNITS FASTENED TO PERIMETER WALLS, SEE DETAIL#7/A-413</t>
        </is>
      </c>
      <c r="E78" s="2" t="inlineStr">
        <is>
          <t>Excel row</t>
        </is>
      </c>
      <c r="F78" s="2" t="inlineStr">
        <is>
          <t>Material Summary!R18 (BLK-STOCK 387 LF, 7/A-413, 3 rows) + Pending RFI-23</t>
        </is>
      </c>
      <c r="G78" s="3" t="inlineStr">
        <is>
          <t>COVERED</t>
        </is>
      </c>
      <c r="H78" s="2" t="inlineStr">
        <is>
          <t>C14</t>
        </is>
      </c>
      <c r="I78" s="2" t="inlineStr">
        <is>
          <t>Stock room shelving blocking carried.</t>
        </is>
      </c>
      <c r="J78" s="2" t="inlineStr">
        <is>
          <t>A-101_key-notes-C14-C28.png</t>
        </is>
      </c>
      <c r="K78" s="2" t="n">
        <v>6</v>
      </c>
    </row>
    <row r="79">
      <c r="A79" s="2" t="n">
        <v>78</v>
      </c>
      <c r="B79" s="2" t="inlineStr">
        <is>
          <t>A-101</t>
        </is>
      </c>
      <c r="C79" s="2" t="inlineStr">
        <is>
          <t>Key note</t>
        </is>
      </c>
      <c r="D79" s="2" t="inlineStr">
        <is>
          <t>LOCKERS</t>
        </is>
      </c>
      <c r="E79" s="2" t="inlineStr">
        <is>
          <t>EXCLUDED</t>
        </is>
      </c>
      <c r="F79" s="2" t="inlineStr">
        <is>
          <t>n/a</t>
        </is>
      </c>
      <c r="G79" s="4" t="inlineStr">
        <is>
          <t>EXCLUDED</t>
        </is>
      </c>
      <c r="H79" s="2" t="inlineStr">
        <is>
          <t>C15</t>
        </is>
      </c>
      <c r="I79" s="2" t="inlineStr">
        <is>
          <t>Div 10 lockers; no blocking called on A-101.</t>
        </is>
      </c>
      <c r="J79" s="2" t="inlineStr">
        <is>
          <t>A-101_key-notes-C14-C28.png</t>
        </is>
      </c>
      <c r="K79" s="2" t="n">
        <v>6</v>
      </c>
    </row>
    <row r="80">
      <c r="A80" s="2" t="n">
        <v>79</v>
      </c>
      <c r="B80" s="2" t="inlineStr">
        <is>
          <t>A-101</t>
        </is>
      </c>
      <c r="C80" s="2" t="inlineStr">
        <is>
          <t>Key note</t>
        </is>
      </c>
      <c r="D80" s="2" t="inlineStr">
        <is>
          <t>RECEIVING TABLE, BLOCKING AND WALL MOUNTED ADJUSTABLE SHELVING. PROVIDE POWER AND (2) GROMMETS. SEE TYPICAL DETAIL #8/A-413.</t>
        </is>
      </c>
      <c r="E80" s="2" t="inlineStr">
        <is>
          <t>Excel row</t>
        </is>
      </c>
      <c r="F80" s="2" t="inlineStr">
        <is>
          <t>Material Summary!R18 (BLK-RECEIVING 69 LF, 8A/A-413, 4 rows) + Pending RFI-23</t>
        </is>
      </c>
      <c r="G80" s="3" t="inlineStr">
        <is>
          <t>COVERED</t>
        </is>
      </c>
      <c r="H80" s="2" t="inlineStr">
        <is>
          <t>C16</t>
        </is>
      </c>
      <c r="I80" s="2" t="inlineStr">
        <is>
          <t>Receiving table blocking carried (two C16 callouts on the W2-03 stock room face).</t>
        </is>
      </c>
      <c r="J80" s="2" t="inlineStr">
        <is>
          <t>A-101_key-notes-C14-C28.png</t>
        </is>
      </c>
      <c r="K80" s="2" t="n">
        <v>6</v>
      </c>
    </row>
    <row r="81">
      <c r="A81" s="2" t="n">
        <v>80</v>
      </c>
      <c r="B81" s="2" t="inlineStr">
        <is>
          <t>A-101</t>
        </is>
      </c>
      <c r="C81" s="2" t="inlineStr">
        <is>
          <t>Key note</t>
        </is>
      </c>
      <c r="D81" s="2" t="inlineStr">
        <is>
          <t>VOLUME CONTROL IN MANAGER'S OFFICE &amp; B.O.H. MOUNTED AT 48" A.F.F. ...</t>
        </is>
      </c>
      <c r="E81" s="2" t="inlineStr">
        <is>
          <t>EXCLUDED</t>
        </is>
      </c>
      <c r="F81" s="2" t="inlineStr">
        <is>
          <t>n/a</t>
        </is>
      </c>
      <c r="G81" s="4" t="inlineStr">
        <is>
          <t>EXCLUDED</t>
        </is>
      </c>
      <c r="H81" s="2" t="inlineStr">
        <is>
          <t>C17</t>
        </is>
      </c>
      <c r="I81" s="2" t="inlineStr">
        <is>
          <t>Low-voltage / electrical.</t>
        </is>
      </c>
      <c r="J81" s="2" t="inlineStr">
        <is>
          <t>A-101_key-notes-C14-C28.png</t>
        </is>
      </c>
      <c r="K81" s="2" t="n">
        <v>6</v>
      </c>
    </row>
    <row r="82">
      <c r="A82" s="2" t="n">
        <v>81</v>
      </c>
      <c r="B82" s="2" t="inlineStr">
        <is>
          <t>A-101</t>
        </is>
      </c>
      <c r="C82" s="2" t="inlineStr">
        <is>
          <t>Key note</t>
        </is>
      </c>
      <c r="D82" s="2" t="inlineStr">
        <is>
          <t>SALES FLOOR PERIMETER FIXTURES. COORDINATE WITH DETAIL MILLWORK DRAWINGS.</t>
        </is>
      </c>
      <c r="E82" s="2" t="inlineStr">
        <is>
          <t>RFI</t>
        </is>
      </c>
      <c r="F82" s="2" t="inlineStr">
        <is>
          <t>Pending Items!R39 (RFI-36 W-3 surface blocking)</t>
        </is>
      </c>
      <c r="G82" s="5" t="inlineStr">
        <is>
          <t>RFI</t>
        </is>
      </c>
      <c r="H82" s="2" t="inlineStr">
        <is>
          <t>C18</t>
        </is>
      </c>
      <c r="I82" s="2" t="inlineStr">
        <is>
          <t>Perimeter wall units (W2/W3) on A-111; blocking per 1/A-414, 7/A-414 is RFI-36 (who furnishes, count PENDING). Units sit mostly on existing perimeter walls.</t>
        </is>
      </c>
      <c r="J82" s="2" t="inlineStr">
        <is>
          <t>A-101_key-notes-C14-C28.png</t>
        </is>
      </c>
      <c r="K82" s="2" t="n">
        <v>6</v>
      </c>
    </row>
    <row r="83">
      <c r="A83" s="2" t="n">
        <v>82</v>
      </c>
      <c r="B83" s="2" t="inlineStr">
        <is>
          <t>A-101</t>
        </is>
      </c>
      <c r="C83" s="2" t="inlineStr">
        <is>
          <t>Key note</t>
        </is>
      </c>
      <c r="D83" s="2" t="inlineStr">
        <is>
          <t>SAFE</t>
        </is>
      </c>
      <c r="E83" s="2" t="inlineStr">
        <is>
          <t>EXCLUDED</t>
        </is>
      </c>
      <c r="F83" s="2" t="inlineStr">
        <is>
          <t>n/a</t>
        </is>
      </c>
      <c r="G83" s="4" t="inlineStr">
        <is>
          <t>EXCLUDED</t>
        </is>
      </c>
      <c r="H83" s="2" t="inlineStr">
        <is>
          <t>C19</t>
        </is>
      </c>
      <c r="I83" s="2" t="inlineStr">
        <is>
          <t>Owner equipment.</t>
        </is>
      </c>
      <c r="J83" s="2" t="inlineStr">
        <is>
          <t>A-101_key-notes-C14-C28.png</t>
        </is>
      </c>
      <c r="K83" s="2" t="n">
        <v>6</v>
      </c>
    </row>
    <row r="84">
      <c r="A84" s="2" t="n">
        <v>83</v>
      </c>
      <c r="B84" s="2" t="inlineStr">
        <is>
          <t>A-101</t>
        </is>
      </c>
      <c r="C84" s="2" t="inlineStr">
        <is>
          <t>Key note</t>
        </is>
      </c>
      <c r="D84" s="2" t="inlineStr">
        <is>
          <t>KITCHENETTE &amp; REFRIGERATOR, SEE DETAIL #6/A-412. PROVIDE F.R.T. BLOCKING AS NEEDED</t>
        </is>
      </c>
      <c r="E84" s="2" t="inlineStr">
        <is>
          <t>Excel row</t>
        </is>
      </c>
      <c r="F84" s="2" t="inlineStr">
        <is>
          <t>Material Summary!R18 (BLK-BREAK 10.67 LF, 6/A-412) + Pending RFI-23</t>
        </is>
      </c>
      <c r="G84" s="3" t="inlineStr">
        <is>
          <t>COVERED</t>
        </is>
      </c>
      <c r="H84" s="2" t="inlineStr">
        <is>
          <t>C20</t>
        </is>
      </c>
      <c r="I84" s="2" t="inlineStr">
        <is>
          <t>Break room cabinet blocking carried.</t>
        </is>
      </c>
      <c r="J84" s="2" t="inlineStr">
        <is>
          <t>A-101_key-notes-C14-C28.png</t>
        </is>
      </c>
      <c r="K84" s="2" t="n">
        <v>6</v>
      </c>
    </row>
    <row r="85">
      <c r="A85" s="2" t="n">
        <v>84</v>
      </c>
      <c r="B85" s="2" t="inlineStr">
        <is>
          <t>A-101</t>
        </is>
      </c>
      <c r="C85" s="2" t="inlineStr">
        <is>
          <t>Key note</t>
        </is>
      </c>
      <c r="D85" s="2" t="inlineStr">
        <is>
          <t>MUSIC SYSTEM RACK AND POS SERVER RACK/ CCTV SYSTEM. COORDINATE REQUIREMENTS WITH POWER PLAN.</t>
        </is>
      </c>
      <c r="E85" s="2" t="inlineStr">
        <is>
          <t>EXCLUDED</t>
        </is>
      </c>
      <c r="F85" s="2" t="inlineStr">
        <is>
          <t>n/a</t>
        </is>
      </c>
      <c r="G85" s="4" t="inlineStr">
        <is>
          <t>EXCLUDED</t>
        </is>
      </c>
      <c r="H85" s="2" t="inlineStr">
        <is>
          <t>C21</t>
        </is>
      </c>
      <c r="I85" s="2" t="inlineStr">
        <is>
          <t>Low voltage; no backboard / blocking called.</t>
        </is>
      </c>
      <c r="J85" s="2" t="inlineStr">
        <is>
          <t>A-101_key-notes-C14-C28.png</t>
        </is>
      </c>
      <c r="K85" s="2" t="n">
        <v>6</v>
      </c>
    </row>
    <row r="86">
      <c r="A86" s="2" t="n">
        <v>85</v>
      </c>
      <c r="B86" s="2" t="inlineStr">
        <is>
          <t>A-101</t>
        </is>
      </c>
      <c r="C86" s="2" t="inlineStr">
        <is>
          <t>Key note</t>
        </is>
      </c>
      <c r="D86" s="2" t="inlineStr">
        <is>
          <t>STAINLESS STEEL CORNER GUARDS AT 48" A.F.F. FOR ALL OUTSIDE GYPSUM BOARD CORNERS AT STOCKROOM WALLS.</t>
        </is>
      </c>
      <c r="E86" s="2" t="inlineStr">
        <is>
          <t>RFI</t>
        </is>
      </c>
      <c r="F86" s="2" t="inlineStr">
        <is>
          <t>Pending Items!R32 (RFI-29)</t>
        </is>
      </c>
      <c r="G86" s="5" t="inlineStr">
        <is>
          <t>RFI</t>
        </is>
      </c>
      <c r="H86" s="2" t="inlineStr">
        <is>
          <t>C22</t>
        </is>
      </c>
      <c r="I86" s="2" t="inlineStr">
        <is>
          <t>Extent / installer open. Plan shows ONE C22 callout (Loading Zone / Stock Room angled existing wall corner); delta in RFI-29 stands.</t>
        </is>
      </c>
      <c r="J86" s="2" t="inlineStr">
        <is>
          <t>A-101_key-notes-C14-C28.png</t>
        </is>
      </c>
      <c r="K86" s="2" t="n">
        <v>6</v>
      </c>
    </row>
    <row r="87">
      <c r="A87" s="2" t="n">
        <v>86</v>
      </c>
      <c r="B87" s="2" t="inlineStr">
        <is>
          <t>A-101</t>
        </is>
      </c>
      <c r="C87" s="2" t="inlineStr">
        <is>
          <t>Key note</t>
        </is>
      </c>
      <c r="D87" s="2" t="inlineStr">
        <is>
          <t>EXISTING COLUMN TO REMAIN EXPOSED. COORDINATE WITH THE FINISH PLAN. ...</t>
        </is>
      </c>
      <c r="E87" s="2" t="inlineStr">
        <is>
          <t>EXCLUDED</t>
        </is>
      </c>
      <c r="F87" s="2" t="inlineStr">
        <is>
          <t>n/a</t>
        </is>
      </c>
      <c r="G87" s="4" t="inlineStr">
        <is>
          <t>EXCLUDED</t>
        </is>
      </c>
      <c r="H87" s="2" t="inlineStr">
        <is>
          <t>C23</t>
        </is>
      </c>
      <c r="I87" s="2" t="inlineStr">
        <is>
          <t>Exposed existing column, no surround.</t>
        </is>
      </c>
      <c r="J87" s="2" t="inlineStr">
        <is>
          <t>A-101_key-notes-C14-C28.png</t>
        </is>
      </c>
      <c r="K87" s="2" t="n">
        <v>6</v>
      </c>
    </row>
    <row r="88">
      <c r="A88" s="2" t="n">
        <v>87</v>
      </c>
      <c r="B88" s="2" t="inlineStr">
        <is>
          <t>A-101</t>
        </is>
      </c>
      <c r="C88" s="2" t="inlineStr">
        <is>
          <t>Key note</t>
        </is>
      </c>
      <c r="D88" s="2" t="inlineStr">
        <is>
          <t>NEW EAS SYSTEM</t>
        </is>
      </c>
      <c r="E88" s="2" t="inlineStr">
        <is>
          <t>EXCLUDED</t>
        </is>
      </c>
      <c r="F88" s="2" t="inlineStr">
        <is>
          <t>n/a</t>
        </is>
      </c>
      <c r="G88" s="4" t="inlineStr">
        <is>
          <t>EXCLUDED</t>
        </is>
      </c>
      <c r="H88" s="2" t="inlineStr">
        <is>
          <t>C24</t>
        </is>
      </c>
      <c r="I88" s="2" t="inlineStr">
        <is>
          <t>Security equipment.</t>
        </is>
      </c>
      <c r="J88" s="2" t="inlineStr">
        <is>
          <t>A-101_key-notes-C14-C28.png</t>
        </is>
      </c>
      <c r="K88" s="2" t="n">
        <v>6</v>
      </c>
    </row>
    <row r="89">
      <c r="A89" s="2" t="n">
        <v>88</v>
      </c>
      <c r="B89" s="2" t="inlineStr">
        <is>
          <t>A-101</t>
        </is>
      </c>
      <c r="C89" s="2" t="inlineStr">
        <is>
          <t>Key note</t>
        </is>
      </c>
      <c r="D89" s="2" t="inlineStr">
        <is>
          <t>EX. COLUMN. NEW 24"x24" GWB SURROUND OVER 3 5/8" METAL FRAMING FROM SLAB TO 8'-0" AFF PAINT COLUMN PER FINISH PLAN</t>
        </is>
      </c>
      <c r="E89" s="2" t="inlineStr">
        <is>
          <t>Excel row</t>
        </is>
      </c>
      <c r="F89" s="2" t="inlineStr">
        <is>
          <t>Partition Takeoff!R96-R104 (CW-01..CW-09) + Material Summary!R6, R9, R12, R14, R19, R26 + Pending RFI-17</t>
        </is>
      </c>
      <c r="G89" s="3" t="inlineStr">
        <is>
          <t>COVERED</t>
        </is>
      </c>
      <c r="H89" s="2" t="inlineStr">
        <is>
          <t>C25</t>
        </is>
      </c>
      <c r="I89" s="2" t="inlineStr">
        <is>
          <t>9 C25 surrounds counted on A-101 [CONFIRMED: 5 columns on the north row + 4 on the south row, Sales Area] = 9 in Excel. 24"x24" -&gt; 8 LF perimeter x 8'-0" = 64 SF each [DERIVED] = Excel.</t>
        </is>
      </c>
      <c r="J89" s="2" t="inlineStr">
        <is>
          <t>A-101_key-notes-C14-C28.png</t>
        </is>
      </c>
      <c r="K89" s="2" t="n">
        <v>6</v>
      </c>
    </row>
    <row r="90">
      <c r="A90" s="2" t="n">
        <v>89</v>
      </c>
      <c r="B90" s="2" t="inlineStr">
        <is>
          <t>A-101</t>
        </is>
      </c>
      <c r="C90" s="2" t="inlineStr">
        <is>
          <t>Key note</t>
        </is>
      </c>
      <c r="D90" s="2" t="inlineStr">
        <is>
          <t>HIGH-LOW DRINKING FOUNTAIN.</t>
        </is>
      </c>
      <c r="E90" s="2" t="inlineStr">
        <is>
          <t>Excel row</t>
        </is>
      </c>
      <c r="F90" s="2" t="inlineStr">
        <is>
          <t>Material Summary!R20 (W.R. at alcove W2-06.2/.3/.4) + Pending RFI-11</t>
        </is>
      </c>
      <c r="G90" s="3" t="inlineStr">
        <is>
          <t>COVERED</t>
        </is>
      </c>
      <c r="H90" s="2" t="inlineStr">
        <is>
          <t>C26</t>
        </is>
      </c>
      <c r="I90" s="2" t="inlineStr">
        <is>
          <t>Alcove W.R. faces carried. Fountain carrier = plumbing (Div 22); no blocking called on A-101.</t>
        </is>
      </c>
      <c r="J90" s="2" t="inlineStr">
        <is>
          <t>A-101_key-notes-C14-C28.png</t>
        </is>
      </c>
      <c r="K90" s="2" t="n">
        <v>6</v>
      </c>
    </row>
    <row r="91">
      <c r="A91" s="2" t="n">
        <v>90</v>
      </c>
      <c r="B91" s="2" t="inlineStr">
        <is>
          <t>A-101</t>
        </is>
      </c>
      <c r="C91" s="2" t="inlineStr">
        <is>
          <t>Key note</t>
        </is>
      </c>
      <c r="D91" s="2" t="inlineStr">
        <is>
          <t>1' DEEP X 3'-0" WIDE X 8'-0" HIGH STEEL SHELVING UNITS FASTENED TO PERIMETER WALLS, SEE DETAIL#7/A-413</t>
        </is>
      </c>
      <c r="E91" s="2" t="inlineStr">
        <is>
          <t>Excel row</t>
        </is>
      </c>
      <c r="F91" s="2" t="inlineStr">
        <is>
          <t>Material Summary!R18 (BLK-STOCK 387 LF, 7/A-413) + Pending RFI-23</t>
        </is>
      </c>
      <c r="G91" s="3" t="inlineStr">
        <is>
          <t>COVERED</t>
        </is>
      </c>
      <c r="H91" s="2" t="inlineStr">
        <is>
          <t>C27</t>
        </is>
      </c>
      <c r="I91" s="2" t="inlineStr">
        <is>
          <t>Storage 112 / stock room shelving blocking carried under 7/A-413.</t>
        </is>
      </c>
      <c r="J91" s="2" t="inlineStr">
        <is>
          <t>A-101_key-notes-C14-C28.png</t>
        </is>
      </c>
      <c r="K91" s="2" t="n">
        <v>6</v>
      </c>
    </row>
    <row r="92">
      <c r="A92" s="2" t="n">
        <v>91</v>
      </c>
      <c r="B92" s="2" t="inlineStr">
        <is>
          <t>A-101</t>
        </is>
      </c>
      <c r="C92" s="2" t="inlineStr">
        <is>
          <t>Key note</t>
        </is>
      </c>
      <c r="D92" s="2" t="inlineStr">
        <is>
          <t>G.C. TO COORDINATE ALL WATER METERING, LADDER, HATCH, PLUMBING FILTRATION WITH TENANT AND LANDLORD PRIOR TO INSTALLATION.</t>
        </is>
      </c>
      <c r="E92" s="2" t="inlineStr">
        <is>
          <t>EXCLUDED</t>
        </is>
      </c>
      <c r="F92" s="2" t="inlineStr">
        <is>
          <t>n/a</t>
        </is>
      </c>
      <c r="G92" s="4" t="inlineStr">
        <is>
          <t>EXCLUDED</t>
        </is>
      </c>
      <c r="H92" s="2" t="inlineStr">
        <is>
          <t>C28</t>
        </is>
      </c>
      <c r="I92" s="2" t="inlineStr">
        <is>
          <t>Plumbing / roof access.</t>
        </is>
      </c>
      <c r="J92" s="2" t="inlineStr">
        <is>
          <t>A-101_key-notes-C14-C28.png</t>
        </is>
      </c>
      <c r="K92" s="2" t="n">
        <v>6</v>
      </c>
    </row>
    <row r="93">
      <c r="A93" s="2" t="n">
        <v>92</v>
      </c>
      <c r="B93" s="2" t="inlineStr">
        <is>
          <t>A-101</t>
        </is>
      </c>
      <c r="C93" s="2" t="inlineStr">
        <is>
          <t>Partition tag</t>
        </is>
      </c>
      <c r="D93" s="2" t="inlineStr">
        <is>
          <t>Partition tag 2 - 11 tags [CONFIRMED count, 1/A-101]</t>
        </is>
      </c>
      <c r="E93" s="2" t="inlineStr">
        <is>
          <t>Excel row</t>
        </is>
      </c>
      <c r="F93" s="2" t="inlineStr">
        <is>
          <t>Partition Takeoff!R6-R13 (W2-01..W2-09, 9 wall IDs, 278.57 LF)</t>
        </is>
      </c>
      <c r="G93" s="3" t="inlineStr">
        <is>
          <t>COVERED</t>
        </is>
      </c>
      <c r="H93" s="2" t="inlineStr">
        <is>
          <t>Type 2</t>
        </is>
      </c>
      <c r="I93" s="2" t="inlineStr">
        <is>
          <t>11 tags on 9 walls (W2-03 and W2-04 carry 2-3 tags each); every tagged type 2 wall is in the takeoff. No mismatch.</t>
        </is>
      </c>
      <c r="J93" s="2" t="inlineStr">
        <is>
          <t>A-101_partition-tags-BOH.png</t>
        </is>
      </c>
      <c r="K93" s="2" t="n">
        <v>6</v>
      </c>
    </row>
    <row r="94">
      <c r="A94" s="2" t="n">
        <v>93</v>
      </c>
      <c r="B94" s="2" t="inlineStr">
        <is>
          <t>A-101</t>
        </is>
      </c>
      <c r="C94" s="2" t="inlineStr">
        <is>
          <t>Partition tag</t>
        </is>
      </c>
      <c r="D94" s="2" t="inlineStr">
        <is>
          <t>Partition tag 3 - 4 tags (2 plain + 2 'TYP.') [CONFIRMED]</t>
        </is>
      </c>
      <c r="E94" s="2" t="inlineStr">
        <is>
          <t>Excel row</t>
        </is>
      </c>
      <c r="F94" s="2" t="inlineStr">
        <is>
          <t>Partition Takeoff!R19-R24 (W3-01..W3-06, 38.68 LF)</t>
        </is>
      </c>
      <c r="G94" s="3" t="inlineStr">
        <is>
          <t>COVERED</t>
        </is>
      </c>
      <c r="H94" s="2" t="inlineStr">
        <is>
          <t>Type 3</t>
        </is>
      </c>
      <c r="I94" s="2" t="inlineStr">
        <is>
          <t>Two Cafe Seating low walls, each tagged twice; 6 segments in Excel (runs + end posts). No mismatch.</t>
        </is>
      </c>
      <c r="J94" s="2" t="inlineStr"/>
      <c r="K94" s="2" t="n">
        <v>6</v>
      </c>
    </row>
    <row r="95">
      <c r="A95" s="2" t="n">
        <v>94</v>
      </c>
      <c r="B95" s="2" t="inlineStr">
        <is>
          <t>A-101</t>
        </is>
      </c>
      <c r="C95" s="2" t="inlineStr">
        <is>
          <t>Partition tag</t>
        </is>
      </c>
      <c r="D95" s="2" t="inlineStr">
        <is>
          <t>Partition tag 4 - 1 tag '4 TYP.' [CONFIRMED]</t>
        </is>
      </c>
      <c r="E95" s="2" t="inlineStr">
        <is>
          <t>Excel row</t>
        </is>
      </c>
      <c r="F95" s="2" t="inlineStr">
        <is>
          <t>Partition Takeoff!R27-R44 (W4-28..W4-31, 83.64 LF)</t>
        </is>
      </c>
      <c r="G95" s="3" t="inlineStr">
        <is>
          <t>COVERED</t>
        </is>
      </c>
      <c r="H95" s="2" t="inlineStr">
        <is>
          <t>Type 4</t>
        </is>
      </c>
      <c r="I95" s="2" t="inlineStr">
        <is>
          <t>Single TYP. tag on the hourglass display feature; both end caps and both curved walls carried.</t>
        </is>
      </c>
      <c r="J95" s="2" t="inlineStr"/>
      <c r="K95" s="2" t="n">
        <v>6</v>
      </c>
    </row>
    <row r="96">
      <c r="A96" s="2" t="n">
        <v>95</v>
      </c>
      <c r="B96" s="2" t="inlineStr">
        <is>
          <t>A-101</t>
        </is>
      </c>
      <c r="C96" s="2" t="inlineStr">
        <is>
          <t>Partition tag</t>
        </is>
      </c>
      <c r="D96" s="2" t="inlineStr">
        <is>
          <t>Partition tag 5 - 1 tag [CONFIRMED]</t>
        </is>
      </c>
      <c r="E96" s="2" t="inlineStr">
        <is>
          <t>Excel row</t>
        </is>
      </c>
      <c r="F96" s="2" t="inlineStr">
        <is>
          <t>Partition Takeoff!R16 (W5-01, 5.7 LF)</t>
        </is>
      </c>
      <c r="G96" s="3" t="inlineStr">
        <is>
          <t>COVERED</t>
        </is>
      </c>
      <c r="H96" s="2" t="inlineStr">
        <is>
          <t>Type 5</t>
        </is>
      </c>
      <c r="I96" s="2" t="inlineStr">
        <is>
          <t>Plumbing wall Women's 109 / Men's 108.</t>
        </is>
      </c>
      <c r="J96" s="2" t="inlineStr">
        <is>
          <t>A-101_partition-tags-BOH.png</t>
        </is>
      </c>
      <c r="K96" s="2" t="n">
        <v>6</v>
      </c>
    </row>
    <row r="97">
      <c r="A97" s="2" t="n">
        <v>96</v>
      </c>
      <c r="B97" s="2" t="inlineStr">
        <is>
          <t>A-101</t>
        </is>
      </c>
      <c r="C97" s="2" t="inlineStr">
        <is>
          <t>Partition tag</t>
        </is>
      </c>
      <c r="D97" s="2" t="inlineStr">
        <is>
          <t>Partition tag 1 - 4 tags [CONFIRMED]</t>
        </is>
      </c>
      <c r="E97" s="2" t="inlineStr">
        <is>
          <t>EXCLUDED</t>
        </is>
      </c>
      <c r="F97" s="2" t="inlineStr">
        <is>
          <t>Pending Items!R4 (RFI-01) + Scope Checklist!R3 (ALC-02); Cafe south line also Pending Items!R8 (RFI-05)</t>
        </is>
      </c>
      <c r="G97" s="4" t="inlineStr">
        <is>
          <t>EXCLUDED</t>
        </is>
      </c>
      <c r="H97" s="2" t="inlineStr">
        <is>
          <t>Type 1</t>
        </is>
      </c>
      <c r="I97" s="2" t="inlineStr">
        <is>
          <t>Existing perimeter (north wall x2, BOH south wall x2). The tag at the Cafe Workroom south wall is the RFI-05 type 1 vs E1/E2 conflict.</t>
        </is>
      </c>
      <c r="J97" s="2" t="inlineStr"/>
      <c r="K97" s="2" t="n">
        <v>6</v>
      </c>
    </row>
    <row r="98">
      <c r="A98" s="2" t="n">
        <v>97</v>
      </c>
      <c r="B98" s="2" t="inlineStr">
        <is>
          <t>A-101</t>
        </is>
      </c>
      <c r="C98" s="2" t="inlineStr">
        <is>
          <t>Partition tag</t>
        </is>
      </c>
      <c r="D98" s="2" t="inlineStr">
        <is>
          <t>Partition tag 1A - 3 tags [CONFIRMED]</t>
        </is>
      </c>
      <c r="E98" s="2" t="inlineStr">
        <is>
          <t>EXCLUDED</t>
        </is>
      </c>
      <c r="F98" s="2" t="inlineStr">
        <is>
          <t>Pending Items!R4 (RFI-01)</t>
        </is>
      </c>
      <c r="G98" s="4" t="inlineStr">
        <is>
          <t>EXCLUDED</t>
        </is>
      </c>
      <c r="H98" s="2" t="inlineStr">
        <is>
          <t>Type 1A</t>
        </is>
      </c>
      <c r="I98" s="2" t="inlineStr">
        <is>
          <t>Existing west wall (Trash / Loading Zone).</t>
        </is>
      </c>
      <c r="J98" s="2" t="inlineStr"/>
      <c r="K98" s="2" t="n">
        <v>6</v>
      </c>
    </row>
    <row r="99">
      <c r="A99" s="2" t="n">
        <v>98</v>
      </c>
      <c r="B99" s="2" t="inlineStr">
        <is>
          <t>A-101</t>
        </is>
      </c>
      <c r="C99" s="2" t="inlineStr">
        <is>
          <t>Partition tag</t>
        </is>
      </c>
      <c r="D99" s="2" t="inlineStr">
        <is>
          <t>Partition tag 1B - 8 tags [CONFIRMED]</t>
        </is>
      </c>
      <c r="E99" s="2" t="inlineStr">
        <is>
          <t>EXCLUDED</t>
        </is>
      </c>
      <c r="F99" s="2" t="inlineStr">
        <is>
          <t>Pending Items!R4 (RFI-01) + Pending Items!R29 (RFI-26)</t>
        </is>
      </c>
      <c r="G99" s="4" t="inlineStr">
        <is>
          <t>EXCLUDED</t>
        </is>
      </c>
      <c r="H99" s="2" t="inlineStr">
        <is>
          <t>Type 1B</t>
        </is>
      </c>
      <c r="I99" s="2" t="inlineStr">
        <is>
          <t>Existing walls at storefront piers, stock room angled wall and Cafe Seating south/east.</t>
        </is>
      </c>
      <c r="J99" s="2" t="inlineStr"/>
      <c r="K99" s="2" t="n">
        <v>6</v>
      </c>
    </row>
    <row r="100">
      <c r="A100" s="2" t="n">
        <v>99</v>
      </c>
      <c r="B100" s="2" t="inlineStr">
        <is>
          <t>A-101</t>
        </is>
      </c>
      <c r="C100" s="2" t="inlineStr">
        <is>
          <t>Partition tag</t>
        </is>
      </c>
      <c r="D100" s="2" t="inlineStr">
        <is>
          <t>Partition tag 1C - 4 tags [CONFIRMED]</t>
        </is>
      </c>
      <c r="E100" s="2" t="inlineStr">
        <is>
          <t>EXCLUDED</t>
        </is>
      </c>
      <c r="F100" s="2" t="inlineStr">
        <is>
          <t>Pending Items!R4 (RFI-01)</t>
        </is>
      </c>
      <c r="G100" s="4" t="inlineStr">
        <is>
          <t>EXCLUDED</t>
        </is>
      </c>
      <c r="H100" s="2" t="inlineStr">
        <is>
          <t>Type 1C</t>
        </is>
      </c>
      <c r="I100" s="2" t="inlineStr">
        <is>
          <t>Existing east wall either side of the vestibule. Perimeter tags total 1+1A+1B+1C = 19 (Pending R4 counts 17 walls; tags != walls, no conflict).</t>
        </is>
      </c>
      <c r="J100" s="2" t="inlineStr"/>
      <c r="K100" s="2" t="n">
        <v>6</v>
      </c>
    </row>
    <row r="101">
      <c r="A101" s="2" t="n">
        <v>100</v>
      </c>
      <c r="B101" s="2" t="inlineStr">
        <is>
          <t>A-101</t>
        </is>
      </c>
      <c r="C101" s="2" t="inlineStr">
        <is>
          <t>Partition tag</t>
        </is>
      </c>
      <c r="D101" s="2" t="inlineStr">
        <is>
          <t>Cafe walls (Workroom, Grab &amp; Go, counters) drawn without partition tags on A-101; typed on 1/A-221 (bubble 1/A-221 on A-101).</t>
        </is>
      </c>
      <c r="E101" s="2" t="inlineStr">
        <is>
          <t>Excel row</t>
        </is>
      </c>
      <c r="F101" s="2" t="inlineStr">
        <is>
          <t>Partition Takeoff!R46-R92 (types H1, H2A, H2B, H3A, H3B, E2, E1, F, I, A, B, D, C)</t>
        </is>
      </c>
      <c r="G101" s="3" t="inlineStr">
        <is>
          <t>COVERED</t>
        </is>
      </c>
      <c r="H101" s="2" t="inlineStr">
        <is>
          <t>Cafe walls (no tags on A-101)</t>
        </is>
      </c>
      <c r="I101" s="2" t="inlineStr">
        <is>
          <t>Cafe types taken from A-221 as referenced by the A-101 bubble.</t>
        </is>
      </c>
      <c r="J101" s="2" t="inlineStr"/>
      <c r="K101" s="2" t="n">
        <v>6</v>
      </c>
    </row>
    <row r="102">
      <c r="A102" s="2" t="n">
        <v>101</v>
      </c>
      <c r="B102" s="2" t="inlineStr">
        <is>
          <t>A-101</t>
        </is>
      </c>
      <c r="C102" s="2" t="inlineStr">
        <is>
          <t>Detail bubble</t>
        </is>
      </c>
      <c r="D102" s="2" t="inlineStr">
        <is>
          <t>Cashwrap (C8)</t>
        </is>
      </c>
      <c r="E102" s="2" t="inlineStr">
        <is>
          <t>EXCLUDED</t>
        </is>
      </c>
      <c r="F102" s="2" t="inlineStr">
        <is>
          <t>n/a</t>
        </is>
      </c>
      <c r="G102" s="4" t="inlineStr">
        <is>
          <t>EXCLUDED</t>
        </is>
      </c>
      <c r="H102" s="2" t="inlineStr">
        <is>
          <t>1/A-413</t>
        </is>
      </c>
      <c r="I102" s="2" t="inlineStr">
        <is>
          <t>Cashwrap fixture / millwork detail; A-413 handled by its sheet group.</t>
        </is>
      </c>
      <c r="J102" s="2" t="inlineStr"/>
      <c r="K102" s="2" t="n">
        <v>6</v>
      </c>
    </row>
    <row r="103">
      <c r="A103" s="2" t="n">
        <v>102</v>
      </c>
      <c r="B103" s="2" t="inlineStr">
        <is>
          <t>A-101</t>
        </is>
      </c>
      <c r="C103" s="2" t="inlineStr">
        <is>
          <t>Detail bubble</t>
        </is>
      </c>
      <c r="D103" s="2" t="inlineStr">
        <is>
          <t>Vestibule</t>
        </is>
      </c>
      <c r="E103" s="2" t="inlineStr">
        <is>
          <t>Excel row</t>
        </is>
      </c>
      <c r="F103" s="2" t="inlineStr">
        <is>
          <t>Material Summary!R10, R13, R19, R21, R30 (VEST-*)</t>
        </is>
      </c>
      <c r="G103" s="3" t="inlineStr">
        <is>
          <t>COVERED</t>
        </is>
      </c>
      <c r="H103" s="2" t="inlineStr">
        <is>
          <t>1/A-210</t>
        </is>
      </c>
      <c r="I103" s="2" t="inlineStr">
        <is>
          <t>Vestibule framing / plywood / GWB carried.</t>
        </is>
      </c>
      <c r="J103" s="2" t="inlineStr"/>
      <c r="K103" s="2" t="n">
        <v>6</v>
      </c>
    </row>
    <row r="104">
      <c r="A104" s="2" t="n">
        <v>103</v>
      </c>
      <c r="B104" s="2" t="inlineStr">
        <is>
          <t>A-101</t>
        </is>
      </c>
      <c r="C104" s="2" t="inlineStr">
        <is>
          <t>Detail bubble</t>
        </is>
      </c>
      <c r="D104" s="2" t="inlineStr">
        <is>
          <t>Restroom / corridor elevations</t>
        </is>
      </c>
      <c r="E104" s="2" t="inlineStr">
        <is>
          <t>Excel row</t>
        </is>
      </c>
      <c r="F104" s="2" t="inlineStr">
        <is>
          <t>Material Summary!R20, R30 (RESTROOM-BACKING-FRT, JANITOR-FRT-11-A200) + Pending RFI-12, RFI-33</t>
        </is>
      </c>
      <c r="G104" s="3" t="inlineStr">
        <is>
          <t>COVERED</t>
        </is>
      </c>
      <c r="H104" s="2" t="inlineStr">
        <is>
          <t>1/A-200</t>
        </is>
      </c>
      <c r="I104" s="2" t="inlineStr">
        <is>
          <t>Elevations on A-200 handled by the A-200 group; destinations exist.</t>
        </is>
      </c>
      <c r="J104" s="2" t="inlineStr"/>
      <c r="K104" s="2" t="n">
        <v>6</v>
      </c>
    </row>
    <row r="105">
      <c r="A105" s="2" t="n">
        <v>104</v>
      </c>
      <c r="B105" s="2" t="inlineStr">
        <is>
          <t>A-101</t>
        </is>
      </c>
      <c r="C105" s="2" t="inlineStr">
        <is>
          <t>Detail bubble</t>
        </is>
      </c>
      <c r="D105" s="2" t="inlineStr">
        <is>
          <t>Restroom elevations</t>
        </is>
      </c>
      <c r="E105" s="2" t="inlineStr">
        <is>
          <t>Excel row</t>
        </is>
      </c>
      <c r="F105" s="2" t="inlineStr">
        <is>
          <t>Material Summary!R20, R30 + Pending RFI-12</t>
        </is>
      </c>
      <c r="G105" s="3" t="inlineStr">
        <is>
          <t>COVERED</t>
        </is>
      </c>
      <c r="H105" s="2" t="inlineStr">
        <is>
          <t>8/A-200</t>
        </is>
      </c>
      <c r="I105" s="2" t="inlineStr">
        <is>
          <t>As above.</t>
        </is>
      </c>
      <c r="J105" s="2" t="inlineStr"/>
      <c r="K105" s="2" t="n">
        <v>6</v>
      </c>
    </row>
    <row r="106">
      <c r="A106" s="2" t="n">
        <v>105</v>
      </c>
      <c r="B106" s="2" t="inlineStr">
        <is>
          <t>A-101</t>
        </is>
      </c>
      <c r="C106" s="2" t="inlineStr">
        <is>
          <t>Detail bubble</t>
        </is>
      </c>
      <c r="D106" s="2" t="inlineStr">
        <is>
          <t>Break room / Manager's office</t>
        </is>
      </c>
      <c r="E106" s="2" t="inlineStr">
        <is>
          <t>Excel row</t>
        </is>
      </c>
      <c r="F106" s="2" t="inlineStr">
        <is>
          <t>Material Summary!R18 (BLK-BREAK, BLK-OFFICE) + Pending RFI-01 rev2 (EXT-07 allowance)</t>
        </is>
      </c>
      <c r="G106" s="3" t="inlineStr">
        <is>
          <t>COVERED</t>
        </is>
      </c>
      <c r="H106" s="2" t="inlineStr">
        <is>
          <t>7/A-412</t>
        </is>
      </c>
      <c r="I106" s="2" t="inlineStr">
        <is>
          <t>As carried.</t>
        </is>
      </c>
      <c r="J106" s="2" t="inlineStr"/>
      <c r="K106" s="2" t="n">
        <v>6</v>
      </c>
    </row>
    <row r="107">
      <c r="A107" s="2" t="n">
        <v>106</v>
      </c>
      <c r="B107" s="2" t="inlineStr">
        <is>
          <t>A-101</t>
        </is>
      </c>
      <c r="C107" s="2" t="inlineStr">
        <is>
          <t>Detail bubble</t>
        </is>
      </c>
      <c r="D107" s="2" t="inlineStr">
        <is>
          <t>Manager's office</t>
        </is>
      </c>
      <c r="E107" s="2" t="inlineStr">
        <is>
          <t>Excel row</t>
        </is>
      </c>
      <c r="F107" s="2" t="inlineStr">
        <is>
          <t>Material Summary!R18 (BLK-OFFICE)</t>
        </is>
      </c>
      <c r="G107" s="3" t="inlineStr">
        <is>
          <t>COVERED</t>
        </is>
      </c>
      <c r="H107" s="2" t="inlineStr">
        <is>
          <t>1/A-412</t>
        </is>
      </c>
      <c r="I107" s="2" t="inlineStr">
        <is>
          <t>As carried.</t>
        </is>
      </c>
      <c r="J107" s="2" t="inlineStr"/>
      <c r="K107" s="2" t="n">
        <v>6</v>
      </c>
    </row>
    <row r="108">
      <c r="A108" s="2" t="n">
        <v>107</v>
      </c>
      <c r="B108" s="2" t="inlineStr">
        <is>
          <t>A-101</t>
        </is>
      </c>
      <c r="C108" s="2" t="inlineStr">
        <is>
          <t>Detail bubble</t>
        </is>
      </c>
      <c r="D108" s="2" t="inlineStr">
        <is>
          <t>Cafe enlarged plan</t>
        </is>
      </c>
      <c r="E108" s="2" t="inlineStr">
        <is>
          <t>Excel row</t>
        </is>
      </c>
      <c r="F108" s="2" t="inlineStr">
        <is>
          <t>Partition Takeoff!R46-R92 + Material Summary!R27, R29</t>
        </is>
      </c>
      <c r="G108" s="3" t="inlineStr">
        <is>
          <t>COVERED</t>
        </is>
      </c>
      <c r="H108" s="2" t="inlineStr">
        <is>
          <t>1/A-221</t>
        </is>
      </c>
      <c r="I108" s="2" t="inlineStr">
        <is>
          <t>Cafe types from A-221.</t>
        </is>
      </c>
      <c r="J108" s="2" t="inlineStr"/>
      <c r="K108" s="2" t="n">
        <v>6</v>
      </c>
    </row>
    <row r="109">
      <c r="A109" s="2" t="n">
        <v>108</v>
      </c>
      <c r="B109" s="2" t="inlineStr">
        <is>
          <t>A-101</t>
        </is>
      </c>
      <c r="C109" s="2" t="inlineStr">
        <is>
          <t>Detail bubble</t>
        </is>
      </c>
      <c r="D109" s="2" t="inlineStr">
        <is>
          <t>CONCRETE SLAB INFILL / PATCH (HILTI HIT HY 200, #4 x 16" @ 24" O.C., 4000 PSI CONCRETE ...)</t>
        </is>
      </c>
      <c r="E109" s="2" t="inlineStr">
        <is>
          <t>EXCLUDED</t>
        </is>
      </c>
      <c r="F109" s="2" t="inlineStr">
        <is>
          <t>n/a</t>
        </is>
      </c>
      <c r="G109" s="4" t="inlineStr">
        <is>
          <t>EXCLUDED</t>
        </is>
      </c>
      <c r="H109" s="2" t="inlineStr">
        <is>
          <t>2/A-101 Concrete Slab Infill/ Patch Detail</t>
        </is>
      </c>
      <c r="I109" s="2" t="inlineStr">
        <is>
          <t>Div 03 concrete, not Div 05 light gauge / Div 09.</t>
        </is>
      </c>
      <c r="J109" s="2" t="inlineStr"/>
      <c r="K109" s="2" t="n">
        <v>6</v>
      </c>
    </row>
    <row r="110">
      <c r="A110" s="2" t="n">
        <v>109</v>
      </c>
      <c r="B110" s="2" t="inlineStr">
        <is>
          <t>A-101</t>
        </is>
      </c>
      <c r="C110" s="2" t="inlineStr">
        <is>
          <t>Detail bubble</t>
        </is>
      </c>
      <c r="D110" s="2" t="inlineStr">
        <is>
          <t>ROOF PENETRATION SPECS: 1 1/2" CONDUIT ... WEATHER PROOFING BY ROOFING CONTRACTOR ...</t>
        </is>
      </c>
      <c r="E110" s="2" t="inlineStr">
        <is>
          <t>EXCLUDED</t>
        </is>
      </c>
      <c r="F110" s="2" t="inlineStr">
        <is>
          <t>n/a</t>
        </is>
      </c>
      <c r="G110" s="4" t="inlineStr">
        <is>
          <t>EXCLUDED</t>
        </is>
      </c>
      <c r="H110" s="2" t="inlineStr">
        <is>
          <t>3/A-101 Roof Penetration Detail</t>
        </is>
      </c>
      <c r="I110" s="2" t="inlineStr">
        <is>
          <t>Electrical / roofing.</t>
        </is>
      </c>
      <c r="J110" s="2" t="inlineStr"/>
      <c r="K110" s="2" t="n">
        <v>6</v>
      </c>
    </row>
    <row r="111">
      <c r="A111" s="2" t="n">
        <v>110</v>
      </c>
      <c r="B111" s="2" t="inlineStr">
        <is>
          <t>A-101</t>
        </is>
      </c>
      <c r="C111" s="2" t="inlineStr">
        <is>
          <t>Detail note</t>
        </is>
      </c>
      <c r="D111" s="2" t="inlineStr">
        <is>
          <t>RECESSED FIRE CABINET / F.R.T. WOOD STUD HEADER ABOVE AND BASE BELOW CABINET</t>
        </is>
      </c>
      <c r="E111" s="2" t="inlineStr">
        <is>
          <t>NO DESTINATION (GAP) - proposed</t>
        </is>
      </c>
      <c r="F111" s="2" t="inlineStr">
        <is>
          <t>Proposed: new RFI + FRT wood row (Material Summary!R18 family) or framed-opening note (Scope Checklist!R18 ALC-17)</t>
        </is>
      </c>
      <c r="G111" s="6" t="inlineStr">
        <is>
          <t>GAP</t>
        </is>
      </c>
      <c r="H111" s="2" t="inlineStr">
        <is>
          <t>4/A-101 Fire Extinguisher Detail</t>
        </is>
      </c>
      <c r="I111" s="2" t="inlineStr">
        <is>
          <t>Not carried anywhere. 4 FE cabinets in new walls [DERIVED from C11 symbols: W2-01 Storage, W2-03 x2, Cafe Workroom], 2 in existing perimeter walls. Delta about 4 LF FRT 2x wood per cabinet (header + base, cabinet width ~2 ft not printed) = about 16 LF [PENDING size]; which cabinets are recessed (C11: Sales = fully recessed; Workroom = Ambassador 1017F10) to confirm.</t>
        </is>
      </c>
      <c r="J111" s="2" t="inlineStr">
        <is>
          <t>A-101_4-fire-extinguisher-detail.png</t>
        </is>
      </c>
      <c r="K111" s="2" t="n">
        <v>6</v>
      </c>
    </row>
    <row r="112">
      <c r="A112" s="2" t="n">
        <v>111</v>
      </c>
      <c r="B112" s="2" t="inlineStr">
        <is>
          <t>A-111</t>
        </is>
      </c>
      <c r="C112" s="2" t="inlineStr">
        <is>
          <t>Key note</t>
        </is>
      </c>
      <c r="D112" s="2" t="inlineStr">
        <is>
          <t>TABLE WITH SHELVING REFER TO TYPICAL DETAIL #12/A-412. PROVIDE F.R.T. PLYWOOD BLOCKING AS NEEDED</t>
        </is>
      </c>
      <c r="E112" s="2" t="inlineStr">
        <is>
          <t>Excel row</t>
        </is>
      </c>
      <c r="F112" s="2" t="inlineStr">
        <is>
          <t>Material Summary!R18 (BLK-OFFICE 85.6 LF) + Pending RFI-23</t>
        </is>
      </c>
      <c r="G112" s="3" t="inlineStr">
        <is>
          <t>COVERED</t>
        </is>
      </c>
      <c r="H112" s="2" t="inlineStr">
        <is>
          <t>Fixture key note 1</t>
        </is>
      </c>
      <c r="I112" s="2" t="inlineStr">
        <is>
          <t>Office blocking carried as FRT 2x blocking rows (3, 4/A-412). Note says F.R.T. PLYWOOD and cites 12/A-412, which is not in the R18 source list: add the citation; material (2x vs plywood) to be confirmed by the A-412 group, not provable from A-111.</t>
        </is>
      </c>
      <c r="J112" s="2" t="inlineStr">
        <is>
          <t>A-111_fixture-key-notes.png</t>
        </is>
      </c>
      <c r="K112" s="2" t="n">
        <v>7</v>
      </c>
    </row>
    <row r="113">
      <c r="A113" s="2" t="n">
        <v>112</v>
      </c>
      <c r="B113" s="2" t="inlineStr">
        <is>
          <t>A-111</t>
        </is>
      </c>
      <c r="C113" s="2" t="inlineStr">
        <is>
          <t>Key note</t>
        </is>
      </c>
      <c r="D113" s="2" t="inlineStr">
        <is>
          <t>RECEIVING TABLE BLOCKING AND WALL MOUNTED ADJUSTABLE SHELVING POWER AND GROMMETS (2). (SEE DETAIL #8/A-413)</t>
        </is>
      </c>
      <c r="E113" s="2" t="inlineStr">
        <is>
          <t>Excel row</t>
        </is>
      </c>
      <c r="F113" s="2" t="inlineStr">
        <is>
          <t>Material Summary!R18 (BLK-RECEIVING 69 LF) + Pending RFI-23</t>
        </is>
      </c>
      <c r="G113" s="3" t="inlineStr">
        <is>
          <t>COVERED</t>
        </is>
      </c>
      <c r="H113" s="2" t="inlineStr">
        <is>
          <t>Fixture key note 2</t>
        </is>
      </c>
      <c r="I113" s="2" t="inlineStr">
        <is>
          <t>As carried.</t>
        </is>
      </c>
      <c r="J113" s="2" t="inlineStr">
        <is>
          <t>A-111_fixture-key-notes.png</t>
        </is>
      </c>
      <c r="K113" s="2" t="n">
        <v>7</v>
      </c>
    </row>
    <row r="114">
      <c r="A114" s="2" t="n">
        <v>113</v>
      </c>
      <c r="B114" s="2" t="inlineStr">
        <is>
          <t>A-111</t>
        </is>
      </c>
      <c r="C114" s="2" t="inlineStr">
        <is>
          <t>Key note</t>
        </is>
      </c>
      <c r="D114" s="2" t="inlineStr">
        <is>
          <t>3: 1'-6" DEEP X 3'-0" WIDE X 8'-0" HIGH STEEL SHELVING UNITS FASTENED TO PERIMETER WALLS. SEE DETAIL#7/A-413 / 8: 1' DEEP X 3'-0" WIDE X 8'-0" HIGH STEEL SHELVING UNITS FASTENED TO PERIMETER WALLS. SEE DETAIL#7/A-413</t>
        </is>
      </c>
      <c r="E114" s="2" t="inlineStr">
        <is>
          <t>Excel row</t>
        </is>
      </c>
      <c r="F114" s="2" t="inlineStr">
        <is>
          <t>Material Summary!R18 (BLK-STOCK 387 LF) + Pending RFI-23</t>
        </is>
      </c>
      <c r="G114" s="3" t="inlineStr">
        <is>
          <t>COVERED</t>
        </is>
      </c>
      <c r="H114" s="2" t="inlineStr">
        <is>
          <t>Fixture key notes 3 and 8</t>
        </is>
      </c>
      <c r="I114" s="2" t="inlineStr">
        <is>
          <t>Same as A-101 C14 / C27.</t>
        </is>
      </c>
      <c r="J114" s="2" t="inlineStr">
        <is>
          <t>A-111_fixture-key-notes.png</t>
        </is>
      </c>
      <c r="K114" s="2" t="n">
        <v>7</v>
      </c>
    </row>
    <row r="115">
      <c r="A115" s="2" t="n">
        <v>114</v>
      </c>
      <c r="B115" s="2" t="inlineStr">
        <is>
          <t>A-111</t>
        </is>
      </c>
      <c r="C115" s="2" t="inlineStr">
        <is>
          <t>Key note</t>
        </is>
      </c>
      <c r="D115" s="2" t="inlineStr">
        <is>
          <t>98"HT FILLER PANEL, TYP.</t>
        </is>
      </c>
      <c r="E115" s="2" t="inlineStr">
        <is>
          <t>EXCLUDED</t>
        </is>
      </c>
      <c r="F115" s="2" t="inlineStr">
        <is>
          <t>n/a</t>
        </is>
      </c>
      <c r="G115" s="4" t="inlineStr">
        <is>
          <t>EXCLUDED</t>
        </is>
      </c>
      <c r="H115" s="2" t="inlineStr">
        <is>
          <t>Fixture key note 4</t>
        </is>
      </c>
      <c r="I115" s="2" t="inlineStr">
        <is>
          <t>Fixture filler panel by vendor.</t>
        </is>
      </c>
      <c r="J115" s="2" t="inlineStr">
        <is>
          <t>A-111_fixture-key-notes.png</t>
        </is>
      </c>
      <c r="K115" s="2" t="n">
        <v>7</v>
      </c>
    </row>
    <row r="116">
      <c r="A116" s="2" t="n">
        <v>115</v>
      </c>
      <c r="B116" s="2" t="inlineStr">
        <is>
          <t>A-111</t>
        </is>
      </c>
      <c r="C116" s="2" t="inlineStr">
        <is>
          <t>Key note</t>
        </is>
      </c>
      <c r="D116" s="2" t="inlineStr">
        <is>
          <t>FIRE EXTINGUISHER AND CABINET. ... AT SALES AREA, PROVIDE COSMOPOLITAN SERIES, FULLY RECESSED FULL GLASS DOOR ...</t>
        </is>
      </c>
      <c r="E116" s="2" t="inlineStr">
        <is>
          <t>NO DESTINATION (GAP) - proposed</t>
        </is>
      </c>
      <c r="F116" s="2" t="inlineStr">
        <is>
          <t>Same proposal as A-101 C11 / 4/A-101 (new RFI, FRT wood header + base at recessed cabinets)</t>
        </is>
      </c>
      <c r="G116" s="6" t="inlineStr">
        <is>
          <t>GAP</t>
        </is>
      </c>
      <c r="H116" s="2" t="inlineStr">
        <is>
          <t>Fixture key note 9</t>
        </is>
      </c>
      <c r="I116" s="2" t="inlineStr">
        <is>
          <t>Duplicate of A-101 C11; count once.</t>
        </is>
      </c>
      <c r="J116" s="2" t="inlineStr">
        <is>
          <t>A-111_fixture-key-notes.png</t>
        </is>
      </c>
      <c r="K116" s="2" t="n">
        <v>7</v>
      </c>
    </row>
    <row r="117">
      <c r="A117" s="2" t="n">
        <v>116</v>
      </c>
      <c r="B117" s="2" t="inlineStr">
        <is>
          <t>A-111</t>
        </is>
      </c>
      <c r="C117" s="2" t="inlineStr">
        <is>
          <t>Schedule note</t>
        </is>
      </c>
      <c r="D117" s="2" t="inlineStr">
        <is>
          <t>W2 24" x 95" HIGH PERIMETER WALL UNIT; W3 36" x 95" HIGH PERIMETER WALL UNIT</t>
        </is>
      </c>
      <c r="E117" s="2" t="inlineStr">
        <is>
          <t>RFI</t>
        </is>
      </c>
      <c r="F117" s="2" t="inlineStr">
        <is>
          <t>Pending Items!R39 (RFI-36)</t>
        </is>
      </c>
      <c r="G117" s="5" t="inlineStr">
        <is>
          <t>RFI</t>
        </is>
      </c>
      <c r="H117" s="2" t="inlineStr">
        <is>
          <t>Retail Fixture Schedule W2 / W3</t>
        </is>
      </c>
      <c r="I117" s="2" t="inlineStr">
        <is>
          <t>Wall-hung perimeter units; surface FRT plywood blocking per 1/A-414, 7/A-414 is RFI-36 with W-3 count PENDING. Count not taken in this sweep (units mostly on existing perimeter walls).</t>
        </is>
      </c>
      <c r="J117" s="2" t="inlineStr"/>
      <c r="K117" s="2" t="n">
        <v>7</v>
      </c>
    </row>
    <row r="118">
      <c r="A118" s="2" t="n">
        <v>117</v>
      </c>
      <c r="B118" s="2" t="inlineStr">
        <is>
          <t>A-111</t>
        </is>
      </c>
      <c r="C118" s="2" t="inlineStr">
        <is>
          <t>General note</t>
        </is>
      </c>
      <c r="D118" s="2" t="inlineStr">
        <is>
          <t>FIXTURE VENDOR TO VERIFY ALL QUANTITIES ...; MINIMUM CLEAR AISLE WIDTH 44" / 38"; 5 power and data conduits; 6 illuminated pedestal sign; 7 power for millwork lighting down back of columns</t>
        </is>
      </c>
      <c r="E118" s="2" t="inlineStr">
        <is>
          <t>EXCLUDED</t>
        </is>
      </c>
      <c r="F118" s="2" t="inlineStr">
        <is>
          <t>n/a</t>
        </is>
      </c>
      <c r="G118" s="4" t="inlineStr">
        <is>
          <t>EXCLUDED</t>
        </is>
      </c>
      <c r="H118" s="2" t="inlineStr">
        <is>
          <t>Fixture vendor note / aisle note, key notes 5-7</t>
        </is>
      </c>
      <c r="I118" s="2" t="inlineStr">
        <is>
          <t>No Div 05/09 content (fixtures, electrical, egress).</t>
        </is>
      </c>
      <c r="J118" s="2" t="inlineStr"/>
      <c r="K118" s="2" t="n">
        <v>7</v>
      </c>
    </row>
    <row r="119">
      <c r="A119" s="2" t="n">
        <v>118</v>
      </c>
      <c r="B119" s="2" t="inlineStr">
        <is>
          <t>A-121</t>
        </is>
      </c>
      <c r="C119" s="2" t="inlineStr">
        <is>
          <t>General note</t>
        </is>
      </c>
      <c r="D119" s="2" t="inlineStr">
        <is>
          <t>USE ONLY 12 GAUGE STEEL WIRE FOR ALL SUSPENDED CEILING SYSTEMS AT 48" O.C. WRAP 3 FULL TIMES. SEE A-420 DRAWINGS REGARDING CEILING BRACING REQUIREMENTS.</t>
        </is>
      </c>
      <c r="E119" s="2" t="inlineStr">
        <is>
          <t>Excel row</t>
        </is>
      </c>
      <c r="F119" s="2" t="inlineStr">
        <is>
          <t>Material Summary!R17 (Hanger wire LF) + Material Summary!R31 (Hanger wire 12 ga - hanger count 103 pcs)</t>
        </is>
      </c>
      <c r="G119" s="3" t="inlineStr">
        <is>
          <t>COVERED</t>
        </is>
      </c>
      <c r="H119" s="2" t="inlineStr">
        <is>
          <t>Ceiling note 1</t>
        </is>
      </c>
      <c r="I119" s="2" t="inlineStr">
        <is>
          <t>12 ga wire @ 48" O.C. [CONFIRMED A-121] is carried as hangers @ 48" per room. The bracing part ('SEE A-420') is NOT covered: sheet A-420 is not in the bid set (index A-410..A-414) - see GAP item 5/A-121 seismic splay wires.</t>
        </is>
      </c>
      <c r="J119" s="2" t="inlineStr">
        <is>
          <t>A-121_ceiling-notes-1-3-11.png</t>
        </is>
      </c>
      <c r="K119" s="2" t="n">
        <v>8</v>
      </c>
    </row>
    <row r="120">
      <c r="A120" s="2" t="n">
        <v>119</v>
      </c>
      <c r="B120" s="2" t="inlineStr">
        <is>
          <t>A-121</t>
        </is>
      </c>
      <c r="C120" s="2" t="inlineStr">
        <is>
          <t>General note</t>
        </is>
      </c>
      <c r="D120" s="2" t="inlineStr">
        <is>
          <t>REFER TO MECHANICAL DRAWINGS FOR LOCATION OF ALL FIRE DAMPERS AND DIFFUSERS.</t>
        </is>
      </c>
      <c r="E120" s="2" t="inlineStr">
        <is>
          <t>EXCLUDED</t>
        </is>
      </c>
      <c r="F120" s="2" t="inlineStr">
        <is>
          <t>n/a (Div 23)</t>
        </is>
      </c>
      <c r="G120" s="4" t="inlineStr">
        <is>
          <t>EXCLUDED</t>
        </is>
      </c>
      <c r="H120" s="2" t="inlineStr">
        <is>
          <t>Ceiling note 2</t>
        </is>
      </c>
      <c r="I120" s="2" t="inlineStr">
        <is>
          <t>Mechanical coordination note; dampers/diffusers by HVAC. No framed openings drawn in GWB ceilings (Scope Checklist!R18 ALC-17).</t>
        </is>
      </c>
      <c r="J120" s="2" t="inlineStr">
        <is>
          <t>A-121_ceiling-notes-1-3-11.png</t>
        </is>
      </c>
      <c r="K120" s="2" t="n">
        <v>8</v>
      </c>
    </row>
    <row r="121">
      <c r="A121" s="2" t="n">
        <v>120</v>
      </c>
      <c r="B121" s="2" t="inlineStr">
        <is>
          <t>A-121</t>
        </is>
      </c>
      <c r="C121" s="2" t="inlineStr">
        <is>
          <t>General note</t>
        </is>
      </c>
      <c r="D121" s="2" t="inlineStr">
        <is>
          <t>G.C. TO PROVIDE FIRESTOPPING/DRAFTSTOPPING ABOVE CEILING AS REQUIRED BY CODE.</t>
        </is>
      </c>
      <c r="E121" s="2" t="inlineStr">
        <is>
          <t>RFI</t>
        </is>
      </c>
      <c r="F121" s="2" t="inlineStr">
        <is>
          <t>Pending Items!R38 RFI-35 (metal stud/track fire stop at ceiling line, 264.21 LF carried) + Material Summary!R13</t>
        </is>
      </c>
      <c r="G121" s="5" t="inlineStr">
        <is>
          <t>RFI</t>
        </is>
      </c>
      <c r="H121" s="2" t="inlineStr">
        <is>
          <t>Ceiling note 3</t>
        </is>
      </c>
      <c r="I121" s="2" t="inlineStr">
        <is>
          <t>Track at ceiling line carried under RFI-35 (8/A-410). Firestop sealant / draftstopping material beyond the track is 'as required by code' - not shown; keep under RFI-35 (confirm whether any draftstop board above ceiling is required; none drawn).</t>
        </is>
      </c>
      <c r="J121" s="2" t="inlineStr">
        <is>
          <t>A-121_ceiling-notes-1-3-11.png</t>
        </is>
      </c>
      <c r="K121" s="2" t="n">
        <v>8</v>
      </c>
    </row>
    <row r="122">
      <c r="A122" s="2" t="n">
        <v>121</v>
      </c>
      <c r="B122" s="2" t="inlineStr">
        <is>
          <t>A-121</t>
        </is>
      </c>
      <c r="C122" s="2" t="inlineStr">
        <is>
          <t>General note</t>
        </is>
      </c>
      <c r="D122" s="2" t="inlineStr">
        <is>
          <t>LOCATE RECESSED DOWN LIGHTS CENTERED IN TILES U.O.N.</t>
        </is>
      </c>
      <c r="E122" s="2" t="inlineStr">
        <is>
          <t>EXCLUDED</t>
        </is>
      </c>
      <c r="F122" s="2" t="inlineStr">
        <is>
          <t>n/a (Div 26 / ACT layout)</t>
        </is>
      </c>
      <c r="G122" s="4" t="inlineStr">
        <is>
          <t>EXCLUDED</t>
        </is>
      </c>
      <c r="H122" s="2" t="inlineStr">
        <is>
          <t>Ceiling note 4</t>
        </is>
      </c>
      <c r="I122" s="2" t="inlineStr">
        <is>
          <t>Electrical / ACT layout note; no drywall material.</t>
        </is>
      </c>
      <c r="J122" s="2" t="inlineStr">
        <is>
          <t>A-121_ceiling-notes-1-3-11.png</t>
        </is>
      </c>
      <c r="K122" s="2" t="n">
        <v>8</v>
      </c>
    </row>
    <row r="123">
      <c r="A123" s="2" t="n">
        <v>122</v>
      </c>
      <c r="B123" s="2" t="inlineStr">
        <is>
          <t>A-121</t>
        </is>
      </c>
      <c r="C123" s="2" t="inlineStr">
        <is>
          <t>General note</t>
        </is>
      </c>
      <c r="D123" s="2" t="inlineStr">
        <is>
          <t>G.C. TO PAINT ALL SUPPLY / RETURN GRILLES, AND LIGHTING TRIM SET IN DRYWALL CEILINGS AND SOFFITS SAME COLOR TO MATCH ADJACENT DRYWALL SURFACE. SEMI-GLOSS ENAMEL.</t>
        </is>
      </c>
      <c r="E123" s="2" t="inlineStr">
        <is>
          <t>EXCLUDED</t>
        </is>
      </c>
      <c r="F123" s="2" t="inlineStr">
        <is>
          <t>n/a (Div 09 91 painting)</t>
        </is>
      </c>
      <c r="G123" s="4" t="inlineStr">
        <is>
          <t>EXCLUDED</t>
        </is>
      </c>
      <c r="H123" s="2" t="inlineStr">
        <is>
          <t>Ceiling note 5</t>
        </is>
      </c>
      <c r="I123" s="2" t="inlineStr">
        <is>
          <t>Painting by others; not drywall scope.</t>
        </is>
      </c>
      <c r="J123" s="2" t="inlineStr">
        <is>
          <t>A-121_ceiling-notes-1-3-11.png</t>
        </is>
      </c>
      <c r="K123" s="2" t="n">
        <v>8</v>
      </c>
    </row>
    <row r="124">
      <c r="A124" s="2" t="n">
        <v>123</v>
      </c>
      <c r="B124" s="2" t="inlineStr">
        <is>
          <t>A-121</t>
        </is>
      </c>
      <c r="C124" s="2" t="inlineStr">
        <is>
          <t>General note</t>
        </is>
      </c>
      <c r="D124" s="2" t="inlineStr">
        <is>
          <t>G.C. TO PAINT ALL SUPPLY / RETURN GRILLES, AND LIGHTING TRIM SET IN A.C.T. CEILINGS OTHER THAN WHITE TO MATCH COLOR OF A.C.T.</t>
        </is>
      </c>
      <c r="E124" s="2" t="inlineStr">
        <is>
          <t>EXCLUDED</t>
        </is>
      </c>
      <c r="F124" s="2" t="inlineStr">
        <is>
          <t>n/a (painting)</t>
        </is>
      </c>
      <c r="G124" s="4" t="inlineStr">
        <is>
          <t>EXCLUDED</t>
        </is>
      </c>
      <c r="H124" s="2" t="inlineStr">
        <is>
          <t>Ceiling note 6</t>
        </is>
      </c>
      <c r="I124" s="2" t="inlineStr">
        <is>
          <t>Painting by others.</t>
        </is>
      </c>
      <c r="J124" s="2" t="inlineStr">
        <is>
          <t>A-121_ceiling-notes-1-3-11.png</t>
        </is>
      </c>
      <c r="K124" s="2" t="n">
        <v>8</v>
      </c>
    </row>
    <row r="125">
      <c r="A125" s="2" t="n">
        <v>124</v>
      </c>
      <c r="B125" s="2" t="inlineStr">
        <is>
          <t>A-121</t>
        </is>
      </c>
      <c r="C125" s="2" t="inlineStr">
        <is>
          <t>General note</t>
        </is>
      </c>
      <c r="D125" s="2" t="inlineStr">
        <is>
          <t>7. FOR EMERGENCY LIGHT FIXTURE LOCATIONS REFER TO ELECTRICAL ENGINEER'S DRAWINGS / 9. ALL LIGHTING FIXTURES SPECIFIED WITHIN THE CAFE SERVICE AREA AS WELL AS THE CAFE WORK ROOM SHALL BE LENSED AS REQUIRED BY THE LOCAL HEALTH DEPARTMENT. / 10. GENERAL CONTRACTOR TO OBTAIN LIGHTING FIXTURE CUT SHEETS FROM LIGHTING SUPPLIER AND COORDINATE ALL MOUNTING DETAILS AND INSTALLATION PROCEDURES WITH MANUFACTURER.</t>
        </is>
      </c>
      <c r="E125" s="2" t="inlineStr">
        <is>
          <t>EXCLUDED</t>
        </is>
      </c>
      <c r="F125" s="2" t="inlineStr">
        <is>
          <t>n/a (Div 26)</t>
        </is>
      </c>
      <c r="G125" s="4" t="inlineStr">
        <is>
          <t>EXCLUDED</t>
        </is>
      </c>
      <c r="H125" s="2" t="inlineStr">
        <is>
          <t>Ceiling notes 7, 9, 10</t>
        </is>
      </c>
      <c r="I125" s="2" t="inlineStr">
        <is>
          <t>Electrical notes, no Div 05/09 material.</t>
        </is>
      </c>
      <c r="J125" s="2" t="inlineStr">
        <is>
          <t>A-121_ceiling-notes-1-3-11.png</t>
        </is>
      </c>
      <c r="K125" s="2" t="n">
        <v>8</v>
      </c>
    </row>
    <row r="126">
      <c r="A126" s="2" t="n">
        <v>125</v>
      </c>
      <c r="B126" s="2" t="inlineStr">
        <is>
          <t>A-121</t>
        </is>
      </c>
      <c r="C126" s="2" t="inlineStr">
        <is>
          <t>General note</t>
        </is>
      </c>
      <c r="D126" s="2" t="inlineStr">
        <is>
          <t>ALL CEILING HEIGHTS SHALL BE REFERENCED FROM FLOOR SLAB ELEVATION 0'-0"</t>
        </is>
      </c>
      <c r="E126" s="2" t="inlineStr">
        <is>
          <t>Excel row</t>
        </is>
      </c>
      <c r="F126" s="2" t="inlineStr">
        <is>
          <t>Partition Takeoff board heights (ceiling + 6", Pending Items!R22 RFI-19) + Material Summary!R17</t>
        </is>
      </c>
      <c r="G126" s="3" t="inlineStr">
        <is>
          <t>COVERED</t>
        </is>
      </c>
      <c r="H126" s="2" t="inlineStr">
        <is>
          <t>Ceiling note 8</t>
        </is>
      </c>
      <c r="I126" s="2" t="inlineStr">
        <is>
          <t>Excel uses the A-121 heights as A.F.F. from slab (e.g. Corridor 9'-0" -&gt; faces 9.5 ft, Cafe Workroom 10'-0" -&gt; 10.5 ft).</t>
        </is>
      </c>
      <c r="J126" s="2" t="inlineStr">
        <is>
          <t>A-121_ceiling-notes-1-3-11.png</t>
        </is>
      </c>
      <c r="K126" s="2" t="n">
        <v>8</v>
      </c>
    </row>
    <row r="127">
      <c r="A127" s="2" t="n">
        <v>126</v>
      </c>
      <c r="B127" s="2" t="inlineStr">
        <is>
          <t>A-121</t>
        </is>
      </c>
      <c r="C127" s="2" t="inlineStr">
        <is>
          <t>General note</t>
        </is>
      </c>
      <c r="D127" s="2" t="inlineStr">
        <is>
          <t>ALL CEILING GRID SUPPORTS ATTACHED TO BAR JOISTS SHALL BE ATTACHED TO THE TOP CHORD OR THE BOTTOM CHORD AT A PANEL POINT ONLY WITH THE APPROVAL FROM THE BUILDING STRUCTURAL ENGINEER.</t>
        </is>
      </c>
      <c r="E127" s="2" t="inlineStr">
        <is>
          <t>Excel row</t>
        </is>
      </c>
      <c r="F127" s="2" t="inlineStr">
        <is>
          <t>Material Summary!R17 + R31 (hanger wire LF and count)</t>
        </is>
      </c>
      <c r="G127" s="3" t="inlineStr">
        <is>
          <t>COVERED</t>
        </is>
      </c>
      <c r="H127" s="2" t="inlineStr">
        <is>
          <t>Ceiling note 11</t>
        </is>
      </c>
      <c r="I127" s="2" t="inlineStr">
        <is>
          <t>Attachment rule (install method) with no quantity of its own; hanger quantities exist. Suggest adding the note text to R17 'Where it comes from' as a clarification (hangers may need to shift to panel points; no LF delta claimed).</t>
        </is>
      </c>
      <c r="J127" s="2" t="inlineStr">
        <is>
          <t>A-121_ceiling-notes-1-3-11.png</t>
        </is>
      </c>
      <c r="K127" s="2" t="n">
        <v>8</v>
      </c>
    </row>
    <row r="128">
      <c r="A128" s="2" t="n">
        <v>127</v>
      </c>
      <c r="B128" s="2" t="inlineStr">
        <is>
          <t>A-121</t>
        </is>
      </c>
      <c r="C128" s="2" t="inlineStr">
        <is>
          <t>Key note</t>
        </is>
      </c>
      <c r="D128" s="2" t="inlineStr">
        <is>
          <t>1. NEW SUSPENDED HIGH BAY FIXTURES THROUGHOUT THE SALES FLOOR. / 2. NEW TRACK LIGHTING THROUGHOUT THE SALES FLOOR / 6. VERIFY ALL EXTERIOR LIGHTING IS IN GOOD WORKING ORDER, REPLACE IF NEEDED / 8. ALL NEW EMERGENCY LIGHT FIXTURES THROUGHOUT WALL MOUNTED OR SUSPENDED FROM CEILING / 9. ADJUST ANY CEILING DEVICES DUCTWORK, ETC. IF THERE IS CONFLICT WITH NEW LIGHT FIXTURE LOCATIONS.</t>
        </is>
      </c>
      <c r="E128" s="2" t="inlineStr">
        <is>
          <t>EXCLUDED</t>
        </is>
      </c>
      <c r="F128" s="2" t="inlineStr">
        <is>
          <t>n/a (Div 26 electrical)</t>
        </is>
      </c>
      <c r="G128" s="4" t="inlineStr">
        <is>
          <t>EXCLUDED</t>
        </is>
      </c>
      <c r="H128" s="2" t="inlineStr">
        <is>
          <t>Ceiling key notes 1, 2, 6, 8, 9</t>
        </is>
      </c>
      <c r="I128" s="2" t="inlineStr">
        <is>
          <t>Lighting scope; no Div 05/09 content.</t>
        </is>
      </c>
      <c r="J128" s="2" t="inlineStr">
        <is>
          <t>A-121_ceiling-key-note-5.png</t>
        </is>
      </c>
      <c r="K128" s="2" t="n">
        <v>8</v>
      </c>
    </row>
    <row r="129">
      <c r="A129" s="2" t="n">
        <v>128</v>
      </c>
      <c r="B129" s="2" t="inlineStr">
        <is>
          <t>A-121</t>
        </is>
      </c>
      <c r="C129" s="2" t="inlineStr">
        <is>
          <t>Key note</t>
        </is>
      </c>
      <c r="D129" s="2" t="inlineStr">
        <is>
          <t>EXTERIOR SIGNAGE MOUNTED TO FASCIA. REFER TO VENDOR SHOP DRAWINGS AND ELECTRICAL PLANS FOR FURTHER INFORMATION. PROVIDE POWER AS REQ'D</t>
        </is>
      </c>
      <c r="E129" s="2" t="inlineStr">
        <is>
          <t>EXCLUDED</t>
        </is>
      </c>
      <c r="F129" s="2" t="inlineStr">
        <is>
          <t>Scope Checklist!R15 ALC-14 (canopy / marquee framing NOT APPLICABLE)</t>
        </is>
      </c>
      <c r="G129" s="4" t="inlineStr">
        <is>
          <t>EXCLUDED</t>
        </is>
      </c>
      <c r="H129" s="2" t="inlineStr">
        <is>
          <t>Ceiling key note 3</t>
        </is>
      </c>
      <c r="I129" s="2" t="inlineStr">
        <is>
          <t>Signage by vendor; existing exterior fascia, no new framing drawn.</t>
        </is>
      </c>
      <c r="J129" s="2" t="inlineStr">
        <is>
          <t>A-121_ceiling-key-note-5.png</t>
        </is>
      </c>
      <c r="K129" s="2" t="n">
        <v>8</v>
      </c>
    </row>
    <row r="130">
      <c r="A130" s="2" t="n">
        <v>129</v>
      </c>
      <c r="B130" s="2" t="inlineStr">
        <is>
          <t>A-121</t>
        </is>
      </c>
      <c r="C130" s="2" t="inlineStr">
        <is>
          <t>Key note</t>
        </is>
      </c>
      <c r="D130" s="2" t="inlineStr">
        <is>
          <t>4. MECHANICAL DUCTS - REFER TO MECHANICAL PLANS FOR NEW SCOPE OF WORK. / 7. UNDERSIDE OF DECK, STRUCTURE AND DUCTWORK TO BE PAINTED / 10. MODIFY SPRINKLER HEAD LOCATION AS REQUIRED</t>
        </is>
      </c>
      <c r="E130" s="2" t="inlineStr">
        <is>
          <t>EXCLUDED</t>
        </is>
      </c>
      <c r="F130" s="2" t="inlineStr">
        <is>
          <t>n/a (HVAC / painting / fire protection)</t>
        </is>
      </c>
      <c r="G130" s="4" t="inlineStr">
        <is>
          <t>EXCLUDED</t>
        </is>
      </c>
      <c r="H130" s="2" t="inlineStr">
        <is>
          <t>Ceiling key notes 4, 7, 10</t>
        </is>
      </c>
      <c r="I130" s="2" t="inlineStr">
        <is>
          <t>Other trades.</t>
        </is>
      </c>
      <c r="J130" s="2" t="inlineStr">
        <is>
          <t>A-121_ceiling-key-note-5.png</t>
        </is>
      </c>
      <c r="K130" s="2" t="n">
        <v>8</v>
      </c>
    </row>
    <row r="131">
      <c r="A131" s="2" t="n">
        <v>130</v>
      </c>
      <c r="B131" s="2" t="inlineStr">
        <is>
          <t>A-121</t>
        </is>
      </c>
      <c r="C131" s="2" t="inlineStr">
        <is>
          <t>Key note</t>
        </is>
      </c>
      <c r="D131" s="2" t="inlineStr">
        <is>
          <t>NEW GWB CEILING AT ENTRY VESTIBULE</t>
        </is>
      </c>
      <c r="E131" s="2" t="inlineStr">
        <is>
          <t>Excel row</t>
        </is>
      </c>
      <c r="F131" s="2" t="inlineStr">
        <is>
          <t>Material Summary!R19 (VEST-GWB 105.5 SF = ceiling 97.1 + box beam 8.4) + Material Summary!R21 (8" joists 88.0 LF) + R30 (VEST-PLYWOOD)</t>
        </is>
      </c>
      <c r="G131" s="3" t="inlineStr">
        <is>
          <t>COVERED</t>
        </is>
      </c>
      <c r="H131" s="2" t="inlineStr">
        <is>
          <t>Ceiling key note 5</t>
        </is>
      </c>
      <c r="I131" s="2" t="inlineStr">
        <is>
          <t>Vestibule GWB ceiling 10'-6" PT-4 on A-121 carried from 4/A-210 framing (Review Item RI 11/11).</t>
        </is>
      </c>
      <c r="J131" s="2" t="inlineStr">
        <is>
          <t>A-121_ceiling-key-note-5.png</t>
        </is>
      </c>
      <c r="K131" s="2" t="n">
        <v>8</v>
      </c>
    </row>
    <row r="132">
      <c r="A132" s="2" t="n">
        <v>131</v>
      </c>
      <c r="B132" s="2" t="inlineStr">
        <is>
          <t>A-121</t>
        </is>
      </c>
      <c r="C132" s="2" t="inlineStr">
        <is>
          <t>Key note</t>
        </is>
      </c>
      <c r="D132" s="2" t="inlineStr">
        <is>
          <t>ROOF HATCH ACCESS LADDER</t>
        </is>
      </c>
      <c r="E132" s="2" t="inlineStr">
        <is>
          <t>EXCLUDED</t>
        </is>
      </c>
      <c r="F132" s="2" t="inlineStr">
        <is>
          <t>n/a (Div 05 50 misc. metals / existing)</t>
        </is>
      </c>
      <c r="G132" s="4" t="inlineStr">
        <is>
          <t>EXCLUDED</t>
        </is>
      </c>
      <c r="H132" s="2" t="inlineStr">
        <is>
          <t>Ceiling key note 11</t>
        </is>
      </c>
      <c r="I132" s="2" t="inlineStr">
        <is>
          <t>Ladder is miscellaneous metals, not light gauge framing.</t>
        </is>
      </c>
      <c r="J132" s="2" t="inlineStr">
        <is>
          <t>A-121_ceiling-key-note-5.png</t>
        </is>
      </c>
      <c r="K132" s="2" t="n">
        <v>8</v>
      </c>
    </row>
    <row r="133">
      <c r="A133" s="2" t="n">
        <v>132</v>
      </c>
      <c r="B133" s="2" t="inlineStr">
        <is>
          <t>A-121</t>
        </is>
      </c>
      <c r="C133" s="2" t="inlineStr">
        <is>
          <t>Legend</t>
        </is>
      </c>
      <c r="D133" s="2" t="inlineStr">
        <is>
          <t>HB, HB-B, LW-01, LWT-01, A1, A2/A3 (LAY-IN CEILING), A14, X1, X2, EM1, EM2, D4 (RECESSED IN CAFE CEILING), D6 (RECESSED IN RESTROOM CEILING), PD1, L-8/L-6/L-4/L-2, OCCUPANCY SENSOR</t>
        </is>
      </c>
      <c r="E133" s="2" t="inlineStr">
        <is>
          <t>EXCLUDED</t>
        </is>
      </c>
      <c r="F133" s="2" t="inlineStr">
        <is>
          <t>n/a (Div 26)</t>
        </is>
      </c>
      <c r="G133" s="4" t="inlineStr">
        <is>
          <t>EXCLUDED</t>
        </is>
      </c>
      <c r="H133" s="2" t="inlineStr">
        <is>
          <t>Light Fixture Schedule (Light Concept)</t>
        </is>
      </c>
      <c r="I133" s="2" t="inlineStr">
        <is>
          <t>Fixtures by electrical. Only drywall relevance: D4 / D6 recessed in GWB ceilings (cut-outs, no material) and the 5/A-121 'additional wire support at all light fixtures' - see separate GAP item.</t>
        </is>
      </c>
      <c r="J133" s="2" t="inlineStr"/>
      <c r="K133" s="2" t="n">
        <v>8</v>
      </c>
    </row>
    <row r="134">
      <c r="A134" s="2" t="n">
        <v>133</v>
      </c>
      <c r="B134" s="2" t="inlineStr">
        <is>
          <t>A-121</t>
        </is>
      </c>
      <c r="C134" s="2" t="inlineStr">
        <is>
          <t>Detail bubble</t>
        </is>
      </c>
      <c r="D134" s="2" t="inlineStr">
        <is>
          <t>1. VERIFY ALL EXISTING CONDITIONS AND ALL NEW PROPOSED WORK ... 2. ALL UNISTRUT, J-BOXES, THREADED ROD, ETC ABOVE TO BE PAINTED 3. MOUNTING HEIGHT OF UNISTRUT AND LENGTH OF THREADED ROD TO BE COORDINATED IN FIELD ...</t>
        </is>
      </c>
      <c r="E134" s="2" t="inlineStr">
        <is>
          <t>EXCLUDED</t>
        </is>
      </c>
      <c r="F134" s="2" t="inlineStr">
        <is>
          <t>n/a (electrical / painting)</t>
        </is>
      </c>
      <c r="G134" s="4" t="inlineStr">
        <is>
          <t>EXCLUDED</t>
        </is>
      </c>
      <c r="H134" s="2" t="inlineStr">
        <is>
          <t>1/A-121 General notes box</t>
        </is>
      </c>
      <c r="I134" s="2" t="inlineStr">
        <is>
          <t>Unistrut and threaded rod for lighting are electrical supports.</t>
        </is>
      </c>
      <c r="J134" s="2" t="inlineStr"/>
      <c r="K134" s="2" t="n">
        <v>8</v>
      </c>
    </row>
    <row r="135">
      <c r="A135" s="2" t="n">
        <v>134</v>
      </c>
      <c r="B135" s="2" t="inlineStr">
        <is>
          <t>A-121</t>
        </is>
      </c>
      <c r="C135" s="2" t="inlineStr">
        <is>
          <t>Detail bubble</t>
        </is>
      </c>
      <c r="D135" s="2" t="inlineStr">
        <is>
          <t>A DETAIL AT TRACK LIGHT FIXTURE / B DETAIL AT SALES AREA HI-BAY FIXTURE / C DETAIL AT CASH WRAP PENDANT LIGHT FIXTURE / D DETAIL AT EM LIGHT FIXTURE AND LIGHTSTAT SALES DROPS (unistrut, 1/4" threaded rod, 9 gauge support wire, telescoping pole)</t>
        </is>
      </c>
      <c r="E135" s="2" t="inlineStr">
        <is>
          <t>EXCLUDED</t>
        </is>
      </c>
      <c r="F135" s="2" t="inlineStr">
        <is>
          <t>n/a (Div 26)</t>
        </is>
      </c>
      <c r="G135" s="4" t="inlineStr">
        <is>
          <t>EXCLUDED</t>
        </is>
      </c>
      <c r="H135" s="2" t="inlineStr">
        <is>
          <t>2/A-121 Hanging Light Detail (A, B, C, D) and 3/A-121 Mounting Detail at Pole</t>
        </is>
      </c>
      <c r="I135" s="2" t="inlineStr">
        <is>
          <t>Lighting supports to structure in open-to-deck Sales area; no Div 05/09.</t>
        </is>
      </c>
      <c r="J135" s="2" t="inlineStr"/>
      <c r="K135" s="2" t="n">
        <v>8</v>
      </c>
    </row>
    <row r="136">
      <c r="A136" s="2" t="n">
        <v>135</v>
      </c>
      <c r="B136" s="2" t="inlineStr">
        <is>
          <t>A-121</t>
        </is>
      </c>
      <c r="C136" s="2" t="inlineStr">
        <is>
          <t>Detail note</t>
        </is>
      </c>
      <c r="D136" s="2" t="inlineStr">
        <is>
          <t>USG DRYWALL SUSPENSION CROSS TEE DGLW424 / MITERED USG DRYWALL SUSPENSION MAIN TEE DGLW26 / USG DGCM27 CHANNEL MOLDING / USG DGWM24 ANGLE MOLDING / HANGER WIRE</t>
        </is>
      </c>
      <c r="E136" s="2" t="inlineStr">
        <is>
          <t>Excel row</t>
        </is>
      </c>
      <c r="F136" s="2" t="inlineStr">
        <is>
          <t>Material Summary!R22, R23, R24, R25 + R17/R31; Pending Items!R18 RFI-15 (CLOSED)</t>
        </is>
      </c>
      <c r="G136" s="3" t="inlineStr">
        <is>
          <t>COVERED</t>
        </is>
      </c>
      <c r="H136" s="2" t="inlineStr">
        <is>
          <t>4/A-121 USG suspension members</t>
        </is>
      </c>
      <c r="I136" s="2" t="inlineStr">
        <is>
          <t>Cafe Seating cloud grid carried per 4/A-121 (194.16 / 457.96 / 107.21 / 107.21 LF).</t>
        </is>
      </c>
      <c r="J136" s="2" t="inlineStr">
        <is>
          <t>A-121_detail-4-usg-labels.png</t>
        </is>
      </c>
      <c r="K136" s="2" t="n">
        <v>8</v>
      </c>
    </row>
    <row r="137">
      <c r="A137" s="2" t="n">
        <v>136</v>
      </c>
      <c r="B137" s="2" t="inlineStr">
        <is>
          <t>A-121</t>
        </is>
      </c>
      <c r="C137" s="2" t="inlineStr">
        <is>
          <t>Detail note</t>
        </is>
      </c>
      <c r="D137" s="2" t="inlineStr">
        <is>
          <t>5/8" USG ECOSMART FIRECODE(R) X (UL TYPE ULIX(TM)) PANELS</t>
        </is>
      </c>
      <c r="E137" s="2" t="inlineStr">
        <is>
          <t>Excel row</t>
        </is>
      </c>
      <c r="F137" s="2" t="inlineStr">
        <is>
          <t>Material Summary!R19 (ceiling Cafe Seating Area 102 - GWB cloud 573.69 SF, Type X) + Pending Items!R30 RFI-27</t>
        </is>
      </c>
      <c r="G137" s="3" t="inlineStr">
        <is>
          <t>COVERED</t>
        </is>
      </c>
      <c r="H137" s="2" t="inlineStr">
        <is>
          <t>4/A-121 board</t>
        </is>
      </c>
      <c r="I137" s="2" t="inlineStr">
        <is>
          <t>Type X ceiling board per estimator decision (rev1 Q1).</t>
        </is>
      </c>
      <c r="J137" s="2" t="inlineStr">
        <is>
          <t>A-121_detail-4-usg-labels.png</t>
        </is>
      </c>
      <c r="K137" s="2" t="n">
        <v>8</v>
      </c>
    </row>
    <row r="138">
      <c r="A138" s="2" t="n">
        <v>137</v>
      </c>
      <c r="B138" s="2" t="inlineStr">
        <is>
          <t>A-121</t>
        </is>
      </c>
      <c r="C138" s="2" t="inlineStr">
        <is>
          <t>Detail note</t>
        </is>
      </c>
      <c r="D138" s="2" t="inlineStr">
        <is>
          <t>J-BEAD / USG SHEETROCK(R) BRAND DUR-A-BEAD(R) CORNER BEAD</t>
        </is>
      </c>
      <c r="E138" s="2" t="inlineStr">
        <is>
          <t>Excel row</t>
        </is>
      </c>
      <c r="F138" s="2" t="inlineStr">
        <is>
          <t>Material Summary!R26 (Corner bead - Cafe Seating GWB cloud bottom edge 107.21 + J-bead top of fascia 107.21)</t>
        </is>
      </c>
      <c r="G138" s="3" t="inlineStr">
        <is>
          <t>COVERED</t>
        </is>
      </c>
      <c r="H138" s="2" t="inlineStr">
        <is>
          <t>4/A-121 trims</t>
        </is>
      </c>
      <c r="I138" s="2" t="inlineStr">
        <is>
          <t>Both trims carried on the cloud perimeter 107.21 LF [DERIVED 2 x (38.833 + 14.773)].</t>
        </is>
      </c>
      <c r="J138" s="2" t="inlineStr">
        <is>
          <t>A-121_detail-4-usg-labels.png</t>
        </is>
      </c>
      <c r="K138" s="2" t="n">
        <v>8</v>
      </c>
    </row>
    <row r="139">
      <c r="A139" s="2" t="n">
        <v>138</v>
      </c>
      <c r="B139" s="2" t="inlineStr">
        <is>
          <t>A-121</t>
        </is>
      </c>
      <c r="C139" s="2" t="inlineStr">
        <is>
          <t>Detail note</t>
        </is>
      </c>
      <c r="D139" s="2" t="inlineStr">
        <is>
          <t>APPLY AT JOINT, USG SHEETROCK(TM) BRAND EASY SAND JOINT COMPOUND AND USG SHEETROCK(TM) BRAND PAPER JOINT TAPE</t>
        </is>
      </c>
      <c r="E139" s="2" t="inlineStr">
        <is>
          <t>Excel row</t>
        </is>
      </c>
      <c r="F139" s="2" t="inlineStr">
        <is>
          <t>Material Summary!R44 (joint compound) + R45 (paper joint tape)</t>
        </is>
      </c>
      <c r="G139" s="3" t="inlineStr">
        <is>
          <t>COVERED</t>
        </is>
      </c>
      <c r="H139" s="2" t="inlineStr">
        <is>
          <t>4/A-121 finishing</t>
        </is>
      </c>
      <c r="I139" s="2" t="inlineStr">
        <is>
          <t>Yield-based on all board SF incl. ceilings.</t>
        </is>
      </c>
      <c r="J139" s="2" t="inlineStr">
        <is>
          <t>A-121_detail-4-usg-labels.png</t>
        </is>
      </c>
      <c r="K139" s="2" t="n">
        <v>8</v>
      </c>
    </row>
    <row r="140">
      <c r="A140" s="2" t="n">
        <v>139</v>
      </c>
      <c r="B140" s="2" t="inlineStr">
        <is>
          <t>A-121</t>
        </is>
      </c>
      <c r="C140" s="2" t="inlineStr">
        <is>
          <t>Detail note</t>
        </is>
      </c>
      <c r="D140" s="2" t="inlineStr">
        <is>
          <t>Fascia of the cloud drawn (board return up to J-bead); height not dimensioned</t>
        </is>
      </c>
      <c r="E140" s="2" t="inlineStr">
        <is>
          <t>RFI</t>
        </is>
      </c>
      <c r="F140" s="2" t="inlineStr">
        <is>
          <t>Pending Items!R24 RFI-21</t>
        </is>
      </c>
      <c r="G140" s="5" t="inlineStr">
        <is>
          <t>RFI</t>
        </is>
      </c>
      <c r="H140" s="2" t="inlineStr">
        <is>
          <t>4/A-121 cloud fascia</t>
        </is>
      </c>
      <c r="I140" s="2" t="inlineStr">
        <is>
          <t>6" fascia measured on the detail, not dimensioned: 107.21 LF x 0.5 = 53.6 SF GWB delta.</t>
        </is>
      </c>
      <c r="J140" s="2" t="inlineStr">
        <is>
          <t>A-121_detail-4-usg-labels.png</t>
        </is>
      </c>
      <c r="K140" s="2" t="n">
        <v>8</v>
      </c>
    </row>
    <row r="141">
      <c r="A141" s="2" t="n">
        <v>140</v>
      </c>
      <c r="B141" s="2" t="inlineStr">
        <is>
          <t>A-121</t>
        </is>
      </c>
      <c r="C141" s="2" t="inlineStr">
        <is>
          <t>Detail bubble</t>
        </is>
      </c>
      <c r="D141" s="2" t="inlineStr">
        <is>
          <t>Bubble 4/A-121 called at the Cafe Seating Area GWB cloud (GWB 12'-0" PT-4)</t>
        </is>
      </c>
      <c r="E141" s="2" t="inlineStr">
        <is>
          <t>Excel row</t>
        </is>
      </c>
      <c r="F141" s="2" t="inlineStr">
        <is>
          <t>Material Summary!R19 (cloud 573.69 SF) + R22-R26; RFI-15</t>
        </is>
      </c>
      <c r="G141" s="3" t="inlineStr">
        <is>
          <t>COVERED</t>
        </is>
      </c>
      <c r="H141" s="2" t="inlineStr">
        <is>
          <t>4/A-121 on plan</t>
        </is>
      </c>
      <c r="I141" s="2" t="inlineStr">
        <is>
          <t>Cloud graphic length = 38'-10" (bottom storefront dim; the printed 46'-0" under the cloud is the LWT-01 track run, ~46 ft by scale), width EQ+5'-0"+5'-0"+EQ; Excel 38.833 x 14.773 consistent.</t>
        </is>
      </c>
      <c r="J141" s="2" t="inlineStr"/>
      <c r="K141" s="2" t="n">
        <v>8</v>
      </c>
    </row>
    <row r="142">
      <c r="A142" s="2" t="n">
        <v>141</v>
      </c>
      <c r="B142" s="2" t="inlineStr">
        <is>
          <t>A-121</t>
        </is>
      </c>
      <c r="C142" s="2" t="inlineStr">
        <is>
          <t>Detail note</t>
        </is>
      </c>
      <c r="D142" s="2" t="inlineStr">
        <is>
          <t>THE CONTRACTOR HAS THE OPTION TO EMPLOY OTHER USG STANDARD FRAMING METHODS NOT SHOWN IN THE BELOW DETAIL WHEN CONSTRUCTING CEILING ELEMENTS. CONTRACTOR SHALL BE RESPONSIBLE FOR THE CEILING SYSTEM'S PERFORMANCE (L/240 MAX.) AND MUST RECEIVE THE ARCHITECT'S OR TENANT'S REVIEW OF ANY ALTERNATE FRAMING SYSTEMS PRIOR TO BID SUBMISSION.</t>
        </is>
      </c>
      <c r="E142" s="2" t="inlineStr">
        <is>
          <t>Excel row</t>
        </is>
      </c>
      <c r="F142" s="2" t="inlineStr">
        <is>
          <t>Scope Checklist!R13 ALC-12</t>
        </is>
      </c>
      <c r="G142" s="3" t="inlineStr">
        <is>
          <t>COVERED</t>
        </is>
      </c>
      <c r="H142" s="2" t="inlineStr">
        <is>
          <t>5/A-121 Typical Ceiling Construction Options</t>
        </is>
      </c>
      <c r="I142" s="2" t="inlineStr">
        <is>
          <t>Excel follows the drawn 5/A-121 system (furring @ 24", carrying @ 48", wire @ 48"); no alternate proposed.</t>
        </is>
      </c>
      <c r="J142" s="2" t="inlineStr"/>
      <c r="K142" s="2" t="n">
        <v>8</v>
      </c>
    </row>
    <row r="143">
      <c r="A143" s="2" t="n">
        <v>142</v>
      </c>
      <c r="B143" s="2" t="inlineStr">
        <is>
          <t>A-121</t>
        </is>
      </c>
      <c r="C143" s="2" t="inlineStr">
        <is>
          <t>Detail note</t>
        </is>
      </c>
      <c r="D143" s="2" t="inlineStr">
        <is>
          <t>7/8" HAT CHANNEL FRAMING @ 24" O.C. MAX. AND NOT MORE THAN 6" FROM WALL AT CHANNEL SPLICES OVERLAP 12"</t>
        </is>
      </c>
      <c r="E143" s="2" t="inlineStr">
        <is>
          <t>Excel row</t>
        </is>
      </c>
      <c r="F143" s="2" t="inlineStr">
        <is>
          <t>Material Summary!R15 (Furring channel 182.79 LF)</t>
        </is>
      </c>
      <c r="G143" s="3" t="inlineStr">
        <is>
          <t>COVERED</t>
        </is>
      </c>
      <c r="H143" s="2" t="inlineStr">
        <is>
          <t>5/A-121 furring</t>
        </is>
      </c>
      <c r="I143" s="2" t="inlineStr">
        <is>
          <t>Furring @ 24" carried for restrooms and Cafe GWB bands. 12" splice overlap not explicit; inside the 15% metal waste.</t>
        </is>
      </c>
      <c r="J143" s="2" t="inlineStr">
        <is>
          <t>A-121_detail-5-tie-wire-fixture-support.png</t>
        </is>
      </c>
      <c r="K143" s="2" t="n">
        <v>8</v>
      </c>
    </row>
    <row r="144">
      <c r="A144" s="2" t="n">
        <v>143</v>
      </c>
      <c r="B144" s="2" t="inlineStr">
        <is>
          <t>A-121</t>
        </is>
      </c>
      <c r="C144" s="2" t="inlineStr">
        <is>
          <t>Detail note</t>
        </is>
      </c>
      <c r="D144" s="2" t="inlineStr">
        <is>
          <t>... SPLICES OVERLAP 12" AND SECURE WITH DOUBLE STRAND 16 GA. TIE WIRE.</t>
        </is>
      </c>
      <c r="E144" s="2" t="inlineStr">
        <is>
          <t>NO DESTINATION (GAP) - proposed</t>
        </is>
      </c>
      <c r="F144" s="2" t="inlineStr">
        <is>
          <t>Proposed: Material Summary new consumable row 'Tie wire 16 ga (double strand), furring to carrying channel' or note in R15</t>
        </is>
      </c>
      <c r="G144" s="6" t="inlineStr">
        <is>
          <t>GAP</t>
        </is>
      </c>
      <c r="H144" s="2" t="inlineStr">
        <is>
          <t>5/A-121 tie wire</t>
        </is>
      </c>
      <c r="I144" s="2" t="inlineStr">
        <is>
          <t>No tie wire row in Excel (search: 'tie wire' -&gt; none). Quantity [PENDING]: one double-strand tie per furring/carrying crossing = (182.79 LF furring / 4 ft) crossings approx. 46 ties [DERIVED approx.] - small consumable; carry as coil allowance.</t>
        </is>
      </c>
      <c r="J144" s="2" t="inlineStr">
        <is>
          <t>A-121_detail-5-tie-wire-fixture-support.png</t>
        </is>
      </c>
      <c r="K144" s="2" t="n">
        <v>8</v>
      </c>
    </row>
    <row r="145">
      <c r="A145" s="2" t="n">
        <v>144</v>
      </c>
      <c r="B145" s="2" t="inlineStr">
        <is>
          <t>A-121</t>
        </is>
      </c>
      <c r="C145" s="2" t="inlineStr">
        <is>
          <t>Detail note</t>
        </is>
      </c>
      <c r="D145" s="2" t="inlineStr">
        <is>
          <t>1 1/2" CHANNEL AT 48" O.C. max.</t>
        </is>
      </c>
      <c r="E145" s="2" t="inlineStr">
        <is>
          <t>Excel row</t>
        </is>
      </c>
      <c r="F145" s="2" t="inlineStr">
        <is>
          <t>Material Summary!R16 (Carrying channel 146.92 LF)</t>
        </is>
      </c>
      <c r="G145" s="3" t="inlineStr">
        <is>
          <t>COVERED</t>
        </is>
      </c>
      <c r="H145" s="2" t="inlineStr">
        <is>
          <t>5/A-121 carrying channel</t>
        </is>
      </c>
      <c r="I145" s="2" t="inlineStr">
        <is>
          <t>1-1/2" C.R. carrying @ 48" carried.</t>
        </is>
      </c>
      <c r="J145" s="2" t="inlineStr">
        <is>
          <t>A-121_detail-5-tie-wire-fixture-support.png</t>
        </is>
      </c>
      <c r="K145" s="2" t="n">
        <v>8</v>
      </c>
    </row>
    <row r="146">
      <c r="A146" s="2" t="n">
        <v>145</v>
      </c>
      <c r="B146" s="2" t="inlineStr">
        <is>
          <t>A-121</t>
        </is>
      </c>
      <c r="C146" s="2" t="inlineStr">
        <is>
          <t>Detail note</t>
        </is>
      </c>
      <c r="D146" s="2" t="inlineStr">
        <is>
          <t>HANGING WIRE TO STRUCTURE ABOVE AT 48"O.C. MAX. - PROVIDE ADDITIONAL WIRE SUPPORT AT ALL LIGHT FIXTURES / ... PROVIDE ADDITIONAL BRACING AT ALL POINT LOADS WITHIN CEILING AS REQ'D</t>
        </is>
      </c>
      <c r="E146" s="2" t="inlineStr">
        <is>
          <t>NO DESTINATION (GAP) - proposed</t>
        </is>
      </c>
      <c r="F146" s="2" t="inlineStr">
        <is>
          <t>Material Summary!R17 / R31 (hangers @ 48" only) -&gt; add fixture hangers</t>
        </is>
      </c>
      <c r="G146" s="6" t="inlineStr">
        <is>
          <t>GAP</t>
        </is>
      </c>
      <c r="H146" s="2" t="inlineStr">
        <is>
          <t>5/A-121 hanger wire + fixtures + point loads</t>
        </is>
      </c>
      <c r="I146" s="2" t="inlineStr">
        <is>
          <t>Hangers in Excel are @ 48" grid only (103 pcs). Additional hangers at every light fixture in wire-hung GWB ceilings are not carried. Count from A-121: D6 Women's 109 = 4, Men's 108 = 4 [CONFIRMED count on plan], D6 Cafe Seating cloud = 21 (7 x 3) [CONFIRMED count], D4 in Cafe GWB bands = [PENDING count, ~20]. Proposed: + (8 + 21 + D4 count) hangers x drop to deck in R31/R17. Point-load bracing 'as req'd' -&gt; note.</t>
        </is>
      </c>
      <c r="J146" s="2" t="inlineStr">
        <is>
          <t>A-121_detail-5-tie-wire-fixture-support.png</t>
        </is>
      </c>
      <c r="K146" s="2" t="n">
        <v>8</v>
      </c>
    </row>
    <row r="147">
      <c r="A147" s="2" t="n">
        <v>146</v>
      </c>
      <c r="B147" s="2" t="inlineStr">
        <is>
          <t>A-121</t>
        </is>
      </c>
      <c r="C147" s="2" t="inlineStr">
        <is>
          <t>Detail note</t>
        </is>
      </c>
      <c r="D147" s="2" t="inlineStr">
        <is>
          <t>5/8" TYPE 'X' G.W.B. ON MTL. STUDS - STUDS SPACED/SIZED ACCORDING TO CEILING CONDITIONS WHERE DESIGN DEFLECTION SHALL NOT EXCEED L/240 - REFER TO MFG'S SIZING TABLES</t>
        </is>
      </c>
      <c r="E147" s="2" t="inlineStr">
        <is>
          <t>Excel row</t>
        </is>
      </c>
      <c r="F147" s="2" t="inlineStr">
        <is>
          <t>Material Summary!R19 (ceilings Type X) + R20 (restroom ceilings Type X W.R.) + R28 (framed soffit studs 2/A-221)</t>
        </is>
      </c>
      <c r="G147" s="3" t="inlineStr">
        <is>
          <t>COVERED</t>
        </is>
      </c>
      <c r="H147" s="2" t="inlineStr">
        <is>
          <t>5/A-121 board</t>
        </is>
      </c>
      <c r="I147" s="2" t="inlineStr">
        <is>
          <t>Ceiling board Type X (RFI-27); restroom ceilings W.R. (RFI-11).</t>
        </is>
      </c>
      <c r="J147" s="2" t="inlineStr">
        <is>
          <t>A-121_detail-5-tie-wire-fixture-support.png</t>
        </is>
      </c>
      <c r="K147" s="2" t="n">
        <v>8</v>
      </c>
    </row>
    <row r="148">
      <c r="A148" s="2" t="n">
        <v>147</v>
      </c>
      <c r="B148" s="2" t="inlineStr">
        <is>
          <t>A-121</t>
        </is>
      </c>
      <c r="C148" s="2" t="inlineStr">
        <is>
          <t>Detail note</t>
        </is>
      </c>
      <c r="D148" s="2" t="inlineStr">
        <is>
          <t>NOTE: ALL SPLAY WIRES SHALL BE TAUT &amp; TIED @ BOTH ENDS W/ MIN. OF 3 TURNS IN 1" OF RUN. SECURE SUPPORT WIRES TO STRUCTURAL STEEL MEMBERS ABOVE - NOT TO ROOF DECK / 16 GA. WIRE 12'-0" O.C. EACH WAY AND WITHIN 6'-0" OF EACH WALL / 1 5/8" x 16 GA. METAL JOIST FRAMING @ 48" O.C. / (4)-12 GA. SPLAY WIRES - SPLAYED 90 deg FROM EACH OTHER AND 45 deg (MAX.) FROM CEILING PLANE</t>
        </is>
      </c>
      <c r="E148" s="2" t="inlineStr">
        <is>
          <t>NO DESTINATION (GAP) - proposed</t>
        </is>
      </c>
      <c r="F148" s="2" t="inlineStr">
        <is>
          <t>Proposed: Pending Items new RFI (ceiling seismic bracing) + Material Summary rows (splay wire 12 ga, bracing-point vertical member) if confirmed</t>
        </is>
      </c>
      <c r="G148" s="6" t="inlineStr">
        <is>
          <t>GAP</t>
        </is>
      </c>
      <c r="H148" s="2" t="inlineStr">
        <is>
          <t>5/A-121 seismic bracing (splay wires)</t>
        </is>
      </c>
      <c r="I148" s="2" t="inlineStr">
        <is>
          <t>No splay wire / bracing group in Excel (search 'splay', 'seismic' -&gt; none). Ceiling note 1 refers to 'A-420 DRAWINGS REGARDING CEILING BRACING' but A-420 is not in the set. Delta [DERIVED, PENDING confirmation]: brace groups @ 12'-0" each way = ROUNDUP(area/144) per wire-hung ceiling: restrooms 122.30 + Cafe bands 175.74 + cloud 573.69 = 871.73 SF -&gt; at least 8 groups (1 per ceiling zone min.: Women's 1, Men's 1, Cafe 11'-6" band 1, Cafe 9'-0" band 1, cloud ROUNDUP(573.69/144)=4 -&gt; 8 groups) x 4 splay wires (12 ga, length ~1.41 x drop to structure) + 1 vertical member '1 5/8" x 16 ga' each. Ask whether the Cafe cloud and restroom ceilings need seismic bracing (Colorado Springs SDC) and which member.</t>
        </is>
      </c>
      <c r="J148" s="2" t="inlineStr">
        <is>
          <t>A-121_detail-5-seismic-splay-wires.png</t>
        </is>
      </c>
      <c r="K148" s="2" t="n">
        <v>8</v>
      </c>
    </row>
    <row r="149">
      <c r="A149" s="2" t="n">
        <v>148</v>
      </c>
      <c r="B149" s="2" t="inlineStr">
        <is>
          <t>A-121</t>
        </is>
      </c>
      <c r="C149" s="2" t="inlineStr">
        <is>
          <t>Detail note</t>
        </is>
      </c>
      <c r="D149" s="2" t="inlineStr">
        <is>
          <t>HANGING WIRE SECURE FROM MAIN RUNNERS TO STRUCTURE ABOVE - 12 GA. MIN. WIRE @ 48" MAX. O.C. W/ 4 MIN. TIGHT TURNS ON EACH END (TYP.) ... / CROSS TEE / MAIN RUNNER / NOTE: ALL 2' X 2' CEILING LIGHT FIXTURES AND HVAC AIR REGISTERS SHALL BE SUPPORTED BY A MINIMUM OF TWO (2) HANGERS AT OPPOSITE CORNERS.</t>
        </is>
      </c>
      <c r="E149" s="2" t="inlineStr">
        <is>
          <t>NO DESTINATION (GAP) - proposed</t>
        </is>
      </c>
      <c r="F149" s="2" t="inlineStr">
        <is>
          <t>Proposed: Scope Checklist new line 'Acoustical ceilings (ACT-1 / ACT-3) incl. grid and wires' = EXCLUDED (by ACT contractor) or quantified</t>
        </is>
      </c>
      <c r="G149" s="6" t="inlineStr">
        <is>
          <t>GAP</t>
        </is>
      </c>
      <c r="H149" s="2" t="inlineStr">
        <is>
          <t>5/A-121 ACT grid portion</t>
        </is>
      </c>
      <c r="I149" s="2" t="inlineStr">
        <is>
          <t>ACT suspension (main runner / cross tee / wires / fixture hangers) has no row and no exclusion in Excel. See the ACT ceiling item below for areas.</t>
        </is>
      </c>
      <c r="J149" s="2" t="inlineStr"/>
      <c r="K149" s="2" t="n">
        <v>8</v>
      </c>
    </row>
    <row r="150">
      <c r="A150" s="2" t="n">
        <v>149</v>
      </c>
      <c r="B150" s="2" t="inlineStr">
        <is>
          <t>A-121</t>
        </is>
      </c>
      <c r="C150" s="2" t="inlineStr">
        <is>
          <t>Legend</t>
        </is>
      </c>
      <c r="D150" s="2" t="inlineStr">
        <is>
          <t>CORRIDOR ACT-3 9'-0" / BREAK ROOM ACT-3 9'-0" / MANAGER'S OFFICE ACT-3 9'-0" / CAFE WORKROOM ACT-1 10'-0"</t>
        </is>
      </c>
      <c r="E150" s="2" t="inlineStr">
        <is>
          <t>NO DESTINATION (GAP) - proposed</t>
        </is>
      </c>
      <c r="F150" s="2" t="inlineStr">
        <is>
          <t>Proposed: Scope Checklist new line (e.g. ALC-X26 'Acoustical lay-in ceilings ACT-1 / ACT-3') with EXCLUDED/by ACT contractor, or a quantified row</t>
        </is>
      </c>
      <c r="G150" s="6" t="inlineStr">
        <is>
          <t>GAP</t>
        </is>
      </c>
      <c r="H150" s="2" t="inlineStr">
        <is>
          <t>RCP ceiling tags - ACT ceilings</t>
        </is>
      </c>
      <c r="I150" s="2" t="inlineStr">
        <is>
          <t>ACT is Div 09 51 (often in the drywall sub's scope). Excel uses these heights for wall board (ceiling + 6") but neither carries nor excludes the ACT ceilings and grid. Areas [PENDING] (rooms: Corridor 110, Break Room 106, Manager's Office 105, Cafe Work Room 104). Wall faces are consistent: Corridor/Break/Manager 9.5 ft, Work Room 10.5 ft [CONFIRMED vs Partition Takeoff].</t>
        </is>
      </c>
      <c r="J150" s="2" t="inlineStr">
        <is>
          <t>A-121_act-ceilings.png</t>
        </is>
      </c>
      <c r="K150" s="2" t="n">
        <v>8</v>
      </c>
    </row>
    <row r="151">
      <c r="A151" s="2" t="n">
        <v>150</v>
      </c>
      <c r="B151" s="2" t="inlineStr">
        <is>
          <t>A-121</t>
        </is>
      </c>
      <c r="C151" s="2" t="inlineStr">
        <is>
          <t>Legend</t>
        </is>
      </c>
      <c r="D151" s="2" t="inlineStr">
        <is>
          <t>MENS RESTROOM GWB 9'-0" PT-4 / WOMENS RESTROOM GWB 9'-0" PT-4</t>
        </is>
      </c>
      <c r="E151" s="2" t="inlineStr">
        <is>
          <t>Excel row</t>
        </is>
      </c>
      <c r="F151" s="2" t="inlineStr">
        <is>
          <t>Material Summary!R20 (ceiling Women's 109 61.19 + Men's 108 61.11 SF, Type X W.R.) + R13/R15/R16/R17/R31</t>
        </is>
      </c>
      <c r="G151" s="3" t="inlineStr">
        <is>
          <t>COVERED</t>
        </is>
      </c>
      <c r="H151" s="2" t="inlineStr">
        <is>
          <t>RCP ceiling tags - GWB restrooms</t>
        </is>
      </c>
      <c r="I151" s="2" t="inlineStr">
        <is>
          <t>Restroom GWB ceilings carried at 9'-0" with full suspension. (Plan shows red markup '61 sf' each, matching.)</t>
        </is>
      </c>
      <c r="J151" s="2" t="inlineStr">
        <is>
          <t>A-121_restroom-gwb-9-0.png</t>
        </is>
      </c>
      <c r="K151" s="2" t="n">
        <v>8</v>
      </c>
    </row>
    <row r="152">
      <c r="A152" s="2" t="n">
        <v>151</v>
      </c>
      <c r="B152" s="2" t="inlineStr">
        <is>
          <t>A-121</t>
        </is>
      </c>
      <c r="C152" s="2" t="inlineStr">
        <is>
          <t>Legend</t>
        </is>
      </c>
      <c r="D152" s="2" t="inlineStr">
        <is>
          <t>MENS RESTROOM GWB 9'-0" / WOMENS RESTROOM GWB 9'-0"</t>
        </is>
      </c>
      <c r="E152" s="2" t="inlineStr">
        <is>
          <t>Excel row</t>
        </is>
      </c>
      <c r="F152" s="2" t="inlineStr">
        <is>
          <t>Material Summary!R20 (W.R. faces at 9.0 ft) + Pending RFI-11</t>
        </is>
      </c>
      <c r="G152" s="3" t="inlineStr">
        <is>
          <t>COVERED</t>
        </is>
      </c>
      <c r="H152" s="2" t="inlineStr">
        <is>
          <t>Restroom wall board height vs GWB ceiling 9'-0"</t>
        </is>
      </c>
      <c r="I152" s="2" t="inlineStr">
        <is>
          <t>Reviewer cross-check: the type 2 box note on 2/A-410 runs the board "TO B.O. GYP CEILING" where a GWB ceiling occurs (G7 row A-410 2/A-410 box note), so the restroom faces stop at the 9'-0" GWB ceiling (1/A-121) by the printed detail - the ceiling + 6" rule (RFI-19) is for ACT ceilings. Carried correctly at 9.0 ft.</t>
        </is>
      </c>
      <c r="J152" s="2" t="inlineStr">
        <is>
          <t>A-121_restroom-gwb-9-0.png</t>
        </is>
      </c>
      <c r="K152" s="2" t="n">
        <v>8</v>
      </c>
    </row>
    <row r="153">
      <c r="A153" s="2" t="n">
        <v>152</v>
      </c>
      <c r="B153" s="2" t="inlineStr">
        <is>
          <t>A-121</t>
        </is>
      </c>
      <c r="C153" s="2" t="inlineStr">
        <is>
          <t>Legend</t>
        </is>
      </c>
      <c r="D153" s="2" t="inlineStr">
        <is>
          <t>STOCK ROOM OPEN TO DECK PT-6 / STORAGE OPEN TO DECK PT-6 / SALES AREA OPEN TO DECK PT-6 / JANITOR CLOSET OPEN TO DECK / CAFE OPEN TO DECK PT-6</t>
        </is>
      </c>
      <c r="E153" s="2" t="inlineStr">
        <is>
          <t>Excel row</t>
        </is>
      </c>
      <c r="F153" s="2" t="inlineStr">
        <is>
          <t>Partition Takeoff!R6-R13 (type 2 faces to 25 ft in Stock/Storage/Sales/Janitor) + Pending Items!R9 RFI-06 (Cafe open-to-deck strip)</t>
        </is>
      </c>
      <c r="G153" s="3" t="inlineStr">
        <is>
          <t>COVERED</t>
        </is>
      </c>
      <c r="H153" s="2" t="inlineStr">
        <is>
          <t>RCP ceiling tags - open to deck</t>
        </is>
      </c>
      <c r="I153" s="2" t="inlineStr">
        <is>
          <t>Board to deck on these faces as carried.</t>
        </is>
      </c>
      <c r="J153" s="2" t="inlineStr"/>
      <c r="K153" s="2" t="n">
        <v>8</v>
      </c>
    </row>
    <row r="154">
      <c r="A154" s="2" t="n">
        <v>153</v>
      </c>
      <c r="B154" s="2" t="inlineStr">
        <is>
          <t>A-121</t>
        </is>
      </c>
      <c r="C154" s="2" t="inlineStr">
        <is>
          <t>Legend</t>
        </is>
      </c>
      <c r="D154" s="2" t="inlineStr">
        <is>
          <t>CAFE GWB 9'-0" PT-5 / CAFE GWB 11'-6" PT-5 / CAFE GWB 11'-0" PT-5</t>
        </is>
      </c>
      <c r="E154" s="2" t="inlineStr">
        <is>
          <t>Excel row</t>
        </is>
      </c>
      <c r="F154" s="2" t="inlineStr">
        <is>
          <t>Material Summary!R19 (ceiling Cafe 103 11'-6" band 125.07 + 9'-0" band 50.67 + 11'-0" zone 109.65 SF) + R13/R15/R16/R17; Partition Takeoff!R105-R108 (soffit sides); Pending Items!R17 RFI-14</t>
        </is>
      </c>
      <c r="G154" s="3" t="inlineStr">
        <is>
          <t>COVERED</t>
        </is>
      </c>
      <c r="H154" s="2" t="inlineStr">
        <is>
          <t>RCP ceiling tags - Cafe GWB</t>
        </is>
      </c>
      <c r="I154" s="2" t="inlineStr">
        <is>
          <t>Heights match A-121; 11'-0" governs soffit bottom (RFI-14 closed).</t>
        </is>
      </c>
      <c r="J154" s="2" t="inlineStr"/>
      <c r="K154" s="2" t="n">
        <v>8</v>
      </c>
    </row>
    <row r="155">
      <c r="A155" s="2" t="n">
        <v>154</v>
      </c>
      <c r="B155" s="2" t="inlineStr">
        <is>
          <t>A-121</t>
        </is>
      </c>
      <c r="C155" s="2" t="inlineStr">
        <is>
          <t>Legend</t>
        </is>
      </c>
      <c r="D155" s="2" t="inlineStr">
        <is>
          <t>GRAB &amp; GO GWB 7'-1" PT-7</t>
        </is>
      </c>
      <c r="E155" s="2" t="inlineStr">
        <is>
          <t>NO DESTINATION (GAP) - proposed</t>
        </is>
      </c>
      <c r="F155" s="2" t="inlineStr">
        <is>
          <t xml:space="preserve">Proposed: Material Summary!R19 add 'ceiling Grab &amp; Go GWB 7'-1"' + framing (ceiling track / furring / hangers or stud joists) </t>
        </is>
      </c>
      <c r="G155" s="6" t="inlineStr">
        <is>
          <t>GAP</t>
        </is>
      </c>
      <c r="H155" s="2" t="inlineStr">
        <is>
          <t>RCP ceiling tag - Grab &amp; Go</t>
        </is>
      </c>
      <c r="I155" s="2" t="inlineStr">
        <is>
          <t>Excel uses 7'-1" for the Grab &amp; Go wall faces (7.58 ft = 7'-1" + 6") but the R19 ceiling breakdown lists only Cafe bands, cloud, 11'-0" zone, vestibule and SS-GG soffit bottom 3.73 SF; no Grab &amp; Go ceiling. Delta [DERIVED]: approx. 4.08 x 6.17 = 25.2 SF 5/8" Type X (C-H3a x C-H3b lengths) + perimeter track approx. 20.5 LF; confirm the leader target (arrow lands at the small box inside the Cafe hatch).</t>
        </is>
      </c>
      <c r="J155" s="2" t="inlineStr">
        <is>
          <t>A-121_grab-and-go-gwb-7-1.png</t>
        </is>
      </c>
      <c r="K155" s="2" t="n">
        <v>8</v>
      </c>
    </row>
    <row r="156">
      <c r="A156" s="2" t="n">
        <v>155</v>
      </c>
      <c r="B156" s="2" t="inlineStr">
        <is>
          <t>A-121</t>
        </is>
      </c>
      <c r="C156" s="2" t="inlineStr">
        <is>
          <t>Legend</t>
        </is>
      </c>
      <c r="D156" s="2" t="inlineStr">
        <is>
          <t>VESTIBULE GWB 10'-6" PT-4</t>
        </is>
      </c>
      <c r="E156" s="2" t="inlineStr">
        <is>
          <t>Excel row</t>
        </is>
      </c>
      <c r="F156" s="2" t="inlineStr">
        <is>
          <t>Material Summary!R19 VEST-GWB + R21; Pending Items RI 11/11 (vestibule box)</t>
        </is>
      </c>
      <c r="G156" s="3" t="inlineStr">
        <is>
          <t>COVERED</t>
        </is>
      </c>
      <c r="H156" s="2" t="inlineStr">
        <is>
          <t>RCP ceiling tag - Vestibule</t>
        </is>
      </c>
      <c r="I156" s="2" t="inlineStr">
        <is>
          <t>Carried per 4/A-210 framing.</t>
        </is>
      </c>
      <c r="J156" s="2" t="inlineStr"/>
      <c r="K156" s="2" t="n">
        <v>8</v>
      </c>
    </row>
    <row r="157">
      <c r="A157" s="2" t="n">
        <v>156</v>
      </c>
      <c r="B157" s="2" t="inlineStr">
        <is>
          <t>A-121</t>
        </is>
      </c>
      <c r="C157" s="2" t="inlineStr">
        <is>
          <t>Legend</t>
        </is>
      </c>
      <c r="D157" s="2" t="inlineStr">
        <is>
          <t>CAFE SEATING AREA GWB 12'-0" PT-4</t>
        </is>
      </c>
      <c r="E157" s="2" t="inlineStr">
        <is>
          <t>Excel row</t>
        </is>
      </c>
      <c r="F157" s="2" t="inlineStr">
        <is>
          <t>Material Summary!R19 (cloud 573.69 SF) + R22-R26 + R17/R31</t>
        </is>
      </c>
      <c r="G157" s="3" t="inlineStr">
        <is>
          <t>COVERED</t>
        </is>
      </c>
      <c r="H157" s="2" t="inlineStr">
        <is>
          <t>RCP ceiling tag - Cafe Seating</t>
        </is>
      </c>
      <c r="I157" s="2" t="inlineStr">
        <is>
          <t>Cloud carried. Note: A-510 schedule row 102 marks the ceiling as painted structure / open to structure only (no painted gyp) - A-121 governs for the cloud.</t>
        </is>
      </c>
      <c r="J157" s="2" t="inlineStr"/>
      <c r="K157" s="2" t="n">
        <v>8</v>
      </c>
    </row>
    <row r="158">
      <c r="A158" s="2" t="n">
        <v>157</v>
      </c>
      <c r="B158" s="2" t="inlineStr">
        <is>
          <t>A-121</t>
        </is>
      </c>
      <c r="C158" s="2" t="inlineStr">
        <is>
          <t>General note</t>
        </is>
      </c>
      <c r="D158" s="2" t="inlineStr">
        <is>
          <t>No access panel symbol drawn in the GWB ceilings (restrooms, Cafe, cloud, vestibule)</t>
        </is>
      </c>
      <c r="E158" s="2" t="inlineStr">
        <is>
          <t>RFI</t>
        </is>
      </c>
      <c r="F158" s="2" t="inlineStr">
        <is>
          <t>Material Summary!R39 (Access panel 0) + Pending Items!R33 RFI-30</t>
        </is>
      </c>
      <c r="G158" s="5" t="inlineStr">
        <is>
          <t>RFI</t>
        </is>
      </c>
      <c r="H158" s="2" t="inlineStr">
        <is>
          <t>Access panels on A-121</t>
        </is>
      </c>
      <c r="I158" s="2" t="inlineStr">
        <is>
          <t>None drawn on A-121 [CONFIRMED by full-sheet sweep]; GC install per M-100 note 30 stays under RFI-30.</t>
        </is>
      </c>
      <c r="J158" s="2" t="inlineStr"/>
      <c r="K158" s="2" t="n">
        <v>8</v>
      </c>
    </row>
    <row r="159">
      <c r="A159" s="2" t="n">
        <v>158</v>
      </c>
      <c r="B159" s="2" t="inlineStr">
        <is>
          <t>A-131</t>
        </is>
      </c>
      <c r="C159" s="2" t="inlineStr">
        <is>
          <t>Legend</t>
        </is>
      </c>
      <c r="D159" s="2" t="inlineStr">
        <is>
          <t>REFER TO SHEET A-510 FOR ALL FINISHES, SPECIFICATIONS, AND SCHEDULES (WALLS, FLOORS, CEILINGS, ETC) / TL- CERAMIC FLOOR TILE / VCT- / SC- / EP- / VB- VINYL BASE / FM- / CP- / B- WOOD BASE</t>
        </is>
      </c>
      <c r="E159" s="2" t="inlineStr">
        <is>
          <t>EXCLUDED</t>
        </is>
      </c>
      <c r="F159" s="2" t="inlineStr">
        <is>
          <t>n/a (flooring / base by others)</t>
        </is>
      </c>
      <c r="G159" s="4" t="inlineStr">
        <is>
          <t>EXCLUDED</t>
        </is>
      </c>
      <c r="H159" s="2" t="inlineStr">
        <is>
          <t>Floor Finish Legend</t>
        </is>
      </c>
      <c r="I159" s="2" t="inlineStr">
        <is>
          <t>Flooring and base are not Div 05/09 drywall.</t>
        </is>
      </c>
      <c r="J159" s="2" t="inlineStr"/>
      <c r="K159" s="2" t="n">
        <v>9</v>
      </c>
    </row>
    <row r="160">
      <c r="A160" s="2" t="n">
        <v>159</v>
      </c>
      <c r="B160" s="2" t="inlineStr">
        <is>
          <t>A-131</t>
        </is>
      </c>
      <c r="C160" s="2" t="inlineStr">
        <is>
          <t>Key note</t>
        </is>
      </c>
      <c r="D160" s="2" t="inlineStr">
        <is>
          <t>1. NEW ENTRY MAT AT SALES / 3. WOOD BASE IN SALES FLOOR AT WALLS WITHOUT FIXTURES. / 4. NOT USED. / 5. PAINT ALL DOORS SEMI GLOSS-COLOR TO MATCH THE ADJACENT WALL. / 6. PREP AND PAINT MILLWORK FILLER PANELS TYP.</t>
        </is>
      </c>
      <c r="E160" s="2" t="inlineStr">
        <is>
          <t>EXCLUDED</t>
        </is>
      </c>
      <c r="F160" s="2" t="inlineStr">
        <is>
          <t>n/a (flooring / painting / millwork)</t>
        </is>
      </c>
      <c r="G160" s="4" t="inlineStr">
        <is>
          <t>EXCLUDED</t>
        </is>
      </c>
      <c r="H160" s="2" t="inlineStr">
        <is>
          <t>Finish plan key notes 1, 3-6</t>
        </is>
      </c>
      <c r="I160" s="2" t="inlineStr">
        <is>
          <t>Other trades.</t>
        </is>
      </c>
      <c r="J160" s="2" t="inlineStr"/>
      <c r="K160" s="2" t="n">
        <v>9</v>
      </c>
    </row>
    <row r="161">
      <c r="A161" s="2" t="n">
        <v>160</v>
      </c>
      <c r="B161" s="2" t="inlineStr">
        <is>
          <t>A-131</t>
        </is>
      </c>
      <c r="C161" s="2" t="inlineStr">
        <is>
          <t>Key note</t>
        </is>
      </c>
      <c r="D161" s="2" t="inlineStr">
        <is>
          <t>PAINT WALLS AND COLUMNS PT-2 FROM 7'-6" TO UNDER SIDE OF DECK WHERE THERE ARE DISPLAY WALL UNITS.</t>
        </is>
      </c>
      <c r="E161" s="2" t="inlineStr">
        <is>
          <t>Excel row</t>
        </is>
      </c>
      <c r="F161" s="2" t="inlineStr">
        <is>
          <t>Partition Takeoff!R6-R8 (Sales faces to 25 ft) + R96-R104 (column surrounds)</t>
        </is>
      </c>
      <c r="G161" s="3" t="inlineStr">
        <is>
          <t>COVERED</t>
        </is>
      </c>
      <c r="H161" s="2" t="inlineStr">
        <is>
          <t>Finish plan key note 2</t>
        </is>
      </c>
      <c r="I161" s="2" t="inlineStr">
        <is>
          <t>Painting excluded; confirms GWB on Sales faces up to deck (carried).</t>
        </is>
      </c>
      <c r="J161" s="2" t="inlineStr"/>
      <c r="K161" s="2" t="n">
        <v>9</v>
      </c>
    </row>
    <row r="162">
      <c r="A162" s="2" t="n">
        <v>161</v>
      </c>
      <c r="B162" s="2" t="inlineStr">
        <is>
          <t>A-131</t>
        </is>
      </c>
      <c r="C162" s="2" t="inlineStr">
        <is>
          <t>General note</t>
        </is>
      </c>
      <c r="D162" s="2" t="inlineStr">
        <is>
          <t>1. ALL INTERIOR FINISHES ... FLAME SPREAD RATING NOT TO EXCEED 75 ... 2. THE GENERAL CONTRACTOR SHALL BE RESPONSIBLE FOR PROPER PREPARATION ... 3. G.C. TO PROVIDE GROUT SAMPLE ...</t>
        </is>
      </c>
      <c r="E162" s="2" t="inlineStr">
        <is>
          <t>EXCLUDED</t>
        </is>
      </c>
      <c r="F162" s="2" t="inlineStr">
        <is>
          <t>n/a</t>
        </is>
      </c>
      <c r="G162" s="4" t="inlineStr">
        <is>
          <t>EXCLUDED</t>
        </is>
      </c>
      <c r="H162" s="2" t="inlineStr">
        <is>
          <t>Finish note 1-3</t>
        </is>
      </c>
      <c r="I162" s="2" t="inlineStr">
        <is>
          <t>General finish / flooring prep; no drywall quantity.</t>
        </is>
      </c>
      <c r="J162" s="2" t="inlineStr"/>
      <c r="K162" s="2" t="n">
        <v>9</v>
      </c>
    </row>
    <row r="163">
      <c r="A163" s="2" t="n">
        <v>162</v>
      </c>
      <c r="B163" s="2" t="inlineStr">
        <is>
          <t>A-131</t>
        </is>
      </c>
      <c r="C163" s="2" t="inlineStr">
        <is>
          <t>General note</t>
        </is>
      </c>
      <c r="D163" s="2" t="inlineStr">
        <is>
          <t>4. ALL JOINTS IN GYPSUM BOARD WALLS SHALL BE FINISHED WITH PAPER TAPE 2" WIDE AND THREE COATS OF VINYL, DRY OR PREMIXED JOINT COMPOUND. ALL OUTSIDE CORNERS SHALL BE FINISHED WITH METAL CORNER BEADS, TAPED AND SPACKLED. ALL AREAS TO BE PAINTED SHALL BE SANDED SMOOTH ...</t>
        </is>
      </c>
      <c r="E163" s="2" t="inlineStr">
        <is>
          <t>Excel row</t>
        </is>
      </c>
      <c r="F163" s="2" t="inlineStr">
        <is>
          <t>Material Summary!R44, R45 (compound / tape, Level 4) + R26 (metal corner bead) + Scope Checklist!R25 ALC-24</t>
        </is>
      </c>
      <c r="G163" s="3" t="inlineStr">
        <is>
          <t>COVERED</t>
        </is>
      </c>
      <c r="H163" s="2" t="inlineStr">
        <is>
          <t>Finish note 4</t>
        </is>
      </c>
      <c r="I163" s="2" t="inlineStr">
        <is>
          <t>Tape + 3 coats = Level 4 as assumed (Inputs!R23). Outside-corner coverage gap at soffits is listed separately (A-510 finish note 8 item).</t>
        </is>
      </c>
      <c r="J163" s="2" t="inlineStr">
        <is>
          <t>A-131_finish-note-4.png</t>
        </is>
      </c>
      <c r="K163" s="2" t="n">
        <v>9</v>
      </c>
    </row>
    <row r="164">
      <c r="A164" s="2" t="n">
        <v>163</v>
      </c>
      <c r="B164" s="2" t="inlineStr">
        <is>
          <t>A-131</t>
        </is>
      </c>
      <c r="C164" s="2" t="inlineStr">
        <is>
          <t>General note</t>
        </is>
      </c>
      <c r="D164" s="2" t="inlineStr">
        <is>
          <t>G.C. TO PROVIDE WATERPROOFING ... AT RESTROOM SLAB-ON-GRADE CONDITIONS ... WATERPROOFING MEMBRANE 12" UP WALL AND 12" ON TO FLOOR ... / TOILET ROOMS: ENTIRE EXTENTS OF FLOOR AND A MIN. OF 12" UP PERIMETER WALLS. MUST USE LATICRETE 9235 OR EQUAL</t>
        </is>
      </c>
      <c r="E164" s="2" t="inlineStr">
        <is>
          <t>EXCLUDED</t>
        </is>
      </c>
      <c r="F164" s="2" t="inlineStr">
        <is>
          <t>n/a (Div 07 / tile waterproofing by GC-tile)</t>
        </is>
      </c>
      <c r="G164" s="4" t="inlineStr">
        <is>
          <t>EXCLUDED</t>
        </is>
      </c>
      <c r="H164" s="2" t="inlineStr">
        <is>
          <t>General note 1 + Waterproofing for Toilets</t>
        </is>
      </c>
      <c r="I164" s="2" t="inlineStr">
        <is>
          <t>Membrane is applied over the board by the tile/waterproofing trade; W.R. board behind is carried (Material Summary!R20).</t>
        </is>
      </c>
      <c r="J164" s="2" t="inlineStr">
        <is>
          <t>A-131_general-notes-3-10-ffr-5.png</t>
        </is>
      </c>
      <c r="K164" s="2" t="n">
        <v>9</v>
      </c>
    </row>
    <row r="165">
      <c r="A165" s="2" t="n">
        <v>164</v>
      </c>
      <c r="B165" s="2" t="inlineStr">
        <is>
          <t>A-131</t>
        </is>
      </c>
      <c r="C165" s="2" t="inlineStr">
        <is>
          <t>General note</t>
        </is>
      </c>
      <c r="D165" s="2" t="inlineStr">
        <is>
          <t>2. REFER THE FINISH LEGEND ON SHEET A-510 ... 4. CAULK ALL JOINTS BETWEEN WALL TILE AND DOOR FRAMES ... 5. TILE CONTRACTOR ... 6. ... FLOOR SLAB ... 7. FLOOR TILES TO BE NON-SLIP ... 8. ALL MATERIAL TRANSITIONS TO MEET A.D.A. ... 9. MAXIMUM FLOOR SLOPE ... 11. TILE NOTES ... 12. ALL FLOOR PENETRATIONS TO BE WATERPROOFED ... 13. ... LATICRETE EPOXY GROUT</t>
        </is>
      </c>
      <c r="E165" s="2" t="inlineStr">
        <is>
          <t>EXCLUDED</t>
        </is>
      </c>
      <c r="F165" s="2" t="inlineStr">
        <is>
          <t>n/a (tile / flooring)</t>
        </is>
      </c>
      <c r="G165" s="4" t="inlineStr">
        <is>
          <t>EXCLUDED</t>
        </is>
      </c>
      <c r="H165" s="2" t="inlineStr">
        <is>
          <t>General notes 2, 4-9, 11-13</t>
        </is>
      </c>
      <c r="I165" s="2" t="inlineStr">
        <is>
          <t>No Div 05/09 drywall content.</t>
        </is>
      </c>
      <c r="J165" s="2" t="inlineStr">
        <is>
          <t>A-131_general-notes-3-10-ffr-5.png</t>
        </is>
      </c>
      <c r="K165" s="2" t="n">
        <v>9</v>
      </c>
    </row>
    <row r="166">
      <c r="A166" s="2" t="n">
        <v>165</v>
      </c>
      <c r="B166" s="2" t="inlineStr">
        <is>
          <t>A-131</t>
        </is>
      </c>
      <c r="C166" s="2" t="inlineStr">
        <is>
          <t>General note</t>
        </is>
      </c>
      <c r="D166" s="2" t="inlineStr">
        <is>
          <t>AT THE BACK WORKROOM AND JANITOR'S CLOSET PROVIDE CONTINUOUS SEALANT JOINT AT ALL FRP AND STAINLESS STEEL INTERSECTIONS AT TILE BASE, CEILINGS, DOOR FRAMES, PLUMBING/GAS/ELECTRICAL ROUGH-INS, AND MISCELLANEOUS PENETRATIONS.</t>
        </is>
      </c>
      <c r="E166" s="2" t="inlineStr">
        <is>
          <t>RFI</t>
        </is>
      </c>
      <c r="F166" s="2" t="inlineStr">
        <is>
          <t>Pending Items!R16 RFI-13 (FRP-1 installer / extent)</t>
        </is>
      </c>
      <c r="G166" s="5" t="inlineStr">
        <is>
          <t>RFI</t>
        </is>
      </c>
      <c r="H166" s="2" t="inlineStr">
        <is>
          <t>General note 3</t>
        </is>
      </c>
      <c r="I166" s="2" t="inlineStr">
        <is>
          <t>FRP sealant belongs to whoever installs FRP-1 (open under RFI-13). Not acoustical sealant (that is excluded by standing order, Scope Checklist!R20).</t>
        </is>
      </c>
      <c r="J166" s="2" t="inlineStr">
        <is>
          <t>A-131_general-notes-3-10-ffr-5.png</t>
        </is>
      </c>
      <c r="K166" s="2" t="n">
        <v>9</v>
      </c>
    </row>
    <row r="167">
      <c r="A167" s="2" t="n">
        <v>166</v>
      </c>
      <c r="B167" s="2" t="inlineStr">
        <is>
          <t>A-131</t>
        </is>
      </c>
      <c r="C167" s="2" t="inlineStr">
        <is>
          <t>General note</t>
        </is>
      </c>
      <c r="D167" s="2" t="inlineStr">
        <is>
          <t>ALL INTERIOR WOOD BLOCKING TO BE FIRE TREATED (F.T.), U.N.O., V.I.F.</t>
        </is>
      </c>
      <c r="E167" s="2" t="inlineStr">
        <is>
          <t>Excel row</t>
        </is>
      </c>
      <c r="F167" s="2" t="inlineStr">
        <is>
          <t>Material Summary!R18 (Blocking FRT 552.27 LF) + R29, R30 (FRT plywood)</t>
        </is>
      </c>
      <c r="G167" s="3" t="inlineStr">
        <is>
          <t>COVERED</t>
        </is>
      </c>
      <c r="H167" s="2" t="inlineStr">
        <is>
          <t>General note 10</t>
        </is>
      </c>
      <c r="I167" s="2" t="inlineStr">
        <is>
          <t>All wood blocking / plywood carried as FRT.</t>
        </is>
      </c>
      <c r="J167" s="2" t="inlineStr">
        <is>
          <t>A-131_general-notes-3-10-ffr-5.png</t>
        </is>
      </c>
      <c r="K167" s="2" t="n">
        <v>9</v>
      </c>
    </row>
    <row r="168">
      <c r="A168" s="2" t="n">
        <v>167</v>
      </c>
      <c r="B168" s="2" t="inlineStr">
        <is>
          <t>A-131</t>
        </is>
      </c>
      <c r="C168" s="2" t="inlineStr">
        <is>
          <t>General note</t>
        </is>
      </c>
      <c r="D168" s="2" t="inlineStr">
        <is>
          <t>1. GENERAL CONTRACTOR TO PREPARE FLOOR ... 2. REFER TO FLOORING TRANSITION DETAILS ... 3. ALL CERAMIC SANITARY COVE BASE MATERIAL MUST BE SET INTEGRAL WITH FLOOR TILE ... 4. ... ANTI-FRACTURE MEMBRANE</t>
        </is>
      </c>
      <c r="E168" s="2" t="inlineStr">
        <is>
          <t>EXCLUDED</t>
        </is>
      </c>
      <c r="F168" s="2" t="inlineStr">
        <is>
          <t>n/a (flooring / tile)</t>
        </is>
      </c>
      <c r="G168" s="4" t="inlineStr">
        <is>
          <t>EXCLUDED</t>
        </is>
      </c>
      <c r="H168" s="2" t="inlineStr">
        <is>
          <t>Floor Finish Requirements 1-4</t>
        </is>
      </c>
      <c r="I168" s="2" t="inlineStr">
        <is>
          <t>No drywall quantity (cove base backer question stays in RFI-12).</t>
        </is>
      </c>
      <c r="J168" s="2" t="inlineStr">
        <is>
          <t>A-131_general-notes-3-10-ffr-5.png</t>
        </is>
      </c>
      <c r="K168" s="2" t="n">
        <v>9</v>
      </c>
    </row>
    <row r="169">
      <c r="A169" s="2" t="n">
        <v>168</v>
      </c>
      <c r="B169" s="2" t="inlineStr">
        <is>
          <t>A-131</t>
        </is>
      </c>
      <c r="C169" s="2" t="inlineStr">
        <is>
          <t>General note</t>
        </is>
      </c>
      <c r="D169" s="2" t="inlineStr">
        <is>
          <t>ALL WORK ROOM WALLS TO RECEIVE 2X2 FULL HEIGHT STAINLESS STEEL CORNER GUARDS WITH CHAMFERED AND SILICONE EDGES.</t>
        </is>
      </c>
      <c r="E169" s="2" t="inlineStr">
        <is>
          <t>RFI</t>
        </is>
      </c>
      <c r="F169" s="2" t="inlineStr">
        <is>
          <t>Pending Items!R32 RFI-29 (corner guards: extent and installer not defined)</t>
        </is>
      </c>
      <c r="G169" s="5" t="inlineStr">
        <is>
          <t>RFI</t>
        </is>
      </c>
      <c r="H169" s="2" t="inlineStr">
        <is>
          <t>Floor Finish Requirement 5</t>
        </is>
      </c>
      <c r="I169" s="2" t="inlineStr">
        <is>
          <t>Third source for corner guards not cited in RFI-29 (C22 A-101 and A-001A only). Add this note to RFI-29: Cafe Work Room 104 outside corners, full height, 2x2 stainless. Count [PENDING].</t>
        </is>
      </c>
      <c r="J169" s="2" t="inlineStr">
        <is>
          <t>A-131_general-notes-3-10-ffr-5.png</t>
        </is>
      </c>
      <c r="K169" s="2" t="n">
        <v>9</v>
      </c>
    </row>
    <row r="170">
      <c r="A170" s="2" t="n">
        <v>169</v>
      </c>
      <c r="B170" s="2" t="inlineStr">
        <is>
          <t>A-131</t>
        </is>
      </c>
      <c r="C170" s="2" t="inlineStr">
        <is>
          <t>General note</t>
        </is>
      </c>
      <c r="D170" s="2" t="inlineStr">
        <is>
          <t>DESIGN INTENT IS TO PAINT ALL STRUCTURAL ELEMENTS, DUCTWORK, DECKING, PIPING, ETC / ALL CONDUIT TO BE PAINTED ...</t>
        </is>
      </c>
      <c r="E170" s="2" t="inlineStr">
        <is>
          <t>EXCLUDED</t>
        </is>
      </c>
      <c r="F170" s="2" t="inlineStr">
        <is>
          <t>n/a (painting)</t>
        </is>
      </c>
      <c r="G170" s="4" t="inlineStr">
        <is>
          <t>EXCLUDED</t>
        </is>
      </c>
      <c r="H170" s="2" t="inlineStr">
        <is>
          <t>Deck / Structural Finishing</t>
        </is>
      </c>
      <c r="I170" s="2" t="inlineStr">
        <is>
          <t>Painting by others.</t>
        </is>
      </c>
      <c r="J170" s="2" t="inlineStr"/>
      <c r="K170" s="2" t="n">
        <v>9</v>
      </c>
    </row>
    <row r="171">
      <c r="A171" s="2" t="n">
        <v>170</v>
      </c>
      <c r="B171" s="2" t="inlineStr">
        <is>
          <t>A-131</t>
        </is>
      </c>
      <c r="C171" s="2" t="inlineStr">
        <is>
          <t>Schedule note</t>
        </is>
      </c>
      <c r="D171" s="2" t="inlineStr">
        <is>
          <t>PT-1 FRP-1 WALLS (96" AFF) / VB-1 BASE / VCT-1 FLOOR - JANITOR CLOSET</t>
        </is>
      </c>
      <c r="E171" s="2" t="inlineStr">
        <is>
          <t>Excel row - CORRECT</t>
        </is>
      </c>
      <c r="F171" s="2" t="inlineStr">
        <is>
          <t>Pending Items!R16 RFI-13 (+ Material Summary!R37)</t>
        </is>
      </c>
      <c r="G171" s="7" t="inlineStr">
        <is>
          <t>CORREGIR</t>
        </is>
      </c>
      <c r="H171" s="2" t="inlineStr">
        <is>
          <t>Finish plan tag - Janitor Closet</t>
        </is>
      </c>
      <c r="I171" s="2" t="inlineStr">
        <is>
          <t>RFI-13 states the FRP height is 'not printed for the partitions'; A-131 prints FRP-1 at the Janitor Closet to 96" AFF [CONFIRMED A-131]. Correct RFI-13: Janitor 107 FRP-1 height = 8'-0" A.F.F.; Janitor FRP-1 = 19.43 LF (Janitor faces W2-06.5 B 4.41 + W2-07 B 7.51 + W2-08 A 7.51) x 8.0 = 155.44 SF [DERIVED, less the door 5 opening, PENDING]. Installer (A-002) and the Work Room 104 height remain open.</t>
        </is>
      </c>
      <c r="J171" s="2" t="inlineStr">
        <is>
          <t>A-131_janitor-frp-96aff.png</t>
        </is>
      </c>
      <c r="K171" s="2" t="n">
        <v>9</v>
      </c>
    </row>
    <row r="172">
      <c r="A172" s="2" t="n">
        <v>171</v>
      </c>
      <c r="B172" s="2" t="inlineStr">
        <is>
          <t>A-131</t>
        </is>
      </c>
      <c r="C172" s="2" t="inlineStr">
        <is>
          <t>Schedule note</t>
        </is>
      </c>
      <c r="D172" s="2" t="inlineStr">
        <is>
          <t>FRP-1 WALLS / EP-1 BASE / EP-1 FLOOR - CAFE WORK ROOM</t>
        </is>
      </c>
      <c r="E172" s="2" t="inlineStr">
        <is>
          <t>RFI</t>
        </is>
      </c>
      <c r="F172" s="2" t="inlineStr">
        <is>
          <t>Pending Items!R16 RFI-13 + Pending Items!R14 RFI-11 (no GWB on Work Room faces)</t>
        </is>
      </c>
      <c r="G172" s="5" t="inlineStr">
        <is>
          <t>RFI</t>
        </is>
      </c>
      <c r="H172" s="2" t="inlineStr">
        <is>
          <t>Finish plan tag - Cafe Work Room</t>
        </is>
      </c>
      <c r="I172" s="2" t="inlineStr">
        <is>
          <t>No height printed for the Work Room FRP on A-131 (only Janitor has 96" AFF). Consistent with rev6 removal of GWB on Work Room faces.</t>
        </is>
      </c>
      <c r="J172" s="2" t="inlineStr"/>
      <c r="K172" s="2" t="n">
        <v>9</v>
      </c>
    </row>
    <row r="173">
      <c r="A173" s="2" t="n">
        <v>172</v>
      </c>
      <c r="B173" s="2" t="inlineStr">
        <is>
          <t>A-131</t>
        </is>
      </c>
      <c r="C173" s="2" t="inlineStr">
        <is>
          <t>Schedule note</t>
        </is>
      </c>
      <c r="D173" s="2" t="inlineStr">
        <is>
          <t>WOMEN'S / MEN'S RESTROOM: WALLS PT-3, BASE B-2, FLOOR TL-3 / CORRIDOR: WALLS PT-3, BASE B-1, FLOOR TL-3 / BREAK ROOM: PT-1, VB-1, VCT-1 / MANAGER'S OFFICE: PT-1, VB-1, CP-1 / STORAGE: PT-1, VB-1, SC-1 / STOCK ROOM SC-1</t>
        </is>
      </c>
      <c r="E173" s="2" t="inlineStr">
        <is>
          <t>Excel row</t>
        </is>
      </c>
      <c r="F173" s="2" t="inlineStr">
        <is>
          <t>Partition Takeoff faces (painted GWB) + Material Summary!R19, R20; Pending Items!R15 RFI-12 (tile backer)</t>
        </is>
      </c>
      <c r="G173" s="3" t="inlineStr">
        <is>
          <t>COVERED</t>
        </is>
      </c>
      <c r="H173" s="2" t="inlineStr">
        <is>
          <t>Finish plan tags - Restrooms / Corridor / BOH rooms</t>
        </is>
      </c>
      <c r="I173" s="2" t="inlineStr">
        <is>
          <t>Painted GWB on these faces is carried. Restroom/Corridor wall tile comes from A-510 / A-200 (RFI-12).</t>
        </is>
      </c>
      <c r="J173" s="2" t="inlineStr"/>
      <c r="K173" s="2" t="n">
        <v>9</v>
      </c>
    </row>
    <row r="174">
      <c r="A174" s="2" t="n">
        <v>173</v>
      </c>
      <c r="B174" s="2" t="inlineStr">
        <is>
          <t>A-131</t>
        </is>
      </c>
      <c r="C174" s="2" t="inlineStr">
        <is>
          <t>Detail bubble</t>
        </is>
      </c>
      <c r="D174" s="2" t="inlineStr">
        <is>
          <t>1/A-510 ... 9/A-510 (floor transition details) / 2 A-131 TILE DETAIL 9" x 3'-0" plank layout</t>
        </is>
      </c>
      <c r="E174" s="2" t="inlineStr">
        <is>
          <t>EXCLUDED</t>
        </is>
      </c>
      <c r="F174" s="2" t="inlineStr">
        <is>
          <t>n/a (flooring)</t>
        </is>
      </c>
      <c r="G174" s="4" t="inlineStr">
        <is>
          <t>EXCLUDED</t>
        </is>
      </c>
      <c r="H174" s="2" t="inlineStr">
        <is>
          <t>1-9/A-510 floor transition bubbles + 2/A-131 Tile Detail</t>
        </is>
      </c>
      <c r="I174" s="2" t="inlineStr">
        <is>
          <t>No Div 05/09 content.</t>
        </is>
      </c>
      <c r="J174" s="2" t="inlineStr"/>
      <c r="K174" s="2" t="n">
        <v>9</v>
      </c>
    </row>
    <row r="175">
      <c r="A175" s="2" t="n">
        <v>174</v>
      </c>
      <c r="B175" s="2" t="inlineStr">
        <is>
          <t>A-131</t>
        </is>
      </c>
      <c r="C175" s="2" t="inlineStr">
        <is>
          <t>General note</t>
        </is>
      </c>
      <c r="D175" s="2" t="inlineStr">
        <is>
          <t>SEE CAFE SHEETS FOR FINISHES / SEE CAFE DETAIL SHEETS</t>
        </is>
      </c>
      <c r="E175" s="2" t="inlineStr">
        <is>
          <t>Excel row</t>
        </is>
      </c>
      <c r="F175" s="2" t="inlineStr">
        <is>
          <t>Cafe finishes reviewed on A-225 / A-226A (other group); cement board Material Summary!R27, FRT plywood R29</t>
        </is>
      </c>
      <c r="G175" s="3" t="inlineStr">
        <is>
          <t>COVERED</t>
        </is>
      </c>
      <c r="H175" s="2" t="inlineStr">
        <is>
          <t>SEE CAFE SHEETS FOR FINISHES</t>
        </is>
      </c>
      <c r="I175" s="2" t="inlineStr">
        <is>
          <t>Pointer only.</t>
        </is>
      </c>
      <c r="J175" s="2" t="inlineStr"/>
      <c r="K175" s="2" t="n">
        <v>9</v>
      </c>
    </row>
    <row r="176">
      <c r="A176" s="2" t="n">
        <v>175</v>
      </c>
      <c r="B176" s="2" t="inlineStr">
        <is>
          <t>A-151</t>
        </is>
      </c>
      <c r="C176" s="2" t="inlineStr">
        <is>
          <t>Legend</t>
        </is>
      </c>
      <c r="D176" s="2" t="inlineStr">
        <is>
          <t>A-151 Power and Signal Plan: ELECTRICAL SYMBOL LEGEND (conduit, panelboard, switches 48" AFF, receptacles, floor boxes, gang boxes, telephone/data, plug mold), EVOLVE S20 ANTENNA, J-BOX W/ 5' WHIP CONNECTED TO DUPLEX. NOTE: NOT ALL SYMBOLS MAY APPLY TO PROJECT.</t>
        </is>
      </c>
      <c r="E176" s="2" t="inlineStr">
        <is>
          <t>EXCLUDED</t>
        </is>
      </c>
      <c r="F176" s="2" t="inlineStr">
        <is>
          <t>n/a (Div 26 / 27)</t>
        </is>
      </c>
      <c r="G176" s="4" t="inlineStr">
        <is>
          <t>EXCLUDED</t>
        </is>
      </c>
      <c r="H176" s="2" t="inlineStr">
        <is>
          <t>Sheet reviewed - no Div 05/09 content</t>
        </is>
      </c>
      <c r="I176" s="2" t="inlineStr">
        <is>
          <t>Sheet reviewed - no Div 05/09 content: wall boxes in GWB partitions are electrical; no backing, blocking or framed opening called.</t>
        </is>
      </c>
      <c r="J176" s="2" t="inlineStr"/>
      <c r="K176" s="2" t="n">
        <v>10</v>
      </c>
    </row>
    <row r="177">
      <c r="A177" s="2" t="n">
        <v>176</v>
      </c>
      <c r="B177" s="2" t="inlineStr">
        <is>
          <t>A-200</t>
        </is>
      </c>
      <c r="C177" s="2" t="inlineStr">
        <is>
          <t>Detail bubble</t>
        </is>
      </c>
      <c r="D177" s="2" t="inlineStr">
        <is>
          <t>Enlarged Rest Room and Corridor Plan, 1/2"=1'-0" (Women's 8'-7" x 7'-6", Men's 8'-8" x 7'-6" [CONFIRMED A-200]; calls 21/A-201 at plumbing wall, 26/A-201 at both lavatories, 23&amp;25/A-201 TYP. at drinking fountain alcove corner)</t>
        </is>
      </c>
      <c r="E177" s="2" t="inlineStr">
        <is>
          <t>Excel row</t>
        </is>
      </c>
      <c r="F177" s="2" t="inlineStr">
        <is>
          <t>Partition Takeoff!R9-R11, R16 (W2-05, W2-06.x, W2-07, W5-01); Material Summary!R20 (Type X W.R.); Material Summary!R30 RESTROOM-BACKING-FRT</t>
        </is>
      </c>
      <c r="G177" s="3" t="inlineStr">
        <is>
          <t>COVERED</t>
        </is>
      </c>
      <c r="H177" s="2" t="inlineStr">
        <is>
          <t>1/A-200 Enlarged Rest Room and Corridor Plan</t>
        </is>
      </c>
      <c r="I177" s="2" t="inlineStr">
        <is>
          <t>Room sizes match the restroom perimeters carried (Men's 32.33 LF = 2 x (8.67 + 7.5) [DERIVED], same as ceiling track Material Summary!R13). Detail bubbles 21/26/23/25 are treated in their own A-201 rows.</t>
        </is>
      </c>
      <c r="J177" s="2" t="inlineStr"/>
      <c r="K177" s="2" t="n">
        <v>11</v>
      </c>
    </row>
    <row r="178">
      <c r="A178" s="2" t="n">
        <v>177</v>
      </c>
      <c r="B178" s="2" t="inlineStr">
        <is>
          <t>A-200</t>
        </is>
      </c>
      <c r="C178" s="2" t="inlineStr">
        <is>
          <t>Detail note</t>
        </is>
      </c>
      <c r="D178" s="2" t="inlineStr">
        <is>
          <t>Wall tile (TL-2) 6'-7" A.F.F. with 6" BASE, wall 9'-0"; "SCHLUTER TILE EDGE STRIP - JOLLY W45 WHITE TYP."; same 6'-7" on 2/A-200, 3/A-200, 5/A-200</t>
        </is>
      </c>
      <c r="E178" s="2" t="inlineStr">
        <is>
          <t>RFI</t>
        </is>
      </c>
      <c r="F178" s="2" t="inlineStr">
        <is>
          <t>Pending Items!R15 RFI-12</t>
        </is>
      </c>
      <c r="G178" s="5" t="inlineStr">
        <is>
          <t>RFI</t>
        </is>
      </c>
      <c r="H178" s="2" t="inlineStr">
        <is>
          <t>4/A-200 Restroom Elev. - wall tile</t>
        </is>
      </c>
      <c r="I178" s="2" t="inlineStr">
        <is>
          <t>Tile height IS printed: 6'-7" A.F.F. [CONFIRMED 2,3,4,5/A-200], so RFI-12 delta 'wall tile area (not dimensioned here)' can be stated. But 22/A-201 and 24/A-201 draw the wall tile over 5/8" W.R. gyp bd / greenboard, with 5/8" cement board only at the 1'-2" base -&gt; no cement board needed behind the 6'-7" wall tile in the restrooms (see A-201 22 row). Schluter Jolly strip = tile trade, not drywall.</t>
        </is>
      </c>
      <c r="J178" s="2" t="inlineStr">
        <is>
          <t>A-200_4-restroom-elev-tile-blocking.png</t>
        </is>
      </c>
      <c r="K178" s="2" t="n">
        <v>11</v>
      </c>
    </row>
    <row r="179">
      <c r="A179" s="2" t="n">
        <v>178</v>
      </c>
      <c r="B179" s="2" t="inlineStr">
        <is>
          <t>A-200</t>
        </is>
      </c>
      <c r="C179" s="2" t="inlineStr">
        <is>
          <t>Detail note</t>
        </is>
      </c>
      <c r="D179" s="2" t="inlineStr">
        <is>
          <t>INWALL BLOCKING, STUD TO STUD - SEE DETAIL (26/A201) TYP ALL LAVATORIES</t>
        </is>
      </c>
      <c r="E179" s="2" t="inlineStr">
        <is>
          <t>Excel row</t>
        </is>
      </c>
      <c r="F179" s="2" t="inlineStr">
        <is>
          <t>Material Summary!R30 RESTROOM-BACKING-FRT 17.77 SF; Pending Items!R26 RFI-23 (10 pcs x 16" x 16", estimator decision rev2)</t>
        </is>
      </c>
      <c r="G179" s="3" t="inlineStr">
        <is>
          <t>COVERED</t>
        </is>
      </c>
      <c r="H179" s="2" t="inlineStr">
        <is>
          <t>4/A-200 Restroom Elev. - inwall blocking</t>
        </is>
      </c>
      <c r="I179" s="2" t="inlineStr">
        <is>
          <t>Hatched blocking drawn stud-to-stud behind the lavatory, 1'-4" high band [CONFIRMED 4/A-200 dim 1'-4"] = the 16" height the estimator chose. Count of 10 pcs is an estimator decision.</t>
        </is>
      </c>
      <c r="J179" s="2" t="inlineStr">
        <is>
          <t>A-200_4-restroom-elev-tile-blocking.png</t>
        </is>
      </c>
      <c r="K179" s="2" t="n">
        <v>11</v>
      </c>
    </row>
    <row r="180">
      <c r="A180" s="2" t="n">
        <v>179</v>
      </c>
      <c r="B180" s="2" t="inlineStr">
        <is>
          <t>A-200</t>
        </is>
      </c>
      <c r="C180" s="2" t="inlineStr">
        <is>
          <t>Detail note</t>
        </is>
      </c>
      <c r="D180" s="2" t="inlineStr">
        <is>
          <t>Restroom walls 9'-0" (ceiling), PT-3 above tile, TL-2 / B-2 below; 'NOTE: TOP COURSE OF TILE WAINSCOTING TO BE COMPLETE TILE TYP.'</t>
        </is>
      </c>
      <c r="E180" s="2" t="inlineStr">
        <is>
          <t>Excel row</t>
        </is>
      </c>
      <c r="F180" s="2" t="inlineStr">
        <is>
          <t>Partition Takeoff!R9-R12, R16 (restroom faces 9 ft, 5/8" Type X W.R.); Material Summary!R20</t>
        </is>
      </c>
      <c r="G180" s="3" t="inlineStr">
        <is>
          <t>COVERED</t>
        </is>
      </c>
      <c r="H180" s="2" t="inlineStr">
        <is>
          <t>2,3,4,5/A-200 Restroom Elev. - wall height / finishes</t>
        </is>
      </c>
      <c r="I180" s="2" t="inlineStr">
        <is>
          <t>Restroom faces carried to 9'-0" (GWB ceiling, 1/A-121), W.R. per RFI-11. Tile/paint are finishes by others.</t>
        </is>
      </c>
      <c r="J180" s="2" t="inlineStr"/>
      <c r="K180" s="2" t="n">
        <v>11</v>
      </c>
    </row>
    <row r="181">
      <c r="A181" s="2" t="n">
        <v>180</v>
      </c>
      <c r="B181" s="2" t="inlineStr">
        <is>
          <t>A-200</t>
        </is>
      </c>
      <c r="C181" s="2" t="inlineStr">
        <is>
          <t>Detail note</t>
        </is>
      </c>
      <c r="D181" s="2" t="inlineStr">
        <is>
          <t>Corridor wall 9'-0" to ceiling, PT-3, B-1 base, door 'TO SALES AREA'</t>
        </is>
      </c>
      <c r="E181" s="2" t="inlineStr">
        <is>
          <t>Excel row</t>
        </is>
      </c>
      <c r="F181" s="2" t="inlineStr">
        <is>
          <t>Partition Takeoff!R7, R8 (Corridor 110 faces 9.5 ft, 5/8" Type X)</t>
        </is>
      </c>
      <c r="G181" s="3" t="inlineStr">
        <is>
          <t>COVERED</t>
        </is>
      </c>
      <c r="H181" s="2" t="inlineStr">
        <is>
          <t>6/A-200 Hall Elev.</t>
        </is>
      </c>
      <c r="I181" s="2" t="inlineStr">
        <is>
          <t>Corridor faces carried at ceiling 9'-0" + 6" (RFI-19 rule). Finishes by others.</t>
        </is>
      </c>
      <c r="J181" s="2" t="inlineStr"/>
      <c r="K181" s="2" t="n">
        <v>11</v>
      </c>
    </row>
    <row r="182">
      <c r="A182" s="2" t="n">
        <v>181</v>
      </c>
      <c r="B182" s="2" t="inlineStr">
        <is>
          <t>A-200</t>
        </is>
      </c>
      <c r="C182" s="2" t="inlineStr">
        <is>
          <t>Detail note</t>
        </is>
      </c>
      <c r="D182" s="2" t="inlineStr">
        <is>
          <t>Drinking fountain alcove faces TL-2 full height to 9'-0", B-1 base, 22/A201 bubble; restroom signs (fixt. 15)</t>
        </is>
      </c>
      <c r="E182" s="2" t="inlineStr">
        <is>
          <t>RFI</t>
        </is>
      </c>
      <c r="F182" s="2" t="inlineStr">
        <is>
          <t>Pending Items!R15 RFI-12 (Corridor 110 wall tile) + Material Summary!R20 (alcove faces W.R., RFI-11)</t>
        </is>
      </c>
      <c r="G182" s="5" t="inlineStr">
        <is>
          <t>RFI</t>
        </is>
      </c>
      <c r="H182" s="2" t="inlineStr">
        <is>
          <t>7/A-200 Hall Elev. - drinking fountain alcove</t>
        </is>
      </c>
      <c r="I182" s="2" t="inlineStr">
        <is>
          <t>Alcove tile is shown full height to 9'-0" [CONFIRMED 7/A-200]; 23/A-201 (called 23&amp;25 TYP at the alcove corner on 1/A-200) draws CEMENT BOARD behind the tile at the corner -&gt; substrate for the alcove (W.R. vs cement board) stays in RFI-12. Delta if cement board: alcove corridor faces (W2-06.2/.3/.4, 88.63 SF W.R.) swap to 1/2" or 5/8" cement board.</t>
        </is>
      </c>
      <c r="J182" s="2" t="inlineStr"/>
      <c r="K182" s="2" t="n">
        <v>11</v>
      </c>
    </row>
    <row r="183">
      <c r="A183" s="2" t="n">
        <v>182</v>
      </c>
      <c r="B183" s="2" t="inlineStr">
        <is>
          <t>A-200</t>
        </is>
      </c>
      <c r="C183" s="2" t="inlineStr">
        <is>
          <t>Detail bubble</t>
        </is>
      </c>
      <c r="D183" s="2" t="inlineStr">
        <is>
          <t>Janitor closet 3'-0" + 2 x 6" x 7'-6" [CONFIRMED]; mop sink 16, mop holder 18; elevations 9-12/A-200</t>
        </is>
      </c>
      <c r="E183" s="2" t="inlineStr">
        <is>
          <t>Excel row</t>
        </is>
      </c>
      <c r="F183" s="2" t="inlineStr">
        <is>
          <t>Partition Takeoff!R10-R12 (W2-06.5, W2-07, W2-08 Janitor faces 25 ft W.R.)</t>
        </is>
      </c>
      <c r="G183" s="3" t="inlineStr">
        <is>
          <t>COVERED</t>
        </is>
      </c>
      <c r="H183" s="2" t="inlineStr">
        <is>
          <t>8/A-200 Enlarged Janitors Closet Plan</t>
        </is>
      </c>
      <c r="I183" s="2" t="inlineStr">
        <is>
          <t>Janitor faces carried full height 25 ft W.R. ('WALL TO DECK', 9-12/A-200).</t>
        </is>
      </c>
      <c r="J183" s="2" t="inlineStr"/>
      <c r="K183" s="2" t="n">
        <v>11</v>
      </c>
    </row>
    <row r="184">
      <c r="A184" s="2" t="n">
        <v>183</v>
      </c>
      <c r="B184" s="2" t="inlineStr">
        <is>
          <t>A-200</t>
        </is>
      </c>
      <c r="C184" s="2" t="inlineStr">
        <is>
          <t>Detail note</t>
        </is>
      </c>
      <c r="D184" s="2" t="inlineStr">
        <is>
          <t>WALL TO DECK / OPEN TO DECK; PT-1 above shelf</t>
        </is>
      </c>
      <c r="E184" s="2" t="inlineStr">
        <is>
          <t>Excel row</t>
        </is>
      </c>
      <c r="F184" s="2" t="inlineStr">
        <is>
          <t>Partition Takeoff!R10-R12 (Janitor Closet 107 faces x 25 ft, 5/8" Type X W.R.)</t>
        </is>
      </c>
      <c r="G184" s="3" t="inlineStr">
        <is>
          <t>COVERED</t>
        </is>
      </c>
      <c r="H184" s="2" t="inlineStr">
        <is>
          <t>9,10,11,12/A-200 Janitor's Closet Elev. - WALL TO DECK</t>
        </is>
      </c>
      <c r="I184" s="2" t="inlineStr">
        <is>
          <t>Board to deck on Janitor faces matches 'WALL TO DECK'.</t>
        </is>
      </c>
      <c r="J184" s="2" t="inlineStr"/>
      <c r="K184" s="2" t="n">
        <v>11</v>
      </c>
    </row>
    <row r="185">
      <c r="A185" s="2" t="n">
        <v>184</v>
      </c>
      <c r="B185" s="2" t="inlineStr">
        <is>
          <t>A-200</t>
        </is>
      </c>
      <c r="C185" s="2" t="inlineStr">
        <is>
          <t>Detail note</t>
        </is>
      </c>
      <c r="D185" s="2" t="inlineStr">
        <is>
          <t>FRP-1 below the 8'-0" line (8'-0" HOLD TO UNDERSIDE OF SHELF), PT-1 above, VB-1 base, on all four janitor elevations</t>
        </is>
      </c>
      <c r="E185" s="2" t="inlineStr">
        <is>
          <t>RFI</t>
        </is>
      </c>
      <c r="F185" s="2" t="inlineStr">
        <is>
          <t>Pending Items!R16 RFI-13</t>
        </is>
      </c>
      <c r="G185" s="5" t="inlineStr">
        <is>
          <t>RFI</t>
        </is>
      </c>
      <c r="H185" s="2" t="inlineStr">
        <is>
          <t>9,10,11,12/A-200 Janitor's Closet Elev. - FRP-1</t>
        </is>
      </c>
      <c r="I185" s="2" t="inlineStr">
        <is>
          <t>RFI-13 says FRP height not printed for the partitions; A-200 9-12 draw FRP-1 below a horizontal line at 8'-0" A.F.F. [CONFIRMED 8'-0" HOLD on 9,10,11,12/A-200] on every janitor face. Proposed RFI-13 update for Janitor: 19.43 LF x 8.0 = 155.44 SF FRP-1 [DERIVED] + PVC trim; installer (drywall vs others) still open.</t>
        </is>
      </c>
      <c r="J185" s="2" t="inlineStr">
        <is>
          <t>A-200_12-janitor-FRP-1-8ft.png</t>
        </is>
      </c>
      <c r="K185" s="2" t="n">
        <v>11</v>
      </c>
    </row>
    <row r="186">
      <c r="A186" s="2" t="n">
        <v>185</v>
      </c>
      <c r="B186" s="2" t="inlineStr">
        <is>
          <t>A-200</t>
        </is>
      </c>
      <c r="C186" s="2" t="inlineStr">
        <is>
          <t>Detail note</t>
        </is>
      </c>
      <c r="D186" s="2" t="inlineStr">
        <is>
          <t>AREA OF 3/4" FIRE RESISTANT PLYWOOD BLOCKING (TYP); 12" X 3/4" X 26" PLYWOOD SHELVES W/ P. LAM. FINISH ON HEAVY DUTY KV STANDARDS @ 24" O.C. W/ SEVEN LEVELS OF SHELF BRACKETS...</t>
        </is>
      </c>
      <c r="E186" s="2" t="inlineStr">
        <is>
          <t>RFI</t>
        </is>
      </c>
      <c r="F186" s="2" t="inlineStr">
        <is>
          <t>Material Summary!R30 JANITOR-FRT-11-A200 17.0 SF + Pending Items!R36 RFI-33</t>
        </is>
      </c>
      <c r="G186" s="5" t="inlineStr">
        <is>
          <t>RFI</t>
        </is>
      </c>
      <c r="H186" s="2" t="inlineStr">
        <is>
          <t>11/A-200 Janitor's Closet Elev. - FR plywood</t>
        </is>
      </c>
      <c r="I186" s="2" t="inlineStr">
        <is>
          <t>Extent not dimensioned; carried 2.125 x 8.0 = 17.0 SF upper bound. Shelf width 26" [CONFIRMED] -&gt; 2.17 ft x 8.0 = 17.33 SF if the zone equals the shelf width (+0.33 SF, within RFI-33). Shelves themselves = millwork by others.</t>
        </is>
      </c>
      <c r="J186" s="2" t="inlineStr">
        <is>
          <t>A-200_11-janitor-FRT-plywood.png</t>
        </is>
      </c>
      <c r="K186" s="2" t="n">
        <v>11</v>
      </c>
    </row>
    <row r="187">
      <c r="A187" s="2" t="n">
        <v>186</v>
      </c>
      <c r="B187" s="2" t="inlineStr">
        <is>
          <t>A-200</t>
        </is>
      </c>
      <c r="C187" s="2" t="inlineStr">
        <is>
          <t>Detail note</t>
        </is>
      </c>
      <c r="D187" s="2" t="inlineStr">
        <is>
          <t>ELEC. WATER HEATER W/ STEEL PAN; ELEC.WATER HEATER SHELF. SEE DETAILS IN PLUMBING</t>
        </is>
      </c>
      <c r="E187" s="2" t="inlineStr">
        <is>
          <t>RFI</t>
        </is>
      </c>
      <c r="F187" s="2" t="inlineStr">
        <is>
          <t>Material Summary!R12 WH-BACKING-STUD 8 + WH-STEEL-BLOCKING 2.67; Pending Items!R35 RFI-32</t>
        </is>
      </c>
      <c r="G187" s="5" t="inlineStr">
        <is>
          <t>RFI</t>
        </is>
      </c>
      <c r="H187" s="2" t="inlineStr">
        <is>
          <t>11/A-200 Janitor's Closet Elev. - water heater shelf</t>
        </is>
      </c>
      <c r="I187" s="2" t="inlineStr">
        <is>
          <t>Backing per P-201 carried conservatively under RFI-32.</t>
        </is>
      </c>
      <c r="J187" s="2" t="inlineStr">
        <is>
          <t>A-200_11-janitor-FRT-plywood.png</t>
        </is>
      </c>
      <c r="K187" s="2" t="n">
        <v>11</v>
      </c>
    </row>
    <row r="188">
      <c r="A188" s="2" t="n">
        <v>187</v>
      </c>
      <c r="B188" s="2" t="inlineStr">
        <is>
          <t>A-200</t>
        </is>
      </c>
      <c r="C188" s="2" t="inlineStr">
        <is>
          <t>Schedule note</t>
        </is>
      </c>
      <c r="D188" s="2" t="inlineStr">
        <is>
          <t>Wall-mounted items: 1 LAVATORY (2) A.D.A., WALL MOUNTED; 5 GRAB BARS 42/48"/18" (2 each); 7 MIRROR (2); 8B HAND DRYER (2); 9 TOILET PAPER HOLDER (2) SURFACE MOUNTED; 12 BABY CHANGING STATION (2) HORIZONTAL SURFACE MOUNTED; 13 TOILET SEAT COVER DISPENSER (2); 17 DRINKING FOUNTAIN (1) ...</t>
        </is>
      </c>
      <c r="E188" s="2" t="inlineStr">
        <is>
          <t>Excel row</t>
        </is>
      </c>
      <c r="F188" s="2" t="inlineStr">
        <is>
          <t>Material Summary!R30 RESTROOM-BACKING-FRT (10 pcs, RFI-23 estimator decision)</t>
        </is>
      </c>
      <c r="G188" s="3" t="inlineStr">
        <is>
          <t>COVERED</t>
        </is>
      </c>
      <c r="H188" s="2" t="inlineStr">
        <is>
          <t>Toilet Room Fixture and Accessory Schedule</t>
        </is>
      </c>
      <c r="I188" s="2" t="inlineStr">
        <is>
          <t>Backing is called only by 21/A-201 (grab bars) and 26/A-201 (lavatories); count = estimator decision (10 pcs). No backing detail is called for the baby changing station, hand dryer or dispensers -&gt; not added (accessories by others).</t>
        </is>
      </c>
      <c r="J188" s="2" t="inlineStr"/>
      <c r="K188" s="2" t="n">
        <v>11</v>
      </c>
    </row>
    <row r="189">
      <c r="A189" s="2" t="n">
        <v>188</v>
      </c>
      <c r="B189" s="2" t="inlineStr">
        <is>
          <t>A-200</t>
        </is>
      </c>
      <c r="C189" s="2" t="inlineStr">
        <is>
          <t>Revision note</t>
        </is>
      </c>
      <c r="D189" s="2" t="inlineStr">
        <is>
          <t>Delta 1 (06-12-25 LL AND BD COMMENTS) at the enlarged restroom plan</t>
        </is>
      </c>
      <c r="E189" s="2" t="inlineStr">
        <is>
          <t>Excel row</t>
        </is>
      </c>
      <c r="F189" s="2" t="inlineStr">
        <is>
          <t>n/a</t>
        </is>
      </c>
      <c r="G189" s="3" t="inlineStr">
        <is>
          <t>COVERED</t>
        </is>
      </c>
      <c r="H189" s="2" t="inlineStr">
        <is>
          <t>Revision delta 1 near 1/A-200</t>
        </is>
      </c>
      <c r="I189" s="2" t="inlineStr">
        <is>
          <t>Revision marker only; current drawing content is what was reviewed.</t>
        </is>
      </c>
      <c r="J189" s="2" t="inlineStr"/>
      <c r="K189" s="2" t="n">
        <v>11</v>
      </c>
    </row>
    <row r="190">
      <c r="A190" s="2" t="n">
        <v>189</v>
      </c>
      <c r="B190" s="2" t="inlineStr">
        <is>
          <t>A-201</t>
        </is>
      </c>
      <c r="C190" s="2" t="inlineStr">
        <is>
          <t>Detail bubble</t>
        </is>
      </c>
      <c r="D190" s="2" t="inlineStr">
        <is>
          <t>Mounting heights of accessories; hatched backing zone behind grab bar / toilet paper dispenser ('TOILET PAPER DISPENSER OUTLET LOCATION'); BABY CHANGING TABLE, PAPER TOWEL / HAND DRYER / SEAT COVER / SOAP / WASTE RECEPTACLE heights</t>
        </is>
      </c>
      <c r="E190" s="2" t="inlineStr">
        <is>
          <t>Excel row</t>
        </is>
      </c>
      <c r="F190" s="2" t="inlineStr">
        <is>
          <t>Material Summary!R30 RESTROOM-BACKING-FRT; Pending Items!R26 RFI-23</t>
        </is>
      </c>
      <c r="G190" s="3" t="inlineStr">
        <is>
          <t>COVERED</t>
        </is>
      </c>
      <c r="H190" s="2" t="inlineStr">
        <is>
          <t>20/A-201 Accessibility Mounting Standards</t>
        </is>
      </c>
      <c r="I190" s="2" t="inlineStr">
        <is>
          <t>Hatched zone = same backing as 21/A-201; quantified by estimator decision (10 pcs x 16" x 16").</t>
        </is>
      </c>
      <c r="J190" s="2" t="inlineStr"/>
      <c r="K190" s="2" t="n">
        <v>12</v>
      </c>
    </row>
    <row r="191">
      <c r="A191" s="2" t="n">
        <v>190</v>
      </c>
      <c r="B191" s="2" t="inlineStr">
        <is>
          <t>A-201</t>
        </is>
      </c>
      <c r="C191" s="2" t="inlineStr">
        <is>
          <t>Detail note</t>
        </is>
      </c>
      <c r="D191" s="2" t="inlineStr">
        <is>
          <t>3 5/8" STEEL STUDS; 16" O.C.; 3/4" FIRE RETARDANT PLYWOOD BACKING BOARD ( TYP ) AT ALL GRAB BARS. SECURE TO STUDS WITH SELF TAPPING SCREWS; W.R. GYPSUM BOARD PARTITION; NOTE: IF GRAB BARS ARE TO BE INSTALLED ON EXIST'G. WALL, G.C. IS TO REMOVE AND REPLACE GYP. BD. AS REQ'D. FOR INSTALLATION OF WD. BLK'G.</t>
        </is>
      </c>
      <c r="E191" s="2" t="inlineStr">
        <is>
          <t>Excel row</t>
        </is>
      </c>
      <c r="F191" s="2" t="inlineStr">
        <is>
          <t>Material Summary!R30 RESTROOM-BACKING-FRT 17.77 SF (3/4" FRT plywood); Material Summary!R20 (W.R.); existing-wall note -&gt; Pending Items!R4 RFI-01 patch &amp; repair allowance</t>
        </is>
      </c>
      <c r="G191" s="3" t="inlineStr">
        <is>
          <t>COVERED</t>
        </is>
      </c>
      <c r="H191" s="2" t="inlineStr">
        <is>
          <t>21/A-201 Detail at Grab Bar</t>
        </is>
      </c>
      <c r="I191" s="2" t="inlineStr">
        <is>
          <t>3/4" FRT plywood between studs @ 16" O.C. matches the carried row. Grab bars on the existing south (exterior) wall fall under the patch &amp; repair allowance (RFI-01).</t>
        </is>
      </c>
      <c r="J191" s="2" t="inlineStr">
        <is>
          <t>A-201_21-grab-bar.png</t>
        </is>
      </c>
      <c r="K191" s="2" t="n">
        <v>12</v>
      </c>
    </row>
    <row r="192">
      <c r="A192" s="2" t="n">
        <v>191</v>
      </c>
      <c r="B192" s="2" t="inlineStr">
        <is>
          <t>A-201</t>
        </is>
      </c>
      <c r="C192" s="2" t="inlineStr">
        <is>
          <t>Detail note</t>
        </is>
      </c>
      <c r="D192" s="2" t="inlineStr">
        <is>
          <t>5/8" W.R. GYP.BD.; METAL STUD; CERAMIC WALL TILE; 5/8" CEMENT BOARD; B-2; 6"; 1'-2" CEMENT BOARD BASE; CERAMIC TILE ON THIN SET TO BE COMPATIBLE WITH WEATHERPROOFING SYSTEM (WHEN APPLICABLE)</t>
        </is>
      </c>
      <c r="E192" s="2" t="inlineStr">
        <is>
          <t>Excel row - CORRECT</t>
        </is>
      </c>
      <c r="F192" s="2" t="inlineStr">
        <is>
          <t>Pending Items!R15 RFI-12</t>
        </is>
      </c>
      <c r="G192" s="7" t="inlineStr">
        <is>
          <t>CORREGIR</t>
        </is>
      </c>
      <c r="H192" s="2" t="inlineStr">
        <is>
          <t>22/A-201 Tile Base Detail</t>
        </is>
      </c>
      <c r="I192" s="2" t="inlineStr">
        <is>
          <t>22/A-201 Tile Base Detail prints "5/8" CEMENT BOARD" with a "1'-2" CEMENT BOARD BASE" and 5/8" W.R. GYP. BD. above (also A-001A Div 09 J.2 "OVER CEMENTITIOUS BACKER UNITS ON STUDS"). RFI-12 says the backer is not detailed - wrong. Correct value: carry 5/8" cement board 1'-2" high at the base of the restroom new-wall faces and deduct the same SF from W.R.: upper bound 64.66 LF x 1.167 = 75.44 SF gross, about 68.4 SF net of doors 8 and 9 [DERIVED]; recompute on new-wall faces only (existing EXT faces stay in the RFI-01 allowance). Wall-tile height above the base stays in RFI-12.</t>
        </is>
      </c>
      <c r="J192" s="2" t="inlineStr">
        <is>
          <t>A-201_22-tile-base.png</t>
        </is>
      </c>
      <c r="K192" s="2" t="n">
        <v>12</v>
      </c>
    </row>
    <row r="193">
      <c r="A193" s="2" t="n">
        <v>192</v>
      </c>
      <c r="B193" s="2" t="inlineStr">
        <is>
          <t>A-201</t>
        </is>
      </c>
      <c r="C193" s="2" t="inlineStr">
        <is>
          <t>Detail note</t>
        </is>
      </c>
      <c r="D193" s="2" t="inlineStr">
        <is>
          <t>CEMENT BOARD; THINSET; TILE FINISH, SEE ELEVS ON A200; SCHLUTER RONDEC EDGE TRANSITION STRIP COLOR: WHITE</t>
        </is>
      </c>
      <c r="E193" s="2" t="inlineStr">
        <is>
          <t>RFI</t>
        </is>
      </c>
      <c r="F193" s="2" t="inlineStr">
        <is>
          <t>Pending Items!R15 RFI-12</t>
        </is>
      </c>
      <c r="G193" s="5" t="inlineStr">
        <is>
          <t>RFI</t>
        </is>
      </c>
      <c r="H193" s="2" t="inlineStr">
        <is>
          <t>23/A-201 Detail - Tile Corner Edge</t>
        </is>
      </c>
      <c r="I193" s="2" t="inlineStr">
        <is>
          <t>Called '23&amp;25 A-201 TYP.' at the drinking fountain alcove corner (1/A-200): draws cement board behind tile at that outside corner, which conflicts with W.R. board carried on the alcove faces -&gt; keep in RFI-12 (alcove substrate). Schluter strip = tile trade.</t>
        </is>
      </c>
      <c r="J193" s="2" t="inlineStr"/>
      <c r="K193" s="2" t="n">
        <v>12</v>
      </c>
    </row>
    <row r="194">
      <c r="A194" s="2" t="n">
        <v>193</v>
      </c>
      <c r="B194" s="2" t="inlineStr">
        <is>
          <t>A-201</t>
        </is>
      </c>
      <c r="C194" s="2" t="inlineStr">
        <is>
          <t>Detail note</t>
        </is>
      </c>
      <c r="D194" s="2" t="inlineStr">
        <is>
          <t>5/8" GREENBOARD; SCHLUTER RONDEC EDGE TRANSITION STRIP COLOR: WHITE; THINSET; TILE FINISH, SEE ELEVS ON A200</t>
        </is>
      </c>
      <c r="E194" s="2" t="inlineStr">
        <is>
          <t>Excel row</t>
        </is>
      </c>
      <c r="F194" s="2" t="inlineStr">
        <is>
          <t>Material Summary!R20 (5/8" Type X W.R.)</t>
        </is>
      </c>
      <c r="G194" s="3" t="inlineStr">
        <is>
          <t>COVERED</t>
        </is>
      </c>
      <c r="H194" s="2" t="inlineStr">
        <is>
          <t>24/A-201 Detail - Tile Corner Edge</t>
        </is>
      </c>
      <c r="I194" s="2" t="inlineStr">
        <is>
          <t>Top of wainscot: tile over 5/8" greenboard = W.R. board already carried on restroom faces (RFI-11). Schluter strip = tile trade.</t>
        </is>
      </c>
      <c r="J194" s="2" t="inlineStr"/>
      <c r="K194" s="2" t="n">
        <v>12</v>
      </c>
    </row>
    <row r="195">
      <c r="A195" s="2" t="n">
        <v>194</v>
      </c>
      <c r="B195" s="2" t="inlineStr">
        <is>
          <t>A-201</t>
        </is>
      </c>
      <c r="C195" s="2" t="inlineStr">
        <is>
          <t>Detail note</t>
        </is>
      </c>
      <c r="D195" s="2" t="inlineStr">
        <is>
          <t>GWB; TL-2; SCHLUTER RONDEC OUTSIDE CORNER 90 DEGREE CONNECTOR COLOR: WHITE; SCHLUTER RONDEC EDGE TRANSITION STRIP COLOR: WHITE</t>
        </is>
      </c>
      <c r="E195" s="2" t="inlineStr">
        <is>
          <t>EXCLUDED</t>
        </is>
      </c>
      <c r="F195" s="2" t="inlineStr">
        <is>
          <t>n/a (tile trade)</t>
        </is>
      </c>
      <c r="G195" s="4" t="inlineStr">
        <is>
          <t>EXCLUDED</t>
        </is>
      </c>
      <c r="H195" s="2" t="inlineStr">
        <is>
          <t>25/A-201 Detail - Tile Outside Corner</t>
        </is>
      </c>
      <c r="I195" s="2" t="inlineStr">
        <is>
          <t>Schluter trims are installed by the tile contractor; GWB above is already carried (alcove faces, Material Summary!R20). Corner bead at alcove carried in Material Summary!R26 (19 LF).</t>
        </is>
      </c>
      <c r="J195" s="2" t="inlineStr"/>
      <c r="K195" s="2" t="n">
        <v>12</v>
      </c>
    </row>
    <row r="196">
      <c r="A196" s="2" t="n">
        <v>195</v>
      </c>
      <c r="B196" s="2" t="inlineStr">
        <is>
          <t>A-201</t>
        </is>
      </c>
      <c r="C196" s="2" t="inlineStr">
        <is>
          <t>Detail note</t>
        </is>
      </c>
      <c r="D196" s="2" t="inlineStr">
        <is>
          <t>3 5/8" STEEL STUDS; 3/4" FIRE RETARDANT PLYWOOD BACKING BOARD ( TYP ) AT ALL GRAB BARS. SECURE TO STUDS WITH SELF TAPPING SCREWS; W.R. GYPSUM BOARD PARTITION; NOTE: LAVATORIES SHALL BE INSTALLED TO SUSTAIN A DEAD WEIGHT OF 250 POUNDS...; NOTE: IF LAVATORIES ARE TO BE INSTALLED ON EXIST'G. WALL, G.C. IS TO REMOVE AND REPLACE GYP. BD. AS REQ'D. FOR INSTALLATION OF WD. BLK'G.</t>
        </is>
      </c>
      <c r="E196" s="2" t="inlineStr">
        <is>
          <t>Excel row</t>
        </is>
      </c>
      <c r="F196" s="2" t="inlineStr">
        <is>
          <t>Material Summary!R30 RESTROOM-BACKING-FRT; existing wall -&gt; Pending Items!R4 RFI-01 allowance</t>
        </is>
      </c>
      <c r="G196" s="3" t="inlineStr">
        <is>
          <t>COVERED</t>
        </is>
      </c>
      <c r="H196" s="2" t="inlineStr">
        <is>
          <t>26/A-201 Detail at Lavatory</t>
        </is>
      </c>
      <c r="I196" s="2" t="inlineStr">
        <is>
          <t>Both lavatories sit on the south (existing exterior) wall per 1/A-200: plywood backing carried in the 10 pcs; remove/replace of existing gyp bd belongs to the patch &amp; repair allowance (RFI-01).</t>
        </is>
      </c>
      <c r="J196" s="2" t="inlineStr">
        <is>
          <t>A-201_26-lavatory.png</t>
        </is>
      </c>
      <c r="K196" s="2" t="n">
        <v>12</v>
      </c>
    </row>
    <row r="197">
      <c r="A197" s="2" t="n">
        <v>196</v>
      </c>
      <c r="B197" s="2" t="inlineStr">
        <is>
          <t>A-201</t>
        </is>
      </c>
      <c r="C197" s="2" t="inlineStr">
        <is>
          <t>Detail note</t>
        </is>
      </c>
      <c r="D197" s="2" t="inlineStr">
        <is>
          <t>WATER SUPPLY AND DRAINPIPES UNDER LAVATORIES AND SINKS SHALL BE INSULATED OR OTHERWISE CONFIGURED TO PROTECT AGAINST CONTACT...</t>
        </is>
      </c>
      <c r="E197" s="2" t="inlineStr">
        <is>
          <t>EXCLUDED</t>
        </is>
      </c>
      <c r="F197" s="2" t="inlineStr">
        <is>
          <t>n/a (plumbing)</t>
        </is>
      </c>
      <c r="G197" s="4" t="inlineStr">
        <is>
          <t>EXCLUDED</t>
        </is>
      </c>
      <c r="H197" s="2" t="inlineStr">
        <is>
          <t>A-201 accessibility note - pipes under lavatories</t>
        </is>
      </c>
      <c r="I197" s="2" t="inlineStr">
        <is>
          <t>Plumbing / accessories, not Div 05/09.</t>
        </is>
      </c>
      <c r="J197" s="2" t="inlineStr"/>
      <c r="K197" s="2" t="n">
        <v>12</v>
      </c>
    </row>
    <row r="198">
      <c r="A198" s="2" t="n">
        <v>197</v>
      </c>
      <c r="B198" s="2" t="inlineStr">
        <is>
          <t>A-210</t>
        </is>
      </c>
      <c r="C198" s="2" t="inlineStr">
        <is>
          <t>General note</t>
        </is>
      </c>
      <c r="D198" s="2" t="inlineStr">
        <is>
          <t>NOTES: VERIFY ALL EXISTING STOREFRONT IN FIELD.</t>
        </is>
      </c>
      <c r="E198" s="2" t="inlineStr">
        <is>
          <t>EXCLUDED</t>
        </is>
      </c>
      <c r="F198" s="2" t="inlineStr">
        <is>
          <t>n/a (Div 08 storefront)</t>
        </is>
      </c>
      <c r="G198" s="4" t="inlineStr">
        <is>
          <t>EXCLUDED</t>
        </is>
      </c>
      <c r="H198" s="2" t="inlineStr">
        <is>
          <t>A-210 NOTES box</t>
        </is>
      </c>
      <c r="I198" s="2" t="inlineStr">
        <is>
          <t>Storefront is Div 08; vestibule height 11'-3 1/2" V.I.F. noted in the fascia row.</t>
        </is>
      </c>
      <c r="J198" s="2" t="inlineStr"/>
      <c r="K198" s="2" t="n">
        <v>13</v>
      </c>
    </row>
    <row r="199">
      <c r="A199" s="2" t="n">
        <v>198</v>
      </c>
      <c r="B199" s="2" t="inlineStr">
        <is>
          <t>A-210</t>
        </is>
      </c>
      <c r="C199" s="2" t="inlineStr">
        <is>
          <t>Detail bubble</t>
        </is>
      </c>
      <c r="D199" s="2" t="inlineStr">
        <is>
          <t>8" JOIST @ 16" O.C.; 5" X 5" BOXED COLUMN, SEE TYPICAL DETAIL THIS SHEET (TYP.); 7'-8" clear, posts 5", rubber gasket connection, ADA accessible threshold, existing storefront &amp; doors</t>
        </is>
      </c>
      <c r="E199" s="2" t="inlineStr">
        <is>
          <t>Excel row</t>
        </is>
      </c>
      <c r="F199" s="2" t="inlineStr">
        <is>
          <t>Material Summary!R21 (8" joist 11 x 8.0 = 88.0 LF); Material Summary!R12 VEST-POSTS-STUD 126; Material Summary!R13 VEST-POSTS-TRACK 5</t>
        </is>
      </c>
      <c r="G199" s="3" t="inlineStr">
        <is>
          <t>COVERED</t>
        </is>
      </c>
      <c r="H199" s="2" t="inlineStr">
        <is>
          <t>1/A-210 Vestibule Floor Plan</t>
        </is>
      </c>
      <c r="I199" s="2" t="inlineStr">
        <is>
          <t>Joist direction / spacing and 6 boxed posts match the carried rows (RI 11/11).</t>
        </is>
      </c>
      <c r="J199" s="2" t="inlineStr"/>
      <c r="K199" s="2" t="n">
        <v>13</v>
      </c>
    </row>
    <row r="200">
      <c r="A200" s="2" t="n">
        <v>199</v>
      </c>
      <c r="B200" s="2" t="inlineStr">
        <is>
          <t>A-210</t>
        </is>
      </c>
      <c r="C200" s="2" t="inlineStr">
        <is>
          <t>Detail note</t>
        </is>
      </c>
      <c r="D200" s="2" t="inlineStr">
        <is>
          <t>B.O.CEILING 10'-6"; top 11'-3 1/2" V.I.F.; PT-2 band above B.O. ceiling; VESTIBULE ASSEMBLY TO MATCH EXISTING STOREFRONT SYSTEM V.I.F; RUN CABLE FOR EAS SYSTEM IN WALL; EAS SYSTEM ANTENNA SURFACE MOUNTED OVER GWB. AND ATTACHED TO BOX COLUMN IN WALL; DRILL 3/4" HOLE...; J-BOX FOR EAS SYSTEM</t>
        </is>
      </c>
      <c r="E200" s="2" t="inlineStr">
        <is>
          <t>NO DESTINATION (GAP) - proposed</t>
        </is>
      </c>
      <c r="F200" s="2" t="inlineStr">
        <is>
          <t>Material Summary!R19 VEST-GWB (carried box beam face 8.4 SF = 12.67 x 8")</t>
        </is>
      </c>
      <c r="G200" s="6" t="inlineStr">
        <is>
          <t>GAP</t>
        </is>
      </c>
      <c r="H200" s="2" t="inlineStr">
        <is>
          <t>2/A-210 Vestibule Interior Door Elevation</t>
        </is>
      </c>
      <c r="I200" s="2" t="inlineStr">
        <is>
          <t>PLAUSIBLE, V.I.F.: GWB fascia above the doors runs from B.O. ceiling 10'-6" to 11'-3 1/2" = 9 1/2" [DERIVED 11.292 - 10.5 = 0.792 ft] over the full width 5+30+5+72+5+30+5 = 152" = 12.67 ft [CONFIRMED dims 2/A-210] -&gt; 10.03 SF vs 8.4 SF carried (+1.63 SF 5/8" Type X). Propose: GAP-RFI on fascia height (V.I.F.) with delta +1.63 SF. EAS cabling/antenna = by others.</t>
        </is>
      </c>
      <c r="J200" s="2" t="inlineStr">
        <is>
          <t>A-210_2-interior-elev-fascia.png</t>
        </is>
      </c>
      <c r="K200" s="2" t="n">
        <v>13</v>
      </c>
    </row>
    <row r="201">
      <c r="A201" s="2" t="n">
        <v>200</v>
      </c>
      <c r="B201" s="2" t="inlineStr">
        <is>
          <t>A-210</t>
        </is>
      </c>
      <c r="C201" s="2" t="inlineStr">
        <is>
          <t>Detail note</t>
        </is>
      </c>
      <c r="D201" s="2" t="inlineStr">
        <is>
          <t>PT-2 band between B.O.CEILING 10'-6" and top 11'-3 1/2" V.I.F. along the side (2" + 7'-8" + 2" + 5"); EXTERIOR STOREFRONT; CLEAR TEMPERED GLAZING (TYP.)</t>
        </is>
      </c>
      <c r="E201" s="2" t="inlineStr">
        <is>
          <t>NO DESTINATION (GAP) - proposed</t>
        </is>
      </c>
      <c r="F201" s="2" t="inlineStr">
        <is>
          <t>Proposed: Material Summary!R19 5/8" Type X (VEST-GWB) + note in Pending RFI-16 line</t>
        </is>
      </c>
      <c r="G201" s="6" t="inlineStr">
        <is>
          <t>GAP</t>
        </is>
      </c>
      <c r="H201" s="2" t="inlineStr">
        <is>
          <t>3/A-210 Vestibule Side Elevation</t>
        </is>
      </c>
      <c r="I201" s="2" t="inlineStr">
        <is>
          <t>Side faces of the vestibule box (north and south) show a painted PT-2 band above the glazing; the Excel only carries the interior box-beam face (8.4 SF) and the ceiling (97.1 SF). Proposed: + 2 sides x 8.42 ft (2"+7'-8"+2"+5" [CONFIRMED 3/A-210]) x 0.792 ft = 13.33 SF 5/8" Type X [DERIVED], plus corner bead at the box edges if required. Height V.I.F. -&gt; GAP-RFI.</t>
        </is>
      </c>
      <c r="J201" s="2" t="inlineStr">
        <is>
          <t>A-210_3-side-elev-fascia.png</t>
        </is>
      </c>
      <c r="K201" s="2" t="n">
        <v>13</v>
      </c>
    </row>
    <row r="202">
      <c r="A202" s="2" t="n">
        <v>201</v>
      </c>
      <c r="B202" s="2" t="inlineStr">
        <is>
          <t>A-210</t>
        </is>
      </c>
      <c r="C202" s="2" t="inlineStr">
        <is>
          <t>Detail note</t>
        </is>
      </c>
      <c r="D202" s="2" t="inlineStr">
        <is>
          <t>ONE LAYER OF 3/4" PLYWOOD; 8" JOISTS @ 16" O.C.; 8" BOX BEAM BEARING ON CORNER POST; (1) LAYER OF 5/8" GYP. BD.; B.O.CEILING 10'-6"; 8" LEDGER; EXISTING EXTERIOR STOREFRONT G.C. TO PROTECT DURING ALL PHASES OF CONSTRUCTION PATCH AND REPAIR AS REQUIRED; 7'-8"</t>
        </is>
      </c>
      <c r="E202" s="2" t="inlineStr">
        <is>
          <t>Excel row</t>
        </is>
      </c>
      <c r="F202" s="2" t="inlineStr">
        <is>
          <t>Material Summary!R30 VEST-PLYWOOD 106.62 SF (3/4" FRT, A-410 'ALL PLYWOOD NEEDS TO BE FRT'); Material Summary!R21 (8" joists); Material Summary!R13 VEST-LEDGER 12.67 LF; Material Summary!R19 VEST-GWB 105.5 SF</t>
        </is>
      </c>
      <c r="G202" s="3" t="inlineStr">
        <is>
          <t>COVERED</t>
        </is>
      </c>
      <c r="H202" s="2" t="inlineStr">
        <is>
          <t>4/A-210 Vestibule Section</t>
        </is>
      </c>
      <c r="I202" s="2" t="inlineStr">
        <is>
          <t>All four components carried (RI 11/11). Plywood printed as '3/4" PLYWOOD' -&gt; carried FRT per A-410 general note (estimator).</t>
        </is>
      </c>
      <c r="J202" s="2" t="inlineStr">
        <is>
          <t>A-210_4-vestibule-section.png</t>
        </is>
      </c>
      <c r="K202" s="2" t="n">
        <v>13</v>
      </c>
    </row>
    <row r="203">
      <c r="A203" s="2" t="n">
        <v>202</v>
      </c>
      <c r="B203" s="2" t="inlineStr">
        <is>
          <t>A-210</t>
        </is>
      </c>
      <c r="C203" s="2" t="inlineStr">
        <is>
          <t>Detail note</t>
        </is>
      </c>
      <c r="D203" s="2" t="inlineStr">
        <is>
          <t>5/8 GYP. BOARD SHEATHING; 5/8 GYP. BOARD SHEATHING AS REQUIRED; NEW 3 5/8" NESTED LT GAUGE POST; 5" x 5"; ALUMINUM STOREFRONT SYSTEM</t>
        </is>
      </c>
      <c r="E203" s="2" t="inlineStr">
        <is>
          <t>Excel row</t>
        </is>
      </c>
      <c r="F203" s="2" t="inlineStr">
        <is>
          <t>Material Summary!R30 VEST-POSTS-PLYWOOD 105.0 SF (3/4" FRT); Pending Items!R19 RFI-16 (estimator answer rev4)</t>
        </is>
      </c>
      <c r="G203" s="3" t="inlineStr">
        <is>
          <t>COVERED</t>
        </is>
      </c>
      <c r="H203" s="2" t="inlineStr">
        <is>
          <t>5/A-210 Vestibule Post Detail</t>
        </is>
      </c>
      <c r="I203" s="2" t="inlineStr">
        <is>
          <t>Plan prints 5/8 gyp board sheathing; estimator decided 3/4" FRT plywood, 4 faces, full height (RFI-16 CLOSED) - estimator decision, not an error. Alternative if GWB per print: same 105.0 SF as 5/8" Type X instead of plywood.</t>
        </is>
      </c>
      <c r="J203" s="2" t="inlineStr">
        <is>
          <t>A-210_5-post-sheathing.png</t>
        </is>
      </c>
      <c r="K203" s="2" t="n">
        <v>13</v>
      </c>
    </row>
    <row r="204">
      <c r="A204" s="2" t="n">
        <v>203</v>
      </c>
      <c r="B204" s="2" t="inlineStr">
        <is>
          <t>A-210</t>
        </is>
      </c>
      <c r="C204" s="2" t="inlineStr">
        <is>
          <t>Detail bubble</t>
        </is>
      </c>
      <c r="D204" s="2" t="inlineStr">
        <is>
          <t>Base Detail: VESTIBULE / SALES AREA; GLAZING SYSTEM TO MATCH ADJACENT EXISTING</t>
        </is>
      </c>
      <c r="E204" s="2" t="inlineStr">
        <is>
          <t>Excel row - CORRECT</t>
        </is>
      </c>
      <c r="F204" s="2" t="inlineStr">
        <is>
          <t>Material Summary!R10, R12, R13 'N/SHEET' and Pending Items RI 11 text (cite 6/A-210)</t>
        </is>
      </c>
      <c r="G204" s="7" t="inlineStr">
        <is>
          <t>CORREGIR</t>
        </is>
      </c>
      <c r="H204" s="2" t="inlineStr">
        <is>
          <t>6/A-210 Base Detail</t>
        </is>
      </c>
      <c r="I204" s="2" t="inlineStr">
        <is>
          <t>6/A-210 is the 'Base Detail' of the glazing system (Div 08), no framing. The box beam / post members come from 8/A-210 'Nested Stud Column &amp; Beam Details' and 7/A-210 'Nested Stud Details' [CONFIRMED titles A-210]. Operation: replace citation 6/A-210 -&gt; 8/A-210 (and 7/A-210) in R10 (8" stud), R12 (VEST-POSTS-STUD), R13 (VEST-BOX-BEAM-TRACK, VEST-LEDGER, VEST-POSTS-TRACK). Quantities unchanged.</t>
        </is>
      </c>
      <c r="J204" s="2" t="inlineStr">
        <is>
          <t>A-210_6-base-detail.png</t>
        </is>
      </c>
      <c r="K204" s="2" t="n">
        <v>13</v>
      </c>
    </row>
    <row r="205">
      <c r="A205" s="2" t="n">
        <v>204</v>
      </c>
      <c r="B205" s="2" t="inlineStr">
        <is>
          <t>A-210</t>
        </is>
      </c>
      <c r="C205" s="2" t="inlineStr">
        <is>
          <t>Detail note</t>
        </is>
      </c>
      <c r="D205" s="2" t="inlineStr">
        <is>
          <t>#10-16 TEK SCREWS (TYP.); RUNNER TRACK ATTACHED TO HEADER SUING (2) TEK SCREWS AT 16" O.C; HEAD ATTACHMENT SEE DETAIL; 3"X3"X16 GA. CLIP ANGLES 1/2" LESS THAN STUD WIDTH . ATTACH TO JAMB AND RUNNER TRACK USING (4) #10-16 SCREWS; BUILT -UP NESTED COLUMN AT EACH SIDE OF HEADER</t>
        </is>
      </c>
      <c r="E205" s="2" t="inlineStr">
        <is>
          <t>NO DESTINATION (GAP) - proposed</t>
        </is>
      </c>
      <c r="F205" s="2" t="inlineStr">
        <is>
          <t>Proposed: new Material Summary row '3"x3"x16 ga clip angle (vestibule header to nested column), PCS' + #10-16 tek screws</t>
        </is>
      </c>
      <c r="G205" s="6" t="inlineStr">
        <is>
          <t>GAP</t>
        </is>
      </c>
      <c r="H205" s="2" t="inlineStr">
        <is>
          <t>7/A-210 Nested Stud Details - clip angles</t>
        </is>
      </c>
      <c r="I205" s="2" t="inlineStr">
        <is>
          <t>No clip angle row in the Excel. 7/A-210 calls a 3"x3"x16 ga clip angle at the header-to-jamb connection (one per header end shown) plus the isometric head-attachment angle. Count [PENDING]: at least 2 header ends x 1 clip = 2 pcs on the 12'-8" box beam (or 4 if the head attachment angle is also counted); screws (4) #10-16 each. Small item - add as PCS row or note as included in framing accessories.</t>
        </is>
      </c>
      <c r="J205" s="2" t="inlineStr">
        <is>
          <t>A-210_7-clip-angles.png</t>
        </is>
      </c>
      <c r="K205" s="2" t="n">
        <v>13</v>
      </c>
    </row>
    <row r="206">
      <c r="A206" s="2" t="n">
        <v>205</v>
      </c>
      <c r="B206" s="2" t="inlineStr">
        <is>
          <t>A-210</t>
        </is>
      </c>
      <c r="C206" s="2" t="inlineStr">
        <is>
          <t>Detail note</t>
        </is>
      </c>
      <c r="D206" s="2" t="inlineStr">
        <is>
          <t>NESTED COLUMN (TYP): 3 5/8"x16 GA TOP &amp; BOTTOM TRACK; (8) #10-16 TEKS 16"O.C., TYP.; (2) 3 5/8" X 18 GA STUDS. NESTED BEAM (TYP): 6"x16 GA TOP &amp; BOTTOM TRACK; (8) #10-16 TEKS 16"O.C., TYP.; (2) 8" X 18 GA STUDS</t>
        </is>
      </c>
      <c r="E206" s="2" t="inlineStr">
        <is>
          <t>Excel row</t>
        </is>
      </c>
      <c r="F206" s="2" t="inlineStr">
        <is>
          <t>Material Summary!R12 VEST-POSTS-STUD 126.0 (6 x 2 x 10.5); Material Summary!R13 VEST-POSTS-TRACK 5.0 + VEST-BOX-BEAM-TRACK 25.33; Material Summary!R10 8" stud 25.33</t>
        </is>
      </c>
      <c r="G206" s="3" t="inlineStr">
        <is>
          <t>COVERED</t>
        </is>
      </c>
      <c r="H206" s="2" t="inlineStr">
        <is>
          <t>8/A-210 Nested Stud Column &amp; Beam Details</t>
        </is>
      </c>
      <c r="I206" s="2" t="inlineStr">
        <is>
          <t>Members match the print: beam (2) 8" 18 ga studs x 12.67 = 25.33 LF and 6" 16 ga top &amp; bottom track 2 x 12.67 = 25.33 LF [DERIVED]; posts (2) 3-5/8" 18 ga x 6 posts x 10.5 = 126.0 LF [DERIVED]. Note the printed beam track is 6" on 8" studs (as printed). Citation should be 8/A-210 (see 6/A-210 row).</t>
        </is>
      </c>
      <c r="J206" s="2" t="inlineStr">
        <is>
          <t>A-210_8-nested-column-beam.png</t>
        </is>
      </c>
      <c r="K206" s="2" t="n">
        <v>13</v>
      </c>
    </row>
    <row r="207">
      <c r="A207" s="2" t="n">
        <v>206</v>
      </c>
      <c r="B207" s="2" t="inlineStr">
        <is>
          <t>A-210</t>
        </is>
      </c>
      <c r="C207" s="2" t="inlineStr">
        <is>
          <t>Detail note</t>
        </is>
      </c>
      <c r="D207" s="2" t="inlineStr">
        <is>
          <t>1/2" RISER/CLOSURE BY DOOR UNIT MFR.; 1/2" THRESHOLD ... BY DOOR UNIT MFR, IN SEALANT BED; ENTRANCE MAT (IN VESTIBULE) (10300) ON CONC.; TL-1</t>
        </is>
      </c>
      <c r="E207" s="2" t="inlineStr">
        <is>
          <t>EXCLUDED</t>
        </is>
      </c>
      <c r="F207" s="2" t="inlineStr">
        <is>
          <t>n/a (Div 08 / flooring)</t>
        </is>
      </c>
      <c r="G207" s="4" t="inlineStr">
        <is>
          <t>EXCLUDED</t>
        </is>
      </c>
      <c r="H207" s="2" t="inlineStr">
        <is>
          <t>7A/A-210, 7B/A-210 Floor Transition Details</t>
        </is>
      </c>
      <c r="I207" s="2" t="inlineStr">
        <is>
          <t>Door thresholds, entrance mat and floor tile are other trades; no Div 05/09 content.</t>
        </is>
      </c>
      <c r="J207" s="2" t="inlineStr"/>
      <c r="K207" s="2" t="n">
        <v>13</v>
      </c>
    </row>
    <row r="208">
      <c r="A208" s="2" t="n">
        <v>207</v>
      </c>
      <c r="B208" s="2" t="inlineStr">
        <is>
          <t>A-220</t>
        </is>
      </c>
      <c r="C208" s="2" t="inlineStr">
        <is>
          <t>Sheet reviewed - no Div 05/09 content</t>
        </is>
      </c>
      <c r="D208" s="2" t="inlineStr">
        <is>
          <t>Cafe render view (perspective rendering of Cafe counter, WD-1 slat panels, soffit, menu boards); no notes, dimensions, tags or details</t>
        </is>
      </c>
      <c r="E208" s="2" t="inlineStr">
        <is>
          <t>EXCLUDED</t>
        </is>
      </c>
      <c r="F208" s="2" t="inlineStr">
        <is>
          <t>n/a</t>
        </is>
      </c>
      <c r="G208" s="4" t="inlineStr">
        <is>
          <t>EXCLUDED</t>
        </is>
      </c>
      <c r="H208" s="2" t="inlineStr">
        <is>
          <t>A-220 Cafe Render View</t>
        </is>
      </c>
      <c r="I208" s="2" t="inlineStr">
        <is>
          <t>Sheet reviewed - no Div 05/09 content (presentation render only; WD-1, soffit and menu board substrates are taken off from A-221 / A-226A).</t>
        </is>
      </c>
      <c r="J208" s="2" t="inlineStr">
        <is>
          <t>A-220_render.png</t>
        </is>
      </c>
      <c r="K208" s="2" t="n">
        <v>14</v>
      </c>
    </row>
    <row r="209">
      <c r="A209" s="2" t="n">
        <v>208</v>
      </c>
      <c r="B209" s="2" t="inlineStr">
        <is>
          <t>A-221</t>
        </is>
      </c>
      <c r="C209" s="2" t="inlineStr">
        <is>
          <t>Partition tag</t>
        </is>
      </c>
      <c r="D209" s="2" t="inlineStr">
        <is>
          <t>H1 - 3 tags: 2 on Workroom north wall, 1 on Workroom west wall</t>
        </is>
      </c>
      <c r="E209" s="2" t="inlineStr">
        <is>
          <t>Excel row</t>
        </is>
      </c>
      <c r="F209" s="2" t="inlineStr">
        <is>
          <t>Partition Takeoff!R47 (C-H1-N 29.98 LF), R48 (C-H1-W 12.17 LF); Material Summary!R5/R8/R11</t>
        </is>
      </c>
      <c r="G209" s="3" t="inlineStr">
        <is>
          <t>COVERED</t>
        </is>
      </c>
      <c r="H209" s="2" t="inlineStr">
        <is>
          <t>1/A-221 tag H1 (x3)</t>
        </is>
      </c>
      <c r="I209" s="2" t="inlineStr">
        <is>
          <t>Both H1 runs carried, 6" studs per G/A-221 'H1 = 6" STUD'. C-H1-N Sales face 25.90 = printed 25'-10 7/8" [CONFIRMED] + Grab &amp; Go 4.08.</t>
        </is>
      </c>
      <c r="J209" s="2" t="inlineStr"/>
      <c r="K209" s="2" t="n">
        <v>15</v>
      </c>
    </row>
    <row r="210">
      <c r="A210" s="2" t="n">
        <v>209</v>
      </c>
      <c r="B210" s="2" t="inlineStr">
        <is>
          <t>A-221</t>
        </is>
      </c>
      <c r="C210" s="2" t="inlineStr">
        <is>
          <t>Partition tag</t>
        </is>
      </c>
      <c r="D210" s="2" t="inlineStr">
        <is>
          <t>H2a - 1 tag, Workroom east wall (door 3 inside)</t>
        </is>
      </c>
      <c r="E210" s="2" t="inlineStr">
        <is>
          <t>Excel row</t>
        </is>
      </c>
      <c r="F210" s="2" t="inlineStr">
        <is>
          <t>Partition Takeoff!R51 (C-H2a 12.17 LF = printed 12'-2" [CONFIRMED] = 4'-6" + 4'-0" + 1'-0" + 2'-8" HOLD)</t>
        </is>
      </c>
      <c r="G210" s="3" t="inlineStr">
        <is>
          <t>COVERED</t>
        </is>
      </c>
      <c r="H210" s="2" t="inlineStr">
        <is>
          <t>1/A-221 tag H2a (x1)</t>
        </is>
      </c>
      <c r="I210" s="2" t="inlineStr">
        <is>
          <t>3-5/8" studs per G/A-221 'H2 = 3 5/8" STUD'. See separate item on the Cafe face hidden inside the 2'-8" HOLD pier.</t>
        </is>
      </c>
      <c r="J210" s="2" t="inlineStr"/>
      <c r="K210" s="2" t="n">
        <v>15</v>
      </c>
    </row>
    <row r="211">
      <c r="A211" s="2" t="n">
        <v>210</v>
      </c>
      <c r="B211" s="2" t="inlineStr">
        <is>
          <t>A-221</t>
        </is>
      </c>
      <c r="C211" s="2" t="inlineStr">
        <is>
          <t>Partition tag</t>
        </is>
      </c>
      <c r="D211" s="2" t="inlineStr">
        <is>
          <t>H2b - 1 tag, Workroom stub wall at south</t>
        </is>
      </c>
      <c r="E211" s="2" t="inlineStr">
        <is>
          <t>Excel row</t>
        </is>
      </c>
      <c r="F211" s="2" t="inlineStr">
        <is>
          <t>Partition Takeoff!R54 (C-H2b 1.95 LF); Material Summary!R29 (C-H2b-A/B-FRT 20.47 SF each)</t>
        </is>
      </c>
      <c r="G211" s="3" t="inlineStr">
        <is>
          <t>COVERED</t>
        </is>
      </c>
      <c r="H211" s="2" t="inlineStr">
        <is>
          <t>1/A-221 tag H2b (x1)</t>
        </is>
      </c>
      <c r="I211" s="2" t="inlineStr">
        <is>
          <t>Length not printed by the architect (the '2'-0" xxxxx' next to it is a non-architect markup on the PDF). FRT both sides per G/A-221.</t>
        </is>
      </c>
      <c r="J211" s="2" t="inlineStr"/>
      <c r="K211" s="2" t="n">
        <v>15</v>
      </c>
    </row>
    <row r="212">
      <c r="A212" s="2" t="n">
        <v>211</v>
      </c>
      <c r="B212" s="2" t="inlineStr">
        <is>
          <t>A-221</t>
        </is>
      </c>
      <c r="C212" s="2" t="inlineStr">
        <is>
          <t>Partition tag</t>
        </is>
      </c>
      <c r="D212" s="2" t="inlineStr">
        <is>
          <t>H3a - 1 tag, Grab &amp; Go north wall</t>
        </is>
      </c>
      <c r="E212" s="2" t="inlineStr">
        <is>
          <t>Excel row</t>
        </is>
      </c>
      <c r="F212" s="2" t="inlineStr">
        <is>
          <t>Partition Takeoff!R57 (C-H3a 4.08 LF, 6" studs)</t>
        </is>
      </c>
      <c r="G212" s="3" t="inlineStr">
        <is>
          <t>COVERED</t>
        </is>
      </c>
      <c r="H212" s="2" t="inlineStr">
        <is>
          <t>1/A-221 tag H3a (x1)</t>
        </is>
      </c>
      <c r="I212" s="2" t="inlineStr">
        <is>
          <t>Leader verified to the Grab &amp; Go north wall.</t>
        </is>
      </c>
      <c r="J212" s="2" t="inlineStr"/>
      <c r="K212" s="2" t="n">
        <v>15</v>
      </c>
    </row>
    <row r="213">
      <c r="A213" s="2" t="n">
        <v>212</v>
      </c>
      <c r="B213" s="2" t="inlineStr">
        <is>
          <t>A-221</t>
        </is>
      </c>
      <c r="C213" s="2" t="inlineStr">
        <is>
          <t>Partition tag</t>
        </is>
      </c>
      <c r="D213" s="2" t="inlineStr">
        <is>
          <t>H3b - 1 tag, Grab &amp; Go west wall</t>
        </is>
      </c>
      <c r="E213" s="2" t="inlineStr">
        <is>
          <t>Excel row</t>
        </is>
      </c>
      <c r="F213" s="2" t="inlineStr">
        <is>
          <t>Partition Takeoff!R60 (C-H3b 6.17 LF, 6" studs)</t>
        </is>
      </c>
      <c r="G213" s="3" t="inlineStr">
        <is>
          <t>COVERED</t>
        </is>
      </c>
      <c r="H213" s="2" t="inlineStr">
        <is>
          <t>1/A-221 tag H3b (x1)</t>
        </is>
      </c>
      <c r="I213" s="2" t="inlineStr">
        <is>
          <t>Leader verified to the Grab &amp; Go west wall.</t>
        </is>
      </c>
      <c r="J213" s="2" t="inlineStr"/>
      <c r="K213" s="2" t="n">
        <v>15</v>
      </c>
    </row>
    <row r="214">
      <c r="A214" s="2" t="n">
        <v>213</v>
      </c>
      <c r="B214" s="2" t="inlineStr">
        <is>
          <t>A-221</t>
        </is>
      </c>
      <c r="C214" s="2" t="inlineStr">
        <is>
          <t>Partition tag</t>
        </is>
      </c>
      <c r="D214" s="2" t="inlineStr">
        <is>
          <t>E1 - 2 tags: one at the Workroom door pier (east face), one at the SE box with 2 leaders (box west face + Cafe south wall)</t>
        </is>
      </c>
      <c r="E214" s="2" t="inlineStr">
        <is>
          <t>Excel row</t>
        </is>
      </c>
      <c r="F214" s="2" t="inlineStr">
        <is>
          <t>Partition Takeoff!R66 (C-E1-B), R67 (C-E1-P.2), R68 (C-E1-S); Material Summary!R27 cement board</t>
        </is>
      </c>
      <c r="G214" s="3" t="inlineStr">
        <is>
          <t>COVERED</t>
        </is>
      </c>
      <c r="H214" s="2" t="inlineStr">
        <is>
          <t>1/A-221 tag E1 (x2)</t>
        </is>
      </c>
      <c r="I214" s="2" t="inlineStr">
        <is>
          <t>All three E1 elements carried. See CORREGIR item on C-E1-S exposed face length (19'-0" HOLD).</t>
        </is>
      </c>
      <c r="J214" s="2" t="inlineStr"/>
      <c r="K214" s="2" t="n">
        <v>15</v>
      </c>
    </row>
    <row r="215">
      <c r="A215" s="2" t="n">
        <v>214</v>
      </c>
      <c r="B215" s="2" t="inlineStr">
        <is>
          <t>A-221</t>
        </is>
      </c>
      <c r="C215" s="2" t="inlineStr">
        <is>
          <t>Partition tag</t>
        </is>
      </c>
      <c r="D215" s="2" t="inlineStr">
        <is>
          <t>E2 - 1 tag, Workroom south wall</t>
        </is>
      </c>
      <c r="E215" s="2" t="inlineStr">
        <is>
          <t>Excel row</t>
        </is>
      </c>
      <c r="F215" s="2" t="inlineStr">
        <is>
          <t>Partition Takeoff!R63 (C-E2 29.30 LF); Material Summary!R29 (C-E2-A-FRT 732.5 SF)</t>
        </is>
      </c>
      <c r="G215" s="3" t="inlineStr">
        <is>
          <t>COVERED</t>
        </is>
      </c>
      <c r="H215" s="2" t="inlineStr">
        <is>
          <t>1/A-221 tag E2 (x1)</t>
        </is>
      </c>
      <c r="I215" s="2" t="inlineStr">
        <is>
          <t>E2 = 6" studs + 5/8" FRT plywood one face (E/A-221). E2/E1 split under RFI-05.</t>
        </is>
      </c>
      <c r="J215" s="2" t="inlineStr"/>
      <c r="K215" s="2" t="n">
        <v>15</v>
      </c>
    </row>
    <row r="216">
      <c r="A216" s="2" t="n">
        <v>215</v>
      </c>
      <c r="B216" s="2" t="inlineStr">
        <is>
          <t>A-221</t>
        </is>
      </c>
      <c r="C216" s="2" t="inlineStr">
        <is>
          <t>Partition tag</t>
        </is>
      </c>
      <c r="D216" s="2" t="inlineStr">
        <is>
          <t>F - 1 tag, north side of the SE box (3'-3" printed)</t>
        </is>
      </c>
      <c r="E216" s="2" t="inlineStr">
        <is>
          <t>Excel row</t>
        </is>
      </c>
      <c r="F216" s="2" t="inlineStr">
        <is>
          <t>Partition Takeoff!R71 (C-F 3.26 LF = 3'-3" [CONFIRMED]); Material Summary!R29 (C-F-A-FRT 81.5 SF)</t>
        </is>
      </c>
      <c r="G216" s="3" t="inlineStr">
        <is>
          <t>COVERED</t>
        </is>
      </c>
      <c r="H216" s="2" t="inlineStr">
        <is>
          <t>1/A-221 tag F (x1)</t>
        </is>
      </c>
      <c r="I216" s="2" t="inlineStr">
        <is>
          <t>One face 5/8" FRT plywood per F/A-221 (WD-1 over FRT per 7/A-225 and 8/A-225).</t>
        </is>
      </c>
      <c r="J216" s="2" t="inlineStr"/>
      <c r="K216" s="2" t="n">
        <v>15</v>
      </c>
    </row>
    <row r="217">
      <c r="A217" s="2" t="n">
        <v>216</v>
      </c>
      <c r="B217" s="2" t="inlineStr">
        <is>
          <t>A-221</t>
        </is>
      </c>
      <c r="C217" s="2" t="inlineStr">
        <is>
          <t>Partition tag</t>
        </is>
      </c>
      <c r="D217" s="2" t="inlineStr">
        <is>
          <t>I - 2 tags (SE box east face; 1'-0" return at the Workroom door pier) + 2 'I SIM.' tags at the east ends of the Grab &amp; Go north wall and of the Workroom north wall (7 1/4" returns)</t>
        </is>
      </c>
      <c r="E217" s="2" t="inlineStr">
        <is>
          <t>Excel row</t>
        </is>
      </c>
      <c r="F217" s="2" t="inlineStr">
        <is>
          <t>Partition Takeoff!R74 (C-I), R77 (C-I-P.1), R75 (C-I-E1), R76 (C-I-E2); Pending RFI-08</t>
        </is>
      </c>
      <c r="G217" s="3" t="inlineStr">
        <is>
          <t>COVERED</t>
        </is>
      </c>
      <c r="H217" s="2" t="inlineStr">
        <is>
          <t>1/A-221 tag I (x2) + I SIM. (x2)</t>
        </is>
      </c>
      <c r="I217" s="2" t="inlineStr">
        <is>
          <t>4 type I elements carried = 2 tags + 2 SIM. tags. End faces 0.603 LF = 7 1/4" printed [CONFIRMED].</t>
        </is>
      </c>
      <c r="J217" s="2" t="inlineStr"/>
      <c r="K217" s="2" t="n">
        <v>15</v>
      </c>
    </row>
    <row r="218">
      <c r="A218" s="2" t="n">
        <v>217</v>
      </c>
      <c r="B218" s="2" t="inlineStr">
        <is>
          <t>A-221</t>
        </is>
      </c>
      <c r="C218" s="2" t="inlineStr">
        <is>
          <t>Partition tag</t>
        </is>
      </c>
      <c r="D218" s="2" t="inlineStr">
        <is>
          <t>A - 3 tags along the front counter (north run, diagonal, east run)</t>
        </is>
      </c>
      <c r="E218" s="2" t="inlineStr">
        <is>
          <t>Excel row</t>
        </is>
      </c>
      <c r="F218" s="2" t="inlineStr">
        <is>
          <t>Partition Takeoff!R80-R82 (C-A-1 9.89, C-A-2 4.14, C-A-3 6.24 LF)</t>
        </is>
      </c>
      <c r="G218" s="3" t="inlineStr">
        <is>
          <t>COVERED</t>
        </is>
      </c>
      <c r="H218" s="2" t="inlineStr">
        <is>
          <t>1/A-221 tag A (x3)</t>
        </is>
      </c>
      <c r="I218" s="2" t="inlineStr">
        <is>
          <t>Printed: 10'-5 1/4" north run, 3'-0 7/8" x 3'-0 7/8" chamfer, 6'-4 1/8" east run; Excel uses centerline values close to these.</t>
        </is>
      </c>
      <c r="J218" s="2" t="inlineStr"/>
      <c r="K218" s="2" t="n">
        <v>15</v>
      </c>
    </row>
    <row r="219">
      <c r="A219" s="2" t="n">
        <v>218</v>
      </c>
      <c r="B219" s="2" t="inlineStr">
        <is>
          <t>A-221</t>
        </is>
      </c>
      <c r="C219" s="2" t="inlineStr">
        <is>
          <t>Partition tag</t>
        </is>
      </c>
      <c r="D219" s="2" t="inlineStr">
        <is>
          <t>B - 1 tag, pastry counter west leg (2'-9" printed)</t>
        </is>
      </c>
      <c r="E219" s="2" t="inlineStr">
        <is>
          <t>Excel row</t>
        </is>
      </c>
      <c r="F219" s="2" t="inlineStr">
        <is>
          <t>Partition Takeoff!R85 (C-B 3.17 LF)</t>
        </is>
      </c>
      <c r="G219" s="3" t="inlineStr">
        <is>
          <t>COVERED</t>
        </is>
      </c>
      <c r="H219" s="2" t="inlineStr">
        <is>
          <t>1/A-221 tag B (x1)</t>
        </is>
      </c>
      <c r="I219" s="2" t="inlineStr">
        <is>
          <t>Carried.</t>
        </is>
      </c>
      <c r="J219" s="2" t="inlineStr"/>
      <c r="K219" s="2" t="n">
        <v>15</v>
      </c>
    </row>
    <row r="220">
      <c r="A220" s="2" t="n">
        <v>219</v>
      </c>
      <c r="B220" s="2" t="inlineStr">
        <is>
          <t>A-221</t>
        </is>
      </c>
      <c r="C220" s="2" t="inlineStr">
        <is>
          <t>Partition tag</t>
        </is>
      </c>
      <c r="D220" s="2" t="inlineStr">
        <is>
          <t>C - 1 tag, pastry counter east leg</t>
        </is>
      </c>
      <c r="E220" s="2" t="inlineStr">
        <is>
          <t>Excel row</t>
        </is>
      </c>
      <c r="F220" s="2" t="inlineStr">
        <is>
          <t>Partition Takeoff!R91 (C-C 3.17 LF)</t>
        </is>
      </c>
      <c r="G220" s="3" t="inlineStr">
        <is>
          <t>COVERED</t>
        </is>
      </c>
      <c r="H220" s="2" t="inlineStr">
        <is>
          <t>1/A-221 tag C (x1)</t>
        </is>
      </c>
      <c r="I220" s="2" t="inlineStr">
        <is>
          <t>Carried.</t>
        </is>
      </c>
      <c r="J220" s="2" t="inlineStr"/>
      <c r="K220" s="2" t="n">
        <v>15</v>
      </c>
    </row>
    <row r="221">
      <c r="A221" s="2" t="n">
        <v>220</v>
      </c>
      <c r="B221" s="2" t="inlineStr">
        <is>
          <t>A-221</t>
        </is>
      </c>
      <c r="C221" s="2" t="inlineStr">
        <is>
          <t>Partition tag</t>
        </is>
      </c>
      <c r="D221" s="2" t="inlineStr">
        <is>
          <t>D - 1 tag, pastry counter south (6'-1 3/4" printed overall)</t>
        </is>
      </c>
      <c r="E221" s="2" t="inlineStr">
        <is>
          <t>Excel row</t>
        </is>
      </c>
      <c r="F221" s="2" t="inlineStr">
        <is>
          <t>Partition Takeoff!R88 (C-D 5.14 LF, 1'-0" high per D/A-221)</t>
        </is>
      </c>
      <c r="G221" s="3" t="inlineStr">
        <is>
          <t>COVERED</t>
        </is>
      </c>
      <c r="H221" s="2" t="inlineStr">
        <is>
          <t>1/A-221 tag D (x1)</t>
        </is>
      </c>
      <c r="I221" s="2" t="inlineStr">
        <is>
          <t>Carried.</t>
        </is>
      </c>
      <c r="J221" s="2" t="inlineStr"/>
      <c r="K221" s="2" t="n">
        <v>15</v>
      </c>
    </row>
    <row r="222">
      <c r="A222" s="2" t="n">
        <v>221</v>
      </c>
      <c r="B222" s="2" t="inlineStr">
        <is>
          <t>A-221</t>
        </is>
      </c>
      <c r="C222" s="2" t="inlineStr">
        <is>
          <t>General note</t>
        </is>
      </c>
      <c r="D222" s="2" t="inlineStr">
        <is>
          <t>NOTE - DIMENSIONS ARE FROM FINISHED FACE TO FINISHED FACE</t>
        </is>
      </c>
      <c r="E222" s="2" t="inlineStr">
        <is>
          <t>Excel row</t>
        </is>
      </c>
      <c r="F222" s="2" t="inlineStr">
        <is>
          <t>Partition Takeoff C-* rows (lengths from 1/A-221)</t>
        </is>
      </c>
      <c r="G222" s="3" t="inlineStr">
        <is>
          <t>COVERED</t>
        </is>
      </c>
      <c r="H222" s="2" t="inlineStr">
        <is>
          <t>1/A-221 Workroom note</t>
        </is>
      </c>
      <c r="I222" s="2" t="inlineStr">
        <is>
          <t>Applied to the length reading (e.g. 19'-0" HOLD below is a finished-face clear length).</t>
        </is>
      </c>
      <c r="J222" s="2" t="inlineStr"/>
      <c r="K222" s="2" t="n">
        <v>15</v>
      </c>
    </row>
    <row r="223">
      <c r="A223" s="2" t="n">
        <v>222</v>
      </c>
      <c r="B223" s="2" t="inlineStr">
        <is>
          <t>A-221</t>
        </is>
      </c>
      <c r="C223" s="2" t="inlineStr">
        <is>
          <t>General note</t>
        </is>
      </c>
      <c r="D223" s="2" t="inlineStr">
        <is>
          <t>NO MATERIAL SUBSTITIONS</t>
        </is>
      </c>
      <c r="E223" s="2" t="inlineStr">
        <is>
          <t>Excel row</t>
        </is>
      </c>
      <c r="F223" s="2" t="inlineStr">
        <is>
          <t>Material Summary rows as specified (no substitutions taken)</t>
        </is>
      </c>
      <c r="G223" s="3" t="inlineStr">
        <is>
          <t>COVERED</t>
        </is>
      </c>
      <c r="H223" s="2" t="inlineStr">
        <is>
          <t>1/A-221 Cafe note</t>
        </is>
      </c>
      <c r="I223" s="2" t="inlineStr">
        <is>
          <t>Informational; no quantity impact.</t>
        </is>
      </c>
      <c r="J223" s="2" t="inlineStr"/>
      <c r="K223" s="2" t="n">
        <v>15</v>
      </c>
    </row>
    <row r="224">
      <c r="A224" s="2" t="n">
        <v>223</v>
      </c>
      <c r="B224" s="2" t="inlineStr">
        <is>
          <t>A-221</t>
        </is>
      </c>
      <c r="C224" s="2" t="inlineStr">
        <is>
          <t>Detail note</t>
        </is>
      </c>
      <c r="D224" s="2" t="inlineStr">
        <is>
          <t>SOFFIT ABOVE (dashed, Cafe Sales north/east edge and Grab &amp; Go east side)</t>
        </is>
      </c>
      <c r="E224" s="2" t="inlineStr">
        <is>
          <t>Excel row</t>
        </is>
      </c>
      <c r="F224" s="2" t="inlineStr">
        <is>
          <t>Partition Takeoff!R105-R109 (SS-N, SS-E, SS-IN-N, SS-IN-E, SS-GG)</t>
        </is>
      </c>
      <c r="G224" s="3" t="inlineStr">
        <is>
          <t>COVERED</t>
        </is>
      </c>
      <c r="H224" s="2" t="inlineStr">
        <is>
          <t>1/A-221 'SOFFIT ABOVE'</t>
        </is>
      </c>
      <c r="I224" s="2" t="inlineStr">
        <is>
          <t>Soffit edges carried.</t>
        </is>
      </c>
      <c r="J224" s="2" t="inlineStr"/>
      <c r="K224" s="2" t="n">
        <v>15</v>
      </c>
    </row>
    <row r="225">
      <c r="A225" s="2" t="n">
        <v>224</v>
      </c>
      <c r="B225" s="2" t="inlineStr">
        <is>
          <t>A-221</t>
        </is>
      </c>
      <c r="C225" s="2" t="inlineStr">
        <is>
          <t>Detail note</t>
        </is>
      </c>
      <c r="D225" s="2" t="inlineStr">
        <is>
          <t>2'-8" HOLD (pier); 6'-2" HOLD (Grab &amp; Go opening); 5'-1 3/4" HOLD CLEAR (pastry gap); 19'-0" HOLD (Cafe south wall clear)</t>
        </is>
      </c>
      <c r="E225" s="2" t="inlineStr">
        <is>
          <t>Excel row</t>
        </is>
      </c>
      <c r="F225" s="2" t="inlineStr">
        <is>
          <t>Partition Takeoff!R67 (2'-8" HOLD cited), R109 (6'-2" HOLD cited); 19'-0" HOLD -&gt; see CORREGIR item</t>
        </is>
      </c>
      <c r="G225" s="3" t="inlineStr">
        <is>
          <t>COVERED</t>
        </is>
      </c>
      <c r="H225" s="2" t="inlineStr">
        <is>
          <t>1/A-221 dims HOLD</t>
        </is>
      </c>
      <c r="I225" s="2" t="inlineStr">
        <is>
          <t>HOLD dims read [CONFIRMED]. 19'-0" HOLD not used by the Excel (see next item).</t>
        </is>
      </c>
      <c r="J225" s="2" t="inlineStr"/>
      <c r="K225" s="2" t="n">
        <v>15</v>
      </c>
    </row>
    <row r="226">
      <c r="A226" s="2" t="n">
        <v>225</v>
      </c>
      <c r="B226" s="2" t="inlineStr">
        <is>
          <t>A-221</t>
        </is>
      </c>
      <c r="C226" s="2" t="inlineStr">
        <is>
          <t>Detail note</t>
        </is>
      </c>
      <c r="D226" s="2" t="inlineStr">
        <is>
          <t>19'-0" HOLD (Cafe south wall, from the Workroom-door pier east face to the SE box west face)</t>
        </is>
      </c>
      <c r="E226" s="2" t="inlineStr">
        <is>
          <t>Excel row - CORRECT</t>
        </is>
      </c>
      <c r="F226" s="2" t="inlineStr">
        <is>
          <t>Partition Takeoff!R68 (C-E1-S) / Material Summary!R27 (C-E1-S Cafe 103 586.5 SF cement board)</t>
        </is>
      </c>
      <c r="G226" s="7" t="inlineStr">
        <is>
          <t>CORREGIR</t>
        </is>
      </c>
      <c r="H226" s="2" t="inlineStr">
        <is>
          <t>1/A-221 19'-0" HOLD - C-E1-S exposed face</t>
        </is>
      </c>
      <c r="I226" s="2" t="inlineStr">
        <is>
          <t>C-E1-S board face is carried 23.46 x 25 = 586.5 SF. The exposed Cafe face of the south wall is the printed clear 19'-0" HOLD [CONFIRMED] (finished face to finished face); the rest of the 23.46 LF (~1.4 LF behind the pier, ~3.25 LF inside the enclosed SE box) is not a finished face (pier and box faces are already carried as C-E1-P.2 / C-E1-B / C-F / C-I). Correct: cement board C-E1-S = 19.00 x 25.0 = 475.0 SF [DERIVED] (-111.5 SF). Studs/track/menu-board strip unchanged (menu strip length is an estimator decision).</t>
        </is>
      </c>
      <c r="J226" s="2" t="inlineStr">
        <is>
          <t>A-221_E1-S-19-0-HOLD.png</t>
        </is>
      </c>
      <c r="K226" s="2" t="n">
        <v>15</v>
      </c>
    </row>
    <row r="227">
      <c r="A227" s="2" t="n">
        <v>226</v>
      </c>
      <c r="B227" s="2" t="inlineStr">
        <is>
          <t>A-221</t>
        </is>
      </c>
      <c r="C227" s="2" t="inlineStr">
        <is>
          <t>Detail note</t>
        </is>
      </c>
      <c r="D227" s="2" t="inlineStr">
        <is>
          <t>Pier at Workroom door: 1'-0" x 1'-0" return + 2'-8" HOLD box drawn against H2a with an internal void</t>
        </is>
      </c>
      <c r="E227" s="2" t="inlineStr">
        <is>
          <t>NO DESTINATION (GAP) - proposed</t>
        </is>
      </c>
      <c r="F227" s="2" t="inlineStr">
        <is>
          <t>Partition Takeoff!R51 (C-H2a B Cafe 103 12.17 x 25 ft GWB) - propose RFI or adjustment</t>
        </is>
      </c>
      <c r="G227" s="6" t="inlineStr">
        <is>
          <t>GAP</t>
        </is>
      </c>
      <c r="H227" s="2" t="inlineStr">
        <is>
          <t>1/A-221 pier 2'-8" HOLD - H2a Cafe face</t>
        </is>
      </c>
      <c r="I227" s="2" t="inlineStr">
        <is>
          <t>H2a Cafe face GWB carried on the full 12.17 LF; along the 2'-8" HOLD pier the H2a face appears enclosed by the pier void (pier faces carried separately as C-E1-P.2 / C-I-P.1). Plausible over-count 2.67 x 25.0 = 66.7 SF 5/8" Type X [DERIVED]; geometry of the void not fully certain -&gt; confirm, delta -66.7 SF.</t>
        </is>
      </c>
      <c r="J227" s="2" t="inlineStr">
        <is>
          <t>A-221_H2a-pier-void.png</t>
        </is>
      </c>
      <c r="K227" s="2" t="n">
        <v>15</v>
      </c>
    </row>
    <row r="228">
      <c r="A228" s="2" t="n">
        <v>227</v>
      </c>
      <c r="B228" s="2" t="inlineStr">
        <is>
          <t>A-221</t>
        </is>
      </c>
      <c r="C228" s="2" t="inlineStr">
        <is>
          <t>Detail note</t>
        </is>
      </c>
      <c r="D228" s="2" t="inlineStr">
        <is>
          <t>'xxxxx 2'-0"' at H2b and 'xxxxx 48'-10"' on the south wall (red/green/yellow markups)</t>
        </is>
      </c>
      <c r="E228" s="2" t="inlineStr">
        <is>
          <t>EXCLUDED</t>
        </is>
      </c>
      <c r="F228" s="2" t="inlineStr">
        <is>
          <t>n/a</t>
        </is>
      </c>
      <c r="G228" s="4" t="inlineStr">
        <is>
          <t>EXCLUDED</t>
        </is>
      </c>
      <c r="H228" s="2" t="inlineStr">
        <is>
          <t>1/A-221 markups</t>
        </is>
      </c>
      <c r="I228" s="2" t="inlineStr">
        <is>
          <t>Non-architect markups embedded in the bid-set PDF (not CAD text); not used as printed dimensions.</t>
        </is>
      </c>
      <c r="J228" s="2" t="inlineStr"/>
      <c r="K228" s="2" t="n">
        <v>15</v>
      </c>
    </row>
    <row r="229">
      <c r="A229" s="2" t="n">
        <v>228</v>
      </c>
      <c r="B229" s="2" t="inlineStr">
        <is>
          <t>A-221</t>
        </is>
      </c>
      <c r="C229" s="2" t="inlineStr">
        <is>
          <t>Detail bubble</t>
        </is>
      </c>
      <c r="D229" s="2" t="inlineStr">
        <is>
          <t>1/A-226A, 2-5/A-226A, 6/A-226A, 1-4/A-226B</t>
        </is>
      </c>
      <c r="E229" s="2" t="inlineStr">
        <is>
          <t>Excel row</t>
        </is>
      </c>
      <c r="F229" s="2" t="inlineStr">
        <is>
          <t>Pending RFI-08, RFI-14 (A-226A elevations already used)</t>
        </is>
      </c>
      <c r="G229" s="3" t="inlineStr">
        <is>
          <t>COVERED</t>
        </is>
      </c>
      <c r="H229" s="2" t="inlineStr">
        <is>
          <t>1/A-221 elevation bubbles</t>
        </is>
      </c>
      <c r="I229" s="2" t="inlineStr">
        <is>
          <t>Elevation sheets belong to another group; only their use for WD-1 tops is noted.</t>
        </is>
      </c>
      <c r="J229" s="2" t="inlineStr"/>
      <c r="K229" s="2" t="n">
        <v>15</v>
      </c>
    </row>
    <row r="230">
      <c r="A230" s="2" t="n">
        <v>229</v>
      </c>
      <c r="B230" s="2" t="inlineStr">
        <is>
          <t>A-221</t>
        </is>
      </c>
      <c r="C230" s="2" t="inlineStr">
        <is>
          <t>Detail bubble</t>
        </is>
      </c>
      <c r="D230" s="2" t="inlineStr">
        <is>
          <t>6" METAL STUDS @ 16" O.C.TO UNDERSIDE OF DECK. / VOID WHERE OCCURS / E1-1/2" CEMENT BOARD / E2-5/8" FRT PLYWOOD / BASE AS SCHEDULED / CONT. ACOUSTICAL SEALANT / BOTTOM RUNNER / NOTE: SEE SHEET A-225 FOR FINISH DETAILS</t>
        </is>
      </c>
      <c r="E230" s="2" t="inlineStr">
        <is>
          <t>Excel row</t>
        </is>
      </c>
      <c r="F230" s="2" t="inlineStr">
        <is>
          <t>Partition Takeoff!R63-R68; Material Summary!R11 (6" stud), R27 (cement board), R29 (C-E2-A-FRT)</t>
        </is>
      </c>
      <c r="G230" s="3" t="inlineStr">
        <is>
          <t>COVERED</t>
        </is>
      </c>
      <c r="H230" s="2" t="inlineStr">
        <is>
          <t>E/A-221 Section Wall Typ. E1/E2</t>
        </is>
      </c>
      <c r="I230" s="2" t="inlineStr">
        <is>
          <t>Layers counted per side: room side 1 layer (E1 cement board / E2 FRT plywood); wall side 0 layers (void at existing wall). Excel: E1 rows cement board 1 face, E2 FRT 1 face, GWB 0 - matches. Acoustical sealant excluded (Scope Checklist ALC-19).</t>
        </is>
      </c>
      <c r="J230" s="2" t="inlineStr"/>
      <c r="K230" s="2" t="n">
        <v>15</v>
      </c>
    </row>
    <row r="231">
      <c r="A231" s="2" t="n">
        <v>230</v>
      </c>
      <c r="B231" s="2" t="inlineStr">
        <is>
          <t>A-221</t>
        </is>
      </c>
      <c r="C231" s="2" t="inlineStr">
        <is>
          <t>Detail note</t>
        </is>
      </c>
      <c r="D231" s="2" t="inlineStr">
        <is>
          <t>E1-1/2" CEMENT BOARD / E2-5/8" FRT PLYWOOD (no height printed; studs to underside of deck)</t>
        </is>
      </c>
      <c r="E231" s="2" t="inlineStr">
        <is>
          <t>NO DESTINATION (GAP) - proposed</t>
        </is>
      </c>
      <c r="F231" s="2" t="inlineStr">
        <is>
          <t>Material Summary!R27 (C-E1-* 25 ft), R29 (C-E2-A-FRT 29.3 x 25 = 732.5 SF) - propose RFI</t>
        </is>
      </c>
      <c r="G231" s="6" t="inlineStr">
        <is>
          <t>GAP</t>
        </is>
      </c>
      <c r="H231" s="2" t="inlineStr">
        <is>
          <t>E/A-221 E1/E2 board height</t>
        </is>
      </c>
      <c r="I231" s="2" t="inlineStr">
        <is>
          <t>Board on E1/E2 carried to deck (25 ft) while the same Workroom faces of H1/H2 are carried at ceiling + 6" = 10'-6" (RFI-06/RFI-19 rule). E/A-221 does not print a board top. If the ceiling + 6" rule applies: E2 FRT 29.3 x 10.5 = 307.65 SF (delta -424.85 SF); E1 Cafe faces would follow the Cafe ceiling/soffit heights. Propose RFI to confirm board top on E1/E2.</t>
        </is>
      </c>
      <c r="J231" s="2" t="inlineStr">
        <is>
          <t>A-221_E-studs-to-deck-E2-FRT.png</t>
        </is>
      </c>
      <c r="K231" s="2" t="n">
        <v>15</v>
      </c>
    </row>
    <row r="232">
      <c r="A232" s="2" t="n">
        <v>231</v>
      </c>
      <c r="B232" s="2" t="inlineStr">
        <is>
          <t>A-221</t>
        </is>
      </c>
      <c r="C232" s="2" t="inlineStr">
        <is>
          <t>Detail bubble</t>
        </is>
      </c>
      <c r="D232" s="2" t="inlineStr">
        <is>
          <t>3 5/8" METAL STUDS @ 16" O.C. TO BOTTOM OF NESTED STUD BRACING. / 5/8" FRT PLYWOOD / BOTTOM RUNNER / BASE AS SCHEDULED / CONT. ACOUSTICAL SEALANT / NOTE: SEE SHEET A-225 FOR FINISH DETAILS ABOVE COUNTER</t>
        </is>
      </c>
      <c r="E232" s="2" t="inlineStr">
        <is>
          <t>Excel row</t>
        </is>
      </c>
      <c r="F232" s="2" t="inlineStr">
        <is>
          <t>Partition Takeoff!R71 (C-F, 3-5/8"); Material Summary!R29 (C-F-A-FRT 81.5 SF)</t>
        </is>
      </c>
      <c r="G232" s="3" t="inlineStr">
        <is>
          <t>COVERED</t>
        </is>
      </c>
      <c r="H232" s="2" t="inlineStr">
        <is>
          <t>F/A-221 Section Wall Typ. F</t>
        </is>
      </c>
      <c r="I232" s="2" t="inlineStr">
        <is>
          <t>Layers: 1 layer 5/8" FRT plywood on the Cafe (north) face, 0 on the box interior. Excel matches (GWB 0, FRT 1 face).</t>
        </is>
      </c>
      <c r="J232" s="2" t="inlineStr"/>
      <c r="K232" s="2" t="n">
        <v>15</v>
      </c>
    </row>
    <row r="233">
      <c r="A233" s="2" t="n">
        <v>232</v>
      </c>
      <c r="B233" s="2" t="inlineStr">
        <is>
          <t>A-221</t>
        </is>
      </c>
      <c r="C233" s="2" t="inlineStr">
        <is>
          <t>Detail note</t>
        </is>
      </c>
      <c r="D233" s="2" t="inlineStr">
        <is>
          <t>3 5/8" METAL STUDS @ 16" O.C. TO BOTTOM OF NESTED STUD BRACING.</t>
        </is>
      </c>
      <c r="E233" s="2" t="inlineStr">
        <is>
          <t>NO DESTINATION (GAP) - proposed</t>
        </is>
      </c>
      <c r="F233" s="2" t="inlineStr">
        <is>
          <t>Pending RFI-06 (estimator decision: F studs to deck 25'-0") - propose new RFI line for the nested stud bracing member</t>
        </is>
      </c>
      <c r="G233" s="6" t="inlineStr">
        <is>
          <t>GAP</t>
        </is>
      </c>
      <c r="H233" s="2" t="inlineStr">
        <is>
          <t>F/A-221 'TO BOTTOM OF NESTED STUD BRACING'</t>
        </is>
      </c>
      <c r="I233" s="2" t="inlineStr">
        <is>
          <t>Estimator decision RI 7 (studs to deck) is kept; but F/A-221 does print a stud top ('to bottom of nested stud bracing'), and the nested stud bracing member itself (size/length/elevation) has no row in the Excel. Propose RFI: define nested stud bracing at the SE box (member, elevation); delta = box perimeter (C-F 3.26 + C-I 2.31 + C-E1-B 2.31 = 7.88 LF) x rows of nested studs, PENDING.</t>
        </is>
      </c>
      <c r="J233" s="2" t="inlineStr">
        <is>
          <t>A-221_F-nested-stud-bracing.png</t>
        </is>
      </c>
      <c r="K233" s="2" t="n">
        <v>15</v>
      </c>
    </row>
    <row r="234">
      <c r="A234" s="2" t="n">
        <v>233</v>
      </c>
      <c r="B234" s="2" t="inlineStr">
        <is>
          <t>A-221</t>
        </is>
      </c>
      <c r="C234" s="2" t="inlineStr">
        <is>
          <t>Detail bubble</t>
        </is>
      </c>
      <c r="D234" s="2" t="inlineStr">
        <is>
          <t>METAL STUDS @ 16" O.C. SEE SCHEDULE FOR GAUGE. / H1 = 6" STUD / H2 = 3 5/8" STUD / 5/8" FRT PLYWOOD / 5/8" GYPSUM BOARD / H2a = 5/8" GWB, 5/8" FRT PLYWOOD / H2b = 5/8" FRT BOTH SIDES (CAFE WORK ROOM ONLY) / BASE AS SCHEDULED / BOTTOM RUNNER / CONT. ACOUSTICAL SEALANT / SEE SHEET A-225 FOR FINISH DETAILS</t>
        </is>
      </c>
      <c r="E234" s="2" t="inlineStr">
        <is>
          <t>Excel row</t>
        </is>
      </c>
      <c r="F234" s="2" t="inlineStr">
        <is>
          <t>Partition Takeoff!R47, R48, R51, R54; Material Summary!R19 (GWB faces), R29 (FRT faces); Pending RFI-37</t>
        </is>
      </c>
      <c r="G234" s="3" t="inlineStr">
        <is>
          <t>COVERED</t>
        </is>
      </c>
      <c r="H234" s="2" t="inlineStr">
        <is>
          <t>G/A-221 Section Wall Typ. H1/H2</t>
        </is>
      </c>
      <c r="I234" s="2" t="inlineStr">
        <is>
          <t>Layer count per side (R80e.26): SALES FLOOR side = 1 layer dotted fill (5/8" gypsum board, leader verified); CAFE WORK ROOM side = 1 layer cross-hatch (5/8" FRT plywood, leader verified). H2a callout leaders go one to each layer (GWB Sales/Cafe side, FRT Work Room side); H2b = FRT both sides. Excel: C-H1-N A GWB + B FRT, C-H1-W A GWB + B FRT, C-H2a B GWB + A FRT, C-H2b FRT both sides, no double layer - matches.</t>
        </is>
      </c>
      <c r="J234" s="2" t="inlineStr">
        <is>
          <t>A-221_G-H1-H2-layers.png</t>
        </is>
      </c>
      <c r="K234" s="2" t="n">
        <v>15</v>
      </c>
    </row>
    <row r="235">
      <c r="A235" s="2" t="n">
        <v>234</v>
      </c>
      <c r="B235" s="2" t="inlineStr">
        <is>
          <t>A-221</t>
        </is>
      </c>
      <c r="C235" s="2" t="inlineStr">
        <is>
          <t>Detail note</t>
        </is>
      </c>
      <c r="D235" s="2" t="inlineStr">
        <is>
          <t>NOTE: WALL TYPE H2 NO SOUND CONTROL INSULATION (insulation drawn in H1 cavity)</t>
        </is>
      </c>
      <c r="E235" s="2" t="inlineStr">
        <is>
          <t>EXCLUDED</t>
        </is>
      </c>
      <c r="F235" s="2" t="inlineStr">
        <is>
          <t>Scope Checklist!R26 (ALC-X25 batt insulation EXCLUDED, estimator criterion)</t>
        </is>
      </c>
      <c r="G235" s="4" t="inlineStr">
        <is>
          <t>EXCLUDED</t>
        </is>
      </c>
      <c r="H235" s="2" t="inlineStr">
        <is>
          <t>G/A-221 insulation</t>
        </is>
      </c>
      <c r="I235" s="2" t="inlineStr">
        <is>
          <t>H1 implies sound control insulation; excluded by estimator standing criterion.</t>
        </is>
      </c>
      <c r="J235" s="2" t="inlineStr"/>
      <c r="K235" s="2" t="n">
        <v>15</v>
      </c>
    </row>
    <row r="236">
      <c r="A236" s="2" t="n">
        <v>235</v>
      </c>
      <c r="B236" s="2" t="inlineStr">
        <is>
          <t>A-221</t>
        </is>
      </c>
      <c r="C236" s="2" t="inlineStr">
        <is>
          <t>Detail note</t>
        </is>
      </c>
      <c r="D236" s="2" t="inlineStr">
        <is>
          <t>SEE SCHEDULE FOR GAUGE / SEE SCHEDULE FOR O.C. GAUGE</t>
        </is>
      </c>
      <c r="E236" s="2" t="inlineStr">
        <is>
          <t>Excel row</t>
        </is>
      </c>
      <c r="F236" s="2" t="inlineStr">
        <is>
          <t>Material Summary!R11 (6" stud), R12 (3-5/8" stud)</t>
        </is>
      </c>
      <c r="G236" s="3" t="inlineStr">
        <is>
          <t>COVERED</t>
        </is>
      </c>
      <c r="H236" s="2" t="inlineStr">
        <is>
          <t>G/H/I/A-221 stud gauge</t>
        </is>
      </c>
      <c r="I236" s="2" t="inlineStr">
        <is>
          <t>Stud LF carried by size family; gauge comes from the A-410 schedule (another group). Rows R11/R12 do not state gauge - check at pricing.</t>
        </is>
      </c>
      <c r="J236" s="2" t="inlineStr"/>
      <c r="K236" s="2" t="n">
        <v>15</v>
      </c>
    </row>
    <row r="237">
      <c r="A237" s="2" t="n">
        <v>236</v>
      </c>
      <c r="B237" s="2" t="inlineStr">
        <is>
          <t>A-221</t>
        </is>
      </c>
      <c r="C237" s="2" t="inlineStr">
        <is>
          <t>Detail bubble</t>
        </is>
      </c>
      <c r="D237" s="2" t="inlineStr">
        <is>
          <t>6" METAL STUDS @ 16" SEE SCHEDULE FOR O.C. GAUGE. / GRAB AND GO: 5/8" GYPSUM BOARD / SALES: 5/8" FRT PLYWOOD / H3a = PLYWOOD TO TOP OF WD-1 / H3b = PLYWOOD UP TO 8'-0"</t>
        </is>
      </c>
      <c r="E237" s="2" t="inlineStr">
        <is>
          <t>Excel row</t>
        </is>
      </c>
      <c r="F237" s="2" t="inlineStr">
        <is>
          <t>Partition Takeoff!R57, R60; Material Summary!R19 (C-H3a/C-H3b Grab &amp; Go GWB 7.58 ft), R29 (C-H3a-A-FRT 102.0, C-H3b-A-FRT 49.36 = 6.17 x 8.0)</t>
        </is>
      </c>
      <c r="G237" s="3" t="inlineStr">
        <is>
          <t>COVERED</t>
        </is>
      </c>
      <c r="H237" s="2" t="inlineStr">
        <is>
          <t>H/A-221 Section Wall Typ. H3</t>
        </is>
      </c>
      <c r="I237" s="2" t="inlineStr">
        <is>
          <t>Layers: Grab and Go side 1 layer dotted (GWB), Sales side 1 layer cross-hatch (FRT plywood). Excel matches; H3b plywood 8'-0" [CONFIRMED].</t>
        </is>
      </c>
      <c r="J237" s="2" t="inlineStr">
        <is>
          <t>A-221_H3-plywood-heights.png</t>
        </is>
      </c>
      <c r="K237" s="2" t="n">
        <v>15</v>
      </c>
    </row>
    <row r="238">
      <c r="A238" s="2" t="n">
        <v>237</v>
      </c>
      <c r="B238" s="2" t="inlineStr">
        <is>
          <t>A-221</t>
        </is>
      </c>
      <c r="C238" s="2" t="inlineStr">
        <is>
          <t>Detail note</t>
        </is>
      </c>
      <c r="D238" s="2" t="inlineStr">
        <is>
          <t>H3a = PLYWOOD TO TOP OF WD-1</t>
        </is>
      </c>
      <c r="E238" s="2" t="inlineStr">
        <is>
          <t>NO DESTINATION (GAP) - proposed</t>
        </is>
      </c>
      <c r="F238" s="2" t="inlineStr">
        <is>
          <t>Material Summary!R29 (C-H3a-A-FRT 4.08 x 25.0 = 102.0 SF) - propose RFI (like RFI-34)</t>
        </is>
      </c>
      <c r="G238" s="6" t="inlineStr">
        <is>
          <t>GAP</t>
        </is>
      </c>
      <c r="H238" s="2" t="inlineStr">
        <is>
          <t>H/A-221 H3a 'PLYWOOD TO TOP OF WD-1'</t>
        </is>
      </c>
      <c r="I238" s="2" t="inlineStr">
        <is>
          <t>T.O. WD-1 on the H3a Sales face is not printed on A-221/A-225 (A-225 shows WD-1 'WALL &amp; BASE' zone around Grab &amp; Go). Excel carries plywood to deck and nothing above. By analogy with I/A-221 ('5/8" GWB FROM TOP OF WD-1 TO DECK') GWB would be needed above T.O. WD-1: each 1 ft above T.O. WD-1 = 4.08 SF GWB added / 4.08 SF FRT removed. Propose RFI.</t>
        </is>
      </c>
      <c r="J238" s="2" t="inlineStr">
        <is>
          <t>A-221_H3-plywood-heights.png</t>
        </is>
      </c>
      <c r="K238" s="2" t="n">
        <v>15</v>
      </c>
    </row>
    <row r="239">
      <c r="A239" s="2" t="n">
        <v>238</v>
      </c>
      <c r="B239" s="2" t="inlineStr">
        <is>
          <t>A-221</t>
        </is>
      </c>
      <c r="C239" s="2" t="inlineStr">
        <is>
          <t>Detail note</t>
        </is>
      </c>
      <c r="D239" s="2" t="inlineStr">
        <is>
          <t>H3b = PLYWOOD UP TO 8'-0"</t>
        </is>
      </c>
      <c r="E239" s="2" t="inlineStr">
        <is>
          <t>NO DESTINATION (GAP) - proposed</t>
        </is>
      </c>
      <c r="F239" s="2" t="inlineStr">
        <is>
          <t>Partition Takeoff!R60 (C-H3b Sales face only FRT 49.36 SF) - propose RFI / row</t>
        </is>
      </c>
      <c r="G239" s="6" t="inlineStr">
        <is>
          <t>GAP</t>
        </is>
      </c>
      <c r="H239" s="2" t="inlineStr">
        <is>
          <t>H/A-221 H3b above 8'-0"</t>
        </is>
      </c>
      <c r="I239" s="2" t="inlineStr">
        <is>
          <t>Above 8'-0" the Sales face of H3b (studs to deck 25'-0", RFI-06) has no board carried and the section does not define it. If 5/8" GWB is required to deck: + 6.17 x (25.0 - 8.0) = 104.9 SF 5/8" Type X [DERIVED]. Propose RFI.</t>
        </is>
      </c>
      <c r="J239" s="2" t="inlineStr">
        <is>
          <t>A-221_H3-plywood-heights.png</t>
        </is>
      </c>
      <c r="K239" s="2" t="n">
        <v>15</v>
      </c>
    </row>
    <row r="240">
      <c r="A240" s="2" t="n">
        <v>239</v>
      </c>
      <c r="B240" s="2" t="inlineStr">
        <is>
          <t>A-221</t>
        </is>
      </c>
      <c r="C240" s="2" t="inlineStr">
        <is>
          <t>Detail bubble</t>
        </is>
      </c>
      <c r="D240" s="2" t="inlineStr">
        <is>
          <t>6" METAL STUDS @ 16" SEE SCHEDULE FOR O.C. GAUGE. / 5/8" FRT PLYWOOD TO TOP OF WD-1, 5/8" GWB FROM TOP OF WD-1 TO DECK / BASE AS SCHEDULED / CONT. ACOUSTICAL SEALANT</t>
        </is>
      </c>
      <c r="E240" s="2" t="inlineStr">
        <is>
          <t>Excel row</t>
        </is>
      </c>
      <c r="F240" s="2" t="inlineStr">
        <is>
          <t>Partition Takeoff!R74-R77; Material Summary!R19 (GWB 10 ft), R29 (FRT 15 ft); Pending RFI-08</t>
        </is>
      </c>
      <c r="G240" s="3" t="inlineStr">
        <is>
          <t>COVERED</t>
        </is>
      </c>
      <c r="H240" s="2" t="inlineStr">
        <is>
          <t>I/A-221 Section Wall Typ. I</t>
        </is>
      </c>
      <c r="I240" s="2" t="inlineStr">
        <is>
          <t>One face only (other side open studs/void). FRT floor to 15'-0", GWB 15'-0" to deck (RFI-08). Matches.</t>
        </is>
      </c>
      <c r="J240" s="2" t="inlineStr">
        <is>
          <t>A-221_I-WD1-GWB.png</t>
        </is>
      </c>
      <c r="K240" s="2" t="n">
        <v>15</v>
      </c>
    </row>
    <row r="241">
      <c r="A241" s="2" t="n">
        <v>240</v>
      </c>
      <c r="B241" s="2" t="inlineStr">
        <is>
          <t>A-221</t>
        </is>
      </c>
      <c r="C241" s="2" t="inlineStr">
        <is>
          <t>Detail bubble</t>
        </is>
      </c>
      <c r="D241" s="2" t="inlineStr">
        <is>
          <t>CUSTOMER SIDE: TL-5 / 1/4" THIN SET / 1/2" CEMENTITOUS BOARD / 3/4" FRT PLYWOOD SUBSTRATE; CAFE SIDE: FRP-1 OVER 1/2" CEMENTITOUS BOARD; 3 5/8" METAL STUDS @ 16" O.C.; 2'-8 1/2" B.O.SLAB TO T.O. STUD; 2'-10" HOLD WORKING SURFACE MAXIMUM HEIGHT</t>
        </is>
      </c>
      <c r="E241" s="2" t="inlineStr">
        <is>
          <t>Excel row</t>
        </is>
      </c>
      <c r="F241" s="2" t="inlineStr">
        <is>
          <t>Partition Takeoff!R80-R82 (height 2.708 = 2'-8 1/2" [CONFIRMED]); Material Summary!R27 (cement board both faces), R30 (C-A-*-A-FRT 3/4"); Pending RFI-13 (FRP-1)</t>
        </is>
      </c>
      <c r="G241" s="3" t="inlineStr">
        <is>
          <t>COVERED</t>
        </is>
      </c>
      <c r="H241" s="2" t="inlineStr">
        <is>
          <t>A/A-221 Section Through Front Counter</t>
        </is>
      </c>
      <c r="I241" s="2" t="inlineStr">
        <is>
          <t>Layers: customer side 2 layers (FRT 3/4" + cement board), cafe side 1 layer (cement board) + FRP-1 finish. Excel matches.</t>
        </is>
      </c>
      <c r="J241" s="2" t="inlineStr"/>
      <c r="K241" s="2" t="n">
        <v>15</v>
      </c>
    </row>
    <row r="242">
      <c r="A242" s="2" t="n">
        <v>241</v>
      </c>
      <c r="B242" s="2" t="inlineStr">
        <is>
          <t>A-221</t>
        </is>
      </c>
      <c r="C242" s="2" t="inlineStr">
        <is>
          <t>Detail note</t>
        </is>
      </c>
      <c r="D242" s="2" t="inlineStr">
        <is>
          <t>SOLID SURFACE COUNTERTOP OVER 3/4" MARINE GRADE PLYWOOD SUBSTRATE / DOUBLE RADIUS EDGE</t>
        </is>
      </c>
      <c r="E242" s="2" t="inlineStr">
        <is>
          <t>EXCLUDED</t>
        </is>
      </c>
      <c r="F242" s="2" t="inlineStr">
        <is>
          <t>n/a (countertop / casework trade)</t>
        </is>
      </c>
      <c r="G242" s="4" t="inlineStr">
        <is>
          <t>EXCLUDED</t>
        </is>
      </c>
      <c r="H242" s="2" t="inlineStr">
        <is>
          <t>A,B,C,D/A-221 countertop</t>
        </is>
      </c>
      <c r="I242" s="2" t="inlineStr">
        <is>
          <t>Countertop and its marine plywood substrate are millwork (Div 06/12), not framing/drywall.</t>
        </is>
      </c>
      <c r="J242" s="2" t="inlineStr"/>
      <c r="K242" s="2" t="n">
        <v>15</v>
      </c>
    </row>
    <row r="243">
      <c r="A243" s="2" t="n">
        <v>242</v>
      </c>
      <c r="B243" s="2" t="inlineStr">
        <is>
          <t>A-221</t>
        </is>
      </c>
      <c r="C243" s="2" t="inlineStr">
        <is>
          <t>Detail bubble</t>
        </is>
      </c>
      <c r="D243" s="2" t="inlineStr">
        <is>
          <t>CUSTOMER SIDE: 3/4" FRT PLYWOOD / 1/2" CEMENTITOUS BOARD / 1/4" THIN SET / TL-5; PASTRY CASE SIDE: 1/2" CEMENTITOUS BOARD / 1/4" THIN SET / TL-5; 3 5/8" METAL STUDS @ 16" O.C.; 2'-8 1/2" B.O.SLAB TO T.O. STUD</t>
        </is>
      </c>
      <c r="E243" s="2" t="inlineStr">
        <is>
          <t>Excel row</t>
        </is>
      </c>
      <c r="F243" s="2" t="inlineStr">
        <is>
          <t>Partition Takeoff!R85; Material Summary!R27 (C-B both faces 8.58), R30 (C-B-A-FRT 8.58)</t>
        </is>
      </c>
      <c r="G243" s="3" t="inlineStr">
        <is>
          <t>COVERED</t>
        </is>
      </c>
      <c r="H243" s="2" t="inlineStr">
        <is>
          <t>B/A-221 Section Wall Typ.B</t>
        </is>
      </c>
      <c r="I243" s="2" t="inlineStr">
        <is>
          <t>Layers: customer 2, pastry case 1. Matches.</t>
        </is>
      </c>
      <c r="J243" s="2" t="inlineStr"/>
      <c r="K243" s="2" t="n">
        <v>15</v>
      </c>
    </row>
    <row r="244">
      <c r="A244" s="2" t="n">
        <v>243</v>
      </c>
      <c r="B244" s="2" t="inlineStr">
        <is>
          <t>A-221</t>
        </is>
      </c>
      <c r="C244" s="2" t="inlineStr">
        <is>
          <t>Detail bubble</t>
        </is>
      </c>
      <c r="D244" s="2" t="inlineStr">
        <is>
          <t>PASTRY CASE SIDE: 1/2" CEMENTITOUS BOARD / 1/4" THIN SET / TL-5; EQUIPMENT SIDE: FRP-1 OVER 1/2" CEMENTITOUS BOARD; 3 5/8" METAL STUDS @ [text cut]; 2'-8 1/2' B.O.SLAB TO T.O. STUD</t>
        </is>
      </c>
      <c r="E244" s="2" t="inlineStr">
        <is>
          <t>Excel row</t>
        </is>
      </c>
      <c r="F244" s="2" t="inlineStr">
        <is>
          <t>Partition Takeoff!R91; Material Summary!R27 (C-C both faces 8.58); Pending RFI-13</t>
        </is>
      </c>
      <c r="G244" s="3" t="inlineStr">
        <is>
          <t>COVERED</t>
        </is>
      </c>
      <c r="H244" s="2" t="inlineStr">
        <is>
          <t>C/A-221 Section Wall Typ.C</t>
        </is>
      </c>
      <c r="I244" s="2" t="inlineStr">
        <is>
          <t>1 layer cement board each side, no plywood. Matches.</t>
        </is>
      </c>
      <c r="J244" s="2" t="inlineStr"/>
      <c r="K244" s="2" t="n">
        <v>15</v>
      </c>
    </row>
    <row r="245">
      <c r="A245" s="2" t="n">
        <v>244</v>
      </c>
      <c r="B245" s="2" t="inlineStr">
        <is>
          <t>A-221</t>
        </is>
      </c>
      <c r="C245" s="2" t="inlineStr">
        <is>
          <t>Detail bubble</t>
        </is>
      </c>
      <c r="D245" s="2" t="inlineStr">
        <is>
          <t>FRP-1 OVER 1/2" CEMENTITOUS BOARD (both sides) / 3 5/8 METAL STUDS @16" O.C / 1'-0" B.O.SLAB TO T.O.STUD</t>
        </is>
      </c>
      <c r="E245" s="2" t="inlineStr">
        <is>
          <t>Excel row</t>
        </is>
      </c>
      <c r="F245" s="2" t="inlineStr">
        <is>
          <t>Partition Takeoff!R88 (height 1.0 [CONFIRMED]); Material Summary!R27 (C-D both faces 5.14)</t>
        </is>
      </c>
      <c r="G245" s="3" t="inlineStr">
        <is>
          <t>COVERED</t>
        </is>
      </c>
      <c r="H245" s="2" t="inlineStr">
        <is>
          <t>D/A-221 Section Wall Typ.D</t>
        </is>
      </c>
      <c r="I245" s="2" t="inlineStr">
        <is>
          <t>1 layer cement board each side. Matches.</t>
        </is>
      </c>
      <c r="J245" s="2" t="inlineStr"/>
      <c r="K245" s="2" t="n">
        <v>15</v>
      </c>
    </row>
    <row r="246">
      <c r="A246" s="2" t="n">
        <v>245</v>
      </c>
      <c r="B246" s="2" t="inlineStr">
        <is>
          <t>A-221</t>
        </is>
      </c>
      <c r="C246" s="2" t="inlineStr">
        <is>
          <t>Detail bubble</t>
        </is>
      </c>
      <c r="D246" s="2" t="inlineStr">
        <is>
          <t>3 5/8" @ 16" O.C METAL STUD UP TO DECK / 5/8" GWB (ceiling, soffit side and bottom) / 5/8" F.R.T. PLYWOOD / WD-1 / WOOD CORNER TRIM / 5/8" GWB above T.O. WD-1 SEE ELEVATION</t>
        </is>
      </c>
      <c r="E246" s="2" t="inlineStr">
        <is>
          <t>Excel row</t>
        </is>
      </c>
      <c r="F246" s="2" t="inlineStr">
        <is>
          <t>Partition Takeoff!R105-R108; Material Summary!R13 (soffit track), R19 (SS-* GWB), R28 (framed soffit studs 61.31), R29 (SS-N/SS-E WD1 FRT); Pending RFI-14</t>
        </is>
      </c>
      <c r="G246" s="3" t="inlineStr">
        <is>
          <t>COVERED</t>
        </is>
      </c>
      <c r="H246" s="2" t="inlineStr">
        <is>
          <t>2/A-221 Soffit Section - Cafe Sales Area</t>
        </is>
      </c>
      <c r="I246" s="2" t="inlineStr">
        <is>
          <t>Soffit framing and faces carried. Wood corner trim = finish carpentry (excluded).</t>
        </is>
      </c>
      <c r="J246" s="2" t="inlineStr"/>
      <c r="K246" s="2" t="n">
        <v>15</v>
      </c>
    </row>
    <row r="247">
      <c r="A247" s="2" t="n">
        <v>246</v>
      </c>
      <c r="B247" s="2" t="inlineStr">
        <is>
          <t>A-221</t>
        </is>
      </c>
      <c r="C247" s="2" t="inlineStr">
        <is>
          <t>Detail note</t>
        </is>
      </c>
      <c r="D247" s="2" t="inlineStr">
        <is>
          <t>5/8" F.R.T. PLYWOOD (hatched layer drawn continuous above T.O. WD-1, with 5/8" GWB over it)</t>
        </is>
      </c>
      <c r="E247" s="2" t="inlineStr">
        <is>
          <t>NO DESTINATION (GAP) - proposed</t>
        </is>
      </c>
      <c r="F247" s="2" t="inlineStr">
        <is>
          <t>Material Summary!R29 (SS-N-WD1-FRT 22.77 x 4.0 = 91.08; SS-E-WD1-FRT 10.12 x 4.0 = 40.48) - propose RFI</t>
        </is>
      </c>
      <c r="G247" s="6" t="inlineStr">
        <is>
          <t>GAP</t>
        </is>
      </c>
      <c r="H247" s="2" t="inlineStr">
        <is>
          <t>2/A-221 FRT plywood above T.O. WD-1</t>
        </is>
      </c>
      <c r="I247" s="2" t="inlineStr">
        <is>
          <t>In 2/A-221 the plywood layer continues above T.O. WD-1 behind the 5/8" GWB (same build-up that RFI-34 reads on 3/A-221). Excel carries plywood only in the 11'-0" to 15'-0" WD-1 band. If plywood runs to deck behind the GWB: + (22.77 + 10.12) x 10.0 = 328.9 SF 5/8" FRT plywood [DERIVED]; GWB unchanged. RI 9 decision covered WD-1 band only; confirm.</t>
        </is>
      </c>
      <c r="J247" s="2" t="inlineStr">
        <is>
          <t>A-221_2-plywood-above-WD1.png</t>
        </is>
      </c>
      <c r="K247" s="2" t="n">
        <v>15</v>
      </c>
    </row>
    <row r="248">
      <c r="A248" s="2" t="n">
        <v>247</v>
      </c>
      <c r="B248" s="2" t="inlineStr">
        <is>
          <t>A-221</t>
        </is>
      </c>
      <c r="C248" s="2" t="inlineStr">
        <is>
          <t>Detail note</t>
        </is>
      </c>
      <c r="D248" s="2" t="inlineStr">
        <is>
          <t>CROSS BRACING AS REQ'D</t>
        </is>
      </c>
      <c r="E248" s="2" t="inlineStr">
        <is>
          <t>NO DESTINATION (GAP) - proposed</t>
        </is>
      </c>
      <c r="F248" s="2" t="inlineStr">
        <is>
          <t>No row (Material Summary!R14 is horizontal C.R. channel bracing only) - propose RFI/allowance</t>
        </is>
      </c>
      <c r="G248" s="6" t="inlineStr">
        <is>
          <t>GAP</t>
        </is>
      </c>
      <c r="H248" s="2" t="inlineStr">
        <is>
          <t>2/A-221 cross bracing</t>
        </is>
      </c>
      <c r="I248" s="2" t="inlineStr">
        <is>
          <t>Diagonal cross bracing of the framed soffit drop (studs up to deck) is drawn and called 'AS REQ'D' with no member or spacing. Propose RFI: delta = (SS-N 22.77 + SS-E 10.12 LF) / 4 ft spacing ~ 9 braces x 2 directions x ~5 ft = ~90 LF 3-5/8" stud [PENDING spacing/member].</t>
        </is>
      </c>
      <c r="J248" s="2" t="inlineStr">
        <is>
          <t>A-221_2-cross-bracing.png</t>
        </is>
      </c>
      <c r="K248" s="2" t="n">
        <v>15</v>
      </c>
    </row>
    <row r="249">
      <c r="A249" s="2" t="n">
        <v>248</v>
      </c>
      <c r="B249" s="2" t="inlineStr">
        <is>
          <t>A-221</t>
        </is>
      </c>
      <c r="C249" s="2" t="inlineStr">
        <is>
          <t>Detail bubble</t>
        </is>
      </c>
      <c r="D249" s="2" t="inlineStr">
        <is>
          <t>6" METAL STUDS @ 16" O.C. / 5/8" PRESSURE TREATED FRT PLYWOOD SUBSTRATE / WD-1 / 5/8" GWB / T.O. WD-1 SEE ELEVATION / SEE RCP / 3/4"</t>
        </is>
      </c>
      <c r="E249" s="2" t="inlineStr">
        <is>
          <t>Excel row</t>
        </is>
      </c>
      <c r="F249" s="2" t="inlineStr">
        <is>
          <t>Partition Takeoff!R109 (SS-GG); Material Summary!R11 (SS-GG 107.5), R13, R19 (SS-GG-BOTTOM-GWB 3.73), R29 (SS-GG-FRT 110.49); Pending RFI-20, RFI-34</t>
        </is>
      </c>
      <c r="G249" s="3" t="inlineStr">
        <is>
          <t>COVERED</t>
        </is>
      </c>
      <c r="H249" s="2" t="inlineStr">
        <is>
          <t>3/A-221 Soffit Section - Grab &amp; Go</t>
        </is>
      </c>
      <c r="I249" s="2" t="inlineStr">
        <is>
          <t>Plywood full height + GWB above T.O. WD-1 (RFI-34 open). 'PRESSURE TREATED FRT' read as FRT plywood (A-410 all plywood FRT).</t>
        </is>
      </c>
      <c r="J249" s="2" t="inlineStr">
        <is>
          <t>A-221_3-GrabGo-soffit.png</t>
        </is>
      </c>
      <c r="K249" s="2" t="n">
        <v>15</v>
      </c>
    </row>
    <row r="250">
      <c r="A250" s="2" t="n">
        <v>249</v>
      </c>
      <c r="B250" s="2" t="inlineStr">
        <is>
          <t>A-221</t>
        </is>
      </c>
      <c r="C250" s="2" t="inlineStr">
        <is>
          <t>Detail note</t>
        </is>
      </c>
      <c r="D250" s="2" t="inlineStr">
        <is>
          <t>CONT. ACOUSTICAL SEALANT (E, F, G, H, I)</t>
        </is>
      </c>
      <c r="E250" s="2" t="inlineStr">
        <is>
          <t>EXCLUDED</t>
        </is>
      </c>
      <c r="F250" s="2" t="inlineStr">
        <is>
          <t>Scope Checklist!R20 (ALC-19, estimator standing order)</t>
        </is>
      </c>
      <c r="G250" s="4" t="inlineStr">
        <is>
          <t>EXCLUDED</t>
        </is>
      </c>
      <c r="H250" s="2" t="inlineStr">
        <is>
          <t>A-221 sections - acoustical sealant</t>
        </is>
      </c>
      <c r="I250" s="2" t="inlineStr">
        <is>
          <t>Excluded in all projects.</t>
        </is>
      </c>
      <c r="J250" s="2" t="inlineStr"/>
      <c r="K250" s="2" t="n">
        <v>15</v>
      </c>
    </row>
    <row r="251">
      <c r="A251" s="2" t="n">
        <v>250</v>
      </c>
      <c r="B251" s="2" t="inlineStr">
        <is>
          <t>A-221</t>
        </is>
      </c>
      <c r="C251" s="2" t="inlineStr">
        <is>
          <t>Revision note</t>
        </is>
      </c>
      <c r="D251" s="2" t="inlineStr">
        <is>
          <t>04-25-25 ISSUED FOR PERMIT, BID, LANDLORD &amp; CLIENT REVIEW; 06-12-25 LL AND BD COMMENTS (1); 07-23-25 BD COMMENTS (2)</t>
        </is>
      </c>
      <c r="E251" s="2" t="inlineStr">
        <is>
          <t>Excel row</t>
        </is>
      </c>
      <c r="F251" s="2" t="inlineStr">
        <is>
          <t>n/a</t>
        </is>
      </c>
      <c r="G251" s="3" t="inlineStr">
        <is>
          <t>COVERED</t>
        </is>
      </c>
      <c r="H251" s="2" t="inlineStr">
        <is>
          <t>A-221 revision log</t>
        </is>
      </c>
      <c r="I251" s="2" t="inlineStr">
        <is>
          <t>No revision clouds found on the sheet content; no quantity impact.</t>
        </is>
      </c>
      <c r="J251" s="2" t="inlineStr"/>
      <c r="K251" s="2" t="n">
        <v>15</v>
      </c>
    </row>
    <row r="252">
      <c r="A252" s="2" t="n">
        <v>251</v>
      </c>
      <c r="B252" s="2" t="inlineStr">
        <is>
          <t>A-222A</t>
        </is>
      </c>
      <c r="C252" s="2" t="inlineStr">
        <is>
          <t>Detail note</t>
        </is>
      </c>
      <c r="D252" s="2" t="inlineStr">
        <is>
          <t>FURRING WALL (leader to the Cafe south wall carrying HW / CW / D / SR stub-outs)</t>
        </is>
      </c>
      <c r="E252" s="2" t="inlineStr">
        <is>
          <t>Excel row</t>
        </is>
      </c>
      <c r="F252" s="2" t="inlineStr">
        <is>
          <t>Partition Takeoff!R68 (C-E1-S), R63 (C-E2); Pending RFI-05</t>
        </is>
      </c>
      <c r="G252" s="3" t="inlineStr">
        <is>
          <t>COVERED</t>
        </is>
      </c>
      <c r="H252" s="2" t="inlineStr">
        <is>
          <t>1/A-222A 'FURRING WALL'</t>
        </is>
      </c>
      <c r="I252" s="2" t="inlineStr">
        <is>
          <t>Confirms the south line is a furring-type wall in front of the existing wall, counted once as E1/E2 (RFI-05).</t>
        </is>
      </c>
      <c r="J252" s="2" t="inlineStr">
        <is>
          <t>A-222A_furring-wall.png</t>
        </is>
      </c>
      <c r="K252" s="2" t="n">
        <v>16</v>
      </c>
    </row>
    <row r="253">
      <c r="A253" s="2" t="n">
        <v>252</v>
      </c>
      <c r="B253" s="2" t="inlineStr">
        <is>
          <t>A-222A</t>
        </is>
      </c>
      <c r="C253" s="2" t="inlineStr">
        <is>
          <t>General note</t>
        </is>
      </c>
      <c r="D253" s="2" t="inlineStr">
        <is>
          <t>REFER TO SHEETS A-224 FOR EQUIPMENT SCHEDULE / COORDINATE WITH PLUMBING SHEETS / DO NOT SCALE THIS DRAWING... / REFER TO SHEET A-222B FOR STUB HEIGHTS / PLUMBING SYMBOLS legend</t>
        </is>
      </c>
      <c r="E253" s="2" t="inlineStr">
        <is>
          <t>EXCLUDED</t>
        </is>
      </c>
      <c r="F253" s="2" t="inlineStr">
        <is>
          <t>n/a</t>
        </is>
      </c>
      <c r="G253" s="4" t="inlineStr">
        <is>
          <t>EXCLUDED</t>
        </is>
      </c>
      <c r="H253" s="2" t="inlineStr">
        <is>
          <t>A-222A notes</t>
        </is>
      </c>
      <c r="I253" s="2" t="inlineStr">
        <is>
          <t>Plumbing floor penetration and supply/sanitary plans - Div 22; no Div 05/09 item besides the furring wall note.</t>
        </is>
      </c>
      <c r="J253" s="2" t="inlineStr"/>
      <c r="K253" s="2" t="n">
        <v>16</v>
      </c>
    </row>
    <row r="254">
      <c r="A254" s="2" t="n">
        <v>253</v>
      </c>
      <c r="B254" s="2" t="inlineStr">
        <is>
          <t>A-222B</t>
        </is>
      </c>
      <c r="C254" s="2" t="inlineStr">
        <is>
          <t>Sheet reviewed</t>
        </is>
      </c>
      <c r="D254" s="2" t="inlineStr">
        <is>
          <t>Cafe &amp; Cafe Workroom Plumbing Riser Schematic, Ice Filter Detail, Reference Photos #1-#4 (WATER FILTRATION BOARD IN WORK ROOM; DIPPING STATION IN CAFE; HAND SINK AND ICE MACHINE FILTER IN WORKROOM; ACCUMULATOR TANK IN WORKROOM); plumbing notes (backflow, booster pump bid alternate)</t>
        </is>
      </c>
      <c r="E254" s="2" t="inlineStr">
        <is>
          <t>EXCLUDED</t>
        </is>
      </c>
      <c r="F254" s="2" t="inlineStr">
        <is>
          <t>n/a (Div 22)</t>
        </is>
      </c>
      <c r="G254" s="4" t="inlineStr">
        <is>
          <t>EXCLUDED</t>
        </is>
      </c>
      <c r="H254" s="2" t="inlineStr">
        <is>
          <t>A-222B Plumbing Riser Schematic</t>
        </is>
      </c>
      <c r="I254" s="2" t="inlineStr">
        <is>
          <t>Sheet reviewed - no Div 05/09 content. Wall-mounted filter boards sit on Workroom walls that already carry 5/8" FRT plywood (Material Summary!R29).</t>
        </is>
      </c>
      <c r="J254" s="2" t="inlineStr"/>
      <c r="K254" s="2" t="n">
        <v>17</v>
      </c>
    </row>
    <row r="255">
      <c r="A255" s="2" t="n">
        <v>254</v>
      </c>
      <c r="B255" s="2" t="inlineStr">
        <is>
          <t>A-223</t>
        </is>
      </c>
      <c r="C255" s="2" t="inlineStr">
        <is>
          <t>Detail bubble</t>
        </is>
      </c>
      <c r="D255" s="2" t="inlineStr">
        <is>
          <t>FRP-1, B-2; back counter wall: tile above, FRP-1 below counter, menu board panels</t>
        </is>
      </c>
      <c r="E255" s="2" t="inlineStr">
        <is>
          <t>Excel row</t>
        </is>
      </c>
      <c r="F255" s="2" t="inlineStr">
        <is>
          <t>Material Summary!R27 (C-E1-S cement board), R30 (MENU-BOARD-FRT 60.6); Pending RFI-13 (FRP-1)</t>
        </is>
      </c>
      <c r="G255" s="3" t="inlineStr">
        <is>
          <t>COVERED</t>
        </is>
      </c>
      <c r="H255" s="2" t="inlineStr">
        <is>
          <t>2/A223, 3/A223 Cafe Front / Back Counter Elevations</t>
        </is>
      </c>
      <c r="I255" s="2" t="inlineStr">
        <is>
          <t>Electrical plan + elevations; FRP-1 below countertop on the E1 wall is under RFI-13. No other Div 05/09 content (electrical legend/devices).</t>
        </is>
      </c>
      <c r="J255" s="2" t="inlineStr"/>
      <c r="K255" s="2" t="n">
        <v>18</v>
      </c>
    </row>
    <row r="256">
      <c r="A256" s="2" t="n">
        <v>255</v>
      </c>
      <c r="B256" s="2" t="inlineStr">
        <is>
          <t>A-224</t>
        </is>
      </c>
      <c r="C256" s="2" t="inlineStr">
        <is>
          <t>Schedule note</t>
        </is>
      </c>
      <c r="D256" s="2" t="inlineStr">
        <is>
          <t>FOOD SERVICE / WORKROOM EQUIPMENT / UTILITIES SCHEDULE; CAFE EQUIPMENT POWER SCHEDULE (items incl. 1A R.O. WATER FILTRATION SYSTEM MANIFOLD BOARD, 6 WALL SHELF SUPPLIED BY BN, 9 HAND SINK - WALL MOUNTED, 112 SURFACE-MOUNTED PAPER TOWEL DISPENSER, 14 C-FOLD PAPER TOWEL DISPENSER)</t>
        </is>
      </c>
      <c r="E256" s="2" t="inlineStr">
        <is>
          <t>Excel row</t>
        </is>
      </c>
      <c r="F256" s="2" t="inlineStr">
        <is>
          <t>Material Summary!R29 (Workroom FRT plywood faces C-H1-N/W, C-H2a, C-H2b, C-E2)</t>
        </is>
      </c>
      <c r="G256" s="3" t="inlineStr">
        <is>
          <t>COVERED</t>
        </is>
      </c>
      <c r="H256" s="2" t="inlineStr">
        <is>
          <t>A-224 equipment schedules</t>
        </is>
      </c>
      <c r="I256" s="2" t="inlineStr">
        <is>
          <t>No blocking/backing note is printed on A-224. Wall-mounted equipment in the Workroom lands on faces already sheathed with 5/8" FRT plywood (G/A-221, E/A-221).</t>
        </is>
      </c>
      <c r="J256" s="2" t="inlineStr"/>
      <c r="K256" s="2" t="n">
        <v>19</v>
      </c>
    </row>
    <row r="257">
      <c r="A257" s="2" t="n">
        <v>256</v>
      </c>
      <c r="B257" s="2" t="inlineStr">
        <is>
          <t>A-224</t>
        </is>
      </c>
      <c r="C257" s="2" t="inlineStr">
        <is>
          <t>Detail note</t>
        </is>
      </c>
      <c r="D257" s="2" t="inlineStr">
        <is>
          <t>LINE OF SHELF ABOVE / ICE FILLER BOARD / 3' X 3' RAISED PAD</t>
        </is>
      </c>
      <c r="E257" s="2" t="inlineStr">
        <is>
          <t>Excel row</t>
        </is>
      </c>
      <c r="F257" s="2" t="inlineStr">
        <is>
          <t>Material Summary!R29 (C-E2-A-FRT); raised pad = concrete (not ours)</t>
        </is>
      </c>
      <c r="G257" s="3" t="inlineStr">
        <is>
          <t>COVERED</t>
        </is>
      </c>
      <c r="H257" s="2" t="inlineStr">
        <is>
          <t>1/A-224 leaders</t>
        </is>
      </c>
      <c r="I257" s="2" t="inlineStr">
        <is>
          <t>Shelf and filler board on the south wall; backing provided by the FRT plywood face (Workroom) - no separate blocking called. Raised pad is Div 03.</t>
        </is>
      </c>
      <c r="J257" s="2" t="inlineStr">
        <is>
          <t>A-224_shelf-filler-board.png</t>
        </is>
      </c>
      <c r="K257" s="2" t="n">
        <v>19</v>
      </c>
    </row>
    <row r="258">
      <c r="A258" s="2" t="n">
        <v>257</v>
      </c>
      <c r="B258" s="2" t="inlineStr">
        <is>
          <t>A-225</t>
        </is>
      </c>
      <c r="C258" s="2" t="inlineStr">
        <is>
          <t>Legend</t>
        </is>
      </c>
      <c r="D258" s="2" t="inlineStr">
        <is>
          <t>FRP-1 (dashed zone, Workroom walls) / INCLUDING 6" BASE WITH TERMINATION BAR (EP-1)</t>
        </is>
      </c>
      <c r="E258" s="2" t="inlineStr">
        <is>
          <t>RFI</t>
        </is>
      </c>
      <c r="F258" s="2" t="inlineStr">
        <is>
          <t>Pending RFI-13; Material Summary!R37 (PVC trim 0)</t>
        </is>
      </c>
      <c r="G258" s="5" t="inlineStr">
        <is>
          <t>RFI</t>
        </is>
      </c>
      <c r="H258" s="2" t="inlineStr">
        <is>
          <t>1/A-225 FRP-1 zones (Workroom)</t>
        </is>
      </c>
      <c r="I258" s="2" t="inlineStr">
        <is>
          <t>FRP-1 zones drawn without height; RFI-13 open. '6" base with termination bar' refers to EP-1 epoxy base (flooring trade).</t>
        </is>
      </c>
      <c r="J258" s="2" t="inlineStr"/>
      <c r="K258" s="2" t="n">
        <v>20</v>
      </c>
    </row>
    <row r="259">
      <c r="A259" s="2" t="n">
        <v>258</v>
      </c>
      <c r="B259" s="2" t="inlineStr">
        <is>
          <t>A-225</t>
        </is>
      </c>
      <c r="C259" s="2" t="inlineStr">
        <is>
          <t>Legend</t>
        </is>
      </c>
      <c r="D259" s="2" t="inlineStr">
        <is>
          <t>TL-5 DIE WALL / TL-1 BASE / FRP-1 DIE WALL / B-2 BASE / TL-4 ABOVE COUNTERTOP / FRP-1 BELOW COUNTERTOP / PT-2 / PT-3 / WD-1 WALL &amp; BASE / WD-1 ABOVE COUNTER / INTEGRAL SANITARY COVE BASE ON SERVICE SIDE OF WALLS / REFERENCE PHOTO 2 FOR THE TILE PATTERN</t>
        </is>
      </c>
      <c r="E259" s="2" t="inlineStr">
        <is>
          <t>Excel row</t>
        </is>
      </c>
      <c r="F259" s="2" t="inlineStr">
        <is>
          <t>Material Summary!R27 (cement board), R29 (FRT behind WD-1), R19 (PT faces); Pending RFI-12, RFI-13, RFI-37</t>
        </is>
      </c>
      <c r="G259" s="3" t="inlineStr">
        <is>
          <t>COVERED</t>
        </is>
      </c>
      <c r="H259" s="2" t="inlineStr">
        <is>
          <t>1/A-225 Cafe finish tags</t>
        </is>
      </c>
      <c r="I259" s="2" t="inlineStr">
        <is>
          <t>Finish zones consistent with substrates carried: TL on cement board (A/B/C/D, E1), WD-1 on FRT plywood (F, I, soffits), PT-3 on H2a Cafe face (GWB, RFI-37), PT-7 Grab &amp; Go (GWB).</t>
        </is>
      </c>
      <c r="J259" s="2" t="inlineStr"/>
      <c r="K259" s="2" t="n">
        <v>20</v>
      </c>
    </row>
    <row r="260">
      <c r="A260" s="2" t="n">
        <v>259</v>
      </c>
      <c r="B260" s="2" t="inlineStr">
        <is>
          <t>A-225</t>
        </is>
      </c>
      <c r="C260" s="2" t="inlineStr">
        <is>
          <t>Detail note</t>
        </is>
      </c>
      <c r="D260" s="2" t="inlineStr">
        <is>
          <t>PT-7 / B-1 BASE (inside); WD-1 WALL &amp; BASE (outside, north and east of Grab &amp; Go)</t>
        </is>
      </c>
      <c r="E260" s="2" t="inlineStr">
        <is>
          <t>Excel row</t>
        </is>
      </c>
      <c r="F260" s="2" t="inlineStr">
        <is>
          <t>Material Summary!R19 (C-H3a/C-H3b Grab &amp; Go GWB), R29 (C-H3a-A-FRT, SS-GG-FRT); see H3a T.O. WD-1 GAP</t>
        </is>
      </c>
      <c r="G260" s="3" t="inlineStr">
        <is>
          <t>COVERED</t>
        </is>
      </c>
      <c r="H260" s="2" t="inlineStr">
        <is>
          <t>1/A-225 Grab &amp; Go</t>
        </is>
      </c>
      <c r="I260" s="2" t="inlineStr">
        <is>
          <t>Consistent with H/A-221.</t>
        </is>
      </c>
      <c r="J260" s="2" t="inlineStr"/>
      <c r="K260" s="2" t="n">
        <v>20</v>
      </c>
    </row>
    <row r="261">
      <c r="A261" s="2" t="n">
        <v>260</v>
      </c>
      <c r="B261" s="2" t="inlineStr">
        <is>
          <t>A-225</t>
        </is>
      </c>
      <c r="C261" s="2" t="inlineStr">
        <is>
          <t>Detail bubble</t>
        </is>
      </c>
      <c r="D261" s="2" t="inlineStr">
        <is>
          <t>FRP-1 / FRP J-MOLD AT BOTTOM OF FRP PANEL / CLEAR SILICONE CAULKING / EP-1 / 6"</t>
        </is>
      </c>
      <c r="E261" s="2" t="inlineStr">
        <is>
          <t>NO DESTINATION (GAP) - proposed</t>
        </is>
      </c>
      <c r="F261" s="2" t="inlineStr">
        <is>
          <t>Pending RFI-13 (FRP-1 + PVC trim); substrate -&gt; propose add to RFI-13</t>
        </is>
      </c>
      <c r="G261" s="6" t="inlineStr">
        <is>
          <t>GAP</t>
        </is>
      </c>
      <c r="H261" s="2" t="inlineStr">
        <is>
          <t>3/A-225 Wall Base Detail at Workroom</t>
        </is>
      </c>
      <c r="I261" s="2" t="inlineStr">
        <is>
          <t>FRP J-mold covered by RFI-13 (Material Summary!R37 = 0). But the substrate behind FRP-1 is drawn with a dotted (board) fill, unlabeled, while E/A-221 and G/A-221 call 5/8" FRT plywood on the Workroom faces. Conflict of substrate -&gt; add to RFI-13 (no quantity change unless the substrate is board instead of plywood).</t>
        </is>
      </c>
      <c r="J261" s="2" t="inlineStr">
        <is>
          <t>A-225_3-workroom-substrate.png</t>
        </is>
      </c>
      <c r="K261" s="2" t="n">
        <v>20</v>
      </c>
    </row>
    <row r="262">
      <c r="A262" s="2" t="n">
        <v>261</v>
      </c>
      <c r="B262" s="2" t="inlineStr">
        <is>
          <t>A-225</t>
        </is>
      </c>
      <c r="C262" s="2" t="inlineStr">
        <is>
          <t>Detail bubble</t>
        </is>
      </c>
      <c r="D262" s="2" t="inlineStr">
        <is>
          <t>FRP-1 / FRP J-MOLD AT BOTTOM OF FRP PANEL / CLEAR SILICONE CAULKING / B-2 / SCHEDULED FLOORING / 6"</t>
        </is>
      </c>
      <c r="E262" s="2" t="inlineStr">
        <is>
          <t>RFI</t>
        </is>
      </c>
      <c r="F262" s="2" t="inlineStr">
        <is>
          <t>Pending RFI-13; Material Summary!R27 (cement board substrate)</t>
        </is>
      </c>
      <c r="G262" s="5" t="inlineStr">
        <is>
          <t>RFI</t>
        </is>
      </c>
      <c r="H262" s="2" t="inlineStr">
        <is>
          <t>4/A-225 Wall Base Detail at Cafe Sales</t>
        </is>
      </c>
      <c r="I262" s="2" t="inlineStr">
        <is>
          <t>FRP-1 below countertop on cement board; J-mold under RFI-13.</t>
        </is>
      </c>
      <c r="J262" s="2" t="inlineStr"/>
      <c r="K262" s="2" t="n">
        <v>20</v>
      </c>
    </row>
    <row r="263">
      <c r="A263" s="2" t="n">
        <v>262</v>
      </c>
      <c r="B263" s="2" t="inlineStr">
        <is>
          <t>A-225</t>
        </is>
      </c>
      <c r="C263" s="2" t="inlineStr">
        <is>
          <t>Detail bubble</t>
        </is>
      </c>
      <c r="D263" s="2" t="inlineStr">
        <is>
          <t>TL-5 / 3/4" THICK MARINE GRADE PLYWOOD / TL-1 / SCHEDULED FLOORING / CONCRETE SLAB</t>
        </is>
      </c>
      <c r="E263" s="2" t="inlineStr">
        <is>
          <t>NO DESTINATION (GAP) - proposed</t>
        </is>
      </c>
      <c r="F263" s="2" t="inlineStr">
        <is>
          <t>Material Summary!R30 (C-A-*-A-FRT, C-B-A-FRT 3/4" FRT plywood) - propose RFI</t>
        </is>
      </c>
      <c r="G263" s="6" t="inlineStr">
        <is>
          <t>GAP</t>
        </is>
      </c>
      <c r="H263" s="2" t="inlineStr">
        <is>
          <t>5/A-225 Wall Base Detail at Die Wall</t>
        </is>
      </c>
      <c r="I263" s="2" t="inlineStr">
        <is>
          <t>Die-wall substrate called '3/4" THICK MARINE GRADE PLYWOOD' here vs '3/4" FRT PLYWOOD SUBSTRATE' on A/A-221 and B/A-221 (and A-410 'ALL PLYWOOD NEEDS TO BE FRT'). Quantity unchanged (63.47 SF); material/price conflict -&gt; RFI. 9/A-225 also draws tile over cement board with no plywood.</t>
        </is>
      </c>
      <c r="J263" s="2" t="inlineStr">
        <is>
          <t>A-225_5-marine-plywood.png</t>
        </is>
      </c>
      <c r="K263" s="2" t="n">
        <v>20</v>
      </c>
    </row>
    <row r="264">
      <c r="A264" s="2" t="n">
        <v>263</v>
      </c>
      <c r="B264" s="2" t="inlineStr">
        <is>
          <t>A-225</t>
        </is>
      </c>
      <c r="C264" s="2" t="inlineStr">
        <is>
          <t>Detail bubble</t>
        </is>
      </c>
      <c r="D264" s="2" t="inlineStr">
        <is>
          <t>TL-4 / SCHEDULED PARTITION / CC-1 BACKSPLASH (6); WD-1 / FRT PLYWOOD SUBSTRATE / SCHEDULED PARTITION / CC-1 / 3'-0" AFF TO COUNTERTOP (8)</t>
        </is>
      </c>
      <c r="E264" s="2" t="inlineStr">
        <is>
          <t>Excel row</t>
        </is>
      </c>
      <c r="F264" s="2" t="inlineStr">
        <is>
          <t>Material Summary!R27 (E1 cement board), R29 (C-F-A-FRT)</t>
        </is>
      </c>
      <c r="G264" s="3" t="inlineStr">
        <is>
          <t>COVERED</t>
        </is>
      </c>
      <c r="H264" s="2" t="inlineStr">
        <is>
          <t>6/A-225, 8/A-225 Back Countertop Details</t>
        </is>
      </c>
      <c r="I264" s="2" t="inlineStr">
        <is>
          <t>6: tile on cement board (E1). 8 (TYP.): WD-1 over FRT plywood (box face F). Countertop CC-1 = millwork.</t>
        </is>
      </c>
      <c r="J264" s="2" t="inlineStr"/>
      <c r="K264" s="2" t="n">
        <v>20</v>
      </c>
    </row>
    <row r="265">
      <c r="A265" s="2" t="n">
        <v>264</v>
      </c>
      <c r="B265" s="2" t="inlineStr">
        <is>
          <t>A-225</t>
        </is>
      </c>
      <c r="C265" s="2" t="inlineStr">
        <is>
          <t>Detail bubble</t>
        </is>
      </c>
      <c r="D265" s="2" t="inlineStr">
        <is>
          <t>WD-1 / F.R.T. PLYWOOD SUBSTRATE / TL-4 / SEE ELEVS ON A226A</t>
        </is>
      </c>
      <c r="E265" s="2" t="inlineStr">
        <is>
          <t>Excel row</t>
        </is>
      </c>
      <c r="F265" s="2" t="inlineStr">
        <is>
          <t>Material Summary!R27 (C-E1-B cement), R29 (C-F-A-FRT)</t>
        </is>
      </c>
      <c r="G265" s="3" t="inlineStr">
        <is>
          <t>COVERED</t>
        </is>
      </c>
      <c r="H265" s="2" t="inlineStr">
        <is>
          <t>7/A-225 Detail - Tile &amp; Wood Corner Edge</t>
        </is>
      </c>
      <c r="I265" s="2" t="inlineStr">
        <is>
          <t>At SE box NW corner: TL-4 on cement board (E1), WD-1 on FRT plywood (F). Matches.</t>
        </is>
      </c>
      <c r="J265" s="2" t="inlineStr"/>
      <c r="K265" s="2" t="n">
        <v>20</v>
      </c>
    </row>
    <row r="266">
      <c r="A266" s="2" t="n">
        <v>265</v>
      </c>
      <c r="B266" s="2" t="inlineStr">
        <is>
          <t>A-225</t>
        </is>
      </c>
      <c r="C266" s="2" t="inlineStr">
        <is>
          <t>Detail bubble</t>
        </is>
      </c>
      <c r="D266" s="2" t="inlineStr">
        <is>
          <t>SCHLUTER JOLLY-MBW WHITE TRIM BEHIND TILE AT OUTSIDE CORNER / TL-5 DIE WALL TILE FINISH ON THINSET, SEE ELEVS ON A226A</t>
        </is>
      </c>
      <c r="E266" s="2" t="inlineStr">
        <is>
          <t>EXCLUDED</t>
        </is>
      </c>
      <c r="F266" s="2" t="inlineStr">
        <is>
          <t>n/a (tile trade)</t>
        </is>
      </c>
      <c r="G266" s="4" t="inlineStr">
        <is>
          <t>EXCLUDED</t>
        </is>
      </c>
      <c r="H266" s="2" t="inlineStr">
        <is>
          <t>9/A-225 Detail - Tile Corner Edge</t>
        </is>
      </c>
      <c r="I266" s="2" t="inlineStr">
        <is>
          <t>Schluter trim is a tile accessory; substrate drawn = cement board (carried R27).</t>
        </is>
      </c>
      <c r="J266" s="2" t="inlineStr"/>
      <c r="K266" s="2" t="n">
        <v>20</v>
      </c>
    </row>
    <row r="267">
      <c r="A267" s="2" t="n">
        <v>266</v>
      </c>
      <c r="B267" s="2" t="inlineStr">
        <is>
          <t>A-225</t>
        </is>
      </c>
      <c r="C267" s="2" t="inlineStr">
        <is>
          <t>Detail bubble</t>
        </is>
      </c>
      <c r="D267" s="2" t="inlineStr">
        <is>
          <t>1/2" F.R.T. PLYWOOD SUBSTRATE / WOOD PANEL, SEE ELEVS ON A226A (WD-1) / VERTICAL TRIM (WD-1) / GYB. BOARD OVER METAL FRAMING. SEE ELEVS ON A-226A (PT-3)</t>
        </is>
      </c>
      <c r="E267" s="2" t="inlineStr">
        <is>
          <t>NO DESTINATION (GAP) - proposed</t>
        </is>
      </c>
      <c r="F267" s="2" t="inlineStr">
        <is>
          <t>Material Summary!R29 (C-I-E1/E2-A-FRT, C-I-*-A-FRT carried as 5/8") - propose RFI</t>
        </is>
      </c>
      <c r="G267" s="6" t="inlineStr">
        <is>
          <t>GAP</t>
        </is>
      </c>
      <c r="H267" s="2" t="inlineStr">
        <is>
          <t>10/A-225 Detail - GWB &amp; Wood Corner</t>
        </is>
      </c>
      <c r="I267" s="2" t="inlineStr">
        <is>
          <t>Detail 10 (at the I SIM. end of the Workroom north wall / Grab &amp; Go corner) calls 1/2" F.R.T. plywood, while I/A-221, H/A-221 and G/A-221 call 5/8" FRT plywood. Thickness conflict; quantity unchanged -&gt; RFI (if 1/2": move the type I end-face plywood 18.08 SF from 5/8" to 1/2").</t>
        </is>
      </c>
      <c r="J267" s="2" t="inlineStr">
        <is>
          <t>A-225_10-half-inch-FRT.png</t>
        </is>
      </c>
      <c r="K267" s="2" t="n">
        <v>20</v>
      </c>
    </row>
    <row r="268">
      <c r="A268" s="2" t="n">
        <v>267</v>
      </c>
      <c r="B268" s="2" t="inlineStr">
        <is>
          <t>A-225</t>
        </is>
      </c>
      <c r="C268" s="2" t="inlineStr">
        <is>
          <t>Detail note</t>
        </is>
      </c>
      <c r="D268" s="2" t="inlineStr">
        <is>
          <t>Reference Photo 1 (tile starting point), Reference Photo 2 (tile corner)</t>
        </is>
      </c>
      <c r="E268" s="2" t="inlineStr">
        <is>
          <t>EXCLUDED</t>
        </is>
      </c>
      <c r="F268" s="2" t="inlineStr">
        <is>
          <t>n/a</t>
        </is>
      </c>
      <c r="G268" s="4" t="inlineStr">
        <is>
          <t>EXCLUDED</t>
        </is>
      </c>
      <c r="H268" s="2" t="inlineStr">
        <is>
          <t>A-225 photos</t>
        </is>
      </c>
      <c r="I268" s="2" t="inlineStr">
        <is>
          <t>Tile layout references; not Div 05/09.</t>
        </is>
      </c>
      <c r="J268" s="2" t="inlineStr"/>
      <c r="K268" s="2" t="n">
        <v>20</v>
      </c>
    </row>
    <row r="269">
      <c r="A269" s="2" t="n">
        <v>268</v>
      </c>
      <c r="B269" s="2" t="inlineStr">
        <is>
          <t>A-226A</t>
        </is>
      </c>
      <c r="C269" s="2" t="inlineStr">
        <is>
          <t>Detail bubble</t>
        </is>
      </c>
      <c r="D269" s="2" t="inlineStr">
        <is>
          <t>WD-1 (4'-0" WD-1 band, 11'-0" to 15'-0"); PT-3 above; bubble 2/A-221</t>
        </is>
      </c>
      <c r="E269" s="2" t="inlineStr">
        <is>
          <t>Excel row</t>
        </is>
      </c>
      <c r="F269" s="2" t="inlineStr">
        <is>
          <t>Material Summary!R29 (SS-N-WD1-FRT 91.08 SF) + Material Summary!R19 (SS-N GWB) + Partition Takeoff!R105 + Pending Items!R17 (RFI-14 CLOSED)</t>
        </is>
      </c>
      <c r="G269" s="3" t="inlineStr">
        <is>
          <t>COVERED</t>
        </is>
      </c>
      <c r="H269" s="2" t="inlineStr">
        <is>
          <t>1/A-226A Cafe Elevation - sign band</t>
        </is>
      </c>
      <c r="I269" s="2" t="inlineStr">
        <is>
          <t>Printed 4'-0" WD-1 above 11'-0" [CONFIRMED 1/A-226A] = 15'-0" top; Excel carries 5/8" FRT plywood 22.77 x 4.0 = 91.08 SF behind WD-1 and Type X GWB 15'-0" to deck (PT-3), per RFI-14 answer.</t>
        </is>
      </c>
      <c r="J269" s="2" t="inlineStr">
        <is>
          <t>A-226A_1-soffit-WD-1-bands.png</t>
        </is>
      </c>
      <c r="K269" s="2" t="n">
        <v>21</v>
      </c>
    </row>
    <row r="270">
      <c r="A270" s="2" t="n">
        <v>269</v>
      </c>
      <c r="B270" s="2" t="inlineStr">
        <is>
          <t>A-226A</t>
        </is>
      </c>
      <c r="C270" s="2" t="inlineStr">
        <is>
          <t>Detail note</t>
        </is>
      </c>
      <c r="D270" s="2" t="inlineStr">
        <is>
          <t>9'-0" (SOFFIT); 2'-0" WD-1 band (9'-0" to 11'-0"); 11'-0"</t>
        </is>
      </c>
      <c r="E270" s="2" t="inlineStr">
        <is>
          <t>EXCLUDED</t>
        </is>
      </c>
      <c r="F270" s="2" t="inlineStr">
        <is>
          <t>Pending Items!R17 (RFI-14 CLOSED, estimator decision)</t>
        </is>
      </c>
      <c r="G270" s="4" t="inlineStr">
        <is>
          <t>EXCLUDED</t>
        </is>
      </c>
      <c r="H270" s="2" t="inlineStr">
        <is>
          <t>1/A-226A - soffit height and lower WD-1 band</t>
        </is>
      </c>
      <c r="I270" s="2" t="inlineStr">
        <is>
          <t>Estimator decision rev4: Cafe soffit bottom = 11'-0" (A-121 RCP governs over 1/A-226A 9'-0"); the printed 2'-0" WD-1 band 9'-0"-11'-0" is therefore not carried. Decision, not an error.</t>
        </is>
      </c>
      <c r="J270" s="2" t="inlineStr">
        <is>
          <t>A-226A_1-soffit-WD-1-bands.png</t>
        </is>
      </c>
      <c r="K270" s="2" t="n">
        <v>21</v>
      </c>
    </row>
    <row r="271">
      <c r="A271" s="2" t="n">
        <v>270</v>
      </c>
      <c r="B271" s="2" t="inlineStr">
        <is>
          <t>A-226A</t>
        </is>
      </c>
      <c r="C271" s="2" t="inlineStr">
        <is>
          <t>Detail note</t>
        </is>
      </c>
      <c r="D271" s="2" t="inlineStr">
        <is>
          <t>TL-4 (hex wall tile on the Cafe back wall, counter to soffit)</t>
        </is>
      </c>
      <c r="E271" s="2" t="inlineStr">
        <is>
          <t>Excel row</t>
        </is>
      </c>
      <c r="F271" s="2" t="inlineStr">
        <is>
          <t>Material Summary!R27 (cement board, C-E1-S Cafe 103 586.5 SF) + Partition Takeoff!R68</t>
        </is>
      </c>
      <c r="G271" s="3" t="inlineStr">
        <is>
          <t>COVERED</t>
        </is>
      </c>
      <c r="H271" s="2" t="inlineStr">
        <is>
          <t>1/A-226A, 3/A-226A, 4/A-226A - back wall tile</t>
        </is>
      </c>
      <c r="I271" s="2" t="inlineStr">
        <is>
          <t>Back wall is type E1 (C-E1-S); E/A-221 prints "E1-1/2" CEMENT BOARD" on the Cafe face; Excel carries full-height cement board on that face (23.46 x 25.0).</t>
        </is>
      </c>
      <c r="J271" s="2" t="inlineStr"/>
      <c r="K271" s="2" t="n">
        <v>21</v>
      </c>
    </row>
    <row r="272">
      <c r="A272" s="2" t="n">
        <v>271</v>
      </c>
      <c r="B272" s="2" t="inlineStr">
        <is>
          <t>A-226A</t>
        </is>
      </c>
      <c r="C272" s="2" t="inlineStr">
        <is>
          <t>Detail note</t>
        </is>
      </c>
      <c r="D272" s="2" t="inlineStr">
        <is>
          <t>WD-1 (left panel 3'-3", right panel 1'-0", band above TL-4 tile, to 11'-6")</t>
        </is>
      </c>
      <c r="E272" s="2" t="inlineStr">
        <is>
          <t>Excel row</t>
        </is>
      </c>
      <c r="F272" s="2" t="inlineStr">
        <is>
          <t>Material Summary!R27 (C-E1-S / C-E1-P.2 / C-E1-B cement board) + Partition Takeoff!R66-R68</t>
        </is>
      </c>
      <c r="G272" s="3" t="inlineStr">
        <is>
          <t>COVERED</t>
        </is>
      </c>
      <c r="H272" s="2" t="inlineStr">
        <is>
          <t>1/A-226A, 4/A-226A - WD-1 panels on back wall</t>
        </is>
      </c>
      <c r="I272" s="2" t="inlineStr">
        <is>
          <t>WD-1 is a Div 06 wood slat finish applied over the E1 substrate; E/A-221 defines the E1 substrate as 1/2" cement board, carried full height. No extra Div 05/09 item.</t>
        </is>
      </c>
      <c r="J272" s="2" t="inlineStr"/>
      <c r="K272" s="2" t="n">
        <v>21</v>
      </c>
    </row>
    <row r="273">
      <c r="A273" s="2" t="n">
        <v>272</v>
      </c>
      <c r="B273" s="2" t="inlineStr">
        <is>
          <t>A-226A</t>
        </is>
      </c>
      <c r="C273" s="2" t="inlineStr">
        <is>
          <t>Detail note</t>
        </is>
      </c>
      <c r="D273" s="2" t="inlineStr">
        <is>
          <t>WD-1 full height, floor to 15'-0" (type I box at SE corner of Cafe Sales)</t>
        </is>
      </c>
      <c r="E273" s="2" t="inlineStr">
        <is>
          <t>Excel row</t>
        </is>
      </c>
      <c r="F273" s="2" t="inlineStr">
        <is>
          <t>Material Summary!R29 (C-I-A-FRT 34.65, C-I-P.1-A-FRT 15, C-I-E1/E2 9.04 each) + Pending Items!R11 (RFI-08 CLOSED)</t>
        </is>
      </c>
      <c r="G273" s="3" t="inlineStr">
        <is>
          <t>COVERED</t>
        </is>
      </c>
      <c r="H273" s="2" t="inlineStr">
        <is>
          <t>1/A-226A, 6/A-226A - type I column</t>
        </is>
      </c>
      <c r="I273" s="2" t="inlineStr">
        <is>
          <t>15'-0" printed on 6/A-226A [CONFIRMED]; Excel: 5/8" FRT plywood floor to 15'-0" = 4.52 LF x 15.0 = 67.74 SF, GWB 15'-0" to deck.</t>
        </is>
      </c>
      <c r="J273" s="2" t="inlineStr"/>
      <c r="K273" s="2" t="n">
        <v>21</v>
      </c>
    </row>
    <row r="274">
      <c r="A274" s="2" t="n">
        <v>273</v>
      </c>
      <c r="B274" s="2" t="inlineStr">
        <is>
          <t>A-226A</t>
        </is>
      </c>
      <c r="C274" s="2" t="inlineStr">
        <is>
          <t>Detail note</t>
        </is>
      </c>
      <c r="D274" s="2" t="inlineStr">
        <is>
          <t>INTERNALLY ILLUMINATED "BN CAFÉ" SIGN</t>
        </is>
      </c>
      <c r="E274" s="2" t="inlineStr">
        <is>
          <t>EXCLUDED</t>
        </is>
      </c>
      <c r="F274" s="2" t="inlineStr">
        <is>
          <t>Scope Checklist!R15 (ALC-14) / signage by others</t>
        </is>
      </c>
      <c r="G274" s="4" t="inlineStr">
        <is>
          <t>EXCLUDED</t>
        </is>
      </c>
      <c r="H274" s="2" t="inlineStr">
        <is>
          <t>1/A-226A - sign</t>
        </is>
      </c>
      <c r="I274" s="2" t="inlineStr">
        <is>
          <t>Signage is provided by the B&amp;N sign vendor (A-300 note "TENANT SIGNAGE PROVIDED BY B&amp;N"); it mounts on the WD-1 band, which already has 5/8" FRT plywood behind it (Material Summary!R29). No sign blocking is called.</t>
        </is>
      </c>
      <c r="J274" s="2" t="inlineStr"/>
      <c r="K274" s="2" t="n">
        <v>21</v>
      </c>
    </row>
    <row r="275">
      <c r="A275" s="2" t="n">
        <v>274</v>
      </c>
      <c r="B275" s="2" t="inlineStr">
        <is>
          <t>A-226A</t>
        </is>
      </c>
      <c r="C275" s="2" t="inlineStr">
        <is>
          <t>Detail note</t>
        </is>
      </c>
      <c r="D275" s="2" t="inlineStr">
        <is>
          <t>DASHED LINE INDICATES FRT TREATED PLYWOOD BLOCKING IN WALL FOR MOUNTING OF MENU BOARDS</t>
        </is>
      </c>
      <c r="E275" s="2" t="inlineStr">
        <is>
          <t>Excel row</t>
        </is>
      </c>
      <c r="F275" s="2" t="inlineStr">
        <is>
          <t>Material Summary!R30 (MENU-BOARD-FRT 60.6 SF, 3/4" FRT plywood) + Pending Items!R26 (RFI-23) + Scope Checklist!R17</t>
        </is>
      </c>
      <c r="G275" s="3" t="inlineStr">
        <is>
          <t>COVERED</t>
        </is>
      </c>
      <c r="H275" s="2" t="inlineStr">
        <is>
          <t>4/A-226A Cafe Back Counter Elevation - menu board blocking</t>
        </is>
      </c>
      <c r="I275" s="2" t="inlineStr">
        <is>
          <t>Estimator decision RFI-23: continuous 3/4" FRT plywood strip 31" high x C-E1-S 23.46 LF = 60.6 SF [DERIVED 23.46 x 31/12]. Menus printed 24"X31" (x4) and 70"X31" (x1).</t>
        </is>
      </c>
      <c r="J275" s="2" t="inlineStr">
        <is>
          <t>A-226A_4-menu-board-FRT-blocking-note.png</t>
        </is>
      </c>
      <c r="K275" s="2" t="n">
        <v>21</v>
      </c>
    </row>
    <row r="276">
      <c r="A276" s="2" t="n">
        <v>275</v>
      </c>
      <c r="B276" s="2" t="inlineStr">
        <is>
          <t>A-226A</t>
        </is>
      </c>
      <c r="C276" s="2" t="inlineStr">
        <is>
          <t>Detail note</t>
        </is>
      </c>
      <c r="D276" s="2" t="inlineStr">
        <is>
          <t>7'-0" TO CENTER OF FRAME/MENU; 9'-0"; 11'-0"; 6"; 3'-0"</t>
        </is>
      </c>
      <c r="E276" s="2" t="inlineStr">
        <is>
          <t>Excel row</t>
        </is>
      </c>
      <c r="F276" s="2" t="inlineStr">
        <is>
          <t>Material Summary!R30 (MENU-BOARD-FRT)</t>
        </is>
      </c>
      <c r="G276" s="3" t="inlineStr">
        <is>
          <t>COVERED</t>
        </is>
      </c>
      <c r="H276" s="2" t="inlineStr">
        <is>
          <t>3/A-226A Cafe Side Counter Elevation - menu height</t>
        </is>
      </c>
      <c r="I276" s="2" t="inlineStr">
        <is>
          <t>Locates the 31" blocking strip: 7'-0" center -&gt; 5'-8.5" to 8'-3.5" AFF [DERIVED 84 +/- 15.5 in]; quantity unaffected (strip height 31" already carried).</t>
        </is>
      </c>
      <c r="J276" s="2" t="inlineStr"/>
      <c r="K276" s="2" t="n">
        <v>21</v>
      </c>
    </row>
    <row r="277">
      <c r="A277" s="2" t="n">
        <v>276</v>
      </c>
      <c r="B277" s="2" t="inlineStr">
        <is>
          <t>A-226A</t>
        </is>
      </c>
      <c r="C277" s="2" t="inlineStr">
        <is>
          <t>Detail note</t>
        </is>
      </c>
      <c r="D277" s="2" t="inlineStr">
        <is>
          <t>FRP-1 BELOW COUNTER; FRP-1 (counter inside faces)</t>
        </is>
      </c>
      <c r="E277" s="2" t="inlineStr">
        <is>
          <t>RFI</t>
        </is>
      </c>
      <c r="F277" s="2" t="inlineStr">
        <is>
          <t>Pending Items!R16 (RFI-13) + Material Summary!R27 (counter cement board) + Material Summary!R37 (PVC trim 0)</t>
        </is>
      </c>
      <c r="G277" s="5" t="inlineStr">
        <is>
          <t>RFI</t>
        </is>
      </c>
      <c r="H277" s="2" t="inlineStr">
        <is>
          <t>2/A-226A, 3/A-226A, 4/A-226A - FRP below counter</t>
        </is>
      </c>
      <c r="I277" s="2" t="inlineStr">
        <is>
          <t>FRP-1 over 1/2" cementitious board on the Cafe side of the counters (A/A-221); substrate carried in R27; FRP-1 itself (Cafe 103 below countertop) stays in RFI-13 (installer not defined).</t>
        </is>
      </c>
      <c r="J277" s="2" t="inlineStr"/>
      <c r="K277" s="2" t="n">
        <v>21</v>
      </c>
    </row>
    <row r="278">
      <c r="A278" s="2" t="n">
        <v>277</v>
      </c>
      <c r="B278" s="2" t="inlineStr">
        <is>
          <t>A-226A</t>
        </is>
      </c>
      <c r="C278" s="2" t="inlineStr">
        <is>
          <t>Detail bubble</t>
        </is>
      </c>
      <c r="D278" s="2" t="inlineStr">
        <is>
          <t>PT-1 soffit; PT-3; 11'-6"; 11'-0"; 2'-10" counter; GENERAL SALES BEYOND</t>
        </is>
      </c>
      <c r="E278" s="2" t="inlineStr">
        <is>
          <t>Excel row</t>
        </is>
      </c>
      <c r="F278" s="2" t="inlineStr">
        <is>
          <t>Material Summary!R19 (ceiling Cafe 103 11'-6" GWB band 125.07 SF, 11'-0" zone 109.65 SF) + Partition Takeoff!R107-R108 + Partition Takeoff!R80-R82</t>
        </is>
      </c>
      <c r="G278" s="3" t="inlineStr">
        <is>
          <t>COVERED</t>
        </is>
      </c>
      <c r="H278" s="2" t="inlineStr">
        <is>
          <t>2/A-226A Cafe Counter Elevation</t>
        </is>
      </c>
      <c r="I278" s="2" t="inlineStr">
        <is>
          <t>PT-1 soffit at 11'-6"/11'-0" = GWB bands carried from A-121; front counter type A carried at 2.708 ft stud height (2'-10" printed is top of countertop incl. solid surface over 3/4" plywood, A/A-221).</t>
        </is>
      </c>
      <c r="J278" s="2" t="inlineStr"/>
      <c r="K278" s="2" t="n">
        <v>21</v>
      </c>
    </row>
    <row r="279">
      <c r="A279" s="2" t="n">
        <v>278</v>
      </c>
      <c r="B279" s="2" t="inlineStr">
        <is>
          <t>A-226A</t>
        </is>
      </c>
      <c r="C279" s="2" t="inlineStr">
        <is>
          <t>Detail bubble</t>
        </is>
      </c>
      <c r="D279" s="2" t="inlineStr">
        <is>
          <t>PT-3 (wall around door 3); PT-1 soffit; WD-1 strip</t>
        </is>
      </c>
      <c r="E279" s="2" t="inlineStr">
        <is>
          <t>Excel row</t>
        </is>
      </c>
      <c r="F279" s="2" t="inlineStr">
        <is>
          <t>Partition Takeoff!R51 (C-H2a B Cafe 103 5/8 type X) + Pending Items!R40 (RFI-37 CLOSED) + Partition Takeoff!R77</t>
        </is>
      </c>
      <c r="G279" s="3" t="inlineStr">
        <is>
          <t>COVERED</t>
        </is>
      </c>
      <c r="H279" s="2" t="inlineStr">
        <is>
          <t>5/A-226A Cafe Service Line Elevation - door wall</t>
        </is>
      </c>
      <c r="I279" s="2" t="inlineStr">
        <is>
          <t>C-H2a Cafe face = painted GWB (PT-3) per RFI-37; narrow WD-1 at the door = type I return C-I-P.1 already carried.</t>
        </is>
      </c>
      <c r="J279" s="2" t="inlineStr"/>
      <c r="K279" s="2" t="n">
        <v>21</v>
      </c>
    </row>
    <row r="280">
      <c r="A280" s="2" t="n">
        <v>279</v>
      </c>
      <c r="B280" s="2" t="inlineStr">
        <is>
          <t>A-226A</t>
        </is>
      </c>
      <c r="C280" s="2" t="inlineStr">
        <is>
          <t>Detail note</t>
        </is>
      </c>
      <c r="D280" s="2" t="inlineStr">
        <is>
          <t>WD-1 from 7'-1" (Grab &amp; Go opening) to 11'-0" + 4'-0" WD-1 = 15'-0"; PT-3 above; section bubble 3/A-221 on this header</t>
        </is>
      </c>
      <c r="E280" s="2" t="inlineStr">
        <is>
          <t>Excel row - CORRECT</t>
        </is>
      </c>
      <c r="F280" s="2" t="inlineStr">
        <is>
          <t>Pending Items!R37 (RFI-34) -&gt; close; Material Summary!R19 (5/8" Type X) + Partition Takeoff!R109 (SS-GG)</t>
        </is>
      </c>
      <c r="G280" s="7" t="inlineStr">
        <is>
          <t>CORREGIR</t>
        </is>
      </c>
      <c r="H280" s="2" t="inlineStr">
        <is>
          <t>5/A-226A and 6/A-226A - Grab &amp; Go header WD-1 (T.O. WD-1)</t>
        </is>
      </c>
      <c r="I280" s="2" t="inlineStr">
        <is>
          <t>RFI-34 says T.O. WD-1 at the Grab &amp; Go header soffit is not printed on A-226A/A-226B. It is printed: 5/A-226A dimensions 11'-0" + 4'-0" WD-1 on the header that carries section bubble 3/A-221, and 6/A-226A dimensions 15'-0" to the top of the same WD-1 over the 7'-1" opening [CONFIRMED]. Correct: T.O. WD-1 = 15'-0"; 3/A-221 draws 5/8" GWB over the FRT plywood above T.O. WD-1 -&gt; ADD 5/8" Type X GWB 6.167 x (25.0 - 15.0) = 61.67 SF [DERIVED; deck 25'-0" per RFI-03] to Material Summary!R19; FRT plywood 110.49 SF unchanged; close RFI-34.</t>
        </is>
      </c>
      <c r="J280" s="2" t="inlineStr">
        <is>
          <t>A-226A_5-TO-WD-1-15ft-grab-go.png</t>
        </is>
      </c>
      <c r="K280" s="2" t="n">
        <v>21</v>
      </c>
    </row>
    <row r="281">
      <c r="A281" s="2" t="n">
        <v>280</v>
      </c>
      <c r="B281" s="2" t="inlineStr">
        <is>
          <t>A-226A</t>
        </is>
      </c>
      <c r="C281" s="2" t="inlineStr">
        <is>
          <t>Detail note</t>
        </is>
      </c>
      <c r="D281" s="2" t="inlineStr">
        <is>
          <t>4'-0" WD-1 band (11'-0" to 15'-0"); 8'-2"; 2'-10"; PT-3 above</t>
        </is>
      </c>
      <c r="E281" s="2" t="inlineStr">
        <is>
          <t>Excel row</t>
        </is>
      </c>
      <c r="F281" s="2" t="inlineStr">
        <is>
          <t>Material Summary!R29 (SS-E-WD1-FRT 40.48 SF) + Partition Takeoff!R106 (SS-E GWB 10 ft) + Pending Items!R17</t>
        </is>
      </c>
      <c r="G281" s="3" t="inlineStr">
        <is>
          <t>COVERED</t>
        </is>
      </c>
      <c r="H281" s="2" t="inlineStr">
        <is>
          <t>6/A-226A Cafe Counter Elevation - east soffit face</t>
        </is>
      </c>
      <c r="I281" s="2" t="inlineStr">
        <is>
          <t>SS-E face: FRT plywood 10.12 x 4.0 = 40.48 SF behind WD-1, GWB 15'-0" to deck (RI 9 / RFI-14).</t>
        </is>
      </c>
      <c r="J281" s="2" t="inlineStr">
        <is>
          <t>A-226A_6-TO-WD-1-15ft.png</t>
        </is>
      </c>
      <c r="K281" s="2" t="n">
        <v>21</v>
      </c>
    </row>
    <row r="282">
      <c r="A282" s="2" t="n">
        <v>281</v>
      </c>
      <c r="B282" s="2" t="inlineStr">
        <is>
          <t>A-226A</t>
        </is>
      </c>
      <c r="C282" s="2" t="inlineStr">
        <is>
          <t>Detail note</t>
        </is>
      </c>
      <c r="D282" s="2" t="inlineStr">
        <is>
          <t>PT-7 (BEHIND)</t>
        </is>
      </c>
      <c r="E282" s="2" t="inlineStr">
        <is>
          <t>Excel row</t>
        </is>
      </c>
      <c r="F282" s="2" t="inlineStr">
        <is>
          <t>Partition Takeoff!R57, R60 (C-H3a / C-H3b Grab &amp; Go faces, 5/8 type X to 7'-7")</t>
        </is>
      </c>
      <c r="G282" s="3" t="inlineStr">
        <is>
          <t>COVERED</t>
        </is>
      </c>
      <c r="H282" s="2" t="inlineStr">
        <is>
          <t>5/A-226A - Grab &amp; Go interior</t>
        </is>
      </c>
      <c r="I282" s="2" t="inlineStr">
        <is>
          <t>Painted GWB inside Grab &amp; Go carried on H3a/H3b at ceiling 7'-1" + 6".</t>
        </is>
      </c>
      <c r="J282" s="2" t="inlineStr"/>
      <c r="K282" s="2" t="n">
        <v>21</v>
      </c>
    </row>
    <row r="283">
      <c r="A283" s="2" t="n">
        <v>282</v>
      </c>
      <c r="B283" s="2" t="inlineStr">
        <is>
          <t>A-226A</t>
        </is>
      </c>
      <c r="C283" s="2" t="inlineStr">
        <is>
          <t>Detail note</t>
        </is>
      </c>
      <c r="D283" s="2" t="inlineStr">
        <is>
          <t>WD-1 (vertical strips, floor up, at wall ends beside the Grab &amp; Go coolers)</t>
        </is>
      </c>
      <c r="E283" s="2" t="inlineStr">
        <is>
          <t>Excel row</t>
        </is>
      </c>
      <c r="F283" s="2" t="inlineStr">
        <is>
          <t>Partition Takeoff!R75, R76 (C-I-E1, C-I-E2) + Material Summary!R29 (C-I-E1/E2-A-FRT 9.04 SF each)</t>
        </is>
      </c>
      <c r="G283" s="3" t="inlineStr">
        <is>
          <t>COVERED</t>
        </is>
      </c>
      <c r="H283" s="2" t="inlineStr">
        <is>
          <t>5/A-226A, 6/A-226A - end faces</t>
        </is>
      </c>
      <c r="I283" s="2" t="inlineStr">
        <is>
          <t>Type I SIM. end faces carried with FRT plywood to 15'-0" (RFI-08).</t>
        </is>
      </c>
      <c r="J283" s="2" t="inlineStr"/>
      <c r="K283" s="2" t="n">
        <v>21</v>
      </c>
    </row>
    <row r="284">
      <c r="A284" s="2" t="n">
        <v>283</v>
      </c>
      <c r="B284" s="2" t="inlineStr">
        <is>
          <t>A-226B</t>
        </is>
      </c>
      <c r="C284" s="2" t="inlineStr">
        <is>
          <t>Detail bubble</t>
        </is>
      </c>
      <c r="D284" s="2" t="inlineStr">
        <is>
          <t>FRP-1 (hatch on the whole wall field above EP-1 base); 10'-0" printed overall height on each elevation</t>
        </is>
      </c>
      <c r="E284" s="2" t="inlineStr">
        <is>
          <t>Excel row - CORRECT</t>
        </is>
      </c>
      <c r="F284" s="2" t="inlineStr">
        <is>
          <t>Pending Items!R16 (RFI-13) + Scope Checklist!R21 (ALC-20) + Material Summary!R37</t>
        </is>
      </c>
      <c r="G284" s="7" t="inlineStr">
        <is>
          <t>CORREGIR</t>
        </is>
      </c>
      <c r="H284" s="2" t="inlineStr">
        <is>
          <t>1/A-226B, 2/A-226B, 3/A-226B, 4/A-226B Workroom Elevations - FRP height</t>
        </is>
      </c>
      <c r="I284" s="2" t="inlineStr">
        <is>
          <t>RFI-13 states the FRP-1 height is not printed for the partitions. A-226B prints it: all four Workroom elevations show FRP-1 over the full wall from the base to the 10'-0" ceiling [CONFIRMED 10'-0" on 1, 2, 3, 4/A-226B]. Correct RFI-13 text and delta: Workroom 104 FRP-1 = 87.52 LF x 10.0 = 875.2 SF gross [DERIVED], less door openings (door 3 4'-0" x 8'-0" = 32 SF per face shown); + PVC top/edge trim. Installer (A-002) is still open, so keep the quantity in RFI-13 with this filled delta unless the estimator includes FRP.</t>
        </is>
      </c>
      <c r="J284" s="2" t="inlineStr">
        <is>
          <t>A-226B_4-FRP-1-full-height-10ft.png</t>
        </is>
      </c>
      <c r="K284" s="2" t="n">
        <v>22</v>
      </c>
    </row>
    <row r="285">
      <c r="A285" s="2" t="n">
        <v>284</v>
      </c>
      <c r="B285" s="2" t="inlineStr">
        <is>
          <t>A-226B</t>
        </is>
      </c>
      <c r="C285" s="2" t="inlineStr">
        <is>
          <t>Detail note</t>
        </is>
      </c>
      <c r="D285" s="2" t="inlineStr">
        <is>
          <t>FRP-1 on Workroom walls (substrate per G/A-221: 5/8" FRT plywood, Cafe Work Room side)</t>
        </is>
      </c>
      <c r="E285" s="2" t="inlineStr">
        <is>
          <t>Excel row</t>
        </is>
      </c>
      <c r="F285" s="2" t="inlineStr">
        <is>
          <t>Material Summary!R29 (C-H1-N-B, C-H1-W-B, C-H2a-A, C-H2b-A/B, C-E2-A FRT plywood) + Pending Items!R14 (no W.R. in Workroom)</t>
        </is>
      </c>
      <c r="G285" s="3" t="inlineStr">
        <is>
          <t>COVERED</t>
        </is>
      </c>
      <c r="H285" s="2" t="inlineStr">
        <is>
          <t>1/A-226B ... 4/A-226B - FRP substrate</t>
        </is>
      </c>
      <c r="I285" s="2" t="inlineStr">
        <is>
          <t>FRT plywood carried to ceiling 10'-0" + 6" = 10'-6" (e.g. C-H1-N 29.98 x 10.5 = 314.79 SF); consistent with the 10'-0" FRP field.</t>
        </is>
      </c>
      <c r="J285" s="2" t="inlineStr">
        <is>
          <t>A-226B_1-FRP-1-10ft.png</t>
        </is>
      </c>
      <c r="K285" s="2" t="n">
        <v>22</v>
      </c>
    </row>
    <row r="286">
      <c r="A286" s="2" t="n">
        <v>285</v>
      </c>
      <c r="B286" s="2" t="inlineStr">
        <is>
          <t>A-226B</t>
        </is>
      </c>
      <c r="C286" s="2" t="inlineStr">
        <is>
          <t>Detail bubble</t>
        </is>
      </c>
      <c r="D286" s="2" t="inlineStr">
        <is>
          <t>Wall-mounted wire shelving: 55"; 1'-3" HOLD; 1'-3" HOLD; 7'-0"; 7'-0" TOP OF SHELF; C OF 3 BOWL SINK AND SHELVING</t>
        </is>
      </c>
      <c r="E286" s="2" t="inlineStr">
        <is>
          <t>Excel row</t>
        </is>
      </c>
      <c r="F286" s="2" t="inlineStr">
        <is>
          <t>Material Summary!R29 (C-E2-A-FRT 732.5 SF) + Partition Takeoff!R63</t>
        </is>
      </c>
      <c r="G286" s="3" t="inlineStr">
        <is>
          <t>COVERED</t>
        </is>
      </c>
      <c r="H286" s="2" t="inlineStr">
        <is>
          <t>7/A-226B Axonometric 3-Bowl Shelving Detail SIM. + 4/A-226B wall shelving</t>
        </is>
      </c>
      <c r="I286" s="2" t="inlineStr">
        <is>
          <t>Shelving mounts on the E2 wall whose Workroom face is 5/8" FRT plywood full face (E/A-221 "E2-5/8" FRT PLYWOOD"); no separate blocking called.</t>
        </is>
      </c>
      <c r="J286" s="2" t="inlineStr"/>
      <c r="K286" s="2" t="n">
        <v>22</v>
      </c>
    </row>
    <row r="287">
      <c r="A287" s="2" t="n">
        <v>286</v>
      </c>
      <c r="B287" s="2" t="inlineStr">
        <is>
          <t>A-226B</t>
        </is>
      </c>
      <c r="C287" s="2" t="inlineStr">
        <is>
          <t>Detail note</t>
        </is>
      </c>
      <c r="D287" s="2" t="inlineStr">
        <is>
          <t>R.O. ACCUMULATOR TANK on wall shelf; filter / manifold (1A, 1B); OUTLET; 10'-0"; 1'-0"</t>
        </is>
      </c>
      <c r="E287" s="2" t="inlineStr">
        <is>
          <t>Excel row</t>
        </is>
      </c>
      <c r="F287" s="2" t="inlineStr">
        <is>
          <t>Material Summary!R29 (Workroom FRT plywood faces)</t>
        </is>
      </c>
      <c r="G287" s="3" t="inlineStr">
        <is>
          <t>COVERED</t>
        </is>
      </c>
      <c r="H287" s="2" t="inlineStr">
        <is>
          <t>3/A-226B Workroom Elevation - wall-mounted equipment</t>
        </is>
      </c>
      <c r="I287" s="2" t="inlineStr">
        <is>
          <t>Wall-hung equipment on Workroom walls whose Workroom faces are 5/8" FRT plywood (G/A-221, E/A-221); no added blocking printed.</t>
        </is>
      </c>
      <c r="J287" s="2" t="inlineStr"/>
      <c r="K287" s="2" t="n">
        <v>22</v>
      </c>
    </row>
    <row r="288">
      <c r="A288" s="2" t="n">
        <v>287</v>
      </c>
      <c r="B288" s="2" t="inlineStr">
        <is>
          <t>A-226B</t>
        </is>
      </c>
      <c r="C288" s="2" t="inlineStr">
        <is>
          <t>Detail note</t>
        </is>
      </c>
      <c r="D288" s="2" t="inlineStr">
        <is>
          <t>STAINLESS STEEL WALL CAP</t>
        </is>
      </c>
      <c r="E288" s="2" t="inlineStr">
        <is>
          <t>EXCLUDED</t>
        </is>
      </c>
      <c r="F288" s="2" t="inlineStr">
        <is>
          <t>None (not Div 05 light gauge / Div 09) - suggest Scope Checklist clarification</t>
        </is>
      </c>
      <c r="G288" s="4" t="inlineStr">
        <is>
          <t>EXCLUDED</t>
        </is>
      </c>
      <c r="H288" s="2" t="inlineStr">
        <is>
          <t>4/A-226B - wall cap</t>
        </is>
      </c>
      <c r="I288" s="2" t="inlineStr">
        <is>
          <t>Stainless steel cap on the stub wall end (C-H2b) is a misc metal / finish accessory by others (Div 05 50 00 / Div 10), not light gauge framing or drywall.</t>
        </is>
      </c>
      <c r="J288" s="2" t="inlineStr"/>
      <c r="K288" s="2" t="n">
        <v>22</v>
      </c>
    </row>
    <row r="289">
      <c r="A289" s="2" t="n">
        <v>288</v>
      </c>
      <c r="B289" s="2" t="inlineStr">
        <is>
          <t>A-226B</t>
        </is>
      </c>
      <c r="C289" s="2" t="inlineStr">
        <is>
          <t>Detail bubble</t>
        </is>
      </c>
      <c r="D289" s="2" t="inlineStr">
        <is>
          <t>2'-0"; 1'-6"; 6"; 1'-8"; 3 VALUE MANIFOLD; COLD WATER STUB; INSTANIOUS HOT WATER HEATER; DUPLEX</t>
        </is>
      </c>
      <c r="E289" s="2" t="inlineStr">
        <is>
          <t>EXCLUDED</t>
        </is>
      </c>
      <c r="F289" s="2" t="inlineStr">
        <is>
          <t>None needed (plumbing / casework)</t>
        </is>
      </c>
      <c r="G289" s="4" t="inlineStr">
        <is>
          <t>EXCLUDED</t>
        </is>
      </c>
      <c r="H289" s="2" t="inlineStr">
        <is>
          <t>5/A-226B Dipperwell With Faucet Detail</t>
        </is>
      </c>
      <c r="I289" s="2" t="inlineStr">
        <is>
          <t>Plumbing and casework detail; no Div 05/09 content.</t>
        </is>
      </c>
      <c r="J289" s="2" t="inlineStr"/>
      <c r="K289" s="2" t="n">
        <v>22</v>
      </c>
    </row>
    <row r="290">
      <c r="A290" s="2" t="n">
        <v>289</v>
      </c>
      <c r="B290" s="2" t="inlineStr">
        <is>
          <t>A-227</t>
        </is>
      </c>
      <c r="C290" s="2" t="inlineStr">
        <is>
          <t>Sheet reviewed - no Div 05/09 content</t>
        </is>
      </c>
      <c r="D290" s="2" t="inlineStr">
        <is>
          <t>Enlarged Cafe Sales Countertop Plan: countertop dims, hole sizes (1 1/2", 3", 3/4", 1 1/4" DIA HOLE), SEAM, COORDINATE SINK PENETRATIONS WITH SINK MANUFACTURER</t>
        </is>
      </c>
      <c r="E290" s="2" t="inlineStr">
        <is>
          <t>EXCLUDED</t>
        </is>
      </c>
      <c r="F290" s="2" t="inlineStr">
        <is>
          <t>None needed</t>
        </is>
      </c>
      <c r="G290" s="4" t="inlineStr">
        <is>
          <t>EXCLUDED</t>
        </is>
      </c>
      <c r="H290" s="2" t="inlineStr">
        <is>
          <t>A-227 Enlarged Countertop Penetration Plan (1/A-227, 2/A-227)</t>
        </is>
      </c>
      <c r="I290" s="2" t="inlineStr">
        <is>
          <t>Countertop (solid surface / Div 06-12) fabrication only; no framing, board or substrate notes.</t>
        </is>
      </c>
      <c r="J290" s="2" t="inlineStr"/>
      <c r="K290" s="2" t="n">
        <v>23</v>
      </c>
    </row>
    <row r="291">
      <c r="A291" s="2" t="n">
        <v>290</v>
      </c>
      <c r="B291" s="2" t="inlineStr">
        <is>
          <t>A-228</t>
        </is>
      </c>
      <c r="C291" s="2" t="inlineStr">
        <is>
          <t>Sheet reviewed - no Div 05/09 content</t>
        </is>
      </c>
      <c r="D291" s="2" t="inlineStr">
        <is>
          <t>Renderings only (WD-1 slats, hex tile, soffits, menu boards) - no notes or dimensions</t>
        </is>
      </c>
      <c r="E291" s="2" t="inlineStr">
        <is>
          <t>EXCLUDED</t>
        </is>
      </c>
      <c r="F291" s="2" t="inlineStr">
        <is>
          <t>None needed</t>
        </is>
      </c>
      <c r="G291" s="4" t="inlineStr">
        <is>
          <t>EXCLUDED</t>
        </is>
      </c>
      <c r="H291" s="2" t="inlineStr">
        <is>
          <t>A-228 Cafe Renderings (4 renderings)</t>
        </is>
      </c>
      <c r="I291" s="2" t="inlineStr">
        <is>
          <t>Visual reference only; finishes and heights are taken from A-226A / A-221 / A-121.</t>
        </is>
      </c>
      <c r="J291" s="2" t="inlineStr"/>
      <c r="K291" s="2" t="n">
        <v>24</v>
      </c>
    </row>
    <row r="292">
      <c r="A292" s="2" t="n">
        <v>291</v>
      </c>
      <c r="B292" s="2" t="inlineStr">
        <is>
          <t>A-300</t>
        </is>
      </c>
      <c r="C292" s="2" t="inlineStr">
        <is>
          <t>General note</t>
        </is>
      </c>
      <c r="D292" s="2" t="inlineStr">
        <is>
          <t>NOTE: ALL SIGNAGE UNDER SEPARATE PERMIT. EXTERIOR SCOPE LIMITED TO REPAIR/PATCHING EXISTING MATERIALS TO MATCH</t>
        </is>
      </c>
      <c r="E292" s="2" t="inlineStr">
        <is>
          <t>EXCLUDED</t>
        </is>
      </c>
      <c r="F292" s="2" t="inlineStr">
        <is>
          <t>Scope Checklist!R3 (ALC-02) + Scope Checklist!R15 (ALC-14) + Pending Items!R4 (RFI-01)</t>
        </is>
      </c>
      <c r="G292" s="4" t="inlineStr">
        <is>
          <t>EXCLUDED</t>
        </is>
      </c>
      <c r="H292" s="2" t="inlineStr">
        <is>
          <t>A-300 note (top right)</t>
        </is>
      </c>
      <c r="I292" s="2" t="inlineStr">
        <is>
          <t>No new exterior framing or sheathing; exterior = existing, repair/patch of existing materials (not drywall scope).</t>
        </is>
      </c>
      <c r="J292" s="2" t="inlineStr">
        <is>
          <t>A-300_exterior-scope-note.png</t>
        </is>
      </c>
      <c r="K292" s="2" t="n">
        <v>25</v>
      </c>
    </row>
    <row r="293">
      <c r="A293" s="2" t="n">
        <v>292</v>
      </c>
      <c r="B293" s="2" t="inlineStr">
        <is>
          <t>A-300</t>
        </is>
      </c>
      <c r="C293" s="2" t="inlineStr">
        <is>
          <t>Detail note</t>
        </is>
      </c>
      <c r="D293" s="2" t="inlineStr">
        <is>
          <t>REFINISH / REPAIR ENTIRE SIGN AREA AS REQUIRED. PATCH PENETRATIONS, REPAIR/REPLACE SIDING.</t>
        </is>
      </c>
      <c r="E293" s="2" t="inlineStr">
        <is>
          <t>EXCLUDED</t>
        </is>
      </c>
      <c r="F293" s="2" t="inlineStr">
        <is>
          <t>Scope Checklist!R3 (ALC-02) + Scope Checklist!R10 (ALC-09)</t>
        </is>
      </c>
      <c r="G293" s="4" t="inlineStr">
        <is>
          <t>EXCLUDED</t>
        </is>
      </c>
      <c r="H293" s="2" t="inlineStr">
        <is>
          <t>1/A-300 Front Elevation - leader note</t>
        </is>
      </c>
      <c r="I293" s="2" t="inlineStr">
        <is>
          <t>Exterior siding / facade finish repair at the existing building - other trade (exterior cladding), not Div 05 LGF / Div 09.</t>
        </is>
      </c>
      <c r="J293" s="2" t="inlineStr">
        <is>
          <t>A-300_sign-notes.png</t>
        </is>
      </c>
      <c r="K293" s="2" t="n">
        <v>25</v>
      </c>
    </row>
    <row r="294">
      <c r="A294" s="2" t="n">
        <v>293</v>
      </c>
      <c r="B294" s="2" t="inlineStr">
        <is>
          <t>A-300</t>
        </is>
      </c>
      <c r="C294" s="2" t="inlineStr">
        <is>
          <t>Detail note</t>
        </is>
      </c>
      <c r="D294" s="2" t="inlineStr">
        <is>
          <t>"BARNES &amp; NOBLE" FACE LIT CHANNEL LETTERS SIGN MOUNTED ON FASCIA. REFER TO SIGN VENDOR SHOP DRAWINGS FOR FURTHER INFORMATION AND DETAILS</t>
        </is>
      </c>
      <c r="E294" s="2" t="inlineStr">
        <is>
          <t>EXCLUDED</t>
        </is>
      </c>
      <c r="F294" s="2" t="inlineStr">
        <is>
          <t>Scope Checklist!R15 (ALC-14)</t>
        </is>
      </c>
      <c r="G294" s="4" t="inlineStr">
        <is>
          <t>EXCLUDED</t>
        </is>
      </c>
      <c r="H294" s="2" t="inlineStr">
        <is>
          <t>1/A-300 Front Elevation - sign</t>
        </is>
      </c>
      <c r="I294" s="2" t="inlineStr">
        <is>
          <t>Sign by B&amp;N sign vendor, mounted on the existing fascia; no canopy / fascia framing drawn.</t>
        </is>
      </c>
      <c r="J294" s="2" t="inlineStr">
        <is>
          <t>A-300_sign-notes.png</t>
        </is>
      </c>
      <c r="K294" s="2" t="n">
        <v>25</v>
      </c>
    </row>
    <row r="295">
      <c r="A295" s="2" t="n">
        <v>294</v>
      </c>
      <c r="B295" s="2" t="inlineStr">
        <is>
          <t>A-300</t>
        </is>
      </c>
      <c r="C295" s="2" t="inlineStr">
        <is>
          <t>General note</t>
        </is>
      </c>
      <c r="D295" s="2" t="inlineStr">
        <is>
          <t>TENANT SIGNAGE PROVIDED BY B&amp;N. PERMIT TO BE OBTAINED BY SIGN VENDOR. REFER TO VENDOR SHOP DRAWINGS FOR FURTHER INFORMATION AND DETAILS. THE FINAL LOCATION OF SIGN POWER NEEDS TO BE DETERMINED WITH B&amp;N SIGN VENDOR</t>
        </is>
      </c>
      <c r="E295" s="2" t="inlineStr">
        <is>
          <t>EXCLUDED</t>
        </is>
      </c>
      <c r="F295" s="2" t="inlineStr">
        <is>
          <t>Scope Checklist!R15 (ALC-14)</t>
        </is>
      </c>
      <c r="G295" s="4" t="inlineStr">
        <is>
          <t>EXCLUDED</t>
        </is>
      </c>
      <c r="H295" s="2" t="inlineStr">
        <is>
          <t>A-300 note (bottom left)</t>
        </is>
      </c>
      <c r="I295" s="2" t="inlineStr">
        <is>
          <t>Signage and sign power by others.</t>
        </is>
      </c>
      <c r="J295" s="2" t="inlineStr"/>
      <c r="K295" s="2" t="n">
        <v>25</v>
      </c>
    </row>
    <row r="296">
      <c r="A296" s="2" t="n">
        <v>295</v>
      </c>
      <c r="B296" s="2" t="inlineStr">
        <is>
          <t>A-300</t>
        </is>
      </c>
      <c r="C296" s="2" t="inlineStr">
        <is>
          <t>Detail bubble</t>
        </is>
      </c>
      <c r="D296" s="2" t="inlineStr">
        <is>
          <t>Front elevation: existing parapet +36'-0" T.O.P. and +30'-0"; storefront dims V.I.F.; no canopy, framing or sheathing callout</t>
        </is>
      </c>
      <c r="E296" s="2" t="inlineStr">
        <is>
          <t>EXCLUDED</t>
        </is>
      </c>
      <c r="F296" s="2" t="inlineStr">
        <is>
          <t>Scope Checklist!R15 (ALC-14 NOT APPLICABLE) + Scope Checklist!R4 (ALC-03)</t>
        </is>
      </c>
      <c r="G296" s="4" t="inlineStr">
        <is>
          <t>EXCLUDED</t>
        </is>
      </c>
      <c r="H296" s="2" t="inlineStr">
        <is>
          <t>1/A-300 Front Elevation - canopy / new framing</t>
        </is>
      </c>
      <c r="I296" s="2" t="inlineStr">
        <is>
          <t>No canopy, parapet or new framing/sheathing shown; all elements existing V.I.F. Confirms ALC-14 / ALC-03 NOT APPLICABLE.</t>
        </is>
      </c>
      <c r="J296" s="2" t="inlineStr"/>
      <c r="K296" s="2" t="n">
        <v>25</v>
      </c>
    </row>
    <row r="297">
      <c r="A297" s="2" t="n">
        <v>296</v>
      </c>
      <c r="B297" s="2" t="inlineStr">
        <is>
          <t>A-400A</t>
        </is>
      </c>
      <c r="C297" s="2" t="inlineStr">
        <is>
          <t>Detail bubble</t>
        </is>
      </c>
      <c r="D297" s="2" t="inlineStr">
        <is>
          <t>B.O. DECK ABOVE EL. 25'-0" V.I.F / B.O. JOIST EL. 23'-0" V.I.F / FINISHED FLOOR EL. 0'-0"; right dim 23'-0" V.I.F</t>
        </is>
      </c>
      <c r="E297" s="2" t="inlineStr">
        <is>
          <t>RFI</t>
        </is>
      </c>
      <c r="F297" s="2" t="inlineStr">
        <is>
          <t>Pending Items!R6 (RFI-03); Partition Takeoff walls to deck at 25 ft (e.g. R6-R13, R47-R76)</t>
        </is>
      </c>
      <c r="G297" s="5" t="inlineStr">
        <is>
          <t>RFI</t>
        </is>
      </c>
      <c r="H297" s="2" t="inlineStr">
        <is>
          <t>1/A-400A Sale Area Elevation - level tags</t>
        </is>
      </c>
      <c r="I297" s="2" t="inlineStr">
        <is>
          <t>[CONFIRMED] 25'-0" V.I.F printed on 1/A-400A; Excel loads walls to deck at 25'-0" and keeps the V.I.F / slope open under RFI-03 (delta 414.54 LF x 1 ft).</t>
        </is>
      </c>
      <c r="J297" s="2" t="inlineStr">
        <is>
          <t>A-400A_1-deck-levels.png</t>
        </is>
      </c>
      <c r="K297" s="2" t="n">
        <v>26</v>
      </c>
    </row>
    <row r="298">
      <c r="A298" s="2" t="n">
        <v>297</v>
      </c>
      <c r="B298" s="2" t="inlineStr">
        <is>
          <t>A-400A</t>
        </is>
      </c>
      <c r="C298" s="2" t="inlineStr">
        <is>
          <t>Detail bubble</t>
        </is>
      </c>
      <c r="D298" s="2" t="inlineStr">
        <is>
          <t>B.O. DECK ABOVE EL. 25'-7" V.I.F / B.O. JOIST EL. 23'-7" V.I.F; right end dimension 21'-9" V.I.F (dimension line ends at the B.O. joist line)</t>
        </is>
      </c>
      <c r="E298" s="2" t="inlineStr">
        <is>
          <t>NO DESTINATION (GAP) - proposed</t>
        </is>
      </c>
      <c r="F298" s="2" t="inlineStr">
        <is>
          <t>Pending Items!R6 (RFI-03) - extend text</t>
        </is>
      </c>
      <c r="G298" s="6" t="inlineStr">
        <is>
          <t>GAP</t>
        </is>
      </c>
      <c r="H298" s="2" t="inlineStr">
        <is>
          <t>2/A-400A Sale Area Elevation - level tags + right-end dimension</t>
        </is>
      </c>
      <c r="I298" s="2" t="inlineStr">
        <is>
          <t>RFI-03 quotes the deck range as 24'-0" (2/A-400B) to 25'-7" (2/A-400A) but 2/A-400A also prints 21'-9" V.I.F at its right end [CONFIRMED], i.e. the joists slope down: B.O. deck there ~ 21'-9" + 2'-0" (joist depth per the level tags 25'-7"/23'-7") = ~23'-9" [DERIVED, reading of where the dimension terminates]. Proposal: add the 21'-9" V.I.F (2/A-400A) and 23'-8" V.I.F (2/A-400B) end dimensions to RFI-03 and widen its range to ~23'-9" .. ~25'-8"; delta stays 414.54 LF of studs-to-deck walls per 1 ft (RFI-03).</t>
        </is>
      </c>
      <c r="J298" s="2" t="inlineStr">
        <is>
          <t>A-400A_2-21-9-VIF.png</t>
        </is>
      </c>
      <c r="K298" s="2" t="n">
        <v>26</v>
      </c>
    </row>
    <row r="299">
      <c r="A299" s="2" t="n">
        <v>298</v>
      </c>
      <c r="B299" s="2" t="inlineStr">
        <is>
          <t>A-400A</t>
        </is>
      </c>
      <c r="C299" s="2" t="inlineStr">
        <is>
          <t>Detail note</t>
        </is>
      </c>
      <c r="D299" s="2" t="inlineStr">
        <is>
          <t>PT-2 / PT-3 paint tags, B-1 base tags; 12'-0" BOTTOM OF TRACK LIGHTING; 8'-0" B.O HIGH BAY FIXTURES(HB); storefront glazing, EXIT, existing joists</t>
        </is>
      </c>
      <c r="E299" s="2" t="inlineStr">
        <is>
          <t>EXCLUDED</t>
        </is>
      </c>
      <c r="F299" s="2" t="inlineStr">
        <is>
          <t>Scope Checklist!R3 (ALC-02 NOT APPLICABLE) + Pending Items!R4 (RFI-01)</t>
        </is>
      </c>
      <c r="G299" s="4" t="inlineStr">
        <is>
          <t>EXCLUDED</t>
        </is>
      </c>
      <c r="H299" s="2" t="inlineStr">
        <is>
          <t>1/A-400A, 2/A-400A finish tags and lighting dims</t>
        </is>
      </c>
      <c r="I299" s="2" t="inlineStr">
        <is>
          <t>Elevations show the existing perimeter / storefront walls (painted PT-2/PT-3, base B-1); no GWB, framing, soffit or partition tag is labelled on A-400A. Perimeter walls are existing (RFI-01 estimator decision); paint, base, lighting and storefront are other trades. No partition tags on this sheet (count 0).</t>
        </is>
      </c>
      <c r="J299" s="2" t="inlineStr"/>
      <c r="K299" s="2" t="n">
        <v>26</v>
      </c>
    </row>
    <row r="300">
      <c r="A300" s="2" t="n">
        <v>299</v>
      </c>
      <c r="B300" s="2" t="inlineStr">
        <is>
          <t>A-400B</t>
        </is>
      </c>
      <c r="C300" s="2" t="inlineStr">
        <is>
          <t>Detail bubble</t>
        </is>
      </c>
      <c r="D300" s="2" t="inlineStr">
        <is>
          <t>B.O. DECK ABOVE EL. 25'-0" V.I.F / B.O. JOIST EL. 23'-0" V.I.F / FINISHED FLOOR EL. 0'-0"; right dim 23'-0" V.I.F</t>
        </is>
      </c>
      <c r="E300" s="2" t="inlineStr">
        <is>
          <t>RFI</t>
        </is>
      </c>
      <c r="F300" s="2" t="inlineStr">
        <is>
          <t>Pending Items!R6 (RFI-03)</t>
        </is>
      </c>
      <c r="G300" s="5" t="inlineStr">
        <is>
          <t>RFI</t>
        </is>
      </c>
      <c r="H300" s="2" t="inlineStr">
        <is>
          <t>1/A-400B Sale Area Elevation - level tags</t>
        </is>
      </c>
      <c r="I300" s="2" t="inlineStr">
        <is>
          <t>[CONFIRMED] same levels as 1/A-400A; covered by the 25'-0" walls-to-deck height and RFI-03 V.I.F.</t>
        </is>
      </c>
      <c r="J300" s="2" t="inlineStr">
        <is>
          <t>A-400B_1-deck-levels.png</t>
        </is>
      </c>
      <c r="K300" s="2" t="n">
        <v>27</v>
      </c>
    </row>
    <row r="301">
      <c r="A301" s="2" t="n">
        <v>300</v>
      </c>
      <c r="B301" s="2" t="inlineStr">
        <is>
          <t>A-400B</t>
        </is>
      </c>
      <c r="C301" s="2" t="inlineStr">
        <is>
          <t>Detail bubble</t>
        </is>
      </c>
      <c r="D301" s="2" t="inlineStr">
        <is>
          <t>B.O. DECK ABOVE EL. 24'-0" V.I.F / B.O. JOIST EL. 22'-0" V.I.F; right end dimension 23'-8" V.I.F (to B.O. joist)</t>
        </is>
      </c>
      <c r="E301" s="2" t="inlineStr">
        <is>
          <t>RFI</t>
        </is>
      </c>
      <c r="F301" s="2" t="inlineStr">
        <is>
          <t>Pending Items!R6 (RFI-03)</t>
        </is>
      </c>
      <c r="G301" s="5" t="inlineStr">
        <is>
          <t>RFI</t>
        </is>
      </c>
      <c r="H301" s="2" t="inlineStr">
        <is>
          <t>2/A-400B Sale Area Elevation - level tags + right-end dimension</t>
        </is>
      </c>
      <c r="I301" s="2" t="inlineStr">
        <is>
          <t>RFI-03 already cites 24'-0" (2/A-400B). The right-end 23'-8" V.I.F [CONFIRMED] gives a deck of ~25'-8" there [DERIVED 23'-8" + 2'-0"], inside the RFI-03 range; add the figure to the RFI text together with 2/A-400A 21'-9" (see GAP row).</t>
        </is>
      </c>
      <c r="J301" s="2" t="inlineStr">
        <is>
          <t>A-400B_2-23-8-VIF.png</t>
        </is>
      </c>
      <c r="K301" s="2" t="n">
        <v>27</v>
      </c>
    </row>
    <row r="302">
      <c r="A302" s="2" t="n">
        <v>301</v>
      </c>
      <c r="B302" s="2" t="inlineStr">
        <is>
          <t>A-400B</t>
        </is>
      </c>
      <c r="C302" s="2" t="inlineStr">
        <is>
          <t>Detail note</t>
        </is>
      </c>
      <c r="D302" s="2" t="inlineStr">
        <is>
          <t>Clouded Cafe walls drawn floor to B.O. deck with WD-1 tags; "NOTE:REFER TO 1/A 225 CAFE FINISH PLAN FOR SPECIFIC FINISHES AND MORE INFO"; bubble 1/A-226A</t>
        </is>
      </c>
      <c r="E302" s="2" t="inlineStr">
        <is>
          <t>Excel row</t>
        </is>
      </c>
      <c r="F302" s="2" t="inlineStr">
        <is>
          <t>Pending Items!R9 (RFI-06 CLOSED: Cafe walls studs to deck 25'-0"); Material Summary!R29 (5/8" FRT plywood behind WD-1); Partition Takeoff!R47-R78</t>
        </is>
      </c>
      <c r="G302" s="3" t="inlineStr">
        <is>
          <t>COVERED</t>
        </is>
      </c>
      <c r="H302" s="2" t="inlineStr">
        <is>
          <t>1/A-400B clouded Cafe zone + note</t>
        </is>
      </c>
      <c r="I302" s="2" t="inlineStr">
        <is>
          <t>1/A-400B is the source RFI-06 cites for the Cafe studs to deck; WD-1 substrate (FRT plywood) carried per G/H/E/F/I/A-221 and A-226A. No GWB label on the elevation itself.</t>
        </is>
      </c>
      <c r="J302" s="2" t="inlineStr">
        <is>
          <t>A-400B_1-cafe-cloud.png</t>
        </is>
      </c>
      <c r="K302" s="2" t="n">
        <v>27</v>
      </c>
    </row>
    <row r="303">
      <c r="A303" s="2" t="n">
        <v>302</v>
      </c>
      <c r="B303" s="2" t="inlineStr">
        <is>
          <t>A-400B</t>
        </is>
      </c>
      <c r="C303" s="2" t="inlineStr">
        <is>
          <t>Detail note</t>
        </is>
      </c>
      <c r="D303" s="2" t="inlineStr">
        <is>
          <t>PT-2 / PT-3 paint tags, B-1 base tags, storefront / windows, 12'-0" BOTTOM OF TRACK LIGHTING, 8'-0" B.O HIGH BAY FIXTURES(HB)</t>
        </is>
      </c>
      <c r="E303" s="2" t="inlineStr">
        <is>
          <t>EXCLUDED</t>
        </is>
      </c>
      <c r="F303" s="2" t="inlineStr">
        <is>
          <t>Scope Checklist!R3 (ALC-02) + Pending Items!R4 (RFI-01)</t>
        </is>
      </c>
      <c r="G303" s="4" t="inlineStr">
        <is>
          <t>EXCLUDED</t>
        </is>
      </c>
      <c r="H303" s="2" t="inlineStr">
        <is>
          <t>1/A-400B, 2/A-400B finish tags</t>
        </is>
      </c>
      <c r="I303" s="2" t="inlineStr">
        <is>
          <t>Existing perimeter walls (RFI-01); paint / base / glazing / lighting are other trades. No partition tag, GWB or framing label on A-400B outside the Cafe cloud (count 0).</t>
        </is>
      </c>
      <c r="J303" s="2" t="inlineStr"/>
      <c r="K303" s="2" t="n">
        <v>27</v>
      </c>
    </row>
    <row r="304">
      <c r="A304" s="2" t="n">
        <v>303</v>
      </c>
      <c r="B304" s="2" t="inlineStr">
        <is>
          <t>A-410</t>
        </is>
      </c>
      <c r="C304" s="2" t="inlineStr">
        <is>
          <t>Detail bubble</t>
        </is>
      </c>
      <c r="D304" s="2" t="inlineStr">
        <is>
          <t>7'-6" A.F.F. T.O. WALL; 3 5/8" METAL STUDS @ 16" O.C. TO BOTTOM OF NESTED STUD BRACING.; 5/8" GYPSUM BOARD (both sides); CAFE SEATING OR SALES AREA / SALES AREA; DISPLAY FIXTURE. REFER TO FIXTURE PLAN; 3 5/8" X 20GA TRACK W/ (2)-1/4"o X 1 5/8" HILTI KWIK HUSEZ CONCRETE SCREW AND MOMENT CLIP - SEE DETAIL; bubbles 5/A-410, A/A-410</t>
        </is>
      </c>
      <c r="E304" s="2" t="inlineStr">
        <is>
          <t>Excel row</t>
        </is>
      </c>
      <c r="F304" s="2" t="inlineStr">
        <is>
          <t>Partition Takeoff!R27-R45 (type 4, 7.5 ft, 2 layers, 3-5/8" @16"); Material Summary!R4, R7, R12, R14, R19, R26</t>
        </is>
      </c>
      <c r="G304" s="3" t="inlineStr">
        <is>
          <t>COVERED</t>
        </is>
      </c>
      <c r="H304" s="2" t="inlineStr">
        <is>
          <t>4/A-410 Non-Rated Partial Height Partition (type 4)</t>
        </is>
      </c>
      <c r="I304" s="2" t="inlineStr">
        <is>
          <t>[CONFIRMED] 7'-6" printed = 7.5 ft carried; board 5/8" both faces (Type X per RFI-27). Moment clip / Kwik HUS-EZ = RFI-28 (separate row). Stud gauge 20 ga per schedule (3-5/8" 20 ST 17'-11" &gt; 7'-6").</t>
        </is>
      </c>
      <c r="J304" s="2" t="inlineStr">
        <is>
          <t>A-410_3-4-types-heights-FRP.png</t>
        </is>
      </c>
      <c r="K304" s="2" t="n">
        <v>28</v>
      </c>
    </row>
    <row r="305">
      <c r="A305" s="2" t="n">
        <v>304</v>
      </c>
      <c r="B305" s="2" t="inlineStr">
        <is>
          <t>A-410</t>
        </is>
      </c>
      <c r="C305" s="2" t="inlineStr">
        <is>
          <t>Detail bubble</t>
        </is>
      </c>
      <c r="D305" s="2" t="inlineStr">
        <is>
          <t>8'-0" A.F.F. T.O. WALL; 3 5/8" METAL STUDS @ 16" O.C. TO BOTTOM OF NESTED STUD BRACING.; 5/8" GYPSUM BOARD each face; 3 5/8" X 20GA TRACK W/ (2)-1/4"o X 1 5/8" HILTI KWIK HUSEZ CONCRETE SCREW AND MOMENT CLIP - SEE DETAIL; bubbles 5/A-410, A/A-410</t>
        </is>
      </c>
      <c r="E305" s="2" t="inlineStr">
        <is>
          <t>Excel row</t>
        </is>
      </c>
      <c r="F305" s="2" t="inlineStr">
        <is>
          <t>Partition Takeoff!R19-R25 (type 3, 8 ft); Material Summary!R4, R7, R12, R14, R19, R26</t>
        </is>
      </c>
      <c r="G305" s="3" t="inlineStr">
        <is>
          <t>COVERED</t>
        </is>
      </c>
      <c r="H305" s="2" t="inlineStr">
        <is>
          <t>3/A-410 Non-Rated Partial Height Partition (type 3)</t>
        </is>
      </c>
      <c r="I305" s="2" t="inlineStr">
        <is>
          <t>[CONFIRMED] 8'-0" printed = 8 ft carried, 2 layers 5/8". Moment clip anchorage = RFI-28.</t>
        </is>
      </c>
      <c r="J305" s="2" t="inlineStr">
        <is>
          <t>A-410_3-4-types-heights-FRP.png</t>
        </is>
      </c>
      <c r="K305" s="2" t="n">
        <v>28</v>
      </c>
    </row>
    <row r="306">
      <c r="A306" s="2" t="n">
        <v>305</v>
      </c>
      <c r="B306" s="2" t="inlineStr">
        <is>
          <t>A-410</t>
        </is>
      </c>
      <c r="C306" s="2" t="inlineStr">
        <is>
          <t>Detail note</t>
        </is>
      </c>
      <c r="D306" s="2" t="inlineStr">
        <is>
          <t>F.R.P. OVER 5/8" PLYWOOD WHERE SHELVING OCCURS.</t>
        </is>
      </c>
      <c r="E306" s="2" t="inlineStr">
        <is>
          <t>RFI</t>
        </is>
      </c>
      <c r="F306" s="2" t="inlineStr">
        <is>
          <t>Pending Items!R25 (RFI-22)</t>
        </is>
      </c>
      <c r="G306" s="5" t="inlineStr">
        <is>
          <t>RFI</t>
        </is>
      </c>
      <c r="H306" s="2" t="inlineStr">
        <is>
          <t>3/A-410 and 4/A-410 - F.R.P. over plywood</t>
        </is>
      </c>
      <c r="I306" s="2" t="inlineStr">
        <is>
          <t>Extent of shelving on the partial-height walls not defined (A-111); RFI-22 carries the delta (5/8" plywood + FRP x 122.32 LF x height per face). Plywood must be FRT per the A-410 BUILDING DEPARTMENT NOTE.</t>
        </is>
      </c>
      <c r="J306" s="2" t="inlineStr">
        <is>
          <t>A-410_3-4-types-heights-FRP.png</t>
        </is>
      </c>
      <c r="K306" s="2" t="n">
        <v>28</v>
      </c>
    </row>
    <row r="307">
      <c r="A307" s="2" t="n">
        <v>306</v>
      </c>
      <c r="B307" s="2" t="inlineStr">
        <is>
          <t>A-410</t>
        </is>
      </c>
      <c r="C307" s="2" t="inlineStr">
        <is>
          <t>Detail note</t>
        </is>
      </c>
      <c r="D307" s="2" t="inlineStr">
        <is>
          <t>CONT. ACOUSTICAL SEALANT</t>
        </is>
      </c>
      <c r="E307" s="2" t="inlineStr">
        <is>
          <t>EXCLUDED</t>
        </is>
      </c>
      <c r="F307" s="2" t="inlineStr">
        <is>
          <t>Scope Checklist!R20 (ALC-19 EXCLUDED, estimator standing order)</t>
        </is>
      </c>
      <c r="G307" s="4" t="inlineStr">
        <is>
          <t>EXCLUDED</t>
        </is>
      </c>
      <c r="H307" s="2" t="inlineStr">
        <is>
          <t>3/A-410, 4/A-410, 2/A-410, 5/A-410 - CONT. ACOUSTICAL SEALANT</t>
        </is>
      </c>
      <c r="I307" s="2" t="inlineStr">
        <is>
          <t>Acoustical sealant excluded in all projects by estimator standing order.</t>
        </is>
      </c>
      <c r="J307" s="2" t="inlineStr"/>
      <c r="K307" s="2" t="n">
        <v>28</v>
      </c>
    </row>
    <row r="308">
      <c r="A308" s="2" t="n">
        <v>307</v>
      </c>
      <c r="B308" s="2" t="inlineStr">
        <is>
          <t>A-410</t>
        </is>
      </c>
      <c r="C308" s="2" t="inlineStr">
        <is>
          <t>Detail bubble</t>
        </is>
      </c>
      <c r="D308" s="2" t="inlineStr">
        <is>
          <t>SLOTTED DEFLECTION (bubble 3/A-410); UNDERSIDE OF DECK; EXTEND GYPSUM BOARD TO DECK IN LOCATIONS WITH NO CEILING (TYP); FINISHED CEILING (SOUND ATTENUATION BLANKETS AT TOILETS, OFFICES, AND BREAK ROOM ONLY); 3 5/8" METAL STUDS @ 16" O.C. TO BOTTOM OF NESTED STUD BRACING. SEE SCHEDULE FOR GAUGE.; 5/8" GYPSUM BOARD EACH SIDE; BOTTOM RUNNER; WALL BASE / FINISHED FLOOR SEE ROOM FINISH SCHEDULE; bubble 5/A-410</t>
        </is>
      </c>
      <c r="E308" s="2" t="inlineStr">
        <is>
          <t>Excel row</t>
        </is>
      </c>
      <c r="F308" s="2" t="inlineStr">
        <is>
          <t>Partition Takeoff!R6-R14 (type 2, 25 ft, 2 layers); Material Summary!R4, R7, R12, R14, R19, R20, R47</t>
        </is>
      </c>
      <c r="G308" s="3" t="inlineStr">
        <is>
          <t>COVERED</t>
        </is>
      </c>
      <c r="H308" s="2" t="inlineStr">
        <is>
          <t>2/A-410 Non-Rated Full Height Partition (type 2)</t>
        </is>
      </c>
      <c r="I308" s="2" t="inlineStr">
        <is>
          <t>Studs to deck 25'-0" (RFI-03), GWB to deck where no ceiling and ceiling + 6" elsewhere (RFI-19 estimator decision), slotted / deflection top track carried. Gauge: see GAP row (stud gauge not carried).</t>
        </is>
      </c>
      <c r="J308" s="2" t="inlineStr">
        <is>
          <t>A-410_2-type2-detail.png</t>
        </is>
      </c>
      <c r="K308" s="2" t="n">
        <v>28</v>
      </c>
    </row>
    <row r="309">
      <c r="A309" s="2" t="n">
        <v>308</v>
      </c>
      <c r="B309" s="2" t="inlineStr">
        <is>
          <t>A-410</t>
        </is>
      </c>
      <c r="C309" s="2" t="inlineStr">
        <is>
          <t>Detail note</t>
        </is>
      </c>
      <c r="D309" s="2" t="inlineStr">
        <is>
          <t>RESTROOM/CAFE WALLS ONLY: PROVIDE W.R. GYPSUM BOARD ON WET SIDE(S) ONLY TO B.O. GYP CEILING</t>
        </is>
      </c>
      <c r="E309" s="2" t="inlineStr">
        <is>
          <t>Excel row</t>
        </is>
      </c>
      <c r="F309" s="2" t="inlineStr">
        <is>
          <t>Material Summary!R20 (5/8" Type X W.R. 1,142.63 SF) + Pending Items!R14 (RFI-11 CLOSED)</t>
        </is>
      </c>
      <c r="G309" s="3" t="inlineStr">
        <is>
          <t>COVERED</t>
        </is>
      </c>
      <c r="H309" s="2" t="inlineStr">
        <is>
          <t>2/A-410 box note (type 2)</t>
        </is>
      </c>
      <c r="I309" s="2" t="inlineStr">
        <is>
          <t>Estimator decision RFI-11: W.R. on ALL faces of Women's 109, Men's 108, Janitor 107 + fountain alcove (plan governs, A-410 * note and Partition Notes box note 2); restroom W.R. faces carried to the 9'-0" GWB ceiling, consistent with 'TO B.O. GYP CEILING'. Cafe Work Room: FRT plywood, no GWB (rev6). Not an error (estimator decision).</t>
        </is>
      </c>
      <c r="J309" s="2" t="inlineStr">
        <is>
          <t>A-410_2-type2-detail.png</t>
        </is>
      </c>
      <c r="K309" s="2" t="n">
        <v>28</v>
      </c>
    </row>
    <row r="310">
      <c r="A310" s="2" t="n">
        <v>309</v>
      </c>
      <c r="B310" s="2" t="inlineStr">
        <is>
          <t>A-410</t>
        </is>
      </c>
      <c r="C310" s="2" t="inlineStr">
        <is>
          <t>Detail note</t>
        </is>
      </c>
      <c r="D310" s="2" t="inlineStr">
        <is>
          <t>THERMAFIBER SOUND AND FIRE CONTROL INSULATION, CREASED SAFB; SOUND ATTENUATION BLANKETS AT TOILETS, OFFICES, AND BREAK ROOM ONLY</t>
        </is>
      </c>
      <c r="E310" s="2" t="inlineStr">
        <is>
          <t>EXCLUDED</t>
        </is>
      </c>
      <c r="F310" s="2" t="inlineStr">
        <is>
          <t>Scope Checklist!R26 (ALC-X25 batt insulation EXCLUDED, estimator criterion)</t>
        </is>
      </c>
      <c r="G310" s="4" t="inlineStr">
        <is>
          <t>EXCLUDED</t>
        </is>
      </c>
      <c r="H310" s="2" t="inlineStr">
        <is>
          <t>2/A-410 and 5/A-410 insulation</t>
        </is>
      </c>
      <c r="I310" s="2" t="inlineStr">
        <is>
          <t>Estimator criterion: no insulation.</t>
        </is>
      </c>
      <c r="J310" s="2" t="inlineStr">
        <is>
          <t>A-410_2-type2-detail.png</t>
        </is>
      </c>
      <c r="K310" s="2" t="n">
        <v>28</v>
      </c>
    </row>
    <row r="311">
      <c r="A311" s="2" t="n">
        <v>310</v>
      </c>
      <c r="B311" s="2" t="inlineStr">
        <is>
          <t>A-410</t>
        </is>
      </c>
      <c r="C311" s="2" t="inlineStr">
        <is>
          <t>Detail bubble</t>
        </is>
      </c>
      <c r="D311" s="2" t="inlineStr">
        <is>
          <t>SLOTTED DEFLECTION; UNDERSIDE OF DECK; EXTEND GYPSUM BOARD TO DECK IN LOCATIONS WITH NO CEILING (TYP); 6" METAL STUDS @ 16" O.C. TO BOTTOM OF NESTED STUD BRACING. SEE SCHEDULE FOR GAUGE.; 5/8" GYPSUM BOARD EACH SIDE; RESTROOM WALLS ONLY: PROVIDE W.R. GYPSUM BOARD ON WET SIDE(S) ONLY TO B.O. GYP CEILING; THERMAFIBER ... SAFB; BOTTOM RUNNER; CONT. ACOUSTICAL SEALANT</t>
        </is>
      </c>
      <c r="E311" s="2" t="inlineStr">
        <is>
          <t>Excel row</t>
        </is>
      </c>
      <c r="F311" s="2" t="inlineStr">
        <is>
          <t>Partition Takeoff!R16-R17 (W5-01 6" 25 ft); Material Summary!R5, R8, R11, R14, R20</t>
        </is>
      </c>
      <c r="G311" s="3" t="inlineStr">
        <is>
          <t>COVERED</t>
        </is>
      </c>
      <c r="H311" s="2" t="inlineStr">
        <is>
          <t>5/A-410 Non-Rated Full Height Partition (type 5)</t>
        </is>
      </c>
      <c r="I311" s="2" t="inlineStr">
        <is>
          <t>6" studs 25'-0": schedule 6" 20 ST max 26'-1" @16" O.C. [CONFIRMED] so 20 ga is sufficient. W.R. both faces (restrooms) to the 9'-0" ceiling. Note: the detail sits in the lower-left of the sheet with diamond tag 5 (the brief's '1' detail is this type 5).</t>
        </is>
      </c>
      <c r="J311" s="2" t="inlineStr">
        <is>
          <t>A-410_5-type5-detail.png</t>
        </is>
      </c>
      <c r="K311" s="2" t="n">
        <v>28</v>
      </c>
    </row>
    <row r="312">
      <c r="A312" s="2" t="n">
        <v>311</v>
      </c>
      <c r="B312" s="2" t="inlineStr">
        <is>
          <t>A-410</t>
        </is>
      </c>
      <c r="C312" s="2" t="inlineStr">
        <is>
          <t>Detail bubble</t>
        </is>
      </c>
      <c r="D312" s="2" t="inlineStr">
        <is>
          <t>R-21 BATT INSULATION; FULL HEIGHT TO UNDERSIDE OF DECK, PIN IN PLACE AS NEEDED TO PREVENT SAG; VAPOR BARRIER; 3-5/8" METAL STUD; 5/8" GYP BD BY FUTURE TENANT; FLUID APPLIED WEATHER BARRIER; 4" STONE VENEER; MASONRY TIE AS REQUIRED; 10" CMU, RE:STRUCTURAL</t>
        </is>
      </c>
      <c r="E312" s="2" t="inlineStr">
        <is>
          <t>EXCLUDED</t>
        </is>
      </c>
      <c r="F312" s="2" t="inlineStr">
        <is>
          <t>Pending Items!R4 (RFI-01) + Scope Checklist!R3 (ALC-02)</t>
        </is>
      </c>
      <c r="G312" s="4" t="inlineStr">
        <is>
          <t>EXCLUDED</t>
        </is>
      </c>
      <c r="H312" s="2" t="inlineStr">
        <is>
          <t>1C/A-410 Exterior Wall-Stone at Stud</t>
        </is>
      </c>
      <c r="I312" s="2" t="inlineStr">
        <is>
          <t>Perimeter type 1C is existing (estimator decision RFI-01): studs, insulation, vapor barrier F/I by LL (A-002). CMU / stone / weather barrier other trades. The '5/8" GYP BD BY FUTURE TENANT' layer: see the GAP row for types 1/1A/1B/1C.</t>
        </is>
      </c>
      <c r="J312" s="2" t="inlineStr">
        <is>
          <t>A-410_types-1-1A-1B-1C-gyp-by-future-tenant.png</t>
        </is>
      </c>
      <c r="K312" s="2" t="n">
        <v>28</v>
      </c>
    </row>
    <row r="313">
      <c r="A313" s="2" t="n">
        <v>312</v>
      </c>
      <c r="B313" s="2" t="inlineStr">
        <is>
          <t>A-410</t>
        </is>
      </c>
      <c r="C313" s="2" t="inlineStr">
        <is>
          <t>Detail bubble</t>
        </is>
      </c>
      <c r="D313" s="2" t="inlineStr">
        <is>
          <t>R-21 BATT INSULATION; FULL HEIGHT TO UNDERSIDE OF DECK, PIN IN PLACE AS NEEDED TO PREVENT SAG; VAPOR BARRIER; 3-5/8" METAL STUD; 5/8" GYP BD BY FUTURE TENANT; SPRAY APPLIED WEATHER BARRIER SEALANT, CLEAR; 10" SPLIT FACED CMU, RE:STRUCTURAL</t>
        </is>
      </c>
      <c r="E313" s="2" t="inlineStr">
        <is>
          <t>EXCLUDED</t>
        </is>
      </c>
      <c r="F313" s="2" t="inlineStr">
        <is>
          <t>Pending Items!R4 (RFI-01) + Scope Checklist!R3 (ALC-02)</t>
        </is>
      </c>
      <c r="G313" s="4" t="inlineStr">
        <is>
          <t>EXCLUDED</t>
        </is>
      </c>
      <c r="H313" s="2" t="inlineStr">
        <is>
          <t>1A/A-410 Exterior-Split-Faced CMU</t>
        </is>
      </c>
      <c r="I313" s="2" t="inlineStr">
        <is>
          <t>Existing perimeter (RFI-01). GWB layer: see GAP row.</t>
        </is>
      </c>
      <c r="J313" s="2" t="inlineStr">
        <is>
          <t>A-410_types-1-1A-1B-1C-gyp-by-future-tenant.png</t>
        </is>
      </c>
      <c r="K313" s="2" t="n">
        <v>28</v>
      </c>
    </row>
    <row r="314">
      <c r="A314" s="2" t="n">
        <v>313</v>
      </c>
      <c r="B314" s="2" t="inlineStr">
        <is>
          <t>A-410</t>
        </is>
      </c>
      <c r="C314" s="2" t="inlineStr">
        <is>
          <t>Detail bubble</t>
        </is>
      </c>
      <c r="D314" s="2" t="inlineStr">
        <is>
          <t>R-21 BATT INSULATION; FULL HEIGHT TO UNDERSIDE OF DECK, PIN IN PLACE AS NEEDED TO PREVENT SAG; VAPOR BARRIER; 8" METAL STUD; 5/8" GYP BD BY FUTURE TENANT; 1" AIR GAP; WEATHER BARRIER; MASONRY TIE AS REQUIRED; 4" STONE VENEER; 1/2" EXTERIOR GYP SHEATHING</t>
        </is>
      </c>
      <c r="E314" s="2" t="inlineStr">
        <is>
          <t>EXCLUDED</t>
        </is>
      </c>
      <c r="F314" s="2" t="inlineStr">
        <is>
          <t>Pending Items!R4 (RFI-01), R29 (RFI-26) + Scope Checklist!R3 (ALC-02), R10 (ALC-09)</t>
        </is>
      </c>
      <c r="G314" s="4" t="inlineStr">
        <is>
          <t>EXCLUDED</t>
        </is>
      </c>
      <c r="H314" s="2" t="inlineStr">
        <is>
          <t>1B/A-410 Exterior Wall-Stone at CMU</t>
        </is>
      </c>
      <c r="I314" s="2" t="inlineStr">
        <is>
          <t>Existing perimeter; 8" studs and 1/2" exterior gyp sheathing excluded (RFI-01/RFI-26). GWB layer: see GAP row.</t>
        </is>
      </c>
      <c r="J314" s="2" t="inlineStr">
        <is>
          <t>A-410_types-1-1A-1B-1C-gyp-by-future-tenant.png</t>
        </is>
      </c>
      <c r="K314" s="2" t="n">
        <v>28</v>
      </c>
    </row>
    <row r="315">
      <c r="A315" s="2" t="n">
        <v>314</v>
      </c>
      <c r="B315" s="2" t="inlineStr">
        <is>
          <t>A-410</t>
        </is>
      </c>
      <c r="C315" s="2" t="inlineStr">
        <is>
          <t>Detail bubble</t>
        </is>
      </c>
      <c r="D315" s="2" t="inlineStr">
        <is>
          <t>R-21 BATT INSULATION; FULL HEIGHT TO UNDERSIDE OF DECK, PIN IN PLACE AS NEEDED TO PREVENT SAG; VAPOR BARRIER; 3-5/8" METAL STUD; 5/8" GYP BD BY FUTURE TENANT; SPRAY APPLIED WEATHER BARRIER SEALANT, CLEAR; 10" CMU, RE:STRUCTURAL</t>
        </is>
      </c>
      <c r="E315" s="2" t="inlineStr">
        <is>
          <t>EXCLUDED</t>
        </is>
      </c>
      <c r="F315" s="2" t="inlineStr">
        <is>
          <t>Pending Items!R4 (RFI-01) + Scope Checklist!R3 (ALC-02)</t>
        </is>
      </c>
      <c r="G315" s="4" t="inlineStr">
        <is>
          <t>EXCLUDED</t>
        </is>
      </c>
      <c r="H315" s="2" t="inlineStr">
        <is>
          <t>1/A-410 Exterior CMU</t>
        </is>
      </c>
      <c r="I315" s="2" t="inlineStr">
        <is>
          <t>Existing perimeter (RFI-01). GWB layer: see GAP row.</t>
        </is>
      </c>
      <c r="J315" s="2" t="inlineStr">
        <is>
          <t>A-410_types-1-1A-1B-1C-gyp-by-future-tenant.png</t>
        </is>
      </c>
      <c r="K315" s="2" t="n">
        <v>28</v>
      </c>
    </row>
    <row r="316">
      <c r="A316" s="2" t="n">
        <v>315</v>
      </c>
      <c r="B316" s="2" t="inlineStr">
        <is>
          <t>A-410</t>
        </is>
      </c>
      <c r="C316" s="2" t="inlineStr">
        <is>
          <t>Detail note</t>
        </is>
      </c>
      <c r="D316" s="2" t="inlineStr">
        <is>
          <t>5/8" GYP BD BY FUTURE TENANT (printed on all four exterior types)</t>
        </is>
      </c>
      <c r="E316" s="2" t="inlineStr">
        <is>
          <t>NO DESTINATION (GAP) - proposed</t>
        </is>
      </c>
      <c r="F316" s="2" t="inlineStr">
        <is>
          <t>Proposed: new RFI (or note in Pending Items!R4 RFI-01) + Scope Checklist!R3</t>
        </is>
      </c>
      <c r="G316" s="6" t="inlineStr">
        <is>
          <t>GAP</t>
        </is>
      </c>
      <c r="H316" s="2" t="inlineStr">
        <is>
          <t>Types 1, 1A, 1B, 1C - interior GWB layer</t>
        </is>
      </c>
      <c r="I316" s="2" t="inlineStr">
        <is>
          <t>All four perimeter types label the interior board '5/8" GYP BD BY FUTURE TENANT' [CONFIRMED], and A-002 (quoted in RFI-01) lists only 'PERIMETER STUDS, INSULATION, VAPOR BARRIER F/I BY LL' - board is not listed as landlord work. The Excel treats the interior face as existing + patch &amp; repair allowance (estimator decision, not an error), but nothing in the Excel cites this label. Proposal: RFI 'Is the interior 5/8" GWB on the perimeter walls already installed? If not, it is tenant (our) scope.' Delta (upper bound): 417.43 LF of perimeter walls (RFI-01) x ~25 ft = ~10,436 SF 5/8" Type X [DERIVED, less storefront openings and faces behind new furring], plus finishing; if installed: allowance as carried.</t>
        </is>
      </c>
      <c r="J316" s="2" t="inlineStr">
        <is>
          <t>A-410_types-1-1A-1B-1C-gyp-by-future-tenant.png</t>
        </is>
      </c>
      <c r="K316" s="2" t="n">
        <v>28</v>
      </c>
    </row>
    <row r="317">
      <c r="A317" s="2" t="n">
        <v>316</v>
      </c>
      <c r="B317" s="2" t="inlineStr">
        <is>
          <t>A-410</t>
        </is>
      </c>
      <c r="C317" s="2" t="inlineStr">
        <is>
          <t>Detail bubble</t>
        </is>
      </c>
      <c r="D317" s="2" t="inlineStr">
        <is>
          <t>DESIGN/APPLICATION NOTES: REF. ANCHOR MFR FOR EDGE DISTANCE AND BASE MAT'L REQUIREMENTS. WHEN USING CLIP ON "OPEN" SIDE OF STUDS, USE NEXT SIZE DOWN (I.E. USE MC683 ON 6" STUDS, ETC.); ClarkDietrich "MC" Series CLIP; 1/4" THICK (A36) STIFFENING PLATE (PROVIDED WITH "MC" Series CLIP); ClarkDietrich MOMENT CLIP MC SERIES (WITH PROVIDED 1/4" STIFFENING PLATE) W/ SCREWS TO STUD AS REQ'D BY DESIGN AND ANCHOR INTO CONCRETE AS REQ'D BY DESIGN.; (1) #10-16 SCREW @ EACH FLANGE; STUD PER SECTION; TYPICAL TRACK; MIN. ANCHOR EDGE DISTANCE; MIN. BASE MATERIAL THICKNESS</t>
        </is>
      </c>
      <c r="E317" s="2" t="inlineStr">
        <is>
          <t>RFI</t>
        </is>
      </c>
      <c r="F317" s="2" t="inlineStr">
        <is>
          <t>Pending Items!R31 (RFI-28)</t>
        </is>
      </c>
      <c r="G317" s="5" t="inlineStr">
        <is>
          <t>RFI</t>
        </is>
      </c>
      <c r="H317" s="2" t="inlineStr">
        <is>
          <t>A/A-410 Moment Clip Connection Detail</t>
        </is>
      </c>
      <c r="I317" s="2" t="inlineStr">
        <is>
          <t>RFI-28 carries the delta (+162 moment clips, +324 Kwik HUS-EZ 1/4" x 1-5/8") for types 3/4; spacing not printed. Add to the RFI: (1) #10-16 screw each flange per clip (+324 screws if one clip per stud).</t>
        </is>
      </c>
      <c r="J317" s="2" t="inlineStr">
        <is>
          <t>A-410_A-moment-clip.png</t>
        </is>
      </c>
      <c r="K317" s="2" t="n">
        <v>28</v>
      </c>
    </row>
    <row r="318">
      <c r="A318" s="2" t="n">
        <v>317</v>
      </c>
      <c r="B318" s="2" t="inlineStr">
        <is>
          <t>A-410</t>
        </is>
      </c>
      <c r="C318" s="2" t="inlineStr">
        <is>
          <t>Schedule note</t>
        </is>
      </c>
      <c r="D318" s="2" t="inlineStr">
        <is>
          <t>2 1/2" 20 ST 13'-10" / 12'-0"; 3 5/8" 20 ST 17'-11" / 15'-7"; 20 SJ 18'-6" / 16'-9"; 18 SJ 19'-3"; 16 SJ 20'-0"; 14 SJ 22'-0"; 6" 20 ST 26'-1" / 22'-10"; 20 SJ 26'-8" / 23'-8"; 18 SJ 28'-0"; 16 SJ 30'-0"; 14 SJ 32'-0"</t>
        </is>
      </c>
      <c r="E318" s="2" t="inlineStr">
        <is>
          <t>NO DESTINATION (GAP) - proposed</t>
        </is>
      </c>
      <c r="F318" s="2" t="inlineStr">
        <is>
          <t>Material Summary!R12 (3-5/8" metal stud, one row, no gauge) + R4/R7 (3-5/8" track) - split by gauge</t>
        </is>
      </c>
      <c r="G318" s="6" t="inlineStr">
        <is>
          <t>GAP</t>
        </is>
      </c>
      <c r="H318" s="2" t="inlineStr">
        <is>
          <t>METAL STUD SCHEDULE (16" / 24" O.C. max unsupported height)</t>
        </is>
      </c>
      <c r="I318" s="2" t="inlineStr">
        <is>
          <t>Type 2 (and every 3-5/8" wall) is detailed 'SEE SCHEDULE FOR GAUGE'. Type 2 at 25'-0" exceeds even 3-5/8" 14 SJ (22'-0") [CONFIRMED] - RFI-04 cites 14 ga SJ + diagonal braces, but Material Summary carries all 10,788.75 LF of 3-5/8" studs in ONE row without gauge, and track per schedule note 2 must match the stud gauge. Proposal: split R12 into 3-5/8" 14 ga SJ = type 2 studs 6,656 LF [DERIVED: W2-01 1,061 + W2-02 125 + W2-03 1,879 + W2-04 1,211 + W2-05 300 + W2-06.1..5 1,108 + W2-07 200 + W2-08 386 + W2-09 386] and 3-5/8" 20 ga = remaining 4,132.75 LF (incl. 468 LF diagonal braces); split R4/R7 into 14 ga track 278.57 LF each (type 2) and 20 ga 171.45 LF each. 6" studs: 20 ST (26'-1" &gt; 25'-0") OK.</t>
        </is>
      </c>
      <c r="J318" s="2" t="inlineStr">
        <is>
          <t>A-410_metal-stud-schedule.png</t>
        </is>
      </c>
      <c r="K318" s="2" t="n">
        <v>28</v>
      </c>
    </row>
    <row r="319">
      <c r="A319" s="2" t="n">
        <v>318</v>
      </c>
      <c r="B319" s="2" t="inlineStr">
        <is>
          <t>A-410</t>
        </is>
      </c>
      <c r="C319" s="2" t="inlineStr">
        <is>
          <t>Schedule note</t>
        </is>
      </c>
      <c r="D319" s="2" t="inlineStr">
        <is>
          <t>3 5/8" ... 14 SJ " " 22'-0" (max unsupported height at 16" O.C.)</t>
        </is>
      </c>
      <c r="E319" s="2" t="inlineStr">
        <is>
          <t>NO DESTINATION (GAP) - proposed</t>
        </is>
      </c>
      <c r="F319" s="2" t="inlineStr">
        <is>
          <t>Proposed: new RFI + Material Summary!R12 diagonal brace line</t>
        </is>
      </c>
      <c r="G319" s="6" t="inlineStr">
        <is>
          <t>GAP</t>
        </is>
      </c>
      <c r="H319" s="2" t="inlineStr">
        <is>
          <t>METAL STUD SCHEDULE - Cafe 3-5/8" walls to deck</t>
        </is>
      </c>
      <c r="I319" s="2" t="inlineStr">
        <is>
          <t>C-H2a (12.17 LF), C-H2b (1.95 LF) and C-F (3.26 LF) are 3-5/8" studs carried to deck at 25'-0" (RFI-06 decision, Partition Takeoff!R51, R54, R71) - above the 22'-0" max of the heaviest 3-5/8" stud [CONFIRMED]; the diagonal braces of RFI-04 (8/A-410 in the Excel, actually 3/A-410) were applied to type 2 only. Proposal: RFI on stud size / bracing for these Cafe walls; delta if braced like type 2: ROUNDUP(L x 12 / 32) + 1 per wall = 6 + 2 + 3 = 11 braces x 4 ft = +44 LF 3-5/8" 20 ga [DERIVED, same estimator member choice] and their studs (C-H2a 376 + C-H2b 100 + C-F 125 = 601 LF, Material Summary R12 breakdown) to 14 ga.</t>
        </is>
      </c>
      <c r="J319" s="2" t="inlineStr">
        <is>
          <t>A-410_metal-stud-schedule.png</t>
        </is>
      </c>
      <c r="K319" s="2" t="n">
        <v>28</v>
      </c>
    </row>
    <row r="320">
      <c r="A320" s="2" t="n">
        <v>319</v>
      </c>
      <c r="B320" s="2" t="inlineStr">
        <is>
          <t>A-410</t>
        </is>
      </c>
      <c r="C320" s="2" t="inlineStr">
        <is>
          <t>Schedule note</t>
        </is>
      </c>
      <c r="D320" s="2" t="inlineStr">
        <is>
          <t>1. BASED ON INTERIOR NON-BEARING PARTITIONS WITH ONE LAYER OF GYPSUM BOARD EACH SIDE. USE GAUGE, TYPE AS SCHEDULED UNLESS NOTED OTHERWISE ON DRAWINGS.</t>
        </is>
      </c>
      <c r="E320" s="2" t="inlineStr">
        <is>
          <t>NO DESTINATION (GAP) - proposed</t>
        </is>
      </c>
      <c r="F320" s="2" t="inlineStr">
        <is>
          <t>Same as METAL STUD SCHEDULE GAP row (Material Summary!R12 gauge split)</t>
        </is>
      </c>
      <c r="G320" s="6" t="inlineStr">
        <is>
          <t>GAP</t>
        </is>
      </c>
      <c r="H320" s="2" t="inlineStr">
        <is>
          <t>METAL STUD SCHEDULE note 1</t>
        </is>
      </c>
      <c r="I320" s="2" t="inlineStr">
        <is>
          <t>Gauge must follow the schedule; Excel carries no gauge. Covered by the gauge-split proposal above (no separate quantity).</t>
        </is>
      </c>
      <c r="J320" s="2" t="inlineStr">
        <is>
          <t>A-410_metal-stud-schedule.png</t>
        </is>
      </c>
      <c r="K320" s="2" t="n">
        <v>28</v>
      </c>
    </row>
    <row r="321">
      <c r="A321" s="2" t="n">
        <v>320</v>
      </c>
      <c r="B321" s="2" t="inlineStr">
        <is>
          <t>A-410</t>
        </is>
      </c>
      <c r="C321" s="2" t="inlineStr">
        <is>
          <t>Schedule note</t>
        </is>
      </c>
      <c r="D321" s="2" t="inlineStr">
        <is>
          <t>2. RUNNER TRACK GAUGE TO MATCH STUD.</t>
        </is>
      </c>
      <c r="E321" s="2" t="inlineStr">
        <is>
          <t>NO DESTINATION (GAP) - proposed</t>
        </is>
      </c>
      <c r="F321" s="2" t="inlineStr">
        <is>
          <t>Material Summary!R4, R5, R7, R8 (track rows without gauge)</t>
        </is>
      </c>
      <c r="G321" s="6" t="inlineStr">
        <is>
          <t>GAP</t>
        </is>
      </c>
      <c r="H321" s="2" t="inlineStr">
        <is>
          <t>METAL STUD SCHEDULE note 2</t>
        </is>
      </c>
      <c r="I321" s="2" t="inlineStr">
        <is>
          <t>Track gauge must match the stud: type 2 track 14 ga (278.57 LF bottom + 278.57 LF top) [DERIVED], others 20 ga. Part of the gauge-split proposal.</t>
        </is>
      </c>
      <c r="J321" s="2" t="inlineStr">
        <is>
          <t>A-410_metal-stud-schedule.png</t>
        </is>
      </c>
      <c r="K321" s="2" t="n">
        <v>28</v>
      </c>
    </row>
    <row r="322">
      <c r="A322" s="2" t="n">
        <v>321</v>
      </c>
      <c r="B322" s="2" t="inlineStr">
        <is>
          <t>A-410</t>
        </is>
      </c>
      <c r="C322" s="2" t="inlineStr">
        <is>
          <t>Schedule note</t>
        </is>
      </c>
      <c r="D322" s="2" t="inlineStr">
        <is>
          <t>3. WALLS OVER 12'-0" HIGH TO BE BRACED W/ 1 1/2", 16 GA. COLD-ROLLED CHANNELS CLIP ANCHORED TO METAL STUDS.</t>
        </is>
      </c>
      <c r="E322" s="2" t="inlineStr">
        <is>
          <t>Excel row</t>
        </is>
      </c>
      <c r="F322" s="2" t="inlineStr">
        <is>
          <t>Material Summary!R14 (Bracing 1-1/2" C.R. channel @ 48" O.C., 2,883.65 LF) + Scope Checklist!R7 (ALC-06)</t>
        </is>
      </c>
      <c r="G322" s="3" t="inlineStr">
        <is>
          <t>COVERED</t>
        </is>
      </c>
      <c r="H322" s="2" t="inlineStr">
        <is>
          <t>METAL STUD SCHEDULE note 3</t>
        </is>
      </c>
      <c r="I322" s="2" t="inlineStr">
        <is>
          <t>CRC carried on all walls (incl. those under 12 ft per Partition Note 4 'ALL STUD WALLS ... BRIDGING ... 4'-0" MAX'). Clip angles: see 5/A-410 GAP row.</t>
        </is>
      </c>
      <c r="J322" s="2" t="inlineStr">
        <is>
          <t>A-410_metal-stud-schedule.png</t>
        </is>
      </c>
      <c r="K322" s="2" t="n">
        <v>28</v>
      </c>
    </row>
    <row r="323">
      <c r="A323" s="2" t="n">
        <v>322</v>
      </c>
      <c r="B323" s="2" t="inlineStr">
        <is>
          <t>A-410</t>
        </is>
      </c>
      <c r="C323" s="2" t="inlineStr">
        <is>
          <t>Schedule note</t>
        </is>
      </c>
      <c r="D323" s="2" t="inlineStr">
        <is>
          <t>METAL STUD SIZE / MAXIMUM UNBRACED HEIGHT: 3 5/8" X 25 GA. 11'-3"; 3 5/8" X 20 GA. 14'-0"; 3 5/8" X 16 GA. 18'-0"; 6" X 25 GA. 16'-0"; 6" X 20 GA. 21'-0"; 6" X 16 GA. 25'-0"</t>
        </is>
      </c>
      <c r="E323" s="2" t="inlineStr">
        <is>
          <t>RFI</t>
        </is>
      </c>
      <c r="F323" s="2" t="inlineStr">
        <is>
          <t>Pending Items!R7 (RFI-04 CLOSED, diagonal braces type 2) + Material Summary!R14</t>
        </is>
      </c>
      <c r="G323" s="5" t="inlineStr">
        <is>
          <t>RFI</t>
        </is>
      </c>
      <c r="H323" s="2" t="inlineStr">
        <is>
          <t>METAL STUD BRACE SCHEDULE</t>
        </is>
      </c>
      <c r="I323" s="2" t="inlineStr">
        <is>
          <t>Type 2 (25'-0") exceeds every 3-5/8" unbraced height -&gt; braced to structure (RFI-04, 468 LF). 6" walls at 25'-0" (W5-01, H1, H3a/b, E1, E2, I) exceed 6" x 20 GA 21'-0" and equal 6" x 16 GA 25'-0" [CONFIRMED]; Excel carries no gauge and no braces for 6" walls -&gt; include in the gauge RFI (6" 16 ga = 3,007.5 LF of R11 if unbraced). Cafe 3-5/8" walls: see GAP row.</t>
        </is>
      </c>
      <c r="J323" s="2" t="inlineStr">
        <is>
          <t>A-410_metal-stud-brace-schedule.png</t>
        </is>
      </c>
      <c r="K323" s="2" t="n">
        <v>28</v>
      </c>
    </row>
    <row r="324">
      <c r="A324" s="2" t="n">
        <v>323</v>
      </c>
      <c r="B324" s="2" t="inlineStr">
        <is>
          <t>A-410</t>
        </is>
      </c>
      <c r="C324" s="2" t="inlineStr">
        <is>
          <t>Schedule note</t>
        </is>
      </c>
      <c r="D324" s="2" t="inlineStr">
        <is>
          <t>"e" - WEB STIFFENERS REQUIRED AT ENDS. 1. STUD GAUGE MAY VARY PER WALL TYPE DEPENDING ON THE ACTUAL HEIGHT AND SHEATHING TYPE REQUIRED. 2. WEB-HEIGHT TO THICKNESS RATIO EXCEEDS 200. WEB STIFFENERS ARE REQUIRED AT ALL SUPPORT POINTS AND CONCENTRATED LOADS. 6. WEB CRIPPLING CHECK BASED ON 1 INCH END BEARING. WHERE LIMITING HEIGHTS ARE FOLLOWED BY "e", WEB STIFFENERS ARE REQUIRED.</t>
        </is>
      </c>
      <c r="E324" s="2" t="inlineStr">
        <is>
          <t>EXCLUDED</t>
        </is>
      </c>
      <c r="F324" s="2" t="inlineStr">
        <is>
          <t>n/a (no 'e' flag in the A-410 schedules); note 1 -&gt; gauge GAP row</t>
        </is>
      </c>
      <c r="G324" s="4" t="inlineStr">
        <is>
          <t>EXCLUDED</t>
        </is>
      </c>
      <c r="H324" s="2" t="inlineStr">
        <is>
          <t>STUD NOTES "e" and 1-2, 6</t>
        </is>
      </c>
      <c r="I324" s="2" t="inlineStr">
        <is>
          <t>No limiting height in the Metal Stud / Brace schedules is followed by 'e' [CONFIRMED by reading], so no web stiffeners are triggered; note 2 applies to 25-ga stud web ratios not used here. Note 1 feeds the gauge-split GAP.</t>
        </is>
      </c>
      <c r="J324" s="2" t="inlineStr">
        <is>
          <t>A-410_stud-notes.png</t>
        </is>
      </c>
      <c r="K324" s="2" t="n">
        <v>28</v>
      </c>
    </row>
    <row r="325">
      <c r="A325" s="2" t="n">
        <v>324</v>
      </c>
      <c r="B325" s="2" t="inlineStr">
        <is>
          <t>A-410</t>
        </is>
      </c>
      <c r="C325" s="2" t="inlineStr">
        <is>
          <t>Schedule note</t>
        </is>
      </c>
      <c r="D325" s="2" t="inlineStr">
        <is>
          <t>3. 5 PSF (POUNDS PER SQUARE FOOT), 7.5 PSF AND 10 PSF LOADS HAVE NOT BEEN REDUCED FOR STRENGTH DEFLECTION CHECKS, FULL LATERAL LOADS ARE APPLIED. 4. LIMITING HEIGHTS ARE BASED ON PROPERLY FASTENED SHEATHING ON BOTH FLANGES OVER THE FULL HEIGHT OF THE STUD. 5. LIMITING HEIGHTS ARE BASED ON STEEL PROPERTIES ONLY (NON-COMPOSITE). 7. ALLOWABLE MOMENT IS THE LESSER OF Mal AND Mad. STUD DISTORTIONAL BUCKLING BASED ON AN ASSUMED Ko = 0. 8. REFER TO SPECIFICATIONS FOR DEFLECTION LIMIT.</t>
        </is>
      </c>
      <c r="E325" s="2" t="inlineStr">
        <is>
          <t>EXCLUDED</t>
        </is>
      </c>
      <c r="F325" s="2" t="inlineStr">
        <is>
          <t>n/a (design criteria, no material)</t>
        </is>
      </c>
      <c r="G325" s="4" t="inlineStr">
        <is>
          <t>EXCLUDED</t>
        </is>
      </c>
      <c r="H325" s="2" t="inlineStr">
        <is>
          <t>STUD NOTES 3, 4, 5, 7, 8</t>
        </is>
      </c>
      <c r="I325" s="2" t="inlineStr">
        <is>
          <t>Design basis, no quantity. Note 4 matters for the gauge RFI: walls whose board stops at ceiling + 6" (RFI-19) or carry plywood/one face only are not 'sheathed both flanges full height', so the schedule heights are not met without bracing - mention in the gauge RFI.</t>
        </is>
      </c>
      <c r="J325" s="2" t="inlineStr">
        <is>
          <t>A-410_stud-notes.png</t>
        </is>
      </c>
      <c r="K325" s="2" t="n">
        <v>28</v>
      </c>
    </row>
    <row r="326">
      <c r="A326" s="2" t="n">
        <v>325</v>
      </c>
      <c r="B326" s="2" t="inlineStr">
        <is>
          <t>A-410</t>
        </is>
      </c>
      <c r="C326" s="2" t="inlineStr">
        <is>
          <t>General note</t>
        </is>
      </c>
      <c r="D326" s="2" t="inlineStr">
        <is>
          <t>1. ALL METAL STUDS TO CONFORM TO LOCAL BUILDING CODES. 6. THE MATERIALS AND DETAILS SHOWN ARE FOR TYP. INSTALLATIONS. WHERE THE STUD MANUFACTURER'S RECOMMENDATIONS OR LOCAL ORDINANCES ARE MORE RESTRICTIVE, THEY SHALL APPLY.</t>
        </is>
      </c>
      <c r="E326" s="2" t="inlineStr">
        <is>
          <t>EXCLUDED</t>
        </is>
      </c>
      <c r="F326" s="2" t="inlineStr">
        <is>
          <t>n/a (general requirement)</t>
        </is>
      </c>
      <c r="G326" s="4" t="inlineStr">
        <is>
          <t>EXCLUDED</t>
        </is>
      </c>
      <c r="H326" s="2" t="inlineStr">
        <is>
          <t>Partition notes (schedule column) 1, 6</t>
        </is>
      </c>
      <c r="I326" s="2" t="inlineStr">
        <is>
          <t>No quantity.</t>
        </is>
      </c>
      <c r="J326" s="2" t="inlineStr">
        <is>
          <t>A-410_partition-notes-1-7.png</t>
        </is>
      </c>
      <c r="K326" s="2" t="n">
        <v>28</v>
      </c>
    </row>
    <row r="327">
      <c r="A327" s="2" t="n">
        <v>326</v>
      </c>
      <c r="B327" s="2" t="inlineStr">
        <is>
          <t>A-410</t>
        </is>
      </c>
      <c r="C327" s="2" t="inlineStr">
        <is>
          <t>General note</t>
        </is>
      </c>
      <c r="D327" s="2" t="inlineStr">
        <is>
          <t>2. ALL STUD WALLS AND PARTITIONS REQUIRE GYP. BOARD ON BOTH SIDES FOR THE FULL HEIGHT OF THE STUDS UNLESS SPECIFICALLY DETAILED OTHERWISE.</t>
        </is>
      </c>
      <c r="E327" s="2" t="inlineStr">
        <is>
          <t>Excel row</t>
        </is>
      </c>
      <c r="F327" s="2" t="inlineStr">
        <is>
          <t>Pending Items!R22 (RFI-19 CLOSED, estimator decision: board = ceiling + 6") + Material Summary!R19/R20</t>
        </is>
      </c>
      <c r="G327" s="3" t="inlineStr">
        <is>
          <t>COVERED</t>
        </is>
      </c>
      <c r="H327" s="2" t="inlineStr">
        <is>
          <t>Partition note 2 (schedule column)</t>
        </is>
      </c>
      <c r="I327" s="2" t="inlineStr">
        <is>
          <t>2/A-410 and 5/A-410 detail the board stopping above the ceiling ('EXTEND GYPSUM BOARD TO DECK IN LOCATIONS WITH NO CEILING') = 'specifically detailed otherwise'; estimator decision RI 5 (ceiling + 6") kept. Not an error.</t>
        </is>
      </c>
      <c r="J327" s="2" t="inlineStr">
        <is>
          <t>A-410_partition-notes-1-7.png</t>
        </is>
      </c>
      <c r="K327" s="2" t="n">
        <v>28</v>
      </c>
    </row>
    <row r="328">
      <c r="A328" s="2" t="n">
        <v>327</v>
      </c>
      <c r="B328" s="2" t="inlineStr">
        <is>
          <t>A-410</t>
        </is>
      </c>
      <c r="C328" s="2" t="inlineStr">
        <is>
          <t>General note</t>
        </is>
      </c>
      <c r="D328" s="2" t="inlineStr">
        <is>
          <t>3. ALL SUSPENDED WALLS SHALL HAVE GYP. BOARD WHICH EXTENDS 6" ABOVE THE SUSPENDED CEILING UNLESS SHOWN AND/OR NOTED OTHERWISE BY THE ARCHITECT.</t>
        </is>
      </c>
      <c r="E328" s="2" t="inlineStr">
        <is>
          <t>Excel row</t>
        </is>
      </c>
      <c r="F328" s="2" t="inlineStr">
        <is>
          <t>Pending Items!R22 (RFI-19) + Pending Items!R9 (RFI-06)</t>
        </is>
      </c>
      <c r="G328" s="3" t="inlineStr">
        <is>
          <t>COVERED</t>
        </is>
      </c>
      <c r="H328" s="2" t="inlineStr">
        <is>
          <t>Partition note 3 (schedule column)</t>
        </is>
      </c>
      <c r="I328" s="2" t="inlineStr">
        <is>
          <t>Ceiling + 6" applied to the faces with a ceiling.</t>
        </is>
      </c>
      <c r="J328" s="2" t="inlineStr">
        <is>
          <t>A-410_partition-notes-1-7.png</t>
        </is>
      </c>
      <c r="K328" s="2" t="n">
        <v>28</v>
      </c>
    </row>
    <row r="329">
      <c r="A329" s="2" t="n">
        <v>328</v>
      </c>
      <c r="B329" s="2" t="inlineStr">
        <is>
          <t>A-410</t>
        </is>
      </c>
      <c r="C329" s="2" t="inlineStr">
        <is>
          <t>General note</t>
        </is>
      </c>
      <c r="D329" s="2" t="inlineStr">
        <is>
          <t>4. ALL STUD WALLS AND PARTITIONS SHALL HAVE CONTINUOUS LINES OF BRIDGING SPACED AT 4'-0" MAXIMUM ON CENTER. THE BRIDGING SHALL BE SECURELY FASTENED TO THE STUDS WITH EITHER SCREWS OR WELDS.</t>
        </is>
      </c>
      <c r="E329" s="2" t="inlineStr">
        <is>
          <t>Excel row</t>
        </is>
      </c>
      <c r="F329" s="2" t="inlineStr">
        <is>
          <t>Material Summary!R14 (2,883.65 LF, rows = ROUNDUP(H x 12 / 48) - 1) + Scope Checklist!R7</t>
        </is>
      </c>
      <c r="G329" s="3" t="inlineStr">
        <is>
          <t>COVERED</t>
        </is>
      </c>
      <c r="H329" s="2" t="inlineStr">
        <is>
          <t>Partition note 4 (schedule column)</t>
        </is>
      </c>
      <c r="I329" s="2" t="inlineStr">
        <is>
          <t>[DERIVED] check: W2-03 565.44 / 94.24 = 6 rows at 25 ft; type 3 1 row at 8 ft; type 4 1 row at 7.5 ft - consistent.</t>
        </is>
      </c>
      <c r="J329" s="2" t="inlineStr">
        <is>
          <t>A-410_partition-notes-1-7.png</t>
        </is>
      </c>
      <c r="K329" s="2" t="n">
        <v>28</v>
      </c>
    </row>
    <row r="330">
      <c r="A330" s="2" t="n">
        <v>329</v>
      </c>
      <c r="B330" s="2" t="inlineStr">
        <is>
          <t>A-410</t>
        </is>
      </c>
      <c r="C330" s="2" t="inlineStr">
        <is>
          <t>General note</t>
        </is>
      </c>
      <c r="D330" s="2" t="inlineStr">
        <is>
          <t>5. ALL STUDS SHALL BE "CEE" STUDS WITH FLANGE STIFFENERS.</t>
        </is>
      </c>
      <c r="E330" s="2" t="inlineStr">
        <is>
          <t>Excel row</t>
        </is>
      </c>
      <c r="F330" s="2" t="inlineStr">
        <is>
          <t>Material Summary!R11, R12 (metal studs)</t>
        </is>
      </c>
      <c r="G330" s="3" t="inlineStr">
        <is>
          <t>COVERED</t>
        </is>
      </c>
      <c r="H330" s="2" t="inlineStr">
        <is>
          <t>Partition note 5 (schedule column)</t>
        </is>
      </c>
      <c r="I330" s="2" t="inlineStr">
        <is>
          <t>C-studs as carried; no separate quantity.</t>
        </is>
      </c>
      <c r="J330" s="2" t="inlineStr">
        <is>
          <t>A-410_partition-notes-1-7.png</t>
        </is>
      </c>
      <c r="K330" s="2" t="n">
        <v>28</v>
      </c>
    </row>
    <row r="331">
      <c r="A331" s="2" t="n">
        <v>330</v>
      </c>
      <c r="B331" s="2" t="inlineStr">
        <is>
          <t>A-410</t>
        </is>
      </c>
      <c r="C331" s="2" t="inlineStr">
        <is>
          <t>General note</t>
        </is>
      </c>
      <c r="D331" s="2" t="inlineStr">
        <is>
          <t>7. G.C. TO INSTALL GREENBOARD (OR EQUAL MOLD-RESISTANT GYP. BD) ON ALL TOILET ROOM, JANITORS CLOSET, OR SIMILAR TYPE OF WETROOM AREAS.</t>
        </is>
      </c>
      <c r="E331" s="2" t="inlineStr">
        <is>
          <t>Excel row</t>
        </is>
      </c>
      <c r="F331" s="2" t="inlineStr">
        <is>
          <t>Material Summary!R20 (5/8" Type X W.R.) + Pending Items!R14 (RFI-11)</t>
        </is>
      </c>
      <c r="G331" s="3" t="inlineStr">
        <is>
          <t>COVERED</t>
        </is>
      </c>
      <c r="H331" s="2" t="inlineStr">
        <is>
          <t>Partition note 7 (schedule column)</t>
        </is>
      </c>
      <c r="I331" s="2" t="inlineStr">
        <is>
          <t>W.R. on all faces of the wet rooms per estimator decision RFI-11.</t>
        </is>
      </c>
      <c r="J331" s="2" t="inlineStr">
        <is>
          <t>A-410_partition-notes-1-7.png</t>
        </is>
      </c>
      <c r="K331" s="2" t="n">
        <v>28</v>
      </c>
    </row>
    <row r="332">
      <c r="A332" s="2" t="n">
        <v>331</v>
      </c>
      <c r="B332" s="2" t="inlineStr">
        <is>
          <t>A-410</t>
        </is>
      </c>
      <c r="C332" s="2" t="inlineStr">
        <is>
          <t>General note</t>
        </is>
      </c>
      <c r="D332" s="2" t="inlineStr">
        <is>
          <t>A. STEEL STUDS TO STEEL STUDS OR TRACKS: 25/20 GAUGE - #8 - 18 X 1/2" TEKS WITH PHILIPS PAN HEAD - MIN. 2 PER CONNECTION; 18/16 GAUGE - #10 - 16 X 3/4" TEKS WITH PHILIPS PAN HEAD - MIN. 3 PER CONNECTION</t>
        </is>
      </c>
      <c r="E332" s="2" t="inlineStr">
        <is>
          <t>Excel row</t>
        </is>
      </c>
      <c r="F332" s="2" t="inlineStr">
        <is>
          <t>Material Summary!R41 (framing screws, 4 per stud piece)</t>
        </is>
      </c>
      <c r="G332" s="3" t="inlineStr">
        <is>
          <t>COVERED</t>
        </is>
      </c>
      <c r="H332" s="2" t="inlineStr">
        <is>
          <t>Partition note 8.A (typical fastener)</t>
        </is>
      </c>
      <c r="I332" s="2" t="inlineStr">
        <is>
          <t>2 per stud-to-track connection each end = 4 per stud (20 ga). If type 2 is 14/16 ga (gauge GAP), the note asks #10 x 3/4" min. 3 per connection = 6 per stud for those studs; add to the gauge split (type 2 stud pieces x 2 extra).</t>
        </is>
      </c>
      <c r="J332" s="2" t="inlineStr">
        <is>
          <t>A-410_partition-note-8-fasteners.png</t>
        </is>
      </c>
      <c r="K332" s="2" t="n">
        <v>28</v>
      </c>
    </row>
    <row r="333">
      <c r="A333" s="2" t="n">
        <v>332</v>
      </c>
      <c r="B333" s="2" t="inlineStr">
        <is>
          <t>A-410</t>
        </is>
      </c>
      <c r="C333" s="2" t="inlineStr">
        <is>
          <t>General note</t>
        </is>
      </c>
      <c r="D333" s="2" t="inlineStr">
        <is>
          <t>B. STEEL STUDS OR TRACKS TO WOOD PURLINS, GIRDERS AND BEAMS: #14 - 10 X 1-1/2" H.W.H. TYPE "S" METAL-TO-WOOD TEKS AT 12" O.C., 2" FROM EACH END</t>
        </is>
      </c>
      <c r="E333" s="2" t="inlineStr">
        <is>
          <t>EXCLUDED</t>
        </is>
      </c>
      <c r="F333" s="2" t="inlineStr">
        <is>
          <t>n/a</t>
        </is>
      </c>
      <c r="G333" s="4" t="inlineStr">
        <is>
          <t>EXCLUDED</t>
        </is>
      </c>
      <c r="H333" s="2" t="inlineStr">
        <is>
          <t>Partition note 8.B</t>
        </is>
      </c>
      <c r="I333" s="2" t="inlineStr">
        <is>
          <t>Structure is steel joists / metal deck (A-400A, A-400B); no wood purlins.</t>
        </is>
      </c>
      <c r="J333" s="2" t="inlineStr">
        <is>
          <t>A-410_partition-note-8-fasteners.png</t>
        </is>
      </c>
      <c r="K333" s="2" t="n">
        <v>28</v>
      </c>
    </row>
    <row r="334">
      <c r="A334" s="2" t="n">
        <v>333</v>
      </c>
      <c r="B334" s="2" t="inlineStr">
        <is>
          <t>A-410</t>
        </is>
      </c>
      <c r="C334" s="2" t="inlineStr">
        <is>
          <t>General note</t>
        </is>
      </c>
      <c r="D334" s="2" t="inlineStr">
        <is>
          <t>C. STEEL STUDS OR TRACKS TO STRUCTURAL STEEL (TUBE/WIDE FLANGE COL'S, BM'S, GIRDERS, ETC.): 0.145" DIA. HILTI X-EDNI FASTENERS, 5/8" MIN, LENGTH AND MIN. OF 2 PER CONNECTION, OR 2 ROWS AT 16" O.C. FOR CONTINUOUS APPLICATIONS SUCH AS TRACKS, U.O.N.</t>
        </is>
      </c>
      <c r="E334" s="2" t="inlineStr">
        <is>
          <t>NO DESTINATION (GAP) - proposed</t>
        </is>
      </c>
      <c r="F334" s="2" t="inlineStr">
        <is>
          <t>Proposed: new Material Summary row 'Top track fasteners to structure' (today R38 = 0)</t>
        </is>
      </c>
      <c r="G334" s="6" t="inlineStr">
        <is>
          <t>GAP</t>
        </is>
      </c>
      <c r="H334" s="2" t="inlineStr">
        <is>
          <t>Partition note 8.C</t>
        </is>
      </c>
      <c r="I334" s="2" t="inlineStr">
        <is>
          <t>No fastener row exists for the top / deflection track of the full-height walls to the joists / structure (R38 'power-driven fasteners and duct sleeves' = 0 for a different reason). 3/A-410 'DEEP LEG TRACK - SECU(RE) TO UNDERSIDE OF TRUSSES/JOISTS' and 8/A-410 '#8 SCREWS' to the top chord also call for it. Proposal (RFI on which applies): X-EDNI 2 rows @ 16" = 414.54 LF x 2 / 1.333 = 622 pcs [DERIVED], or #8 screws @ 24" at the relief channel (8/A-410) = 414.54 / 2 + ends = ~208 + 2 per wall [DERIVED]. 414.54 LF = full-height walls 3-5/8" 295.95 + 6" 118.59.</t>
        </is>
      </c>
      <c r="J334" s="2" t="inlineStr">
        <is>
          <t>A-410_partition-note-8C.png</t>
        </is>
      </c>
      <c r="K334" s="2" t="n">
        <v>28</v>
      </c>
    </row>
    <row r="335">
      <c r="A335" s="2" t="n">
        <v>334</v>
      </c>
      <c r="B335" s="2" t="inlineStr">
        <is>
          <t>A-410</t>
        </is>
      </c>
      <c r="C335" s="2" t="inlineStr">
        <is>
          <t>General note</t>
        </is>
      </c>
      <c r="D335" s="2" t="inlineStr">
        <is>
          <t>D. PLYWOOD TO STEEL STUDS: #10 - 24 X 1-1/4" TEKS/3 (PLYMETALTEKS) WITH THIN WAFER HEAD - 24" O.C. FILED, 12" O.C. PERIMETER</t>
        </is>
      </c>
      <c r="E335" s="2" t="inlineStr">
        <is>
          <t>NO DESTINATION (GAP) - proposed</t>
        </is>
      </c>
      <c r="F335" s="2" t="inlineStr">
        <is>
          <t>Proposed: new Material Summary row 'Plywood screws #10-24 x 1-1/4" Teks/3' driven by R29 + R30</t>
        </is>
      </c>
      <c r="G335" s="6" t="inlineStr">
        <is>
          <t>GAP</t>
        </is>
      </c>
      <c r="H335" s="2" t="inlineStr">
        <is>
          <t>Partition note 8.D</t>
        </is>
      </c>
      <c r="I335" s="2" t="inlineStr">
        <is>
          <t>Excel has drywall screws (R40) and framing screws (R41) but no plywood-to-stud screws for 2,256.92 SF of FRT plywood (R29 1,886.46 + R30 370.46). Proposal: yield ~0.75 screws/SF (24" field, 12" perimeter on 4x8/4x12 sheets, estimator to set) = ~1,693 pcs [DERIVED 2,256.92 x 0.75]; as a yield parameter in Inputs.</t>
        </is>
      </c>
      <c r="J335" s="2" t="inlineStr">
        <is>
          <t>A-410_partition-note-8-fasteners.png</t>
        </is>
      </c>
      <c r="K335" s="2" t="n">
        <v>28</v>
      </c>
    </row>
    <row r="336">
      <c r="A336" s="2" t="n">
        <v>335</v>
      </c>
      <c r="B336" s="2" t="inlineStr">
        <is>
          <t>A-410</t>
        </is>
      </c>
      <c r="C336" s="2" t="inlineStr">
        <is>
          <t>General note</t>
        </is>
      </c>
      <c r="D336" s="2" t="inlineStr">
        <is>
          <t>E. GYPSUM BOARD TO STEEL STUDS: #7 X 1-1/4" HI-LOW TYPE "S" BUGLE HEAD SCREWS FOR 3/8" TO 5/8" GYPSUM BOARD TO 25 GAUGE OR 20 GAUGE STUDS; #6 X 1-1/4" TYPE S-12 BUGLE HEAD SCREWS FOR 3/8" TO 5/8" TO 18 GAUGE OR 16 GAUGE STUDS OR TRACKS; FIELD - 12" O.C. CEILINGS, 24" O.C. WALLS; BUTT JOINTS 12" O.C.</t>
        </is>
      </c>
      <c r="E336" s="2" t="inlineStr">
        <is>
          <t>Excel row</t>
        </is>
      </c>
      <c r="F336" s="2" t="inlineStr">
        <is>
          <t>Material Summary!R40 (Drywall screws 1-1/4" bugle head, 1.2 / SF)</t>
        </is>
      </c>
      <c r="G336" s="3" t="inlineStr">
        <is>
          <t>COVERED</t>
        </is>
      </c>
      <c r="H336" s="2" t="inlineStr">
        <is>
          <t>Partition note 8.E</t>
        </is>
      </c>
      <c r="I336" s="2" t="inlineStr">
        <is>
          <t>Quantity yield carried. If type 2 studs are 14 ga (gauge GAP), board on type 2 faces needs S-12 screws: split R40 by stud gauge in the same update (no quantity change).</t>
        </is>
      </c>
      <c r="J336" s="2" t="inlineStr">
        <is>
          <t>A-410_partition-note-8-fasteners.png</t>
        </is>
      </c>
      <c r="K336" s="2" t="n">
        <v>28</v>
      </c>
    </row>
    <row r="337">
      <c r="A337" s="2" t="n">
        <v>336</v>
      </c>
      <c r="B337" s="2" t="inlineStr">
        <is>
          <t>A-410</t>
        </is>
      </c>
      <c r="C337" s="2" t="inlineStr">
        <is>
          <t>General note</t>
        </is>
      </c>
      <c r="D337" s="2" t="inlineStr">
        <is>
          <t>F. STEEL STUDS OR TRACKS TO CONCRETE: 0.145" DIA. HILTI X-DNI FASTENER, 1" MIN. LENGTH, 2 ROWS AT 16" O.C.</t>
        </is>
      </c>
      <c r="E337" s="2" t="inlineStr">
        <is>
          <t>RFI</t>
        </is>
      </c>
      <c r="F337" s="2" t="inlineStr">
        <is>
          <t>Pending Items!R2 (RFI-ACC-slab-pins) + Material Summary!R42 (640.61 pcs @ 12")</t>
        </is>
      </c>
      <c r="G337" s="5" t="inlineStr">
        <is>
          <t>RFI</t>
        </is>
      </c>
      <c r="H337" s="2" t="inlineStr">
        <is>
          <t>Partition note 8.F</t>
        </is>
      </c>
      <c r="I337" s="2" t="inlineStr">
        <is>
          <t>Slab pins: Excel carries 1 per ft (12", not printed on A-410); RFI-ACC-slab-pins already lists 12"/16"/24". A-410 prints two conflicting rules: note 8.F '2 ROWS AT 16" O.C.' and 9/A-410 'AT 24"'. Add the 2-rows option to the RFI: 640.61 x 2 / 1.333 = 961 pcs (+320 vs carried) [DERIVED]; 9/A-410 @ 24" = 321 pcs (-320).</t>
        </is>
      </c>
      <c r="J337" s="2" t="inlineStr">
        <is>
          <t>A-410_partition-note-8F.png</t>
        </is>
      </c>
      <c r="K337" s="2" t="n">
        <v>28</v>
      </c>
    </row>
    <row r="338">
      <c r="A338" s="2" t="n">
        <v>337</v>
      </c>
      <c r="B338" s="2" t="inlineStr">
        <is>
          <t>A-410</t>
        </is>
      </c>
      <c r="C338" s="2" t="inlineStr">
        <is>
          <t>General note</t>
        </is>
      </c>
      <c r="D338" s="2" t="inlineStr">
        <is>
          <t>* PROVIDE 5/8" WATER RESISTANT GYP. BD AT JANITOR'S CLOSET, DRINKING FOUNTAIN, KITCHEN AND ALL TOILET LOCATIONS.</t>
        </is>
      </c>
      <c r="E338" s="2" t="inlineStr">
        <is>
          <t>Excel row</t>
        </is>
      </c>
      <c r="F338" s="2" t="inlineStr">
        <is>
          <t>Material Summary!R20 + Pending Items!R14 (RFI-11) + Pending Items!R4 (RFI-01 rev2, kitchenette EXT-07 in allowance)</t>
        </is>
      </c>
      <c r="G338" s="3" t="inlineStr">
        <is>
          <t>COVERED</t>
        </is>
      </c>
      <c r="H338" s="2" t="inlineStr">
        <is>
          <t>* note</t>
        </is>
      </c>
      <c r="I338" s="2" t="inlineStr">
        <is>
          <t>Janitor, toilets and fountain alcove carried W.R.; 'KITCHEN' = break room kitchenette wall behind sink, existing EXT-07 inside the patch &amp; repair allowance (estimator decision Q3 rev1). Not an error.</t>
        </is>
      </c>
      <c r="J338" s="2" t="inlineStr">
        <is>
          <t>A-410_star-notes.png</t>
        </is>
      </c>
      <c r="K338" s="2" t="n">
        <v>28</v>
      </c>
    </row>
    <row r="339">
      <c r="A339" s="2" t="n">
        <v>338</v>
      </c>
      <c r="B339" s="2" t="inlineStr">
        <is>
          <t>A-410</t>
        </is>
      </c>
      <c r="C339" s="2" t="inlineStr">
        <is>
          <t>General note</t>
        </is>
      </c>
      <c r="D339" s="2" t="inlineStr">
        <is>
          <t>** SEE ELEVATIONS FOR ALL FINISHES. COLOR AND TEXTURE TBD. SEE SCHEDULE FOR MORE INFORMATION. *** FINISH EXPOSED SIDE ONLY</t>
        </is>
      </c>
      <c r="E339" s="2" t="inlineStr">
        <is>
          <t>EXCLUDED</t>
        </is>
      </c>
      <c r="F339" s="2" t="inlineStr">
        <is>
          <t>n/a</t>
        </is>
      </c>
      <c r="G339" s="4" t="inlineStr">
        <is>
          <t>EXCLUDED</t>
        </is>
      </c>
      <c r="H339" s="2" t="inlineStr">
        <is>
          <t>** and *** notes</t>
        </is>
      </c>
      <c r="I339" s="2" t="inlineStr">
        <is>
          <t>Finishes (paint) not in scope. No partition type on A-410 carries a '***' mark [reading]; no quantity.</t>
        </is>
      </c>
      <c r="J339" s="2" t="inlineStr">
        <is>
          <t>A-410_star-notes.png</t>
        </is>
      </c>
      <c r="K339" s="2" t="n">
        <v>28</v>
      </c>
    </row>
    <row r="340">
      <c r="A340" s="2" t="n">
        <v>339</v>
      </c>
      <c r="B340" s="2" t="inlineStr">
        <is>
          <t>A-410</t>
        </is>
      </c>
      <c r="C340" s="2" t="inlineStr">
        <is>
          <t>General note</t>
        </is>
      </c>
      <c r="D340" s="2" t="inlineStr">
        <is>
          <t>BUILDING DEPARTMENT NOTE: ALL PLYWOOD NEEDS TO BE FRT.</t>
        </is>
      </c>
      <c r="E340" s="2" t="inlineStr">
        <is>
          <t>Excel row</t>
        </is>
      </c>
      <c r="F340" s="2" t="inlineStr">
        <is>
          <t>Material Summary!R29, R30 (FRT plywood 5/8" and 3/4", N/SHEET cites 'A-410 (ALL PLYWOOD NEEDS TO BE FRT)') + Scope Checklist!R11</t>
        </is>
      </c>
      <c r="G340" s="3" t="inlineStr">
        <is>
          <t>COVERED</t>
        </is>
      </c>
      <c r="H340" s="2" t="inlineStr">
        <is>
          <t>BUILDING DEPARTMENT NOTE</t>
        </is>
      </c>
      <c r="I340" s="2" t="inlineStr">
        <is>
          <t>Already cited. Also applies to the RFI-22 '5/8" plywood' (types 3/4) - state FRT in RFI-22.</t>
        </is>
      </c>
      <c r="J340" s="2" t="inlineStr">
        <is>
          <t>A-410_building-dept-note-FRT.png</t>
        </is>
      </c>
      <c r="K340" s="2" t="n">
        <v>28</v>
      </c>
    </row>
    <row r="341">
      <c r="A341" s="2" t="n">
        <v>340</v>
      </c>
      <c r="B341" s="2" t="inlineStr">
        <is>
          <t>A-410</t>
        </is>
      </c>
      <c r="C341" s="2" t="inlineStr">
        <is>
          <t>Revision note</t>
        </is>
      </c>
      <c r="D341" s="2" t="inlineStr">
        <is>
          <t>Revision triangle '1' (Revision Log: 06-12-25 LL AND BD COMMENTS; 2: 07-23-25 BD COMMENTS)</t>
        </is>
      </c>
      <c r="E341" s="2" t="inlineStr">
        <is>
          <t>Excel row</t>
        </is>
      </c>
      <c r="F341" s="2" t="inlineStr">
        <is>
          <t>Material Summary!R29, R30</t>
        </is>
      </c>
      <c r="G341" s="3" t="inlineStr">
        <is>
          <t>COVERED</t>
        </is>
      </c>
      <c r="H341" s="2" t="inlineStr">
        <is>
          <t>Revision delta 1 next to the Building Department note</t>
        </is>
      </c>
      <c r="I341" s="2" t="inlineStr">
        <is>
          <t>The revised item is the FRT plywood note, already carried.</t>
        </is>
      </c>
      <c r="J341" s="2" t="inlineStr">
        <is>
          <t>A-410_building-dept-note-FRT.png</t>
        </is>
      </c>
      <c r="K341" s="2" t="n">
        <v>28</v>
      </c>
    </row>
    <row r="342">
      <c r="A342" s="2" t="n">
        <v>341</v>
      </c>
      <c r="B342" s="2" t="inlineStr">
        <is>
          <t>A-410</t>
        </is>
      </c>
      <c r="C342" s="2" t="inlineStr">
        <is>
          <t>General note</t>
        </is>
      </c>
      <c r="D342" s="2" t="inlineStr">
        <is>
          <t>NOTE: PROVIDE UL-LISTED METALLIC ELECTRICAL OUTLET BOXES IN FIRE-RESISTANCE-RATED WALL ASSEMBLIES. BOXES TO BE INSTALLED IN ACCORDANCE WITH UL DESIGN AND IBC REQUIREMENTS. WHERE BOXES EXCEED SIZE / SPACING LIMITATIONS, APPLY INTUMESCENT PUTTY (E.G., 3M, HILTI, OR STI) PER MANUFACTURER'S UL-LISTED DETAIL TO MAINTAIN FIRE-RESISTANCE RATING. THE LOW VOLTAGE WIRING AND ASSOCIATED CONDUITS MUST BE A UL-RATED ASSEMBLY.</t>
        </is>
      </c>
      <c r="E342" s="2" t="inlineStr">
        <is>
          <t>EXCLUDED</t>
        </is>
      </c>
      <c r="F342" s="2" t="inlineStr">
        <is>
          <t>Scope Checklist!R23 (ALC-22 NOT APPLICABLE, all types non-rated)</t>
        </is>
      </c>
      <c r="G342" s="4" t="inlineStr">
        <is>
          <t>EXCLUDED</t>
        </is>
      </c>
      <c r="H342" s="2" t="inlineStr">
        <is>
          <t>UL / outlet box NOTE</t>
        </is>
      </c>
      <c r="I342" s="2" t="inlineStr">
        <is>
          <t>Electrical (Div 26) boxes / putty, and only in rated assemblies; all partition types are Non-Rated.</t>
        </is>
      </c>
      <c r="J342" s="2" t="inlineStr">
        <is>
          <t>A-410_UL-outlet-box-note.png</t>
        </is>
      </c>
      <c r="K342" s="2" t="n">
        <v>28</v>
      </c>
    </row>
    <row r="343">
      <c r="A343" s="2" t="n">
        <v>342</v>
      </c>
      <c r="B343" s="2" t="inlineStr">
        <is>
          <t>A-410</t>
        </is>
      </c>
      <c r="C343" s="2" t="inlineStr">
        <is>
          <t>General note</t>
        </is>
      </c>
      <c r="D343" s="2" t="inlineStr">
        <is>
          <t>1. ALL RATED PARTITIONS SHALL BE CONSTRUCTED TO THE UNDERSIDE OF THE STRUCTURAL FLOOR OR ROOF ABOVE WITH FIRESTOPPING AS PER CODE REQUIREMENTS. 3. ALL RATED ASSEMBLIES MUST COMPLY WITH U.L. SPECIFICATIONS FOR CONSTRUCTION.</t>
        </is>
      </c>
      <c r="E343" s="2" t="inlineStr">
        <is>
          <t>EXCLUDED</t>
        </is>
      </c>
      <c r="F343" s="2" t="inlineStr">
        <is>
          <t>Scope Checklist!R23 (ALC-22)</t>
        </is>
      </c>
      <c r="G343" s="4" t="inlineStr">
        <is>
          <t>EXCLUDED</t>
        </is>
      </c>
      <c r="H343" s="2" t="inlineStr">
        <is>
          <t>PARTITION NOTES box (center) 1, 3</t>
        </is>
      </c>
      <c r="I343" s="2" t="inlineStr">
        <is>
          <t>No rated partitions in the set.</t>
        </is>
      </c>
      <c r="J343" s="2" t="inlineStr">
        <is>
          <t>A-410_partition-notes-box-1-8.png</t>
        </is>
      </c>
      <c r="K343" s="2" t="n">
        <v>28</v>
      </c>
    </row>
    <row r="344">
      <c r="A344" s="2" t="n">
        <v>343</v>
      </c>
      <c r="B344" s="2" t="inlineStr">
        <is>
          <t>A-410</t>
        </is>
      </c>
      <c r="C344" s="2" t="inlineStr">
        <is>
          <t>General note</t>
        </is>
      </c>
      <c r="D344" s="2" t="inlineStr">
        <is>
          <t>2. PROVIDE WATER RESISTANT GYPSUM BOARD IN ALL BATHROOMS AND JANITOR'S CLOSET FOR WALL AND CEILING CONSTRUCTION.</t>
        </is>
      </c>
      <c r="E344" s="2" t="inlineStr">
        <is>
          <t>Excel row</t>
        </is>
      </c>
      <c r="F344" s="2" t="inlineStr">
        <is>
          <t>Material Summary!R20 (incl. restroom ceilings 122.30 SF) + Pending Items!R14 (RFI-11) + Scope Checklist!R9, R12</t>
        </is>
      </c>
      <c r="G344" s="3" t="inlineStr">
        <is>
          <t>COVERED</t>
        </is>
      </c>
      <c r="H344" s="2" t="inlineStr">
        <is>
          <t>PARTITION NOTES box (center) 2</t>
        </is>
      </c>
      <c r="I344" s="2" t="inlineStr">
        <is>
          <t>Verified: this is the 'Partition Notes 2' that RFI-11 quotes (center box, not the schedule-column list whose note 2 is the full-height board note). Janitor 107 has no GWB ceiling in the Excel (open to deck), consistent.</t>
        </is>
      </c>
      <c r="J344" s="2" t="inlineStr">
        <is>
          <t>A-410_partition-notes-box-1-8.png</t>
        </is>
      </c>
      <c r="K344" s="2" t="n">
        <v>28</v>
      </c>
    </row>
    <row r="345">
      <c r="A345" s="2" t="n">
        <v>344</v>
      </c>
      <c r="B345" s="2" t="inlineStr">
        <is>
          <t>A-410</t>
        </is>
      </c>
      <c r="C345" s="2" t="inlineStr">
        <is>
          <t>General note</t>
        </is>
      </c>
      <c r="D345" s="2" t="inlineStr">
        <is>
          <t>4. FOLLOW MANUFACTURER'S RECOMMENDATIONS AND ALL APPLICABLE CODES FOR LIMITING HEIGHT CRITERIA OF DRYWALL PARTITIONS. 5. SIZE, STYLE, AND GAUGE OF ALL STUDS SHALL BE COORDINATED AND VERIFIED WITH MANUFACTURER'S RECOMMENDATIONS FOR LOADS AND LIMITING HEIGHTS (ALL METAL STUDS TO BE MIN. 20 GAUGE).</t>
        </is>
      </c>
      <c r="E345" s="2" t="inlineStr">
        <is>
          <t>NO DESTINATION (GAP) - proposed</t>
        </is>
      </c>
      <c r="F345" s="2" t="inlineStr">
        <is>
          <t>Material Summary!R11, R12 (no gauge) - same gauge-split proposal</t>
        </is>
      </c>
      <c r="G345" s="6" t="inlineStr">
        <is>
          <t>GAP</t>
        </is>
      </c>
      <c r="H345" s="2" t="inlineStr">
        <is>
          <t>PARTITION NOTES box (center) 4, 5</t>
        </is>
      </c>
      <c r="I345" s="2" t="inlineStr">
        <is>
          <t>'ALL METAL STUDS TO BE MIN. 20 GAUGE' [CONFIRMED]: the Excel carries no gauge on any stud / track row; set 20 ga minimum on every row and 14 ga for type 2 (see METAL STUD SCHEDULE GAP row).</t>
        </is>
      </c>
      <c r="J345" s="2" t="inlineStr">
        <is>
          <t>A-410_partition-notes-box-1-8.png</t>
        </is>
      </c>
      <c r="K345" s="2" t="n">
        <v>28</v>
      </c>
    </row>
    <row r="346">
      <c r="A346" s="2" t="n">
        <v>345</v>
      </c>
      <c r="B346" s="2" t="inlineStr">
        <is>
          <t>A-410</t>
        </is>
      </c>
      <c r="C346" s="2" t="inlineStr">
        <is>
          <t>General note</t>
        </is>
      </c>
      <c r="D346" s="2" t="inlineStr">
        <is>
          <t>6. BRACE PARTITIONS TO UNDERSIDE OF STRUCTURE ABOVE. PROVIDE FIRESTOPPING FOR RATED PARTITION TYPES (SEE CONSTRUCTION LEGEND FOR PARTITION TYPES).</t>
        </is>
      </c>
      <c r="E346" s="2" t="inlineStr">
        <is>
          <t>Excel row</t>
        </is>
      </c>
      <c r="F346" s="2" t="inlineStr">
        <is>
          <t>Pending Items!R7 (RFI-04) + Material Summary!R12 (DIAG-BRACES-T2 468 LF)</t>
        </is>
      </c>
      <c r="G346" s="3" t="inlineStr">
        <is>
          <t>COVERED</t>
        </is>
      </c>
      <c r="H346" s="2" t="inlineStr">
        <is>
          <t>PARTITION NOTES box (center) 6</t>
        </is>
      </c>
      <c r="I346" s="2" t="inlineStr">
        <is>
          <t>Bracing to structure carried for type 2; partial-height types 3/4 are freestanding with moment clips (RFI-28); Cafe 3-5/8" walls see GAP row. Firestopping: rated only, N/A.</t>
        </is>
      </c>
      <c r="J346" s="2" t="inlineStr">
        <is>
          <t>A-410_partition-notes-box-1-8.png</t>
        </is>
      </c>
      <c r="K346" s="2" t="n">
        <v>28</v>
      </c>
    </row>
    <row r="347">
      <c r="A347" s="2" t="n">
        <v>346</v>
      </c>
      <c r="B347" s="2" t="inlineStr">
        <is>
          <t>A-410</t>
        </is>
      </c>
      <c r="C347" s="2" t="inlineStr">
        <is>
          <t>General note</t>
        </is>
      </c>
      <c r="D347" s="2" t="inlineStr">
        <is>
          <t>7. PROVIDE DEFLECTION TRACK AS REQUIRED, AT ALL FULL HEIGHT PARTITIONS.</t>
        </is>
      </c>
      <c r="E347" s="2" t="inlineStr">
        <is>
          <t>Excel row</t>
        </is>
      </c>
      <c r="F347" s="2" t="inlineStr">
        <is>
          <t>Material Summary!R7, R8 (Top / deflection track) + R47</t>
        </is>
      </c>
      <c r="G347" s="3" t="inlineStr">
        <is>
          <t>COVERED</t>
        </is>
      </c>
      <c r="H347" s="2" t="inlineStr">
        <is>
          <t>PARTITION NOTES box (center) 7</t>
        </is>
      </c>
      <c r="I347" s="2" t="inlineStr">
        <is>
          <t>Already cited in R47.</t>
        </is>
      </c>
      <c r="J347" s="2" t="inlineStr">
        <is>
          <t>A-410_partition-notes-box-1-8.png</t>
        </is>
      </c>
      <c r="K347" s="2" t="n">
        <v>28</v>
      </c>
    </row>
    <row r="348">
      <c r="A348" s="2" t="n">
        <v>347</v>
      </c>
      <c r="B348" s="2" t="inlineStr">
        <is>
          <t>A-410</t>
        </is>
      </c>
      <c r="C348" s="2" t="inlineStr">
        <is>
          <t>General note</t>
        </is>
      </c>
      <c r="D348" s="2" t="inlineStr">
        <is>
          <t>8. ALL CELLULOSE LOOSE FILL INSULATION SHALL HAVE A SMOKE-DEVELOPED INDEX NOT TO EXCEED 450 (AND A FLAME SPREAD RATING NOT TO EXCEED 25 IF SPRAY APPLIED).</t>
        </is>
      </c>
      <c r="E348" s="2" t="inlineStr">
        <is>
          <t>EXCLUDED</t>
        </is>
      </c>
      <c r="F348" s="2" t="inlineStr">
        <is>
          <t>Scope Checklist!R26 (ALC-X25)</t>
        </is>
      </c>
      <c r="G348" s="4" t="inlineStr">
        <is>
          <t>EXCLUDED</t>
        </is>
      </c>
      <c r="H348" s="2" t="inlineStr">
        <is>
          <t>PARTITION NOTES box (center) 8</t>
        </is>
      </c>
      <c r="I348" s="2" t="inlineStr">
        <is>
          <t>Insulation excluded (estimator criterion).</t>
        </is>
      </c>
      <c r="J348" s="2" t="inlineStr">
        <is>
          <t>A-410_partition-notes-box-1-8.png</t>
        </is>
      </c>
      <c r="K348" s="2" t="n">
        <v>28</v>
      </c>
    </row>
    <row r="349">
      <c r="A349" s="2" t="n">
        <v>348</v>
      </c>
      <c r="B349" s="2" t="inlineStr">
        <is>
          <t>A-410</t>
        </is>
      </c>
      <c r="C349" s="2" t="inlineStr">
        <is>
          <t>Detail bubble</t>
        </is>
      </c>
      <c r="D349" s="2" t="inlineStr">
        <is>
          <t>LATERAL BRACING CR 1 1/2" x 16 GA. GALVANIZED; GALVANIZED METAL STUD; 4'-0" O.C. FULL WALL HEIGHT; FIRST LEVEL START 4'-0" ABOVE FLOOR; 3/4" dims</t>
        </is>
      </c>
      <c r="E349" s="2" t="inlineStr">
        <is>
          <t>Excel row</t>
        </is>
      </c>
      <c r="F349" s="2" t="inlineStr">
        <is>
          <t>Material Summary!R14 (C.R. channel @ 48" O.C.)</t>
        </is>
      </c>
      <c r="G349" s="3" t="inlineStr">
        <is>
          <t>COVERED</t>
        </is>
      </c>
      <c r="H349" s="2" t="inlineStr">
        <is>
          <t>5/A-410 Lateral Bracing Detail at Partition</t>
        </is>
      </c>
      <c r="I349" s="2" t="inlineStr">
        <is>
          <t>Spacing and first row at 4'-0" match the carried rows (ROUNDUP(H x 12 / 48) - 1).</t>
        </is>
      </c>
      <c r="J349" s="2" t="inlineStr">
        <is>
          <t>A-410_5-lateral-bracing-clip-angle.png</t>
        </is>
      </c>
      <c r="K349" s="2" t="n">
        <v>28</v>
      </c>
    </row>
    <row r="350">
      <c r="A350" s="2" t="n">
        <v>349</v>
      </c>
      <c r="B350" s="2" t="inlineStr">
        <is>
          <t>A-410</t>
        </is>
      </c>
      <c r="C350" s="2" t="inlineStr">
        <is>
          <t>Detail note</t>
        </is>
      </c>
      <c r="D350" s="2" t="inlineStr">
        <is>
          <t>2" x 2" 16 GA. CLIP ANGLE 1/4" LESS THAN STUD WIDTH; (4) TEK SCREWS</t>
        </is>
      </c>
      <c r="E350" s="2" t="inlineStr">
        <is>
          <t>NO DESTINATION (GAP) - proposed</t>
        </is>
      </c>
      <c r="F350" s="2" t="inlineStr">
        <is>
          <t>Proposed: new Material Summary rows 'Clip angle 2x2 16 ga (CRC bracing)' + '#8 Tek screws for clip angles'</t>
        </is>
      </c>
      <c r="G350" s="6" t="inlineStr">
        <is>
          <t>GAP</t>
        </is>
      </c>
      <c r="H350" s="2" t="inlineStr">
        <is>
          <t>5/A-410 clip angle at each stud</t>
        </is>
      </c>
      <c r="I350" s="2" t="inlineStr">
        <is>
          <t>Every CRC-to-stud crossing gets a 2"x2" 16 ga clip angle with (4) Tek screws [CONFIRMED]; the Excel carries the channel only (R14). Delta: ~2,883.65 LF / 1.333 ft = ~2,163 clip angles + ~8,652 Tek screws [DERIVED, approx: one per stud per bracing row, before waste].</t>
        </is>
      </c>
      <c r="J350" s="2" t="inlineStr">
        <is>
          <t>A-410_5-lateral-bracing-clip-angle.png</t>
        </is>
      </c>
      <c r="K350" s="2" t="n">
        <v>28</v>
      </c>
    </row>
    <row r="351">
      <c r="A351" s="2" t="n">
        <v>350</v>
      </c>
      <c r="B351" s="2" t="inlineStr">
        <is>
          <t>A-410</t>
        </is>
      </c>
      <c r="C351" s="2" t="inlineStr">
        <is>
          <t>Detail bubble</t>
        </is>
      </c>
      <c r="D351" s="2" t="inlineStr">
        <is>
          <t>FILL DECK VOIDS W/ FIRE SAFING INSULATION AND FULLY SEAL BOTH SIDES AT RATED PARTITION ONLY.; METAL DECK; 1" MIN.; 1 1/2"; 2-1/2"; FLEX TRACK TOP MTL. STUD RUNNER - GAUGE TO MATCH STUDS; TOP OF STUD; WALLBOARD THICKNESS AND MATERIALS AS SCHEDULED IN PARTITION TYPES; NOTES: 1. WALLBOARD SHALL BE FASTENED TO TOP HORIZONTAL RUNNER LEG BELLOW BELLOWS. 2. FIRE TAPE ALL DRYWALL JOINTS ABOVE CEILINGS. SEAL AROUND ALL PENETRATIONS THRU OR INTO WALLS. FOR RATED PARTITIONIS ONLY. 3. PROVIDE FIRE STOP CAULKING AT ALL U.L. RATED PARTITIONS. 4. PROVIDE ACOUSTICAL SEALANT AT ALL ACOUSTICAL PARTITIONS.</t>
        </is>
      </c>
      <c r="E351" s="2" t="inlineStr">
        <is>
          <t>Excel row</t>
        </is>
      </c>
      <c r="F351" s="2" t="inlineStr">
        <is>
          <t>Material Summary!R7, R8 (top / deflection track); rated items Scope Checklist!R23; sealant Scope Checklist!R20</t>
        </is>
      </c>
      <c r="G351" s="3" t="inlineStr">
        <is>
          <t>COVERED</t>
        </is>
      </c>
      <c r="H351" s="2" t="inlineStr">
        <is>
          <t>4/A-410 Slip track / Firestop Detail at Partition</t>
        </is>
      </c>
      <c r="I351" s="2" t="inlineStr">
        <is>
          <t>Flex / slip top runner = the carried top / deflection track (gauge to match studs -&gt; gauge GAP). Deck-void safing, fire tape, firestop caulking: rated partitions only -&gt; N/A. Acoustical sealant excluded by standing order. Note: the Excel never cites 4/A-410.</t>
        </is>
      </c>
      <c r="J351" s="2" t="inlineStr">
        <is>
          <t>A-410_4-slip-track-firestop.png</t>
        </is>
      </c>
      <c r="K351" s="2" t="n">
        <v>28</v>
      </c>
    </row>
    <row r="352">
      <c r="A352" s="2" t="n">
        <v>351</v>
      </c>
      <c r="B352" s="2" t="inlineStr">
        <is>
          <t>A-410</t>
        </is>
      </c>
      <c r="C352" s="2" t="inlineStr">
        <is>
          <t>Detail bubble</t>
        </is>
      </c>
      <c r="D352" s="2" t="inlineStr">
        <is>
          <t>STRUCTURAL DEFLECTION ALLOWANCE (1" MIN.); DEEP LEG TRACK - SECU(RE) TO UNDERSIDE OF TRUSSES/JOISTS; NOTE: SIZE DEEP LEG TRACK TO ACCOMMODATE A DEFLECTION OF L/360 OF THE JOISTS OR BEAM SPAN. SIZE DEEP LEG TRACK TO ALLOW FOR ONE INCH OF STUD OVERLAP PLUS DEFLECTION ALLOWANCE; NOTE: DO NOT SECURE METAL STUDS OR GWB TO DEEP LEG TRACK.; GWB AT PARTITION TYPES WHERE OCCURS; CEILING LINE</t>
        </is>
      </c>
      <c r="E352" s="2" t="inlineStr">
        <is>
          <t>Excel row</t>
        </is>
      </c>
      <c r="F352" s="2" t="inlineStr">
        <is>
          <t>Material Summary!R7, R8 (Top / deflection track) + R47</t>
        </is>
      </c>
      <c r="G352" s="3" t="inlineStr">
        <is>
          <t>COVERED</t>
        </is>
      </c>
      <c r="H352" s="2" t="inlineStr">
        <is>
          <t>3/A-410 Top Track Detail - deep leg track</t>
        </is>
      </c>
      <c r="I352" s="2" t="inlineStr">
        <is>
          <t>Deep leg track carried as the top track of the full-height walls (leg depth not specified in the Excel; add 'deep leg' to the R7/R8 description).</t>
        </is>
      </c>
      <c r="J352" s="2" t="inlineStr">
        <is>
          <t>A-410_3-top-track-detail.png</t>
        </is>
      </c>
      <c r="K352" s="2" t="n">
        <v>28</v>
      </c>
    </row>
    <row r="353">
      <c r="A353" s="2" t="n">
        <v>352</v>
      </c>
      <c r="B353" s="2" t="inlineStr">
        <is>
          <t>A-410</t>
        </is>
      </c>
      <c r="C353" s="2" t="inlineStr">
        <is>
          <t>Detail note</t>
        </is>
      </c>
      <c r="D353" s="2" t="inlineStr">
        <is>
          <t>METAL RUNNER AT STUDS SECURE GWB TO METAL RUNNER</t>
        </is>
      </c>
      <c r="E353" s="2" t="inlineStr">
        <is>
          <t>NO DESTINATION (GAP) - proposed</t>
        </is>
      </c>
      <c r="F353" s="2" t="inlineStr">
        <is>
          <t>Proposed: RFI (or new Material Summary row 'Inner runner at stud tops, full-height walls')</t>
        </is>
      </c>
      <c r="G353" s="6" t="inlineStr">
        <is>
          <t>GAP</t>
        </is>
      </c>
      <c r="H353" s="2" t="inlineStr">
        <is>
          <t>3/A-410 Top Track Detail - metal runner at studs</t>
        </is>
      </c>
      <c r="I353" s="2" t="inlineStr">
        <is>
          <t>Read with 'DO NOT SECURE METAL STUDS OR GWB TO DEEP LEG TRACK', the detail appears to show a second (nested) runner on the stud tops inside the deep leg track to receive the GWB [plausible reading, not dimensioned] - a dual-track head. Excel carries one top track per LF. Delta if required: + 295.95 LF 3-5/8" runner + 118.59 LF 6" runner = 414.54 LF [DERIVED from Material Summary R7/R8 full-height walls: type 2 278.57 + C-H2a 12.17 + C-H2b 1.95 + C-F 3.26; 6" = R8 118.59].</t>
        </is>
      </c>
      <c r="J353" s="2" t="inlineStr">
        <is>
          <t>A-410_3-top-track-detail.png</t>
        </is>
      </c>
      <c r="K353" s="2" t="n">
        <v>28</v>
      </c>
    </row>
    <row r="354">
      <c r="A354" s="2" t="n">
        <v>353</v>
      </c>
      <c r="B354" s="2" t="inlineStr">
        <is>
          <t>A-410</t>
        </is>
      </c>
      <c r="C354" s="2" t="inlineStr">
        <is>
          <t>Detail note</t>
        </is>
      </c>
      <c r="D354" s="2" t="inlineStr">
        <is>
          <t>METAL STUD/TRACK FIRE STOP AT CEILING LINE, TY(P).</t>
        </is>
      </c>
      <c r="E354" s="2" t="inlineStr">
        <is>
          <t>Excel row</t>
        </is>
      </c>
      <c r="F354" s="2" t="inlineStr">
        <is>
          <t>Material Summary!R13 (FIRESTOP-TRACK-3 157.81 + FIRESTOP-TRACK-6 106.4) + Pending Items!R38 (RFI-35)</t>
        </is>
      </c>
      <c r="G354" s="3" t="inlineStr">
        <is>
          <t>COVERED</t>
        </is>
      </c>
      <c r="H354" s="2" t="inlineStr">
        <is>
          <t>3/A-410 fire stop at ceiling line</t>
        </is>
      </c>
      <c r="I354" s="2" t="inlineStr">
        <is>
          <t>Carried as 264.21 LF under RFI-35. Citation in the Excel says 8/A-410 - see CORREGIR row.</t>
        </is>
      </c>
      <c r="J354" s="2" t="inlineStr">
        <is>
          <t>A-410_3-top-track-detail.png</t>
        </is>
      </c>
      <c r="K354" s="2" t="n">
        <v>28</v>
      </c>
    </row>
    <row r="355">
      <c r="A355" s="2" t="n">
        <v>354</v>
      </c>
      <c r="B355" s="2" t="inlineStr">
        <is>
          <t>A-410</t>
        </is>
      </c>
      <c r="C355" s="2" t="inlineStr">
        <is>
          <t>Detail note</t>
        </is>
      </c>
      <c r="D355" s="2" t="inlineStr">
        <is>
          <t>PROVIDE DIAGONAL BRACING AT 32" O.C. TO STRUCTURE ABOVE (TYP.)</t>
        </is>
      </c>
      <c r="E355" s="2" t="inlineStr">
        <is>
          <t>Excel row</t>
        </is>
      </c>
      <c r="F355" s="2" t="inlineStr">
        <is>
          <t>Pending Items!R7 (RFI-04 CLOSED) + Material Summary!R12 (DIAG-BRACES-T2 468 LF)</t>
        </is>
      </c>
      <c r="G355" s="3" t="inlineStr">
        <is>
          <t>COVERED</t>
        </is>
      </c>
      <c r="H355" s="2" t="inlineStr">
        <is>
          <t>3/A-410 diagonal bracing</t>
        </is>
      </c>
      <c r="I355" s="2" t="inlineStr">
        <is>
          <t>117 braces x 4 ft for type 2 (estimator member choice). Cafe 3-5/8" walls at 25 ft not braced - see GAP row. Citation says 8/A-410 - see CORREGIR row.</t>
        </is>
      </c>
      <c r="J355" s="2" t="inlineStr">
        <is>
          <t>A-410_3-top-track-detail.png</t>
        </is>
      </c>
      <c r="K355" s="2" t="n">
        <v>28</v>
      </c>
    </row>
    <row r="356">
      <c r="A356" s="2" t="n">
        <v>355</v>
      </c>
      <c r="B356" s="2" t="inlineStr">
        <is>
          <t>A-410</t>
        </is>
      </c>
      <c r="C356" s="2" t="inlineStr">
        <is>
          <t>Detail bubble</t>
        </is>
      </c>
      <c r="D356" s="2" t="inlineStr">
        <is>
          <t>Top Track Detail bubble = 3 / A-410; 8 / A-410 = Typ. Connection Detail</t>
        </is>
      </c>
      <c r="E356" s="2" t="inlineStr">
        <is>
          <t>Excel row - CORRECT</t>
        </is>
      </c>
      <c r="F356" s="2" t="inlineStr">
        <is>
          <t>Material Summary!R12 (N/SHEET '8/A-410'), R13 (FIRESTOP track '8/A-410'), R47 ('8/A-410 Top Track Detail'); Pending Items!R7 (RFI-04 'diagonal bracing is on 8/A-410 Top Track Detail'), R38 (RFI-35 '8/A-410'); Scope Checklist!R5 (ALC-04), R7 (ALC-06)</t>
        </is>
      </c>
      <c r="G356" s="7" t="inlineStr">
        <is>
          <t>CORREGIR</t>
        </is>
      </c>
      <c r="H356" s="2" t="inlineStr">
        <is>
          <t>Citation of the Top Track Detail (Excel says 8/A-410)</t>
        </is>
      </c>
      <c r="I356" s="2" t="inlineStr">
        <is>
          <t>The Top Track Detail (fire stop at ceiling line, diagonal bracing @ 32", deep leg track) is bubble 3/A-410 [CONFIRMED: the bubble numeral has the open left side of a '3'; the type 2 / type 5 details also point their 'SLOTTED DEFLECTION' head to 3/A-410], while 8/A-410 is the Typ. Connection Detail (perpendicular / parallel to structure). Operation: replace '8/A-410' by '3/A-410' in those rows (citation only, no quantity change).</t>
        </is>
      </c>
      <c r="J356" s="2" t="inlineStr">
        <is>
          <t>A-410_3-top-track-detail.png</t>
        </is>
      </c>
      <c r="K356" s="2" t="n">
        <v>28</v>
      </c>
    </row>
    <row r="357">
      <c r="A357" s="2" t="n">
        <v>356</v>
      </c>
      <c r="B357" s="2" t="inlineStr">
        <is>
          <t>A-410</t>
        </is>
      </c>
      <c r="C357" s="2" t="inlineStr">
        <is>
          <t>Detail bubble</t>
        </is>
      </c>
      <c r="D357" s="2" t="inlineStr">
        <is>
          <t>ATTACH TO TOP CORD OF EXIST'G STRUCTURE W/ #8 SCREWS; 1/2" CLEAR AS REQ'D; CONTINUOUS 20 GA. X 2" MIN DEEP RELIEF CHANNEL - ANCHOR TO STEEL PLATE WITH #8 PAN HEAD SELF TAPPING SCREWS AT 24" O.C. AND 6" FROM ENDS.; BRIDGING PER STUD MFR SPECIFICATION; G.W.B. AS SCHEDULED; METAL STUDS AS SCHEDULED</t>
        </is>
      </c>
      <c r="E357" s="2" t="inlineStr">
        <is>
          <t>Excel row</t>
        </is>
      </c>
      <c r="F357" s="2" t="inlineStr">
        <is>
          <t>Material Summary!R7, R8 (top track = relief channel) + R14 (bridging); fasteners -&gt; Partition note 8.C GAP row</t>
        </is>
      </c>
      <c r="G357" s="3" t="inlineStr">
        <is>
          <t>COVERED</t>
        </is>
      </c>
      <c r="H357" s="2" t="inlineStr">
        <is>
          <t>8/A-410 Typ. Connection Detail - perpendicular to structure</t>
        </is>
      </c>
      <c r="I357" s="2" t="inlineStr">
        <is>
          <t>Relief channel 20 ga x 2" min deep = the carried top / deflection track (spec 20 ga, 2" leg to be written in R7/R8). #8 screws @ 24" O.C.: not carried, quantified in the 8.C GAP row.</t>
        </is>
      </c>
      <c r="J357" s="2" t="inlineStr">
        <is>
          <t>A-410_8-connection-detail.png</t>
        </is>
      </c>
      <c r="K357" s="2" t="n">
        <v>28</v>
      </c>
    </row>
    <row r="358">
      <c r="A358" s="2" t="n">
        <v>357</v>
      </c>
      <c r="B358" s="2" t="inlineStr">
        <is>
          <t>A-410</t>
        </is>
      </c>
      <c r="C358" s="2" t="inlineStr">
        <is>
          <t>Detail note</t>
        </is>
      </c>
      <c r="D358" s="2" t="inlineStr">
        <is>
          <t>(2) #8 SCREW AT EACH STUD; METAL STUD PER SCHEDULE W/ (1) 3/16" 3/8" P.A.F. AT EACH END. ATTACH TO TRACK W/ #8 SCREWS AT 24" O.C.; ATTACH TO TOP CORD OF EXIST'G STRUCTURE #8 SCREWS</t>
        </is>
      </c>
      <c r="E358" s="2" t="inlineStr">
        <is>
          <t>NO DESTINATION (GAP) - proposed</t>
        </is>
      </c>
      <c r="F358" s="2" t="inlineStr">
        <is>
          <t>Proposed: RFI + Material Summary!R12 line 'cross members between joists (walls parallel to joists)'</t>
        </is>
      </c>
      <c r="G358" s="6" t="inlineStr">
        <is>
          <t>GAP</t>
        </is>
      </c>
      <c r="H358" s="2" t="inlineStr">
        <is>
          <t>8/A-410 Typ. Connection Detail - parallel to structure</t>
        </is>
      </c>
      <c r="I358" s="2" t="inlineStr">
        <is>
          <t>Where a full-height wall runs parallel to the joists (joists N-S per RFI-15), the head track hangs from metal studs spanning joist to joist, each with (1) P.A.F. at each end and #8 screws to the track @ 24" [CONFIRMED]. Excel carries no such members. Spacing of the cross members and the list of parallel walls are not printed -&gt; RFI. Delta: per parallel wall, (wall LF / cross-member spacing + 1) x joist spacing (V.I.F) LF of 3-5/8" stud + 2 P.A.F. each + #8 screws @ 24" [PENDING].</t>
        </is>
      </c>
      <c r="J358" s="2" t="inlineStr">
        <is>
          <t>A-410_8-connection-detail.png</t>
        </is>
      </c>
      <c r="K358" s="2" t="n">
        <v>28</v>
      </c>
    </row>
    <row r="359">
      <c r="A359" s="2" t="n">
        <v>358</v>
      </c>
      <c r="B359" s="2" t="inlineStr">
        <is>
          <t>A-410</t>
        </is>
      </c>
      <c r="C359" s="2" t="inlineStr">
        <is>
          <t>Detail bubble</t>
        </is>
      </c>
      <c r="D359" s="2" t="inlineStr">
        <is>
          <t>METAL STUDS PER PARTITION TYPES; #8 SCREWS EA. SIDE OF STUD TO TRACK (TYP.); STUD TRACK; FIN. FLOOR; AT CONCRETE SLAB: 0.177 DIA. HILTI POWDER ACTUATED FASTENER W/ 3/4" EMBEDMENT AT 24"; AT WOOD SUB FLOORS: #8 SCREW @ 16" O.C. MINIMUM</t>
        </is>
      </c>
      <c r="E359" s="2" t="inlineStr">
        <is>
          <t>RFI</t>
        </is>
      </c>
      <c r="F359" s="2" t="inlineStr">
        <is>
          <t>Material Summary!R4, R5 (bottom track), R41 (framing screws), R42 (slab pins 640.61 @ 12") + Pending Items!R2 (RFI-ACC-slab-pins)</t>
        </is>
      </c>
      <c r="G359" s="5" t="inlineStr">
        <is>
          <t>RFI</t>
        </is>
      </c>
      <c r="H359" s="2" t="inlineStr">
        <is>
          <t>9/A-410 Typ. Floor Track Detail</t>
        </is>
      </c>
      <c r="I359" s="2" t="inlineStr">
        <is>
          <t>Bottom track and #8 screws each side covered. Pin spacing conflicts with note 8.F (2 rows @ 16"); the 12" carried is not printed on A-410 - kept open in RFI-ACC-slab-pins (24" alt = -320.31 pcs, already listed). No wood sub floors.</t>
        </is>
      </c>
      <c r="J359" s="2" t="inlineStr">
        <is>
          <t>A-410_9-floor-track.png</t>
        </is>
      </c>
      <c r="K359" s="2" t="n">
        <v>28</v>
      </c>
    </row>
    <row r="360">
      <c r="A360" s="2" t="n">
        <v>359</v>
      </c>
      <c r="B360" s="2" t="inlineStr">
        <is>
          <t>A-410</t>
        </is>
      </c>
      <c r="C360" s="2" t="inlineStr">
        <is>
          <t>Detail bubble</t>
        </is>
      </c>
      <c r="D360" s="2" t="inlineStr">
        <is>
          <t>Thru Penetration Firestopping Detail and Notes U.L. Design No. WL-1039: 1 WALL ASSEMBLY - 1 HOUR FIRE RESISTANT GYPSUM PANEL WALL ASSEMBLY. UL DESIGN NO. U465; 2 pipes / conduit annular space notes; 3 FORMING MATERIAL - MINIMUM 2-1/2" SAFING THERMAFIBER SAFING INSULATION ... U.L. R-10905 LABEL.; 4 FILL, VOID OR CAVITY MATERIAL - MINIMUM 1/2" DEPTH OF FIRECODE COMPOUND INSTALLED ON EACH SIDE OF THE WALL.</t>
        </is>
      </c>
      <c r="E360" s="2" t="inlineStr">
        <is>
          <t>EXCLUDED</t>
        </is>
      </c>
      <c r="F360" s="2" t="inlineStr">
        <is>
          <t>Scope Checklist!R23 (ALC-22 NOT APPLICABLE)</t>
        </is>
      </c>
      <c r="G360" s="4" t="inlineStr">
        <is>
          <t>EXCLUDED</t>
        </is>
      </c>
      <c r="H360" s="2" t="inlineStr">
        <is>
          <t>7/A-410 Typ. Rated Thru Wall Penetration Detail (UL WL-1039, U465)</t>
        </is>
      </c>
      <c r="I360" s="2" t="inlineStr">
        <is>
          <t>Rated-wall penetration firestopping (Div 07 84 / MEP); every partition type is Non-Rated, no U465 wall in the set.</t>
        </is>
      </c>
      <c r="J360" s="2" t="inlineStr">
        <is>
          <t>A-410_6-7-penetration-details.png</t>
        </is>
      </c>
      <c r="K360" s="2" t="n">
        <v>28</v>
      </c>
    </row>
    <row r="361">
      <c r="A361" s="2" t="n">
        <v>360</v>
      </c>
      <c r="B361" s="2" t="inlineStr">
        <is>
          <t>A-410</t>
        </is>
      </c>
      <c r="C361" s="2" t="inlineStr">
        <is>
          <t>Detail bubble</t>
        </is>
      </c>
      <c r="D361" s="2" t="inlineStr">
        <is>
          <t>Thru Penetration Firestopping Detail and Notes U.L. Design No. WL-1064: 1 WALL ASSEMBLY - 2 HOUR FIRE RESISTANT GYPSUM PANEL WALL ASSEMBLY. DESIGN NO. U491; 2 METALLIC PIPE - NOMINAL 3-1/2" o SCHEDULE 10 OR HEAVIER STEEL PIPE. PIPE SHOULD BE CENTERED WITHIN OPENING ...; 3 FORMING MATERIAL - MINIMUM 1/2" SAFING THERMAFIBER ...; 4 FILL, VOID OR CAVITY MATERIAL - CAULK- MINIMUM 1/2" DEPTH OF FIRECODE COMPOUND INSTALLED ON EACH SIDE OF THE WALL.</t>
        </is>
      </c>
      <c r="E361" s="2" t="inlineStr">
        <is>
          <t>EXCLUDED</t>
        </is>
      </c>
      <c r="F361" s="2" t="inlineStr">
        <is>
          <t>Scope Checklist!R23 (ALC-22)</t>
        </is>
      </c>
      <c r="G361" s="4" t="inlineStr">
        <is>
          <t>EXCLUDED</t>
        </is>
      </c>
      <c r="H361" s="2" t="inlineStr">
        <is>
          <t>6/A-410 Typ. Rated Thru Wall Penetration Detail (UL WL-1064, U491)</t>
        </is>
      </c>
      <c r="I361" s="2" t="inlineStr">
        <is>
          <t>Rated firestopping only; N/A (non-rated partitions).</t>
        </is>
      </c>
      <c r="J361" s="2" t="inlineStr">
        <is>
          <t>A-410_6-7-penetration-details.png</t>
        </is>
      </c>
      <c r="K361" s="2" t="n">
        <v>28</v>
      </c>
    </row>
    <row r="362">
      <c r="A362" s="2" t="n">
        <v>361</v>
      </c>
      <c r="B362" s="2" t="inlineStr">
        <is>
          <t>A-410</t>
        </is>
      </c>
      <c r="C362" s="2" t="inlineStr">
        <is>
          <t>Detail bubble</t>
        </is>
      </c>
      <c r="D362" s="2" t="inlineStr">
        <is>
          <t>6/A-410 = Typ. Rated Thru Wall Penetration Detail (pipe firestopping, UL WL-1064) - no stud reinforcement plate is drawn</t>
        </is>
      </c>
      <c r="E362" s="2" t="inlineStr">
        <is>
          <t>Excel row - CORRECT</t>
        </is>
      </c>
      <c r="F362" s="2" t="inlineStr">
        <is>
          <t>Material Summary!R33 (N/SHEET '[RFI] 6/A-410', '(6/A-410 penetration details)') + Pending Items!R3 (RFI-ACC-stud-reinforcement-mep)</t>
        </is>
      </c>
      <c r="G362" s="7" t="inlineStr">
        <is>
          <t>CORREGIR</t>
        </is>
      </c>
      <c r="H362" s="2" t="inlineStr">
        <is>
          <t>Citation of 6/A-410 for stud reinforcement at MEP penetrations</t>
        </is>
      </c>
      <c r="I362" s="2" t="inlineStr">
        <is>
          <t>6/A-410 and 7/A-410 show only pipe firestopping in rated walls [CONFIRMED]; neither prints stud reinforcement plates or duct sleeves. Operation: remove '6/A-410' as the source of the 'stud reinforcement plates x stud rows' delta and mark it as a skill default (no detail in the set), keeping the RFI (quantity 0, unchanged).</t>
        </is>
      </c>
      <c r="J362" s="2" t="inlineStr">
        <is>
          <t>A-410_6-7-penetration-details.png</t>
        </is>
      </c>
      <c r="K362" s="2" t="n">
        <v>28</v>
      </c>
    </row>
    <row r="363">
      <c r="A363" s="2" t="n">
        <v>362</v>
      </c>
      <c r="B363" s="2" t="inlineStr">
        <is>
          <t>A-410</t>
        </is>
      </c>
      <c r="C363" s="2" t="inlineStr">
        <is>
          <t>Partition tag</t>
        </is>
      </c>
      <c r="D363" s="2" t="inlineStr">
        <is>
          <t>Sheet holds the type library only (diamonds 1, 1A, 1B, 1C, 2, 3, 4, 5, A) - no plan, no tag instances</t>
        </is>
      </c>
      <c r="E363" s="2" t="inlineStr">
        <is>
          <t>Excel row</t>
        </is>
      </c>
      <c r="F363" s="2" t="inlineStr">
        <is>
          <t>Partition Takeoff (tag counts taken on A-101 / A-221)</t>
        </is>
      </c>
      <c r="G363" s="3" t="inlineStr">
        <is>
          <t>COVERED</t>
        </is>
      </c>
      <c r="H363" s="2" t="inlineStr">
        <is>
          <t>Partition tags on A-410</t>
        </is>
      </c>
      <c r="I363" s="2" t="inlineStr">
        <is>
          <t>Instance count on this sheet = 0; type library cross-checked above.</t>
        </is>
      </c>
      <c r="J363" s="2" t="inlineStr"/>
      <c r="K363" s="2" t="n">
        <v>28</v>
      </c>
    </row>
    <row r="364">
      <c r="A364" s="2" t="n">
        <v>363</v>
      </c>
      <c r="B364" s="2" t="inlineStr">
        <is>
          <t>A-412</t>
        </is>
      </c>
      <c r="C364" s="2" t="inlineStr">
        <is>
          <t>Detail note</t>
        </is>
      </c>
      <c r="D364" s="2" t="inlineStr">
        <is>
          <t>PROVIDE BLOCKING IN PARTITION FOR CABINETS AS REQUIRED</t>
        </is>
      </c>
      <c r="E364" s="2" t="inlineStr">
        <is>
          <t>Excel row</t>
        </is>
      </c>
      <c r="F364" s="2" t="inlineStr">
        <is>
          <t>Material Summary!R18 (BLK-BREAK 10.67 LF) + Pending Items!R26 (RFI-23 CLOSED) + Scope Checklist!R17 (ALC-16)</t>
        </is>
      </c>
      <c r="G364" s="3" t="inlineStr">
        <is>
          <t>COVERED</t>
        </is>
      </c>
      <c r="H364" s="2" t="inlineStr">
        <is>
          <t>6/A-412 Typical Breakroom Kitchen Unit Elevation</t>
        </is>
      </c>
      <c r="I364" s="2" t="inlineStr">
        <is>
          <t>Kitchen unit width 2'-9" + 2'-7" = 5'-4" [CONFIRMED 6/A-412] x 2 rows (upper + base cabinets) = 10.67 LF [DERIVED]; matches BLK-BREAK 10.67 LF.</t>
        </is>
      </c>
      <c r="J364" s="2" t="inlineStr">
        <is>
          <t>A-412_6-blocking-cabinets.png</t>
        </is>
      </c>
      <c r="K364" s="2" t="n">
        <v>29</v>
      </c>
    </row>
    <row r="365">
      <c r="A365" s="2" t="n">
        <v>364</v>
      </c>
      <c r="B365" s="2" t="inlineStr">
        <is>
          <t>A-412</t>
        </is>
      </c>
      <c r="C365" s="2" t="inlineStr">
        <is>
          <t>Detail note</t>
        </is>
      </c>
      <c r="D365" s="2" t="inlineStr">
        <is>
          <t>F.R.T. BLOCKING IN WALL BEHIND GWB</t>
        </is>
      </c>
      <c r="E365" s="2" t="inlineStr">
        <is>
          <t>Excel row</t>
        </is>
      </c>
      <c r="F365" s="2" t="inlineStr">
        <is>
          <t>Material Summary!R18 (BLK-OFFICE 85.6 LF) + Pending Items!R26 (RFI-23) + Scope Checklist!R17</t>
        </is>
      </c>
      <c r="G365" s="3" t="inlineStr">
        <is>
          <t>COVERED</t>
        </is>
      </c>
      <c r="H365" s="2" t="inlineStr">
        <is>
          <t>4/A-412 and 3/A-412 Office Elevations</t>
        </is>
      </c>
      <c r="I365" s="2" t="inlineStr">
        <is>
          <t>Office 8'-6" x 12'-11" [CONFIRMED 1/A-412, 12/A-412]; 4 rows x (12.92 + 8.50) = 85.67 LF [DERIVED] vs Excel 85.6 LF (rounding only, -0.07 LF, not a correction). Elevation 4 is the south (existing exterior) wall: opening of the existing GWB for this blocking is not described anywhere - see A-413 general-note GAP.</t>
        </is>
      </c>
      <c r="J365" s="2" t="inlineStr">
        <is>
          <t>A-412_3-4-FRT-blocking-office.png</t>
        </is>
      </c>
      <c r="K365" s="2" t="n">
        <v>29</v>
      </c>
    </row>
    <row r="366">
      <c r="A366" s="2" t="n">
        <v>365</v>
      </c>
      <c r="B366" s="2" t="inlineStr">
        <is>
          <t>A-412</t>
        </is>
      </c>
      <c r="C366" s="2" t="inlineStr">
        <is>
          <t>Detail note</t>
        </is>
      </c>
      <c r="D366" s="2" t="inlineStr">
        <is>
          <t>COUNTER AND SHELF W/ F.R.T. WOOD BLKG. (TYP.) / DRYWALL PARTITION WITH PAINTED FINISH</t>
        </is>
      </c>
      <c r="E366" s="2" t="inlineStr">
        <is>
          <t>Excel row</t>
        </is>
      </c>
      <c r="F366" s="2" t="inlineStr">
        <is>
          <t>Material Summary!R18 (BLK-OFFICE, 4 rows) + Material Summary!R19 (5/8" Type X)</t>
        </is>
      </c>
      <c r="G366" s="3" t="inlineStr">
        <is>
          <t>COVERED</t>
        </is>
      </c>
      <c r="H366" s="2" t="inlineStr">
        <is>
          <t>14/A-412 Counter Section / Detail</t>
        </is>
      </c>
      <c r="I366" s="2" t="inlineStr">
        <is>
          <t>14/A-412 shows 3 shelves (1'-4" spacing) + counter at 2'-7" = 4 blocking rows [CONFIRMED], consistent with the 4 rows carried for the office. Wall board = painted GWB, already in Type X faces.</t>
        </is>
      </c>
      <c r="J366" s="2" t="inlineStr"/>
      <c r="K366" s="2" t="n">
        <v>29</v>
      </c>
    </row>
    <row r="367">
      <c r="A367" s="2" t="n">
        <v>366</v>
      </c>
      <c r="B367" s="2" t="inlineStr">
        <is>
          <t>A-412</t>
        </is>
      </c>
      <c r="C367" s="2" t="inlineStr">
        <is>
          <t>Detail note</t>
        </is>
      </c>
      <c r="D367" s="2" t="inlineStr">
        <is>
          <t>2"x2"x16" STEEL ANGLE FASTENED TO EACH SUPPORT, PROVIDE FRT WD BLKG AS REQUIRED / CONTINUOUS 2" X 4" CLEAT / VANITY PANEL (PURCHASED FROM VENDOR AND INSTALLED BY G.C.)</t>
        </is>
      </c>
      <c r="E367" s="2" t="inlineStr">
        <is>
          <t>Excel row</t>
        </is>
      </c>
      <c r="F367" s="2" t="inlineStr">
        <is>
          <t>Material Summary!R18 (BLK-BREAK 2 rows)</t>
        </is>
      </c>
      <c r="G367" s="3" t="inlineStr">
        <is>
          <t>COVERED</t>
        </is>
      </c>
      <c r="H367" s="2" t="inlineStr">
        <is>
          <t>13/A-412 Cabinet Section / Detail</t>
        </is>
      </c>
      <c r="I367" s="2" t="inlineStr">
        <is>
          <t>FRT wood blocking behind the counter supports and wall cabinet is inside the 2 rows of BLK-BREAK. The continuous 2x4 cleat, steel angles and vanity panel are casework / millwork (not Div 05/09) - excluded by trade.</t>
        </is>
      </c>
      <c r="J367" s="2" t="inlineStr"/>
      <c r="K367" s="2" t="n">
        <v>29</v>
      </c>
    </row>
    <row r="368">
      <c r="A368" s="2" t="n">
        <v>367</v>
      </c>
      <c r="B368" s="2" t="inlineStr">
        <is>
          <t>A-412</t>
        </is>
      </c>
      <c r="C368" s="2" t="inlineStr">
        <is>
          <t>Detail note</t>
        </is>
      </c>
      <c r="D368" s="2" t="inlineStr">
        <is>
          <t>DRYWALL PARTITION WITH PAINTED FINISH (no W.R. board printed on A-412)</t>
        </is>
      </c>
      <c r="E368" s="2" t="inlineStr">
        <is>
          <t>EXCLUDED</t>
        </is>
      </c>
      <c r="F368" s="2" t="inlineStr">
        <is>
          <t>Pending Items!R4 (RFI-01 allowance; rev2 estimator decision: kitchenette W.R. on existing EXT-07 inside the patch &amp; repair allowance)</t>
        </is>
      </c>
      <c r="G368" s="4" t="inlineStr">
        <is>
          <t>EXCLUDED</t>
        </is>
      </c>
      <c r="H368" s="2" t="inlineStr">
        <is>
          <t>13/A-412, 6/A-412, 7/A-412 kitchenette wall</t>
        </is>
      </c>
      <c r="I368" s="2" t="inlineStr">
        <is>
          <t>A-412 prints no W.R. / moisture-resistant board at the kitchenette; the sink wall is the existing south exterior wall (7/A-412 plan). Estimator decision (rev1 Q3) keeps it inside the patch &amp; repair allowance. No change.</t>
        </is>
      </c>
      <c r="J368" s="2" t="inlineStr"/>
      <c r="K368" s="2" t="n">
        <v>29</v>
      </c>
    </row>
    <row r="369">
      <c r="A369" s="2" t="n">
        <v>368</v>
      </c>
      <c r="B369" s="2" t="inlineStr">
        <is>
          <t>A-412</t>
        </is>
      </c>
      <c r="C369" s="2" t="inlineStr">
        <is>
          <t>Detail bubble</t>
        </is>
      </c>
      <c r="D369" s="2" t="inlineStr">
        <is>
          <t>Office / Break Room plans and elevations: PT-1, VB-1, LOCKERS, COAT RACK, CONVENIENCE RECEPTACLE, 4'-0" O.C. MAX BETWEEN COUNTER SUPPORT</t>
        </is>
      </c>
      <c r="E369" s="2" t="inlineStr">
        <is>
          <t>EXCLUDED</t>
        </is>
      </c>
      <c r="F369" s="2" t="inlineStr">
        <is>
          <t>n/a (no Div 05/09 item)</t>
        </is>
      </c>
      <c r="G369" s="4" t="inlineStr">
        <is>
          <t>EXCLUDED</t>
        </is>
      </c>
      <c r="H369" s="2" t="inlineStr">
        <is>
          <t>1, 2, 5, 7, 8, 9, 10, 11, 12/A-412</t>
        </is>
      </c>
      <c r="I369" s="2" t="inlineStr">
        <is>
          <t>Finish tags (PT-1 paint, VB-1 base by others), lockers, electrical and furniture only. No blocking, board or framing note beyond the walls already carried as type 2 (Partition Takeoff!R12, R13). 12/A-412 counter-support spacing is served by the BLK-OFFICE rows.</t>
        </is>
      </c>
      <c r="J369" s="2" t="inlineStr"/>
      <c r="K369" s="2" t="n">
        <v>29</v>
      </c>
    </row>
    <row r="370">
      <c r="A370" s="2" t="n">
        <v>369</v>
      </c>
      <c r="B370" s="2" t="inlineStr">
        <is>
          <t>A-413</t>
        </is>
      </c>
      <c r="C370" s="2" t="inlineStr">
        <is>
          <t>Detail note</t>
        </is>
      </c>
      <c r="D370" s="2" t="inlineStr">
        <is>
          <t>FASTEN STEEL SHELVING TO FRT WOOD BLOCKING IN PARTITION / SHELVING UNITS SUPPLIED AND INSTALLED BY BARNES &amp; NOBLE. GENERAL CONTRACTOR TO SUPPLY BLOCKING IN WALLS.</t>
        </is>
      </c>
      <c r="E370" s="2" t="inlineStr">
        <is>
          <t>Excel row</t>
        </is>
      </c>
      <c r="F370" s="2" t="inlineStr">
        <is>
          <t>Material Summary!R18 (BLK-STOCK 387.0 LF, 3 rows) + Pending Items!R26 (RFI-23) + Scope Checklist!R17</t>
        </is>
      </c>
      <c r="G370" s="3" t="inlineStr">
        <is>
          <t>COVERED</t>
        </is>
      </c>
      <c r="H370" s="2" t="inlineStr">
        <is>
          <t>7/A-413 Shelving Detail at Stock Rm</t>
        </is>
      </c>
      <c r="I370" s="2" t="inlineStr">
        <is>
          <t>3 blocking rows at 1'-1 1/2", 4'-1 1/2", 7'-1 1/2" A.F.F. [DERIVED from 1'-1 1/2" + 3'-0" + 3'-0", 7A/A-413]; 387.0 / 3 = 129.0 LF of stock-room shelving wall [DERIVED] (wall run measured on the plan, not re-measured here).</t>
        </is>
      </c>
      <c r="J370" s="2" t="inlineStr"/>
      <c r="K370" s="2" t="n">
        <v>30</v>
      </c>
    </row>
    <row r="371">
      <c r="A371" s="2" t="n">
        <v>370</v>
      </c>
      <c r="B371" s="2" t="inlineStr">
        <is>
          <t>A-413</t>
        </is>
      </c>
      <c r="C371" s="2" t="inlineStr">
        <is>
          <t>Detail note</t>
        </is>
      </c>
      <c r="D371" s="2" t="inlineStr">
        <is>
          <t>3 5/8" STEEL STUDS W/ 5/8" GYP. BD., BOTH SIDES, SEE CONSTRUCTION PLAN</t>
        </is>
      </c>
      <c r="E371" s="2" t="inlineStr">
        <is>
          <t>Excel row</t>
        </is>
      </c>
      <c r="F371" s="2" t="inlineStr">
        <is>
          <t>Partition Takeoff!R7 (W2-03) + Material Summary!R12, R19</t>
        </is>
      </c>
      <c r="G371" s="3" t="inlineStr">
        <is>
          <t>COVERED</t>
        </is>
      </c>
      <c r="H371" s="2" t="inlineStr">
        <is>
          <t>7/A-413</t>
        </is>
      </c>
      <c r="I371" s="2" t="inlineStr">
        <is>
          <t>Type 2 stock-room wall, 3-5/8" studs + 5/8" Type X both sides, already carried.</t>
        </is>
      </c>
      <c r="J371" s="2" t="inlineStr"/>
      <c r="K371" s="2" t="n">
        <v>30</v>
      </c>
    </row>
    <row r="372">
      <c r="A372" s="2" t="n">
        <v>371</v>
      </c>
      <c r="B372" s="2" t="inlineStr">
        <is>
          <t>A-413</t>
        </is>
      </c>
      <c r="C372" s="2" t="inlineStr">
        <is>
          <t>Detail note</t>
        </is>
      </c>
      <c r="D372" s="2" t="inlineStr">
        <is>
          <t>FASTEN TO UNDERSIDE OF STRUCTURE ABOVE WHEN WALL BRACING IS NOT POSSIBLE / CLIP ANGLES, FOUR PER FIXTURE, FASTEN TO SLAB</t>
        </is>
      </c>
      <c r="E372" s="2" t="inlineStr">
        <is>
          <t>EXCLUDED</t>
        </is>
      </c>
      <c r="F372" s="2" t="inlineStr">
        <is>
          <t>n/a (shelving by Barnes &amp; Noble)</t>
        </is>
      </c>
      <c r="G372" s="4" t="inlineStr">
        <is>
          <t>EXCLUDED</t>
        </is>
      </c>
      <c r="H372" s="2" t="inlineStr">
        <is>
          <t>7/A-413</t>
        </is>
      </c>
      <c r="I372" s="2" t="inlineStr">
        <is>
          <t>Top bracing and clip angles belong to the steel shelving units, supplied and installed by Barnes &amp; Noble (same detail). Not Div 05/09.</t>
        </is>
      </c>
      <c r="J372" s="2" t="inlineStr"/>
      <c r="K372" s="2" t="n">
        <v>30</v>
      </c>
    </row>
    <row r="373">
      <c r="A373" s="2" t="n">
        <v>372</v>
      </c>
      <c r="B373" s="2" t="inlineStr">
        <is>
          <t>A-413</t>
        </is>
      </c>
      <c r="C373" s="2" t="inlineStr">
        <is>
          <t>General note</t>
        </is>
      </c>
      <c r="D373" s="2" t="inlineStr">
        <is>
          <t>IF SHELVING IS TO BE INSTALLED ON EXISTING WALL, G.C. IS TO REMOVE AND REPLACE GYP. BOARD AS REQUIRED FOR INSTALLATION OF WOOD BLOCKING.</t>
        </is>
      </c>
      <c r="E373" s="2" t="inlineStr">
        <is>
          <t>NO DESTINATION (GAP) - proposed</t>
        </is>
      </c>
      <c r="F373" s="2" t="inlineStr">
        <is>
          <t>Proposed: Pending Items!R4 (RFI-01 allowance) text + Scope Checklist!R17 note</t>
        </is>
      </c>
      <c r="G373" s="6" t="inlineStr">
        <is>
          <t>GAP</t>
        </is>
      </c>
      <c r="H373" s="2" t="inlineStr">
        <is>
          <t>7/A-413 and 8A/A-413 GENERAL NOTE</t>
        </is>
      </c>
      <c r="I373" s="2" t="inlineStr">
        <is>
          <t>Stock-room shelving (387 LF = 129 LF of wall x 3 rows) and the office blocking on the south wall (4/A-412) run partly on EXISTING perimeter walls (excluded, RFI-01). Removing and replacing the existing gyp board to install that blocking is not named in any row, exclusion or RFI. Proposal: state it inside the RFI-01 patch &amp; repair allowance (amount blank) or add a remove/replace GWB row = blocking LF on existing walls x strip height [PENDING: split of the 129 LF between new W2-03 and existing walls].</t>
        </is>
      </c>
      <c r="J373" s="2" t="inlineStr">
        <is>
          <t>A-413_7-general-note-existing-wall.png</t>
        </is>
      </c>
      <c r="K373" s="2" t="n">
        <v>30</v>
      </c>
    </row>
    <row r="374">
      <c r="A374" s="2" t="n">
        <v>373</v>
      </c>
      <c r="B374" s="2" t="inlineStr">
        <is>
          <t>A-413</t>
        </is>
      </c>
      <c r="C374" s="2" t="inlineStr">
        <is>
          <t>Detail note</t>
        </is>
      </c>
      <c r="D374" s="2" t="inlineStr">
        <is>
          <t>SURFACE MOUNT WOOD BLOCKING</t>
        </is>
      </c>
      <c r="E374" s="2" t="inlineStr">
        <is>
          <t>NO DESTINATION (GAP) - proposed</t>
        </is>
      </c>
      <c r="F374" s="2" t="inlineStr">
        <is>
          <t>Proposed: new RFI (method only) linked to Pending Items!R26 / Material Summary!R18</t>
        </is>
      </c>
      <c r="G374" s="6" t="inlineStr">
        <is>
          <t>GAP</t>
        </is>
      </c>
      <c r="H374" s="2" t="inlineStr">
        <is>
          <t>7A/A-413 Shelving Post Detail</t>
        </is>
      </c>
      <c r="I374" s="2" t="inlineStr">
        <is>
          <t>7A/A-413 labels the blocking at the three post rows 'SURFACE MOUNT WOOD BLOCKING' (no FRT called), while 7/A-413 says 'FRT WOOD BLOCKING IN PARTITION'. Excel carries in-wall FRT 2x, 3 rows (387 LF). Quantity delta 0 LF; ask which governs (surface-mounted would be exposed and need FRT per A-410 'all plywood/wood FRT'). Reading is clear but the two details conflict -&gt; RFI, not CORREGIR.</t>
        </is>
      </c>
      <c r="J374" s="2" t="inlineStr">
        <is>
          <t>A-413_7A-surface-mount-blocking.png</t>
        </is>
      </c>
      <c r="K374" s="2" t="n">
        <v>30</v>
      </c>
    </row>
    <row r="375">
      <c r="A375" s="2" t="n">
        <v>374</v>
      </c>
      <c r="B375" s="2" t="inlineStr">
        <is>
          <t>A-413</t>
        </is>
      </c>
      <c r="C375" s="2" t="inlineStr">
        <is>
          <t>Detail note</t>
        </is>
      </c>
      <c r="D375" s="2" t="inlineStr">
        <is>
          <t>CONTINUOUS 2x4 F.R.T. WOOD BLOCKING (TYP.) / PROVIDE WOOD BLOCKING IN WALL AS REQUIRED</t>
        </is>
      </c>
      <c r="E375" s="2" t="inlineStr">
        <is>
          <t>Excel row</t>
        </is>
      </c>
      <c r="F375" s="2" t="inlineStr">
        <is>
          <t>Material Summary!R18 (BLK-RECEIVING 69.0 LF) + Pending Items!R26</t>
        </is>
      </c>
      <c r="G375" s="3" t="inlineStr">
        <is>
          <t>COVERED</t>
        </is>
      </c>
      <c r="H375" s="2" t="inlineStr">
        <is>
          <t>8A/A-413 Section at Receiving Table</t>
        </is>
      </c>
      <c r="I375" s="2" t="inlineStr">
        <is>
          <t>4 in-wall blocking rows drawn on 8A (3 shelf rows + 1 at table mid-height) x 17'-3" [CONFIRMED 8/A-413] = 69.0 LF [DERIVED]. Blocking inside the table top is millwork.</t>
        </is>
      </c>
      <c r="J375" s="2" t="inlineStr">
        <is>
          <t>A-413_8A-FRT-blocking.png</t>
        </is>
      </c>
      <c r="K375" s="2" t="n">
        <v>30</v>
      </c>
    </row>
    <row r="376">
      <c r="A376" s="2" t="n">
        <v>375</v>
      </c>
      <c r="B376" s="2" t="inlineStr">
        <is>
          <t>A-413</t>
        </is>
      </c>
      <c r="C376" s="2" t="inlineStr">
        <is>
          <t>Detail bubble</t>
        </is>
      </c>
      <c r="D376" s="2" t="inlineStr">
        <is>
          <t>Typical Receiving Table Elevation (17'-3", shelves @ 1'-6") / SHELVES W/HD STANDARDS AND BRACKETS</t>
        </is>
      </c>
      <c r="E376" s="2" t="inlineStr">
        <is>
          <t>Excel row</t>
        </is>
      </c>
      <c r="F376" s="2" t="inlineStr">
        <is>
          <t>Material Summary!R18 (BLK-RECEIVING)</t>
        </is>
      </c>
      <c r="G376" s="3" t="inlineStr">
        <is>
          <t>COVERED</t>
        </is>
      </c>
      <c r="H376" s="2" t="inlineStr">
        <is>
          <t>8/A-413 and 8B/A-413 Receiving Table</t>
        </is>
      </c>
      <c r="I376" s="2" t="inlineStr">
        <is>
          <t>Length 17'-3" used for BLK-RECEIVING; 8B shows the counter-level blocking, inside the same 4 rows.</t>
        </is>
      </c>
      <c r="J376" s="2" t="inlineStr"/>
      <c r="K376" s="2" t="n">
        <v>30</v>
      </c>
    </row>
    <row r="377">
      <c r="A377" s="2" t="n">
        <v>376</v>
      </c>
      <c r="B377" s="2" t="inlineStr">
        <is>
          <t>A-413</t>
        </is>
      </c>
      <c r="C377" s="2" t="inlineStr">
        <is>
          <t>Detail note</t>
        </is>
      </c>
      <c r="D377" s="2" t="inlineStr">
        <is>
          <t>1/4" DIAMETER THRU BOLT W/ TOGGLE (TYP. OF 2) / GYP. BOARD WALL / ENTIRE ASSEMBLY IS CONSTRUCTED BY GENERAL CONTRACTOR IN FIELD</t>
        </is>
      </c>
      <c r="E377" s="2" t="inlineStr">
        <is>
          <t>EXCLUDED</t>
        </is>
      </c>
      <c r="F377" s="2" t="inlineStr">
        <is>
          <t>n/a (GC field assembly, toggle-bolted to GWB)</t>
        </is>
      </c>
      <c r="G377" s="4" t="inlineStr">
        <is>
          <t>EXCLUDED</t>
        </is>
      </c>
      <c r="H377" s="2" t="inlineStr">
        <is>
          <t>5/A-413 Plan Tube Holder</t>
        </is>
      </c>
      <c r="I377" s="2" t="inlineStr">
        <is>
          <t>Fastened with toggle bolts through the gyp board wall; no blocking or framing called. Not Div 05/09.</t>
        </is>
      </c>
      <c r="J377" s="2" t="inlineStr"/>
      <c r="K377" s="2" t="n">
        <v>30</v>
      </c>
    </row>
    <row r="378">
      <c r="A378" s="2" t="n">
        <v>377</v>
      </c>
      <c r="B378" s="2" t="inlineStr">
        <is>
          <t>A-413</t>
        </is>
      </c>
      <c r="C378" s="2" t="inlineStr">
        <is>
          <t>Detail bubble</t>
        </is>
      </c>
      <c r="D378" s="2" t="inlineStr">
        <is>
          <t>Cash wrap plan/elevation/isometric, reference photo, stock room device elevation, BW-Tall slatwall elevations / 3D (WD-1, FRENCH CLEAT, 1/2" BACKER PANEL)</t>
        </is>
      </c>
      <c r="E378" s="2" t="inlineStr">
        <is>
          <t>EXCLUDED</t>
        </is>
      </c>
      <c r="F378" s="2" t="inlineStr">
        <is>
          <t>n/a (no Div 05/09 item)</t>
        </is>
      </c>
      <c r="G378" s="4" t="inlineStr">
        <is>
          <t>EXCLUDED</t>
        </is>
      </c>
      <c r="H378" s="2" t="inlineStr">
        <is>
          <t>1, 2, 3, 4, 6, 9, 10, 11, 12, 13, 14/A-413</t>
        </is>
      </c>
      <c r="I378" s="2" t="inlineStr">
        <is>
          <t>Millwork, electrical and freestanding fixtures; no blocking, board or framing note.</t>
        </is>
      </c>
      <c r="J378" s="2" t="inlineStr"/>
      <c r="K378" s="2" t="n">
        <v>30</v>
      </c>
    </row>
    <row r="379">
      <c r="A379" s="2" t="n">
        <v>378</v>
      </c>
      <c r="B379" s="2" t="inlineStr">
        <is>
          <t>A-414</t>
        </is>
      </c>
      <c r="C379" s="2" t="inlineStr">
        <is>
          <t>Detail note</t>
        </is>
      </c>
      <c r="D379" s="2" t="inlineStr">
        <is>
          <t>SURFACE MOUNTED 3/4" F.R.T. PLYWOOD BLOCKING BY GC/FIXTURE INSTALLER</t>
        </is>
      </c>
      <c r="E379" s="2" t="inlineStr">
        <is>
          <t>RFI</t>
        </is>
      </c>
      <c r="F379" s="2" t="inlineStr">
        <is>
          <t>Pending Items!R39 (RFI-36) + Scope Checklist!R17</t>
        </is>
      </c>
      <c r="G379" s="5" t="inlineStr">
        <is>
          <t>RFI</t>
        </is>
      </c>
      <c r="H379" s="2" t="inlineStr">
        <is>
          <t>1/A-414 W-3 Wall Fixture (B-section + A-elevation)</t>
        </is>
      </c>
      <c r="I379" s="2" t="inlineStr">
        <is>
          <t>Not carried; RFI-36 already asks who furnishes/installs. Plan data for the delta: 3 strips per 3'-0" W-3 unit [CONFIRMED 1/A-414], centerlines at 6", 3'-2 3/4", 7'-2 3/8" A.F.F. [DERIVED: 6" + 2'-8 3/4" + 3'-11 5/8"]; strip heights not dimensioned [PENDING]; W-3 count from A-111 [PENDING]. Delta per unit = 3 x 3.0 LF of 3/4" FRT plywood strip.</t>
        </is>
      </c>
      <c r="J379" s="2" t="inlineStr">
        <is>
          <t>A-414_1-W3-surface-FRT-plywood.png</t>
        </is>
      </c>
      <c r="K379" s="2" t="n">
        <v>31</v>
      </c>
    </row>
    <row r="380">
      <c r="A380" s="2" t="n">
        <v>379</v>
      </c>
      <c r="B380" s="2" t="inlineStr">
        <is>
          <t>A-414</t>
        </is>
      </c>
      <c r="C380" s="2" t="inlineStr">
        <is>
          <t>Detail note</t>
        </is>
      </c>
      <c r="D380" s="2" t="inlineStr">
        <is>
          <t>SURFACE MOUNTED 3/4" F.R.T. PLYWOOD BLOCKING BY GC/FIXTURE INSTALLER / UNIT FASTENED TO STUDS ACROSS THE TOP / UNIT FASTENED TO STUDS ACROSS MIDDLE SEAM</t>
        </is>
      </c>
      <c r="E380" s="2" t="inlineStr">
        <is>
          <t>RFI</t>
        </is>
      </c>
      <c r="F380" s="2" t="inlineStr">
        <is>
          <t>Pending Items!R39 (RFI-36)</t>
        </is>
      </c>
      <c r="G380" s="5" t="inlineStr">
        <is>
          <t>RFI</t>
        </is>
      </c>
      <c r="H380" s="2" t="inlineStr">
        <is>
          <t>7/A-414 W-3 Wall Fixture W/ Fabric Shelves</t>
        </is>
      </c>
      <c r="I380" s="2" t="inlineStr">
        <is>
          <t>Same 3 surface strips as 1/A-414 (same centerline dims). 'Fastened to studs' needs no extra framing (studs already carried). Covered by RFI-36.</t>
        </is>
      </c>
      <c r="J380" s="2" t="inlineStr"/>
      <c r="K380" s="2" t="n">
        <v>31</v>
      </c>
    </row>
    <row r="381">
      <c r="A381" s="2" t="n">
        <v>380</v>
      </c>
      <c r="B381" s="2" t="inlineStr">
        <is>
          <t>A-414</t>
        </is>
      </c>
      <c r="C381" s="2" t="inlineStr">
        <is>
          <t>Detail bubble</t>
        </is>
      </c>
      <c r="D381" s="2" t="inlineStr">
        <is>
          <t>Sections draw the same three surface blocking strips (3'-11 5/8" / 2'-8 3/4" / 6" centerlines on 6/A-414)</t>
        </is>
      </c>
      <c r="E381" s="2" t="inlineStr">
        <is>
          <t>RFI</t>
        </is>
      </c>
      <c r="F381" s="2" t="inlineStr">
        <is>
          <t>Pending Items!R39 (RFI-36)</t>
        </is>
      </c>
      <c r="G381" s="5" t="inlineStr">
        <is>
          <t>RFI</t>
        </is>
      </c>
      <c r="H381" s="2" t="inlineStr">
        <is>
          <t>2, 3, 5, 6/A-414 (W-3 shelves @10"/12", W3FE-42, W-3 w/ slotwall)</t>
        </is>
      </c>
      <c r="I381" s="2" t="inlineStr">
        <is>
          <t>Same W-3 blocking as 1/A-414; included in the RFI-36 per-unit delta.</t>
        </is>
      </c>
      <c r="J381" s="2" t="inlineStr"/>
      <c r="K381" s="2" t="n">
        <v>31</v>
      </c>
    </row>
    <row r="382">
      <c r="A382" s="2" t="n">
        <v>381</v>
      </c>
      <c r="B382" s="2" t="inlineStr">
        <is>
          <t>A-414</t>
        </is>
      </c>
      <c r="C382" s="2" t="inlineStr">
        <is>
          <t>General note</t>
        </is>
      </c>
      <c r="D382" s="2" t="inlineStr">
        <is>
          <t>DETAILS FOR MERCHANDISING ONLY. G.C. TO REFER TO MILLWORK DRAWINGS BY OTHERS FOR INSTALLATION GUIDELINES.</t>
        </is>
      </c>
      <c r="E382" s="2" t="inlineStr">
        <is>
          <t>RFI</t>
        </is>
      </c>
      <c r="F382" s="2" t="inlineStr">
        <is>
          <t>Pending Items!R39 (RFI-36)</t>
        </is>
      </c>
      <c r="G382" s="5" t="inlineStr">
        <is>
          <t>RFI</t>
        </is>
      </c>
      <c r="H382" s="2" t="inlineStr">
        <is>
          <t>A-414 NOTE 1</t>
        </is>
      </c>
      <c r="I382" s="2" t="inlineStr">
        <is>
          <t>Supports RFI-36: the W-3 blocking scope depends on the millwork drawings by others (not in the bid set).</t>
        </is>
      </c>
      <c r="J382" s="2" t="inlineStr">
        <is>
          <t>A-414_note-1.png</t>
        </is>
      </c>
      <c r="K382" s="2" t="n">
        <v>31</v>
      </c>
    </row>
    <row r="383">
      <c r="A383" s="2" t="n">
        <v>382</v>
      </c>
      <c r="B383" s="2" t="inlineStr">
        <is>
          <t>A-414</t>
        </is>
      </c>
      <c r="C383" s="2" t="inlineStr">
        <is>
          <t>Detail note</t>
        </is>
      </c>
      <c r="D383" s="2" t="inlineStr">
        <is>
          <t>UNIT FASTENED TO STUDS ACROSS THE TOP / UNIT FASTENED TO STUDS ACROSS MIDDLE SEAM</t>
        </is>
      </c>
      <c r="E383" s="2" t="inlineStr">
        <is>
          <t>Excel row</t>
        </is>
      </c>
      <c r="F383" s="2" t="inlineStr">
        <is>
          <t>Partition Takeoff!R96-R104 (column surrounds C25) / no add</t>
        </is>
      </c>
      <c r="G383" s="3" t="inlineStr">
        <is>
          <t>COVERED</t>
        </is>
      </c>
      <c r="H383" s="2" t="inlineStr">
        <is>
          <t>4/A-414 Custom Column Fabric (6) Shelf</t>
        </is>
      </c>
      <c r="I383" s="2" t="inlineStr">
        <is>
          <t>Fastened directly to studs; no blocking called. No Div 05/09 add.</t>
        </is>
      </c>
      <c r="J383" s="2" t="inlineStr"/>
      <c r="K383" s="2" t="n">
        <v>31</v>
      </c>
    </row>
    <row r="384">
      <c r="A384" s="2" t="n">
        <v>383</v>
      </c>
      <c r="B384" s="2" t="inlineStr">
        <is>
          <t>A-414</t>
        </is>
      </c>
      <c r="C384" s="2" t="inlineStr">
        <is>
          <t>Detail bubble</t>
        </is>
      </c>
      <c r="D384" s="2" t="inlineStr">
        <is>
          <t>Custom low book case, short perimeter, W3F end cap, W-3 header, W-3 base details</t>
        </is>
      </c>
      <c r="E384" s="2" t="inlineStr">
        <is>
          <t>EXCLUDED</t>
        </is>
      </c>
      <c r="F384" s="2" t="inlineStr">
        <is>
          <t>n/a (no Div 05/09 item)</t>
        </is>
      </c>
      <c r="G384" s="4" t="inlineStr">
        <is>
          <t>EXCLUDED</t>
        </is>
      </c>
      <c r="H384" s="2" t="inlineStr">
        <is>
          <t>8, 9, 10, 11, 12/A-414</t>
        </is>
      </c>
      <c r="I384" s="2" t="inlineStr">
        <is>
          <t>Freestanding / millwork fixtures; no blocking, board or framing note.</t>
        </is>
      </c>
      <c r="J384" s="2" t="inlineStr"/>
      <c r="K384" s="2" t="n">
        <v>31</v>
      </c>
    </row>
    <row r="385">
      <c r="A385" s="2" t="n">
        <v>384</v>
      </c>
      <c r="B385" s="2" t="inlineStr">
        <is>
          <t>A-500</t>
        </is>
      </c>
      <c r="C385" s="2" t="inlineStr">
        <is>
          <t>Schedule note</t>
        </is>
      </c>
      <c r="D385" s="2" t="inlineStr">
        <is>
          <t>VESTIBULE -&gt; EXTERIOR, EXISTING V.I.F., frame EXIST./EXIST., remarks: EX. DOOR TO REMAIN REPAIR/REPLACE HARDWARE AS REQUIRED. PANIC HARDWARE EXISTING</t>
        </is>
      </c>
      <c r="E385" s="2" t="inlineStr">
        <is>
          <t>EXCLUDED</t>
        </is>
      </c>
      <c r="F385" s="2" t="inlineStr">
        <is>
          <t>Pending Items!R13 (RFI-10 logic: existing doors in existing walls)</t>
        </is>
      </c>
      <c r="G385" s="4" t="inlineStr">
        <is>
          <t>EXCLUDED</t>
        </is>
      </c>
      <c r="H385" s="2" t="inlineStr">
        <is>
          <t>Door schedule door 1 (type A)</t>
        </is>
      </c>
      <c r="I385" s="2" t="inlineStr">
        <is>
          <t>Existing door and frame in the existing storefront; no framing in our scope.</t>
        </is>
      </c>
      <c r="J385" s="2" t="inlineStr"/>
      <c r="K385" s="2" t="n">
        <v>32</v>
      </c>
    </row>
    <row r="386">
      <c r="A386" s="2" t="n">
        <v>385</v>
      </c>
      <c r="B386" s="2" t="inlineStr">
        <is>
          <t>A-500</t>
        </is>
      </c>
      <c r="C386" s="2" t="inlineStr">
        <is>
          <t>Schedule note</t>
        </is>
      </c>
      <c r="D386" s="2" t="inlineStr">
        <is>
          <t>SALES AREA -&gt; VESTIBULE, (2)3'-0" X 8'-0", 1 3/4" ALUM/GLASS, frame ALUM, HW 1A, TO HAVE PANIC HARDWARE</t>
        </is>
      </c>
      <c r="E386" s="2" t="inlineStr">
        <is>
          <t>EXCLUDED</t>
        </is>
      </c>
      <c r="F386" s="2" t="inlineStr">
        <is>
          <t>Material Summary!R36 (storefronts Div 08) + vestibule box rows Material Summary!R10, R21, R30</t>
        </is>
      </c>
      <c r="G386" s="4" t="inlineStr">
        <is>
          <t>EXCLUDED</t>
        </is>
      </c>
      <c r="H386" s="2" t="inlineStr">
        <is>
          <t>Door schedule door 2 (type A)</t>
        </is>
      </c>
      <c r="I386" s="2" t="inlineStr">
        <is>
          <t>Aluminum storefront = Div 08. The vestibule framing around it is carried from A-210 (RFI-16 closed).</t>
        </is>
      </c>
      <c r="J386" s="2" t="inlineStr"/>
      <c r="K386" s="2" t="n">
        <v>32</v>
      </c>
    </row>
    <row r="387">
      <c r="A387" s="2" t="n">
        <v>386</v>
      </c>
      <c r="B387" s="2" t="inlineStr">
        <is>
          <t>A-500</t>
        </is>
      </c>
      <c r="C387" s="2" t="inlineStr">
        <is>
          <t>Schedule note</t>
        </is>
      </c>
      <c r="D387" s="2" t="inlineStr">
        <is>
          <t>CAFE -&gt; CAFE WORK ROOM, 4'-0" X 8'-0", PREFIN (BLACK), frame '-', ELIASON ENG-1 DOOR WITH 9"X14" WINDOW AND FRAME</t>
        </is>
      </c>
      <c r="E387" s="2" t="inlineStr">
        <is>
          <t>Excel row</t>
        </is>
      </c>
      <c r="F387" s="2" t="inlineStr">
        <is>
          <t>Partition Takeoff!R51 (C-H2a) + Material Summary!R32 (head track 5.33 LF) + Pending Items!R12 (RFI-09 header)</t>
        </is>
      </c>
      <c r="G387" s="3" t="inlineStr">
        <is>
          <t>COVERED</t>
        </is>
      </c>
      <c r="H387" s="2" t="inlineStr">
        <is>
          <t>Door schedule door 3 (type C)</t>
        </is>
      </c>
      <c r="I387" s="2" t="inlineStr">
        <is>
          <t>New opening in C-H2a; no H.M. frame (Eliason unit with own frame), so 1/A-500 does not apply. Head track / header handled by RFI-31 / RFI-09.</t>
        </is>
      </c>
      <c r="J387" s="2" t="inlineStr"/>
      <c r="K387" s="2" t="n">
        <v>32</v>
      </c>
    </row>
    <row r="388">
      <c r="A388" s="2" t="n">
        <v>387</v>
      </c>
      <c r="B388" s="2" t="inlineStr">
        <is>
          <t>A-500</t>
        </is>
      </c>
      <c r="C388" s="2" t="inlineStr">
        <is>
          <t>Schedule note</t>
        </is>
      </c>
      <c r="D388" s="2" t="inlineStr">
        <is>
          <t>SALES AREA -&gt; CORRIDOR, 3'-0" X 7'-0", H.M., frame 1/A-500 H.M., PT-2</t>
        </is>
      </c>
      <c r="E388" s="2" t="inlineStr">
        <is>
          <t>Excel row - CORRECT</t>
        </is>
      </c>
      <c r="F388" s="2" t="inlineStr">
        <is>
          <t>Partition Takeoff!R8 (W2-04) instead of Partition Takeoff!R9 (W2-05)</t>
        </is>
      </c>
      <c r="G388" s="7" t="inlineStr">
        <is>
          <t>CORREGIR</t>
        </is>
      </c>
      <c r="H388" s="2" t="inlineStr">
        <is>
          <t>Door schedule door 4 (type F)</t>
        </is>
      </c>
      <c r="I388" s="2" t="inlineStr">
        <is>
          <t>A-500 door 4 = SALES AREA -&gt; CORRIDOR [CONFIRMED]; A-101 draws door 4 in the corridor NORTH wall (3'-0" opening, 2'-4" from the west end) = W2-04 'BOH north wall: Corridor 110 ...', not in W2-05 'Corridor 110 / Women's 109' (W2-05 has Corridor / Women's faces, cannot hold a Sales-to-Corridor door). Operation: move the 'door 4 inside wall' label (and any door-4 jamb studs / opening deduction) from W2-05 to W2-04. Board check: W2-05 Type X 174.14 + W.R. 67.59 SF show no door deduction, so SF do not change; stud delta [PENDING] (verify whether W2-05 300 LF includes door-4 jambs).</t>
        </is>
      </c>
      <c r="J388" s="2" t="inlineStr">
        <is>
          <t>A-500_door-4-schedule.png, A-500_door-4-location-A101.png</t>
        </is>
      </c>
      <c r="K388" s="2" t="n">
        <v>32</v>
      </c>
    </row>
    <row r="389">
      <c r="A389" s="2" t="n">
        <v>388</v>
      </c>
      <c r="B389" s="2" t="inlineStr">
        <is>
          <t>A-500</t>
        </is>
      </c>
      <c r="C389" s="2" t="inlineStr">
        <is>
          <t>Schedule note</t>
        </is>
      </c>
      <c r="D389" s="2" t="inlineStr">
        <is>
          <t>CORRIDOR -&gt; BREAK ROOM, 3'-0" X 7'-0", H.M., 1/A-500, PT-1</t>
        </is>
      </c>
      <c r="E389" s="2" t="inlineStr">
        <is>
          <t>Excel row</t>
        </is>
      </c>
      <c r="F389" s="2" t="inlineStr">
        <is>
          <t>Partition Takeoff!R12 (W2-08, door 5 inside wall)</t>
        </is>
      </c>
      <c r="G389" s="3" t="inlineStr">
        <is>
          <t>COVERED</t>
        </is>
      </c>
      <c r="H389" s="2" t="inlineStr">
        <is>
          <t>Door schedule door 5 (type F)</t>
        </is>
      </c>
      <c r="I389" s="2" t="inlineStr">
        <is>
          <t>New H.M. door in new type 2 wall; jambs as studs (ALC-05), header RFI-09.</t>
        </is>
      </c>
      <c r="J389" s="2" t="inlineStr"/>
      <c r="K389" s="2" t="n">
        <v>32</v>
      </c>
    </row>
    <row r="390">
      <c r="A390" s="2" t="n">
        <v>389</v>
      </c>
      <c r="B390" s="2" t="inlineStr">
        <is>
          <t>A-500</t>
        </is>
      </c>
      <c r="C390" s="2" t="inlineStr">
        <is>
          <t>Schedule note</t>
        </is>
      </c>
      <c r="D390" s="2" t="inlineStr">
        <is>
          <t>BREAK ROOM -&gt; MANAGER'S OFFICE, 3'-0" X 7'-0", H.M., 1/A-500, PT-1</t>
        </is>
      </c>
      <c r="E390" s="2" t="inlineStr">
        <is>
          <t>Excel row</t>
        </is>
      </c>
      <c r="F390" s="2" t="inlineStr">
        <is>
          <t>Partition Takeoff!R13 (W2-09, door 6 inside wall)</t>
        </is>
      </c>
      <c r="G390" s="3" t="inlineStr">
        <is>
          <t>COVERED</t>
        </is>
      </c>
      <c r="H390" s="2" t="inlineStr">
        <is>
          <t>Door schedule door 6 (type F)</t>
        </is>
      </c>
      <c r="I390" s="2" t="inlineStr">
        <is>
          <t>New H.M. door in new type 2 wall.</t>
        </is>
      </c>
      <c r="J390" s="2" t="inlineStr"/>
      <c r="K390" s="2" t="n">
        <v>32</v>
      </c>
    </row>
    <row r="391">
      <c r="A391" s="2" t="n">
        <v>390</v>
      </c>
      <c r="B391" s="2" t="inlineStr">
        <is>
          <t>A-500</t>
        </is>
      </c>
      <c r="C391" s="2" t="inlineStr">
        <is>
          <t>Schedule note</t>
        </is>
      </c>
      <c r="D391" s="2" t="inlineStr">
        <is>
          <t>CORRIDOR -&gt; JANITOR CLOSET, 3'-0" X 7'-0", H.M., 1/A-500, PT-1</t>
        </is>
      </c>
      <c r="E391" s="2" t="inlineStr">
        <is>
          <t>Excel row</t>
        </is>
      </c>
      <c r="F391" s="2" t="inlineStr">
        <is>
          <t>Partition Takeoff!R10 (W2-06 run, doors 9, 8, 7)</t>
        </is>
      </c>
      <c r="G391" s="3" t="inlineStr">
        <is>
          <t>COVERED</t>
        </is>
      </c>
      <c r="H391" s="2" t="inlineStr">
        <is>
          <t>Door schedule door 7 (type F)</t>
        </is>
      </c>
      <c r="I391" s="2" t="inlineStr">
        <is>
          <t>New H.M. door in new type 2 wall.</t>
        </is>
      </c>
      <c r="J391" s="2" t="inlineStr"/>
      <c r="K391" s="2" t="n">
        <v>32</v>
      </c>
    </row>
    <row r="392">
      <c r="A392" s="2" t="n">
        <v>391</v>
      </c>
      <c r="B392" s="2" t="inlineStr">
        <is>
          <t>A-500</t>
        </is>
      </c>
      <c r="C392" s="2" t="inlineStr">
        <is>
          <t>Schedule note</t>
        </is>
      </c>
      <c r="D392" s="2" t="inlineStr">
        <is>
          <t>CORRIDOR -&gt; MEN'S RESTROOM, 3'-0" X 7'-0", H.M., 1/A-500, PT-3</t>
        </is>
      </c>
      <c r="E392" s="2" t="inlineStr">
        <is>
          <t>Excel row</t>
        </is>
      </c>
      <c r="F392" s="2" t="inlineStr">
        <is>
          <t>Partition Takeoff!R10 (W2-06 run)</t>
        </is>
      </c>
      <c r="G392" s="3" t="inlineStr">
        <is>
          <t>COVERED</t>
        </is>
      </c>
      <c r="H392" s="2" t="inlineStr">
        <is>
          <t>Door schedule door 8 (type E)</t>
        </is>
      </c>
      <c r="I392" s="2" t="inlineStr">
        <is>
          <t>New H.M. door in new type 2 wall.</t>
        </is>
      </c>
      <c r="J392" s="2" t="inlineStr"/>
      <c r="K392" s="2" t="n">
        <v>32</v>
      </c>
    </row>
    <row r="393">
      <c r="A393" s="2" t="n">
        <v>392</v>
      </c>
      <c r="B393" s="2" t="inlineStr">
        <is>
          <t>A-500</t>
        </is>
      </c>
      <c r="C393" s="2" t="inlineStr">
        <is>
          <t>Schedule note</t>
        </is>
      </c>
      <c r="D393" s="2" t="inlineStr">
        <is>
          <t>CORRIDOR -&gt; WOMEN'S RESTROOM, 3'-0" X 7'-0", H.M., 1/A-500, PT-3</t>
        </is>
      </c>
      <c r="E393" s="2" t="inlineStr">
        <is>
          <t>Excel row</t>
        </is>
      </c>
      <c r="F393" s="2" t="inlineStr">
        <is>
          <t>Partition Takeoff!R10 (W2-06 run)</t>
        </is>
      </c>
      <c r="G393" s="3" t="inlineStr">
        <is>
          <t>COVERED</t>
        </is>
      </c>
      <c r="H393" s="2" t="inlineStr">
        <is>
          <t>Door schedule door 9 (type E)</t>
        </is>
      </c>
      <c r="I393" s="2" t="inlineStr">
        <is>
          <t>New H.M. door in new type 2 wall.</t>
        </is>
      </c>
      <c r="J393" s="2" t="inlineStr"/>
      <c r="K393" s="2" t="n">
        <v>32</v>
      </c>
    </row>
    <row r="394">
      <c r="A394" s="2" t="n">
        <v>393</v>
      </c>
      <c r="B394" s="2" t="inlineStr">
        <is>
          <t>A-500</t>
        </is>
      </c>
      <c r="C394" s="2" t="inlineStr">
        <is>
          <t>Schedule note</t>
        </is>
      </c>
      <c r="D394" s="2" t="inlineStr">
        <is>
          <t>CORRIDOR -&gt; EXTERIOR, EXISTING V.I.F., frame EXIST., REFURBISH DOOR &amp; HARDWARE AS NEEDED. PANIC HARDWARE EXISTING</t>
        </is>
      </c>
      <c r="E394" s="2" t="inlineStr">
        <is>
          <t>EXCLUDED</t>
        </is>
      </c>
      <c r="F394" s="2" t="inlineStr">
        <is>
          <t>Pending Items!R13 (RFI-10 N/A)</t>
        </is>
      </c>
      <c r="G394" s="4" t="inlineStr">
        <is>
          <t>EXCLUDED</t>
        </is>
      </c>
      <c r="H394" s="2" t="inlineStr">
        <is>
          <t>Door schedule door 10 (type B)</t>
        </is>
      </c>
      <c r="I394" s="2" t="inlineStr">
        <is>
          <t>Existing door in existing perimeter wall.</t>
        </is>
      </c>
      <c r="J394" s="2" t="inlineStr"/>
      <c r="K394" s="2" t="n">
        <v>32</v>
      </c>
    </row>
    <row r="395">
      <c r="A395" s="2" t="n">
        <v>394</v>
      </c>
      <c r="B395" s="2" t="inlineStr">
        <is>
          <t>A-500</t>
        </is>
      </c>
      <c r="C395" s="2" t="inlineStr">
        <is>
          <t>Schedule note</t>
        </is>
      </c>
      <c r="D395" s="2" t="inlineStr">
        <is>
          <t>SALES AREA -&gt; STOCK ROOM, 4'-0" X 7'-0", H.M., 1/A-500, PT-1</t>
        </is>
      </c>
      <c r="E395" s="2" t="inlineStr">
        <is>
          <t>Excel row</t>
        </is>
      </c>
      <c r="F395" s="2" t="inlineStr">
        <is>
          <t>Partition Takeoff!R7 (W2-03) + Material Summary!R32 (head track 5.33 LF)</t>
        </is>
      </c>
      <c r="G395" s="3" t="inlineStr">
        <is>
          <t>COVERED</t>
        </is>
      </c>
      <c r="H395" s="2" t="inlineStr">
        <is>
          <t>Door schedule door 11 (type F)</t>
        </is>
      </c>
      <c r="I395" s="2" t="inlineStr">
        <is>
          <t>Size 4'-0" x 7'-0" matches the Excel.</t>
        </is>
      </c>
      <c r="J395" s="2" t="inlineStr"/>
      <c r="K395" s="2" t="n">
        <v>32</v>
      </c>
    </row>
    <row r="396">
      <c r="A396" s="2" t="n">
        <v>395</v>
      </c>
      <c r="B396" s="2" t="inlineStr">
        <is>
          <t>A-500</t>
        </is>
      </c>
      <c r="C396" s="2" t="inlineStr">
        <is>
          <t>Schedule note</t>
        </is>
      </c>
      <c r="D396" s="2" t="inlineStr">
        <is>
          <t>STOCK ROOM -&gt; EXTERIOR, EXISTING V.I.F. (type D overhead door, V.I.F.), REFURBISH DOOR &amp; HARDWARE AS NEEDED</t>
        </is>
      </c>
      <c r="E396" s="2" t="inlineStr">
        <is>
          <t>EXCLUDED</t>
        </is>
      </c>
      <c r="F396" s="2" t="inlineStr">
        <is>
          <t>Pending Items!R13 (RFI-10 N/A)</t>
        </is>
      </c>
      <c r="G396" s="4" t="inlineStr">
        <is>
          <t>EXCLUDED</t>
        </is>
      </c>
      <c r="H396" s="2" t="inlineStr">
        <is>
          <t>Door schedule door 12 (type D)</t>
        </is>
      </c>
      <c r="I396" s="2" t="inlineStr">
        <is>
          <t>Existing overhead door in existing perimeter wall.</t>
        </is>
      </c>
      <c r="J396" s="2" t="inlineStr"/>
      <c r="K396" s="2" t="n">
        <v>32</v>
      </c>
    </row>
    <row r="397">
      <c r="A397" s="2" t="n">
        <v>396</v>
      </c>
      <c r="B397" s="2" t="inlineStr">
        <is>
          <t>A-500</t>
        </is>
      </c>
      <c r="C397" s="2" t="inlineStr">
        <is>
          <t>Schedule note</t>
        </is>
      </c>
      <c r="D397" s="2" t="inlineStr">
        <is>
          <t>STOCK ROOM -&gt; EXTERIOR, EXISTING V.I.F., REFURBISH DOOR &amp; HARDWARE AS NEEDED. PANIC HARDWARE EXISTING</t>
        </is>
      </c>
      <c r="E397" s="2" t="inlineStr">
        <is>
          <t>EXCLUDED</t>
        </is>
      </c>
      <c r="F397" s="2" t="inlineStr">
        <is>
          <t>Pending Items!R13 (RFI-10 N/A)</t>
        </is>
      </c>
      <c r="G397" s="4" t="inlineStr">
        <is>
          <t>EXCLUDED</t>
        </is>
      </c>
      <c r="H397" s="2" t="inlineStr">
        <is>
          <t>Door schedule door 13 (type B)</t>
        </is>
      </c>
      <c r="I397" s="2" t="inlineStr">
        <is>
          <t>Existing door in existing perimeter wall.</t>
        </is>
      </c>
      <c r="J397" s="2" t="inlineStr"/>
      <c r="K397" s="2" t="n">
        <v>32</v>
      </c>
    </row>
    <row r="398">
      <c r="A398" s="2" t="n">
        <v>397</v>
      </c>
      <c r="B398" s="2" t="inlineStr">
        <is>
          <t>A-500</t>
        </is>
      </c>
      <c r="C398" s="2" t="inlineStr">
        <is>
          <t>Schedule note</t>
        </is>
      </c>
      <c r="D398" s="2" t="inlineStr">
        <is>
          <t>SALES AREA -&gt; STORAGE, 3'-0" X 7'-0", H.M., 1/A-500, PT-1</t>
        </is>
      </c>
      <c r="E398" s="2" t="inlineStr">
        <is>
          <t>Excel row</t>
        </is>
      </c>
      <c r="F398" s="2" t="inlineStr">
        <is>
          <t>Partition Takeoff!R6 (W2-01, door 14)</t>
        </is>
      </c>
      <c r="G398" s="3" t="inlineStr">
        <is>
          <t>COVERED</t>
        </is>
      </c>
      <c r="H398" s="2" t="inlineStr">
        <is>
          <t>Door schedule door 14 (type F)</t>
        </is>
      </c>
      <c r="I398" s="2" t="inlineStr">
        <is>
          <t>New H.M. door in new type 2 wall.</t>
        </is>
      </c>
      <c r="J398" s="2" t="inlineStr"/>
      <c r="K398" s="2" t="n">
        <v>32</v>
      </c>
    </row>
    <row r="399">
      <c r="A399" s="2" t="n">
        <v>398</v>
      </c>
      <c r="B399" s="2" t="inlineStr">
        <is>
          <t>A-500</t>
        </is>
      </c>
      <c r="C399" s="2" t="inlineStr">
        <is>
          <t>Schedule note</t>
        </is>
      </c>
      <c r="D399" s="2" t="inlineStr">
        <is>
          <t>No header shown in schedule or in 1/A-500; FIRE RATING '-' on every door</t>
        </is>
      </c>
      <c r="E399" s="2" t="inlineStr">
        <is>
          <t>RFI</t>
        </is>
      </c>
      <c r="F399" s="2" t="inlineStr">
        <is>
          <t>Pending Items!R12 (RFI-09) + Scope Checklist!R6 (ALC-05)</t>
        </is>
      </c>
      <c r="G399" s="5" t="inlineStr">
        <is>
          <t>RFI</t>
        </is>
      </c>
      <c r="H399" s="2" t="inlineStr">
        <is>
          <t>Door schedule - headers (all new framed openings)</t>
        </is>
      </c>
      <c r="I399" s="2" t="inlineStr">
        <is>
          <t>9 new framed openings (doors 3, 4, 5, 6, 7, 8, 9, 11, 14) [CONFIRMED A-500]. Check of RFI-09 delta: 7 x (3.0 + 1.333) x 2 + 2 x (4.0 + 1.333) x 2 = 82.0 LF [DERIVED, R.O. = nominal width] vs 83.32 LF carried (+1.32 LF, R.O. basis not stated) - plausible, keep RFI. All doors non-rated: no rated frame / firestop.</t>
        </is>
      </c>
      <c r="J399" s="2" t="inlineStr"/>
      <c r="K399" s="2" t="n">
        <v>32</v>
      </c>
    </row>
    <row r="400">
      <c r="A400" s="2" t="n">
        <v>399</v>
      </c>
      <c r="B400" s="2" t="inlineStr">
        <is>
          <t>A-500</t>
        </is>
      </c>
      <c r="C400" s="2" t="inlineStr">
        <is>
          <t>Detail bubble</t>
        </is>
      </c>
      <c r="D400" s="2" t="inlineStr">
        <is>
          <t>5/8" GYP BD EA SIDE / 3 5/8" METAL STUDS / EXTEND GYP BD INTO FRAME 5/8" MIN. / JAMB ANCHOR 3 PER JAMB / HOLLOW METAL FRAME</t>
        </is>
      </c>
      <c r="E400" s="2" t="inlineStr">
        <is>
          <t>Excel row</t>
        </is>
      </c>
      <c r="F400" s="2" t="inlineStr">
        <is>
          <t>Scope Checklist!R6 (jambs carried as studs) + Material Summary!R12, R19 + Material Summary!R36 (no GWB return)</t>
        </is>
      </c>
      <c r="G400" s="3" t="inlineStr">
        <is>
          <t>COVERED</t>
        </is>
      </c>
      <c r="H400" s="2" t="inlineStr">
        <is>
          <t>1/A-500 Typical Hollow Metal Frame</t>
        </is>
      </c>
      <c r="I400" s="2" t="inlineStr">
        <is>
          <t>Jamb = 3-5/8" stud with 5/8" board each side into the H.M. frame; no board return. Jamb anchors and frame are Div 08.</t>
        </is>
      </c>
      <c r="J400" s="2" t="inlineStr">
        <is>
          <t>A-500_1-hollow-metal-frame.png</t>
        </is>
      </c>
      <c r="K400" s="2" t="n">
        <v>32</v>
      </c>
    </row>
    <row r="401">
      <c r="A401" s="2" t="n">
        <v>400</v>
      </c>
      <c r="B401" s="2" t="inlineStr">
        <is>
          <t>A-500</t>
        </is>
      </c>
      <c r="C401" s="2" t="inlineStr">
        <is>
          <t>Detail note</t>
        </is>
      </c>
      <c r="D401" s="2" t="inlineStr">
        <is>
          <t>WOOD BLOCKING / B-1 TRIM / SHIM AS REQUIRED / 3/4" JAMB, B-1 FINISH / LINE OF WOOD BASE BELOW / SEE PLAN</t>
        </is>
      </c>
      <c r="E401" s="2" t="inlineStr">
        <is>
          <t>NO DESTINATION (GAP) - proposed</t>
        </is>
      </c>
      <c r="F401" s="2" t="inlineStr">
        <is>
          <t>Proposed: Material Summary!R18 (wood blocking) or Scope Checklist exclusion to finish carpentry</t>
        </is>
      </c>
      <c r="G401" s="6" t="inlineStr">
        <is>
          <t>GAP</t>
        </is>
      </c>
      <c r="H401" s="2" t="inlineStr">
        <is>
          <t>2/A-500 Cased Opening Detail</t>
        </is>
      </c>
      <c r="I401" s="2" t="inlineStr">
        <is>
          <t>2/A-500 draws wood blocking across the stud return at the cased opening. Material Summary!R36 cites 2/A-500 only for 'no GWB return' (correct), but the wood blocking has no row, exclusion or RFI. Proposal: locate the cased opening(s) on A-101 [PENDING] and add wood blocking = (2 x jamb height + width) per opening, or exclude it to finish carpentry with the B-1 jamb/trim.</t>
        </is>
      </c>
      <c r="J401" s="2" t="inlineStr">
        <is>
          <t>A-500_2-cased-opening-wood-blocking.png</t>
        </is>
      </c>
      <c r="K401" s="2" t="n">
        <v>32</v>
      </c>
    </row>
    <row r="402">
      <c r="A402" s="2" t="n">
        <v>401</v>
      </c>
      <c r="B402" s="2" t="inlineStr">
        <is>
          <t>A-500</t>
        </is>
      </c>
      <c r="C402" s="2" t="inlineStr">
        <is>
          <t>General note</t>
        </is>
      </c>
      <c r="D402" s="2" t="inlineStr">
        <is>
          <t>Hazardous-location glazing note; doors facing public finished to match adjacent surface; locks / cores / signage / hardware / thresholds / paint of H.M. doors</t>
        </is>
      </c>
      <c r="E402" s="2" t="inlineStr">
        <is>
          <t>EXCLUDED</t>
        </is>
      </c>
      <c r="F402" s="2" t="inlineStr">
        <is>
          <t>n/a (no Div 05/09 item)</t>
        </is>
      </c>
      <c r="G402" s="4" t="inlineStr">
        <is>
          <t>EXCLUDED</t>
        </is>
      </c>
      <c r="H402" s="2" t="inlineStr">
        <is>
          <t>A-500 ** NOTE (under door schedule) and DOOR NOTES 1-12</t>
        </is>
      </c>
      <c r="I402" s="2" t="inlineStr">
        <is>
          <t>Glazing, hardware, paint and accessibility notes (Div 08 / Div 09 painting). No framing or gypsum board requirement.</t>
        </is>
      </c>
      <c r="J402" s="2" t="inlineStr"/>
      <c r="K402" s="2" t="n">
        <v>32</v>
      </c>
    </row>
    <row r="403">
      <c r="A403" s="2" t="n">
        <v>402</v>
      </c>
      <c r="B403" s="2" t="inlineStr">
        <is>
          <t>A-500</t>
        </is>
      </c>
      <c r="C403" s="2" t="inlineStr">
        <is>
          <t>Legend</t>
        </is>
      </c>
      <c r="D403" s="2" t="inlineStr">
        <is>
          <t>A GLASS/ALUMN DOOR (V.I.F.); B EXISTING EMERGENCY EXIT DOOR; C; D (overhead, V.I.F.); E, F DOOR / FRAME / KICKPLATE; G, H NOT USED</t>
        </is>
      </c>
      <c r="E403" s="2" t="inlineStr">
        <is>
          <t>EXCLUDED</t>
        </is>
      </c>
      <c r="F403" s="2" t="inlineStr">
        <is>
          <t>Material Summary!R36 (storefronts Div 08)</t>
        </is>
      </c>
      <c r="G403" s="4" t="inlineStr">
        <is>
          <t>EXCLUDED</t>
        </is>
      </c>
      <c r="H403" s="2" t="inlineStr">
        <is>
          <t>A-500 Door Types A-H</t>
        </is>
      </c>
      <c r="I403" s="2" t="inlineStr">
        <is>
          <t>Door elevations only; no Div 05/09 content.</t>
        </is>
      </c>
      <c r="J403" s="2" t="inlineStr"/>
      <c r="K403" s="2" t="n">
        <v>32</v>
      </c>
    </row>
    <row r="404">
      <c r="A404" s="2" t="n">
        <v>403</v>
      </c>
      <c r="B404" s="2" t="inlineStr">
        <is>
          <t>A-500</t>
        </is>
      </c>
      <c r="C404" s="2" t="inlineStr">
        <is>
          <t>Schedule note</t>
        </is>
      </c>
      <c r="D404" s="2" t="inlineStr">
        <is>
          <t>Hinges, closers, locksets, FLOOR STOP (no wall stops), silencers, thresholds; NOTE: DOOR HARDWARE AND SCHEDULE TO BE VERIFIED AND APPROVED BY TENANT</t>
        </is>
      </c>
      <c r="E404" s="2" t="inlineStr">
        <is>
          <t>EXCLUDED</t>
        </is>
      </c>
      <c r="F404" s="2" t="inlineStr">
        <is>
          <t>n/a (Div 08)</t>
        </is>
      </c>
      <c r="G404" s="4" t="inlineStr">
        <is>
          <t>EXCLUDED</t>
        </is>
      </c>
      <c r="H404" s="2" t="inlineStr">
        <is>
          <t>A-500 Hardware Groups 1-11</t>
        </is>
      </c>
      <c r="I404" s="2" t="inlineStr">
        <is>
          <t>Only floor stops are scheduled, so no wall-stop backing is needed in the partitions.</t>
        </is>
      </c>
      <c r="J404" s="2" t="inlineStr"/>
      <c r="K404" s="2" t="n">
        <v>32</v>
      </c>
    </row>
    <row r="405">
      <c r="A405" s="2" t="n">
        <v>404</v>
      </c>
      <c r="B405" s="2" t="inlineStr">
        <is>
          <t>A-510</t>
        </is>
      </c>
      <c r="C405" s="2" t="inlineStr">
        <is>
          <t>Schedule note</t>
        </is>
      </c>
      <c r="D405" s="2" t="inlineStr">
        <is>
          <t>ENTRY MAT / WOOD BASE / CEILING PAINTED GYP. BD. / PAINT GWB CEILING PT-4</t>
        </is>
      </c>
      <c r="E405" s="2" t="inlineStr">
        <is>
          <t>Excel row</t>
        </is>
      </c>
      <c r="F405" s="2" t="inlineStr">
        <is>
          <t>Material Summary!R19 VEST-GWB + R21</t>
        </is>
      </c>
      <c r="G405" s="3" t="inlineStr">
        <is>
          <t>COVERED</t>
        </is>
      </c>
      <c r="H405" s="2" t="inlineStr">
        <is>
          <t>Room Finish Schedule row 100 VESTIBULE</t>
        </is>
      </c>
      <c r="I405" s="2" t="inlineStr">
        <is>
          <t>Vestibule GWB ceiling carried (4/A-210, A-121 key note 5).</t>
        </is>
      </c>
      <c r="J405" s="2" t="inlineStr">
        <is>
          <t>A-510_room-finish-schedule.png</t>
        </is>
      </c>
      <c r="K405" s="2" t="n">
        <v>33</v>
      </c>
    </row>
    <row r="406">
      <c r="A406" s="2" t="n">
        <v>405</v>
      </c>
      <c r="B406" s="2" t="inlineStr">
        <is>
          <t>A-510</t>
        </is>
      </c>
      <c r="C406" s="2" t="inlineStr">
        <is>
          <t>Schedule note</t>
        </is>
      </c>
      <c r="D406" s="2" t="inlineStr">
        <is>
          <t>CARPET + CERAMIC/PORCELAIN TILE / WOOD BASE / WALLS PAINTED GYP. BD. / CEILING PAINTED STRUCTURE + OPEN TO STRUCTURE / PAINT WALLS PT-2 FROM 7'-6" TO UNDERSIDE OF DECK, BASE B-1</t>
        </is>
      </c>
      <c r="E406" s="2" t="inlineStr">
        <is>
          <t>Excel row</t>
        </is>
      </c>
      <c r="F406" s="2" t="inlineStr">
        <is>
          <t>Partition Takeoff!R6-R8 (Sales faces 25 ft) + R96-R104</t>
        </is>
      </c>
      <c r="G406" s="3" t="inlineStr">
        <is>
          <t>COVERED</t>
        </is>
      </c>
      <c r="H406" s="2" t="inlineStr">
        <is>
          <t>Room Finish Schedule row 101 SALES AREA</t>
        </is>
      </c>
      <c r="I406" s="2" t="inlineStr">
        <is>
          <t>Painted GWB to deck carried.</t>
        </is>
      </c>
      <c r="J406" s="2" t="inlineStr">
        <is>
          <t>A-510_room-finish-schedule.png</t>
        </is>
      </c>
      <c r="K406" s="2" t="n">
        <v>33</v>
      </c>
    </row>
    <row r="407">
      <c r="A407" s="2" t="n">
        <v>406</v>
      </c>
      <c r="B407" s="2" t="inlineStr">
        <is>
          <t>A-510</t>
        </is>
      </c>
      <c r="C407" s="2" t="inlineStr">
        <is>
          <t>Schedule note</t>
        </is>
      </c>
      <c r="D407" s="2" t="inlineStr">
        <is>
          <t>CERAMIC/PORCELAIN TILE / WOOD BASE / WALLS PAINTED GYP. BD. / CEILING PAINTED STRUCTURE + OPEN TO STRUCTURE / PAINT WALLS PT-3 TO UNDERSIDE OF DECK, BASE B-1</t>
        </is>
      </c>
      <c r="E407" s="2" t="inlineStr">
        <is>
          <t>Excel row</t>
        </is>
      </c>
      <c r="F407" s="2" t="inlineStr">
        <is>
          <t>Partition Takeoff!R19-R24 (type 3 low walls) + Material Summary!R19 (cloud per A-121)</t>
        </is>
      </c>
      <c r="G407" s="3" t="inlineStr">
        <is>
          <t>COVERED</t>
        </is>
      </c>
      <c r="H407" s="2" t="inlineStr">
        <is>
          <t>Room Finish Schedule row 102 CAFE SEATING AREA</t>
        </is>
      </c>
      <c r="I407" s="2" t="inlineStr">
        <is>
          <t>Schedule shows no painted-gyp ceiling, but A-121 draws the GWB 12'-0" cloud (carried). Discrepancy noted, A-121 governs.</t>
        </is>
      </c>
      <c r="J407" s="2" t="inlineStr">
        <is>
          <t>A-510_room-finish-schedule.png</t>
        </is>
      </c>
      <c r="K407" s="2" t="n">
        <v>33</v>
      </c>
    </row>
    <row r="408">
      <c r="A408" s="2" t="n">
        <v>407</v>
      </c>
      <c r="B408" s="2" t="inlineStr">
        <is>
          <t>A-510</t>
        </is>
      </c>
      <c r="C408" s="2" t="inlineStr">
        <is>
          <t>Schedule note</t>
        </is>
      </c>
      <c r="D408" s="2" t="inlineStr">
        <is>
          <t>CERAMIC/PORCELAIN TILE / CERAMIC COVE TILE BASE / WALLS PAINTED GYP. BD. + WOOD VENEER + CERAMIC/PORCELAIN TILE + FIBER REINFORCED PANEL / CEILING PAINTED GYP. BD. / FRP BELOW COUNTERTOP &amp; TL-5 ABOVE COUNTERTOP, BASE B-2</t>
        </is>
      </c>
      <c r="E408" s="2" t="inlineStr">
        <is>
          <t>Excel row</t>
        </is>
      </c>
      <c r="F408" s="2" t="inlineStr">
        <is>
          <t>Material Summary!R19 (Cafe GWB ceilings + faces), R27 (cement board C-E1-S + counters), R29 (FRT plywood behind WD-1); Pending Items!R16 RFI-13 (FRP below countertop)</t>
        </is>
      </c>
      <c r="G408" s="3" t="inlineStr">
        <is>
          <t>COVERED</t>
        </is>
      </c>
      <c r="H408" s="2" t="inlineStr">
        <is>
          <t>Room Finish Schedule row 103 CAFE</t>
        </is>
      </c>
      <c r="I408" s="2" t="inlineStr">
        <is>
          <t>All four wall finishes have a destination; FRP below countertop stays in RFI-13.</t>
        </is>
      </c>
      <c r="J408" s="2" t="inlineStr">
        <is>
          <t>A-510_room-finish-schedule.png</t>
        </is>
      </c>
      <c r="K408" s="2" t="n">
        <v>33</v>
      </c>
    </row>
    <row r="409">
      <c r="A409" s="2" t="n">
        <v>408</v>
      </c>
      <c r="B409" s="2" t="inlineStr">
        <is>
          <t>A-510</t>
        </is>
      </c>
      <c r="C409" s="2" t="inlineStr">
        <is>
          <t>Schedule note</t>
        </is>
      </c>
      <c r="D409" s="2" t="inlineStr">
        <is>
          <t>EPOXY FLOORING / EPOXY SYSTEM BASE / WALLS FIBER REINFORCED PANEL (no painted gyp) / CEILING ACOUSTIC TILE / PAINT WALLS FRP-1, BASE EP-1</t>
        </is>
      </c>
      <c r="E409" s="2" t="inlineStr">
        <is>
          <t>RFI</t>
        </is>
      </c>
      <c r="F409" s="2" t="inlineStr">
        <is>
          <t>Pending Items!R14 RFI-11 (rev6: no GWB on Work Room faces) + R16 RFI-13 (FRP-1) ; ACT -&gt; GAP item</t>
        </is>
      </c>
      <c r="G409" s="5" t="inlineStr">
        <is>
          <t>RFI</t>
        </is>
      </c>
      <c r="H409" s="2" t="inlineStr">
        <is>
          <t>Room Finish Schedule row 104 CAFE WORK ROOM</t>
        </is>
      </c>
      <c r="I409" s="2" t="inlineStr">
        <is>
          <t>Walls: FRP over FRT plywood, no GWB [CONFIRMED - painted gyp column empty]; FRP height still unprinted (RFI-13). ACT ceiling has no Excel destination (see ACT legend GAP).</t>
        </is>
      </c>
      <c r="J409" s="2" t="inlineStr">
        <is>
          <t>A-510_room-finish-schedule.png</t>
        </is>
      </c>
      <c r="K409" s="2" t="n">
        <v>33</v>
      </c>
    </row>
    <row r="410">
      <c r="A410" s="2" t="n">
        <v>409</v>
      </c>
      <c r="B410" s="2" t="inlineStr">
        <is>
          <t>A-510</t>
        </is>
      </c>
      <c r="C410" s="2" t="inlineStr">
        <is>
          <t>Schedule note</t>
        </is>
      </c>
      <c r="D410" s="2" t="inlineStr">
        <is>
          <t>CARPET / VINYL BASE / WALLS PAINTED GYP. BD. / CEILING ACOUSTIC TILE / PAINT WALLS PT-1, BASE VB-1</t>
        </is>
      </c>
      <c r="E410" s="2" t="inlineStr">
        <is>
          <t>Excel row</t>
        </is>
      </c>
      <c r="F410" s="2" t="inlineStr">
        <is>
          <t>Partition Takeoff faces Manager's Office 105 at 9.5 ft (R8, R13, R48)</t>
        </is>
      </c>
      <c r="G410" s="3" t="inlineStr">
        <is>
          <t>COVERED</t>
        </is>
      </c>
      <c r="H410" s="2" t="inlineStr">
        <is>
          <t>Room Finish Schedule row 105 MANAGER'S OFFICE</t>
        </is>
      </c>
      <c r="I410" s="2" t="inlineStr">
        <is>
          <t>Walls carried; ACT ceiling -&gt; see ACT GAP.</t>
        </is>
      </c>
      <c r="J410" s="2" t="inlineStr">
        <is>
          <t>A-510_room-finish-schedule.png</t>
        </is>
      </c>
      <c r="K410" s="2" t="n">
        <v>33</v>
      </c>
    </row>
    <row r="411">
      <c r="A411" s="2" t="n">
        <v>410</v>
      </c>
      <c r="B411" s="2" t="inlineStr">
        <is>
          <t>A-510</t>
        </is>
      </c>
      <c r="C411" s="2" t="inlineStr">
        <is>
          <t>Schedule note</t>
        </is>
      </c>
      <c r="D411" s="2" t="inlineStr">
        <is>
          <t>VINYL COMPOSITE TILE / VINYL BASE / WALLS PAINTED GYP. BD. / CEILING ACOUSTIC TILE / PAINT WALLS PT-1, BASE VB-1</t>
        </is>
      </c>
      <c r="E411" s="2" t="inlineStr">
        <is>
          <t>Excel row</t>
        </is>
      </c>
      <c r="F411" s="2" t="inlineStr">
        <is>
          <t>Partition Takeoff faces Break Room 106 at 9.5 ft (R8, R12, R13)</t>
        </is>
      </c>
      <c r="G411" s="3" t="inlineStr">
        <is>
          <t>COVERED</t>
        </is>
      </c>
      <c r="H411" s="2" t="inlineStr">
        <is>
          <t>Room Finish Schedule row 106 BREAK ROOM</t>
        </is>
      </c>
      <c r="I411" s="2" t="inlineStr">
        <is>
          <t>Walls carried; ACT ceiling -&gt; see ACT GAP. Kitchenette W.R. on existing EXT-07 is in the patch allowance (RFI-01).</t>
        </is>
      </c>
      <c r="J411" s="2" t="inlineStr">
        <is>
          <t>A-510_room-finish-schedule.png</t>
        </is>
      </c>
      <c r="K411" s="2" t="n">
        <v>33</v>
      </c>
    </row>
    <row r="412">
      <c r="A412" s="2" t="n">
        <v>411</v>
      </c>
      <c r="B412" s="2" t="inlineStr">
        <is>
          <t>A-510</t>
        </is>
      </c>
      <c r="C412" s="2" t="inlineStr">
        <is>
          <t>Schedule note</t>
        </is>
      </c>
      <c r="D412" s="2" t="inlineStr">
        <is>
          <t>VINYL COMPOSITE TILE / VINYL BASE / WALLS PAINTED GYP. BD. + FIBER REINFORCED PANEL / CEILING PAINTED STRUCTURE + OPEN TO STRUCTURE / PAINT WALLS PT-1, BASE VB-1</t>
        </is>
      </c>
      <c r="E412" s="2" t="inlineStr">
        <is>
          <t>RFI</t>
        </is>
      </c>
      <c r="F412" s="2" t="inlineStr">
        <is>
          <t>Material Summary!R20 (Janitor W.R. 485.75 SF to deck) + Pending Items!R16 RFI-13</t>
        </is>
      </c>
      <c r="G412" s="5" t="inlineStr">
        <is>
          <t>RFI</t>
        </is>
      </c>
      <c r="H412" s="2" t="inlineStr">
        <is>
          <t>Room Finish Schedule row 107 JANITOR CLOSET</t>
        </is>
      </c>
      <c r="I412" s="2" t="inlineStr">
        <is>
          <t>W.R. GWB to deck carried; FRP-1 height 96" AFF is printed on A-131 (see CORREGIR item on A-131).</t>
        </is>
      </c>
      <c r="J412" s="2" t="inlineStr">
        <is>
          <t>A-510_room-finish-schedule.png</t>
        </is>
      </c>
      <c r="K412" s="2" t="n">
        <v>33</v>
      </c>
    </row>
    <row r="413">
      <c r="A413" s="2" t="n">
        <v>412</v>
      </c>
      <c r="B413" s="2" t="inlineStr">
        <is>
          <t>A-510</t>
        </is>
      </c>
      <c r="C413" s="2" t="inlineStr">
        <is>
          <t>Schedule note</t>
        </is>
      </c>
      <c r="D413" s="2" t="inlineStr">
        <is>
          <t>CERAMIC/PORCELAIN TILE / CERAMIC COVE TILE BASE / WALLS PAINTED GYP. BD. + CERAMIC/PORCELAIN TILE / CEILING PAINTED GYP. BD. / SEE A-200</t>
        </is>
      </c>
      <c r="E413" s="2" t="inlineStr">
        <is>
          <t>RFI</t>
        </is>
      </c>
      <c r="F413" s="2" t="inlineStr">
        <is>
          <t>Material Summary!R20 (W.R. walls + ceiling 61.11 SF) + Pending Items!R15 RFI-12 (cement board behind wall tile / cove base)</t>
        </is>
      </c>
      <c r="G413" s="5" t="inlineStr">
        <is>
          <t>RFI</t>
        </is>
      </c>
      <c r="H413" s="2" t="inlineStr">
        <is>
          <t>Room Finish Schedule row 108 MEN'S RESTROOM</t>
        </is>
      </c>
      <c r="I413" s="2" t="inlineStr">
        <is>
          <t>W.R. GWB carried; tile backer remains RFI-12 (TL-2 wainscot, A-200).</t>
        </is>
      </c>
      <c r="J413" s="2" t="inlineStr">
        <is>
          <t>A-510_room-finish-schedule.png</t>
        </is>
      </c>
      <c r="K413" s="2" t="n">
        <v>33</v>
      </c>
    </row>
    <row r="414">
      <c r="A414" s="2" t="n">
        <v>413</v>
      </c>
      <c r="B414" s="2" t="inlineStr">
        <is>
          <t>A-510</t>
        </is>
      </c>
      <c r="C414" s="2" t="inlineStr">
        <is>
          <t>Schedule note</t>
        </is>
      </c>
      <c r="D414" s="2" t="inlineStr">
        <is>
          <t>CERAMIC/PORCELAIN TILE / CERAMIC COVE TILE BASE / WALLS PAINTED GYP. BD. + CERAMIC/PORCELAIN TILE / CEILING PAINTED GYP. BD. / SEE A-200</t>
        </is>
      </c>
      <c r="E414" s="2" t="inlineStr">
        <is>
          <t>RFI</t>
        </is>
      </c>
      <c r="F414" s="2" t="inlineStr">
        <is>
          <t>Material Summary!R20 (W.R. walls + ceiling 61.19 SF) + Pending Items!R15 RFI-12</t>
        </is>
      </c>
      <c r="G414" s="5" t="inlineStr">
        <is>
          <t>RFI</t>
        </is>
      </c>
      <c r="H414" s="2" t="inlineStr">
        <is>
          <t>Room Finish Schedule row 109 WOMEN'S RESTROOM</t>
        </is>
      </c>
      <c r="I414" s="2" t="inlineStr">
        <is>
          <t>Same as 108.</t>
        </is>
      </c>
      <c r="J414" s="2" t="inlineStr">
        <is>
          <t>A-510_room-finish-schedule.png</t>
        </is>
      </c>
      <c r="K414" s="2" t="n">
        <v>33</v>
      </c>
    </row>
    <row r="415">
      <c r="A415" s="2" t="n">
        <v>414</v>
      </c>
      <c r="B415" s="2" t="inlineStr">
        <is>
          <t>A-510</t>
        </is>
      </c>
      <c r="C415" s="2" t="inlineStr">
        <is>
          <t>Schedule note</t>
        </is>
      </c>
      <c r="D415" s="2" t="inlineStr">
        <is>
          <t>CERAMIC/PORCELAIN TILE / WOOD BASE / WALLS PAINTED GYP. BD. + CERAMIC/PORCELAIN TILE / CEILING ACOUSTIC TILE / PAINT WALLS PT-3, BASE B-1</t>
        </is>
      </c>
      <c r="E415" s="2" t="inlineStr">
        <is>
          <t>RFI</t>
        </is>
      </c>
      <c r="F415" s="2" t="inlineStr">
        <is>
          <t>Partition Takeoff Corridor 110 faces 9.5 ft + Material Summary!R20 (alcove W.R.) + Pending Items!R15 RFI-12 (Corridor wall tile backer)</t>
        </is>
      </c>
      <c r="G415" s="5" t="inlineStr">
        <is>
          <t>RFI</t>
        </is>
      </c>
      <c r="H415" s="2" t="inlineStr">
        <is>
          <t>Room Finish Schedule row 110 CORRIDOR</t>
        </is>
      </c>
      <c r="I415" s="2" t="inlineStr">
        <is>
          <t>Corridor wall tile backer stays in RFI-12 (height not printed); ACT ceiling -&gt; see ACT GAP.</t>
        </is>
      </c>
      <c r="J415" s="2" t="inlineStr">
        <is>
          <t>A-510_room-finish-schedule.png</t>
        </is>
      </c>
      <c r="K415" s="2" t="n">
        <v>33</v>
      </c>
    </row>
    <row r="416">
      <c r="A416" s="2" t="n">
        <v>415</v>
      </c>
      <c r="B416" s="2" t="inlineStr">
        <is>
          <t>A-510</t>
        </is>
      </c>
      <c r="C416" s="2" t="inlineStr">
        <is>
          <t>Schedule note</t>
        </is>
      </c>
      <c r="D416" s="2" t="inlineStr">
        <is>
          <t>SEALED CONCRETE FLOOR / VINYL BASE / WALLS PAINTED GYP. BD. / CEILING PAINTED STRUCTURE + OPEN TO STRUCTURE / PAINT WALLS PT-1, BASE VB-1</t>
        </is>
      </c>
      <c r="E416" s="2" t="inlineStr">
        <is>
          <t>Excel row</t>
        </is>
      </c>
      <c r="F416" s="2" t="inlineStr">
        <is>
          <t>Partition Takeoff!R7 (W2-03 Stock Room face 25 ft)</t>
        </is>
      </c>
      <c r="G416" s="3" t="inlineStr">
        <is>
          <t>COVERED</t>
        </is>
      </c>
      <c r="H416" s="2" t="inlineStr">
        <is>
          <t>Room Finish Schedule row 111 STOCK ROOM</t>
        </is>
      </c>
      <c r="I416" s="2" t="inlineStr">
        <is>
          <t>Painted GWB to deck carried.</t>
        </is>
      </c>
      <c r="J416" s="2" t="inlineStr">
        <is>
          <t>A-510_room-finish-schedule.png</t>
        </is>
      </c>
      <c r="K416" s="2" t="n">
        <v>33</v>
      </c>
    </row>
    <row r="417">
      <c r="A417" s="2" t="n">
        <v>416</v>
      </c>
      <c r="B417" s="2" t="inlineStr">
        <is>
          <t>A-510</t>
        </is>
      </c>
      <c r="C417" s="2" t="inlineStr">
        <is>
          <t>Schedule note</t>
        </is>
      </c>
      <c r="D417" s="2" t="inlineStr">
        <is>
          <t>SEALED CONCRETE FLOOR / VINYL BASE / WALLS PAINTED GYP. BD. / CEILING PAINTED STRUCTURE + OPEN TO STRUCTURE / PAINT WALLS PT-1, BASE VB-1</t>
        </is>
      </c>
      <c r="E417" s="2" t="inlineStr">
        <is>
          <t>Excel row</t>
        </is>
      </c>
      <c r="F417" s="2" t="inlineStr">
        <is>
          <t>Partition Takeoff!R6 (W2-01+W2-02 Storage faces 25 ft)</t>
        </is>
      </c>
      <c r="G417" s="3" t="inlineStr">
        <is>
          <t>COVERED</t>
        </is>
      </c>
      <c r="H417" s="2" t="inlineStr">
        <is>
          <t>Room Finish Schedule row 112 STORAGE</t>
        </is>
      </c>
      <c r="I417" s="2" t="inlineStr">
        <is>
          <t>Painted GWB to deck carried.</t>
        </is>
      </c>
      <c r="J417" s="2" t="inlineStr">
        <is>
          <t>A-510_room-finish-schedule.png</t>
        </is>
      </c>
      <c r="K417" s="2" t="n">
        <v>33</v>
      </c>
    </row>
    <row r="418">
      <c r="A418" s="2" t="n">
        <v>417</v>
      </c>
      <c r="B418" s="2" t="inlineStr">
        <is>
          <t>A-510</t>
        </is>
      </c>
      <c r="C418" s="2" t="inlineStr">
        <is>
          <t>Schedule note</t>
        </is>
      </c>
      <c r="D418" s="2" t="inlineStr">
        <is>
          <t>Column 'FIRE TAPED GYP. BD. - NO FINISH' (no room marked)</t>
        </is>
      </c>
      <c r="E418" s="2" t="inlineStr">
        <is>
          <t>Excel row</t>
        </is>
      </c>
      <c r="F418" s="2" t="inlineStr">
        <is>
          <t>Material Summary!R44/R45 (all board finished, Level 4)</t>
        </is>
      </c>
      <c r="G418" s="3" t="inlineStr">
        <is>
          <t>COVERED</t>
        </is>
      </c>
      <c r="H418" s="2" t="inlineStr">
        <is>
          <t>Room Finish Schedule - wall column FIRE TAPED GYP. BD. - NO FINISH</t>
        </is>
      </c>
      <c r="I418" s="2" t="inlineStr">
        <is>
          <t>No room uses fire-taped only finish [CONFIRMED - column empty]; all board finished.</t>
        </is>
      </c>
      <c r="J418" s="2" t="inlineStr">
        <is>
          <t>A-510_room-finish-schedule.png</t>
        </is>
      </c>
      <c r="K418" s="2" t="n">
        <v>33</v>
      </c>
    </row>
    <row r="419">
      <c r="A419" s="2" t="n">
        <v>418</v>
      </c>
      <c r="B419" s="2" t="inlineStr">
        <is>
          <t>A-510</t>
        </is>
      </c>
      <c r="C419" s="2" t="inlineStr">
        <is>
          <t>Schedule note</t>
        </is>
      </c>
      <c r="D419" s="2" t="inlineStr">
        <is>
          <t>No 'LEVEL 5' in room finish schedule, finish notes or finish legend</t>
        </is>
      </c>
      <c r="E419" s="2" t="inlineStr">
        <is>
          <t>Excel row</t>
        </is>
      </c>
      <c r="F419" s="2" t="inlineStr">
        <is>
          <t>Material Summary!R46 (Level 5 = 0) + Scope Checklist!R25 ALC-24</t>
        </is>
      </c>
      <c r="G419" s="3" t="inlineStr">
        <is>
          <t>COVERED</t>
        </is>
      </c>
      <c r="H419" s="2" t="inlineStr">
        <is>
          <t>Level 5 check</t>
        </is>
      </c>
      <c r="I419" s="2" t="inlineStr">
        <is>
          <t>Confirmed: finish note 8 = paper tape + three coats (Level 4); no Level 5 anywhere on A-510.</t>
        </is>
      </c>
      <c r="J419" s="2" t="inlineStr">
        <is>
          <t>A-510_finish-note-8.png</t>
        </is>
      </c>
      <c r="K419" s="2" t="n">
        <v>33</v>
      </c>
    </row>
    <row r="420">
      <c r="A420" s="2" t="n">
        <v>419</v>
      </c>
      <c r="B420" s="2" t="inlineStr">
        <is>
          <t>A-510</t>
        </is>
      </c>
      <c r="C420" s="2" t="inlineStr">
        <is>
          <t>General note</t>
        </is>
      </c>
      <c r="D420" s="2" t="inlineStr">
        <is>
          <t>1. FOR LOCATION AND TYPE OF BASE IN SALES AREA SEE FINISH PLAN. 2. ... FLAME SPREAD ... 3. ALL CARPETING ... 4. THE GENERAL CONTRACTOR SHALL BE RESPONSIBLE FOR PROPER PREPARATION ... 5. ALL NON-CARPETED MEANS OF EGRESS ... 6. EPOXY GROUT ... 7. G.C. TO PROVIDE GROUT SAMPLE ...</t>
        </is>
      </c>
      <c r="E420" s="2" t="inlineStr">
        <is>
          <t>EXCLUDED</t>
        </is>
      </c>
      <c r="F420" s="2" t="inlineStr">
        <is>
          <t>n/a</t>
        </is>
      </c>
      <c r="G420" s="4" t="inlineStr">
        <is>
          <t>EXCLUDED</t>
        </is>
      </c>
      <c r="H420" s="2" t="inlineStr">
        <is>
          <t>Finish notes 1-7</t>
        </is>
      </c>
      <c r="I420" s="2" t="inlineStr">
        <is>
          <t>Flooring / general finish notes, no drywall quantity.</t>
        </is>
      </c>
      <c r="J420" s="2" t="inlineStr"/>
      <c r="K420" s="2" t="n">
        <v>33</v>
      </c>
    </row>
    <row r="421">
      <c r="A421" s="2" t="n">
        <v>420</v>
      </c>
      <c r="B421" s="2" t="inlineStr">
        <is>
          <t>A-510</t>
        </is>
      </c>
      <c r="C421" s="2" t="inlineStr">
        <is>
          <t>General note</t>
        </is>
      </c>
      <c r="D421" s="2" t="inlineStr">
        <is>
          <t>8. ALL JOINTS IN GYPSUM BOARD WALLS SHALL BE FINISHED WITH PAPER TAPE 2" WIDE AND THREE COATS OF VINYL, DRY OR PREMIXED JOINT COMPOUND. ALL OUTSIDE CORNERS SHALL BE FINISHED WITH METAL CORNER BEADS, TAPED AND SPACKLED. ...</t>
        </is>
      </c>
      <c r="E421" s="2" t="inlineStr">
        <is>
          <t>Excel row</t>
        </is>
      </c>
      <c r="F421" s="2" t="inlineStr">
        <is>
          <t>Material Summary!R44, R45, R26</t>
        </is>
      </c>
      <c r="G421" s="3" t="inlineStr">
        <is>
          <t>COVERED</t>
        </is>
      </c>
      <c r="H421" s="2" t="inlineStr">
        <is>
          <t>Finish note 8</t>
        </is>
      </c>
      <c r="I421" s="2" t="inlineStr">
        <is>
          <t>Joint treatment and corner bead rows exist (Level 4).</t>
        </is>
      </c>
      <c r="J421" s="2" t="inlineStr">
        <is>
          <t>A-510_finish-note-8.png</t>
        </is>
      </c>
      <c r="K421" s="2" t="n">
        <v>33</v>
      </c>
    </row>
    <row r="422">
      <c r="A422" s="2" t="n">
        <v>421</v>
      </c>
      <c r="B422" s="2" t="inlineStr">
        <is>
          <t>A-510</t>
        </is>
      </c>
      <c r="C422" s="2" t="inlineStr">
        <is>
          <t>General note</t>
        </is>
      </c>
      <c r="D422" s="2" t="inlineStr">
        <is>
          <t>ALL OUTSIDE CORNERS SHALL BE FINISHED WITH METAL CORNER BEADS, TAPED AND SPACKLED.</t>
        </is>
      </c>
      <c r="E422" s="2" t="inlineStr">
        <is>
          <t>NO DESTINATION (GAP) - proposed</t>
        </is>
      </c>
      <c r="F422" s="2" t="inlineStr">
        <is>
          <t>Material Summary!R26 (METAL trim) - add soffit outside corners</t>
        </is>
      </c>
      <c r="G422" s="6" t="inlineStr">
        <is>
          <t>GAP</t>
        </is>
      </c>
      <c r="H422" s="2" t="inlineStr">
        <is>
          <t>Finish note 8 - outside corners at Cafe soffits</t>
        </is>
      </c>
      <c r="I422" s="2" t="inlineStr">
        <is>
          <t>R26 lists corner bead only at type 3/4 walls, drinking fountain alcove, column surrounds and the cloud; the framed Cafe soffit bottom edges (2/A-221) and the Grab &amp; Go header soffit (3/A-221) also form outside corners. Delta [DERIVED from Partition Takeoff lengths]: SS-N 22.77 + SS-E 10.12 + SS-IN-N 20.00 + SS-IN-E 6.25 + SS-GG 6.17 = +65.31 LF corner bead (verify each edge is an exposed corner on 2/A-221, 3/A-221).</t>
        </is>
      </c>
      <c r="J422" s="2" t="inlineStr">
        <is>
          <t>A-510_finish-note-8.png</t>
        </is>
      </c>
      <c r="K422" s="2" t="n">
        <v>33</v>
      </c>
    </row>
    <row r="423">
      <c r="A423" s="2" t="n">
        <v>422</v>
      </c>
      <c r="B423" s="2" t="inlineStr">
        <is>
          <t>A-510</t>
        </is>
      </c>
      <c r="C423" s="2" t="inlineStr">
        <is>
          <t>General note</t>
        </is>
      </c>
      <c r="D423" s="2" t="inlineStr">
        <is>
          <t>SUBMIT FINISH SAMPLES ... / 1. DUE TO THE LONG LEAD TIMES OF TILE ... / FLAMESPREAD AND SMOKE DEVELOPEMENT INFORMATION PER CBC TABLE 803.9 ... WALL BASE (WOOD LAMINATE): BY BN ... PAINTS ... ACOUSTIC CEILING TILE: FLAME SPREAD &lt; 25 (CLASS A) ... FIBERGLASS REINFORCED PANEL (FRP): FLAME SPREAD &lt; 25 (CLASS A) ... COUNTERS TOP (CORIAN): BY BN</t>
        </is>
      </c>
      <c r="E423" s="2" t="inlineStr">
        <is>
          <t>EXCLUDED</t>
        </is>
      </c>
      <c r="F423" s="2" t="inlineStr">
        <is>
          <t>n/a (product criteria) ; FRP -&gt; RFI-13, ACT -&gt; ACT GAP</t>
        </is>
      </c>
      <c r="G423" s="4" t="inlineStr">
        <is>
          <t>EXCLUDED</t>
        </is>
      </c>
      <c r="H423" s="2" t="inlineStr">
        <is>
          <t>Submit samples / General finish notes / Flamespread info</t>
        </is>
      </c>
      <c r="I423" s="2" t="inlineStr">
        <is>
          <t>Classification criteria only; no quantities.</t>
        </is>
      </c>
      <c r="J423" s="2" t="inlineStr"/>
      <c r="K423" s="2" t="n">
        <v>33</v>
      </c>
    </row>
    <row r="424">
      <c r="A424" s="2" t="n">
        <v>423</v>
      </c>
      <c r="B424" s="2" t="inlineStr">
        <is>
          <t>A-510</t>
        </is>
      </c>
      <c r="C424" s="2" t="inlineStr">
        <is>
          <t>General note</t>
        </is>
      </c>
      <c r="D424" s="2" t="inlineStr">
        <is>
          <t>NOTE: ALL FLOOR TRANSITIONS ARE FURNISHED BY BARNES &amp; NOBLE AND INSTALLED BY GENERAL CONTRACTOR.</t>
        </is>
      </c>
      <c r="E424" s="2" t="inlineStr">
        <is>
          <t>EXCLUDED</t>
        </is>
      </c>
      <c r="F424" s="2" t="inlineStr">
        <is>
          <t>n/a (flooring)</t>
        </is>
      </c>
      <c r="G424" s="4" t="inlineStr">
        <is>
          <t>EXCLUDED</t>
        </is>
      </c>
      <c r="H424" s="2" t="inlineStr">
        <is>
          <t>Floor transitions note</t>
        </is>
      </c>
      <c r="I424" s="2" t="inlineStr">
        <is>
          <t>Not drywall.</t>
        </is>
      </c>
      <c r="J424" s="2" t="inlineStr"/>
      <c r="K424" s="2" t="n">
        <v>33</v>
      </c>
    </row>
    <row r="425">
      <c r="A425" s="2" t="n">
        <v>424</v>
      </c>
      <c r="B425" s="2" t="inlineStr">
        <is>
          <t>A-510</t>
        </is>
      </c>
      <c r="C425" s="2" t="inlineStr">
        <is>
          <t>Detail bubble</t>
        </is>
      </c>
      <c r="D425" s="2" t="inlineStr">
        <is>
          <t>1 Exterior Conc. to Sealed Conc. / 2 Carpet to Sealed Concrete / 3 Sealed Conc. to Ceramic Tile / 4 Tile to Exterior / 5 Carpet to Ceramic Tile / 6 Exterior to Walk Off Mat / 7 Ceramic Tile to Epoxy Flooring / 8 Ceramic Tile to VCT / 9 Carpet to VCT</t>
        </is>
      </c>
      <c r="E425" s="2" t="inlineStr">
        <is>
          <t>EXCLUDED</t>
        </is>
      </c>
      <c r="F425" s="2" t="inlineStr">
        <is>
          <t>n/a (flooring)</t>
        </is>
      </c>
      <c r="G425" s="4" t="inlineStr">
        <is>
          <t>EXCLUDED</t>
        </is>
      </c>
      <c r="H425" s="2" t="inlineStr">
        <is>
          <t>1/A-510 ... 9/A-510 Floor Transition Details</t>
        </is>
      </c>
      <c r="I425" s="2" t="inlineStr">
        <is>
          <t>Floor transitions only; door frames shown are Div 08.</t>
        </is>
      </c>
      <c r="J425" s="2" t="inlineStr"/>
      <c r="K425" s="2" t="n">
        <v>33</v>
      </c>
    </row>
    <row r="426">
      <c r="A426" s="2" t="n">
        <v>425</v>
      </c>
      <c r="B426" s="2" t="inlineStr">
        <is>
          <t>A-510</t>
        </is>
      </c>
      <c r="C426" s="2" t="inlineStr">
        <is>
          <t>Legend</t>
        </is>
      </c>
      <c r="D426" s="2" t="inlineStr">
        <is>
          <t>B-1 6" HIGH 3/4" THICK WOOD BASE ... PROVIDED BY BN / B-2 6X6 FLAT TOP COVE A3601 CERAMIC TILE / VB-1 ... / TL-1, TL-3, VT-1, CP-1, SC-1, CON-1 (hatched), CP-2 (hatched), FM-1, EP-1</t>
        </is>
      </c>
      <c r="E426" s="2" t="inlineStr">
        <is>
          <t>EXCLUDED</t>
        </is>
      </c>
      <c r="F426" s="2" t="inlineStr">
        <is>
          <t>n/a (flooring / base)</t>
        </is>
      </c>
      <c r="G426" s="4" t="inlineStr">
        <is>
          <t>EXCLUDED</t>
        </is>
      </c>
      <c r="H426" s="2" t="inlineStr">
        <is>
          <t>Finish Legend - Base / Floor</t>
        </is>
      </c>
      <c r="I426" s="2" t="inlineStr">
        <is>
          <t>Not Div 05/09; ceramic cove base backer question stays in RFI-12 (Pending Items!R15).</t>
        </is>
      </c>
      <c r="J426" s="2" t="inlineStr"/>
      <c r="K426" s="2" t="n">
        <v>33</v>
      </c>
    </row>
    <row r="427">
      <c r="A427" s="2" t="n">
        <v>426</v>
      </c>
      <c r="B427" s="2" t="inlineStr">
        <is>
          <t>A-510</t>
        </is>
      </c>
      <c r="C427" s="2" t="inlineStr">
        <is>
          <t>Legend</t>
        </is>
      </c>
      <c r="D427" s="2" t="inlineStr">
        <is>
          <t>PT-1 ... PT-4 WHITE, FINISH = FLAT - ALL CEILINGS / PT-5 COROTECH ACRYLIC EPOXY V450: WHITE - UNDERSIDE OF CAFE BACK SOFFIT ONLY / PT-6 ... UNDERSIDE OF ROOF DECK ... / PT-7 ... DRINK COOLER ALCOVE / PT-8 (hatched) / PT-9 EXTERIOR SIGNBAND / NOTE: APPLY ALL PAINT FINISH AS FOLLOWS: SOFFITS - EGGSHELL, WALLS - EGGSHELL, CAFE WORK ROOM / TOILET / J.C. - SEMI-GLOSS ...</t>
        </is>
      </c>
      <c r="E427" s="2" t="inlineStr">
        <is>
          <t>EXCLUDED</t>
        </is>
      </c>
      <c r="F427" s="2" t="inlineStr">
        <is>
          <t>n/a (Div 09 91 painting)</t>
        </is>
      </c>
      <c r="G427" s="4" t="inlineStr">
        <is>
          <t>EXCLUDED</t>
        </is>
      </c>
      <c r="H427" s="2" t="inlineStr">
        <is>
          <t>Finish Legend - Wall paint PT-1..PT-9 + paint note</t>
        </is>
      </c>
      <c r="I427" s="2" t="inlineStr">
        <is>
          <t>Painting by others; PT-5 confirms the Cafe back soffit GWB (carried, Partition Takeoff!R105-R108).</t>
        </is>
      </c>
      <c r="J427" s="2" t="inlineStr"/>
      <c r="K427" s="2" t="n">
        <v>33</v>
      </c>
    </row>
    <row r="428">
      <c r="A428" s="2" t="n">
        <v>427</v>
      </c>
      <c r="B428" s="2" t="inlineStr">
        <is>
          <t>A-510</t>
        </is>
      </c>
      <c r="C428" s="2" t="inlineStr">
        <is>
          <t>Legend</t>
        </is>
      </c>
      <c r="D428" s="2" t="inlineStr">
        <is>
          <t>TL-2 SUBWAY TILE 3"X6" ... RESTROOM WAINSCOT / ASSOCIATED FLOORING / SEE A200 FOR LOCATIONS</t>
        </is>
      </c>
      <c r="E428" s="2" t="inlineStr">
        <is>
          <t>RFI</t>
        </is>
      </c>
      <c r="F428" s="2" t="inlineStr">
        <is>
          <t>Pending Items!R15 RFI-12</t>
        </is>
      </c>
      <c r="G428" s="5" t="inlineStr">
        <is>
          <t>RFI</t>
        </is>
      </c>
      <c r="H428" s="2" t="inlineStr">
        <is>
          <t>Finish Legend TL-2</t>
        </is>
      </c>
      <c r="I428" s="2" t="inlineStr">
        <is>
          <t>Cement board (or W.R. as tile substrate) behind restroom wainscot not detailed; RFI-12 holds it.</t>
        </is>
      </c>
      <c r="J428" s="2" t="inlineStr">
        <is>
          <t>A-510_finish-legend-tl-wd-frp.png</t>
        </is>
      </c>
      <c r="K428" s="2" t="n">
        <v>33</v>
      </c>
    </row>
    <row r="429">
      <c r="A429" s="2" t="n">
        <v>428</v>
      </c>
      <c r="B429" s="2" t="inlineStr">
        <is>
          <t>A-510</t>
        </is>
      </c>
      <c r="C429" s="2" t="inlineStr">
        <is>
          <t>Legend</t>
        </is>
      </c>
      <c r="D429" s="2" t="inlineStr">
        <is>
          <t>TL-4 GLAZED CERAMIC TILE ... CAFE BACKSPLASH / TL-5 CERAMIC TILE - Roca Flow White 3"x12" Picket ... CAFE DIE WALLS / SEE A225 &amp; A226A FOR LOCATIONS</t>
        </is>
      </c>
      <c r="E429" s="2" t="inlineStr">
        <is>
          <t>Excel row</t>
        </is>
      </c>
      <c r="F429" s="2" t="inlineStr">
        <is>
          <t>Material Summary!R27 (Cement board 851.4 SF: C-E1-S, C-E1-P.2, C-E1-B, counters A/B/C/D)</t>
        </is>
      </c>
      <c r="G429" s="3" t="inlineStr">
        <is>
          <t>COVERED</t>
        </is>
      </c>
      <c r="H429" s="2" t="inlineStr">
        <is>
          <t>Finish Legend TL-4 / TL-5</t>
        </is>
      </c>
      <c r="I429" s="2" t="inlineStr">
        <is>
          <t>Tile substrates at Cafe die walls and backsplash wall carried as cement board (E/A-221, A-D/A-221).</t>
        </is>
      </c>
      <c r="J429" s="2" t="inlineStr">
        <is>
          <t>A-510_finish-legend-tl-wd-frp.png</t>
        </is>
      </c>
      <c r="K429" s="2" t="n">
        <v>33</v>
      </c>
    </row>
    <row r="430">
      <c r="A430" s="2" t="n">
        <v>429</v>
      </c>
      <c r="B430" s="2" t="inlineStr">
        <is>
          <t>A-510</t>
        </is>
      </c>
      <c r="C430" s="2" t="inlineStr">
        <is>
          <t>Legend</t>
        </is>
      </c>
      <c r="D430" s="2" t="inlineStr">
        <is>
          <t>WD-1 WOOD TILE - NATURAL FINISH - CAFE WALLS - SUPPLIED BY B&amp;N</t>
        </is>
      </c>
      <c r="E430" s="2" t="inlineStr">
        <is>
          <t>Excel row</t>
        </is>
      </c>
      <c r="F430" s="2" t="inlineStr">
        <is>
          <t>Material Summary!R29 (5/8" FRT plywood substrate) + Pending Items!R11 RFI-08, R17 RFI-14</t>
        </is>
      </c>
      <c r="G430" s="3" t="inlineStr">
        <is>
          <t>COVERED</t>
        </is>
      </c>
      <c r="H430" s="2" t="inlineStr">
        <is>
          <t>Finish Legend WD-1</t>
        </is>
      </c>
      <c r="I430" s="2" t="inlineStr">
        <is>
          <t>Wood tile by B&amp;N; FRT plywood substrate carried.</t>
        </is>
      </c>
      <c r="J430" s="2" t="inlineStr">
        <is>
          <t>A-510_finish-legend-tl-wd-frp.png</t>
        </is>
      </c>
      <c r="K430" s="2" t="n">
        <v>33</v>
      </c>
    </row>
    <row r="431">
      <c r="A431" s="2" t="n">
        <v>430</v>
      </c>
      <c r="B431" s="2" t="inlineStr">
        <is>
          <t>A-510</t>
        </is>
      </c>
      <c r="C431" s="2" t="inlineStr">
        <is>
          <t>Legend</t>
        </is>
      </c>
      <c r="D431" s="2" t="inlineStr">
        <is>
          <t>FRP-1 FIRE REINFORCED PANELS CLASS A WHITE SMOOTH FINISH - WORK ROOM/ JAN CL., CAFE - KEMLITE</t>
        </is>
      </c>
      <c r="E431" s="2" t="inlineStr">
        <is>
          <t>RFI</t>
        </is>
      </c>
      <c r="F431" s="2" t="inlineStr">
        <is>
          <t>Pending Items!R16 RFI-13 + R25 RFI-22 + Material Summary!R37 (PVC trim 0)</t>
        </is>
      </c>
      <c r="G431" s="5" t="inlineStr">
        <is>
          <t>RFI</t>
        </is>
      </c>
      <c r="H431" s="2" t="inlineStr">
        <is>
          <t>Finish Legend FRP-1</t>
        </is>
      </c>
      <c r="I431" s="2" t="inlineStr">
        <is>
          <t>Extent: Work Room (height not printed), Janitor (96" AFF per A-131 -&gt; see CORREGIR), Cafe below countertop. Installer open (A-002).</t>
        </is>
      </c>
      <c r="J431" s="2" t="inlineStr">
        <is>
          <t>A-510_finish-legend-tl-wd-frp.png</t>
        </is>
      </c>
      <c r="K431" s="2" t="n">
        <v>33</v>
      </c>
    </row>
    <row r="432">
      <c r="A432" s="2" t="n">
        <v>431</v>
      </c>
      <c r="B432" s="2" t="inlineStr">
        <is>
          <t>A-510</t>
        </is>
      </c>
      <c r="C432" s="2" t="inlineStr">
        <is>
          <t>Legend</t>
        </is>
      </c>
      <c r="D432" s="2" t="inlineStr">
        <is>
          <t>WOOD BASE TO CERAMIC TILE FLOOR / COUNTERTOPS / CABINETS TO PAINTED SURFACES / FRP TO SANITARY COVE BASE / PAINTED SURFACE</t>
        </is>
      </c>
      <c r="E432" s="2" t="inlineStr">
        <is>
          <t>RFI</t>
        </is>
      </c>
      <c r="F432" s="2" t="inlineStr">
        <is>
          <t>Pending Items!R16 RFI-13 (FRP edges)</t>
        </is>
      </c>
      <c r="G432" s="5" t="inlineStr">
        <is>
          <t>RFI</t>
        </is>
      </c>
      <c r="H432" s="2" t="inlineStr">
        <is>
          <t>Finish Legend Sealant</t>
        </is>
      </c>
      <c r="I432" s="2" t="inlineStr">
        <is>
          <t>Finish sealants by base / millwork / FRP installers; acoustical sealant remains excluded (Scope Checklist!R20).</t>
        </is>
      </c>
      <c r="J432" s="2" t="inlineStr"/>
      <c r="K432" s="2" t="n">
        <v>33</v>
      </c>
    </row>
    <row r="433">
      <c r="A433" s="2" t="n">
        <v>432</v>
      </c>
      <c r="B433" s="2" t="inlineStr">
        <is>
          <t>A-510</t>
        </is>
      </c>
      <c r="C433" s="2" t="inlineStr">
        <is>
          <t>Legend</t>
        </is>
      </c>
      <c r="D433" s="2" t="inlineStr">
        <is>
          <t>ACT-1 CLEAN ROOM VL: 868, 24 X 48, SQUARE LAY-IN 15/16 - WORK ROOM - ARMSTRONG / ACT-2 (hatched, STORAGE) / ACT-3 OPTIMA 24 X 24 SQUARE LAY-IN FINE TEXTURE WITH PRELUDE XL 15/16" SUSPENSION SYSTEM - BREAK ROOM, MANAGER'S OFFICE, CORRIDOR - ARMSTRONG</t>
        </is>
      </c>
      <c r="E433" s="2" t="inlineStr">
        <is>
          <t>NO DESTINATION (GAP) - proposed</t>
        </is>
      </c>
      <c r="F433" s="2" t="inlineStr">
        <is>
          <t>Proposed: Scope Checklist new line 'Acoustical lay-in ceilings ACT-1 / ACT-3 + Prelude XL grid' = EXCLUDED (by ACT contractor) or quantified rows</t>
        </is>
      </c>
      <c r="G433" s="6" t="inlineStr">
        <is>
          <t>GAP</t>
        </is>
      </c>
      <c r="H433" s="2" t="inlineStr">
        <is>
          <t>Finish Legend - Ceiling ACT-1 / ACT-2 / ACT-3</t>
        </is>
      </c>
      <c r="I433" s="2" t="inlineStr">
        <is>
          <t>Same GAP as A-121 ACT tags: no Excel row and no exclusion for ACT tile/grid. ACT-2 is hatched (not used; Storage is open to deck).</t>
        </is>
      </c>
      <c r="J433" s="2" t="inlineStr">
        <is>
          <t>A-510_finish-legend-act.png</t>
        </is>
      </c>
      <c r="K433" s="2" t="n">
        <v>33</v>
      </c>
    </row>
    <row r="434">
      <c r="A434" s="2" t="n">
        <v>433</v>
      </c>
      <c r="B434" s="2" t="inlineStr">
        <is>
          <t>A-510</t>
        </is>
      </c>
      <c r="C434" s="2" t="inlineStr">
        <is>
          <t>Legend</t>
        </is>
      </c>
      <c r="D434" s="2" t="inlineStr">
        <is>
          <t>CC-1 SOLID SURFACE 'MILKY WAY' - CAFE COUNTERTOP / PL-1 ... OFFICE MILLWORK / GT-1, GT-2, GT-3 MAPEI KERAPOXY CQ</t>
        </is>
      </c>
      <c r="E434" s="2" t="inlineStr">
        <is>
          <t>EXCLUDED</t>
        </is>
      </c>
      <c r="F434" s="2" t="inlineStr">
        <is>
          <t>n/a (millwork / tile)</t>
        </is>
      </c>
      <c r="G434" s="4" t="inlineStr">
        <is>
          <t>EXCLUDED</t>
        </is>
      </c>
      <c r="H434" s="2" t="inlineStr">
        <is>
          <t>Finish Legend - Solid surface / Grouts</t>
        </is>
      </c>
      <c r="I434" s="2" t="inlineStr">
        <is>
          <t>Not drywall.</t>
        </is>
      </c>
      <c r="J434" s="2" t="inlineStr"/>
      <c r="K434" s="2" t="n">
        <v>33</v>
      </c>
    </row>
    <row r="435">
      <c r="A435" s="2" t="n">
        <v>434</v>
      </c>
      <c r="B435" s="2" t="inlineStr">
        <is>
          <t>A-510</t>
        </is>
      </c>
      <c r="C435" s="2" t="inlineStr">
        <is>
          <t>Schedule note</t>
        </is>
      </c>
      <c r="D435" s="2" t="inlineStr">
        <is>
          <t>A-510 has no W.R. column; restrooms = painted gyp + ceramic tile (SEE A-200); Janitor = painted gyp + FRP; Work Room = FRP only; Corridor = painted gyp + ceramic tile</t>
        </is>
      </c>
      <c r="E435" s="2" t="inlineStr">
        <is>
          <t>Excel row</t>
        </is>
      </c>
      <c r="F435" s="2" t="inlineStr">
        <is>
          <t>Material Summary!R20 (W.R. per A-410 notes, RFI-11) + Pending Items!R16 RFI-13 (FRP) + R15 RFI-12 (cement board)</t>
        </is>
      </c>
      <c r="G435" s="3" t="inlineStr">
        <is>
          <t>COVERED</t>
        </is>
      </c>
      <c r="H435" s="2" t="inlineStr">
        <is>
          <t>Excel cross-check: W.R. / FRP / cement board vs A-510</t>
        </is>
      </c>
      <c r="I435" s="2" t="inlineStr">
        <is>
          <t>A-510 does not contradict the W.R. take-off (W.R. comes from A-410); FRP and cement-board questions correctly parked in RFI-13 / RFI-12, except the Janitor FRP height which A-131 prints (CORREGIR item).</t>
        </is>
      </c>
      <c r="J435" s="2" t="inlineStr">
        <is>
          <t>A-510_room-finish-schedule.png</t>
        </is>
      </c>
      <c r="K435" s="2" t="n">
        <v>33</v>
      </c>
    </row>
    <row r="436">
      <c r="A436" s="2" t="n">
        <v>435</v>
      </c>
      <c r="B436" s="2" t="inlineStr">
        <is>
          <t>DM-101</t>
        </is>
      </c>
      <c r="C436" s="2" t="inlineStr">
        <is>
          <t>Legend</t>
        </is>
      </c>
      <c r="D436" s="2" t="inlineStr">
        <is>
          <t>EXISTING DEMISING WALL TO REMAIN (V.I.F.)</t>
        </is>
      </c>
      <c r="E436" s="2" t="inlineStr">
        <is>
          <t>EXCLUDED</t>
        </is>
      </c>
      <c r="F436" s="2" t="inlineStr">
        <is>
          <t>Scope Checklist ALC-02; Pending Items RFI-01</t>
        </is>
      </c>
      <c r="G436" s="4" t="inlineStr">
        <is>
          <t>EXCLUDED</t>
        </is>
      </c>
      <c r="H436" s="2" t="inlineStr">
        <is>
          <t>Demolition legend - existing demising wall</t>
        </is>
      </c>
      <c r="I436" s="2" t="inlineStr">
        <is>
          <t>Whole perimeter (north to ADJACENT TENANT, south/west EXTERIOR, east storefront) drawn as existing to remain -&gt; perimeter framing excluded, interior face patch &amp; repair = allowance.</t>
        </is>
      </c>
      <c r="J436" s="2" t="inlineStr">
        <is>
          <t>DM-101_key-notes.png</t>
        </is>
      </c>
      <c r="K436" s="2" t="n">
        <v>34</v>
      </c>
    </row>
    <row r="437">
      <c r="A437" s="2" t="n">
        <v>436</v>
      </c>
      <c r="B437" s="2" t="inlineStr">
        <is>
          <t>DM-101</t>
        </is>
      </c>
      <c r="C437" s="2" t="inlineStr">
        <is>
          <t>Legend</t>
        </is>
      </c>
      <c r="D437" s="2" t="inlineStr">
        <is>
          <t>EXISTING PARTITIONS AND DOOR TO REMAIN / EXISTING PARTITIONS, DOORS, FRAMES, FIXTURES, SOFFITS, FINISHES ETC. TO BE REMOVED</t>
        </is>
      </c>
      <c r="E437" s="2" t="inlineStr">
        <is>
          <t>EXCLUDED</t>
        </is>
      </c>
      <c r="F437" s="2" t="inlineStr">
        <is>
          <t>n/a</t>
        </is>
      </c>
      <c r="G437" s="4" t="inlineStr">
        <is>
          <t>EXCLUDED</t>
        </is>
      </c>
      <c r="H437" s="2" t="inlineStr">
        <is>
          <t>Demolition legend - existing partitions to remain / to be removed</t>
        </is>
      </c>
      <c r="I437" s="2" t="inlineStr">
        <is>
          <t>No interior partition or soffit drawn on 1/DM-101 (space is a vacant shell: only the perimeter, columns and key notes). Demolition &amp; haul off = GC (A-002 Div 02), not drywall.</t>
        </is>
      </c>
      <c r="J437" s="2" t="inlineStr"/>
      <c r="K437" s="2" t="n">
        <v>34</v>
      </c>
    </row>
    <row r="438">
      <c r="A438" s="2" t="n">
        <v>437</v>
      </c>
      <c r="B438" s="2" t="inlineStr">
        <is>
          <t>DM-101</t>
        </is>
      </c>
      <c r="C438" s="2" t="inlineStr">
        <is>
          <t>Key note</t>
        </is>
      </c>
      <c r="D438" s="2" t="inlineStr">
        <is>
          <t>EXTERIOR WALL PATCH AND REPAIR AS REQUIRED TO MAINTAIN EXISTING FIRE RATING.</t>
        </is>
      </c>
      <c r="E438" s="2" t="inlineStr">
        <is>
          <t>Excel row</t>
        </is>
      </c>
      <c r="F438" s="2" t="inlineStr">
        <is>
          <t>Pending Items RFI-01 / RFI-25 (patch &amp; repair ALLOWANCE, amount $ blank)</t>
        </is>
      </c>
      <c r="G438" s="3" t="inlineStr">
        <is>
          <t>COVERED</t>
        </is>
      </c>
      <c r="H438" s="2" t="inlineStr">
        <is>
          <t>Key note 3</t>
        </is>
      </c>
      <c r="I438" s="2" t="inlineStr">
        <is>
          <t>Tags the north, south and west perimeter (multiple instances on 1/DM-101). Estimator decision: allowance, amount left blank.</t>
        </is>
      </c>
      <c r="J438" s="2" t="inlineStr">
        <is>
          <t>DM-101_key-notes.png</t>
        </is>
      </c>
      <c r="K438" s="2" t="n">
        <v>34</v>
      </c>
    </row>
    <row r="439">
      <c r="A439" s="2" t="n">
        <v>438</v>
      </c>
      <c r="B439" s="2" t="inlineStr">
        <is>
          <t>DM-101</t>
        </is>
      </c>
      <c r="C439" s="2" t="inlineStr">
        <is>
          <t>Key note</t>
        </is>
      </c>
      <c r="D439" s="2" t="inlineStr">
        <is>
          <t>PREPARE SURFACES FOR NEW INSTALLATIONS.</t>
        </is>
      </c>
      <c r="E439" s="2" t="inlineStr">
        <is>
          <t>Excel row</t>
        </is>
      </c>
      <c r="F439" s="2" t="inlineStr">
        <is>
          <t>Pending Items RFI-01 / RFI-25 (patch &amp; repair allowance)</t>
        </is>
      </c>
      <c r="G439" s="3" t="inlineStr">
        <is>
          <t>COVERED</t>
        </is>
      </c>
      <c r="H439" s="2" t="inlineStr">
        <is>
          <t>Key note 9</t>
        </is>
      </c>
      <c r="I439" s="2" t="inlineStr">
        <is>
          <t>Key note group 4/7/9 points at the interior; surface prep on existing walls falls in the patch &amp; repair allowance. Suggest adding the citation to RFI-25.</t>
        </is>
      </c>
      <c r="J439" s="2" t="inlineStr">
        <is>
          <t>DM-101_key-notes.png</t>
        </is>
      </c>
      <c r="K439" s="2" t="n">
        <v>34</v>
      </c>
    </row>
    <row r="440">
      <c r="A440" s="2" t="n">
        <v>439</v>
      </c>
      <c r="B440" s="2" t="inlineStr">
        <is>
          <t>DM-101</t>
        </is>
      </c>
      <c r="C440" s="2" t="inlineStr">
        <is>
          <t>Key note</t>
        </is>
      </c>
      <c r="D440" s="2" t="inlineStr">
        <is>
          <t>2. STOREFRONT SYSTEM AND ENTRY DOORS TO BE PROTECTED ... CLEAN, PATCH AND REPAIR AS REQUIRED / 5. COLUMN, TO BE PROTECTED DURING CONSTRUCTION, REPAIR EXISTING FIRE PROOFING AS NEEDED... / 6. EXTERIOR FACADE SYSTEM TO REMAIN, PROTECT DURING CONSTRUCTION AND REPAIR AS REQUIRED. / 8. CANOPY TO REMAIN</t>
        </is>
      </c>
      <c r="E440" s="2" t="inlineStr">
        <is>
          <t>EXCLUDED</t>
        </is>
      </c>
      <c r="F440" s="2" t="inlineStr">
        <is>
          <t>Scope Checklist ALC-14 (canopy N/A); A-002 Div 07 FIRE PROOFING existing</t>
        </is>
      </c>
      <c r="G440" s="4" t="inlineStr">
        <is>
          <t>EXCLUDED</t>
        </is>
      </c>
      <c r="H440" s="2" t="inlineStr">
        <is>
          <t>Key notes 2, 5, 6, 8</t>
        </is>
      </c>
      <c r="I440" s="2" t="inlineStr">
        <is>
          <t>Storefront (Div 08), column fireproofing (existing / other trade), facade and canopy are not drywall/framing. Column GWB surrounds are new work (C25/A-101, Partition Takeoff!R96-R104).</t>
        </is>
      </c>
      <c r="J440" s="2" t="inlineStr">
        <is>
          <t>DM-101_key-notes.png</t>
        </is>
      </c>
      <c r="K440" s="2" t="n">
        <v>34</v>
      </c>
    </row>
    <row r="441">
      <c r="A441" s="2" t="n">
        <v>440</v>
      </c>
      <c r="B441" s="2" t="inlineStr">
        <is>
          <t>DM-101</t>
        </is>
      </c>
      <c r="C441" s="2" t="inlineStr">
        <is>
          <t>General note</t>
        </is>
      </c>
      <c r="D441" s="2" t="inlineStr">
        <is>
          <t>18. G.C. TO PATCH AND REPAIR ALL DEMISING WALLS TO REMAIN, AS REQUIRED. 19. G.C. IS RESPONSIBLE FOR PATCHING AND REPAIRING EXISTING FLOOR SLAB AND DEMISING WALLS AFTER COMPLETION OF ALL DEMOLITION AND PRIOR TO THE COMMENCEMENT OF NEW CONSTRUCTION...</t>
        </is>
      </c>
      <c r="E441" s="2" t="inlineStr">
        <is>
          <t>Excel row</t>
        </is>
      </c>
      <c r="F441" s="2" t="inlineStr">
        <is>
          <t>Pending Items RFI-25 / RFI-01 (allowance, amount blank)</t>
        </is>
      </c>
      <c r="G441" s="3" t="inlineStr">
        <is>
          <t>COVERED</t>
        </is>
      </c>
      <c r="H441" s="2" t="inlineStr">
        <is>
          <t>Demolition general notes 18 and 19</t>
        </is>
      </c>
      <c r="I441" s="2" t="inlineStr">
        <is>
          <t>Demising wall patch &amp; repair = allowance (estimator decision). Suggest citing notes 18-19 in RFI-25 next to key note 3.</t>
        </is>
      </c>
      <c r="J441" s="2" t="inlineStr">
        <is>
          <t>DM-101_gen-notes-18-19.png</t>
        </is>
      </c>
      <c r="K441" s="2" t="n">
        <v>34</v>
      </c>
    </row>
    <row r="442">
      <c r="A442" s="2" t="n">
        <v>441</v>
      </c>
      <c r="B442" s="2" t="inlineStr">
        <is>
          <t>DM-101</t>
        </is>
      </c>
      <c r="C442" s="2" t="inlineStr">
        <is>
          <t>General note</t>
        </is>
      </c>
      <c r="D442" s="2" t="inlineStr">
        <is>
          <t>1. BEFORE CONSTRUCTION OF THE TENANT FIT-UP, CONFIRM AND NOTE INDICATED DIMENSIONS OF DEMISING PARTITIONS AND COLUMN LOCATIONS... 5. UPON INITIAL SITE VISIT, VERIFY ALL EXISTING CONDITIONS...</t>
        </is>
      </c>
      <c r="E442" s="2" t="inlineStr">
        <is>
          <t>EXCLUDED</t>
        </is>
      </c>
      <c r="F442" s="2" t="inlineStr">
        <is>
          <t>n/a</t>
        </is>
      </c>
      <c r="G442" s="4" t="inlineStr">
        <is>
          <t>EXCLUDED</t>
        </is>
      </c>
      <c r="H442" s="2" t="inlineStr">
        <is>
          <t>Lease confirmation plan notes 1-6</t>
        </is>
      </c>
      <c r="I442" s="2" t="inlineStr">
        <is>
          <t>Field verification notes; no quantity. Perimeter dims printed V.I.F. (189'-6" lease, 97'-3" lease, 174'-5", 179'-8", 64'-9", 23'-8", 13'-2") apply to existing walls (excluded).</t>
        </is>
      </c>
      <c r="J442" s="2" t="inlineStr"/>
      <c r="K442" s="2" t="n">
        <v>34</v>
      </c>
    </row>
    <row r="443">
      <c r="A443" s="2" t="n">
        <v>442</v>
      </c>
      <c r="B443" s="2" t="inlineStr">
        <is>
          <t>E-101</t>
        </is>
      </c>
      <c r="C443" s="2" t="inlineStr">
        <is>
          <t>Sheet reviewed</t>
        </is>
      </c>
      <c r="D443" s="2" t="inlineStr">
        <is>
          <t>Lighting plan, fixture schedule; track lighting notes ("ELECTRICAL BREAK IN TRACK") = light track, not metal track.</t>
        </is>
      </c>
      <c r="E443" s="2" t="inlineStr">
        <is>
          <t>EXCLUDED</t>
        </is>
      </c>
      <c r="F443" s="2" t="inlineStr">
        <is>
          <t>Not Div 05/09</t>
        </is>
      </c>
      <c r="G443" s="4" t="inlineStr">
        <is>
          <t>EXCLUDED</t>
        </is>
      </c>
      <c r="H443" s="2" t="inlineStr">
        <is>
          <t>Lighting plan</t>
        </is>
      </c>
      <c r="I443" s="2" t="inlineStr">
        <is>
          <t>Electrical lighting track (Div 26), not framing track.</t>
        </is>
      </c>
      <c r="J443" s="2" t="inlineStr"/>
      <c r="K443" s="2" t="n">
        <v>35</v>
      </c>
    </row>
    <row r="444">
      <c r="A444" s="2" t="n">
        <v>443</v>
      </c>
      <c r="B444" s="2" t="inlineStr">
        <is>
          <t>E-102</t>
        </is>
      </c>
      <c r="C444" s="2" t="inlineStr">
        <is>
          <t>Key note</t>
        </is>
      </c>
      <c r="D444" s="2" t="inlineStr">
        <is>
          <t>SIGN (MOUNT WITHIN CANOPY BULKHEAD -OR- BEHIND WALL ABOVE FINISHED CEILING).</t>
        </is>
      </c>
      <c r="E444" s="2" t="inlineStr">
        <is>
          <t>EXCLUDED</t>
        </is>
      </c>
      <c r="F444" s="2" t="inlineStr">
        <is>
          <t>Scope Checklist ALC-14 / ALC-13 [Scope Checklist!R15]</t>
        </is>
      </c>
      <c r="G444" s="4" t="inlineStr">
        <is>
          <t>EXCLUDED</t>
        </is>
      </c>
      <c r="H444" s="2" t="inlineStr">
        <is>
          <t>Sign note</t>
        </is>
      </c>
      <c r="I444" s="2" t="inlineStr">
        <is>
          <t>Existing canopy / signage by others; no canopy framing drawn (ALC-14 NOT APPLICABLE).</t>
        </is>
      </c>
      <c r="J444" s="2" t="inlineStr"/>
      <c r="K444" s="2" t="n">
        <v>36</v>
      </c>
    </row>
    <row r="445">
      <c r="A445" s="2" t="n">
        <v>444</v>
      </c>
      <c r="B445" s="2" t="inlineStr">
        <is>
          <t>E-102</t>
        </is>
      </c>
      <c r="C445" s="2" t="inlineStr">
        <is>
          <t>General note</t>
        </is>
      </c>
      <c r="D445" s="2" t="inlineStr">
        <is>
          <t>FIXTURE ACCESS PANEL FOR WIRE ROUTING ... P1 CABLE AND EMPTY CONDUIT FOR SPARE SHALL RUN IN FLOOR CHASE TO NEAREST WALL; 3. PROVIDE CHASE IN FLOOR SLAB FOR ELECTRICAL CONDUITS REQUIRED.</t>
        </is>
      </c>
      <c r="E445" s="2" t="inlineStr">
        <is>
          <t>EXCLUDED</t>
        </is>
      </c>
      <c r="F445" s="2" t="inlineStr">
        <is>
          <t>Not Div 05/09</t>
        </is>
      </c>
      <c r="G445" s="4" t="inlineStr">
        <is>
          <t>EXCLUDED</t>
        </is>
      </c>
      <c r="H445" s="2" t="inlineStr">
        <is>
          <t>Power plan notes 1 / 3</t>
        </is>
      </c>
      <c r="I445" s="2" t="inlineStr">
        <is>
          <t>Floor-box / slab chase = Div 26 / concrete; fixture access panel = floor box accessory.</t>
        </is>
      </c>
      <c r="J445" s="2" t="inlineStr"/>
      <c r="K445" s="2" t="n">
        <v>36</v>
      </c>
    </row>
    <row r="446">
      <c r="A446" s="2" t="n">
        <v>445</v>
      </c>
      <c r="B446" s="2" t="inlineStr">
        <is>
          <t>E-103</t>
        </is>
      </c>
      <c r="C446" s="2" t="inlineStr">
        <is>
          <t>Detail note</t>
        </is>
      </c>
      <c r="D446" s="2" t="inlineStr">
        <is>
          <t>4'x8' FRT PLYWOOD SHEET AND POWER BY GC - ALL OTHER WORK BY OTHERS</t>
        </is>
      </c>
      <c r="E446" s="2" t="inlineStr">
        <is>
          <t>NO DESTINATION (GAP) - proposed</t>
        </is>
      </c>
      <c r="F446" s="2" t="inlineStr">
        <is>
          <t>No row, no exclusion, no RFI in rev6 (E-103 not cited anywhere in the Excel)</t>
        </is>
      </c>
      <c r="G446" s="6" t="inlineStr">
        <is>
          <t>GAP</t>
        </is>
      </c>
      <c r="H446" s="2" t="inlineStr">
        <is>
          <t>2/E-103 Server Room Detail</t>
        </is>
      </c>
      <c r="I446" s="2" t="inlineStr">
        <is>
          <t>Printed FRT plywood backboard furnished by the GC at the server room wall. Same situation as RFI-36 ("BY GC/..." -&gt; RFI, not carried). Proposed: new RFI-38 'Server room 4x8 FRT plywood backboard (2/E-103) by GC - drywall contractor or Div 26?' Delta: +32.0 SF FRT plywood [DERIVED 4 x 8 = 32 SF, CONFIRMED size 2/E-103; thickness not printed on E-103, 3/4 in. per E-202 note 7] = +1 sheet 4x8. Conflicts with E-301 Sec. 260529 (EC furnishes plywood to mount electrical equipment) -&gt; state both.</t>
        </is>
      </c>
      <c r="J446" s="2" t="inlineStr">
        <is>
          <t>E-103_2_server-room-FRT-plywood-by-GC.png</t>
        </is>
      </c>
      <c r="K446" s="2" t="n">
        <v>37</v>
      </c>
    </row>
    <row r="447">
      <c r="A447" s="2" t="n">
        <v>446</v>
      </c>
      <c r="B447" s="2" t="inlineStr">
        <is>
          <t>E-104</t>
        </is>
      </c>
      <c r="C447" s="2" t="inlineStr">
        <is>
          <t>Sheet reviewed</t>
        </is>
      </c>
      <c r="D447" s="2" t="inlineStr">
        <is>
          <t>HVAC power connections; no Div 05/09 content.</t>
        </is>
      </c>
      <c r="E447" s="2" t="inlineStr">
        <is>
          <t>EXCLUDED</t>
        </is>
      </c>
      <c r="F447" s="2" t="inlineStr">
        <is>
          <t>Not Div 05/09</t>
        </is>
      </c>
      <c r="G447" s="4" t="inlineStr">
        <is>
          <t>EXCLUDED</t>
        </is>
      </c>
      <c r="H447" s="2" t="inlineStr">
        <is>
          <t>Electrical HVAC plan</t>
        </is>
      </c>
      <c r="I447" s="2" t="inlineStr">
        <is>
          <t>Div 26 only.</t>
        </is>
      </c>
      <c r="J447" s="2" t="inlineStr"/>
      <c r="K447" s="2" t="n">
        <v>38</v>
      </c>
    </row>
    <row r="448">
      <c r="A448" s="2" t="n">
        <v>447</v>
      </c>
      <c r="B448" s="2" t="inlineStr">
        <is>
          <t>E-105</t>
        </is>
      </c>
      <c r="C448" s="2" t="inlineStr">
        <is>
          <t>General note</t>
        </is>
      </c>
      <c r="D448" s="2" t="inlineStr">
        <is>
          <t>GENERAL CONTRACTOR SHALL COORDINATE ELECTRICAL INSTALLATION WITH PLUMBING FOR INSTALLATION OF CARLON SCHEDULE 40 CONDUIT CHASE FOR FILTER TUBING</t>
        </is>
      </c>
      <c r="E448" s="2" t="inlineStr">
        <is>
          <t>EXCLUDED</t>
        </is>
      </c>
      <c r="F448" s="2" t="inlineStr">
        <is>
          <t>Not Div 05/09</t>
        </is>
      </c>
      <c r="G448" s="4" t="inlineStr">
        <is>
          <t>EXCLUDED</t>
        </is>
      </c>
      <c r="H448" s="2" t="inlineStr">
        <is>
          <t>Note 3</t>
        </is>
      </c>
      <c r="I448" s="2" t="inlineStr">
        <is>
          <t>Conduit chase = Div 26 / 22.</t>
        </is>
      </c>
      <c r="J448" s="2" t="inlineStr"/>
      <c r="K448" s="2" t="n">
        <v>39</v>
      </c>
    </row>
    <row r="449">
      <c r="A449" s="2" t="n">
        <v>448</v>
      </c>
      <c r="B449" s="2" t="inlineStr">
        <is>
          <t>E-201</t>
        </is>
      </c>
      <c r="C449" s="2" t="inlineStr">
        <is>
          <t>General note</t>
        </is>
      </c>
      <c r="D449" s="2" t="inlineStr">
        <is>
          <t>THE ELECTRICAL CONTRACTOR SHALL FURNISH ALL ACCESS PANELS, AS REQUIRED ... THE GENERAL CONTRACTOR SHALL INSTALL ACCESS PANELS ... COORDINATE ... ACCESS PANEL WITH THE ARCHITECT AND GENERAL CONTRACTOR</t>
        </is>
      </c>
      <c r="E449" s="2" t="inlineStr">
        <is>
          <t>RFI</t>
        </is>
      </c>
      <c r="F449" s="2" t="inlineStr">
        <is>
          <t>Pending RFI-30 [Pending Items!R33]; Scope ALC-17; Material Summary!R39 (Access panel 0)</t>
        </is>
      </c>
      <c r="G449" s="5" t="inlineStr">
        <is>
          <t>RFI</t>
        </is>
      </c>
      <c r="H449" s="2" t="inlineStr">
        <is>
          <t>Note 12</t>
        </is>
      </c>
      <c r="I449" s="2" t="inlineStr">
        <is>
          <t>Install-only access panels, quantity not shown -&gt; RFI-30 with allowance delta.</t>
        </is>
      </c>
      <c r="J449" s="2" t="inlineStr"/>
      <c r="K449" s="2" t="n">
        <v>40</v>
      </c>
    </row>
    <row r="450">
      <c r="A450" s="2" t="n">
        <v>449</v>
      </c>
      <c r="B450" s="2" t="inlineStr">
        <is>
          <t>E-201</t>
        </is>
      </c>
      <c r="C450" s="2" t="inlineStr">
        <is>
          <t>General note</t>
        </is>
      </c>
      <c r="D450" s="2" t="inlineStr">
        <is>
          <t>ALL PENETRATIONS THROUGH FIRE RATED WALLS ASSOCIATED WITH THE ELECTRICAL INSTALLATION SHALL BE SLEEVED AND FIRE-STOPPED USING A UL APPROVED METHOD.</t>
        </is>
      </c>
      <c r="E450" s="2" t="inlineStr">
        <is>
          <t>EXCLUDED</t>
        </is>
      </c>
      <c r="F450" s="2" t="inlineStr">
        <is>
          <t>Scope ALC-22 [Scope Checklist!R23]</t>
        </is>
      </c>
      <c r="G450" s="4" t="inlineStr">
        <is>
          <t>EXCLUDED</t>
        </is>
      </c>
      <c r="H450" s="2" t="inlineStr">
        <is>
          <t>Note 14</t>
        </is>
      </c>
      <c r="I450" s="2" t="inlineStr">
        <is>
          <t>No rated partitions (A-410 non-rated); firestopping of penetrations by the penetrating trade.</t>
        </is>
      </c>
      <c r="J450" s="2" t="inlineStr"/>
      <c r="K450" s="2" t="n">
        <v>40</v>
      </c>
    </row>
    <row r="451">
      <c r="A451" s="2" t="n">
        <v>450</v>
      </c>
      <c r="B451" s="2" t="inlineStr">
        <is>
          <t>E-202.1 / E-203 / E-302</t>
        </is>
      </c>
      <c r="C451" s="2" t="inlineStr">
        <is>
          <t>Sheet reviewed</t>
        </is>
      </c>
      <c r="D451" s="2" t="inlineStr">
        <is>
          <t>Panel schedules (p41), electrical details (p43), electrical specifications (p45): no Div 05/09 content found (text search: gypsum, stud, blocking, backing, plywood, ceiling, access panel).</t>
        </is>
      </c>
      <c r="E451" s="2" t="inlineStr">
        <is>
          <t>EXCLUDED</t>
        </is>
      </c>
      <c r="F451" s="2" t="inlineStr">
        <is>
          <t>Not Div 05/09</t>
        </is>
      </c>
      <c r="G451" s="4" t="inlineStr">
        <is>
          <t>EXCLUDED</t>
        </is>
      </c>
      <c r="H451" s="2" t="inlineStr">
        <is>
          <t>Panel schedules, details, specs</t>
        </is>
      </c>
      <c r="I451" s="2" t="inlineStr">
        <is>
          <t>Div 26 only.</t>
        </is>
      </c>
      <c r="J451" s="2" t="inlineStr"/>
      <c r="K451" s="2" t="n">
        <v>41</v>
      </c>
    </row>
    <row r="452">
      <c r="A452" s="2" t="n">
        <v>451</v>
      </c>
      <c r="B452" s="2" t="inlineStr">
        <is>
          <t>E-202</t>
        </is>
      </c>
      <c r="C452" s="2" t="inlineStr">
        <is>
          <t>General note</t>
        </is>
      </c>
      <c r="D452" s="2" t="inlineStr">
        <is>
          <t>ALL WALL-MOUNTED EQUIPMENT SHALL BE MOUNTED ON 3/4" FIRE RATED BACKBOARD.</t>
        </is>
      </c>
      <c r="E452" s="2" t="inlineStr">
        <is>
          <t>EXCLUDED</t>
        </is>
      </c>
      <c r="F452" s="2" t="inlineStr">
        <is>
          <t>Exclusion (Div 26): E-301 Sec. 260529 'This contractor shall furnish and install all ... concrete or plywood required to install, mount and support any electrical equipment'</t>
        </is>
      </c>
      <c r="G452" s="4" t="inlineStr">
        <is>
          <t>EXCLUDED</t>
        </is>
      </c>
      <c r="H452" s="2" t="inlineStr">
        <is>
          <t>Note 7</t>
        </is>
      </c>
      <c r="I452" s="2" t="inlineStr">
        <is>
          <t>Electrical equipment backboards are furnished and installed by the electrical contractor per E-301; not drywall scope. Recommend adding this exclusion line to Clarifications (no Excel row cites E-202 note 7 today).</t>
        </is>
      </c>
      <c r="J452" s="2" t="inlineStr">
        <is>
          <t>E-202_note-7_backboard.png</t>
        </is>
      </c>
      <c r="K452" s="2" t="n">
        <v>42</v>
      </c>
    </row>
    <row r="453">
      <c r="A453" s="2" t="n">
        <v>452</v>
      </c>
      <c r="B453" s="2" t="inlineStr">
        <is>
          <t>E-301</t>
        </is>
      </c>
      <c r="C453" s="2" t="inlineStr">
        <is>
          <t>Spec line</t>
        </is>
      </c>
      <c r="D453" s="2" t="inlineStr">
        <is>
          <t>This contractor shall furnish and install all angle iron, channel iron, rods, supports, hangers, concrete or plywood required to install, mount and support any electrical equipment or device called for on the plans.</t>
        </is>
      </c>
      <c r="E453" s="2" t="inlineStr">
        <is>
          <t>EXCLUDED</t>
        </is>
      </c>
      <c r="F453" s="2" t="inlineStr">
        <is>
          <t>Exclusion (Div 26 furnishes its own plywood / supports)</t>
        </is>
      </c>
      <c r="G453" s="4" t="inlineStr">
        <is>
          <t>EXCLUDED</t>
        </is>
      </c>
      <c r="H453" s="2" t="inlineStr">
        <is>
          <t>Sec. 260529 supports</t>
        </is>
      </c>
      <c r="I453" s="2" t="inlineStr">
        <is>
          <t>Electrical contractor scope.</t>
        </is>
      </c>
      <c r="J453" s="2" t="inlineStr">
        <is>
          <t>E-301_260529_plywood-by-EC.png</t>
        </is>
      </c>
      <c r="K453" s="2" t="n">
        <v>44</v>
      </c>
    </row>
    <row r="454">
      <c r="A454" s="2" t="n">
        <v>453</v>
      </c>
      <c r="B454" s="2" t="inlineStr">
        <is>
          <t>E-301</t>
        </is>
      </c>
      <c r="C454" s="2" t="inlineStr">
        <is>
          <t>Spec line</t>
        </is>
      </c>
      <c r="D454" s="2" t="inlineStr">
        <is>
          <t>Provide all necessary backing, blocking and supports for wall mounted fixtures.</t>
        </is>
      </c>
      <c r="E454" s="2" t="inlineStr">
        <is>
          <t>EXCLUDED</t>
        </is>
      </c>
      <c r="F454" s="2" t="inlineStr">
        <is>
          <t>Exclusion (Div 26 electrical spec, 'this contractor' = EC)</t>
        </is>
      </c>
      <c r="G454" s="4" t="inlineStr">
        <is>
          <t>EXCLUDED</t>
        </is>
      </c>
      <c r="H454" s="2" t="inlineStr">
        <is>
          <t>Lighting fixtures support</t>
        </is>
      </c>
      <c r="I454" s="2" t="inlineStr">
        <is>
          <t>Backing for wall-mounted light fixtures is in the electrical specification; not carried by drywall (no fixture backing drawn on A sheets).</t>
        </is>
      </c>
      <c r="J454" s="2" t="inlineStr"/>
      <c r="K454" s="2" t="n">
        <v>44</v>
      </c>
    </row>
    <row r="455">
      <c r="A455" s="2" t="n">
        <v>454</v>
      </c>
      <c r="B455" s="2" t="inlineStr">
        <is>
          <t>E-301</t>
        </is>
      </c>
      <c r="C455" s="2" t="inlineStr">
        <is>
          <t>Spec line</t>
        </is>
      </c>
      <c r="D455" s="2" t="inlineStr">
        <is>
          <t>Provide fire-rated plywood terminal board as shown on drawings.</t>
        </is>
      </c>
      <c r="E455" s="2" t="inlineStr">
        <is>
          <t>NO DESTINATION (GAP) - proposed</t>
        </is>
      </c>
      <c r="F455" s="2" t="inlineStr">
        <is>
          <t>Same item as 2/E-103 (server room 4'x8' FRT plywood)</t>
        </is>
      </c>
      <c r="G455" s="6" t="inlineStr">
        <is>
          <t>GAP</t>
        </is>
      </c>
      <c r="H455" s="2" t="inlineStr">
        <is>
          <t>Telephone</t>
        </is>
      </c>
      <c r="I455" s="2" t="inlineStr">
        <is>
          <t>Terminal board shown on 2/E-103 'BY GC'; see E-103 GAP -&gt; proposed RFI-38.</t>
        </is>
      </c>
      <c r="J455" s="2" t="inlineStr"/>
      <c r="K455" s="2" t="n">
        <v>44</v>
      </c>
    </row>
    <row r="456">
      <c r="A456" s="2" t="n">
        <v>455</v>
      </c>
      <c r="B456" s="2" t="inlineStr">
        <is>
          <t>E-301</t>
        </is>
      </c>
      <c r="C456" s="2" t="inlineStr">
        <is>
          <t>Spec line</t>
        </is>
      </c>
      <c r="D456" s="2" t="inlineStr">
        <is>
          <t>stopping materials, UL Listed for application, in all openings created through fire-rated walls ... This contractor shall be responsible for providing all required access panels necessary for his work</t>
        </is>
      </c>
      <c r="E456" s="2" t="inlineStr">
        <is>
          <t>RFI</t>
        </is>
      </c>
      <c r="F456" s="2" t="inlineStr">
        <is>
          <t>Pending RFI-30 [Pending Items!R33]; ALC-22</t>
        </is>
      </c>
      <c r="G456" s="5" t="inlineStr">
        <is>
          <t>RFI</t>
        </is>
      </c>
      <c r="H456" s="2" t="inlineStr">
        <is>
          <t>Firestopping / access panels</t>
        </is>
      </c>
      <c r="I456" s="2" t="inlineStr">
        <is>
          <t>Access panels furnished by EC, installed by GC (RFI-30); no rated walls.</t>
        </is>
      </c>
      <c r="J456" s="2" t="inlineStr"/>
      <c r="K456" s="2" t="n">
        <v>44</v>
      </c>
    </row>
    <row r="457">
      <c r="A457" s="2" t="n">
        <v>456</v>
      </c>
      <c r="B457" s="2" t="inlineStr">
        <is>
          <t>M-100</t>
        </is>
      </c>
      <c r="C457" s="2" t="inlineStr">
        <is>
          <t>General note</t>
        </is>
      </c>
      <c r="D457" s="2" t="inlineStr">
        <is>
          <t>The contractor shall furnish all access panels or doors in hard ceilings and walls with a size as required for servicing and testing ... The general contractor shall install access panels.</t>
        </is>
      </c>
      <c r="E457" s="2" t="inlineStr">
        <is>
          <t>RFI</t>
        </is>
      </c>
      <c r="F457" s="2" t="inlineStr">
        <is>
          <t>Pending RFI-30 [Pending Items!R33]; ALC-17</t>
        </is>
      </c>
      <c r="G457" s="5" t="inlineStr">
        <is>
          <t>RFI</t>
        </is>
      </c>
      <c r="H457" s="2" t="inlineStr">
        <is>
          <t>Note 30</t>
        </is>
      </c>
      <c r="I457" s="2" t="inlineStr">
        <is>
          <t>Install only, quantity not shown.</t>
        </is>
      </c>
      <c r="J457" s="2" t="inlineStr"/>
      <c r="K457" s="2" t="n">
        <v>46</v>
      </c>
    </row>
    <row r="458">
      <c r="A458" s="2" t="n">
        <v>457</v>
      </c>
      <c r="B458" s="2" t="inlineStr">
        <is>
          <t>M-100</t>
        </is>
      </c>
      <c r="C458" s="2" t="inlineStr">
        <is>
          <t>General note</t>
        </is>
      </c>
      <c r="D458" s="2" t="inlineStr">
        <is>
          <t>All penetrations through fire rated walls associated with the installation shall be sleeved and fire-stopped using a UL approved method ...</t>
        </is>
      </c>
      <c r="E458" s="2" t="inlineStr">
        <is>
          <t>EXCLUDED</t>
        </is>
      </c>
      <c r="F458" s="2" t="inlineStr">
        <is>
          <t>Scope ALC-22 [Scope Checklist!R23]</t>
        </is>
      </c>
      <c r="G458" s="4" t="inlineStr">
        <is>
          <t>EXCLUDED</t>
        </is>
      </c>
      <c r="H458" s="2" t="inlineStr">
        <is>
          <t>Note 31 Firestopping</t>
        </is>
      </c>
      <c r="I458" s="2" t="inlineStr">
        <is>
          <t>Non-rated partitions; penetrating trade.</t>
        </is>
      </c>
      <c r="J458" s="2" t="inlineStr"/>
      <c r="K458" s="2" t="n">
        <v>46</v>
      </c>
    </row>
    <row r="459">
      <c r="A459" s="2" t="n">
        <v>458</v>
      </c>
      <c r="B459" s="2" t="inlineStr">
        <is>
          <t>M-100</t>
        </is>
      </c>
      <c r="C459" s="2" t="inlineStr">
        <is>
          <t>General note</t>
        </is>
      </c>
      <c r="D459" s="2" t="inlineStr">
        <is>
          <t>General contractor shall provide all openings required through the framing by the mechanical, electrical ...</t>
        </is>
      </c>
      <c r="E459" s="2" t="inlineStr">
        <is>
          <t>RFI</t>
        </is>
      </c>
      <c r="F459" s="2" t="inlineStr">
        <is>
          <t>Material Summary!R33 (stud reinforcement at MEP penetrations, RFI) + Pending RFI-ACC-stud-reinforcement-mep [Pending Items!R3]</t>
        </is>
      </c>
      <c r="G459" s="5" t="inlineStr">
        <is>
          <t>RFI</t>
        </is>
      </c>
      <c r="H459" s="2" t="inlineStr">
        <is>
          <t>Note 16</t>
        </is>
      </c>
      <c r="I459" s="2" t="inlineStr">
        <is>
          <t>Openings through stud walls for ducts are the MEP-crossing RFI (M-102 not registrable).</t>
        </is>
      </c>
      <c r="J459" s="2" t="inlineStr"/>
      <c r="K459" s="2" t="n">
        <v>46</v>
      </c>
    </row>
    <row r="460">
      <c r="A460" s="2" t="n">
        <v>459</v>
      </c>
      <c r="B460" s="2" t="inlineStr">
        <is>
          <t>M-100</t>
        </is>
      </c>
      <c r="C460" s="2" t="inlineStr">
        <is>
          <t>Legend</t>
        </is>
      </c>
      <c r="D460" s="2" t="inlineStr">
        <is>
          <t>CJ (legend abbreviation)</t>
        </is>
      </c>
      <c r="E460" s="2" t="inlineStr">
        <is>
          <t>RFI</t>
        </is>
      </c>
      <c r="F460" s="2" t="inlineStr">
        <is>
          <t>Scope ALC-18 + Pending RFI-24 [Pending Items!R27]</t>
        </is>
      </c>
      <c r="G460" s="5" t="inlineStr">
        <is>
          <t>RFI</t>
        </is>
      </c>
      <c r="H460" s="2" t="inlineStr">
        <is>
          <t>Abbreviation CJ</t>
        </is>
      </c>
      <c r="I460" s="2" t="inlineStr">
        <is>
          <t>Not a drywall control joint call-out; control joints handled in RFI-24.</t>
        </is>
      </c>
      <c r="J460" s="2" t="inlineStr"/>
      <c r="K460" s="2" t="n">
        <v>46</v>
      </c>
    </row>
    <row r="461">
      <c r="A461" s="2" t="n">
        <v>460</v>
      </c>
      <c r="B461" s="2" t="inlineStr">
        <is>
          <t>M-101</t>
        </is>
      </c>
      <c r="C461" s="2" t="inlineStr">
        <is>
          <t>Sheet reviewed</t>
        </is>
      </c>
      <c r="D461" s="2" t="inlineStr">
        <is>
          <t>Mechanical demolition; no Div 05/09 content.</t>
        </is>
      </c>
      <c r="E461" s="2" t="inlineStr">
        <is>
          <t>EXCLUDED</t>
        </is>
      </c>
      <c r="F461" s="2" t="inlineStr">
        <is>
          <t>Not Div 05/09</t>
        </is>
      </c>
      <c r="G461" s="4" t="inlineStr">
        <is>
          <t>EXCLUDED</t>
        </is>
      </c>
      <c r="H461" s="2" t="inlineStr">
        <is>
          <t>Mechanical demolition plan</t>
        </is>
      </c>
      <c r="I461" s="2" t="inlineStr">
        <is>
          <t>Div 23.</t>
        </is>
      </c>
      <c r="J461" s="2" t="inlineStr"/>
      <c r="K461" s="2" t="n">
        <v>47</v>
      </c>
    </row>
    <row r="462">
      <c r="A462" s="2" t="n">
        <v>461</v>
      </c>
      <c r="B462" s="2" t="inlineStr">
        <is>
          <t>M-102</t>
        </is>
      </c>
      <c r="C462" s="2" t="inlineStr">
        <is>
          <t>General note</t>
        </is>
      </c>
      <c r="D462" s="2" t="inlineStr">
        <is>
          <t>THE CONTRACTOR SHALL COORDINATE AND PROVIDE ACCESS DOORS IN HARD CEILINGS FOR ALL ...</t>
        </is>
      </c>
      <c r="E462" s="2" t="inlineStr">
        <is>
          <t>RFI</t>
        </is>
      </c>
      <c r="F462" s="2" t="inlineStr">
        <is>
          <t>Pending RFI-30 [Pending Items!R33]</t>
        </is>
      </c>
      <c r="G462" s="5" t="inlineStr">
        <is>
          <t>RFI</t>
        </is>
      </c>
      <c r="H462" s="2" t="inlineStr">
        <is>
          <t>Note G</t>
        </is>
      </c>
      <c r="I462" s="2" t="inlineStr">
        <is>
          <t>Access doors in GWB ceilings, quantity not shown.</t>
        </is>
      </c>
      <c r="J462" s="2" t="inlineStr"/>
      <c r="K462" s="2" t="n">
        <v>48</v>
      </c>
    </row>
    <row r="463">
      <c r="A463" s="2" t="n">
        <v>462</v>
      </c>
      <c r="B463" s="2" t="inlineStr">
        <is>
          <t>M-102</t>
        </is>
      </c>
      <c r="C463" s="2" t="inlineStr">
        <is>
          <t>General note</t>
        </is>
      </c>
      <c r="D463" s="2" t="inlineStr">
        <is>
          <t>FIRE DAMPERS MUST BE INSTALLED AT ALL LOCATIONS WHERE DUCTWORK PENETRATES A FIRE RATED WALL. PROVIDE ACCESS DOORS AS REQUIRED.</t>
        </is>
      </c>
      <c r="E463" s="2" t="inlineStr">
        <is>
          <t>EXCLUDED</t>
        </is>
      </c>
      <c r="F463" s="2" t="inlineStr">
        <is>
          <t>Scope ALC-22</t>
        </is>
      </c>
      <c r="G463" s="4" t="inlineStr">
        <is>
          <t>EXCLUDED</t>
        </is>
      </c>
      <c r="H463" s="2" t="inlineStr">
        <is>
          <t>Note 5 fire dampers</t>
        </is>
      </c>
      <c r="I463" s="2" t="inlineStr">
        <is>
          <t>No rated walls in scope; dampers = Div 23.</t>
        </is>
      </c>
      <c r="J463" s="2" t="inlineStr"/>
      <c r="K463" s="2" t="n">
        <v>48</v>
      </c>
    </row>
    <row r="464">
      <c r="A464" s="2" t="n">
        <v>463</v>
      </c>
      <c r="B464" s="2" t="inlineStr">
        <is>
          <t>M-102</t>
        </is>
      </c>
      <c r="C464" s="2" t="inlineStr">
        <is>
          <t>Sheet reviewed</t>
        </is>
      </c>
      <c r="D464" s="2" t="inlineStr">
        <is>
          <t>Ducts crossing new stud walls (type 2 / 5 / Cafe).</t>
        </is>
      </c>
      <c r="E464" s="2" t="inlineStr">
        <is>
          <t>RFI</t>
        </is>
      </c>
      <c r="F464" s="2" t="inlineStr">
        <is>
          <t>Material Summary!R33 + Pending RFI-ACC-stud-reinforcement-mep [Pending Items!R3]</t>
        </is>
      </c>
      <c r="G464" s="5" t="inlineStr">
        <is>
          <t>RFI</t>
        </is>
      </c>
      <c r="H464" s="2" t="inlineStr">
        <is>
          <t>HVAC plan duct crossings</t>
        </is>
      </c>
      <c r="I464" s="2" t="inlineStr">
        <is>
          <t>Registration &lt; 25 matches -&gt; crossings not counted; RFI with delta per duct.</t>
        </is>
      </c>
      <c r="J464" s="2" t="inlineStr"/>
      <c r="K464" s="2" t="n">
        <v>48</v>
      </c>
    </row>
    <row r="465">
      <c r="A465" s="2" t="n">
        <v>464</v>
      </c>
      <c r="B465" s="2" t="inlineStr">
        <is>
          <t>M-201</t>
        </is>
      </c>
      <c r="C465" s="2" t="inlineStr">
        <is>
          <t>Detail note</t>
        </is>
      </c>
      <c r="D465" s="2" t="inlineStr">
        <is>
          <t>SUPPLY DUCT ... LAY-IN DIFFUSER OR GRILLE IN GYPBOARD CEILING; fire damper detail 'GYP. BOARD'</t>
        </is>
      </c>
      <c r="E465" s="2" t="inlineStr">
        <is>
          <t>RFI</t>
        </is>
      </c>
      <c r="F465" s="2" t="inlineStr">
        <is>
          <t>Scope ALC-17 [Scope Checklist!R18] (framed openings, RFI)</t>
        </is>
      </c>
      <c r="G465" s="5" t="inlineStr">
        <is>
          <t>RFI</t>
        </is>
      </c>
      <c r="H465" s="2" t="inlineStr">
        <is>
          <t>Duct branch take-off detail / diffuser</t>
        </is>
      </c>
      <c r="I465" s="2" t="inlineStr">
        <is>
          <t>Diffuser/grille openings in GWB ceilings are not counted as framed openings; ALC-17 is open as RFI. Note: no Material Summary row quantifies framed openings for diffusers in the restroom / Cafe GWB ceilings - covered only by the ALC-17 RFI text.</t>
        </is>
      </c>
      <c r="J465" s="2" t="inlineStr"/>
      <c r="K465" s="2" t="n">
        <v>49</v>
      </c>
    </row>
    <row r="466">
      <c r="A466" s="2" t="n">
        <v>465</v>
      </c>
      <c r="B466" s="2" t="inlineStr">
        <is>
          <t>M-301 / M-302 / M-303</t>
        </is>
      </c>
      <c r="C466" s="2" t="inlineStr">
        <is>
          <t>Spec line</t>
        </is>
      </c>
      <c r="D466" s="2" t="inlineStr">
        <is>
          <t>I. ACCESS PANELS 1. FURNISH AND INSTALL ALL ... ACCESS PANELS NECESSARY FOR HIS WORK ... 2. REFER TO ARCHITECTURAL DRAWINGS AND SPECIFICATIONS FOR TYPE OF ACCESS PANEL; pipe sleeves 'FULL WALL THICKNESS'</t>
        </is>
      </c>
      <c r="E466" s="2" t="inlineStr">
        <is>
          <t>RFI</t>
        </is>
      </c>
      <c r="F466" s="2" t="inlineStr">
        <is>
          <t>Pending RFI-30 [Pending Items!R33]</t>
        </is>
      </c>
      <c r="G466" s="5" t="inlineStr">
        <is>
          <t>RFI</t>
        </is>
      </c>
      <c r="H466" s="2" t="inlineStr">
        <is>
          <t>Access panels / sleeves</t>
        </is>
      </c>
      <c r="I466" s="2" t="inlineStr">
        <is>
          <t>Mechanical furnishes panels; GC installs; quantity not shown. Sleeves = Div 23.</t>
        </is>
      </c>
      <c r="J466" s="2" t="inlineStr"/>
      <c r="K466" s="2" t="n">
        <v>50</v>
      </c>
    </row>
    <row r="467">
      <c r="A467" s="2" t="n">
        <v>466</v>
      </c>
      <c r="B467" s="2" t="inlineStr">
        <is>
          <t>P-101A..P-102D</t>
        </is>
      </c>
      <c r="C467" s="2" t="inlineStr">
        <is>
          <t>Sheet reviewed</t>
        </is>
      </c>
      <c r="D467" s="2" t="inlineStr">
        <is>
          <t>Sanitary / domestic water plans (p53-p59): 'PROVIDE WATER SEALED PIPE SLEEVE' only; no Div 05/09 content.</t>
        </is>
      </c>
      <c r="E467" s="2" t="inlineStr">
        <is>
          <t>EXCLUDED</t>
        </is>
      </c>
      <c r="F467" s="2" t="inlineStr">
        <is>
          <t>Not Div 05/09</t>
        </is>
      </c>
      <c r="G467" s="4" t="inlineStr">
        <is>
          <t>EXCLUDED</t>
        </is>
      </c>
      <c r="H467" s="2" t="inlineStr">
        <is>
          <t>Plumbing plans</t>
        </is>
      </c>
      <c r="I467" s="2" t="inlineStr">
        <is>
          <t>Div 22.</t>
        </is>
      </c>
      <c r="J467" s="2" t="inlineStr"/>
      <c r="K467" s="2" t="n">
        <v>53</v>
      </c>
    </row>
    <row r="468">
      <c r="A468" s="2" t="n">
        <v>467</v>
      </c>
      <c r="B468" s="2" t="inlineStr">
        <is>
          <t>P-201</t>
        </is>
      </c>
      <c r="C468" s="2" t="inlineStr">
        <is>
          <t>Detail note</t>
        </is>
      </c>
      <c r="D468" s="2" t="inlineStr">
        <is>
          <t>PROVIDE 2x4 METAL STUD BACKING ON WALL FOR SECURING ... (2) 1/4"X4" STEEL BACKING PLATES ... STEEL BLOCKING BETWEEN STUDS @ ...; PLUMBING WALL FRAMING 16" O.C.</t>
        </is>
      </c>
      <c r="E468" s="2" t="inlineStr">
        <is>
          <t>RFI</t>
        </is>
      </c>
      <c r="F468" s="2" t="inlineStr">
        <is>
          <t>Pending RFI-32 [Pending Items!R35]; ALC-16</t>
        </is>
      </c>
      <c r="G468" s="5" t="inlineStr">
        <is>
          <t>RFI</t>
        </is>
      </c>
      <c r="H468" s="2" t="inlineStr">
        <is>
          <t>Water heater detail</t>
        </is>
      </c>
      <c r="I468" s="2" t="inlineStr">
        <is>
          <t>Carried conservatively 10.67 LF 3-5/8" stud (RFI-32).</t>
        </is>
      </c>
      <c r="J468" s="2" t="inlineStr"/>
      <c r="K468" s="2" t="n">
        <v>60</v>
      </c>
    </row>
    <row r="469">
      <c r="A469" s="2" t="n">
        <v>468</v>
      </c>
      <c r="B469" s="2" t="inlineStr">
        <is>
          <t>Rev 1 narrative</t>
        </is>
      </c>
      <c r="C469" s="2" t="inlineStr">
        <is>
          <t>Revision note</t>
        </is>
      </c>
      <c r="D469" s="2" t="inlineStr">
        <is>
          <t>Updated Scope of work in Division 05 - Metals ...</t>
        </is>
      </c>
      <c r="E469" s="2" t="inlineStr">
        <is>
          <t>Excel row</t>
        </is>
      </c>
      <c r="F469" s="2" t="inlineStr">
        <is>
          <t>A-002 responsibility schedule (see G1 rows); Scope ALC-02</t>
        </is>
      </c>
      <c r="G469" s="3" t="inlineStr">
        <is>
          <t>COVERED</t>
        </is>
      </c>
      <c r="H469" s="2" t="inlineStr">
        <is>
          <t>A-002 item 4</t>
        </is>
      </c>
      <c r="I469" s="2" t="inlineStr">
        <is>
          <t>Revised A-002 is the sheet in the bid set; its Div 05 lines are swept in G1.</t>
        </is>
      </c>
      <c r="J469" s="2" t="inlineStr"/>
      <c r="K469" s="2" t="n">
        <v>61</v>
      </c>
    </row>
    <row r="470">
      <c r="A470" s="2" t="n">
        <v>469</v>
      </c>
      <c r="B470" s="2" t="inlineStr">
        <is>
          <t>Rev 1 narrative</t>
        </is>
      </c>
      <c r="C470" s="2" t="inlineStr">
        <is>
          <t>Revision note</t>
        </is>
      </c>
      <c r="D470" s="2" t="inlineStr">
        <is>
          <t>DM-101 Updated Demolition Key Notes no. 15; A-101 Updated notes in details no. 3, Added key notes no. 28.</t>
        </is>
      </c>
      <c r="E470" s="2" t="inlineStr">
        <is>
          <t>Excel row</t>
        </is>
      </c>
      <c r="F470" s="2" t="inlineStr">
        <is>
          <t>Swept on DM-101 / A-101 (G1, G2 rows)</t>
        </is>
      </c>
      <c r="G470" s="3" t="inlineStr">
        <is>
          <t>COVERED</t>
        </is>
      </c>
      <c r="H470" s="2" t="inlineStr">
        <is>
          <t>DM-101 / A-101 items 6-7</t>
        </is>
      </c>
      <c r="I470" s="2" t="inlineStr">
        <is>
          <t>Revised notes are in the bid set sheets.</t>
        </is>
      </c>
      <c r="J470" s="2" t="inlineStr"/>
      <c r="K470" s="2" t="n">
        <v>61</v>
      </c>
    </row>
    <row r="471">
      <c r="A471" s="2" t="n">
        <v>470</v>
      </c>
      <c r="B471" s="2" t="inlineStr">
        <is>
          <t>Rev 1 narrative</t>
        </is>
      </c>
      <c r="C471" s="2" t="inlineStr">
        <is>
          <t>Revision note</t>
        </is>
      </c>
      <c r="D471" s="2" t="inlineStr">
        <is>
          <t>A-410 Added BD notes.</t>
        </is>
      </c>
      <c r="E471" s="2" t="inlineStr">
        <is>
          <t>Excel row</t>
        </is>
      </c>
      <c r="F471" s="2" t="inlineStr">
        <is>
          <t>Material Summary!R29/R30 'A-410 (ALL PLYWOOD NEEDS TO BE FRT)'</t>
        </is>
      </c>
      <c r="G471" s="3" t="inlineStr">
        <is>
          <t>COVERED</t>
        </is>
      </c>
      <c r="H471" s="2" t="inlineStr">
        <is>
          <t>A-410 item 28</t>
        </is>
      </c>
      <c r="I471" s="2" t="inlineStr">
        <is>
          <t>BD note on A-410 = 'ALL PLYWOOD NEEDS TO BE FRT' - applied to all plywood rows.</t>
        </is>
      </c>
      <c r="J471" s="2" t="inlineStr"/>
      <c r="K471" s="2" t="n">
        <v>62</v>
      </c>
    </row>
    <row r="472">
      <c r="A472" s="2" t="n">
        <v>471</v>
      </c>
      <c r="B472" s="2" t="inlineStr">
        <is>
          <t>Rev 2 / Rev 3 narratives</t>
        </is>
      </c>
      <c r="C472" s="2" t="inlineStr">
        <is>
          <t>Revision note</t>
        </is>
      </c>
      <c r="D472" s="2" t="inlineStr">
        <is>
          <t>Rev 2: A-500 door schedule panic hardware; MEP text/details. Rev 3: M-102 note to vestibule; M-201 vestibule heater; P notes.</t>
        </is>
      </c>
      <c r="E472" s="2" t="inlineStr">
        <is>
          <t>EXCLUDED</t>
        </is>
      </c>
      <c r="F472" s="2" t="inlineStr">
        <is>
          <t>Not Div 05/09</t>
        </is>
      </c>
      <c r="G472" s="4" t="inlineStr">
        <is>
          <t>EXCLUDED</t>
        </is>
      </c>
      <c r="H472" s="2" t="inlineStr">
        <is>
          <t>All items</t>
        </is>
      </c>
      <c r="I472" s="2" t="inlineStr">
        <is>
          <t>No change to framing / drywall content.</t>
        </is>
      </c>
      <c r="J472" s="2" t="inlineStr"/>
      <c r="K472" s="2" t="n">
        <v>64</v>
      </c>
    </row>
  </sheetData>
  <autoFilter ref="A1:K4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70" customWidth="1" min="1" max="1"/>
    <col width="30" customWidth="1" min="2" max="2"/>
  </cols>
  <sheetData>
    <row r="1">
      <c r="A1" s="8" t="inlineStr">
        <is>
          <t>B&amp;N Colorado Springs - Step 12 coverage matrix (rev6). Reverse review: plan -&gt; Excel.</t>
        </is>
      </c>
    </row>
    <row r="2">
      <c r="A2" t="inlineStr">
        <is>
          <t>Items (Div 05 / Div 09 notes, key notes, bubbles, tags, schedule notes, spec lines) over 69 pages</t>
        </is>
      </c>
      <c r="B2" t="n">
        <v>471</v>
      </c>
    </row>
    <row r="3">
      <c r="A3" t="inlineStr">
        <is>
          <t>COVERED</t>
        </is>
      </c>
      <c r="B3" t="n">
        <v>209</v>
      </c>
    </row>
    <row r="4">
      <c r="A4" t="inlineStr">
        <is>
          <t>EXCLUDED</t>
        </is>
      </c>
      <c r="B4" t="n">
        <v>147</v>
      </c>
    </row>
    <row r="5">
      <c r="A5" t="inlineStr">
        <is>
          <t>RFI</t>
        </is>
      </c>
      <c r="B5" t="n">
        <v>58</v>
      </c>
    </row>
    <row r="6">
      <c r="A6" t="inlineStr">
        <is>
          <t>CORREGIR</t>
        </is>
      </c>
      <c r="B6" t="n">
        <v>10</v>
      </c>
    </row>
    <row r="7">
      <c r="A7" t="inlineStr">
        <is>
          <t>GAP</t>
        </is>
      </c>
      <c r="B7" t="n">
        <v>47</v>
      </c>
    </row>
    <row r="8">
      <c r="A8" t="inlineStr">
        <is>
          <t>Coverage rev6 = items with a destination / items</t>
        </is>
      </c>
      <c r="B8" t="inlineStr">
        <is>
          <t>424/471 = 90.0 %</t>
        </is>
      </c>
    </row>
    <row r="9">
      <c r="A9" t="inlineStr">
        <is>
          <t>Coverage after the proposed destinations of every GAP are applied</t>
        </is>
      </c>
      <c r="B9" t="inlineStr">
        <is>
          <t>100 % (each GAP row carries its proposed RFI / row / exclusion)</t>
        </is>
      </c>
    </row>
    <row r="11">
      <c r="A11" t="inlineStr">
        <is>
          <t>Sheet</t>
        </is>
      </c>
      <c r="B11" t="inlineStr">
        <is>
          <t>Items</t>
        </is>
      </c>
      <c r="C11" t="inlineStr">
        <is>
          <t>COVERED</t>
        </is>
      </c>
      <c r="D11" t="inlineStr">
        <is>
          <t>EXCLUDED</t>
        </is>
      </c>
      <c r="E11" t="inlineStr">
        <is>
          <t>RFI</t>
        </is>
      </c>
      <c r="F11" t="inlineStr">
        <is>
          <t>CORREGIR</t>
        </is>
      </c>
      <c r="G11" t="inlineStr">
        <is>
          <t>GAP</t>
        </is>
      </c>
    </row>
    <row r="12">
      <c r="A12" t="inlineStr">
        <is>
          <t>A-000</t>
        </is>
      </c>
      <c r="B12" t="n">
        <v>1</v>
      </c>
      <c r="C12" t="n">
        <v>1</v>
      </c>
      <c r="D12" t="n">
        <v>0</v>
      </c>
      <c r="E12" t="n">
        <v>0</v>
      </c>
      <c r="F12" t="n">
        <v>0</v>
      </c>
      <c r="G12" t="n">
        <v>0</v>
      </c>
    </row>
    <row r="13">
      <c r="A13" t="inlineStr">
        <is>
          <t>A-001A</t>
        </is>
      </c>
      <c r="B13" t="n">
        <v>26</v>
      </c>
      <c r="C13" t="n">
        <v>11</v>
      </c>
      <c r="D13" t="n">
        <v>9</v>
      </c>
      <c r="E13" t="n">
        <v>4</v>
      </c>
      <c r="F13" t="n">
        <v>1</v>
      </c>
      <c r="G13" t="n">
        <v>1</v>
      </c>
    </row>
    <row r="14">
      <c r="A14" t="inlineStr">
        <is>
          <t>A-001</t>
        </is>
      </c>
      <c r="B14" t="n">
        <v>9</v>
      </c>
      <c r="C14" t="n">
        <v>4</v>
      </c>
      <c r="D14" t="n">
        <v>3</v>
      </c>
      <c r="E14" t="n">
        <v>2</v>
      </c>
      <c r="F14" t="n">
        <v>0</v>
      </c>
      <c r="G14" t="n">
        <v>0</v>
      </c>
    </row>
    <row r="15">
      <c r="A15" t="inlineStr">
        <is>
          <t>A-002</t>
        </is>
      </c>
      <c r="B15" t="n">
        <v>21</v>
      </c>
      <c r="C15" t="n">
        <v>9</v>
      </c>
      <c r="D15" t="n">
        <v>5</v>
      </c>
      <c r="E15" t="n">
        <v>3</v>
      </c>
      <c r="F15" t="n">
        <v>0</v>
      </c>
      <c r="G15" t="n">
        <v>4</v>
      </c>
    </row>
    <row r="16">
      <c r="A16" t="inlineStr">
        <is>
          <t>A-003</t>
        </is>
      </c>
      <c r="B16" t="n">
        <v>1</v>
      </c>
      <c r="C16" t="n">
        <v>1</v>
      </c>
      <c r="D16" t="n">
        <v>0</v>
      </c>
      <c r="E16" t="n">
        <v>0</v>
      </c>
      <c r="F16" t="n">
        <v>0</v>
      </c>
      <c r="G16" t="n">
        <v>0</v>
      </c>
    </row>
    <row r="17">
      <c r="A17" t="inlineStr">
        <is>
          <t>A-101</t>
        </is>
      </c>
      <c r="B17" t="n">
        <v>52</v>
      </c>
      <c r="C17" t="n">
        <v>22</v>
      </c>
      <c r="D17" t="n">
        <v>25</v>
      </c>
      <c r="E17" t="n">
        <v>2</v>
      </c>
      <c r="F17" t="n">
        <v>0</v>
      </c>
      <c r="G17" t="n">
        <v>3</v>
      </c>
    </row>
    <row r="18">
      <c r="A18" t="inlineStr">
        <is>
          <t>A-111</t>
        </is>
      </c>
      <c r="B18" t="n">
        <v>7</v>
      </c>
      <c r="C18" t="n">
        <v>3</v>
      </c>
      <c r="D18" t="n">
        <v>2</v>
      </c>
      <c r="E18" t="n">
        <v>1</v>
      </c>
      <c r="F18" t="n">
        <v>0</v>
      </c>
      <c r="G18" t="n">
        <v>1</v>
      </c>
    </row>
    <row r="19">
      <c r="A19" t="inlineStr">
        <is>
          <t>A-121</t>
        </is>
      </c>
      <c r="B19" t="n">
        <v>40</v>
      </c>
      <c r="C19" t="n">
        <v>19</v>
      </c>
      <c r="D19" t="n">
        <v>12</v>
      </c>
      <c r="E19" t="n">
        <v>3</v>
      </c>
      <c r="F19" t="n">
        <v>0</v>
      </c>
      <c r="G19" t="n">
        <v>6</v>
      </c>
    </row>
    <row r="20">
      <c r="A20" t="inlineStr">
        <is>
          <t>A-131</t>
        </is>
      </c>
      <c r="B20" t="n">
        <v>17</v>
      </c>
      <c r="C20" t="n">
        <v>5</v>
      </c>
      <c r="D20" t="n">
        <v>8</v>
      </c>
      <c r="E20" t="n">
        <v>3</v>
      </c>
      <c r="F20" t="n">
        <v>1</v>
      </c>
      <c r="G20" t="n">
        <v>0</v>
      </c>
    </row>
    <row r="21">
      <c r="A21" t="inlineStr">
        <is>
          <t>A-151</t>
        </is>
      </c>
      <c r="B21" t="n">
        <v>1</v>
      </c>
      <c r="C21" t="n">
        <v>0</v>
      </c>
      <c r="D21" t="n">
        <v>1</v>
      </c>
      <c r="E21" t="n">
        <v>0</v>
      </c>
      <c r="F21" t="n">
        <v>0</v>
      </c>
      <c r="G21" t="n">
        <v>0</v>
      </c>
    </row>
    <row r="22">
      <c r="A22" t="inlineStr">
        <is>
          <t>A-200</t>
        </is>
      </c>
      <c r="B22" t="n">
        <v>13</v>
      </c>
      <c r="C22" t="n">
        <v>8</v>
      </c>
      <c r="D22" t="n">
        <v>0</v>
      </c>
      <c r="E22" t="n">
        <v>5</v>
      </c>
      <c r="F22" t="n">
        <v>0</v>
      </c>
      <c r="G22" t="n">
        <v>0</v>
      </c>
    </row>
    <row r="23">
      <c r="A23" t="inlineStr">
        <is>
          <t>A-201</t>
        </is>
      </c>
      <c r="B23" t="n">
        <v>8</v>
      </c>
      <c r="C23" t="n">
        <v>4</v>
      </c>
      <c r="D23" t="n">
        <v>2</v>
      </c>
      <c r="E23" t="n">
        <v>1</v>
      </c>
      <c r="F23" t="n">
        <v>1</v>
      </c>
      <c r="G23" t="n">
        <v>0</v>
      </c>
    </row>
    <row r="24">
      <c r="A24" t="inlineStr">
        <is>
          <t>A-210</t>
        </is>
      </c>
      <c r="B24" t="n">
        <v>10</v>
      </c>
      <c r="C24" t="n">
        <v>4</v>
      </c>
      <c r="D24" t="n">
        <v>2</v>
      </c>
      <c r="E24" t="n">
        <v>0</v>
      </c>
      <c r="F24" t="n">
        <v>1</v>
      </c>
      <c r="G24" t="n">
        <v>3</v>
      </c>
    </row>
    <row r="25">
      <c r="A25" t="inlineStr">
        <is>
          <t>A-220</t>
        </is>
      </c>
      <c r="B25" t="n">
        <v>1</v>
      </c>
      <c r="C25" t="n">
        <v>0</v>
      </c>
      <c r="D25" t="n">
        <v>1</v>
      </c>
      <c r="E25" t="n">
        <v>0</v>
      </c>
      <c r="F25" t="n">
        <v>0</v>
      </c>
      <c r="G25" t="n">
        <v>0</v>
      </c>
    </row>
    <row r="26">
      <c r="A26" t="inlineStr">
        <is>
          <t>A-221</t>
        </is>
      </c>
      <c r="B26" t="n">
        <v>43</v>
      </c>
      <c r="C26" t="n">
        <v>31</v>
      </c>
      <c r="D26" t="n">
        <v>4</v>
      </c>
      <c r="E26" t="n">
        <v>0</v>
      </c>
      <c r="F26" t="n">
        <v>1</v>
      </c>
      <c r="G26" t="n">
        <v>7</v>
      </c>
    </row>
    <row r="27">
      <c r="A27" t="inlineStr">
        <is>
          <t>A-222A</t>
        </is>
      </c>
      <c r="B27" t="n">
        <v>2</v>
      </c>
      <c r="C27" t="n">
        <v>1</v>
      </c>
      <c r="D27" t="n">
        <v>1</v>
      </c>
      <c r="E27" t="n">
        <v>0</v>
      </c>
      <c r="F27" t="n">
        <v>0</v>
      </c>
      <c r="G27" t="n">
        <v>0</v>
      </c>
    </row>
    <row r="28">
      <c r="A28" t="inlineStr">
        <is>
          <t>A-222B</t>
        </is>
      </c>
      <c r="B28" t="n">
        <v>1</v>
      </c>
      <c r="C28" t="n">
        <v>0</v>
      </c>
      <c r="D28" t="n">
        <v>1</v>
      </c>
      <c r="E28" t="n">
        <v>0</v>
      </c>
      <c r="F28" t="n">
        <v>0</v>
      </c>
      <c r="G28" t="n">
        <v>0</v>
      </c>
    </row>
    <row r="29">
      <c r="A29" t="inlineStr">
        <is>
          <t>A-223</t>
        </is>
      </c>
      <c r="B29" t="n">
        <v>1</v>
      </c>
      <c r="C29" t="n">
        <v>1</v>
      </c>
      <c r="D29" t="n">
        <v>0</v>
      </c>
      <c r="E29" t="n">
        <v>0</v>
      </c>
      <c r="F29" t="n">
        <v>0</v>
      </c>
      <c r="G29" t="n">
        <v>0</v>
      </c>
    </row>
    <row r="30">
      <c r="A30" t="inlineStr">
        <is>
          <t>A-224</t>
        </is>
      </c>
      <c r="B30" t="n">
        <v>2</v>
      </c>
      <c r="C30" t="n">
        <v>2</v>
      </c>
      <c r="D30" t="n">
        <v>0</v>
      </c>
      <c r="E30" t="n">
        <v>0</v>
      </c>
      <c r="F30" t="n">
        <v>0</v>
      </c>
      <c r="G30" t="n">
        <v>0</v>
      </c>
    </row>
    <row r="31">
      <c r="A31" t="inlineStr">
        <is>
          <t>A-225</t>
        </is>
      </c>
      <c r="B31" t="n">
        <v>11</v>
      </c>
      <c r="C31" t="n">
        <v>4</v>
      </c>
      <c r="D31" t="n">
        <v>2</v>
      </c>
      <c r="E31" t="n">
        <v>2</v>
      </c>
      <c r="F31" t="n">
        <v>0</v>
      </c>
      <c r="G31" t="n">
        <v>3</v>
      </c>
    </row>
    <row r="32">
      <c r="A32" t="inlineStr">
        <is>
          <t>A-226A</t>
        </is>
      </c>
      <c r="B32" t="n">
        <v>15</v>
      </c>
      <c r="C32" t="n">
        <v>11</v>
      </c>
      <c r="D32" t="n">
        <v>2</v>
      </c>
      <c r="E32" t="n">
        <v>1</v>
      </c>
      <c r="F32" t="n">
        <v>1</v>
      </c>
      <c r="G32" t="n">
        <v>0</v>
      </c>
    </row>
    <row r="33">
      <c r="A33" t="inlineStr">
        <is>
          <t>A-226B</t>
        </is>
      </c>
      <c r="B33" t="n">
        <v>6</v>
      </c>
      <c r="C33" t="n">
        <v>3</v>
      </c>
      <c r="D33" t="n">
        <v>2</v>
      </c>
      <c r="E33" t="n">
        <v>0</v>
      </c>
      <c r="F33" t="n">
        <v>1</v>
      </c>
      <c r="G33" t="n">
        <v>0</v>
      </c>
    </row>
    <row r="34">
      <c r="A34" t="inlineStr">
        <is>
          <t>A-227</t>
        </is>
      </c>
      <c r="B34" t="n">
        <v>1</v>
      </c>
      <c r="C34" t="n">
        <v>0</v>
      </c>
      <c r="D34" t="n">
        <v>1</v>
      </c>
      <c r="E34" t="n">
        <v>0</v>
      </c>
      <c r="F34" t="n">
        <v>0</v>
      </c>
      <c r="G34" t="n">
        <v>0</v>
      </c>
    </row>
    <row r="35">
      <c r="A35" t="inlineStr">
        <is>
          <t>A-228</t>
        </is>
      </c>
      <c r="B35" t="n">
        <v>1</v>
      </c>
      <c r="C35" t="n">
        <v>0</v>
      </c>
      <c r="D35" t="n">
        <v>1</v>
      </c>
      <c r="E35" t="n">
        <v>0</v>
      </c>
      <c r="F35" t="n">
        <v>0</v>
      </c>
      <c r="G35" t="n">
        <v>0</v>
      </c>
    </row>
    <row r="36">
      <c r="A36" t="inlineStr">
        <is>
          <t>A-300</t>
        </is>
      </c>
      <c r="B36" t="n">
        <v>5</v>
      </c>
      <c r="C36" t="n">
        <v>0</v>
      </c>
      <c r="D36" t="n">
        <v>5</v>
      </c>
      <c r="E36" t="n">
        <v>0</v>
      </c>
      <c r="F36" t="n">
        <v>0</v>
      </c>
      <c r="G36" t="n">
        <v>0</v>
      </c>
    </row>
    <row r="37">
      <c r="A37" t="inlineStr">
        <is>
          <t>A-400A</t>
        </is>
      </c>
      <c r="B37" t="n">
        <v>3</v>
      </c>
      <c r="C37" t="n">
        <v>0</v>
      </c>
      <c r="D37" t="n">
        <v>1</v>
      </c>
      <c r="E37" t="n">
        <v>1</v>
      </c>
      <c r="F37" t="n">
        <v>0</v>
      </c>
      <c r="G37" t="n">
        <v>1</v>
      </c>
    </row>
    <row r="38">
      <c r="A38" t="inlineStr">
        <is>
          <t>A-400B</t>
        </is>
      </c>
      <c r="B38" t="n">
        <v>4</v>
      </c>
      <c r="C38" t="n">
        <v>1</v>
      </c>
      <c r="D38" t="n">
        <v>1</v>
      </c>
      <c r="E38" t="n">
        <v>2</v>
      </c>
      <c r="F38" t="n">
        <v>0</v>
      </c>
      <c r="G38" t="n">
        <v>0</v>
      </c>
    </row>
    <row r="39">
      <c r="A39" t="inlineStr">
        <is>
          <t>A-410</t>
        </is>
      </c>
      <c r="B39" t="n">
        <v>60</v>
      </c>
      <c r="C39" t="n">
        <v>26</v>
      </c>
      <c r="D39" t="n">
        <v>16</v>
      </c>
      <c r="E39" t="n">
        <v>5</v>
      </c>
      <c r="F39" t="n">
        <v>2</v>
      </c>
      <c r="G39" t="n">
        <v>11</v>
      </c>
    </row>
    <row r="40">
      <c r="A40" t="inlineStr">
        <is>
          <t>A-412</t>
        </is>
      </c>
      <c r="B40" t="n">
        <v>6</v>
      </c>
      <c r="C40" t="n">
        <v>4</v>
      </c>
      <c r="D40" t="n">
        <v>2</v>
      </c>
      <c r="E40" t="n">
        <v>0</v>
      </c>
      <c r="F40" t="n">
        <v>0</v>
      </c>
      <c r="G40" t="n">
        <v>0</v>
      </c>
    </row>
    <row r="41">
      <c r="A41" t="inlineStr">
        <is>
          <t>A-413</t>
        </is>
      </c>
      <c r="B41" t="n">
        <v>9</v>
      </c>
      <c r="C41" t="n">
        <v>4</v>
      </c>
      <c r="D41" t="n">
        <v>3</v>
      </c>
      <c r="E41" t="n">
        <v>0</v>
      </c>
      <c r="F41" t="n">
        <v>0</v>
      </c>
      <c r="G41" t="n">
        <v>2</v>
      </c>
    </row>
    <row r="42">
      <c r="A42" t="inlineStr">
        <is>
          <t>A-414</t>
        </is>
      </c>
      <c r="B42" t="n">
        <v>6</v>
      </c>
      <c r="C42" t="n">
        <v>1</v>
      </c>
      <c r="D42" t="n">
        <v>1</v>
      </c>
      <c r="E42" t="n">
        <v>4</v>
      </c>
      <c r="F42" t="n">
        <v>0</v>
      </c>
      <c r="G42" t="n">
        <v>0</v>
      </c>
    </row>
    <row r="43">
      <c r="A43" t="inlineStr">
        <is>
          <t>A-500</t>
        </is>
      </c>
      <c r="B43" t="n">
        <v>20</v>
      </c>
      <c r="C43" t="n">
        <v>9</v>
      </c>
      <c r="D43" t="n">
        <v>8</v>
      </c>
      <c r="E43" t="n">
        <v>1</v>
      </c>
      <c r="F43" t="n">
        <v>1</v>
      </c>
      <c r="G43" t="n">
        <v>1</v>
      </c>
    </row>
    <row r="44">
      <c r="A44" t="inlineStr">
        <is>
          <t>A-510</t>
        </is>
      </c>
      <c r="B44" t="n">
        <v>31</v>
      </c>
      <c r="C44" t="n">
        <v>14</v>
      </c>
      <c r="D44" t="n">
        <v>7</v>
      </c>
      <c r="E44" t="n">
        <v>8</v>
      </c>
      <c r="F44" t="n">
        <v>0</v>
      </c>
      <c r="G44" t="n">
        <v>2</v>
      </c>
    </row>
    <row r="45">
      <c r="A45" t="inlineStr">
        <is>
          <t>DM-101</t>
        </is>
      </c>
      <c r="B45" t="n">
        <v>7</v>
      </c>
      <c r="C45" t="n">
        <v>3</v>
      </c>
      <c r="D45" t="n">
        <v>4</v>
      </c>
      <c r="E45" t="n">
        <v>0</v>
      </c>
      <c r="F45" t="n">
        <v>0</v>
      </c>
      <c r="G45" t="n">
        <v>0</v>
      </c>
    </row>
    <row r="46">
      <c r="A46" t="inlineStr">
        <is>
          <t>E-101</t>
        </is>
      </c>
      <c r="B46" t="n">
        <v>1</v>
      </c>
      <c r="C46" t="n">
        <v>0</v>
      </c>
      <c r="D46" t="n">
        <v>1</v>
      </c>
      <c r="E46" t="n">
        <v>0</v>
      </c>
      <c r="F46" t="n">
        <v>0</v>
      </c>
      <c r="G46" t="n">
        <v>0</v>
      </c>
    </row>
    <row r="47">
      <c r="A47" t="inlineStr">
        <is>
          <t>E-102</t>
        </is>
      </c>
      <c r="B47" t="n">
        <v>2</v>
      </c>
      <c r="C47" t="n">
        <v>0</v>
      </c>
      <c r="D47" t="n">
        <v>2</v>
      </c>
      <c r="E47" t="n">
        <v>0</v>
      </c>
      <c r="F47" t="n">
        <v>0</v>
      </c>
      <c r="G47" t="n">
        <v>0</v>
      </c>
    </row>
    <row r="48">
      <c r="A48" t="inlineStr">
        <is>
          <t>E-103</t>
        </is>
      </c>
      <c r="B48" t="n">
        <v>1</v>
      </c>
      <c r="C48" t="n">
        <v>0</v>
      </c>
      <c r="D48" t="n">
        <v>0</v>
      </c>
      <c r="E48" t="n">
        <v>0</v>
      </c>
      <c r="F48" t="n">
        <v>0</v>
      </c>
      <c r="G48" t="n">
        <v>1</v>
      </c>
    </row>
    <row r="49">
      <c r="A49" t="inlineStr">
        <is>
          <t>E-104</t>
        </is>
      </c>
      <c r="B49" t="n">
        <v>1</v>
      </c>
      <c r="C49" t="n">
        <v>0</v>
      </c>
      <c r="D49" t="n">
        <v>1</v>
      </c>
      <c r="E49" t="n">
        <v>0</v>
      </c>
      <c r="F49" t="n">
        <v>0</v>
      </c>
      <c r="G49" t="n">
        <v>0</v>
      </c>
    </row>
    <row r="50">
      <c r="A50" t="inlineStr">
        <is>
          <t>E-105</t>
        </is>
      </c>
      <c r="B50" t="n">
        <v>1</v>
      </c>
      <c r="C50" t="n">
        <v>0</v>
      </c>
      <c r="D50" t="n">
        <v>1</v>
      </c>
      <c r="E50" t="n">
        <v>0</v>
      </c>
      <c r="F50" t="n">
        <v>0</v>
      </c>
      <c r="G50" t="n">
        <v>0</v>
      </c>
    </row>
    <row r="51">
      <c r="A51" t="inlineStr">
        <is>
          <t>E-201</t>
        </is>
      </c>
      <c r="B51" t="n">
        <v>2</v>
      </c>
      <c r="C51" t="n">
        <v>0</v>
      </c>
      <c r="D51" t="n">
        <v>1</v>
      </c>
      <c r="E51" t="n">
        <v>1</v>
      </c>
      <c r="F51" t="n">
        <v>0</v>
      </c>
      <c r="G51" t="n">
        <v>0</v>
      </c>
    </row>
    <row r="52">
      <c r="A52" t="inlineStr">
        <is>
          <t>E-202.1 / E-203 / E-302</t>
        </is>
      </c>
      <c r="B52" t="n">
        <v>1</v>
      </c>
      <c r="C52" t="n">
        <v>0</v>
      </c>
      <c r="D52" t="n">
        <v>1</v>
      </c>
      <c r="E52" t="n">
        <v>0</v>
      </c>
      <c r="F52" t="n">
        <v>0</v>
      </c>
      <c r="G52" t="n">
        <v>0</v>
      </c>
    </row>
    <row r="53">
      <c r="A53" t="inlineStr">
        <is>
          <t>E-202</t>
        </is>
      </c>
      <c r="B53" t="n">
        <v>1</v>
      </c>
      <c r="C53" t="n">
        <v>0</v>
      </c>
      <c r="D53" t="n">
        <v>1</v>
      </c>
      <c r="E53" t="n">
        <v>0</v>
      </c>
      <c r="F53" t="n">
        <v>0</v>
      </c>
      <c r="G53" t="n">
        <v>0</v>
      </c>
    </row>
    <row r="54">
      <c r="A54" t="inlineStr">
        <is>
          <t>E-301</t>
        </is>
      </c>
      <c r="B54" t="n">
        <v>4</v>
      </c>
      <c r="C54" t="n">
        <v>0</v>
      </c>
      <c r="D54" t="n">
        <v>2</v>
      </c>
      <c r="E54" t="n">
        <v>1</v>
      </c>
      <c r="F54" t="n">
        <v>0</v>
      </c>
      <c r="G54" t="n">
        <v>1</v>
      </c>
    </row>
    <row r="55">
      <c r="A55" t="inlineStr">
        <is>
          <t>M-100</t>
        </is>
      </c>
      <c r="B55" t="n">
        <v>4</v>
      </c>
      <c r="C55" t="n">
        <v>0</v>
      </c>
      <c r="D55" t="n">
        <v>1</v>
      </c>
      <c r="E55" t="n">
        <v>3</v>
      </c>
      <c r="F55" t="n">
        <v>0</v>
      </c>
      <c r="G55" t="n">
        <v>0</v>
      </c>
    </row>
    <row r="56">
      <c r="A56" t="inlineStr">
        <is>
          <t>M-101</t>
        </is>
      </c>
      <c r="B56" t="n">
        <v>1</v>
      </c>
      <c r="C56" t="n">
        <v>0</v>
      </c>
      <c r="D56" t="n">
        <v>1</v>
      </c>
      <c r="E56" t="n">
        <v>0</v>
      </c>
      <c r="F56" t="n">
        <v>0</v>
      </c>
      <c r="G56" t="n">
        <v>0</v>
      </c>
    </row>
    <row r="57">
      <c r="A57" t="inlineStr">
        <is>
          <t>M-102</t>
        </is>
      </c>
      <c r="B57" t="n">
        <v>3</v>
      </c>
      <c r="C57" t="n">
        <v>0</v>
      </c>
      <c r="D57" t="n">
        <v>1</v>
      </c>
      <c r="E57" t="n">
        <v>2</v>
      </c>
      <c r="F57" t="n">
        <v>0</v>
      </c>
      <c r="G57" t="n">
        <v>0</v>
      </c>
    </row>
    <row r="58">
      <c r="A58" t="inlineStr">
        <is>
          <t>M-201</t>
        </is>
      </c>
      <c r="B58" t="n">
        <v>1</v>
      </c>
      <c r="C58" t="n">
        <v>0</v>
      </c>
      <c r="D58" t="n">
        <v>0</v>
      </c>
      <c r="E58" t="n">
        <v>1</v>
      </c>
      <c r="F58" t="n">
        <v>0</v>
      </c>
      <c r="G58" t="n">
        <v>0</v>
      </c>
    </row>
    <row r="59">
      <c r="A59" t="inlineStr">
        <is>
          <t>M-301 / M-302 / M-303</t>
        </is>
      </c>
      <c r="B59" t="n">
        <v>1</v>
      </c>
      <c r="C59" t="n">
        <v>0</v>
      </c>
      <c r="D59" t="n">
        <v>0</v>
      </c>
      <c r="E59" t="n">
        <v>1</v>
      </c>
      <c r="F59" t="n">
        <v>0</v>
      </c>
      <c r="G59" t="n">
        <v>0</v>
      </c>
    </row>
    <row r="60">
      <c r="A60" t="inlineStr">
        <is>
          <t>P-101A..P-102D</t>
        </is>
      </c>
      <c r="B60" t="n">
        <v>1</v>
      </c>
      <c r="C60" t="n">
        <v>0</v>
      </c>
      <c r="D60" t="n">
        <v>1</v>
      </c>
      <c r="E60" t="n">
        <v>0</v>
      </c>
      <c r="F60" t="n">
        <v>0</v>
      </c>
      <c r="G60" t="n">
        <v>0</v>
      </c>
    </row>
    <row r="61">
      <c r="A61" t="inlineStr">
        <is>
          <t>P-201</t>
        </is>
      </c>
      <c r="B61" t="n">
        <v>1</v>
      </c>
      <c r="C61" t="n">
        <v>0</v>
      </c>
      <c r="D61" t="n">
        <v>0</v>
      </c>
      <c r="E61" t="n">
        <v>1</v>
      </c>
      <c r="F61" t="n">
        <v>0</v>
      </c>
      <c r="G61" t="n">
        <v>0</v>
      </c>
    </row>
    <row r="62">
      <c r="A62" t="inlineStr">
        <is>
          <t>Rev 1 narrative</t>
        </is>
      </c>
      <c r="B62" t="n">
        <v>3</v>
      </c>
      <c r="C62" t="n">
        <v>3</v>
      </c>
      <c r="D62" t="n">
        <v>0</v>
      </c>
      <c r="E62" t="n">
        <v>0</v>
      </c>
      <c r="F62" t="n">
        <v>0</v>
      </c>
      <c r="G62" t="n">
        <v>0</v>
      </c>
    </row>
    <row r="63">
      <c r="A63" t="inlineStr">
        <is>
          <t>Rev 2 / Rev 3 narratives</t>
        </is>
      </c>
      <c r="B63" t="n">
        <v>1</v>
      </c>
      <c r="C63" t="n">
        <v>0</v>
      </c>
      <c r="D63" t="n">
        <v>1</v>
      </c>
      <c r="E63" t="n">
        <v>0</v>
      </c>
      <c r="F63" t="n">
        <v>0</v>
      </c>
      <c r="G6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28" customWidth="1" min="3" max="3"/>
    <col width="28" customWidth="1" min="4" max="4"/>
    <col width="45" customWidth="1" min="5" max="5"/>
    <col width="50" customWidth="1" min="6" max="6"/>
    <col width="40" customWidth="1" min="7" max="7"/>
  </cols>
  <sheetData>
    <row r="1">
      <c r="A1" s="1" t="inlineStr">
        <is>
          <t>ID</t>
        </is>
      </c>
      <c r="B1" s="1" t="inlineStr">
        <is>
          <t>Excel location</t>
        </is>
      </c>
      <c r="C1" s="1" t="inlineStr">
        <is>
          <t>Plan source (N/SHEET)</t>
        </is>
      </c>
      <c r="D1" s="1" t="inlineStr">
        <is>
          <t>Excel says</t>
        </is>
      </c>
      <c r="E1" s="1" t="inlineStr">
        <is>
          <t>Plan says</t>
        </is>
      </c>
      <c r="F1" s="1" t="inlineStr">
        <is>
          <t>Correct value / operation</t>
        </is>
      </c>
      <c r="G1" s="1" t="inlineStr">
        <is>
          <t>Evidence (img/)</t>
        </is>
      </c>
    </row>
    <row r="2">
      <c r="A2" s="2" t="inlineStr">
        <is>
          <t>C-01</t>
        </is>
      </c>
      <c r="B2" s="2" t="inlineStr">
        <is>
          <t>RFI-34 / Material Summary!R19</t>
        </is>
      </c>
      <c r="C2" s="2" t="inlineStr">
        <is>
          <t>5/A-226A, 6/A-226A (section 3/A-221 on the same header)</t>
        </is>
      </c>
      <c r="D2" s="2" t="inlineStr">
        <is>
          <t>T.O. WD-1 at the Grab &amp; Go header "not printed"</t>
        </is>
      </c>
      <c r="E2" s="2" t="inlineStr">
        <is>
          <t>T.O. WD-1 = 15'-0" [CONFIRMED 11'-0" + 4'-0" chain, 5/A-226A; 15'-0", 6/A-226A]. Close RFI-34; add 5/8" Type X above WD-1 to deck (3/A-221 draws GWB over the plywood above T.O. WD-1)</t>
        </is>
      </c>
      <c r="F2" s="2" t="inlineStr">
        <is>
          <t>+61.67 SF 5/8" Type X [DERIVED 6.167 x (25.0 - 15.0)]; FRT plywood 110.49 SF unchanged</t>
        </is>
      </c>
      <c r="G2" s="2" t="inlineStr">
        <is>
          <t>A-226A_5-TO-WD-1-15ft-grab-go.png; A-226A_6-TO-WD-1-15ft.png</t>
        </is>
      </c>
    </row>
    <row r="3">
      <c r="A3" s="2" t="inlineStr">
        <is>
          <t>C-02</t>
        </is>
      </c>
      <c r="B3" s="2" t="inlineStr">
        <is>
          <t>RFI-13 (Pending Items!R16) + Material Summary!R37</t>
        </is>
      </c>
      <c r="C3" s="2" t="inlineStr">
        <is>
          <t>1-4/A-226B; A-131 Janitor tag; 9-12/A-200</t>
        </is>
      </c>
      <c r="D3" s="2" t="inlineStr">
        <is>
          <t>FRP-1 height "not printed for the partitions"</t>
        </is>
      </c>
      <c r="E3" s="2" t="inlineStr">
        <is>
          <t>Workroom 104 FRP-1 full wall to 10'-0" [CONFIRMED 1-4/A-226B]; Janitor 107 FRP-1 to 96" A.F.F. [CONFIRMED A-131] / 8'-0" HOLD (9-12/A-200)</t>
        </is>
      </c>
      <c r="F3" s="2" t="inlineStr">
        <is>
          <t>Delta text of RFI-13: 87.52 LF x 10.0 = 875.2 SF + 19.43 LF x 8.0 = 155.44 SF gross [DERIVED], less door openings, + PVC trim. Installer still open (stays not carried unless the estimator includes it)</t>
        </is>
      </c>
      <c r="G3" s="2" t="inlineStr">
        <is>
          <t>A-226B_4-FRP-1-full-height-10ft.png; A-226B_1-FRP-1-10ft.png; A-131_janitor-frp-96aff.png</t>
        </is>
      </c>
    </row>
    <row r="4">
      <c r="A4" s="2" t="inlineStr">
        <is>
          <t>C-03</t>
        </is>
      </c>
      <c r="B4" s="2" t="inlineStr">
        <is>
          <t>RFI-12 (Pending Items!R15) + Material Summary!R20 / R27</t>
        </is>
      </c>
      <c r="C4" s="2" t="inlineStr">
        <is>
          <t>22/A-201 Tile Base Detail; A-001A Div 09 J.2</t>
        </is>
      </c>
      <c r="D4" s="2" t="inlineStr">
        <is>
          <t>Restroom tile backer "not detailed"</t>
        </is>
      </c>
      <c r="E4" s="2" t="inlineStr">
        <is>
          <t>22/A-201 prints 5/8" CEMENT BOARD BASE 1'-2" with 5/8" W.R. GYP. BD. above [CONFIRMED]</t>
        </is>
      </c>
      <c r="F4" s="2" t="inlineStr">
        <is>
          <t>Carry 5/8" cement board 1'-2" at the restroom new-wall bases and deduct the same SF from W.R.: upper bound 64.66 x 1.167 = 75.44 SF gross, ~68.4 SF net of doors 8 / 9 [DERIVED]; recompute on new-wall faces only (EXT faces stay in the RFI-01 allowance). Wall-tile height above stays in RFI-12</t>
        </is>
      </c>
      <c r="G4" s="2" t="inlineStr">
        <is>
          <t>A-201_22-tile-base.png</t>
        </is>
      </c>
    </row>
    <row r="5">
      <c r="A5" s="2" t="inlineStr">
        <is>
          <t>C-04</t>
        </is>
      </c>
      <c r="B5" s="2" t="inlineStr">
        <is>
          <t>Material Summary!R27 (C-E1-S Cafe 103 586.5 SF)</t>
        </is>
      </c>
      <c r="C5" s="2" t="inlineStr">
        <is>
          <t>1/A-221 "19'-0" HOLD"</t>
        </is>
      </c>
      <c r="D5" s="2" t="inlineStr">
        <is>
          <t>C-E1-S cement board on 23.46 LF</t>
        </is>
      </c>
      <c r="E5" s="2" t="inlineStr">
        <is>
          <t>Exposed Cafe face of the south wall = 19'-0" HOLD [CONFIRMED] (pier and SE box faces are carried separately as C-E1-P.2 / C-E1-B)</t>
        </is>
      </c>
      <c r="F5" s="2" t="inlineStr">
        <is>
          <t>Cement board C-E1-S = 19.00 x 25.0 = 475.0 SF (-111.5 SF) [DERIVED]; studs / track unchanged</t>
        </is>
      </c>
      <c r="G5" s="2" t="inlineStr">
        <is>
          <t>A-221_E1-S-19-0-HOLD.png</t>
        </is>
      </c>
    </row>
    <row r="6">
      <c r="A6" s="2" t="inlineStr">
        <is>
          <t>C-05</t>
        </is>
      </c>
      <c r="B6" s="2" t="inlineStr">
        <is>
          <t>Scope Checklist ALC-24 + Inputs!R23 note</t>
        </is>
      </c>
      <c r="C6" s="2" t="inlineStr">
        <is>
          <t>A-001A Div 09 A.8</t>
        </is>
      </c>
      <c r="D6" s="2" t="inlineStr">
        <is>
          <t>"NOT APPLICABLE: no finish level specified ... Level 4 assumed"</t>
        </is>
      </c>
      <c r="E6" s="2" t="inlineStr">
        <is>
          <t>"PROVIDE AT A MINIMUM A LEVEL 4 FINISH PRIOR TO THE APPLICATION OF THE FINAL FINISHES" [CONFIRMED]</t>
        </is>
      </c>
      <c r="F6" s="2" t="inlineStr">
        <is>
          <t>ALC-24 -&gt; QUANTIFIED, Level 4 per A-001A Div 09 A.8; Inputs!R23 note -&gt; "level 4 per A-001A Div 09 A.8". No quantity change</t>
        </is>
      </c>
      <c r="G6" s="2" t="inlineStr">
        <is>
          <t>A-001A_div09-A8-level4.png</t>
        </is>
      </c>
    </row>
    <row r="7">
      <c r="A7" s="2" t="inlineStr">
        <is>
          <t>C-06</t>
        </is>
      </c>
      <c r="B7" s="2" t="inlineStr">
        <is>
          <t>Material Summary!R10, R12, R13 (vestibule members)</t>
        </is>
      </c>
      <c r="C7" s="2" t="inlineStr">
        <is>
          <t>A-210 titles</t>
        </is>
      </c>
      <c r="D7" s="2" t="inlineStr">
        <is>
          <t>Source 6/A-210</t>
        </is>
      </c>
      <c r="E7" s="2" t="inlineStr">
        <is>
          <t>6/A-210 = "Base Detail" of the glazing system (Div 08); the box beam, ledger and posts are 7/A-210 "Nested Stud Details" and 8/A-210 "Nested Stud Column &amp; Beam Details" [CONFIRMED]</t>
        </is>
      </c>
      <c r="F7" s="2" t="inlineStr">
        <is>
          <t>Citation only: 6/A-210 -&gt; 7/A-210, 8/A-210. Quantities unchanged</t>
        </is>
      </c>
      <c r="G7" s="2" t="inlineStr">
        <is>
          <t>A-210_6-base-detail.png</t>
        </is>
      </c>
    </row>
    <row r="8">
      <c r="A8" s="2" t="inlineStr">
        <is>
          <t>C-07</t>
        </is>
      </c>
      <c r="B8" s="2" t="inlineStr">
        <is>
          <t>Material Summary!R12, R13, R47; Pending RFI-04, RFI-35; Scope ALC-04, ALC-06</t>
        </is>
      </c>
      <c r="C8" s="2" t="inlineStr">
        <is>
          <t>A-410 bubbles</t>
        </is>
      </c>
      <c r="D8" s="2" t="inlineStr">
        <is>
          <t>Top Track Detail cited as 8/A-410</t>
        </is>
      </c>
      <c r="E8" s="2" t="inlineStr">
        <is>
          <t>Top Track Detail ("METAL STUD/TRACK FIRE STOP AT CEILING LINE, TYP.", "PROVIDE DIAGONAL BRACING AT 32" O.C.") = 3/A-410; 8/A-410 = Typ. Connection Detail [CONFIRMED; 2/A-410 head bubble also points to 3/A-410]</t>
        </is>
      </c>
      <c r="F8" s="2" t="inlineStr">
        <is>
          <t>Citation only: 8/A-410 -&gt; 3/A-410. Quantities unchanged</t>
        </is>
      </c>
      <c r="G8" s="2" t="inlineStr">
        <is>
          <t>A-410_3-top-track-detail.png; A-410_8-connection-detail.png; A-410_2-type2-detail.png</t>
        </is>
      </c>
    </row>
    <row r="9">
      <c r="A9" s="2" t="inlineStr">
        <is>
          <t>C-08</t>
        </is>
      </c>
      <c r="B9" s="2" t="inlineStr">
        <is>
          <t>Material Summary!R33 + Pending RFI-ACC-stud-reinforcement-mep</t>
        </is>
      </c>
      <c r="C9" s="2" t="inlineStr">
        <is>
          <t>6/A-410, 7/A-410</t>
        </is>
      </c>
      <c r="D9" s="2" t="inlineStr">
        <is>
          <t>Stud reinforcement plates cited to 6/A-410</t>
        </is>
      </c>
      <c r="E9" s="2" t="inlineStr">
        <is>
          <t>6/A-410 and 7/A-410 are pipe firestopping in rated walls; no plates printed [CONFIRMED]</t>
        </is>
      </c>
      <c r="F9" s="2" t="inlineStr">
        <is>
          <t>Mark the delta "skill default (not printed)"; RFI kept at quantity 0</t>
        </is>
      </c>
      <c r="G9" s="2" t="inlineStr">
        <is>
          <t>(see G7 rows in the matrix)</t>
        </is>
      </c>
    </row>
    <row r="10">
      <c r="A10" s="2" t="inlineStr">
        <is>
          <t>C-09</t>
        </is>
      </c>
      <c r="B10" s="2" t="inlineStr">
        <is>
          <t>Partition Takeoff W2-05 / W2-04 labels</t>
        </is>
      </c>
      <c r="C10" s="2" t="inlineStr">
        <is>
          <t>A-500 door 4; A-101</t>
        </is>
      </c>
      <c r="D10" s="2" t="inlineStr">
        <is>
          <t>Door 4 "inside W2-05"</t>
        </is>
      </c>
      <c r="E10" s="2" t="inlineStr">
        <is>
          <t>Door 4 (SALES AREA -&gt; CORRIDOR) is in the corridor north wall = W2-04 [CONFIRMED A-101]</t>
        </is>
      </c>
      <c r="F10" s="2" t="inlineStr">
        <is>
          <t>Move the door-4 label (and any jamb studs) from W2-05 to W2-04; board unchanged (W2-05 has no door deduction)</t>
        </is>
      </c>
      <c r="G10" s="2" t="inlineStr">
        <is>
          <t>A-500_door-4-schedule.png; A-500_door-4-location-A101.png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2" customWidth="1" min="3" max="3"/>
    <col width="110" customWidth="1" min="4" max="4"/>
  </cols>
  <sheetData>
    <row r="1">
      <c r="A1" s="1" t="inlineStr">
        <is>
          <t>Test</t>
        </is>
      </c>
      <c r="B1" s="1" t="inlineStr">
        <is>
          <t>What</t>
        </is>
      </c>
      <c r="C1" s="1" t="inlineStr">
        <is>
          <t>Result rev6</t>
        </is>
      </c>
      <c r="D1" s="1" t="inlineStr">
        <is>
          <t>Evidence / note</t>
        </is>
      </c>
    </row>
    <row r="2">
      <c r="A2" s="2" t="inlineStr">
        <is>
          <t>BE-01</t>
        </is>
      </c>
      <c r="B2" s="2" t="inlineStr">
        <is>
          <t>Fire-stop track at ceiling line</t>
        </is>
      </c>
      <c r="C2" s="2" t="inlineStr">
        <is>
          <t>PASS</t>
        </is>
      </c>
      <c r="D2" s="2" t="inlineStr">
        <is>
          <t>264.21 LF carried (3-5/8" 157.81 + 6" 106.40) + RFI-35; citation must read 3/A-410 (C-07)</t>
        </is>
      </c>
    </row>
    <row r="3">
      <c r="A3" s="2" t="inlineStr">
        <is>
          <t>BE-02</t>
        </is>
      </c>
      <c r="B3" s="2" t="inlineStr">
        <is>
          <t>W.R. on GWB ceilings of wet rooms</t>
        </is>
      </c>
      <c r="C3" s="2" t="inlineStr">
        <is>
          <t>PASS</t>
        </is>
      </c>
      <c r="D3" s="2" t="inlineStr">
        <is>
          <t>Women's 61.19 + Men's 61.11 SF W.R. (Material Summary!R20); Janitor 107 has no GWB ceiling</t>
        </is>
      </c>
    </row>
    <row r="4">
      <c r="A4" s="2" t="inlineStr">
        <is>
          <t>BE-03</t>
        </is>
      </c>
      <c r="B4" s="2" t="inlineStr">
        <is>
          <t>W.R. on every gypsum face of wet rooms</t>
        </is>
      </c>
      <c r="C4" s="2" t="inlineStr">
        <is>
          <t>PASS</t>
        </is>
      </c>
      <c r="D4" s="2" t="inlineStr">
        <is>
          <t>R20 breakdown covers W2-05..W2-08, W5-01; A-510 does not contradict. Base 1'-2" must be cement board (C-03)</t>
        </is>
      </c>
    </row>
    <row r="5">
      <c r="A5" s="2" t="inlineStr">
        <is>
          <t>BE-04</t>
        </is>
      </c>
      <c r="B5" s="2" t="inlineStr">
        <is>
          <t>No W.R. where there is no gypsum</t>
        </is>
      </c>
      <c r="C5" s="2" t="inlineStr">
        <is>
          <t>PASS</t>
        </is>
      </c>
      <c r="D5" s="2" t="inlineStr">
        <is>
          <t>No C-* face in the W.R. breakdown; Work Room = FRT plywood (G/A-221)</t>
        </is>
      </c>
    </row>
    <row r="6">
      <c r="A6" s="2" t="inlineStr">
        <is>
          <t>BE-05</t>
        </is>
      </c>
      <c r="B6" s="2" t="inlineStr">
        <is>
          <t>Layers per side counted in the drawing (R80e.26)</t>
        </is>
      </c>
      <c r="C6" s="2" t="inlineStr">
        <is>
          <t>PASS</t>
        </is>
      </c>
      <c r="D6" s="2" t="inlineStr">
        <is>
          <t>G, H, E, F, I, A-D/A-221 checked side by side against "Board by face" - all match</t>
        </is>
      </c>
    </row>
    <row r="7">
      <c r="A7" s="2" t="inlineStr">
        <is>
          <t>BE-06</t>
        </is>
      </c>
      <c r="B7" s="2" t="inlineStr">
        <is>
          <t>Every side of every soffit</t>
        </is>
      </c>
      <c r="C7" s="2" t="inlineStr">
        <is>
          <t>PASS</t>
        </is>
      </c>
      <c r="D7" s="2" t="inlineStr">
        <is>
          <t>SS-N, SS-E, SS-IN-N, SS-IN-E, SS-GG + bottoms carried. Open: plywood above WD-1 (2/A-221) and soffit corner bead = GAP rows</t>
        </is>
      </c>
    </row>
    <row r="8">
      <c r="A8" s="2" t="inlineStr">
        <is>
          <t>BE-07</t>
        </is>
      </c>
      <c r="B8" s="2" t="inlineStr">
        <is>
          <t>Type end faces by "SIM." tags</t>
        </is>
      </c>
      <c r="C8" s="2" t="inlineStr">
        <is>
          <t>PASS</t>
        </is>
      </c>
      <c r="D8" s="2" t="inlineStr">
        <is>
          <t>I SIM. x2 on 1/A-221 = C-I-E1, C-I-E2</t>
        </is>
      </c>
    </row>
    <row r="9">
      <c r="A9" s="2" t="inlineStr">
        <is>
          <t>BE-08</t>
        </is>
      </c>
      <c r="B9" s="2" t="inlineStr">
        <is>
          <t>Printed dimension governs</t>
        </is>
      </c>
      <c r="C9" s="2" t="inlineStr">
        <is>
          <t>FAIL</t>
        </is>
      </c>
      <c r="D9" s="2" t="inlineStr">
        <is>
          <t>19'-0" HOLD ignored for C-E1-S cement board (C-04); T.O. WD-1 printed but RFI-34 says not printed (C-01); FRP heights printed (C-02)</t>
        </is>
      </c>
    </row>
    <row r="10">
      <c r="A10" s="2" t="inlineStr">
        <is>
          <t>BE-09</t>
        </is>
      </c>
      <c r="B10" s="2" t="inlineStr">
        <is>
          <t>Existing perimeter by demo plan</t>
        </is>
      </c>
      <c r="C10" s="2" t="inlineStr">
        <is>
          <t>PASS</t>
        </is>
      </c>
      <c r="D10" s="2" t="inlineStr">
        <is>
          <t>RFI-01 (1/DM-101, A-101, A-002); 17 EXT markups "EXISTING - EXCLUDED". New RFI proposed: A-410 types 1/1A/1B/1C "5/8" GYP BD BY FUTURE TENANT"</t>
        </is>
      </c>
    </row>
    <row r="11">
      <c r="A11" s="2" t="inlineStr">
        <is>
          <t>BE-10</t>
        </is>
      </c>
      <c r="B11" s="2" t="inlineStr">
        <is>
          <t>HOLD soffit quantified</t>
        </is>
      </c>
      <c r="C11" s="2" t="inlineStr">
        <is>
          <t>PASS</t>
        </is>
      </c>
      <c r="D11" s="2" t="inlineStr">
        <is>
          <t>SS-GG 6'-2" HOLD quantified (RFI-20 closed); T.O. WD-1 now printed (C-01)</t>
        </is>
      </c>
    </row>
    <row r="12">
      <c r="A12" s="2" t="inlineStr">
        <is>
          <t>BE-11</t>
        </is>
      </c>
      <c r="B12" s="2" t="inlineStr">
        <is>
          <t>"AREA OF ... PLYWOOD" carried</t>
        </is>
      </c>
      <c r="C12" s="2" t="inlineStr">
        <is>
          <t>PASS</t>
        </is>
      </c>
      <c r="D12" s="2" t="inlineStr">
        <is>
          <t>Janitor 17.0 SF 3/4" FRT (11/A-200) + RFI-33</t>
        </is>
      </c>
    </row>
    <row r="13">
      <c r="A13" s="2" t="inlineStr">
        <is>
          <t>BE-12</t>
        </is>
      </c>
      <c r="B13" s="2" t="inlineStr">
        <is>
          <t>Quoted note exists on the cited sheet / detail</t>
        </is>
      </c>
      <c r="C13" s="2" t="inlineStr">
        <is>
          <t>FAIL</t>
        </is>
      </c>
      <c r="D13" s="2" t="inlineStr">
        <is>
          <t>8/A-410 should be 3/A-410 (C-07); 6/A-410 plates not printed (C-08); 6/A-210 is the glazing base detail (C-06)</t>
        </is>
      </c>
    </row>
    <row r="14">
      <c r="A14" s="2" t="inlineStr">
        <is>
          <t>BE-13</t>
        </is>
      </c>
      <c r="B14" s="2" t="inlineStr">
        <is>
          <t>E/M/P plywood, backboard, backing, access panels have a destination</t>
        </is>
      </c>
      <c r="C14" s="2" t="inlineStr">
        <is>
          <t>FAIL</t>
        </is>
      </c>
      <c r="D14" s="2" t="inlineStr">
        <is>
          <t>2/E-103 server room 4'x8' FRT plywood "BY GC" - no row / exclusion / RFI</t>
        </is>
      </c>
    </row>
    <row r="15">
      <c r="A15" s="2" t="inlineStr">
        <is>
          <t>BE-20</t>
        </is>
      </c>
      <c r="B15" s="2" t="inlineStr">
        <is>
          <t>Framed soffit = studs @ 16" + 2 tracks</t>
        </is>
      </c>
      <c r="C15" s="2" t="inlineStr">
        <is>
          <t>PASS</t>
        </is>
      </c>
      <c r="D15" s="2" t="inlineStr">
        <is>
          <t>SS-N/E/IN studs in R12 + R28; track = 2 x length (R13)</t>
        </is>
      </c>
    </row>
    <row r="16">
      <c r="A16" s="2" t="inlineStr">
        <is>
          <t>BE-21</t>
        </is>
      </c>
      <c r="B16" s="2" t="inlineStr">
        <is>
          <t>Glass mat only where labeled</t>
        </is>
      </c>
      <c r="C16" s="2" t="inlineStr">
        <is>
          <t>PASS</t>
        </is>
      </c>
      <c r="D16" s="2" t="inlineStr">
        <is>
          <t>None carried; ALC-09 NOT APPLICABLE</t>
        </is>
      </c>
    </row>
    <row r="17">
      <c r="A17" s="2" t="inlineStr">
        <is>
          <t>BE-22</t>
        </is>
      </c>
      <c r="B17" s="2" t="inlineStr">
        <is>
          <t>Jamb return only where drawn</t>
        </is>
      </c>
      <c r="C17" s="2" t="inlineStr">
        <is>
          <t>PASS</t>
        </is>
      </c>
      <c r="D17" s="2" t="inlineStr">
        <is>
          <t>R36 = 0 citing 1/A-500, 2/A-500</t>
        </is>
      </c>
    </row>
    <row r="18">
      <c r="A18" s="2" t="inlineStr">
        <is>
          <t>BE-23</t>
        </is>
      </c>
      <c r="B18" s="2" t="inlineStr">
        <is>
          <t>Acoustical sealant excluded</t>
        </is>
      </c>
      <c r="C18" s="2" t="inlineStr">
        <is>
          <t>PASS</t>
        </is>
      </c>
      <c r="D18" s="2" t="inlineStr">
        <is>
          <t>ALC-19 EXCLUDED; no row</t>
        </is>
      </c>
    </row>
    <row r="19">
      <c r="A19" s="2" t="inlineStr">
        <is>
          <t>BE-24</t>
        </is>
      </c>
      <c r="B19" s="2" t="inlineStr">
        <is>
          <t>Track: bottom = top, separate rows, = partitions</t>
        </is>
      </c>
      <c r="C19" s="2" t="inlineStr">
        <is>
          <t>PASS</t>
        </is>
      </c>
      <c r="D19" s="2" t="inlineStr">
        <is>
          <t>450.02 + 118.59 = 568.61 LF each = 569.816 - end faces C-I-E1/E2 1.206 (R80e.23)</t>
        </is>
      </c>
    </row>
    <row r="20">
      <c r="A20" s="2" t="inlineStr">
        <is>
          <t>BE-25</t>
        </is>
      </c>
      <c r="B20" s="2" t="inlineStr">
        <is>
          <t>Ceiling system cites its detail</t>
        </is>
      </c>
      <c r="C20" s="2" t="inlineStr">
        <is>
          <t>PASS</t>
        </is>
      </c>
      <c r="D20" s="2" t="inlineStr">
        <is>
          <t>5/A-121 suspension; 4/A-121 USG grid for the cloud</t>
        </is>
      </c>
    </row>
    <row r="21">
      <c r="A21" s="2" t="inlineStr">
        <is>
          <t>BE-26</t>
        </is>
      </c>
      <c r="B21" s="2" t="inlineStr">
        <is>
          <t>Type K ballistic</t>
        </is>
      </c>
      <c r="C21" s="2" t="inlineStr">
        <is>
          <t>N/A</t>
        </is>
      </c>
      <c r="D21" s="2" t="inlineStr">
        <is>
          <t>No ballistic type in A-410</t>
        </is>
      </c>
    </row>
    <row r="22">
      <c r="A22" s="2" t="inlineStr">
        <is>
          <t>BE-27</t>
        </is>
      </c>
      <c r="B22" s="2" t="inlineStr">
        <is>
          <t>ATM / equipment recess</t>
        </is>
      </c>
      <c r="C22" s="2" t="inlineStr">
        <is>
          <t>N/A</t>
        </is>
      </c>
      <c r="D22" s="2" t="inlineStr">
        <is>
          <t>R34 none (A-101, A-500, A-221)</t>
        </is>
      </c>
    </row>
    <row r="23">
      <c r="A23" s="2" t="inlineStr">
        <is>
          <t>BE-28</t>
        </is>
      </c>
      <c r="B23" s="2" t="inlineStr">
        <is>
          <t>Canopy / parapet</t>
        </is>
      </c>
      <c r="C23" s="2" t="inlineStr">
        <is>
          <t>N/A</t>
        </is>
      </c>
      <c r="D23" s="2" t="inlineStr">
        <is>
          <t>ALC-03, ALC-14 NOT APPLICABLE (A-300: no new canopy)</t>
        </is>
      </c>
    </row>
    <row r="24">
      <c r="A24" s="2" t="inlineStr">
        <is>
          <t>BE-29</t>
        </is>
      </c>
      <c r="B24" s="2" t="inlineStr">
        <is>
          <t>Header not called = 0 + RFI</t>
        </is>
      </c>
      <c r="C24" s="2" t="inlineStr">
        <is>
          <t>PASS</t>
        </is>
      </c>
      <c r="D24" s="2" t="inlineStr">
        <is>
          <t>RFI-09 (0 LF + delta 83.32 LF)</t>
        </is>
      </c>
    </row>
    <row r="25">
      <c r="A25" s="2" t="inlineStr">
        <is>
          <t>BE-40</t>
        </is>
      </c>
      <c r="B25" s="2" t="inlineStr">
        <is>
          <t>Material Summary: N/SHEET + breakdown that sums the NET</t>
        </is>
      </c>
      <c r="C25" s="2" t="inlineStr">
        <is>
          <t>FAIL</t>
        </is>
      </c>
      <c r="D25" s="2" t="inlineStr">
        <is>
          <t>R28 "3-5/8" stud, framed soffit 2/A-221" 61.31 LF has no breakdown / operation; R13 FIRESTOP-TRACK lines have no per-wall breakdown. All other breakdowns sum the NET (+/- 0.1)</t>
        </is>
      </c>
    </row>
    <row r="26">
      <c r="A26" s="2" t="inlineStr">
        <is>
          <t>BE-41</t>
        </is>
      </c>
      <c r="B26" s="2" t="inlineStr">
        <is>
          <t>No internal file names in the Excel</t>
        </is>
      </c>
      <c r="C26" s="2" t="inlineStr">
        <is>
          <t>FAIL</t>
        </is>
      </c>
      <c r="D26" s="2" t="inlineStr">
        <is>
          <t>Pending Items RFI-06 "ri07_rcp/", RFI-12, -13, -20, -31, -32, -33, -35, -36 cite "AUDITORIA_rev4/COMPARATIVA_AUDITORIA.xlsx"</t>
        </is>
      </c>
    </row>
    <row r="27">
      <c r="A27" s="2" t="inlineStr">
        <is>
          <t>BE-42</t>
        </is>
      </c>
      <c r="B27" s="2" t="inlineStr">
        <is>
          <t>Schedule order + subtotals + grand total</t>
        </is>
      </c>
      <c r="C27" s="2" t="inlineStr">
        <is>
          <t>PASS</t>
        </is>
      </c>
      <c r="D27" s="2" t="inlineStr">
        <is>
          <t>Subtotals = rows; GRAND TOTAL 569.816 = sum of subtotals. Observation: A-410 prints no schedule table; order 2, 5, 3, 4 is the declared order (rev1); by type number it would be 2, 3, 4, 5</t>
        </is>
      </c>
    </row>
    <row r="28">
      <c r="A28" s="2" t="inlineStr">
        <is>
          <t>BE-43</t>
        </is>
      </c>
      <c r="B28" s="2" t="inlineStr">
        <is>
          <t>6 fixed visible sheets</t>
        </is>
      </c>
      <c r="C28" s="2" t="inlineStr">
        <is>
          <t>PASS</t>
        </is>
      </c>
      <c r="D28" s="2" t="inlineStr">
        <is>
          <t>6 visible + hidden "_reglas" gate signature</t>
        </is>
      </c>
    </row>
    <row r="29">
      <c r="A29" s="2" t="inlineStr">
        <is>
          <t>BE-44</t>
        </is>
      </c>
      <c r="B29" s="2" t="inlineStr">
        <is>
          <t>Bluebeam vs Excel by type</t>
        </is>
      </c>
      <c r="C29" s="2" t="inlineStr">
        <is>
          <t>PASS</t>
        </is>
      </c>
      <c r="D29" s="2" t="inlineStr">
        <is>
          <t>Sum Length and sum Wall Area (Length x Depth) match on all 18 types (max delta 0.01 LF, type I rounding)</t>
        </is>
      </c>
    </row>
    <row r="30">
      <c r="A30" s="2" t="inlineStr">
        <is>
          <t>BE-45</t>
        </is>
      </c>
      <c r="B30" s="2" t="inlineStr">
        <is>
          <t>Proportions explained</t>
        </is>
      </c>
      <c r="C30" s="2" t="inlineStr">
        <is>
          <t>PASS</t>
        </is>
      </c>
      <c r="D30" s="2" t="inlineStr">
        <is>
          <t>See sheet Proportions; 3 traceability observations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80" customWidth="1" min="3" max="3"/>
    <col width="12" customWidth="1" min="4" max="4"/>
  </cols>
  <sheetData>
    <row r="1">
      <c r="A1" s="1" t="inlineStr">
        <is>
          <t>Check</t>
        </is>
      </c>
      <c r="B1" s="1" t="inlineStr">
        <is>
          <t>Value</t>
        </is>
      </c>
      <c r="C1" s="1" t="inlineStr">
        <is>
          <t>Explanation</t>
        </is>
      </c>
      <c r="D1" s="1" t="inlineStr">
        <is>
          <t>Result</t>
        </is>
      </c>
    </row>
    <row r="2">
      <c r="A2" s="2" t="inlineStr">
        <is>
          <t>Board vs sum LF x height x layers (partitions)</t>
        </is>
      </c>
      <c r="B2" s="2" t="inlineStr">
        <is>
          <t>14,887.93 SF board / 20,056 SF LF x H x layers = 0.74</t>
        </is>
      </c>
      <c r="C2" s="2" t="inlineStr">
        <is>
          <t>Explained: faces stop at ceiling + 6" (RFI-19) or at B.O. GYP CEILING (2/A-410); FRT faces are not board; per-row ratios 0.30-1.00 all match a printed / decided face height (e.g. W2-04 0.69 = (25 + 9.5)/50)</t>
        </is>
      </c>
      <c r="D2" s="2" t="inlineStr">
        <is>
          <t>PASS</t>
        </is>
      </c>
    </row>
    <row r="3">
      <c r="A3" s="2" t="inlineStr">
        <is>
          <t>Board total reconciliation</t>
        </is>
      </c>
      <c r="B3" s="2" t="inlineStr">
        <is>
          <t>Partition + other framing board 15,805.95 + ceilings / vestibule / G&amp;G 1,090.61 - cement board 851.38 = 16,045.18 SF vs Type X 14,902.61 + W.R. 1,142.63 = 16,045.24 SF</t>
        </is>
      </c>
      <c r="C3" s="2" t="inlineStr">
        <is>
          <t>delta 0.06 SF (rounding)</t>
        </is>
      </c>
      <c r="D3" s="2" t="inlineStr">
        <is>
          <t>PASS</t>
        </is>
      </c>
    </row>
    <row r="4">
      <c r="A4" s="2" t="inlineStr">
        <is>
          <t>Drywall screws / SF</t>
        </is>
      </c>
      <c r="B4" s="2" t="inlineStr">
        <is>
          <t>19,254.29 / 16,045.2 = 1.20</t>
        </is>
      </c>
      <c r="C4" s="2">
        <f> Inputs!B20. Observation: 851.4 SF cement board has no fastener row</f>
        <v/>
      </c>
      <c r="D4" s="2" t="inlineStr">
        <is>
          <t>PASS (obs.)</t>
        </is>
      </c>
    </row>
    <row r="5">
      <c r="A5" s="2" t="inlineStr">
        <is>
          <t>Joint compound / SF</t>
        </is>
      </c>
      <c r="B5" s="2" t="inlineStr">
        <is>
          <t>1,155.26 / 16,045.2 = 0.072 lb/SF</t>
        </is>
      </c>
      <c r="C5" s="2">
        <f> Inputs!B23 (Level 4; A-001A Div 09 A.8)</f>
        <v/>
      </c>
      <c r="D5" s="2" t="inlineStr">
        <is>
          <t>PASS</t>
        </is>
      </c>
    </row>
    <row r="6">
      <c r="A6" s="2" t="inlineStr">
        <is>
          <t>Joint tape / SF</t>
        </is>
      </c>
      <c r="B6" s="2" t="inlineStr">
        <is>
          <t>5,936.74 / 16,045.2 = 0.37 LF/SF</t>
        </is>
      </c>
      <c r="C6" s="2">
        <f> Inputs!B24</f>
        <v/>
      </c>
      <c r="D6" s="2" t="inlineStr">
        <is>
          <t>PASS</t>
        </is>
      </c>
    </row>
    <row r="7">
      <c r="A7" s="2" t="inlineStr">
        <is>
          <t>Studs / LF per O.C.</t>
        </is>
      </c>
      <c r="B7" s="2" t="inlineStr">
        <is>
          <t>Per wall: stud LF / ((ROUNDUP(L/1.333)+1) x H) = 1.00-1.40 typical</t>
        </is>
      </c>
      <c r="C7" s="2" t="inlineStr">
        <is>
          <t>Higher ratios explained by jambs / nodes / boxes: W2-06 2.01 (5-segment chase jog + 3 doors), W4 caps 1.64 (U-shape), CW 1.71 (4-corner box), C-E1-B 1.67 (box). C-I-E1/E2 = 0 (end faces, R80e.23)</t>
        </is>
      </c>
      <c r="D7" s="2" t="inlineStr">
        <is>
          <t>PASS</t>
        </is>
      </c>
    </row>
    <row r="8">
      <c r="A8" s="2" t="inlineStr">
        <is>
          <t>Track vs partitions</t>
        </is>
      </c>
      <c r="B8" s="2" t="inlineStr">
        <is>
          <t>Bottom = top = 568.61 LF vs partitions 569.816 LF</t>
        </is>
      </c>
      <c r="C8" s="2" t="inlineStr">
        <is>
          <t>delta 1.206 = C-I-E1 + C-I-E2 end faces without track (R80e.23)</t>
        </is>
      </c>
      <c r="D8" s="2" t="inlineStr">
        <is>
          <t>PASS</t>
        </is>
      </c>
    </row>
    <row r="9">
      <c r="A9" s="2" t="inlineStr">
        <is>
          <t>Slab pins</t>
        </is>
      </c>
      <c r="B9" s="2" t="inlineStr">
        <is>
          <t>640.61 pcs = 640.61 LF bottom track (incl. 72 LF column wraps) / 1 ft</t>
        </is>
      </c>
      <c r="C9" s="2">
        <f> Inputs!B22; spacing alternatives in RFI-ACC-slab-pins</f>
        <v/>
      </c>
      <c r="D9" s="2" t="inlineStr">
        <is>
          <t>PASS</t>
        </is>
      </c>
    </row>
    <row r="10">
      <c r="A10" s="2" t="inlineStr">
        <is>
          <t>Bracing C.R. channel</t>
        </is>
      </c>
      <c r="B10" s="2" t="inlineStr">
        <is>
          <t>rows = ROUNDUP(H x 12 / 48) - 1; 25 ft -&gt; 6 rows (W2-01 292.62 = 48.77 x 6)</t>
        </is>
      </c>
      <c r="C10" s="2" t="inlineStr">
        <is>
          <t>consistent with 5/A-410 @ 4'-0"</t>
        </is>
      </c>
      <c r="D10" s="2" t="inlineStr">
        <is>
          <t>PASS</t>
        </is>
      </c>
    </row>
    <row r="11">
      <c r="A11" s="2" t="inlineStr">
        <is>
          <t>Fire-stop track</t>
        </is>
      </c>
      <c r="B11" s="2" t="inlineStr">
        <is>
          <t>157.81 LF (&lt;= 450.02) + 106.40 LF (&lt;= 118.59)</t>
        </is>
      </c>
      <c r="C11" s="2" t="inlineStr">
        <is>
          <t>in range; no per-wall breakdown (traceability observation, BE-40)</t>
        </is>
      </c>
      <c r="D11" s="2" t="inlineStr">
        <is>
          <t>PASS (obs.)</t>
        </is>
      </c>
    </row>
    <row r="12">
      <c r="A12" s="2" t="inlineStr">
        <is>
          <t>Framed soffit studs R28</t>
        </is>
      </c>
      <c r="B12" s="2" t="inlineStr">
        <is>
          <t>61.31 LF</t>
        </is>
      </c>
      <c r="C12" s="2" t="inlineStr">
        <is>
          <t>no breakdown / operation (BE-40 FAIL)</t>
        </is>
      </c>
      <c r="D12" s="2" t="inlineStr">
        <is>
          <t>OBS.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22" customWidth="1" min="4" max="4"/>
    <col width="22" customWidth="1" min="5" max="5"/>
    <col width="11" customWidth="1" min="6" max="6"/>
    <col width="11" customWidth="1" min="7" max="7"/>
    <col width="10" customWidth="1" min="8" max="8"/>
    <col width="8" customWidth="1" min="9" max="9"/>
  </cols>
  <sheetData>
    <row r="1">
      <c r="A1" s="1" t="inlineStr">
        <is>
          <t>Type (Subject)</t>
        </is>
      </c>
      <c r="B1" s="1" t="inlineStr">
        <is>
          <t>Sum Length BB (LF)</t>
        </is>
      </c>
      <c r="C1" s="1" t="inlineStr">
        <is>
          <t>Sum LF Excel</t>
        </is>
      </c>
      <c r="D1" s="1" t="inlineStr">
        <is>
          <t>Sum Wall Area BB (Length x Depth, SF)</t>
        </is>
      </c>
      <c r="E1" s="1" t="inlineStr">
        <is>
          <t>Sum LF x Height Excel (SF)</t>
        </is>
      </c>
      <c r="F1" s="1" t="inlineStr">
        <is>
          <t>BB markups</t>
        </is>
      </c>
      <c r="G1" s="1" t="inlineStr">
        <is>
          <t>Excel rows</t>
        </is>
      </c>
      <c r="H1" s="1" t="inlineStr">
        <is>
          <t>Delta LF</t>
        </is>
      </c>
      <c r="I1" s="1" t="inlineStr">
        <is>
          <t>Result</t>
        </is>
      </c>
    </row>
    <row r="2">
      <c r="A2" s="2" t="inlineStr">
        <is>
          <t>2</t>
        </is>
      </c>
      <c r="B2" s="2" t="n">
        <v>278.57</v>
      </c>
      <c r="C2" s="2" t="n">
        <v>278.57</v>
      </c>
      <c r="D2" s="2" t="n">
        <v>6964.2</v>
      </c>
      <c r="E2" s="2" t="n">
        <v>6964.2</v>
      </c>
      <c r="F2" s="2" t="n">
        <v>13</v>
      </c>
      <c r="G2" s="2" t="n">
        <v>8</v>
      </c>
      <c r="H2" s="2" t="n">
        <v>0</v>
      </c>
      <c r="I2" s="2" t="inlineStr">
        <is>
          <t>OK</t>
        </is>
      </c>
    </row>
    <row r="3">
      <c r="A3" s="2" t="inlineStr">
        <is>
          <t>5</t>
        </is>
      </c>
      <c r="B3" s="2" t="n">
        <v>5.7</v>
      </c>
      <c r="C3" s="2" t="n">
        <v>5.7</v>
      </c>
      <c r="D3" s="2" t="n">
        <v>142.5</v>
      </c>
      <c r="E3" s="2" t="n">
        <v>142.5</v>
      </c>
      <c r="F3" s="2" t="n">
        <v>1</v>
      </c>
      <c r="G3" s="2" t="n">
        <v>1</v>
      </c>
      <c r="H3" s="2" t="n">
        <v>0</v>
      </c>
      <c r="I3" s="2" t="inlineStr">
        <is>
          <t>OK</t>
        </is>
      </c>
    </row>
    <row r="4">
      <c r="A4" s="2" t="inlineStr">
        <is>
          <t>3</t>
        </is>
      </c>
      <c r="B4" s="2" t="n">
        <v>38.68</v>
      </c>
      <c r="C4" s="2" t="n">
        <v>38.68</v>
      </c>
      <c r="D4" s="2" t="n">
        <v>309.4</v>
      </c>
      <c r="E4" s="2" t="n">
        <v>309.4</v>
      </c>
      <c r="F4" s="2" t="n">
        <v>6</v>
      </c>
      <c r="G4" s="2" t="n">
        <v>6</v>
      </c>
      <c r="H4" s="2" t="n">
        <v>0</v>
      </c>
      <c r="I4" s="2" t="inlineStr">
        <is>
          <t>OK</t>
        </is>
      </c>
    </row>
    <row r="5">
      <c r="A5" s="2" t="inlineStr">
        <is>
          <t>4</t>
        </is>
      </c>
      <c r="B5" s="2" t="n">
        <v>83.64</v>
      </c>
      <c r="C5" s="2" t="n">
        <v>83.64</v>
      </c>
      <c r="D5" s="2" t="n">
        <v>627.3</v>
      </c>
      <c r="E5" s="2" t="n">
        <v>627.3</v>
      </c>
      <c r="F5" s="2" t="n">
        <v>22</v>
      </c>
      <c r="G5" s="2" t="n">
        <v>18</v>
      </c>
      <c r="H5" s="2" t="n">
        <v>0</v>
      </c>
      <c r="I5" s="2" t="inlineStr">
        <is>
          <t>OK</t>
        </is>
      </c>
    </row>
    <row r="6">
      <c r="A6" s="2" t="inlineStr">
        <is>
          <t>H1</t>
        </is>
      </c>
      <c r="B6" s="2" t="n">
        <v>42.15</v>
      </c>
      <c r="C6" s="2" t="n">
        <v>42.15</v>
      </c>
      <c r="D6" s="2" t="n">
        <v>1053.8</v>
      </c>
      <c r="E6" s="2" t="n">
        <v>1053.8</v>
      </c>
      <c r="F6" s="2" t="n">
        <v>2</v>
      </c>
      <c r="G6" s="2" t="n">
        <v>2</v>
      </c>
      <c r="H6" s="2" t="n">
        <v>0</v>
      </c>
      <c r="I6" s="2" t="inlineStr">
        <is>
          <t>OK</t>
        </is>
      </c>
    </row>
    <row r="7">
      <c r="A7" s="2" t="inlineStr">
        <is>
          <t>H2A</t>
        </is>
      </c>
      <c r="B7" s="2" t="n">
        <v>12.17</v>
      </c>
      <c r="C7" s="2" t="n">
        <v>12.17</v>
      </c>
      <c r="D7" s="2" t="n">
        <v>304.2</v>
      </c>
      <c r="E7" s="2" t="n">
        <v>304.2</v>
      </c>
      <c r="F7" s="2" t="n">
        <v>1</v>
      </c>
      <c r="G7" s="2" t="n">
        <v>1</v>
      </c>
      <c r="H7" s="2" t="n">
        <v>0</v>
      </c>
      <c r="I7" s="2" t="inlineStr">
        <is>
          <t>OK</t>
        </is>
      </c>
    </row>
    <row r="8">
      <c r="A8" s="2" t="inlineStr">
        <is>
          <t>H2B</t>
        </is>
      </c>
      <c r="B8" s="2" t="n">
        <v>1.95</v>
      </c>
      <c r="C8" s="2" t="n">
        <v>1.95</v>
      </c>
      <c r="D8" s="2" t="n">
        <v>48.8</v>
      </c>
      <c r="E8" s="2" t="n">
        <v>48.8</v>
      </c>
      <c r="F8" s="2" t="n">
        <v>1</v>
      </c>
      <c r="G8" s="2" t="n">
        <v>1</v>
      </c>
      <c r="H8" s="2" t="n">
        <v>0</v>
      </c>
      <c r="I8" s="2" t="inlineStr">
        <is>
          <t>OK</t>
        </is>
      </c>
    </row>
    <row r="9">
      <c r="A9" s="2" t="inlineStr">
        <is>
          <t>H3A</t>
        </is>
      </c>
      <c r="B9" s="2" t="n">
        <v>4.08</v>
      </c>
      <c r="C9" s="2" t="n">
        <v>4.08</v>
      </c>
      <c r="D9" s="2" t="n">
        <v>102</v>
      </c>
      <c r="E9" s="2" t="n">
        <v>102</v>
      </c>
      <c r="F9" s="2" t="n">
        <v>1</v>
      </c>
      <c r="G9" s="2" t="n">
        <v>1</v>
      </c>
      <c r="H9" s="2" t="n">
        <v>0</v>
      </c>
      <c r="I9" s="2" t="inlineStr">
        <is>
          <t>OK</t>
        </is>
      </c>
    </row>
    <row r="10">
      <c r="A10" s="2" t="inlineStr">
        <is>
          <t>H3B</t>
        </is>
      </c>
      <c r="B10" s="2" t="n">
        <v>6.17</v>
      </c>
      <c r="C10" s="2" t="n">
        <v>6.17</v>
      </c>
      <c r="D10" s="2" t="n">
        <v>154.2</v>
      </c>
      <c r="E10" s="2" t="n">
        <v>154.2</v>
      </c>
      <c r="F10" s="2" t="n">
        <v>1</v>
      </c>
      <c r="G10" s="2" t="n">
        <v>1</v>
      </c>
      <c r="H10" s="2" t="n">
        <v>0</v>
      </c>
      <c r="I10" s="2" t="inlineStr">
        <is>
          <t>OK</t>
        </is>
      </c>
    </row>
    <row r="11">
      <c r="A11" s="2" t="inlineStr">
        <is>
          <t>E2</t>
        </is>
      </c>
      <c r="B11" s="2" t="n">
        <v>29.3</v>
      </c>
      <c r="C11" s="2" t="n">
        <v>29.3</v>
      </c>
      <c r="D11" s="2" t="n">
        <v>732.5</v>
      </c>
      <c r="E11" s="2" t="n">
        <v>732.5</v>
      </c>
      <c r="F11" s="2" t="n">
        <v>1</v>
      </c>
      <c r="G11" s="2" t="n">
        <v>1</v>
      </c>
      <c r="H11" s="2" t="n">
        <v>0</v>
      </c>
      <c r="I11" s="2" t="inlineStr">
        <is>
          <t>OK</t>
        </is>
      </c>
    </row>
    <row r="12">
      <c r="A12" s="2" t="inlineStr">
        <is>
          <t>E1</t>
        </is>
      </c>
      <c r="B12" s="2" t="n">
        <v>27.88</v>
      </c>
      <c r="C12" s="2" t="n">
        <v>27.88</v>
      </c>
      <c r="D12" s="2" t="n">
        <v>697</v>
      </c>
      <c r="E12" s="2" t="n">
        <v>697</v>
      </c>
      <c r="F12" s="2" t="n">
        <v>3</v>
      </c>
      <c r="G12" s="2" t="n">
        <v>3</v>
      </c>
      <c r="H12" s="2" t="n">
        <v>0</v>
      </c>
      <c r="I12" s="2" t="inlineStr">
        <is>
          <t>OK</t>
        </is>
      </c>
    </row>
    <row r="13">
      <c r="A13" s="2" t="inlineStr">
        <is>
          <t>F</t>
        </is>
      </c>
      <c r="B13" s="2" t="n">
        <v>3.26</v>
      </c>
      <c r="C13" s="2" t="n">
        <v>3.26</v>
      </c>
      <c r="D13" s="2" t="n">
        <v>81.5</v>
      </c>
      <c r="E13" s="2" t="n">
        <v>81.5</v>
      </c>
      <c r="F13" s="2" t="n">
        <v>1</v>
      </c>
      <c r="G13" s="2" t="n">
        <v>1</v>
      </c>
      <c r="H13" s="2" t="n">
        <v>0</v>
      </c>
      <c r="I13" s="2" t="inlineStr">
        <is>
          <t>OK</t>
        </is>
      </c>
    </row>
    <row r="14">
      <c r="A14" s="2" t="inlineStr">
        <is>
          <t>I</t>
        </is>
      </c>
      <c r="B14" s="2" t="n">
        <v>4.51</v>
      </c>
      <c r="C14" s="2" t="n">
        <v>4.52</v>
      </c>
      <c r="D14" s="2" t="n">
        <v>112.8</v>
      </c>
      <c r="E14" s="2" t="n">
        <v>112.9</v>
      </c>
      <c r="F14" s="2" t="n">
        <v>4</v>
      </c>
      <c r="G14" s="2" t="n">
        <v>4</v>
      </c>
      <c r="H14" s="2" t="n">
        <v>-0.01</v>
      </c>
      <c r="I14" s="2" t="inlineStr">
        <is>
          <t>OK</t>
        </is>
      </c>
    </row>
    <row r="15">
      <c r="A15" s="2" t="inlineStr">
        <is>
          <t>A</t>
        </is>
      </c>
      <c r="B15" s="2" t="n">
        <v>20.27</v>
      </c>
      <c r="C15" s="2" t="n">
        <v>20.27</v>
      </c>
      <c r="D15" s="2" t="n">
        <v>54.9</v>
      </c>
      <c r="E15" s="2" t="n">
        <v>54.9</v>
      </c>
      <c r="F15" s="2" t="n">
        <v>3</v>
      </c>
      <c r="G15" s="2" t="n">
        <v>3</v>
      </c>
      <c r="H15" s="2" t="n">
        <v>0</v>
      </c>
      <c r="I15" s="2" t="inlineStr">
        <is>
          <t>OK</t>
        </is>
      </c>
    </row>
    <row r="16">
      <c r="A16" s="2" t="inlineStr">
        <is>
          <t>B</t>
        </is>
      </c>
      <c r="B16" s="2" t="n">
        <v>3.17</v>
      </c>
      <c r="C16" s="2" t="n">
        <v>3.17</v>
      </c>
      <c r="D16" s="2" t="n">
        <v>8.6</v>
      </c>
      <c r="E16" s="2" t="n">
        <v>8.6</v>
      </c>
      <c r="F16" s="2" t="n">
        <v>1</v>
      </c>
      <c r="G16" s="2" t="n">
        <v>1</v>
      </c>
      <c r="H16" s="2" t="n">
        <v>0</v>
      </c>
      <c r="I16" s="2" t="inlineStr">
        <is>
          <t>OK</t>
        </is>
      </c>
    </row>
    <row r="17">
      <c r="A17" s="2" t="inlineStr">
        <is>
          <t>D</t>
        </is>
      </c>
      <c r="B17" s="2" t="n">
        <v>5.14</v>
      </c>
      <c r="C17" s="2" t="n">
        <v>5.14</v>
      </c>
      <c r="D17" s="2" t="n">
        <v>5.1</v>
      </c>
      <c r="E17" s="2" t="n">
        <v>5.1</v>
      </c>
      <c r="F17" s="2" t="n">
        <v>1</v>
      </c>
      <c r="G17" s="2" t="n">
        <v>1</v>
      </c>
      <c r="H17" s="2" t="n">
        <v>0</v>
      </c>
      <c r="I17" s="2" t="inlineStr">
        <is>
          <t>OK</t>
        </is>
      </c>
    </row>
    <row r="18">
      <c r="A18" s="2" t="inlineStr">
        <is>
          <t>C</t>
        </is>
      </c>
      <c r="B18" s="2" t="n">
        <v>3.17</v>
      </c>
      <c r="C18" s="2" t="n">
        <v>3.17</v>
      </c>
      <c r="D18" s="2" t="n">
        <v>8.6</v>
      </c>
      <c r="E18" s="2" t="n">
        <v>8.6</v>
      </c>
      <c r="F18" s="2" t="n">
        <v>1</v>
      </c>
      <c r="G18" s="2" t="n">
        <v>1</v>
      </c>
      <c r="H18" s="2" t="n">
        <v>0</v>
      </c>
      <c r="I18" s="2" t="inlineStr">
        <is>
          <t>OK</t>
        </is>
      </c>
    </row>
    <row r="19">
      <c r="A19" s="2" t="inlineStr">
        <is>
          <t>OTHER FRAMING</t>
        </is>
      </c>
      <c r="B19" s="2" t="n">
        <v>137.31</v>
      </c>
      <c r="C19" s="2" t="n">
        <v>137.31</v>
      </c>
      <c r="D19" s="2" t="n">
        <v>1501.4</v>
      </c>
      <c r="E19" s="2" t="n">
        <v>1501.3</v>
      </c>
      <c r="F19" s="2" t="n">
        <v>14</v>
      </c>
      <c r="G19" s="2" t="n">
        <v>14</v>
      </c>
      <c r="H19" s="2" t="n">
        <v>0</v>
      </c>
      <c r="I19" s="2" t="inlineStr">
        <is>
          <t>OK</t>
        </is>
      </c>
    </row>
    <row r="21">
      <c r="A21" t="inlineStr">
        <is>
          <t>Source: Barnes_Noble_ColoradoSprings_FINAL_markups_rev5.pdf (geometry unchanged in rev6): 77 take-off markups (A-101 1/8" = 1'-0", A-221 1/2" = 1'-0") + 17 EXISTING - EXCLUDED + 18 legend. Excel rows with combined walls (W2-01+W2-02 etc.) explain the count difference for types 2 and 4. Geometric length of every markup vs its Contents LF within 2 %; Depth = Excel height on every wall.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2026-10-27T05:04:09Z</dcterms:created>
  <dcterms:modified xmlns:dcterms="http://purl.org/dc/terms/" xmlns:xsi="http://www.w3.org/2001/XMLSchema-instance" xsi:type="dcterms:W3CDTF">2026-10-27T05:05:15Z</dcterms:modified>
</cp:coreProperties>
</file>